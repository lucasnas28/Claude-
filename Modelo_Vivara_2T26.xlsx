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8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70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190" fontId="4" fillId="7" borderId="0" applyAlignment="1" pivotButton="0" quotePrefix="0" xfId="0">
      <alignment horizontal="center"/>
    </xf>
    <xf numFmtId="190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4" fontId="4" fillId="7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9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Vivara (VIVA3) - fonte: planilha Dados Historicos 2T26 do RI (ri.vivara.com.br &gt; Planilha Dinamica): abas DRE | FinancialStatement (CONTABIL, pos-IFRS16, trimestre isolado), BP | BalanceSheet, Fluxo de Caixa | CashFlow (trimestre isolado) e DadosOperacionais. Moeda: BRL. Brutos em R$ MIL como na fonte (fator 0,001).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DRE | FinancialStatement; CONTABIL pos-IFRS16; R$ mil)</t>
        </is>
      </c>
    </row>
    <row r="6">
      <c r="G6" t="inlineStr">
        <is>
          <t>moeda</t>
        </is>
      </c>
      <c r="H6" t="inlineStr">
        <is>
          <t>Receita Bruta de Vendas de Mercadorias (DRE l.5) - memoria (ponte receita bruta -&gt; liquida)</t>
        </is>
      </c>
      <c r="J6" t="inlineStr">
        <is>
          <t>memoria</t>
        </is>
      </c>
      <c r="K6" s="259" t="n">
        <v>331879.10057</v>
      </c>
      <c r="L6" s="259" t="n">
        <v>185523.8122700001</v>
      </c>
      <c r="M6" s="259" t="n">
        <v>375909.92469</v>
      </c>
      <c r="N6" s="259" t="n">
        <v>680172.3216899998</v>
      </c>
      <c r="O6" s="259" t="n">
        <v>339917.78707</v>
      </c>
      <c r="P6" s="259" t="n">
        <v>539670.7783199999</v>
      </c>
      <c r="Q6" s="259" t="n">
        <v>496303.8586199999</v>
      </c>
      <c r="R6" s="259" t="n">
        <v>806450.6313599997</v>
      </c>
      <c r="S6" s="259" t="n">
        <v>508569.7634299999</v>
      </c>
      <c r="T6" s="259" t="n">
        <v>700798.13382</v>
      </c>
      <c r="U6" s="259" t="n">
        <v>585181.8815599997</v>
      </c>
      <c r="V6" s="259" t="n">
        <v>943488.3687900007</v>
      </c>
      <c r="W6" s="259" t="n">
        <v>609265.9107</v>
      </c>
      <c r="X6" s="259" t="n">
        <v>844522.5295199997</v>
      </c>
      <c r="Y6" s="259" t="n">
        <v>713003.2401799998</v>
      </c>
      <c r="Z6" s="259" t="n">
        <v>1170568.541690001</v>
      </c>
      <c r="AA6" s="259" t="n">
        <v>720758.2198100002</v>
      </c>
      <c r="AB6" s="259" t="n">
        <v>999959.5614799998</v>
      </c>
      <c r="AC6" s="259" t="n">
        <v>853116.6680500003</v>
      </c>
      <c r="AD6" s="259" t="n">
        <v>1339952.64076</v>
      </c>
      <c r="AE6" s="259" t="n">
        <v>828595.4299400002</v>
      </c>
      <c r="AF6" s="259" t="n">
        <v>967803.6</v>
      </c>
      <c r="AG6" s="259" t="n">
        <v>804526</v>
      </c>
      <c r="AH6" s="259" t="n">
        <v>1370719</v>
      </c>
      <c r="AI6" s="259" t="n">
        <v>754748</v>
      </c>
      <c r="AJ6" s="259" t="n">
        <v>1072284.83805</v>
      </c>
    </row>
    <row r="7">
      <c r="G7" t="inlineStr">
        <is>
          <t>moeda</t>
        </is>
      </c>
      <c r="H7" t="inlineStr">
        <is>
          <t>Receita Bruta de Serviços (DRE l.6) - memoria (ponte receita bruta -&gt; liquida)</t>
        </is>
      </c>
      <c r="J7" t="inlineStr">
        <is>
          <t>memoria</t>
        </is>
      </c>
      <c r="K7" s="259" t="n">
        <v>1559.134949999999</v>
      </c>
      <c r="L7" s="259" t="n">
        <v>278.9495</v>
      </c>
      <c r="M7" s="259" t="n">
        <v>868.3493499999978</v>
      </c>
      <c r="N7" s="259" t="n">
        <v>1197.279850000009</v>
      </c>
      <c r="O7" s="259" t="n">
        <v>1412.496510000002</v>
      </c>
      <c r="P7" s="259" t="n">
        <v>1924.00402</v>
      </c>
      <c r="Q7" s="259" t="n">
        <v>1805.704</v>
      </c>
      <c r="R7" s="259" t="n">
        <v>1886.6585</v>
      </c>
      <c r="S7" s="259" t="n">
        <v>1995.138350000002</v>
      </c>
      <c r="T7" s="259" t="n">
        <v>2177.304899999999</v>
      </c>
      <c r="U7" s="259" t="n">
        <v>2113.813199999988</v>
      </c>
      <c r="V7" s="259" t="n">
        <v>2097.809650000006</v>
      </c>
      <c r="W7" s="259" t="n">
        <v>2385.326240000002</v>
      </c>
      <c r="X7" s="259" t="n">
        <v>2550.345429999985</v>
      </c>
      <c r="Y7" s="259" t="n">
        <v>2282.667219999999</v>
      </c>
      <c r="Z7" s="259" t="n">
        <v>2167.785099999994</v>
      </c>
      <c r="AA7" s="259" t="n">
        <v>2352.990280000001</v>
      </c>
      <c r="AB7" s="259" t="n">
        <v>2618.883790000007</v>
      </c>
      <c r="AC7" s="259" t="n">
        <v>2691.939399999995</v>
      </c>
      <c r="AD7" s="259" t="n">
        <v>2194.522780000013</v>
      </c>
      <c r="AE7" s="259" t="n">
        <v>2407.400000000001</v>
      </c>
      <c r="AF7" s="259" t="n">
        <v>2075.6</v>
      </c>
      <c r="AG7" s="259" t="n">
        <v>2029</v>
      </c>
      <c r="AH7" s="259" t="n">
        <v>1760</v>
      </c>
      <c r="AI7" s="259" t="n">
        <v>2024</v>
      </c>
      <c r="AJ7" s="259" t="n">
        <v>1968.757349999978</v>
      </c>
    </row>
    <row r="8">
      <c r="G8" t="inlineStr">
        <is>
          <t>moeda</t>
        </is>
      </c>
      <c r="H8" t="inlineStr">
        <is>
          <t>Devoluções (DRE l.7) - memoria (ponte receita bruta -&gt; liquida)</t>
        </is>
      </c>
      <c r="J8" t="inlineStr">
        <is>
          <t>memoria</t>
        </is>
      </c>
      <c r="K8" s="259" t="n">
        <v>-69608.99523999999</v>
      </c>
      <c r="L8" s="259" t="n">
        <v>-16100.08757000001</v>
      </c>
      <c r="M8" s="259" t="n">
        <v>-68722.19331999999</v>
      </c>
      <c r="N8" s="259" t="n">
        <v>-84815.73133000001</v>
      </c>
      <c r="O8" s="259" t="n">
        <v>-68002.29779000001</v>
      </c>
      <c r="P8" s="259" t="n">
        <v>-84785.38159999998</v>
      </c>
      <c r="Q8" s="259" t="n">
        <v>-87506.83861000002</v>
      </c>
      <c r="R8" s="259" t="n">
        <v>-106622.82616</v>
      </c>
      <c r="S8" s="259" t="n">
        <v>-99704.51765000001</v>
      </c>
      <c r="T8" s="259" t="n">
        <v>-115693.73817</v>
      </c>
      <c r="U8" s="259" t="n">
        <v>-105920.1879700001</v>
      </c>
      <c r="V8" s="259" t="n">
        <v>-125184.26102</v>
      </c>
      <c r="W8" s="259" t="n">
        <v>-124151.496</v>
      </c>
      <c r="X8" s="259" t="n">
        <v>-144978.32228</v>
      </c>
      <c r="Y8" s="259" t="n">
        <v>-134044.96459</v>
      </c>
      <c r="Z8" s="259" t="n">
        <v>-155555.51432</v>
      </c>
      <c r="AA8" s="259" t="n">
        <v>-148252.39474</v>
      </c>
      <c r="AB8" s="259" t="n">
        <v>-165984.03923</v>
      </c>
      <c r="AC8" s="259" t="n">
        <v>-158403.85519</v>
      </c>
      <c r="AD8" s="259" t="n">
        <v>-179758.73846</v>
      </c>
      <c r="AE8" s="259" t="n">
        <v>-170511.06317</v>
      </c>
      <c r="AF8" s="259" t="n">
        <v>-171.3</v>
      </c>
      <c r="AG8" s="259" t="n">
        <v>-1122</v>
      </c>
      <c r="AH8" s="259" t="n">
        <v>-6811</v>
      </c>
      <c r="AI8" s="259" t="n">
        <v>-5019</v>
      </c>
      <c r="AJ8" s="259" t="n">
        <v>-2802</v>
      </c>
    </row>
    <row r="9">
      <c r="G9" t="inlineStr">
        <is>
          <t>moeda</t>
        </is>
      </c>
      <c r="H9" t="inlineStr">
        <is>
          <t>Deduções da Receita Bruta (DRE l.8) - memoria (ponte receita bruta -&gt; liquida)</t>
        </is>
      </c>
      <c r="J9" t="inlineStr">
        <is>
          <t>memoria</t>
        </is>
      </c>
      <c r="K9" s="259" t="n">
        <v>-57597.88445000001</v>
      </c>
      <c r="L9" s="259" t="n">
        <v>-32049.86740999999</v>
      </c>
      <c r="M9" s="259" t="n">
        <v>-65430.03305000002</v>
      </c>
      <c r="N9" s="259" t="n">
        <v>-135517.03939</v>
      </c>
      <c r="O9" s="259" t="n">
        <v>-55597.95308000001</v>
      </c>
      <c r="P9" s="259" t="n">
        <v>-94814.32103000002</v>
      </c>
      <c r="Q9" s="259" t="n">
        <v>-73387.74477000002</v>
      </c>
      <c r="R9" s="259" t="n">
        <v>-152267.67077</v>
      </c>
      <c r="S9" s="259" t="n">
        <v>-73436.63814999997</v>
      </c>
      <c r="T9" s="259" t="n">
        <v>-117891.49545</v>
      </c>
      <c r="U9" s="259" t="n">
        <v>-88499.61856000006</v>
      </c>
      <c r="V9" s="259" t="n">
        <v>-176356.6680499999</v>
      </c>
      <c r="W9" s="259" t="n">
        <v>-95872.14527000001</v>
      </c>
      <c r="X9" s="259" t="n">
        <v>-142185.3049600001</v>
      </c>
      <c r="Y9" s="259" t="n">
        <v>-123930.3034999998</v>
      </c>
      <c r="Z9" s="259" t="n">
        <v>-239053.58589</v>
      </c>
      <c r="AA9" s="259" t="n">
        <v>-130268.34855</v>
      </c>
      <c r="AB9" s="259" t="n">
        <v>-180272.3709299999</v>
      </c>
      <c r="AC9" s="259" t="n">
        <v>-134505.24184</v>
      </c>
      <c r="AD9" s="259" t="n">
        <v>-249087.3200499999</v>
      </c>
      <c r="AE9" s="259" t="n">
        <v>-123411.05658</v>
      </c>
      <c r="AF9" s="259" t="n">
        <v>-208686.5</v>
      </c>
      <c r="AG9" s="259" t="n">
        <v>-140930.47238</v>
      </c>
      <c r="AH9" s="259" t="n">
        <v>-301690.6739999998</v>
      </c>
      <c r="AI9" s="259" t="n">
        <v>-156240.75604</v>
      </c>
      <c r="AJ9" s="259" t="n">
        <v>-238320.55088</v>
      </c>
    </row>
    <row r="10">
      <c r="A10" t="n">
        <v>1</v>
      </c>
      <c r="B10" t="n">
        <v>1</v>
      </c>
      <c r="G10" t="inlineStr">
        <is>
          <t>moeda</t>
        </is>
      </c>
      <c r="H10" t="inlineStr">
        <is>
          <t>Receita Líquida (DRE l.9)</t>
        </is>
      </c>
      <c r="J10" t="inlineStr">
        <is>
          <t>fonte</t>
        </is>
      </c>
      <c r="K10" s="259" t="n">
        <v>206231.35583</v>
      </c>
      <c r="L10" s="259" t="n">
        <v>137652.8067900001</v>
      </c>
      <c r="M10" s="259" t="n">
        <v>242626.0476699999</v>
      </c>
      <c r="N10" s="259" t="n">
        <v>461036.8308199998</v>
      </c>
      <c r="O10" s="259" t="n">
        <v>217730.0327099999</v>
      </c>
      <c r="P10" s="259" t="n">
        <v>361995.07971</v>
      </c>
      <c r="Q10" s="259" t="n">
        <v>337214.9792399999</v>
      </c>
      <c r="R10" s="259" t="n">
        <v>549446.7929299996</v>
      </c>
      <c r="S10" s="259" t="n">
        <v>337423.74598</v>
      </c>
      <c r="T10" s="259" t="n">
        <v>469390.2051</v>
      </c>
      <c r="U10" s="259" t="n">
        <v>392875.8882299992</v>
      </c>
      <c r="V10" s="259" t="n">
        <v>644045.2493700006</v>
      </c>
      <c r="W10" s="259" t="n">
        <v>391627.59567</v>
      </c>
      <c r="X10" s="259" t="n">
        <v>559909.2477099997</v>
      </c>
      <c r="Y10" s="259" t="n">
        <v>457310.6393099999</v>
      </c>
      <c r="Z10" s="259" t="n">
        <v>778127.2265800009</v>
      </c>
      <c r="AA10" s="259" t="n">
        <v>444590.4668000002</v>
      </c>
      <c r="AB10" s="259" t="n">
        <v>656322.0351099998</v>
      </c>
      <c r="AC10" s="259" t="n">
        <v>562899.5104200003</v>
      </c>
      <c r="AD10" s="259" t="n">
        <v>913301.1050300006</v>
      </c>
      <c r="AE10" s="259" t="n">
        <v>537080.7101900002</v>
      </c>
      <c r="AF10" s="259" t="n">
        <v>761021.3999999999</v>
      </c>
      <c r="AG10" s="259" t="n">
        <v>664502.5276200001</v>
      </c>
      <c r="AH10" s="259" t="n">
        <v>1063977.326</v>
      </c>
      <c r="AI10" s="259" t="n">
        <v>595512.24396</v>
      </c>
      <c r="AJ10" s="259" t="n">
        <v>833131.04452</v>
      </c>
    </row>
    <row r="11">
      <c r="A11" t="n">
        <v>2</v>
      </c>
      <c r="B11" t="n">
        <v>1</v>
      </c>
      <c r="G11" t="inlineStr">
        <is>
          <t>moeda</t>
        </is>
      </c>
      <c r="H11" t="inlineStr">
        <is>
          <t>(-) Custos dos Produtos Vendidos e serviços prestados (DRE l.10) (custo total, inclui D&amp;A da fabrica; devolvida abaixo)</t>
        </is>
      </c>
      <c r="J11" t="inlineStr">
        <is>
          <t>fonte</t>
        </is>
      </c>
      <c r="K11" s="259" t="n">
        <v>-76176.97045999998</v>
      </c>
      <c r="L11" s="259" t="n">
        <v>-47520.31918563342</v>
      </c>
      <c r="M11" s="259" t="n">
        <v>-78898.95842491408</v>
      </c>
      <c r="N11" s="259" t="n">
        <v>-150505.9560828742</v>
      </c>
      <c r="O11" s="259" t="n">
        <v>-75036.99786985651</v>
      </c>
      <c r="P11" s="259" t="n">
        <v>-115783.7209285614</v>
      </c>
      <c r="Q11" s="259" t="n">
        <v>-108788.2271735932</v>
      </c>
      <c r="R11" s="259" t="n">
        <v>-175299.7603667945</v>
      </c>
      <c r="S11" s="259" t="n">
        <v>-109272.4934900211</v>
      </c>
      <c r="T11" s="259" t="n">
        <v>-152282.1152376793</v>
      </c>
      <c r="U11" s="259" t="n">
        <v>-124054.1281920669</v>
      </c>
      <c r="V11" s="259" t="n">
        <v>-187918.7830416349</v>
      </c>
      <c r="W11" s="259" t="n">
        <v>-119042.0787129635</v>
      </c>
      <c r="X11" s="259" t="n">
        <v>-169811.2144438835</v>
      </c>
      <c r="Y11" s="259" t="n">
        <v>-148268.7901482596</v>
      </c>
      <c r="Z11" s="259" t="n">
        <v>-233741.9239178887</v>
      </c>
      <c r="AA11" s="259" t="n">
        <v>-141600.9287695531</v>
      </c>
      <c r="AB11" s="259" t="n">
        <v>-204560.886902167</v>
      </c>
      <c r="AC11" s="259" t="n">
        <v>-186189.8417799999</v>
      </c>
      <c r="AD11" s="259" t="n">
        <v>-234735</v>
      </c>
      <c r="AE11" s="259" t="n">
        <v>-172401.74935</v>
      </c>
      <c r="AF11" s="259" t="n">
        <v>-210813.6375000015</v>
      </c>
      <c r="AG11" s="259" t="n">
        <v>-190273.96909</v>
      </c>
      <c r="AH11" s="259" t="n">
        <v>-347981.8195199998</v>
      </c>
      <c r="AI11" s="259" t="n">
        <v>-179154.07794</v>
      </c>
      <c r="AJ11" s="259" t="n">
        <v>-234668.7524299988</v>
      </c>
    </row>
    <row r="12">
      <c r="A12" t="n">
        <v>3</v>
      </c>
      <c r="B12" t="n">
        <v>1</v>
      </c>
      <c r="G12" t="inlineStr">
        <is>
          <t>moeda</t>
        </is>
      </c>
      <c r="H12" t="inlineStr">
        <is>
          <t>(-) Despesas Operacionais (DRE l.19) (despesas operacionais totais: vendas + G&amp;A + D&amp;A + equivalencia + outras; D&amp;A devolvida abaixo)</t>
        </is>
      </c>
      <c r="J12" t="inlineStr">
        <is>
          <t>fonte</t>
        </is>
      </c>
      <c r="K12" s="259" t="n">
        <v>-109109.5319</v>
      </c>
      <c r="L12" s="259" t="n">
        <v>-94690.78840999916</v>
      </c>
      <c r="M12" s="259" t="n">
        <v>-121352.4094987008</v>
      </c>
      <c r="N12" s="259" t="n">
        <v>-187251.6251601893</v>
      </c>
      <c r="O12" s="259" t="n">
        <v>-133638.1668607045</v>
      </c>
      <c r="P12" s="259" t="n">
        <v>-158961.9521409738</v>
      </c>
      <c r="Q12" s="259" t="n">
        <v>-162342.2474571961</v>
      </c>
      <c r="R12" s="259" t="n">
        <v>-241848.9841925987</v>
      </c>
      <c r="S12" s="259" t="n">
        <v>-183649.8603191533</v>
      </c>
      <c r="T12" s="259" t="n">
        <v>-228622.83713262</v>
      </c>
      <c r="U12" s="259" t="n">
        <v>-205674.4240847074</v>
      </c>
      <c r="V12" s="259" t="n">
        <v>-275888.1186789323</v>
      </c>
      <c r="W12" s="259" t="n">
        <v>-224351.4813372674</v>
      </c>
      <c r="X12" s="259" t="n">
        <v>-263862.3495885829</v>
      </c>
      <c r="Y12" s="259" t="n">
        <v>-221823.2602502909</v>
      </c>
      <c r="Z12" s="259" t="n">
        <v>-355427.5021000002</v>
      </c>
      <c r="AA12" s="259" t="n">
        <v>-261643.339950259</v>
      </c>
      <c r="AB12" s="259" t="n">
        <v>-227861.5292481621</v>
      </c>
      <c r="AC12" s="259" t="n">
        <v>-270461.4817068998</v>
      </c>
      <c r="AD12" s="259" t="n">
        <v>-366474.2761097871</v>
      </c>
      <c r="AE12" s="259" t="n">
        <v>-274257.3396499998</v>
      </c>
      <c r="AF12" s="259" t="n">
        <v>-361588.8343299998</v>
      </c>
      <c r="AG12" s="259" t="n">
        <v>-270388.02086</v>
      </c>
      <c r="AH12" s="259" t="n">
        <v>-472552.9850500001</v>
      </c>
      <c r="AI12" s="259" t="n">
        <v>-325985.24433</v>
      </c>
      <c r="AJ12" s="259" t="n">
        <v>-398608.4785600004</v>
      </c>
    </row>
    <row r="13">
      <c r="A13" t="n">
        <v>5</v>
      </c>
      <c r="B13" t="n">
        <v>1</v>
      </c>
      <c r="G13" t="inlineStr">
        <is>
          <t>moeda</t>
        </is>
      </c>
      <c r="H13" t="inlineStr">
        <is>
          <t>Despesas Financeiras Líquidas (DRE l.42) (inclui juros de arrendamento IFRS16)</t>
        </is>
      </c>
      <c r="J13" t="inlineStr">
        <is>
          <t>fonte</t>
        </is>
      </c>
      <c r="K13" s="259" t="n">
        <v>-19053.55994</v>
      </c>
      <c r="L13" s="259" t="n">
        <v>-12305.98449</v>
      </c>
      <c r="M13" s="259" t="n">
        <v>-13047.45015999999</v>
      </c>
      <c r="N13" s="259" t="n">
        <v>-13154.35352</v>
      </c>
      <c r="O13" s="259" t="n">
        <v>-14242.17434</v>
      </c>
      <c r="P13" s="259" t="n">
        <v>-12971.19919</v>
      </c>
      <c r="Q13" s="259" t="n">
        <v>-15265.78060999999</v>
      </c>
      <c r="R13" s="259" t="n">
        <v>-20301.92289</v>
      </c>
      <c r="S13" s="259" t="n">
        <v>-21569.39919</v>
      </c>
      <c r="T13" s="259" t="n">
        <v>-20432.02229</v>
      </c>
      <c r="U13" s="259" t="n">
        <v>-21564.78387999999</v>
      </c>
      <c r="V13" s="259" t="n">
        <v>-21782.38503</v>
      </c>
      <c r="W13" s="259" t="n">
        <v>-23236.71796</v>
      </c>
      <c r="X13" s="259" t="n">
        <v>-18317.90668</v>
      </c>
      <c r="Y13" s="259" t="n">
        <v>-25500.88520999999</v>
      </c>
      <c r="Z13" s="259" t="n">
        <v>-23664.96527999999</v>
      </c>
      <c r="AA13" s="259" t="n">
        <v>-23210.82883</v>
      </c>
      <c r="AB13" s="259" t="n">
        <v>-22552.860174148</v>
      </c>
      <c r="AC13" s="259" t="n">
        <v>-23340</v>
      </c>
      <c r="AD13" s="259" t="n">
        <v>-31049</v>
      </c>
      <c r="AE13" s="259" t="n">
        <v>-28887.6</v>
      </c>
      <c r="AF13" s="259" t="n">
        <v>-38407</v>
      </c>
      <c r="AG13" s="259" t="n">
        <v>-46169</v>
      </c>
      <c r="AH13" s="259" t="n">
        <v>-63508</v>
      </c>
      <c r="AI13" s="259" t="n">
        <v>-44366</v>
      </c>
      <c r="AJ13" s="259" t="n">
        <v>-43310</v>
      </c>
    </row>
    <row r="14">
      <c r="A14" t="n">
        <v>5</v>
      </c>
      <c r="B14" t="n">
        <v>1</v>
      </c>
      <c r="G14" t="inlineStr">
        <is>
          <t>moeda</t>
        </is>
      </c>
      <c r="H14" t="inlineStr">
        <is>
          <t>Variações Cambiais Líquidas (DRE l.45) (variacao cambial liquida -&gt; despesa financeira)</t>
        </is>
      </c>
      <c r="J14" t="inlineStr">
        <is>
          <t>fonte</t>
        </is>
      </c>
      <c r="K14" s="259" t="n">
        <v>647.4194899999998</v>
      </c>
      <c r="L14" s="259" t="n">
        <v>-170.5419199999999</v>
      </c>
      <c r="M14" s="259" t="n">
        <v>-4481.220300000001</v>
      </c>
      <c r="N14" s="259" t="n">
        <v>-270.0239899999993</v>
      </c>
      <c r="O14" s="259" t="n">
        <v>113.84951</v>
      </c>
      <c r="P14" s="259" t="n">
        <v>98.46772999999997</v>
      </c>
      <c r="Q14" s="259" t="n">
        <v>-417.50701</v>
      </c>
      <c r="R14" s="259" t="n">
        <v>-4070.14628</v>
      </c>
      <c r="S14" s="259" t="n">
        <v>-208.8149800000002</v>
      </c>
      <c r="T14" s="259" t="n">
        <v>-1252.92269</v>
      </c>
      <c r="U14" s="259" t="n">
        <v>-1779.65334</v>
      </c>
      <c r="V14" s="259" t="n">
        <v>-726.8838899999996</v>
      </c>
      <c r="W14" s="259" t="n">
        <v>508.1100599999996</v>
      </c>
      <c r="X14" s="259" t="n">
        <v>2638.01547</v>
      </c>
      <c r="Y14" s="259" t="n">
        <v>1330.198700000002</v>
      </c>
      <c r="Z14" s="259" t="n">
        <v>438.8916399999989</v>
      </c>
      <c r="AA14" s="259" t="n">
        <v>-250.83481</v>
      </c>
      <c r="AB14" s="259" t="n">
        <v>-1864</v>
      </c>
      <c r="AC14" s="259" t="n">
        <v>-2614</v>
      </c>
      <c r="AD14" s="259" t="n">
        <v>-6746</v>
      </c>
      <c r="AE14" s="259" t="n">
        <v>358</v>
      </c>
      <c r="AF14" s="259" t="n">
        <v>-1298</v>
      </c>
      <c r="AG14" s="259" t="n">
        <v>-946</v>
      </c>
      <c r="AH14" s="259" t="n">
        <v>-8281</v>
      </c>
      <c r="AI14" s="259" t="n">
        <v>507</v>
      </c>
      <c r="AJ14" s="259" t="n">
        <v>-4564</v>
      </c>
    </row>
    <row r="15">
      <c r="A15" t="n">
        <v>6</v>
      </c>
      <c r="B15" t="n">
        <v>1</v>
      </c>
      <c r="G15" t="inlineStr">
        <is>
          <t>moeda</t>
        </is>
      </c>
      <c r="H15" t="inlineStr">
        <is>
          <t>Receitas Financeiras Líquidas (DRE l.41)</t>
        </is>
      </c>
      <c r="J15" t="inlineStr">
        <is>
          <t>fonte</t>
        </is>
      </c>
      <c r="K15" s="259" t="n">
        <v>4690.20354</v>
      </c>
      <c r="L15" s="259" t="n">
        <v>5961.62275</v>
      </c>
      <c r="M15" s="259" t="n">
        <v>5138.23361</v>
      </c>
      <c r="N15" s="259" t="n">
        <v>4503.756060000002</v>
      </c>
      <c r="O15" s="259" t="n">
        <v>5443.996450000001</v>
      </c>
      <c r="P15" s="259" t="n">
        <v>7053.031990000001</v>
      </c>
      <c r="Q15" s="259" t="n">
        <v>10528.97745</v>
      </c>
      <c r="R15" s="259" t="n">
        <v>12520.93706</v>
      </c>
      <c r="S15" s="259" t="n">
        <v>11991.96295</v>
      </c>
      <c r="T15" s="259" t="n">
        <v>11225.57667</v>
      </c>
      <c r="U15" s="259" t="n">
        <v>10532.82174</v>
      </c>
      <c r="V15" s="259" t="n">
        <v>10228.77582</v>
      </c>
      <c r="W15" s="259" t="n">
        <v>9113.304159999998</v>
      </c>
      <c r="X15" s="259" t="n">
        <v>6044.50589</v>
      </c>
      <c r="Y15" s="259" t="n">
        <v>14871.5901</v>
      </c>
      <c r="Z15" s="259" t="n">
        <v>5972.352640000008</v>
      </c>
      <c r="AA15" s="259" t="n">
        <v>7961.926670000001</v>
      </c>
      <c r="AB15" s="259" t="n">
        <v>27911.69262999999</v>
      </c>
      <c r="AC15" s="259" t="n">
        <v>11059.75449</v>
      </c>
      <c r="AD15" s="259" t="n">
        <v>7347</v>
      </c>
      <c r="AE15" s="259" t="n">
        <v>8717</v>
      </c>
      <c r="AF15" s="259" t="n">
        <v>6297</v>
      </c>
      <c r="AG15" s="259" t="n">
        <v>18529</v>
      </c>
      <c r="AH15" s="259" t="n">
        <v>15074</v>
      </c>
      <c r="AI15" s="259" t="n">
        <v>8001</v>
      </c>
      <c r="AJ15" s="259" t="n">
        <v>11195</v>
      </c>
    </row>
    <row r="16">
      <c r="A16" t="n">
        <v>7</v>
      </c>
      <c r="B16" t="n">
        <v>1</v>
      </c>
      <c r="G16" t="inlineStr">
        <is>
          <t>moeda</t>
        </is>
      </c>
      <c r="H16" t="inlineStr">
        <is>
          <t>Imposto de Renda e Contribuição Social (DRE l.47)</t>
        </is>
      </c>
      <c r="J16" t="inlineStr">
        <is>
          <t>fonte</t>
        </is>
      </c>
      <c r="K16" s="259" t="n">
        <v>4761.5923074</v>
      </c>
      <c r="L16" s="259" t="n">
        <v>6619.038647883336</v>
      </c>
      <c r="M16" s="259" t="n">
        <v>602.9493166666664</v>
      </c>
      <c r="N16" s="259" t="n">
        <v>-28848.20834553333</v>
      </c>
      <c r="O16" s="259" t="n">
        <v>3542.321808990555</v>
      </c>
      <c r="P16" s="259" t="n">
        <v>227.1205174421053</v>
      </c>
      <c r="Q16" s="259" t="n">
        <v>25328</v>
      </c>
      <c r="R16" s="259" t="n">
        <v>6681.831841994068</v>
      </c>
      <c r="S16" s="259" t="n">
        <v>11206.51873493872</v>
      </c>
      <c r="T16" s="259" t="n">
        <v>11026.14876208226</v>
      </c>
      <c r="U16" s="259" t="n">
        <v>17791.67244990303</v>
      </c>
      <c r="V16" s="259" t="n">
        <v>-10204.5227944095</v>
      </c>
      <c r="W16" s="259" t="n">
        <v>3952.435155199997</v>
      </c>
      <c r="X16" s="259" t="n">
        <v>-6615.992215199992</v>
      </c>
      <c r="Y16" s="259" t="n">
        <v>-1380.645000000007</v>
      </c>
      <c r="Z16" s="259" t="n">
        <v>-15677.79794</v>
      </c>
      <c r="AA16" s="259" t="n">
        <v>9962.723880502723</v>
      </c>
      <c r="AB16" s="259" t="n">
        <v>-16433.6</v>
      </c>
      <c r="AC16" s="259" t="n">
        <v>15811.04642</v>
      </c>
      <c r="AD16" s="259" t="n">
        <v>17814.99177999999</v>
      </c>
      <c r="AE16" s="259" t="n">
        <v>44429.13763</v>
      </c>
      <c r="AF16" s="259" t="n">
        <v>-4121.603310000018</v>
      </c>
      <c r="AG16" s="259" t="n">
        <v>595</v>
      </c>
      <c r="AH16" s="259" t="n">
        <v>-9199.28374000005</v>
      </c>
      <c r="AI16" s="259" t="n">
        <v>26280.22173</v>
      </c>
      <c r="AJ16" s="259" t="n">
        <v>-11509.96231</v>
      </c>
    </row>
    <row r="17">
      <c r="G17" t="inlineStr">
        <is>
          <t>moeda</t>
        </is>
      </c>
      <c r="H17" t="inlineStr">
        <is>
          <t>Custo de aquisição de insumos e matérias-primas (DRE l.11) - memoria</t>
        </is>
      </c>
      <c r="J17" t="inlineStr">
        <is>
          <t>memoria</t>
        </is>
      </c>
      <c r="K17" s="259" t="n">
        <v>-61578.95079999998</v>
      </c>
      <c r="L17" s="259" t="n">
        <v>-41350.50624563341</v>
      </c>
      <c r="M17" s="259" t="n">
        <v>-67170.68358491408</v>
      </c>
      <c r="N17" s="259" t="n">
        <v>-134401.8333128741</v>
      </c>
      <c r="O17" s="259" t="n">
        <v>-67698.99786985651</v>
      </c>
      <c r="P17" s="259" t="n">
        <v>-106243.7209285614</v>
      </c>
      <c r="Q17" s="259" t="n">
        <v>-97593.2271735932</v>
      </c>
      <c r="R17" s="259" t="n">
        <v>-162617.7603667945</v>
      </c>
      <c r="S17" s="259" t="n">
        <v>-95593.48093002112</v>
      </c>
      <c r="T17" s="259" t="n">
        <v>-134277.7008076793</v>
      </c>
      <c r="U17" s="259" t="n">
        <v>-107851.1359820669</v>
      </c>
      <c r="V17" s="259" t="n">
        <v>-170548.5647816349</v>
      </c>
      <c r="W17" s="259" t="n">
        <v>-101801.9380429635</v>
      </c>
      <c r="X17" s="259" t="n">
        <v>-148959.9853738835</v>
      </c>
      <c r="Y17" s="259" t="n">
        <v>-128956.2742882596</v>
      </c>
      <c r="Z17" s="259" t="n">
        <v>-215251.0056678887</v>
      </c>
      <c r="AA17" s="259" t="n">
        <v>-120993.4535395531</v>
      </c>
      <c r="AB17" s="259" t="n">
        <v>-179344.657362167</v>
      </c>
      <c r="AC17" s="259" t="n">
        <v>-156994.8957599999</v>
      </c>
      <c r="AD17" s="259" t="n">
        <v>-243089</v>
      </c>
      <c r="AE17" s="259" t="n">
        <v>-165672.79929</v>
      </c>
      <c r="AF17" s="259" t="n">
        <v>-200899.2655100015</v>
      </c>
      <c r="AG17" s="259" t="n">
        <v>-184149.5</v>
      </c>
      <c r="AH17" s="259" t="n">
        <v>-350001.2157299998</v>
      </c>
      <c r="AI17" s="259" t="n">
        <v>-176282</v>
      </c>
      <c r="AJ17" s="259" t="n">
        <v>-227593.4527499987</v>
      </c>
    </row>
    <row r="18">
      <c r="G18" t="inlineStr">
        <is>
          <t>moeda</t>
        </is>
      </c>
      <c r="H18" t="inlineStr">
        <is>
          <t>Custos da Fábrica (DRE l.12) - memoria</t>
        </is>
      </c>
      <c r="J18" t="inlineStr">
        <is>
          <t>memoria</t>
        </is>
      </c>
      <c r="K18" s="259" t="n">
        <v>-7020.572699999999</v>
      </c>
      <c r="L18" s="259" t="n">
        <v>-2786.369589999999</v>
      </c>
      <c r="M18" s="259" t="n">
        <v>-5559.50572</v>
      </c>
      <c r="N18" s="259" t="n">
        <v>-7671.70561</v>
      </c>
      <c r="O18" s="259" t="n">
        <v>-7338</v>
      </c>
      <c r="P18" s="259" t="n">
        <v>-9540</v>
      </c>
      <c r="Q18" s="259" t="n">
        <v>-11195</v>
      </c>
      <c r="R18" s="259" t="n">
        <v>-12682</v>
      </c>
      <c r="S18" s="259" t="n">
        <v>-12607.0238</v>
      </c>
      <c r="T18" s="259" t="n">
        <v>-16611.284</v>
      </c>
      <c r="U18" s="259" t="n">
        <v>-14643.86987999999</v>
      </c>
      <c r="V18" s="259" t="n">
        <v>-15791.93770000001</v>
      </c>
      <c r="W18" s="259" t="n">
        <v>-15614.00089000001</v>
      </c>
      <c r="X18" s="259" t="n">
        <v>-19141.03094</v>
      </c>
      <c r="Y18" s="259" t="n">
        <v>-17526.63725</v>
      </c>
      <c r="Z18" s="259" t="n">
        <v>-16673.18957</v>
      </c>
      <c r="AA18" s="259" t="n">
        <v>-17475.83953</v>
      </c>
      <c r="AB18" s="259" t="n">
        <v>-22030.3092</v>
      </c>
      <c r="AC18" s="259" t="n">
        <v>-26001.99169</v>
      </c>
      <c r="AD18" s="259" t="n">
        <v>4184</v>
      </c>
      <c r="AE18" s="259" t="n">
        <v>-6444.288619999994</v>
      </c>
      <c r="AF18" s="259" t="n">
        <v>-9372.37199</v>
      </c>
      <c r="AG18" s="259" t="n">
        <v>-5815.867850000021</v>
      </c>
      <c r="AH18" s="259" t="n">
        <v>2519.49932</v>
      </c>
      <c r="AI18" s="259" t="n">
        <v>-2724</v>
      </c>
      <c r="AJ18" s="259" t="n">
        <v>-6457.460320000017</v>
      </c>
    </row>
    <row r="19">
      <c r="G19" t="inlineStr">
        <is>
          <t>moeda</t>
        </is>
      </c>
      <c r="H19" t="inlineStr">
        <is>
          <t>Depreciação e amortização (DRE l.15) - memoria</t>
        </is>
      </c>
      <c r="J19" t="inlineStr">
        <is>
          <t>memoria</t>
        </is>
      </c>
      <c r="K19" s="259" t="n">
        <v>-556.87426</v>
      </c>
      <c r="L19" s="259" t="n">
        <v>-597.07376</v>
      </c>
      <c r="M19" s="259" t="n">
        <v>-609.2633999999999</v>
      </c>
      <c r="N19" s="259" t="n">
        <v>-760.7115500000003</v>
      </c>
      <c r="O19" s="259" t="n">
        <v>-713.7053900000006</v>
      </c>
      <c r="P19" s="259" t="n">
        <v>-798.08246</v>
      </c>
      <c r="Q19" s="259" t="n">
        <v>-812.41113</v>
      </c>
      <c r="R19" s="259" t="n">
        <v>-907.9697300000005</v>
      </c>
      <c r="S19" s="259" t="n">
        <v>-1071.98876</v>
      </c>
      <c r="T19" s="259" t="n">
        <v>-1393.13043</v>
      </c>
      <c r="U19" s="259" t="n">
        <v>-1559.12233</v>
      </c>
      <c r="V19" s="259" t="n">
        <v>-1578.280559999992</v>
      </c>
      <c r="W19" s="259" t="n">
        <v>-1626.139780000018</v>
      </c>
      <c r="X19" s="259" t="n">
        <v>-1710.19813</v>
      </c>
      <c r="Y19" s="259" t="n">
        <v>-1785.87861</v>
      </c>
      <c r="Z19" s="259" t="n">
        <v>-1817.728680000001</v>
      </c>
      <c r="AA19" s="259" t="n">
        <v>-3131.6357</v>
      </c>
      <c r="AB19" s="259" t="n">
        <v>-3185.920340000001</v>
      </c>
      <c r="AC19" s="259" t="n">
        <v>-3192.954330000001</v>
      </c>
      <c r="AD19" s="259" t="n">
        <v>4170</v>
      </c>
      <c r="AE19" s="259" t="n">
        <v>-284.6614399999999</v>
      </c>
      <c r="AF19" s="259" t="n">
        <v>-542</v>
      </c>
      <c r="AG19" s="259" t="n">
        <v>-308.6012400000002</v>
      </c>
      <c r="AH19" s="259" t="n">
        <v>-501.10311</v>
      </c>
      <c r="AI19" s="259" t="n">
        <v>-148.0779399999996</v>
      </c>
      <c r="AJ19" s="259" t="n">
        <v>-617.8393599999997</v>
      </c>
    </row>
    <row r="20">
      <c r="G20" t="inlineStr">
        <is>
          <t>moeda</t>
        </is>
      </c>
      <c r="H20" t="inlineStr">
        <is>
          <t>Vendas (DRE l.20) - memoria</t>
        </is>
      </c>
      <c r="J20" t="inlineStr">
        <is>
          <t>memoria</t>
        </is>
      </c>
      <c r="K20" s="259" t="n">
        <v>-78788.25594999998</v>
      </c>
      <c r="L20" s="259" t="n">
        <v>-51943.20895999915</v>
      </c>
      <c r="M20" s="259" t="n">
        <v>-78955.89960870077</v>
      </c>
      <c r="N20" s="259" t="n">
        <v>-121991.9256901893</v>
      </c>
      <c r="O20" s="259" t="n">
        <v>-84919.5010500005</v>
      </c>
      <c r="P20" s="259" t="n">
        <v>-108673.1732069988</v>
      </c>
      <c r="Q20" s="259" t="n">
        <v>-104366.4527799322</v>
      </c>
      <c r="R20" s="259" t="n">
        <v>-159415.1970035937</v>
      </c>
      <c r="S20" s="259" t="n">
        <v>-113828.5590073562</v>
      </c>
      <c r="T20" s="259" t="n">
        <v>-150432.6053745259</v>
      </c>
      <c r="U20" s="259" t="n">
        <v>-130214.4066456733</v>
      </c>
      <c r="V20" s="259" t="n">
        <v>-194964.6218400003</v>
      </c>
      <c r="W20" s="259" t="n">
        <v>-135062.162124507</v>
      </c>
      <c r="X20" s="259" t="n">
        <v>-185379.003300044</v>
      </c>
      <c r="Y20" s="259" t="n">
        <v>-162237.5370884949</v>
      </c>
      <c r="Z20" s="259" t="n">
        <v>-255699.5893100001</v>
      </c>
      <c r="AA20" s="259" t="n">
        <v>-175006.98364692</v>
      </c>
      <c r="AB20" s="259" t="n">
        <v>-224415.717226622</v>
      </c>
      <c r="AC20" s="259" t="n">
        <v>-179434.0643432809</v>
      </c>
      <c r="AD20" s="259" t="n">
        <v>-281304.3797801673</v>
      </c>
      <c r="AE20" s="259" t="n">
        <v>-183743.4899199998</v>
      </c>
      <c r="AF20" s="259" t="n">
        <v>-256991.0138799999</v>
      </c>
      <c r="AG20" s="259" t="n">
        <v>-214011.60074</v>
      </c>
      <c r="AH20" s="259" t="n">
        <v>-345734</v>
      </c>
      <c r="AI20" s="259" t="n">
        <v>-224730.42362</v>
      </c>
      <c r="AJ20" s="259" t="n">
        <v>-293962.7831300004</v>
      </c>
    </row>
    <row r="21">
      <c r="G21" t="inlineStr">
        <is>
          <t>moeda</t>
        </is>
      </c>
      <c r="H21" t="inlineStr">
        <is>
          <t>Pessoal (DRE l.21) - memoria</t>
        </is>
      </c>
      <c r="J21" t="inlineStr">
        <is>
          <t>memoria</t>
        </is>
      </c>
      <c r="K21" s="259" t="n">
        <v>-42509.61086999997</v>
      </c>
      <c r="L21" s="259" t="n">
        <v>-20902.17756999996</v>
      </c>
      <c r="M21" s="259" t="n">
        <v>-35478.22384999999</v>
      </c>
      <c r="N21" s="259" t="n">
        <v>-59960.12576000011</v>
      </c>
      <c r="O21" s="259" t="n">
        <v>-42069.83659999997</v>
      </c>
      <c r="P21" s="259" t="n">
        <v>-52710.39012000003</v>
      </c>
      <c r="Q21" s="259" t="n">
        <v>-48925.17205000001</v>
      </c>
      <c r="R21" s="259" t="n">
        <v>-81177.51776000008</v>
      </c>
      <c r="S21" s="259" t="n">
        <v>-55294.46850000018</v>
      </c>
      <c r="T21" s="259" t="n">
        <v>-72037.94278999993</v>
      </c>
      <c r="U21" s="259" t="n">
        <v>-63559.26640000002</v>
      </c>
      <c r="V21" s="259" t="n">
        <v>-93827.98116000008</v>
      </c>
      <c r="W21" s="259" t="n">
        <v>-61792.69807000002</v>
      </c>
      <c r="X21" s="259" t="n">
        <v>-99056.04959999995</v>
      </c>
      <c r="Y21" s="259" t="n">
        <v>-82100.47188</v>
      </c>
      <c r="Z21" s="259" t="n">
        <v>-134821.69356</v>
      </c>
      <c r="AA21" s="259" t="n">
        <v>-92474.07281000009</v>
      </c>
      <c r="AB21" s="259" t="n">
        <v>-125089.1662499999</v>
      </c>
      <c r="AC21" s="259" t="n">
        <v>-102238.251402368</v>
      </c>
      <c r="AD21" s="259" t="n">
        <v>-156839.1261857857</v>
      </c>
      <c r="AE21" s="259" t="n">
        <v>-103090.3700999998</v>
      </c>
      <c r="AF21" s="259" t="n">
        <v>-131326.8035399999</v>
      </c>
      <c r="AG21" s="259" t="n">
        <v>-113380.48226</v>
      </c>
      <c r="AH21" s="259" t="n">
        <v>-172933</v>
      </c>
      <c r="AI21" s="259" t="n">
        <v>-118326.1311</v>
      </c>
      <c r="AJ21" s="259" t="n">
        <v>-157814.6370600004</v>
      </c>
    </row>
    <row r="22">
      <c r="G22" t="inlineStr">
        <is>
          <t>moeda</t>
        </is>
      </c>
      <c r="H22" t="inlineStr">
        <is>
          <t>Aluguéis e condomínios (DRE l.22) - memoria</t>
        </is>
      </c>
      <c r="J22" t="inlineStr">
        <is>
          <t>memoria</t>
        </is>
      </c>
      <c r="K22" s="259" t="n">
        <v>-10606.19182999998</v>
      </c>
      <c r="L22" s="259" t="n">
        <v>-5888.838049999997</v>
      </c>
      <c r="M22" s="259" t="n">
        <v>-9939.821850000006</v>
      </c>
      <c r="N22" s="259" t="n">
        <v>-8833.061639999985</v>
      </c>
      <c r="O22" s="259" t="n">
        <v>-9431.16179000008</v>
      </c>
      <c r="P22" s="259" t="n">
        <v>-14033.70562</v>
      </c>
      <c r="Q22" s="259" t="n">
        <v>-11972.64552000005</v>
      </c>
      <c r="R22" s="259" t="n">
        <v>-10220.10380000005</v>
      </c>
      <c r="S22" s="259" t="n">
        <v>-11752.90719000002</v>
      </c>
      <c r="T22" s="259" t="n">
        <v>-16576.08417</v>
      </c>
      <c r="U22" s="259" t="n">
        <v>-14650.94059000001</v>
      </c>
      <c r="V22" s="259" t="n">
        <v>-15684.75222000001</v>
      </c>
      <c r="W22" s="259" t="n">
        <v>-15029.69412000003</v>
      </c>
      <c r="X22" s="259" t="n">
        <v>-19315.87028000002</v>
      </c>
      <c r="Y22" s="259" t="n">
        <v>-16385.83931000001</v>
      </c>
      <c r="Z22" s="259" t="n">
        <v>-20637.26515000001</v>
      </c>
      <c r="AA22" s="259" t="n">
        <v>-17783.9189</v>
      </c>
      <c r="AB22" s="259" t="n">
        <v>-25543.71078000007</v>
      </c>
      <c r="AC22" s="259" t="n">
        <v>-22608.87151687498</v>
      </c>
      <c r="AD22" s="259" t="n">
        <v>-30040.81115726399</v>
      </c>
      <c r="AE22" s="259" t="n">
        <v>-20837.84204</v>
      </c>
      <c r="AF22" s="259" t="n">
        <v>-27678.37930999997</v>
      </c>
      <c r="AG22" s="259" t="n">
        <v>-23306.47263000002</v>
      </c>
      <c r="AH22" s="259" t="n">
        <v>-35363</v>
      </c>
      <c r="AI22" s="259" t="n">
        <v>-25699.17519</v>
      </c>
      <c r="AJ22" s="259" t="n">
        <v>-32602.82073000001</v>
      </c>
    </row>
    <row r="23">
      <c r="G23" t="inlineStr">
        <is>
          <t>moeda</t>
        </is>
      </c>
      <c r="H23" t="inlineStr">
        <is>
          <t>Comissão sobre Cartões (DRE l.25) - memoria</t>
        </is>
      </c>
      <c r="J23" t="inlineStr">
        <is>
          <t>memoria</t>
        </is>
      </c>
      <c r="K23" s="259" t="n">
        <v>-4113.835750000005</v>
      </c>
      <c r="L23" s="259" t="n">
        <v>-2763.175830000001</v>
      </c>
      <c r="M23" s="259" t="n">
        <v>-4469.97489</v>
      </c>
      <c r="N23" s="259" t="n">
        <v>-10807.69449000001</v>
      </c>
      <c r="O23" s="259" t="n">
        <v>-4641.04692</v>
      </c>
      <c r="P23" s="259" t="n">
        <v>-8376.83213999988</v>
      </c>
      <c r="Q23" s="259" t="n">
        <v>-7262.952740000051</v>
      </c>
      <c r="R23" s="259" t="n">
        <v>-12949.11375999999</v>
      </c>
      <c r="S23" s="259" t="n">
        <v>-7720.2659</v>
      </c>
      <c r="T23" s="259" t="n">
        <v>-11528.36799</v>
      </c>
      <c r="U23" s="259" t="n">
        <v>-9422.711670000001</v>
      </c>
      <c r="V23" s="259" t="n">
        <v>-16316.61920000007</v>
      </c>
      <c r="W23" s="259" t="n">
        <v>-9545.843080000001</v>
      </c>
      <c r="X23" s="259" t="n">
        <v>-14190.28684</v>
      </c>
      <c r="Y23" s="259" t="n">
        <v>-11574.8585</v>
      </c>
      <c r="Z23" s="259" t="n">
        <v>-20107.23377</v>
      </c>
      <c r="AA23" s="259" t="n">
        <v>-11191.93199</v>
      </c>
      <c r="AB23" s="259" t="n">
        <v>-16396.20471000001</v>
      </c>
      <c r="AC23" s="259" t="n">
        <v>-14059.7686</v>
      </c>
      <c r="AD23" s="259" t="n">
        <v>-23215.46153102969</v>
      </c>
      <c r="AE23" s="259" t="n">
        <v>-11729.01068</v>
      </c>
      <c r="AF23" s="259" t="n">
        <v>-17527.32933999999</v>
      </c>
      <c r="AG23" s="259" t="n">
        <v>-14313.55766</v>
      </c>
      <c r="AH23" s="259" t="n">
        <v>-24154</v>
      </c>
      <c r="AI23" s="259" t="n">
        <v>-13091.93101</v>
      </c>
      <c r="AJ23" s="259" t="n">
        <v>-19123.60299000001</v>
      </c>
    </row>
    <row r="24">
      <c r="G24" t="inlineStr">
        <is>
          <t>moeda</t>
        </is>
      </c>
      <c r="H24" t="inlineStr">
        <is>
          <t>Despesas com Marketing (DRE l.27) - memoria</t>
        </is>
      </c>
      <c r="J24" t="inlineStr">
        <is>
          <t>memoria</t>
        </is>
      </c>
      <c r="K24" s="259" t="n">
        <v>-8484.207089999996</v>
      </c>
      <c r="L24" s="259" t="n">
        <v>-17034.87007000001</v>
      </c>
      <c r="M24" s="259" t="n">
        <v>-11561.49791999999</v>
      </c>
      <c r="N24" s="259" t="n">
        <v>-26548.38361999999</v>
      </c>
      <c r="O24" s="259" t="n">
        <v>-12707.25516</v>
      </c>
      <c r="P24" s="259" t="n">
        <v>-16766.0396</v>
      </c>
      <c r="Q24" s="259" t="n">
        <v>-17741.71576</v>
      </c>
      <c r="R24" s="259" t="n">
        <v>-29054.22029</v>
      </c>
      <c r="S24" s="259" t="n">
        <v>-18745.30464</v>
      </c>
      <c r="T24" s="259" t="n">
        <v>-23217.73056</v>
      </c>
      <c r="U24" s="259" t="n">
        <v>-20371.30643</v>
      </c>
      <c r="V24" s="259" t="n">
        <v>-44758.62841000003</v>
      </c>
      <c r="W24" s="259" t="n">
        <v>-20584.91708999998</v>
      </c>
      <c r="X24" s="259" t="n">
        <v>-23970.72923000001</v>
      </c>
      <c r="Y24" s="259" t="n">
        <v>-25863.49723999998</v>
      </c>
      <c r="Z24" s="259" t="n">
        <v>-40199.19134</v>
      </c>
      <c r="AA24" s="259" t="n">
        <v>-23368.69216999999</v>
      </c>
      <c r="AB24" s="259" t="n">
        <v>-26564.73276000002</v>
      </c>
      <c r="AC24" s="259" t="n">
        <v>-13916.97996999999</v>
      </c>
      <c r="AD24" s="259" t="n">
        <v>-33302.35803320001</v>
      </c>
      <c r="AE24" s="259" t="n">
        <v>-19844.11991</v>
      </c>
      <c r="AF24" s="259" t="n">
        <v>-31527.10569</v>
      </c>
      <c r="AG24" s="259" t="n">
        <v>-25019.95226999999</v>
      </c>
      <c r="AH24" s="259" t="n">
        <v>-47559</v>
      </c>
      <c r="AI24" s="259" t="n">
        <v>-27625.3658</v>
      </c>
      <c r="AJ24" s="259" t="n">
        <v>-39238.51088999998</v>
      </c>
    </row>
    <row r="25">
      <c r="G25" t="inlineStr">
        <is>
          <t>moeda</t>
        </is>
      </c>
      <c r="H25" t="inlineStr">
        <is>
          <t>Gerais e Administrativas (DRE l.29) - memoria</t>
        </is>
      </c>
      <c r="J25" t="inlineStr">
        <is>
          <t>memoria</t>
        </is>
      </c>
      <c r="K25" s="259" t="n">
        <v>-31204.65183000002</v>
      </c>
      <c r="L25" s="259" t="n">
        <v>-28637.91112000001</v>
      </c>
      <c r="M25" s="259" t="n">
        <v>-24735.58634999999</v>
      </c>
      <c r="N25" s="259" t="n">
        <v>-46965.56775</v>
      </c>
      <c r="O25" s="259" t="n">
        <v>-32621.99181070399</v>
      </c>
      <c r="P25" s="259" t="n">
        <v>-32790.57347397502</v>
      </c>
      <c r="Q25" s="259" t="n">
        <v>-40290.26062726398</v>
      </c>
      <c r="R25" s="259" t="n">
        <v>-55778.18789900502</v>
      </c>
      <c r="S25" s="259" t="n">
        <v>-42340.36635179717</v>
      </c>
      <c r="T25" s="259" t="n">
        <v>-49481.38483809408</v>
      </c>
      <c r="U25" s="259" t="n">
        <v>-45889.92279903402</v>
      </c>
      <c r="V25" s="259" t="n">
        <v>-57459.40233893187</v>
      </c>
      <c r="W25" s="259" t="n">
        <v>-58341.52976275994</v>
      </c>
      <c r="X25" s="259" t="n">
        <v>-48063.612938539</v>
      </c>
      <c r="Y25" s="259" t="n">
        <v>-45958.09482179595</v>
      </c>
      <c r="Z25" s="259" t="n">
        <v>-66532.94063000004</v>
      </c>
      <c r="AA25" s="259" t="n">
        <v>-46793.042413339</v>
      </c>
      <c r="AB25" s="259" t="n">
        <v>-46922.02276154006</v>
      </c>
      <c r="AC25" s="259" t="n">
        <v>-48954.02858999999</v>
      </c>
      <c r="AD25" s="259" t="n">
        <v>-56937.42706212799</v>
      </c>
      <c r="AE25" s="259" t="n">
        <v>-50415.13317</v>
      </c>
      <c r="AF25" s="259" t="n">
        <v>-60127.59118999999</v>
      </c>
      <c r="AG25" s="259" t="n">
        <v>-50670.48895</v>
      </c>
      <c r="AH25" s="259" t="n">
        <v>-55597.73598</v>
      </c>
      <c r="AI25" s="259" t="n">
        <v>-55924.18172999999</v>
      </c>
      <c r="AJ25" s="259" t="n">
        <v>-60705.78413</v>
      </c>
    </row>
    <row r="26">
      <c r="G26" t="inlineStr">
        <is>
          <t>moeda</t>
        </is>
      </c>
      <c r="H26" t="inlineStr">
        <is>
          <t>Depreciações e Amortizações (DRE l.34) - memoria</t>
        </is>
      </c>
      <c r="J26" t="inlineStr">
        <is>
          <t>memoria</t>
        </is>
      </c>
      <c r="K26" s="259" t="n">
        <v>-12899.35144000001</v>
      </c>
      <c r="L26" s="259" t="n">
        <v>-13690.33057999999</v>
      </c>
      <c r="M26" s="259" t="n">
        <v>-15039.8355</v>
      </c>
      <c r="N26" s="259" t="n">
        <v>-14119.30441</v>
      </c>
      <c r="O26" s="259" t="n">
        <v>-15230.43227</v>
      </c>
      <c r="P26" s="259" t="n">
        <v>-16692.48</v>
      </c>
      <c r="Q26" s="259" t="n">
        <v>-16777.66473</v>
      </c>
      <c r="R26" s="259" t="n">
        <v>-19897.27279</v>
      </c>
      <c r="S26" s="259" t="n">
        <v>-25336.56065999999</v>
      </c>
      <c r="T26" s="259" t="n">
        <v>-24317.06681999999</v>
      </c>
      <c r="U26" s="259" t="n">
        <v>-29814.19235999999</v>
      </c>
      <c r="V26" s="259" t="n">
        <v>-28855.55012000015</v>
      </c>
      <c r="W26" s="259" t="n">
        <v>-30258.95994000048</v>
      </c>
      <c r="X26" s="259" t="n">
        <v>-30474.59554999999</v>
      </c>
      <c r="Y26" s="259" t="n">
        <v>-32091.95762999998</v>
      </c>
      <c r="Z26" s="259" t="n">
        <v>-34319.46355000001</v>
      </c>
      <c r="AA26" s="259" t="n">
        <v>-35651.43523999998</v>
      </c>
      <c r="AB26" s="259" t="n">
        <v>-37735.16642</v>
      </c>
      <c r="AC26" s="259" t="n">
        <v>-40252.76574361892</v>
      </c>
      <c r="AD26" s="259" t="n">
        <v>-30662.400627492</v>
      </c>
      <c r="AE26" s="259" t="n">
        <v>-38115.42185999999</v>
      </c>
      <c r="AF26" s="259" t="n">
        <v>-37932.77302999999</v>
      </c>
      <c r="AG26" s="259" t="n">
        <v>-36806.43116</v>
      </c>
      <c r="AH26" s="259" t="n">
        <v>-38345</v>
      </c>
      <c r="AI26" s="259" t="n">
        <v>-38590.82987000002</v>
      </c>
      <c r="AJ26" s="259" t="n">
        <v>-38781.62208000004</v>
      </c>
    </row>
    <row r="27">
      <c r="G27" t="inlineStr">
        <is>
          <t>moeda</t>
        </is>
      </c>
      <c r="H27" t="inlineStr">
        <is>
          <t>Depreciação e amortização - Direito de Uso (IFRS16) (DRE l.36) - memoria</t>
        </is>
      </c>
      <c r="J27" t="inlineStr">
        <is>
          <t>memoria</t>
        </is>
      </c>
      <c r="K27" s="259" t="n">
        <v>-8358.69455</v>
      </c>
      <c r="L27" s="259" t="n">
        <v>-8816.717629999992</v>
      </c>
      <c r="M27" s="259" t="n">
        <v>-9921.940000000001</v>
      </c>
      <c r="N27" s="259" t="n">
        <v>-9188.078040000008</v>
      </c>
      <c r="O27" s="259" t="n">
        <v>-10367.1318</v>
      </c>
      <c r="P27" s="259" t="n">
        <v>-11358.74409</v>
      </c>
      <c r="Q27" s="259" t="n">
        <v>-12188.02686</v>
      </c>
      <c r="R27" s="259" t="n">
        <v>-13929.44833</v>
      </c>
      <c r="S27" s="259" t="n">
        <v>-15238.59219999999</v>
      </c>
      <c r="T27" s="259" t="n">
        <v>-16217.06762999999</v>
      </c>
      <c r="U27" s="259" t="n">
        <v>-20965.58785999998</v>
      </c>
      <c r="V27" s="259" t="n">
        <v>-18547.22654</v>
      </c>
      <c r="W27" s="259" t="n">
        <v>-19214.82953</v>
      </c>
      <c r="X27" s="259" t="n">
        <v>-19191.98439999999</v>
      </c>
      <c r="Y27" s="259" t="n">
        <v>-20135.01476999999</v>
      </c>
      <c r="Z27" s="259" t="n">
        <v>-20652.35313</v>
      </c>
      <c r="AA27" s="259" t="n">
        <v>-21219.23978</v>
      </c>
      <c r="AB27" s="259" t="n">
        <v>-21320.458</v>
      </c>
      <c r="AC27" s="259" t="n">
        <v>-21877.60138361893</v>
      </c>
      <c r="AD27" s="259" t="n">
        <v>-21510.82620211805</v>
      </c>
      <c r="AE27" s="259" t="n">
        <v>-19390.704</v>
      </c>
      <c r="AF27" s="259" t="n">
        <v>-21681</v>
      </c>
      <c r="AG27" s="259" t="n">
        <v>-20611.45239</v>
      </c>
      <c r="AH27" s="259" t="n">
        <v>-21763</v>
      </c>
      <c r="AI27" s="259" t="n">
        <v>-21848.46737000002</v>
      </c>
      <c r="AJ27" s="259" t="n">
        <v>-22057.75256000004</v>
      </c>
    </row>
    <row r="28">
      <c r="G28" t="inlineStr">
        <is>
          <t>moeda</t>
        </is>
      </c>
      <c r="H28" t="inlineStr">
        <is>
          <t>Resultado de Equivalência Patrimonial (DRE l.37) - memoria</t>
        </is>
      </c>
      <c r="J28" t="inlineStr">
        <is>
          <t>memoria</t>
        </is>
      </c>
      <c r="K28" s="259" t="n">
        <v>0</v>
      </c>
      <c r="L28" s="259" t="n">
        <v>0</v>
      </c>
      <c r="M28" s="259" t="n">
        <v>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G29" t="inlineStr">
        <is>
          <t>moeda</t>
        </is>
      </c>
      <c r="H29" t="inlineStr">
        <is>
          <t>Outros Despesas (Receitas) Operacionais (DRE l.38) - memoria</t>
        </is>
      </c>
      <c r="J29" t="inlineStr">
        <is>
          <t>memoria</t>
        </is>
      </c>
      <c r="K29" s="259" t="n">
        <v>13782.72732</v>
      </c>
      <c r="L29" s="259" t="n">
        <v>-419.3377499999997</v>
      </c>
      <c r="M29" s="259" t="n">
        <v>-2621.088040000001</v>
      </c>
      <c r="N29" s="259" t="n">
        <v>-4174.827310000002</v>
      </c>
      <c r="O29" s="259" t="n">
        <v>-866.24173</v>
      </c>
      <c r="P29" s="259" t="n">
        <v>-805.7254600000003</v>
      </c>
      <c r="Q29" s="259" t="n">
        <v>-907.8693199999992</v>
      </c>
      <c r="R29" s="259" t="n">
        <v>-6758.326500000002</v>
      </c>
      <c r="S29" s="259" t="n">
        <v>-2144.3743</v>
      </c>
      <c r="T29" s="259" t="n">
        <v>-4391.780099999999</v>
      </c>
      <c r="U29" s="259" t="n">
        <v>244.0977200000016</v>
      </c>
      <c r="V29" s="259" t="n">
        <v>5391.45562</v>
      </c>
      <c r="W29" s="259" t="n">
        <v>-688.8295099999999</v>
      </c>
      <c r="X29" s="259" t="n">
        <v>54.86220000000019</v>
      </c>
      <c r="Y29" s="259" t="n">
        <v>18464.32929</v>
      </c>
      <c r="Z29" s="259" t="n">
        <v>1124.49139</v>
      </c>
      <c r="AA29" s="259" t="n">
        <v>-4191.878650000002</v>
      </c>
      <c r="AB29" s="259" t="n">
        <v>81211.37716000002</v>
      </c>
      <c r="AC29" s="259" t="n">
        <v>-1820.623029999957</v>
      </c>
      <c r="AD29" s="259" t="n">
        <v>2429.931360000163</v>
      </c>
      <c r="AE29" s="259" t="n">
        <v>-1983.294700000001</v>
      </c>
      <c r="AF29" s="259" t="n">
        <v>-6537.456229999937</v>
      </c>
      <c r="AG29" s="259" t="n">
        <v>31100.49999</v>
      </c>
      <c r="AH29" s="259" t="n">
        <v>-32875.24907000006</v>
      </c>
      <c r="AI29" s="259" t="n">
        <v>-6739.809110000001</v>
      </c>
      <c r="AJ29" s="259" t="n">
        <v>-5158.289219999967</v>
      </c>
    </row>
    <row r="30">
      <c r="G30" t="inlineStr">
        <is>
          <t>moeda</t>
        </is>
      </c>
      <c r="H30" t="inlineStr">
        <is>
          <t>(=) Lucro Bruto (DRE l.18) - memoria</t>
        </is>
      </c>
      <c r="J30" t="inlineStr">
        <is>
          <t>memoria</t>
        </is>
      </c>
      <c r="K30" s="259" t="n">
        <v>130054.38537</v>
      </c>
      <c r="L30" s="259" t="n">
        <v>90132.48760436664</v>
      </c>
      <c r="M30" s="259" t="n">
        <v>163727.0892450859</v>
      </c>
      <c r="N30" s="259" t="n">
        <v>310530.8747371256</v>
      </c>
      <c r="O30" s="259" t="n">
        <v>142693.0348401434</v>
      </c>
      <c r="P30" s="259" t="n">
        <v>246211.3587814386</v>
      </c>
      <c r="Q30" s="259" t="n">
        <v>228426.7520664067</v>
      </c>
      <c r="R30" s="259" t="n">
        <v>374147.0325632051</v>
      </c>
      <c r="S30" s="259" t="n">
        <v>228151.2524899789</v>
      </c>
      <c r="T30" s="259" t="n">
        <v>317108.0898623207</v>
      </c>
      <c r="U30" s="259" t="n">
        <v>268821.7600379323</v>
      </c>
      <c r="V30" s="259" t="n">
        <v>456126.4663283656</v>
      </c>
      <c r="W30" s="259" t="n">
        <v>272585.5169570365</v>
      </c>
      <c r="X30" s="259" t="n">
        <v>390098.0332661162</v>
      </c>
      <c r="Y30" s="259" t="n">
        <v>309041.8491617403</v>
      </c>
      <c r="Z30" s="259" t="n">
        <v>544385.3026621123</v>
      </c>
      <c r="AA30" s="259" t="n">
        <v>302989.538030447</v>
      </c>
      <c r="AB30" s="259" t="n">
        <v>451761.1482078328</v>
      </c>
      <c r="AC30" s="259" t="n">
        <v>376709.6686400004</v>
      </c>
      <c r="AD30" s="259" t="n">
        <v>678566.1050300006</v>
      </c>
      <c r="AE30" s="259" t="n">
        <v>364678.9608400002</v>
      </c>
      <c r="AF30" s="259" t="n">
        <v>550207.7624999984</v>
      </c>
      <c r="AG30" s="259" t="n">
        <v>474228.55853</v>
      </c>
      <c r="AH30" s="259" t="n">
        <v>715993.5064800006</v>
      </c>
      <c r="AI30" s="259" t="n">
        <v>416358.16602</v>
      </c>
      <c r="AJ30" s="259" t="n">
        <v>598462.2920900013</v>
      </c>
    </row>
    <row r="31">
      <c r="G31" t="inlineStr">
        <is>
          <t>moeda</t>
        </is>
      </c>
      <c r="H31" t="inlineStr">
        <is>
          <t>(=) Lucro (Prejuizo) Antes das Financeiras (DRE l.39) - memoria</t>
        </is>
      </c>
      <c r="J31" t="inlineStr">
        <is>
          <t>memoria</t>
        </is>
      </c>
      <c r="K31" s="259" t="n">
        <v>20944.85347000003</v>
      </c>
      <c r="L31" s="259" t="n">
        <v>-4558.30080563252</v>
      </c>
      <c r="M31" s="259" t="n">
        <v>42374.67974638511</v>
      </c>
      <c r="N31" s="259" t="n">
        <v>123279.2495769364</v>
      </c>
      <c r="O31" s="259" t="n">
        <v>9054.867979438946</v>
      </c>
      <c r="P31" s="259" t="n">
        <v>87249.40664046473</v>
      </c>
      <c r="Q31" s="259" t="n">
        <v>66084.50460921059</v>
      </c>
      <c r="R31" s="259" t="n">
        <v>132298.0483706064</v>
      </c>
      <c r="S31" s="259" t="n">
        <v>44501.39217082554</v>
      </c>
      <c r="T31" s="259" t="n">
        <v>88485.25272970073</v>
      </c>
      <c r="U31" s="259" t="n">
        <v>63147.33595322492</v>
      </c>
      <c r="V31" s="259" t="n">
        <v>180238.3476494333</v>
      </c>
      <c r="W31" s="259" t="n">
        <v>48234.03561976907</v>
      </c>
      <c r="X31" s="259" t="n">
        <v>126235.6836775332</v>
      </c>
      <c r="Y31" s="259" t="n">
        <v>87218.58891144942</v>
      </c>
      <c r="Z31" s="259" t="n">
        <v>188957.8005621121</v>
      </c>
      <c r="AA31" s="259" t="n">
        <v>41346.19808018804</v>
      </c>
      <c r="AB31" s="259" t="n">
        <v>223899.6189596707</v>
      </c>
      <c r="AC31" s="259" t="n">
        <v>106248.1869331006</v>
      </c>
      <c r="AD31" s="259" t="n">
        <v>312091.8289202134</v>
      </c>
      <c r="AE31" s="259" t="n">
        <v>90421.62119000044</v>
      </c>
      <c r="AF31" s="259" t="n">
        <v>188618.9281699986</v>
      </c>
      <c r="AG31" s="259" t="n">
        <v>203840.53767</v>
      </c>
      <c r="AH31" s="259" t="n">
        <v>243439.5214300005</v>
      </c>
      <c r="AI31" s="259" t="n">
        <v>90372.92168999999</v>
      </c>
      <c r="AJ31" s="259" t="n">
        <v>199853.8135300009</v>
      </c>
    </row>
    <row r="32">
      <c r="G32" t="inlineStr">
        <is>
          <t>moeda</t>
        </is>
      </c>
      <c r="H32" t="inlineStr">
        <is>
          <t>(=) Resultado Financeiro (DRE l.40) - memoria</t>
        </is>
      </c>
      <c r="J32" t="inlineStr">
        <is>
          <t>memoria</t>
        </is>
      </c>
      <c r="K32" s="259" t="n">
        <v>-13715.93690999999</v>
      </c>
      <c r="L32" s="259" t="n">
        <v>-6514.90366</v>
      </c>
      <c r="M32" s="259" t="n">
        <v>-12390.43684999999</v>
      </c>
      <c r="N32" s="259" t="n">
        <v>-8920.621450000002</v>
      </c>
      <c r="O32" s="259" t="n">
        <v>-8684.328379999997</v>
      </c>
      <c r="P32" s="259" t="n">
        <v>-5819.699470000001</v>
      </c>
      <c r="Q32" s="259" t="n">
        <v>-5154.310169999998</v>
      </c>
      <c r="R32" s="259" t="n">
        <v>-11851.13211</v>
      </c>
      <c r="S32" s="259" t="n">
        <v>-9786.25122</v>
      </c>
      <c r="T32" s="259" t="n">
        <v>-10459.36831</v>
      </c>
      <c r="U32" s="259" t="n">
        <v>-12811.61547999999</v>
      </c>
      <c r="V32" s="259" t="n">
        <v>-12280.4931</v>
      </c>
      <c r="W32" s="259" t="n">
        <v>-13615.30374</v>
      </c>
      <c r="X32" s="259" t="n">
        <v>-9635.385319999999</v>
      </c>
      <c r="Y32" s="259" t="n">
        <v>-9299.096409999989</v>
      </c>
      <c r="Z32" s="259" t="n">
        <v>-17253.72099999998</v>
      </c>
      <c r="AA32" s="259" t="n">
        <v>-15499.73697</v>
      </c>
      <c r="AB32" s="259" t="n">
        <v>3494.832455851993</v>
      </c>
      <c r="AC32" s="259" t="n">
        <v>-14894.24551</v>
      </c>
      <c r="AD32" s="259" t="n">
        <v>-30448</v>
      </c>
      <c r="AE32" s="259" t="n">
        <v>-19812.6</v>
      </c>
      <c r="AF32" s="259" t="n">
        <v>-33408</v>
      </c>
      <c r="AG32" s="259" t="n">
        <v>-28586</v>
      </c>
      <c r="AH32" s="259" t="n">
        <v>-56715</v>
      </c>
      <c r="AI32" s="259" t="n">
        <v>-35858</v>
      </c>
      <c r="AJ32" s="259" t="n">
        <v>-36679</v>
      </c>
    </row>
    <row r="33">
      <c r="G33" t="inlineStr">
        <is>
          <t>moeda</t>
        </is>
      </c>
      <c r="H33" t="inlineStr">
        <is>
          <t>(=) Lucro Operacional (DRE l.46) - memoria</t>
        </is>
      </c>
      <c r="J33" t="inlineStr">
        <is>
          <t>memoria</t>
        </is>
      </c>
      <c r="K33" s="259" t="n">
        <v>7228.916560000036</v>
      </c>
      <c r="L33" s="259" t="n">
        <v>-11073.20446563252</v>
      </c>
      <c r="M33" s="259" t="n">
        <v>29984.24289638512</v>
      </c>
      <c r="N33" s="259" t="n">
        <v>114358.6281269364</v>
      </c>
      <c r="O33" s="259" t="n">
        <v>370.5395994389492</v>
      </c>
      <c r="P33" s="259" t="n">
        <v>81429.70717046472</v>
      </c>
      <c r="Q33" s="259" t="n">
        <v>60930.19443921059</v>
      </c>
      <c r="R33" s="259" t="n">
        <v>120446.9162606064</v>
      </c>
      <c r="S33" s="259" t="n">
        <v>34715.14095082554</v>
      </c>
      <c r="T33" s="259" t="n">
        <v>78025.88441970074</v>
      </c>
      <c r="U33" s="259" t="n">
        <v>50335.72047322491</v>
      </c>
      <c r="V33" s="259" t="n">
        <v>167957.8545494333</v>
      </c>
      <c r="W33" s="259" t="n">
        <v>34618.73187976907</v>
      </c>
      <c r="X33" s="259" t="n">
        <v>116600.2983575332</v>
      </c>
      <c r="Y33" s="259" t="n">
        <v>77919.49250144944</v>
      </c>
      <c r="Z33" s="259" t="n">
        <v>171704.0795621121</v>
      </c>
      <c r="AA33" s="259" t="n">
        <v>25846.46111018804</v>
      </c>
      <c r="AB33" s="259" t="n">
        <v>227394.4514155227</v>
      </c>
      <c r="AC33" s="259" t="n">
        <v>91353.94142310058</v>
      </c>
      <c r="AD33" s="259" t="n">
        <v>281643.8289202134</v>
      </c>
      <c r="AE33" s="259" t="n">
        <v>70609.02119000044</v>
      </c>
      <c r="AF33" s="259" t="n">
        <v>155210.9281699986</v>
      </c>
      <c r="AG33" s="259" t="n">
        <v>175254.53767</v>
      </c>
      <c r="AH33" s="259" t="n">
        <v>186726.5214300005</v>
      </c>
      <c r="AI33" s="259" t="n">
        <v>54514.92168999999</v>
      </c>
      <c r="AJ33" s="259" t="n">
        <v>163174.8135300009</v>
      </c>
    </row>
    <row r="34">
      <c r="G34" t="inlineStr">
        <is>
          <t>moeda</t>
        </is>
      </c>
      <c r="H34" t="inlineStr">
        <is>
          <t>(=) Lucro Líquido (DRE l.48) - memoria</t>
        </is>
      </c>
      <c r="J34" t="inlineStr">
        <is>
          <t>memoria</t>
        </is>
      </c>
      <c r="K34" s="259" t="n">
        <v>11990.50886740004</v>
      </c>
      <c r="L34" s="259" t="n">
        <v>-4454.165817749184</v>
      </c>
      <c r="M34" s="259" t="n">
        <v>30587.19221305178</v>
      </c>
      <c r="N34" s="259" t="n">
        <v>85510.41978140302</v>
      </c>
      <c r="O34" s="259" t="n">
        <v>3912.861408429504</v>
      </c>
      <c r="P34" s="259" t="n">
        <v>81656.82768790683</v>
      </c>
      <c r="Q34" s="259" t="n">
        <v>86258.19443921059</v>
      </c>
      <c r="R34" s="259" t="n">
        <v>127128.7481026005</v>
      </c>
      <c r="S34" s="259" t="n">
        <v>45921.65968576426</v>
      </c>
      <c r="T34" s="259" t="n">
        <v>89052.03318178302</v>
      </c>
      <c r="U34" s="259" t="n">
        <v>68127.39292312792</v>
      </c>
      <c r="V34" s="259" t="n">
        <v>157753.3317550238</v>
      </c>
      <c r="W34" s="259" t="n">
        <v>38571.16703496907</v>
      </c>
      <c r="X34" s="259" t="n">
        <v>109984.3061423332</v>
      </c>
      <c r="Y34" s="259" t="n">
        <v>76538.84750144943</v>
      </c>
      <c r="Z34" s="259" t="n">
        <v>156026.2816221121</v>
      </c>
      <c r="AA34" s="259" t="n">
        <v>35809.18499069076</v>
      </c>
      <c r="AB34" s="259" t="n">
        <v>210960.8514155227</v>
      </c>
      <c r="AC34" s="259" t="n">
        <v>107164.9878431006</v>
      </c>
      <c r="AD34" s="259" t="n">
        <v>299458.8207002134</v>
      </c>
      <c r="AE34" s="259" t="n">
        <v>115038.1588200004</v>
      </c>
      <c r="AF34" s="259" t="n">
        <v>151089.3248599986</v>
      </c>
      <c r="AG34" s="259" t="n">
        <v>175849.53767</v>
      </c>
      <c r="AH34" s="259" t="n">
        <v>177528.2376900004</v>
      </c>
      <c r="AI34" s="259" t="n">
        <v>80795.14341999998</v>
      </c>
      <c r="AJ34" s="259" t="n">
        <v>151664.8512200009</v>
      </c>
    </row>
    <row r="35">
      <c r="G35" t="inlineStr">
        <is>
          <t>moeda</t>
        </is>
      </c>
      <c r="H35" t="inlineStr">
        <is>
          <t>EBITDA Total (DRE l.57) - memoria</t>
        </is>
      </c>
      <c r="J35" t="inlineStr">
        <is>
          <t>memoria</t>
        </is>
      </c>
      <c r="K35" s="259" t="n">
        <v>34401.07917000004</v>
      </c>
      <c r="L35" s="259" t="n">
        <v>9729.103534367476</v>
      </c>
      <c r="M35" s="259" t="n">
        <v>58023.77864638511</v>
      </c>
      <c r="N35" s="259" t="n">
        <v>138159.2655369363</v>
      </c>
      <c r="O35" s="259" t="n">
        <v>24999.00563943895</v>
      </c>
      <c r="P35" s="259" t="n">
        <v>104739.9691004647</v>
      </c>
      <c r="Q35" s="259" t="n">
        <v>83674.5804692106</v>
      </c>
      <c r="R35" s="259" t="n">
        <v>153103.2908906064</v>
      </c>
      <c r="S35" s="259" t="n">
        <v>70909.94159082553</v>
      </c>
      <c r="T35" s="259" t="n">
        <v>114195.4499797008</v>
      </c>
      <c r="U35" s="259" t="n">
        <v>94520.65064322486</v>
      </c>
      <c r="V35" s="259" t="n">
        <v>210672.1783294334</v>
      </c>
      <c r="W35" s="259" t="n">
        <v>80119.13533976956</v>
      </c>
      <c r="X35" s="259" t="n">
        <v>158420.4773575332</v>
      </c>
      <c r="Y35" s="259" t="n">
        <v>121096.4251514494</v>
      </c>
      <c r="Z35" s="259" t="n">
        <v>225094.9927921121</v>
      </c>
      <c r="AA35" s="259" t="n">
        <v>80129.26902018802</v>
      </c>
      <c r="AB35" s="259" t="n">
        <v>264820.7057196707</v>
      </c>
      <c r="AC35" s="259" t="n">
        <v>149693.9070067195</v>
      </c>
      <c r="AD35" s="259" t="n">
        <v>338584.2295477054</v>
      </c>
      <c r="AE35" s="259" t="n">
        <v>128821.7044900004</v>
      </c>
      <c r="AF35" s="259" t="n">
        <v>227093.7011999986</v>
      </c>
      <c r="AG35" s="259" t="n">
        <v>240955.57007</v>
      </c>
      <c r="AH35" s="259" t="n">
        <v>282288.6245400005</v>
      </c>
      <c r="AI35" s="259" t="n">
        <v>129111.8295</v>
      </c>
      <c r="AJ35" s="259" t="n">
        <v>239253.2749700009</v>
      </c>
    </row>
    <row r="36">
      <c r="G36" t="inlineStr">
        <is>
          <t>moeda</t>
        </is>
      </c>
      <c r="H36" t="inlineStr">
        <is>
          <t>(-) Despesa de aluguel (IFRS16) (DRE l.58) - memoria</t>
        </is>
      </c>
      <c r="J36" t="inlineStr">
        <is>
          <t>memoria</t>
        </is>
      </c>
      <c r="K36" s="259" t="n">
        <v>11644.22554</v>
      </c>
      <c r="L36" s="259" t="n">
        <v>12936.37162</v>
      </c>
      <c r="M36" s="259" t="n">
        <v>-13989.37484000001</v>
      </c>
      <c r="N36" s="259" t="n">
        <v>-8462.361398637635</v>
      </c>
      <c r="O36" s="259" t="n">
        <v>-14503.81221000001</v>
      </c>
      <c r="P36" s="259" t="n">
        <v>-16124.05190999999</v>
      </c>
      <c r="Q36" s="259" t="n">
        <v>-16981.03911000001</v>
      </c>
      <c r="R36" s="259" t="n">
        <v>-24802.90794</v>
      </c>
      <c r="S36" s="259" t="n">
        <v>-19663.59144</v>
      </c>
      <c r="T36" s="259" t="n">
        <v>-22153.08252000001</v>
      </c>
      <c r="U36" s="259" t="n">
        <v>-22810.46912</v>
      </c>
      <c r="V36" s="259" t="n">
        <v>-32670.08172000001</v>
      </c>
      <c r="W36" s="259" t="n">
        <v>-24682.3233</v>
      </c>
      <c r="X36" s="259" t="n">
        <v>-26006.46471999999</v>
      </c>
      <c r="Y36" s="259" t="n">
        <v>-26392.68103999997</v>
      </c>
      <c r="Z36" s="259" t="n">
        <v>-35695.38935</v>
      </c>
      <c r="AA36" s="259" t="n">
        <v>-27713.67775999998</v>
      </c>
      <c r="AB36" s="259" t="n">
        <v>-28997.87476999998</v>
      </c>
      <c r="AC36" s="259" t="n">
        <v>-28586.40668999999</v>
      </c>
      <c r="AD36" s="259" t="n">
        <v>-39391.40138263819</v>
      </c>
      <c r="AE36" s="259" t="n">
        <v>-30018.04955</v>
      </c>
      <c r="AF36" s="259" t="n">
        <v>-31365.584053886</v>
      </c>
      <c r="AG36" s="259" t="n">
        <v>-31152.165320574</v>
      </c>
      <c r="AH36" s="259" t="n">
        <v>-41970</v>
      </c>
      <c r="AI36" s="259" t="n">
        <v>-32410.14518754602</v>
      </c>
      <c r="AJ36" s="259" t="n">
        <v>-33869.95582919001</v>
      </c>
    </row>
    <row r="37">
      <c r="G37" t="inlineStr">
        <is>
          <t>moeda</t>
        </is>
      </c>
      <c r="H37" t="inlineStr">
        <is>
          <t>(+) Efeitos não recorrentes (DRE l.59) - memoria</t>
        </is>
      </c>
      <c r="J37" t="inlineStr">
        <is>
          <t>memoria</t>
        </is>
      </c>
      <c r="K37" s="259" t="n">
        <v>0</v>
      </c>
      <c r="L37" s="259" t="n">
        <v>0</v>
      </c>
      <c r="M37" s="259" t="n">
        <v>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7520</v>
      </c>
      <c r="S37" s="259" t="n">
        <v>0</v>
      </c>
      <c r="T37" s="259" t="n">
        <v>8080.766</v>
      </c>
      <c r="U37" s="259" t="n">
        <v>0</v>
      </c>
      <c r="V37" s="259" t="n">
        <v>0</v>
      </c>
      <c r="W37" s="259" t="n">
        <v>2608.66577</v>
      </c>
      <c r="X37" s="259" t="n">
        <v>0</v>
      </c>
      <c r="Y37" s="259" t="n">
        <v>-6093.20176</v>
      </c>
      <c r="Z37" s="259" t="n">
        <v>11000.26865</v>
      </c>
      <c r="AA37" s="259" t="n">
        <v>13024.26024</v>
      </c>
      <c r="AB37" s="259" t="n">
        <v>-71737.14303481601</v>
      </c>
      <c r="AC37" s="259" t="n">
        <v>6250.23887</v>
      </c>
      <c r="AD37" s="259" t="n">
        <v>1457.268759999996</v>
      </c>
      <c r="AE37" s="259" t="n">
        <v>2261.28841</v>
      </c>
      <c r="AF37" s="259" t="n">
        <v>8850.3799</v>
      </c>
      <c r="AG37" s="259" t="n">
        <v>-35267.565320574</v>
      </c>
      <c r="AH37" s="259" t="n">
        <v>45810</v>
      </c>
      <c r="AI37" s="259" t="n">
        <v>0</v>
      </c>
      <c r="AJ37" s="259" t="n">
        <v>0</v>
      </c>
    </row>
    <row r="38">
      <c r="G38" t="inlineStr">
        <is>
          <t>moeda</t>
        </is>
      </c>
      <c r="H38" t="inlineStr">
        <is>
          <t>EBITDA AJUSTADO (DRE l.60) - memoria</t>
        </is>
      </c>
      <c r="J38" t="inlineStr">
        <is>
          <t>memoria</t>
        </is>
      </c>
      <c r="K38" s="259" t="n">
        <v>22756.85363000004</v>
      </c>
      <c r="L38" s="259" t="n">
        <v>-3207.268085632524</v>
      </c>
      <c r="M38" s="259" t="n">
        <v>44034.4038063851</v>
      </c>
      <c r="N38" s="259" t="n">
        <v>129696.9041382987</v>
      </c>
      <c r="O38" s="259" t="n">
        <v>10495.19342943894</v>
      </c>
      <c r="P38" s="259" t="n">
        <v>88615.91719046474</v>
      </c>
      <c r="Q38" s="259" t="n">
        <v>66693.54135921059</v>
      </c>
      <c r="R38" s="259" t="n">
        <v>135820.3829506064</v>
      </c>
      <c r="S38" s="259" t="n">
        <v>51246.35015082553</v>
      </c>
      <c r="T38" s="259" t="n">
        <v>100123.1334597008</v>
      </c>
      <c r="U38" s="259" t="n">
        <v>71710.18152322486</v>
      </c>
      <c r="V38" s="259" t="n">
        <v>178002.0966094334</v>
      </c>
      <c r="W38" s="259" t="n">
        <v>58045.47780976957</v>
      </c>
      <c r="X38" s="259" t="n">
        <v>132414.0126375332</v>
      </c>
      <c r="Y38" s="259" t="n">
        <v>88610.54235144943</v>
      </c>
      <c r="Z38" s="259" t="n">
        <v>200399.8720921122</v>
      </c>
      <c r="AA38" s="259" t="n">
        <v>65439.85150018803</v>
      </c>
      <c r="AB38" s="259" t="n">
        <v>164085.6879148547</v>
      </c>
      <c r="AC38" s="259" t="n">
        <v>127357.7391867195</v>
      </c>
      <c r="AD38" s="259" t="n">
        <v>300650.0969250672</v>
      </c>
      <c r="AE38" s="259" t="n">
        <v>101064.9433500004</v>
      </c>
      <c r="AF38" s="259" t="n">
        <v>204578.4970461126</v>
      </c>
      <c r="AG38" s="259" t="n">
        <v>174535.839428852</v>
      </c>
      <c r="AH38" s="259" t="n">
        <v>286128.6245400005</v>
      </c>
      <c r="AI38" s="259" t="n">
        <v>96701.68431245399</v>
      </c>
      <c r="AJ38" s="259" t="n">
        <v>205383.3191408109</v>
      </c>
    </row>
    <row r="39">
      <c r="H39" s="254" t="inlineStr">
        <is>
          <t>DERIVADAS (formula nesta aba)</t>
        </is>
      </c>
    </row>
    <row r="40">
      <c r="A40" t="n">
        <v>4</v>
      </c>
      <c r="B40" t="n">
        <v>1</v>
      </c>
      <c r="C40" t="n">
        <v>2</v>
      </c>
      <c r="D40" t="n">
        <v>-1</v>
      </c>
      <c r="G40" t="inlineStr">
        <is>
          <t>moeda</t>
        </is>
      </c>
      <c r="H40" t="inlineStr">
        <is>
          <t>D&amp;A no custo (l.15; ja negativo): COD1=4 lanca; COD2=2 devolve ao custo</t>
        </is>
      </c>
      <c r="J40" t="inlineStr">
        <is>
          <t>derivada</t>
        </is>
      </c>
      <c r="K40" s="259">
        <f>K19</f>
        <v>-556.87426</v>
      </c>
      <c r="L40" s="259">
        <f>L19</f>
        <v>-597.07376</v>
      </c>
      <c r="M40" s="259">
        <f>M19</f>
        <v>-609.2634</v>
      </c>
      <c r="N40" s="259">
        <f>N19</f>
        <v>-760.71155</v>
      </c>
      <c r="O40" s="259">
        <f>O19</f>
        <v>-713.705390000001</v>
      </c>
      <c r="P40" s="259">
        <f>P19</f>
        <v>-798.08246</v>
      </c>
      <c r="Q40" s="259">
        <f>Q19</f>
        <v>-812.41113</v>
      </c>
      <c r="R40" s="259">
        <f>R19</f>
        <v>-907.969730000001</v>
      </c>
      <c r="S40" s="259">
        <f>S19</f>
        <v>-1071.98876</v>
      </c>
      <c r="T40" s="259">
        <f>T19</f>
        <v>-1393.13043</v>
      </c>
      <c r="U40" s="259">
        <f>U19</f>
        <v>-1559.12233</v>
      </c>
      <c r="V40" s="259">
        <f>V19</f>
        <v>-1578.28055999999</v>
      </c>
      <c r="W40" s="259">
        <f>W19</f>
        <v>-1626.13978000002</v>
      </c>
      <c r="X40" s="259">
        <f>X19</f>
        <v>-1710.19813</v>
      </c>
      <c r="Y40" s="259">
        <f>Y19</f>
        <v>-1785.87861</v>
      </c>
      <c r="Z40" s="259">
        <f>Z19</f>
        <v>-1817.72868</v>
      </c>
      <c r="AA40" s="259">
        <f>AA19</f>
        <v>-3131.6357</v>
      </c>
      <c r="AB40" s="259">
        <f>AB19</f>
        <v>-3185.92034</v>
      </c>
      <c r="AC40" s="259">
        <f>AC19</f>
        <v>-3192.95433</v>
      </c>
      <c r="AD40" s="259">
        <f>AD19</f>
        <v>4170</v>
      </c>
      <c r="AE40" s="259">
        <f>AE19</f>
        <v>-284.66144</v>
      </c>
      <c r="AF40" s="259">
        <f>AF19</f>
        <v>-542</v>
      </c>
      <c r="AG40" s="259">
        <f>AG19</f>
        <v>-308.60124</v>
      </c>
      <c r="AH40" s="259">
        <f>AH19</f>
        <v>-501.10311</v>
      </c>
      <c r="AI40" s="259">
        <f>AI19</f>
        <v>-148.07794</v>
      </c>
      <c r="AJ40" s="259">
        <f>AJ19</f>
        <v>-617.83936</v>
      </c>
    </row>
    <row r="41">
      <c r="A41" t="n">
        <v>4</v>
      </c>
      <c r="B41" t="n">
        <v>1</v>
      </c>
      <c r="C41" t="n">
        <v>3</v>
      </c>
      <c r="D41" t="n">
        <v>-1</v>
      </c>
      <c r="G41" t="inlineStr">
        <is>
          <t>moeda</t>
        </is>
      </c>
      <c r="H41" t="inlineStr">
        <is>
          <t>D&amp;A nas despesas (l.34, inclui direito de uso IFRS16; ja negativo): COD1=4 lanca; COD2=3 devolve as despesas</t>
        </is>
      </c>
      <c r="J41" t="inlineStr">
        <is>
          <t>derivada</t>
        </is>
      </c>
      <c r="K41" s="259">
        <f>K26</f>
        <v>-12899.35144</v>
      </c>
      <c r="L41" s="259">
        <f>L26</f>
        <v>-13690.33058</v>
      </c>
      <c r="M41" s="259">
        <f>M26</f>
        <v>-15039.8355</v>
      </c>
      <c r="N41" s="259">
        <f>N26</f>
        <v>-14119.30441</v>
      </c>
      <c r="O41" s="259">
        <f>O26</f>
        <v>-15230.43227</v>
      </c>
      <c r="P41" s="259">
        <f>P26</f>
        <v>-16692.48</v>
      </c>
      <c r="Q41" s="259">
        <f>Q26</f>
        <v>-16777.66473</v>
      </c>
      <c r="R41" s="259">
        <f>R26</f>
        <v>-19897.27279</v>
      </c>
      <c r="S41" s="259">
        <f>S26</f>
        <v>-25336.56066</v>
      </c>
      <c r="T41" s="259">
        <f>T26</f>
        <v>-24317.06682</v>
      </c>
      <c r="U41" s="259">
        <f>U26</f>
        <v>-29814.19236</v>
      </c>
      <c r="V41" s="259">
        <f>V26</f>
        <v>-28855.5501200002</v>
      </c>
      <c r="W41" s="259">
        <f>W26</f>
        <v>-30258.9599400005</v>
      </c>
      <c r="X41" s="259">
        <f>X26</f>
        <v>-30474.59555</v>
      </c>
      <c r="Y41" s="259">
        <f>Y26</f>
        <v>-32091.95763</v>
      </c>
      <c r="Z41" s="259">
        <f>Z26</f>
        <v>-34319.46355</v>
      </c>
      <c r="AA41" s="259">
        <f>AA26</f>
        <v>-35651.43524</v>
      </c>
      <c r="AB41" s="259">
        <f>AB26</f>
        <v>-37735.16642</v>
      </c>
      <c r="AC41" s="259">
        <f>AC26</f>
        <v>-40252.7657436189</v>
      </c>
      <c r="AD41" s="259">
        <f>AD26</f>
        <v>-30662.400627492</v>
      </c>
      <c r="AE41" s="259">
        <f>AE26</f>
        <v>-38115.42186</v>
      </c>
      <c r="AF41" s="259">
        <f>AF26</f>
        <v>-37932.77303</v>
      </c>
      <c r="AG41" s="259">
        <f>AG26</f>
        <v>-36806.43116</v>
      </c>
      <c r="AH41" s="259">
        <f>AH26</f>
        <v>-38345</v>
      </c>
      <c r="AI41" s="259">
        <f>AI26</f>
        <v>-38590.82987</v>
      </c>
      <c r="AJ41" s="259">
        <f>AJ26</f>
        <v>-38781.62208</v>
      </c>
    </row>
    <row r="42">
      <c r="A42" t="n">
        <v>44</v>
      </c>
      <c r="B42" t="n">
        <v>1</v>
      </c>
      <c r="G42" t="inlineStr">
        <is>
          <t>moeda</t>
        </is>
      </c>
      <c r="H42" t="inlineStr">
        <is>
          <t>Lucro liquido contabil (l.48; sem minoritarios) - COD 44 alimenta o check IS do Model</t>
        </is>
      </c>
      <c r="J42" t="inlineStr">
        <is>
          <t>derivada</t>
        </is>
      </c>
      <c r="K42" s="259">
        <f>K34</f>
        <v>11990.5088674</v>
      </c>
      <c r="L42" s="259">
        <f>L34</f>
        <v>-4454.16581774918</v>
      </c>
      <c r="M42" s="259">
        <f>M34</f>
        <v>30587.1922130518</v>
      </c>
      <c r="N42" s="259">
        <f>N34</f>
        <v>85510.419781403</v>
      </c>
      <c r="O42" s="259">
        <f>O34</f>
        <v>3912.8614084295</v>
      </c>
      <c r="P42" s="259">
        <f>P34</f>
        <v>81656.8276879068</v>
      </c>
      <c r="Q42" s="259">
        <f>Q34</f>
        <v>86258.1944392106</v>
      </c>
      <c r="R42" s="259">
        <f>R34</f>
        <v>127128.748102601</v>
      </c>
      <c r="S42" s="259">
        <f>S34</f>
        <v>45921.6596857643</v>
      </c>
      <c r="T42" s="259">
        <f>T34</f>
        <v>89052.033181783</v>
      </c>
      <c r="U42" s="259">
        <f>U34</f>
        <v>68127.3929231279</v>
      </c>
      <c r="V42" s="259">
        <f>V34</f>
        <v>157753.331755024</v>
      </c>
      <c r="W42" s="259">
        <f>W34</f>
        <v>38571.1670349691</v>
      </c>
      <c r="X42" s="259">
        <f>X34</f>
        <v>109984.306142333</v>
      </c>
      <c r="Y42" s="259">
        <f>Y34</f>
        <v>76538.8475014494</v>
      </c>
      <c r="Z42" s="259">
        <f>Z34</f>
        <v>156026.281622112</v>
      </c>
      <c r="AA42" s="259">
        <f>AA34</f>
        <v>35809.1849906908</v>
      </c>
      <c r="AB42" s="259">
        <f>AB34</f>
        <v>210960.851415523</v>
      </c>
      <c r="AC42" s="259">
        <f>AC34</f>
        <v>107164.987843101</v>
      </c>
      <c r="AD42" s="259">
        <f>AD34</f>
        <v>299458.820700213</v>
      </c>
      <c r="AE42" s="259">
        <f>AE34</f>
        <v>115038.15882</v>
      </c>
      <c r="AF42" s="259">
        <f>AF34</f>
        <v>151089.324859999</v>
      </c>
      <c r="AG42" s="259">
        <f>AG34</f>
        <v>175849.53767</v>
      </c>
      <c r="AH42" s="259">
        <f>AH34</f>
        <v>177528.23769</v>
      </c>
      <c r="AI42" s="259">
        <f>AI34</f>
        <v>80795.14342</v>
      </c>
      <c r="AJ42" s="259">
        <f>AJ34</f>
        <v>151664.851220001</v>
      </c>
    </row>
    <row r="43">
      <c r="H43" s="254" t="inlineStr">
        <is>
          <t>DFC - TRIMESTRE ISOLADO (aba Fluxo de Caixa | CashFlow; R$ mil)</t>
        </is>
      </c>
    </row>
    <row r="44">
      <c r="A44" t="n">
        <v>10</v>
      </c>
      <c r="B44" t="n">
        <v>1</v>
      </c>
      <c r="G44" t="inlineStr">
        <is>
          <t>moeda</t>
        </is>
      </c>
      <c r="H44" t="inlineStr">
        <is>
          <t>Dividendos e JCP pagos (FC l.27)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-35563.00562999999</v>
      </c>
      <c r="O44" s="259" t="n">
        <v>0</v>
      </c>
      <c r="P44" s="259" t="n">
        <v>-34830.56133000006</v>
      </c>
      <c r="Q44" s="259" t="n">
        <v>-2.371890000060201</v>
      </c>
      <c r="R44" s="259" t="n">
        <v>-6817.704382491037</v>
      </c>
      <c r="S44" s="259" t="n">
        <v>0</v>
      </c>
      <c r="T44" s="259" t="n">
        <v>-70889.30404000012</v>
      </c>
      <c r="U44" s="259" t="n">
        <v>-3825</v>
      </c>
      <c r="V44" s="259" t="n">
        <v>0</v>
      </c>
      <c r="W44" s="259" t="n">
        <v>0</v>
      </c>
      <c r="X44" s="259" t="n">
        <v>-85700.50845000001</v>
      </c>
      <c r="Y44" s="259" t="n">
        <v>0</v>
      </c>
      <c r="Z44" s="259" t="n">
        <v>-1.374981366097927e-06</v>
      </c>
      <c r="AA44" s="259" t="n">
        <v>0</v>
      </c>
      <c r="AB44" s="259" t="n">
        <v>-87693.11510000001</v>
      </c>
      <c r="AC44" s="259" t="n">
        <v>-0.0004535762127488852</v>
      </c>
      <c r="AD44" s="259" t="n">
        <v>0.0004530801525106654</v>
      </c>
      <c r="AE44" s="259" t="n">
        <v>0</v>
      </c>
      <c r="AF44" s="259" t="n">
        <v>-155177.0183</v>
      </c>
      <c r="AG44" s="259" t="n">
        <v>0</v>
      </c>
      <c r="AH44" s="259" t="n">
        <v>-163998.1668799999</v>
      </c>
      <c r="AI44" s="259" t="n">
        <v>0</v>
      </c>
      <c r="AJ44" s="259" t="n">
        <v>0</v>
      </c>
    </row>
    <row r="45">
      <c r="G45" t="inlineStr">
        <is>
          <t>moeda</t>
        </is>
      </c>
      <c r="H45" t="inlineStr">
        <is>
          <t>Caixa liquido das atividades operacionais (FC l.18) - memoria</t>
        </is>
      </c>
      <c r="J45" t="inlineStr">
        <is>
          <t>memoria</t>
        </is>
      </c>
      <c r="K45" s="259" t="n">
        <v>37631</v>
      </c>
      <c r="L45" s="259" t="n">
        <v>112567.4741908806</v>
      </c>
      <c r="M45" s="259" t="n">
        <v>34587.1979014333</v>
      </c>
      <c r="N45" s="259" t="n">
        <v>67308.82213968714</v>
      </c>
      <c r="O45" s="259" t="n">
        <v>25142.68952999946</v>
      </c>
      <c r="P45" s="259" t="n">
        <v>109499.1142846763</v>
      </c>
      <c r="Q45" s="259" t="n">
        <v>79969.01697183309</v>
      </c>
      <c r="R45" s="259" t="n">
        <v>4687.142719870933</v>
      </c>
      <c r="S45" s="259" t="n">
        <v>-28341.02959999988</v>
      </c>
      <c r="T45" s="259" t="n">
        <v>15577.77269952234</v>
      </c>
      <c r="U45" s="259" t="n">
        <v>-12831</v>
      </c>
      <c r="V45" s="259" t="n">
        <v>88932.73426268595</v>
      </c>
      <c r="W45" s="259" t="n">
        <v>26681</v>
      </c>
      <c r="X45" s="259" t="n">
        <v>37611.47525997358</v>
      </c>
      <c r="Y45" s="259" t="n">
        <v>-1705.008788750656</v>
      </c>
      <c r="Z45" s="259" t="n">
        <v>138879.5949178888</v>
      </c>
      <c r="AA45" s="259" t="n">
        <v>167949.605730451</v>
      </c>
      <c r="AB45" s="259" t="n">
        <v>125678.1907582304</v>
      </c>
      <c r="AC45" s="259" t="n">
        <v>20182.67841484985</v>
      </c>
      <c r="AD45" s="259" t="n">
        <v>-163128.4749035313</v>
      </c>
      <c r="AE45" s="259" t="n">
        <v>-143967</v>
      </c>
      <c r="AF45" s="259" t="n">
        <v>192670.7646952328</v>
      </c>
      <c r="AG45" s="259" t="n">
        <v>12495.51050983425</v>
      </c>
      <c r="AH45" s="259" t="n">
        <v>407675.127414433</v>
      </c>
      <c r="AI45" s="259" t="n">
        <v>-39651.70242983958</v>
      </c>
      <c r="AJ45" s="259" t="n">
        <v>132077.3122979234</v>
      </c>
    </row>
    <row r="46">
      <c r="G46" t="inlineStr">
        <is>
          <t>moeda</t>
        </is>
      </c>
      <c r="H46" t="inlineStr">
        <is>
          <t>Imobilizado (FC l.21) - memoria</t>
        </is>
      </c>
      <c r="J46" t="inlineStr">
        <is>
          <t>memoria</t>
        </is>
      </c>
      <c r="K46" s="259" t="n">
        <v>-13827</v>
      </c>
      <c r="L46" s="259" t="n">
        <v>-11669.80993</v>
      </c>
      <c r="M46" s="259" t="n">
        <v>-8219.061849097036</v>
      </c>
      <c r="N46" s="259" t="n">
        <v>-5671.616740902953</v>
      </c>
      <c r="O46" s="259" t="n">
        <v>-10919.88945</v>
      </c>
      <c r="P46" s="259" t="n">
        <v>-17716.20555</v>
      </c>
      <c r="Q46" s="259" t="n">
        <v>-22940.59025500011</v>
      </c>
      <c r="R46" s="259" t="n">
        <v>-29127.50249000017</v>
      </c>
      <c r="S46" s="259" t="n">
        <v>-19632</v>
      </c>
      <c r="T46" s="259" t="n">
        <v>-24882.71116225012</v>
      </c>
      <c r="U46" s="259" t="n">
        <v>-36251</v>
      </c>
      <c r="V46" s="259" t="n">
        <v>-28270.2040574838</v>
      </c>
      <c r="W46" s="259" t="n">
        <v>-40002</v>
      </c>
      <c r="X46" s="259" t="n">
        <v>-38353.88257999999</v>
      </c>
      <c r="Y46" s="259" t="n">
        <v>-40350.69507000005</v>
      </c>
      <c r="Z46" s="259" t="n">
        <v>-32872.14060999996</v>
      </c>
      <c r="AA46" s="259" t="n">
        <v>-29130.58822000001</v>
      </c>
      <c r="AB46" s="259" t="n">
        <v>-25125.03997999965</v>
      </c>
      <c r="AC46" s="259" t="n">
        <v>-24599.28467768224</v>
      </c>
      <c r="AD46" s="259" t="n">
        <v>-28585.96248658182</v>
      </c>
      <c r="AE46" s="259" t="n">
        <v>-14646</v>
      </c>
      <c r="AF46" s="259" t="n">
        <v>-14920.7003701798</v>
      </c>
      <c r="AG46" s="259" t="n">
        <v>-20229.2996298202</v>
      </c>
      <c r="AH46" s="259" t="n">
        <v>-20112.89252999997</v>
      </c>
      <c r="AI46" s="259" t="n">
        <v>-18014.19108999998</v>
      </c>
      <c r="AJ46" s="259" t="n">
        <v>-23512.6283099995</v>
      </c>
    </row>
    <row r="47">
      <c r="G47" t="inlineStr">
        <is>
          <t>moeda</t>
        </is>
      </c>
      <c r="H47" t="inlineStr">
        <is>
          <t>Intangivel (FC l.22) - memoria</t>
        </is>
      </c>
      <c r="J47" t="inlineStr">
        <is>
          <t>memoria</t>
        </is>
      </c>
      <c r="K47" s="259" t="n">
        <v>-361</v>
      </c>
      <c r="L47" s="259" t="n">
        <v>-506.94</v>
      </c>
      <c r="M47" s="259" t="n">
        <v>-3158.0697</v>
      </c>
      <c r="N47" s="259" t="n">
        <v>-1297.71096</v>
      </c>
      <c r="O47" s="259" t="n">
        <v>-2029.71778</v>
      </c>
      <c r="P47" s="259" t="n">
        <v>-1922.731759999996</v>
      </c>
      <c r="Q47" s="259" t="n">
        <v>-2680.738390000005</v>
      </c>
      <c r="R47" s="259" t="n">
        <v>-16740.49489</v>
      </c>
      <c r="S47" s="259" t="n">
        <v>-4237</v>
      </c>
      <c r="T47" s="259" t="n">
        <v>-6178.593449999998</v>
      </c>
      <c r="U47" s="259" t="n">
        <v>-15264</v>
      </c>
      <c r="V47" s="259" t="n">
        <v>-3044.551690000004</v>
      </c>
      <c r="W47" s="259" t="n">
        <v>-4034</v>
      </c>
      <c r="X47" s="259" t="n">
        <v>-8902.98501</v>
      </c>
      <c r="Y47" s="259" t="n">
        <v>-7746.973629999975</v>
      </c>
      <c r="Z47" s="259" t="n">
        <v>-5922.042050000025</v>
      </c>
      <c r="AA47" s="259" t="n">
        <v>-6186.58339</v>
      </c>
      <c r="AB47" s="259" t="n">
        <v>-13054.38727</v>
      </c>
      <c r="AC47" s="259" t="n">
        <v>-9908.502690985788</v>
      </c>
      <c r="AD47" s="259" t="n">
        <v>7570.73112736678</v>
      </c>
      <c r="AE47" s="259" t="n">
        <v>-5022</v>
      </c>
      <c r="AF47" s="259" t="n">
        <v>-1753.50818</v>
      </c>
      <c r="AG47" s="259" t="n">
        <v>-1822.49182</v>
      </c>
      <c r="AH47" s="259" t="n">
        <v>-1936.75842</v>
      </c>
      <c r="AI47" s="259" t="n">
        <v>-562.5989999999999</v>
      </c>
      <c r="AJ47" s="259" t="n">
        <v>-323.8643700000001</v>
      </c>
    </row>
    <row r="48">
      <c r="G48" t="inlineStr">
        <is>
          <t>moeda</t>
        </is>
      </c>
      <c r="H48" t="inlineStr">
        <is>
          <t>Arrendamento do Direito de Uso (FC l.29) - memoria</t>
        </is>
      </c>
      <c r="J48" t="inlineStr">
        <is>
          <t>memoria</t>
        </is>
      </c>
      <c r="K48" s="259" t="n">
        <v>-4759</v>
      </c>
      <c r="L48" s="259" t="n">
        <v>-1481.004234506389</v>
      </c>
      <c r="M48" s="259" t="n">
        <v>-2299.434762933942</v>
      </c>
      <c r="N48" s="259" t="n">
        <v>-4000.610642559677</v>
      </c>
      <c r="O48" s="259" t="n">
        <v>-9125.729920000002</v>
      </c>
      <c r="P48" s="259" t="n">
        <v>-2381.289774676025</v>
      </c>
      <c r="Q48" s="259" t="n">
        <v>-8942.69674000001</v>
      </c>
      <c r="R48" s="259" t="n">
        <v>-9345.612719999985</v>
      </c>
      <c r="S48" s="259" t="n">
        <v>-15648</v>
      </c>
      <c r="T48" s="259" t="n">
        <v>-10327.15358999997</v>
      </c>
      <c r="U48" s="259" t="n">
        <v>-3963</v>
      </c>
      <c r="V48" s="259" t="n">
        <v>-8568.16389899997</v>
      </c>
      <c r="W48" s="259" t="n">
        <v>-18641</v>
      </c>
      <c r="X48" s="259" t="n">
        <v>-15616.20517000002</v>
      </c>
      <c r="Y48" s="259" t="n">
        <v>-11521.79482999998</v>
      </c>
      <c r="Z48" s="259" t="n">
        <v>-12825.35883000043</v>
      </c>
      <c r="AA48" s="259" t="n">
        <v>-22386.74083</v>
      </c>
      <c r="AB48" s="259" t="n">
        <v>-14187.03753999996</v>
      </c>
      <c r="AC48" s="259" t="n">
        <v>-14825.53341051555</v>
      </c>
      <c r="AD48" s="259" t="n">
        <v>-13316.84986564235</v>
      </c>
      <c r="AE48" s="259" t="n">
        <v>-29670</v>
      </c>
      <c r="AF48" s="259" t="n">
        <v>-23530.2260612579</v>
      </c>
      <c r="AG48" s="259" t="n">
        <v>-23582.7739387421</v>
      </c>
      <c r="AH48" s="259" t="n">
        <v>-24383.48724710366</v>
      </c>
      <c r="AI48" s="259" t="n">
        <v>-31942.99246770632</v>
      </c>
      <c r="AJ48" s="259" t="n">
        <v>-1935.310510376688</v>
      </c>
    </row>
    <row r="49">
      <c r="G49" t="inlineStr">
        <is>
          <t>moeda</t>
        </is>
      </c>
      <c r="H49" t="inlineStr">
        <is>
          <t>Geração de Caixa Operacional Gerencial (FC l.40) - memoria</t>
        </is>
      </c>
      <c r="J49" t="inlineStr">
        <is>
          <t>memoria</t>
        </is>
      </c>
      <c r="K49" s="259" t="n">
        <v>36474</v>
      </c>
      <c r="L49" s="259" t="n">
        <v>112847.5226363742</v>
      </c>
      <c r="M49" s="259" t="n">
        <v>34434.53129849936</v>
      </c>
      <c r="N49" s="259" t="n">
        <v>65039.66108712746</v>
      </c>
      <c r="O49" s="259" t="n">
        <v>20944.25925999945</v>
      </c>
      <c r="P49" s="259" t="n">
        <v>109924.1244100003</v>
      </c>
      <c r="Q49" s="259" t="n">
        <v>72881.96381183308</v>
      </c>
      <c r="R49" s="259" t="n">
        <v>-291.8462101290479</v>
      </c>
      <c r="S49" s="259" t="n">
        <v>-41203.02959999988</v>
      </c>
      <c r="T49" s="259" t="n">
        <v>16829.91183952237</v>
      </c>
      <c r="U49" s="259" t="n">
        <v>-13342</v>
      </c>
      <c r="V49" s="259" t="n">
        <v>93102.91423368598</v>
      </c>
      <c r="W49" s="259" t="n">
        <v>14511</v>
      </c>
      <c r="X49" s="259" t="n">
        <v>27372.81548997356</v>
      </c>
      <c r="Y49" s="259" t="n">
        <v>-5523.852178750643</v>
      </c>
      <c r="Z49" s="259" t="n">
        <v>131274.8462978883</v>
      </c>
      <c r="AA49" s="259" t="n">
        <v>156006.646560451</v>
      </c>
      <c r="AB49" s="259" t="n">
        <v>111491.1532182304</v>
      </c>
      <c r="AC49" s="259" t="n">
        <v>14363.0645943343</v>
      </c>
      <c r="AD49" s="259" t="n">
        <v>-170784.0260191737</v>
      </c>
      <c r="AE49" s="259" t="n">
        <v>-167361</v>
      </c>
      <c r="AF49" s="259" t="n">
        <v>94632.3236439749</v>
      </c>
      <c r="AG49" s="259" t="n">
        <v>94837.95156109215</v>
      </c>
      <c r="AH49" s="259" t="n">
        <v>240842.1809640345</v>
      </c>
      <c r="AI49" s="259" t="n">
        <v>113784.2825324541</v>
      </c>
      <c r="AJ49" s="259" t="n">
        <v>147257.9282775467</v>
      </c>
    </row>
    <row r="50">
      <c r="H50" s="254" t="inlineStr">
        <is>
          <t>BALANCO (aba BP | BalanceSheet; R$ mil). Colunas 3M/1S/9M/ano = fim de cada trimestre</t>
        </is>
      </c>
    </row>
    <row r="51">
      <c r="A51" t="n">
        <v>11</v>
      </c>
      <c r="B51" t="n">
        <v>1</v>
      </c>
      <c r="G51" t="inlineStr">
        <is>
          <t>moeda</t>
        </is>
      </c>
      <c r="H51" t="inlineStr">
        <is>
          <t>A: Caixa e equivalentes de caixa (BP l.7)</t>
        </is>
      </c>
      <c r="J51" t="inlineStr">
        <is>
          <t>fonte</t>
        </is>
      </c>
      <c r="K51" s="259" t="n">
        <v>472789</v>
      </c>
      <c r="L51" s="259" t="n">
        <v>584678.8915700001</v>
      </c>
      <c r="M51" s="259" t="n">
        <v>519414.40206</v>
      </c>
      <c r="N51" s="259" t="n">
        <v>477319.37947</v>
      </c>
      <c r="O51" s="259" t="n">
        <v>365925.25677</v>
      </c>
      <c r="P51" s="259" t="n">
        <v>361167.5703099999</v>
      </c>
      <c r="Q51" s="259" t="n">
        <v>387128.3686</v>
      </c>
      <c r="R51" s="259" t="n">
        <v>325587.60057</v>
      </c>
      <c r="S51" s="259" t="n">
        <v>246371.96879</v>
      </c>
      <c r="T51" s="259" t="n">
        <v>164942.36768</v>
      </c>
      <c r="U51" s="259" t="n">
        <v>101668.44038</v>
      </c>
      <c r="V51" s="259" t="n">
        <v>160035.97901</v>
      </c>
      <c r="W51" s="259" t="n">
        <v>121464</v>
      </c>
      <c r="X51" s="259" t="n">
        <v>78460.47328999999</v>
      </c>
      <c r="Y51" s="259" t="n">
        <v>69518.70718999999</v>
      </c>
      <c r="Z51" s="259" t="n">
        <v>221495.20791</v>
      </c>
      <c r="AA51" s="259" t="n">
        <v>270202.9653202395</v>
      </c>
      <c r="AB51" s="259" t="n">
        <v>274119.247554769</v>
      </c>
      <c r="AC51" s="259" t="n">
        <v>298901.82653</v>
      </c>
      <c r="AD51" s="259" t="n">
        <v>278153.43096</v>
      </c>
      <c r="AE51" s="259" t="n">
        <v>149941.10269</v>
      </c>
      <c r="AF51" s="259" t="n">
        <v>186085.27754</v>
      </c>
      <c r="AG51" s="259" t="n">
        <v>234363</v>
      </c>
      <c r="AH51" s="259" t="n">
        <v>398644.23187</v>
      </c>
      <c r="AI51" s="259" t="n">
        <v>308473.6828700001</v>
      </c>
      <c r="AJ51" s="259" t="n">
        <v>416659.2280400001</v>
      </c>
    </row>
    <row r="52">
      <c r="A52" t="n">
        <v>11</v>
      </c>
      <c r="B52" t="n">
        <v>1</v>
      </c>
      <c r="G52" t="inlineStr">
        <is>
          <t>moeda</t>
        </is>
      </c>
      <c r="H52" t="inlineStr">
        <is>
          <t>A: Títulos e valores mobiliários (BP l.8)</t>
        </is>
      </c>
      <c r="J52" t="inlineStr">
        <is>
          <t>fonte</t>
        </is>
      </c>
      <c r="K52" s="259" t="n">
        <v>0</v>
      </c>
      <c r="L52" s="259" t="n">
        <v>0</v>
      </c>
      <c r="M52" s="259" t="n">
        <v>65815.22313</v>
      </c>
      <c r="N52" s="259" t="n">
        <v>59725.42451</v>
      </c>
      <c r="O52" s="259" t="n">
        <v>48845.05533</v>
      </c>
      <c r="P52" s="259" t="n">
        <v>68803.89845000001</v>
      </c>
      <c r="Q52" s="259" t="n">
        <v>78650.46652</v>
      </c>
      <c r="R52" s="259" t="n">
        <v>141707.12711</v>
      </c>
      <c r="S52" s="259" t="n">
        <v>147312.73332</v>
      </c>
      <c r="T52" s="259" t="n">
        <v>111433.88754</v>
      </c>
      <c r="U52" s="259" t="n">
        <v>107623.20626</v>
      </c>
      <c r="V52" s="259" t="n">
        <v>155139.21819</v>
      </c>
      <c r="W52" s="259" t="n">
        <v>170131</v>
      </c>
      <c r="X52" s="259" t="n">
        <v>128666.93956</v>
      </c>
      <c r="Y52" s="259" t="n">
        <v>137315.36031</v>
      </c>
      <c r="Z52" s="259" t="n">
        <v>82994.52596</v>
      </c>
      <c r="AA52" s="259" t="n">
        <v>95284.6975097605</v>
      </c>
      <c r="AB52" s="259" t="n">
        <v>67741.01965999999</v>
      </c>
      <c r="AC52" s="259" t="n">
        <v>15155.4521</v>
      </c>
      <c r="AD52" s="259" t="n">
        <v>4529.633110000001</v>
      </c>
      <c r="AE52" s="259" t="n">
        <v>27136.69322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11</v>
      </c>
      <c r="B53" t="n">
        <v>1</v>
      </c>
      <c r="G53" t="inlineStr">
        <is>
          <t>moeda</t>
        </is>
      </c>
      <c r="H53" t="inlineStr">
        <is>
          <t>A: Títulos e valores mobiliários lp (BP l.18) -&gt; caixa</t>
        </is>
      </c>
      <c r="J53" t="inlineStr">
        <is>
          <t>fonte</t>
        </is>
      </c>
      <c r="K53" s="259" t="n">
        <v>0</v>
      </c>
      <c r="L53" s="259" t="n">
        <v>0</v>
      </c>
      <c r="M53" s="259" t="n">
        <v>27015.70591</v>
      </c>
      <c r="N53" s="259" t="n">
        <v>164876.03401</v>
      </c>
      <c r="O53" s="259" t="n">
        <v>206013.18742</v>
      </c>
      <c r="P53" s="259" t="n">
        <v>240893.71336</v>
      </c>
      <c r="Q53" s="259" t="n">
        <v>247738.44106</v>
      </c>
      <c r="R53" s="259" t="n">
        <v>186405.14192</v>
      </c>
      <c r="S53" s="259" t="n">
        <v>185920.70615</v>
      </c>
      <c r="T53" s="259" t="n">
        <v>144731.22812</v>
      </c>
      <c r="U53" s="259" t="n">
        <v>128344.60748</v>
      </c>
      <c r="V53" s="259" t="n">
        <v>67692</v>
      </c>
      <c r="W53" s="259" t="n">
        <v>45252</v>
      </c>
      <c r="X53" s="259" t="n">
        <v>17441.67813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12</v>
      </c>
      <c r="B54" t="n">
        <v>1</v>
      </c>
      <c r="G54" t="inlineStr">
        <is>
          <t>moeda</t>
        </is>
      </c>
      <c r="H54" t="inlineStr">
        <is>
          <t>A: Contas a receber (BP l.9)</t>
        </is>
      </c>
      <c r="J54" t="inlineStr">
        <is>
          <t>fonte</t>
        </is>
      </c>
      <c r="K54" s="259" t="n">
        <v>281886</v>
      </c>
      <c r="L54" s="259" t="n">
        <v>212012.11631</v>
      </c>
      <c r="M54" s="259" t="n">
        <v>226695.6006600001</v>
      </c>
      <c r="N54" s="259" t="n">
        <v>410262.5804100001</v>
      </c>
      <c r="O54" s="259" t="n">
        <v>285004.00907</v>
      </c>
      <c r="P54" s="259" t="n">
        <v>366657.06045</v>
      </c>
      <c r="Q54" s="259" t="n">
        <v>345355.9486300002</v>
      </c>
      <c r="R54" s="259" t="n">
        <v>531777.24879</v>
      </c>
      <c r="S54" s="259" t="n">
        <v>423384.1009099999</v>
      </c>
      <c r="T54" s="259" t="n">
        <v>491508.0471099999</v>
      </c>
      <c r="U54" s="259" t="n">
        <v>446811.96543</v>
      </c>
      <c r="V54" s="259" t="n">
        <v>663797.2088099999</v>
      </c>
      <c r="W54" s="259" t="n">
        <v>515481</v>
      </c>
      <c r="X54" s="259" t="n">
        <v>603767.4873</v>
      </c>
      <c r="Y54" s="259" t="n">
        <v>558868.9701500001</v>
      </c>
      <c r="Z54" s="259" t="n">
        <v>830832.34942</v>
      </c>
      <c r="AA54" s="259" t="n">
        <v>647678.4613</v>
      </c>
      <c r="AB54" s="259" t="n">
        <v>734684.88274</v>
      </c>
      <c r="AC54" s="259" t="n">
        <v>664111.5920099998</v>
      </c>
      <c r="AD54" s="259" t="n">
        <v>955208.1156099999</v>
      </c>
      <c r="AE54" s="259" t="n">
        <v>751029.7580599999</v>
      </c>
      <c r="AF54" s="259" t="n">
        <v>785277.8720300001</v>
      </c>
      <c r="AG54" s="259" t="n">
        <v>820656</v>
      </c>
      <c r="AH54" s="259" t="n">
        <v>989601.40321</v>
      </c>
      <c r="AI54" s="259" t="n">
        <v>899085.02464</v>
      </c>
      <c r="AJ54" s="259" t="n">
        <v>1015525.35945</v>
      </c>
    </row>
    <row r="55">
      <c r="A55" t="n">
        <v>16</v>
      </c>
      <c r="B55" t="n">
        <v>1</v>
      </c>
      <c r="G55" t="inlineStr">
        <is>
          <t>moeda</t>
        </is>
      </c>
      <c r="H55" t="inlineStr">
        <is>
          <t>A: Contas a receber partes relacionadas (BP l.10)</t>
        </is>
      </c>
      <c r="J55" t="inlineStr">
        <is>
          <t>fonte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-1.999998092651367e-05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-0.0003300000429153442</v>
      </c>
      <c r="AE55" s="259" t="n">
        <v>0.0004800000190734863</v>
      </c>
      <c r="AF55" s="259" t="n">
        <v>0</v>
      </c>
      <c r="AG55" s="259" t="n">
        <v>0</v>
      </c>
      <c r="AH55" s="259" t="n">
        <v>9.999632835388183e-06</v>
      </c>
      <c r="AI55" s="259" t="n">
        <v>-3.000020980834961e-05</v>
      </c>
      <c r="AJ55" s="259" t="n">
        <v>-2.00003981590271e-05</v>
      </c>
    </row>
    <row r="56">
      <c r="A56" t="n">
        <v>13</v>
      </c>
      <c r="B56" t="n">
        <v>1</v>
      </c>
      <c r="G56" t="inlineStr">
        <is>
          <t>moeda</t>
        </is>
      </c>
      <c r="H56" t="inlineStr">
        <is>
          <t>A: Estoques (BP l.11)</t>
        </is>
      </c>
      <c r="J56" t="inlineStr">
        <is>
          <t>fonte</t>
        </is>
      </c>
      <c r="K56" s="259" t="n">
        <v>384295</v>
      </c>
      <c r="L56" s="259" t="n">
        <v>360530.6398943665</v>
      </c>
      <c r="M56" s="259" t="n">
        <v>367381.0371507514</v>
      </c>
      <c r="N56" s="259" t="n">
        <v>365184.3666676895</v>
      </c>
      <c r="O56" s="259" t="n">
        <v>410608.1997071289</v>
      </c>
      <c r="P56" s="259" t="n">
        <v>443718.5743575934</v>
      </c>
      <c r="Q56" s="259" t="n">
        <v>525699.0780468041</v>
      </c>
      <c r="R56" s="259" t="n">
        <v>527139.0359674097</v>
      </c>
      <c r="S56" s="259" t="n">
        <v>620107.8697482357</v>
      </c>
      <c r="T56" s="259" t="n">
        <v>646090.6985479364</v>
      </c>
      <c r="U56" s="259" t="n">
        <v>774751.1661011629</v>
      </c>
      <c r="V56" s="259" t="n">
        <v>709711.8311606029</v>
      </c>
      <c r="W56" s="259" t="n">
        <v>802728</v>
      </c>
      <c r="X56" s="259" t="n">
        <v>851364.8716679313</v>
      </c>
      <c r="Y56" s="259" t="n">
        <v>876445.0639493795</v>
      </c>
      <c r="Z56" s="259" t="n">
        <v>782706.4184714911</v>
      </c>
      <c r="AA56" s="259" t="n">
        <v>841014.9126812279</v>
      </c>
      <c r="AB56" s="259" t="n">
        <v>884934.7865508995</v>
      </c>
      <c r="AC56" s="259" t="n">
        <v>1056186.5511</v>
      </c>
      <c r="AD56" s="259" t="n">
        <v>1332577.73279</v>
      </c>
      <c r="AE56" s="259" t="n">
        <v>1504038.8615</v>
      </c>
      <c r="AF56" s="259" t="n">
        <v>1496595.38213</v>
      </c>
      <c r="AG56" s="259" t="n">
        <v>1623503</v>
      </c>
      <c r="AH56" s="259" t="n">
        <v>1478926.40926</v>
      </c>
      <c r="AI56" s="259" t="n">
        <v>1550285.90202</v>
      </c>
      <c r="AJ56" s="259" t="n">
        <v>1537962.51349</v>
      </c>
    </row>
    <row r="57">
      <c r="A57" t="n">
        <v>16</v>
      </c>
      <c r="B57" t="n">
        <v>1</v>
      </c>
      <c r="G57" t="inlineStr">
        <is>
          <t>moeda</t>
        </is>
      </c>
      <c r="H57" t="inlineStr">
        <is>
          <t>A: Impostos a recuperar (BP l.12)</t>
        </is>
      </c>
      <c r="J57" t="inlineStr">
        <is>
          <t>fonte</t>
        </is>
      </c>
      <c r="K57" s="259" t="n">
        <v>53899</v>
      </c>
      <c r="L57" s="259" t="n">
        <v>61405.71560999998</v>
      </c>
      <c r="M57" s="259" t="n">
        <v>93961.28628</v>
      </c>
      <c r="N57" s="259" t="n">
        <v>101033.77792</v>
      </c>
      <c r="O57" s="259" t="n">
        <v>81618.90614000002</v>
      </c>
      <c r="P57" s="259" t="n">
        <v>60730.44049000001</v>
      </c>
      <c r="Q57" s="259" t="n">
        <v>51465.02281000001</v>
      </c>
      <c r="R57" s="259" t="n">
        <v>47627.0086</v>
      </c>
      <c r="S57" s="259" t="n">
        <v>44653.80289</v>
      </c>
      <c r="T57" s="259" t="n">
        <v>44239.89258000001</v>
      </c>
      <c r="U57" s="259" t="n">
        <v>54311.00411</v>
      </c>
      <c r="V57" s="259" t="n">
        <v>55869.85973</v>
      </c>
      <c r="W57" s="259" t="n">
        <v>57103</v>
      </c>
      <c r="X57" s="259" t="n">
        <v>69558.85021</v>
      </c>
      <c r="Y57" s="259" t="n">
        <v>75213.05907999999</v>
      </c>
      <c r="Z57" s="259" t="n">
        <v>118353.46914</v>
      </c>
      <c r="AA57" s="259" t="n">
        <v>129255.86085</v>
      </c>
      <c r="AB57" s="259" t="n">
        <v>139206</v>
      </c>
      <c r="AC57" s="259" t="n">
        <v>198385.40736</v>
      </c>
      <c r="AD57" s="259" t="n">
        <v>189903.97187</v>
      </c>
      <c r="AE57" s="259" t="n">
        <v>183742.9413</v>
      </c>
      <c r="AF57" s="259" t="n">
        <v>171503.00963</v>
      </c>
      <c r="AG57" s="259" t="n">
        <v>262981</v>
      </c>
      <c r="AH57" s="259" t="n">
        <v>168473.61212</v>
      </c>
      <c r="AI57" s="259" t="n">
        <v>153210.44572</v>
      </c>
      <c r="AJ57" s="259" t="n">
        <v>143629.13524</v>
      </c>
    </row>
    <row r="58">
      <c r="A58" t="n">
        <v>15</v>
      </c>
      <c r="B58" t="n">
        <v>1</v>
      </c>
      <c r="G58" t="inlineStr">
        <is>
          <t>moeda</t>
        </is>
      </c>
      <c r="H58" t="inlineStr">
        <is>
          <t>A: Despesas pagas antecipadamente e outros créditos (BP l.13)</t>
        </is>
      </c>
      <c r="J58" t="inlineStr">
        <is>
          <t>fonte</t>
        </is>
      </c>
      <c r="K58" s="259" t="n">
        <v>7566</v>
      </c>
      <c r="L58" s="259" t="n">
        <v>5329.47604</v>
      </c>
      <c r="M58" s="259" t="n">
        <v>3106.03247</v>
      </c>
      <c r="N58" s="259" t="n">
        <v>3261.916909999999</v>
      </c>
      <c r="O58" s="259" t="n">
        <v>12910.36846</v>
      </c>
      <c r="P58" s="259" t="n">
        <v>13400.3447</v>
      </c>
      <c r="Q58" s="259" t="n">
        <v>12244.97846</v>
      </c>
      <c r="R58" s="259" t="n">
        <v>8223.08547</v>
      </c>
      <c r="S58" s="259" t="n">
        <v>14524.60152</v>
      </c>
      <c r="T58" s="259" t="n">
        <v>13628.05206</v>
      </c>
      <c r="U58" s="259" t="n">
        <v>14289.07165</v>
      </c>
      <c r="V58" s="259" t="n">
        <v>16464.4984</v>
      </c>
      <c r="W58" s="259" t="n">
        <v>14944</v>
      </c>
      <c r="X58" s="259" t="n">
        <v>18136.36506</v>
      </c>
      <c r="Y58" s="259" t="n">
        <v>16300.20367</v>
      </c>
      <c r="Z58" s="259" t="n">
        <v>20198.1531</v>
      </c>
      <c r="AA58" s="259" t="n">
        <v>19205.10998</v>
      </c>
      <c r="AB58" s="259" t="n">
        <v>19633.34612</v>
      </c>
      <c r="AC58" s="259" t="n">
        <v>17889.79453</v>
      </c>
      <c r="AD58" s="259" t="n">
        <v>21515.23799000001</v>
      </c>
      <c r="AE58" s="259" t="n">
        <v>29804.41021</v>
      </c>
      <c r="AF58" s="259" t="n">
        <v>65008.86409000005</v>
      </c>
      <c r="AG58" s="259" t="n">
        <v>86678</v>
      </c>
      <c r="AH58" s="259" t="n">
        <v>28954.21047</v>
      </c>
      <c r="AI58" s="259" t="n">
        <v>51919.91514999999</v>
      </c>
      <c r="AJ58" s="259" t="n">
        <v>37033.48819999999</v>
      </c>
    </row>
    <row r="59">
      <c r="A59" t="n">
        <v>16</v>
      </c>
      <c r="B59" t="n">
        <v>1</v>
      </c>
      <c r="G59" t="inlineStr">
        <is>
          <t>moeda</t>
        </is>
      </c>
      <c r="H59" t="inlineStr">
        <is>
          <t>A: Instrumentos derivativos ativo (BP l.14)</t>
        </is>
      </c>
      <c r="J59" t="inlineStr">
        <is>
          <t>fonte</t>
        </is>
      </c>
      <c r="K59" s="259" t="n">
        <v>11900</v>
      </c>
      <c r="L59" s="259" t="n">
        <v>18275.76905</v>
      </c>
      <c r="M59" s="259" t="n">
        <v>21411.79203</v>
      </c>
      <c r="N59" s="259" t="n">
        <v>11766.85775</v>
      </c>
      <c r="O59" s="259" t="n">
        <v>0</v>
      </c>
      <c r="P59" s="259" t="n">
        <v>0</v>
      </c>
      <c r="Q59" s="259" t="n">
        <v>57.76016999999457</v>
      </c>
      <c r="R59" s="259" t="n">
        <v>1158.677369999998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A: Depósitos judiciais (BP l.19)</t>
        </is>
      </c>
      <c r="J60" t="inlineStr">
        <is>
          <t>fonte</t>
        </is>
      </c>
      <c r="K60" s="259" t="n">
        <v>13986</v>
      </c>
      <c r="L60" s="259" t="n">
        <v>13950.27182</v>
      </c>
      <c r="M60" s="259" t="n">
        <v>13541.72575</v>
      </c>
      <c r="N60" s="259" t="n">
        <v>13456.97482</v>
      </c>
      <c r="O60" s="259" t="n">
        <v>13522.00476</v>
      </c>
      <c r="P60" s="259" t="n">
        <v>13586.40756</v>
      </c>
      <c r="Q60" s="259" t="n">
        <v>13472.21825</v>
      </c>
      <c r="R60" s="259" t="n">
        <v>15016.04462</v>
      </c>
      <c r="S60" s="259" t="n">
        <v>14064.31318</v>
      </c>
      <c r="T60" s="259" t="n">
        <v>21788.49708</v>
      </c>
      <c r="U60" s="259" t="n">
        <v>24444.30204</v>
      </c>
      <c r="V60" s="259" t="n">
        <v>28213</v>
      </c>
      <c r="W60" s="259" t="n">
        <v>31072</v>
      </c>
      <c r="X60" s="259" t="n">
        <v>31965.9284</v>
      </c>
      <c r="Y60" s="259" t="n">
        <v>39900.89180999999</v>
      </c>
      <c r="Z60" s="259" t="n">
        <v>23898.98738</v>
      </c>
      <c r="AA60" s="259" t="n">
        <v>24104.1661</v>
      </c>
      <c r="AB60" s="259" t="n">
        <v>24367.08808</v>
      </c>
      <c r="AC60" s="259" t="n">
        <v>24822.43504</v>
      </c>
      <c r="AD60" s="259" t="n">
        <v>24779.21478</v>
      </c>
      <c r="AE60" s="259" t="n">
        <v>25210.18445</v>
      </c>
      <c r="AF60" s="259" t="n">
        <v>25517.82058</v>
      </c>
      <c r="AG60" s="259" t="n">
        <v>26133</v>
      </c>
      <c r="AH60" s="259" t="n">
        <v>28227.2281</v>
      </c>
      <c r="AI60" s="259" t="n">
        <v>29028.32185</v>
      </c>
      <c r="AJ60" s="259" t="n">
        <v>29452.73185</v>
      </c>
    </row>
    <row r="61">
      <c r="A61" t="n">
        <v>22</v>
      </c>
      <c r="B61" t="n">
        <v>1</v>
      </c>
      <c r="G61" t="inlineStr">
        <is>
          <t>moeda</t>
        </is>
      </c>
      <c r="H61" t="inlineStr">
        <is>
          <t>A: Contas a receber partes relacionadas LP (BP l.20)</t>
        </is>
      </c>
      <c r="J61" t="inlineStr">
        <is>
          <t>fonte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22</v>
      </c>
      <c r="B62" t="n">
        <v>1</v>
      </c>
      <c r="G62" t="inlineStr">
        <is>
          <t>moeda</t>
        </is>
      </c>
      <c r="H62" t="inlineStr">
        <is>
          <t>A: Imposto de renda e contribuição social diferidos (BP l.21) (IR diferido ativo, nao circulante)</t>
        </is>
      </c>
      <c r="J62" t="inlineStr">
        <is>
          <t>fonte</t>
        </is>
      </c>
      <c r="K62" s="259" t="n">
        <v>59941</v>
      </c>
      <c r="L62" s="259" t="n">
        <v>87700.78257544433</v>
      </c>
      <c r="M62" s="259" t="n">
        <v>92138.85747333334</v>
      </c>
      <c r="N62" s="259" t="n">
        <v>67831.2453862</v>
      </c>
      <c r="O62" s="259" t="n">
        <v>77472.29393519055</v>
      </c>
      <c r="P62" s="259" t="n">
        <v>83181.31841263265</v>
      </c>
      <c r="Q62" s="259" t="n">
        <v>117125.573395501</v>
      </c>
      <c r="R62" s="259" t="n">
        <v>112318.2362374951</v>
      </c>
      <c r="S62" s="259" t="n">
        <v>137136.1608824338</v>
      </c>
      <c r="T62" s="259" t="n">
        <v>163794.7902645161</v>
      </c>
      <c r="U62" s="259" t="n">
        <v>195067.5741544191</v>
      </c>
      <c r="V62" s="259" t="n">
        <v>199153</v>
      </c>
      <c r="W62" s="259" t="n">
        <v>220450</v>
      </c>
      <c r="X62" s="259" t="n">
        <v>235947.9158518096</v>
      </c>
      <c r="Y62" s="259" t="n">
        <v>245944.2138818096</v>
      </c>
      <c r="Z62" s="259" t="n">
        <v>293960.55151181</v>
      </c>
      <c r="AA62" s="259" t="n">
        <v>251474.1185015123</v>
      </c>
      <c r="AB62" s="259" t="n">
        <v>267197.5368632859</v>
      </c>
      <c r="AC62" s="259" t="n">
        <v>310847.0891</v>
      </c>
      <c r="AD62" s="259" t="n">
        <v>429267.48784</v>
      </c>
      <c r="AE62" s="259" t="n">
        <v>514282.07195</v>
      </c>
      <c r="AF62" s="259" t="n">
        <v>546456.1520499999</v>
      </c>
      <c r="AG62" s="259" t="n">
        <v>590426</v>
      </c>
      <c r="AH62" s="259" t="n">
        <v>568589.45239</v>
      </c>
      <c r="AI62" s="259" t="n">
        <v>614993.8840600001</v>
      </c>
      <c r="AJ62" s="259" t="n">
        <v>625916.26984</v>
      </c>
    </row>
    <row r="63">
      <c r="A63" t="n">
        <v>22</v>
      </c>
      <c r="B63" t="n">
        <v>1</v>
      </c>
      <c r="G63" t="inlineStr">
        <is>
          <t>moeda</t>
        </is>
      </c>
      <c r="H63" t="inlineStr">
        <is>
          <t>A: Instrumentos derivativos ativo (BP l.22)</t>
        </is>
      </c>
      <c r="J63" t="inlineStr">
        <is>
          <t>fonte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2617.236879999995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2099.046060000002</v>
      </c>
      <c r="Z63" s="259" t="n">
        <v>0</v>
      </c>
      <c r="AA63" s="259" t="n">
        <v>1635.20712</v>
      </c>
      <c r="AB63" s="259" t="n">
        <v>7232.18764</v>
      </c>
      <c r="AC63" s="259" t="n">
        <v>6839.670730000001</v>
      </c>
      <c r="AD63" s="259" t="n">
        <v>1276.24119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22</v>
      </c>
      <c r="B64" t="n">
        <v>1</v>
      </c>
      <c r="G64" t="inlineStr">
        <is>
          <t>moeda</t>
        </is>
      </c>
      <c r="H64" t="inlineStr">
        <is>
          <t>A: Despesas pagas antecipadamente e outros créditos (BP l.23)</t>
        </is>
      </c>
      <c r="J64" t="inlineStr">
        <is>
          <t>fonte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920.22587</v>
      </c>
      <c r="AB64" s="259" t="n">
        <v>915.48651</v>
      </c>
      <c r="AC64" s="259" t="n">
        <v>781.7617299999999</v>
      </c>
      <c r="AD64" s="259" t="n">
        <v>2879.31203</v>
      </c>
      <c r="AE64" s="259" t="n">
        <v>2484.93338</v>
      </c>
      <c r="AF64" s="259" t="n">
        <v>1690.11492</v>
      </c>
      <c r="AG64" s="259" t="n">
        <v>1180</v>
      </c>
      <c r="AH64" s="259" t="n">
        <v>5193.12178</v>
      </c>
      <c r="AI64" s="259" t="n">
        <v>4186.6252</v>
      </c>
      <c r="AJ64" s="259" t="n">
        <v>3595.45012</v>
      </c>
    </row>
    <row r="65">
      <c r="A65" t="n">
        <v>22</v>
      </c>
      <c r="B65" t="n">
        <v>1</v>
      </c>
      <c r="G65" t="inlineStr">
        <is>
          <t>moeda</t>
        </is>
      </c>
      <c r="H65" t="inlineStr">
        <is>
          <t>A: Impostos a recuperar (BP l.24)</t>
        </is>
      </c>
      <c r="J65" t="inlineStr">
        <is>
          <t>fonte</t>
        </is>
      </c>
      <c r="K65" s="259" t="n">
        <v>211065</v>
      </c>
      <c r="L65" s="259" t="n">
        <v>175824.99999</v>
      </c>
      <c r="M65" s="259" t="n">
        <v>132062.11682</v>
      </c>
      <c r="N65" s="259" t="n">
        <v>116090.22998</v>
      </c>
      <c r="O65" s="259" t="n">
        <v>112377.83411</v>
      </c>
      <c r="P65" s="259" t="n">
        <v>122985.05958</v>
      </c>
      <c r="Q65" s="259" t="n">
        <v>143698.72919</v>
      </c>
      <c r="R65" s="259" t="n">
        <v>156047.74442</v>
      </c>
      <c r="S65" s="259" t="n">
        <v>168456.84505</v>
      </c>
      <c r="T65" s="259" t="n">
        <v>174632.9585</v>
      </c>
      <c r="U65" s="259" t="n">
        <v>179713.43785</v>
      </c>
      <c r="V65" s="259" t="n">
        <v>181693</v>
      </c>
      <c r="W65" s="259" t="n">
        <v>184187</v>
      </c>
      <c r="X65" s="259" t="n">
        <v>185454.28362</v>
      </c>
      <c r="Y65" s="259" t="n">
        <v>207131.11422</v>
      </c>
      <c r="Z65" s="259" t="n">
        <v>114021.95064</v>
      </c>
      <c r="AA65" s="259" t="n">
        <v>78516.69489</v>
      </c>
      <c r="AB65" s="259" t="n">
        <v>152682</v>
      </c>
      <c r="AC65" s="259" t="n">
        <v>108329.67856</v>
      </c>
      <c r="AD65" s="259" t="n">
        <v>113141.73191</v>
      </c>
      <c r="AE65" s="259" t="n">
        <v>97467.30827000001</v>
      </c>
      <c r="AF65" s="259" t="n">
        <v>77189.75332999999</v>
      </c>
      <c r="AG65" s="259" t="n">
        <v>35169</v>
      </c>
      <c r="AH65" s="259" t="n">
        <v>40798.53926000001</v>
      </c>
      <c r="AI65" s="259" t="n">
        <v>51170.26926000001</v>
      </c>
      <c r="AJ65" s="259" t="n">
        <v>52666.92204999999</v>
      </c>
    </row>
    <row r="66">
      <c r="A66" t="n">
        <v>17</v>
      </c>
      <c r="B66" t="n">
        <v>1</v>
      </c>
      <c r="G66" t="inlineStr">
        <is>
          <t>moeda</t>
        </is>
      </c>
      <c r="H66" t="inlineStr">
        <is>
          <t>A: Investimentos (BP l.25)</t>
        </is>
      </c>
      <c r="J66" t="inlineStr">
        <is>
          <t>fonte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18</v>
      </c>
      <c r="B67" t="n">
        <v>1</v>
      </c>
      <c r="G67" t="inlineStr">
        <is>
          <t>moeda</t>
        </is>
      </c>
      <c r="H67" t="inlineStr">
        <is>
          <t>A: Imobilizado (BP l.26) (inclui direito de uso IFRS16: a planilha nao separa)</t>
        </is>
      </c>
      <c r="J67" t="inlineStr">
        <is>
          <t>fonte</t>
        </is>
      </c>
      <c r="K67" s="259" t="n">
        <v>323158</v>
      </c>
      <c r="L67" s="259" t="n">
        <v>325809.0725899999</v>
      </c>
      <c r="M67" s="259" t="n">
        <v>334210.9364700001</v>
      </c>
      <c r="N67" s="259" t="n">
        <v>340907.3530999999</v>
      </c>
      <c r="O67" s="259" t="n">
        <v>359070.66973</v>
      </c>
      <c r="P67" s="259" t="n">
        <v>389116.45849</v>
      </c>
      <c r="Q67" s="259" t="n">
        <v>432310.02293</v>
      </c>
      <c r="R67" s="259" t="n">
        <v>480987.9522400001</v>
      </c>
      <c r="S67" s="259" t="n">
        <v>508950.98746</v>
      </c>
      <c r="T67" s="259" t="n">
        <v>550425.30122</v>
      </c>
      <c r="U67" s="259" t="n">
        <v>615824.45021</v>
      </c>
      <c r="V67" s="259" t="n">
        <v>652164</v>
      </c>
      <c r="W67" s="259" t="n">
        <v>675451</v>
      </c>
      <c r="X67" s="259" t="n">
        <v>701404.7388500002</v>
      </c>
      <c r="Y67" s="259" t="n">
        <v>738277.2822100001</v>
      </c>
      <c r="Z67" s="259" t="n">
        <v>765745.9827199999</v>
      </c>
      <c r="AA67" s="259" t="n">
        <v>787747.75086</v>
      </c>
      <c r="AB67" s="259" t="n">
        <v>798605.6623300001</v>
      </c>
      <c r="AC67" s="259" t="n">
        <v>827389.0739300003</v>
      </c>
      <c r="AD67" s="259" t="n">
        <v>853171.5618200001</v>
      </c>
      <c r="AE67" s="259" t="n">
        <v>875204.4380000001</v>
      </c>
      <c r="AF67" s="259" t="n">
        <v>865697.2123400003</v>
      </c>
      <c r="AG67" s="259" t="n">
        <v>955645</v>
      </c>
      <c r="AH67" s="259" t="n">
        <v>955347.3058799999</v>
      </c>
      <c r="AI67" s="259" t="n">
        <v>957470.1915300002</v>
      </c>
      <c r="AJ67" s="259" t="n">
        <v>966315.6716000001</v>
      </c>
    </row>
    <row r="68">
      <c r="A68" t="n">
        <v>21</v>
      </c>
      <c r="B68" t="n">
        <v>1</v>
      </c>
      <c r="G68" t="inlineStr">
        <is>
          <t>moeda</t>
        </is>
      </c>
      <c r="H68" t="inlineStr">
        <is>
          <t>A: Intangível (BP l.27)</t>
        </is>
      </c>
      <c r="J68" t="inlineStr">
        <is>
          <t>fonte</t>
        </is>
      </c>
      <c r="K68" s="259" t="n">
        <v>8707</v>
      </c>
      <c r="L68" s="259" t="n">
        <v>8021.014000000006</v>
      </c>
      <c r="M68" s="259" t="n">
        <v>13903.81050999999</v>
      </c>
      <c r="N68" s="259" t="n">
        <v>8980.57575</v>
      </c>
      <c r="O68" s="259" t="n">
        <v>10411.87674000001</v>
      </c>
      <c r="P68" s="259" t="n">
        <v>11363.13578</v>
      </c>
      <c r="Q68" s="259" t="n">
        <v>13875.59703</v>
      </c>
      <c r="R68" s="259" t="n">
        <v>29873.93098</v>
      </c>
      <c r="S68" s="259" t="n">
        <v>20663.17616</v>
      </c>
      <c r="T68" s="259" t="n">
        <v>26241.99048</v>
      </c>
      <c r="U68" s="259" t="n">
        <v>36926.72287</v>
      </c>
      <c r="V68" s="259" t="n">
        <v>42240</v>
      </c>
      <c r="W68" s="259" t="n">
        <v>43895</v>
      </c>
      <c r="X68" s="259" t="n">
        <v>50404.08397</v>
      </c>
      <c r="Y68" s="259" t="n">
        <v>55737.04279000001</v>
      </c>
      <c r="Z68" s="259" t="n">
        <v>59190.86483000001</v>
      </c>
      <c r="AA68" s="259" t="n">
        <v>62911.51845000001</v>
      </c>
      <c r="AB68" s="259" t="n">
        <v>72755.72573000002</v>
      </c>
      <c r="AC68" s="259" t="n">
        <v>78488.23496999999</v>
      </c>
      <c r="AD68" s="259" t="n">
        <v>67326.03928999999</v>
      </c>
      <c r="AE68" s="259" t="n">
        <v>67921.2041</v>
      </c>
      <c r="AF68" s="259" t="n">
        <v>65178.99848000002</v>
      </c>
      <c r="AG68" s="259" t="n">
        <v>62459</v>
      </c>
      <c r="AH68" s="259" t="n">
        <v>59937.85068</v>
      </c>
      <c r="AI68" s="259" t="n">
        <v>55843.03254</v>
      </c>
      <c r="AJ68" s="259" t="n">
        <v>51556.01363000002</v>
      </c>
    </row>
    <row r="69">
      <c r="A69" t="n">
        <v>23</v>
      </c>
      <c r="B69" t="n">
        <v>1</v>
      </c>
      <c r="G69" t="inlineStr">
        <is>
          <t>moeda</t>
        </is>
      </c>
      <c r="H69" t="inlineStr">
        <is>
          <t>P: Fornecedores (BP l.33)</t>
        </is>
      </c>
      <c r="J69" t="inlineStr">
        <is>
          <t>fonte</t>
        </is>
      </c>
      <c r="K69" s="259" t="n">
        <v>24785</v>
      </c>
      <c r="L69" s="259" t="n">
        <v>18603.76887</v>
      </c>
      <c r="M69" s="259" t="n">
        <v>9039.266109999999</v>
      </c>
      <c r="N69" s="259" t="n">
        <v>53198.18437</v>
      </c>
      <c r="O69" s="259" t="n">
        <v>36189.60171</v>
      </c>
      <c r="P69" s="259" t="n">
        <v>56868.54221999998</v>
      </c>
      <c r="Q69" s="259" t="n">
        <v>100005.99354</v>
      </c>
      <c r="R69" s="259" t="n">
        <v>88207.20052</v>
      </c>
      <c r="S69" s="259" t="n">
        <v>77368.64816</v>
      </c>
      <c r="T69" s="259" t="n">
        <v>71888.23787000001</v>
      </c>
      <c r="U69" s="259" t="n">
        <v>110224.31589</v>
      </c>
      <c r="V69" s="259" t="n">
        <v>104961</v>
      </c>
      <c r="W69" s="259" t="n">
        <v>122162</v>
      </c>
      <c r="X69" s="259" t="n">
        <v>118583.73421</v>
      </c>
      <c r="Y69" s="259" t="n">
        <v>73524.51898999997</v>
      </c>
      <c r="Z69" s="259" t="n">
        <v>142182.92441</v>
      </c>
      <c r="AA69" s="259" t="n">
        <v>76323.43142999998</v>
      </c>
      <c r="AB69" s="259" t="n">
        <v>110144.7015600001</v>
      </c>
      <c r="AC69" s="259" t="n">
        <v>85099.15714999998</v>
      </c>
      <c r="AD69" s="259" t="n">
        <v>158735.7857200001</v>
      </c>
      <c r="AE69" s="259" t="n">
        <v>152649.9562099999</v>
      </c>
      <c r="AF69" s="259" t="n">
        <v>160953.97891</v>
      </c>
      <c r="AG69" s="259" t="n">
        <v>210960</v>
      </c>
      <c r="AH69" s="259" t="n">
        <v>189472.0083899999</v>
      </c>
      <c r="AI69" s="259" t="n">
        <v>125460.04216</v>
      </c>
      <c r="AJ69" s="259" t="n">
        <v>130583.08155</v>
      </c>
    </row>
    <row r="70">
      <c r="A70" t="n">
        <v>27</v>
      </c>
      <c r="B70" t="n">
        <v>1</v>
      </c>
      <c r="G70" t="inlineStr">
        <is>
          <t>moeda</t>
        </is>
      </c>
      <c r="H70" t="inlineStr">
        <is>
          <t>P: Fornecedores - Convênio (BP l.34) (risco sacado -&gt; divida)</t>
        </is>
      </c>
      <c r="J70" t="inlineStr">
        <is>
          <t>fonte</t>
        </is>
      </c>
      <c r="K70" s="259" t="n">
        <v>0</v>
      </c>
      <c r="L70" s="259" t="n">
        <v>0</v>
      </c>
      <c r="M70" s="259" t="n">
        <v>0</v>
      </c>
      <c r="N70" s="259" t="n">
        <v>0</v>
      </c>
      <c r="O70" s="259" t="n">
        <v>7985.599789999999</v>
      </c>
      <c r="P70" s="259" t="n">
        <v>67411.71473000002</v>
      </c>
      <c r="Q70" s="259" t="n">
        <v>102232.93172</v>
      </c>
      <c r="R70" s="259" t="n">
        <v>69348.74412999999</v>
      </c>
      <c r="S70" s="259" t="n">
        <v>94622.01397</v>
      </c>
      <c r="T70" s="259" t="n">
        <v>95636.08410000001</v>
      </c>
      <c r="U70" s="259" t="n">
        <v>77446.54962000001</v>
      </c>
      <c r="V70" s="259" t="n">
        <v>40247</v>
      </c>
      <c r="W70" s="259" t="n">
        <v>57558</v>
      </c>
      <c r="X70" s="259" t="n">
        <v>96285.03507</v>
      </c>
      <c r="Y70" s="259" t="n">
        <v>57493.04915</v>
      </c>
      <c r="Z70" s="259" t="n">
        <v>29519.2906</v>
      </c>
      <c r="AA70" s="259" t="n">
        <v>67237.35794</v>
      </c>
      <c r="AB70" s="259" t="n">
        <v>100403.88514</v>
      </c>
      <c r="AC70" s="259" t="n">
        <v>174727.06586</v>
      </c>
      <c r="AD70" s="259" t="n">
        <v>214134.91964</v>
      </c>
      <c r="AE70" s="259" t="n">
        <v>11250.09944000001</v>
      </c>
      <c r="AF70" s="259" t="n">
        <v>12431.61406</v>
      </c>
      <c r="AG70" s="259" t="n">
        <v>1526</v>
      </c>
      <c r="AH70" s="259" t="n">
        <v>4609.623560000001</v>
      </c>
      <c r="AI70" s="259" t="n">
        <v>814.46231</v>
      </c>
      <c r="AJ70" s="259" t="n">
        <v>2633.93005</v>
      </c>
    </row>
    <row r="71">
      <c r="A71" t="n">
        <v>27</v>
      </c>
      <c r="B71" t="n">
        <v>1</v>
      </c>
      <c r="G71" t="inlineStr">
        <is>
          <t>moeda</t>
        </is>
      </c>
      <c r="H71" t="inlineStr">
        <is>
          <t>P: Empréstimos e financiamentos (BP l.35)</t>
        </is>
      </c>
      <c r="J71" t="inlineStr">
        <is>
          <t>fonte</t>
        </is>
      </c>
      <c r="K71" s="259" t="n">
        <v>236246</v>
      </c>
      <c r="L71" s="259" t="n">
        <v>302999.8699</v>
      </c>
      <c r="M71" s="259" t="n">
        <v>275019.06089</v>
      </c>
      <c r="N71" s="259" t="n">
        <v>277820.62115</v>
      </c>
      <c r="O71" s="259" t="n">
        <v>61863.24982</v>
      </c>
      <c r="P71" s="259" t="n">
        <v>112784.74071</v>
      </c>
      <c r="Q71" s="259" t="n">
        <v>155022.87352</v>
      </c>
      <c r="R71" s="259" t="n">
        <v>127176.04281</v>
      </c>
      <c r="S71" s="259" t="n">
        <v>151602.46803</v>
      </c>
      <c r="T71" s="259" t="n">
        <v>114006.94619</v>
      </c>
      <c r="U71" s="259" t="n">
        <v>75366.78851</v>
      </c>
      <c r="V71" s="259" t="n">
        <v>116970</v>
      </c>
      <c r="W71" s="259" t="n">
        <v>101949</v>
      </c>
      <c r="X71" s="259" t="n">
        <v>100588.90869</v>
      </c>
      <c r="Y71" s="259" t="n">
        <v>141777.15334</v>
      </c>
      <c r="Z71" s="259" t="n">
        <v>111463.43516</v>
      </c>
      <c r="AA71" s="259" t="n">
        <v>126091.96778</v>
      </c>
      <c r="AB71" s="259" t="n">
        <v>126079.04753</v>
      </c>
      <c r="AC71" s="259" t="n">
        <v>140972.89664</v>
      </c>
      <c r="AD71" s="259" t="n">
        <v>113369.65276</v>
      </c>
      <c r="AE71" s="259" t="n">
        <v>141155.24785</v>
      </c>
      <c r="AF71" s="259" t="n">
        <v>159490.12693</v>
      </c>
      <c r="AG71" s="259" t="n">
        <v>42540</v>
      </c>
      <c r="AH71" s="259" t="n">
        <v>232972.8436</v>
      </c>
      <c r="AI71" s="259" t="n">
        <v>214776.08916</v>
      </c>
      <c r="AJ71" s="259" t="n">
        <v>219846.62247</v>
      </c>
    </row>
    <row r="72">
      <c r="A72" t="n">
        <v>26</v>
      </c>
      <c r="B72" t="n">
        <v>1</v>
      </c>
      <c r="G72" t="inlineStr">
        <is>
          <t>moeda</t>
        </is>
      </c>
      <c r="H72" t="inlineStr">
        <is>
          <t>P: Receitas Diferidas (BP l.36)</t>
        </is>
      </c>
      <c r="J72" t="inlineStr">
        <is>
          <t>fonte</t>
        </is>
      </c>
      <c r="K72" s="259" t="n">
        <v>0</v>
      </c>
      <c r="L72" s="259" t="n">
        <v>0</v>
      </c>
      <c r="M72" s="259" t="n">
        <v>0</v>
      </c>
      <c r="N72" s="259" t="n">
        <v>0</v>
      </c>
      <c r="O72" s="259" t="n">
        <v>0</v>
      </c>
      <c r="P72" s="259" t="n">
        <v>0</v>
      </c>
      <c r="Q72" s="259" t="n">
        <v>0</v>
      </c>
      <c r="R72" s="259" t="n">
        <v>0</v>
      </c>
      <c r="S72" s="259" t="n">
        <v>0</v>
      </c>
      <c r="T72" s="259" t="n">
        <v>0</v>
      </c>
      <c r="U72" s="259" t="n">
        <v>0</v>
      </c>
      <c r="V72" s="259" t="n">
        <v>1010</v>
      </c>
      <c r="W72" s="259" t="n">
        <v>1010</v>
      </c>
      <c r="X72" s="259" t="n">
        <v>1010.00001</v>
      </c>
      <c r="Y72" s="259" t="n">
        <v>0</v>
      </c>
      <c r="Z72" s="259" t="n">
        <v>0</v>
      </c>
      <c r="AA72" s="259" t="n">
        <v>0</v>
      </c>
      <c r="AB72" s="259" t="n">
        <v>0</v>
      </c>
      <c r="AC72" s="259" t="n">
        <v>0</v>
      </c>
      <c r="AD72" s="259" t="n">
        <v>0</v>
      </c>
      <c r="AE72" s="259" t="n">
        <v>0</v>
      </c>
      <c r="AF72" s="259" t="n">
        <v>0</v>
      </c>
      <c r="AG72" s="259" t="n">
        <v>0</v>
      </c>
      <c r="AH72" s="259" t="n">
        <v>0</v>
      </c>
      <c r="AI72" s="259" t="n">
        <v>0</v>
      </c>
      <c r="AJ72" s="259" t="n">
        <v>0</v>
      </c>
    </row>
    <row r="73">
      <c r="A73" t="n">
        <v>26</v>
      </c>
      <c r="B73" t="n">
        <v>1</v>
      </c>
      <c r="G73" t="inlineStr">
        <is>
          <t>moeda</t>
        </is>
      </c>
      <c r="H73" t="inlineStr">
        <is>
          <t>P: Investimentos - passivo a descoberto (BP l.37)</t>
        </is>
      </c>
      <c r="J73" t="inlineStr">
        <is>
          <t>fonte</t>
        </is>
      </c>
      <c r="K73" s="259" t="n">
        <v>0</v>
      </c>
      <c r="L73" s="259" t="n">
        <v>0</v>
      </c>
      <c r="M73" s="259" t="n">
        <v>0</v>
      </c>
      <c r="N73" s="259" t="n">
        <v>0</v>
      </c>
      <c r="O73" s="259" t="n">
        <v>0</v>
      </c>
      <c r="P73" s="259" t="n">
        <v>0</v>
      </c>
      <c r="Q73" s="259" t="n">
        <v>0</v>
      </c>
      <c r="R73" s="259" t="n">
        <v>0</v>
      </c>
      <c r="S73" s="259" t="n">
        <v>0</v>
      </c>
      <c r="T73" s="259" t="n">
        <v>0</v>
      </c>
      <c r="U73" s="259" t="n">
        <v>0</v>
      </c>
      <c r="V73" s="259" t="n">
        <v>0</v>
      </c>
      <c r="W73" s="259" t="n">
        <v>0</v>
      </c>
      <c r="X73" s="259" t="n">
        <v>0</v>
      </c>
      <c r="Y73" s="259" t="n">
        <v>0</v>
      </c>
      <c r="Z73" s="259" t="n">
        <v>0</v>
      </c>
      <c r="AA73" s="259" t="n">
        <v>0</v>
      </c>
      <c r="AB73" s="259" t="n">
        <v>0</v>
      </c>
      <c r="AC73" s="259" t="n">
        <v>0</v>
      </c>
      <c r="AD73" s="259" t="n">
        <v>0</v>
      </c>
      <c r="AE73" s="259" t="n">
        <v>0</v>
      </c>
      <c r="AF73" s="259" t="n">
        <v>0</v>
      </c>
      <c r="AG73" s="259" t="n">
        <v>0</v>
      </c>
      <c r="AH73" s="259" t="n">
        <v>0</v>
      </c>
      <c r="AI73" s="259" t="n">
        <v>0</v>
      </c>
      <c r="AJ73" s="259" t="n">
        <v>0</v>
      </c>
    </row>
    <row r="74">
      <c r="A74" t="n">
        <v>26</v>
      </c>
      <c r="B74" t="n">
        <v>1</v>
      </c>
      <c r="G74" t="inlineStr">
        <is>
          <t>moeda</t>
        </is>
      </c>
      <c r="H74" t="inlineStr">
        <is>
          <t>P: Partes relacionadas (BP l.38)</t>
        </is>
      </c>
      <c r="J74" t="inlineStr">
        <is>
          <t>fonte</t>
        </is>
      </c>
      <c r="K74" s="259" t="n">
        <v>90</v>
      </c>
      <c r="L74" s="259" t="n">
        <v>70.29475999999046</v>
      </c>
      <c r="M74" s="259" t="n">
        <v>21.81198999989033</v>
      </c>
      <c r="N74" s="259" t="n">
        <v>0</v>
      </c>
      <c r="O74" s="259" t="n">
        <v>0</v>
      </c>
      <c r="P74" s="259" t="n">
        <v>0</v>
      </c>
      <c r="Q74" s="259" t="n">
        <v>0</v>
      </c>
      <c r="R74" s="259" t="n">
        <v>0</v>
      </c>
      <c r="S74" s="259" t="n">
        <v>0</v>
      </c>
      <c r="T74" s="259" t="n">
        <v>0</v>
      </c>
      <c r="U74" s="259" t="n">
        <v>0</v>
      </c>
      <c r="V74" s="259" t="n">
        <v>0</v>
      </c>
      <c r="W74" s="259" t="n">
        <v>0</v>
      </c>
      <c r="X74" s="259" t="n">
        <v>0</v>
      </c>
      <c r="Y74" s="259" t="n">
        <v>0</v>
      </c>
      <c r="Z74" s="259" t="n">
        <v>0</v>
      </c>
      <c r="AA74" s="259" t="n">
        <v>0</v>
      </c>
      <c r="AB74" s="259" t="n">
        <v>0</v>
      </c>
      <c r="AC74" s="259" t="n">
        <v>0</v>
      </c>
      <c r="AD74" s="259" t="n">
        <v>0.0001799998134374619</v>
      </c>
      <c r="AE74" s="259" t="n">
        <v>0</v>
      </c>
      <c r="AF74" s="259" t="n">
        <v>0</v>
      </c>
      <c r="AG74" s="259" t="n">
        <v>0</v>
      </c>
      <c r="AH74" s="259" t="n">
        <v>0</v>
      </c>
      <c r="AI74" s="259" t="n">
        <v>1.788139343261719e-10</v>
      </c>
      <c r="AJ74" s="259" t="n">
        <v>0</v>
      </c>
    </row>
    <row r="75">
      <c r="A75" t="n">
        <v>24</v>
      </c>
      <c r="B75" t="n">
        <v>1</v>
      </c>
      <c r="G75" t="inlineStr">
        <is>
          <t>moeda</t>
        </is>
      </c>
      <c r="H75" t="inlineStr">
        <is>
          <t>P: Obrigações trabalhistas e previdenciárias (BP l.39)</t>
        </is>
      </c>
      <c r="J75" t="inlineStr">
        <is>
          <t>fonte</t>
        </is>
      </c>
      <c r="K75" s="259" t="n">
        <v>52283</v>
      </c>
      <c r="L75" s="259" t="n">
        <v>47502.74302999999</v>
      </c>
      <c r="M75" s="259" t="n">
        <v>42977.03668</v>
      </c>
      <c r="N75" s="259" t="n">
        <v>49922.05457</v>
      </c>
      <c r="O75" s="259" t="n">
        <v>38218.70662999999</v>
      </c>
      <c r="P75" s="259" t="n">
        <v>56608.59770999999</v>
      </c>
      <c r="Q75" s="259" t="n">
        <v>63466.17657</v>
      </c>
      <c r="R75" s="259" t="n">
        <v>78046.0701</v>
      </c>
      <c r="S75" s="259" t="n">
        <v>69046.69142999998</v>
      </c>
      <c r="T75" s="259" t="n">
        <v>74512.96511</v>
      </c>
      <c r="U75" s="259" t="n">
        <v>80695.14494999999</v>
      </c>
      <c r="V75" s="259" t="n">
        <v>92338</v>
      </c>
      <c r="W75" s="259" t="n">
        <v>79320</v>
      </c>
      <c r="X75" s="259" t="n">
        <v>89334.22627</v>
      </c>
      <c r="Y75" s="259" t="n">
        <v>93052.61464999997</v>
      </c>
      <c r="Z75" s="259" t="n">
        <v>117858.76958</v>
      </c>
      <c r="AA75" s="259" t="n">
        <v>96175.28958000001</v>
      </c>
      <c r="AB75" s="259" t="n">
        <v>102690.20985</v>
      </c>
      <c r="AC75" s="259" t="n">
        <v>106681.01504</v>
      </c>
      <c r="AD75" s="259" t="n">
        <v>125292.75499</v>
      </c>
      <c r="AE75" s="259" t="n">
        <v>101011.3837</v>
      </c>
      <c r="AF75" s="259" t="n">
        <v>119621.76617</v>
      </c>
      <c r="AG75" s="259" t="n">
        <v>116438</v>
      </c>
      <c r="AH75" s="259" t="n">
        <v>143620.12145</v>
      </c>
      <c r="AI75" s="259" t="n">
        <v>121290.04759</v>
      </c>
      <c r="AJ75" s="259" t="n">
        <v>136929.10584</v>
      </c>
    </row>
    <row r="76">
      <c r="A76" t="n">
        <v>25</v>
      </c>
      <c r="B76" t="n">
        <v>1</v>
      </c>
      <c r="G76" t="inlineStr">
        <is>
          <t>moeda</t>
        </is>
      </c>
      <c r="H76" t="inlineStr">
        <is>
          <t>P: Obrigações tributárias (BP l.40)</t>
        </is>
      </c>
      <c r="J76" t="inlineStr">
        <is>
          <t>fonte</t>
        </is>
      </c>
      <c r="K76" s="259" t="n">
        <v>34060</v>
      </c>
      <c r="L76" s="259" t="n">
        <v>35774.26607000001</v>
      </c>
      <c r="M76" s="259" t="n">
        <v>42098.66502999999</v>
      </c>
      <c r="N76" s="259" t="n">
        <v>92176.90784999999</v>
      </c>
      <c r="O76" s="259" t="n">
        <v>35477.37820000001</v>
      </c>
      <c r="P76" s="259" t="n">
        <v>58588.56669000001</v>
      </c>
      <c r="Q76" s="259" t="n">
        <v>50344.67376999999</v>
      </c>
      <c r="R76" s="259" t="n">
        <v>113490.88736</v>
      </c>
      <c r="S76" s="259" t="n">
        <v>50448.20678999999</v>
      </c>
      <c r="T76" s="259" t="n">
        <v>66429.04515999999</v>
      </c>
      <c r="U76" s="259" t="n">
        <v>63332.54718</v>
      </c>
      <c r="V76" s="259" t="n">
        <v>111609.66567</v>
      </c>
      <c r="W76" s="259" t="n">
        <v>57734</v>
      </c>
      <c r="X76" s="259" t="n">
        <v>65775.63058</v>
      </c>
      <c r="Y76" s="259" t="n">
        <v>58278.84280999999</v>
      </c>
      <c r="Z76" s="259" t="n">
        <v>85080.82577000001</v>
      </c>
      <c r="AA76" s="259" t="n">
        <v>53753.62984</v>
      </c>
      <c r="AB76" s="259" t="n">
        <v>82613.4918</v>
      </c>
      <c r="AC76" s="259" t="n">
        <v>69536.05591</v>
      </c>
      <c r="AD76" s="259" t="n">
        <v>106981.05801</v>
      </c>
      <c r="AE76" s="259" t="n">
        <v>54829.64442000001</v>
      </c>
      <c r="AF76" s="259" t="n">
        <v>79418.00107</v>
      </c>
      <c r="AG76" s="259" t="n">
        <v>101917</v>
      </c>
      <c r="AH76" s="259" t="n">
        <v>123909.26167</v>
      </c>
      <c r="AI76" s="259" t="n">
        <v>76072.38625000001</v>
      </c>
      <c r="AJ76" s="259" t="n">
        <v>91338.71147999998</v>
      </c>
    </row>
    <row r="77">
      <c r="A77" t="n">
        <v>25</v>
      </c>
      <c r="B77" t="n">
        <v>1</v>
      </c>
      <c r="G77" t="inlineStr">
        <is>
          <t>moeda</t>
        </is>
      </c>
      <c r="H77" t="inlineStr">
        <is>
          <t>P: Parcelamento de tributos (BP l.41)</t>
        </is>
      </c>
      <c r="J77" t="inlineStr">
        <is>
          <t>fonte</t>
        </is>
      </c>
      <c r="K77" s="259" t="n">
        <v>458</v>
      </c>
      <c r="L77" s="259" t="n">
        <v>457.93883</v>
      </c>
      <c r="M77" s="259" t="n">
        <v>353.47971</v>
      </c>
      <c r="N77" s="259" t="n">
        <v>327.0857099999999</v>
      </c>
      <c r="O77" s="259" t="n">
        <v>263.28212</v>
      </c>
      <c r="P77" s="259" t="n">
        <v>258.81587</v>
      </c>
      <c r="Q77" s="259" t="n">
        <v>256.13418</v>
      </c>
      <c r="R77" s="259" t="n">
        <v>266.976</v>
      </c>
      <c r="S77" s="259" t="n">
        <v>254.89506</v>
      </c>
      <c r="T77" s="259" t="n">
        <v>275.45652</v>
      </c>
      <c r="U77" s="259" t="n">
        <v>263.22849</v>
      </c>
      <c r="V77" s="259" t="n">
        <v>260.33433</v>
      </c>
      <c r="W77" s="259" t="n">
        <v>0</v>
      </c>
      <c r="X77" s="259" t="n">
        <v>0</v>
      </c>
      <c r="Y77" s="259" t="n">
        <v>0</v>
      </c>
      <c r="Z77" s="259" t="n">
        <v>0</v>
      </c>
      <c r="AA77" s="259" t="n">
        <v>0</v>
      </c>
      <c r="AB77" s="259" t="n">
        <v>0</v>
      </c>
      <c r="AC77" s="259" t="n">
        <v>0</v>
      </c>
      <c r="AD77" s="259" t="n">
        <v>0</v>
      </c>
      <c r="AE77" s="259" t="n">
        <v>0</v>
      </c>
      <c r="AF77" s="259" t="n">
        <v>0</v>
      </c>
      <c r="AG77" s="259" t="n">
        <v>0</v>
      </c>
      <c r="AH77" s="259" t="n">
        <v>0</v>
      </c>
      <c r="AI77" s="259" t="n">
        <v>0</v>
      </c>
      <c r="AJ77" s="259" t="n">
        <v>0</v>
      </c>
    </row>
    <row r="78">
      <c r="A78" t="n">
        <v>27</v>
      </c>
      <c r="B78" t="n">
        <v>1</v>
      </c>
      <c r="G78" t="inlineStr">
        <is>
          <t>moeda</t>
        </is>
      </c>
      <c r="H78" t="inlineStr">
        <is>
          <t>P: Arrendamentos a pagar (BP l.42) (arrendamentos financeiros -&gt; divida)</t>
        </is>
      </c>
      <c r="J78" t="inlineStr">
        <is>
          <t>fonte</t>
        </is>
      </c>
      <c r="K78" s="259" t="n">
        <v>8705</v>
      </c>
      <c r="L78" s="259" t="n">
        <v>13758.36794</v>
      </c>
      <c r="M78" s="259" t="n">
        <v>21225.57111</v>
      </c>
      <c r="N78" s="259" t="n">
        <v>10367.30017</v>
      </c>
      <c r="O78" s="259" t="n">
        <v>12883.78562</v>
      </c>
      <c r="P78" s="259" t="n">
        <v>23968.34389</v>
      </c>
      <c r="Q78" s="259" t="n">
        <v>21783.62315</v>
      </c>
      <c r="R78" s="259" t="n">
        <v>17140.91461</v>
      </c>
      <c r="S78" s="259" t="n">
        <v>14876.5879</v>
      </c>
      <c r="T78" s="259" t="n">
        <v>17745.50957</v>
      </c>
      <c r="U78" s="259" t="n">
        <v>14202.35904</v>
      </c>
      <c r="V78" s="259" t="n">
        <v>19766</v>
      </c>
      <c r="W78" s="259" t="n">
        <v>18955</v>
      </c>
      <c r="X78" s="259" t="n">
        <v>19937.70206</v>
      </c>
      <c r="Y78" s="259" t="n">
        <v>18942.49678</v>
      </c>
      <c r="Z78" s="259" t="n">
        <v>17662.57672</v>
      </c>
      <c r="AA78" s="259" t="n">
        <v>16346.3851</v>
      </c>
      <c r="AB78" s="259" t="n">
        <v>17879.82947</v>
      </c>
      <c r="AC78" s="259" t="n">
        <v>15938.48495</v>
      </c>
      <c r="AD78" s="259" t="n">
        <v>14933.49741</v>
      </c>
      <c r="AE78" s="259" t="n">
        <v>11619.45453</v>
      </c>
      <c r="AF78" s="259" t="n">
        <v>13245.18205</v>
      </c>
      <c r="AG78" s="259" t="n">
        <v>10336</v>
      </c>
      <c r="AH78" s="259" t="n">
        <v>14487.02871</v>
      </c>
      <c r="AI78" s="259" t="n">
        <v>12830.89883</v>
      </c>
      <c r="AJ78" s="259" t="n">
        <v>15241.38286</v>
      </c>
    </row>
    <row r="79">
      <c r="A79" t="n">
        <v>26</v>
      </c>
      <c r="B79" t="n">
        <v>1</v>
      </c>
      <c r="G79" t="inlineStr">
        <is>
          <t>moeda</t>
        </is>
      </c>
      <c r="H79" t="inlineStr">
        <is>
          <t>P: Instrumentos derivativos passivo (BP l.43)</t>
        </is>
      </c>
      <c r="J79" t="inlineStr">
        <is>
          <t>fonte</t>
        </is>
      </c>
      <c r="K79" s="259" t="n">
        <v>0</v>
      </c>
      <c r="L79" s="259" t="n">
        <v>0</v>
      </c>
      <c r="M79" s="259" t="n">
        <v>0</v>
      </c>
      <c r="N79" s="259" t="n">
        <v>0</v>
      </c>
      <c r="O79" s="259" t="n">
        <v>0</v>
      </c>
      <c r="P79" s="259" t="n">
        <v>664.78316</v>
      </c>
      <c r="Q79" s="259" t="n">
        <v>0</v>
      </c>
      <c r="R79" s="259" t="n">
        <v>0</v>
      </c>
      <c r="S79" s="259" t="n">
        <v>484.71536</v>
      </c>
      <c r="T79" s="259" t="n">
        <v>590.6578300000001</v>
      </c>
      <c r="U79" s="259" t="n">
        <v>660.13782</v>
      </c>
      <c r="V79" s="259" t="n">
        <v>672</v>
      </c>
      <c r="W79" s="259" t="n">
        <v>3318</v>
      </c>
      <c r="X79" s="259" t="n">
        <v>5825.068310000002</v>
      </c>
      <c r="Y79" s="259" t="n">
        <v>4086.464350000002</v>
      </c>
      <c r="Z79" s="259" t="n">
        <v>7215.877420000001</v>
      </c>
      <c r="AA79" s="259" t="n">
        <v>0</v>
      </c>
      <c r="AB79" s="259" t="n">
        <v>0</v>
      </c>
      <c r="AC79" s="259" t="n">
        <v>0</v>
      </c>
      <c r="AD79" s="259" t="n">
        <v>0</v>
      </c>
      <c r="AE79" s="259" t="n">
        <v>0</v>
      </c>
      <c r="AF79" s="259" t="n">
        <v>0</v>
      </c>
      <c r="AG79" s="259" t="n">
        <v>0</v>
      </c>
      <c r="AH79" s="259" t="n">
        <v>22729.44802</v>
      </c>
      <c r="AI79" s="259" t="n">
        <v>41062.4806</v>
      </c>
      <c r="AJ79" s="259" t="n">
        <v>36578.78478</v>
      </c>
    </row>
    <row r="80">
      <c r="A80" t="n">
        <v>29</v>
      </c>
      <c r="B80" t="n">
        <v>1</v>
      </c>
      <c r="G80" t="inlineStr">
        <is>
          <t>moeda</t>
        </is>
      </c>
      <c r="H80" t="inlineStr">
        <is>
          <t>P: Arrendamentos direito de uso a pagar (BP l.44) (IFRS16 -&gt; cod 29)</t>
        </is>
      </c>
      <c r="J80" t="inlineStr">
        <is>
          <t>fonte</t>
        </is>
      </c>
      <c r="K80" s="259" t="n">
        <v>25919</v>
      </c>
      <c r="L80" s="259" t="n">
        <v>26919.00058</v>
      </c>
      <c r="M80" s="259" t="n">
        <v>28806.02764</v>
      </c>
      <c r="N80" s="259" t="n">
        <v>39954.9798</v>
      </c>
      <c r="O80" s="259" t="n">
        <v>44635.46011</v>
      </c>
      <c r="P80" s="259" t="n">
        <v>56668.88564</v>
      </c>
      <c r="Q80" s="259" t="n">
        <v>47536.80748</v>
      </c>
      <c r="R80" s="259" t="n">
        <v>59919.74470999999</v>
      </c>
      <c r="S80" s="259" t="n">
        <v>56445.08628</v>
      </c>
      <c r="T80" s="259" t="n">
        <v>60841.67654</v>
      </c>
      <c r="U80" s="259" t="n">
        <v>64583.81376</v>
      </c>
      <c r="V80" s="259" t="n">
        <v>59546</v>
      </c>
      <c r="W80" s="259" t="n">
        <v>67470</v>
      </c>
      <c r="X80" s="259" t="n">
        <v>68007.82476999999</v>
      </c>
      <c r="Y80" s="259" t="n">
        <v>70192.88521000001</v>
      </c>
      <c r="Z80" s="259" t="n">
        <v>70059.08533</v>
      </c>
      <c r="AA80" s="259" t="n">
        <v>67474.43166</v>
      </c>
      <c r="AB80" s="259" t="n">
        <v>68403.82884999999</v>
      </c>
      <c r="AC80" s="259" t="n">
        <v>94637.92474000002</v>
      </c>
      <c r="AD80" s="259" t="n">
        <v>88069.4388</v>
      </c>
      <c r="AE80" s="259" t="n">
        <v>85539.12428</v>
      </c>
      <c r="AF80" s="259" t="n">
        <v>85182.05603000001</v>
      </c>
      <c r="AG80" s="259" t="n">
        <v>82191</v>
      </c>
      <c r="AH80" s="259" t="n">
        <v>83186.38845</v>
      </c>
      <c r="AI80" s="259" t="n">
        <v>83307.2542</v>
      </c>
      <c r="AJ80" s="259" t="n">
        <v>83722.35324000001</v>
      </c>
    </row>
    <row r="81">
      <c r="A81" t="n">
        <v>26</v>
      </c>
      <c r="B81" t="n">
        <v>1</v>
      </c>
      <c r="G81" t="inlineStr">
        <is>
          <t>moeda</t>
        </is>
      </c>
      <c r="H81" t="inlineStr">
        <is>
          <t>P: Juros sobre o capital próprio a pagar (BP l.45)</t>
        </is>
      </c>
      <c r="J81" t="inlineStr">
        <is>
          <t>fonte</t>
        </is>
      </c>
      <c r="K81" s="259" t="n">
        <v>8124</v>
      </c>
      <c r="L81" s="259" t="n">
        <v>35563.00562999999</v>
      </c>
      <c r="M81" s="259" t="n">
        <v>35563.00562999999</v>
      </c>
      <c r="N81" s="259" t="n">
        <v>22353.02528</v>
      </c>
      <c r="O81" s="259" t="n">
        <v>22353.02528</v>
      </c>
      <c r="P81" s="259" t="n">
        <v>2.03142</v>
      </c>
      <c r="Q81" s="259" t="n">
        <v>0.67301</v>
      </c>
      <c r="R81" s="259" t="n">
        <v>58182.90406</v>
      </c>
      <c r="S81" s="259" t="n">
        <v>58182.90406</v>
      </c>
      <c r="T81" s="259" t="n">
        <v>1.87737</v>
      </c>
      <c r="U81" s="259" t="n">
        <v>1.87737</v>
      </c>
      <c r="V81" s="259" t="n">
        <v>2</v>
      </c>
      <c r="W81" s="259" t="n">
        <v>2</v>
      </c>
      <c r="X81" s="259" t="n">
        <v>1.87737</v>
      </c>
      <c r="Y81" s="259" t="n">
        <v>1.87737</v>
      </c>
      <c r="Z81" s="259" t="n">
        <v>1.87737</v>
      </c>
      <c r="AA81" s="259" t="n">
        <v>1.87737</v>
      </c>
      <c r="AB81" s="259" t="n">
        <v>1.64864</v>
      </c>
      <c r="AC81" s="259" t="n">
        <v>1.64864</v>
      </c>
      <c r="AD81" s="259" t="n">
        <v>1.64864</v>
      </c>
      <c r="AE81" s="259" t="n">
        <v>1.64864</v>
      </c>
      <c r="AF81" s="259" t="n">
        <v>0</v>
      </c>
      <c r="AG81" s="259" t="n">
        <v>0</v>
      </c>
      <c r="AH81" s="259" t="n">
        <v>0</v>
      </c>
      <c r="AI81" s="259" t="n">
        <v>0</v>
      </c>
      <c r="AJ81" s="259" t="n">
        <v>0</v>
      </c>
    </row>
    <row r="82">
      <c r="A82" t="n">
        <v>26</v>
      </c>
      <c r="B82" t="n">
        <v>1</v>
      </c>
      <c r="G82" t="inlineStr">
        <is>
          <t>moeda</t>
        </is>
      </c>
      <c r="H82" t="inlineStr">
        <is>
          <t>P: Dividendos a pagar (BP l.46)</t>
        </is>
      </c>
      <c r="J82" t="inlineStr">
        <is>
          <t>fonte</t>
        </is>
      </c>
      <c r="K82" s="259" t="n">
        <v>0</v>
      </c>
      <c r="L82" s="259" t="n">
        <v>0</v>
      </c>
      <c r="M82" s="259" t="n">
        <v>0</v>
      </c>
      <c r="N82" s="259" t="n">
        <v>12481.63089</v>
      </c>
      <c r="O82" s="259" t="n">
        <v>12481.63089</v>
      </c>
      <c r="P82" s="259" t="n">
        <v>1.49014</v>
      </c>
      <c r="Q82" s="259" t="n">
        <v>0.47666</v>
      </c>
      <c r="R82" s="259" t="n">
        <v>12709.32668</v>
      </c>
      <c r="S82" s="259" t="n">
        <v>12709.32668</v>
      </c>
      <c r="T82" s="259" t="n">
        <v>1.04933</v>
      </c>
      <c r="U82" s="259" t="n">
        <v>1.04933</v>
      </c>
      <c r="V82" s="259" t="n">
        <v>85703.97349999999</v>
      </c>
      <c r="W82" s="259" t="n">
        <v>85704</v>
      </c>
      <c r="X82" s="259" t="n">
        <v>3.46505</v>
      </c>
      <c r="Y82" s="259" t="n">
        <v>3.46505</v>
      </c>
      <c r="Z82" s="259" t="n">
        <v>87699.04635999999</v>
      </c>
      <c r="AA82" s="259" t="n">
        <v>87699.04635999999</v>
      </c>
      <c r="AB82" s="259" t="n">
        <v>4.694109999999999</v>
      </c>
      <c r="AC82" s="259" t="n">
        <v>4.694109999999999</v>
      </c>
      <c r="AD82" s="259" t="n">
        <v>155185.75636</v>
      </c>
      <c r="AE82" s="259" t="n">
        <v>155185.75636</v>
      </c>
      <c r="AF82" s="259" t="n">
        <v>8.26581</v>
      </c>
      <c r="AG82" s="259" t="n">
        <v>8</v>
      </c>
      <c r="AH82" s="259" t="n">
        <v>10.09893</v>
      </c>
      <c r="AI82" s="259" t="n">
        <v>10.09893</v>
      </c>
      <c r="AJ82" s="259" t="n">
        <v>10.09893</v>
      </c>
    </row>
    <row r="83">
      <c r="A83" t="n">
        <v>26</v>
      </c>
      <c r="B83" t="n">
        <v>1</v>
      </c>
      <c r="G83" t="inlineStr">
        <is>
          <t>moeda</t>
        </is>
      </c>
      <c r="H83" t="inlineStr">
        <is>
          <t>P: Outras obrigações (BP l.47)</t>
        </is>
      </c>
      <c r="J83" t="inlineStr">
        <is>
          <t>fonte</t>
        </is>
      </c>
      <c r="K83" s="259" t="n">
        <v>12876</v>
      </c>
      <c r="L83" s="259" t="n">
        <v>25175.78893</v>
      </c>
      <c r="M83" s="259" t="n">
        <v>22337.64332</v>
      </c>
      <c r="N83" s="259" t="n">
        <v>30441.11957</v>
      </c>
      <c r="O83" s="259" t="n">
        <v>29697.87087</v>
      </c>
      <c r="P83" s="259" t="n">
        <v>23885.58117</v>
      </c>
      <c r="Q83" s="259" t="n">
        <v>25038.73144</v>
      </c>
      <c r="R83" s="259" t="n">
        <v>49807.05614</v>
      </c>
      <c r="S83" s="259" t="n">
        <v>26632.03683999999</v>
      </c>
      <c r="T83" s="259" t="n">
        <v>40997.69963</v>
      </c>
      <c r="U83" s="259" t="n">
        <v>42643.74359999999</v>
      </c>
      <c r="V83" s="259" t="n">
        <v>93169</v>
      </c>
      <c r="W83" s="259" t="n">
        <v>53098</v>
      </c>
      <c r="X83" s="259" t="n">
        <v>56334.87399</v>
      </c>
      <c r="Y83" s="259" t="n">
        <v>59393.659</v>
      </c>
      <c r="Z83" s="259" t="n">
        <v>26844.1515600001</v>
      </c>
      <c r="AA83" s="259" t="n">
        <v>86205.4452</v>
      </c>
      <c r="AB83" s="259" t="n">
        <v>83840.07803999999</v>
      </c>
      <c r="AC83" s="259" t="n">
        <v>73601.74182999998</v>
      </c>
      <c r="AD83" s="259" t="n">
        <v>18982.36132</v>
      </c>
      <c r="AE83" s="259" t="n">
        <v>33315.75401</v>
      </c>
      <c r="AF83" s="259" t="n">
        <v>24656.63429</v>
      </c>
      <c r="AG83" s="259" t="n">
        <v>20373</v>
      </c>
      <c r="AH83" s="259" t="n">
        <v>28951.49501999999</v>
      </c>
      <c r="AI83" s="259" t="n">
        <v>39496.49288</v>
      </c>
      <c r="AJ83" s="259" t="n">
        <v>35290.75236999999</v>
      </c>
    </row>
    <row r="84">
      <c r="A84" t="n">
        <v>34</v>
      </c>
      <c r="B84" t="n">
        <v>1</v>
      </c>
      <c r="G84" t="inlineStr">
        <is>
          <t>moeda</t>
        </is>
      </c>
      <c r="H84" t="inlineStr">
        <is>
          <t>P: Obrigações trabalhistas e previdenciárias (BP l.51)</t>
        </is>
      </c>
      <c r="J84" t="inlineStr">
        <is>
          <t>fonte</t>
        </is>
      </c>
      <c r="K84" s="259" t="n">
        <v>9193</v>
      </c>
      <c r="L84" s="259" t="n">
        <v>6953.62603</v>
      </c>
      <c r="M84" s="259" t="n">
        <v>6953.62603</v>
      </c>
      <c r="N84" s="259" t="n">
        <v>6953.62603</v>
      </c>
      <c r="O84" s="259" t="n">
        <v>6953.62603</v>
      </c>
      <c r="P84" s="259" t="n">
        <v>3890.95758</v>
      </c>
      <c r="Q84" s="259" t="n">
        <v>3890.95758</v>
      </c>
      <c r="R84" s="259" t="n">
        <v>1265.93421</v>
      </c>
      <c r="S84" s="259" t="n">
        <v>1265.93421</v>
      </c>
      <c r="T84" s="259" t="n">
        <v>1265.93421</v>
      </c>
      <c r="U84" s="259" t="n">
        <v>0</v>
      </c>
      <c r="V84" s="259" t="n">
        <v>0</v>
      </c>
      <c r="W84" s="259" t="n">
        <v>0</v>
      </c>
      <c r="X84" s="259" t="n">
        <v>0</v>
      </c>
      <c r="Y84" s="259" t="n">
        <v>0</v>
      </c>
      <c r="Z84" s="259" t="n">
        <v>0</v>
      </c>
      <c r="AA84" s="259" t="n">
        <v>0</v>
      </c>
      <c r="AB84" s="259" t="n">
        <v>0</v>
      </c>
      <c r="AC84" s="259" t="n">
        <v>0</v>
      </c>
      <c r="AD84" s="259" t="n">
        <v>0</v>
      </c>
      <c r="AE84" s="259" t="n">
        <v>0</v>
      </c>
      <c r="AF84" s="259" t="n">
        <v>0</v>
      </c>
      <c r="AG84" s="259" t="n">
        <v>0</v>
      </c>
      <c r="AH84" s="259" t="n">
        <v>0</v>
      </c>
      <c r="AI84" s="259" t="n">
        <v>0</v>
      </c>
      <c r="AJ84" s="259" t="n">
        <v>0</v>
      </c>
    </row>
    <row r="85">
      <c r="A85" t="n">
        <v>30</v>
      </c>
      <c r="B85" t="n">
        <v>1</v>
      </c>
      <c r="G85" t="inlineStr">
        <is>
          <t>moeda</t>
        </is>
      </c>
      <c r="H85" t="inlineStr">
        <is>
          <t>P: Empréstimos e financiamentos (BP l.52)</t>
        </is>
      </c>
      <c r="J85" t="inlineStr">
        <is>
          <t>fonte</t>
        </is>
      </c>
      <c r="K85" s="259" t="n">
        <v>62667</v>
      </c>
      <c r="L85" s="259" t="n">
        <v>17500</v>
      </c>
      <c r="M85" s="259" t="n">
        <v>55000</v>
      </c>
      <c r="N85" s="259" t="n">
        <v>112500</v>
      </c>
      <c r="O85" s="259" t="n">
        <v>233358.78587</v>
      </c>
      <c r="P85" s="259" t="n">
        <v>174012.85183</v>
      </c>
      <c r="Q85" s="259" t="n">
        <v>135882.55549</v>
      </c>
      <c r="R85" s="259" t="n">
        <v>164036.72818</v>
      </c>
      <c r="S85" s="259" t="n">
        <v>133864.16949</v>
      </c>
      <c r="T85" s="259" t="n">
        <v>118270.25729</v>
      </c>
      <c r="U85" s="259" t="n">
        <v>159792.20919</v>
      </c>
      <c r="V85" s="259" t="n">
        <v>108186</v>
      </c>
      <c r="W85" s="259" t="n">
        <v>120000</v>
      </c>
      <c r="X85" s="259" t="n">
        <v>119999.99997</v>
      </c>
      <c r="Y85" s="259" t="n">
        <v>132604.42724</v>
      </c>
      <c r="Z85" s="259" t="n">
        <v>160000.00048</v>
      </c>
      <c r="AA85" s="259" t="n">
        <v>100000.00049</v>
      </c>
      <c r="AB85" s="259" t="n">
        <v>107558.98797</v>
      </c>
      <c r="AC85" s="259" t="n">
        <v>90000</v>
      </c>
      <c r="AD85" s="259" t="n">
        <v>285191.05128</v>
      </c>
      <c r="AE85" s="259" t="n">
        <v>328311.22549</v>
      </c>
      <c r="AF85" s="259" t="n">
        <v>316824.3912</v>
      </c>
      <c r="AG85" s="259" t="n">
        <v>508994</v>
      </c>
      <c r="AH85" s="259" t="n">
        <v>298302.86383</v>
      </c>
      <c r="AI85" s="259" t="n">
        <v>298393.78183</v>
      </c>
      <c r="AJ85" s="259" t="n">
        <v>298484.69983</v>
      </c>
    </row>
    <row r="86">
      <c r="A86" t="n">
        <v>34</v>
      </c>
      <c r="B86" t="n">
        <v>1</v>
      </c>
      <c r="G86" t="inlineStr">
        <is>
          <t>moeda</t>
        </is>
      </c>
      <c r="H86" t="inlineStr">
        <is>
          <t>P: Instrumentos derivativos passivo LP (BP l.53)</t>
        </is>
      </c>
      <c r="J86" t="inlineStr">
        <is>
          <t>fonte</t>
        </is>
      </c>
      <c r="K86" s="259" t="n">
        <v>0</v>
      </c>
      <c r="L86" s="259" t="n">
        <v>0</v>
      </c>
      <c r="M86" s="259" t="n">
        <v>0</v>
      </c>
      <c r="N86" s="259" t="n">
        <v>0</v>
      </c>
      <c r="O86" s="259" t="n">
        <v>0</v>
      </c>
      <c r="P86" s="259" t="n">
        <v>3228.842810000002</v>
      </c>
      <c r="Q86" s="259" t="n">
        <v>0</v>
      </c>
      <c r="R86" s="259" t="n">
        <v>0</v>
      </c>
      <c r="S86" s="259" t="n">
        <v>6245.728740000002</v>
      </c>
      <c r="T86" s="259" t="n">
        <v>1729.742710000001</v>
      </c>
      <c r="U86" s="259" t="n">
        <v>207.790770000003</v>
      </c>
      <c r="V86" s="259" t="n">
        <v>1814</v>
      </c>
      <c r="W86" s="259" t="n">
        <v>0</v>
      </c>
      <c r="X86" s="259" t="n">
        <v>0</v>
      </c>
      <c r="Y86" s="259" t="n">
        <v>0</v>
      </c>
      <c r="Z86" s="259" t="n">
        <v>0</v>
      </c>
      <c r="AA86" s="259" t="n">
        <v>0</v>
      </c>
      <c r="AB86" s="259" t="n">
        <v>0</v>
      </c>
      <c r="AC86" s="259" t="n">
        <v>0</v>
      </c>
      <c r="AD86" s="259" t="n">
        <v>0</v>
      </c>
      <c r="AE86" s="259" t="n">
        <v>17754.02706</v>
      </c>
      <c r="AF86" s="259" t="n">
        <v>24934.44027</v>
      </c>
      <c r="AG86" s="259" t="n">
        <v>35845</v>
      </c>
      <c r="AH86" s="259" t="n">
        <v>0</v>
      </c>
      <c r="AI86" s="259" t="n">
        <v>0</v>
      </c>
      <c r="AJ86" s="259" t="n">
        <v>0</v>
      </c>
    </row>
    <row r="87">
      <c r="A87" t="n">
        <v>34</v>
      </c>
      <c r="B87" t="n">
        <v>1</v>
      </c>
      <c r="G87" t="inlineStr">
        <is>
          <t>moeda</t>
        </is>
      </c>
      <c r="H87" t="inlineStr">
        <is>
          <t>P: Parcelamento de tributos (BP l.54)</t>
        </is>
      </c>
      <c r="J87" t="inlineStr">
        <is>
          <t>fonte</t>
        </is>
      </c>
      <c r="K87" s="259" t="n">
        <v>1741</v>
      </c>
      <c r="L87" s="259" t="n">
        <v>1674.45231</v>
      </c>
      <c r="M87" s="259" t="n">
        <v>1621.53483</v>
      </c>
      <c r="N87" s="259" t="n">
        <v>814.5414</v>
      </c>
      <c r="O87" s="259" t="n">
        <v>821.1252900000001</v>
      </c>
      <c r="P87" s="259" t="n">
        <v>765.0057099999999</v>
      </c>
      <c r="Q87" s="259" t="n">
        <v>710.4513300000001</v>
      </c>
      <c r="R87" s="259" t="n">
        <v>632.86828</v>
      </c>
      <c r="S87" s="259" t="n">
        <v>589.67449</v>
      </c>
      <c r="T87" s="259" t="n">
        <v>511.01307</v>
      </c>
      <c r="U87" s="259" t="n">
        <v>466.69126</v>
      </c>
      <c r="V87" s="259" t="n">
        <v>415</v>
      </c>
      <c r="W87" s="259" t="n">
        <v>0</v>
      </c>
      <c r="X87" s="259" t="n">
        <v>0</v>
      </c>
      <c r="Y87" s="259" t="n">
        <v>0</v>
      </c>
      <c r="Z87" s="259" t="n">
        <v>0</v>
      </c>
      <c r="AA87" s="259" t="n">
        <v>0</v>
      </c>
      <c r="AB87" s="259" t="n">
        <v>0</v>
      </c>
      <c r="AC87" s="259" t="n">
        <v>0</v>
      </c>
      <c r="AD87" s="259" t="n">
        <v>0</v>
      </c>
      <c r="AE87" s="259" t="n">
        <v>0</v>
      </c>
      <c r="AF87" s="259" t="n">
        <v>0</v>
      </c>
      <c r="AG87" s="259" t="n">
        <v>0</v>
      </c>
      <c r="AH87" s="259" t="n">
        <v>0</v>
      </c>
      <c r="AI87" s="259" t="n">
        <v>0</v>
      </c>
      <c r="AJ87" s="259" t="n">
        <v>0</v>
      </c>
    </row>
    <row r="88">
      <c r="A88" t="n">
        <v>34</v>
      </c>
      <c r="B88" t="n">
        <v>1</v>
      </c>
      <c r="G88" t="inlineStr">
        <is>
          <t>moeda</t>
        </is>
      </c>
      <c r="H88" t="inlineStr">
        <is>
          <t>P: Receitas Diferidas LP (BP l.55)</t>
        </is>
      </c>
      <c r="J88" t="inlineStr">
        <is>
          <t>fonte</t>
        </is>
      </c>
      <c r="K88" s="259" t="n">
        <v>0</v>
      </c>
      <c r="L88" s="259" t="n">
        <v>0</v>
      </c>
      <c r="M88" s="259" t="n">
        <v>0</v>
      </c>
      <c r="N88" s="259" t="n">
        <v>0</v>
      </c>
      <c r="O88" s="259" t="n">
        <v>0</v>
      </c>
      <c r="P88" s="259" t="n">
        <v>0</v>
      </c>
      <c r="Q88" s="259" t="n">
        <v>0</v>
      </c>
      <c r="R88" s="259" t="n">
        <v>0</v>
      </c>
      <c r="S88" s="259" t="n">
        <v>0</v>
      </c>
      <c r="T88" s="259" t="n">
        <v>0</v>
      </c>
      <c r="U88" s="259" t="n">
        <v>0</v>
      </c>
      <c r="V88" s="259" t="n">
        <v>2693</v>
      </c>
      <c r="W88" s="259" t="n">
        <v>2441</v>
      </c>
      <c r="X88" s="259" t="n">
        <v>2188.33347</v>
      </c>
      <c r="Y88" s="259" t="n">
        <v>0</v>
      </c>
      <c r="Z88" s="259" t="n">
        <v>0</v>
      </c>
      <c r="AA88" s="259" t="n">
        <v>0</v>
      </c>
      <c r="AB88" s="259" t="n">
        <v>0</v>
      </c>
      <c r="AC88" s="259" t="n">
        <v>0</v>
      </c>
      <c r="AD88" s="259" t="n">
        <v>0</v>
      </c>
      <c r="AE88" s="259" t="n">
        <v>0</v>
      </c>
      <c r="AF88" s="259" t="n">
        <v>0</v>
      </c>
      <c r="AG88" s="259" t="n">
        <v>0</v>
      </c>
      <c r="AH88" s="259" t="n">
        <v>0</v>
      </c>
      <c r="AI88" s="259" t="n">
        <v>0</v>
      </c>
      <c r="AJ88" s="259" t="n">
        <v>0</v>
      </c>
    </row>
    <row r="89">
      <c r="A89" t="n">
        <v>34</v>
      </c>
      <c r="B89" t="n">
        <v>1</v>
      </c>
      <c r="G89" t="inlineStr">
        <is>
          <t>moeda</t>
        </is>
      </c>
      <c r="H89" t="inlineStr">
        <is>
          <t>P: Provisão para riscos cíveis, trabalhistas e tributários (BP l.56)</t>
        </is>
      </c>
      <c r="J89" t="inlineStr">
        <is>
          <t>fonte</t>
        </is>
      </c>
      <c r="K89" s="259" t="n">
        <v>14559</v>
      </c>
      <c r="L89" s="259" t="n">
        <v>15299.70885</v>
      </c>
      <c r="M89" s="259" t="n">
        <v>17194.81693</v>
      </c>
      <c r="N89" s="259" t="n">
        <v>24636.36208</v>
      </c>
      <c r="O89" s="259" t="n">
        <v>25173.40466</v>
      </c>
      <c r="P89" s="259" t="n">
        <v>26009.29005</v>
      </c>
      <c r="Q89" s="259" t="n">
        <v>24480.2526</v>
      </c>
      <c r="R89" s="259" t="n">
        <v>17054.38593</v>
      </c>
      <c r="S89" s="259" t="n">
        <v>16464.93919</v>
      </c>
      <c r="T89" s="259" t="n">
        <v>20338.44722</v>
      </c>
      <c r="U89" s="259" t="n">
        <v>18821.88188</v>
      </c>
      <c r="V89" s="259" t="n">
        <v>18254</v>
      </c>
      <c r="W89" s="259" t="n">
        <v>17533</v>
      </c>
      <c r="X89" s="259" t="n">
        <v>19062.54241</v>
      </c>
      <c r="Y89" s="259" t="n">
        <v>15583.57139</v>
      </c>
      <c r="Z89" s="259" t="n">
        <v>14573.94443</v>
      </c>
      <c r="AA89" s="259" t="n">
        <v>13934.53686</v>
      </c>
      <c r="AB89" s="259" t="n">
        <v>14632.57411</v>
      </c>
      <c r="AC89" s="259" t="n">
        <v>15443.24634</v>
      </c>
      <c r="AD89" s="259" t="n">
        <v>18316.6105</v>
      </c>
      <c r="AE89" s="259" t="n">
        <v>21345.99117</v>
      </c>
      <c r="AF89" s="259" t="n">
        <v>26879.02581</v>
      </c>
      <c r="AG89" s="259" t="n">
        <v>32178</v>
      </c>
      <c r="AH89" s="259" t="n">
        <v>26936.58659</v>
      </c>
      <c r="AI89" s="259" t="n">
        <v>29029.9133</v>
      </c>
      <c r="AJ89" s="259" t="n">
        <v>30586.26262</v>
      </c>
    </row>
    <row r="90">
      <c r="A90" t="n">
        <v>31</v>
      </c>
      <c r="B90" t="n">
        <v>1</v>
      </c>
      <c r="G90" t="inlineStr">
        <is>
          <t>moeda</t>
        </is>
      </c>
      <c r="H90" t="inlineStr">
        <is>
          <t>P: Arrendamentos direito de uso a pagar (BP l.57) (IFRS16 -&gt; cod 31)</t>
        </is>
      </c>
      <c r="J90" t="inlineStr">
        <is>
          <t>fonte</t>
        </is>
      </c>
      <c r="K90" s="259" t="n">
        <v>228751</v>
      </c>
      <c r="L90" s="259" t="n">
        <v>225657.29671</v>
      </c>
      <c r="M90" s="259" t="n">
        <v>236671.66187</v>
      </c>
      <c r="N90" s="259" t="n">
        <v>235273.46437</v>
      </c>
      <c r="O90" s="259" t="n">
        <v>242651.89661</v>
      </c>
      <c r="P90" s="259" t="n">
        <v>252938.96289</v>
      </c>
      <c r="Q90" s="259" t="n">
        <v>291375.04025</v>
      </c>
      <c r="R90" s="259" t="n">
        <v>310148.35357</v>
      </c>
      <c r="S90" s="259" t="n">
        <v>319742.82632</v>
      </c>
      <c r="T90" s="259" t="n">
        <v>346374.87757</v>
      </c>
      <c r="U90" s="259" t="n">
        <v>383750.32793</v>
      </c>
      <c r="V90" s="259" t="n">
        <v>415097</v>
      </c>
      <c r="W90" s="259" t="n">
        <v>399860</v>
      </c>
      <c r="X90" s="259" t="n">
        <v>403925.11688</v>
      </c>
      <c r="Y90" s="259" t="n">
        <v>416521.85172</v>
      </c>
      <c r="Z90" s="259" t="n">
        <v>432624.56006</v>
      </c>
      <c r="AA90" s="259" t="n">
        <v>441974.8787</v>
      </c>
      <c r="AB90" s="259" t="n">
        <v>449604.47687</v>
      </c>
      <c r="AC90" s="259" t="n">
        <v>453210.8424793588</v>
      </c>
      <c r="AD90" s="259" t="n">
        <v>472130.59294</v>
      </c>
      <c r="AE90" s="259" t="n">
        <v>496436.63268</v>
      </c>
      <c r="AF90" s="259" t="n">
        <v>495068.46211</v>
      </c>
      <c r="AG90" s="259" t="n">
        <v>595771</v>
      </c>
      <c r="AH90" s="259" t="n">
        <v>599517.92284</v>
      </c>
      <c r="AI90" s="259" t="n">
        <v>598942.70661</v>
      </c>
      <c r="AJ90" s="259" t="n">
        <v>608465.0945799999</v>
      </c>
    </row>
    <row r="91">
      <c r="A91" t="n">
        <v>34</v>
      </c>
      <c r="B91" t="n">
        <v>1</v>
      </c>
      <c r="G91" t="inlineStr">
        <is>
          <t>moeda</t>
        </is>
      </c>
      <c r="H91" t="inlineStr">
        <is>
          <t>P: Outras obrigações (BP l.58)</t>
        </is>
      </c>
      <c r="J91" t="inlineStr">
        <is>
          <t>fonte</t>
        </is>
      </c>
      <c r="K91" s="259" t="n">
        <v>0</v>
      </c>
      <c r="L91" s="259" t="n">
        <v>0</v>
      </c>
      <c r="M91" s="259" t="n">
        <v>0</v>
      </c>
      <c r="N91" s="259" t="n">
        <v>0</v>
      </c>
      <c r="O91" s="259" t="n">
        <v>0</v>
      </c>
      <c r="P91" s="259" t="n">
        <v>0</v>
      </c>
      <c r="Q91" s="259" t="n">
        <v>3955.83333</v>
      </c>
      <c r="R91" s="259" t="n">
        <v>3703.33335</v>
      </c>
      <c r="S91" s="259" t="n">
        <v>3450.83337</v>
      </c>
      <c r="T91" s="259" t="n">
        <v>3198.33339</v>
      </c>
      <c r="U91" s="259" t="n">
        <v>2945.83341</v>
      </c>
      <c r="V91" s="259" t="n">
        <v>1508</v>
      </c>
      <c r="W91" s="259" t="n">
        <v>1955</v>
      </c>
      <c r="X91" s="259" t="n">
        <v>2293.40484</v>
      </c>
      <c r="Y91" s="259" t="n">
        <v>4694.0396</v>
      </c>
      <c r="Z91" s="259" t="n">
        <v>5082.30933</v>
      </c>
      <c r="AA91" s="259" t="n">
        <v>6790.596259999999</v>
      </c>
      <c r="AB91" s="259" t="n">
        <v>6207.81459</v>
      </c>
      <c r="AC91" s="259" t="n">
        <v>6091.65899</v>
      </c>
      <c r="AD91" s="259" t="n">
        <v>5462.39459</v>
      </c>
      <c r="AE91" s="259" t="n">
        <v>5917.90461</v>
      </c>
      <c r="AF91" s="259" t="n">
        <v>4977.389279999999</v>
      </c>
      <c r="AG91" s="259" t="n">
        <v>4265</v>
      </c>
      <c r="AH91" s="259" t="n">
        <v>4420.856309999999</v>
      </c>
      <c r="AI91" s="259" t="n">
        <v>3891.73623</v>
      </c>
      <c r="AJ91" s="259" t="n">
        <v>6316.99941</v>
      </c>
    </row>
    <row r="92">
      <c r="A92" t="n">
        <v>37</v>
      </c>
      <c r="B92" t="n">
        <v>1</v>
      </c>
      <c r="G92" t="inlineStr">
        <is>
          <t>moeda</t>
        </is>
      </c>
      <c r="H92" t="inlineStr">
        <is>
          <t>PL: Capital social (BP l.62)</t>
        </is>
      </c>
      <c r="J92" t="inlineStr">
        <is>
          <t>fonte</t>
        </is>
      </c>
      <c r="K92" s="259" t="n">
        <v>1052340</v>
      </c>
      <c r="L92" s="259" t="n">
        <v>1052340.08228</v>
      </c>
      <c r="M92" s="259" t="n">
        <v>1052340.08228</v>
      </c>
      <c r="N92" s="259" t="n">
        <v>1105381.209</v>
      </c>
      <c r="O92" s="259" t="n">
        <v>1105381.209</v>
      </c>
      <c r="P92" s="259" t="n">
        <v>1105381.209</v>
      </c>
      <c r="Q92" s="259" t="n">
        <v>1105381.209</v>
      </c>
      <c r="R92" s="259" t="n">
        <v>1105381.209</v>
      </c>
      <c r="S92" s="259" t="n">
        <v>1105381.209</v>
      </c>
      <c r="T92" s="259" t="n">
        <v>1105381.209</v>
      </c>
      <c r="U92" s="259" t="n">
        <v>1105381.209</v>
      </c>
      <c r="V92" s="259" t="n">
        <v>1105381</v>
      </c>
      <c r="W92" s="259" t="n">
        <v>1105381</v>
      </c>
      <c r="X92" s="259" t="n">
        <v>1105381.209</v>
      </c>
      <c r="Y92" s="259" t="n">
        <v>1105381.209</v>
      </c>
      <c r="Z92" s="259" t="n">
        <v>1105381.209</v>
      </c>
      <c r="AA92" s="259" t="n">
        <v>1105381.209</v>
      </c>
      <c r="AB92" s="259" t="n">
        <v>1105381.209</v>
      </c>
      <c r="AC92" s="259" t="n">
        <v>1105381.20898</v>
      </c>
      <c r="AD92" s="259" t="n">
        <v>1705381.20898</v>
      </c>
      <c r="AE92" s="259" t="n">
        <v>1705381.20898</v>
      </c>
      <c r="AF92" s="259" t="n">
        <v>1705381.20898</v>
      </c>
      <c r="AG92" s="259" t="n">
        <v>1705381</v>
      </c>
      <c r="AH92" s="259" t="n">
        <v>2572025.34023</v>
      </c>
      <c r="AI92" s="259" t="n">
        <v>2572025.34023</v>
      </c>
      <c r="AJ92" s="259" t="n">
        <v>2572025.34023</v>
      </c>
    </row>
    <row r="93">
      <c r="A93" t="n">
        <v>41</v>
      </c>
      <c r="B93" t="n">
        <v>1</v>
      </c>
      <c r="G93" t="inlineStr">
        <is>
          <t>moeda</t>
        </is>
      </c>
      <c r="H93" t="inlineStr">
        <is>
          <t>PL: Reservas de lucros (BP l.63)</t>
        </is>
      </c>
      <c r="J93" t="inlineStr">
        <is>
          <t>fonte</t>
        </is>
      </c>
      <c r="K93" s="259" t="n">
        <v>37384</v>
      </c>
      <c r="L93" s="259" t="n">
        <v>9945.253370000064</v>
      </c>
      <c r="M93" s="259" t="n">
        <v>9945.253370000004</v>
      </c>
      <c r="N93" s="259" t="n">
        <v>119135.73115</v>
      </c>
      <c r="O93" s="259" t="n">
        <v>119135.73115</v>
      </c>
      <c r="P93" s="259" t="n">
        <v>119135.73115</v>
      </c>
      <c r="Q93" s="259" t="n">
        <v>119136.3044299998</v>
      </c>
      <c r="R93" s="259" t="n">
        <v>339917.7896</v>
      </c>
      <c r="S93" s="259" t="n">
        <v>339917.7895999999</v>
      </c>
      <c r="T93" s="259" t="n">
        <v>339917.7895999999</v>
      </c>
      <c r="U93" s="259" t="n">
        <v>339917.7896</v>
      </c>
      <c r="V93" s="259" t="n">
        <v>615068</v>
      </c>
      <c r="W93" s="259" t="n">
        <v>653640</v>
      </c>
      <c r="X93" s="259" t="n">
        <v>763624.7561697147</v>
      </c>
      <c r="Y93" s="259" t="n">
        <v>840163.6036711638</v>
      </c>
      <c r="Z93" s="259" t="n">
        <v>968425.6603832759</v>
      </c>
      <c r="AA93" s="259" t="n">
        <v>932426.03956274</v>
      </c>
      <c r="AB93" s="259" t="n">
        <v>1143390.400420037</v>
      </c>
      <c r="AC93" s="259" t="n">
        <v>896618</v>
      </c>
      <c r="AD93" s="259" t="n">
        <v>866640.0103578784</v>
      </c>
      <c r="AE93" s="259" t="n">
        <v>866642.0103499996</v>
      </c>
      <c r="AF93" s="259" t="n">
        <v>866642.1312399998</v>
      </c>
      <c r="AG93" s="259" t="n">
        <v>866642</v>
      </c>
      <c r="AH93" s="259" t="n">
        <v>-164000.0000099998</v>
      </c>
      <c r="AI93" s="259" t="n">
        <v>455502.2993499994</v>
      </c>
      <c r="AJ93" s="259" t="n">
        <v>455502.2993500002</v>
      </c>
    </row>
    <row r="94">
      <c r="A94" t="n">
        <v>41</v>
      </c>
      <c r="B94" t="n">
        <v>1</v>
      </c>
      <c r="G94" t="inlineStr">
        <is>
          <t>moeda</t>
        </is>
      </c>
      <c r="H94" t="inlineStr">
        <is>
          <t>PL: Lucros/Prejuízos acumulados (BP l.64)</t>
        </is>
      </c>
      <c r="J94" t="inlineStr">
        <is>
          <t>fonte</t>
        </is>
      </c>
      <c r="K94" s="259" t="n">
        <v>19011</v>
      </c>
      <c r="L94" s="259" t="n">
        <v>17343.28535981203</v>
      </c>
      <c r="M94" s="259" t="n">
        <v>53489.98329408571</v>
      </c>
      <c r="N94" s="259" t="n">
        <v>1.388949155807495e-05</v>
      </c>
      <c r="O94" s="259" t="n">
        <v>3912.656120748888</v>
      </c>
      <c r="P94" s="259" t="n">
        <v>85570.16429022573</v>
      </c>
      <c r="Q94" s="259" t="n">
        <v>171361.6327623049</v>
      </c>
      <c r="R94" s="259" t="n">
        <v>1.490527391433716e-05</v>
      </c>
      <c r="S94" s="259" t="n">
        <v>45921.65970066922</v>
      </c>
      <c r="T94" s="259" t="n">
        <v>134973.6928675473</v>
      </c>
      <c r="U94" s="259" t="n">
        <v>203101.0858055806</v>
      </c>
      <c r="V94" s="259" t="n">
        <v>0</v>
      </c>
      <c r="W94" s="259" t="n">
        <v>0</v>
      </c>
      <c r="X94" s="259" t="n">
        <v>0</v>
      </c>
      <c r="Y94" s="259" t="n">
        <v>0</v>
      </c>
      <c r="Z94" s="259" t="n">
        <v>0</v>
      </c>
      <c r="AA94" s="259" t="n">
        <v>0</v>
      </c>
      <c r="AB94" s="259" t="n">
        <v>0</v>
      </c>
      <c r="AC94" s="259" t="n">
        <v>353936</v>
      </c>
      <c r="AD94" s="259" t="n">
        <v>0</v>
      </c>
      <c r="AE94" s="259" t="n">
        <v>115038.0661800003</v>
      </c>
      <c r="AF94" s="259" t="n">
        <v>266127.7883899993</v>
      </c>
      <c r="AG94" s="259" t="n">
        <v>441975</v>
      </c>
      <c r="AH94" s="259" t="n">
        <v>619502.2989399963</v>
      </c>
      <c r="AI94" s="259" t="n">
        <v>80796.14136999982</v>
      </c>
      <c r="AJ94" s="259" t="n">
        <v>232460.1064800006</v>
      </c>
    </row>
    <row r="95">
      <c r="A95" t="n">
        <v>38</v>
      </c>
      <c r="B95" t="n">
        <v>1</v>
      </c>
      <c r="G95" t="inlineStr">
        <is>
          <t>moeda</t>
        </is>
      </c>
      <c r="H95" t="inlineStr">
        <is>
          <t>PL: Ações em Tesouraria (BP l.65)</t>
        </is>
      </c>
      <c r="J95" t="inlineStr">
        <is>
          <t>fonte</t>
        </is>
      </c>
      <c r="K95" s="259" t="n">
        <v>0</v>
      </c>
      <c r="L95" s="259" t="n">
        <v>0</v>
      </c>
      <c r="M95" s="259" t="n">
        <v>0</v>
      </c>
      <c r="N95" s="259" t="n">
        <v>0</v>
      </c>
      <c r="O95" s="259" t="n">
        <v>0</v>
      </c>
      <c r="P95" s="259" t="n">
        <v>0</v>
      </c>
      <c r="Q95" s="259" t="n">
        <v>0</v>
      </c>
      <c r="R95" s="259" t="n">
        <v>0</v>
      </c>
      <c r="S95" s="259" t="n">
        <v>-1907.6291</v>
      </c>
      <c r="T95" s="259" t="n">
        <v>-10730.82394</v>
      </c>
      <c r="U95" s="259" t="n">
        <v>-14693.94131</v>
      </c>
      <c r="V95" s="259" t="n">
        <v>-14694</v>
      </c>
      <c r="W95" s="259" t="n">
        <v>-20613</v>
      </c>
      <c r="X95" s="259" t="n">
        <v>-19549.93815</v>
      </c>
      <c r="Y95" s="259" t="n">
        <v>-24176.04748</v>
      </c>
      <c r="Z95" s="259" t="n">
        <v>-24176.04748</v>
      </c>
      <c r="AA95" s="259" t="n">
        <v>-23864.07123</v>
      </c>
      <c r="AB95" s="259" t="n">
        <v>-28923.07011</v>
      </c>
      <c r="AC95" s="259" t="n">
        <v>-28905.43934</v>
      </c>
      <c r="AD95" s="259" t="n">
        <v>-26850.19691</v>
      </c>
      <c r="AE95" s="259" t="n">
        <v>-26813.12969</v>
      </c>
      <c r="AF95" s="259" t="n">
        <v>-25361.14088</v>
      </c>
      <c r="AG95" s="259" t="n">
        <v>-26818</v>
      </c>
      <c r="AH95" s="259" t="n">
        <v>-26817.88695</v>
      </c>
      <c r="AI95" s="259" t="n">
        <v>-26817.88695</v>
      </c>
      <c r="AJ95" s="259" t="n">
        <v>-25149.36718</v>
      </c>
    </row>
    <row r="96">
      <c r="A96" t="n">
        <v>40</v>
      </c>
      <c r="B96" t="n">
        <v>1</v>
      </c>
      <c r="G96" t="inlineStr">
        <is>
          <t>moeda</t>
        </is>
      </c>
      <c r="H96" t="inlineStr">
        <is>
          <t>PL: Opções Outorgadas (BP l.66)</t>
        </is>
      </c>
      <c r="J96" t="inlineStr">
        <is>
          <t>fonte</t>
        </is>
      </c>
      <c r="K96" s="259" t="n">
        <v>0</v>
      </c>
      <c r="L96" s="259" t="n">
        <v>0</v>
      </c>
      <c r="M96" s="259" t="n">
        <v>0</v>
      </c>
      <c r="N96" s="259" t="n">
        <v>0</v>
      </c>
      <c r="O96" s="259" t="n">
        <v>0</v>
      </c>
      <c r="P96" s="259" t="n">
        <v>0</v>
      </c>
      <c r="Q96" s="259" t="n">
        <v>0</v>
      </c>
      <c r="R96" s="259" t="n">
        <v>473.49176</v>
      </c>
      <c r="S96" s="259" t="n">
        <v>977.6772099999999</v>
      </c>
      <c r="T96" s="259" t="n">
        <v>2341.15969</v>
      </c>
      <c r="U96" s="259" t="n">
        <v>3704.64217</v>
      </c>
      <c r="V96" s="259" t="n">
        <v>5238</v>
      </c>
      <c r="W96" s="259" t="n">
        <v>6722</v>
      </c>
      <c r="X96" s="259" t="n">
        <v>7000.97164</v>
      </c>
      <c r="Y96" s="259" t="n">
        <v>8272.4002</v>
      </c>
      <c r="Z96" s="259" t="n">
        <v>8939.79132</v>
      </c>
      <c r="AA96" s="259" t="n">
        <v>9041.16425</v>
      </c>
      <c r="AB96" s="259" t="n">
        <v>7202.784528917</v>
      </c>
      <c r="AC96" s="259" t="n">
        <v>8220.414000000001</v>
      </c>
      <c r="AD96" s="259" t="n">
        <v>4346.347</v>
      </c>
      <c r="AE96" s="259" t="n">
        <v>4628.85213</v>
      </c>
      <c r="AF96" s="259" t="n">
        <v>2853.90751</v>
      </c>
      <c r="AG96" s="259" t="n">
        <v>1894</v>
      </c>
      <c r="AH96" s="259" t="n">
        <v>1976.29691</v>
      </c>
      <c r="AI96" s="259" t="n">
        <v>2058.06661</v>
      </c>
      <c r="AJ96" s="259" t="n">
        <v>2330.70841</v>
      </c>
    </row>
    <row r="97">
      <c r="A97" t="n">
        <v>40</v>
      </c>
      <c r="B97" t="n">
        <v>1</v>
      </c>
      <c r="G97" t="inlineStr">
        <is>
          <t>moeda</t>
        </is>
      </c>
      <c r="H97" t="inlineStr">
        <is>
          <t>PL: Reservas de Capital (BP l.67)</t>
        </is>
      </c>
      <c r="J97" t="inlineStr">
        <is>
          <t>fonte</t>
        </is>
      </c>
      <c r="K97" s="259" t="n">
        <v>0</v>
      </c>
      <c r="L97" s="259" t="n">
        <v>0</v>
      </c>
      <c r="M97" s="259" t="n">
        <v>0</v>
      </c>
      <c r="N97" s="259" t="n">
        <v>-53041.12672</v>
      </c>
      <c r="O97" s="259" t="n">
        <v>-53041.12672</v>
      </c>
      <c r="P97" s="259" t="n">
        <v>-53041.12672</v>
      </c>
      <c r="Q97" s="259" t="n">
        <v>-53041.12672</v>
      </c>
      <c r="R97" s="259" t="n">
        <v>-53041.12672</v>
      </c>
      <c r="S97" s="259" t="n">
        <v>-53041.12672</v>
      </c>
      <c r="T97" s="259" t="n">
        <v>-53041.12672</v>
      </c>
      <c r="U97" s="259" t="n">
        <v>-53041.12672</v>
      </c>
      <c r="V97" s="259" t="n">
        <v>-53041</v>
      </c>
      <c r="W97" s="259" t="n">
        <v>-53041</v>
      </c>
      <c r="X97" s="259" t="n">
        <v>-53041.12672</v>
      </c>
      <c r="Y97" s="259" t="n">
        <v>-53041.12672</v>
      </c>
      <c r="Z97" s="259" t="n">
        <v>-53041.12672</v>
      </c>
      <c r="AA97" s="259" t="n">
        <v>-53041.12672</v>
      </c>
      <c r="AB97" s="259" t="n">
        <v>-53041.12672</v>
      </c>
      <c r="AC97" s="259" t="n">
        <v>-53041.02672</v>
      </c>
      <c r="AD97" s="259" t="n">
        <v>-53041.12672</v>
      </c>
      <c r="AE97" s="259" t="n">
        <v>-53041.12672</v>
      </c>
      <c r="AF97" s="259" t="n">
        <v>-53041.12672</v>
      </c>
      <c r="AG97" s="259" t="n">
        <v>-53041</v>
      </c>
      <c r="AH97" s="259" t="n">
        <v>-53041.12672</v>
      </c>
      <c r="AI97" s="259" t="n">
        <v>-53041.12672</v>
      </c>
      <c r="AJ97" s="259" t="n">
        <v>-52620.31714</v>
      </c>
    </row>
    <row r="98">
      <c r="A98" t="n">
        <v>39</v>
      </c>
      <c r="B98" t="n">
        <v>1</v>
      </c>
      <c r="G98" t="inlineStr">
        <is>
          <t>moeda</t>
        </is>
      </c>
      <c r="H98" t="inlineStr">
        <is>
          <t>PL: Outros Resultados Abrangentes (BP l.68)</t>
        </is>
      </c>
      <c r="J98" t="inlineStr">
        <is>
          <t>fonte</t>
        </is>
      </c>
      <c r="K98" s="259" t="n">
        <v>0</v>
      </c>
      <c r="L98" s="259" t="n">
        <v>0</v>
      </c>
      <c r="M98" s="259" t="n">
        <v>0</v>
      </c>
      <c r="N98" s="259" t="n">
        <v>0</v>
      </c>
      <c r="O98" s="259" t="n">
        <v>0</v>
      </c>
      <c r="P98" s="259" t="n">
        <v>0</v>
      </c>
      <c r="Q98" s="259" t="n">
        <v>0</v>
      </c>
      <c r="R98" s="259" t="n">
        <v>0</v>
      </c>
      <c r="S98" s="259" t="n">
        <v>0</v>
      </c>
      <c r="T98" s="259" t="n">
        <v>0</v>
      </c>
      <c r="U98" s="259" t="n">
        <v>0</v>
      </c>
      <c r="V98" s="259" t="n">
        <v>0</v>
      </c>
      <c r="W98" s="259" t="n">
        <v>0</v>
      </c>
      <c r="X98" s="259" t="n">
        <v>0</v>
      </c>
      <c r="Y98" s="259" t="n">
        <v>0</v>
      </c>
      <c r="Z98" s="259" t="n">
        <v>0</v>
      </c>
      <c r="AA98" s="259" t="n">
        <v>0</v>
      </c>
      <c r="AB98" s="259" t="n">
        <v>0</v>
      </c>
      <c r="AC98" s="259" t="n">
        <v>-27.0072</v>
      </c>
      <c r="AD98" s="259" t="n">
        <v>465.74497</v>
      </c>
      <c r="AE98" s="259" t="n">
        <v>104.17595</v>
      </c>
      <c r="AF98" s="259" t="n">
        <v>-93.64494999999999</v>
      </c>
      <c r="AG98" s="259" t="n">
        <v>-182</v>
      </c>
      <c r="AH98" s="259" t="n">
        <v>-78.08096</v>
      </c>
      <c r="AI98" s="259" t="n">
        <v>-232.92959</v>
      </c>
      <c r="AJ98" s="259" t="n">
        <v>-263.8663</v>
      </c>
    </row>
    <row r="99">
      <c r="H99" s="254" t="inlineStr">
        <is>
          <t>BALANCO - totais divulgados (memoria)</t>
        </is>
      </c>
    </row>
    <row r="100">
      <c r="G100" t="inlineStr">
        <is>
          <t>moeda</t>
        </is>
      </c>
      <c r="H100" t="inlineStr">
        <is>
          <t>Ativo total (l.30)</t>
        </is>
      </c>
      <c r="J100" t="inlineStr">
        <is>
          <t>memoria</t>
        </is>
      </c>
      <c r="K100" s="259" t="n">
        <v>1829192</v>
      </c>
      <c r="L100" s="259" t="n">
        <v>1853538.749449811</v>
      </c>
      <c r="M100" s="259" t="n">
        <v>1910658.526714085</v>
      </c>
      <c r="N100" s="259" t="n">
        <v>2140696.716683889</v>
      </c>
      <c r="O100" s="259" t="n">
        <v>1986396.899052319</v>
      </c>
      <c r="P100" s="259" t="n">
        <v>2175603.981940226</v>
      </c>
      <c r="Q100" s="259" t="n">
        <v>2368822.205092305</v>
      </c>
      <c r="R100" s="259" t="n">
        <v>2563868.834294905</v>
      </c>
      <c r="S100" s="259" t="n">
        <v>2531547.266060669</v>
      </c>
      <c r="T100" s="259" t="n">
        <v>2553457.711182452</v>
      </c>
      <c r="U100" s="259" t="n">
        <v>2679775.948535582</v>
      </c>
      <c r="V100" s="259" t="n">
        <v>2932173.595300603</v>
      </c>
      <c r="W100" s="259" t="n">
        <v>2882158</v>
      </c>
      <c r="X100" s="259" t="n">
        <v>2972573.615889741</v>
      </c>
      <c r="Y100" s="259" t="n">
        <v>3022750.955321189</v>
      </c>
      <c r="Z100" s="259" t="n">
        <v>3313398.461083301</v>
      </c>
      <c r="AA100" s="259" t="n">
        <v>3209951.68943274</v>
      </c>
      <c r="AB100" s="259" t="n">
        <v>3444074.969778955</v>
      </c>
      <c r="AC100" s="259" t="n">
        <v>3608128.56769</v>
      </c>
      <c r="AD100" s="259" t="n">
        <v>4273729.710859999</v>
      </c>
      <c r="AE100" s="259" t="n">
        <v>4228263.90761</v>
      </c>
      <c r="AF100" s="259" t="n">
        <v>4286200.457120001</v>
      </c>
      <c r="AG100" s="259" t="n">
        <v>4699193</v>
      </c>
      <c r="AH100" s="259" t="n">
        <v>4722692.365029999</v>
      </c>
      <c r="AI100" s="259" t="n">
        <v>4675668.29481</v>
      </c>
      <c r="AJ100" s="259" t="n">
        <v>4880312.78349</v>
      </c>
    </row>
    <row r="101">
      <c r="G101" t="inlineStr">
        <is>
          <t>moeda</t>
        </is>
      </c>
      <c r="H101" t="inlineStr">
        <is>
          <t>Total do passivo e PL (l.71)</t>
        </is>
      </c>
      <c r="J101" t="inlineStr">
        <is>
          <t>memoria</t>
        </is>
      </c>
      <c r="K101" s="259" t="n">
        <v>1829192</v>
      </c>
      <c r="L101" s="259" t="n">
        <v>1853538.749449812</v>
      </c>
      <c r="M101" s="259" t="n">
        <v>1910658.526714086</v>
      </c>
      <c r="N101" s="259" t="n">
        <v>2140696.71668389</v>
      </c>
      <c r="O101" s="259" t="n">
        <v>1986396.899050749</v>
      </c>
      <c r="P101" s="259" t="n">
        <v>2175603.981940226</v>
      </c>
      <c r="Q101" s="259" t="n">
        <v>2368822.205092305</v>
      </c>
      <c r="R101" s="259" t="n">
        <v>2563868.834294905</v>
      </c>
      <c r="S101" s="259" t="n">
        <v>2531547.266060669</v>
      </c>
      <c r="T101" s="259" t="n">
        <v>2553457.711177547</v>
      </c>
      <c r="U101" s="259" t="n">
        <v>2679775.948545581</v>
      </c>
      <c r="V101" s="259" t="n">
        <v>2932173.9735</v>
      </c>
      <c r="W101" s="259" t="n">
        <v>2882158</v>
      </c>
      <c r="X101" s="259" t="n">
        <v>2972573.615889715</v>
      </c>
      <c r="Y101" s="259" t="n">
        <v>3022750.955321164</v>
      </c>
      <c r="Z101" s="259" t="n">
        <v>3313398.161083276</v>
      </c>
      <c r="AA101" s="259" t="n">
        <v>3209952.08943274</v>
      </c>
      <c r="AB101" s="259" t="n">
        <v>3444075.465648954</v>
      </c>
      <c r="AC101" s="259" t="n">
        <v>3608128.582399359</v>
      </c>
      <c r="AD101" s="259" t="n">
        <v>4273729.510817879</v>
      </c>
      <c r="AE101" s="259" t="n">
        <v>4228263.90763</v>
      </c>
      <c r="AF101" s="259" t="n">
        <v>4286200.457559999</v>
      </c>
      <c r="AG101" s="259" t="n">
        <v>4699193</v>
      </c>
      <c r="AH101" s="259" t="n">
        <v>4722692.388809997</v>
      </c>
      <c r="AI101" s="259" t="n">
        <v>4675668.295179999</v>
      </c>
      <c r="AJ101" s="259" t="n">
        <v>4880312.783860001</v>
      </c>
    </row>
    <row r="102">
      <c r="G102" t="inlineStr">
        <is>
          <t>moeda</t>
        </is>
      </c>
      <c r="H102" t="inlineStr">
        <is>
          <t>Total do PL (l.69)</t>
        </is>
      </c>
      <c r="J102" t="inlineStr">
        <is>
          <t>memoria</t>
        </is>
      </c>
      <c r="K102" s="259" t="n">
        <v>1108735</v>
      </c>
      <c r="L102" s="259" t="n">
        <v>1079628.621009812</v>
      </c>
      <c r="M102" s="259" t="n">
        <v>1115775.318944086</v>
      </c>
      <c r="N102" s="259" t="n">
        <v>1171475.81344389</v>
      </c>
      <c r="O102" s="259" t="n">
        <v>1175388.469550749</v>
      </c>
      <c r="P102" s="259" t="n">
        <v>1257045.977720226</v>
      </c>
      <c r="Q102" s="259" t="n">
        <v>1342838.019472305</v>
      </c>
      <c r="R102" s="259" t="n">
        <v>1392731.363654905</v>
      </c>
      <c r="S102" s="259" t="n">
        <v>1437249.579690669</v>
      </c>
      <c r="T102" s="259" t="n">
        <v>1518841.900497547</v>
      </c>
      <c r="U102" s="259" t="n">
        <v>1584369.65854558</v>
      </c>
      <c r="V102" s="259" t="n">
        <v>1657952</v>
      </c>
      <c r="W102" s="259" t="n">
        <v>1692089</v>
      </c>
      <c r="X102" s="259" t="n">
        <v>1803415.871939715</v>
      </c>
      <c r="Y102" s="259" t="n">
        <v>1876600.038671164</v>
      </c>
      <c r="Z102" s="259" t="n">
        <v>2005529.486503276</v>
      </c>
      <c r="AA102" s="259" t="n">
        <v>1969943.21486274</v>
      </c>
      <c r="AB102" s="259" t="n">
        <v>2174010.197118954</v>
      </c>
      <c r="AC102" s="259" t="n">
        <v>2282182.14972</v>
      </c>
      <c r="AD102" s="259" t="n">
        <v>2496941.987677879</v>
      </c>
      <c r="AE102" s="259" t="n">
        <v>2611940.05718</v>
      </c>
      <c r="AF102" s="259" t="n">
        <v>2762509.123569999</v>
      </c>
      <c r="AG102" s="259" t="n">
        <v>2935851</v>
      </c>
      <c r="AH102" s="259" t="n">
        <v>2949563.841439997</v>
      </c>
      <c r="AI102" s="259" t="n">
        <v>3030289.9043</v>
      </c>
      <c r="AJ102" s="259" t="n">
        <v>3184284.903850001</v>
      </c>
    </row>
    <row r="103">
      <c r="H103" s="254" t="inlineStr">
        <is>
          <t>CHECKS (devem ser 0)</t>
        </is>
      </c>
    </row>
    <row r="104">
      <c r="G104" t="inlineStr">
        <is>
          <t>moeda</t>
        </is>
      </c>
      <c r="H104" t="inlineStr">
        <is>
          <t>CHECK: receita + custos + despesas + resultado financeiro + IR - lucro liquido (R$ mil)</t>
        </is>
      </c>
      <c r="J104" t="inlineStr">
        <is>
          <t>derivada</t>
        </is>
      </c>
      <c r="K104" s="260">
        <f>ROUND(K10+K11+K12+K13+K14+K15+K16-K42,0)</f>
        <v>0</v>
      </c>
      <c r="L104" s="260">
        <f>ROUND(L10+L11+L12+L13+L14+L15+L16-L42,0)</f>
        <v>0</v>
      </c>
      <c r="M104" s="260">
        <f>ROUND(M10+M11+M12+M13+M14+M15+M16-M42,0)</f>
        <v>0</v>
      </c>
      <c r="N104" s="260">
        <f>ROUND(N10+N11+N12+N13+N14+N15+N16-N42,0)</f>
        <v>0</v>
      </c>
      <c r="O104" s="260">
        <f>ROUND(O10+O11+O12+O13+O14+O15+O16-O42,0)</f>
        <v>0</v>
      </c>
      <c r="P104" s="260">
        <f>ROUND(P10+P11+P12+P13+P14+P15+P16-P42,0)</f>
        <v>0</v>
      </c>
      <c r="Q104" s="260">
        <f>ROUND(Q10+Q11+Q12+Q13+Q14+Q15+Q16-Q42,0)</f>
        <v>0</v>
      </c>
      <c r="R104" s="260">
        <f>ROUND(R10+R11+R12+R13+R14+R15+R16-R42,0)</f>
        <v>0</v>
      </c>
      <c r="S104" s="260">
        <f>ROUND(S10+S11+S12+S13+S14+S15+S16-S42,0)</f>
        <v>0</v>
      </c>
      <c r="T104" s="260">
        <f>ROUND(T10+T11+T12+T13+T14+T15+T16-T42,0)</f>
        <v>0</v>
      </c>
      <c r="U104" s="260">
        <f>ROUND(U10+U11+U12+U13+U14+U15+U16-U42,0)</f>
        <v>0</v>
      </c>
      <c r="V104" s="260">
        <f>ROUND(V10+V11+V12+V13+V14+V15+V16-V42,0)</f>
        <v>0</v>
      </c>
      <c r="W104" s="260">
        <f>ROUND(W10+W11+W12+W13+W14+W15+W16-W42,0)</f>
        <v>0</v>
      </c>
      <c r="X104" s="260">
        <f>ROUND(X10+X11+X12+X13+X14+X15+X16-X42,0)</f>
        <v>0</v>
      </c>
      <c r="Y104" s="260">
        <f>ROUND(Y10+Y11+Y12+Y13+Y14+Y15+Y16-Y42,0)</f>
        <v>0</v>
      </c>
      <c r="Z104" s="260">
        <f>ROUND(Z10+Z11+Z12+Z13+Z14+Z15+Z16-Z42,0)</f>
        <v>0</v>
      </c>
      <c r="AA104" s="260">
        <f>ROUND(AA10+AA11+AA12+AA13+AA14+AA15+AA16-AA42,0)</f>
        <v>0</v>
      </c>
      <c r="AB104" s="260">
        <f>ROUND(AB10+AB11+AB12+AB13+AB14+AB15+AB16-AB42,0)</f>
        <v>0</v>
      </c>
      <c r="AC104" s="260">
        <f>ROUND(AC10+AC11+AC12+AC13+AC14+AC15+AC16-AC42,0)</f>
        <v>0</v>
      </c>
      <c r="AD104" s="260">
        <f>ROUND(AD10+AD11+AD12+AD13+AD14+AD15+AD16-AD42,0)</f>
        <v>0</v>
      </c>
      <c r="AE104" s="260">
        <f>ROUND(AE10+AE11+AE12+AE13+AE14+AE15+AE16-AE42,0)</f>
        <v>0</v>
      </c>
      <c r="AF104" s="260">
        <f>ROUND(AF10+AF11+AF12+AF13+AF14+AF15+AF16-AF42,0)</f>
        <v>0</v>
      </c>
      <c r="AG104" s="260">
        <f>ROUND(AG10+AG11+AG12+AG13+AG14+AG15+AG16-AG42,0)</f>
        <v>0</v>
      </c>
      <c r="AH104" s="260">
        <f>ROUND(AH10+AH11+AH12+AH13+AH14+AH15+AH16-AH42,0)</f>
        <v>0</v>
      </c>
      <c r="AI104" s="260">
        <f>ROUND(AI10+AI11+AI12+AI13+AI14+AI15+AI16-AI42,0)</f>
        <v>0</v>
      </c>
      <c r="AJ104" s="260">
        <f>ROUND(AJ10+AJ11+AJ12+AJ13+AJ14+AJ15+AJ16-AJ42,0)</f>
        <v>0</v>
      </c>
    </row>
    <row r="105">
      <c r="G105" t="inlineStr">
        <is>
          <t>moeda</t>
        </is>
      </c>
      <c r="H105" t="inlineStr">
        <is>
          <t>CHECK: contas de ativo - ativo total (R$ mil)</t>
        </is>
      </c>
      <c r="J105" t="inlineStr">
        <is>
          <t>derivada</t>
        </is>
      </c>
      <c r="K105" s="260">
        <f>ROUND(K51+K52+K53+K54+K55+K56+K57+K58+K59+K60+K61+K62+K63+K64+K65+K66+K67+K68-K100,0)</f>
        <v>0</v>
      </c>
      <c r="L105" s="260">
        <f>ROUND(L51+L52+L53+L54+L55+L56+L57+L58+L59+L60+L61+L62+L63+L64+L65+L66+L67+L68-L100,0)</f>
        <v>0</v>
      </c>
      <c r="M105" s="260">
        <f>ROUND(M51+M52+M53+M54+M55+M56+M57+M58+M59+M60+M61+M62+M63+M64+M65+M66+M67+M68-M100,0)</f>
        <v>0</v>
      </c>
      <c r="N105" s="260">
        <f>ROUND(N51+N52+N53+N54+N55+N56+N57+N58+N59+N60+N61+N62+N63+N64+N65+N66+N67+N68-N100,0)</f>
        <v>0</v>
      </c>
      <c r="O105" s="260">
        <f>ROUND(O51+O52+O53+O54+O55+O56+O57+O58+O59+O60+O61+O62+O63+O64+O65+O66+O67+O68-O100,0)</f>
        <v>0</v>
      </c>
      <c r="P105" s="260">
        <f>ROUND(P51+P52+P53+P54+P55+P56+P57+P58+P59+P60+P61+P62+P63+P64+P65+P66+P67+P68-P100,0)</f>
        <v>0</v>
      </c>
      <c r="Q105" s="260">
        <f>ROUND(Q51+Q52+Q53+Q54+Q55+Q56+Q57+Q58+Q59+Q60+Q61+Q62+Q63+Q64+Q65+Q66+Q67+Q68-Q100,0)</f>
        <v>0</v>
      </c>
      <c r="R105" s="260">
        <f>ROUND(R51+R52+R53+R54+R55+R56+R57+R58+R59+R60+R61+R62+R63+R64+R65+R66+R67+R68-R100,0)</f>
        <v>0</v>
      </c>
      <c r="S105" s="260">
        <f>ROUND(S51+S52+S53+S54+S55+S56+S57+S58+S59+S60+S61+S62+S63+S64+S65+S66+S67+S68-S100,0)</f>
        <v>0</v>
      </c>
      <c r="T105" s="260">
        <f>ROUND(T51+T52+T53+T54+T55+T56+T57+T58+T59+T60+T61+T62+T63+T64+T65+T66+T67+T68-T100,0)</f>
        <v>0</v>
      </c>
      <c r="U105" s="260">
        <f>ROUND(U51+U52+U53+U54+U55+U56+U57+U58+U59+U60+U61+U62+U63+U64+U65+U66+U67+U68-U100,0)</f>
        <v>0</v>
      </c>
      <c r="V105" s="260">
        <f>ROUND(V51+V52+V53+V54+V55+V56+V57+V58+V59+V60+V61+V62+V63+V64+V65+V66+V67+V68-V100,0)</f>
        <v>0</v>
      </c>
      <c r="W105" s="260">
        <f>ROUND(W51+W52+W53+W54+W55+W56+W57+W58+W59+W60+W61+W62+W63+W64+W65+W66+W67+W68-W100,0)</f>
        <v>0</v>
      </c>
      <c r="X105" s="260">
        <f>ROUND(X51+X52+X53+X54+X55+X56+X57+X58+X59+X60+X61+X62+X63+X64+X65+X66+X67+X68-X100,0)</f>
        <v>0</v>
      </c>
      <c r="Y105" s="260">
        <f>ROUND(Y51+Y52+Y53+Y54+Y55+Y56+Y57+Y58+Y59+Y60+Y61+Y62+Y63+Y64+Y65+Y66+Y67+Y68-Y100,0)</f>
        <v>0</v>
      </c>
      <c r="Z105" s="260">
        <f>ROUND(Z51+Z52+Z53+Z54+Z55+Z56+Z57+Z58+Z59+Z60+Z61+Z62+Z63+Z64+Z65+Z66+Z67+Z68-Z100,0)</f>
        <v>0</v>
      </c>
      <c r="AA105" s="260">
        <f>ROUND(AA51+AA52+AA53+AA54+AA55+AA56+AA57+AA58+AA59+AA60+AA61+AA62+AA63+AA64+AA65+AA66+AA67+AA68-AA100,0)</f>
        <v>0</v>
      </c>
      <c r="AB105" s="260">
        <f>ROUND(AB51+AB52+AB53+AB54+AB55+AB56+AB57+AB58+AB59+AB60+AB61+AB62+AB63+AB64+AB65+AB66+AB67+AB68-AB100,0)</f>
        <v>0</v>
      </c>
      <c r="AC105" s="260">
        <f>ROUND(AC51+AC52+AC53+AC54+AC55+AC56+AC57+AC58+AC59+AC60+AC61+AC62+AC63+AC64+AC65+AC66+AC67+AC68-AC100,0)</f>
        <v>0</v>
      </c>
      <c r="AD105" s="260">
        <f>ROUND(AD51+AD52+AD53+AD54+AD55+AD56+AD57+AD58+AD59+AD60+AD61+AD62+AD63+AD64+AD65+AD66+AD67+AD68-AD100,0)</f>
        <v>0</v>
      </c>
      <c r="AE105" s="260">
        <f>ROUND(AE51+AE52+AE53+AE54+AE55+AE56+AE57+AE58+AE59+AE60+AE61+AE62+AE63+AE64+AE65+AE66+AE67+AE68-AE100,0)</f>
        <v>0</v>
      </c>
      <c r="AF105" s="260">
        <f>ROUND(AF51+AF52+AF53+AF54+AF55+AF56+AF57+AF58+AF59+AF60+AF61+AF62+AF63+AF64+AF65+AF66+AF67+AF68-AF100,0)</f>
        <v>0</v>
      </c>
      <c r="AG105" s="260">
        <f>ROUND(AG51+AG52+AG53+AG54+AG55+AG56+AG57+AG58+AG59+AG60+AG61+AG62+AG63+AG64+AG65+AG66+AG67+AG68-AG100,0)</f>
        <v>0</v>
      </c>
      <c r="AH105" s="260">
        <f>ROUND(AH51+AH52+AH53+AH54+AH55+AH56+AH57+AH58+AH59+AH60+AH61+AH62+AH63+AH64+AH65+AH66+AH67+AH68-AH100,0)</f>
        <v>1</v>
      </c>
      <c r="AI105" s="260">
        <f>ROUND(AI51+AI52+AI53+AI54+AI55+AI56+AI57+AI58+AI59+AI60+AI61+AI62+AI63+AI64+AI65+AI66+AI67+AI68-AI100,0)</f>
        <v>-1</v>
      </c>
      <c r="AJ105" s="260">
        <f>ROUND(AJ51+AJ52+AJ53+AJ54+AJ55+AJ56+AJ57+AJ58+AJ59+AJ60+AJ61+AJ62+AJ63+AJ64+AJ65+AJ66+AJ67+AJ68-AJ100,0)</f>
        <v>0</v>
      </c>
    </row>
    <row r="106">
      <c r="G106" t="inlineStr">
        <is>
          <t>moeda</t>
        </is>
      </c>
      <c r="H106" t="inlineStr">
        <is>
          <t>CHECK: passivo + PL - passivo total (R$ mil)</t>
        </is>
      </c>
      <c r="J106" t="inlineStr">
        <is>
          <t>derivada</t>
        </is>
      </c>
      <c r="K106" s="260">
        <f>ROUND(K69+K70+K71+K72+K73+K74+K75+K76+K77+K78+K79+K80+K81+K82+K83+K84+K85+K86+K87+K88+K89+K90+K91+K92+K93+K94+K95+K96+K97+K98-K101,0)</f>
        <v>0</v>
      </c>
      <c r="L106" s="260">
        <f>ROUND(L69+L70+L71+L72+L73+L74+L75+L76+L77+L78+L79+L80+L81+L82+L83+L84+L85+L86+L87+L88+L89+L90+L91+L92+L93+L94+L95+L96+L97+L98-L101,0)</f>
        <v>0</v>
      </c>
      <c r="M106" s="260">
        <f>ROUND(M69+M70+M71+M72+M73+M74+M75+M76+M77+M78+M79+M80+M81+M82+M83+M84+M85+M86+M87+M88+M89+M90+M91+M92+M93+M94+M95+M96+M97+M98-M101,0)</f>
        <v>0</v>
      </c>
      <c r="N106" s="260">
        <f>ROUND(N69+N70+N71+N72+N73+N74+N75+N76+N77+N78+N79+N80+N81+N82+N83+N84+N85+N86+N87+N88+N89+N90+N91+N92+N93+N94+N95+N96+N97+N98-N101,0)</f>
        <v>0</v>
      </c>
      <c r="O106" s="260">
        <f>ROUND(O69+O70+O71+O72+O73+O74+O75+O76+O77+O78+O79+O80+O81+O82+O83+O84+O85+O86+O87+O88+O89+O90+O91+O92+O93+O94+O95+O96+O97+O98-O101,0)</f>
        <v>0</v>
      </c>
      <c r="P106" s="260">
        <f>ROUND(P69+P70+P71+P72+P73+P74+P75+P76+P77+P78+P79+P80+P81+P82+P83+P84+P85+P86+P87+P88+P89+P90+P91+P92+P93+P94+P95+P96+P97+P98-P101,0)</f>
        <v>0</v>
      </c>
      <c r="Q106" s="260">
        <f>ROUND(Q69+Q70+Q71+Q72+Q73+Q74+Q75+Q76+Q77+Q78+Q79+Q80+Q81+Q82+Q83+Q84+Q85+Q86+Q87+Q88+Q89+Q90+Q91+Q92+Q93+Q94+Q95+Q96+Q97+Q98-Q101,0)</f>
        <v>0</v>
      </c>
      <c r="R106" s="260">
        <f>ROUND(R69+R70+R71+R72+R73+R74+R75+R76+R77+R78+R79+R80+R81+R82+R83+R84+R85+R86+R87+R88+R89+R90+R91+R92+R93+R94+R95+R96+R97+R98-R101,0)</f>
        <v>0</v>
      </c>
      <c r="S106" s="260">
        <f>ROUND(S69+S70+S71+S72+S73+S74+S75+S76+S77+S78+S79+S80+S81+S82+S83+S84+S85+S86+S87+S88+S89+S90+S91+S92+S93+S94+S95+S96+S97+S98-S101,0)</f>
        <v>0</v>
      </c>
      <c r="T106" s="260">
        <f>ROUND(T69+T70+T71+T72+T73+T74+T75+T76+T77+T78+T79+T80+T81+T82+T83+T84+T85+T86+T87+T88+T89+T90+T91+T92+T93+T94+T95+T96+T97+T98-T101,0)</f>
        <v>0</v>
      </c>
      <c r="U106" s="260">
        <f>ROUND(U69+U70+U71+U72+U73+U74+U75+U76+U77+U78+U79+U80+U81+U82+U83+U84+U85+U86+U87+U88+U89+U90+U91+U92+U93+U94+U95+U96+U97+U98-U101,0)</f>
        <v>0</v>
      </c>
      <c r="V106" s="260">
        <f>ROUND(V69+V70+V71+V72+V73+V74+V75+V76+V77+V78+V79+V80+V81+V82+V83+V84+V85+V86+V87+V88+V89+V90+V91+V92+V93+V94+V95+V96+V97+V98-V101,0)</f>
        <v>0</v>
      </c>
      <c r="W106" s="260">
        <f>ROUND(W69+W70+W71+W72+W73+W74+W75+W76+W77+W78+W79+W80+W81+W82+W83+W84+W85+W86+W87+W88+W89+W90+W91+W92+W93+W94+W95+W96+W97+W98-W101,0)</f>
        <v>0</v>
      </c>
      <c r="X106" s="260">
        <f>ROUND(X69+X70+X71+X72+X73+X74+X75+X76+X77+X78+X79+X80+X81+X82+X83+X84+X85+X86+X87+X88+X89+X90+X91+X92+X93+X94+X95+X96+X97+X98-X101,0)</f>
        <v>0</v>
      </c>
      <c r="Y106" s="260">
        <f>ROUND(Y69+Y70+Y71+Y72+Y73+Y74+Y75+Y76+Y77+Y78+Y79+Y80+Y81+Y82+Y83+Y84+Y85+Y86+Y87+Y88+Y89+Y90+Y91+Y92+Y93+Y94+Y95+Y96+Y97+Y98-Y101,0)</f>
        <v>0</v>
      </c>
      <c r="Z106" s="260">
        <f>ROUND(Z69+Z70+Z71+Z72+Z73+Z74+Z75+Z76+Z77+Z78+Z79+Z80+Z81+Z82+Z83+Z84+Z85+Z86+Z87+Z88+Z89+Z90+Z91+Z92+Z93+Z94+Z95+Z96+Z97+Z98-Z101,0)</f>
        <v>0</v>
      </c>
      <c r="AA106" s="260">
        <f>ROUND(AA69+AA70+AA71+AA72+AA73+AA74+AA75+AA76+AA77+AA78+AA79+AA80+AA81+AA82+AA83+AA84+AA85+AA86+AA87+AA88+AA89+AA90+AA91+AA92+AA93+AA94+AA95+AA96+AA97+AA98-AA101,0)</f>
        <v>0</v>
      </c>
      <c r="AB106" s="260">
        <f>ROUND(AB69+AB70+AB71+AB72+AB73+AB74+AB75+AB76+AB77+AB78+AB79+AB80+AB81+AB82+AB83+AB84+AB85+AB86+AB87+AB88+AB89+AB90+AB91+AB92+AB93+AB94+AB95+AB96+AB97+AB98-AB101,0)</f>
        <v>0</v>
      </c>
      <c r="AC106" s="260">
        <f>ROUND(AC69+AC70+AC71+AC72+AC73+AC74+AC75+AC76+AC77+AC78+AC79+AC80+AC81+AC82+AC83+AC84+AC85+AC86+AC87+AC88+AC89+AC90+AC91+AC92+AC93+AC94+AC95+AC96+AC97+AC98-AC101,0)</f>
        <v>0</v>
      </c>
      <c r="AD106" s="260">
        <f>ROUND(AD69+AD70+AD71+AD72+AD73+AD74+AD75+AD76+AD77+AD78+AD79+AD80+AD81+AD82+AD83+AD84+AD85+AD86+AD87+AD88+AD89+AD90+AD91+AD92+AD93+AD94+AD95+AD96+AD97+AD98-AD101,0)</f>
        <v>0</v>
      </c>
      <c r="AE106" s="260">
        <f>ROUND(AE69+AE70+AE71+AE72+AE73+AE74+AE75+AE76+AE77+AE78+AE79+AE80+AE81+AE82+AE83+AE84+AE85+AE86+AE87+AE88+AE89+AE90+AE91+AE92+AE93+AE94+AE95+AE96+AE97+AE98-AE101,0)</f>
        <v>0</v>
      </c>
      <c r="AF106" s="260">
        <f>ROUND(AF69+AF70+AF71+AF72+AF73+AF74+AF75+AF76+AF77+AF78+AF79+AF80+AF81+AF82+AF83+AF84+AF85+AF86+AF87+AF88+AF89+AF90+AF91+AF92+AF93+AF94+AF95+AF96+AF97+AF98-AF101,0)</f>
        <v>0</v>
      </c>
      <c r="AG106" s="260">
        <f>ROUND(AG69+AG70+AG71+AG72+AG73+AG74+AG75+AG76+AG77+AG78+AG79+AG80+AG81+AG82+AG83+AG84+AG85+AG86+AG87+AG88+AG89+AG90+AG91+AG92+AG93+AG94+AG95+AG96+AG97+AG98-AG101,0)</f>
        <v>0</v>
      </c>
      <c r="AH106" s="260">
        <f>ROUND(AH69+AH70+AH71+AH72+AH73+AH74+AH75+AH76+AH77+AH78+AH79+AH80+AH81+AH82+AH83+AH84+AH85+AH86+AH87+AH88+AH89+AH90+AH91+AH92+AH93+AH94+AH95+AH96+AH97+AH98-AH101,0)</f>
        <v>1</v>
      </c>
      <c r="AI106" s="260">
        <f>ROUND(AI69+AI70+AI71+AI72+AI73+AI74+AI75+AI76+AI77+AI78+AI79+AI80+AI81+AI82+AI83+AI84+AI85+AI86+AI87+AI88+AI89+AI90+AI91+AI92+AI93+AI94+AI95+AI96+AI97+AI98-AI101,0)</f>
        <v>0</v>
      </c>
      <c r="AJ106" s="260">
        <f>ROUND(AJ69+AJ70+AJ71+AJ72+AJ73+AJ74+AJ75+AJ76+AJ77+AJ78+AJ79+AJ80+AJ81+AJ82+AJ83+AJ84+AJ85+AJ86+AJ87+AJ88+AJ89+AJ90+AJ91+AJ92+AJ93+AJ94+AJ95+AJ96+AJ97+AJ98-AJ101,0)</f>
        <v>0</v>
      </c>
    </row>
    <row r="107">
      <c r="H107" t="inlineStr">
        <is>
          <t>[vazio] cod 8 Equity in affiliates: equivalencia (l.37, zero) fica dentro das despesas</t>
        </is>
      </c>
    </row>
    <row r="108">
      <c r="H108" t="inlineStr">
        <is>
          <t>[vazio] cod 9 Minority interest: sem minoritarios</t>
        </is>
      </c>
    </row>
    <row r="109">
      <c r="H109" t="inlineStr">
        <is>
          <t>[vazio] cod 14 IR diferido circulante: inexistente (o diferido e nao circulante, cod 22)</t>
        </is>
      </c>
    </row>
    <row r="110">
      <c r="H110" t="inlineStr">
        <is>
          <t>[vazio] cod 19 Direito de uso: dentro do imobilizado na planilha (cod 18)</t>
        </is>
      </c>
    </row>
    <row r="111">
      <c r="H111" t="inlineStr">
        <is>
          <t>[vazio] cod 20 Goodwill: dentro do intangivel</t>
        </is>
      </c>
    </row>
    <row r="112">
      <c r="H112" t="inlineStr">
        <is>
          <t>[vazio] cod 28 Revolver: sem linha propria</t>
        </is>
      </c>
    </row>
    <row r="113">
      <c r="H113" t="inlineStr">
        <is>
          <t>[vazio] cod 32 Convertible debt: inexistente</t>
        </is>
      </c>
    </row>
    <row r="114">
      <c r="H114" t="inlineStr">
        <is>
          <t>[vazio] cod 33 IR diferido passivo: inexistente</t>
        </is>
      </c>
    </row>
    <row r="115">
      <c r="H115" t="inlineStr">
        <is>
          <t>[vazio] cod 35 Minoritarios: inexistente</t>
        </is>
      </c>
    </row>
    <row r="116">
      <c r="H116" t="inlineStr">
        <is>
          <t>[vazio] cod 36 Convertible Preferred Stock: inexistente</t>
        </is>
      </c>
    </row>
    <row r="117">
      <c r="H117" t="inlineStr">
        <is>
          <t>Nota: o Model segue o CONTABIL (pos-IFRS16). O release apresenta a visao pre-IFRS16 (EBITDA ajustado = EBITDA total - aluguel IFRS16 + nao recorrentes; memorias acima). Lucro 2020: a soma dos trimestres difere do anual da planilha em -13,7 (R$ mi); 2021: +0,5.</t>
        </is>
      </c>
    </row>
    <row r="119">
      <c r="H119" s="254" t="inlineStr">
        <is>
          <t>DRIVERS DE RECEITA (codigos 45+): receita bruta por canal, deducoes, lojas, area, SSS e capex da planilha Dados Historicos da Vivara (R$ mil com fator 0,001; dados fisicos sem fator).</t>
        </is>
      </c>
    </row>
    <row r="120">
      <c r="A120" t="n">
        <v>45</v>
      </c>
      <c r="B120" t="n">
        <v>1</v>
      </c>
      <c r="G120" t="inlineStr">
        <is>
          <t>moeda</t>
        </is>
      </c>
      <c r="H120" t="inlineStr">
        <is>
          <t>Receita bruta liq. de devolucoes - Lojas Vivara (R$ mil; DadosOperacionais l.17)</t>
        </is>
      </c>
      <c r="J120" t="inlineStr">
        <is>
          <t>fonte</t>
        </is>
      </c>
      <c r="K120" s="262" t="n">
        <v>223069.09155</v>
      </c>
      <c r="L120" s="262" t="n">
        <v>57826.00894000003</v>
      </c>
      <c r="M120" s="262" t="n">
        <v>221341.6456700002</v>
      </c>
      <c r="N120" s="262" t="n">
        <v>449401.5195099999</v>
      </c>
      <c r="O120" s="262" t="n">
        <v>187118.450330243</v>
      </c>
      <c r="P120" s="262" t="n">
        <v>353426.7879899998</v>
      </c>
      <c r="Q120" s="262" t="n">
        <v>325362.3586</v>
      </c>
      <c r="R120" s="262" t="n">
        <v>535801.9098500001</v>
      </c>
      <c r="S120" s="262" t="n">
        <v>322549.6651700002</v>
      </c>
      <c r="T120" s="262" t="n">
        <v>465144</v>
      </c>
      <c r="U120" s="262" t="n">
        <v>374791</v>
      </c>
      <c r="V120" s="262" t="n">
        <v>565850</v>
      </c>
      <c r="W120" s="262" t="n">
        <v>342251.1923000001</v>
      </c>
      <c r="X120" s="262" t="n">
        <v>482430.42787</v>
      </c>
      <c r="Y120" s="262" t="n">
        <v>399135.01026</v>
      </c>
      <c r="Z120" s="262" t="n">
        <v>641068.0687300001</v>
      </c>
      <c r="AA120" s="262" t="n">
        <v>385213.6396700001</v>
      </c>
      <c r="AB120" s="262" t="n">
        <v>555059.6092599995</v>
      </c>
      <c r="AC120" s="262" t="n">
        <v>461598.8934100005</v>
      </c>
      <c r="AD120" s="262" t="n">
        <v>716464.0957821499</v>
      </c>
      <c r="AE120" s="262" t="n">
        <v>435365.2971800002</v>
      </c>
      <c r="AF120" s="262" t="n">
        <v>625788</v>
      </c>
      <c r="AG120" s="262" t="n">
        <v>532002.86124</v>
      </c>
      <c r="AH120" s="262" t="n">
        <v>805885</v>
      </c>
      <c r="AI120" s="262" t="n">
        <v>483182.9291199995</v>
      </c>
      <c r="AJ120" s="262" t="n">
        <v>668911.4249399995</v>
      </c>
    </row>
    <row r="121">
      <c r="A121" t="n">
        <v>46</v>
      </c>
      <c r="B121" t="n">
        <v>1</v>
      </c>
      <c r="G121" t="inlineStr">
        <is>
          <t>moeda</t>
        </is>
      </c>
      <c r="H121" t="inlineStr">
        <is>
          <t>Receita bruta liq. de devolucoes - Lojas Life (l.18)</t>
        </is>
      </c>
      <c r="J121" t="inlineStr">
        <is>
          <t>fonte</t>
        </is>
      </c>
      <c r="K121" s="262" t="n">
        <v>2769.4004</v>
      </c>
      <c r="L121" s="262" t="n">
        <v>333.51658</v>
      </c>
      <c r="M121" s="262" t="n">
        <v>3502.87592</v>
      </c>
      <c r="N121" s="262" t="n">
        <v>11835.37802</v>
      </c>
      <c r="O121" s="262" t="n">
        <v>4722.585659999997</v>
      </c>
      <c r="P121" s="262" t="n">
        <v>9403.986449999999</v>
      </c>
      <c r="Q121" s="262" t="n">
        <v>12015.83986</v>
      </c>
      <c r="R121" s="262" t="n">
        <v>36776.7259509999</v>
      </c>
      <c r="S121" s="262" t="n">
        <v>25873.19313999999</v>
      </c>
      <c r="T121" s="262" t="n">
        <v>41033</v>
      </c>
      <c r="U121" s="262" t="n">
        <v>41302</v>
      </c>
      <c r="V121" s="262" t="n">
        <v>104052.23572001</v>
      </c>
      <c r="W121" s="262" t="n">
        <v>64650.34708000001</v>
      </c>
      <c r="X121" s="262" t="n">
        <v>99938.37228000004</v>
      </c>
      <c r="Y121" s="262" t="n">
        <v>83240.23996000001</v>
      </c>
      <c r="Z121" s="262" t="n">
        <v>184010.2506599999</v>
      </c>
      <c r="AA121" s="262" t="n">
        <v>103104.47695</v>
      </c>
      <c r="AB121" s="262" t="n">
        <v>161779.19674</v>
      </c>
      <c r="AC121" s="262" t="n">
        <v>127176.2630500001</v>
      </c>
      <c r="AD121" s="262" t="n">
        <v>254534.04656</v>
      </c>
      <c r="AE121" s="262" t="n">
        <v>135149.15652</v>
      </c>
      <c r="AF121" s="262" t="n">
        <v>208960.9443499998</v>
      </c>
      <c r="AG121" s="262" t="n">
        <v>154272.8738300001</v>
      </c>
      <c r="AH121" s="262" t="n">
        <v>306498</v>
      </c>
      <c r="AI121" s="262" t="n">
        <v>160764.19116</v>
      </c>
      <c r="AJ121" s="262" t="n">
        <v>242004.1404499998</v>
      </c>
    </row>
    <row r="122">
      <c r="A122" t="n">
        <v>47</v>
      </c>
      <c r="B122" t="n">
        <v>1</v>
      </c>
      <c r="G122" t="inlineStr">
        <is>
          <t>moeda</t>
        </is>
      </c>
      <c r="H122" t="inlineStr">
        <is>
          <t>Receita bruta liq. de devolucoes - Quiosques (l.19)</t>
        </is>
      </c>
      <c r="J122" t="inlineStr">
        <is>
          <t>fonte</t>
        </is>
      </c>
      <c r="K122" s="262" t="n">
        <v>12410.26759</v>
      </c>
      <c r="L122" s="262" t="n">
        <v>1296.65423</v>
      </c>
      <c r="M122" s="262" t="n">
        <v>9415.99006</v>
      </c>
      <c r="N122" s="262" t="n">
        <v>22917.51429000001</v>
      </c>
      <c r="O122" s="262" t="n">
        <v>7363.86911</v>
      </c>
      <c r="P122" s="262" t="n">
        <v>12069.34786</v>
      </c>
      <c r="Q122" s="262" t="n">
        <v>10184.84569</v>
      </c>
      <c r="R122" s="262" t="n">
        <v>15097.55666900001</v>
      </c>
      <c r="S122" s="262" t="n">
        <v>7607.50405</v>
      </c>
      <c r="T122" s="262" t="n">
        <v>9761.140130010001</v>
      </c>
      <c r="U122" s="262" t="n">
        <v>7740.063960000001</v>
      </c>
      <c r="V122" s="262" t="n">
        <v>12595.443110011</v>
      </c>
      <c r="W122" s="262" t="n">
        <v>6833.62633</v>
      </c>
      <c r="X122" s="262" t="n">
        <v>9966.363670000001</v>
      </c>
      <c r="Y122" s="262" t="n">
        <v>8136.88579</v>
      </c>
      <c r="Z122" s="262" t="n">
        <v>11061.9556</v>
      </c>
      <c r="AA122" s="262" t="n">
        <v>4755.51023</v>
      </c>
      <c r="AB122" s="262" t="n">
        <v>6708.03007</v>
      </c>
      <c r="AC122" s="262" t="n">
        <v>5072.61546</v>
      </c>
      <c r="AD122" s="262" t="n">
        <v>6728.5</v>
      </c>
      <c r="AE122" s="262" t="n">
        <v>3288.75073</v>
      </c>
      <c r="AF122" s="262" t="n">
        <v>4939.45264</v>
      </c>
      <c r="AG122" s="262" t="n">
        <v>4412.80385</v>
      </c>
      <c r="AH122" s="262" t="n">
        <v>6985</v>
      </c>
      <c r="AI122" s="262" t="n">
        <v>3925.27966</v>
      </c>
      <c r="AJ122" s="262" t="n">
        <v>5319.905639999999</v>
      </c>
    </row>
    <row r="123">
      <c r="A123" t="n">
        <v>48</v>
      </c>
      <c r="B123" t="n">
        <v>1</v>
      </c>
      <c r="G123" t="inlineStr">
        <is>
          <t>moeda</t>
        </is>
      </c>
      <c r="H123" t="inlineStr">
        <is>
          <t>Receita bruta liq. de devolucoes - Plataforma digital (l.20)</t>
        </is>
      </c>
      <c r="J123" t="inlineStr">
        <is>
          <t>fonte</t>
        </is>
      </c>
      <c r="K123" s="262" t="n">
        <v>22260</v>
      </c>
      <c r="L123" s="262" t="n">
        <v>108414</v>
      </c>
      <c r="M123" s="262" t="n">
        <v>70619</v>
      </c>
      <c r="N123" s="262" t="n">
        <v>108220</v>
      </c>
      <c r="O123" s="262" t="n">
        <v>57930</v>
      </c>
      <c r="P123" s="262" t="n">
        <v>78864.5</v>
      </c>
      <c r="Q123" s="262" t="n">
        <v>59792.44</v>
      </c>
      <c r="R123" s="262" t="n">
        <v>109684</v>
      </c>
      <c r="S123" s="262" t="n">
        <v>51605</v>
      </c>
      <c r="T123" s="262" t="n">
        <v>68028</v>
      </c>
      <c r="U123" s="262" t="n">
        <v>54149</v>
      </c>
      <c r="V123" s="262" t="n">
        <v>132254.07364</v>
      </c>
      <c r="W123" s="262" t="n">
        <v>70476</v>
      </c>
      <c r="X123" s="262" t="n">
        <v>104590</v>
      </c>
      <c r="Y123" s="262" t="n">
        <v>88040</v>
      </c>
      <c r="Z123" s="262" t="n">
        <v>175525.10803</v>
      </c>
      <c r="AA123" s="262" t="n">
        <v>77570.68822</v>
      </c>
      <c r="AB123" s="262" t="n">
        <v>110069.07318</v>
      </c>
      <c r="AC123" s="262" t="n">
        <v>100595.3209400005</v>
      </c>
      <c r="AD123" s="262" t="n">
        <v>181593.5</v>
      </c>
      <c r="AE123" s="262" t="n">
        <v>84239.58183000001</v>
      </c>
      <c r="AF123" s="262" t="n">
        <v>126641</v>
      </c>
      <c r="AG123" s="262" t="n">
        <v>112303.92869</v>
      </c>
      <c r="AH123" s="262" t="n">
        <v>238782</v>
      </c>
      <c r="AI123" s="262" t="n">
        <v>97900.25517999998</v>
      </c>
      <c r="AJ123" s="262" t="n">
        <v>153528.57446</v>
      </c>
    </row>
    <row r="124">
      <c r="A124" t="n">
        <v>49</v>
      </c>
      <c r="B124" t="n">
        <v>1</v>
      </c>
      <c r="G124" t="inlineStr">
        <is>
          <t>moeda</t>
        </is>
      </c>
      <c r="H124" t="inlineStr">
        <is>
          <t>Receita bruta liq. de devolucoes - Outras (B2B e assistencia tecnica; l.21)</t>
        </is>
      </c>
      <c r="J124" t="inlineStr">
        <is>
          <t>fonte</t>
        </is>
      </c>
      <c r="K124" s="262" t="n">
        <v>3320.5</v>
      </c>
      <c r="L124" s="262" t="n">
        <v>1833</v>
      </c>
      <c r="M124" s="262" t="n">
        <v>3176.5</v>
      </c>
      <c r="N124" s="262" t="n">
        <v>4179.44</v>
      </c>
      <c r="O124" s="262" t="n">
        <v>2392</v>
      </c>
      <c r="P124" s="262" t="n">
        <v>3044.5</v>
      </c>
      <c r="Q124" s="262" t="n">
        <v>3247.44</v>
      </c>
      <c r="R124" s="262" t="n">
        <v>4354</v>
      </c>
      <c r="S124" s="262" t="n">
        <v>3224.44</v>
      </c>
      <c r="T124" s="262" t="n">
        <v>3316</v>
      </c>
      <c r="U124" s="262" t="n">
        <v>3393.444</v>
      </c>
      <c r="V124" s="262" t="n">
        <v>5656.642659979969</v>
      </c>
      <c r="W124" s="262" t="n">
        <v>3289</v>
      </c>
      <c r="X124" s="262" t="n">
        <v>5169.44</v>
      </c>
      <c r="Y124" s="262" t="n">
        <v>2689</v>
      </c>
      <c r="Z124" s="262" t="n">
        <v>5515.429450000853</v>
      </c>
      <c r="AA124" s="262" t="n">
        <v>4214.50028000012</v>
      </c>
      <c r="AB124" s="262" t="n">
        <v>2978.496790000126</v>
      </c>
      <c r="AC124" s="262" t="n">
        <v>2961.959399999797</v>
      </c>
      <c r="AD124" s="262" t="n">
        <v>3068</v>
      </c>
      <c r="AE124" s="262" t="n">
        <v>2448.882939999551</v>
      </c>
      <c r="AF124" s="262" t="n">
        <v>3380</v>
      </c>
      <c r="AG124" s="262" t="n">
        <v>2440.833330000579</v>
      </c>
      <c r="AH124" s="262" t="n">
        <v>7518</v>
      </c>
      <c r="AI124" s="262" t="n">
        <v>5980.466050001234</v>
      </c>
      <c r="AJ124" s="262" t="n">
        <v>1687.54991000187</v>
      </c>
    </row>
    <row r="125">
      <c r="A125" t="n">
        <v>50</v>
      </c>
      <c r="B125" t="n">
        <v>1</v>
      </c>
      <c r="G125" t="inlineStr">
        <is>
          <t>moeda</t>
        </is>
      </c>
      <c r="H125" t="inlineStr">
        <is>
          <t>Receita bruta liq. de devolucoes na DRE (DRE l.5 + l.6 + l.7)</t>
        </is>
      </c>
      <c r="J125" t="inlineStr">
        <is>
          <t>fonte</t>
        </is>
      </c>
      <c r="K125" s="262" t="n">
        <v>263829.24028</v>
      </c>
      <c r="L125" s="262" t="n">
        <v>169702.6742</v>
      </c>
      <c r="M125" s="262" t="n">
        <v>308056.08072</v>
      </c>
      <c r="N125" s="262" t="n">
        <v>596553.8702099997</v>
      </c>
      <c r="O125" s="262" t="n">
        <v>273327.9857899999</v>
      </c>
      <c r="P125" s="262" t="n">
        <v>456809.40074</v>
      </c>
      <c r="Q125" s="262" t="n">
        <v>410602.7240099999</v>
      </c>
      <c r="R125" s="262" t="n">
        <v>701714.4636999996</v>
      </c>
      <c r="S125" s="262" t="n">
        <v>410860.3841299999</v>
      </c>
      <c r="T125" s="262" t="n">
        <v>587281.70055</v>
      </c>
      <c r="U125" s="262" t="n">
        <v>481375.5067899996</v>
      </c>
      <c r="V125" s="262" t="n">
        <v>820401.9174200007</v>
      </c>
      <c r="W125" s="262" t="n">
        <v>487499.74094</v>
      </c>
      <c r="X125" s="262" t="n">
        <v>702094.5526699998</v>
      </c>
      <c r="Y125" s="262" t="n">
        <v>581240.9428099998</v>
      </c>
      <c r="Z125" s="262" t="n">
        <v>1017180.812470001</v>
      </c>
      <c r="AA125" s="262" t="n">
        <v>574858.8153500002</v>
      </c>
      <c r="AB125" s="262" t="n">
        <v>836594.4060399998</v>
      </c>
      <c r="AC125" s="262" t="n">
        <v>697404.7522600003</v>
      </c>
      <c r="AD125" s="262" t="n">
        <v>1162388.42508</v>
      </c>
      <c r="AE125" s="262" t="n">
        <v>660491.7667700002</v>
      </c>
      <c r="AF125" s="262" t="n">
        <v>969707.9</v>
      </c>
      <c r="AG125" s="262" t="n">
        <v>805433</v>
      </c>
      <c r="AH125" s="262" t="n">
        <v>1365668</v>
      </c>
      <c r="AI125" s="262" t="n">
        <v>751753</v>
      </c>
      <c r="AJ125" s="262" t="n">
        <v>1071451.5954</v>
      </c>
    </row>
    <row r="126">
      <c r="A126" t="n">
        <v>51</v>
      </c>
      <c r="B126" t="n">
        <v>1</v>
      </c>
      <c r="G126" t="inlineStr">
        <is>
          <t>moeda</t>
        </is>
      </c>
      <c r="H126" t="inlineStr">
        <is>
          <t>Deducoes da receita bruta (impostos, liquidas de subvencao; DRE l.8)</t>
        </is>
      </c>
      <c r="J126" t="inlineStr">
        <is>
          <t>fonte</t>
        </is>
      </c>
      <c r="K126" s="262" t="n">
        <v>-57597.88445000001</v>
      </c>
      <c r="L126" s="262" t="n">
        <v>-32049.86740999999</v>
      </c>
      <c r="M126" s="262" t="n">
        <v>-65430.03305000002</v>
      </c>
      <c r="N126" s="262" t="n">
        <v>-135517.03939</v>
      </c>
      <c r="O126" s="262" t="n">
        <v>-55597.95308000001</v>
      </c>
      <c r="P126" s="262" t="n">
        <v>-94814.32103000002</v>
      </c>
      <c r="Q126" s="262" t="n">
        <v>-73387.74477000002</v>
      </c>
      <c r="R126" s="262" t="n">
        <v>-152267.67077</v>
      </c>
      <c r="S126" s="262" t="n">
        <v>-73436.63814999997</v>
      </c>
      <c r="T126" s="262" t="n">
        <v>-117891.49545</v>
      </c>
      <c r="U126" s="262" t="n">
        <v>-88499.61856000006</v>
      </c>
      <c r="V126" s="262" t="n">
        <v>-176356.6680499999</v>
      </c>
      <c r="W126" s="262" t="n">
        <v>-95872.14527000001</v>
      </c>
      <c r="X126" s="262" t="n">
        <v>-142185.3049600001</v>
      </c>
      <c r="Y126" s="262" t="n">
        <v>-123930.3034999998</v>
      </c>
      <c r="Z126" s="262" t="n">
        <v>-239053.58589</v>
      </c>
      <c r="AA126" s="262" t="n">
        <v>-130268.34855</v>
      </c>
      <c r="AB126" s="262" t="n">
        <v>-180272.3709299999</v>
      </c>
      <c r="AC126" s="262" t="n">
        <v>-134505.24184</v>
      </c>
      <c r="AD126" s="262" t="n">
        <v>-249087.3200499999</v>
      </c>
      <c r="AE126" s="262" t="n">
        <v>-123411.05658</v>
      </c>
      <c r="AF126" s="262" t="n">
        <v>-208686.5</v>
      </c>
      <c r="AG126" s="262" t="n">
        <v>-140930.47238</v>
      </c>
      <c r="AH126" s="262" t="n">
        <v>-301690.6739999998</v>
      </c>
      <c r="AI126" s="262" t="n">
        <v>-156240.75604</v>
      </c>
      <c r="AJ126" s="262" t="n">
        <v>-238320.55088</v>
      </c>
    </row>
    <row r="127">
      <c r="A127" t="n">
        <v>52</v>
      </c>
      <c r="B127" t="n">
        <v>1</v>
      </c>
      <c r="G127" t="inlineStr">
        <is>
          <t>un</t>
        </is>
      </c>
      <c r="H127" t="inlineStr">
        <is>
          <t>Numero de lojas Vivara - fim do periodo (l.10)</t>
        </is>
      </c>
      <c r="J127" t="inlineStr">
        <is>
          <t>fonte</t>
        </is>
      </c>
      <c r="K127" s="262" t="n">
        <v>201</v>
      </c>
      <c r="L127" s="262" t="n">
        <v>205</v>
      </c>
      <c r="M127" s="262" t="n">
        <v>207</v>
      </c>
      <c r="N127" s="262" t="n">
        <v>208</v>
      </c>
      <c r="O127" s="262" t="n">
        <v>208</v>
      </c>
      <c r="P127" s="262" t="n">
        <v>221</v>
      </c>
      <c r="Q127" s="262" t="n">
        <v>227</v>
      </c>
      <c r="R127" s="262" t="n">
        <v>229</v>
      </c>
      <c r="S127" s="262" t="n">
        <v>231</v>
      </c>
      <c r="T127" s="262" t="n">
        <v>232</v>
      </c>
      <c r="U127" s="262" t="n">
        <v>237</v>
      </c>
      <c r="V127" s="262" t="n">
        <v>243</v>
      </c>
      <c r="W127" s="262" t="n">
        <v>245</v>
      </c>
      <c r="X127" s="262" t="n">
        <v>252</v>
      </c>
      <c r="Y127" s="262" t="n">
        <v>254</v>
      </c>
      <c r="Z127" s="262" t="n">
        <v>257</v>
      </c>
      <c r="AA127" s="262" t="n">
        <v>261</v>
      </c>
      <c r="AB127" s="262" t="n">
        <v>263</v>
      </c>
      <c r="AC127" s="262" t="n">
        <v>264</v>
      </c>
      <c r="AD127" s="262" t="n">
        <v>266</v>
      </c>
      <c r="AE127" s="262" t="n">
        <v>266</v>
      </c>
      <c r="AF127" s="262" t="n">
        <v>266</v>
      </c>
      <c r="AG127" s="262" t="n">
        <v>266</v>
      </c>
      <c r="AH127" s="262" t="n">
        <v>268</v>
      </c>
      <c r="AI127" s="262" t="n">
        <v>268</v>
      </c>
      <c r="AJ127" s="262" t="n">
        <v>272</v>
      </c>
    </row>
    <row r="128">
      <c r="A128" t="n">
        <v>53</v>
      </c>
      <c r="B128" t="n">
        <v>1</v>
      </c>
      <c r="G128" t="inlineStr">
        <is>
          <t>un</t>
        </is>
      </c>
      <c r="H128" t="inlineStr">
        <is>
          <t>Numero de lojas Life - fim do periodo (l.11)</t>
        </is>
      </c>
      <c r="J128" t="inlineStr">
        <is>
          <t>fonte</t>
        </is>
      </c>
      <c r="K128" s="262" t="n">
        <v>8</v>
      </c>
      <c r="L128" s="262" t="n">
        <v>9</v>
      </c>
      <c r="M128" s="262" t="n">
        <v>11</v>
      </c>
      <c r="N128" s="262" t="n">
        <v>13</v>
      </c>
      <c r="O128" s="262" t="n">
        <v>13</v>
      </c>
      <c r="P128" s="262" t="n">
        <v>14</v>
      </c>
      <c r="Q128" s="262" t="n">
        <v>19</v>
      </c>
      <c r="R128" s="262" t="n">
        <v>33</v>
      </c>
      <c r="S128" s="262" t="n">
        <v>35</v>
      </c>
      <c r="T128" s="262" t="n">
        <v>43</v>
      </c>
      <c r="U128" s="262" t="n">
        <v>56</v>
      </c>
      <c r="V128" s="262" t="n">
        <v>72</v>
      </c>
      <c r="W128" s="262" t="n">
        <v>77</v>
      </c>
      <c r="X128" s="262" t="n">
        <v>84</v>
      </c>
      <c r="Y128" s="262" t="n">
        <v>98</v>
      </c>
      <c r="Z128" s="262" t="n">
        <v>117</v>
      </c>
      <c r="AA128" s="262" t="n">
        <v>131</v>
      </c>
      <c r="AB128" s="262" t="n">
        <v>149</v>
      </c>
      <c r="AC128" s="262" t="n">
        <v>159</v>
      </c>
      <c r="AD128" s="262" t="n">
        <v>180</v>
      </c>
      <c r="AE128" s="262" t="n">
        <v>184</v>
      </c>
      <c r="AF128" s="262" t="n">
        <v>192</v>
      </c>
      <c r="AG128" s="262" t="n">
        <v>197</v>
      </c>
      <c r="AH128" s="262" t="n">
        <v>219</v>
      </c>
      <c r="AI128" s="262" t="n">
        <v>224</v>
      </c>
      <c r="AJ128" s="262" t="n">
        <v>237</v>
      </c>
    </row>
    <row r="129">
      <c r="A129" t="n">
        <v>54</v>
      </c>
      <c r="B129" t="n">
        <v>1</v>
      </c>
      <c r="G129" t="inlineStr">
        <is>
          <t>un</t>
        </is>
      </c>
      <c r="H129" t="inlineStr">
        <is>
          <t>Numero de quiosques - fim do periodo (l.12)</t>
        </is>
      </c>
      <c r="J129" t="inlineStr">
        <is>
          <t>fonte</t>
        </is>
      </c>
      <c r="K129" s="262" t="n">
        <v>50</v>
      </c>
      <c r="L129" s="262" t="n">
        <v>45</v>
      </c>
      <c r="M129" s="262" t="n">
        <v>45</v>
      </c>
      <c r="N129" s="262" t="n">
        <v>46</v>
      </c>
      <c r="O129" s="262" t="n">
        <v>38</v>
      </c>
      <c r="P129" s="262" t="n">
        <v>30</v>
      </c>
      <c r="Q129" s="262" t="n">
        <v>29</v>
      </c>
      <c r="R129" s="262" t="n">
        <v>26</v>
      </c>
      <c r="S129" s="262" t="n">
        <v>24</v>
      </c>
      <c r="T129" s="262" t="n">
        <v>23</v>
      </c>
      <c r="U129" s="262" t="n">
        <v>22</v>
      </c>
      <c r="V129" s="262" t="n">
        <v>21</v>
      </c>
      <c r="W129" s="262" t="n">
        <v>21</v>
      </c>
      <c r="X129" s="262" t="n">
        <v>21</v>
      </c>
      <c r="Y129" s="262" t="n">
        <v>20</v>
      </c>
      <c r="Z129" s="262" t="n">
        <v>16</v>
      </c>
      <c r="AA129" s="262" t="n">
        <v>14</v>
      </c>
      <c r="AB129" s="262" t="n">
        <v>14</v>
      </c>
      <c r="AC129" s="262" t="n">
        <v>12</v>
      </c>
      <c r="AD129" s="262" t="n">
        <v>11</v>
      </c>
      <c r="AE129" s="262" t="n">
        <v>11</v>
      </c>
      <c r="AF129" s="262" t="n">
        <v>11</v>
      </c>
      <c r="AG129" s="262" t="n">
        <v>11</v>
      </c>
      <c r="AH129" s="262" t="n">
        <v>11</v>
      </c>
      <c r="AI129" s="262" t="n">
        <v>11</v>
      </c>
      <c r="AJ129" s="262" t="n">
        <v>11</v>
      </c>
    </row>
    <row r="130">
      <c r="A130" t="n">
        <v>55</v>
      </c>
      <c r="B130" t="n">
        <v>1</v>
      </c>
      <c r="G130" t="inlineStr">
        <is>
          <t>un</t>
        </is>
      </c>
      <c r="H130" t="inlineStr">
        <is>
          <t>Area de vendas Vivara (m2; l.6)</t>
        </is>
      </c>
      <c r="J130" t="inlineStr">
        <is>
          <t>fonte</t>
        </is>
      </c>
      <c r="K130" s="262" t="n">
        <v>18232.1</v>
      </c>
      <c r="L130" s="262" t="n">
        <v>18592.4</v>
      </c>
      <c r="M130" s="262" t="n">
        <v>18799.4</v>
      </c>
      <c r="N130" s="262" t="n">
        <v>18982.5</v>
      </c>
      <c r="O130" s="262" t="n">
        <v>18982.5</v>
      </c>
      <c r="P130" s="262" t="n">
        <v>20102</v>
      </c>
      <c r="Q130" s="262" t="n">
        <v>20646</v>
      </c>
      <c r="R130" s="262" t="n">
        <v>20841</v>
      </c>
      <c r="S130" s="262" t="n">
        <v>21098</v>
      </c>
      <c r="T130" s="262" t="n">
        <v>21098</v>
      </c>
      <c r="U130" s="262" t="n">
        <v>21558</v>
      </c>
      <c r="V130" s="262" t="n">
        <v>22091.32000000001</v>
      </c>
      <c r="W130" s="262" t="n">
        <v>22384.88000000001</v>
      </c>
      <c r="X130" s="262" t="n">
        <v>23042.77</v>
      </c>
      <c r="Y130" s="262" t="n">
        <v>23410.04</v>
      </c>
      <c r="Z130" s="262" t="n">
        <v>23719</v>
      </c>
      <c r="AA130" s="262" t="n">
        <v>24108.3</v>
      </c>
      <c r="AB130" s="262" t="n">
        <v>24385.03</v>
      </c>
      <c r="AC130" s="262" t="n">
        <v>24467.29999999998</v>
      </c>
      <c r="AD130" s="262" t="n">
        <v>24753</v>
      </c>
      <c r="AE130" s="262" t="n">
        <v>24753</v>
      </c>
      <c r="AF130" s="262" t="n">
        <v>24766.90000000001</v>
      </c>
      <c r="AG130" s="262" t="n">
        <v>24561</v>
      </c>
      <c r="AH130" s="262" t="n">
        <v>24936.84999999998</v>
      </c>
      <c r="AI130" s="262" t="n">
        <v>24936.85000000001</v>
      </c>
      <c r="AJ130" s="262" t="n">
        <v>25307.76999999998</v>
      </c>
    </row>
    <row r="131">
      <c r="A131" t="n">
        <v>56</v>
      </c>
      <c r="B131" t="n">
        <v>1</v>
      </c>
      <c r="G131" t="inlineStr">
        <is>
          <t>un</t>
        </is>
      </c>
      <c r="H131" t="inlineStr">
        <is>
          <t>Area de vendas Life (m2; l.7)</t>
        </is>
      </c>
      <c r="J131" t="inlineStr">
        <is>
          <t>fonte</t>
        </is>
      </c>
      <c r="K131" s="262" t="n">
        <v>404.4</v>
      </c>
      <c r="L131" s="262" t="n">
        <v>436.4</v>
      </c>
      <c r="M131" s="262" t="n">
        <v>514.7</v>
      </c>
      <c r="N131" s="262" t="n">
        <v>640.3</v>
      </c>
      <c r="O131" s="262" t="n">
        <v>640.3</v>
      </c>
      <c r="P131" s="262" t="n">
        <v>727.7</v>
      </c>
      <c r="Q131" s="262" t="n">
        <v>1101.9</v>
      </c>
      <c r="R131" s="262" t="n">
        <v>2196.1</v>
      </c>
      <c r="S131" s="262" t="n">
        <v>2479</v>
      </c>
      <c r="T131" s="262" t="n">
        <v>2902</v>
      </c>
      <c r="U131" s="262" t="n">
        <v>3847</v>
      </c>
      <c r="V131" s="262" t="n">
        <v>5228.360000000001</v>
      </c>
      <c r="W131" s="262" t="n">
        <v>5822.539999999999</v>
      </c>
      <c r="X131" s="262" t="n">
        <v>6291.299999999998</v>
      </c>
      <c r="Y131" s="262" t="n">
        <v>7207.62</v>
      </c>
      <c r="Z131" s="262" t="n">
        <v>8586</v>
      </c>
      <c r="AA131" s="262" t="n">
        <v>9623.820000000002</v>
      </c>
      <c r="AB131" s="262" t="n">
        <v>10872.71</v>
      </c>
      <c r="AC131" s="262" t="n">
        <v>11878.9</v>
      </c>
      <c r="AD131" s="262" t="n">
        <v>13475.19</v>
      </c>
      <c r="AE131" s="262" t="n">
        <v>13820.63</v>
      </c>
      <c r="AF131" s="262" t="n">
        <v>14548</v>
      </c>
      <c r="AG131" s="262" t="n">
        <v>14952</v>
      </c>
      <c r="AH131" s="262" t="n">
        <v>16559.99</v>
      </c>
      <c r="AI131" s="262" t="n">
        <v>16950.86</v>
      </c>
      <c r="AJ131" s="262" t="n">
        <v>17890.89999999999</v>
      </c>
    </row>
    <row r="132">
      <c r="A132" t="n">
        <v>57</v>
      </c>
      <c r="B132" t="n">
        <v>1</v>
      </c>
      <c r="G132" t="inlineStr">
        <is>
          <t>un</t>
        </is>
      </c>
      <c r="H132" t="inlineStr">
        <is>
          <t>Area de vendas quiosques (m2; l.8)</t>
        </is>
      </c>
      <c r="J132" t="inlineStr">
        <is>
          <t>fonte</t>
        </is>
      </c>
      <c r="K132" s="262" t="n">
        <v>317</v>
      </c>
      <c r="L132" s="262" t="n">
        <v>281</v>
      </c>
      <c r="M132" s="262" t="n">
        <v>290</v>
      </c>
      <c r="N132" s="262" t="n">
        <v>296</v>
      </c>
      <c r="O132" s="262" t="n">
        <v>245</v>
      </c>
      <c r="P132" s="262" t="n">
        <v>197</v>
      </c>
      <c r="Q132" s="262" t="n">
        <v>191</v>
      </c>
      <c r="R132" s="262" t="n">
        <v>170</v>
      </c>
      <c r="S132" s="262" t="n">
        <v>155</v>
      </c>
      <c r="T132" s="262" t="n">
        <v>149</v>
      </c>
      <c r="U132" s="262" t="n">
        <v>143</v>
      </c>
      <c r="V132" s="262" t="n">
        <v>134</v>
      </c>
      <c r="W132" s="262" t="n">
        <v>137</v>
      </c>
      <c r="X132" s="262" t="n">
        <v>137</v>
      </c>
      <c r="Y132" s="262" t="n">
        <v>131</v>
      </c>
      <c r="Z132" s="262" t="n">
        <v>101</v>
      </c>
      <c r="AA132" s="262" t="n">
        <v>86</v>
      </c>
      <c r="AB132" s="262" t="n">
        <v>86</v>
      </c>
      <c r="AC132" s="262" t="n">
        <v>74</v>
      </c>
      <c r="AD132" s="262" t="n">
        <v>68</v>
      </c>
      <c r="AE132" s="262" t="n">
        <v>68</v>
      </c>
      <c r="AF132" s="262" t="n">
        <v>68</v>
      </c>
      <c r="AG132" s="262" t="n">
        <v>68</v>
      </c>
      <c r="AH132" s="262" t="n">
        <v>68</v>
      </c>
      <c r="AI132" s="262" t="n">
        <v>74</v>
      </c>
      <c r="AJ132" s="262" t="n">
        <v>74</v>
      </c>
    </row>
    <row r="133">
      <c r="A133" t="n">
        <v>58</v>
      </c>
      <c r="B133" t="n">
        <v>1</v>
      </c>
      <c r="G133" t="inlineStr">
        <is>
          <t>un</t>
        </is>
      </c>
      <c r="H133" t="inlineStr">
        <is>
          <t>SSS lojas fisicas (l.13)</t>
        </is>
      </c>
      <c r="J133" t="inlineStr">
        <is>
          <t>fonte</t>
        </is>
      </c>
      <c r="K133" s="263" t="n">
        <v>-0.1</v>
      </c>
      <c r="L133" s="263" t="n">
        <v>-0.835</v>
      </c>
      <c r="M133" s="263" t="n">
        <v>-0.219</v>
      </c>
      <c r="N133" s="263" t="n">
        <v>-0.02</v>
      </c>
      <c r="O133" s="263" t="n">
        <v>-0.1254662981438708</v>
      </c>
      <c r="P133" s="263" t="n">
        <v>5.045</v>
      </c>
      <c r="Q133" s="263" t="n">
        <v>0.4531199986711236</v>
      </c>
      <c r="R133" s="263" t="n">
        <v>0.153</v>
      </c>
      <c r="S133" s="263" t="n">
        <v>0.615</v>
      </c>
      <c r="T133" s="263" t="n">
        <v>0.3102303338709753</v>
      </c>
      <c r="U133" s="263" t="n">
        <v>0.1429199744161316</v>
      </c>
      <c r="V133" s="263" t="n">
        <v>0.04422844049584596</v>
      </c>
      <c r="W133" s="263" t="n">
        <v>0.07375256784487338</v>
      </c>
      <c r="X133" s="263" t="n">
        <v>0.04885822976987186</v>
      </c>
      <c r="Y133" s="263" t="n">
        <v>0.06070001504093114</v>
      </c>
      <c r="Z133" s="263" t="n">
        <v>0.1181397918099147</v>
      </c>
      <c r="AA133" s="263" t="n">
        <v>0.09572773487665298</v>
      </c>
      <c r="AB133" s="263" t="n">
        <v>0.129</v>
      </c>
      <c r="AC133" s="263" t="n">
        <v>0.135</v>
      </c>
      <c r="AD133" s="263" t="n">
        <v>0.103</v>
      </c>
      <c r="AE133" s="263" t="n">
        <v>0.101</v>
      </c>
      <c r="AF133" s="263" t="n">
        <v>0.11</v>
      </c>
      <c r="AG133" s="263" t="n">
        <v>0.104</v>
      </c>
      <c r="AH133" s="263" t="n">
        <v>0.112</v>
      </c>
      <c r="AI133" s="263" t="n">
        <v>0.097</v>
      </c>
      <c r="AJ133" s="263" t="n">
        <v>0.05934243776629056</v>
      </c>
    </row>
    <row r="134">
      <c r="A134" t="n">
        <v>59</v>
      </c>
      <c r="B134" t="n">
        <v>1</v>
      </c>
      <c r="G134" t="inlineStr">
        <is>
          <t>un</t>
        </is>
      </c>
      <c r="H134" t="inlineStr">
        <is>
          <t>SSS lojas Vivara (l.14)</t>
        </is>
      </c>
      <c r="J134" t="inlineStr">
        <is>
          <t>fonte</t>
        </is>
      </c>
      <c r="K134" s="263" t="n">
        <v>-0.0965073749255857</v>
      </c>
      <c r="L134" s="263" t="n">
        <v>-0.8292236425811087</v>
      </c>
      <c r="M134" s="263" t="n">
        <v>-0.2112521743477518</v>
      </c>
      <c r="N134" s="263" t="n">
        <v>-0.01865913323143931</v>
      </c>
      <c r="O134" s="263" t="n">
        <v>-0.1198350382740241</v>
      </c>
      <c r="P134" s="263" t="n">
        <v>4.926842769423639</v>
      </c>
      <c r="Q134" s="263" t="n">
        <v>0.4449602559343684</v>
      </c>
      <c r="R134" s="263" t="n">
        <v>0.1531881464426286</v>
      </c>
      <c r="S134" s="263" t="n">
        <v>0.6016536558934904</v>
      </c>
      <c r="T134" s="263" t="n">
        <v>0.3053424713000898</v>
      </c>
      <c r="U134" s="263" t="n">
        <v>0.1454295478196255</v>
      </c>
      <c r="V134" s="263" t="n">
        <v>0.04975966787989217</v>
      </c>
      <c r="W134" s="263" t="n">
        <v>0.06191936623705474</v>
      </c>
      <c r="X134" s="263" t="n">
        <v>0.01524679235432713</v>
      </c>
      <c r="Y134" s="263" t="n">
        <v>0.02750520809545387</v>
      </c>
      <c r="Z134" s="263" t="n">
        <v>0.09683793358677928</v>
      </c>
      <c r="AA134" s="263" t="n">
        <v>0.07691967021885904</v>
      </c>
      <c r="AB134" s="263" t="n">
        <v>0.126</v>
      </c>
      <c r="AC134" s="263" t="n">
        <v>0.14</v>
      </c>
      <c r="AD134" s="263" t="n">
        <v>0.1</v>
      </c>
      <c r="AE134" s="263" t="n">
        <v>0.113</v>
      </c>
      <c r="AF134" s="263" t="n">
        <v>0.119</v>
      </c>
      <c r="AG134" s="263" t="n">
        <v>0.147</v>
      </c>
      <c r="AH134" s="263" t="n">
        <v>0.122</v>
      </c>
      <c r="AI134" s="263" t="n">
        <v>0.108</v>
      </c>
      <c r="AJ134" s="263" t="n">
        <v>0.06538474146868878</v>
      </c>
    </row>
    <row r="135">
      <c r="A135" t="n">
        <v>60</v>
      </c>
      <c r="B135" t="n">
        <v>1</v>
      </c>
      <c r="G135" t="inlineStr">
        <is>
          <t>un</t>
        </is>
      </c>
      <c r="H135" t="inlineStr">
        <is>
          <t>SSS lojas Life (l.15)</t>
        </is>
      </c>
      <c r="J135" t="inlineStr">
        <is>
          <t>fonte</t>
        </is>
      </c>
      <c r="K135" s="263" t="n">
        <v>-0.1758712276160461</v>
      </c>
      <c r="L135" s="263" t="n">
        <v>-0.9377619753024423</v>
      </c>
      <c r="M135" s="263" t="n">
        <v>-0.4279825765864501</v>
      </c>
      <c r="N135" s="263" t="n">
        <v>-0.1291414483367466</v>
      </c>
      <c r="O135" s="263" t="n">
        <v>-0.164187173845328</v>
      </c>
      <c r="P135" s="263" t="n">
        <v>16.56922968228677</v>
      </c>
      <c r="Q135" s="263" t="n">
        <v>0.8772116740299809</v>
      </c>
      <c r="R135" s="263" t="n">
        <v>0.3057002247158973</v>
      </c>
      <c r="S135" s="263" t="n">
        <v>1.066802545750131</v>
      </c>
      <c r="T135" s="263" t="n">
        <v>0.7352719669955015</v>
      </c>
      <c r="U135" s="263" t="n">
        <v>0.5459698266681925</v>
      </c>
      <c r="V135" s="263" t="n">
        <v>0.3136256409319447</v>
      </c>
      <c r="W135" s="263" t="n">
        <v>0.3443811747729726</v>
      </c>
      <c r="X135" s="263" t="n">
        <v>0.3760926845642516</v>
      </c>
      <c r="Y135" s="263" t="n">
        <v>0.3813851783126574</v>
      </c>
      <c r="Z135" s="263" t="n">
        <v>0.2467033282883304</v>
      </c>
      <c r="AA135" s="263" t="n">
        <v>0.1646294132783839</v>
      </c>
      <c r="AB135" s="263" t="n">
        <v>0.167</v>
      </c>
      <c r="AC135" s="263" t="n">
        <v>0.139</v>
      </c>
      <c r="AD135" s="263" t="n">
        <v>0.117</v>
      </c>
      <c r="AE135" s="263" t="n">
        <v>0.063</v>
      </c>
      <c r="AF135" s="263" t="n">
        <v>0.091</v>
      </c>
      <c r="AG135" s="263" t="n">
        <v>0.076</v>
      </c>
      <c r="AH135" s="263" t="n">
        <v>0.08400000000000001</v>
      </c>
      <c r="AI135" s="263" t="n">
        <v>0.062</v>
      </c>
      <c r="AJ135" s="263" t="n">
        <v>0.04314663450001111</v>
      </c>
    </row>
    <row r="136">
      <c r="A136" t="n">
        <v>61</v>
      </c>
      <c r="B136" t="n">
        <v>1</v>
      </c>
      <c r="G136" t="inlineStr">
        <is>
          <t>moeda</t>
        </is>
      </c>
      <c r="H136" t="inlineStr">
        <is>
          <t>Capex - novas lojas (R$ mil; l.23)</t>
        </is>
      </c>
      <c r="J136" t="inlineStr">
        <is>
          <t>fonte</t>
        </is>
      </c>
      <c r="K136" s="262" t="n">
        <v>9633</v>
      </c>
      <c r="L136" s="262" t="n">
        <v>9607</v>
      </c>
      <c r="M136" s="262" t="n">
        <v>2314</v>
      </c>
      <c r="N136" s="262" t="n">
        <v>3633.426769027014</v>
      </c>
      <c r="O136" s="262" t="n">
        <v>4787.203839999988</v>
      </c>
      <c r="P136" s="262" t="n">
        <v>12199.40086</v>
      </c>
      <c r="Q136" s="262" t="n">
        <v>17876.71093999999</v>
      </c>
      <c r="R136" s="262" t="n">
        <v>22617.30593999989</v>
      </c>
      <c r="S136" s="262" t="n">
        <v>10395.56357000001</v>
      </c>
      <c r="T136" s="262" t="n">
        <v>16411.68008205415</v>
      </c>
      <c r="U136" s="262" t="n">
        <v>25996.2853326513</v>
      </c>
      <c r="V136" s="262" t="n">
        <v>15735.72139000001</v>
      </c>
      <c r="W136" s="262" t="n">
        <v>15427.69836999999</v>
      </c>
      <c r="X136" s="262" t="n">
        <v>11709.82664</v>
      </c>
      <c r="Y136" s="262" t="n">
        <v>22872.08977</v>
      </c>
      <c r="Z136" s="262" t="n">
        <v>22902.89341000004</v>
      </c>
      <c r="AA136" s="262" t="n">
        <v>19075.92274999998</v>
      </c>
      <c r="AB136" s="262" t="n">
        <v>16357.92581999969</v>
      </c>
      <c r="AC136" s="262" t="n">
        <v>16510.572</v>
      </c>
      <c r="AD136" s="262" t="n">
        <v>17014.02055545055</v>
      </c>
      <c r="AE136" s="262" t="n">
        <v>4699.439959999999</v>
      </c>
      <c r="AF136" s="262" t="n">
        <v>5788.122769999981</v>
      </c>
      <c r="AG136" s="262" t="n">
        <v>5706.77871999998</v>
      </c>
      <c r="AH136" s="262" t="n">
        <v>12876.91711999999</v>
      </c>
      <c r="AI136" s="262" t="n">
        <v>9615.818530000002</v>
      </c>
      <c r="AJ136" s="262" t="n">
        <v>14359.40910999912</v>
      </c>
    </row>
    <row r="137">
      <c r="A137" t="n">
        <v>62</v>
      </c>
      <c r="B137" t="n">
        <v>1</v>
      </c>
      <c r="G137" t="inlineStr">
        <is>
          <t>moeda</t>
        </is>
      </c>
      <c r="H137" t="inlineStr">
        <is>
          <t>Capex - reformas e manutencao (l.24)</t>
        </is>
      </c>
      <c r="J137" t="inlineStr">
        <is>
          <t>fonte</t>
        </is>
      </c>
      <c r="K137" s="262" t="n">
        <v>2495</v>
      </c>
      <c r="L137" s="262" t="n">
        <v>1447</v>
      </c>
      <c r="M137" s="262" t="n">
        <v>2436</v>
      </c>
      <c r="N137" s="262" t="n">
        <v>1659.317562231239</v>
      </c>
      <c r="O137" s="262" t="n">
        <v>1822.19307</v>
      </c>
      <c r="P137" s="262" t="n">
        <v>1550.7662</v>
      </c>
      <c r="Q137" s="262" t="n">
        <v>2045.62882</v>
      </c>
      <c r="R137" s="262" t="n">
        <v>1600.37533</v>
      </c>
      <c r="S137" s="262" t="n">
        <v>4250.32147</v>
      </c>
      <c r="T137" s="262" t="n">
        <v>5541.183350195918</v>
      </c>
      <c r="U137" s="262" t="n">
        <v>4881.474736446202</v>
      </c>
      <c r="V137" s="262" t="n">
        <v>3337.040849999998</v>
      </c>
      <c r="W137" s="262" t="n">
        <v>11885.35657000008</v>
      </c>
      <c r="X137" s="262" t="n">
        <v>9783.213570000007</v>
      </c>
      <c r="Y137" s="262" t="n">
        <v>4050.878460000018</v>
      </c>
      <c r="Z137" s="262" t="n">
        <v>1328.247489999998</v>
      </c>
      <c r="AA137" s="262" t="n">
        <v>3518.84006</v>
      </c>
      <c r="AB137" s="262" t="n">
        <v>3750.485670000001</v>
      </c>
      <c r="AC137" s="262" t="n">
        <v>4539.96335</v>
      </c>
      <c r="AD137" s="262" t="n">
        <v>4709.768929999973</v>
      </c>
      <c r="AE137" s="262" t="n">
        <v>2697.780499999999</v>
      </c>
      <c r="AF137" s="262" t="n">
        <v>2976.843271942012</v>
      </c>
      <c r="AG137" s="262" t="n">
        <v>5210.962151941985</v>
      </c>
      <c r="AH137" s="262" t="n">
        <v>4826.730250000004</v>
      </c>
      <c r="AI137" s="262" t="n">
        <v>5818.382259999998</v>
      </c>
      <c r="AJ137" s="262" t="n">
        <v>6657.055210000027</v>
      </c>
    </row>
    <row r="138">
      <c r="A138" t="n">
        <v>63</v>
      </c>
      <c r="B138" t="n">
        <v>1</v>
      </c>
      <c r="G138" t="inlineStr">
        <is>
          <t>moeda</t>
        </is>
      </c>
      <c r="H138" t="inlineStr">
        <is>
          <t>Capex - fabrica (l.25)</t>
        </is>
      </c>
      <c r="J138" t="inlineStr">
        <is>
          <t>fonte</t>
        </is>
      </c>
      <c r="K138" s="262" t="n">
        <v>1009</v>
      </c>
      <c r="L138" s="262" t="n">
        <v>245</v>
      </c>
      <c r="M138" s="262" t="n">
        <v>966</v>
      </c>
      <c r="N138" s="262" t="n">
        <v>1270.801924</v>
      </c>
      <c r="O138" s="262" t="n">
        <v>3501.863688488002</v>
      </c>
      <c r="P138" s="262" t="n">
        <v>1131.08053</v>
      </c>
      <c r="Q138" s="262" t="n">
        <v>2103.065995</v>
      </c>
      <c r="R138" s="262" t="n">
        <v>4866.811040000001</v>
      </c>
      <c r="S138" s="262" t="n">
        <v>4410.814340000001</v>
      </c>
      <c r="T138" s="262" t="n">
        <v>624.0029800000001</v>
      </c>
      <c r="U138" s="262" t="n">
        <v>1722.48217</v>
      </c>
      <c r="V138" s="262" t="n">
        <v>1502.135710000002</v>
      </c>
      <c r="W138" s="262" t="n">
        <v>9103.578309999999</v>
      </c>
      <c r="X138" s="262" t="n">
        <v>12212.39244</v>
      </c>
      <c r="Y138" s="262" t="n">
        <v>9871.511739999996</v>
      </c>
      <c r="Z138" s="262" t="n">
        <v>5233.669610000001</v>
      </c>
      <c r="AA138" s="262" t="n">
        <v>3746.581430000001</v>
      </c>
      <c r="AB138" s="262" t="n">
        <v>3612.042190000001</v>
      </c>
      <c r="AC138" s="262" t="n">
        <v>5258.351</v>
      </c>
      <c r="AD138" s="262" t="n">
        <v>4049.790640000473</v>
      </c>
      <c r="AE138" s="262" t="n">
        <v>7517.436526060632</v>
      </c>
      <c r="AF138" s="262" t="n">
        <v>3942.458000000002</v>
      </c>
      <c r="AG138" s="262" t="n">
        <v>3733.844169999992</v>
      </c>
      <c r="AH138" s="262" t="n">
        <v>2662.097269999998</v>
      </c>
      <c r="AI138" s="262" t="n">
        <v>2822.728679999999</v>
      </c>
      <c r="AJ138" s="262" t="n">
        <v>2585.479809999999</v>
      </c>
    </row>
    <row r="139">
      <c r="A139" t="n">
        <v>64</v>
      </c>
      <c r="B139" t="n">
        <v>1</v>
      </c>
      <c r="G139" t="inlineStr">
        <is>
          <t>moeda</t>
        </is>
      </c>
      <c r="H139" t="inlineStr">
        <is>
          <t>Capex - sistemas/TI (l.26)</t>
        </is>
      </c>
      <c r="J139" t="inlineStr">
        <is>
          <t>fonte</t>
        </is>
      </c>
      <c r="K139" s="262" t="n">
        <v>1034</v>
      </c>
      <c r="L139" s="262" t="n">
        <v>507</v>
      </c>
      <c r="M139" s="262" t="n">
        <v>5662</v>
      </c>
      <c r="N139" s="262" t="n">
        <v>405.7818145</v>
      </c>
      <c r="O139" s="262" t="n">
        <v>2838.346660000001</v>
      </c>
      <c r="P139" s="262" t="n">
        <v>4757.689720000001</v>
      </c>
      <c r="Q139" s="262" t="n">
        <v>3595.922890000001</v>
      </c>
      <c r="R139" s="262" t="n">
        <v>16321.4025</v>
      </c>
      <c r="S139" s="262" t="n">
        <v>4185.21812</v>
      </c>
      <c r="T139" s="262" t="n">
        <v>5596.48553</v>
      </c>
      <c r="U139" s="262" t="n">
        <v>10066.71273</v>
      </c>
      <c r="V139" s="262" t="n">
        <v>6042.129400000001</v>
      </c>
      <c r="W139" s="262" t="n">
        <v>4284.372670000001</v>
      </c>
      <c r="X139" s="262" t="n">
        <v>8723.729930000001</v>
      </c>
      <c r="Y139" s="262" t="n">
        <v>9051.795359999991</v>
      </c>
      <c r="Z139" s="262" t="n">
        <v>7272.84021</v>
      </c>
      <c r="AA139" s="262" t="n">
        <v>6502.618049999999</v>
      </c>
      <c r="AB139" s="262" t="n">
        <v>12998.81987</v>
      </c>
      <c r="AC139" s="262" t="n">
        <v>7812.927800000003</v>
      </c>
      <c r="AD139" s="262" t="n">
        <v>-7617.867949999999</v>
      </c>
      <c r="AE139" s="262" t="n">
        <v>4215.854580000001</v>
      </c>
      <c r="AF139" s="262" t="n">
        <v>1567.33977</v>
      </c>
      <c r="AG139" s="262" t="n">
        <v>1734.99377</v>
      </c>
      <c r="AH139" s="262" t="n">
        <v>1115.62042</v>
      </c>
      <c r="AI139" s="262" t="n">
        <v>285.46462</v>
      </c>
      <c r="AJ139" s="262" t="n">
        <v>231.62035</v>
      </c>
    </row>
    <row r="140">
      <c r="A140" t="n">
        <v>65</v>
      </c>
      <c r="B140" t="n">
        <v>1</v>
      </c>
      <c r="G140" t="inlineStr">
        <is>
          <t>moeda</t>
        </is>
      </c>
      <c r="H140" t="inlineStr">
        <is>
          <t>Capex - outros (l.27)</t>
        </is>
      </c>
      <c r="J140" t="inlineStr">
        <is>
          <t>fonte</t>
        </is>
      </c>
      <c r="K140" s="262" t="n">
        <v>17</v>
      </c>
      <c r="L140" s="262" t="n">
        <v>372</v>
      </c>
      <c r="M140" s="262" t="n">
        <v>0</v>
      </c>
      <c r="N140" s="262" t="n">
        <v>0</v>
      </c>
      <c r="O140" s="262" t="n">
        <v>1.676380634307861e-11</v>
      </c>
      <c r="P140" s="262" t="n">
        <v>0</v>
      </c>
      <c r="Q140" s="262" t="n">
        <v>0</v>
      </c>
      <c r="R140" s="262" t="n">
        <v>462.102540000014</v>
      </c>
      <c r="S140" s="262" t="n">
        <v>627.15469</v>
      </c>
      <c r="T140" s="262" t="n">
        <v>3140.20853</v>
      </c>
      <c r="U140" s="262" t="n">
        <v>8566.21653</v>
      </c>
      <c r="V140" s="262" t="n">
        <v>4696.525950000005</v>
      </c>
      <c r="W140" s="262" t="n">
        <v>3335.889700000018</v>
      </c>
      <c r="X140" s="262" t="n">
        <v>4828.209069999953</v>
      </c>
      <c r="Y140" s="262" t="n">
        <v>2250.996420000007</v>
      </c>
      <c r="Z140" s="262" t="n">
        <v>2057.53194</v>
      </c>
      <c r="AA140" s="262" t="n">
        <v>2473.20932</v>
      </c>
      <c r="AB140" s="262" t="n">
        <v>1460.15116</v>
      </c>
      <c r="AC140" s="262" t="n">
        <v>386.97053</v>
      </c>
      <c r="AD140" s="262" t="n">
        <v>2862.323400000001</v>
      </c>
      <c r="AE140" s="262" t="n">
        <v>534.6018821772359</v>
      </c>
      <c r="AF140" s="262" t="n">
        <v>2402.331290000001</v>
      </c>
      <c r="AG140" s="262" t="n">
        <v>5850.183380000024</v>
      </c>
      <c r="AH140" s="262" t="n">
        <v>568.2860399999998</v>
      </c>
      <c r="AI140" s="262" t="n">
        <v>34.396</v>
      </c>
      <c r="AJ140" s="262" t="n">
        <v>1.234</v>
      </c>
    </row>
    <row r="141">
      <c r="H141" t="inlineStr">
        <is>
          <t>Notas: canais somam a receita bruta liq. de devolucoes da DRE em todos os trimestres, exceto 1T21 (-13,8 R$ mi). SSS e area sem fator.</t>
        </is>
      </c>
    </row>
    <row r="183">
      <c r="H183" s="254" t="inlineStr">
        <is>
          <t>CONVENCOES</t>
        </is>
      </c>
    </row>
    <row r="184">
      <c r="H184" t="inlineStr">
        <is>
          <t>Linhas de origem: 5 a 141. As formulas da Inputs (2) varrem as linhas 5 a 180; as linhas 142 a 180 estao livres para novas contas.</t>
        </is>
      </c>
    </row>
    <row r="185">
      <c r="H185" t="inlineStr">
        <is>
          <t>Periodos: colunas K a AJ (1Q20 a 2Q26 = 1T20 a 2T26).</t>
        </is>
      </c>
    </row>
    <row r="186">
      <c r="H186" t="inlineStr">
        <is>
          <t>Brutos em R$ mil (como na planilha da Cia): fator da celula B1 = 0,001 converte para R$ milhoes nas linhas UNID = moeda.</t>
        </is>
      </c>
    </row>
    <row r="187">
      <c r="H187" t="inlineStr">
        <is>
          <t>ORIGEM: fonte = copiado da planilha; memoria = como divulgado, sem codigo; derivada = formula nesta aba.</t>
        </is>
      </c>
    </row>
    <row r="188">
      <c r="H188" t="inlineStr">
        <is>
          <t>Codigos 45 a 65: drivers de receita (memoria); alimentam o bloco logo abaixo da receita liquida no Model.</t>
        </is>
      </c>
    </row>
    <row r="189"/>
    <row r="190"/>
    <row r="191"/>
    <row r="192"/>
    <row r="193"/>
    <row r="19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3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65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$180=$B4)*ISNUMBER(INDEX(Inputs!$K$5:$AJ$180,0,MATCH(D$2,Inputs!$K$4:$AJ$4,0))))+SUMPRODUCT((Inputs!$C$5:$C$180=$B4)*ISNUMBER(INDEX(Inputs!$K$5:$AJ$180,0,MATCH(D$2,Inputs!$K$4:$AJ$4,0))))+SUMPRODUCT((Inputs!$E$5:$E$180=$B4)*ISNUMBER(INDEX(Inputs!$K$5:$AJ$180,0,MATCH(D$2,Inputs!$K$4:$AJ$4,0))))=0,NA(),SUMPRODUCT((Inputs!$A$5:$A$180=$B4)*Inputs!$B$5:$B$180*(((Inputs!$G$5:$G$180="moeda")+(Inputs!$G$5:$G$180="acoes"))*Inputs!$B$1+((Inputs!$G$5:$G$180&lt;&gt;"moeda")*(Inputs!$G$5:$G$180&lt;&gt;"acoes")))*INDEX(Inputs!$K$5:$AJ$180,0,MATCH(D$2,Inputs!$K$4:$AJ$4,0)))+SUMPRODUCT((Inputs!$C$5:$C$180=$B4)*Inputs!$D$5:$D$180*(((Inputs!$G$5:$G$180="moeda")+(Inputs!$G$5:$G$180="acoes"))*Inputs!$B$1+((Inputs!$G$5:$G$180&lt;&gt;"moeda")*(Inputs!$G$5:$G$180&lt;&gt;"acoes")))*INDEX(Inputs!$K$5:$AJ$180,0,MATCH(D$2,Inputs!$K$4:$AJ$4,0)))+SUMPRODUCT((Inputs!$E$5:$E$180=$B4)*Inputs!$F$5:$F$180*(((Inputs!$G$5:$G$180="moeda")+(Inputs!$G$5:$G$180="acoes"))*Inputs!$B$1+((Inputs!$G$5:$G$180&lt;&gt;"moeda")*(Inputs!$G$5:$G$180&lt;&gt;"acoes")))*INDEX(Inputs!$K$5:$AJ$180,0,MATCH(D$2,Inputs!$K$4:$AJ$4,0)))))</f>
        <v>217.73003271</v>
      </c>
      <c r="E4" s="6">
        <f>IF(ISNA(MATCH(E$2,Inputs!$K$4:$AJ$4,0)),NA(),IF(SUMPRODUCT((Inputs!$A$5:$A$180=$B4)*ISNUMBER(INDEX(Inputs!$K$5:$AJ$180,0,MATCH(E$2,Inputs!$K$4:$AJ$4,0))))+SUMPRODUCT((Inputs!$C$5:$C$180=$B4)*ISNUMBER(INDEX(Inputs!$K$5:$AJ$180,0,MATCH(E$2,Inputs!$K$4:$AJ$4,0))))+SUMPRODUCT((Inputs!$E$5:$E$180=$B4)*ISNUMBER(INDEX(Inputs!$K$5:$AJ$180,0,MATCH(E$2,Inputs!$K$4:$AJ$4,0))))=0,NA(),SUMPRODUCT((Inputs!$A$5:$A$180=$B4)*Inputs!$B$5:$B$180*(((Inputs!$G$5:$G$180="moeda")+(Inputs!$G$5:$G$180="acoes"))*Inputs!$B$1+((Inputs!$G$5:$G$180&lt;&gt;"moeda")*(Inputs!$G$5:$G$180&lt;&gt;"acoes")))*INDEX(Inputs!$K$5:$AJ$180,0,MATCH(E$2,Inputs!$K$4:$AJ$4,0)))+SUMPRODUCT((Inputs!$C$5:$C$180=$B4)*Inputs!$D$5:$D$180*(((Inputs!$G$5:$G$180="moeda")+(Inputs!$G$5:$G$180="acoes"))*Inputs!$B$1+((Inputs!$G$5:$G$180&lt;&gt;"moeda")*(Inputs!$G$5:$G$180&lt;&gt;"acoes")))*INDEX(Inputs!$K$5:$AJ$180,0,MATCH(E$2,Inputs!$K$4:$AJ$4,0)))+SUMPRODUCT((Inputs!$E$5:$E$180=$B4)*Inputs!$F$5:$F$180*(((Inputs!$G$5:$G$180="moeda")+(Inputs!$G$5:$G$180="acoes"))*Inputs!$B$1+((Inputs!$G$5:$G$180&lt;&gt;"moeda")*(Inputs!$G$5:$G$180&lt;&gt;"acoes")))*INDEX(Inputs!$K$5:$AJ$180,0,MATCH(E$2,Inputs!$K$4:$AJ$4,0)))))</f>
        <v>361.99507971</v>
      </c>
      <c r="F4" s="6">
        <f>IF(ISNA(MATCH(F$2,Inputs!$K$4:$AJ$4,0)),NA(),IF(SUMPRODUCT((Inputs!$A$5:$A$180=$B4)*ISNUMBER(INDEX(Inputs!$K$5:$AJ$180,0,MATCH(F$2,Inputs!$K$4:$AJ$4,0))))+SUMPRODUCT((Inputs!$C$5:$C$180=$B4)*ISNUMBER(INDEX(Inputs!$K$5:$AJ$180,0,MATCH(F$2,Inputs!$K$4:$AJ$4,0))))+SUMPRODUCT((Inputs!$E$5:$E$180=$B4)*ISNUMBER(INDEX(Inputs!$K$5:$AJ$180,0,MATCH(F$2,Inputs!$K$4:$AJ$4,0))))=0,NA(),SUMPRODUCT((Inputs!$A$5:$A$180=$B4)*Inputs!$B$5:$B$180*(((Inputs!$G$5:$G$180="moeda")+(Inputs!$G$5:$G$180="acoes"))*Inputs!$B$1+((Inputs!$G$5:$G$180&lt;&gt;"moeda")*(Inputs!$G$5:$G$180&lt;&gt;"acoes")))*INDEX(Inputs!$K$5:$AJ$180,0,MATCH(F$2,Inputs!$K$4:$AJ$4,0)))+SUMPRODUCT((Inputs!$C$5:$C$180=$B4)*Inputs!$D$5:$D$180*(((Inputs!$G$5:$G$180="moeda")+(Inputs!$G$5:$G$180="acoes"))*Inputs!$B$1+((Inputs!$G$5:$G$180&lt;&gt;"moeda")*(Inputs!$G$5:$G$180&lt;&gt;"acoes")))*INDEX(Inputs!$K$5:$AJ$180,0,MATCH(F$2,Inputs!$K$4:$AJ$4,0)))+SUMPRODUCT((Inputs!$E$5:$E$180=$B4)*Inputs!$F$5:$F$180*(((Inputs!$G$5:$G$180="moeda")+(Inputs!$G$5:$G$180="acoes"))*Inputs!$B$1+((Inputs!$G$5:$G$180&lt;&gt;"moeda")*(Inputs!$G$5:$G$180&lt;&gt;"acoes")))*INDEX(Inputs!$K$5:$AJ$180,0,MATCH(F$2,Inputs!$K$4:$AJ$4,0)))))</f>
        <v>337.21497924</v>
      </c>
      <c r="G4" s="6">
        <f>IF(ISNA(MATCH(G$2,Inputs!$K$4:$AJ$4,0)),NA(),IF(SUMPRODUCT((Inputs!$A$5:$A$180=$B4)*ISNUMBER(INDEX(Inputs!$K$5:$AJ$180,0,MATCH(G$2,Inputs!$K$4:$AJ$4,0))))+SUMPRODUCT((Inputs!$C$5:$C$180=$B4)*ISNUMBER(INDEX(Inputs!$K$5:$AJ$180,0,MATCH(G$2,Inputs!$K$4:$AJ$4,0))))+SUMPRODUCT((Inputs!$E$5:$E$180=$B4)*ISNUMBER(INDEX(Inputs!$K$5:$AJ$180,0,MATCH(G$2,Inputs!$K$4:$AJ$4,0))))=0,NA(),SUMPRODUCT((Inputs!$A$5:$A$180=$B4)*Inputs!$B$5:$B$180*(((Inputs!$G$5:$G$180="moeda")+(Inputs!$G$5:$G$180="acoes"))*Inputs!$B$1+((Inputs!$G$5:$G$180&lt;&gt;"moeda")*(Inputs!$G$5:$G$180&lt;&gt;"acoes")))*INDEX(Inputs!$K$5:$AJ$180,0,MATCH(G$2,Inputs!$K$4:$AJ$4,0)))+SUMPRODUCT((Inputs!$C$5:$C$180=$B4)*Inputs!$D$5:$D$180*(((Inputs!$G$5:$G$180="moeda")+(Inputs!$G$5:$G$180="acoes"))*Inputs!$B$1+((Inputs!$G$5:$G$180&lt;&gt;"moeda")*(Inputs!$G$5:$G$180&lt;&gt;"acoes")))*INDEX(Inputs!$K$5:$AJ$180,0,MATCH(G$2,Inputs!$K$4:$AJ$4,0)))+SUMPRODUCT((Inputs!$E$5:$E$180=$B4)*Inputs!$F$5:$F$180*(((Inputs!$G$5:$G$180="moeda")+(Inputs!$G$5:$G$180="acoes"))*Inputs!$B$1+((Inputs!$G$5:$G$180&lt;&gt;"moeda")*(Inputs!$G$5:$G$180&lt;&gt;"acoes")))*INDEX(Inputs!$K$5:$AJ$180,0,MATCH(G$2,Inputs!$K$4:$AJ$4,0)))))</f>
        <v>549.44679293</v>
      </c>
      <c r="H4" s="3">
        <f>SUM(D4:G4)</f>
        <v>1466.38688459</v>
      </c>
      <c r="I4" s="6">
        <f>IF(ISNA(MATCH(I$2,Inputs!$K$4:$AJ$4,0)),NA(),IF(SUMPRODUCT((Inputs!$A$5:$A$180=$B4)*ISNUMBER(INDEX(Inputs!$K$5:$AJ$180,0,MATCH(I$2,Inputs!$K$4:$AJ$4,0))))+SUMPRODUCT((Inputs!$C$5:$C$180=$B4)*ISNUMBER(INDEX(Inputs!$K$5:$AJ$180,0,MATCH(I$2,Inputs!$K$4:$AJ$4,0))))+SUMPRODUCT((Inputs!$E$5:$E$180=$B4)*ISNUMBER(INDEX(Inputs!$K$5:$AJ$180,0,MATCH(I$2,Inputs!$K$4:$AJ$4,0))))=0,NA(),SUMPRODUCT((Inputs!$A$5:$A$180=$B4)*Inputs!$B$5:$B$180*(((Inputs!$G$5:$G$180="moeda")+(Inputs!$G$5:$G$180="acoes"))*Inputs!$B$1+((Inputs!$G$5:$G$180&lt;&gt;"moeda")*(Inputs!$G$5:$G$180&lt;&gt;"acoes")))*INDEX(Inputs!$K$5:$AJ$180,0,MATCH(I$2,Inputs!$K$4:$AJ$4,0)))+SUMPRODUCT((Inputs!$C$5:$C$180=$B4)*Inputs!$D$5:$D$180*(((Inputs!$G$5:$G$180="moeda")+(Inputs!$G$5:$G$180="acoes"))*Inputs!$B$1+((Inputs!$G$5:$G$180&lt;&gt;"moeda")*(Inputs!$G$5:$G$180&lt;&gt;"acoes")))*INDEX(Inputs!$K$5:$AJ$180,0,MATCH(I$2,Inputs!$K$4:$AJ$4,0)))+SUMPRODUCT((Inputs!$E$5:$E$180=$B4)*Inputs!$F$5:$F$180*(((Inputs!$G$5:$G$180="moeda")+(Inputs!$G$5:$G$180="acoes"))*Inputs!$B$1+((Inputs!$G$5:$G$180&lt;&gt;"moeda")*(Inputs!$G$5:$G$180&lt;&gt;"acoes")))*INDEX(Inputs!$K$5:$AJ$180,0,MATCH(I$2,Inputs!$K$4:$AJ$4,0)))))</f>
        <v>337.42374598</v>
      </c>
      <c r="J4" s="6">
        <f>IF(ISNA(MATCH(J$2,Inputs!$K$4:$AJ$4,0)),NA(),IF(SUMPRODUCT((Inputs!$A$5:$A$180=$B4)*ISNUMBER(INDEX(Inputs!$K$5:$AJ$180,0,MATCH(J$2,Inputs!$K$4:$AJ$4,0))))+SUMPRODUCT((Inputs!$C$5:$C$180=$B4)*ISNUMBER(INDEX(Inputs!$K$5:$AJ$180,0,MATCH(J$2,Inputs!$K$4:$AJ$4,0))))+SUMPRODUCT((Inputs!$E$5:$E$180=$B4)*ISNUMBER(INDEX(Inputs!$K$5:$AJ$180,0,MATCH(J$2,Inputs!$K$4:$AJ$4,0))))=0,NA(),SUMPRODUCT((Inputs!$A$5:$A$180=$B4)*Inputs!$B$5:$B$180*(((Inputs!$G$5:$G$180="moeda")+(Inputs!$G$5:$G$180="acoes"))*Inputs!$B$1+((Inputs!$G$5:$G$180&lt;&gt;"moeda")*(Inputs!$G$5:$G$180&lt;&gt;"acoes")))*INDEX(Inputs!$K$5:$AJ$180,0,MATCH(J$2,Inputs!$K$4:$AJ$4,0)))+SUMPRODUCT((Inputs!$C$5:$C$180=$B4)*Inputs!$D$5:$D$180*(((Inputs!$G$5:$G$180="moeda")+(Inputs!$G$5:$G$180="acoes"))*Inputs!$B$1+((Inputs!$G$5:$G$180&lt;&gt;"moeda")*(Inputs!$G$5:$G$180&lt;&gt;"acoes")))*INDEX(Inputs!$K$5:$AJ$180,0,MATCH(J$2,Inputs!$K$4:$AJ$4,0)))+SUMPRODUCT((Inputs!$E$5:$E$180=$B4)*Inputs!$F$5:$F$180*(((Inputs!$G$5:$G$180="moeda")+(Inputs!$G$5:$G$180="acoes"))*Inputs!$B$1+((Inputs!$G$5:$G$180&lt;&gt;"moeda")*(Inputs!$G$5:$G$180&lt;&gt;"acoes")))*INDEX(Inputs!$K$5:$AJ$180,0,MATCH(J$2,Inputs!$K$4:$AJ$4,0)))))</f>
        <v>469.3902051</v>
      </c>
      <c r="K4" s="6">
        <f>IF(ISNA(MATCH(K$2,Inputs!$K$4:$AJ$4,0)),NA(),IF(SUMPRODUCT((Inputs!$A$5:$A$180=$B4)*ISNUMBER(INDEX(Inputs!$K$5:$AJ$180,0,MATCH(K$2,Inputs!$K$4:$AJ$4,0))))+SUMPRODUCT((Inputs!$C$5:$C$180=$B4)*ISNUMBER(INDEX(Inputs!$K$5:$AJ$180,0,MATCH(K$2,Inputs!$K$4:$AJ$4,0))))+SUMPRODUCT((Inputs!$E$5:$E$180=$B4)*ISNUMBER(INDEX(Inputs!$K$5:$AJ$180,0,MATCH(K$2,Inputs!$K$4:$AJ$4,0))))=0,NA(),SUMPRODUCT((Inputs!$A$5:$A$180=$B4)*Inputs!$B$5:$B$180*(((Inputs!$G$5:$G$180="moeda")+(Inputs!$G$5:$G$180="acoes"))*Inputs!$B$1+((Inputs!$G$5:$G$180&lt;&gt;"moeda")*(Inputs!$G$5:$G$180&lt;&gt;"acoes")))*INDEX(Inputs!$K$5:$AJ$180,0,MATCH(K$2,Inputs!$K$4:$AJ$4,0)))+SUMPRODUCT((Inputs!$C$5:$C$180=$B4)*Inputs!$D$5:$D$180*(((Inputs!$G$5:$G$180="moeda")+(Inputs!$G$5:$G$180="acoes"))*Inputs!$B$1+((Inputs!$G$5:$G$180&lt;&gt;"moeda")*(Inputs!$G$5:$G$180&lt;&gt;"acoes")))*INDEX(Inputs!$K$5:$AJ$180,0,MATCH(K$2,Inputs!$K$4:$AJ$4,0)))+SUMPRODUCT((Inputs!$E$5:$E$180=$B4)*Inputs!$F$5:$F$180*(((Inputs!$G$5:$G$180="moeda")+(Inputs!$G$5:$G$180="acoes"))*Inputs!$B$1+((Inputs!$G$5:$G$180&lt;&gt;"moeda")*(Inputs!$G$5:$G$180&lt;&gt;"acoes")))*INDEX(Inputs!$K$5:$AJ$180,0,MATCH(K$2,Inputs!$K$4:$AJ$4,0)))))</f>
        <v>392.875888229999</v>
      </c>
      <c r="L4" s="6">
        <f>IF(ISNA(MATCH(L$2,Inputs!$K$4:$AJ$4,0)),NA(),IF(SUMPRODUCT((Inputs!$A$5:$A$180=$B4)*ISNUMBER(INDEX(Inputs!$K$5:$AJ$180,0,MATCH(L$2,Inputs!$K$4:$AJ$4,0))))+SUMPRODUCT((Inputs!$C$5:$C$180=$B4)*ISNUMBER(INDEX(Inputs!$K$5:$AJ$180,0,MATCH(L$2,Inputs!$K$4:$AJ$4,0))))+SUMPRODUCT((Inputs!$E$5:$E$180=$B4)*ISNUMBER(INDEX(Inputs!$K$5:$AJ$180,0,MATCH(L$2,Inputs!$K$4:$AJ$4,0))))=0,NA(),SUMPRODUCT((Inputs!$A$5:$A$180=$B4)*Inputs!$B$5:$B$180*(((Inputs!$G$5:$G$180="moeda")+(Inputs!$G$5:$G$180="acoes"))*Inputs!$B$1+((Inputs!$G$5:$G$180&lt;&gt;"moeda")*(Inputs!$G$5:$G$180&lt;&gt;"acoes")))*INDEX(Inputs!$K$5:$AJ$180,0,MATCH(L$2,Inputs!$K$4:$AJ$4,0)))+SUMPRODUCT((Inputs!$C$5:$C$180=$B4)*Inputs!$D$5:$D$180*(((Inputs!$G$5:$G$180="moeda")+(Inputs!$G$5:$G$180="acoes"))*Inputs!$B$1+((Inputs!$G$5:$G$180&lt;&gt;"moeda")*(Inputs!$G$5:$G$180&lt;&gt;"acoes")))*INDEX(Inputs!$K$5:$AJ$180,0,MATCH(L$2,Inputs!$K$4:$AJ$4,0)))+SUMPRODUCT((Inputs!$E$5:$E$180=$B4)*Inputs!$F$5:$F$180*(((Inputs!$G$5:$G$180="moeda")+(Inputs!$G$5:$G$180="acoes"))*Inputs!$B$1+((Inputs!$G$5:$G$180&lt;&gt;"moeda")*(Inputs!$G$5:$G$180&lt;&gt;"acoes")))*INDEX(Inputs!$K$5:$AJ$180,0,MATCH(L$2,Inputs!$K$4:$AJ$4,0)))))</f>
        <v>644.045249370001</v>
      </c>
      <c r="M4" s="3">
        <f>SUM(I4:L4)</f>
        <v>1843.73508868</v>
      </c>
      <c r="N4" s="6">
        <f>IF(ISNA(MATCH(N$2,Inputs!$K$4:$AJ$4,0)),NA(),IF(SUMPRODUCT((Inputs!$A$5:$A$180=$B4)*ISNUMBER(INDEX(Inputs!$K$5:$AJ$180,0,MATCH(N$2,Inputs!$K$4:$AJ$4,0))))+SUMPRODUCT((Inputs!$C$5:$C$180=$B4)*ISNUMBER(INDEX(Inputs!$K$5:$AJ$180,0,MATCH(N$2,Inputs!$K$4:$AJ$4,0))))+SUMPRODUCT((Inputs!$E$5:$E$180=$B4)*ISNUMBER(INDEX(Inputs!$K$5:$AJ$180,0,MATCH(N$2,Inputs!$K$4:$AJ$4,0))))=0,NA(),SUMPRODUCT((Inputs!$A$5:$A$180=$B4)*Inputs!$B$5:$B$180*(((Inputs!$G$5:$G$180="moeda")+(Inputs!$G$5:$G$180="acoes"))*Inputs!$B$1+((Inputs!$G$5:$G$180&lt;&gt;"moeda")*(Inputs!$G$5:$G$180&lt;&gt;"acoes")))*INDEX(Inputs!$K$5:$AJ$180,0,MATCH(N$2,Inputs!$K$4:$AJ$4,0)))+SUMPRODUCT((Inputs!$C$5:$C$180=$B4)*Inputs!$D$5:$D$180*(((Inputs!$G$5:$G$180="moeda")+(Inputs!$G$5:$G$180="acoes"))*Inputs!$B$1+((Inputs!$G$5:$G$180&lt;&gt;"moeda")*(Inputs!$G$5:$G$180&lt;&gt;"acoes")))*INDEX(Inputs!$K$5:$AJ$180,0,MATCH(N$2,Inputs!$K$4:$AJ$4,0)))+SUMPRODUCT((Inputs!$E$5:$E$180=$B4)*Inputs!$F$5:$F$180*(((Inputs!$G$5:$G$180="moeda")+(Inputs!$G$5:$G$180="acoes"))*Inputs!$B$1+((Inputs!$G$5:$G$180&lt;&gt;"moeda")*(Inputs!$G$5:$G$180&lt;&gt;"acoes")))*INDEX(Inputs!$K$5:$AJ$180,0,MATCH(N$2,Inputs!$K$4:$AJ$4,0)))))</f>
        <v>391.62759567</v>
      </c>
      <c r="O4" s="6">
        <f>IF(ISNA(MATCH(O$2,Inputs!$K$4:$AJ$4,0)),NA(),IF(SUMPRODUCT((Inputs!$A$5:$A$180=$B4)*ISNUMBER(INDEX(Inputs!$K$5:$AJ$180,0,MATCH(O$2,Inputs!$K$4:$AJ$4,0))))+SUMPRODUCT((Inputs!$C$5:$C$180=$B4)*ISNUMBER(INDEX(Inputs!$K$5:$AJ$180,0,MATCH(O$2,Inputs!$K$4:$AJ$4,0))))+SUMPRODUCT((Inputs!$E$5:$E$180=$B4)*ISNUMBER(INDEX(Inputs!$K$5:$AJ$180,0,MATCH(O$2,Inputs!$K$4:$AJ$4,0))))=0,NA(),SUMPRODUCT((Inputs!$A$5:$A$180=$B4)*Inputs!$B$5:$B$180*(((Inputs!$G$5:$G$180="moeda")+(Inputs!$G$5:$G$180="acoes"))*Inputs!$B$1+((Inputs!$G$5:$G$180&lt;&gt;"moeda")*(Inputs!$G$5:$G$180&lt;&gt;"acoes")))*INDEX(Inputs!$K$5:$AJ$180,0,MATCH(O$2,Inputs!$K$4:$AJ$4,0)))+SUMPRODUCT((Inputs!$C$5:$C$180=$B4)*Inputs!$D$5:$D$180*(((Inputs!$G$5:$G$180="moeda")+(Inputs!$G$5:$G$180="acoes"))*Inputs!$B$1+((Inputs!$G$5:$G$180&lt;&gt;"moeda")*(Inputs!$G$5:$G$180&lt;&gt;"acoes")))*INDEX(Inputs!$K$5:$AJ$180,0,MATCH(O$2,Inputs!$K$4:$AJ$4,0)))+SUMPRODUCT((Inputs!$E$5:$E$180=$B4)*Inputs!$F$5:$F$180*(((Inputs!$G$5:$G$180="moeda")+(Inputs!$G$5:$G$180="acoes"))*Inputs!$B$1+((Inputs!$G$5:$G$180&lt;&gt;"moeda")*(Inputs!$G$5:$G$180&lt;&gt;"acoes")))*INDEX(Inputs!$K$5:$AJ$180,0,MATCH(O$2,Inputs!$K$4:$AJ$4,0)))))</f>
        <v>559.90924771</v>
      </c>
      <c r="P4" s="6">
        <f>IF(ISNA(MATCH(P$2,Inputs!$K$4:$AJ$4,0)),NA(),IF(SUMPRODUCT((Inputs!$A$5:$A$180=$B4)*ISNUMBER(INDEX(Inputs!$K$5:$AJ$180,0,MATCH(P$2,Inputs!$K$4:$AJ$4,0))))+SUMPRODUCT((Inputs!$C$5:$C$180=$B4)*ISNUMBER(INDEX(Inputs!$K$5:$AJ$180,0,MATCH(P$2,Inputs!$K$4:$AJ$4,0))))+SUMPRODUCT((Inputs!$E$5:$E$180=$B4)*ISNUMBER(INDEX(Inputs!$K$5:$AJ$180,0,MATCH(P$2,Inputs!$K$4:$AJ$4,0))))=0,NA(),SUMPRODUCT((Inputs!$A$5:$A$180=$B4)*Inputs!$B$5:$B$180*(((Inputs!$G$5:$G$180="moeda")+(Inputs!$G$5:$G$180="acoes"))*Inputs!$B$1+((Inputs!$G$5:$G$180&lt;&gt;"moeda")*(Inputs!$G$5:$G$180&lt;&gt;"acoes")))*INDEX(Inputs!$K$5:$AJ$180,0,MATCH(P$2,Inputs!$K$4:$AJ$4,0)))+SUMPRODUCT((Inputs!$C$5:$C$180=$B4)*Inputs!$D$5:$D$180*(((Inputs!$G$5:$G$180="moeda")+(Inputs!$G$5:$G$180="acoes"))*Inputs!$B$1+((Inputs!$G$5:$G$180&lt;&gt;"moeda")*(Inputs!$G$5:$G$180&lt;&gt;"acoes")))*INDEX(Inputs!$K$5:$AJ$180,0,MATCH(P$2,Inputs!$K$4:$AJ$4,0)))+SUMPRODUCT((Inputs!$E$5:$E$180=$B4)*Inputs!$F$5:$F$180*(((Inputs!$G$5:$G$180="moeda")+(Inputs!$G$5:$G$180="acoes"))*Inputs!$B$1+((Inputs!$G$5:$G$180&lt;&gt;"moeda")*(Inputs!$G$5:$G$180&lt;&gt;"acoes")))*INDEX(Inputs!$K$5:$AJ$180,0,MATCH(P$2,Inputs!$K$4:$AJ$4,0)))))</f>
        <v>457.31063931</v>
      </c>
      <c r="Q4" s="6">
        <f>IF(ISNA(MATCH(Q$2,Inputs!$K$4:$AJ$4,0)),NA(),IF(SUMPRODUCT((Inputs!$A$5:$A$180=$B4)*ISNUMBER(INDEX(Inputs!$K$5:$AJ$180,0,MATCH(Q$2,Inputs!$K$4:$AJ$4,0))))+SUMPRODUCT((Inputs!$C$5:$C$180=$B4)*ISNUMBER(INDEX(Inputs!$K$5:$AJ$180,0,MATCH(Q$2,Inputs!$K$4:$AJ$4,0))))+SUMPRODUCT((Inputs!$E$5:$E$180=$B4)*ISNUMBER(INDEX(Inputs!$K$5:$AJ$180,0,MATCH(Q$2,Inputs!$K$4:$AJ$4,0))))=0,NA(),SUMPRODUCT((Inputs!$A$5:$A$180=$B4)*Inputs!$B$5:$B$180*(((Inputs!$G$5:$G$180="moeda")+(Inputs!$G$5:$G$180="acoes"))*Inputs!$B$1+((Inputs!$G$5:$G$180&lt;&gt;"moeda")*(Inputs!$G$5:$G$180&lt;&gt;"acoes")))*INDEX(Inputs!$K$5:$AJ$180,0,MATCH(Q$2,Inputs!$K$4:$AJ$4,0)))+SUMPRODUCT((Inputs!$C$5:$C$180=$B4)*Inputs!$D$5:$D$180*(((Inputs!$G$5:$G$180="moeda")+(Inputs!$G$5:$G$180="acoes"))*Inputs!$B$1+((Inputs!$G$5:$G$180&lt;&gt;"moeda")*(Inputs!$G$5:$G$180&lt;&gt;"acoes")))*INDEX(Inputs!$K$5:$AJ$180,0,MATCH(Q$2,Inputs!$K$4:$AJ$4,0)))+SUMPRODUCT((Inputs!$E$5:$E$180=$B4)*Inputs!$F$5:$F$180*(((Inputs!$G$5:$G$180="moeda")+(Inputs!$G$5:$G$180="acoes"))*Inputs!$B$1+((Inputs!$G$5:$G$180&lt;&gt;"moeda")*(Inputs!$G$5:$G$180&lt;&gt;"acoes")))*INDEX(Inputs!$K$5:$AJ$180,0,MATCH(Q$2,Inputs!$K$4:$AJ$4,0)))))</f>
        <v>778.127226580001</v>
      </c>
      <c r="R4" s="3">
        <f>SUM(N4:Q4)</f>
        <v>2186.97470927</v>
      </c>
      <c r="S4" s="6">
        <f>IF(ISNA(MATCH(S$2,Inputs!$K$4:$AJ$4,0)),NA(),IF(SUMPRODUCT((Inputs!$A$5:$A$180=$B4)*ISNUMBER(INDEX(Inputs!$K$5:$AJ$180,0,MATCH(S$2,Inputs!$K$4:$AJ$4,0))))+SUMPRODUCT((Inputs!$C$5:$C$180=$B4)*ISNUMBER(INDEX(Inputs!$K$5:$AJ$180,0,MATCH(S$2,Inputs!$K$4:$AJ$4,0))))+SUMPRODUCT((Inputs!$E$5:$E$180=$B4)*ISNUMBER(INDEX(Inputs!$K$5:$AJ$180,0,MATCH(S$2,Inputs!$K$4:$AJ$4,0))))=0,NA(),SUMPRODUCT((Inputs!$A$5:$A$180=$B4)*Inputs!$B$5:$B$180*(((Inputs!$G$5:$G$180="moeda")+(Inputs!$G$5:$G$180="acoes"))*Inputs!$B$1+((Inputs!$G$5:$G$180&lt;&gt;"moeda")*(Inputs!$G$5:$G$180&lt;&gt;"acoes")))*INDEX(Inputs!$K$5:$AJ$180,0,MATCH(S$2,Inputs!$K$4:$AJ$4,0)))+SUMPRODUCT((Inputs!$C$5:$C$180=$B4)*Inputs!$D$5:$D$180*(((Inputs!$G$5:$G$180="moeda")+(Inputs!$G$5:$G$180="acoes"))*Inputs!$B$1+((Inputs!$G$5:$G$180&lt;&gt;"moeda")*(Inputs!$G$5:$G$180&lt;&gt;"acoes")))*INDEX(Inputs!$K$5:$AJ$180,0,MATCH(S$2,Inputs!$K$4:$AJ$4,0)))+SUMPRODUCT((Inputs!$E$5:$E$180=$B4)*Inputs!$F$5:$F$180*(((Inputs!$G$5:$G$180="moeda")+(Inputs!$G$5:$G$180="acoes"))*Inputs!$B$1+((Inputs!$G$5:$G$180&lt;&gt;"moeda")*(Inputs!$G$5:$G$180&lt;&gt;"acoes")))*INDEX(Inputs!$K$5:$AJ$180,0,MATCH(S$2,Inputs!$K$4:$AJ$4,0)))))</f>
        <v>444.5904668</v>
      </c>
      <c r="T4" s="6">
        <f>IF(ISNA(MATCH(T$2,Inputs!$K$4:$AJ$4,0)),NA(),IF(SUMPRODUCT((Inputs!$A$5:$A$180=$B4)*ISNUMBER(INDEX(Inputs!$K$5:$AJ$180,0,MATCH(T$2,Inputs!$K$4:$AJ$4,0))))+SUMPRODUCT((Inputs!$C$5:$C$180=$B4)*ISNUMBER(INDEX(Inputs!$K$5:$AJ$180,0,MATCH(T$2,Inputs!$K$4:$AJ$4,0))))+SUMPRODUCT((Inputs!$E$5:$E$180=$B4)*ISNUMBER(INDEX(Inputs!$K$5:$AJ$180,0,MATCH(T$2,Inputs!$K$4:$AJ$4,0))))=0,NA(),SUMPRODUCT((Inputs!$A$5:$A$180=$B4)*Inputs!$B$5:$B$180*(((Inputs!$G$5:$G$180="moeda")+(Inputs!$G$5:$G$180="acoes"))*Inputs!$B$1+((Inputs!$G$5:$G$180&lt;&gt;"moeda")*(Inputs!$G$5:$G$180&lt;&gt;"acoes")))*INDEX(Inputs!$K$5:$AJ$180,0,MATCH(T$2,Inputs!$K$4:$AJ$4,0)))+SUMPRODUCT((Inputs!$C$5:$C$180=$B4)*Inputs!$D$5:$D$180*(((Inputs!$G$5:$G$180="moeda")+(Inputs!$G$5:$G$180="acoes"))*Inputs!$B$1+((Inputs!$G$5:$G$180&lt;&gt;"moeda")*(Inputs!$G$5:$G$180&lt;&gt;"acoes")))*INDEX(Inputs!$K$5:$AJ$180,0,MATCH(T$2,Inputs!$K$4:$AJ$4,0)))+SUMPRODUCT((Inputs!$E$5:$E$180=$B4)*Inputs!$F$5:$F$180*(((Inputs!$G$5:$G$180="moeda")+(Inputs!$G$5:$G$180="acoes"))*Inputs!$B$1+((Inputs!$G$5:$G$180&lt;&gt;"moeda")*(Inputs!$G$5:$G$180&lt;&gt;"acoes")))*INDEX(Inputs!$K$5:$AJ$180,0,MATCH(T$2,Inputs!$K$4:$AJ$4,0)))))</f>
        <v>656.32203511</v>
      </c>
      <c r="U4" s="6">
        <f>IF(ISNA(MATCH(U$2,Inputs!$K$4:$AJ$4,0)),NA(),IF(SUMPRODUCT((Inputs!$A$5:$A$180=$B4)*ISNUMBER(INDEX(Inputs!$K$5:$AJ$180,0,MATCH(U$2,Inputs!$K$4:$AJ$4,0))))+SUMPRODUCT((Inputs!$C$5:$C$180=$B4)*ISNUMBER(INDEX(Inputs!$K$5:$AJ$180,0,MATCH(U$2,Inputs!$K$4:$AJ$4,0))))+SUMPRODUCT((Inputs!$E$5:$E$180=$B4)*ISNUMBER(INDEX(Inputs!$K$5:$AJ$180,0,MATCH(U$2,Inputs!$K$4:$AJ$4,0))))=0,NA(),SUMPRODUCT((Inputs!$A$5:$A$180=$B4)*Inputs!$B$5:$B$180*(((Inputs!$G$5:$G$180="moeda")+(Inputs!$G$5:$G$180="acoes"))*Inputs!$B$1+((Inputs!$G$5:$G$180&lt;&gt;"moeda")*(Inputs!$G$5:$G$180&lt;&gt;"acoes")))*INDEX(Inputs!$K$5:$AJ$180,0,MATCH(U$2,Inputs!$K$4:$AJ$4,0)))+SUMPRODUCT((Inputs!$C$5:$C$180=$B4)*Inputs!$D$5:$D$180*(((Inputs!$G$5:$G$180="moeda")+(Inputs!$G$5:$G$180="acoes"))*Inputs!$B$1+((Inputs!$G$5:$G$180&lt;&gt;"moeda")*(Inputs!$G$5:$G$180&lt;&gt;"acoes")))*INDEX(Inputs!$K$5:$AJ$180,0,MATCH(U$2,Inputs!$K$4:$AJ$4,0)))+SUMPRODUCT((Inputs!$E$5:$E$180=$B4)*Inputs!$F$5:$F$180*(((Inputs!$G$5:$G$180="moeda")+(Inputs!$G$5:$G$180="acoes"))*Inputs!$B$1+((Inputs!$G$5:$G$180&lt;&gt;"moeda")*(Inputs!$G$5:$G$180&lt;&gt;"acoes")))*INDEX(Inputs!$K$5:$AJ$180,0,MATCH(U$2,Inputs!$K$4:$AJ$4,0)))))</f>
        <v>562.89951042</v>
      </c>
      <c r="V4" s="6">
        <f>IF(ISNA(MATCH(V$2,Inputs!$K$4:$AJ$4,0)),NA(),IF(SUMPRODUCT((Inputs!$A$5:$A$180=$B4)*ISNUMBER(INDEX(Inputs!$K$5:$AJ$180,0,MATCH(V$2,Inputs!$K$4:$AJ$4,0))))+SUMPRODUCT((Inputs!$C$5:$C$180=$B4)*ISNUMBER(INDEX(Inputs!$K$5:$AJ$180,0,MATCH(V$2,Inputs!$K$4:$AJ$4,0))))+SUMPRODUCT((Inputs!$E$5:$E$180=$B4)*ISNUMBER(INDEX(Inputs!$K$5:$AJ$180,0,MATCH(V$2,Inputs!$K$4:$AJ$4,0))))=0,NA(),SUMPRODUCT((Inputs!$A$5:$A$180=$B4)*Inputs!$B$5:$B$180*(((Inputs!$G$5:$G$180="moeda")+(Inputs!$G$5:$G$180="acoes"))*Inputs!$B$1+((Inputs!$G$5:$G$180&lt;&gt;"moeda")*(Inputs!$G$5:$G$180&lt;&gt;"acoes")))*INDEX(Inputs!$K$5:$AJ$180,0,MATCH(V$2,Inputs!$K$4:$AJ$4,0)))+SUMPRODUCT((Inputs!$C$5:$C$180=$B4)*Inputs!$D$5:$D$180*(((Inputs!$G$5:$G$180="moeda")+(Inputs!$G$5:$G$180="acoes"))*Inputs!$B$1+((Inputs!$G$5:$G$180&lt;&gt;"moeda")*(Inputs!$G$5:$G$180&lt;&gt;"acoes")))*INDEX(Inputs!$K$5:$AJ$180,0,MATCH(V$2,Inputs!$K$4:$AJ$4,0)))+SUMPRODUCT((Inputs!$E$5:$E$180=$B4)*Inputs!$F$5:$F$180*(((Inputs!$G$5:$G$180="moeda")+(Inputs!$G$5:$G$180="acoes"))*Inputs!$B$1+((Inputs!$G$5:$G$180&lt;&gt;"moeda")*(Inputs!$G$5:$G$180&lt;&gt;"acoes")))*INDEX(Inputs!$K$5:$AJ$180,0,MATCH(V$2,Inputs!$K$4:$AJ$4,0)))))</f>
        <v>913.301105030001</v>
      </c>
      <c r="W4" s="3">
        <f>SUM(S4:V4)</f>
        <v>2577.11311736</v>
      </c>
      <c r="X4" s="6">
        <f>IF(ISNA(MATCH(X$2,Inputs!$K$4:$AJ$4,0)),NA(),IF(SUMPRODUCT((Inputs!$A$5:$A$180=$B4)*ISNUMBER(INDEX(Inputs!$K$5:$AJ$180,0,MATCH(X$2,Inputs!$K$4:$AJ$4,0))))+SUMPRODUCT((Inputs!$C$5:$C$180=$B4)*ISNUMBER(INDEX(Inputs!$K$5:$AJ$180,0,MATCH(X$2,Inputs!$K$4:$AJ$4,0))))+SUMPRODUCT((Inputs!$E$5:$E$180=$B4)*ISNUMBER(INDEX(Inputs!$K$5:$AJ$180,0,MATCH(X$2,Inputs!$K$4:$AJ$4,0))))=0,NA(),SUMPRODUCT((Inputs!$A$5:$A$180=$B4)*Inputs!$B$5:$B$180*(((Inputs!$G$5:$G$180="moeda")+(Inputs!$G$5:$G$180="acoes"))*Inputs!$B$1+((Inputs!$G$5:$G$180&lt;&gt;"moeda")*(Inputs!$G$5:$G$180&lt;&gt;"acoes")))*INDEX(Inputs!$K$5:$AJ$180,0,MATCH(X$2,Inputs!$K$4:$AJ$4,0)))+SUMPRODUCT((Inputs!$C$5:$C$180=$B4)*Inputs!$D$5:$D$180*(((Inputs!$G$5:$G$180="moeda")+(Inputs!$G$5:$G$180="acoes"))*Inputs!$B$1+((Inputs!$G$5:$G$180&lt;&gt;"moeda")*(Inputs!$G$5:$G$180&lt;&gt;"acoes")))*INDEX(Inputs!$K$5:$AJ$180,0,MATCH(X$2,Inputs!$K$4:$AJ$4,0)))+SUMPRODUCT((Inputs!$E$5:$E$180=$B4)*Inputs!$F$5:$F$180*(((Inputs!$G$5:$G$180="moeda")+(Inputs!$G$5:$G$180="acoes"))*Inputs!$B$1+((Inputs!$G$5:$G$180&lt;&gt;"moeda")*(Inputs!$G$5:$G$180&lt;&gt;"acoes")))*INDEX(Inputs!$K$5:$AJ$180,0,MATCH(X$2,Inputs!$K$4:$AJ$4,0)))))</f>
        <v>537.08071019</v>
      </c>
      <c r="Y4" s="6">
        <f>IF(ISNA(MATCH(Y$2,Inputs!$K$4:$AJ$4,0)),NA(),IF(SUMPRODUCT((Inputs!$A$5:$A$180=$B4)*ISNUMBER(INDEX(Inputs!$K$5:$AJ$180,0,MATCH(Y$2,Inputs!$K$4:$AJ$4,0))))+SUMPRODUCT((Inputs!$C$5:$C$180=$B4)*ISNUMBER(INDEX(Inputs!$K$5:$AJ$180,0,MATCH(Y$2,Inputs!$K$4:$AJ$4,0))))+SUMPRODUCT((Inputs!$E$5:$E$180=$B4)*ISNUMBER(INDEX(Inputs!$K$5:$AJ$180,0,MATCH(Y$2,Inputs!$K$4:$AJ$4,0))))=0,NA(),SUMPRODUCT((Inputs!$A$5:$A$180=$B4)*Inputs!$B$5:$B$180*(((Inputs!$G$5:$G$180="moeda")+(Inputs!$G$5:$G$180="acoes"))*Inputs!$B$1+((Inputs!$G$5:$G$180&lt;&gt;"moeda")*(Inputs!$G$5:$G$180&lt;&gt;"acoes")))*INDEX(Inputs!$K$5:$AJ$180,0,MATCH(Y$2,Inputs!$K$4:$AJ$4,0)))+SUMPRODUCT((Inputs!$C$5:$C$180=$B4)*Inputs!$D$5:$D$180*(((Inputs!$G$5:$G$180="moeda")+(Inputs!$G$5:$G$180="acoes"))*Inputs!$B$1+((Inputs!$G$5:$G$180&lt;&gt;"moeda")*(Inputs!$G$5:$G$180&lt;&gt;"acoes")))*INDEX(Inputs!$K$5:$AJ$180,0,MATCH(Y$2,Inputs!$K$4:$AJ$4,0)))+SUMPRODUCT((Inputs!$E$5:$E$180=$B4)*Inputs!$F$5:$F$180*(((Inputs!$G$5:$G$180="moeda")+(Inputs!$G$5:$G$180="acoes"))*Inputs!$B$1+((Inputs!$G$5:$G$180&lt;&gt;"moeda")*(Inputs!$G$5:$G$180&lt;&gt;"acoes")))*INDEX(Inputs!$K$5:$AJ$180,0,MATCH(Y$2,Inputs!$K$4:$AJ$4,0)))))</f>
        <v>761.0214</v>
      </c>
      <c r="Z4" s="6">
        <f>IF(ISNA(MATCH(Z$2,Inputs!$K$4:$AJ$4,0)),NA(),IF(SUMPRODUCT((Inputs!$A$5:$A$180=$B4)*ISNUMBER(INDEX(Inputs!$K$5:$AJ$180,0,MATCH(Z$2,Inputs!$K$4:$AJ$4,0))))+SUMPRODUCT((Inputs!$C$5:$C$180=$B4)*ISNUMBER(INDEX(Inputs!$K$5:$AJ$180,0,MATCH(Z$2,Inputs!$K$4:$AJ$4,0))))+SUMPRODUCT((Inputs!$E$5:$E$180=$B4)*ISNUMBER(INDEX(Inputs!$K$5:$AJ$180,0,MATCH(Z$2,Inputs!$K$4:$AJ$4,0))))=0,NA(),SUMPRODUCT((Inputs!$A$5:$A$180=$B4)*Inputs!$B$5:$B$180*(((Inputs!$G$5:$G$180="moeda")+(Inputs!$G$5:$G$180="acoes"))*Inputs!$B$1+((Inputs!$G$5:$G$180&lt;&gt;"moeda")*(Inputs!$G$5:$G$180&lt;&gt;"acoes")))*INDEX(Inputs!$K$5:$AJ$180,0,MATCH(Z$2,Inputs!$K$4:$AJ$4,0)))+SUMPRODUCT((Inputs!$C$5:$C$180=$B4)*Inputs!$D$5:$D$180*(((Inputs!$G$5:$G$180="moeda")+(Inputs!$G$5:$G$180="acoes"))*Inputs!$B$1+((Inputs!$G$5:$G$180&lt;&gt;"moeda")*(Inputs!$G$5:$G$180&lt;&gt;"acoes")))*INDEX(Inputs!$K$5:$AJ$180,0,MATCH(Z$2,Inputs!$K$4:$AJ$4,0)))+SUMPRODUCT((Inputs!$E$5:$E$180=$B4)*Inputs!$F$5:$F$180*(((Inputs!$G$5:$G$180="moeda")+(Inputs!$G$5:$G$180="acoes"))*Inputs!$B$1+((Inputs!$G$5:$G$180&lt;&gt;"moeda")*(Inputs!$G$5:$G$180&lt;&gt;"acoes")))*INDEX(Inputs!$K$5:$AJ$180,0,MATCH(Z$2,Inputs!$K$4:$AJ$4,0)))))</f>
        <v>664.50252762</v>
      </c>
      <c r="AA4" s="6">
        <f>IF(ISNA(MATCH(AA$2,Inputs!$K$4:$AJ$4,0)),NA(),IF(SUMPRODUCT((Inputs!$A$5:$A$180=$B4)*ISNUMBER(INDEX(Inputs!$K$5:$AJ$180,0,MATCH(AA$2,Inputs!$K$4:$AJ$4,0))))+SUMPRODUCT((Inputs!$C$5:$C$180=$B4)*ISNUMBER(INDEX(Inputs!$K$5:$AJ$180,0,MATCH(AA$2,Inputs!$K$4:$AJ$4,0))))+SUMPRODUCT((Inputs!$E$5:$E$180=$B4)*ISNUMBER(INDEX(Inputs!$K$5:$AJ$180,0,MATCH(AA$2,Inputs!$K$4:$AJ$4,0))))=0,NA(),SUMPRODUCT((Inputs!$A$5:$A$180=$B4)*Inputs!$B$5:$B$180*(((Inputs!$G$5:$G$180="moeda")+(Inputs!$G$5:$G$180="acoes"))*Inputs!$B$1+((Inputs!$G$5:$G$180&lt;&gt;"moeda")*(Inputs!$G$5:$G$180&lt;&gt;"acoes")))*INDEX(Inputs!$K$5:$AJ$180,0,MATCH(AA$2,Inputs!$K$4:$AJ$4,0)))+SUMPRODUCT((Inputs!$C$5:$C$180=$B4)*Inputs!$D$5:$D$180*(((Inputs!$G$5:$G$180="moeda")+(Inputs!$G$5:$G$180="acoes"))*Inputs!$B$1+((Inputs!$G$5:$G$180&lt;&gt;"moeda")*(Inputs!$G$5:$G$180&lt;&gt;"acoes")))*INDEX(Inputs!$K$5:$AJ$180,0,MATCH(AA$2,Inputs!$K$4:$AJ$4,0)))+SUMPRODUCT((Inputs!$E$5:$E$180=$B4)*Inputs!$F$5:$F$180*(((Inputs!$G$5:$G$180="moeda")+(Inputs!$G$5:$G$180="acoes"))*Inputs!$B$1+((Inputs!$G$5:$G$180&lt;&gt;"moeda")*(Inputs!$G$5:$G$180&lt;&gt;"acoes")))*INDEX(Inputs!$K$5:$AJ$180,0,MATCH(AA$2,Inputs!$K$4:$AJ$4,0)))))</f>
        <v>1063.977326</v>
      </c>
      <c r="AB4" s="3">
        <f>SUM(X4:AA4)</f>
        <v>3026.58196381</v>
      </c>
      <c r="AC4" s="6">
        <f>IF(ISNA(MATCH(AC$2,Inputs!$K$4:$AJ$4,0)),NA(),IF(SUMPRODUCT((Inputs!$A$5:$A$180=$B4)*ISNUMBER(INDEX(Inputs!$K$5:$AJ$180,0,MATCH(AC$2,Inputs!$K$4:$AJ$4,0))))+SUMPRODUCT((Inputs!$C$5:$C$180=$B4)*ISNUMBER(INDEX(Inputs!$K$5:$AJ$180,0,MATCH(AC$2,Inputs!$K$4:$AJ$4,0))))+SUMPRODUCT((Inputs!$E$5:$E$180=$B4)*ISNUMBER(INDEX(Inputs!$K$5:$AJ$180,0,MATCH(AC$2,Inputs!$K$4:$AJ$4,0))))=0,NA(),SUMPRODUCT((Inputs!$A$5:$A$180=$B4)*Inputs!$B$5:$B$180*(((Inputs!$G$5:$G$180="moeda")+(Inputs!$G$5:$G$180="acoes"))*Inputs!$B$1+((Inputs!$G$5:$G$180&lt;&gt;"moeda")*(Inputs!$G$5:$G$180&lt;&gt;"acoes")))*INDEX(Inputs!$K$5:$AJ$180,0,MATCH(AC$2,Inputs!$K$4:$AJ$4,0)))+SUMPRODUCT((Inputs!$C$5:$C$180=$B4)*Inputs!$D$5:$D$180*(((Inputs!$G$5:$G$180="moeda")+(Inputs!$G$5:$G$180="acoes"))*Inputs!$B$1+((Inputs!$G$5:$G$180&lt;&gt;"moeda")*(Inputs!$G$5:$G$180&lt;&gt;"acoes")))*INDEX(Inputs!$K$5:$AJ$180,0,MATCH(AC$2,Inputs!$K$4:$AJ$4,0)))+SUMPRODUCT((Inputs!$E$5:$E$180=$B4)*Inputs!$F$5:$F$180*(((Inputs!$G$5:$G$180="moeda")+(Inputs!$G$5:$G$180="acoes"))*Inputs!$B$1+((Inputs!$G$5:$G$180&lt;&gt;"moeda")*(Inputs!$G$5:$G$180&lt;&gt;"acoes")))*INDEX(Inputs!$K$5:$AJ$180,0,MATCH(AC$2,Inputs!$K$4:$AJ$4,0)))))</f>
        <v>595.51224396</v>
      </c>
      <c r="AD4" s="6">
        <f>IF(ISNA(MATCH(AD$2,Inputs!$K$4:$AJ$4,0)),NA(),IF(SUMPRODUCT((Inputs!$A$5:$A$180=$B4)*ISNUMBER(INDEX(Inputs!$K$5:$AJ$180,0,MATCH(AD$2,Inputs!$K$4:$AJ$4,0))))+SUMPRODUCT((Inputs!$C$5:$C$180=$B4)*ISNUMBER(INDEX(Inputs!$K$5:$AJ$180,0,MATCH(AD$2,Inputs!$K$4:$AJ$4,0))))+SUMPRODUCT((Inputs!$E$5:$E$180=$B4)*ISNUMBER(INDEX(Inputs!$K$5:$AJ$180,0,MATCH(AD$2,Inputs!$K$4:$AJ$4,0))))=0,NA(),SUMPRODUCT((Inputs!$A$5:$A$180=$B4)*Inputs!$B$5:$B$180*(((Inputs!$G$5:$G$180="moeda")+(Inputs!$G$5:$G$180="acoes"))*Inputs!$B$1+((Inputs!$G$5:$G$180&lt;&gt;"moeda")*(Inputs!$G$5:$G$180&lt;&gt;"acoes")))*INDEX(Inputs!$K$5:$AJ$180,0,MATCH(AD$2,Inputs!$K$4:$AJ$4,0)))+SUMPRODUCT((Inputs!$C$5:$C$180=$B4)*Inputs!$D$5:$D$180*(((Inputs!$G$5:$G$180="moeda")+(Inputs!$G$5:$G$180="acoes"))*Inputs!$B$1+((Inputs!$G$5:$G$180&lt;&gt;"moeda")*(Inputs!$G$5:$G$180&lt;&gt;"acoes")))*INDEX(Inputs!$K$5:$AJ$180,0,MATCH(AD$2,Inputs!$K$4:$AJ$4,0)))+SUMPRODUCT((Inputs!$E$5:$E$180=$B4)*Inputs!$F$5:$F$180*(((Inputs!$G$5:$G$180="moeda")+(Inputs!$G$5:$G$180="acoes"))*Inputs!$B$1+((Inputs!$G$5:$G$180&lt;&gt;"moeda")*(Inputs!$G$5:$G$180&lt;&gt;"acoes")))*INDEX(Inputs!$K$5:$AJ$180,0,MATCH(AD$2,Inputs!$K$4:$AJ$4,0)))))</f>
        <v>833.13104452</v>
      </c>
      <c r="AE4" s="6" t="e">
        <f>IF(ISNA(MATCH(AE$2,Inputs!$K$4:$AJ$4,0)),NA(),IF(SUMPRODUCT((Inputs!$A$5:$A$180=$B4)*ISNUMBER(INDEX(Inputs!$K$5:$AJ$180,0,MATCH(AE$2,Inputs!$K$4:$AJ$4,0))))+SUMPRODUCT((Inputs!$C$5:$C$180=$B4)*ISNUMBER(INDEX(Inputs!$K$5:$AJ$180,0,MATCH(AE$2,Inputs!$K$4:$AJ$4,0))))+SUMPRODUCT((Inputs!$E$5:$E$180=$B4)*ISNUMBER(INDEX(Inputs!$K$5:$AJ$180,0,MATCH(AE$2,Inputs!$K$4:$AJ$4,0))))=0,NA(),SUMPRODUCT((Inputs!$A$5:$A$180=$B4)*Inputs!$B$5:$B$180*(((Inputs!$G$5:$G$180="moeda")+(Inputs!$G$5:$G$180="acoes"))*Inputs!$B$1+((Inputs!$G$5:$G$180&lt;&gt;"moeda")*(Inputs!$G$5:$G$180&lt;&gt;"acoes")))*INDEX(Inputs!$K$5:$AJ$180,0,MATCH(AE$2,Inputs!$K$4:$AJ$4,0)))+SUMPRODUCT((Inputs!$C$5:$C$180=$B4)*Inputs!$D$5:$D$180*(((Inputs!$G$5:$G$180="moeda")+(Inputs!$G$5:$G$180="acoes"))*Inputs!$B$1+((Inputs!$G$5:$G$180&lt;&gt;"moeda")*(Inputs!$G$5:$G$180&lt;&gt;"acoes")))*INDEX(Inputs!$K$5:$AJ$180,0,MATCH(AE$2,Inputs!$K$4:$AJ$4,0)))+SUMPRODUCT((Inputs!$E$5:$E$180=$B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" s="6" t="e">
        <f>IF(ISNA(MATCH(AF$2,Inputs!$K$4:$AJ$4,0)),NA(),IF(SUMPRODUCT((Inputs!$A$5:$A$180=$B4)*ISNUMBER(INDEX(Inputs!$K$5:$AJ$180,0,MATCH(AF$2,Inputs!$K$4:$AJ$4,0))))+SUMPRODUCT((Inputs!$C$5:$C$180=$B4)*ISNUMBER(INDEX(Inputs!$K$5:$AJ$180,0,MATCH(AF$2,Inputs!$K$4:$AJ$4,0))))+SUMPRODUCT((Inputs!$E$5:$E$180=$B4)*ISNUMBER(INDEX(Inputs!$K$5:$AJ$180,0,MATCH(AF$2,Inputs!$K$4:$AJ$4,0))))=0,NA(),SUMPRODUCT((Inputs!$A$5:$A$180=$B4)*Inputs!$B$5:$B$180*(((Inputs!$G$5:$G$180="moeda")+(Inputs!$G$5:$G$180="acoes"))*Inputs!$B$1+((Inputs!$G$5:$G$180&lt;&gt;"moeda")*(Inputs!$G$5:$G$180&lt;&gt;"acoes")))*INDEX(Inputs!$K$5:$AJ$180,0,MATCH(AF$2,Inputs!$K$4:$AJ$4,0)))+SUMPRODUCT((Inputs!$C$5:$C$180=$B4)*Inputs!$D$5:$D$180*(((Inputs!$G$5:$G$180="moeda")+(Inputs!$G$5:$G$180="acoes"))*Inputs!$B$1+((Inputs!$G$5:$G$180&lt;&gt;"moeda")*(Inputs!$G$5:$G$180&lt;&gt;"acoes")))*INDEX(Inputs!$K$5:$AJ$180,0,MATCH(AF$2,Inputs!$K$4:$AJ$4,0)))+SUMPRODUCT((Inputs!$E$5:$E$180=$B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" s="3" t="e">
        <f>SUM(AC4:AF4)</f>
        <v>#N/A</v>
      </c>
      <c r="AH4" s="6">
        <f>IF(ISNA(MATCH(AH$2,Inputs!$K$4:$AJ$4,0)),NA(),IF(SUMPRODUCT((Inputs!$A$5:$A$180=$B4)*ISNUMBER(INDEX(Inputs!$K$5:$AJ$180,0,MATCH(AH$2,Inputs!$K$4:$AJ$4,0))))+SUMPRODUCT((Inputs!$C$5:$C$180=$B4)*ISNUMBER(INDEX(Inputs!$K$5:$AJ$180,0,MATCH(AH$2,Inputs!$K$4:$AJ$4,0))))+SUMPRODUCT((Inputs!$E$5:$E$180=$B4)*ISNUMBER(INDEX(Inputs!$K$5:$AJ$180,0,MATCH(AH$2,Inputs!$K$4:$AJ$4,0))))=0,NA(),SUMPRODUCT((Inputs!$A$5:$A$180=$B4)*Inputs!$B$5:$B$180*(((Inputs!$G$5:$G$180="moeda")+(Inputs!$G$5:$G$180="acoes"))*Inputs!$B$1+((Inputs!$G$5:$G$180&lt;&gt;"moeda")*(Inputs!$G$5:$G$180&lt;&gt;"acoes")))*INDEX(Inputs!$K$5:$AJ$180,0,MATCH(AH$2,Inputs!$K$4:$AJ$4,0)))+SUMPRODUCT((Inputs!$C$5:$C$180=$B4)*Inputs!$D$5:$D$180*(((Inputs!$G$5:$G$180="moeda")+(Inputs!$G$5:$G$180="acoes"))*Inputs!$B$1+((Inputs!$G$5:$G$180&lt;&gt;"moeda")*(Inputs!$G$5:$G$180&lt;&gt;"acoes")))*INDEX(Inputs!$K$5:$AJ$180,0,MATCH(AH$2,Inputs!$K$4:$AJ$4,0)))+SUMPRODUCT((Inputs!$E$5:$E$180=$B4)*Inputs!$F$5:$F$180*(((Inputs!$G$5:$G$180="moeda")+(Inputs!$G$5:$G$180="acoes"))*Inputs!$B$1+((Inputs!$G$5:$G$180&lt;&gt;"moeda")*(Inputs!$G$5:$G$180&lt;&gt;"acoes")))*INDEX(Inputs!$K$5:$AJ$180,0,MATCH(AH$2,Inputs!$K$4:$AJ$4,0)))))</f>
        <v>206.23135583</v>
      </c>
      <c r="AI4" s="6">
        <f>IF(ISNA(MATCH(AI$2,Inputs!$K$4:$AJ$4,0)),NA(),IF(SUMPRODUCT((Inputs!$A$5:$A$180=$B4)*ISNUMBER(INDEX(Inputs!$K$5:$AJ$180,0,MATCH(AI$2,Inputs!$K$4:$AJ$4,0))))+SUMPRODUCT((Inputs!$C$5:$C$180=$B4)*ISNUMBER(INDEX(Inputs!$K$5:$AJ$180,0,MATCH(AI$2,Inputs!$K$4:$AJ$4,0))))+SUMPRODUCT((Inputs!$E$5:$E$180=$B4)*ISNUMBER(INDEX(Inputs!$K$5:$AJ$180,0,MATCH(AI$2,Inputs!$K$4:$AJ$4,0))))=0,NA(),SUMPRODUCT((Inputs!$A$5:$A$180=$B4)*Inputs!$B$5:$B$180*(((Inputs!$G$5:$G$180="moeda")+(Inputs!$G$5:$G$180="acoes"))*Inputs!$B$1+((Inputs!$G$5:$G$180&lt;&gt;"moeda")*(Inputs!$G$5:$G$180&lt;&gt;"acoes")))*INDEX(Inputs!$K$5:$AJ$180,0,MATCH(AI$2,Inputs!$K$4:$AJ$4,0)))+SUMPRODUCT((Inputs!$C$5:$C$180=$B4)*Inputs!$D$5:$D$180*(((Inputs!$G$5:$G$180="moeda")+(Inputs!$G$5:$G$180="acoes"))*Inputs!$B$1+((Inputs!$G$5:$G$180&lt;&gt;"moeda")*(Inputs!$G$5:$G$180&lt;&gt;"acoes")))*INDEX(Inputs!$K$5:$AJ$180,0,MATCH(AI$2,Inputs!$K$4:$AJ$4,0)))+SUMPRODUCT((Inputs!$E$5:$E$180=$B4)*Inputs!$F$5:$F$180*(((Inputs!$G$5:$G$180="moeda")+(Inputs!$G$5:$G$180="acoes"))*Inputs!$B$1+((Inputs!$G$5:$G$180&lt;&gt;"moeda")*(Inputs!$G$5:$G$180&lt;&gt;"acoes")))*INDEX(Inputs!$K$5:$AJ$180,0,MATCH(AI$2,Inputs!$K$4:$AJ$4,0)))))</f>
        <v>137.65280679</v>
      </c>
      <c r="AJ4" s="6">
        <f>IF(ISNA(MATCH(AJ$2,Inputs!$K$4:$AJ$4,0)),NA(),IF(SUMPRODUCT((Inputs!$A$5:$A$180=$B4)*ISNUMBER(INDEX(Inputs!$K$5:$AJ$180,0,MATCH(AJ$2,Inputs!$K$4:$AJ$4,0))))+SUMPRODUCT((Inputs!$C$5:$C$180=$B4)*ISNUMBER(INDEX(Inputs!$K$5:$AJ$180,0,MATCH(AJ$2,Inputs!$K$4:$AJ$4,0))))+SUMPRODUCT((Inputs!$E$5:$E$180=$B4)*ISNUMBER(INDEX(Inputs!$K$5:$AJ$180,0,MATCH(AJ$2,Inputs!$K$4:$AJ$4,0))))=0,NA(),SUMPRODUCT((Inputs!$A$5:$A$180=$B4)*Inputs!$B$5:$B$180*(((Inputs!$G$5:$G$180="moeda")+(Inputs!$G$5:$G$180="acoes"))*Inputs!$B$1+((Inputs!$G$5:$G$180&lt;&gt;"moeda")*(Inputs!$G$5:$G$180&lt;&gt;"acoes")))*INDEX(Inputs!$K$5:$AJ$180,0,MATCH(AJ$2,Inputs!$K$4:$AJ$4,0)))+SUMPRODUCT((Inputs!$C$5:$C$180=$B4)*Inputs!$D$5:$D$180*(((Inputs!$G$5:$G$180="moeda")+(Inputs!$G$5:$G$180="acoes"))*Inputs!$B$1+((Inputs!$G$5:$G$180&lt;&gt;"moeda")*(Inputs!$G$5:$G$180&lt;&gt;"acoes")))*INDEX(Inputs!$K$5:$AJ$180,0,MATCH(AJ$2,Inputs!$K$4:$AJ$4,0)))+SUMPRODUCT((Inputs!$E$5:$E$180=$B4)*Inputs!$F$5:$F$180*(((Inputs!$G$5:$G$180="moeda")+(Inputs!$G$5:$G$180="acoes"))*Inputs!$B$1+((Inputs!$G$5:$G$180&lt;&gt;"moeda")*(Inputs!$G$5:$G$180&lt;&gt;"acoes")))*INDEX(Inputs!$K$5:$AJ$180,0,MATCH(AJ$2,Inputs!$K$4:$AJ$4,0)))))</f>
        <v>242.62604767</v>
      </c>
      <c r="AK4" s="6">
        <f>IF(ISNA(MATCH(AK$2,Inputs!$K$4:$AJ$4,0)),NA(),IF(SUMPRODUCT((Inputs!$A$5:$A$180=$B4)*ISNUMBER(INDEX(Inputs!$K$5:$AJ$180,0,MATCH(AK$2,Inputs!$K$4:$AJ$4,0))))+SUMPRODUCT((Inputs!$C$5:$C$180=$B4)*ISNUMBER(INDEX(Inputs!$K$5:$AJ$180,0,MATCH(AK$2,Inputs!$K$4:$AJ$4,0))))+SUMPRODUCT((Inputs!$E$5:$E$180=$B4)*ISNUMBER(INDEX(Inputs!$K$5:$AJ$180,0,MATCH(AK$2,Inputs!$K$4:$AJ$4,0))))=0,NA(),SUMPRODUCT((Inputs!$A$5:$A$180=$B4)*Inputs!$B$5:$B$180*(((Inputs!$G$5:$G$180="moeda")+(Inputs!$G$5:$G$180="acoes"))*Inputs!$B$1+((Inputs!$G$5:$G$180&lt;&gt;"moeda")*(Inputs!$G$5:$G$180&lt;&gt;"acoes")))*INDEX(Inputs!$K$5:$AJ$180,0,MATCH(AK$2,Inputs!$K$4:$AJ$4,0)))+SUMPRODUCT((Inputs!$C$5:$C$180=$B4)*Inputs!$D$5:$D$180*(((Inputs!$G$5:$G$180="moeda")+(Inputs!$G$5:$G$180="acoes"))*Inputs!$B$1+((Inputs!$G$5:$G$180&lt;&gt;"moeda")*(Inputs!$G$5:$G$180&lt;&gt;"acoes")))*INDEX(Inputs!$K$5:$AJ$180,0,MATCH(AK$2,Inputs!$K$4:$AJ$4,0)))+SUMPRODUCT((Inputs!$E$5:$E$180=$B4)*Inputs!$F$5:$F$180*(((Inputs!$G$5:$G$180="moeda")+(Inputs!$G$5:$G$180="acoes"))*Inputs!$B$1+((Inputs!$G$5:$G$180&lt;&gt;"moeda")*(Inputs!$G$5:$G$180&lt;&gt;"acoes")))*INDEX(Inputs!$K$5:$AJ$180,0,MATCH(AK$2,Inputs!$K$4:$AJ$4,0)))))</f>
        <v>461.03683082</v>
      </c>
      <c r="AL4" s="3">
        <f>SUM(AH4:AK4)</f>
        <v>1047.54704111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$180=$B5)*ISNUMBER(INDEX(Inputs!$K$5:$AJ$180,0,MATCH(D$2,Inputs!$K$4:$AJ$4,0))))+SUMPRODUCT((Inputs!$C$5:$C$180=$B5)*ISNUMBER(INDEX(Inputs!$K$5:$AJ$180,0,MATCH(D$2,Inputs!$K$4:$AJ$4,0))))+SUMPRODUCT((Inputs!$E$5:$E$180=$B5)*ISNUMBER(INDEX(Inputs!$K$5:$AJ$180,0,MATCH(D$2,Inputs!$K$4:$AJ$4,0))))=0,NA(),SUMPRODUCT((Inputs!$A$5:$A$180=$B5)*Inputs!$B$5:$B$180*(((Inputs!$G$5:$G$180="moeda")+(Inputs!$G$5:$G$180="acoes"))*Inputs!$B$1+((Inputs!$G$5:$G$180&lt;&gt;"moeda")*(Inputs!$G$5:$G$180&lt;&gt;"acoes")))*INDEX(Inputs!$K$5:$AJ$180,0,MATCH(D$2,Inputs!$K$4:$AJ$4,0)))+SUMPRODUCT((Inputs!$C$5:$C$180=$B5)*Inputs!$D$5:$D$180*(((Inputs!$G$5:$G$180="moeda")+(Inputs!$G$5:$G$180="acoes"))*Inputs!$B$1+((Inputs!$G$5:$G$180&lt;&gt;"moeda")*(Inputs!$G$5:$G$180&lt;&gt;"acoes")))*INDEX(Inputs!$K$5:$AJ$180,0,MATCH(D$2,Inputs!$K$4:$AJ$4,0)))+SUMPRODUCT((Inputs!$E$5:$E$180=$B5)*Inputs!$F$5:$F$180*(((Inputs!$G$5:$G$180="moeda")+(Inputs!$G$5:$G$180="acoes"))*Inputs!$B$1+((Inputs!$G$5:$G$180&lt;&gt;"moeda")*(Inputs!$G$5:$G$180&lt;&gt;"acoes")))*INDEX(Inputs!$K$5:$AJ$180,0,MATCH(D$2,Inputs!$K$4:$AJ$4,0)))))</f>
        <v>-74.3232924798565</v>
      </c>
      <c r="E5" s="6">
        <f>IF(ISNA(MATCH(E$2,Inputs!$K$4:$AJ$4,0)),NA(),IF(SUMPRODUCT((Inputs!$A$5:$A$180=$B5)*ISNUMBER(INDEX(Inputs!$K$5:$AJ$180,0,MATCH(E$2,Inputs!$K$4:$AJ$4,0))))+SUMPRODUCT((Inputs!$C$5:$C$180=$B5)*ISNUMBER(INDEX(Inputs!$K$5:$AJ$180,0,MATCH(E$2,Inputs!$K$4:$AJ$4,0))))+SUMPRODUCT((Inputs!$E$5:$E$180=$B5)*ISNUMBER(INDEX(Inputs!$K$5:$AJ$180,0,MATCH(E$2,Inputs!$K$4:$AJ$4,0))))=0,NA(),SUMPRODUCT((Inputs!$A$5:$A$180=$B5)*Inputs!$B$5:$B$180*(((Inputs!$G$5:$G$180="moeda")+(Inputs!$G$5:$G$180="acoes"))*Inputs!$B$1+((Inputs!$G$5:$G$180&lt;&gt;"moeda")*(Inputs!$G$5:$G$180&lt;&gt;"acoes")))*INDEX(Inputs!$K$5:$AJ$180,0,MATCH(E$2,Inputs!$K$4:$AJ$4,0)))+SUMPRODUCT((Inputs!$C$5:$C$180=$B5)*Inputs!$D$5:$D$180*(((Inputs!$G$5:$G$180="moeda")+(Inputs!$G$5:$G$180="acoes"))*Inputs!$B$1+((Inputs!$G$5:$G$180&lt;&gt;"moeda")*(Inputs!$G$5:$G$180&lt;&gt;"acoes")))*INDEX(Inputs!$K$5:$AJ$180,0,MATCH(E$2,Inputs!$K$4:$AJ$4,0)))+SUMPRODUCT((Inputs!$E$5:$E$180=$B5)*Inputs!$F$5:$F$180*(((Inputs!$G$5:$G$180="moeda")+(Inputs!$G$5:$G$180="acoes"))*Inputs!$B$1+((Inputs!$G$5:$G$180&lt;&gt;"moeda")*(Inputs!$G$5:$G$180&lt;&gt;"acoes")))*INDEX(Inputs!$K$5:$AJ$180,0,MATCH(E$2,Inputs!$K$4:$AJ$4,0)))))</f>
        <v>-114.985638468561</v>
      </c>
      <c r="F5" s="6">
        <f>IF(ISNA(MATCH(F$2,Inputs!$K$4:$AJ$4,0)),NA(),IF(SUMPRODUCT((Inputs!$A$5:$A$180=$B5)*ISNUMBER(INDEX(Inputs!$K$5:$AJ$180,0,MATCH(F$2,Inputs!$K$4:$AJ$4,0))))+SUMPRODUCT((Inputs!$C$5:$C$180=$B5)*ISNUMBER(INDEX(Inputs!$K$5:$AJ$180,0,MATCH(F$2,Inputs!$K$4:$AJ$4,0))))+SUMPRODUCT((Inputs!$E$5:$E$180=$B5)*ISNUMBER(INDEX(Inputs!$K$5:$AJ$180,0,MATCH(F$2,Inputs!$K$4:$AJ$4,0))))=0,NA(),SUMPRODUCT((Inputs!$A$5:$A$180=$B5)*Inputs!$B$5:$B$180*(((Inputs!$G$5:$G$180="moeda")+(Inputs!$G$5:$G$180="acoes"))*Inputs!$B$1+((Inputs!$G$5:$G$180&lt;&gt;"moeda")*(Inputs!$G$5:$G$180&lt;&gt;"acoes")))*INDEX(Inputs!$K$5:$AJ$180,0,MATCH(F$2,Inputs!$K$4:$AJ$4,0)))+SUMPRODUCT((Inputs!$C$5:$C$180=$B5)*Inputs!$D$5:$D$180*(((Inputs!$G$5:$G$180="moeda")+(Inputs!$G$5:$G$180="acoes"))*Inputs!$B$1+((Inputs!$G$5:$G$180&lt;&gt;"moeda")*(Inputs!$G$5:$G$180&lt;&gt;"acoes")))*INDEX(Inputs!$K$5:$AJ$180,0,MATCH(F$2,Inputs!$K$4:$AJ$4,0)))+SUMPRODUCT((Inputs!$E$5:$E$180=$B5)*Inputs!$F$5:$F$180*(((Inputs!$G$5:$G$180="moeda")+(Inputs!$G$5:$G$180="acoes"))*Inputs!$B$1+((Inputs!$G$5:$G$180&lt;&gt;"moeda")*(Inputs!$G$5:$G$180&lt;&gt;"acoes")))*INDEX(Inputs!$K$5:$AJ$180,0,MATCH(F$2,Inputs!$K$4:$AJ$4,0)))))</f>
        <v>-107.975816043593</v>
      </c>
      <c r="G5" s="6">
        <f>IF(ISNA(MATCH(G$2,Inputs!$K$4:$AJ$4,0)),NA(),IF(SUMPRODUCT((Inputs!$A$5:$A$180=$B5)*ISNUMBER(INDEX(Inputs!$K$5:$AJ$180,0,MATCH(G$2,Inputs!$K$4:$AJ$4,0))))+SUMPRODUCT((Inputs!$C$5:$C$180=$B5)*ISNUMBER(INDEX(Inputs!$K$5:$AJ$180,0,MATCH(G$2,Inputs!$K$4:$AJ$4,0))))+SUMPRODUCT((Inputs!$E$5:$E$180=$B5)*ISNUMBER(INDEX(Inputs!$K$5:$AJ$180,0,MATCH(G$2,Inputs!$K$4:$AJ$4,0))))=0,NA(),SUMPRODUCT((Inputs!$A$5:$A$180=$B5)*Inputs!$B$5:$B$180*(((Inputs!$G$5:$G$180="moeda")+(Inputs!$G$5:$G$180="acoes"))*Inputs!$B$1+((Inputs!$G$5:$G$180&lt;&gt;"moeda")*(Inputs!$G$5:$G$180&lt;&gt;"acoes")))*INDEX(Inputs!$K$5:$AJ$180,0,MATCH(G$2,Inputs!$K$4:$AJ$4,0)))+SUMPRODUCT((Inputs!$C$5:$C$180=$B5)*Inputs!$D$5:$D$180*(((Inputs!$G$5:$G$180="moeda")+(Inputs!$G$5:$G$180="acoes"))*Inputs!$B$1+((Inputs!$G$5:$G$180&lt;&gt;"moeda")*(Inputs!$G$5:$G$180&lt;&gt;"acoes")))*INDEX(Inputs!$K$5:$AJ$180,0,MATCH(G$2,Inputs!$K$4:$AJ$4,0)))+SUMPRODUCT((Inputs!$E$5:$E$180=$B5)*Inputs!$F$5:$F$180*(((Inputs!$G$5:$G$180="moeda")+(Inputs!$G$5:$G$180="acoes"))*Inputs!$B$1+((Inputs!$G$5:$G$180&lt;&gt;"moeda")*(Inputs!$G$5:$G$180&lt;&gt;"acoes")))*INDEX(Inputs!$K$5:$AJ$180,0,MATCH(G$2,Inputs!$K$4:$AJ$4,0)))))</f>
        <v>-174.391790636795</v>
      </c>
      <c r="H5" s="3">
        <f>SUM(D5:G5)</f>
        <v>-471.676537628806</v>
      </c>
      <c r="I5" s="6">
        <f>IF(ISNA(MATCH(I$2,Inputs!$K$4:$AJ$4,0)),NA(),IF(SUMPRODUCT((Inputs!$A$5:$A$180=$B5)*ISNUMBER(INDEX(Inputs!$K$5:$AJ$180,0,MATCH(I$2,Inputs!$K$4:$AJ$4,0))))+SUMPRODUCT((Inputs!$C$5:$C$180=$B5)*ISNUMBER(INDEX(Inputs!$K$5:$AJ$180,0,MATCH(I$2,Inputs!$K$4:$AJ$4,0))))+SUMPRODUCT((Inputs!$E$5:$E$180=$B5)*ISNUMBER(INDEX(Inputs!$K$5:$AJ$180,0,MATCH(I$2,Inputs!$K$4:$AJ$4,0))))=0,NA(),SUMPRODUCT((Inputs!$A$5:$A$180=$B5)*Inputs!$B$5:$B$180*(((Inputs!$G$5:$G$180="moeda")+(Inputs!$G$5:$G$180="acoes"))*Inputs!$B$1+((Inputs!$G$5:$G$180&lt;&gt;"moeda")*(Inputs!$G$5:$G$180&lt;&gt;"acoes")))*INDEX(Inputs!$K$5:$AJ$180,0,MATCH(I$2,Inputs!$K$4:$AJ$4,0)))+SUMPRODUCT((Inputs!$C$5:$C$180=$B5)*Inputs!$D$5:$D$180*(((Inputs!$G$5:$G$180="moeda")+(Inputs!$G$5:$G$180="acoes"))*Inputs!$B$1+((Inputs!$G$5:$G$180&lt;&gt;"moeda")*(Inputs!$G$5:$G$180&lt;&gt;"acoes")))*INDEX(Inputs!$K$5:$AJ$180,0,MATCH(I$2,Inputs!$K$4:$AJ$4,0)))+SUMPRODUCT((Inputs!$E$5:$E$180=$B5)*Inputs!$F$5:$F$180*(((Inputs!$G$5:$G$180="moeda")+(Inputs!$G$5:$G$180="acoes"))*Inputs!$B$1+((Inputs!$G$5:$G$180&lt;&gt;"moeda")*(Inputs!$G$5:$G$180&lt;&gt;"acoes")))*INDEX(Inputs!$K$5:$AJ$180,0,MATCH(I$2,Inputs!$K$4:$AJ$4,0)))))</f>
        <v>-108.200504730021</v>
      </c>
      <c r="J5" s="6">
        <f>IF(ISNA(MATCH(J$2,Inputs!$K$4:$AJ$4,0)),NA(),IF(SUMPRODUCT((Inputs!$A$5:$A$180=$B5)*ISNUMBER(INDEX(Inputs!$K$5:$AJ$180,0,MATCH(J$2,Inputs!$K$4:$AJ$4,0))))+SUMPRODUCT((Inputs!$C$5:$C$180=$B5)*ISNUMBER(INDEX(Inputs!$K$5:$AJ$180,0,MATCH(J$2,Inputs!$K$4:$AJ$4,0))))+SUMPRODUCT((Inputs!$E$5:$E$180=$B5)*ISNUMBER(INDEX(Inputs!$K$5:$AJ$180,0,MATCH(J$2,Inputs!$K$4:$AJ$4,0))))=0,NA(),SUMPRODUCT((Inputs!$A$5:$A$180=$B5)*Inputs!$B$5:$B$180*(((Inputs!$G$5:$G$180="moeda")+(Inputs!$G$5:$G$180="acoes"))*Inputs!$B$1+((Inputs!$G$5:$G$180&lt;&gt;"moeda")*(Inputs!$G$5:$G$180&lt;&gt;"acoes")))*INDEX(Inputs!$K$5:$AJ$180,0,MATCH(J$2,Inputs!$K$4:$AJ$4,0)))+SUMPRODUCT((Inputs!$C$5:$C$180=$B5)*Inputs!$D$5:$D$180*(((Inputs!$G$5:$G$180="moeda")+(Inputs!$G$5:$G$180="acoes"))*Inputs!$B$1+((Inputs!$G$5:$G$180&lt;&gt;"moeda")*(Inputs!$G$5:$G$180&lt;&gt;"acoes")))*INDEX(Inputs!$K$5:$AJ$180,0,MATCH(J$2,Inputs!$K$4:$AJ$4,0)))+SUMPRODUCT((Inputs!$E$5:$E$180=$B5)*Inputs!$F$5:$F$180*(((Inputs!$G$5:$G$180="moeda")+(Inputs!$G$5:$G$180="acoes"))*Inputs!$B$1+((Inputs!$G$5:$G$180&lt;&gt;"moeda")*(Inputs!$G$5:$G$180&lt;&gt;"acoes")))*INDEX(Inputs!$K$5:$AJ$180,0,MATCH(J$2,Inputs!$K$4:$AJ$4,0)))))</f>
        <v>-150.888984807679</v>
      </c>
      <c r="K5" s="6">
        <f>IF(ISNA(MATCH(K$2,Inputs!$K$4:$AJ$4,0)),NA(),IF(SUMPRODUCT((Inputs!$A$5:$A$180=$B5)*ISNUMBER(INDEX(Inputs!$K$5:$AJ$180,0,MATCH(K$2,Inputs!$K$4:$AJ$4,0))))+SUMPRODUCT((Inputs!$C$5:$C$180=$B5)*ISNUMBER(INDEX(Inputs!$K$5:$AJ$180,0,MATCH(K$2,Inputs!$K$4:$AJ$4,0))))+SUMPRODUCT((Inputs!$E$5:$E$180=$B5)*ISNUMBER(INDEX(Inputs!$K$5:$AJ$180,0,MATCH(K$2,Inputs!$K$4:$AJ$4,0))))=0,NA(),SUMPRODUCT((Inputs!$A$5:$A$180=$B5)*Inputs!$B$5:$B$180*(((Inputs!$G$5:$G$180="moeda")+(Inputs!$G$5:$G$180="acoes"))*Inputs!$B$1+((Inputs!$G$5:$G$180&lt;&gt;"moeda")*(Inputs!$G$5:$G$180&lt;&gt;"acoes")))*INDEX(Inputs!$K$5:$AJ$180,0,MATCH(K$2,Inputs!$K$4:$AJ$4,0)))+SUMPRODUCT((Inputs!$C$5:$C$180=$B5)*Inputs!$D$5:$D$180*(((Inputs!$G$5:$G$180="moeda")+(Inputs!$G$5:$G$180="acoes"))*Inputs!$B$1+((Inputs!$G$5:$G$180&lt;&gt;"moeda")*(Inputs!$G$5:$G$180&lt;&gt;"acoes")))*INDEX(Inputs!$K$5:$AJ$180,0,MATCH(K$2,Inputs!$K$4:$AJ$4,0)))+SUMPRODUCT((Inputs!$E$5:$E$180=$B5)*Inputs!$F$5:$F$180*(((Inputs!$G$5:$G$180="moeda")+(Inputs!$G$5:$G$180="acoes"))*Inputs!$B$1+((Inputs!$G$5:$G$180&lt;&gt;"moeda")*(Inputs!$G$5:$G$180&lt;&gt;"acoes")))*INDEX(Inputs!$K$5:$AJ$180,0,MATCH(K$2,Inputs!$K$4:$AJ$4,0)))))</f>
        <v>-122.495005862067</v>
      </c>
      <c r="L5" s="6">
        <f>IF(ISNA(MATCH(L$2,Inputs!$K$4:$AJ$4,0)),NA(),IF(SUMPRODUCT((Inputs!$A$5:$A$180=$B5)*ISNUMBER(INDEX(Inputs!$K$5:$AJ$180,0,MATCH(L$2,Inputs!$K$4:$AJ$4,0))))+SUMPRODUCT((Inputs!$C$5:$C$180=$B5)*ISNUMBER(INDEX(Inputs!$K$5:$AJ$180,0,MATCH(L$2,Inputs!$K$4:$AJ$4,0))))+SUMPRODUCT((Inputs!$E$5:$E$180=$B5)*ISNUMBER(INDEX(Inputs!$K$5:$AJ$180,0,MATCH(L$2,Inputs!$K$4:$AJ$4,0))))=0,NA(),SUMPRODUCT((Inputs!$A$5:$A$180=$B5)*Inputs!$B$5:$B$180*(((Inputs!$G$5:$G$180="moeda")+(Inputs!$G$5:$G$180="acoes"))*Inputs!$B$1+((Inputs!$G$5:$G$180&lt;&gt;"moeda")*(Inputs!$G$5:$G$180&lt;&gt;"acoes")))*INDEX(Inputs!$K$5:$AJ$180,0,MATCH(L$2,Inputs!$K$4:$AJ$4,0)))+SUMPRODUCT((Inputs!$C$5:$C$180=$B5)*Inputs!$D$5:$D$180*(((Inputs!$G$5:$G$180="moeda")+(Inputs!$G$5:$G$180="acoes"))*Inputs!$B$1+((Inputs!$G$5:$G$180&lt;&gt;"moeda")*(Inputs!$G$5:$G$180&lt;&gt;"acoes")))*INDEX(Inputs!$K$5:$AJ$180,0,MATCH(L$2,Inputs!$K$4:$AJ$4,0)))+SUMPRODUCT((Inputs!$E$5:$E$180=$B5)*Inputs!$F$5:$F$180*(((Inputs!$G$5:$G$180="moeda")+(Inputs!$G$5:$G$180="acoes"))*Inputs!$B$1+((Inputs!$G$5:$G$180&lt;&gt;"moeda")*(Inputs!$G$5:$G$180&lt;&gt;"acoes")))*INDEX(Inputs!$K$5:$AJ$180,0,MATCH(L$2,Inputs!$K$4:$AJ$4,0)))))</f>
        <v>-186.340502481635</v>
      </c>
      <c r="M5" s="3">
        <f>SUM(I5:L5)</f>
        <v>-567.924997881402</v>
      </c>
      <c r="N5" s="6">
        <f>IF(ISNA(MATCH(N$2,Inputs!$K$4:$AJ$4,0)),NA(),IF(SUMPRODUCT((Inputs!$A$5:$A$180=$B5)*ISNUMBER(INDEX(Inputs!$K$5:$AJ$180,0,MATCH(N$2,Inputs!$K$4:$AJ$4,0))))+SUMPRODUCT((Inputs!$C$5:$C$180=$B5)*ISNUMBER(INDEX(Inputs!$K$5:$AJ$180,0,MATCH(N$2,Inputs!$K$4:$AJ$4,0))))+SUMPRODUCT((Inputs!$E$5:$E$180=$B5)*ISNUMBER(INDEX(Inputs!$K$5:$AJ$180,0,MATCH(N$2,Inputs!$K$4:$AJ$4,0))))=0,NA(),SUMPRODUCT((Inputs!$A$5:$A$180=$B5)*Inputs!$B$5:$B$180*(((Inputs!$G$5:$G$180="moeda")+(Inputs!$G$5:$G$180="acoes"))*Inputs!$B$1+((Inputs!$G$5:$G$180&lt;&gt;"moeda")*(Inputs!$G$5:$G$180&lt;&gt;"acoes")))*INDEX(Inputs!$K$5:$AJ$180,0,MATCH(N$2,Inputs!$K$4:$AJ$4,0)))+SUMPRODUCT((Inputs!$C$5:$C$180=$B5)*Inputs!$D$5:$D$180*(((Inputs!$G$5:$G$180="moeda")+(Inputs!$G$5:$G$180="acoes"))*Inputs!$B$1+((Inputs!$G$5:$G$180&lt;&gt;"moeda")*(Inputs!$G$5:$G$180&lt;&gt;"acoes")))*INDEX(Inputs!$K$5:$AJ$180,0,MATCH(N$2,Inputs!$K$4:$AJ$4,0)))+SUMPRODUCT((Inputs!$E$5:$E$180=$B5)*Inputs!$F$5:$F$180*(((Inputs!$G$5:$G$180="moeda")+(Inputs!$G$5:$G$180="acoes"))*Inputs!$B$1+((Inputs!$G$5:$G$180&lt;&gt;"moeda")*(Inputs!$G$5:$G$180&lt;&gt;"acoes")))*INDEX(Inputs!$K$5:$AJ$180,0,MATCH(N$2,Inputs!$K$4:$AJ$4,0)))))</f>
        <v>-117.415938932963</v>
      </c>
      <c r="O5" s="6">
        <f>IF(ISNA(MATCH(O$2,Inputs!$K$4:$AJ$4,0)),NA(),IF(SUMPRODUCT((Inputs!$A$5:$A$180=$B5)*ISNUMBER(INDEX(Inputs!$K$5:$AJ$180,0,MATCH(O$2,Inputs!$K$4:$AJ$4,0))))+SUMPRODUCT((Inputs!$C$5:$C$180=$B5)*ISNUMBER(INDEX(Inputs!$K$5:$AJ$180,0,MATCH(O$2,Inputs!$K$4:$AJ$4,0))))+SUMPRODUCT((Inputs!$E$5:$E$180=$B5)*ISNUMBER(INDEX(Inputs!$K$5:$AJ$180,0,MATCH(O$2,Inputs!$K$4:$AJ$4,0))))=0,NA(),SUMPRODUCT((Inputs!$A$5:$A$180=$B5)*Inputs!$B$5:$B$180*(((Inputs!$G$5:$G$180="moeda")+(Inputs!$G$5:$G$180="acoes"))*Inputs!$B$1+((Inputs!$G$5:$G$180&lt;&gt;"moeda")*(Inputs!$G$5:$G$180&lt;&gt;"acoes")))*INDEX(Inputs!$K$5:$AJ$180,0,MATCH(O$2,Inputs!$K$4:$AJ$4,0)))+SUMPRODUCT((Inputs!$C$5:$C$180=$B5)*Inputs!$D$5:$D$180*(((Inputs!$G$5:$G$180="moeda")+(Inputs!$G$5:$G$180="acoes"))*Inputs!$B$1+((Inputs!$G$5:$G$180&lt;&gt;"moeda")*(Inputs!$G$5:$G$180&lt;&gt;"acoes")))*INDEX(Inputs!$K$5:$AJ$180,0,MATCH(O$2,Inputs!$K$4:$AJ$4,0)))+SUMPRODUCT((Inputs!$E$5:$E$180=$B5)*Inputs!$F$5:$F$180*(((Inputs!$G$5:$G$180="moeda")+(Inputs!$G$5:$G$180="acoes"))*Inputs!$B$1+((Inputs!$G$5:$G$180&lt;&gt;"moeda")*(Inputs!$G$5:$G$180&lt;&gt;"acoes")))*INDEX(Inputs!$K$5:$AJ$180,0,MATCH(O$2,Inputs!$K$4:$AJ$4,0)))))</f>
        <v>-168.101016313884</v>
      </c>
      <c r="P5" s="6">
        <f>IF(ISNA(MATCH(P$2,Inputs!$K$4:$AJ$4,0)),NA(),IF(SUMPRODUCT((Inputs!$A$5:$A$180=$B5)*ISNUMBER(INDEX(Inputs!$K$5:$AJ$180,0,MATCH(P$2,Inputs!$K$4:$AJ$4,0))))+SUMPRODUCT((Inputs!$C$5:$C$180=$B5)*ISNUMBER(INDEX(Inputs!$K$5:$AJ$180,0,MATCH(P$2,Inputs!$K$4:$AJ$4,0))))+SUMPRODUCT((Inputs!$E$5:$E$180=$B5)*ISNUMBER(INDEX(Inputs!$K$5:$AJ$180,0,MATCH(P$2,Inputs!$K$4:$AJ$4,0))))=0,NA(),SUMPRODUCT((Inputs!$A$5:$A$180=$B5)*Inputs!$B$5:$B$180*(((Inputs!$G$5:$G$180="moeda")+(Inputs!$G$5:$G$180="acoes"))*Inputs!$B$1+((Inputs!$G$5:$G$180&lt;&gt;"moeda")*(Inputs!$G$5:$G$180&lt;&gt;"acoes")))*INDEX(Inputs!$K$5:$AJ$180,0,MATCH(P$2,Inputs!$K$4:$AJ$4,0)))+SUMPRODUCT((Inputs!$C$5:$C$180=$B5)*Inputs!$D$5:$D$180*(((Inputs!$G$5:$G$180="moeda")+(Inputs!$G$5:$G$180="acoes"))*Inputs!$B$1+((Inputs!$G$5:$G$180&lt;&gt;"moeda")*(Inputs!$G$5:$G$180&lt;&gt;"acoes")))*INDEX(Inputs!$K$5:$AJ$180,0,MATCH(P$2,Inputs!$K$4:$AJ$4,0)))+SUMPRODUCT((Inputs!$E$5:$E$180=$B5)*Inputs!$F$5:$F$180*(((Inputs!$G$5:$G$180="moeda")+(Inputs!$G$5:$G$180="acoes"))*Inputs!$B$1+((Inputs!$G$5:$G$180&lt;&gt;"moeda")*(Inputs!$G$5:$G$180&lt;&gt;"acoes")))*INDEX(Inputs!$K$5:$AJ$180,0,MATCH(P$2,Inputs!$K$4:$AJ$4,0)))))</f>
        <v>-146.48291153826</v>
      </c>
      <c r="Q5" s="6">
        <f>IF(ISNA(MATCH(Q$2,Inputs!$K$4:$AJ$4,0)),NA(),IF(SUMPRODUCT((Inputs!$A$5:$A$180=$B5)*ISNUMBER(INDEX(Inputs!$K$5:$AJ$180,0,MATCH(Q$2,Inputs!$K$4:$AJ$4,0))))+SUMPRODUCT((Inputs!$C$5:$C$180=$B5)*ISNUMBER(INDEX(Inputs!$K$5:$AJ$180,0,MATCH(Q$2,Inputs!$K$4:$AJ$4,0))))+SUMPRODUCT((Inputs!$E$5:$E$180=$B5)*ISNUMBER(INDEX(Inputs!$K$5:$AJ$180,0,MATCH(Q$2,Inputs!$K$4:$AJ$4,0))))=0,NA(),SUMPRODUCT((Inputs!$A$5:$A$180=$B5)*Inputs!$B$5:$B$180*(((Inputs!$G$5:$G$180="moeda")+(Inputs!$G$5:$G$180="acoes"))*Inputs!$B$1+((Inputs!$G$5:$G$180&lt;&gt;"moeda")*(Inputs!$G$5:$G$180&lt;&gt;"acoes")))*INDEX(Inputs!$K$5:$AJ$180,0,MATCH(Q$2,Inputs!$K$4:$AJ$4,0)))+SUMPRODUCT((Inputs!$C$5:$C$180=$B5)*Inputs!$D$5:$D$180*(((Inputs!$G$5:$G$180="moeda")+(Inputs!$G$5:$G$180="acoes"))*Inputs!$B$1+((Inputs!$G$5:$G$180&lt;&gt;"moeda")*(Inputs!$G$5:$G$180&lt;&gt;"acoes")))*INDEX(Inputs!$K$5:$AJ$180,0,MATCH(Q$2,Inputs!$K$4:$AJ$4,0)))+SUMPRODUCT((Inputs!$E$5:$E$180=$B5)*Inputs!$F$5:$F$180*(((Inputs!$G$5:$G$180="moeda")+(Inputs!$G$5:$G$180="acoes"))*Inputs!$B$1+((Inputs!$G$5:$G$180&lt;&gt;"moeda")*(Inputs!$G$5:$G$180&lt;&gt;"acoes")))*INDEX(Inputs!$K$5:$AJ$180,0,MATCH(Q$2,Inputs!$K$4:$AJ$4,0)))))</f>
        <v>-231.924195237889</v>
      </c>
      <c r="R5" s="3">
        <f>SUM(N5:Q5)</f>
        <v>-663.924062022995</v>
      </c>
      <c r="S5" s="6">
        <f>IF(ISNA(MATCH(S$2,Inputs!$K$4:$AJ$4,0)),NA(),IF(SUMPRODUCT((Inputs!$A$5:$A$180=$B5)*ISNUMBER(INDEX(Inputs!$K$5:$AJ$180,0,MATCH(S$2,Inputs!$K$4:$AJ$4,0))))+SUMPRODUCT((Inputs!$C$5:$C$180=$B5)*ISNUMBER(INDEX(Inputs!$K$5:$AJ$180,0,MATCH(S$2,Inputs!$K$4:$AJ$4,0))))+SUMPRODUCT((Inputs!$E$5:$E$180=$B5)*ISNUMBER(INDEX(Inputs!$K$5:$AJ$180,0,MATCH(S$2,Inputs!$K$4:$AJ$4,0))))=0,NA(),SUMPRODUCT((Inputs!$A$5:$A$180=$B5)*Inputs!$B$5:$B$180*(((Inputs!$G$5:$G$180="moeda")+(Inputs!$G$5:$G$180="acoes"))*Inputs!$B$1+((Inputs!$G$5:$G$180&lt;&gt;"moeda")*(Inputs!$G$5:$G$180&lt;&gt;"acoes")))*INDEX(Inputs!$K$5:$AJ$180,0,MATCH(S$2,Inputs!$K$4:$AJ$4,0)))+SUMPRODUCT((Inputs!$C$5:$C$180=$B5)*Inputs!$D$5:$D$180*(((Inputs!$G$5:$G$180="moeda")+(Inputs!$G$5:$G$180="acoes"))*Inputs!$B$1+((Inputs!$G$5:$G$180&lt;&gt;"moeda")*(Inputs!$G$5:$G$180&lt;&gt;"acoes")))*INDEX(Inputs!$K$5:$AJ$180,0,MATCH(S$2,Inputs!$K$4:$AJ$4,0)))+SUMPRODUCT((Inputs!$E$5:$E$180=$B5)*Inputs!$F$5:$F$180*(((Inputs!$G$5:$G$180="moeda")+(Inputs!$G$5:$G$180="acoes"))*Inputs!$B$1+((Inputs!$G$5:$G$180&lt;&gt;"moeda")*(Inputs!$G$5:$G$180&lt;&gt;"acoes")))*INDEX(Inputs!$K$5:$AJ$180,0,MATCH(S$2,Inputs!$K$4:$AJ$4,0)))))</f>
        <v>-138.469293069553</v>
      </c>
      <c r="T5" s="6">
        <f>IF(ISNA(MATCH(T$2,Inputs!$K$4:$AJ$4,0)),NA(),IF(SUMPRODUCT((Inputs!$A$5:$A$180=$B5)*ISNUMBER(INDEX(Inputs!$K$5:$AJ$180,0,MATCH(T$2,Inputs!$K$4:$AJ$4,0))))+SUMPRODUCT((Inputs!$C$5:$C$180=$B5)*ISNUMBER(INDEX(Inputs!$K$5:$AJ$180,0,MATCH(T$2,Inputs!$K$4:$AJ$4,0))))+SUMPRODUCT((Inputs!$E$5:$E$180=$B5)*ISNUMBER(INDEX(Inputs!$K$5:$AJ$180,0,MATCH(T$2,Inputs!$K$4:$AJ$4,0))))=0,NA(),SUMPRODUCT((Inputs!$A$5:$A$180=$B5)*Inputs!$B$5:$B$180*(((Inputs!$G$5:$G$180="moeda")+(Inputs!$G$5:$G$180="acoes"))*Inputs!$B$1+((Inputs!$G$5:$G$180&lt;&gt;"moeda")*(Inputs!$G$5:$G$180&lt;&gt;"acoes")))*INDEX(Inputs!$K$5:$AJ$180,0,MATCH(T$2,Inputs!$K$4:$AJ$4,0)))+SUMPRODUCT((Inputs!$C$5:$C$180=$B5)*Inputs!$D$5:$D$180*(((Inputs!$G$5:$G$180="moeda")+(Inputs!$G$5:$G$180="acoes"))*Inputs!$B$1+((Inputs!$G$5:$G$180&lt;&gt;"moeda")*(Inputs!$G$5:$G$180&lt;&gt;"acoes")))*INDEX(Inputs!$K$5:$AJ$180,0,MATCH(T$2,Inputs!$K$4:$AJ$4,0)))+SUMPRODUCT((Inputs!$E$5:$E$180=$B5)*Inputs!$F$5:$F$180*(((Inputs!$G$5:$G$180="moeda")+(Inputs!$G$5:$G$180="acoes"))*Inputs!$B$1+((Inputs!$G$5:$G$180&lt;&gt;"moeda")*(Inputs!$G$5:$G$180&lt;&gt;"acoes")))*INDEX(Inputs!$K$5:$AJ$180,0,MATCH(T$2,Inputs!$K$4:$AJ$4,0)))))</f>
        <v>-201.374966562167</v>
      </c>
      <c r="U5" s="6">
        <f>IF(ISNA(MATCH(U$2,Inputs!$K$4:$AJ$4,0)),NA(),IF(SUMPRODUCT((Inputs!$A$5:$A$180=$B5)*ISNUMBER(INDEX(Inputs!$K$5:$AJ$180,0,MATCH(U$2,Inputs!$K$4:$AJ$4,0))))+SUMPRODUCT((Inputs!$C$5:$C$180=$B5)*ISNUMBER(INDEX(Inputs!$K$5:$AJ$180,0,MATCH(U$2,Inputs!$K$4:$AJ$4,0))))+SUMPRODUCT((Inputs!$E$5:$E$180=$B5)*ISNUMBER(INDEX(Inputs!$K$5:$AJ$180,0,MATCH(U$2,Inputs!$K$4:$AJ$4,0))))=0,NA(),SUMPRODUCT((Inputs!$A$5:$A$180=$B5)*Inputs!$B$5:$B$180*(((Inputs!$G$5:$G$180="moeda")+(Inputs!$G$5:$G$180="acoes"))*Inputs!$B$1+((Inputs!$G$5:$G$180&lt;&gt;"moeda")*(Inputs!$G$5:$G$180&lt;&gt;"acoes")))*INDEX(Inputs!$K$5:$AJ$180,0,MATCH(U$2,Inputs!$K$4:$AJ$4,0)))+SUMPRODUCT((Inputs!$C$5:$C$180=$B5)*Inputs!$D$5:$D$180*(((Inputs!$G$5:$G$180="moeda")+(Inputs!$G$5:$G$180="acoes"))*Inputs!$B$1+((Inputs!$G$5:$G$180&lt;&gt;"moeda")*(Inputs!$G$5:$G$180&lt;&gt;"acoes")))*INDEX(Inputs!$K$5:$AJ$180,0,MATCH(U$2,Inputs!$K$4:$AJ$4,0)))+SUMPRODUCT((Inputs!$E$5:$E$180=$B5)*Inputs!$F$5:$F$180*(((Inputs!$G$5:$G$180="moeda")+(Inputs!$G$5:$G$180="acoes"))*Inputs!$B$1+((Inputs!$G$5:$G$180&lt;&gt;"moeda")*(Inputs!$G$5:$G$180&lt;&gt;"acoes")))*INDEX(Inputs!$K$5:$AJ$180,0,MATCH(U$2,Inputs!$K$4:$AJ$4,0)))))</f>
        <v>-182.99688745</v>
      </c>
      <c r="V5" s="6">
        <f>IF(ISNA(MATCH(V$2,Inputs!$K$4:$AJ$4,0)),NA(),IF(SUMPRODUCT((Inputs!$A$5:$A$180=$B5)*ISNUMBER(INDEX(Inputs!$K$5:$AJ$180,0,MATCH(V$2,Inputs!$K$4:$AJ$4,0))))+SUMPRODUCT((Inputs!$C$5:$C$180=$B5)*ISNUMBER(INDEX(Inputs!$K$5:$AJ$180,0,MATCH(V$2,Inputs!$K$4:$AJ$4,0))))+SUMPRODUCT((Inputs!$E$5:$E$180=$B5)*ISNUMBER(INDEX(Inputs!$K$5:$AJ$180,0,MATCH(V$2,Inputs!$K$4:$AJ$4,0))))=0,NA(),SUMPRODUCT((Inputs!$A$5:$A$180=$B5)*Inputs!$B$5:$B$180*(((Inputs!$G$5:$G$180="moeda")+(Inputs!$G$5:$G$180="acoes"))*Inputs!$B$1+((Inputs!$G$5:$G$180&lt;&gt;"moeda")*(Inputs!$G$5:$G$180&lt;&gt;"acoes")))*INDEX(Inputs!$K$5:$AJ$180,0,MATCH(V$2,Inputs!$K$4:$AJ$4,0)))+SUMPRODUCT((Inputs!$C$5:$C$180=$B5)*Inputs!$D$5:$D$180*(((Inputs!$G$5:$G$180="moeda")+(Inputs!$G$5:$G$180="acoes"))*Inputs!$B$1+((Inputs!$G$5:$G$180&lt;&gt;"moeda")*(Inputs!$G$5:$G$180&lt;&gt;"acoes")))*INDEX(Inputs!$K$5:$AJ$180,0,MATCH(V$2,Inputs!$K$4:$AJ$4,0)))+SUMPRODUCT((Inputs!$E$5:$E$180=$B5)*Inputs!$F$5:$F$180*(((Inputs!$G$5:$G$180="moeda")+(Inputs!$G$5:$G$180="acoes"))*Inputs!$B$1+((Inputs!$G$5:$G$180&lt;&gt;"moeda")*(Inputs!$G$5:$G$180&lt;&gt;"acoes")))*INDEX(Inputs!$K$5:$AJ$180,0,MATCH(V$2,Inputs!$K$4:$AJ$4,0)))))</f>
        <v>-238.905</v>
      </c>
      <c r="W5" s="3">
        <f>SUM(S5:V5)</f>
        <v>-761.74614708172</v>
      </c>
      <c r="X5" s="6">
        <f>IF(ISNA(MATCH(X$2,Inputs!$K$4:$AJ$4,0)),NA(),IF(SUMPRODUCT((Inputs!$A$5:$A$180=$B5)*ISNUMBER(INDEX(Inputs!$K$5:$AJ$180,0,MATCH(X$2,Inputs!$K$4:$AJ$4,0))))+SUMPRODUCT((Inputs!$C$5:$C$180=$B5)*ISNUMBER(INDEX(Inputs!$K$5:$AJ$180,0,MATCH(X$2,Inputs!$K$4:$AJ$4,0))))+SUMPRODUCT((Inputs!$E$5:$E$180=$B5)*ISNUMBER(INDEX(Inputs!$K$5:$AJ$180,0,MATCH(X$2,Inputs!$K$4:$AJ$4,0))))=0,NA(),SUMPRODUCT((Inputs!$A$5:$A$180=$B5)*Inputs!$B$5:$B$180*(((Inputs!$G$5:$G$180="moeda")+(Inputs!$G$5:$G$180="acoes"))*Inputs!$B$1+((Inputs!$G$5:$G$180&lt;&gt;"moeda")*(Inputs!$G$5:$G$180&lt;&gt;"acoes")))*INDEX(Inputs!$K$5:$AJ$180,0,MATCH(X$2,Inputs!$K$4:$AJ$4,0)))+SUMPRODUCT((Inputs!$C$5:$C$180=$B5)*Inputs!$D$5:$D$180*(((Inputs!$G$5:$G$180="moeda")+(Inputs!$G$5:$G$180="acoes"))*Inputs!$B$1+((Inputs!$G$5:$G$180&lt;&gt;"moeda")*(Inputs!$G$5:$G$180&lt;&gt;"acoes")))*INDEX(Inputs!$K$5:$AJ$180,0,MATCH(X$2,Inputs!$K$4:$AJ$4,0)))+SUMPRODUCT((Inputs!$E$5:$E$180=$B5)*Inputs!$F$5:$F$180*(((Inputs!$G$5:$G$180="moeda")+(Inputs!$G$5:$G$180="acoes"))*Inputs!$B$1+((Inputs!$G$5:$G$180&lt;&gt;"moeda")*(Inputs!$G$5:$G$180&lt;&gt;"acoes")))*INDEX(Inputs!$K$5:$AJ$180,0,MATCH(X$2,Inputs!$K$4:$AJ$4,0)))))</f>
        <v>-172.11708791</v>
      </c>
      <c r="Y5" s="6">
        <f>IF(ISNA(MATCH(Y$2,Inputs!$K$4:$AJ$4,0)),NA(),IF(SUMPRODUCT((Inputs!$A$5:$A$180=$B5)*ISNUMBER(INDEX(Inputs!$K$5:$AJ$180,0,MATCH(Y$2,Inputs!$K$4:$AJ$4,0))))+SUMPRODUCT((Inputs!$C$5:$C$180=$B5)*ISNUMBER(INDEX(Inputs!$K$5:$AJ$180,0,MATCH(Y$2,Inputs!$K$4:$AJ$4,0))))+SUMPRODUCT((Inputs!$E$5:$E$180=$B5)*ISNUMBER(INDEX(Inputs!$K$5:$AJ$180,0,MATCH(Y$2,Inputs!$K$4:$AJ$4,0))))=0,NA(),SUMPRODUCT((Inputs!$A$5:$A$180=$B5)*Inputs!$B$5:$B$180*(((Inputs!$G$5:$G$180="moeda")+(Inputs!$G$5:$G$180="acoes"))*Inputs!$B$1+((Inputs!$G$5:$G$180&lt;&gt;"moeda")*(Inputs!$G$5:$G$180&lt;&gt;"acoes")))*INDEX(Inputs!$K$5:$AJ$180,0,MATCH(Y$2,Inputs!$K$4:$AJ$4,0)))+SUMPRODUCT((Inputs!$C$5:$C$180=$B5)*Inputs!$D$5:$D$180*(((Inputs!$G$5:$G$180="moeda")+(Inputs!$G$5:$G$180="acoes"))*Inputs!$B$1+((Inputs!$G$5:$G$180&lt;&gt;"moeda")*(Inputs!$G$5:$G$180&lt;&gt;"acoes")))*INDEX(Inputs!$K$5:$AJ$180,0,MATCH(Y$2,Inputs!$K$4:$AJ$4,0)))+SUMPRODUCT((Inputs!$E$5:$E$180=$B5)*Inputs!$F$5:$F$180*(((Inputs!$G$5:$G$180="moeda")+(Inputs!$G$5:$G$180="acoes"))*Inputs!$B$1+((Inputs!$G$5:$G$180&lt;&gt;"moeda")*(Inputs!$G$5:$G$180&lt;&gt;"acoes")))*INDEX(Inputs!$K$5:$AJ$180,0,MATCH(Y$2,Inputs!$K$4:$AJ$4,0)))))</f>
        <v>-210.271637500002</v>
      </c>
      <c r="Z5" s="6">
        <f>IF(ISNA(MATCH(Z$2,Inputs!$K$4:$AJ$4,0)),NA(),IF(SUMPRODUCT((Inputs!$A$5:$A$180=$B5)*ISNUMBER(INDEX(Inputs!$K$5:$AJ$180,0,MATCH(Z$2,Inputs!$K$4:$AJ$4,0))))+SUMPRODUCT((Inputs!$C$5:$C$180=$B5)*ISNUMBER(INDEX(Inputs!$K$5:$AJ$180,0,MATCH(Z$2,Inputs!$K$4:$AJ$4,0))))+SUMPRODUCT((Inputs!$E$5:$E$180=$B5)*ISNUMBER(INDEX(Inputs!$K$5:$AJ$180,0,MATCH(Z$2,Inputs!$K$4:$AJ$4,0))))=0,NA(),SUMPRODUCT((Inputs!$A$5:$A$180=$B5)*Inputs!$B$5:$B$180*(((Inputs!$G$5:$G$180="moeda")+(Inputs!$G$5:$G$180="acoes"))*Inputs!$B$1+((Inputs!$G$5:$G$180&lt;&gt;"moeda")*(Inputs!$G$5:$G$180&lt;&gt;"acoes")))*INDEX(Inputs!$K$5:$AJ$180,0,MATCH(Z$2,Inputs!$K$4:$AJ$4,0)))+SUMPRODUCT((Inputs!$C$5:$C$180=$B5)*Inputs!$D$5:$D$180*(((Inputs!$G$5:$G$180="moeda")+(Inputs!$G$5:$G$180="acoes"))*Inputs!$B$1+((Inputs!$G$5:$G$180&lt;&gt;"moeda")*(Inputs!$G$5:$G$180&lt;&gt;"acoes")))*INDEX(Inputs!$K$5:$AJ$180,0,MATCH(Z$2,Inputs!$K$4:$AJ$4,0)))+SUMPRODUCT((Inputs!$E$5:$E$180=$B5)*Inputs!$F$5:$F$180*(((Inputs!$G$5:$G$180="moeda")+(Inputs!$G$5:$G$180="acoes"))*Inputs!$B$1+((Inputs!$G$5:$G$180&lt;&gt;"moeda")*(Inputs!$G$5:$G$180&lt;&gt;"acoes")))*INDEX(Inputs!$K$5:$AJ$180,0,MATCH(Z$2,Inputs!$K$4:$AJ$4,0)))))</f>
        <v>-189.96536785</v>
      </c>
      <c r="AA5" s="6">
        <f>IF(ISNA(MATCH(AA$2,Inputs!$K$4:$AJ$4,0)),NA(),IF(SUMPRODUCT((Inputs!$A$5:$A$180=$B5)*ISNUMBER(INDEX(Inputs!$K$5:$AJ$180,0,MATCH(AA$2,Inputs!$K$4:$AJ$4,0))))+SUMPRODUCT((Inputs!$C$5:$C$180=$B5)*ISNUMBER(INDEX(Inputs!$K$5:$AJ$180,0,MATCH(AA$2,Inputs!$K$4:$AJ$4,0))))+SUMPRODUCT((Inputs!$E$5:$E$180=$B5)*ISNUMBER(INDEX(Inputs!$K$5:$AJ$180,0,MATCH(AA$2,Inputs!$K$4:$AJ$4,0))))=0,NA(),SUMPRODUCT((Inputs!$A$5:$A$180=$B5)*Inputs!$B$5:$B$180*(((Inputs!$G$5:$G$180="moeda")+(Inputs!$G$5:$G$180="acoes"))*Inputs!$B$1+((Inputs!$G$5:$G$180&lt;&gt;"moeda")*(Inputs!$G$5:$G$180&lt;&gt;"acoes")))*INDEX(Inputs!$K$5:$AJ$180,0,MATCH(AA$2,Inputs!$K$4:$AJ$4,0)))+SUMPRODUCT((Inputs!$C$5:$C$180=$B5)*Inputs!$D$5:$D$180*(((Inputs!$G$5:$G$180="moeda")+(Inputs!$G$5:$G$180="acoes"))*Inputs!$B$1+((Inputs!$G$5:$G$180&lt;&gt;"moeda")*(Inputs!$G$5:$G$180&lt;&gt;"acoes")))*INDEX(Inputs!$K$5:$AJ$180,0,MATCH(AA$2,Inputs!$K$4:$AJ$4,0)))+SUMPRODUCT((Inputs!$E$5:$E$180=$B5)*Inputs!$F$5:$F$180*(((Inputs!$G$5:$G$180="moeda")+(Inputs!$G$5:$G$180="acoes"))*Inputs!$B$1+((Inputs!$G$5:$G$180&lt;&gt;"moeda")*(Inputs!$G$5:$G$180&lt;&gt;"acoes")))*INDEX(Inputs!$K$5:$AJ$180,0,MATCH(AA$2,Inputs!$K$4:$AJ$4,0)))))</f>
        <v>-347.48071641</v>
      </c>
      <c r="AB5" s="3">
        <f>SUM(X5:AA5)</f>
        <v>-919.834809670001</v>
      </c>
      <c r="AC5" s="6">
        <f>IF(ISNA(MATCH(AC$2,Inputs!$K$4:$AJ$4,0)),NA(),IF(SUMPRODUCT((Inputs!$A$5:$A$180=$B5)*ISNUMBER(INDEX(Inputs!$K$5:$AJ$180,0,MATCH(AC$2,Inputs!$K$4:$AJ$4,0))))+SUMPRODUCT((Inputs!$C$5:$C$180=$B5)*ISNUMBER(INDEX(Inputs!$K$5:$AJ$180,0,MATCH(AC$2,Inputs!$K$4:$AJ$4,0))))+SUMPRODUCT((Inputs!$E$5:$E$180=$B5)*ISNUMBER(INDEX(Inputs!$K$5:$AJ$180,0,MATCH(AC$2,Inputs!$K$4:$AJ$4,0))))=0,NA(),SUMPRODUCT((Inputs!$A$5:$A$180=$B5)*Inputs!$B$5:$B$180*(((Inputs!$G$5:$G$180="moeda")+(Inputs!$G$5:$G$180="acoes"))*Inputs!$B$1+((Inputs!$G$5:$G$180&lt;&gt;"moeda")*(Inputs!$G$5:$G$180&lt;&gt;"acoes")))*INDEX(Inputs!$K$5:$AJ$180,0,MATCH(AC$2,Inputs!$K$4:$AJ$4,0)))+SUMPRODUCT((Inputs!$C$5:$C$180=$B5)*Inputs!$D$5:$D$180*(((Inputs!$G$5:$G$180="moeda")+(Inputs!$G$5:$G$180="acoes"))*Inputs!$B$1+((Inputs!$G$5:$G$180&lt;&gt;"moeda")*(Inputs!$G$5:$G$180&lt;&gt;"acoes")))*INDEX(Inputs!$K$5:$AJ$180,0,MATCH(AC$2,Inputs!$K$4:$AJ$4,0)))+SUMPRODUCT((Inputs!$E$5:$E$180=$B5)*Inputs!$F$5:$F$180*(((Inputs!$G$5:$G$180="moeda")+(Inputs!$G$5:$G$180="acoes"))*Inputs!$B$1+((Inputs!$G$5:$G$180&lt;&gt;"moeda")*(Inputs!$G$5:$G$180&lt;&gt;"acoes")))*INDEX(Inputs!$K$5:$AJ$180,0,MATCH(AC$2,Inputs!$K$4:$AJ$4,0)))))</f>
        <v>-179.006</v>
      </c>
      <c r="AD5" s="6">
        <f>IF(ISNA(MATCH(AD$2,Inputs!$K$4:$AJ$4,0)),NA(),IF(SUMPRODUCT((Inputs!$A$5:$A$180=$B5)*ISNUMBER(INDEX(Inputs!$K$5:$AJ$180,0,MATCH(AD$2,Inputs!$K$4:$AJ$4,0))))+SUMPRODUCT((Inputs!$C$5:$C$180=$B5)*ISNUMBER(INDEX(Inputs!$K$5:$AJ$180,0,MATCH(AD$2,Inputs!$K$4:$AJ$4,0))))+SUMPRODUCT((Inputs!$E$5:$E$180=$B5)*ISNUMBER(INDEX(Inputs!$K$5:$AJ$180,0,MATCH(AD$2,Inputs!$K$4:$AJ$4,0))))=0,NA(),SUMPRODUCT((Inputs!$A$5:$A$180=$B5)*Inputs!$B$5:$B$180*(((Inputs!$G$5:$G$180="moeda")+(Inputs!$G$5:$G$180="acoes"))*Inputs!$B$1+((Inputs!$G$5:$G$180&lt;&gt;"moeda")*(Inputs!$G$5:$G$180&lt;&gt;"acoes")))*INDEX(Inputs!$K$5:$AJ$180,0,MATCH(AD$2,Inputs!$K$4:$AJ$4,0)))+SUMPRODUCT((Inputs!$C$5:$C$180=$B5)*Inputs!$D$5:$D$180*(((Inputs!$G$5:$G$180="moeda")+(Inputs!$G$5:$G$180="acoes"))*Inputs!$B$1+((Inputs!$G$5:$G$180&lt;&gt;"moeda")*(Inputs!$G$5:$G$180&lt;&gt;"acoes")))*INDEX(Inputs!$K$5:$AJ$180,0,MATCH(AD$2,Inputs!$K$4:$AJ$4,0)))+SUMPRODUCT((Inputs!$E$5:$E$180=$B5)*Inputs!$F$5:$F$180*(((Inputs!$G$5:$G$180="moeda")+(Inputs!$G$5:$G$180="acoes"))*Inputs!$B$1+((Inputs!$G$5:$G$180&lt;&gt;"moeda")*(Inputs!$G$5:$G$180&lt;&gt;"acoes")))*INDEX(Inputs!$K$5:$AJ$180,0,MATCH(AD$2,Inputs!$K$4:$AJ$4,0)))))</f>
        <v>-234.050913069999</v>
      </c>
      <c r="AE5" s="6" t="e">
        <f>IF(ISNA(MATCH(AE$2,Inputs!$K$4:$AJ$4,0)),NA(),IF(SUMPRODUCT((Inputs!$A$5:$A$180=$B5)*ISNUMBER(INDEX(Inputs!$K$5:$AJ$180,0,MATCH(AE$2,Inputs!$K$4:$AJ$4,0))))+SUMPRODUCT((Inputs!$C$5:$C$180=$B5)*ISNUMBER(INDEX(Inputs!$K$5:$AJ$180,0,MATCH(AE$2,Inputs!$K$4:$AJ$4,0))))+SUMPRODUCT((Inputs!$E$5:$E$180=$B5)*ISNUMBER(INDEX(Inputs!$K$5:$AJ$180,0,MATCH(AE$2,Inputs!$K$4:$AJ$4,0))))=0,NA(),SUMPRODUCT((Inputs!$A$5:$A$180=$B5)*Inputs!$B$5:$B$180*(((Inputs!$G$5:$G$180="moeda")+(Inputs!$G$5:$G$180="acoes"))*Inputs!$B$1+((Inputs!$G$5:$G$180&lt;&gt;"moeda")*(Inputs!$G$5:$G$180&lt;&gt;"acoes")))*INDEX(Inputs!$K$5:$AJ$180,0,MATCH(AE$2,Inputs!$K$4:$AJ$4,0)))+SUMPRODUCT((Inputs!$C$5:$C$180=$B5)*Inputs!$D$5:$D$180*(((Inputs!$G$5:$G$180="moeda")+(Inputs!$G$5:$G$180="acoes"))*Inputs!$B$1+((Inputs!$G$5:$G$180&lt;&gt;"moeda")*(Inputs!$G$5:$G$180&lt;&gt;"acoes")))*INDEX(Inputs!$K$5:$AJ$180,0,MATCH(AE$2,Inputs!$K$4:$AJ$4,0)))+SUMPRODUCT((Inputs!$E$5:$E$180=$B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" s="6" t="e">
        <f>IF(ISNA(MATCH(AF$2,Inputs!$K$4:$AJ$4,0)),NA(),IF(SUMPRODUCT((Inputs!$A$5:$A$180=$B5)*ISNUMBER(INDEX(Inputs!$K$5:$AJ$180,0,MATCH(AF$2,Inputs!$K$4:$AJ$4,0))))+SUMPRODUCT((Inputs!$C$5:$C$180=$B5)*ISNUMBER(INDEX(Inputs!$K$5:$AJ$180,0,MATCH(AF$2,Inputs!$K$4:$AJ$4,0))))+SUMPRODUCT((Inputs!$E$5:$E$180=$B5)*ISNUMBER(INDEX(Inputs!$K$5:$AJ$180,0,MATCH(AF$2,Inputs!$K$4:$AJ$4,0))))=0,NA(),SUMPRODUCT((Inputs!$A$5:$A$180=$B5)*Inputs!$B$5:$B$180*(((Inputs!$G$5:$G$180="moeda")+(Inputs!$G$5:$G$180="acoes"))*Inputs!$B$1+((Inputs!$G$5:$G$180&lt;&gt;"moeda")*(Inputs!$G$5:$G$180&lt;&gt;"acoes")))*INDEX(Inputs!$K$5:$AJ$180,0,MATCH(AF$2,Inputs!$K$4:$AJ$4,0)))+SUMPRODUCT((Inputs!$C$5:$C$180=$B5)*Inputs!$D$5:$D$180*(((Inputs!$G$5:$G$180="moeda")+(Inputs!$G$5:$G$180="acoes"))*Inputs!$B$1+((Inputs!$G$5:$G$180&lt;&gt;"moeda")*(Inputs!$G$5:$G$180&lt;&gt;"acoes")))*INDEX(Inputs!$K$5:$AJ$180,0,MATCH(AF$2,Inputs!$K$4:$AJ$4,0)))+SUMPRODUCT((Inputs!$E$5:$E$180=$B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" s="3" t="e">
        <f>SUM(AC5:AF5)</f>
        <v>#N/A</v>
      </c>
      <c r="AH5" s="6">
        <f>IF(ISNA(MATCH(AH$2,Inputs!$K$4:$AJ$4,0)),NA(),IF(SUMPRODUCT((Inputs!$A$5:$A$180=$B5)*ISNUMBER(INDEX(Inputs!$K$5:$AJ$180,0,MATCH(AH$2,Inputs!$K$4:$AJ$4,0))))+SUMPRODUCT((Inputs!$C$5:$C$180=$B5)*ISNUMBER(INDEX(Inputs!$K$5:$AJ$180,0,MATCH(AH$2,Inputs!$K$4:$AJ$4,0))))+SUMPRODUCT((Inputs!$E$5:$E$180=$B5)*ISNUMBER(INDEX(Inputs!$K$5:$AJ$180,0,MATCH(AH$2,Inputs!$K$4:$AJ$4,0))))=0,NA(),SUMPRODUCT((Inputs!$A$5:$A$180=$B5)*Inputs!$B$5:$B$180*(((Inputs!$G$5:$G$180="moeda")+(Inputs!$G$5:$G$180="acoes"))*Inputs!$B$1+((Inputs!$G$5:$G$180&lt;&gt;"moeda")*(Inputs!$G$5:$G$180&lt;&gt;"acoes")))*INDEX(Inputs!$K$5:$AJ$180,0,MATCH(AH$2,Inputs!$K$4:$AJ$4,0)))+SUMPRODUCT((Inputs!$C$5:$C$180=$B5)*Inputs!$D$5:$D$180*(((Inputs!$G$5:$G$180="moeda")+(Inputs!$G$5:$G$180="acoes"))*Inputs!$B$1+((Inputs!$G$5:$G$180&lt;&gt;"moeda")*(Inputs!$G$5:$G$180&lt;&gt;"acoes")))*INDEX(Inputs!$K$5:$AJ$180,0,MATCH(AH$2,Inputs!$K$4:$AJ$4,0)))+SUMPRODUCT((Inputs!$E$5:$E$180=$B5)*Inputs!$F$5:$F$180*(((Inputs!$G$5:$G$180="moeda")+(Inputs!$G$5:$G$180="acoes"))*Inputs!$B$1+((Inputs!$G$5:$G$180&lt;&gt;"moeda")*(Inputs!$G$5:$G$180&lt;&gt;"acoes")))*INDEX(Inputs!$K$5:$AJ$180,0,MATCH(AH$2,Inputs!$K$4:$AJ$4,0)))))</f>
        <v>-75.6200962</v>
      </c>
      <c r="AI5" s="6">
        <f>IF(ISNA(MATCH(AI$2,Inputs!$K$4:$AJ$4,0)),NA(),IF(SUMPRODUCT((Inputs!$A$5:$A$180=$B5)*ISNUMBER(INDEX(Inputs!$K$5:$AJ$180,0,MATCH(AI$2,Inputs!$K$4:$AJ$4,0))))+SUMPRODUCT((Inputs!$C$5:$C$180=$B5)*ISNUMBER(INDEX(Inputs!$K$5:$AJ$180,0,MATCH(AI$2,Inputs!$K$4:$AJ$4,0))))+SUMPRODUCT((Inputs!$E$5:$E$180=$B5)*ISNUMBER(INDEX(Inputs!$K$5:$AJ$180,0,MATCH(AI$2,Inputs!$K$4:$AJ$4,0))))=0,NA(),SUMPRODUCT((Inputs!$A$5:$A$180=$B5)*Inputs!$B$5:$B$180*(((Inputs!$G$5:$G$180="moeda")+(Inputs!$G$5:$G$180="acoes"))*Inputs!$B$1+((Inputs!$G$5:$G$180&lt;&gt;"moeda")*(Inputs!$G$5:$G$180&lt;&gt;"acoes")))*INDEX(Inputs!$K$5:$AJ$180,0,MATCH(AI$2,Inputs!$K$4:$AJ$4,0)))+SUMPRODUCT((Inputs!$C$5:$C$180=$B5)*Inputs!$D$5:$D$180*(((Inputs!$G$5:$G$180="moeda")+(Inputs!$G$5:$G$180="acoes"))*Inputs!$B$1+((Inputs!$G$5:$G$180&lt;&gt;"moeda")*(Inputs!$G$5:$G$180&lt;&gt;"acoes")))*INDEX(Inputs!$K$5:$AJ$180,0,MATCH(AI$2,Inputs!$K$4:$AJ$4,0)))+SUMPRODUCT((Inputs!$E$5:$E$180=$B5)*Inputs!$F$5:$F$180*(((Inputs!$G$5:$G$180="moeda")+(Inputs!$G$5:$G$180="acoes"))*Inputs!$B$1+((Inputs!$G$5:$G$180&lt;&gt;"moeda")*(Inputs!$G$5:$G$180&lt;&gt;"acoes")))*INDEX(Inputs!$K$5:$AJ$180,0,MATCH(AI$2,Inputs!$K$4:$AJ$4,0)))))</f>
        <v>-46.9232454256334</v>
      </c>
      <c r="AJ5" s="6">
        <f>IF(ISNA(MATCH(AJ$2,Inputs!$K$4:$AJ$4,0)),NA(),IF(SUMPRODUCT((Inputs!$A$5:$A$180=$B5)*ISNUMBER(INDEX(Inputs!$K$5:$AJ$180,0,MATCH(AJ$2,Inputs!$K$4:$AJ$4,0))))+SUMPRODUCT((Inputs!$C$5:$C$180=$B5)*ISNUMBER(INDEX(Inputs!$K$5:$AJ$180,0,MATCH(AJ$2,Inputs!$K$4:$AJ$4,0))))+SUMPRODUCT((Inputs!$E$5:$E$180=$B5)*ISNUMBER(INDEX(Inputs!$K$5:$AJ$180,0,MATCH(AJ$2,Inputs!$K$4:$AJ$4,0))))=0,NA(),SUMPRODUCT((Inputs!$A$5:$A$180=$B5)*Inputs!$B$5:$B$180*(((Inputs!$G$5:$G$180="moeda")+(Inputs!$G$5:$G$180="acoes"))*Inputs!$B$1+((Inputs!$G$5:$G$180&lt;&gt;"moeda")*(Inputs!$G$5:$G$180&lt;&gt;"acoes")))*INDEX(Inputs!$K$5:$AJ$180,0,MATCH(AJ$2,Inputs!$K$4:$AJ$4,0)))+SUMPRODUCT((Inputs!$C$5:$C$180=$B5)*Inputs!$D$5:$D$180*(((Inputs!$G$5:$G$180="moeda")+(Inputs!$G$5:$G$180="acoes"))*Inputs!$B$1+((Inputs!$G$5:$G$180&lt;&gt;"moeda")*(Inputs!$G$5:$G$180&lt;&gt;"acoes")))*INDEX(Inputs!$K$5:$AJ$180,0,MATCH(AJ$2,Inputs!$K$4:$AJ$4,0)))+SUMPRODUCT((Inputs!$E$5:$E$180=$B5)*Inputs!$F$5:$F$180*(((Inputs!$G$5:$G$180="moeda")+(Inputs!$G$5:$G$180="acoes"))*Inputs!$B$1+((Inputs!$G$5:$G$180&lt;&gt;"moeda")*(Inputs!$G$5:$G$180&lt;&gt;"acoes")))*INDEX(Inputs!$K$5:$AJ$180,0,MATCH(AJ$2,Inputs!$K$4:$AJ$4,0)))))</f>
        <v>-78.2896950249141</v>
      </c>
      <c r="AK5" s="6">
        <f>IF(ISNA(MATCH(AK$2,Inputs!$K$4:$AJ$4,0)),NA(),IF(SUMPRODUCT((Inputs!$A$5:$A$180=$B5)*ISNUMBER(INDEX(Inputs!$K$5:$AJ$180,0,MATCH(AK$2,Inputs!$K$4:$AJ$4,0))))+SUMPRODUCT((Inputs!$C$5:$C$180=$B5)*ISNUMBER(INDEX(Inputs!$K$5:$AJ$180,0,MATCH(AK$2,Inputs!$K$4:$AJ$4,0))))+SUMPRODUCT((Inputs!$E$5:$E$180=$B5)*ISNUMBER(INDEX(Inputs!$K$5:$AJ$180,0,MATCH(AK$2,Inputs!$K$4:$AJ$4,0))))=0,NA(),SUMPRODUCT((Inputs!$A$5:$A$180=$B5)*Inputs!$B$5:$B$180*(((Inputs!$G$5:$G$180="moeda")+(Inputs!$G$5:$G$180="acoes"))*Inputs!$B$1+((Inputs!$G$5:$G$180&lt;&gt;"moeda")*(Inputs!$G$5:$G$180&lt;&gt;"acoes")))*INDEX(Inputs!$K$5:$AJ$180,0,MATCH(AK$2,Inputs!$K$4:$AJ$4,0)))+SUMPRODUCT((Inputs!$C$5:$C$180=$B5)*Inputs!$D$5:$D$180*(((Inputs!$G$5:$G$180="moeda")+(Inputs!$G$5:$G$180="acoes"))*Inputs!$B$1+((Inputs!$G$5:$G$180&lt;&gt;"moeda")*(Inputs!$G$5:$G$180&lt;&gt;"acoes")))*INDEX(Inputs!$K$5:$AJ$180,0,MATCH(AK$2,Inputs!$K$4:$AJ$4,0)))+SUMPRODUCT((Inputs!$E$5:$E$180=$B5)*Inputs!$F$5:$F$180*(((Inputs!$G$5:$G$180="moeda")+(Inputs!$G$5:$G$180="acoes"))*Inputs!$B$1+((Inputs!$G$5:$G$180&lt;&gt;"moeda")*(Inputs!$G$5:$G$180&lt;&gt;"acoes")))*INDEX(Inputs!$K$5:$AJ$180,0,MATCH(AK$2,Inputs!$K$4:$AJ$4,0)))))</f>
        <v>-149.745244532874</v>
      </c>
      <c r="AL5" s="3">
        <f>SUM(AH5:AK5)</f>
        <v>-350.578281183422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$180=$B6)*ISNUMBER(INDEX(Inputs!$K$5:$AJ$180,0,MATCH(D$2,Inputs!$K$4:$AJ$4,0))))+SUMPRODUCT((Inputs!$C$5:$C$180=$B6)*ISNUMBER(INDEX(Inputs!$K$5:$AJ$180,0,MATCH(D$2,Inputs!$K$4:$AJ$4,0))))+SUMPRODUCT((Inputs!$E$5:$E$180=$B6)*ISNUMBER(INDEX(Inputs!$K$5:$AJ$180,0,MATCH(D$2,Inputs!$K$4:$AJ$4,0))))=0,NA(),SUMPRODUCT((Inputs!$A$5:$A$180=$B6)*Inputs!$B$5:$B$180*(((Inputs!$G$5:$G$180="moeda")+(Inputs!$G$5:$G$180="acoes"))*Inputs!$B$1+((Inputs!$G$5:$G$180&lt;&gt;"moeda")*(Inputs!$G$5:$G$180&lt;&gt;"acoes")))*INDEX(Inputs!$K$5:$AJ$180,0,MATCH(D$2,Inputs!$K$4:$AJ$4,0)))+SUMPRODUCT((Inputs!$C$5:$C$180=$B6)*Inputs!$D$5:$D$180*(((Inputs!$G$5:$G$180="moeda")+(Inputs!$G$5:$G$180="acoes"))*Inputs!$B$1+((Inputs!$G$5:$G$180&lt;&gt;"moeda")*(Inputs!$G$5:$G$180&lt;&gt;"acoes")))*INDEX(Inputs!$K$5:$AJ$180,0,MATCH(D$2,Inputs!$K$4:$AJ$4,0)))+SUMPRODUCT((Inputs!$E$5:$E$180=$B6)*Inputs!$F$5:$F$180*(((Inputs!$G$5:$G$180="moeda")+(Inputs!$G$5:$G$180="acoes"))*Inputs!$B$1+((Inputs!$G$5:$G$180&lt;&gt;"moeda")*(Inputs!$G$5:$G$180&lt;&gt;"acoes")))*INDEX(Inputs!$K$5:$AJ$180,0,MATCH(D$2,Inputs!$K$4:$AJ$4,0)))))</f>
        <v>-118.407734590705</v>
      </c>
      <c r="E6" s="6">
        <f>IF(ISNA(MATCH(E$2,Inputs!$K$4:$AJ$4,0)),NA(),IF(SUMPRODUCT((Inputs!$A$5:$A$180=$B6)*ISNUMBER(INDEX(Inputs!$K$5:$AJ$180,0,MATCH(E$2,Inputs!$K$4:$AJ$4,0))))+SUMPRODUCT((Inputs!$C$5:$C$180=$B6)*ISNUMBER(INDEX(Inputs!$K$5:$AJ$180,0,MATCH(E$2,Inputs!$K$4:$AJ$4,0))))+SUMPRODUCT((Inputs!$E$5:$E$180=$B6)*ISNUMBER(INDEX(Inputs!$K$5:$AJ$180,0,MATCH(E$2,Inputs!$K$4:$AJ$4,0))))=0,NA(),SUMPRODUCT((Inputs!$A$5:$A$180=$B6)*Inputs!$B$5:$B$180*(((Inputs!$G$5:$G$180="moeda")+(Inputs!$G$5:$G$180="acoes"))*Inputs!$B$1+((Inputs!$G$5:$G$180&lt;&gt;"moeda")*(Inputs!$G$5:$G$180&lt;&gt;"acoes")))*INDEX(Inputs!$K$5:$AJ$180,0,MATCH(E$2,Inputs!$K$4:$AJ$4,0)))+SUMPRODUCT((Inputs!$C$5:$C$180=$B6)*Inputs!$D$5:$D$180*(((Inputs!$G$5:$G$180="moeda")+(Inputs!$G$5:$G$180="acoes"))*Inputs!$B$1+((Inputs!$G$5:$G$180&lt;&gt;"moeda")*(Inputs!$G$5:$G$180&lt;&gt;"acoes")))*INDEX(Inputs!$K$5:$AJ$180,0,MATCH(E$2,Inputs!$K$4:$AJ$4,0)))+SUMPRODUCT((Inputs!$E$5:$E$180=$B6)*Inputs!$F$5:$F$180*(((Inputs!$G$5:$G$180="moeda")+(Inputs!$G$5:$G$180="acoes"))*Inputs!$B$1+((Inputs!$G$5:$G$180&lt;&gt;"moeda")*(Inputs!$G$5:$G$180&lt;&gt;"acoes")))*INDEX(Inputs!$K$5:$AJ$180,0,MATCH(E$2,Inputs!$K$4:$AJ$4,0)))))</f>
        <v>-142.269472140974</v>
      </c>
      <c r="F6" s="6">
        <f>IF(ISNA(MATCH(F$2,Inputs!$K$4:$AJ$4,0)),NA(),IF(SUMPRODUCT((Inputs!$A$5:$A$180=$B6)*ISNUMBER(INDEX(Inputs!$K$5:$AJ$180,0,MATCH(F$2,Inputs!$K$4:$AJ$4,0))))+SUMPRODUCT((Inputs!$C$5:$C$180=$B6)*ISNUMBER(INDEX(Inputs!$K$5:$AJ$180,0,MATCH(F$2,Inputs!$K$4:$AJ$4,0))))+SUMPRODUCT((Inputs!$E$5:$E$180=$B6)*ISNUMBER(INDEX(Inputs!$K$5:$AJ$180,0,MATCH(F$2,Inputs!$K$4:$AJ$4,0))))=0,NA(),SUMPRODUCT((Inputs!$A$5:$A$180=$B6)*Inputs!$B$5:$B$180*(((Inputs!$G$5:$G$180="moeda")+(Inputs!$G$5:$G$180="acoes"))*Inputs!$B$1+((Inputs!$G$5:$G$180&lt;&gt;"moeda")*(Inputs!$G$5:$G$180&lt;&gt;"acoes")))*INDEX(Inputs!$K$5:$AJ$180,0,MATCH(F$2,Inputs!$K$4:$AJ$4,0)))+SUMPRODUCT((Inputs!$C$5:$C$180=$B6)*Inputs!$D$5:$D$180*(((Inputs!$G$5:$G$180="moeda")+(Inputs!$G$5:$G$180="acoes"))*Inputs!$B$1+((Inputs!$G$5:$G$180&lt;&gt;"moeda")*(Inputs!$G$5:$G$180&lt;&gt;"acoes")))*INDEX(Inputs!$K$5:$AJ$180,0,MATCH(F$2,Inputs!$K$4:$AJ$4,0)))+SUMPRODUCT((Inputs!$E$5:$E$180=$B6)*Inputs!$F$5:$F$180*(((Inputs!$G$5:$G$180="moeda")+(Inputs!$G$5:$G$180="acoes"))*Inputs!$B$1+((Inputs!$G$5:$G$180&lt;&gt;"moeda")*(Inputs!$G$5:$G$180&lt;&gt;"acoes")))*INDEX(Inputs!$K$5:$AJ$180,0,MATCH(F$2,Inputs!$K$4:$AJ$4,0)))))</f>
        <v>-145.564582727196</v>
      </c>
      <c r="G6" s="6">
        <f>IF(ISNA(MATCH(G$2,Inputs!$K$4:$AJ$4,0)),NA(),IF(SUMPRODUCT((Inputs!$A$5:$A$180=$B6)*ISNUMBER(INDEX(Inputs!$K$5:$AJ$180,0,MATCH(G$2,Inputs!$K$4:$AJ$4,0))))+SUMPRODUCT((Inputs!$C$5:$C$180=$B6)*ISNUMBER(INDEX(Inputs!$K$5:$AJ$180,0,MATCH(G$2,Inputs!$K$4:$AJ$4,0))))+SUMPRODUCT((Inputs!$E$5:$E$180=$B6)*ISNUMBER(INDEX(Inputs!$K$5:$AJ$180,0,MATCH(G$2,Inputs!$K$4:$AJ$4,0))))=0,NA(),SUMPRODUCT((Inputs!$A$5:$A$180=$B6)*Inputs!$B$5:$B$180*(((Inputs!$G$5:$G$180="moeda")+(Inputs!$G$5:$G$180="acoes"))*Inputs!$B$1+((Inputs!$G$5:$G$180&lt;&gt;"moeda")*(Inputs!$G$5:$G$180&lt;&gt;"acoes")))*INDEX(Inputs!$K$5:$AJ$180,0,MATCH(G$2,Inputs!$K$4:$AJ$4,0)))+SUMPRODUCT((Inputs!$C$5:$C$180=$B6)*Inputs!$D$5:$D$180*(((Inputs!$G$5:$G$180="moeda")+(Inputs!$G$5:$G$180="acoes"))*Inputs!$B$1+((Inputs!$G$5:$G$180&lt;&gt;"moeda")*(Inputs!$G$5:$G$180&lt;&gt;"acoes")))*INDEX(Inputs!$K$5:$AJ$180,0,MATCH(G$2,Inputs!$K$4:$AJ$4,0)))+SUMPRODUCT((Inputs!$E$5:$E$180=$B6)*Inputs!$F$5:$F$180*(((Inputs!$G$5:$G$180="moeda")+(Inputs!$G$5:$G$180="acoes"))*Inputs!$B$1+((Inputs!$G$5:$G$180&lt;&gt;"moeda")*(Inputs!$G$5:$G$180&lt;&gt;"acoes")))*INDEX(Inputs!$K$5:$AJ$180,0,MATCH(G$2,Inputs!$K$4:$AJ$4,0)))))</f>
        <v>-221.951711402599</v>
      </c>
      <c r="H6" s="3">
        <f>SUM(D6:G6)</f>
        <v>-628.193500861473</v>
      </c>
      <c r="I6" s="6">
        <f>IF(ISNA(MATCH(I$2,Inputs!$K$4:$AJ$4,0)),NA(),IF(SUMPRODUCT((Inputs!$A$5:$A$180=$B6)*ISNUMBER(INDEX(Inputs!$K$5:$AJ$180,0,MATCH(I$2,Inputs!$K$4:$AJ$4,0))))+SUMPRODUCT((Inputs!$C$5:$C$180=$B6)*ISNUMBER(INDEX(Inputs!$K$5:$AJ$180,0,MATCH(I$2,Inputs!$K$4:$AJ$4,0))))+SUMPRODUCT((Inputs!$E$5:$E$180=$B6)*ISNUMBER(INDEX(Inputs!$K$5:$AJ$180,0,MATCH(I$2,Inputs!$K$4:$AJ$4,0))))=0,NA(),SUMPRODUCT((Inputs!$A$5:$A$180=$B6)*Inputs!$B$5:$B$180*(((Inputs!$G$5:$G$180="moeda")+(Inputs!$G$5:$G$180="acoes"))*Inputs!$B$1+((Inputs!$G$5:$G$180&lt;&gt;"moeda")*(Inputs!$G$5:$G$180&lt;&gt;"acoes")))*INDEX(Inputs!$K$5:$AJ$180,0,MATCH(I$2,Inputs!$K$4:$AJ$4,0)))+SUMPRODUCT((Inputs!$C$5:$C$180=$B6)*Inputs!$D$5:$D$180*(((Inputs!$G$5:$G$180="moeda")+(Inputs!$G$5:$G$180="acoes"))*Inputs!$B$1+((Inputs!$G$5:$G$180&lt;&gt;"moeda")*(Inputs!$G$5:$G$180&lt;&gt;"acoes")))*INDEX(Inputs!$K$5:$AJ$180,0,MATCH(I$2,Inputs!$K$4:$AJ$4,0)))+SUMPRODUCT((Inputs!$E$5:$E$180=$B6)*Inputs!$F$5:$F$180*(((Inputs!$G$5:$G$180="moeda")+(Inputs!$G$5:$G$180="acoes"))*Inputs!$B$1+((Inputs!$G$5:$G$180&lt;&gt;"moeda")*(Inputs!$G$5:$G$180&lt;&gt;"acoes")))*INDEX(Inputs!$K$5:$AJ$180,0,MATCH(I$2,Inputs!$K$4:$AJ$4,0)))))</f>
        <v>-158.313299659153</v>
      </c>
      <c r="J6" s="6">
        <f>IF(ISNA(MATCH(J$2,Inputs!$K$4:$AJ$4,0)),NA(),IF(SUMPRODUCT((Inputs!$A$5:$A$180=$B6)*ISNUMBER(INDEX(Inputs!$K$5:$AJ$180,0,MATCH(J$2,Inputs!$K$4:$AJ$4,0))))+SUMPRODUCT((Inputs!$C$5:$C$180=$B6)*ISNUMBER(INDEX(Inputs!$K$5:$AJ$180,0,MATCH(J$2,Inputs!$K$4:$AJ$4,0))))+SUMPRODUCT((Inputs!$E$5:$E$180=$B6)*ISNUMBER(INDEX(Inputs!$K$5:$AJ$180,0,MATCH(J$2,Inputs!$K$4:$AJ$4,0))))=0,NA(),SUMPRODUCT((Inputs!$A$5:$A$180=$B6)*Inputs!$B$5:$B$180*(((Inputs!$G$5:$G$180="moeda")+(Inputs!$G$5:$G$180="acoes"))*Inputs!$B$1+((Inputs!$G$5:$G$180&lt;&gt;"moeda")*(Inputs!$G$5:$G$180&lt;&gt;"acoes")))*INDEX(Inputs!$K$5:$AJ$180,0,MATCH(J$2,Inputs!$K$4:$AJ$4,0)))+SUMPRODUCT((Inputs!$C$5:$C$180=$B6)*Inputs!$D$5:$D$180*(((Inputs!$G$5:$G$180="moeda")+(Inputs!$G$5:$G$180="acoes"))*Inputs!$B$1+((Inputs!$G$5:$G$180&lt;&gt;"moeda")*(Inputs!$G$5:$G$180&lt;&gt;"acoes")))*INDEX(Inputs!$K$5:$AJ$180,0,MATCH(J$2,Inputs!$K$4:$AJ$4,0)))+SUMPRODUCT((Inputs!$E$5:$E$180=$B6)*Inputs!$F$5:$F$180*(((Inputs!$G$5:$G$180="moeda")+(Inputs!$G$5:$G$180="acoes"))*Inputs!$B$1+((Inputs!$G$5:$G$180&lt;&gt;"moeda")*(Inputs!$G$5:$G$180&lt;&gt;"acoes")))*INDEX(Inputs!$K$5:$AJ$180,0,MATCH(J$2,Inputs!$K$4:$AJ$4,0)))))</f>
        <v>-204.30577031262</v>
      </c>
      <c r="K6" s="6">
        <f>IF(ISNA(MATCH(K$2,Inputs!$K$4:$AJ$4,0)),NA(),IF(SUMPRODUCT((Inputs!$A$5:$A$180=$B6)*ISNUMBER(INDEX(Inputs!$K$5:$AJ$180,0,MATCH(K$2,Inputs!$K$4:$AJ$4,0))))+SUMPRODUCT((Inputs!$C$5:$C$180=$B6)*ISNUMBER(INDEX(Inputs!$K$5:$AJ$180,0,MATCH(K$2,Inputs!$K$4:$AJ$4,0))))+SUMPRODUCT((Inputs!$E$5:$E$180=$B6)*ISNUMBER(INDEX(Inputs!$K$5:$AJ$180,0,MATCH(K$2,Inputs!$K$4:$AJ$4,0))))=0,NA(),SUMPRODUCT((Inputs!$A$5:$A$180=$B6)*Inputs!$B$5:$B$180*(((Inputs!$G$5:$G$180="moeda")+(Inputs!$G$5:$G$180="acoes"))*Inputs!$B$1+((Inputs!$G$5:$G$180&lt;&gt;"moeda")*(Inputs!$G$5:$G$180&lt;&gt;"acoes")))*INDEX(Inputs!$K$5:$AJ$180,0,MATCH(K$2,Inputs!$K$4:$AJ$4,0)))+SUMPRODUCT((Inputs!$C$5:$C$180=$B6)*Inputs!$D$5:$D$180*(((Inputs!$G$5:$G$180="moeda")+(Inputs!$G$5:$G$180="acoes"))*Inputs!$B$1+((Inputs!$G$5:$G$180&lt;&gt;"moeda")*(Inputs!$G$5:$G$180&lt;&gt;"acoes")))*INDEX(Inputs!$K$5:$AJ$180,0,MATCH(K$2,Inputs!$K$4:$AJ$4,0)))+SUMPRODUCT((Inputs!$E$5:$E$180=$B6)*Inputs!$F$5:$F$180*(((Inputs!$G$5:$G$180="moeda")+(Inputs!$G$5:$G$180="acoes"))*Inputs!$B$1+((Inputs!$G$5:$G$180&lt;&gt;"moeda")*(Inputs!$G$5:$G$180&lt;&gt;"acoes")))*INDEX(Inputs!$K$5:$AJ$180,0,MATCH(K$2,Inputs!$K$4:$AJ$4,0)))))</f>
        <v>-175.860231724707</v>
      </c>
      <c r="L6" s="6">
        <f>IF(ISNA(MATCH(L$2,Inputs!$K$4:$AJ$4,0)),NA(),IF(SUMPRODUCT((Inputs!$A$5:$A$180=$B6)*ISNUMBER(INDEX(Inputs!$K$5:$AJ$180,0,MATCH(L$2,Inputs!$K$4:$AJ$4,0))))+SUMPRODUCT((Inputs!$C$5:$C$180=$B6)*ISNUMBER(INDEX(Inputs!$K$5:$AJ$180,0,MATCH(L$2,Inputs!$K$4:$AJ$4,0))))+SUMPRODUCT((Inputs!$E$5:$E$180=$B6)*ISNUMBER(INDEX(Inputs!$K$5:$AJ$180,0,MATCH(L$2,Inputs!$K$4:$AJ$4,0))))=0,NA(),SUMPRODUCT((Inputs!$A$5:$A$180=$B6)*Inputs!$B$5:$B$180*(((Inputs!$G$5:$G$180="moeda")+(Inputs!$G$5:$G$180="acoes"))*Inputs!$B$1+((Inputs!$G$5:$G$180&lt;&gt;"moeda")*(Inputs!$G$5:$G$180&lt;&gt;"acoes")))*INDEX(Inputs!$K$5:$AJ$180,0,MATCH(L$2,Inputs!$K$4:$AJ$4,0)))+SUMPRODUCT((Inputs!$C$5:$C$180=$B6)*Inputs!$D$5:$D$180*(((Inputs!$G$5:$G$180="moeda")+(Inputs!$G$5:$G$180="acoes"))*Inputs!$B$1+((Inputs!$G$5:$G$180&lt;&gt;"moeda")*(Inputs!$G$5:$G$180&lt;&gt;"acoes")))*INDEX(Inputs!$K$5:$AJ$180,0,MATCH(L$2,Inputs!$K$4:$AJ$4,0)))+SUMPRODUCT((Inputs!$E$5:$E$180=$B6)*Inputs!$F$5:$F$180*(((Inputs!$G$5:$G$180="moeda")+(Inputs!$G$5:$G$180="acoes"))*Inputs!$B$1+((Inputs!$G$5:$G$180&lt;&gt;"moeda")*(Inputs!$G$5:$G$180&lt;&gt;"acoes")))*INDEX(Inputs!$K$5:$AJ$180,0,MATCH(L$2,Inputs!$K$4:$AJ$4,0)))))</f>
        <v>-247.032568558932</v>
      </c>
      <c r="M6" s="3">
        <f>SUM(I6:L6)</f>
        <v>-785.511870255413</v>
      </c>
      <c r="N6" s="6">
        <f>IF(ISNA(MATCH(N$2,Inputs!$K$4:$AJ$4,0)),NA(),IF(SUMPRODUCT((Inputs!$A$5:$A$180=$B6)*ISNUMBER(INDEX(Inputs!$K$5:$AJ$180,0,MATCH(N$2,Inputs!$K$4:$AJ$4,0))))+SUMPRODUCT((Inputs!$C$5:$C$180=$B6)*ISNUMBER(INDEX(Inputs!$K$5:$AJ$180,0,MATCH(N$2,Inputs!$K$4:$AJ$4,0))))+SUMPRODUCT((Inputs!$E$5:$E$180=$B6)*ISNUMBER(INDEX(Inputs!$K$5:$AJ$180,0,MATCH(N$2,Inputs!$K$4:$AJ$4,0))))=0,NA(),SUMPRODUCT((Inputs!$A$5:$A$180=$B6)*Inputs!$B$5:$B$180*(((Inputs!$G$5:$G$180="moeda")+(Inputs!$G$5:$G$180="acoes"))*Inputs!$B$1+((Inputs!$G$5:$G$180&lt;&gt;"moeda")*(Inputs!$G$5:$G$180&lt;&gt;"acoes")))*INDEX(Inputs!$K$5:$AJ$180,0,MATCH(N$2,Inputs!$K$4:$AJ$4,0)))+SUMPRODUCT((Inputs!$C$5:$C$180=$B6)*Inputs!$D$5:$D$180*(((Inputs!$G$5:$G$180="moeda")+(Inputs!$G$5:$G$180="acoes"))*Inputs!$B$1+((Inputs!$G$5:$G$180&lt;&gt;"moeda")*(Inputs!$G$5:$G$180&lt;&gt;"acoes")))*INDEX(Inputs!$K$5:$AJ$180,0,MATCH(N$2,Inputs!$K$4:$AJ$4,0)))+SUMPRODUCT((Inputs!$E$5:$E$180=$B6)*Inputs!$F$5:$F$180*(((Inputs!$G$5:$G$180="moeda")+(Inputs!$G$5:$G$180="acoes"))*Inputs!$B$1+((Inputs!$G$5:$G$180&lt;&gt;"moeda")*(Inputs!$G$5:$G$180&lt;&gt;"acoes")))*INDEX(Inputs!$K$5:$AJ$180,0,MATCH(N$2,Inputs!$K$4:$AJ$4,0)))))</f>
        <v>-194.092521397267</v>
      </c>
      <c r="O6" s="6">
        <f>IF(ISNA(MATCH(O$2,Inputs!$K$4:$AJ$4,0)),NA(),IF(SUMPRODUCT((Inputs!$A$5:$A$180=$B6)*ISNUMBER(INDEX(Inputs!$K$5:$AJ$180,0,MATCH(O$2,Inputs!$K$4:$AJ$4,0))))+SUMPRODUCT((Inputs!$C$5:$C$180=$B6)*ISNUMBER(INDEX(Inputs!$K$5:$AJ$180,0,MATCH(O$2,Inputs!$K$4:$AJ$4,0))))+SUMPRODUCT((Inputs!$E$5:$E$180=$B6)*ISNUMBER(INDEX(Inputs!$K$5:$AJ$180,0,MATCH(O$2,Inputs!$K$4:$AJ$4,0))))=0,NA(),SUMPRODUCT((Inputs!$A$5:$A$180=$B6)*Inputs!$B$5:$B$180*(((Inputs!$G$5:$G$180="moeda")+(Inputs!$G$5:$G$180="acoes"))*Inputs!$B$1+((Inputs!$G$5:$G$180&lt;&gt;"moeda")*(Inputs!$G$5:$G$180&lt;&gt;"acoes")))*INDEX(Inputs!$K$5:$AJ$180,0,MATCH(O$2,Inputs!$K$4:$AJ$4,0)))+SUMPRODUCT((Inputs!$C$5:$C$180=$B6)*Inputs!$D$5:$D$180*(((Inputs!$G$5:$G$180="moeda")+(Inputs!$G$5:$G$180="acoes"))*Inputs!$B$1+((Inputs!$G$5:$G$180&lt;&gt;"moeda")*(Inputs!$G$5:$G$180&lt;&gt;"acoes")))*INDEX(Inputs!$K$5:$AJ$180,0,MATCH(O$2,Inputs!$K$4:$AJ$4,0)))+SUMPRODUCT((Inputs!$E$5:$E$180=$B6)*Inputs!$F$5:$F$180*(((Inputs!$G$5:$G$180="moeda")+(Inputs!$G$5:$G$180="acoes"))*Inputs!$B$1+((Inputs!$G$5:$G$180&lt;&gt;"moeda")*(Inputs!$G$5:$G$180&lt;&gt;"acoes")))*INDEX(Inputs!$K$5:$AJ$180,0,MATCH(O$2,Inputs!$K$4:$AJ$4,0)))))</f>
        <v>-233.387754038583</v>
      </c>
      <c r="P6" s="6">
        <f>IF(ISNA(MATCH(P$2,Inputs!$K$4:$AJ$4,0)),NA(),IF(SUMPRODUCT((Inputs!$A$5:$A$180=$B6)*ISNUMBER(INDEX(Inputs!$K$5:$AJ$180,0,MATCH(P$2,Inputs!$K$4:$AJ$4,0))))+SUMPRODUCT((Inputs!$C$5:$C$180=$B6)*ISNUMBER(INDEX(Inputs!$K$5:$AJ$180,0,MATCH(P$2,Inputs!$K$4:$AJ$4,0))))+SUMPRODUCT((Inputs!$E$5:$E$180=$B6)*ISNUMBER(INDEX(Inputs!$K$5:$AJ$180,0,MATCH(P$2,Inputs!$K$4:$AJ$4,0))))=0,NA(),SUMPRODUCT((Inputs!$A$5:$A$180=$B6)*Inputs!$B$5:$B$180*(((Inputs!$G$5:$G$180="moeda")+(Inputs!$G$5:$G$180="acoes"))*Inputs!$B$1+((Inputs!$G$5:$G$180&lt;&gt;"moeda")*(Inputs!$G$5:$G$180&lt;&gt;"acoes")))*INDEX(Inputs!$K$5:$AJ$180,0,MATCH(P$2,Inputs!$K$4:$AJ$4,0)))+SUMPRODUCT((Inputs!$C$5:$C$180=$B6)*Inputs!$D$5:$D$180*(((Inputs!$G$5:$G$180="moeda")+(Inputs!$G$5:$G$180="acoes"))*Inputs!$B$1+((Inputs!$G$5:$G$180&lt;&gt;"moeda")*(Inputs!$G$5:$G$180&lt;&gt;"acoes")))*INDEX(Inputs!$K$5:$AJ$180,0,MATCH(P$2,Inputs!$K$4:$AJ$4,0)))+SUMPRODUCT((Inputs!$E$5:$E$180=$B6)*Inputs!$F$5:$F$180*(((Inputs!$G$5:$G$180="moeda")+(Inputs!$G$5:$G$180="acoes"))*Inputs!$B$1+((Inputs!$G$5:$G$180&lt;&gt;"moeda")*(Inputs!$G$5:$G$180&lt;&gt;"acoes")))*INDEX(Inputs!$K$5:$AJ$180,0,MATCH(P$2,Inputs!$K$4:$AJ$4,0)))))</f>
        <v>-189.731302620291</v>
      </c>
      <c r="Q6" s="6">
        <f>IF(ISNA(MATCH(Q$2,Inputs!$K$4:$AJ$4,0)),NA(),IF(SUMPRODUCT((Inputs!$A$5:$A$180=$B6)*ISNUMBER(INDEX(Inputs!$K$5:$AJ$180,0,MATCH(Q$2,Inputs!$K$4:$AJ$4,0))))+SUMPRODUCT((Inputs!$C$5:$C$180=$B6)*ISNUMBER(INDEX(Inputs!$K$5:$AJ$180,0,MATCH(Q$2,Inputs!$K$4:$AJ$4,0))))+SUMPRODUCT((Inputs!$E$5:$E$180=$B6)*ISNUMBER(INDEX(Inputs!$K$5:$AJ$180,0,MATCH(Q$2,Inputs!$K$4:$AJ$4,0))))=0,NA(),SUMPRODUCT((Inputs!$A$5:$A$180=$B6)*Inputs!$B$5:$B$180*(((Inputs!$G$5:$G$180="moeda")+(Inputs!$G$5:$G$180="acoes"))*Inputs!$B$1+((Inputs!$G$5:$G$180&lt;&gt;"moeda")*(Inputs!$G$5:$G$180&lt;&gt;"acoes")))*INDEX(Inputs!$K$5:$AJ$180,0,MATCH(Q$2,Inputs!$K$4:$AJ$4,0)))+SUMPRODUCT((Inputs!$C$5:$C$180=$B6)*Inputs!$D$5:$D$180*(((Inputs!$G$5:$G$180="moeda")+(Inputs!$G$5:$G$180="acoes"))*Inputs!$B$1+((Inputs!$G$5:$G$180&lt;&gt;"moeda")*(Inputs!$G$5:$G$180&lt;&gt;"acoes")))*INDEX(Inputs!$K$5:$AJ$180,0,MATCH(Q$2,Inputs!$K$4:$AJ$4,0)))+SUMPRODUCT((Inputs!$E$5:$E$180=$B6)*Inputs!$F$5:$F$180*(((Inputs!$G$5:$G$180="moeda")+(Inputs!$G$5:$G$180="acoes"))*Inputs!$B$1+((Inputs!$G$5:$G$180&lt;&gt;"moeda")*(Inputs!$G$5:$G$180&lt;&gt;"acoes")))*INDEX(Inputs!$K$5:$AJ$180,0,MATCH(Q$2,Inputs!$K$4:$AJ$4,0)))))</f>
        <v>-321.10803855</v>
      </c>
      <c r="R6" s="3">
        <f>SUM(N6:Q6)</f>
        <v>-938.319616606141</v>
      </c>
      <c r="S6" s="6">
        <f>IF(ISNA(MATCH(S$2,Inputs!$K$4:$AJ$4,0)),NA(),IF(SUMPRODUCT((Inputs!$A$5:$A$180=$B6)*ISNUMBER(INDEX(Inputs!$K$5:$AJ$180,0,MATCH(S$2,Inputs!$K$4:$AJ$4,0))))+SUMPRODUCT((Inputs!$C$5:$C$180=$B6)*ISNUMBER(INDEX(Inputs!$K$5:$AJ$180,0,MATCH(S$2,Inputs!$K$4:$AJ$4,0))))+SUMPRODUCT((Inputs!$E$5:$E$180=$B6)*ISNUMBER(INDEX(Inputs!$K$5:$AJ$180,0,MATCH(S$2,Inputs!$K$4:$AJ$4,0))))=0,NA(),SUMPRODUCT((Inputs!$A$5:$A$180=$B6)*Inputs!$B$5:$B$180*(((Inputs!$G$5:$G$180="moeda")+(Inputs!$G$5:$G$180="acoes"))*Inputs!$B$1+((Inputs!$G$5:$G$180&lt;&gt;"moeda")*(Inputs!$G$5:$G$180&lt;&gt;"acoes")))*INDEX(Inputs!$K$5:$AJ$180,0,MATCH(S$2,Inputs!$K$4:$AJ$4,0)))+SUMPRODUCT((Inputs!$C$5:$C$180=$B6)*Inputs!$D$5:$D$180*(((Inputs!$G$5:$G$180="moeda")+(Inputs!$G$5:$G$180="acoes"))*Inputs!$B$1+((Inputs!$G$5:$G$180&lt;&gt;"moeda")*(Inputs!$G$5:$G$180&lt;&gt;"acoes")))*INDEX(Inputs!$K$5:$AJ$180,0,MATCH(S$2,Inputs!$K$4:$AJ$4,0)))+SUMPRODUCT((Inputs!$E$5:$E$180=$B6)*Inputs!$F$5:$F$180*(((Inputs!$G$5:$G$180="moeda")+(Inputs!$G$5:$G$180="acoes"))*Inputs!$B$1+((Inputs!$G$5:$G$180&lt;&gt;"moeda")*(Inputs!$G$5:$G$180&lt;&gt;"acoes")))*INDEX(Inputs!$K$5:$AJ$180,0,MATCH(S$2,Inputs!$K$4:$AJ$4,0)))))</f>
        <v>-225.991904710259</v>
      </c>
      <c r="T6" s="6">
        <f>IF(ISNA(MATCH(T$2,Inputs!$K$4:$AJ$4,0)),NA(),IF(SUMPRODUCT((Inputs!$A$5:$A$180=$B6)*ISNUMBER(INDEX(Inputs!$K$5:$AJ$180,0,MATCH(T$2,Inputs!$K$4:$AJ$4,0))))+SUMPRODUCT((Inputs!$C$5:$C$180=$B6)*ISNUMBER(INDEX(Inputs!$K$5:$AJ$180,0,MATCH(T$2,Inputs!$K$4:$AJ$4,0))))+SUMPRODUCT((Inputs!$E$5:$E$180=$B6)*ISNUMBER(INDEX(Inputs!$K$5:$AJ$180,0,MATCH(T$2,Inputs!$K$4:$AJ$4,0))))=0,NA(),SUMPRODUCT((Inputs!$A$5:$A$180=$B6)*Inputs!$B$5:$B$180*(((Inputs!$G$5:$G$180="moeda")+(Inputs!$G$5:$G$180="acoes"))*Inputs!$B$1+((Inputs!$G$5:$G$180&lt;&gt;"moeda")*(Inputs!$G$5:$G$180&lt;&gt;"acoes")))*INDEX(Inputs!$K$5:$AJ$180,0,MATCH(T$2,Inputs!$K$4:$AJ$4,0)))+SUMPRODUCT((Inputs!$C$5:$C$180=$B6)*Inputs!$D$5:$D$180*(((Inputs!$G$5:$G$180="moeda")+(Inputs!$G$5:$G$180="acoes"))*Inputs!$B$1+((Inputs!$G$5:$G$180&lt;&gt;"moeda")*(Inputs!$G$5:$G$180&lt;&gt;"acoes")))*INDEX(Inputs!$K$5:$AJ$180,0,MATCH(T$2,Inputs!$K$4:$AJ$4,0)))+SUMPRODUCT((Inputs!$E$5:$E$180=$B6)*Inputs!$F$5:$F$180*(((Inputs!$G$5:$G$180="moeda")+(Inputs!$G$5:$G$180="acoes"))*Inputs!$B$1+((Inputs!$G$5:$G$180&lt;&gt;"moeda")*(Inputs!$G$5:$G$180&lt;&gt;"acoes")))*INDEX(Inputs!$K$5:$AJ$180,0,MATCH(T$2,Inputs!$K$4:$AJ$4,0)))))</f>
        <v>-190.126362828162</v>
      </c>
      <c r="U6" s="6">
        <f>IF(ISNA(MATCH(U$2,Inputs!$K$4:$AJ$4,0)),NA(),IF(SUMPRODUCT((Inputs!$A$5:$A$180=$B6)*ISNUMBER(INDEX(Inputs!$K$5:$AJ$180,0,MATCH(U$2,Inputs!$K$4:$AJ$4,0))))+SUMPRODUCT((Inputs!$C$5:$C$180=$B6)*ISNUMBER(INDEX(Inputs!$K$5:$AJ$180,0,MATCH(U$2,Inputs!$K$4:$AJ$4,0))))+SUMPRODUCT((Inputs!$E$5:$E$180=$B6)*ISNUMBER(INDEX(Inputs!$K$5:$AJ$180,0,MATCH(U$2,Inputs!$K$4:$AJ$4,0))))=0,NA(),SUMPRODUCT((Inputs!$A$5:$A$180=$B6)*Inputs!$B$5:$B$180*(((Inputs!$G$5:$G$180="moeda")+(Inputs!$G$5:$G$180="acoes"))*Inputs!$B$1+((Inputs!$G$5:$G$180&lt;&gt;"moeda")*(Inputs!$G$5:$G$180&lt;&gt;"acoes")))*INDEX(Inputs!$K$5:$AJ$180,0,MATCH(U$2,Inputs!$K$4:$AJ$4,0)))+SUMPRODUCT((Inputs!$C$5:$C$180=$B6)*Inputs!$D$5:$D$180*(((Inputs!$G$5:$G$180="moeda")+(Inputs!$G$5:$G$180="acoes"))*Inputs!$B$1+((Inputs!$G$5:$G$180&lt;&gt;"moeda")*(Inputs!$G$5:$G$180&lt;&gt;"acoes")))*INDEX(Inputs!$K$5:$AJ$180,0,MATCH(U$2,Inputs!$K$4:$AJ$4,0)))+SUMPRODUCT((Inputs!$E$5:$E$180=$B6)*Inputs!$F$5:$F$180*(((Inputs!$G$5:$G$180="moeda")+(Inputs!$G$5:$G$180="acoes"))*Inputs!$B$1+((Inputs!$G$5:$G$180&lt;&gt;"moeda")*(Inputs!$G$5:$G$180&lt;&gt;"acoes")))*INDEX(Inputs!$K$5:$AJ$180,0,MATCH(U$2,Inputs!$K$4:$AJ$4,0)))))</f>
        <v>-230.208715963281</v>
      </c>
      <c r="V6" s="6">
        <f>IF(ISNA(MATCH(V$2,Inputs!$K$4:$AJ$4,0)),NA(),IF(SUMPRODUCT((Inputs!$A$5:$A$180=$B6)*ISNUMBER(INDEX(Inputs!$K$5:$AJ$180,0,MATCH(V$2,Inputs!$K$4:$AJ$4,0))))+SUMPRODUCT((Inputs!$C$5:$C$180=$B6)*ISNUMBER(INDEX(Inputs!$K$5:$AJ$180,0,MATCH(V$2,Inputs!$K$4:$AJ$4,0))))+SUMPRODUCT((Inputs!$E$5:$E$180=$B6)*ISNUMBER(INDEX(Inputs!$K$5:$AJ$180,0,MATCH(V$2,Inputs!$K$4:$AJ$4,0))))=0,NA(),SUMPRODUCT((Inputs!$A$5:$A$180=$B6)*Inputs!$B$5:$B$180*(((Inputs!$G$5:$G$180="moeda")+(Inputs!$G$5:$G$180="acoes"))*Inputs!$B$1+((Inputs!$G$5:$G$180&lt;&gt;"moeda")*(Inputs!$G$5:$G$180&lt;&gt;"acoes")))*INDEX(Inputs!$K$5:$AJ$180,0,MATCH(V$2,Inputs!$K$4:$AJ$4,0)))+SUMPRODUCT((Inputs!$C$5:$C$180=$B6)*Inputs!$D$5:$D$180*(((Inputs!$G$5:$G$180="moeda")+(Inputs!$G$5:$G$180="acoes"))*Inputs!$B$1+((Inputs!$G$5:$G$180&lt;&gt;"moeda")*(Inputs!$G$5:$G$180&lt;&gt;"acoes")))*INDEX(Inputs!$K$5:$AJ$180,0,MATCH(V$2,Inputs!$K$4:$AJ$4,0)))+SUMPRODUCT((Inputs!$E$5:$E$180=$B6)*Inputs!$F$5:$F$180*(((Inputs!$G$5:$G$180="moeda")+(Inputs!$G$5:$G$180="acoes"))*Inputs!$B$1+((Inputs!$G$5:$G$180&lt;&gt;"moeda")*(Inputs!$G$5:$G$180&lt;&gt;"acoes")))*INDEX(Inputs!$K$5:$AJ$180,0,MATCH(V$2,Inputs!$K$4:$AJ$4,0)))))</f>
        <v>-335.811875482295</v>
      </c>
      <c r="W6" s="3">
        <f>SUM(S6:V6)</f>
        <v>-982.138858983997</v>
      </c>
      <c r="X6" s="6">
        <f>IF(ISNA(MATCH(X$2,Inputs!$K$4:$AJ$4,0)),NA(),IF(SUMPRODUCT((Inputs!$A$5:$A$180=$B6)*ISNUMBER(INDEX(Inputs!$K$5:$AJ$180,0,MATCH(X$2,Inputs!$K$4:$AJ$4,0))))+SUMPRODUCT((Inputs!$C$5:$C$180=$B6)*ISNUMBER(INDEX(Inputs!$K$5:$AJ$180,0,MATCH(X$2,Inputs!$K$4:$AJ$4,0))))+SUMPRODUCT((Inputs!$E$5:$E$180=$B6)*ISNUMBER(INDEX(Inputs!$K$5:$AJ$180,0,MATCH(X$2,Inputs!$K$4:$AJ$4,0))))=0,NA(),SUMPRODUCT((Inputs!$A$5:$A$180=$B6)*Inputs!$B$5:$B$180*(((Inputs!$G$5:$G$180="moeda")+(Inputs!$G$5:$G$180="acoes"))*Inputs!$B$1+((Inputs!$G$5:$G$180&lt;&gt;"moeda")*(Inputs!$G$5:$G$180&lt;&gt;"acoes")))*INDEX(Inputs!$K$5:$AJ$180,0,MATCH(X$2,Inputs!$K$4:$AJ$4,0)))+SUMPRODUCT((Inputs!$C$5:$C$180=$B6)*Inputs!$D$5:$D$180*(((Inputs!$G$5:$G$180="moeda")+(Inputs!$G$5:$G$180="acoes"))*Inputs!$B$1+((Inputs!$G$5:$G$180&lt;&gt;"moeda")*(Inputs!$G$5:$G$180&lt;&gt;"acoes")))*INDEX(Inputs!$K$5:$AJ$180,0,MATCH(X$2,Inputs!$K$4:$AJ$4,0)))+SUMPRODUCT((Inputs!$E$5:$E$180=$B6)*Inputs!$F$5:$F$180*(((Inputs!$G$5:$G$180="moeda")+(Inputs!$G$5:$G$180="acoes"))*Inputs!$B$1+((Inputs!$G$5:$G$180&lt;&gt;"moeda")*(Inputs!$G$5:$G$180&lt;&gt;"acoes")))*INDEX(Inputs!$K$5:$AJ$180,0,MATCH(X$2,Inputs!$K$4:$AJ$4,0)))))</f>
        <v>-236.14191779</v>
      </c>
      <c r="Y6" s="6">
        <f>IF(ISNA(MATCH(Y$2,Inputs!$K$4:$AJ$4,0)),NA(),IF(SUMPRODUCT((Inputs!$A$5:$A$180=$B6)*ISNUMBER(INDEX(Inputs!$K$5:$AJ$180,0,MATCH(Y$2,Inputs!$K$4:$AJ$4,0))))+SUMPRODUCT((Inputs!$C$5:$C$180=$B6)*ISNUMBER(INDEX(Inputs!$K$5:$AJ$180,0,MATCH(Y$2,Inputs!$K$4:$AJ$4,0))))+SUMPRODUCT((Inputs!$E$5:$E$180=$B6)*ISNUMBER(INDEX(Inputs!$K$5:$AJ$180,0,MATCH(Y$2,Inputs!$K$4:$AJ$4,0))))=0,NA(),SUMPRODUCT((Inputs!$A$5:$A$180=$B6)*Inputs!$B$5:$B$180*(((Inputs!$G$5:$G$180="moeda")+(Inputs!$G$5:$G$180="acoes"))*Inputs!$B$1+((Inputs!$G$5:$G$180&lt;&gt;"moeda")*(Inputs!$G$5:$G$180&lt;&gt;"acoes")))*INDEX(Inputs!$K$5:$AJ$180,0,MATCH(Y$2,Inputs!$K$4:$AJ$4,0)))+SUMPRODUCT((Inputs!$C$5:$C$180=$B6)*Inputs!$D$5:$D$180*(((Inputs!$G$5:$G$180="moeda")+(Inputs!$G$5:$G$180="acoes"))*Inputs!$B$1+((Inputs!$G$5:$G$180&lt;&gt;"moeda")*(Inputs!$G$5:$G$180&lt;&gt;"acoes")))*INDEX(Inputs!$K$5:$AJ$180,0,MATCH(Y$2,Inputs!$K$4:$AJ$4,0)))+SUMPRODUCT((Inputs!$E$5:$E$180=$B6)*Inputs!$F$5:$F$180*(((Inputs!$G$5:$G$180="moeda")+(Inputs!$G$5:$G$180="acoes"))*Inputs!$B$1+((Inputs!$G$5:$G$180&lt;&gt;"moeda")*(Inputs!$G$5:$G$180&lt;&gt;"acoes")))*INDEX(Inputs!$K$5:$AJ$180,0,MATCH(Y$2,Inputs!$K$4:$AJ$4,0)))))</f>
        <v>-323.6560613</v>
      </c>
      <c r="Z6" s="6">
        <f>IF(ISNA(MATCH(Z$2,Inputs!$K$4:$AJ$4,0)),NA(),IF(SUMPRODUCT((Inputs!$A$5:$A$180=$B6)*ISNUMBER(INDEX(Inputs!$K$5:$AJ$180,0,MATCH(Z$2,Inputs!$K$4:$AJ$4,0))))+SUMPRODUCT((Inputs!$C$5:$C$180=$B6)*ISNUMBER(INDEX(Inputs!$K$5:$AJ$180,0,MATCH(Z$2,Inputs!$K$4:$AJ$4,0))))+SUMPRODUCT((Inputs!$E$5:$E$180=$B6)*ISNUMBER(INDEX(Inputs!$K$5:$AJ$180,0,MATCH(Z$2,Inputs!$K$4:$AJ$4,0))))=0,NA(),SUMPRODUCT((Inputs!$A$5:$A$180=$B6)*Inputs!$B$5:$B$180*(((Inputs!$G$5:$G$180="moeda")+(Inputs!$G$5:$G$180="acoes"))*Inputs!$B$1+((Inputs!$G$5:$G$180&lt;&gt;"moeda")*(Inputs!$G$5:$G$180&lt;&gt;"acoes")))*INDEX(Inputs!$K$5:$AJ$180,0,MATCH(Z$2,Inputs!$K$4:$AJ$4,0)))+SUMPRODUCT((Inputs!$C$5:$C$180=$B6)*Inputs!$D$5:$D$180*(((Inputs!$G$5:$G$180="moeda")+(Inputs!$G$5:$G$180="acoes"))*Inputs!$B$1+((Inputs!$G$5:$G$180&lt;&gt;"moeda")*(Inputs!$G$5:$G$180&lt;&gt;"acoes")))*INDEX(Inputs!$K$5:$AJ$180,0,MATCH(Z$2,Inputs!$K$4:$AJ$4,0)))+SUMPRODUCT((Inputs!$E$5:$E$180=$B6)*Inputs!$F$5:$F$180*(((Inputs!$G$5:$G$180="moeda")+(Inputs!$G$5:$G$180="acoes"))*Inputs!$B$1+((Inputs!$G$5:$G$180&lt;&gt;"moeda")*(Inputs!$G$5:$G$180&lt;&gt;"acoes")))*INDEX(Inputs!$K$5:$AJ$180,0,MATCH(Z$2,Inputs!$K$4:$AJ$4,0)))))</f>
        <v>-233.5815897</v>
      </c>
      <c r="AA6" s="6">
        <f>IF(ISNA(MATCH(AA$2,Inputs!$K$4:$AJ$4,0)),NA(),IF(SUMPRODUCT((Inputs!$A$5:$A$180=$B6)*ISNUMBER(INDEX(Inputs!$K$5:$AJ$180,0,MATCH(AA$2,Inputs!$K$4:$AJ$4,0))))+SUMPRODUCT((Inputs!$C$5:$C$180=$B6)*ISNUMBER(INDEX(Inputs!$K$5:$AJ$180,0,MATCH(AA$2,Inputs!$K$4:$AJ$4,0))))+SUMPRODUCT((Inputs!$E$5:$E$180=$B6)*ISNUMBER(INDEX(Inputs!$K$5:$AJ$180,0,MATCH(AA$2,Inputs!$K$4:$AJ$4,0))))=0,NA(),SUMPRODUCT((Inputs!$A$5:$A$180=$B6)*Inputs!$B$5:$B$180*(((Inputs!$G$5:$G$180="moeda")+(Inputs!$G$5:$G$180="acoes"))*Inputs!$B$1+((Inputs!$G$5:$G$180&lt;&gt;"moeda")*(Inputs!$G$5:$G$180&lt;&gt;"acoes")))*INDEX(Inputs!$K$5:$AJ$180,0,MATCH(AA$2,Inputs!$K$4:$AJ$4,0)))+SUMPRODUCT((Inputs!$C$5:$C$180=$B6)*Inputs!$D$5:$D$180*(((Inputs!$G$5:$G$180="moeda")+(Inputs!$G$5:$G$180="acoes"))*Inputs!$B$1+((Inputs!$G$5:$G$180&lt;&gt;"moeda")*(Inputs!$G$5:$G$180&lt;&gt;"acoes")))*INDEX(Inputs!$K$5:$AJ$180,0,MATCH(AA$2,Inputs!$K$4:$AJ$4,0)))+SUMPRODUCT((Inputs!$E$5:$E$180=$B6)*Inputs!$F$5:$F$180*(((Inputs!$G$5:$G$180="moeda")+(Inputs!$G$5:$G$180="acoes"))*Inputs!$B$1+((Inputs!$G$5:$G$180&lt;&gt;"moeda")*(Inputs!$G$5:$G$180&lt;&gt;"acoes")))*INDEX(Inputs!$K$5:$AJ$180,0,MATCH(AA$2,Inputs!$K$4:$AJ$4,0)))))</f>
        <v>-434.20798505</v>
      </c>
      <c r="AB6" s="3">
        <f>SUM(X6:AA6)</f>
        <v>-1227.58755384</v>
      </c>
      <c r="AC6" s="6">
        <f>IF(ISNA(MATCH(AC$2,Inputs!$K$4:$AJ$4,0)),NA(),IF(SUMPRODUCT((Inputs!$A$5:$A$180=$B6)*ISNUMBER(INDEX(Inputs!$K$5:$AJ$180,0,MATCH(AC$2,Inputs!$K$4:$AJ$4,0))))+SUMPRODUCT((Inputs!$C$5:$C$180=$B6)*ISNUMBER(INDEX(Inputs!$K$5:$AJ$180,0,MATCH(AC$2,Inputs!$K$4:$AJ$4,0))))+SUMPRODUCT((Inputs!$E$5:$E$180=$B6)*ISNUMBER(INDEX(Inputs!$K$5:$AJ$180,0,MATCH(AC$2,Inputs!$K$4:$AJ$4,0))))=0,NA(),SUMPRODUCT((Inputs!$A$5:$A$180=$B6)*Inputs!$B$5:$B$180*(((Inputs!$G$5:$G$180="moeda")+(Inputs!$G$5:$G$180="acoes"))*Inputs!$B$1+((Inputs!$G$5:$G$180&lt;&gt;"moeda")*(Inputs!$G$5:$G$180&lt;&gt;"acoes")))*INDEX(Inputs!$K$5:$AJ$180,0,MATCH(AC$2,Inputs!$K$4:$AJ$4,0)))+SUMPRODUCT((Inputs!$C$5:$C$180=$B6)*Inputs!$D$5:$D$180*(((Inputs!$G$5:$G$180="moeda")+(Inputs!$G$5:$G$180="acoes"))*Inputs!$B$1+((Inputs!$G$5:$G$180&lt;&gt;"moeda")*(Inputs!$G$5:$G$180&lt;&gt;"acoes")))*INDEX(Inputs!$K$5:$AJ$180,0,MATCH(AC$2,Inputs!$K$4:$AJ$4,0)))+SUMPRODUCT((Inputs!$E$5:$E$180=$B6)*Inputs!$F$5:$F$180*(((Inputs!$G$5:$G$180="moeda")+(Inputs!$G$5:$G$180="acoes"))*Inputs!$B$1+((Inputs!$G$5:$G$180&lt;&gt;"moeda")*(Inputs!$G$5:$G$180&lt;&gt;"acoes")))*INDEX(Inputs!$K$5:$AJ$180,0,MATCH(AC$2,Inputs!$K$4:$AJ$4,0)))))</f>
        <v>-287.39441446</v>
      </c>
      <c r="AD6" s="6">
        <f>IF(ISNA(MATCH(AD$2,Inputs!$K$4:$AJ$4,0)),NA(),IF(SUMPRODUCT((Inputs!$A$5:$A$180=$B6)*ISNUMBER(INDEX(Inputs!$K$5:$AJ$180,0,MATCH(AD$2,Inputs!$K$4:$AJ$4,0))))+SUMPRODUCT((Inputs!$C$5:$C$180=$B6)*ISNUMBER(INDEX(Inputs!$K$5:$AJ$180,0,MATCH(AD$2,Inputs!$K$4:$AJ$4,0))))+SUMPRODUCT((Inputs!$E$5:$E$180=$B6)*ISNUMBER(INDEX(Inputs!$K$5:$AJ$180,0,MATCH(AD$2,Inputs!$K$4:$AJ$4,0))))=0,NA(),SUMPRODUCT((Inputs!$A$5:$A$180=$B6)*Inputs!$B$5:$B$180*(((Inputs!$G$5:$G$180="moeda")+(Inputs!$G$5:$G$180="acoes"))*Inputs!$B$1+((Inputs!$G$5:$G$180&lt;&gt;"moeda")*(Inputs!$G$5:$G$180&lt;&gt;"acoes")))*INDEX(Inputs!$K$5:$AJ$180,0,MATCH(AD$2,Inputs!$K$4:$AJ$4,0)))+SUMPRODUCT((Inputs!$C$5:$C$180=$B6)*Inputs!$D$5:$D$180*(((Inputs!$G$5:$G$180="moeda")+(Inputs!$G$5:$G$180="acoes"))*Inputs!$B$1+((Inputs!$G$5:$G$180&lt;&gt;"moeda")*(Inputs!$G$5:$G$180&lt;&gt;"acoes")))*INDEX(Inputs!$K$5:$AJ$180,0,MATCH(AD$2,Inputs!$K$4:$AJ$4,0)))+SUMPRODUCT((Inputs!$E$5:$E$180=$B6)*Inputs!$F$5:$F$180*(((Inputs!$G$5:$G$180="moeda")+(Inputs!$G$5:$G$180="acoes"))*Inputs!$B$1+((Inputs!$G$5:$G$180&lt;&gt;"moeda")*(Inputs!$G$5:$G$180&lt;&gt;"acoes")))*INDEX(Inputs!$K$5:$AJ$180,0,MATCH(AD$2,Inputs!$K$4:$AJ$4,0)))))</f>
        <v>-359.82685648</v>
      </c>
      <c r="AE6" s="6" t="e">
        <f>IF(ISNA(MATCH(AE$2,Inputs!$K$4:$AJ$4,0)),NA(),IF(SUMPRODUCT((Inputs!$A$5:$A$180=$B6)*ISNUMBER(INDEX(Inputs!$K$5:$AJ$180,0,MATCH(AE$2,Inputs!$K$4:$AJ$4,0))))+SUMPRODUCT((Inputs!$C$5:$C$180=$B6)*ISNUMBER(INDEX(Inputs!$K$5:$AJ$180,0,MATCH(AE$2,Inputs!$K$4:$AJ$4,0))))+SUMPRODUCT((Inputs!$E$5:$E$180=$B6)*ISNUMBER(INDEX(Inputs!$K$5:$AJ$180,0,MATCH(AE$2,Inputs!$K$4:$AJ$4,0))))=0,NA(),SUMPRODUCT((Inputs!$A$5:$A$180=$B6)*Inputs!$B$5:$B$180*(((Inputs!$G$5:$G$180="moeda")+(Inputs!$G$5:$G$180="acoes"))*Inputs!$B$1+((Inputs!$G$5:$G$180&lt;&gt;"moeda")*(Inputs!$G$5:$G$180&lt;&gt;"acoes")))*INDEX(Inputs!$K$5:$AJ$180,0,MATCH(AE$2,Inputs!$K$4:$AJ$4,0)))+SUMPRODUCT((Inputs!$C$5:$C$180=$B6)*Inputs!$D$5:$D$180*(((Inputs!$G$5:$G$180="moeda")+(Inputs!$G$5:$G$180="acoes"))*Inputs!$B$1+((Inputs!$G$5:$G$180&lt;&gt;"moeda")*(Inputs!$G$5:$G$180&lt;&gt;"acoes")))*INDEX(Inputs!$K$5:$AJ$180,0,MATCH(AE$2,Inputs!$K$4:$AJ$4,0)))+SUMPRODUCT((Inputs!$E$5:$E$180=$B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" s="6" t="e">
        <f>IF(ISNA(MATCH(AF$2,Inputs!$K$4:$AJ$4,0)),NA(),IF(SUMPRODUCT((Inputs!$A$5:$A$180=$B6)*ISNUMBER(INDEX(Inputs!$K$5:$AJ$180,0,MATCH(AF$2,Inputs!$K$4:$AJ$4,0))))+SUMPRODUCT((Inputs!$C$5:$C$180=$B6)*ISNUMBER(INDEX(Inputs!$K$5:$AJ$180,0,MATCH(AF$2,Inputs!$K$4:$AJ$4,0))))+SUMPRODUCT((Inputs!$E$5:$E$180=$B6)*ISNUMBER(INDEX(Inputs!$K$5:$AJ$180,0,MATCH(AF$2,Inputs!$K$4:$AJ$4,0))))=0,NA(),SUMPRODUCT((Inputs!$A$5:$A$180=$B6)*Inputs!$B$5:$B$180*(((Inputs!$G$5:$G$180="moeda")+(Inputs!$G$5:$G$180="acoes"))*Inputs!$B$1+((Inputs!$G$5:$G$180&lt;&gt;"moeda")*(Inputs!$G$5:$G$180&lt;&gt;"acoes")))*INDEX(Inputs!$K$5:$AJ$180,0,MATCH(AF$2,Inputs!$K$4:$AJ$4,0)))+SUMPRODUCT((Inputs!$C$5:$C$180=$B6)*Inputs!$D$5:$D$180*(((Inputs!$G$5:$G$180="moeda")+(Inputs!$G$5:$G$180="acoes"))*Inputs!$B$1+((Inputs!$G$5:$G$180&lt;&gt;"moeda")*(Inputs!$G$5:$G$180&lt;&gt;"acoes")))*INDEX(Inputs!$K$5:$AJ$180,0,MATCH(AF$2,Inputs!$K$4:$AJ$4,0)))+SUMPRODUCT((Inputs!$E$5:$E$180=$B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" s="3" t="e">
        <f>SUM(AC6:AF6)</f>
        <v>#N/A</v>
      </c>
      <c r="AH6" s="6">
        <f>IF(ISNA(MATCH(AH$2,Inputs!$K$4:$AJ$4,0)),NA(),IF(SUMPRODUCT((Inputs!$A$5:$A$180=$B6)*ISNUMBER(INDEX(Inputs!$K$5:$AJ$180,0,MATCH(AH$2,Inputs!$K$4:$AJ$4,0))))+SUMPRODUCT((Inputs!$C$5:$C$180=$B6)*ISNUMBER(INDEX(Inputs!$K$5:$AJ$180,0,MATCH(AH$2,Inputs!$K$4:$AJ$4,0))))+SUMPRODUCT((Inputs!$E$5:$E$180=$B6)*ISNUMBER(INDEX(Inputs!$K$5:$AJ$180,0,MATCH(AH$2,Inputs!$K$4:$AJ$4,0))))=0,NA(),SUMPRODUCT((Inputs!$A$5:$A$180=$B6)*Inputs!$B$5:$B$180*(((Inputs!$G$5:$G$180="moeda")+(Inputs!$G$5:$G$180="acoes"))*Inputs!$B$1+((Inputs!$G$5:$G$180&lt;&gt;"moeda")*(Inputs!$G$5:$G$180&lt;&gt;"acoes")))*INDEX(Inputs!$K$5:$AJ$180,0,MATCH(AH$2,Inputs!$K$4:$AJ$4,0)))+SUMPRODUCT((Inputs!$C$5:$C$180=$B6)*Inputs!$D$5:$D$180*(((Inputs!$G$5:$G$180="moeda")+(Inputs!$G$5:$G$180="acoes"))*Inputs!$B$1+((Inputs!$G$5:$G$180&lt;&gt;"moeda")*(Inputs!$G$5:$G$180&lt;&gt;"acoes")))*INDEX(Inputs!$K$5:$AJ$180,0,MATCH(AH$2,Inputs!$K$4:$AJ$4,0)))+SUMPRODUCT((Inputs!$E$5:$E$180=$B6)*Inputs!$F$5:$F$180*(((Inputs!$G$5:$G$180="moeda")+(Inputs!$G$5:$G$180="acoes"))*Inputs!$B$1+((Inputs!$G$5:$G$180&lt;&gt;"moeda")*(Inputs!$G$5:$G$180&lt;&gt;"acoes")))*INDEX(Inputs!$K$5:$AJ$180,0,MATCH(AH$2,Inputs!$K$4:$AJ$4,0)))))</f>
        <v>-96.21018046</v>
      </c>
      <c r="AI6" s="6">
        <f>IF(ISNA(MATCH(AI$2,Inputs!$K$4:$AJ$4,0)),NA(),IF(SUMPRODUCT((Inputs!$A$5:$A$180=$B6)*ISNUMBER(INDEX(Inputs!$K$5:$AJ$180,0,MATCH(AI$2,Inputs!$K$4:$AJ$4,0))))+SUMPRODUCT((Inputs!$C$5:$C$180=$B6)*ISNUMBER(INDEX(Inputs!$K$5:$AJ$180,0,MATCH(AI$2,Inputs!$K$4:$AJ$4,0))))+SUMPRODUCT((Inputs!$E$5:$E$180=$B6)*ISNUMBER(INDEX(Inputs!$K$5:$AJ$180,0,MATCH(AI$2,Inputs!$K$4:$AJ$4,0))))=0,NA(),SUMPRODUCT((Inputs!$A$5:$A$180=$B6)*Inputs!$B$5:$B$180*(((Inputs!$G$5:$G$180="moeda")+(Inputs!$G$5:$G$180="acoes"))*Inputs!$B$1+((Inputs!$G$5:$G$180&lt;&gt;"moeda")*(Inputs!$G$5:$G$180&lt;&gt;"acoes")))*INDEX(Inputs!$K$5:$AJ$180,0,MATCH(AI$2,Inputs!$K$4:$AJ$4,0)))+SUMPRODUCT((Inputs!$C$5:$C$180=$B6)*Inputs!$D$5:$D$180*(((Inputs!$G$5:$G$180="moeda")+(Inputs!$G$5:$G$180="acoes"))*Inputs!$B$1+((Inputs!$G$5:$G$180&lt;&gt;"moeda")*(Inputs!$G$5:$G$180&lt;&gt;"acoes")))*INDEX(Inputs!$K$5:$AJ$180,0,MATCH(AI$2,Inputs!$K$4:$AJ$4,0)))+SUMPRODUCT((Inputs!$E$5:$E$180=$B6)*Inputs!$F$5:$F$180*(((Inputs!$G$5:$G$180="moeda")+(Inputs!$G$5:$G$180="acoes"))*Inputs!$B$1+((Inputs!$G$5:$G$180&lt;&gt;"moeda")*(Inputs!$G$5:$G$180&lt;&gt;"acoes")))*INDEX(Inputs!$K$5:$AJ$180,0,MATCH(AI$2,Inputs!$K$4:$AJ$4,0)))))</f>
        <v>-81.0004578299992</v>
      </c>
      <c r="AJ6" s="6">
        <f>IF(ISNA(MATCH(AJ$2,Inputs!$K$4:$AJ$4,0)),NA(),IF(SUMPRODUCT((Inputs!$A$5:$A$180=$B6)*ISNUMBER(INDEX(Inputs!$K$5:$AJ$180,0,MATCH(AJ$2,Inputs!$K$4:$AJ$4,0))))+SUMPRODUCT((Inputs!$C$5:$C$180=$B6)*ISNUMBER(INDEX(Inputs!$K$5:$AJ$180,0,MATCH(AJ$2,Inputs!$K$4:$AJ$4,0))))+SUMPRODUCT((Inputs!$E$5:$E$180=$B6)*ISNUMBER(INDEX(Inputs!$K$5:$AJ$180,0,MATCH(AJ$2,Inputs!$K$4:$AJ$4,0))))=0,NA(),SUMPRODUCT((Inputs!$A$5:$A$180=$B6)*Inputs!$B$5:$B$180*(((Inputs!$G$5:$G$180="moeda")+(Inputs!$G$5:$G$180="acoes"))*Inputs!$B$1+((Inputs!$G$5:$G$180&lt;&gt;"moeda")*(Inputs!$G$5:$G$180&lt;&gt;"acoes")))*INDEX(Inputs!$K$5:$AJ$180,0,MATCH(AJ$2,Inputs!$K$4:$AJ$4,0)))+SUMPRODUCT((Inputs!$C$5:$C$180=$B6)*Inputs!$D$5:$D$180*(((Inputs!$G$5:$G$180="moeda")+(Inputs!$G$5:$G$180="acoes"))*Inputs!$B$1+((Inputs!$G$5:$G$180&lt;&gt;"moeda")*(Inputs!$G$5:$G$180&lt;&gt;"acoes")))*INDEX(Inputs!$K$5:$AJ$180,0,MATCH(AJ$2,Inputs!$K$4:$AJ$4,0)))+SUMPRODUCT((Inputs!$E$5:$E$180=$B6)*Inputs!$F$5:$F$180*(((Inputs!$G$5:$G$180="moeda")+(Inputs!$G$5:$G$180="acoes"))*Inputs!$B$1+((Inputs!$G$5:$G$180&lt;&gt;"moeda")*(Inputs!$G$5:$G$180&lt;&gt;"acoes")))*INDEX(Inputs!$K$5:$AJ$180,0,MATCH(AJ$2,Inputs!$K$4:$AJ$4,0)))))</f>
        <v>-106.312573998701</v>
      </c>
      <c r="AK6" s="6">
        <f>IF(ISNA(MATCH(AK$2,Inputs!$K$4:$AJ$4,0)),NA(),IF(SUMPRODUCT((Inputs!$A$5:$A$180=$B6)*ISNUMBER(INDEX(Inputs!$K$5:$AJ$180,0,MATCH(AK$2,Inputs!$K$4:$AJ$4,0))))+SUMPRODUCT((Inputs!$C$5:$C$180=$B6)*ISNUMBER(INDEX(Inputs!$K$5:$AJ$180,0,MATCH(AK$2,Inputs!$K$4:$AJ$4,0))))+SUMPRODUCT((Inputs!$E$5:$E$180=$B6)*ISNUMBER(INDEX(Inputs!$K$5:$AJ$180,0,MATCH(AK$2,Inputs!$K$4:$AJ$4,0))))=0,NA(),SUMPRODUCT((Inputs!$A$5:$A$180=$B6)*Inputs!$B$5:$B$180*(((Inputs!$G$5:$G$180="moeda")+(Inputs!$G$5:$G$180="acoes"))*Inputs!$B$1+((Inputs!$G$5:$G$180&lt;&gt;"moeda")*(Inputs!$G$5:$G$180&lt;&gt;"acoes")))*INDEX(Inputs!$K$5:$AJ$180,0,MATCH(AK$2,Inputs!$K$4:$AJ$4,0)))+SUMPRODUCT((Inputs!$C$5:$C$180=$B6)*Inputs!$D$5:$D$180*(((Inputs!$G$5:$G$180="moeda")+(Inputs!$G$5:$G$180="acoes"))*Inputs!$B$1+((Inputs!$G$5:$G$180&lt;&gt;"moeda")*(Inputs!$G$5:$G$180&lt;&gt;"acoes")))*INDEX(Inputs!$K$5:$AJ$180,0,MATCH(AK$2,Inputs!$K$4:$AJ$4,0)))+SUMPRODUCT((Inputs!$E$5:$E$180=$B6)*Inputs!$F$5:$F$180*(((Inputs!$G$5:$G$180="moeda")+(Inputs!$G$5:$G$180="acoes"))*Inputs!$B$1+((Inputs!$G$5:$G$180&lt;&gt;"moeda")*(Inputs!$G$5:$G$180&lt;&gt;"acoes")))*INDEX(Inputs!$K$5:$AJ$180,0,MATCH(AK$2,Inputs!$K$4:$AJ$4,0)))))</f>
        <v>-173.132320750189</v>
      </c>
      <c r="AL6" s="3">
        <f>SUM(AH6:AK6)</f>
        <v>-456.655533038889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$180=$B7)*ISNUMBER(INDEX(Inputs!$K$5:$AJ$180,0,MATCH(D$2,Inputs!$K$4:$AJ$4,0))))+SUMPRODUCT((Inputs!$C$5:$C$180=$B7)*ISNUMBER(INDEX(Inputs!$K$5:$AJ$180,0,MATCH(D$2,Inputs!$K$4:$AJ$4,0))))+SUMPRODUCT((Inputs!$E$5:$E$180=$B7)*ISNUMBER(INDEX(Inputs!$K$5:$AJ$180,0,MATCH(D$2,Inputs!$K$4:$AJ$4,0))))=0,NA(),SUMPRODUCT((Inputs!$A$5:$A$180=$B7)*Inputs!$B$5:$B$180*(((Inputs!$G$5:$G$180="moeda")+(Inputs!$G$5:$G$180="acoes"))*Inputs!$B$1+((Inputs!$G$5:$G$180&lt;&gt;"moeda")*(Inputs!$G$5:$G$180&lt;&gt;"acoes")))*INDEX(Inputs!$K$5:$AJ$180,0,MATCH(D$2,Inputs!$K$4:$AJ$4,0)))+SUMPRODUCT((Inputs!$C$5:$C$180=$B7)*Inputs!$D$5:$D$180*(((Inputs!$G$5:$G$180="moeda")+(Inputs!$G$5:$G$180="acoes"))*Inputs!$B$1+((Inputs!$G$5:$G$180&lt;&gt;"moeda")*(Inputs!$G$5:$G$180&lt;&gt;"acoes")))*INDEX(Inputs!$K$5:$AJ$180,0,MATCH(D$2,Inputs!$K$4:$AJ$4,0)))+SUMPRODUCT((Inputs!$E$5:$E$180=$B7)*Inputs!$F$5:$F$180*(((Inputs!$G$5:$G$180="moeda")+(Inputs!$G$5:$G$180="acoes"))*Inputs!$B$1+((Inputs!$G$5:$G$180&lt;&gt;"moeda")*(Inputs!$G$5:$G$180&lt;&gt;"acoes")))*INDEX(Inputs!$K$5:$AJ$180,0,MATCH(D$2,Inputs!$K$4:$AJ$4,0)))))</f>
        <v>-15.94413766</v>
      </c>
      <c r="E7" s="6">
        <f>IF(ISNA(MATCH(E$2,Inputs!$K$4:$AJ$4,0)),NA(),IF(SUMPRODUCT((Inputs!$A$5:$A$180=$B7)*ISNUMBER(INDEX(Inputs!$K$5:$AJ$180,0,MATCH(E$2,Inputs!$K$4:$AJ$4,0))))+SUMPRODUCT((Inputs!$C$5:$C$180=$B7)*ISNUMBER(INDEX(Inputs!$K$5:$AJ$180,0,MATCH(E$2,Inputs!$K$4:$AJ$4,0))))+SUMPRODUCT((Inputs!$E$5:$E$180=$B7)*ISNUMBER(INDEX(Inputs!$K$5:$AJ$180,0,MATCH(E$2,Inputs!$K$4:$AJ$4,0))))=0,NA(),SUMPRODUCT((Inputs!$A$5:$A$180=$B7)*Inputs!$B$5:$B$180*(((Inputs!$G$5:$G$180="moeda")+(Inputs!$G$5:$G$180="acoes"))*Inputs!$B$1+((Inputs!$G$5:$G$180&lt;&gt;"moeda")*(Inputs!$G$5:$G$180&lt;&gt;"acoes")))*INDEX(Inputs!$K$5:$AJ$180,0,MATCH(E$2,Inputs!$K$4:$AJ$4,0)))+SUMPRODUCT((Inputs!$C$5:$C$180=$B7)*Inputs!$D$5:$D$180*(((Inputs!$G$5:$G$180="moeda")+(Inputs!$G$5:$G$180="acoes"))*Inputs!$B$1+((Inputs!$G$5:$G$180&lt;&gt;"moeda")*(Inputs!$G$5:$G$180&lt;&gt;"acoes")))*INDEX(Inputs!$K$5:$AJ$180,0,MATCH(E$2,Inputs!$K$4:$AJ$4,0)))+SUMPRODUCT((Inputs!$E$5:$E$180=$B7)*Inputs!$F$5:$F$180*(((Inputs!$G$5:$G$180="moeda")+(Inputs!$G$5:$G$180="acoes"))*Inputs!$B$1+((Inputs!$G$5:$G$180&lt;&gt;"moeda")*(Inputs!$G$5:$G$180&lt;&gt;"acoes")))*INDEX(Inputs!$K$5:$AJ$180,0,MATCH(E$2,Inputs!$K$4:$AJ$4,0)))))</f>
        <v>-17.49056246</v>
      </c>
      <c r="F7" s="6">
        <f>IF(ISNA(MATCH(F$2,Inputs!$K$4:$AJ$4,0)),NA(),IF(SUMPRODUCT((Inputs!$A$5:$A$180=$B7)*ISNUMBER(INDEX(Inputs!$K$5:$AJ$180,0,MATCH(F$2,Inputs!$K$4:$AJ$4,0))))+SUMPRODUCT((Inputs!$C$5:$C$180=$B7)*ISNUMBER(INDEX(Inputs!$K$5:$AJ$180,0,MATCH(F$2,Inputs!$K$4:$AJ$4,0))))+SUMPRODUCT((Inputs!$E$5:$E$180=$B7)*ISNUMBER(INDEX(Inputs!$K$5:$AJ$180,0,MATCH(F$2,Inputs!$K$4:$AJ$4,0))))=0,NA(),SUMPRODUCT((Inputs!$A$5:$A$180=$B7)*Inputs!$B$5:$B$180*(((Inputs!$G$5:$G$180="moeda")+(Inputs!$G$5:$G$180="acoes"))*Inputs!$B$1+((Inputs!$G$5:$G$180&lt;&gt;"moeda")*(Inputs!$G$5:$G$180&lt;&gt;"acoes")))*INDEX(Inputs!$K$5:$AJ$180,0,MATCH(F$2,Inputs!$K$4:$AJ$4,0)))+SUMPRODUCT((Inputs!$C$5:$C$180=$B7)*Inputs!$D$5:$D$180*(((Inputs!$G$5:$G$180="moeda")+(Inputs!$G$5:$G$180="acoes"))*Inputs!$B$1+((Inputs!$G$5:$G$180&lt;&gt;"moeda")*(Inputs!$G$5:$G$180&lt;&gt;"acoes")))*INDEX(Inputs!$K$5:$AJ$180,0,MATCH(F$2,Inputs!$K$4:$AJ$4,0)))+SUMPRODUCT((Inputs!$E$5:$E$180=$B7)*Inputs!$F$5:$F$180*(((Inputs!$G$5:$G$180="moeda")+(Inputs!$G$5:$G$180="acoes"))*Inputs!$B$1+((Inputs!$G$5:$G$180&lt;&gt;"moeda")*(Inputs!$G$5:$G$180&lt;&gt;"acoes")))*INDEX(Inputs!$K$5:$AJ$180,0,MATCH(F$2,Inputs!$K$4:$AJ$4,0)))))</f>
        <v>-17.59007586</v>
      </c>
      <c r="G7" s="6">
        <f>IF(ISNA(MATCH(G$2,Inputs!$K$4:$AJ$4,0)),NA(),IF(SUMPRODUCT((Inputs!$A$5:$A$180=$B7)*ISNUMBER(INDEX(Inputs!$K$5:$AJ$180,0,MATCH(G$2,Inputs!$K$4:$AJ$4,0))))+SUMPRODUCT((Inputs!$C$5:$C$180=$B7)*ISNUMBER(INDEX(Inputs!$K$5:$AJ$180,0,MATCH(G$2,Inputs!$K$4:$AJ$4,0))))+SUMPRODUCT((Inputs!$E$5:$E$180=$B7)*ISNUMBER(INDEX(Inputs!$K$5:$AJ$180,0,MATCH(G$2,Inputs!$K$4:$AJ$4,0))))=0,NA(),SUMPRODUCT((Inputs!$A$5:$A$180=$B7)*Inputs!$B$5:$B$180*(((Inputs!$G$5:$G$180="moeda")+(Inputs!$G$5:$G$180="acoes"))*Inputs!$B$1+((Inputs!$G$5:$G$180&lt;&gt;"moeda")*(Inputs!$G$5:$G$180&lt;&gt;"acoes")))*INDEX(Inputs!$K$5:$AJ$180,0,MATCH(G$2,Inputs!$K$4:$AJ$4,0)))+SUMPRODUCT((Inputs!$C$5:$C$180=$B7)*Inputs!$D$5:$D$180*(((Inputs!$G$5:$G$180="moeda")+(Inputs!$G$5:$G$180="acoes"))*Inputs!$B$1+((Inputs!$G$5:$G$180&lt;&gt;"moeda")*(Inputs!$G$5:$G$180&lt;&gt;"acoes")))*INDEX(Inputs!$K$5:$AJ$180,0,MATCH(G$2,Inputs!$K$4:$AJ$4,0)))+SUMPRODUCT((Inputs!$E$5:$E$180=$B7)*Inputs!$F$5:$F$180*(((Inputs!$G$5:$G$180="moeda")+(Inputs!$G$5:$G$180="acoes"))*Inputs!$B$1+((Inputs!$G$5:$G$180&lt;&gt;"moeda")*(Inputs!$G$5:$G$180&lt;&gt;"acoes")))*INDEX(Inputs!$K$5:$AJ$180,0,MATCH(G$2,Inputs!$K$4:$AJ$4,0)))))</f>
        <v>-20.80524252</v>
      </c>
      <c r="H7" s="3">
        <f>SUM(D7:G7)</f>
        <v>-71.8300185</v>
      </c>
      <c r="I7" s="6">
        <f>IF(ISNA(MATCH(I$2,Inputs!$K$4:$AJ$4,0)),NA(),IF(SUMPRODUCT((Inputs!$A$5:$A$180=$B7)*ISNUMBER(INDEX(Inputs!$K$5:$AJ$180,0,MATCH(I$2,Inputs!$K$4:$AJ$4,0))))+SUMPRODUCT((Inputs!$C$5:$C$180=$B7)*ISNUMBER(INDEX(Inputs!$K$5:$AJ$180,0,MATCH(I$2,Inputs!$K$4:$AJ$4,0))))+SUMPRODUCT((Inputs!$E$5:$E$180=$B7)*ISNUMBER(INDEX(Inputs!$K$5:$AJ$180,0,MATCH(I$2,Inputs!$K$4:$AJ$4,0))))=0,NA(),SUMPRODUCT((Inputs!$A$5:$A$180=$B7)*Inputs!$B$5:$B$180*(((Inputs!$G$5:$G$180="moeda")+(Inputs!$G$5:$G$180="acoes"))*Inputs!$B$1+((Inputs!$G$5:$G$180&lt;&gt;"moeda")*(Inputs!$G$5:$G$180&lt;&gt;"acoes")))*INDEX(Inputs!$K$5:$AJ$180,0,MATCH(I$2,Inputs!$K$4:$AJ$4,0)))+SUMPRODUCT((Inputs!$C$5:$C$180=$B7)*Inputs!$D$5:$D$180*(((Inputs!$G$5:$G$180="moeda")+(Inputs!$G$5:$G$180="acoes"))*Inputs!$B$1+((Inputs!$G$5:$G$180&lt;&gt;"moeda")*(Inputs!$G$5:$G$180&lt;&gt;"acoes")))*INDEX(Inputs!$K$5:$AJ$180,0,MATCH(I$2,Inputs!$K$4:$AJ$4,0)))+SUMPRODUCT((Inputs!$E$5:$E$180=$B7)*Inputs!$F$5:$F$180*(((Inputs!$G$5:$G$180="moeda")+(Inputs!$G$5:$G$180="acoes"))*Inputs!$B$1+((Inputs!$G$5:$G$180&lt;&gt;"moeda")*(Inputs!$G$5:$G$180&lt;&gt;"acoes")))*INDEX(Inputs!$K$5:$AJ$180,0,MATCH(I$2,Inputs!$K$4:$AJ$4,0)))))</f>
        <v>-26.40854942</v>
      </c>
      <c r="J7" s="6">
        <f>IF(ISNA(MATCH(J$2,Inputs!$K$4:$AJ$4,0)),NA(),IF(SUMPRODUCT((Inputs!$A$5:$A$180=$B7)*ISNUMBER(INDEX(Inputs!$K$5:$AJ$180,0,MATCH(J$2,Inputs!$K$4:$AJ$4,0))))+SUMPRODUCT((Inputs!$C$5:$C$180=$B7)*ISNUMBER(INDEX(Inputs!$K$5:$AJ$180,0,MATCH(J$2,Inputs!$K$4:$AJ$4,0))))+SUMPRODUCT((Inputs!$E$5:$E$180=$B7)*ISNUMBER(INDEX(Inputs!$K$5:$AJ$180,0,MATCH(J$2,Inputs!$K$4:$AJ$4,0))))=0,NA(),SUMPRODUCT((Inputs!$A$5:$A$180=$B7)*Inputs!$B$5:$B$180*(((Inputs!$G$5:$G$180="moeda")+(Inputs!$G$5:$G$180="acoes"))*Inputs!$B$1+((Inputs!$G$5:$G$180&lt;&gt;"moeda")*(Inputs!$G$5:$G$180&lt;&gt;"acoes")))*INDEX(Inputs!$K$5:$AJ$180,0,MATCH(J$2,Inputs!$K$4:$AJ$4,0)))+SUMPRODUCT((Inputs!$C$5:$C$180=$B7)*Inputs!$D$5:$D$180*(((Inputs!$G$5:$G$180="moeda")+(Inputs!$G$5:$G$180="acoes"))*Inputs!$B$1+((Inputs!$G$5:$G$180&lt;&gt;"moeda")*(Inputs!$G$5:$G$180&lt;&gt;"acoes")))*INDEX(Inputs!$K$5:$AJ$180,0,MATCH(J$2,Inputs!$K$4:$AJ$4,0)))+SUMPRODUCT((Inputs!$E$5:$E$180=$B7)*Inputs!$F$5:$F$180*(((Inputs!$G$5:$G$180="moeda")+(Inputs!$G$5:$G$180="acoes"))*Inputs!$B$1+((Inputs!$G$5:$G$180&lt;&gt;"moeda")*(Inputs!$G$5:$G$180&lt;&gt;"acoes")))*INDEX(Inputs!$K$5:$AJ$180,0,MATCH(J$2,Inputs!$K$4:$AJ$4,0)))))</f>
        <v>-25.71019725</v>
      </c>
      <c r="K7" s="6">
        <f>IF(ISNA(MATCH(K$2,Inputs!$K$4:$AJ$4,0)),NA(),IF(SUMPRODUCT((Inputs!$A$5:$A$180=$B7)*ISNUMBER(INDEX(Inputs!$K$5:$AJ$180,0,MATCH(K$2,Inputs!$K$4:$AJ$4,0))))+SUMPRODUCT((Inputs!$C$5:$C$180=$B7)*ISNUMBER(INDEX(Inputs!$K$5:$AJ$180,0,MATCH(K$2,Inputs!$K$4:$AJ$4,0))))+SUMPRODUCT((Inputs!$E$5:$E$180=$B7)*ISNUMBER(INDEX(Inputs!$K$5:$AJ$180,0,MATCH(K$2,Inputs!$K$4:$AJ$4,0))))=0,NA(),SUMPRODUCT((Inputs!$A$5:$A$180=$B7)*Inputs!$B$5:$B$180*(((Inputs!$G$5:$G$180="moeda")+(Inputs!$G$5:$G$180="acoes"))*Inputs!$B$1+((Inputs!$G$5:$G$180&lt;&gt;"moeda")*(Inputs!$G$5:$G$180&lt;&gt;"acoes")))*INDEX(Inputs!$K$5:$AJ$180,0,MATCH(K$2,Inputs!$K$4:$AJ$4,0)))+SUMPRODUCT((Inputs!$C$5:$C$180=$B7)*Inputs!$D$5:$D$180*(((Inputs!$G$5:$G$180="moeda")+(Inputs!$G$5:$G$180="acoes"))*Inputs!$B$1+((Inputs!$G$5:$G$180&lt;&gt;"moeda")*(Inputs!$G$5:$G$180&lt;&gt;"acoes")))*INDEX(Inputs!$K$5:$AJ$180,0,MATCH(K$2,Inputs!$K$4:$AJ$4,0)))+SUMPRODUCT((Inputs!$E$5:$E$180=$B7)*Inputs!$F$5:$F$180*(((Inputs!$G$5:$G$180="moeda")+(Inputs!$G$5:$G$180="acoes"))*Inputs!$B$1+((Inputs!$G$5:$G$180&lt;&gt;"moeda")*(Inputs!$G$5:$G$180&lt;&gt;"acoes")))*INDEX(Inputs!$K$5:$AJ$180,0,MATCH(K$2,Inputs!$K$4:$AJ$4,0)))))</f>
        <v>-31.37331469</v>
      </c>
      <c r="L7" s="6">
        <f>IF(ISNA(MATCH(L$2,Inputs!$K$4:$AJ$4,0)),NA(),IF(SUMPRODUCT((Inputs!$A$5:$A$180=$B7)*ISNUMBER(INDEX(Inputs!$K$5:$AJ$180,0,MATCH(L$2,Inputs!$K$4:$AJ$4,0))))+SUMPRODUCT((Inputs!$C$5:$C$180=$B7)*ISNUMBER(INDEX(Inputs!$K$5:$AJ$180,0,MATCH(L$2,Inputs!$K$4:$AJ$4,0))))+SUMPRODUCT((Inputs!$E$5:$E$180=$B7)*ISNUMBER(INDEX(Inputs!$K$5:$AJ$180,0,MATCH(L$2,Inputs!$K$4:$AJ$4,0))))=0,NA(),SUMPRODUCT((Inputs!$A$5:$A$180=$B7)*Inputs!$B$5:$B$180*(((Inputs!$G$5:$G$180="moeda")+(Inputs!$G$5:$G$180="acoes"))*Inputs!$B$1+((Inputs!$G$5:$G$180&lt;&gt;"moeda")*(Inputs!$G$5:$G$180&lt;&gt;"acoes")))*INDEX(Inputs!$K$5:$AJ$180,0,MATCH(L$2,Inputs!$K$4:$AJ$4,0)))+SUMPRODUCT((Inputs!$C$5:$C$180=$B7)*Inputs!$D$5:$D$180*(((Inputs!$G$5:$G$180="moeda")+(Inputs!$G$5:$G$180="acoes"))*Inputs!$B$1+((Inputs!$G$5:$G$180&lt;&gt;"moeda")*(Inputs!$G$5:$G$180&lt;&gt;"acoes")))*INDEX(Inputs!$K$5:$AJ$180,0,MATCH(L$2,Inputs!$K$4:$AJ$4,0)))+SUMPRODUCT((Inputs!$E$5:$E$180=$B7)*Inputs!$F$5:$F$180*(((Inputs!$G$5:$G$180="moeda")+(Inputs!$G$5:$G$180="acoes"))*Inputs!$B$1+((Inputs!$G$5:$G$180&lt;&gt;"moeda")*(Inputs!$G$5:$G$180&lt;&gt;"acoes")))*INDEX(Inputs!$K$5:$AJ$180,0,MATCH(L$2,Inputs!$K$4:$AJ$4,0)))))</f>
        <v>-30.4338306800001</v>
      </c>
      <c r="M7" s="3">
        <f>SUM(I7:L7)</f>
        <v>-113.92589204</v>
      </c>
      <c r="N7" s="6">
        <f>IF(ISNA(MATCH(N$2,Inputs!$K$4:$AJ$4,0)),NA(),IF(SUMPRODUCT((Inputs!$A$5:$A$180=$B7)*ISNUMBER(INDEX(Inputs!$K$5:$AJ$180,0,MATCH(N$2,Inputs!$K$4:$AJ$4,0))))+SUMPRODUCT((Inputs!$C$5:$C$180=$B7)*ISNUMBER(INDEX(Inputs!$K$5:$AJ$180,0,MATCH(N$2,Inputs!$K$4:$AJ$4,0))))+SUMPRODUCT((Inputs!$E$5:$E$180=$B7)*ISNUMBER(INDEX(Inputs!$K$5:$AJ$180,0,MATCH(N$2,Inputs!$K$4:$AJ$4,0))))=0,NA(),SUMPRODUCT((Inputs!$A$5:$A$180=$B7)*Inputs!$B$5:$B$180*(((Inputs!$G$5:$G$180="moeda")+(Inputs!$G$5:$G$180="acoes"))*Inputs!$B$1+((Inputs!$G$5:$G$180&lt;&gt;"moeda")*(Inputs!$G$5:$G$180&lt;&gt;"acoes")))*INDEX(Inputs!$K$5:$AJ$180,0,MATCH(N$2,Inputs!$K$4:$AJ$4,0)))+SUMPRODUCT((Inputs!$C$5:$C$180=$B7)*Inputs!$D$5:$D$180*(((Inputs!$G$5:$G$180="moeda")+(Inputs!$G$5:$G$180="acoes"))*Inputs!$B$1+((Inputs!$G$5:$G$180&lt;&gt;"moeda")*(Inputs!$G$5:$G$180&lt;&gt;"acoes")))*INDEX(Inputs!$K$5:$AJ$180,0,MATCH(N$2,Inputs!$K$4:$AJ$4,0)))+SUMPRODUCT((Inputs!$E$5:$E$180=$B7)*Inputs!$F$5:$F$180*(((Inputs!$G$5:$G$180="moeda")+(Inputs!$G$5:$G$180="acoes"))*Inputs!$B$1+((Inputs!$G$5:$G$180&lt;&gt;"moeda")*(Inputs!$G$5:$G$180&lt;&gt;"acoes")))*INDEX(Inputs!$K$5:$AJ$180,0,MATCH(N$2,Inputs!$K$4:$AJ$4,0)))))</f>
        <v>-31.8850997200005</v>
      </c>
      <c r="O7" s="6">
        <f>IF(ISNA(MATCH(O$2,Inputs!$K$4:$AJ$4,0)),NA(),IF(SUMPRODUCT((Inputs!$A$5:$A$180=$B7)*ISNUMBER(INDEX(Inputs!$K$5:$AJ$180,0,MATCH(O$2,Inputs!$K$4:$AJ$4,0))))+SUMPRODUCT((Inputs!$C$5:$C$180=$B7)*ISNUMBER(INDEX(Inputs!$K$5:$AJ$180,0,MATCH(O$2,Inputs!$K$4:$AJ$4,0))))+SUMPRODUCT((Inputs!$E$5:$E$180=$B7)*ISNUMBER(INDEX(Inputs!$K$5:$AJ$180,0,MATCH(O$2,Inputs!$K$4:$AJ$4,0))))=0,NA(),SUMPRODUCT((Inputs!$A$5:$A$180=$B7)*Inputs!$B$5:$B$180*(((Inputs!$G$5:$G$180="moeda")+(Inputs!$G$5:$G$180="acoes"))*Inputs!$B$1+((Inputs!$G$5:$G$180&lt;&gt;"moeda")*(Inputs!$G$5:$G$180&lt;&gt;"acoes")))*INDEX(Inputs!$K$5:$AJ$180,0,MATCH(O$2,Inputs!$K$4:$AJ$4,0)))+SUMPRODUCT((Inputs!$C$5:$C$180=$B7)*Inputs!$D$5:$D$180*(((Inputs!$G$5:$G$180="moeda")+(Inputs!$G$5:$G$180="acoes"))*Inputs!$B$1+((Inputs!$G$5:$G$180&lt;&gt;"moeda")*(Inputs!$G$5:$G$180&lt;&gt;"acoes")))*INDEX(Inputs!$K$5:$AJ$180,0,MATCH(O$2,Inputs!$K$4:$AJ$4,0)))+SUMPRODUCT((Inputs!$E$5:$E$180=$B7)*Inputs!$F$5:$F$180*(((Inputs!$G$5:$G$180="moeda")+(Inputs!$G$5:$G$180="acoes"))*Inputs!$B$1+((Inputs!$G$5:$G$180&lt;&gt;"moeda")*(Inputs!$G$5:$G$180&lt;&gt;"acoes")))*INDEX(Inputs!$K$5:$AJ$180,0,MATCH(O$2,Inputs!$K$4:$AJ$4,0)))))</f>
        <v>-32.18479368</v>
      </c>
      <c r="P7" s="6">
        <f>IF(ISNA(MATCH(P$2,Inputs!$K$4:$AJ$4,0)),NA(),IF(SUMPRODUCT((Inputs!$A$5:$A$180=$B7)*ISNUMBER(INDEX(Inputs!$K$5:$AJ$180,0,MATCH(P$2,Inputs!$K$4:$AJ$4,0))))+SUMPRODUCT((Inputs!$C$5:$C$180=$B7)*ISNUMBER(INDEX(Inputs!$K$5:$AJ$180,0,MATCH(P$2,Inputs!$K$4:$AJ$4,0))))+SUMPRODUCT((Inputs!$E$5:$E$180=$B7)*ISNUMBER(INDEX(Inputs!$K$5:$AJ$180,0,MATCH(P$2,Inputs!$K$4:$AJ$4,0))))=0,NA(),SUMPRODUCT((Inputs!$A$5:$A$180=$B7)*Inputs!$B$5:$B$180*(((Inputs!$G$5:$G$180="moeda")+(Inputs!$G$5:$G$180="acoes"))*Inputs!$B$1+((Inputs!$G$5:$G$180&lt;&gt;"moeda")*(Inputs!$G$5:$G$180&lt;&gt;"acoes")))*INDEX(Inputs!$K$5:$AJ$180,0,MATCH(P$2,Inputs!$K$4:$AJ$4,0)))+SUMPRODUCT((Inputs!$C$5:$C$180=$B7)*Inputs!$D$5:$D$180*(((Inputs!$G$5:$G$180="moeda")+(Inputs!$G$5:$G$180="acoes"))*Inputs!$B$1+((Inputs!$G$5:$G$180&lt;&gt;"moeda")*(Inputs!$G$5:$G$180&lt;&gt;"acoes")))*INDEX(Inputs!$K$5:$AJ$180,0,MATCH(P$2,Inputs!$K$4:$AJ$4,0)))+SUMPRODUCT((Inputs!$E$5:$E$180=$B7)*Inputs!$F$5:$F$180*(((Inputs!$G$5:$G$180="moeda")+(Inputs!$G$5:$G$180="acoes"))*Inputs!$B$1+((Inputs!$G$5:$G$180&lt;&gt;"moeda")*(Inputs!$G$5:$G$180&lt;&gt;"acoes")))*INDEX(Inputs!$K$5:$AJ$180,0,MATCH(P$2,Inputs!$K$4:$AJ$4,0)))))</f>
        <v>-33.87783624</v>
      </c>
      <c r="Q7" s="6">
        <f>IF(ISNA(MATCH(Q$2,Inputs!$K$4:$AJ$4,0)),NA(),IF(SUMPRODUCT((Inputs!$A$5:$A$180=$B7)*ISNUMBER(INDEX(Inputs!$K$5:$AJ$180,0,MATCH(Q$2,Inputs!$K$4:$AJ$4,0))))+SUMPRODUCT((Inputs!$C$5:$C$180=$B7)*ISNUMBER(INDEX(Inputs!$K$5:$AJ$180,0,MATCH(Q$2,Inputs!$K$4:$AJ$4,0))))+SUMPRODUCT((Inputs!$E$5:$E$180=$B7)*ISNUMBER(INDEX(Inputs!$K$5:$AJ$180,0,MATCH(Q$2,Inputs!$K$4:$AJ$4,0))))=0,NA(),SUMPRODUCT((Inputs!$A$5:$A$180=$B7)*Inputs!$B$5:$B$180*(((Inputs!$G$5:$G$180="moeda")+(Inputs!$G$5:$G$180="acoes"))*Inputs!$B$1+((Inputs!$G$5:$G$180&lt;&gt;"moeda")*(Inputs!$G$5:$G$180&lt;&gt;"acoes")))*INDEX(Inputs!$K$5:$AJ$180,0,MATCH(Q$2,Inputs!$K$4:$AJ$4,0)))+SUMPRODUCT((Inputs!$C$5:$C$180=$B7)*Inputs!$D$5:$D$180*(((Inputs!$G$5:$G$180="moeda")+(Inputs!$G$5:$G$180="acoes"))*Inputs!$B$1+((Inputs!$G$5:$G$180&lt;&gt;"moeda")*(Inputs!$G$5:$G$180&lt;&gt;"acoes")))*INDEX(Inputs!$K$5:$AJ$180,0,MATCH(Q$2,Inputs!$K$4:$AJ$4,0)))+SUMPRODUCT((Inputs!$E$5:$E$180=$B7)*Inputs!$F$5:$F$180*(((Inputs!$G$5:$G$180="moeda")+(Inputs!$G$5:$G$180="acoes"))*Inputs!$B$1+((Inputs!$G$5:$G$180&lt;&gt;"moeda")*(Inputs!$G$5:$G$180&lt;&gt;"acoes")))*INDEX(Inputs!$K$5:$AJ$180,0,MATCH(Q$2,Inputs!$K$4:$AJ$4,0)))))</f>
        <v>-36.13719223</v>
      </c>
      <c r="R7" s="3">
        <f>SUM(N7:Q7)</f>
        <v>-134.08492187</v>
      </c>
      <c r="S7" s="6">
        <f>IF(ISNA(MATCH(S$2,Inputs!$K$4:$AJ$4,0)),NA(),IF(SUMPRODUCT((Inputs!$A$5:$A$180=$B7)*ISNUMBER(INDEX(Inputs!$K$5:$AJ$180,0,MATCH(S$2,Inputs!$K$4:$AJ$4,0))))+SUMPRODUCT((Inputs!$C$5:$C$180=$B7)*ISNUMBER(INDEX(Inputs!$K$5:$AJ$180,0,MATCH(S$2,Inputs!$K$4:$AJ$4,0))))+SUMPRODUCT((Inputs!$E$5:$E$180=$B7)*ISNUMBER(INDEX(Inputs!$K$5:$AJ$180,0,MATCH(S$2,Inputs!$K$4:$AJ$4,0))))=0,NA(),SUMPRODUCT((Inputs!$A$5:$A$180=$B7)*Inputs!$B$5:$B$180*(((Inputs!$G$5:$G$180="moeda")+(Inputs!$G$5:$G$180="acoes"))*Inputs!$B$1+((Inputs!$G$5:$G$180&lt;&gt;"moeda")*(Inputs!$G$5:$G$180&lt;&gt;"acoes")))*INDEX(Inputs!$K$5:$AJ$180,0,MATCH(S$2,Inputs!$K$4:$AJ$4,0)))+SUMPRODUCT((Inputs!$C$5:$C$180=$B7)*Inputs!$D$5:$D$180*(((Inputs!$G$5:$G$180="moeda")+(Inputs!$G$5:$G$180="acoes"))*Inputs!$B$1+((Inputs!$G$5:$G$180&lt;&gt;"moeda")*(Inputs!$G$5:$G$180&lt;&gt;"acoes")))*INDEX(Inputs!$K$5:$AJ$180,0,MATCH(S$2,Inputs!$K$4:$AJ$4,0)))+SUMPRODUCT((Inputs!$E$5:$E$180=$B7)*Inputs!$F$5:$F$180*(((Inputs!$G$5:$G$180="moeda")+(Inputs!$G$5:$G$180="acoes"))*Inputs!$B$1+((Inputs!$G$5:$G$180&lt;&gt;"moeda")*(Inputs!$G$5:$G$180&lt;&gt;"acoes")))*INDEX(Inputs!$K$5:$AJ$180,0,MATCH(S$2,Inputs!$K$4:$AJ$4,0)))))</f>
        <v>-38.78307094</v>
      </c>
      <c r="T7" s="6">
        <f>IF(ISNA(MATCH(T$2,Inputs!$K$4:$AJ$4,0)),NA(),IF(SUMPRODUCT((Inputs!$A$5:$A$180=$B7)*ISNUMBER(INDEX(Inputs!$K$5:$AJ$180,0,MATCH(T$2,Inputs!$K$4:$AJ$4,0))))+SUMPRODUCT((Inputs!$C$5:$C$180=$B7)*ISNUMBER(INDEX(Inputs!$K$5:$AJ$180,0,MATCH(T$2,Inputs!$K$4:$AJ$4,0))))+SUMPRODUCT((Inputs!$E$5:$E$180=$B7)*ISNUMBER(INDEX(Inputs!$K$5:$AJ$180,0,MATCH(T$2,Inputs!$K$4:$AJ$4,0))))=0,NA(),SUMPRODUCT((Inputs!$A$5:$A$180=$B7)*Inputs!$B$5:$B$180*(((Inputs!$G$5:$G$180="moeda")+(Inputs!$G$5:$G$180="acoes"))*Inputs!$B$1+((Inputs!$G$5:$G$180&lt;&gt;"moeda")*(Inputs!$G$5:$G$180&lt;&gt;"acoes")))*INDEX(Inputs!$K$5:$AJ$180,0,MATCH(T$2,Inputs!$K$4:$AJ$4,0)))+SUMPRODUCT((Inputs!$C$5:$C$180=$B7)*Inputs!$D$5:$D$180*(((Inputs!$G$5:$G$180="moeda")+(Inputs!$G$5:$G$180="acoes"))*Inputs!$B$1+((Inputs!$G$5:$G$180&lt;&gt;"moeda")*(Inputs!$G$5:$G$180&lt;&gt;"acoes")))*INDEX(Inputs!$K$5:$AJ$180,0,MATCH(T$2,Inputs!$K$4:$AJ$4,0)))+SUMPRODUCT((Inputs!$E$5:$E$180=$B7)*Inputs!$F$5:$F$180*(((Inputs!$G$5:$G$180="moeda")+(Inputs!$G$5:$G$180="acoes"))*Inputs!$B$1+((Inputs!$G$5:$G$180&lt;&gt;"moeda")*(Inputs!$G$5:$G$180&lt;&gt;"acoes")))*INDEX(Inputs!$K$5:$AJ$180,0,MATCH(T$2,Inputs!$K$4:$AJ$4,0)))))</f>
        <v>-40.92108676</v>
      </c>
      <c r="U7" s="6">
        <f>IF(ISNA(MATCH(U$2,Inputs!$K$4:$AJ$4,0)),NA(),IF(SUMPRODUCT((Inputs!$A$5:$A$180=$B7)*ISNUMBER(INDEX(Inputs!$K$5:$AJ$180,0,MATCH(U$2,Inputs!$K$4:$AJ$4,0))))+SUMPRODUCT((Inputs!$C$5:$C$180=$B7)*ISNUMBER(INDEX(Inputs!$K$5:$AJ$180,0,MATCH(U$2,Inputs!$K$4:$AJ$4,0))))+SUMPRODUCT((Inputs!$E$5:$E$180=$B7)*ISNUMBER(INDEX(Inputs!$K$5:$AJ$180,0,MATCH(U$2,Inputs!$K$4:$AJ$4,0))))=0,NA(),SUMPRODUCT((Inputs!$A$5:$A$180=$B7)*Inputs!$B$5:$B$180*(((Inputs!$G$5:$G$180="moeda")+(Inputs!$G$5:$G$180="acoes"))*Inputs!$B$1+((Inputs!$G$5:$G$180&lt;&gt;"moeda")*(Inputs!$G$5:$G$180&lt;&gt;"acoes")))*INDEX(Inputs!$K$5:$AJ$180,0,MATCH(U$2,Inputs!$K$4:$AJ$4,0)))+SUMPRODUCT((Inputs!$C$5:$C$180=$B7)*Inputs!$D$5:$D$180*(((Inputs!$G$5:$G$180="moeda")+(Inputs!$G$5:$G$180="acoes"))*Inputs!$B$1+((Inputs!$G$5:$G$180&lt;&gt;"moeda")*(Inputs!$G$5:$G$180&lt;&gt;"acoes")))*INDEX(Inputs!$K$5:$AJ$180,0,MATCH(U$2,Inputs!$K$4:$AJ$4,0)))+SUMPRODUCT((Inputs!$E$5:$E$180=$B7)*Inputs!$F$5:$F$180*(((Inputs!$G$5:$G$180="moeda")+(Inputs!$G$5:$G$180="acoes"))*Inputs!$B$1+((Inputs!$G$5:$G$180&lt;&gt;"moeda")*(Inputs!$G$5:$G$180&lt;&gt;"acoes")))*INDEX(Inputs!$K$5:$AJ$180,0,MATCH(U$2,Inputs!$K$4:$AJ$4,0)))))</f>
        <v>-43.4457200736189</v>
      </c>
      <c r="V7" s="6">
        <f>IF(ISNA(MATCH(V$2,Inputs!$K$4:$AJ$4,0)),NA(),IF(SUMPRODUCT((Inputs!$A$5:$A$180=$B7)*ISNUMBER(INDEX(Inputs!$K$5:$AJ$180,0,MATCH(V$2,Inputs!$K$4:$AJ$4,0))))+SUMPRODUCT((Inputs!$C$5:$C$180=$B7)*ISNUMBER(INDEX(Inputs!$K$5:$AJ$180,0,MATCH(V$2,Inputs!$K$4:$AJ$4,0))))+SUMPRODUCT((Inputs!$E$5:$E$180=$B7)*ISNUMBER(INDEX(Inputs!$K$5:$AJ$180,0,MATCH(V$2,Inputs!$K$4:$AJ$4,0))))=0,NA(),SUMPRODUCT((Inputs!$A$5:$A$180=$B7)*Inputs!$B$5:$B$180*(((Inputs!$G$5:$G$180="moeda")+(Inputs!$G$5:$G$180="acoes"))*Inputs!$B$1+((Inputs!$G$5:$G$180&lt;&gt;"moeda")*(Inputs!$G$5:$G$180&lt;&gt;"acoes")))*INDEX(Inputs!$K$5:$AJ$180,0,MATCH(V$2,Inputs!$K$4:$AJ$4,0)))+SUMPRODUCT((Inputs!$C$5:$C$180=$B7)*Inputs!$D$5:$D$180*(((Inputs!$G$5:$G$180="moeda")+(Inputs!$G$5:$G$180="acoes"))*Inputs!$B$1+((Inputs!$G$5:$G$180&lt;&gt;"moeda")*(Inputs!$G$5:$G$180&lt;&gt;"acoes")))*INDEX(Inputs!$K$5:$AJ$180,0,MATCH(V$2,Inputs!$K$4:$AJ$4,0)))+SUMPRODUCT((Inputs!$E$5:$E$180=$B7)*Inputs!$F$5:$F$180*(((Inputs!$G$5:$G$180="moeda")+(Inputs!$G$5:$G$180="acoes"))*Inputs!$B$1+((Inputs!$G$5:$G$180&lt;&gt;"moeda")*(Inputs!$G$5:$G$180&lt;&gt;"acoes")))*INDEX(Inputs!$K$5:$AJ$180,0,MATCH(V$2,Inputs!$K$4:$AJ$4,0)))))</f>
        <v>-26.492400627492</v>
      </c>
      <c r="W7" s="3">
        <f>SUM(S7:V7)</f>
        <v>-149.642278401111</v>
      </c>
      <c r="X7" s="6">
        <f>IF(ISNA(MATCH(X$2,Inputs!$K$4:$AJ$4,0)),NA(),IF(SUMPRODUCT((Inputs!$A$5:$A$180=$B7)*ISNUMBER(INDEX(Inputs!$K$5:$AJ$180,0,MATCH(X$2,Inputs!$K$4:$AJ$4,0))))+SUMPRODUCT((Inputs!$C$5:$C$180=$B7)*ISNUMBER(INDEX(Inputs!$K$5:$AJ$180,0,MATCH(X$2,Inputs!$K$4:$AJ$4,0))))+SUMPRODUCT((Inputs!$E$5:$E$180=$B7)*ISNUMBER(INDEX(Inputs!$K$5:$AJ$180,0,MATCH(X$2,Inputs!$K$4:$AJ$4,0))))=0,NA(),SUMPRODUCT((Inputs!$A$5:$A$180=$B7)*Inputs!$B$5:$B$180*(((Inputs!$G$5:$G$180="moeda")+(Inputs!$G$5:$G$180="acoes"))*Inputs!$B$1+((Inputs!$G$5:$G$180&lt;&gt;"moeda")*(Inputs!$G$5:$G$180&lt;&gt;"acoes")))*INDEX(Inputs!$K$5:$AJ$180,0,MATCH(X$2,Inputs!$K$4:$AJ$4,0)))+SUMPRODUCT((Inputs!$C$5:$C$180=$B7)*Inputs!$D$5:$D$180*(((Inputs!$G$5:$G$180="moeda")+(Inputs!$G$5:$G$180="acoes"))*Inputs!$B$1+((Inputs!$G$5:$G$180&lt;&gt;"moeda")*(Inputs!$G$5:$G$180&lt;&gt;"acoes")))*INDEX(Inputs!$K$5:$AJ$180,0,MATCH(X$2,Inputs!$K$4:$AJ$4,0)))+SUMPRODUCT((Inputs!$E$5:$E$180=$B7)*Inputs!$F$5:$F$180*(((Inputs!$G$5:$G$180="moeda")+(Inputs!$G$5:$G$180="acoes"))*Inputs!$B$1+((Inputs!$G$5:$G$180&lt;&gt;"moeda")*(Inputs!$G$5:$G$180&lt;&gt;"acoes")))*INDEX(Inputs!$K$5:$AJ$180,0,MATCH(X$2,Inputs!$K$4:$AJ$4,0)))))</f>
        <v>-38.4000833</v>
      </c>
      <c r="Y7" s="6">
        <f>IF(ISNA(MATCH(Y$2,Inputs!$K$4:$AJ$4,0)),NA(),IF(SUMPRODUCT((Inputs!$A$5:$A$180=$B7)*ISNUMBER(INDEX(Inputs!$K$5:$AJ$180,0,MATCH(Y$2,Inputs!$K$4:$AJ$4,0))))+SUMPRODUCT((Inputs!$C$5:$C$180=$B7)*ISNUMBER(INDEX(Inputs!$K$5:$AJ$180,0,MATCH(Y$2,Inputs!$K$4:$AJ$4,0))))+SUMPRODUCT((Inputs!$E$5:$E$180=$B7)*ISNUMBER(INDEX(Inputs!$K$5:$AJ$180,0,MATCH(Y$2,Inputs!$K$4:$AJ$4,0))))=0,NA(),SUMPRODUCT((Inputs!$A$5:$A$180=$B7)*Inputs!$B$5:$B$180*(((Inputs!$G$5:$G$180="moeda")+(Inputs!$G$5:$G$180="acoes"))*Inputs!$B$1+((Inputs!$G$5:$G$180&lt;&gt;"moeda")*(Inputs!$G$5:$G$180&lt;&gt;"acoes")))*INDEX(Inputs!$K$5:$AJ$180,0,MATCH(Y$2,Inputs!$K$4:$AJ$4,0)))+SUMPRODUCT((Inputs!$C$5:$C$180=$B7)*Inputs!$D$5:$D$180*(((Inputs!$G$5:$G$180="moeda")+(Inputs!$G$5:$G$180="acoes"))*Inputs!$B$1+((Inputs!$G$5:$G$180&lt;&gt;"moeda")*(Inputs!$G$5:$G$180&lt;&gt;"acoes")))*INDEX(Inputs!$K$5:$AJ$180,0,MATCH(Y$2,Inputs!$K$4:$AJ$4,0)))+SUMPRODUCT((Inputs!$E$5:$E$180=$B7)*Inputs!$F$5:$F$180*(((Inputs!$G$5:$G$180="moeda")+(Inputs!$G$5:$G$180="acoes"))*Inputs!$B$1+((Inputs!$G$5:$G$180&lt;&gt;"moeda")*(Inputs!$G$5:$G$180&lt;&gt;"acoes")))*INDEX(Inputs!$K$5:$AJ$180,0,MATCH(Y$2,Inputs!$K$4:$AJ$4,0)))))</f>
        <v>-38.47477303</v>
      </c>
      <c r="Z7" s="6">
        <f>IF(ISNA(MATCH(Z$2,Inputs!$K$4:$AJ$4,0)),NA(),IF(SUMPRODUCT((Inputs!$A$5:$A$180=$B7)*ISNUMBER(INDEX(Inputs!$K$5:$AJ$180,0,MATCH(Z$2,Inputs!$K$4:$AJ$4,0))))+SUMPRODUCT((Inputs!$C$5:$C$180=$B7)*ISNUMBER(INDEX(Inputs!$K$5:$AJ$180,0,MATCH(Z$2,Inputs!$K$4:$AJ$4,0))))+SUMPRODUCT((Inputs!$E$5:$E$180=$B7)*ISNUMBER(INDEX(Inputs!$K$5:$AJ$180,0,MATCH(Z$2,Inputs!$K$4:$AJ$4,0))))=0,NA(),SUMPRODUCT((Inputs!$A$5:$A$180=$B7)*Inputs!$B$5:$B$180*(((Inputs!$G$5:$G$180="moeda")+(Inputs!$G$5:$G$180="acoes"))*Inputs!$B$1+((Inputs!$G$5:$G$180&lt;&gt;"moeda")*(Inputs!$G$5:$G$180&lt;&gt;"acoes")))*INDEX(Inputs!$K$5:$AJ$180,0,MATCH(Z$2,Inputs!$K$4:$AJ$4,0)))+SUMPRODUCT((Inputs!$C$5:$C$180=$B7)*Inputs!$D$5:$D$180*(((Inputs!$G$5:$G$180="moeda")+(Inputs!$G$5:$G$180="acoes"))*Inputs!$B$1+((Inputs!$G$5:$G$180&lt;&gt;"moeda")*(Inputs!$G$5:$G$180&lt;&gt;"acoes")))*INDEX(Inputs!$K$5:$AJ$180,0,MATCH(Z$2,Inputs!$K$4:$AJ$4,0)))+SUMPRODUCT((Inputs!$E$5:$E$180=$B7)*Inputs!$F$5:$F$180*(((Inputs!$G$5:$G$180="moeda")+(Inputs!$G$5:$G$180="acoes"))*Inputs!$B$1+((Inputs!$G$5:$G$180&lt;&gt;"moeda")*(Inputs!$G$5:$G$180&lt;&gt;"acoes")))*INDEX(Inputs!$K$5:$AJ$180,0,MATCH(Z$2,Inputs!$K$4:$AJ$4,0)))))</f>
        <v>-37.1150324</v>
      </c>
      <c r="AA7" s="6">
        <f>IF(ISNA(MATCH(AA$2,Inputs!$K$4:$AJ$4,0)),NA(),IF(SUMPRODUCT((Inputs!$A$5:$A$180=$B7)*ISNUMBER(INDEX(Inputs!$K$5:$AJ$180,0,MATCH(AA$2,Inputs!$K$4:$AJ$4,0))))+SUMPRODUCT((Inputs!$C$5:$C$180=$B7)*ISNUMBER(INDEX(Inputs!$K$5:$AJ$180,0,MATCH(AA$2,Inputs!$K$4:$AJ$4,0))))+SUMPRODUCT((Inputs!$E$5:$E$180=$B7)*ISNUMBER(INDEX(Inputs!$K$5:$AJ$180,0,MATCH(AA$2,Inputs!$K$4:$AJ$4,0))))=0,NA(),SUMPRODUCT((Inputs!$A$5:$A$180=$B7)*Inputs!$B$5:$B$180*(((Inputs!$G$5:$G$180="moeda")+(Inputs!$G$5:$G$180="acoes"))*Inputs!$B$1+((Inputs!$G$5:$G$180&lt;&gt;"moeda")*(Inputs!$G$5:$G$180&lt;&gt;"acoes")))*INDEX(Inputs!$K$5:$AJ$180,0,MATCH(AA$2,Inputs!$K$4:$AJ$4,0)))+SUMPRODUCT((Inputs!$C$5:$C$180=$B7)*Inputs!$D$5:$D$180*(((Inputs!$G$5:$G$180="moeda")+(Inputs!$G$5:$G$180="acoes"))*Inputs!$B$1+((Inputs!$G$5:$G$180&lt;&gt;"moeda")*(Inputs!$G$5:$G$180&lt;&gt;"acoes")))*INDEX(Inputs!$K$5:$AJ$180,0,MATCH(AA$2,Inputs!$K$4:$AJ$4,0)))+SUMPRODUCT((Inputs!$E$5:$E$180=$B7)*Inputs!$F$5:$F$180*(((Inputs!$G$5:$G$180="moeda")+(Inputs!$G$5:$G$180="acoes"))*Inputs!$B$1+((Inputs!$G$5:$G$180&lt;&gt;"moeda")*(Inputs!$G$5:$G$180&lt;&gt;"acoes")))*INDEX(Inputs!$K$5:$AJ$180,0,MATCH(AA$2,Inputs!$K$4:$AJ$4,0)))))</f>
        <v>-38.84610311</v>
      </c>
      <c r="AB7" s="3">
        <f>SUM(X7:AA7)</f>
        <v>-152.83599184</v>
      </c>
      <c r="AC7" s="6">
        <f>IF(ISNA(MATCH(AC$2,Inputs!$K$4:$AJ$4,0)),NA(),IF(SUMPRODUCT((Inputs!$A$5:$A$180=$B7)*ISNUMBER(INDEX(Inputs!$K$5:$AJ$180,0,MATCH(AC$2,Inputs!$K$4:$AJ$4,0))))+SUMPRODUCT((Inputs!$C$5:$C$180=$B7)*ISNUMBER(INDEX(Inputs!$K$5:$AJ$180,0,MATCH(AC$2,Inputs!$K$4:$AJ$4,0))))+SUMPRODUCT((Inputs!$E$5:$E$180=$B7)*ISNUMBER(INDEX(Inputs!$K$5:$AJ$180,0,MATCH(AC$2,Inputs!$K$4:$AJ$4,0))))=0,NA(),SUMPRODUCT((Inputs!$A$5:$A$180=$B7)*Inputs!$B$5:$B$180*(((Inputs!$G$5:$G$180="moeda")+(Inputs!$G$5:$G$180="acoes"))*Inputs!$B$1+((Inputs!$G$5:$G$180&lt;&gt;"moeda")*(Inputs!$G$5:$G$180&lt;&gt;"acoes")))*INDEX(Inputs!$K$5:$AJ$180,0,MATCH(AC$2,Inputs!$K$4:$AJ$4,0)))+SUMPRODUCT((Inputs!$C$5:$C$180=$B7)*Inputs!$D$5:$D$180*(((Inputs!$G$5:$G$180="moeda")+(Inputs!$G$5:$G$180="acoes"))*Inputs!$B$1+((Inputs!$G$5:$G$180&lt;&gt;"moeda")*(Inputs!$G$5:$G$180&lt;&gt;"acoes")))*INDEX(Inputs!$K$5:$AJ$180,0,MATCH(AC$2,Inputs!$K$4:$AJ$4,0)))+SUMPRODUCT((Inputs!$E$5:$E$180=$B7)*Inputs!$F$5:$F$180*(((Inputs!$G$5:$G$180="moeda")+(Inputs!$G$5:$G$180="acoes"))*Inputs!$B$1+((Inputs!$G$5:$G$180&lt;&gt;"moeda")*(Inputs!$G$5:$G$180&lt;&gt;"acoes")))*INDEX(Inputs!$K$5:$AJ$180,0,MATCH(AC$2,Inputs!$K$4:$AJ$4,0)))))</f>
        <v>-38.73890781</v>
      </c>
      <c r="AD7" s="6">
        <f>IF(ISNA(MATCH(AD$2,Inputs!$K$4:$AJ$4,0)),NA(),IF(SUMPRODUCT((Inputs!$A$5:$A$180=$B7)*ISNUMBER(INDEX(Inputs!$K$5:$AJ$180,0,MATCH(AD$2,Inputs!$K$4:$AJ$4,0))))+SUMPRODUCT((Inputs!$C$5:$C$180=$B7)*ISNUMBER(INDEX(Inputs!$K$5:$AJ$180,0,MATCH(AD$2,Inputs!$K$4:$AJ$4,0))))+SUMPRODUCT((Inputs!$E$5:$E$180=$B7)*ISNUMBER(INDEX(Inputs!$K$5:$AJ$180,0,MATCH(AD$2,Inputs!$K$4:$AJ$4,0))))=0,NA(),SUMPRODUCT((Inputs!$A$5:$A$180=$B7)*Inputs!$B$5:$B$180*(((Inputs!$G$5:$G$180="moeda")+(Inputs!$G$5:$G$180="acoes"))*Inputs!$B$1+((Inputs!$G$5:$G$180&lt;&gt;"moeda")*(Inputs!$G$5:$G$180&lt;&gt;"acoes")))*INDEX(Inputs!$K$5:$AJ$180,0,MATCH(AD$2,Inputs!$K$4:$AJ$4,0)))+SUMPRODUCT((Inputs!$C$5:$C$180=$B7)*Inputs!$D$5:$D$180*(((Inputs!$G$5:$G$180="moeda")+(Inputs!$G$5:$G$180="acoes"))*Inputs!$B$1+((Inputs!$G$5:$G$180&lt;&gt;"moeda")*(Inputs!$G$5:$G$180&lt;&gt;"acoes")))*INDEX(Inputs!$K$5:$AJ$180,0,MATCH(AD$2,Inputs!$K$4:$AJ$4,0)))+SUMPRODUCT((Inputs!$E$5:$E$180=$B7)*Inputs!$F$5:$F$180*(((Inputs!$G$5:$G$180="moeda")+(Inputs!$G$5:$G$180="acoes"))*Inputs!$B$1+((Inputs!$G$5:$G$180&lt;&gt;"moeda")*(Inputs!$G$5:$G$180&lt;&gt;"acoes")))*INDEX(Inputs!$K$5:$AJ$180,0,MATCH(AD$2,Inputs!$K$4:$AJ$4,0)))))</f>
        <v>-39.39946144</v>
      </c>
      <c r="AE7" s="6" t="e">
        <f>IF(ISNA(MATCH(AE$2,Inputs!$K$4:$AJ$4,0)),NA(),IF(SUMPRODUCT((Inputs!$A$5:$A$180=$B7)*ISNUMBER(INDEX(Inputs!$K$5:$AJ$180,0,MATCH(AE$2,Inputs!$K$4:$AJ$4,0))))+SUMPRODUCT((Inputs!$C$5:$C$180=$B7)*ISNUMBER(INDEX(Inputs!$K$5:$AJ$180,0,MATCH(AE$2,Inputs!$K$4:$AJ$4,0))))+SUMPRODUCT((Inputs!$E$5:$E$180=$B7)*ISNUMBER(INDEX(Inputs!$K$5:$AJ$180,0,MATCH(AE$2,Inputs!$K$4:$AJ$4,0))))=0,NA(),SUMPRODUCT((Inputs!$A$5:$A$180=$B7)*Inputs!$B$5:$B$180*(((Inputs!$G$5:$G$180="moeda")+(Inputs!$G$5:$G$180="acoes"))*Inputs!$B$1+((Inputs!$G$5:$G$180&lt;&gt;"moeda")*(Inputs!$G$5:$G$180&lt;&gt;"acoes")))*INDEX(Inputs!$K$5:$AJ$180,0,MATCH(AE$2,Inputs!$K$4:$AJ$4,0)))+SUMPRODUCT((Inputs!$C$5:$C$180=$B7)*Inputs!$D$5:$D$180*(((Inputs!$G$5:$G$180="moeda")+(Inputs!$G$5:$G$180="acoes"))*Inputs!$B$1+((Inputs!$G$5:$G$180&lt;&gt;"moeda")*(Inputs!$G$5:$G$180&lt;&gt;"acoes")))*INDEX(Inputs!$K$5:$AJ$180,0,MATCH(AE$2,Inputs!$K$4:$AJ$4,0)))+SUMPRODUCT((Inputs!$E$5:$E$180=$B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" s="6" t="e">
        <f>IF(ISNA(MATCH(AF$2,Inputs!$K$4:$AJ$4,0)),NA(),IF(SUMPRODUCT((Inputs!$A$5:$A$180=$B7)*ISNUMBER(INDEX(Inputs!$K$5:$AJ$180,0,MATCH(AF$2,Inputs!$K$4:$AJ$4,0))))+SUMPRODUCT((Inputs!$C$5:$C$180=$B7)*ISNUMBER(INDEX(Inputs!$K$5:$AJ$180,0,MATCH(AF$2,Inputs!$K$4:$AJ$4,0))))+SUMPRODUCT((Inputs!$E$5:$E$180=$B7)*ISNUMBER(INDEX(Inputs!$K$5:$AJ$180,0,MATCH(AF$2,Inputs!$K$4:$AJ$4,0))))=0,NA(),SUMPRODUCT((Inputs!$A$5:$A$180=$B7)*Inputs!$B$5:$B$180*(((Inputs!$G$5:$G$180="moeda")+(Inputs!$G$5:$G$180="acoes"))*Inputs!$B$1+((Inputs!$G$5:$G$180&lt;&gt;"moeda")*(Inputs!$G$5:$G$180&lt;&gt;"acoes")))*INDEX(Inputs!$K$5:$AJ$180,0,MATCH(AF$2,Inputs!$K$4:$AJ$4,0)))+SUMPRODUCT((Inputs!$C$5:$C$180=$B7)*Inputs!$D$5:$D$180*(((Inputs!$G$5:$G$180="moeda")+(Inputs!$G$5:$G$180="acoes"))*Inputs!$B$1+((Inputs!$G$5:$G$180&lt;&gt;"moeda")*(Inputs!$G$5:$G$180&lt;&gt;"acoes")))*INDEX(Inputs!$K$5:$AJ$180,0,MATCH(AF$2,Inputs!$K$4:$AJ$4,0)))+SUMPRODUCT((Inputs!$E$5:$E$180=$B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" s="3" t="e">
        <f>SUM(AC7:AF7)</f>
        <v>#N/A</v>
      </c>
      <c r="AH7" s="6">
        <f>IF(ISNA(MATCH(AH$2,Inputs!$K$4:$AJ$4,0)),NA(),IF(SUMPRODUCT((Inputs!$A$5:$A$180=$B7)*ISNUMBER(INDEX(Inputs!$K$5:$AJ$180,0,MATCH(AH$2,Inputs!$K$4:$AJ$4,0))))+SUMPRODUCT((Inputs!$C$5:$C$180=$B7)*ISNUMBER(INDEX(Inputs!$K$5:$AJ$180,0,MATCH(AH$2,Inputs!$K$4:$AJ$4,0))))+SUMPRODUCT((Inputs!$E$5:$E$180=$B7)*ISNUMBER(INDEX(Inputs!$K$5:$AJ$180,0,MATCH(AH$2,Inputs!$K$4:$AJ$4,0))))=0,NA(),SUMPRODUCT((Inputs!$A$5:$A$180=$B7)*Inputs!$B$5:$B$180*(((Inputs!$G$5:$G$180="moeda")+(Inputs!$G$5:$G$180="acoes"))*Inputs!$B$1+((Inputs!$G$5:$G$180&lt;&gt;"moeda")*(Inputs!$G$5:$G$180&lt;&gt;"acoes")))*INDEX(Inputs!$K$5:$AJ$180,0,MATCH(AH$2,Inputs!$K$4:$AJ$4,0)))+SUMPRODUCT((Inputs!$C$5:$C$180=$B7)*Inputs!$D$5:$D$180*(((Inputs!$G$5:$G$180="moeda")+(Inputs!$G$5:$G$180="acoes"))*Inputs!$B$1+((Inputs!$G$5:$G$180&lt;&gt;"moeda")*(Inputs!$G$5:$G$180&lt;&gt;"acoes")))*INDEX(Inputs!$K$5:$AJ$180,0,MATCH(AH$2,Inputs!$K$4:$AJ$4,0)))+SUMPRODUCT((Inputs!$E$5:$E$180=$B7)*Inputs!$F$5:$F$180*(((Inputs!$G$5:$G$180="moeda")+(Inputs!$G$5:$G$180="acoes"))*Inputs!$B$1+((Inputs!$G$5:$G$180&lt;&gt;"moeda")*(Inputs!$G$5:$G$180&lt;&gt;"acoes")))*INDEX(Inputs!$K$5:$AJ$180,0,MATCH(AH$2,Inputs!$K$4:$AJ$4,0)))))</f>
        <v>-13.4562257</v>
      </c>
      <c r="AI7" s="6">
        <f>IF(ISNA(MATCH(AI$2,Inputs!$K$4:$AJ$4,0)),NA(),IF(SUMPRODUCT((Inputs!$A$5:$A$180=$B7)*ISNUMBER(INDEX(Inputs!$K$5:$AJ$180,0,MATCH(AI$2,Inputs!$K$4:$AJ$4,0))))+SUMPRODUCT((Inputs!$C$5:$C$180=$B7)*ISNUMBER(INDEX(Inputs!$K$5:$AJ$180,0,MATCH(AI$2,Inputs!$K$4:$AJ$4,0))))+SUMPRODUCT((Inputs!$E$5:$E$180=$B7)*ISNUMBER(INDEX(Inputs!$K$5:$AJ$180,0,MATCH(AI$2,Inputs!$K$4:$AJ$4,0))))=0,NA(),SUMPRODUCT((Inputs!$A$5:$A$180=$B7)*Inputs!$B$5:$B$180*(((Inputs!$G$5:$G$180="moeda")+(Inputs!$G$5:$G$180="acoes"))*Inputs!$B$1+((Inputs!$G$5:$G$180&lt;&gt;"moeda")*(Inputs!$G$5:$G$180&lt;&gt;"acoes")))*INDEX(Inputs!$K$5:$AJ$180,0,MATCH(AI$2,Inputs!$K$4:$AJ$4,0)))+SUMPRODUCT((Inputs!$C$5:$C$180=$B7)*Inputs!$D$5:$D$180*(((Inputs!$G$5:$G$180="moeda")+(Inputs!$G$5:$G$180="acoes"))*Inputs!$B$1+((Inputs!$G$5:$G$180&lt;&gt;"moeda")*(Inputs!$G$5:$G$180&lt;&gt;"acoes")))*INDEX(Inputs!$K$5:$AJ$180,0,MATCH(AI$2,Inputs!$K$4:$AJ$4,0)))+SUMPRODUCT((Inputs!$E$5:$E$180=$B7)*Inputs!$F$5:$F$180*(((Inputs!$G$5:$G$180="moeda")+(Inputs!$G$5:$G$180="acoes"))*Inputs!$B$1+((Inputs!$G$5:$G$180&lt;&gt;"moeda")*(Inputs!$G$5:$G$180&lt;&gt;"acoes")))*INDEX(Inputs!$K$5:$AJ$180,0,MATCH(AI$2,Inputs!$K$4:$AJ$4,0)))))</f>
        <v>-14.28740434</v>
      </c>
      <c r="AJ7" s="6">
        <f>IF(ISNA(MATCH(AJ$2,Inputs!$K$4:$AJ$4,0)),NA(),IF(SUMPRODUCT((Inputs!$A$5:$A$180=$B7)*ISNUMBER(INDEX(Inputs!$K$5:$AJ$180,0,MATCH(AJ$2,Inputs!$K$4:$AJ$4,0))))+SUMPRODUCT((Inputs!$C$5:$C$180=$B7)*ISNUMBER(INDEX(Inputs!$K$5:$AJ$180,0,MATCH(AJ$2,Inputs!$K$4:$AJ$4,0))))+SUMPRODUCT((Inputs!$E$5:$E$180=$B7)*ISNUMBER(INDEX(Inputs!$K$5:$AJ$180,0,MATCH(AJ$2,Inputs!$K$4:$AJ$4,0))))=0,NA(),SUMPRODUCT((Inputs!$A$5:$A$180=$B7)*Inputs!$B$5:$B$180*(((Inputs!$G$5:$G$180="moeda")+(Inputs!$G$5:$G$180="acoes"))*Inputs!$B$1+((Inputs!$G$5:$G$180&lt;&gt;"moeda")*(Inputs!$G$5:$G$180&lt;&gt;"acoes")))*INDEX(Inputs!$K$5:$AJ$180,0,MATCH(AJ$2,Inputs!$K$4:$AJ$4,0)))+SUMPRODUCT((Inputs!$C$5:$C$180=$B7)*Inputs!$D$5:$D$180*(((Inputs!$G$5:$G$180="moeda")+(Inputs!$G$5:$G$180="acoes"))*Inputs!$B$1+((Inputs!$G$5:$G$180&lt;&gt;"moeda")*(Inputs!$G$5:$G$180&lt;&gt;"acoes")))*INDEX(Inputs!$K$5:$AJ$180,0,MATCH(AJ$2,Inputs!$K$4:$AJ$4,0)))+SUMPRODUCT((Inputs!$E$5:$E$180=$B7)*Inputs!$F$5:$F$180*(((Inputs!$G$5:$G$180="moeda")+(Inputs!$G$5:$G$180="acoes"))*Inputs!$B$1+((Inputs!$G$5:$G$180&lt;&gt;"moeda")*(Inputs!$G$5:$G$180&lt;&gt;"acoes")))*INDEX(Inputs!$K$5:$AJ$180,0,MATCH(AJ$2,Inputs!$K$4:$AJ$4,0)))))</f>
        <v>-15.6490989</v>
      </c>
      <c r="AK7" s="6">
        <f>IF(ISNA(MATCH(AK$2,Inputs!$K$4:$AJ$4,0)),NA(),IF(SUMPRODUCT((Inputs!$A$5:$A$180=$B7)*ISNUMBER(INDEX(Inputs!$K$5:$AJ$180,0,MATCH(AK$2,Inputs!$K$4:$AJ$4,0))))+SUMPRODUCT((Inputs!$C$5:$C$180=$B7)*ISNUMBER(INDEX(Inputs!$K$5:$AJ$180,0,MATCH(AK$2,Inputs!$K$4:$AJ$4,0))))+SUMPRODUCT((Inputs!$E$5:$E$180=$B7)*ISNUMBER(INDEX(Inputs!$K$5:$AJ$180,0,MATCH(AK$2,Inputs!$K$4:$AJ$4,0))))=0,NA(),SUMPRODUCT((Inputs!$A$5:$A$180=$B7)*Inputs!$B$5:$B$180*(((Inputs!$G$5:$G$180="moeda")+(Inputs!$G$5:$G$180="acoes"))*Inputs!$B$1+((Inputs!$G$5:$G$180&lt;&gt;"moeda")*(Inputs!$G$5:$G$180&lt;&gt;"acoes")))*INDEX(Inputs!$K$5:$AJ$180,0,MATCH(AK$2,Inputs!$K$4:$AJ$4,0)))+SUMPRODUCT((Inputs!$C$5:$C$180=$B7)*Inputs!$D$5:$D$180*(((Inputs!$G$5:$G$180="moeda")+(Inputs!$G$5:$G$180="acoes"))*Inputs!$B$1+((Inputs!$G$5:$G$180&lt;&gt;"moeda")*(Inputs!$G$5:$G$180&lt;&gt;"acoes")))*INDEX(Inputs!$K$5:$AJ$180,0,MATCH(AK$2,Inputs!$K$4:$AJ$4,0)))+SUMPRODUCT((Inputs!$E$5:$E$180=$B7)*Inputs!$F$5:$F$180*(((Inputs!$G$5:$G$180="moeda")+(Inputs!$G$5:$G$180="acoes"))*Inputs!$B$1+((Inputs!$G$5:$G$180&lt;&gt;"moeda")*(Inputs!$G$5:$G$180&lt;&gt;"acoes")))*INDEX(Inputs!$K$5:$AJ$180,0,MATCH(AK$2,Inputs!$K$4:$AJ$4,0)))))</f>
        <v>-14.88001596</v>
      </c>
      <c r="AL7" s="3">
        <f>SUM(AH7:AK7)</f>
        <v>-58.2727449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$180=$B8)*ISNUMBER(INDEX(Inputs!$K$5:$AJ$180,0,MATCH(D$2,Inputs!$K$4:$AJ$4,0))))+SUMPRODUCT((Inputs!$C$5:$C$180=$B8)*ISNUMBER(INDEX(Inputs!$K$5:$AJ$180,0,MATCH(D$2,Inputs!$K$4:$AJ$4,0))))+SUMPRODUCT((Inputs!$E$5:$E$180=$B8)*ISNUMBER(INDEX(Inputs!$K$5:$AJ$180,0,MATCH(D$2,Inputs!$K$4:$AJ$4,0))))=0,NA(),SUMPRODUCT((Inputs!$A$5:$A$180=$B8)*Inputs!$B$5:$B$180*(((Inputs!$G$5:$G$180="moeda")+(Inputs!$G$5:$G$180="acoes"))*Inputs!$B$1+((Inputs!$G$5:$G$180&lt;&gt;"moeda")*(Inputs!$G$5:$G$180&lt;&gt;"acoes")))*INDEX(Inputs!$K$5:$AJ$180,0,MATCH(D$2,Inputs!$K$4:$AJ$4,0)))+SUMPRODUCT((Inputs!$C$5:$C$180=$B8)*Inputs!$D$5:$D$180*(((Inputs!$G$5:$G$180="moeda")+(Inputs!$G$5:$G$180="acoes"))*Inputs!$B$1+((Inputs!$G$5:$G$180&lt;&gt;"moeda")*(Inputs!$G$5:$G$180&lt;&gt;"acoes")))*INDEX(Inputs!$K$5:$AJ$180,0,MATCH(D$2,Inputs!$K$4:$AJ$4,0)))+SUMPRODUCT((Inputs!$E$5:$E$180=$B8)*Inputs!$F$5:$F$180*(((Inputs!$G$5:$G$180="moeda")+(Inputs!$G$5:$G$180="acoes"))*Inputs!$B$1+((Inputs!$G$5:$G$180&lt;&gt;"moeda")*(Inputs!$G$5:$G$180&lt;&gt;"acoes")))*INDEX(Inputs!$K$5:$AJ$180,0,MATCH(D$2,Inputs!$K$4:$AJ$4,0)))))</f>
        <v>-14.12832483</v>
      </c>
      <c r="E8" s="6">
        <f>IF(ISNA(MATCH(E$2,Inputs!$K$4:$AJ$4,0)),NA(),IF(SUMPRODUCT((Inputs!$A$5:$A$180=$B8)*ISNUMBER(INDEX(Inputs!$K$5:$AJ$180,0,MATCH(E$2,Inputs!$K$4:$AJ$4,0))))+SUMPRODUCT((Inputs!$C$5:$C$180=$B8)*ISNUMBER(INDEX(Inputs!$K$5:$AJ$180,0,MATCH(E$2,Inputs!$K$4:$AJ$4,0))))+SUMPRODUCT((Inputs!$E$5:$E$180=$B8)*ISNUMBER(INDEX(Inputs!$K$5:$AJ$180,0,MATCH(E$2,Inputs!$K$4:$AJ$4,0))))=0,NA(),SUMPRODUCT((Inputs!$A$5:$A$180=$B8)*Inputs!$B$5:$B$180*(((Inputs!$G$5:$G$180="moeda")+(Inputs!$G$5:$G$180="acoes"))*Inputs!$B$1+((Inputs!$G$5:$G$180&lt;&gt;"moeda")*(Inputs!$G$5:$G$180&lt;&gt;"acoes")))*INDEX(Inputs!$K$5:$AJ$180,0,MATCH(E$2,Inputs!$K$4:$AJ$4,0)))+SUMPRODUCT((Inputs!$C$5:$C$180=$B8)*Inputs!$D$5:$D$180*(((Inputs!$G$5:$G$180="moeda")+(Inputs!$G$5:$G$180="acoes"))*Inputs!$B$1+((Inputs!$G$5:$G$180&lt;&gt;"moeda")*(Inputs!$G$5:$G$180&lt;&gt;"acoes")))*INDEX(Inputs!$K$5:$AJ$180,0,MATCH(E$2,Inputs!$K$4:$AJ$4,0)))+SUMPRODUCT((Inputs!$E$5:$E$180=$B8)*Inputs!$F$5:$F$180*(((Inputs!$G$5:$G$180="moeda")+(Inputs!$G$5:$G$180="acoes"))*Inputs!$B$1+((Inputs!$G$5:$G$180&lt;&gt;"moeda")*(Inputs!$G$5:$G$180&lt;&gt;"acoes")))*INDEX(Inputs!$K$5:$AJ$180,0,MATCH(E$2,Inputs!$K$4:$AJ$4,0)))))</f>
        <v>-12.87273146</v>
      </c>
      <c r="F8" s="6">
        <f>IF(ISNA(MATCH(F$2,Inputs!$K$4:$AJ$4,0)),NA(),IF(SUMPRODUCT((Inputs!$A$5:$A$180=$B8)*ISNUMBER(INDEX(Inputs!$K$5:$AJ$180,0,MATCH(F$2,Inputs!$K$4:$AJ$4,0))))+SUMPRODUCT((Inputs!$C$5:$C$180=$B8)*ISNUMBER(INDEX(Inputs!$K$5:$AJ$180,0,MATCH(F$2,Inputs!$K$4:$AJ$4,0))))+SUMPRODUCT((Inputs!$E$5:$E$180=$B8)*ISNUMBER(INDEX(Inputs!$K$5:$AJ$180,0,MATCH(F$2,Inputs!$K$4:$AJ$4,0))))=0,NA(),SUMPRODUCT((Inputs!$A$5:$A$180=$B8)*Inputs!$B$5:$B$180*(((Inputs!$G$5:$G$180="moeda")+(Inputs!$G$5:$G$180="acoes"))*Inputs!$B$1+((Inputs!$G$5:$G$180&lt;&gt;"moeda")*(Inputs!$G$5:$G$180&lt;&gt;"acoes")))*INDEX(Inputs!$K$5:$AJ$180,0,MATCH(F$2,Inputs!$K$4:$AJ$4,0)))+SUMPRODUCT((Inputs!$C$5:$C$180=$B8)*Inputs!$D$5:$D$180*(((Inputs!$G$5:$G$180="moeda")+(Inputs!$G$5:$G$180="acoes"))*Inputs!$B$1+((Inputs!$G$5:$G$180&lt;&gt;"moeda")*(Inputs!$G$5:$G$180&lt;&gt;"acoes")))*INDEX(Inputs!$K$5:$AJ$180,0,MATCH(F$2,Inputs!$K$4:$AJ$4,0)))+SUMPRODUCT((Inputs!$E$5:$E$180=$B8)*Inputs!$F$5:$F$180*(((Inputs!$G$5:$G$180="moeda")+(Inputs!$G$5:$G$180="acoes"))*Inputs!$B$1+((Inputs!$G$5:$G$180&lt;&gt;"moeda")*(Inputs!$G$5:$G$180&lt;&gt;"acoes")))*INDEX(Inputs!$K$5:$AJ$180,0,MATCH(F$2,Inputs!$K$4:$AJ$4,0)))))</f>
        <v>-15.68328762</v>
      </c>
      <c r="G8" s="6">
        <f>IF(ISNA(MATCH(G$2,Inputs!$K$4:$AJ$4,0)),NA(),IF(SUMPRODUCT((Inputs!$A$5:$A$180=$B8)*ISNUMBER(INDEX(Inputs!$K$5:$AJ$180,0,MATCH(G$2,Inputs!$K$4:$AJ$4,0))))+SUMPRODUCT((Inputs!$C$5:$C$180=$B8)*ISNUMBER(INDEX(Inputs!$K$5:$AJ$180,0,MATCH(G$2,Inputs!$K$4:$AJ$4,0))))+SUMPRODUCT((Inputs!$E$5:$E$180=$B8)*ISNUMBER(INDEX(Inputs!$K$5:$AJ$180,0,MATCH(G$2,Inputs!$K$4:$AJ$4,0))))=0,NA(),SUMPRODUCT((Inputs!$A$5:$A$180=$B8)*Inputs!$B$5:$B$180*(((Inputs!$G$5:$G$180="moeda")+(Inputs!$G$5:$G$180="acoes"))*Inputs!$B$1+((Inputs!$G$5:$G$180&lt;&gt;"moeda")*(Inputs!$G$5:$G$180&lt;&gt;"acoes")))*INDEX(Inputs!$K$5:$AJ$180,0,MATCH(G$2,Inputs!$K$4:$AJ$4,0)))+SUMPRODUCT((Inputs!$C$5:$C$180=$B8)*Inputs!$D$5:$D$180*(((Inputs!$G$5:$G$180="moeda")+(Inputs!$G$5:$G$180="acoes"))*Inputs!$B$1+((Inputs!$G$5:$G$180&lt;&gt;"moeda")*(Inputs!$G$5:$G$180&lt;&gt;"acoes")))*INDEX(Inputs!$K$5:$AJ$180,0,MATCH(G$2,Inputs!$K$4:$AJ$4,0)))+SUMPRODUCT((Inputs!$E$5:$E$180=$B8)*Inputs!$F$5:$F$180*(((Inputs!$G$5:$G$180="moeda")+(Inputs!$G$5:$G$180="acoes"))*Inputs!$B$1+((Inputs!$G$5:$G$180&lt;&gt;"moeda")*(Inputs!$G$5:$G$180&lt;&gt;"acoes")))*INDEX(Inputs!$K$5:$AJ$180,0,MATCH(G$2,Inputs!$K$4:$AJ$4,0)))))</f>
        <v>-24.37206917</v>
      </c>
      <c r="H8" s="3">
        <f>SUM(D8:G8)</f>
        <v>-67.05641308</v>
      </c>
      <c r="I8" s="6">
        <f>IF(ISNA(MATCH(I$2,Inputs!$K$4:$AJ$4,0)),NA(),IF(SUMPRODUCT((Inputs!$A$5:$A$180=$B8)*ISNUMBER(INDEX(Inputs!$K$5:$AJ$180,0,MATCH(I$2,Inputs!$K$4:$AJ$4,0))))+SUMPRODUCT((Inputs!$C$5:$C$180=$B8)*ISNUMBER(INDEX(Inputs!$K$5:$AJ$180,0,MATCH(I$2,Inputs!$K$4:$AJ$4,0))))+SUMPRODUCT((Inputs!$E$5:$E$180=$B8)*ISNUMBER(INDEX(Inputs!$K$5:$AJ$180,0,MATCH(I$2,Inputs!$K$4:$AJ$4,0))))=0,NA(),SUMPRODUCT((Inputs!$A$5:$A$180=$B8)*Inputs!$B$5:$B$180*(((Inputs!$G$5:$G$180="moeda")+(Inputs!$G$5:$G$180="acoes"))*Inputs!$B$1+((Inputs!$G$5:$G$180&lt;&gt;"moeda")*(Inputs!$G$5:$G$180&lt;&gt;"acoes")))*INDEX(Inputs!$K$5:$AJ$180,0,MATCH(I$2,Inputs!$K$4:$AJ$4,0)))+SUMPRODUCT((Inputs!$C$5:$C$180=$B8)*Inputs!$D$5:$D$180*(((Inputs!$G$5:$G$180="moeda")+(Inputs!$G$5:$G$180="acoes"))*Inputs!$B$1+((Inputs!$G$5:$G$180&lt;&gt;"moeda")*(Inputs!$G$5:$G$180&lt;&gt;"acoes")))*INDEX(Inputs!$K$5:$AJ$180,0,MATCH(I$2,Inputs!$K$4:$AJ$4,0)))+SUMPRODUCT((Inputs!$E$5:$E$180=$B8)*Inputs!$F$5:$F$180*(((Inputs!$G$5:$G$180="moeda")+(Inputs!$G$5:$G$180="acoes"))*Inputs!$B$1+((Inputs!$G$5:$G$180&lt;&gt;"moeda")*(Inputs!$G$5:$G$180&lt;&gt;"acoes")))*INDEX(Inputs!$K$5:$AJ$180,0,MATCH(I$2,Inputs!$K$4:$AJ$4,0)))))</f>
        <v>-21.77821417</v>
      </c>
      <c r="J8" s="6">
        <f>IF(ISNA(MATCH(J$2,Inputs!$K$4:$AJ$4,0)),NA(),IF(SUMPRODUCT((Inputs!$A$5:$A$180=$B8)*ISNUMBER(INDEX(Inputs!$K$5:$AJ$180,0,MATCH(J$2,Inputs!$K$4:$AJ$4,0))))+SUMPRODUCT((Inputs!$C$5:$C$180=$B8)*ISNUMBER(INDEX(Inputs!$K$5:$AJ$180,0,MATCH(J$2,Inputs!$K$4:$AJ$4,0))))+SUMPRODUCT((Inputs!$E$5:$E$180=$B8)*ISNUMBER(INDEX(Inputs!$K$5:$AJ$180,0,MATCH(J$2,Inputs!$K$4:$AJ$4,0))))=0,NA(),SUMPRODUCT((Inputs!$A$5:$A$180=$B8)*Inputs!$B$5:$B$180*(((Inputs!$G$5:$G$180="moeda")+(Inputs!$G$5:$G$180="acoes"))*Inputs!$B$1+((Inputs!$G$5:$G$180&lt;&gt;"moeda")*(Inputs!$G$5:$G$180&lt;&gt;"acoes")))*INDEX(Inputs!$K$5:$AJ$180,0,MATCH(J$2,Inputs!$K$4:$AJ$4,0)))+SUMPRODUCT((Inputs!$C$5:$C$180=$B8)*Inputs!$D$5:$D$180*(((Inputs!$G$5:$G$180="moeda")+(Inputs!$G$5:$G$180="acoes"))*Inputs!$B$1+((Inputs!$G$5:$G$180&lt;&gt;"moeda")*(Inputs!$G$5:$G$180&lt;&gt;"acoes")))*INDEX(Inputs!$K$5:$AJ$180,0,MATCH(J$2,Inputs!$K$4:$AJ$4,0)))+SUMPRODUCT((Inputs!$E$5:$E$180=$B8)*Inputs!$F$5:$F$180*(((Inputs!$G$5:$G$180="moeda")+(Inputs!$G$5:$G$180="acoes"))*Inputs!$B$1+((Inputs!$G$5:$G$180&lt;&gt;"moeda")*(Inputs!$G$5:$G$180&lt;&gt;"acoes")))*INDEX(Inputs!$K$5:$AJ$180,0,MATCH(J$2,Inputs!$K$4:$AJ$4,0)))))</f>
        <v>-21.68494498</v>
      </c>
      <c r="K8" s="6">
        <f>IF(ISNA(MATCH(K$2,Inputs!$K$4:$AJ$4,0)),NA(),IF(SUMPRODUCT((Inputs!$A$5:$A$180=$B8)*ISNUMBER(INDEX(Inputs!$K$5:$AJ$180,0,MATCH(K$2,Inputs!$K$4:$AJ$4,0))))+SUMPRODUCT((Inputs!$C$5:$C$180=$B8)*ISNUMBER(INDEX(Inputs!$K$5:$AJ$180,0,MATCH(K$2,Inputs!$K$4:$AJ$4,0))))+SUMPRODUCT((Inputs!$E$5:$E$180=$B8)*ISNUMBER(INDEX(Inputs!$K$5:$AJ$180,0,MATCH(K$2,Inputs!$K$4:$AJ$4,0))))=0,NA(),SUMPRODUCT((Inputs!$A$5:$A$180=$B8)*Inputs!$B$5:$B$180*(((Inputs!$G$5:$G$180="moeda")+(Inputs!$G$5:$G$180="acoes"))*Inputs!$B$1+((Inputs!$G$5:$G$180&lt;&gt;"moeda")*(Inputs!$G$5:$G$180&lt;&gt;"acoes")))*INDEX(Inputs!$K$5:$AJ$180,0,MATCH(K$2,Inputs!$K$4:$AJ$4,0)))+SUMPRODUCT((Inputs!$C$5:$C$180=$B8)*Inputs!$D$5:$D$180*(((Inputs!$G$5:$G$180="moeda")+(Inputs!$G$5:$G$180="acoes"))*Inputs!$B$1+((Inputs!$G$5:$G$180&lt;&gt;"moeda")*(Inputs!$G$5:$G$180&lt;&gt;"acoes")))*INDEX(Inputs!$K$5:$AJ$180,0,MATCH(K$2,Inputs!$K$4:$AJ$4,0)))+SUMPRODUCT((Inputs!$E$5:$E$180=$B8)*Inputs!$F$5:$F$180*(((Inputs!$G$5:$G$180="moeda")+(Inputs!$G$5:$G$180="acoes"))*Inputs!$B$1+((Inputs!$G$5:$G$180&lt;&gt;"moeda")*(Inputs!$G$5:$G$180&lt;&gt;"acoes")))*INDEX(Inputs!$K$5:$AJ$180,0,MATCH(K$2,Inputs!$K$4:$AJ$4,0)))))</f>
        <v>-23.34443722</v>
      </c>
      <c r="L8" s="6">
        <f>IF(ISNA(MATCH(L$2,Inputs!$K$4:$AJ$4,0)),NA(),IF(SUMPRODUCT((Inputs!$A$5:$A$180=$B8)*ISNUMBER(INDEX(Inputs!$K$5:$AJ$180,0,MATCH(L$2,Inputs!$K$4:$AJ$4,0))))+SUMPRODUCT((Inputs!$C$5:$C$180=$B8)*ISNUMBER(INDEX(Inputs!$K$5:$AJ$180,0,MATCH(L$2,Inputs!$K$4:$AJ$4,0))))+SUMPRODUCT((Inputs!$E$5:$E$180=$B8)*ISNUMBER(INDEX(Inputs!$K$5:$AJ$180,0,MATCH(L$2,Inputs!$K$4:$AJ$4,0))))=0,NA(),SUMPRODUCT((Inputs!$A$5:$A$180=$B8)*Inputs!$B$5:$B$180*(((Inputs!$G$5:$G$180="moeda")+(Inputs!$G$5:$G$180="acoes"))*Inputs!$B$1+((Inputs!$G$5:$G$180&lt;&gt;"moeda")*(Inputs!$G$5:$G$180&lt;&gt;"acoes")))*INDEX(Inputs!$K$5:$AJ$180,0,MATCH(L$2,Inputs!$K$4:$AJ$4,0)))+SUMPRODUCT((Inputs!$C$5:$C$180=$B8)*Inputs!$D$5:$D$180*(((Inputs!$G$5:$G$180="moeda")+(Inputs!$G$5:$G$180="acoes"))*Inputs!$B$1+((Inputs!$G$5:$G$180&lt;&gt;"moeda")*(Inputs!$G$5:$G$180&lt;&gt;"acoes")))*INDEX(Inputs!$K$5:$AJ$180,0,MATCH(L$2,Inputs!$K$4:$AJ$4,0)))+SUMPRODUCT((Inputs!$E$5:$E$180=$B8)*Inputs!$F$5:$F$180*(((Inputs!$G$5:$G$180="moeda")+(Inputs!$G$5:$G$180="acoes"))*Inputs!$B$1+((Inputs!$G$5:$G$180&lt;&gt;"moeda")*(Inputs!$G$5:$G$180&lt;&gt;"acoes")))*INDEX(Inputs!$K$5:$AJ$180,0,MATCH(L$2,Inputs!$K$4:$AJ$4,0)))))</f>
        <v>-22.50926892</v>
      </c>
      <c r="M8" s="3">
        <f>SUM(I8:L8)</f>
        <v>-89.31686529</v>
      </c>
      <c r="N8" s="6">
        <f>IF(ISNA(MATCH(N$2,Inputs!$K$4:$AJ$4,0)),NA(),IF(SUMPRODUCT((Inputs!$A$5:$A$180=$B8)*ISNUMBER(INDEX(Inputs!$K$5:$AJ$180,0,MATCH(N$2,Inputs!$K$4:$AJ$4,0))))+SUMPRODUCT((Inputs!$C$5:$C$180=$B8)*ISNUMBER(INDEX(Inputs!$K$5:$AJ$180,0,MATCH(N$2,Inputs!$K$4:$AJ$4,0))))+SUMPRODUCT((Inputs!$E$5:$E$180=$B8)*ISNUMBER(INDEX(Inputs!$K$5:$AJ$180,0,MATCH(N$2,Inputs!$K$4:$AJ$4,0))))=0,NA(),SUMPRODUCT((Inputs!$A$5:$A$180=$B8)*Inputs!$B$5:$B$180*(((Inputs!$G$5:$G$180="moeda")+(Inputs!$G$5:$G$180="acoes"))*Inputs!$B$1+((Inputs!$G$5:$G$180&lt;&gt;"moeda")*(Inputs!$G$5:$G$180&lt;&gt;"acoes")))*INDEX(Inputs!$K$5:$AJ$180,0,MATCH(N$2,Inputs!$K$4:$AJ$4,0)))+SUMPRODUCT((Inputs!$C$5:$C$180=$B8)*Inputs!$D$5:$D$180*(((Inputs!$G$5:$G$180="moeda")+(Inputs!$G$5:$G$180="acoes"))*Inputs!$B$1+((Inputs!$G$5:$G$180&lt;&gt;"moeda")*(Inputs!$G$5:$G$180&lt;&gt;"acoes")))*INDEX(Inputs!$K$5:$AJ$180,0,MATCH(N$2,Inputs!$K$4:$AJ$4,0)))+SUMPRODUCT((Inputs!$E$5:$E$180=$B8)*Inputs!$F$5:$F$180*(((Inputs!$G$5:$G$180="moeda")+(Inputs!$G$5:$G$180="acoes"))*Inputs!$B$1+((Inputs!$G$5:$G$180&lt;&gt;"moeda")*(Inputs!$G$5:$G$180&lt;&gt;"acoes")))*INDEX(Inputs!$K$5:$AJ$180,0,MATCH(N$2,Inputs!$K$4:$AJ$4,0)))))</f>
        <v>-22.7286079</v>
      </c>
      <c r="O8" s="6">
        <f>IF(ISNA(MATCH(O$2,Inputs!$K$4:$AJ$4,0)),NA(),IF(SUMPRODUCT((Inputs!$A$5:$A$180=$B8)*ISNUMBER(INDEX(Inputs!$K$5:$AJ$180,0,MATCH(O$2,Inputs!$K$4:$AJ$4,0))))+SUMPRODUCT((Inputs!$C$5:$C$180=$B8)*ISNUMBER(INDEX(Inputs!$K$5:$AJ$180,0,MATCH(O$2,Inputs!$K$4:$AJ$4,0))))+SUMPRODUCT((Inputs!$E$5:$E$180=$B8)*ISNUMBER(INDEX(Inputs!$K$5:$AJ$180,0,MATCH(O$2,Inputs!$K$4:$AJ$4,0))))=0,NA(),SUMPRODUCT((Inputs!$A$5:$A$180=$B8)*Inputs!$B$5:$B$180*(((Inputs!$G$5:$G$180="moeda")+(Inputs!$G$5:$G$180="acoes"))*Inputs!$B$1+((Inputs!$G$5:$G$180&lt;&gt;"moeda")*(Inputs!$G$5:$G$180&lt;&gt;"acoes")))*INDEX(Inputs!$K$5:$AJ$180,0,MATCH(O$2,Inputs!$K$4:$AJ$4,0)))+SUMPRODUCT((Inputs!$C$5:$C$180=$B8)*Inputs!$D$5:$D$180*(((Inputs!$G$5:$G$180="moeda")+(Inputs!$G$5:$G$180="acoes"))*Inputs!$B$1+((Inputs!$G$5:$G$180&lt;&gt;"moeda")*(Inputs!$G$5:$G$180&lt;&gt;"acoes")))*INDEX(Inputs!$K$5:$AJ$180,0,MATCH(O$2,Inputs!$K$4:$AJ$4,0)))+SUMPRODUCT((Inputs!$E$5:$E$180=$B8)*Inputs!$F$5:$F$180*(((Inputs!$G$5:$G$180="moeda")+(Inputs!$G$5:$G$180="acoes"))*Inputs!$B$1+((Inputs!$G$5:$G$180&lt;&gt;"moeda")*(Inputs!$G$5:$G$180&lt;&gt;"acoes")))*INDEX(Inputs!$K$5:$AJ$180,0,MATCH(O$2,Inputs!$K$4:$AJ$4,0)))))</f>
        <v>-15.67989121</v>
      </c>
      <c r="P8" s="6">
        <f>IF(ISNA(MATCH(P$2,Inputs!$K$4:$AJ$4,0)),NA(),IF(SUMPRODUCT((Inputs!$A$5:$A$180=$B8)*ISNUMBER(INDEX(Inputs!$K$5:$AJ$180,0,MATCH(P$2,Inputs!$K$4:$AJ$4,0))))+SUMPRODUCT((Inputs!$C$5:$C$180=$B8)*ISNUMBER(INDEX(Inputs!$K$5:$AJ$180,0,MATCH(P$2,Inputs!$K$4:$AJ$4,0))))+SUMPRODUCT((Inputs!$E$5:$E$180=$B8)*ISNUMBER(INDEX(Inputs!$K$5:$AJ$180,0,MATCH(P$2,Inputs!$K$4:$AJ$4,0))))=0,NA(),SUMPRODUCT((Inputs!$A$5:$A$180=$B8)*Inputs!$B$5:$B$180*(((Inputs!$G$5:$G$180="moeda")+(Inputs!$G$5:$G$180="acoes"))*Inputs!$B$1+((Inputs!$G$5:$G$180&lt;&gt;"moeda")*(Inputs!$G$5:$G$180&lt;&gt;"acoes")))*INDEX(Inputs!$K$5:$AJ$180,0,MATCH(P$2,Inputs!$K$4:$AJ$4,0)))+SUMPRODUCT((Inputs!$C$5:$C$180=$B8)*Inputs!$D$5:$D$180*(((Inputs!$G$5:$G$180="moeda")+(Inputs!$G$5:$G$180="acoes"))*Inputs!$B$1+((Inputs!$G$5:$G$180&lt;&gt;"moeda")*(Inputs!$G$5:$G$180&lt;&gt;"acoes")))*INDEX(Inputs!$K$5:$AJ$180,0,MATCH(P$2,Inputs!$K$4:$AJ$4,0)))+SUMPRODUCT((Inputs!$E$5:$E$180=$B8)*Inputs!$F$5:$F$180*(((Inputs!$G$5:$G$180="moeda")+(Inputs!$G$5:$G$180="acoes"))*Inputs!$B$1+((Inputs!$G$5:$G$180&lt;&gt;"moeda")*(Inputs!$G$5:$G$180&lt;&gt;"acoes")))*INDEX(Inputs!$K$5:$AJ$180,0,MATCH(P$2,Inputs!$K$4:$AJ$4,0)))))</f>
        <v>-24.17068651</v>
      </c>
      <c r="Q8" s="6">
        <f>IF(ISNA(MATCH(Q$2,Inputs!$K$4:$AJ$4,0)),NA(),IF(SUMPRODUCT((Inputs!$A$5:$A$180=$B8)*ISNUMBER(INDEX(Inputs!$K$5:$AJ$180,0,MATCH(Q$2,Inputs!$K$4:$AJ$4,0))))+SUMPRODUCT((Inputs!$C$5:$C$180=$B8)*ISNUMBER(INDEX(Inputs!$K$5:$AJ$180,0,MATCH(Q$2,Inputs!$K$4:$AJ$4,0))))+SUMPRODUCT((Inputs!$E$5:$E$180=$B8)*ISNUMBER(INDEX(Inputs!$K$5:$AJ$180,0,MATCH(Q$2,Inputs!$K$4:$AJ$4,0))))=0,NA(),SUMPRODUCT((Inputs!$A$5:$A$180=$B8)*Inputs!$B$5:$B$180*(((Inputs!$G$5:$G$180="moeda")+(Inputs!$G$5:$G$180="acoes"))*Inputs!$B$1+((Inputs!$G$5:$G$180&lt;&gt;"moeda")*(Inputs!$G$5:$G$180&lt;&gt;"acoes")))*INDEX(Inputs!$K$5:$AJ$180,0,MATCH(Q$2,Inputs!$K$4:$AJ$4,0)))+SUMPRODUCT((Inputs!$C$5:$C$180=$B8)*Inputs!$D$5:$D$180*(((Inputs!$G$5:$G$180="moeda")+(Inputs!$G$5:$G$180="acoes"))*Inputs!$B$1+((Inputs!$G$5:$G$180&lt;&gt;"moeda")*(Inputs!$G$5:$G$180&lt;&gt;"acoes")))*INDEX(Inputs!$K$5:$AJ$180,0,MATCH(Q$2,Inputs!$K$4:$AJ$4,0)))+SUMPRODUCT((Inputs!$E$5:$E$180=$B8)*Inputs!$F$5:$F$180*(((Inputs!$G$5:$G$180="moeda")+(Inputs!$G$5:$G$180="acoes"))*Inputs!$B$1+((Inputs!$G$5:$G$180&lt;&gt;"moeda")*(Inputs!$G$5:$G$180&lt;&gt;"acoes")))*INDEX(Inputs!$K$5:$AJ$180,0,MATCH(Q$2,Inputs!$K$4:$AJ$4,0)))))</f>
        <v>-23.22607364</v>
      </c>
      <c r="R8" s="3">
        <f>SUM(N8:Q8)</f>
        <v>-85.80525926</v>
      </c>
      <c r="S8" s="6">
        <f>IF(ISNA(MATCH(S$2,Inputs!$K$4:$AJ$4,0)),NA(),IF(SUMPRODUCT((Inputs!$A$5:$A$180=$B8)*ISNUMBER(INDEX(Inputs!$K$5:$AJ$180,0,MATCH(S$2,Inputs!$K$4:$AJ$4,0))))+SUMPRODUCT((Inputs!$C$5:$C$180=$B8)*ISNUMBER(INDEX(Inputs!$K$5:$AJ$180,0,MATCH(S$2,Inputs!$K$4:$AJ$4,0))))+SUMPRODUCT((Inputs!$E$5:$E$180=$B8)*ISNUMBER(INDEX(Inputs!$K$5:$AJ$180,0,MATCH(S$2,Inputs!$K$4:$AJ$4,0))))=0,NA(),SUMPRODUCT((Inputs!$A$5:$A$180=$B8)*Inputs!$B$5:$B$180*(((Inputs!$G$5:$G$180="moeda")+(Inputs!$G$5:$G$180="acoes"))*Inputs!$B$1+((Inputs!$G$5:$G$180&lt;&gt;"moeda")*(Inputs!$G$5:$G$180&lt;&gt;"acoes")))*INDEX(Inputs!$K$5:$AJ$180,0,MATCH(S$2,Inputs!$K$4:$AJ$4,0)))+SUMPRODUCT((Inputs!$C$5:$C$180=$B8)*Inputs!$D$5:$D$180*(((Inputs!$G$5:$G$180="moeda")+(Inputs!$G$5:$G$180="acoes"))*Inputs!$B$1+((Inputs!$G$5:$G$180&lt;&gt;"moeda")*(Inputs!$G$5:$G$180&lt;&gt;"acoes")))*INDEX(Inputs!$K$5:$AJ$180,0,MATCH(S$2,Inputs!$K$4:$AJ$4,0)))+SUMPRODUCT((Inputs!$E$5:$E$180=$B8)*Inputs!$F$5:$F$180*(((Inputs!$G$5:$G$180="moeda")+(Inputs!$G$5:$G$180="acoes"))*Inputs!$B$1+((Inputs!$G$5:$G$180&lt;&gt;"moeda")*(Inputs!$G$5:$G$180&lt;&gt;"acoes")))*INDEX(Inputs!$K$5:$AJ$180,0,MATCH(S$2,Inputs!$K$4:$AJ$4,0)))))</f>
        <v>-23.46166364</v>
      </c>
      <c r="T8" s="6">
        <f>IF(ISNA(MATCH(T$2,Inputs!$K$4:$AJ$4,0)),NA(),IF(SUMPRODUCT((Inputs!$A$5:$A$180=$B8)*ISNUMBER(INDEX(Inputs!$K$5:$AJ$180,0,MATCH(T$2,Inputs!$K$4:$AJ$4,0))))+SUMPRODUCT((Inputs!$C$5:$C$180=$B8)*ISNUMBER(INDEX(Inputs!$K$5:$AJ$180,0,MATCH(T$2,Inputs!$K$4:$AJ$4,0))))+SUMPRODUCT((Inputs!$E$5:$E$180=$B8)*ISNUMBER(INDEX(Inputs!$K$5:$AJ$180,0,MATCH(T$2,Inputs!$K$4:$AJ$4,0))))=0,NA(),SUMPRODUCT((Inputs!$A$5:$A$180=$B8)*Inputs!$B$5:$B$180*(((Inputs!$G$5:$G$180="moeda")+(Inputs!$G$5:$G$180="acoes"))*Inputs!$B$1+((Inputs!$G$5:$G$180&lt;&gt;"moeda")*(Inputs!$G$5:$G$180&lt;&gt;"acoes")))*INDEX(Inputs!$K$5:$AJ$180,0,MATCH(T$2,Inputs!$K$4:$AJ$4,0)))+SUMPRODUCT((Inputs!$C$5:$C$180=$B8)*Inputs!$D$5:$D$180*(((Inputs!$G$5:$G$180="moeda")+(Inputs!$G$5:$G$180="acoes"))*Inputs!$B$1+((Inputs!$G$5:$G$180&lt;&gt;"moeda")*(Inputs!$G$5:$G$180&lt;&gt;"acoes")))*INDEX(Inputs!$K$5:$AJ$180,0,MATCH(T$2,Inputs!$K$4:$AJ$4,0)))+SUMPRODUCT((Inputs!$E$5:$E$180=$B8)*Inputs!$F$5:$F$180*(((Inputs!$G$5:$G$180="moeda")+(Inputs!$G$5:$G$180="acoes"))*Inputs!$B$1+((Inputs!$G$5:$G$180&lt;&gt;"moeda")*(Inputs!$G$5:$G$180&lt;&gt;"acoes")))*INDEX(Inputs!$K$5:$AJ$180,0,MATCH(T$2,Inputs!$K$4:$AJ$4,0)))))</f>
        <v>-24.416860174148</v>
      </c>
      <c r="U8" s="6">
        <f>IF(ISNA(MATCH(U$2,Inputs!$K$4:$AJ$4,0)),NA(),IF(SUMPRODUCT((Inputs!$A$5:$A$180=$B8)*ISNUMBER(INDEX(Inputs!$K$5:$AJ$180,0,MATCH(U$2,Inputs!$K$4:$AJ$4,0))))+SUMPRODUCT((Inputs!$C$5:$C$180=$B8)*ISNUMBER(INDEX(Inputs!$K$5:$AJ$180,0,MATCH(U$2,Inputs!$K$4:$AJ$4,0))))+SUMPRODUCT((Inputs!$E$5:$E$180=$B8)*ISNUMBER(INDEX(Inputs!$K$5:$AJ$180,0,MATCH(U$2,Inputs!$K$4:$AJ$4,0))))=0,NA(),SUMPRODUCT((Inputs!$A$5:$A$180=$B8)*Inputs!$B$5:$B$180*(((Inputs!$G$5:$G$180="moeda")+(Inputs!$G$5:$G$180="acoes"))*Inputs!$B$1+((Inputs!$G$5:$G$180&lt;&gt;"moeda")*(Inputs!$G$5:$G$180&lt;&gt;"acoes")))*INDEX(Inputs!$K$5:$AJ$180,0,MATCH(U$2,Inputs!$K$4:$AJ$4,0)))+SUMPRODUCT((Inputs!$C$5:$C$180=$B8)*Inputs!$D$5:$D$180*(((Inputs!$G$5:$G$180="moeda")+(Inputs!$G$5:$G$180="acoes"))*Inputs!$B$1+((Inputs!$G$5:$G$180&lt;&gt;"moeda")*(Inputs!$G$5:$G$180&lt;&gt;"acoes")))*INDEX(Inputs!$K$5:$AJ$180,0,MATCH(U$2,Inputs!$K$4:$AJ$4,0)))+SUMPRODUCT((Inputs!$E$5:$E$180=$B8)*Inputs!$F$5:$F$180*(((Inputs!$G$5:$G$180="moeda")+(Inputs!$G$5:$G$180="acoes"))*Inputs!$B$1+((Inputs!$G$5:$G$180&lt;&gt;"moeda")*(Inputs!$G$5:$G$180&lt;&gt;"acoes")))*INDEX(Inputs!$K$5:$AJ$180,0,MATCH(U$2,Inputs!$K$4:$AJ$4,0)))))</f>
        <v>-25.954</v>
      </c>
      <c r="V8" s="6">
        <f>IF(ISNA(MATCH(V$2,Inputs!$K$4:$AJ$4,0)),NA(),IF(SUMPRODUCT((Inputs!$A$5:$A$180=$B8)*ISNUMBER(INDEX(Inputs!$K$5:$AJ$180,0,MATCH(V$2,Inputs!$K$4:$AJ$4,0))))+SUMPRODUCT((Inputs!$C$5:$C$180=$B8)*ISNUMBER(INDEX(Inputs!$K$5:$AJ$180,0,MATCH(V$2,Inputs!$K$4:$AJ$4,0))))+SUMPRODUCT((Inputs!$E$5:$E$180=$B8)*ISNUMBER(INDEX(Inputs!$K$5:$AJ$180,0,MATCH(V$2,Inputs!$K$4:$AJ$4,0))))=0,NA(),SUMPRODUCT((Inputs!$A$5:$A$180=$B8)*Inputs!$B$5:$B$180*(((Inputs!$G$5:$G$180="moeda")+(Inputs!$G$5:$G$180="acoes"))*Inputs!$B$1+((Inputs!$G$5:$G$180&lt;&gt;"moeda")*(Inputs!$G$5:$G$180&lt;&gt;"acoes")))*INDEX(Inputs!$K$5:$AJ$180,0,MATCH(V$2,Inputs!$K$4:$AJ$4,0)))+SUMPRODUCT((Inputs!$C$5:$C$180=$B8)*Inputs!$D$5:$D$180*(((Inputs!$G$5:$G$180="moeda")+(Inputs!$G$5:$G$180="acoes"))*Inputs!$B$1+((Inputs!$G$5:$G$180&lt;&gt;"moeda")*(Inputs!$G$5:$G$180&lt;&gt;"acoes")))*INDEX(Inputs!$K$5:$AJ$180,0,MATCH(V$2,Inputs!$K$4:$AJ$4,0)))+SUMPRODUCT((Inputs!$E$5:$E$180=$B8)*Inputs!$F$5:$F$180*(((Inputs!$G$5:$G$180="moeda")+(Inputs!$G$5:$G$180="acoes"))*Inputs!$B$1+((Inputs!$G$5:$G$180&lt;&gt;"moeda")*(Inputs!$G$5:$G$180&lt;&gt;"acoes")))*INDEX(Inputs!$K$5:$AJ$180,0,MATCH(V$2,Inputs!$K$4:$AJ$4,0)))))</f>
        <v>-37.795</v>
      </c>
      <c r="W8" s="3">
        <f>SUM(S8:V8)</f>
        <v>-111.627523814148</v>
      </c>
      <c r="X8" s="6">
        <f>IF(ISNA(MATCH(X$2,Inputs!$K$4:$AJ$4,0)),NA(),IF(SUMPRODUCT((Inputs!$A$5:$A$180=$B8)*ISNUMBER(INDEX(Inputs!$K$5:$AJ$180,0,MATCH(X$2,Inputs!$K$4:$AJ$4,0))))+SUMPRODUCT((Inputs!$C$5:$C$180=$B8)*ISNUMBER(INDEX(Inputs!$K$5:$AJ$180,0,MATCH(X$2,Inputs!$K$4:$AJ$4,0))))+SUMPRODUCT((Inputs!$E$5:$E$180=$B8)*ISNUMBER(INDEX(Inputs!$K$5:$AJ$180,0,MATCH(X$2,Inputs!$K$4:$AJ$4,0))))=0,NA(),SUMPRODUCT((Inputs!$A$5:$A$180=$B8)*Inputs!$B$5:$B$180*(((Inputs!$G$5:$G$180="moeda")+(Inputs!$G$5:$G$180="acoes"))*Inputs!$B$1+((Inputs!$G$5:$G$180&lt;&gt;"moeda")*(Inputs!$G$5:$G$180&lt;&gt;"acoes")))*INDEX(Inputs!$K$5:$AJ$180,0,MATCH(X$2,Inputs!$K$4:$AJ$4,0)))+SUMPRODUCT((Inputs!$C$5:$C$180=$B8)*Inputs!$D$5:$D$180*(((Inputs!$G$5:$G$180="moeda")+(Inputs!$G$5:$G$180="acoes"))*Inputs!$B$1+((Inputs!$G$5:$G$180&lt;&gt;"moeda")*(Inputs!$G$5:$G$180&lt;&gt;"acoes")))*INDEX(Inputs!$K$5:$AJ$180,0,MATCH(X$2,Inputs!$K$4:$AJ$4,0)))+SUMPRODUCT((Inputs!$E$5:$E$180=$B8)*Inputs!$F$5:$F$180*(((Inputs!$G$5:$G$180="moeda")+(Inputs!$G$5:$G$180="acoes"))*Inputs!$B$1+((Inputs!$G$5:$G$180&lt;&gt;"moeda")*(Inputs!$G$5:$G$180&lt;&gt;"acoes")))*INDEX(Inputs!$K$5:$AJ$180,0,MATCH(X$2,Inputs!$K$4:$AJ$4,0)))))</f>
        <v>-28.5296</v>
      </c>
      <c r="Y8" s="6">
        <f>IF(ISNA(MATCH(Y$2,Inputs!$K$4:$AJ$4,0)),NA(),IF(SUMPRODUCT((Inputs!$A$5:$A$180=$B8)*ISNUMBER(INDEX(Inputs!$K$5:$AJ$180,0,MATCH(Y$2,Inputs!$K$4:$AJ$4,0))))+SUMPRODUCT((Inputs!$C$5:$C$180=$B8)*ISNUMBER(INDEX(Inputs!$K$5:$AJ$180,0,MATCH(Y$2,Inputs!$K$4:$AJ$4,0))))+SUMPRODUCT((Inputs!$E$5:$E$180=$B8)*ISNUMBER(INDEX(Inputs!$K$5:$AJ$180,0,MATCH(Y$2,Inputs!$K$4:$AJ$4,0))))=0,NA(),SUMPRODUCT((Inputs!$A$5:$A$180=$B8)*Inputs!$B$5:$B$180*(((Inputs!$G$5:$G$180="moeda")+(Inputs!$G$5:$G$180="acoes"))*Inputs!$B$1+((Inputs!$G$5:$G$180&lt;&gt;"moeda")*(Inputs!$G$5:$G$180&lt;&gt;"acoes")))*INDEX(Inputs!$K$5:$AJ$180,0,MATCH(Y$2,Inputs!$K$4:$AJ$4,0)))+SUMPRODUCT((Inputs!$C$5:$C$180=$B8)*Inputs!$D$5:$D$180*(((Inputs!$G$5:$G$180="moeda")+(Inputs!$G$5:$G$180="acoes"))*Inputs!$B$1+((Inputs!$G$5:$G$180&lt;&gt;"moeda")*(Inputs!$G$5:$G$180&lt;&gt;"acoes")))*INDEX(Inputs!$K$5:$AJ$180,0,MATCH(Y$2,Inputs!$K$4:$AJ$4,0)))+SUMPRODUCT((Inputs!$E$5:$E$180=$B8)*Inputs!$F$5:$F$180*(((Inputs!$G$5:$G$180="moeda")+(Inputs!$G$5:$G$180="acoes"))*Inputs!$B$1+((Inputs!$G$5:$G$180&lt;&gt;"moeda")*(Inputs!$G$5:$G$180&lt;&gt;"acoes")))*INDEX(Inputs!$K$5:$AJ$180,0,MATCH(Y$2,Inputs!$K$4:$AJ$4,0)))))</f>
        <v>-39.705</v>
      </c>
      <c r="Z8" s="6">
        <f>IF(ISNA(MATCH(Z$2,Inputs!$K$4:$AJ$4,0)),NA(),IF(SUMPRODUCT((Inputs!$A$5:$A$180=$B8)*ISNUMBER(INDEX(Inputs!$K$5:$AJ$180,0,MATCH(Z$2,Inputs!$K$4:$AJ$4,0))))+SUMPRODUCT((Inputs!$C$5:$C$180=$B8)*ISNUMBER(INDEX(Inputs!$K$5:$AJ$180,0,MATCH(Z$2,Inputs!$K$4:$AJ$4,0))))+SUMPRODUCT((Inputs!$E$5:$E$180=$B8)*ISNUMBER(INDEX(Inputs!$K$5:$AJ$180,0,MATCH(Z$2,Inputs!$K$4:$AJ$4,0))))=0,NA(),SUMPRODUCT((Inputs!$A$5:$A$180=$B8)*Inputs!$B$5:$B$180*(((Inputs!$G$5:$G$180="moeda")+(Inputs!$G$5:$G$180="acoes"))*Inputs!$B$1+((Inputs!$G$5:$G$180&lt;&gt;"moeda")*(Inputs!$G$5:$G$180&lt;&gt;"acoes")))*INDEX(Inputs!$K$5:$AJ$180,0,MATCH(Z$2,Inputs!$K$4:$AJ$4,0)))+SUMPRODUCT((Inputs!$C$5:$C$180=$B8)*Inputs!$D$5:$D$180*(((Inputs!$G$5:$G$180="moeda")+(Inputs!$G$5:$G$180="acoes"))*Inputs!$B$1+((Inputs!$G$5:$G$180&lt;&gt;"moeda")*(Inputs!$G$5:$G$180&lt;&gt;"acoes")))*INDEX(Inputs!$K$5:$AJ$180,0,MATCH(Z$2,Inputs!$K$4:$AJ$4,0)))+SUMPRODUCT((Inputs!$E$5:$E$180=$B8)*Inputs!$F$5:$F$180*(((Inputs!$G$5:$G$180="moeda")+(Inputs!$G$5:$G$180="acoes"))*Inputs!$B$1+((Inputs!$G$5:$G$180&lt;&gt;"moeda")*(Inputs!$G$5:$G$180&lt;&gt;"acoes")))*INDEX(Inputs!$K$5:$AJ$180,0,MATCH(Z$2,Inputs!$K$4:$AJ$4,0)))))</f>
        <v>-47.115</v>
      </c>
      <c r="AA8" s="6">
        <f>IF(ISNA(MATCH(AA$2,Inputs!$K$4:$AJ$4,0)),NA(),IF(SUMPRODUCT((Inputs!$A$5:$A$180=$B8)*ISNUMBER(INDEX(Inputs!$K$5:$AJ$180,0,MATCH(AA$2,Inputs!$K$4:$AJ$4,0))))+SUMPRODUCT((Inputs!$C$5:$C$180=$B8)*ISNUMBER(INDEX(Inputs!$K$5:$AJ$180,0,MATCH(AA$2,Inputs!$K$4:$AJ$4,0))))+SUMPRODUCT((Inputs!$E$5:$E$180=$B8)*ISNUMBER(INDEX(Inputs!$K$5:$AJ$180,0,MATCH(AA$2,Inputs!$K$4:$AJ$4,0))))=0,NA(),SUMPRODUCT((Inputs!$A$5:$A$180=$B8)*Inputs!$B$5:$B$180*(((Inputs!$G$5:$G$180="moeda")+(Inputs!$G$5:$G$180="acoes"))*Inputs!$B$1+((Inputs!$G$5:$G$180&lt;&gt;"moeda")*(Inputs!$G$5:$G$180&lt;&gt;"acoes")))*INDEX(Inputs!$K$5:$AJ$180,0,MATCH(AA$2,Inputs!$K$4:$AJ$4,0)))+SUMPRODUCT((Inputs!$C$5:$C$180=$B8)*Inputs!$D$5:$D$180*(((Inputs!$G$5:$G$180="moeda")+(Inputs!$G$5:$G$180="acoes"))*Inputs!$B$1+((Inputs!$G$5:$G$180&lt;&gt;"moeda")*(Inputs!$G$5:$G$180&lt;&gt;"acoes")))*INDEX(Inputs!$K$5:$AJ$180,0,MATCH(AA$2,Inputs!$K$4:$AJ$4,0)))+SUMPRODUCT((Inputs!$E$5:$E$180=$B8)*Inputs!$F$5:$F$180*(((Inputs!$G$5:$G$180="moeda")+(Inputs!$G$5:$G$180="acoes"))*Inputs!$B$1+((Inputs!$G$5:$G$180&lt;&gt;"moeda")*(Inputs!$G$5:$G$180&lt;&gt;"acoes")))*INDEX(Inputs!$K$5:$AJ$180,0,MATCH(AA$2,Inputs!$K$4:$AJ$4,0)))))</f>
        <v>-71.789</v>
      </c>
      <c r="AB8" s="3">
        <f>SUM(X8:AA8)</f>
        <v>-187.1386</v>
      </c>
      <c r="AC8" s="6">
        <f>IF(ISNA(MATCH(AC$2,Inputs!$K$4:$AJ$4,0)),NA(),IF(SUMPRODUCT((Inputs!$A$5:$A$180=$B8)*ISNUMBER(INDEX(Inputs!$K$5:$AJ$180,0,MATCH(AC$2,Inputs!$K$4:$AJ$4,0))))+SUMPRODUCT((Inputs!$C$5:$C$180=$B8)*ISNUMBER(INDEX(Inputs!$K$5:$AJ$180,0,MATCH(AC$2,Inputs!$K$4:$AJ$4,0))))+SUMPRODUCT((Inputs!$E$5:$E$180=$B8)*ISNUMBER(INDEX(Inputs!$K$5:$AJ$180,0,MATCH(AC$2,Inputs!$K$4:$AJ$4,0))))=0,NA(),SUMPRODUCT((Inputs!$A$5:$A$180=$B8)*Inputs!$B$5:$B$180*(((Inputs!$G$5:$G$180="moeda")+(Inputs!$G$5:$G$180="acoes"))*Inputs!$B$1+((Inputs!$G$5:$G$180&lt;&gt;"moeda")*(Inputs!$G$5:$G$180&lt;&gt;"acoes")))*INDEX(Inputs!$K$5:$AJ$180,0,MATCH(AC$2,Inputs!$K$4:$AJ$4,0)))+SUMPRODUCT((Inputs!$C$5:$C$180=$B8)*Inputs!$D$5:$D$180*(((Inputs!$G$5:$G$180="moeda")+(Inputs!$G$5:$G$180="acoes"))*Inputs!$B$1+((Inputs!$G$5:$G$180&lt;&gt;"moeda")*(Inputs!$G$5:$G$180&lt;&gt;"acoes")))*INDEX(Inputs!$K$5:$AJ$180,0,MATCH(AC$2,Inputs!$K$4:$AJ$4,0)))+SUMPRODUCT((Inputs!$E$5:$E$180=$B8)*Inputs!$F$5:$F$180*(((Inputs!$G$5:$G$180="moeda")+(Inputs!$G$5:$G$180="acoes"))*Inputs!$B$1+((Inputs!$G$5:$G$180&lt;&gt;"moeda")*(Inputs!$G$5:$G$180&lt;&gt;"acoes")))*INDEX(Inputs!$K$5:$AJ$180,0,MATCH(AC$2,Inputs!$K$4:$AJ$4,0)))))</f>
        <v>-43.859</v>
      </c>
      <c r="AD8" s="6">
        <f>IF(ISNA(MATCH(AD$2,Inputs!$K$4:$AJ$4,0)),NA(),IF(SUMPRODUCT((Inputs!$A$5:$A$180=$B8)*ISNUMBER(INDEX(Inputs!$K$5:$AJ$180,0,MATCH(AD$2,Inputs!$K$4:$AJ$4,0))))+SUMPRODUCT((Inputs!$C$5:$C$180=$B8)*ISNUMBER(INDEX(Inputs!$K$5:$AJ$180,0,MATCH(AD$2,Inputs!$K$4:$AJ$4,0))))+SUMPRODUCT((Inputs!$E$5:$E$180=$B8)*ISNUMBER(INDEX(Inputs!$K$5:$AJ$180,0,MATCH(AD$2,Inputs!$K$4:$AJ$4,0))))=0,NA(),SUMPRODUCT((Inputs!$A$5:$A$180=$B8)*Inputs!$B$5:$B$180*(((Inputs!$G$5:$G$180="moeda")+(Inputs!$G$5:$G$180="acoes"))*Inputs!$B$1+((Inputs!$G$5:$G$180&lt;&gt;"moeda")*(Inputs!$G$5:$G$180&lt;&gt;"acoes")))*INDEX(Inputs!$K$5:$AJ$180,0,MATCH(AD$2,Inputs!$K$4:$AJ$4,0)))+SUMPRODUCT((Inputs!$C$5:$C$180=$B8)*Inputs!$D$5:$D$180*(((Inputs!$G$5:$G$180="moeda")+(Inputs!$G$5:$G$180="acoes"))*Inputs!$B$1+((Inputs!$G$5:$G$180&lt;&gt;"moeda")*(Inputs!$G$5:$G$180&lt;&gt;"acoes")))*INDEX(Inputs!$K$5:$AJ$180,0,MATCH(AD$2,Inputs!$K$4:$AJ$4,0)))+SUMPRODUCT((Inputs!$E$5:$E$180=$B8)*Inputs!$F$5:$F$180*(((Inputs!$G$5:$G$180="moeda")+(Inputs!$G$5:$G$180="acoes"))*Inputs!$B$1+((Inputs!$G$5:$G$180&lt;&gt;"moeda")*(Inputs!$G$5:$G$180&lt;&gt;"acoes")))*INDEX(Inputs!$K$5:$AJ$180,0,MATCH(AD$2,Inputs!$K$4:$AJ$4,0)))))</f>
        <v>-47.874</v>
      </c>
      <c r="AE8" s="6" t="e">
        <f>IF(ISNA(MATCH(AE$2,Inputs!$K$4:$AJ$4,0)),NA(),IF(SUMPRODUCT((Inputs!$A$5:$A$180=$B8)*ISNUMBER(INDEX(Inputs!$K$5:$AJ$180,0,MATCH(AE$2,Inputs!$K$4:$AJ$4,0))))+SUMPRODUCT((Inputs!$C$5:$C$180=$B8)*ISNUMBER(INDEX(Inputs!$K$5:$AJ$180,0,MATCH(AE$2,Inputs!$K$4:$AJ$4,0))))+SUMPRODUCT((Inputs!$E$5:$E$180=$B8)*ISNUMBER(INDEX(Inputs!$K$5:$AJ$180,0,MATCH(AE$2,Inputs!$K$4:$AJ$4,0))))=0,NA(),SUMPRODUCT((Inputs!$A$5:$A$180=$B8)*Inputs!$B$5:$B$180*(((Inputs!$G$5:$G$180="moeda")+(Inputs!$G$5:$G$180="acoes"))*Inputs!$B$1+((Inputs!$G$5:$G$180&lt;&gt;"moeda")*(Inputs!$G$5:$G$180&lt;&gt;"acoes")))*INDEX(Inputs!$K$5:$AJ$180,0,MATCH(AE$2,Inputs!$K$4:$AJ$4,0)))+SUMPRODUCT((Inputs!$C$5:$C$180=$B8)*Inputs!$D$5:$D$180*(((Inputs!$G$5:$G$180="moeda")+(Inputs!$G$5:$G$180="acoes"))*Inputs!$B$1+((Inputs!$G$5:$G$180&lt;&gt;"moeda")*(Inputs!$G$5:$G$180&lt;&gt;"acoes")))*INDEX(Inputs!$K$5:$AJ$180,0,MATCH(AE$2,Inputs!$K$4:$AJ$4,0)))+SUMPRODUCT((Inputs!$E$5:$E$180=$B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8" s="6" t="e">
        <f>IF(ISNA(MATCH(AF$2,Inputs!$K$4:$AJ$4,0)),NA(),IF(SUMPRODUCT((Inputs!$A$5:$A$180=$B8)*ISNUMBER(INDEX(Inputs!$K$5:$AJ$180,0,MATCH(AF$2,Inputs!$K$4:$AJ$4,0))))+SUMPRODUCT((Inputs!$C$5:$C$180=$B8)*ISNUMBER(INDEX(Inputs!$K$5:$AJ$180,0,MATCH(AF$2,Inputs!$K$4:$AJ$4,0))))+SUMPRODUCT((Inputs!$E$5:$E$180=$B8)*ISNUMBER(INDEX(Inputs!$K$5:$AJ$180,0,MATCH(AF$2,Inputs!$K$4:$AJ$4,0))))=0,NA(),SUMPRODUCT((Inputs!$A$5:$A$180=$B8)*Inputs!$B$5:$B$180*(((Inputs!$G$5:$G$180="moeda")+(Inputs!$G$5:$G$180="acoes"))*Inputs!$B$1+((Inputs!$G$5:$G$180&lt;&gt;"moeda")*(Inputs!$G$5:$G$180&lt;&gt;"acoes")))*INDEX(Inputs!$K$5:$AJ$180,0,MATCH(AF$2,Inputs!$K$4:$AJ$4,0)))+SUMPRODUCT((Inputs!$C$5:$C$180=$B8)*Inputs!$D$5:$D$180*(((Inputs!$G$5:$G$180="moeda")+(Inputs!$G$5:$G$180="acoes"))*Inputs!$B$1+((Inputs!$G$5:$G$180&lt;&gt;"moeda")*(Inputs!$G$5:$G$180&lt;&gt;"acoes")))*INDEX(Inputs!$K$5:$AJ$180,0,MATCH(AF$2,Inputs!$K$4:$AJ$4,0)))+SUMPRODUCT((Inputs!$E$5:$E$180=$B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8" s="3" t="e">
        <f>SUM(AC8:AF8)</f>
        <v>#N/A</v>
      </c>
      <c r="AH8" s="6">
        <f>IF(ISNA(MATCH(AH$2,Inputs!$K$4:$AJ$4,0)),NA(),IF(SUMPRODUCT((Inputs!$A$5:$A$180=$B8)*ISNUMBER(INDEX(Inputs!$K$5:$AJ$180,0,MATCH(AH$2,Inputs!$K$4:$AJ$4,0))))+SUMPRODUCT((Inputs!$C$5:$C$180=$B8)*ISNUMBER(INDEX(Inputs!$K$5:$AJ$180,0,MATCH(AH$2,Inputs!$K$4:$AJ$4,0))))+SUMPRODUCT((Inputs!$E$5:$E$180=$B8)*ISNUMBER(INDEX(Inputs!$K$5:$AJ$180,0,MATCH(AH$2,Inputs!$K$4:$AJ$4,0))))=0,NA(),SUMPRODUCT((Inputs!$A$5:$A$180=$B8)*Inputs!$B$5:$B$180*(((Inputs!$G$5:$G$180="moeda")+(Inputs!$G$5:$G$180="acoes"))*Inputs!$B$1+((Inputs!$G$5:$G$180&lt;&gt;"moeda")*(Inputs!$G$5:$G$180&lt;&gt;"acoes")))*INDEX(Inputs!$K$5:$AJ$180,0,MATCH(AH$2,Inputs!$K$4:$AJ$4,0)))+SUMPRODUCT((Inputs!$C$5:$C$180=$B8)*Inputs!$D$5:$D$180*(((Inputs!$G$5:$G$180="moeda")+(Inputs!$G$5:$G$180="acoes"))*Inputs!$B$1+((Inputs!$G$5:$G$180&lt;&gt;"moeda")*(Inputs!$G$5:$G$180&lt;&gt;"acoes")))*INDEX(Inputs!$K$5:$AJ$180,0,MATCH(AH$2,Inputs!$K$4:$AJ$4,0)))+SUMPRODUCT((Inputs!$E$5:$E$180=$B8)*Inputs!$F$5:$F$180*(((Inputs!$G$5:$G$180="moeda")+(Inputs!$G$5:$G$180="acoes"))*Inputs!$B$1+((Inputs!$G$5:$G$180&lt;&gt;"moeda")*(Inputs!$G$5:$G$180&lt;&gt;"acoes")))*INDEX(Inputs!$K$5:$AJ$180,0,MATCH(AH$2,Inputs!$K$4:$AJ$4,0)))))</f>
        <v>-18.40614045</v>
      </c>
      <c r="AI8" s="6">
        <f>IF(ISNA(MATCH(AI$2,Inputs!$K$4:$AJ$4,0)),NA(),IF(SUMPRODUCT((Inputs!$A$5:$A$180=$B8)*ISNUMBER(INDEX(Inputs!$K$5:$AJ$180,0,MATCH(AI$2,Inputs!$K$4:$AJ$4,0))))+SUMPRODUCT((Inputs!$C$5:$C$180=$B8)*ISNUMBER(INDEX(Inputs!$K$5:$AJ$180,0,MATCH(AI$2,Inputs!$K$4:$AJ$4,0))))+SUMPRODUCT((Inputs!$E$5:$E$180=$B8)*ISNUMBER(INDEX(Inputs!$K$5:$AJ$180,0,MATCH(AI$2,Inputs!$K$4:$AJ$4,0))))=0,NA(),SUMPRODUCT((Inputs!$A$5:$A$180=$B8)*Inputs!$B$5:$B$180*(((Inputs!$G$5:$G$180="moeda")+(Inputs!$G$5:$G$180="acoes"))*Inputs!$B$1+((Inputs!$G$5:$G$180&lt;&gt;"moeda")*(Inputs!$G$5:$G$180&lt;&gt;"acoes")))*INDEX(Inputs!$K$5:$AJ$180,0,MATCH(AI$2,Inputs!$K$4:$AJ$4,0)))+SUMPRODUCT((Inputs!$C$5:$C$180=$B8)*Inputs!$D$5:$D$180*(((Inputs!$G$5:$G$180="moeda")+(Inputs!$G$5:$G$180="acoes"))*Inputs!$B$1+((Inputs!$G$5:$G$180&lt;&gt;"moeda")*(Inputs!$G$5:$G$180&lt;&gt;"acoes")))*INDEX(Inputs!$K$5:$AJ$180,0,MATCH(AI$2,Inputs!$K$4:$AJ$4,0)))+SUMPRODUCT((Inputs!$E$5:$E$180=$B8)*Inputs!$F$5:$F$180*(((Inputs!$G$5:$G$180="moeda")+(Inputs!$G$5:$G$180="acoes"))*Inputs!$B$1+((Inputs!$G$5:$G$180&lt;&gt;"moeda")*(Inputs!$G$5:$G$180&lt;&gt;"acoes")))*INDEX(Inputs!$K$5:$AJ$180,0,MATCH(AI$2,Inputs!$K$4:$AJ$4,0)))))</f>
        <v>-12.47652641</v>
      </c>
      <c r="AJ8" s="6">
        <f>IF(ISNA(MATCH(AJ$2,Inputs!$K$4:$AJ$4,0)),NA(),IF(SUMPRODUCT((Inputs!$A$5:$A$180=$B8)*ISNUMBER(INDEX(Inputs!$K$5:$AJ$180,0,MATCH(AJ$2,Inputs!$K$4:$AJ$4,0))))+SUMPRODUCT((Inputs!$C$5:$C$180=$B8)*ISNUMBER(INDEX(Inputs!$K$5:$AJ$180,0,MATCH(AJ$2,Inputs!$K$4:$AJ$4,0))))+SUMPRODUCT((Inputs!$E$5:$E$180=$B8)*ISNUMBER(INDEX(Inputs!$K$5:$AJ$180,0,MATCH(AJ$2,Inputs!$K$4:$AJ$4,0))))=0,NA(),SUMPRODUCT((Inputs!$A$5:$A$180=$B8)*Inputs!$B$5:$B$180*(((Inputs!$G$5:$G$180="moeda")+(Inputs!$G$5:$G$180="acoes"))*Inputs!$B$1+((Inputs!$G$5:$G$180&lt;&gt;"moeda")*(Inputs!$G$5:$G$180&lt;&gt;"acoes")))*INDEX(Inputs!$K$5:$AJ$180,0,MATCH(AJ$2,Inputs!$K$4:$AJ$4,0)))+SUMPRODUCT((Inputs!$C$5:$C$180=$B8)*Inputs!$D$5:$D$180*(((Inputs!$G$5:$G$180="moeda")+(Inputs!$G$5:$G$180="acoes"))*Inputs!$B$1+((Inputs!$G$5:$G$180&lt;&gt;"moeda")*(Inputs!$G$5:$G$180&lt;&gt;"acoes")))*INDEX(Inputs!$K$5:$AJ$180,0,MATCH(AJ$2,Inputs!$K$4:$AJ$4,0)))+SUMPRODUCT((Inputs!$E$5:$E$180=$B8)*Inputs!$F$5:$F$180*(((Inputs!$G$5:$G$180="moeda")+(Inputs!$G$5:$G$180="acoes"))*Inputs!$B$1+((Inputs!$G$5:$G$180&lt;&gt;"moeda")*(Inputs!$G$5:$G$180&lt;&gt;"acoes")))*INDEX(Inputs!$K$5:$AJ$180,0,MATCH(AJ$2,Inputs!$K$4:$AJ$4,0)))))</f>
        <v>-17.52867046</v>
      </c>
      <c r="AK8" s="6">
        <f>IF(ISNA(MATCH(AK$2,Inputs!$K$4:$AJ$4,0)),NA(),IF(SUMPRODUCT((Inputs!$A$5:$A$180=$B8)*ISNUMBER(INDEX(Inputs!$K$5:$AJ$180,0,MATCH(AK$2,Inputs!$K$4:$AJ$4,0))))+SUMPRODUCT((Inputs!$C$5:$C$180=$B8)*ISNUMBER(INDEX(Inputs!$K$5:$AJ$180,0,MATCH(AK$2,Inputs!$K$4:$AJ$4,0))))+SUMPRODUCT((Inputs!$E$5:$E$180=$B8)*ISNUMBER(INDEX(Inputs!$K$5:$AJ$180,0,MATCH(AK$2,Inputs!$K$4:$AJ$4,0))))=0,NA(),SUMPRODUCT((Inputs!$A$5:$A$180=$B8)*Inputs!$B$5:$B$180*(((Inputs!$G$5:$G$180="moeda")+(Inputs!$G$5:$G$180="acoes"))*Inputs!$B$1+((Inputs!$G$5:$G$180&lt;&gt;"moeda")*(Inputs!$G$5:$G$180&lt;&gt;"acoes")))*INDEX(Inputs!$K$5:$AJ$180,0,MATCH(AK$2,Inputs!$K$4:$AJ$4,0)))+SUMPRODUCT((Inputs!$C$5:$C$180=$B8)*Inputs!$D$5:$D$180*(((Inputs!$G$5:$G$180="moeda")+(Inputs!$G$5:$G$180="acoes"))*Inputs!$B$1+((Inputs!$G$5:$G$180&lt;&gt;"moeda")*(Inputs!$G$5:$G$180&lt;&gt;"acoes")))*INDEX(Inputs!$K$5:$AJ$180,0,MATCH(AK$2,Inputs!$K$4:$AJ$4,0)))+SUMPRODUCT((Inputs!$E$5:$E$180=$B8)*Inputs!$F$5:$F$180*(((Inputs!$G$5:$G$180="moeda")+(Inputs!$G$5:$G$180="acoes"))*Inputs!$B$1+((Inputs!$G$5:$G$180&lt;&gt;"moeda")*(Inputs!$G$5:$G$180&lt;&gt;"acoes")))*INDEX(Inputs!$K$5:$AJ$180,0,MATCH(AK$2,Inputs!$K$4:$AJ$4,0)))))</f>
        <v>-13.42437751</v>
      </c>
      <c r="AL8" s="3">
        <f>SUM(AH8:AK8)</f>
        <v>-61.83571483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$180=$B9)*ISNUMBER(INDEX(Inputs!$K$5:$AJ$180,0,MATCH(D$2,Inputs!$K$4:$AJ$4,0))))+SUMPRODUCT((Inputs!$C$5:$C$180=$B9)*ISNUMBER(INDEX(Inputs!$K$5:$AJ$180,0,MATCH(D$2,Inputs!$K$4:$AJ$4,0))))+SUMPRODUCT((Inputs!$E$5:$E$180=$B9)*ISNUMBER(INDEX(Inputs!$K$5:$AJ$180,0,MATCH(D$2,Inputs!$K$4:$AJ$4,0))))=0,NA(),SUMPRODUCT((Inputs!$A$5:$A$180=$B9)*Inputs!$B$5:$B$180*(((Inputs!$G$5:$G$180="moeda")+(Inputs!$G$5:$G$180="acoes"))*Inputs!$B$1+((Inputs!$G$5:$G$180&lt;&gt;"moeda")*(Inputs!$G$5:$G$180&lt;&gt;"acoes")))*INDEX(Inputs!$K$5:$AJ$180,0,MATCH(D$2,Inputs!$K$4:$AJ$4,0)))+SUMPRODUCT((Inputs!$C$5:$C$180=$B9)*Inputs!$D$5:$D$180*(((Inputs!$G$5:$G$180="moeda")+(Inputs!$G$5:$G$180="acoes"))*Inputs!$B$1+((Inputs!$G$5:$G$180&lt;&gt;"moeda")*(Inputs!$G$5:$G$180&lt;&gt;"acoes")))*INDEX(Inputs!$K$5:$AJ$180,0,MATCH(D$2,Inputs!$K$4:$AJ$4,0)))+SUMPRODUCT((Inputs!$E$5:$E$180=$B9)*Inputs!$F$5:$F$180*(((Inputs!$G$5:$G$180="moeda")+(Inputs!$G$5:$G$180="acoes"))*Inputs!$B$1+((Inputs!$G$5:$G$180&lt;&gt;"moeda")*(Inputs!$G$5:$G$180&lt;&gt;"acoes")))*INDEX(Inputs!$K$5:$AJ$180,0,MATCH(D$2,Inputs!$K$4:$AJ$4,0)))))</f>
        <v>5.44399645</v>
      </c>
      <c r="E9" s="6">
        <f>IF(ISNA(MATCH(E$2,Inputs!$K$4:$AJ$4,0)),NA(),IF(SUMPRODUCT((Inputs!$A$5:$A$180=$B9)*ISNUMBER(INDEX(Inputs!$K$5:$AJ$180,0,MATCH(E$2,Inputs!$K$4:$AJ$4,0))))+SUMPRODUCT((Inputs!$C$5:$C$180=$B9)*ISNUMBER(INDEX(Inputs!$K$5:$AJ$180,0,MATCH(E$2,Inputs!$K$4:$AJ$4,0))))+SUMPRODUCT((Inputs!$E$5:$E$180=$B9)*ISNUMBER(INDEX(Inputs!$K$5:$AJ$180,0,MATCH(E$2,Inputs!$K$4:$AJ$4,0))))=0,NA(),SUMPRODUCT((Inputs!$A$5:$A$180=$B9)*Inputs!$B$5:$B$180*(((Inputs!$G$5:$G$180="moeda")+(Inputs!$G$5:$G$180="acoes"))*Inputs!$B$1+((Inputs!$G$5:$G$180&lt;&gt;"moeda")*(Inputs!$G$5:$G$180&lt;&gt;"acoes")))*INDEX(Inputs!$K$5:$AJ$180,0,MATCH(E$2,Inputs!$K$4:$AJ$4,0)))+SUMPRODUCT((Inputs!$C$5:$C$180=$B9)*Inputs!$D$5:$D$180*(((Inputs!$G$5:$G$180="moeda")+(Inputs!$G$5:$G$180="acoes"))*Inputs!$B$1+((Inputs!$G$5:$G$180&lt;&gt;"moeda")*(Inputs!$G$5:$G$180&lt;&gt;"acoes")))*INDEX(Inputs!$K$5:$AJ$180,0,MATCH(E$2,Inputs!$K$4:$AJ$4,0)))+SUMPRODUCT((Inputs!$E$5:$E$180=$B9)*Inputs!$F$5:$F$180*(((Inputs!$G$5:$G$180="moeda")+(Inputs!$G$5:$G$180="acoes"))*Inputs!$B$1+((Inputs!$G$5:$G$180&lt;&gt;"moeda")*(Inputs!$G$5:$G$180&lt;&gt;"acoes")))*INDEX(Inputs!$K$5:$AJ$180,0,MATCH(E$2,Inputs!$K$4:$AJ$4,0)))))</f>
        <v>7.05303199</v>
      </c>
      <c r="F9" s="6">
        <f>IF(ISNA(MATCH(F$2,Inputs!$K$4:$AJ$4,0)),NA(),IF(SUMPRODUCT((Inputs!$A$5:$A$180=$B9)*ISNUMBER(INDEX(Inputs!$K$5:$AJ$180,0,MATCH(F$2,Inputs!$K$4:$AJ$4,0))))+SUMPRODUCT((Inputs!$C$5:$C$180=$B9)*ISNUMBER(INDEX(Inputs!$K$5:$AJ$180,0,MATCH(F$2,Inputs!$K$4:$AJ$4,0))))+SUMPRODUCT((Inputs!$E$5:$E$180=$B9)*ISNUMBER(INDEX(Inputs!$K$5:$AJ$180,0,MATCH(F$2,Inputs!$K$4:$AJ$4,0))))=0,NA(),SUMPRODUCT((Inputs!$A$5:$A$180=$B9)*Inputs!$B$5:$B$180*(((Inputs!$G$5:$G$180="moeda")+(Inputs!$G$5:$G$180="acoes"))*Inputs!$B$1+((Inputs!$G$5:$G$180&lt;&gt;"moeda")*(Inputs!$G$5:$G$180&lt;&gt;"acoes")))*INDEX(Inputs!$K$5:$AJ$180,0,MATCH(F$2,Inputs!$K$4:$AJ$4,0)))+SUMPRODUCT((Inputs!$C$5:$C$180=$B9)*Inputs!$D$5:$D$180*(((Inputs!$G$5:$G$180="moeda")+(Inputs!$G$5:$G$180="acoes"))*Inputs!$B$1+((Inputs!$G$5:$G$180&lt;&gt;"moeda")*(Inputs!$G$5:$G$180&lt;&gt;"acoes")))*INDEX(Inputs!$K$5:$AJ$180,0,MATCH(F$2,Inputs!$K$4:$AJ$4,0)))+SUMPRODUCT((Inputs!$E$5:$E$180=$B9)*Inputs!$F$5:$F$180*(((Inputs!$G$5:$G$180="moeda")+(Inputs!$G$5:$G$180="acoes"))*Inputs!$B$1+((Inputs!$G$5:$G$180&lt;&gt;"moeda")*(Inputs!$G$5:$G$180&lt;&gt;"acoes")))*INDEX(Inputs!$K$5:$AJ$180,0,MATCH(F$2,Inputs!$K$4:$AJ$4,0)))))</f>
        <v>10.52897745</v>
      </c>
      <c r="G9" s="6">
        <f>IF(ISNA(MATCH(G$2,Inputs!$K$4:$AJ$4,0)),NA(),IF(SUMPRODUCT((Inputs!$A$5:$A$180=$B9)*ISNUMBER(INDEX(Inputs!$K$5:$AJ$180,0,MATCH(G$2,Inputs!$K$4:$AJ$4,0))))+SUMPRODUCT((Inputs!$C$5:$C$180=$B9)*ISNUMBER(INDEX(Inputs!$K$5:$AJ$180,0,MATCH(G$2,Inputs!$K$4:$AJ$4,0))))+SUMPRODUCT((Inputs!$E$5:$E$180=$B9)*ISNUMBER(INDEX(Inputs!$K$5:$AJ$180,0,MATCH(G$2,Inputs!$K$4:$AJ$4,0))))=0,NA(),SUMPRODUCT((Inputs!$A$5:$A$180=$B9)*Inputs!$B$5:$B$180*(((Inputs!$G$5:$G$180="moeda")+(Inputs!$G$5:$G$180="acoes"))*Inputs!$B$1+((Inputs!$G$5:$G$180&lt;&gt;"moeda")*(Inputs!$G$5:$G$180&lt;&gt;"acoes")))*INDEX(Inputs!$K$5:$AJ$180,0,MATCH(G$2,Inputs!$K$4:$AJ$4,0)))+SUMPRODUCT((Inputs!$C$5:$C$180=$B9)*Inputs!$D$5:$D$180*(((Inputs!$G$5:$G$180="moeda")+(Inputs!$G$5:$G$180="acoes"))*Inputs!$B$1+((Inputs!$G$5:$G$180&lt;&gt;"moeda")*(Inputs!$G$5:$G$180&lt;&gt;"acoes")))*INDEX(Inputs!$K$5:$AJ$180,0,MATCH(G$2,Inputs!$K$4:$AJ$4,0)))+SUMPRODUCT((Inputs!$E$5:$E$180=$B9)*Inputs!$F$5:$F$180*(((Inputs!$G$5:$G$180="moeda")+(Inputs!$G$5:$G$180="acoes"))*Inputs!$B$1+((Inputs!$G$5:$G$180&lt;&gt;"moeda")*(Inputs!$G$5:$G$180&lt;&gt;"acoes")))*INDEX(Inputs!$K$5:$AJ$180,0,MATCH(G$2,Inputs!$K$4:$AJ$4,0)))))</f>
        <v>12.52093706</v>
      </c>
      <c r="H9" s="3">
        <f>SUM(D9:G9)</f>
        <v>35.54694295</v>
      </c>
      <c r="I9" s="6">
        <f>IF(ISNA(MATCH(I$2,Inputs!$K$4:$AJ$4,0)),NA(),IF(SUMPRODUCT((Inputs!$A$5:$A$180=$B9)*ISNUMBER(INDEX(Inputs!$K$5:$AJ$180,0,MATCH(I$2,Inputs!$K$4:$AJ$4,0))))+SUMPRODUCT((Inputs!$C$5:$C$180=$B9)*ISNUMBER(INDEX(Inputs!$K$5:$AJ$180,0,MATCH(I$2,Inputs!$K$4:$AJ$4,0))))+SUMPRODUCT((Inputs!$E$5:$E$180=$B9)*ISNUMBER(INDEX(Inputs!$K$5:$AJ$180,0,MATCH(I$2,Inputs!$K$4:$AJ$4,0))))=0,NA(),SUMPRODUCT((Inputs!$A$5:$A$180=$B9)*Inputs!$B$5:$B$180*(((Inputs!$G$5:$G$180="moeda")+(Inputs!$G$5:$G$180="acoes"))*Inputs!$B$1+((Inputs!$G$5:$G$180&lt;&gt;"moeda")*(Inputs!$G$5:$G$180&lt;&gt;"acoes")))*INDEX(Inputs!$K$5:$AJ$180,0,MATCH(I$2,Inputs!$K$4:$AJ$4,0)))+SUMPRODUCT((Inputs!$C$5:$C$180=$B9)*Inputs!$D$5:$D$180*(((Inputs!$G$5:$G$180="moeda")+(Inputs!$G$5:$G$180="acoes"))*Inputs!$B$1+((Inputs!$G$5:$G$180&lt;&gt;"moeda")*(Inputs!$G$5:$G$180&lt;&gt;"acoes")))*INDEX(Inputs!$K$5:$AJ$180,0,MATCH(I$2,Inputs!$K$4:$AJ$4,0)))+SUMPRODUCT((Inputs!$E$5:$E$180=$B9)*Inputs!$F$5:$F$180*(((Inputs!$G$5:$G$180="moeda")+(Inputs!$G$5:$G$180="acoes"))*Inputs!$B$1+((Inputs!$G$5:$G$180&lt;&gt;"moeda")*(Inputs!$G$5:$G$180&lt;&gt;"acoes")))*INDEX(Inputs!$K$5:$AJ$180,0,MATCH(I$2,Inputs!$K$4:$AJ$4,0)))))</f>
        <v>11.99196295</v>
      </c>
      <c r="J9" s="6">
        <f>IF(ISNA(MATCH(J$2,Inputs!$K$4:$AJ$4,0)),NA(),IF(SUMPRODUCT((Inputs!$A$5:$A$180=$B9)*ISNUMBER(INDEX(Inputs!$K$5:$AJ$180,0,MATCH(J$2,Inputs!$K$4:$AJ$4,0))))+SUMPRODUCT((Inputs!$C$5:$C$180=$B9)*ISNUMBER(INDEX(Inputs!$K$5:$AJ$180,0,MATCH(J$2,Inputs!$K$4:$AJ$4,0))))+SUMPRODUCT((Inputs!$E$5:$E$180=$B9)*ISNUMBER(INDEX(Inputs!$K$5:$AJ$180,0,MATCH(J$2,Inputs!$K$4:$AJ$4,0))))=0,NA(),SUMPRODUCT((Inputs!$A$5:$A$180=$B9)*Inputs!$B$5:$B$180*(((Inputs!$G$5:$G$180="moeda")+(Inputs!$G$5:$G$180="acoes"))*Inputs!$B$1+((Inputs!$G$5:$G$180&lt;&gt;"moeda")*(Inputs!$G$5:$G$180&lt;&gt;"acoes")))*INDEX(Inputs!$K$5:$AJ$180,0,MATCH(J$2,Inputs!$K$4:$AJ$4,0)))+SUMPRODUCT((Inputs!$C$5:$C$180=$B9)*Inputs!$D$5:$D$180*(((Inputs!$G$5:$G$180="moeda")+(Inputs!$G$5:$G$180="acoes"))*Inputs!$B$1+((Inputs!$G$5:$G$180&lt;&gt;"moeda")*(Inputs!$G$5:$G$180&lt;&gt;"acoes")))*INDEX(Inputs!$K$5:$AJ$180,0,MATCH(J$2,Inputs!$K$4:$AJ$4,0)))+SUMPRODUCT((Inputs!$E$5:$E$180=$B9)*Inputs!$F$5:$F$180*(((Inputs!$G$5:$G$180="moeda")+(Inputs!$G$5:$G$180="acoes"))*Inputs!$B$1+((Inputs!$G$5:$G$180&lt;&gt;"moeda")*(Inputs!$G$5:$G$180&lt;&gt;"acoes")))*INDEX(Inputs!$K$5:$AJ$180,0,MATCH(J$2,Inputs!$K$4:$AJ$4,0)))))</f>
        <v>11.22557667</v>
      </c>
      <c r="K9" s="6">
        <f>IF(ISNA(MATCH(K$2,Inputs!$K$4:$AJ$4,0)),NA(),IF(SUMPRODUCT((Inputs!$A$5:$A$180=$B9)*ISNUMBER(INDEX(Inputs!$K$5:$AJ$180,0,MATCH(K$2,Inputs!$K$4:$AJ$4,0))))+SUMPRODUCT((Inputs!$C$5:$C$180=$B9)*ISNUMBER(INDEX(Inputs!$K$5:$AJ$180,0,MATCH(K$2,Inputs!$K$4:$AJ$4,0))))+SUMPRODUCT((Inputs!$E$5:$E$180=$B9)*ISNUMBER(INDEX(Inputs!$K$5:$AJ$180,0,MATCH(K$2,Inputs!$K$4:$AJ$4,0))))=0,NA(),SUMPRODUCT((Inputs!$A$5:$A$180=$B9)*Inputs!$B$5:$B$180*(((Inputs!$G$5:$G$180="moeda")+(Inputs!$G$5:$G$180="acoes"))*Inputs!$B$1+((Inputs!$G$5:$G$180&lt;&gt;"moeda")*(Inputs!$G$5:$G$180&lt;&gt;"acoes")))*INDEX(Inputs!$K$5:$AJ$180,0,MATCH(K$2,Inputs!$K$4:$AJ$4,0)))+SUMPRODUCT((Inputs!$C$5:$C$180=$B9)*Inputs!$D$5:$D$180*(((Inputs!$G$5:$G$180="moeda")+(Inputs!$G$5:$G$180="acoes"))*Inputs!$B$1+((Inputs!$G$5:$G$180&lt;&gt;"moeda")*(Inputs!$G$5:$G$180&lt;&gt;"acoes")))*INDEX(Inputs!$K$5:$AJ$180,0,MATCH(K$2,Inputs!$K$4:$AJ$4,0)))+SUMPRODUCT((Inputs!$E$5:$E$180=$B9)*Inputs!$F$5:$F$180*(((Inputs!$G$5:$G$180="moeda")+(Inputs!$G$5:$G$180="acoes"))*Inputs!$B$1+((Inputs!$G$5:$G$180&lt;&gt;"moeda")*(Inputs!$G$5:$G$180&lt;&gt;"acoes")))*INDEX(Inputs!$K$5:$AJ$180,0,MATCH(K$2,Inputs!$K$4:$AJ$4,0)))))</f>
        <v>10.53282174</v>
      </c>
      <c r="L9" s="6">
        <f>IF(ISNA(MATCH(L$2,Inputs!$K$4:$AJ$4,0)),NA(),IF(SUMPRODUCT((Inputs!$A$5:$A$180=$B9)*ISNUMBER(INDEX(Inputs!$K$5:$AJ$180,0,MATCH(L$2,Inputs!$K$4:$AJ$4,0))))+SUMPRODUCT((Inputs!$C$5:$C$180=$B9)*ISNUMBER(INDEX(Inputs!$K$5:$AJ$180,0,MATCH(L$2,Inputs!$K$4:$AJ$4,0))))+SUMPRODUCT((Inputs!$E$5:$E$180=$B9)*ISNUMBER(INDEX(Inputs!$K$5:$AJ$180,0,MATCH(L$2,Inputs!$K$4:$AJ$4,0))))=0,NA(),SUMPRODUCT((Inputs!$A$5:$A$180=$B9)*Inputs!$B$5:$B$180*(((Inputs!$G$5:$G$180="moeda")+(Inputs!$G$5:$G$180="acoes"))*Inputs!$B$1+((Inputs!$G$5:$G$180&lt;&gt;"moeda")*(Inputs!$G$5:$G$180&lt;&gt;"acoes")))*INDEX(Inputs!$K$5:$AJ$180,0,MATCH(L$2,Inputs!$K$4:$AJ$4,0)))+SUMPRODUCT((Inputs!$C$5:$C$180=$B9)*Inputs!$D$5:$D$180*(((Inputs!$G$5:$G$180="moeda")+(Inputs!$G$5:$G$180="acoes"))*Inputs!$B$1+((Inputs!$G$5:$G$180&lt;&gt;"moeda")*(Inputs!$G$5:$G$180&lt;&gt;"acoes")))*INDEX(Inputs!$K$5:$AJ$180,0,MATCH(L$2,Inputs!$K$4:$AJ$4,0)))+SUMPRODUCT((Inputs!$E$5:$E$180=$B9)*Inputs!$F$5:$F$180*(((Inputs!$G$5:$G$180="moeda")+(Inputs!$G$5:$G$180="acoes"))*Inputs!$B$1+((Inputs!$G$5:$G$180&lt;&gt;"moeda")*(Inputs!$G$5:$G$180&lt;&gt;"acoes")))*INDEX(Inputs!$K$5:$AJ$180,0,MATCH(L$2,Inputs!$K$4:$AJ$4,0)))))</f>
        <v>10.22877582</v>
      </c>
      <c r="M9" s="3">
        <f>SUM(I9:L9)</f>
        <v>43.97913718</v>
      </c>
      <c r="N9" s="6">
        <f>IF(ISNA(MATCH(N$2,Inputs!$K$4:$AJ$4,0)),NA(),IF(SUMPRODUCT((Inputs!$A$5:$A$180=$B9)*ISNUMBER(INDEX(Inputs!$K$5:$AJ$180,0,MATCH(N$2,Inputs!$K$4:$AJ$4,0))))+SUMPRODUCT((Inputs!$C$5:$C$180=$B9)*ISNUMBER(INDEX(Inputs!$K$5:$AJ$180,0,MATCH(N$2,Inputs!$K$4:$AJ$4,0))))+SUMPRODUCT((Inputs!$E$5:$E$180=$B9)*ISNUMBER(INDEX(Inputs!$K$5:$AJ$180,0,MATCH(N$2,Inputs!$K$4:$AJ$4,0))))=0,NA(),SUMPRODUCT((Inputs!$A$5:$A$180=$B9)*Inputs!$B$5:$B$180*(((Inputs!$G$5:$G$180="moeda")+(Inputs!$G$5:$G$180="acoes"))*Inputs!$B$1+((Inputs!$G$5:$G$180&lt;&gt;"moeda")*(Inputs!$G$5:$G$180&lt;&gt;"acoes")))*INDEX(Inputs!$K$5:$AJ$180,0,MATCH(N$2,Inputs!$K$4:$AJ$4,0)))+SUMPRODUCT((Inputs!$C$5:$C$180=$B9)*Inputs!$D$5:$D$180*(((Inputs!$G$5:$G$180="moeda")+(Inputs!$G$5:$G$180="acoes"))*Inputs!$B$1+((Inputs!$G$5:$G$180&lt;&gt;"moeda")*(Inputs!$G$5:$G$180&lt;&gt;"acoes")))*INDEX(Inputs!$K$5:$AJ$180,0,MATCH(N$2,Inputs!$K$4:$AJ$4,0)))+SUMPRODUCT((Inputs!$E$5:$E$180=$B9)*Inputs!$F$5:$F$180*(((Inputs!$G$5:$G$180="moeda")+(Inputs!$G$5:$G$180="acoes"))*Inputs!$B$1+((Inputs!$G$5:$G$180&lt;&gt;"moeda")*(Inputs!$G$5:$G$180&lt;&gt;"acoes")))*INDEX(Inputs!$K$5:$AJ$180,0,MATCH(N$2,Inputs!$K$4:$AJ$4,0)))))</f>
        <v>9.11330416</v>
      </c>
      <c r="O9" s="6">
        <f>IF(ISNA(MATCH(O$2,Inputs!$K$4:$AJ$4,0)),NA(),IF(SUMPRODUCT((Inputs!$A$5:$A$180=$B9)*ISNUMBER(INDEX(Inputs!$K$5:$AJ$180,0,MATCH(O$2,Inputs!$K$4:$AJ$4,0))))+SUMPRODUCT((Inputs!$C$5:$C$180=$B9)*ISNUMBER(INDEX(Inputs!$K$5:$AJ$180,0,MATCH(O$2,Inputs!$K$4:$AJ$4,0))))+SUMPRODUCT((Inputs!$E$5:$E$180=$B9)*ISNUMBER(INDEX(Inputs!$K$5:$AJ$180,0,MATCH(O$2,Inputs!$K$4:$AJ$4,0))))=0,NA(),SUMPRODUCT((Inputs!$A$5:$A$180=$B9)*Inputs!$B$5:$B$180*(((Inputs!$G$5:$G$180="moeda")+(Inputs!$G$5:$G$180="acoes"))*Inputs!$B$1+((Inputs!$G$5:$G$180&lt;&gt;"moeda")*(Inputs!$G$5:$G$180&lt;&gt;"acoes")))*INDEX(Inputs!$K$5:$AJ$180,0,MATCH(O$2,Inputs!$K$4:$AJ$4,0)))+SUMPRODUCT((Inputs!$C$5:$C$180=$B9)*Inputs!$D$5:$D$180*(((Inputs!$G$5:$G$180="moeda")+(Inputs!$G$5:$G$180="acoes"))*Inputs!$B$1+((Inputs!$G$5:$G$180&lt;&gt;"moeda")*(Inputs!$G$5:$G$180&lt;&gt;"acoes")))*INDEX(Inputs!$K$5:$AJ$180,0,MATCH(O$2,Inputs!$K$4:$AJ$4,0)))+SUMPRODUCT((Inputs!$E$5:$E$180=$B9)*Inputs!$F$5:$F$180*(((Inputs!$G$5:$G$180="moeda")+(Inputs!$G$5:$G$180="acoes"))*Inputs!$B$1+((Inputs!$G$5:$G$180&lt;&gt;"moeda")*(Inputs!$G$5:$G$180&lt;&gt;"acoes")))*INDEX(Inputs!$K$5:$AJ$180,0,MATCH(O$2,Inputs!$K$4:$AJ$4,0)))))</f>
        <v>6.04450589</v>
      </c>
      <c r="P9" s="6">
        <f>IF(ISNA(MATCH(P$2,Inputs!$K$4:$AJ$4,0)),NA(),IF(SUMPRODUCT((Inputs!$A$5:$A$180=$B9)*ISNUMBER(INDEX(Inputs!$K$5:$AJ$180,0,MATCH(P$2,Inputs!$K$4:$AJ$4,0))))+SUMPRODUCT((Inputs!$C$5:$C$180=$B9)*ISNUMBER(INDEX(Inputs!$K$5:$AJ$180,0,MATCH(P$2,Inputs!$K$4:$AJ$4,0))))+SUMPRODUCT((Inputs!$E$5:$E$180=$B9)*ISNUMBER(INDEX(Inputs!$K$5:$AJ$180,0,MATCH(P$2,Inputs!$K$4:$AJ$4,0))))=0,NA(),SUMPRODUCT((Inputs!$A$5:$A$180=$B9)*Inputs!$B$5:$B$180*(((Inputs!$G$5:$G$180="moeda")+(Inputs!$G$5:$G$180="acoes"))*Inputs!$B$1+((Inputs!$G$5:$G$180&lt;&gt;"moeda")*(Inputs!$G$5:$G$180&lt;&gt;"acoes")))*INDEX(Inputs!$K$5:$AJ$180,0,MATCH(P$2,Inputs!$K$4:$AJ$4,0)))+SUMPRODUCT((Inputs!$C$5:$C$180=$B9)*Inputs!$D$5:$D$180*(((Inputs!$G$5:$G$180="moeda")+(Inputs!$G$5:$G$180="acoes"))*Inputs!$B$1+((Inputs!$G$5:$G$180&lt;&gt;"moeda")*(Inputs!$G$5:$G$180&lt;&gt;"acoes")))*INDEX(Inputs!$K$5:$AJ$180,0,MATCH(P$2,Inputs!$K$4:$AJ$4,0)))+SUMPRODUCT((Inputs!$E$5:$E$180=$B9)*Inputs!$F$5:$F$180*(((Inputs!$G$5:$G$180="moeda")+(Inputs!$G$5:$G$180="acoes"))*Inputs!$B$1+((Inputs!$G$5:$G$180&lt;&gt;"moeda")*(Inputs!$G$5:$G$180&lt;&gt;"acoes")))*INDEX(Inputs!$K$5:$AJ$180,0,MATCH(P$2,Inputs!$K$4:$AJ$4,0)))))</f>
        <v>14.8715901</v>
      </c>
      <c r="Q9" s="6">
        <f>IF(ISNA(MATCH(Q$2,Inputs!$K$4:$AJ$4,0)),NA(),IF(SUMPRODUCT((Inputs!$A$5:$A$180=$B9)*ISNUMBER(INDEX(Inputs!$K$5:$AJ$180,0,MATCH(Q$2,Inputs!$K$4:$AJ$4,0))))+SUMPRODUCT((Inputs!$C$5:$C$180=$B9)*ISNUMBER(INDEX(Inputs!$K$5:$AJ$180,0,MATCH(Q$2,Inputs!$K$4:$AJ$4,0))))+SUMPRODUCT((Inputs!$E$5:$E$180=$B9)*ISNUMBER(INDEX(Inputs!$K$5:$AJ$180,0,MATCH(Q$2,Inputs!$K$4:$AJ$4,0))))=0,NA(),SUMPRODUCT((Inputs!$A$5:$A$180=$B9)*Inputs!$B$5:$B$180*(((Inputs!$G$5:$G$180="moeda")+(Inputs!$G$5:$G$180="acoes"))*Inputs!$B$1+((Inputs!$G$5:$G$180&lt;&gt;"moeda")*(Inputs!$G$5:$G$180&lt;&gt;"acoes")))*INDEX(Inputs!$K$5:$AJ$180,0,MATCH(Q$2,Inputs!$K$4:$AJ$4,0)))+SUMPRODUCT((Inputs!$C$5:$C$180=$B9)*Inputs!$D$5:$D$180*(((Inputs!$G$5:$G$180="moeda")+(Inputs!$G$5:$G$180="acoes"))*Inputs!$B$1+((Inputs!$G$5:$G$180&lt;&gt;"moeda")*(Inputs!$G$5:$G$180&lt;&gt;"acoes")))*INDEX(Inputs!$K$5:$AJ$180,0,MATCH(Q$2,Inputs!$K$4:$AJ$4,0)))+SUMPRODUCT((Inputs!$E$5:$E$180=$B9)*Inputs!$F$5:$F$180*(((Inputs!$G$5:$G$180="moeda")+(Inputs!$G$5:$G$180="acoes"))*Inputs!$B$1+((Inputs!$G$5:$G$180&lt;&gt;"moeda")*(Inputs!$G$5:$G$180&lt;&gt;"acoes")))*INDEX(Inputs!$K$5:$AJ$180,0,MATCH(Q$2,Inputs!$K$4:$AJ$4,0)))))</f>
        <v>5.97235264000001</v>
      </c>
      <c r="R9" s="3">
        <f>SUM(N9:Q9)</f>
        <v>36.00175279</v>
      </c>
      <c r="S9" s="6">
        <f>IF(ISNA(MATCH(S$2,Inputs!$K$4:$AJ$4,0)),NA(),IF(SUMPRODUCT((Inputs!$A$5:$A$180=$B9)*ISNUMBER(INDEX(Inputs!$K$5:$AJ$180,0,MATCH(S$2,Inputs!$K$4:$AJ$4,0))))+SUMPRODUCT((Inputs!$C$5:$C$180=$B9)*ISNUMBER(INDEX(Inputs!$K$5:$AJ$180,0,MATCH(S$2,Inputs!$K$4:$AJ$4,0))))+SUMPRODUCT((Inputs!$E$5:$E$180=$B9)*ISNUMBER(INDEX(Inputs!$K$5:$AJ$180,0,MATCH(S$2,Inputs!$K$4:$AJ$4,0))))=0,NA(),SUMPRODUCT((Inputs!$A$5:$A$180=$B9)*Inputs!$B$5:$B$180*(((Inputs!$G$5:$G$180="moeda")+(Inputs!$G$5:$G$180="acoes"))*Inputs!$B$1+((Inputs!$G$5:$G$180&lt;&gt;"moeda")*(Inputs!$G$5:$G$180&lt;&gt;"acoes")))*INDEX(Inputs!$K$5:$AJ$180,0,MATCH(S$2,Inputs!$K$4:$AJ$4,0)))+SUMPRODUCT((Inputs!$C$5:$C$180=$B9)*Inputs!$D$5:$D$180*(((Inputs!$G$5:$G$180="moeda")+(Inputs!$G$5:$G$180="acoes"))*Inputs!$B$1+((Inputs!$G$5:$G$180&lt;&gt;"moeda")*(Inputs!$G$5:$G$180&lt;&gt;"acoes")))*INDEX(Inputs!$K$5:$AJ$180,0,MATCH(S$2,Inputs!$K$4:$AJ$4,0)))+SUMPRODUCT((Inputs!$E$5:$E$180=$B9)*Inputs!$F$5:$F$180*(((Inputs!$G$5:$G$180="moeda")+(Inputs!$G$5:$G$180="acoes"))*Inputs!$B$1+((Inputs!$G$5:$G$180&lt;&gt;"moeda")*(Inputs!$G$5:$G$180&lt;&gt;"acoes")))*INDEX(Inputs!$K$5:$AJ$180,0,MATCH(S$2,Inputs!$K$4:$AJ$4,0)))))</f>
        <v>7.96192667</v>
      </c>
      <c r="T9" s="6">
        <f>IF(ISNA(MATCH(T$2,Inputs!$K$4:$AJ$4,0)),NA(),IF(SUMPRODUCT((Inputs!$A$5:$A$180=$B9)*ISNUMBER(INDEX(Inputs!$K$5:$AJ$180,0,MATCH(T$2,Inputs!$K$4:$AJ$4,0))))+SUMPRODUCT((Inputs!$C$5:$C$180=$B9)*ISNUMBER(INDEX(Inputs!$K$5:$AJ$180,0,MATCH(T$2,Inputs!$K$4:$AJ$4,0))))+SUMPRODUCT((Inputs!$E$5:$E$180=$B9)*ISNUMBER(INDEX(Inputs!$K$5:$AJ$180,0,MATCH(T$2,Inputs!$K$4:$AJ$4,0))))=0,NA(),SUMPRODUCT((Inputs!$A$5:$A$180=$B9)*Inputs!$B$5:$B$180*(((Inputs!$G$5:$G$180="moeda")+(Inputs!$G$5:$G$180="acoes"))*Inputs!$B$1+((Inputs!$G$5:$G$180&lt;&gt;"moeda")*(Inputs!$G$5:$G$180&lt;&gt;"acoes")))*INDEX(Inputs!$K$5:$AJ$180,0,MATCH(T$2,Inputs!$K$4:$AJ$4,0)))+SUMPRODUCT((Inputs!$C$5:$C$180=$B9)*Inputs!$D$5:$D$180*(((Inputs!$G$5:$G$180="moeda")+(Inputs!$G$5:$G$180="acoes"))*Inputs!$B$1+((Inputs!$G$5:$G$180&lt;&gt;"moeda")*(Inputs!$G$5:$G$180&lt;&gt;"acoes")))*INDEX(Inputs!$K$5:$AJ$180,0,MATCH(T$2,Inputs!$K$4:$AJ$4,0)))+SUMPRODUCT((Inputs!$E$5:$E$180=$B9)*Inputs!$F$5:$F$180*(((Inputs!$G$5:$G$180="moeda")+(Inputs!$G$5:$G$180="acoes"))*Inputs!$B$1+((Inputs!$G$5:$G$180&lt;&gt;"moeda")*(Inputs!$G$5:$G$180&lt;&gt;"acoes")))*INDEX(Inputs!$K$5:$AJ$180,0,MATCH(T$2,Inputs!$K$4:$AJ$4,0)))))</f>
        <v>27.91169263</v>
      </c>
      <c r="U9" s="6">
        <f>IF(ISNA(MATCH(U$2,Inputs!$K$4:$AJ$4,0)),NA(),IF(SUMPRODUCT((Inputs!$A$5:$A$180=$B9)*ISNUMBER(INDEX(Inputs!$K$5:$AJ$180,0,MATCH(U$2,Inputs!$K$4:$AJ$4,0))))+SUMPRODUCT((Inputs!$C$5:$C$180=$B9)*ISNUMBER(INDEX(Inputs!$K$5:$AJ$180,0,MATCH(U$2,Inputs!$K$4:$AJ$4,0))))+SUMPRODUCT((Inputs!$E$5:$E$180=$B9)*ISNUMBER(INDEX(Inputs!$K$5:$AJ$180,0,MATCH(U$2,Inputs!$K$4:$AJ$4,0))))=0,NA(),SUMPRODUCT((Inputs!$A$5:$A$180=$B9)*Inputs!$B$5:$B$180*(((Inputs!$G$5:$G$180="moeda")+(Inputs!$G$5:$G$180="acoes"))*Inputs!$B$1+((Inputs!$G$5:$G$180&lt;&gt;"moeda")*(Inputs!$G$5:$G$180&lt;&gt;"acoes")))*INDEX(Inputs!$K$5:$AJ$180,0,MATCH(U$2,Inputs!$K$4:$AJ$4,0)))+SUMPRODUCT((Inputs!$C$5:$C$180=$B9)*Inputs!$D$5:$D$180*(((Inputs!$G$5:$G$180="moeda")+(Inputs!$G$5:$G$180="acoes"))*Inputs!$B$1+((Inputs!$G$5:$G$180&lt;&gt;"moeda")*(Inputs!$G$5:$G$180&lt;&gt;"acoes")))*INDEX(Inputs!$K$5:$AJ$180,0,MATCH(U$2,Inputs!$K$4:$AJ$4,0)))+SUMPRODUCT((Inputs!$E$5:$E$180=$B9)*Inputs!$F$5:$F$180*(((Inputs!$G$5:$G$180="moeda")+(Inputs!$G$5:$G$180="acoes"))*Inputs!$B$1+((Inputs!$G$5:$G$180&lt;&gt;"moeda")*(Inputs!$G$5:$G$180&lt;&gt;"acoes")))*INDEX(Inputs!$K$5:$AJ$180,0,MATCH(U$2,Inputs!$K$4:$AJ$4,0)))))</f>
        <v>11.05975449</v>
      </c>
      <c r="V9" s="6">
        <f>IF(ISNA(MATCH(V$2,Inputs!$K$4:$AJ$4,0)),NA(),IF(SUMPRODUCT((Inputs!$A$5:$A$180=$B9)*ISNUMBER(INDEX(Inputs!$K$5:$AJ$180,0,MATCH(V$2,Inputs!$K$4:$AJ$4,0))))+SUMPRODUCT((Inputs!$C$5:$C$180=$B9)*ISNUMBER(INDEX(Inputs!$K$5:$AJ$180,0,MATCH(V$2,Inputs!$K$4:$AJ$4,0))))+SUMPRODUCT((Inputs!$E$5:$E$180=$B9)*ISNUMBER(INDEX(Inputs!$K$5:$AJ$180,0,MATCH(V$2,Inputs!$K$4:$AJ$4,0))))=0,NA(),SUMPRODUCT((Inputs!$A$5:$A$180=$B9)*Inputs!$B$5:$B$180*(((Inputs!$G$5:$G$180="moeda")+(Inputs!$G$5:$G$180="acoes"))*Inputs!$B$1+((Inputs!$G$5:$G$180&lt;&gt;"moeda")*(Inputs!$G$5:$G$180&lt;&gt;"acoes")))*INDEX(Inputs!$K$5:$AJ$180,0,MATCH(V$2,Inputs!$K$4:$AJ$4,0)))+SUMPRODUCT((Inputs!$C$5:$C$180=$B9)*Inputs!$D$5:$D$180*(((Inputs!$G$5:$G$180="moeda")+(Inputs!$G$5:$G$180="acoes"))*Inputs!$B$1+((Inputs!$G$5:$G$180&lt;&gt;"moeda")*(Inputs!$G$5:$G$180&lt;&gt;"acoes")))*INDEX(Inputs!$K$5:$AJ$180,0,MATCH(V$2,Inputs!$K$4:$AJ$4,0)))+SUMPRODUCT((Inputs!$E$5:$E$180=$B9)*Inputs!$F$5:$F$180*(((Inputs!$G$5:$G$180="moeda")+(Inputs!$G$5:$G$180="acoes"))*Inputs!$B$1+((Inputs!$G$5:$G$180&lt;&gt;"moeda")*(Inputs!$G$5:$G$180&lt;&gt;"acoes")))*INDEX(Inputs!$K$5:$AJ$180,0,MATCH(V$2,Inputs!$K$4:$AJ$4,0)))))</f>
        <v>7.347</v>
      </c>
      <c r="W9" s="3">
        <f>SUM(S9:V9)</f>
        <v>54.28037379</v>
      </c>
      <c r="X9" s="6">
        <f>IF(ISNA(MATCH(X$2,Inputs!$K$4:$AJ$4,0)),NA(),IF(SUMPRODUCT((Inputs!$A$5:$A$180=$B9)*ISNUMBER(INDEX(Inputs!$K$5:$AJ$180,0,MATCH(X$2,Inputs!$K$4:$AJ$4,0))))+SUMPRODUCT((Inputs!$C$5:$C$180=$B9)*ISNUMBER(INDEX(Inputs!$K$5:$AJ$180,0,MATCH(X$2,Inputs!$K$4:$AJ$4,0))))+SUMPRODUCT((Inputs!$E$5:$E$180=$B9)*ISNUMBER(INDEX(Inputs!$K$5:$AJ$180,0,MATCH(X$2,Inputs!$K$4:$AJ$4,0))))=0,NA(),SUMPRODUCT((Inputs!$A$5:$A$180=$B9)*Inputs!$B$5:$B$180*(((Inputs!$G$5:$G$180="moeda")+(Inputs!$G$5:$G$180="acoes"))*Inputs!$B$1+((Inputs!$G$5:$G$180&lt;&gt;"moeda")*(Inputs!$G$5:$G$180&lt;&gt;"acoes")))*INDEX(Inputs!$K$5:$AJ$180,0,MATCH(X$2,Inputs!$K$4:$AJ$4,0)))+SUMPRODUCT((Inputs!$C$5:$C$180=$B9)*Inputs!$D$5:$D$180*(((Inputs!$G$5:$G$180="moeda")+(Inputs!$G$5:$G$180="acoes"))*Inputs!$B$1+((Inputs!$G$5:$G$180&lt;&gt;"moeda")*(Inputs!$G$5:$G$180&lt;&gt;"acoes")))*INDEX(Inputs!$K$5:$AJ$180,0,MATCH(X$2,Inputs!$K$4:$AJ$4,0)))+SUMPRODUCT((Inputs!$E$5:$E$180=$B9)*Inputs!$F$5:$F$180*(((Inputs!$G$5:$G$180="moeda")+(Inputs!$G$5:$G$180="acoes"))*Inputs!$B$1+((Inputs!$G$5:$G$180&lt;&gt;"moeda")*(Inputs!$G$5:$G$180&lt;&gt;"acoes")))*INDEX(Inputs!$K$5:$AJ$180,0,MATCH(X$2,Inputs!$K$4:$AJ$4,0)))))</f>
        <v>8.717</v>
      </c>
      <c r="Y9" s="6">
        <f>IF(ISNA(MATCH(Y$2,Inputs!$K$4:$AJ$4,0)),NA(),IF(SUMPRODUCT((Inputs!$A$5:$A$180=$B9)*ISNUMBER(INDEX(Inputs!$K$5:$AJ$180,0,MATCH(Y$2,Inputs!$K$4:$AJ$4,0))))+SUMPRODUCT((Inputs!$C$5:$C$180=$B9)*ISNUMBER(INDEX(Inputs!$K$5:$AJ$180,0,MATCH(Y$2,Inputs!$K$4:$AJ$4,0))))+SUMPRODUCT((Inputs!$E$5:$E$180=$B9)*ISNUMBER(INDEX(Inputs!$K$5:$AJ$180,0,MATCH(Y$2,Inputs!$K$4:$AJ$4,0))))=0,NA(),SUMPRODUCT((Inputs!$A$5:$A$180=$B9)*Inputs!$B$5:$B$180*(((Inputs!$G$5:$G$180="moeda")+(Inputs!$G$5:$G$180="acoes"))*Inputs!$B$1+((Inputs!$G$5:$G$180&lt;&gt;"moeda")*(Inputs!$G$5:$G$180&lt;&gt;"acoes")))*INDEX(Inputs!$K$5:$AJ$180,0,MATCH(Y$2,Inputs!$K$4:$AJ$4,0)))+SUMPRODUCT((Inputs!$C$5:$C$180=$B9)*Inputs!$D$5:$D$180*(((Inputs!$G$5:$G$180="moeda")+(Inputs!$G$5:$G$180="acoes"))*Inputs!$B$1+((Inputs!$G$5:$G$180&lt;&gt;"moeda")*(Inputs!$G$5:$G$180&lt;&gt;"acoes")))*INDEX(Inputs!$K$5:$AJ$180,0,MATCH(Y$2,Inputs!$K$4:$AJ$4,0)))+SUMPRODUCT((Inputs!$E$5:$E$180=$B9)*Inputs!$F$5:$F$180*(((Inputs!$G$5:$G$180="moeda")+(Inputs!$G$5:$G$180="acoes"))*Inputs!$B$1+((Inputs!$G$5:$G$180&lt;&gt;"moeda")*(Inputs!$G$5:$G$180&lt;&gt;"acoes")))*INDEX(Inputs!$K$5:$AJ$180,0,MATCH(Y$2,Inputs!$K$4:$AJ$4,0)))))</f>
        <v>6.297</v>
      </c>
      <c r="Z9" s="6">
        <f>IF(ISNA(MATCH(Z$2,Inputs!$K$4:$AJ$4,0)),NA(),IF(SUMPRODUCT((Inputs!$A$5:$A$180=$B9)*ISNUMBER(INDEX(Inputs!$K$5:$AJ$180,0,MATCH(Z$2,Inputs!$K$4:$AJ$4,0))))+SUMPRODUCT((Inputs!$C$5:$C$180=$B9)*ISNUMBER(INDEX(Inputs!$K$5:$AJ$180,0,MATCH(Z$2,Inputs!$K$4:$AJ$4,0))))+SUMPRODUCT((Inputs!$E$5:$E$180=$B9)*ISNUMBER(INDEX(Inputs!$K$5:$AJ$180,0,MATCH(Z$2,Inputs!$K$4:$AJ$4,0))))=0,NA(),SUMPRODUCT((Inputs!$A$5:$A$180=$B9)*Inputs!$B$5:$B$180*(((Inputs!$G$5:$G$180="moeda")+(Inputs!$G$5:$G$180="acoes"))*Inputs!$B$1+((Inputs!$G$5:$G$180&lt;&gt;"moeda")*(Inputs!$G$5:$G$180&lt;&gt;"acoes")))*INDEX(Inputs!$K$5:$AJ$180,0,MATCH(Z$2,Inputs!$K$4:$AJ$4,0)))+SUMPRODUCT((Inputs!$C$5:$C$180=$B9)*Inputs!$D$5:$D$180*(((Inputs!$G$5:$G$180="moeda")+(Inputs!$G$5:$G$180="acoes"))*Inputs!$B$1+((Inputs!$G$5:$G$180&lt;&gt;"moeda")*(Inputs!$G$5:$G$180&lt;&gt;"acoes")))*INDEX(Inputs!$K$5:$AJ$180,0,MATCH(Z$2,Inputs!$K$4:$AJ$4,0)))+SUMPRODUCT((Inputs!$E$5:$E$180=$B9)*Inputs!$F$5:$F$180*(((Inputs!$G$5:$G$180="moeda")+(Inputs!$G$5:$G$180="acoes"))*Inputs!$B$1+((Inputs!$G$5:$G$180&lt;&gt;"moeda")*(Inputs!$G$5:$G$180&lt;&gt;"acoes")))*INDEX(Inputs!$K$5:$AJ$180,0,MATCH(Z$2,Inputs!$K$4:$AJ$4,0)))))</f>
        <v>18.529</v>
      </c>
      <c r="AA9" s="6">
        <f>IF(ISNA(MATCH(AA$2,Inputs!$K$4:$AJ$4,0)),NA(),IF(SUMPRODUCT((Inputs!$A$5:$A$180=$B9)*ISNUMBER(INDEX(Inputs!$K$5:$AJ$180,0,MATCH(AA$2,Inputs!$K$4:$AJ$4,0))))+SUMPRODUCT((Inputs!$C$5:$C$180=$B9)*ISNUMBER(INDEX(Inputs!$K$5:$AJ$180,0,MATCH(AA$2,Inputs!$K$4:$AJ$4,0))))+SUMPRODUCT((Inputs!$E$5:$E$180=$B9)*ISNUMBER(INDEX(Inputs!$K$5:$AJ$180,0,MATCH(AA$2,Inputs!$K$4:$AJ$4,0))))=0,NA(),SUMPRODUCT((Inputs!$A$5:$A$180=$B9)*Inputs!$B$5:$B$180*(((Inputs!$G$5:$G$180="moeda")+(Inputs!$G$5:$G$180="acoes"))*Inputs!$B$1+((Inputs!$G$5:$G$180&lt;&gt;"moeda")*(Inputs!$G$5:$G$180&lt;&gt;"acoes")))*INDEX(Inputs!$K$5:$AJ$180,0,MATCH(AA$2,Inputs!$K$4:$AJ$4,0)))+SUMPRODUCT((Inputs!$C$5:$C$180=$B9)*Inputs!$D$5:$D$180*(((Inputs!$G$5:$G$180="moeda")+(Inputs!$G$5:$G$180="acoes"))*Inputs!$B$1+((Inputs!$G$5:$G$180&lt;&gt;"moeda")*(Inputs!$G$5:$G$180&lt;&gt;"acoes")))*INDEX(Inputs!$K$5:$AJ$180,0,MATCH(AA$2,Inputs!$K$4:$AJ$4,0)))+SUMPRODUCT((Inputs!$E$5:$E$180=$B9)*Inputs!$F$5:$F$180*(((Inputs!$G$5:$G$180="moeda")+(Inputs!$G$5:$G$180="acoes"))*Inputs!$B$1+((Inputs!$G$5:$G$180&lt;&gt;"moeda")*(Inputs!$G$5:$G$180&lt;&gt;"acoes")))*INDEX(Inputs!$K$5:$AJ$180,0,MATCH(AA$2,Inputs!$K$4:$AJ$4,0)))))</f>
        <v>15.074</v>
      </c>
      <c r="AB9" s="3">
        <f>SUM(X9:AA9)</f>
        <v>48.617</v>
      </c>
      <c r="AC9" s="6">
        <f>IF(ISNA(MATCH(AC$2,Inputs!$K$4:$AJ$4,0)),NA(),IF(SUMPRODUCT((Inputs!$A$5:$A$180=$B9)*ISNUMBER(INDEX(Inputs!$K$5:$AJ$180,0,MATCH(AC$2,Inputs!$K$4:$AJ$4,0))))+SUMPRODUCT((Inputs!$C$5:$C$180=$B9)*ISNUMBER(INDEX(Inputs!$K$5:$AJ$180,0,MATCH(AC$2,Inputs!$K$4:$AJ$4,0))))+SUMPRODUCT((Inputs!$E$5:$E$180=$B9)*ISNUMBER(INDEX(Inputs!$K$5:$AJ$180,0,MATCH(AC$2,Inputs!$K$4:$AJ$4,0))))=0,NA(),SUMPRODUCT((Inputs!$A$5:$A$180=$B9)*Inputs!$B$5:$B$180*(((Inputs!$G$5:$G$180="moeda")+(Inputs!$G$5:$G$180="acoes"))*Inputs!$B$1+((Inputs!$G$5:$G$180&lt;&gt;"moeda")*(Inputs!$G$5:$G$180&lt;&gt;"acoes")))*INDEX(Inputs!$K$5:$AJ$180,0,MATCH(AC$2,Inputs!$K$4:$AJ$4,0)))+SUMPRODUCT((Inputs!$C$5:$C$180=$B9)*Inputs!$D$5:$D$180*(((Inputs!$G$5:$G$180="moeda")+(Inputs!$G$5:$G$180="acoes"))*Inputs!$B$1+((Inputs!$G$5:$G$180&lt;&gt;"moeda")*(Inputs!$G$5:$G$180&lt;&gt;"acoes")))*INDEX(Inputs!$K$5:$AJ$180,0,MATCH(AC$2,Inputs!$K$4:$AJ$4,0)))+SUMPRODUCT((Inputs!$E$5:$E$180=$B9)*Inputs!$F$5:$F$180*(((Inputs!$G$5:$G$180="moeda")+(Inputs!$G$5:$G$180="acoes"))*Inputs!$B$1+((Inputs!$G$5:$G$180&lt;&gt;"moeda")*(Inputs!$G$5:$G$180&lt;&gt;"acoes")))*INDEX(Inputs!$K$5:$AJ$180,0,MATCH(AC$2,Inputs!$K$4:$AJ$4,0)))))</f>
        <v>8.001</v>
      </c>
      <c r="AD9" s="6">
        <f>IF(ISNA(MATCH(AD$2,Inputs!$K$4:$AJ$4,0)),NA(),IF(SUMPRODUCT((Inputs!$A$5:$A$180=$B9)*ISNUMBER(INDEX(Inputs!$K$5:$AJ$180,0,MATCH(AD$2,Inputs!$K$4:$AJ$4,0))))+SUMPRODUCT((Inputs!$C$5:$C$180=$B9)*ISNUMBER(INDEX(Inputs!$K$5:$AJ$180,0,MATCH(AD$2,Inputs!$K$4:$AJ$4,0))))+SUMPRODUCT((Inputs!$E$5:$E$180=$B9)*ISNUMBER(INDEX(Inputs!$K$5:$AJ$180,0,MATCH(AD$2,Inputs!$K$4:$AJ$4,0))))=0,NA(),SUMPRODUCT((Inputs!$A$5:$A$180=$B9)*Inputs!$B$5:$B$180*(((Inputs!$G$5:$G$180="moeda")+(Inputs!$G$5:$G$180="acoes"))*Inputs!$B$1+((Inputs!$G$5:$G$180&lt;&gt;"moeda")*(Inputs!$G$5:$G$180&lt;&gt;"acoes")))*INDEX(Inputs!$K$5:$AJ$180,0,MATCH(AD$2,Inputs!$K$4:$AJ$4,0)))+SUMPRODUCT((Inputs!$C$5:$C$180=$B9)*Inputs!$D$5:$D$180*(((Inputs!$G$5:$G$180="moeda")+(Inputs!$G$5:$G$180="acoes"))*Inputs!$B$1+((Inputs!$G$5:$G$180&lt;&gt;"moeda")*(Inputs!$G$5:$G$180&lt;&gt;"acoes")))*INDEX(Inputs!$K$5:$AJ$180,0,MATCH(AD$2,Inputs!$K$4:$AJ$4,0)))+SUMPRODUCT((Inputs!$E$5:$E$180=$B9)*Inputs!$F$5:$F$180*(((Inputs!$G$5:$G$180="moeda")+(Inputs!$G$5:$G$180="acoes"))*Inputs!$B$1+((Inputs!$G$5:$G$180&lt;&gt;"moeda")*(Inputs!$G$5:$G$180&lt;&gt;"acoes")))*INDEX(Inputs!$K$5:$AJ$180,0,MATCH(AD$2,Inputs!$K$4:$AJ$4,0)))))</f>
        <v>11.195</v>
      </c>
      <c r="AE9" s="6" t="e">
        <f>IF(ISNA(MATCH(AE$2,Inputs!$K$4:$AJ$4,0)),NA(),IF(SUMPRODUCT((Inputs!$A$5:$A$180=$B9)*ISNUMBER(INDEX(Inputs!$K$5:$AJ$180,0,MATCH(AE$2,Inputs!$K$4:$AJ$4,0))))+SUMPRODUCT((Inputs!$C$5:$C$180=$B9)*ISNUMBER(INDEX(Inputs!$K$5:$AJ$180,0,MATCH(AE$2,Inputs!$K$4:$AJ$4,0))))+SUMPRODUCT((Inputs!$E$5:$E$180=$B9)*ISNUMBER(INDEX(Inputs!$K$5:$AJ$180,0,MATCH(AE$2,Inputs!$K$4:$AJ$4,0))))=0,NA(),SUMPRODUCT((Inputs!$A$5:$A$180=$B9)*Inputs!$B$5:$B$180*(((Inputs!$G$5:$G$180="moeda")+(Inputs!$G$5:$G$180="acoes"))*Inputs!$B$1+((Inputs!$G$5:$G$180&lt;&gt;"moeda")*(Inputs!$G$5:$G$180&lt;&gt;"acoes")))*INDEX(Inputs!$K$5:$AJ$180,0,MATCH(AE$2,Inputs!$K$4:$AJ$4,0)))+SUMPRODUCT((Inputs!$C$5:$C$180=$B9)*Inputs!$D$5:$D$180*(((Inputs!$G$5:$G$180="moeda")+(Inputs!$G$5:$G$180="acoes"))*Inputs!$B$1+((Inputs!$G$5:$G$180&lt;&gt;"moeda")*(Inputs!$G$5:$G$180&lt;&gt;"acoes")))*INDEX(Inputs!$K$5:$AJ$180,0,MATCH(AE$2,Inputs!$K$4:$AJ$4,0)))+SUMPRODUCT((Inputs!$E$5:$E$180=$B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9" s="6" t="e">
        <f>IF(ISNA(MATCH(AF$2,Inputs!$K$4:$AJ$4,0)),NA(),IF(SUMPRODUCT((Inputs!$A$5:$A$180=$B9)*ISNUMBER(INDEX(Inputs!$K$5:$AJ$180,0,MATCH(AF$2,Inputs!$K$4:$AJ$4,0))))+SUMPRODUCT((Inputs!$C$5:$C$180=$B9)*ISNUMBER(INDEX(Inputs!$K$5:$AJ$180,0,MATCH(AF$2,Inputs!$K$4:$AJ$4,0))))+SUMPRODUCT((Inputs!$E$5:$E$180=$B9)*ISNUMBER(INDEX(Inputs!$K$5:$AJ$180,0,MATCH(AF$2,Inputs!$K$4:$AJ$4,0))))=0,NA(),SUMPRODUCT((Inputs!$A$5:$A$180=$B9)*Inputs!$B$5:$B$180*(((Inputs!$G$5:$G$180="moeda")+(Inputs!$G$5:$G$180="acoes"))*Inputs!$B$1+((Inputs!$G$5:$G$180&lt;&gt;"moeda")*(Inputs!$G$5:$G$180&lt;&gt;"acoes")))*INDEX(Inputs!$K$5:$AJ$180,0,MATCH(AF$2,Inputs!$K$4:$AJ$4,0)))+SUMPRODUCT((Inputs!$C$5:$C$180=$B9)*Inputs!$D$5:$D$180*(((Inputs!$G$5:$G$180="moeda")+(Inputs!$G$5:$G$180="acoes"))*Inputs!$B$1+((Inputs!$G$5:$G$180&lt;&gt;"moeda")*(Inputs!$G$5:$G$180&lt;&gt;"acoes")))*INDEX(Inputs!$K$5:$AJ$180,0,MATCH(AF$2,Inputs!$K$4:$AJ$4,0)))+SUMPRODUCT((Inputs!$E$5:$E$180=$B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9" s="3" t="e">
        <f>SUM(AC9:AF9)</f>
        <v>#N/A</v>
      </c>
      <c r="AH9" s="6">
        <f>IF(ISNA(MATCH(AH$2,Inputs!$K$4:$AJ$4,0)),NA(),IF(SUMPRODUCT((Inputs!$A$5:$A$180=$B9)*ISNUMBER(INDEX(Inputs!$K$5:$AJ$180,0,MATCH(AH$2,Inputs!$K$4:$AJ$4,0))))+SUMPRODUCT((Inputs!$C$5:$C$180=$B9)*ISNUMBER(INDEX(Inputs!$K$5:$AJ$180,0,MATCH(AH$2,Inputs!$K$4:$AJ$4,0))))+SUMPRODUCT((Inputs!$E$5:$E$180=$B9)*ISNUMBER(INDEX(Inputs!$K$5:$AJ$180,0,MATCH(AH$2,Inputs!$K$4:$AJ$4,0))))=0,NA(),SUMPRODUCT((Inputs!$A$5:$A$180=$B9)*Inputs!$B$5:$B$180*(((Inputs!$G$5:$G$180="moeda")+(Inputs!$G$5:$G$180="acoes"))*Inputs!$B$1+((Inputs!$G$5:$G$180&lt;&gt;"moeda")*(Inputs!$G$5:$G$180&lt;&gt;"acoes")))*INDEX(Inputs!$K$5:$AJ$180,0,MATCH(AH$2,Inputs!$K$4:$AJ$4,0)))+SUMPRODUCT((Inputs!$C$5:$C$180=$B9)*Inputs!$D$5:$D$180*(((Inputs!$G$5:$G$180="moeda")+(Inputs!$G$5:$G$180="acoes"))*Inputs!$B$1+((Inputs!$G$5:$G$180&lt;&gt;"moeda")*(Inputs!$G$5:$G$180&lt;&gt;"acoes")))*INDEX(Inputs!$K$5:$AJ$180,0,MATCH(AH$2,Inputs!$K$4:$AJ$4,0)))+SUMPRODUCT((Inputs!$E$5:$E$180=$B9)*Inputs!$F$5:$F$180*(((Inputs!$G$5:$G$180="moeda")+(Inputs!$G$5:$G$180="acoes"))*Inputs!$B$1+((Inputs!$G$5:$G$180&lt;&gt;"moeda")*(Inputs!$G$5:$G$180&lt;&gt;"acoes")))*INDEX(Inputs!$K$5:$AJ$180,0,MATCH(AH$2,Inputs!$K$4:$AJ$4,0)))))</f>
        <v>4.69020354</v>
      </c>
      <c r="AI9" s="6">
        <f>IF(ISNA(MATCH(AI$2,Inputs!$K$4:$AJ$4,0)),NA(),IF(SUMPRODUCT((Inputs!$A$5:$A$180=$B9)*ISNUMBER(INDEX(Inputs!$K$5:$AJ$180,0,MATCH(AI$2,Inputs!$K$4:$AJ$4,0))))+SUMPRODUCT((Inputs!$C$5:$C$180=$B9)*ISNUMBER(INDEX(Inputs!$K$5:$AJ$180,0,MATCH(AI$2,Inputs!$K$4:$AJ$4,0))))+SUMPRODUCT((Inputs!$E$5:$E$180=$B9)*ISNUMBER(INDEX(Inputs!$K$5:$AJ$180,0,MATCH(AI$2,Inputs!$K$4:$AJ$4,0))))=0,NA(),SUMPRODUCT((Inputs!$A$5:$A$180=$B9)*Inputs!$B$5:$B$180*(((Inputs!$G$5:$G$180="moeda")+(Inputs!$G$5:$G$180="acoes"))*Inputs!$B$1+((Inputs!$G$5:$G$180&lt;&gt;"moeda")*(Inputs!$G$5:$G$180&lt;&gt;"acoes")))*INDEX(Inputs!$K$5:$AJ$180,0,MATCH(AI$2,Inputs!$K$4:$AJ$4,0)))+SUMPRODUCT((Inputs!$C$5:$C$180=$B9)*Inputs!$D$5:$D$180*(((Inputs!$G$5:$G$180="moeda")+(Inputs!$G$5:$G$180="acoes"))*Inputs!$B$1+((Inputs!$G$5:$G$180&lt;&gt;"moeda")*(Inputs!$G$5:$G$180&lt;&gt;"acoes")))*INDEX(Inputs!$K$5:$AJ$180,0,MATCH(AI$2,Inputs!$K$4:$AJ$4,0)))+SUMPRODUCT((Inputs!$E$5:$E$180=$B9)*Inputs!$F$5:$F$180*(((Inputs!$G$5:$G$180="moeda")+(Inputs!$G$5:$G$180="acoes"))*Inputs!$B$1+((Inputs!$G$5:$G$180&lt;&gt;"moeda")*(Inputs!$G$5:$G$180&lt;&gt;"acoes")))*INDEX(Inputs!$K$5:$AJ$180,0,MATCH(AI$2,Inputs!$K$4:$AJ$4,0)))))</f>
        <v>5.96162275</v>
      </c>
      <c r="AJ9" s="6">
        <f>IF(ISNA(MATCH(AJ$2,Inputs!$K$4:$AJ$4,0)),NA(),IF(SUMPRODUCT((Inputs!$A$5:$A$180=$B9)*ISNUMBER(INDEX(Inputs!$K$5:$AJ$180,0,MATCH(AJ$2,Inputs!$K$4:$AJ$4,0))))+SUMPRODUCT((Inputs!$C$5:$C$180=$B9)*ISNUMBER(INDEX(Inputs!$K$5:$AJ$180,0,MATCH(AJ$2,Inputs!$K$4:$AJ$4,0))))+SUMPRODUCT((Inputs!$E$5:$E$180=$B9)*ISNUMBER(INDEX(Inputs!$K$5:$AJ$180,0,MATCH(AJ$2,Inputs!$K$4:$AJ$4,0))))=0,NA(),SUMPRODUCT((Inputs!$A$5:$A$180=$B9)*Inputs!$B$5:$B$180*(((Inputs!$G$5:$G$180="moeda")+(Inputs!$G$5:$G$180="acoes"))*Inputs!$B$1+((Inputs!$G$5:$G$180&lt;&gt;"moeda")*(Inputs!$G$5:$G$180&lt;&gt;"acoes")))*INDEX(Inputs!$K$5:$AJ$180,0,MATCH(AJ$2,Inputs!$K$4:$AJ$4,0)))+SUMPRODUCT((Inputs!$C$5:$C$180=$B9)*Inputs!$D$5:$D$180*(((Inputs!$G$5:$G$180="moeda")+(Inputs!$G$5:$G$180="acoes"))*Inputs!$B$1+((Inputs!$G$5:$G$180&lt;&gt;"moeda")*(Inputs!$G$5:$G$180&lt;&gt;"acoes")))*INDEX(Inputs!$K$5:$AJ$180,0,MATCH(AJ$2,Inputs!$K$4:$AJ$4,0)))+SUMPRODUCT((Inputs!$E$5:$E$180=$B9)*Inputs!$F$5:$F$180*(((Inputs!$G$5:$G$180="moeda")+(Inputs!$G$5:$G$180="acoes"))*Inputs!$B$1+((Inputs!$G$5:$G$180&lt;&gt;"moeda")*(Inputs!$G$5:$G$180&lt;&gt;"acoes")))*INDEX(Inputs!$K$5:$AJ$180,0,MATCH(AJ$2,Inputs!$K$4:$AJ$4,0)))))</f>
        <v>5.13823361</v>
      </c>
      <c r="AK9" s="6">
        <f>IF(ISNA(MATCH(AK$2,Inputs!$K$4:$AJ$4,0)),NA(),IF(SUMPRODUCT((Inputs!$A$5:$A$180=$B9)*ISNUMBER(INDEX(Inputs!$K$5:$AJ$180,0,MATCH(AK$2,Inputs!$K$4:$AJ$4,0))))+SUMPRODUCT((Inputs!$C$5:$C$180=$B9)*ISNUMBER(INDEX(Inputs!$K$5:$AJ$180,0,MATCH(AK$2,Inputs!$K$4:$AJ$4,0))))+SUMPRODUCT((Inputs!$E$5:$E$180=$B9)*ISNUMBER(INDEX(Inputs!$K$5:$AJ$180,0,MATCH(AK$2,Inputs!$K$4:$AJ$4,0))))=0,NA(),SUMPRODUCT((Inputs!$A$5:$A$180=$B9)*Inputs!$B$5:$B$180*(((Inputs!$G$5:$G$180="moeda")+(Inputs!$G$5:$G$180="acoes"))*Inputs!$B$1+((Inputs!$G$5:$G$180&lt;&gt;"moeda")*(Inputs!$G$5:$G$180&lt;&gt;"acoes")))*INDEX(Inputs!$K$5:$AJ$180,0,MATCH(AK$2,Inputs!$K$4:$AJ$4,0)))+SUMPRODUCT((Inputs!$C$5:$C$180=$B9)*Inputs!$D$5:$D$180*(((Inputs!$G$5:$G$180="moeda")+(Inputs!$G$5:$G$180="acoes"))*Inputs!$B$1+((Inputs!$G$5:$G$180&lt;&gt;"moeda")*(Inputs!$G$5:$G$180&lt;&gt;"acoes")))*INDEX(Inputs!$K$5:$AJ$180,0,MATCH(AK$2,Inputs!$K$4:$AJ$4,0)))+SUMPRODUCT((Inputs!$E$5:$E$180=$B9)*Inputs!$F$5:$F$180*(((Inputs!$G$5:$G$180="moeda")+(Inputs!$G$5:$G$180="acoes"))*Inputs!$B$1+((Inputs!$G$5:$G$180&lt;&gt;"moeda")*(Inputs!$G$5:$G$180&lt;&gt;"acoes")))*INDEX(Inputs!$K$5:$AJ$180,0,MATCH(AK$2,Inputs!$K$4:$AJ$4,0)))))</f>
        <v>4.50375606</v>
      </c>
      <c r="AL9" s="3">
        <f>SUM(AH9:AK9)</f>
        <v>20.29381596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$180=$B10)*ISNUMBER(INDEX(Inputs!$K$5:$AJ$180,0,MATCH(D$2,Inputs!$K$4:$AJ$4,0))))+SUMPRODUCT((Inputs!$C$5:$C$180=$B10)*ISNUMBER(INDEX(Inputs!$K$5:$AJ$180,0,MATCH(D$2,Inputs!$K$4:$AJ$4,0))))+SUMPRODUCT((Inputs!$E$5:$E$180=$B10)*ISNUMBER(INDEX(Inputs!$K$5:$AJ$180,0,MATCH(D$2,Inputs!$K$4:$AJ$4,0))))=0,NA(),SUMPRODUCT((Inputs!$A$5:$A$180=$B10)*Inputs!$B$5:$B$180*(((Inputs!$G$5:$G$180="moeda")+(Inputs!$G$5:$G$180="acoes"))*Inputs!$B$1+((Inputs!$G$5:$G$180&lt;&gt;"moeda")*(Inputs!$G$5:$G$180&lt;&gt;"acoes")))*INDEX(Inputs!$K$5:$AJ$180,0,MATCH(D$2,Inputs!$K$4:$AJ$4,0)))+SUMPRODUCT((Inputs!$C$5:$C$180=$B10)*Inputs!$D$5:$D$180*(((Inputs!$G$5:$G$180="moeda")+(Inputs!$G$5:$G$180="acoes"))*Inputs!$B$1+((Inputs!$G$5:$G$180&lt;&gt;"moeda")*(Inputs!$G$5:$G$180&lt;&gt;"acoes")))*INDEX(Inputs!$K$5:$AJ$180,0,MATCH(D$2,Inputs!$K$4:$AJ$4,0)))+SUMPRODUCT((Inputs!$E$5:$E$180=$B10)*Inputs!$F$5:$F$180*(((Inputs!$G$5:$G$180="moeda")+(Inputs!$G$5:$G$180="acoes"))*Inputs!$B$1+((Inputs!$G$5:$G$180&lt;&gt;"moeda")*(Inputs!$G$5:$G$180&lt;&gt;"acoes")))*INDEX(Inputs!$K$5:$AJ$180,0,MATCH(D$2,Inputs!$K$4:$AJ$4,0)))))</f>
        <v>3.54232180899056</v>
      </c>
      <c r="E10" s="6">
        <f>IF(ISNA(MATCH(E$2,Inputs!$K$4:$AJ$4,0)),NA(),IF(SUMPRODUCT((Inputs!$A$5:$A$180=$B10)*ISNUMBER(INDEX(Inputs!$K$5:$AJ$180,0,MATCH(E$2,Inputs!$K$4:$AJ$4,0))))+SUMPRODUCT((Inputs!$C$5:$C$180=$B10)*ISNUMBER(INDEX(Inputs!$K$5:$AJ$180,0,MATCH(E$2,Inputs!$K$4:$AJ$4,0))))+SUMPRODUCT((Inputs!$E$5:$E$180=$B10)*ISNUMBER(INDEX(Inputs!$K$5:$AJ$180,0,MATCH(E$2,Inputs!$K$4:$AJ$4,0))))=0,NA(),SUMPRODUCT((Inputs!$A$5:$A$180=$B10)*Inputs!$B$5:$B$180*(((Inputs!$G$5:$G$180="moeda")+(Inputs!$G$5:$G$180="acoes"))*Inputs!$B$1+((Inputs!$G$5:$G$180&lt;&gt;"moeda")*(Inputs!$G$5:$G$180&lt;&gt;"acoes")))*INDEX(Inputs!$K$5:$AJ$180,0,MATCH(E$2,Inputs!$K$4:$AJ$4,0)))+SUMPRODUCT((Inputs!$C$5:$C$180=$B10)*Inputs!$D$5:$D$180*(((Inputs!$G$5:$G$180="moeda")+(Inputs!$G$5:$G$180="acoes"))*Inputs!$B$1+((Inputs!$G$5:$G$180&lt;&gt;"moeda")*(Inputs!$G$5:$G$180&lt;&gt;"acoes")))*INDEX(Inputs!$K$5:$AJ$180,0,MATCH(E$2,Inputs!$K$4:$AJ$4,0)))+SUMPRODUCT((Inputs!$E$5:$E$180=$B10)*Inputs!$F$5:$F$180*(((Inputs!$G$5:$G$180="moeda")+(Inputs!$G$5:$G$180="acoes"))*Inputs!$B$1+((Inputs!$G$5:$G$180&lt;&gt;"moeda")*(Inputs!$G$5:$G$180&lt;&gt;"acoes")))*INDEX(Inputs!$K$5:$AJ$180,0,MATCH(E$2,Inputs!$K$4:$AJ$4,0)))))</f>
        <v>0.227120517442105</v>
      </c>
      <c r="F10" s="6">
        <f>IF(ISNA(MATCH(F$2,Inputs!$K$4:$AJ$4,0)),NA(),IF(SUMPRODUCT((Inputs!$A$5:$A$180=$B10)*ISNUMBER(INDEX(Inputs!$K$5:$AJ$180,0,MATCH(F$2,Inputs!$K$4:$AJ$4,0))))+SUMPRODUCT((Inputs!$C$5:$C$180=$B10)*ISNUMBER(INDEX(Inputs!$K$5:$AJ$180,0,MATCH(F$2,Inputs!$K$4:$AJ$4,0))))+SUMPRODUCT((Inputs!$E$5:$E$180=$B10)*ISNUMBER(INDEX(Inputs!$K$5:$AJ$180,0,MATCH(F$2,Inputs!$K$4:$AJ$4,0))))=0,NA(),SUMPRODUCT((Inputs!$A$5:$A$180=$B10)*Inputs!$B$5:$B$180*(((Inputs!$G$5:$G$180="moeda")+(Inputs!$G$5:$G$180="acoes"))*Inputs!$B$1+((Inputs!$G$5:$G$180&lt;&gt;"moeda")*(Inputs!$G$5:$G$180&lt;&gt;"acoes")))*INDEX(Inputs!$K$5:$AJ$180,0,MATCH(F$2,Inputs!$K$4:$AJ$4,0)))+SUMPRODUCT((Inputs!$C$5:$C$180=$B10)*Inputs!$D$5:$D$180*(((Inputs!$G$5:$G$180="moeda")+(Inputs!$G$5:$G$180="acoes"))*Inputs!$B$1+((Inputs!$G$5:$G$180&lt;&gt;"moeda")*(Inputs!$G$5:$G$180&lt;&gt;"acoes")))*INDEX(Inputs!$K$5:$AJ$180,0,MATCH(F$2,Inputs!$K$4:$AJ$4,0)))+SUMPRODUCT((Inputs!$E$5:$E$180=$B10)*Inputs!$F$5:$F$180*(((Inputs!$G$5:$G$180="moeda")+(Inputs!$G$5:$G$180="acoes"))*Inputs!$B$1+((Inputs!$G$5:$G$180&lt;&gt;"moeda")*(Inputs!$G$5:$G$180&lt;&gt;"acoes")))*INDEX(Inputs!$K$5:$AJ$180,0,MATCH(F$2,Inputs!$K$4:$AJ$4,0)))))</f>
        <v>25.328</v>
      </c>
      <c r="G10" s="6">
        <f>IF(ISNA(MATCH(G$2,Inputs!$K$4:$AJ$4,0)),NA(),IF(SUMPRODUCT((Inputs!$A$5:$A$180=$B10)*ISNUMBER(INDEX(Inputs!$K$5:$AJ$180,0,MATCH(G$2,Inputs!$K$4:$AJ$4,0))))+SUMPRODUCT((Inputs!$C$5:$C$180=$B10)*ISNUMBER(INDEX(Inputs!$K$5:$AJ$180,0,MATCH(G$2,Inputs!$K$4:$AJ$4,0))))+SUMPRODUCT((Inputs!$E$5:$E$180=$B10)*ISNUMBER(INDEX(Inputs!$K$5:$AJ$180,0,MATCH(G$2,Inputs!$K$4:$AJ$4,0))))=0,NA(),SUMPRODUCT((Inputs!$A$5:$A$180=$B10)*Inputs!$B$5:$B$180*(((Inputs!$G$5:$G$180="moeda")+(Inputs!$G$5:$G$180="acoes"))*Inputs!$B$1+((Inputs!$G$5:$G$180&lt;&gt;"moeda")*(Inputs!$G$5:$G$180&lt;&gt;"acoes")))*INDEX(Inputs!$K$5:$AJ$180,0,MATCH(G$2,Inputs!$K$4:$AJ$4,0)))+SUMPRODUCT((Inputs!$C$5:$C$180=$B10)*Inputs!$D$5:$D$180*(((Inputs!$G$5:$G$180="moeda")+(Inputs!$G$5:$G$180="acoes"))*Inputs!$B$1+((Inputs!$G$5:$G$180&lt;&gt;"moeda")*(Inputs!$G$5:$G$180&lt;&gt;"acoes")))*INDEX(Inputs!$K$5:$AJ$180,0,MATCH(G$2,Inputs!$K$4:$AJ$4,0)))+SUMPRODUCT((Inputs!$E$5:$E$180=$B10)*Inputs!$F$5:$F$180*(((Inputs!$G$5:$G$180="moeda")+(Inputs!$G$5:$G$180="acoes"))*Inputs!$B$1+((Inputs!$G$5:$G$180&lt;&gt;"moeda")*(Inputs!$G$5:$G$180&lt;&gt;"acoes")))*INDEX(Inputs!$K$5:$AJ$180,0,MATCH(G$2,Inputs!$K$4:$AJ$4,0)))))</f>
        <v>6.68183184199407</v>
      </c>
      <c r="H10" s="3">
        <f>SUM(D10:G10)</f>
        <v>35.7792741684267</v>
      </c>
      <c r="I10" s="6">
        <f>IF(ISNA(MATCH(I$2,Inputs!$K$4:$AJ$4,0)),NA(),IF(SUMPRODUCT((Inputs!$A$5:$A$180=$B10)*ISNUMBER(INDEX(Inputs!$K$5:$AJ$180,0,MATCH(I$2,Inputs!$K$4:$AJ$4,0))))+SUMPRODUCT((Inputs!$C$5:$C$180=$B10)*ISNUMBER(INDEX(Inputs!$K$5:$AJ$180,0,MATCH(I$2,Inputs!$K$4:$AJ$4,0))))+SUMPRODUCT((Inputs!$E$5:$E$180=$B10)*ISNUMBER(INDEX(Inputs!$K$5:$AJ$180,0,MATCH(I$2,Inputs!$K$4:$AJ$4,0))))=0,NA(),SUMPRODUCT((Inputs!$A$5:$A$180=$B10)*Inputs!$B$5:$B$180*(((Inputs!$G$5:$G$180="moeda")+(Inputs!$G$5:$G$180="acoes"))*Inputs!$B$1+((Inputs!$G$5:$G$180&lt;&gt;"moeda")*(Inputs!$G$5:$G$180&lt;&gt;"acoes")))*INDEX(Inputs!$K$5:$AJ$180,0,MATCH(I$2,Inputs!$K$4:$AJ$4,0)))+SUMPRODUCT((Inputs!$C$5:$C$180=$B10)*Inputs!$D$5:$D$180*(((Inputs!$G$5:$G$180="moeda")+(Inputs!$G$5:$G$180="acoes"))*Inputs!$B$1+((Inputs!$G$5:$G$180&lt;&gt;"moeda")*(Inputs!$G$5:$G$180&lt;&gt;"acoes")))*INDEX(Inputs!$K$5:$AJ$180,0,MATCH(I$2,Inputs!$K$4:$AJ$4,0)))+SUMPRODUCT((Inputs!$E$5:$E$180=$B10)*Inputs!$F$5:$F$180*(((Inputs!$G$5:$G$180="moeda")+(Inputs!$G$5:$G$180="acoes"))*Inputs!$B$1+((Inputs!$G$5:$G$180&lt;&gt;"moeda")*(Inputs!$G$5:$G$180&lt;&gt;"acoes")))*INDEX(Inputs!$K$5:$AJ$180,0,MATCH(I$2,Inputs!$K$4:$AJ$4,0)))))</f>
        <v>11.2065187349387</v>
      </c>
      <c r="J10" s="6">
        <f>IF(ISNA(MATCH(J$2,Inputs!$K$4:$AJ$4,0)),NA(),IF(SUMPRODUCT((Inputs!$A$5:$A$180=$B10)*ISNUMBER(INDEX(Inputs!$K$5:$AJ$180,0,MATCH(J$2,Inputs!$K$4:$AJ$4,0))))+SUMPRODUCT((Inputs!$C$5:$C$180=$B10)*ISNUMBER(INDEX(Inputs!$K$5:$AJ$180,0,MATCH(J$2,Inputs!$K$4:$AJ$4,0))))+SUMPRODUCT((Inputs!$E$5:$E$180=$B10)*ISNUMBER(INDEX(Inputs!$K$5:$AJ$180,0,MATCH(J$2,Inputs!$K$4:$AJ$4,0))))=0,NA(),SUMPRODUCT((Inputs!$A$5:$A$180=$B10)*Inputs!$B$5:$B$180*(((Inputs!$G$5:$G$180="moeda")+(Inputs!$G$5:$G$180="acoes"))*Inputs!$B$1+((Inputs!$G$5:$G$180&lt;&gt;"moeda")*(Inputs!$G$5:$G$180&lt;&gt;"acoes")))*INDEX(Inputs!$K$5:$AJ$180,0,MATCH(J$2,Inputs!$K$4:$AJ$4,0)))+SUMPRODUCT((Inputs!$C$5:$C$180=$B10)*Inputs!$D$5:$D$180*(((Inputs!$G$5:$G$180="moeda")+(Inputs!$G$5:$G$180="acoes"))*Inputs!$B$1+((Inputs!$G$5:$G$180&lt;&gt;"moeda")*(Inputs!$G$5:$G$180&lt;&gt;"acoes")))*INDEX(Inputs!$K$5:$AJ$180,0,MATCH(J$2,Inputs!$K$4:$AJ$4,0)))+SUMPRODUCT((Inputs!$E$5:$E$180=$B10)*Inputs!$F$5:$F$180*(((Inputs!$G$5:$G$180="moeda")+(Inputs!$G$5:$G$180="acoes"))*Inputs!$B$1+((Inputs!$G$5:$G$180&lt;&gt;"moeda")*(Inputs!$G$5:$G$180&lt;&gt;"acoes")))*INDEX(Inputs!$K$5:$AJ$180,0,MATCH(J$2,Inputs!$K$4:$AJ$4,0)))))</f>
        <v>11.0261487620823</v>
      </c>
      <c r="K10" s="6">
        <f>IF(ISNA(MATCH(K$2,Inputs!$K$4:$AJ$4,0)),NA(),IF(SUMPRODUCT((Inputs!$A$5:$A$180=$B10)*ISNUMBER(INDEX(Inputs!$K$5:$AJ$180,0,MATCH(K$2,Inputs!$K$4:$AJ$4,0))))+SUMPRODUCT((Inputs!$C$5:$C$180=$B10)*ISNUMBER(INDEX(Inputs!$K$5:$AJ$180,0,MATCH(K$2,Inputs!$K$4:$AJ$4,0))))+SUMPRODUCT((Inputs!$E$5:$E$180=$B10)*ISNUMBER(INDEX(Inputs!$K$5:$AJ$180,0,MATCH(K$2,Inputs!$K$4:$AJ$4,0))))=0,NA(),SUMPRODUCT((Inputs!$A$5:$A$180=$B10)*Inputs!$B$5:$B$180*(((Inputs!$G$5:$G$180="moeda")+(Inputs!$G$5:$G$180="acoes"))*Inputs!$B$1+((Inputs!$G$5:$G$180&lt;&gt;"moeda")*(Inputs!$G$5:$G$180&lt;&gt;"acoes")))*INDEX(Inputs!$K$5:$AJ$180,0,MATCH(K$2,Inputs!$K$4:$AJ$4,0)))+SUMPRODUCT((Inputs!$C$5:$C$180=$B10)*Inputs!$D$5:$D$180*(((Inputs!$G$5:$G$180="moeda")+(Inputs!$G$5:$G$180="acoes"))*Inputs!$B$1+((Inputs!$G$5:$G$180&lt;&gt;"moeda")*(Inputs!$G$5:$G$180&lt;&gt;"acoes")))*INDEX(Inputs!$K$5:$AJ$180,0,MATCH(K$2,Inputs!$K$4:$AJ$4,0)))+SUMPRODUCT((Inputs!$E$5:$E$180=$B10)*Inputs!$F$5:$F$180*(((Inputs!$G$5:$G$180="moeda")+(Inputs!$G$5:$G$180="acoes"))*Inputs!$B$1+((Inputs!$G$5:$G$180&lt;&gt;"moeda")*(Inputs!$G$5:$G$180&lt;&gt;"acoes")))*INDEX(Inputs!$K$5:$AJ$180,0,MATCH(K$2,Inputs!$K$4:$AJ$4,0)))))</f>
        <v>17.791672449903</v>
      </c>
      <c r="L10" s="6">
        <f>IF(ISNA(MATCH(L$2,Inputs!$K$4:$AJ$4,0)),NA(),IF(SUMPRODUCT((Inputs!$A$5:$A$180=$B10)*ISNUMBER(INDEX(Inputs!$K$5:$AJ$180,0,MATCH(L$2,Inputs!$K$4:$AJ$4,0))))+SUMPRODUCT((Inputs!$C$5:$C$180=$B10)*ISNUMBER(INDEX(Inputs!$K$5:$AJ$180,0,MATCH(L$2,Inputs!$K$4:$AJ$4,0))))+SUMPRODUCT((Inputs!$E$5:$E$180=$B10)*ISNUMBER(INDEX(Inputs!$K$5:$AJ$180,0,MATCH(L$2,Inputs!$K$4:$AJ$4,0))))=0,NA(),SUMPRODUCT((Inputs!$A$5:$A$180=$B10)*Inputs!$B$5:$B$180*(((Inputs!$G$5:$G$180="moeda")+(Inputs!$G$5:$G$180="acoes"))*Inputs!$B$1+((Inputs!$G$5:$G$180&lt;&gt;"moeda")*(Inputs!$G$5:$G$180&lt;&gt;"acoes")))*INDEX(Inputs!$K$5:$AJ$180,0,MATCH(L$2,Inputs!$K$4:$AJ$4,0)))+SUMPRODUCT((Inputs!$C$5:$C$180=$B10)*Inputs!$D$5:$D$180*(((Inputs!$G$5:$G$180="moeda")+(Inputs!$G$5:$G$180="acoes"))*Inputs!$B$1+((Inputs!$G$5:$G$180&lt;&gt;"moeda")*(Inputs!$G$5:$G$180&lt;&gt;"acoes")))*INDEX(Inputs!$K$5:$AJ$180,0,MATCH(L$2,Inputs!$K$4:$AJ$4,0)))+SUMPRODUCT((Inputs!$E$5:$E$180=$B10)*Inputs!$F$5:$F$180*(((Inputs!$G$5:$G$180="moeda")+(Inputs!$G$5:$G$180="acoes"))*Inputs!$B$1+((Inputs!$G$5:$G$180&lt;&gt;"moeda")*(Inputs!$G$5:$G$180&lt;&gt;"acoes")))*INDEX(Inputs!$K$5:$AJ$180,0,MATCH(L$2,Inputs!$K$4:$AJ$4,0)))))</f>
        <v>-10.2045227944095</v>
      </c>
      <c r="M10" s="3">
        <f>SUM(I10:L10)</f>
        <v>29.8198171525145</v>
      </c>
      <c r="N10" s="6">
        <f>IF(ISNA(MATCH(N$2,Inputs!$K$4:$AJ$4,0)),NA(),IF(SUMPRODUCT((Inputs!$A$5:$A$180=$B10)*ISNUMBER(INDEX(Inputs!$K$5:$AJ$180,0,MATCH(N$2,Inputs!$K$4:$AJ$4,0))))+SUMPRODUCT((Inputs!$C$5:$C$180=$B10)*ISNUMBER(INDEX(Inputs!$K$5:$AJ$180,0,MATCH(N$2,Inputs!$K$4:$AJ$4,0))))+SUMPRODUCT((Inputs!$E$5:$E$180=$B10)*ISNUMBER(INDEX(Inputs!$K$5:$AJ$180,0,MATCH(N$2,Inputs!$K$4:$AJ$4,0))))=0,NA(),SUMPRODUCT((Inputs!$A$5:$A$180=$B10)*Inputs!$B$5:$B$180*(((Inputs!$G$5:$G$180="moeda")+(Inputs!$G$5:$G$180="acoes"))*Inputs!$B$1+((Inputs!$G$5:$G$180&lt;&gt;"moeda")*(Inputs!$G$5:$G$180&lt;&gt;"acoes")))*INDEX(Inputs!$K$5:$AJ$180,0,MATCH(N$2,Inputs!$K$4:$AJ$4,0)))+SUMPRODUCT((Inputs!$C$5:$C$180=$B10)*Inputs!$D$5:$D$180*(((Inputs!$G$5:$G$180="moeda")+(Inputs!$G$5:$G$180="acoes"))*Inputs!$B$1+((Inputs!$G$5:$G$180&lt;&gt;"moeda")*(Inputs!$G$5:$G$180&lt;&gt;"acoes")))*INDEX(Inputs!$K$5:$AJ$180,0,MATCH(N$2,Inputs!$K$4:$AJ$4,0)))+SUMPRODUCT((Inputs!$E$5:$E$180=$B10)*Inputs!$F$5:$F$180*(((Inputs!$G$5:$G$180="moeda")+(Inputs!$G$5:$G$180="acoes"))*Inputs!$B$1+((Inputs!$G$5:$G$180&lt;&gt;"moeda")*(Inputs!$G$5:$G$180&lt;&gt;"acoes")))*INDEX(Inputs!$K$5:$AJ$180,0,MATCH(N$2,Inputs!$K$4:$AJ$4,0)))))</f>
        <v>3.9524351552</v>
      </c>
      <c r="O10" s="6">
        <f>IF(ISNA(MATCH(O$2,Inputs!$K$4:$AJ$4,0)),NA(),IF(SUMPRODUCT((Inputs!$A$5:$A$180=$B10)*ISNUMBER(INDEX(Inputs!$K$5:$AJ$180,0,MATCH(O$2,Inputs!$K$4:$AJ$4,0))))+SUMPRODUCT((Inputs!$C$5:$C$180=$B10)*ISNUMBER(INDEX(Inputs!$K$5:$AJ$180,0,MATCH(O$2,Inputs!$K$4:$AJ$4,0))))+SUMPRODUCT((Inputs!$E$5:$E$180=$B10)*ISNUMBER(INDEX(Inputs!$K$5:$AJ$180,0,MATCH(O$2,Inputs!$K$4:$AJ$4,0))))=0,NA(),SUMPRODUCT((Inputs!$A$5:$A$180=$B10)*Inputs!$B$5:$B$180*(((Inputs!$G$5:$G$180="moeda")+(Inputs!$G$5:$G$180="acoes"))*Inputs!$B$1+((Inputs!$G$5:$G$180&lt;&gt;"moeda")*(Inputs!$G$5:$G$180&lt;&gt;"acoes")))*INDEX(Inputs!$K$5:$AJ$180,0,MATCH(O$2,Inputs!$K$4:$AJ$4,0)))+SUMPRODUCT((Inputs!$C$5:$C$180=$B10)*Inputs!$D$5:$D$180*(((Inputs!$G$5:$G$180="moeda")+(Inputs!$G$5:$G$180="acoes"))*Inputs!$B$1+((Inputs!$G$5:$G$180&lt;&gt;"moeda")*(Inputs!$G$5:$G$180&lt;&gt;"acoes")))*INDEX(Inputs!$K$5:$AJ$180,0,MATCH(O$2,Inputs!$K$4:$AJ$4,0)))+SUMPRODUCT((Inputs!$E$5:$E$180=$B10)*Inputs!$F$5:$F$180*(((Inputs!$G$5:$G$180="moeda")+(Inputs!$G$5:$G$180="acoes"))*Inputs!$B$1+((Inputs!$G$5:$G$180&lt;&gt;"moeda")*(Inputs!$G$5:$G$180&lt;&gt;"acoes")))*INDEX(Inputs!$K$5:$AJ$180,0,MATCH(O$2,Inputs!$K$4:$AJ$4,0)))))</f>
        <v>-6.61599221519999</v>
      </c>
      <c r="P10" s="6">
        <f>IF(ISNA(MATCH(P$2,Inputs!$K$4:$AJ$4,0)),NA(),IF(SUMPRODUCT((Inputs!$A$5:$A$180=$B10)*ISNUMBER(INDEX(Inputs!$K$5:$AJ$180,0,MATCH(P$2,Inputs!$K$4:$AJ$4,0))))+SUMPRODUCT((Inputs!$C$5:$C$180=$B10)*ISNUMBER(INDEX(Inputs!$K$5:$AJ$180,0,MATCH(P$2,Inputs!$K$4:$AJ$4,0))))+SUMPRODUCT((Inputs!$E$5:$E$180=$B10)*ISNUMBER(INDEX(Inputs!$K$5:$AJ$180,0,MATCH(P$2,Inputs!$K$4:$AJ$4,0))))=0,NA(),SUMPRODUCT((Inputs!$A$5:$A$180=$B10)*Inputs!$B$5:$B$180*(((Inputs!$G$5:$G$180="moeda")+(Inputs!$G$5:$G$180="acoes"))*Inputs!$B$1+((Inputs!$G$5:$G$180&lt;&gt;"moeda")*(Inputs!$G$5:$G$180&lt;&gt;"acoes")))*INDEX(Inputs!$K$5:$AJ$180,0,MATCH(P$2,Inputs!$K$4:$AJ$4,0)))+SUMPRODUCT((Inputs!$C$5:$C$180=$B10)*Inputs!$D$5:$D$180*(((Inputs!$G$5:$G$180="moeda")+(Inputs!$G$5:$G$180="acoes"))*Inputs!$B$1+((Inputs!$G$5:$G$180&lt;&gt;"moeda")*(Inputs!$G$5:$G$180&lt;&gt;"acoes")))*INDEX(Inputs!$K$5:$AJ$180,0,MATCH(P$2,Inputs!$K$4:$AJ$4,0)))+SUMPRODUCT((Inputs!$E$5:$E$180=$B10)*Inputs!$F$5:$F$180*(((Inputs!$G$5:$G$180="moeda")+(Inputs!$G$5:$G$180="acoes"))*Inputs!$B$1+((Inputs!$G$5:$G$180&lt;&gt;"moeda")*(Inputs!$G$5:$G$180&lt;&gt;"acoes")))*INDEX(Inputs!$K$5:$AJ$180,0,MATCH(P$2,Inputs!$K$4:$AJ$4,0)))))</f>
        <v>-1.38064500000001</v>
      </c>
      <c r="Q10" s="6">
        <f>IF(ISNA(MATCH(Q$2,Inputs!$K$4:$AJ$4,0)),NA(),IF(SUMPRODUCT((Inputs!$A$5:$A$180=$B10)*ISNUMBER(INDEX(Inputs!$K$5:$AJ$180,0,MATCH(Q$2,Inputs!$K$4:$AJ$4,0))))+SUMPRODUCT((Inputs!$C$5:$C$180=$B10)*ISNUMBER(INDEX(Inputs!$K$5:$AJ$180,0,MATCH(Q$2,Inputs!$K$4:$AJ$4,0))))+SUMPRODUCT((Inputs!$E$5:$E$180=$B10)*ISNUMBER(INDEX(Inputs!$K$5:$AJ$180,0,MATCH(Q$2,Inputs!$K$4:$AJ$4,0))))=0,NA(),SUMPRODUCT((Inputs!$A$5:$A$180=$B10)*Inputs!$B$5:$B$180*(((Inputs!$G$5:$G$180="moeda")+(Inputs!$G$5:$G$180="acoes"))*Inputs!$B$1+((Inputs!$G$5:$G$180&lt;&gt;"moeda")*(Inputs!$G$5:$G$180&lt;&gt;"acoes")))*INDEX(Inputs!$K$5:$AJ$180,0,MATCH(Q$2,Inputs!$K$4:$AJ$4,0)))+SUMPRODUCT((Inputs!$C$5:$C$180=$B10)*Inputs!$D$5:$D$180*(((Inputs!$G$5:$G$180="moeda")+(Inputs!$G$5:$G$180="acoes"))*Inputs!$B$1+((Inputs!$G$5:$G$180&lt;&gt;"moeda")*(Inputs!$G$5:$G$180&lt;&gt;"acoes")))*INDEX(Inputs!$K$5:$AJ$180,0,MATCH(Q$2,Inputs!$K$4:$AJ$4,0)))+SUMPRODUCT((Inputs!$E$5:$E$180=$B10)*Inputs!$F$5:$F$180*(((Inputs!$G$5:$G$180="moeda")+(Inputs!$G$5:$G$180="acoes"))*Inputs!$B$1+((Inputs!$G$5:$G$180&lt;&gt;"moeda")*(Inputs!$G$5:$G$180&lt;&gt;"acoes")))*INDEX(Inputs!$K$5:$AJ$180,0,MATCH(Q$2,Inputs!$K$4:$AJ$4,0)))))</f>
        <v>-15.67779794</v>
      </c>
      <c r="R10" s="3">
        <f>SUM(N10:Q10)</f>
        <v>-19.722</v>
      </c>
      <c r="S10" s="6">
        <f>IF(ISNA(MATCH(S$2,Inputs!$K$4:$AJ$4,0)),NA(),IF(SUMPRODUCT((Inputs!$A$5:$A$180=$B10)*ISNUMBER(INDEX(Inputs!$K$5:$AJ$180,0,MATCH(S$2,Inputs!$K$4:$AJ$4,0))))+SUMPRODUCT((Inputs!$C$5:$C$180=$B10)*ISNUMBER(INDEX(Inputs!$K$5:$AJ$180,0,MATCH(S$2,Inputs!$K$4:$AJ$4,0))))+SUMPRODUCT((Inputs!$E$5:$E$180=$B10)*ISNUMBER(INDEX(Inputs!$K$5:$AJ$180,0,MATCH(S$2,Inputs!$K$4:$AJ$4,0))))=0,NA(),SUMPRODUCT((Inputs!$A$5:$A$180=$B10)*Inputs!$B$5:$B$180*(((Inputs!$G$5:$G$180="moeda")+(Inputs!$G$5:$G$180="acoes"))*Inputs!$B$1+((Inputs!$G$5:$G$180&lt;&gt;"moeda")*(Inputs!$G$5:$G$180&lt;&gt;"acoes")))*INDEX(Inputs!$K$5:$AJ$180,0,MATCH(S$2,Inputs!$K$4:$AJ$4,0)))+SUMPRODUCT((Inputs!$C$5:$C$180=$B10)*Inputs!$D$5:$D$180*(((Inputs!$G$5:$G$180="moeda")+(Inputs!$G$5:$G$180="acoes"))*Inputs!$B$1+((Inputs!$G$5:$G$180&lt;&gt;"moeda")*(Inputs!$G$5:$G$180&lt;&gt;"acoes")))*INDEX(Inputs!$K$5:$AJ$180,0,MATCH(S$2,Inputs!$K$4:$AJ$4,0)))+SUMPRODUCT((Inputs!$E$5:$E$180=$B10)*Inputs!$F$5:$F$180*(((Inputs!$G$5:$G$180="moeda")+(Inputs!$G$5:$G$180="acoes"))*Inputs!$B$1+((Inputs!$G$5:$G$180&lt;&gt;"moeda")*(Inputs!$G$5:$G$180&lt;&gt;"acoes")))*INDEX(Inputs!$K$5:$AJ$180,0,MATCH(S$2,Inputs!$K$4:$AJ$4,0)))))</f>
        <v>9.96272388050272</v>
      </c>
      <c r="T10" s="6">
        <f>IF(ISNA(MATCH(T$2,Inputs!$K$4:$AJ$4,0)),NA(),IF(SUMPRODUCT((Inputs!$A$5:$A$180=$B10)*ISNUMBER(INDEX(Inputs!$K$5:$AJ$180,0,MATCH(T$2,Inputs!$K$4:$AJ$4,0))))+SUMPRODUCT((Inputs!$C$5:$C$180=$B10)*ISNUMBER(INDEX(Inputs!$K$5:$AJ$180,0,MATCH(T$2,Inputs!$K$4:$AJ$4,0))))+SUMPRODUCT((Inputs!$E$5:$E$180=$B10)*ISNUMBER(INDEX(Inputs!$K$5:$AJ$180,0,MATCH(T$2,Inputs!$K$4:$AJ$4,0))))=0,NA(),SUMPRODUCT((Inputs!$A$5:$A$180=$B10)*Inputs!$B$5:$B$180*(((Inputs!$G$5:$G$180="moeda")+(Inputs!$G$5:$G$180="acoes"))*Inputs!$B$1+((Inputs!$G$5:$G$180&lt;&gt;"moeda")*(Inputs!$G$5:$G$180&lt;&gt;"acoes")))*INDEX(Inputs!$K$5:$AJ$180,0,MATCH(T$2,Inputs!$K$4:$AJ$4,0)))+SUMPRODUCT((Inputs!$C$5:$C$180=$B10)*Inputs!$D$5:$D$180*(((Inputs!$G$5:$G$180="moeda")+(Inputs!$G$5:$G$180="acoes"))*Inputs!$B$1+((Inputs!$G$5:$G$180&lt;&gt;"moeda")*(Inputs!$G$5:$G$180&lt;&gt;"acoes")))*INDEX(Inputs!$K$5:$AJ$180,0,MATCH(T$2,Inputs!$K$4:$AJ$4,0)))+SUMPRODUCT((Inputs!$E$5:$E$180=$B10)*Inputs!$F$5:$F$180*(((Inputs!$G$5:$G$180="moeda")+(Inputs!$G$5:$G$180="acoes"))*Inputs!$B$1+((Inputs!$G$5:$G$180&lt;&gt;"moeda")*(Inputs!$G$5:$G$180&lt;&gt;"acoes")))*INDEX(Inputs!$K$5:$AJ$180,0,MATCH(T$2,Inputs!$K$4:$AJ$4,0)))))</f>
        <v>-16.4336</v>
      </c>
      <c r="U10" s="6">
        <f>IF(ISNA(MATCH(U$2,Inputs!$K$4:$AJ$4,0)),NA(),IF(SUMPRODUCT((Inputs!$A$5:$A$180=$B10)*ISNUMBER(INDEX(Inputs!$K$5:$AJ$180,0,MATCH(U$2,Inputs!$K$4:$AJ$4,0))))+SUMPRODUCT((Inputs!$C$5:$C$180=$B10)*ISNUMBER(INDEX(Inputs!$K$5:$AJ$180,0,MATCH(U$2,Inputs!$K$4:$AJ$4,0))))+SUMPRODUCT((Inputs!$E$5:$E$180=$B10)*ISNUMBER(INDEX(Inputs!$K$5:$AJ$180,0,MATCH(U$2,Inputs!$K$4:$AJ$4,0))))=0,NA(),SUMPRODUCT((Inputs!$A$5:$A$180=$B10)*Inputs!$B$5:$B$180*(((Inputs!$G$5:$G$180="moeda")+(Inputs!$G$5:$G$180="acoes"))*Inputs!$B$1+((Inputs!$G$5:$G$180&lt;&gt;"moeda")*(Inputs!$G$5:$G$180&lt;&gt;"acoes")))*INDEX(Inputs!$K$5:$AJ$180,0,MATCH(U$2,Inputs!$K$4:$AJ$4,0)))+SUMPRODUCT((Inputs!$C$5:$C$180=$B10)*Inputs!$D$5:$D$180*(((Inputs!$G$5:$G$180="moeda")+(Inputs!$G$5:$G$180="acoes"))*Inputs!$B$1+((Inputs!$G$5:$G$180&lt;&gt;"moeda")*(Inputs!$G$5:$G$180&lt;&gt;"acoes")))*INDEX(Inputs!$K$5:$AJ$180,0,MATCH(U$2,Inputs!$K$4:$AJ$4,0)))+SUMPRODUCT((Inputs!$E$5:$E$180=$B10)*Inputs!$F$5:$F$180*(((Inputs!$G$5:$G$180="moeda")+(Inputs!$G$5:$G$180="acoes"))*Inputs!$B$1+((Inputs!$G$5:$G$180&lt;&gt;"moeda")*(Inputs!$G$5:$G$180&lt;&gt;"acoes")))*INDEX(Inputs!$K$5:$AJ$180,0,MATCH(U$2,Inputs!$K$4:$AJ$4,0)))))</f>
        <v>15.81104642</v>
      </c>
      <c r="V10" s="6">
        <f>IF(ISNA(MATCH(V$2,Inputs!$K$4:$AJ$4,0)),NA(),IF(SUMPRODUCT((Inputs!$A$5:$A$180=$B10)*ISNUMBER(INDEX(Inputs!$K$5:$AJ$180,0,MATCH(V$2,Inputs!$K$4:$AJ$4,0))))+SUMPRODUCT((Inputs!$C$5:$C$180=$B10)*ISNUMBER(INDEX(Inputs!$K$5:$AJ$180,0,MATCH(V$2,Inputs!$K$4:$AJ$4,0))))+SUMPRODUCT((Inputs!$E$5:$E$180=$B10)*ISNUMBER(INDEX(Inputs!$K$5:$AJ$180,0,MATCH(V$2,Inputs!$K$4:$AJ$4,0))))=0,NA(),SUMPRODUCT((Inputs!$A$5:$A$180=$B10)*Inputs!$B$5:$B$180*(((Inputs!$G$5:$G$180="moeda")+(Inputs!$G$5:$G$180="acoes"))*Inputs!$B$1+((Inputs!$G$5:$G$180&lt;&gt;"moeda")*(Inputs!$G$5:$G$180&lt;&gt;"acoes")))*INDEX(Inputs!$K$5:$AJ$180,0,MATCH(V$2,Inputs!$K$4:$AJ$4,0)))+SUMPRODUCT((Inputs!$C$5:$C$180=$B10)*Inputs!$D$5:$D$180*(((Inputs!$G$5:$G$180="moeda")+(Inputs!$G$5:$G$180="acoes"))*Inputs!$B$1+((Inputs!$G$5:$G$180&lt;&gt;"moeda")*(Inputs!$G$5:$G$180&lt;&gt;"acoes")))*INDEX(Inputs!$K$5:$AJ$180,0,MATCH(V$2,Inputs!$K$4:$AJ$4,0)))+SUMPRODUCT((Inputs!$E$5:$E$180=$B10)*Inputs!$F$5:$F$180*(((Inputs!$G$5:$G$180="moeda")+(Inputs!$G$5:$G$180="acoes"))*Inputs!$B$1+((Inputs!$G$5:$G$180&lt;&gt;"moeda")*(Inputs!$G$5:$G$180&lt;&gt;"acoes")))*INDEX(Inputs!$K$5:$AJ$180,0,MATCH(V$2,Inputs!$K$4:$AJ$4,0)))))</f>
        <v>17.81499178</v>
      </c>
      <c r="W10" s="3">
        <f>SUM(S10:V10)</f>
        <v>27.1551620805027</v>
      </c>
      <c r="X10" s="6">
        <f>IF(ISNA(MATCH(X$2,Inputs!$K$4:$AJ$4,0)),NA(),IF(SUMPRODUCT((Inputs!$A$5:$A$180=$B10)*ISNUMBER(INDEX(Inputs!$K$5:$AJ$180,0,MATCH(X$2,Inputs!$K$4:$AJ$4,0))))+SUMPRODUCT((Inputs!$C$5:$C$180=$B10)*ISNUMBER(INDEX(Inputs!$K$5:$AJ$180,0,MATCH(X$2,Inputs!$K$4:$AJ$4,0))))+SUMPRODUCT((Inputs!$E$5:$E$180=$B10)*ISNUMBER(INDEX(Inputs!$K$5:$AJ$180,0,MATCH(X$2,Inputs!$K$4:$AJ$4,0))))=0,NA(),SUMPRODUCT((Inputs!$A$5:$A$180=$B10)*Inputs!$B$5:$B$180*(((Inputs!$G$5:$G$180="moeda")+(Inputs!$G$5:$G$180="acoes"))*Inputs!$B$1+((Inputs!$G$5:$G$180&lt;&gt;"moeda")*(Inputs!$G$5:$G$180&lt;&gt;"acoes")))*INDEX(Inputs!$K$5:$AJ$180,0,MATCH(X$2,Inputs!$K$4:$AJ$4,0)))+SUMPRODUCT((Inputs!$C$5:$C$180=$B10)*Inputs!$D$5:$D$180*(((Inputs!$G$5:$G$180="moeda")+(Inputs!$G$5:$G$180="acoes"))*Inputs!$B$1+((Inputs!$G$5:$G$180&lt;&gt;"moeda")*(Inputs!$G$5:$G$180&lt;&gt;"acoes")))*INDEX(Inputs!$K$5:$AJ$180,0,MATCH(X$2,Inputs!$K$4:$AJ$4,0)))+SUMPRODUCT((Inputs!$E$5:$E$180=$B10)*Inputs!$F$5:$F$180*(((Inputs!$G$5:$G$180="moeda")+(Inputs!$G$5:$G$180="acoes"))*Inputs!$B$1+((Inputs!$G$5:$G$180&lt;&gt;"moeda")*(Inputs!$G$5:$G$180&lt;&gt;"acoes")))*INDEX(Inputs!$K$5:$AJ$180,0,MATCH(X$2,Inputs!$K$4:$AJ$4,0)))))</f>
        <v>44.42913763</v>
      </c>
      <c r="Y10" s="6">
        <f>IF(ISNA(MATCH(Y$2,Inputs!$K$4:$AJ$4,0)),NA(),IF(SUMPRODUCT((Inputs!$A$5:$A$180=$B10)*ISNUMBER(INDEX(Inputs!$K$5:$AJ$180,0,MATCH(Y$2,Inputs!$K$4:$AJ$4,0))))+SUMPRODUCT((Inputs!$C$5:$C$180=$B10)*ISNUMBER(INDEX(Inputs!$K$5:$AJ$180,0,MATCH(Y$2,Inputs!$K$4:$AJ$4,0))))+SUMPRODUCT((Inputs!$E$5:$E$180=$B10)*ISNUMBER(INDEX(Inputs!$K$5:$AJ$180,0,MATCH(Y$2,Inputs!$K$4:$AJ$4,0))))=0,NA(),SUMPRODUCT((Inputs!$A$5:$A$180=$B10)*Inputs!$B$5:$B$180*(((Inputs!$G$5:$G$180="moeda")+(Inputs!$G$5:$G$180="acoes"))*Inputs!$B$1+((Inputs!$G$5:$G$180&lt;&gt;"moeda")*(Inputs!$G$5:$G$180&lt;&gt;"acoes")))*INDEX(Inputs!$K$5:$AJ$180,0,MATCH(Y$2,Inputs!$K$4:$AJ$4,0)))+SUMPRODUCT((Inputs!$C$5:$C$180=$B10)*Inputs!$D$5:$D$180*(((Inputs!$G$5:$G$180="moeda")+(Inputs!$G$5:$G$180="acoes"))*Inputs!$B$1+((Inputs!$G$5:$G$180&lt;&gt;"moeda")*(Inputs!$G$5:$G$180&lt;&gt;"acoes")))*INDEX(Inputs!$K$5:$AJ$180,0,MATCH(Y$2,Inputs!$K$4:$AJ$4,0)))+SUMPRODUCT((Inputs!$E$5:$E$180=$B10)*Inputs!$F$5:$F$180*(((Inputs!$G$5:$G$180="moeda")+(Inputs!$G$5:$G$180="acoes"))*Inputs!$B$1+((Inputs!$G$5:$G$180&lt;&gt;"moeda")*(Inputs!$G$5:$G$180&lt;&gt;"acoes")))*INDEX(Inputs!$K$5:$AJ$180,0,MATCH(Y$2,Inputs!$K$4:$AJ$4,0)))))</f>
        <v>-4.12160331000002</v>
      </c>
      <c r="Z10" s="6">
        <f>IF(ISNA(MATCH(Z$2,Inputs!$K$4:$AJ$4,0)),NA(),IF(SUMPRODUCT((Inputs!$A$5:$A$180=$B10)*ISNUMBER(INDEX(Inputs!$K$5:$AJ$180,0,MATCH(Z$2,Inputs!$K$4:$AJ$4,0))))+SUMPRODUCT((Inputs!$C$5:$C$180=$B10)*ISNUMBER(INDEX(Inputs!$K$5:$AJ$180,0,MATCH(Z$2,Inputs!$K$4:$AJ$4,0))))+SUMPRODUCT((Inputs!$E$5:$E$180=$B10)*ISNUMBER(INDEX(Inputs!$K$5:$AJ$180,0,MATCH(Z$2,Inputs!$K$4:$AJ$4,0))))=0,NA(),SUMPRODUCT((Inputs!$A$5:$A$180=$B10)*Inputs!$B$5:$B$180*(((Inputs!$G$5:$G$180="moeda")+(Inputs!$G$5:$G$180="acoes"))*Inputs!$B$1+((Inputs!$G$5:$G$180&lt;&gt;"moeda")*(Inputs!$G$5:$G$180&lt;&gt;"acoes")))*INDEX(Inputs!$K$5:$AJ$180,0,MATCH(Z$2,Inputs!$K$4:$AJ$4,0)))+SUMPRODUCT((Inputs!$C$5:$C$180=$B10)*Inputs!$D$5:$D$180*(((Inputs!$G$5:$G$180="moeda")+(Inputs!$G$5:$G$180="acoes"))*Inputs!$B$1+((Inputs!$G$5:$G$180&lt;&gt;"moeda")*(Inputs!$G$5:$G$180&lt;&gt;"acoes")))*INDEX(Inputs!$K$5:$AJ$180,0,MATCH(Z$2,Inputs!$K$4:$AJ$4,0)))+SUMPRODUCT((Inputs!$E$5:$E$180=$B10)*Inputs!$F$5:$F$180*(((Inputs!$G$5:$G$180="moeda")+(Inputs!$G$5:$G$180="acoes"))*Inputs!$B$1+((Inputs!$G$5:$G$180&lt;&gt;"moeda")*(Inputs!$G$5:$G$180&lt;&gt;"acoes")))*INDEX(Inputs!$K$5:$AJ$180,0,MATCH(Z$2,Inputs!$K$4:$AJ$4,0)))))</f>
        <v>0.595</v>
      </c>
      <c r="AA10" s="6">
        <f>IF(ISNA(MATCH(AA$2,Inputs!$K$4:$AJ$4,0)),NA(),IF(SUMPRODUCT((Inputs!$A$5:$A$180=$B10)*ISNUMBER(INDEX(Inputs!$K$5:$AJ$180,0,MATCH(AA$2,Inputs!$K$4:$AJ$4,0))))+SUMPRODUCT((Inputs!$C$5:$C$180=$B10)*ISNUMBER(INDEX(Inputs!$K$5:$AJ$180,0,MATCH(AA$2,Inputs!$K$4:$AJ$4,0))))+SUMPRODUCT((Inputs!$E$5:$E$180=$B10)*ISNUMBER(INDEX(Inputs!$K$5:$AJ$180,0,MATCH(AA$2,Inputs!$K$4:$AJ$4,0))))=0,NA(),SUMPRODUCT((Inputs!$A$5:$A$180=$B10)*Inputs!$B$5:$B$180*(((Inputs!$G$5:$G$180="moeda")+(Inputs!$G$5:$G$180="acoes"))*Inputs!$B$1+((Inputs!$G$5:$G$180&lt;&gt;"moeda")*(Inputs!$G$5:$G$180&lt;&gt;"acoes")))*INDEX(Inputs!$K$5:$AJ$180,0,MATCH(AA$2,Inputs!$K$4:$AJ$4,0)))+SUMPRODUCT((Inputs!$C$5:$C$180=$B10)*Inputs!$D$5:$D$180*(((Inputs!$G$5:$G$180="moeda")+(Inputs!$G$5:$G$180="acoes"))*Inputs!$B$1+((Inputs!$G$5:$G$180&lt;&gt;"moeda")*(Inputs!$G$5:$G$180&lt;&gt;"acoes")))*INDEX(Inputs!$K$5:$AJ$180,0,MATCH(AA$2,Inputs!$K$4:$AJ$4,0)))+SUMPRODUCT((Inputs!$E$5:$E$180=$B10)*Inputs!$F$5:$F$180*(((Inputs!$G$5:$G$180="moeda")+(Inputs!$G$5:$G$180="acoes"))*Inputs!$B$1+((Inputs!$G$5:$G$180&lt;&gt;"moeda")*(Inputs!$G$5:$G$180&lt;&gt;"acoes")))*INDEX(Inputs!$K$5:$AJ$180,0,MATCH(AA$2,Inputs!$K$4:$AJ$4,0)))))</f>
        <v>-9.19928374000005</v>
      </c>
      <c r="AB10" s="3">
        <f>SUM(X10:AA10)</f>
        <v>31.7032505799999</v>
      </c>
      <c r="AC10" s="6">
        <f>IF(ISNA(MATCH(AC$2,Inputs!$K$4:$AJ$4,0)),NA(),IF(SUMPRODUCT((Inputs!$A$5:$A$180=$B10)*ISNUMBER(INDEX(Inputs!$K$5:$AJ$180,0,MATCH(AC$2,Inputs!$K$4:$AJ$4,0))))+SUMPRODUCT((Inputs!$C$5:$C$180=$B10)*ISNUMBER(INDEX(Inputs!$K$5:$AJ$180,0,MATCH(AC$2,Inputs!$K$4:$AJ$4,0))))+SUMPRODUCT((Inputs!$E$5:$E$180=$B10)*ISNUMBER(INDEX(Inputs!$K$5:$AJ$180,0,MATCH(AC$2,Inputs!$K$4:$AJ$4,0))))=0,NA(),SUMPRODUCT((Inputs!$A$5:$A$180=$B10)*Inputs!$B$5:$B$180*(((Inputs!$G$5:$G$180="moeda")+(Inputs!$G$5:$G$180="acoes"))*Inputs!$B$1+((Inputs!$G$5:$G$180&lt;&gt;"moeda")*(Inputs!$G$5:$G$180&lt;&gt;"acoes")))*INDEX(Inputs!$K$5:$AJ$180,0,MATCH(AC$2,Inputs!$K$4:$AJ$4,0)))+SUMPRODUCT((Inputs!$C$5:$C$180=$B10)*Inputs!$D$5:$D$180*(((Inputs!$G$5:$G$180="moeda")+(Inputs!$G$5:$G$180="acoes"))*Inputs!$B$1+((Inputs!$G$5:$G$180&lt;&gt;"moeda")*(Inputs!$G$5:$G$180&lt;&gt;"acoes")))*INDEX(Inputs!$K$5:$AJ$180,0,MATCH(AC$2,Inputs!$K$4:$AJ$4,0)))+SUMPRODUCT((Inputs!$E$5:$E$180=$B10)*Inputs!$F$5:$F$180*(((Inputs!$G$5:$G$180="moeda")+(Inputs!$G$5:$G$180="acoes"))*Inputs!$B$1+((Inputs!$G$5:$G$180&lt;&gt;"moeda")*(Inputs!$G$5:$G$180&lt;&gt;"acoes")))*INDEX(Inputs!$K$5:$AJ$180,0,MATCH(AC$2,Inputs!$K$4:$AJ$4,0)))))</f>
        <v>26.28022173</v>
      </c>
      <c r="AD10" s="6">
        <f>IF(ISNA(MATCH(AD$2,Inputs!$K$4:$AJ$4,0)),NA(),IF(SUMPRODUCT((Inputs!$A$5:$A$180=$B10)*ISNUMBER(INDEX(Inputs!$K$5:$AJ$180,0,MATCH(AD$2,Inputs!$K$4:$AJ$4,0))))+SUMPRODUCT((Inputs!$C$5:$C$180=$B10)*ISNUMBER(INDEX(Inputs!$K$5:$AJ$180,0,MATCH(AD$2,Inputs!$K$4:$AJ$4,0))))+SUMPRODUCT((Inputs!$E$5:$E$180=$B10)*ISNUMBER(INDEX(Inputs!$K$5:$AJ$180,0,MATCH(AD$2,Inputs!$K$4:$AJ$4,0))))=0,NA(),SUMPRODUCT((Inputs!$A$5:$A$180=$B10)*Inputs!$B$5:$B$180*(((Inputs!$G$5:$G$180="moeda")+(Inputs!$G$5:$G$180="acoes"))*Inputs!$B$1+((Inputs!$G$5:$G$180&lt;&gt;"moeda")*(Inputs!$G$5:$G$180&lt;&gt;"acoes")))*INDEX(Inputs!$K$5:$AJ$180,0,MATCH(AD$2,Inputs!$K$4:$AJ$4,0)))+SUMPRODUCT((Inputs!$C$5:$C$180=$B10)*Inputs!$D$5:$D$180*(((Inputs!$G$5:$G$180="moeda")+(Inputs!$G$5:$G$180="acoes"))*Inputs!$B$1+((Inputs!$G$5:$G$180&lt;&gt;"moeda")*(Inputs!$G$5:$G$180&lt;&gt;"acoes")))*INDEX(Inputs!$K$5:$AJ$180,0,MATCH(AD$2,Inputs!$K$4:$AJ$4,0)))+SUMPRODUCT((Inputs!$E$5:$E$180=$B10)*Inputs!$F$5:$F$180*(((Inputs!$G$5:$G$180="moeda")+(Inputs!$G$5:$G$180="acoes"))*Inputs!$B$1+((Inputs!$G$5:$G$180&lt;&gt;"moeda")*(Inputs!$G$5:$G$180&lt;&gt;"acoes")))*INDEX(Inputs!$K$5:$AJ$180,0,MATCH(AD$2,Inputs!$K$4:$AJ$4,0)))))</f>
        <v>-11.50996231</v>
      </c>
      <c r="AE10" s="6" t="e">
        <f>IF(ISNA(MATCH(AE$2,Inputs!$K$4:$AJ$4,0)),NA(),IF(SUMPRODUCT((Inputs!$A$5:$A$180=$B10)*ISNUMBER(INDEX(Inputs!$K$5:$AJ$180,0,MATCH(AE$2,Inputs!$K$4:$AJ$4,0))))+SUMPRODUCT((Inputs!$C$5:$C$180=$B10)*ISNUMBER(INDEX(Inputs!$K$5:$AJ$180,0,MATCH(AE$2,Inputs!$K$4:$AJ$4,0))))+SUMPRODUCT((Inputs!$E$5:$E$180=$B10)*ISNUMBER(INDEX(Inputs!$K$5:$AJ$180,0,MATCH(AE$2,Inputs!$K$4:$AJ$4,0))))=0,NA(),SUMPRODUCT((Inputs!$A$5:$A$180=$B10)*Inputs!$B$5:$B$180*(((Inputs!$G$5:$G$180="moeda")+(Inputs!$G$5:$G$180="acoes"))*Inputs!$B$1+((Inputs!$G$5:$G$180&lt;&gt;"moeda")*(Inputs!$G$5:$G$180&lt;&gt;"acoes")))*INDEX(Inputs!$K$5:$AJ$180,0,MATCH(AE$2,Inputs!$K$4:$AJ$4,0)))+SUMPRODUCT((Inputs!$C$5:$C$180=$B10)*Inputs!$D$5:$D$180*(((Inputs!$G$5:$G$180="moeda")+(Inputs!$G$5:$G$180="acoes"))*Inputs!$B$1+((Inputs!$G$5:$G$180&lt;&gt;"moeda")*(Inputs!$G$5:$G$180&lt;&gt;"acoes")))*INDEX(Inputs!$K$5:$AJ$180,0,MATCH(AE$2,Inputs!$K$4:$AJ$4,0)))+SUMPRODUCT((Inputs!$E$5:$E$180=$B10)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0" s="6" t="e">
        <f>IF(ISNA(MATCH(AF$2,Inputs!$K$4:$AJ$4,0)),NA(),IF(SUMPRODUCT((Inputs!$A$5:$A$180=$B10)*ISNUMBER(INDEX(Inputs!$K$5:$AJ$180,0,MATCH(AF$2,Inputs!$K$4:$AJ$4,0))))+SUMPRODUCT((Inputs!$C$5:$C$180=$B10)*ISNUMBER(INDEX(Inputs!$K$5:$AJ$180,0,MATCH(AF$2,Inputs!$K$4:$AJ$4,0))))+SUMPRODUCT((Inputs!$E$5:$E$180=$B10)*ISNUMBER(INDEX(Inputs!$K$5:$AJ$180,0,MATCH(AF$2,Inputs!$K$4:$AJ$4,0))))=0,NA(),SUMPRODUCT((Inputs!$A$5:$A$180=$B10)*Inputs!$B$5:$B$180*(((Inputs!$G$5:$G$180="moeda")+(Inputs!$G$5:$G$180="acoes"))*Inputs!$B$1+((Inputs!$G$5:$G$180&lt;&gt;"moeda")*(Inputs!$G$5:$G$180&lt;&gt;"acoes")))*INDEX(Inputs!$K$5:$AJ$180,0,MATCH(AF$2,Inputs!$K$4:$AJ$4,0)))+SUMPRODUCT((Inputs!$C$5:$C$180=$B10)*Inputs!$D$5:$D$180*(((Inputs!$G$5:$G$180="moeda")+(Inputs!$G$5:$G$180="acoes"))*Inputs!$B$1+((Inputs!$G$5:$G$180&lt;&gt;"moeda")*(Inputs!$G$5:$G$180&lt;&gt;"acoes")))*INDEX(Inputs!$K$5:$AJ$180,0,MATCH(AF$2,Inputs!$K$4:$AJ$4,0)))+SUMPRODUCT((Inputs!$E$5:$E$180=$B10)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$180=$B10)*ISNUMBER(INDEX(Inputs!$K$5:$AJ$180,0,MATCH(AH$2,Inputs!$K$4:$AJ$4,0))))+SUMPRODUCT((Inputs!$C$5:$C$180=$B10)*ISNUMBER(INDEX(Inputs!$K$5:$AJ$180,0,MATCH(AH$2,Inputs!$K$4:$AJ$4,0))))+SUMPRODUCT((Inputs!$E$5:$E$180=$B10)*ISNUMBER(INDEX(Inputs!$K$5:$AJ$180,0,MATCH(AH$2,Inputs!$K$4:$AJ$4,0))))=0,NA(),SUMPRODUCT((Inputs!$A$5:$A$180=$B10)*Inputs!$B$5:$B$180*(((Inputs!$G$5:$G$180="moeda")+(Inputs!$G$5:$G$180="acoes"))*Inputs!$B$1+((Inputs!$G$5:$G$180&lt;&gt;"moeda")*(Inputs!$G$5:$G$180&lt;&gt;"acoes")))*INDEX(Inputs!$K$5:$AJ$180,0,MATCH(AH$2,Inputs!$K$4:$AJ$4,0)))+SUMPRODUCT((Inputs!$C$5:$C$180=$B10)*Inputs!$D$5:$D$180*(((Inputs!$G$5:$G$180="moeda")+(Inputs!$G$5:$G$180="acoes"))*Inputs!$B$1+((Inputs!$G$5:$G$180&lt;&gt;"moeda")*(Inputs!$G$5:$G$180&lt;&gt;"acoes")))*INDEX(Inputs!$K$5:$AJ$180,0,MATCH(AH$2,Inputs!$K$4:$AJ$4,0)))+SUMPRODUCT((Inputs!$E$5:$E$180=$B10)*Inputs!$F$5:$F$180*(((Inputs!$G$5:$G$180="moeda")+(Inputs!$G$5:$G$180="acoes"))*Inputs!$B$1+((Inputs!$G$5:$G$180&lt;&gt;"moeda")*(Inputs!$G$5:$G$180&lt;&gt;"acoes")))*INDEX(Inputs!$K$5:$AJ$180,0,MATCH(AH$2,Inputs!$K$4:$AJ$4,0)))))</f>
        <v>4.7615923074</v>
      </c>
      <c r="AI10" s="6">
        <f>IF(ISNA(MATCH(AI$2,Inputs!$K$4:$AJ$4,0)),NA(),IF(SUMPRODUCT((Inputs!$A$5:$A$180=$B10)*ISNUMBER(INDEX(Inputs!$K$5:$AJ$180,0,MATCH(AI$2,Inputs!$K$4:$AJ$4,0))))+SUMPRODUCT((Inputs!$C$5:$C$180=$B10)*ISNUMBER(INDEX(Inputs!$K$5:$AJ$180,0,MATCH(AI$2,Inputs!$K$4:$AJ$4,0))))+SUMPRODUCT((Inputs!$E$5:$E$180=$B10)*ISNUMBER(INDEX(Inputs!$K$5:$AJ$180,0,MATCH(AI$2,Inputs!$K$4:$AJ$4,0))))=0,NA(),SUMPRODUCT((Inputs!$A$5:$A$180=$B10)*Inputs!$B$5:$B$180*(((Inputs!$G$5:$G$180="moeda")+(Inputs!$G$5:$G$180="acoes"))*Inputs!$B$1+((Inputs!$G$5:$G$180&lt;&gt;"moeda")*(Inputs!$G$5:$G$180&lt;&gt;"acoes")))*INDEX(Inputs!$K$5:$AJ$180,0,MATCH(AI$2,Inputs!$K$4:$AJ$4,0)))+SUMPRODUCT((Inputs!$C$5:$C$180=$B10)*Inputs!$D$5:$D$180*(((Inputs!$G$5:$G$180="moeda")+(Inputs!$G$5:$G$180="acoes"))*Inputs!$B$1+((Inputs!$G$5:$G$180&lt;&gt;"moeda")*(Inputs!$G$5:$G$180&lt;&gt;"acoes")))*INDEX(Inputs!$K$5:$AJ$180,0,MATCH(AI$2,Inputs!$K$4:$AJ$4,0)))+SUMPRODUCT((Inputs!$E$5:$E$180=$B10)*Inputs!$F$5:$F$180*(((Inputs!$G$5:$G$180="moeda")+(Inputs!$G$5:$G$180="acoes"))*Inputs!$B$1+((Inputs!$G$5:$G$180&lt;&gt;"moeda")*(Inputs!$G$5:$G$180&lt;&gt;"acoes")))*INDEX(Inputs!$K$5:$AJ$180,0,MATCH(AI$2,Inputs!$K$4:$AJ$4,0)))))</f>
        <v>6.61903864788334</v>
      </c>
      <c r="AJ10" s="6">
        <f>IF(ISNA(MATCH(AJ$2,Inputs!$K$4:$AJ$4,0)),NA(),IF(SUMPRODUCT((Inputs!$A$5:$A$180=$B10)*ISNUMBER(INDEX(Inputs!$K$5:$AJ$180,0,MATCH(AJ$2,Inputs!$K$4:$AJ$4,0))))+SUMPRODUCT((Inputs!$C$5:$C$180=$B10)*ISNUMBER(INDEX(Inputs!$K$5:$AJ$180,0,MATCH(AJ$2,Inputs!$K$4:$AJ$4,0))))+SUMPRODUCT((Inputs!$E$5:$E$180=$B10)*ISNUMBER(INDEX(Inputs!$K$5:$AJ$180,0,MATCH(AJ$2,Inputs!$K$4:$AJ$4,0))))=0,NA(),SUMPRODUCT((Inputs!$A$5:$A$180=$B10)*Inputs!$B$5:$B$180*(((Inputs!$G$5:$G$180="moeda")+(Inputs!$G$5:$G$180="acoes"))*Inputs!$B$1+((Inputs!$G$5:$G$180&lt;&gt;"moeda")*(Inputs!$G$5:$G$180&lt;&gt;"acoes")))*INDEX(Inputs!$K$5:$AJ$180,0,MATCH(AJ$2,Inputs!$K$4:$AJ$4,0)))+SUMPRODUCT((Inputs!$C$5:$C$180=$B10)*Inputs!$D$5:$D$180*(((Inputs!$G$5:$G$180="moeda")+(Inputs!$G$5:$G$180="acoes"))*Inputs!$B$1+((Inputs!$G$5:$G$180&lt;&gt;"moeda")*(Inputs!$G$5:$G$180&lt;&gt;"acoes")))*INDEX(Inputs!$K$5:$AJ$180,0,MATCH(AJ$2,Inputs!$K$4:$AJ$4,0)))+SUMPRODUCT((Inputs!$E$5:$E$180=$B10)*Inputs!$F$5:$F$180*(((Inputs!$G$5:$G$180="moeda")+(Inputs!$G$5:$G$180="acoes"))*Inputs!$B$1+((Inputs!$G$5:$G$180&lt;&gt;"moeda")*(Inputs!$G$5:$G$180&lt;&gt;"acoes")))*INDEX(Inputs!$K$5:$AJ$180,0,MATCH(AJ$2,Inputs!$K$4:$AJ$4,0)))))</f>
        <v>0.602949316666666</v>
      </c>
      <c r="AK10" s="6">
        <f>IF(ISNA(MATCH(AK$2,Inputs!$K$4:$AJ$4,0)),NA(),IF(SUMPRODUCT((Inputs!$A$5:$A$180=$B10)*ISNUMBER(INDEX(Inputs!$K$5:$AJ$180,0,MATCH(AK$2,Inputs!$K$4:$AJ$4,0))))+SUMPRODUCT((Inputs!$C$5:$C$180=$B10)*ISNUMBER(INDEX(Inputs!$K$5:$AJ$180,0,MATCH(AK$2,Inputs!$K$4:$AJ$4,0))))+SUMPRODUCT((Inputs!$E$5:$E$180=$B10)*ISNUMBER(INDEX(Inputs!$K$5:$AJ$180,0,MATCH(AK$2,Inputs!$K$4:$AJ$4,0))))=0,NA(),SUMPRODUCT((Inputs!$A$5:$A$180=$B10)*Inputs!$B$5:$B$180*(((Inputs!$G$5:$G$180="moeda")+(Inputs!$G$5:$G$180="acoes"))*Inputs!$B$1+((Inputs!$G$5:$G$180&lt;&gt;"moeda")*(Inputs!$G$5:$G$180&lt;&gt;"acoes")))*INDEX(Inputs!$K$5:$AJ$180,0,MATCH(AK$2,Inputs!$K$4:$AJ$4,0)))+SUMPRODUCT((Inputs!$C$5:$C$180=$B10)*Inputs!$D$5:$D$180*(((Inputs!$G$5:$G$180="moeda")+(Inputs!$G$5:$G$180="acoes"))*Inputs!$B$1+((Inputs!$G$5:$G$180&lt;&gt;"moeda")*(Inputs!$G$5:$G$180&lt;&gt;"acoes")))*INDEX(Inputs!$K$5:$AJ$180,0,MATCH(AK$2,Inputs!$K$4:$AJ$4,0)))+SUMPRODUCT((Inputs!$E$5:$E$180=$B10)*Inputs!$F$5:$F$180*(((Inputs!$G$5:$G$180="moeda")+(Inputs!$G$5:$G$180="acoes"))*Inputs!$B$1+((Inputs!$G$5:$G$180&lt;&gt;"moeda")*(Inputs!$G$5:$G$180&lt;&gt;"acoes")))*INDEX(Inputs!$K$5:$AJ$180,0,MATCH(AK$2,Inputs!$K$4:$AJ$4,0)))))</f>
        <v>-28.8482083455333</v>
      </c>
      <c r="AL10" s="3">
        <f>SUM(AH10:AK10)</f>
        <v>-16.8646280735833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$180=$B11)*ISNUMBER(INDEX(Inputs!$K$5:$AJ$180,0,MATCH(D$2,Inputs!$K$4:$AJ$4,0))))+SUMPRODUCT((Inputs!$C$5:$C$180=$B11)*ISNUMBER(INDEX(Inputs!$K$5:$AJ$180,0,MATCH(D$2,Inputs!$K$4:$AJ$4,0))))+SUMPRODUCT((Inputs!$E$5:$E$180=$B11)*ISNUMBER(INDEX(Inputs!$K$5:$AJ$180,0,MATCH(D$2,Inputs!$K$4:$AJ$4,0))))=0,NA(),SUMPRODUCT((Inputs!$A$5:$A$180=$B11)*Inputs!$B$5:$B$180*(((Inputs!$G$5:$G$180="moeda")+(Inputs!$G$5:$G$180="acoes"))*Inputs!$B$1+((Inputs!$G$5:$G$180&lt;&gt;"moeda")*(Inputs!$G$5:$G$180&lt;&gt;"acoes")))*INDEX(Inputs!$K$5:$AJ$180,0,MATCH(D$2,Inputs!$K$4:$AJ$4,0)))+SUMPRODUCT((Inputs!$C$5:$C$180=$B11)*Inputs!$D$5:$D$180*(((Inputs!$G$5:$G$180="moeda")+(Inputs!$G$5:$G$180="acoes"))*Inputs!$B$1+((Inputs!$G$5:$G$180&lt;&gt;"moeda")*(Inputs!$G$5:$G$180&lt;&gt;"acoes")))*INDEX(Inputs!$K$5:$AJ$180,0,MATCH(D$2,Inputs!$K$4:$AJ$4,0)))+SUMPRODUCT((Inputs!$E$5:$E$180=$B11)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11" s="6" t="e">
        <f>IF(ISNA(MATCH(E$2,Inputs!$K$4:$AJ$4,0)),NA(),IF(SUMPRODUCT((Inputs!$A$5:$A$180=$B11)*ISNUMBER(INDEX(Inputs!$K$5:$AJ$180,0,MATCH(E$2,Inputs!$K$4:$AJ$4,0))))+SUMPRODUCT((Inputs!$C$5:$C$180=$B11)*ISNUMBER(INDEX(Inputs!$K$5:$AJ$180,0,MATCH(E$2,Inputs!$K$4:$AJ$4,0))))+SUMPRODUCT((Inputs!$E$5:$E$180=$B11)*ISNUMBER(INDEX(Inputs!$K$5:$AJ$180,0,MATCH(E$2,Inputs!$K$4:$AJ$4,0))))=0,NA(),SUMPRODUCT((Inputs!$A$5:$A$180=$B11)*Inputs!$B$5:$B$180*(((Inputs!$G$5:$G$180="moeda")+(Inputs!$G$5:$G$180="acoes"))*Inputs!$B$1+((Inputs!$G$5:$G$180&lt;&gt;"moeda")*(Inputs!$G$5:$G$180&lt;&gt;"acoes")))*INDEX(Inputs!$K$5:$AJ$180,0,MATCH(E$2,Inputs!$K$4:$AJ$4,0)))+SUMPRODUCT((Inputs!$C$5:$C$180=$B11)*Inputs!$D$5:$D$180*(((Inputs!$G$5:$G$180="moeda")+(Inputs!$G$5:$G$180="acoes"))*Inputs!$B$1+((Inputs!$G$5:$G$180&lt;&gt;"moeda")*(Inputs!$G$5:$G$180&lt;&gt;"acoes")))*INDEX(Inputs!$K$5:$AJ$180,0,MATCH(E$2,Inputs!$K$4:$AJ$4,0)))+SUMPRODUCT((Inputs!$E$5:$E$180=$B11)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11" s="6" t="e">
        <f>IF(ISNA(MATCH(F$2,Inputs!$K$4:$AJ$4,0)),NA(),IF(SUMPRODUCT((Inputs!$A$5:$A$180=$B11)*ISNUMBER(INDEX(Inputs!$K$5:$AJ$180,0,MATCH(F$2,Inputs!$K$4:$AJ$4,0))))+SUMPRODUCT((Inputs!$C$5:$C$180=$B11)*ISNUMBER(INDEX(Inputs!$K$5:$AJ$180,0,MATCH(F$2,Inputs!$K$4:$AJ$4,0))))+SUMPRODUCT((Inputs!$E$5:$E$180=$B11)*ISNUMBER(INDEX(Inputs!$K$5:$AJ$180,0,MATCH(F$2,Inputs!$K$4:$AJ$4,0))))=0,NA(),SUMPRODUCT((Inputs!$A$5:$A$180=$B11)*Inputs!$B$5:$B$180*(((Inputs!$G$5:$G$180="moeda")+(Inputs!$G$5:$G$180="acoes"))*Inputs!$B$1+((Inputs!$G$5:$G$180&lt;&gt;"moeda")*(Inputs!$G$5:$G$180&lt;&gt;"acoes")))*INDEX(Inputs!$K$5:$AJ$180,0,MATCH(F$2,Inputs!$K$4:$AJ$4,0)))+SUMPRODUCT((Inputs!$C$5:$C$180=$B11)*Inputs!$D$5:$D$180*(((Inputs!$G$5:$G$180="moeda")+(Inputs!$G$5:$G$180="acoes"))*Inputs!$B$1+((Inputs!$G$5:$G$180&lt;&gt;"moeda")*(Inputs!$G$5:$G$180&lt;&gt;"acoes")))*INDEX(Inputs!$K$5:$AJ$180,0,MATCH(F$2,Inputs!$K$4:$AJ$4,0)))+SUMPRODUCT((Inputs!$E$5:$E$180=$B11)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11" s="6" t="e">
        <f>IF(ISNA(MATCH(G$2,Inputs!$K$4:$AJ$4,0)),NA(),IF(SUMPRODUCT((Inputs!$A$5:$A$180=$B11)*ISNUMBER(INDEX(Inputs!$K$5:$AJ$180,0,MATCH(G$2,Inputs!$K$4:$AJ$4,0))))+SUMPRODUCT((Inputs!$C$5:$C$180=$B11)*ISNUMBER(INDEX(Inputs!$K$5:$AJ$180,0,MATCH(G$2,Inputs!$K$4:$AJ$4,0))))+SUMPRODUCT((Inputs!$E$5:$E$180=$B11)*ISNUMBER(INDEX(Inputs!$K$5:$AJ$180,0,MATCH(G$2,Inputs!$K$4:$AJ$4,0))))=0,NA(),SUMPRODUCT((Inputs!$A$5:$A$180=$B11)*Inputs!$B$5:$B$180*(((Inputs!$G$5:$G$180="moeda")+(Inputs!$G$5:$G$180="acoes"))*Inputs!$B$1+((Inputs!$G$5:$G$180&lt;&gt;"moeda")*(Inputs!$G$5:$G$180&lt;&gt;"acoes")))*INDEX(Inputs!$K$5:$AJ$180,0,MATCH(G$2,Inputs!$K$4:$AJ$4,0)))+SUMPRODUCT((Inputs!$C$5:$C$180=$B11)*Inputs!$D$5:$D$180*(((Inputs!$G$5:$G$180="moeda")+(Inputs!$G$5:$G$180="acoes"))*Inputs!$B$1+((Inputs!$G$5:$G$180&lt;&gt;"moeda")*(Inputs!$G$5:$G$180&lt;&gt;"acoes")))*INDEX(Inputs!$K$5:$AJ$180,0,MATCH(G$2,Inputs!$K$4:$AJ$4,0)))+SUMPRODUCT((Inputs!$E$5:$E$180=$B11)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$180=$B11)*ISNUMBER(INDEX(Inputs!$K$5:$AJ$180,0,MATCH(I$2,Inputs!$K$4:$AJ$4,0))))+SUMPRODUCT((Inputs!$C$5:$C$180=$B11)*ISNUMBER(INDEX(Inputs!$K$5:$AJ$180,0,MATCH(I$2,Inputs!$K$4:$AJ$4,0))))+SUMPRODUCT((Inputs!$E$5:$E$180=$B11)*ISNUMBER(INDEX(Inputs!$K$5:$AJ$180,0,MATCH(I$2,Inputs!$K$4:$AJ$4,0))))=0,NA(),SUMPRODUCT((Inputs!$A$5:$A$180=$B11)*Inputs!$B$5:$B$180*(((Inputs!$G$5:$G$180="moeda")+(Inputs!$G$5:$G$180="acoes"))*Inputs!$B$1+((Inputs!$G$5:$G$180&lt;&gt;"moeda")*(Inputs!$G$5:$G$180&lt;&gt;"acoes")))*INDEX(Inputs!$K$5:$AJ$180,0,MATCH(I$2,Inputs!$K$4:$AJ$4,0)))+SUMPRODUCT((Inputs!$C$5:$C$180=$B11)*Inputs!$D$5:$D$180*(((Inputs!$G$5:$G$180="moeda")+(Inputs!$G$5:$G$180="acoes"))*Inputs!$B$1+((Inputs!$G$5:$G$180&lt;&gt;"moeda")*(Inputs!$G$5:$G$180&lt;&gt;"acoes")))*INDEX(Inputs!$K$5:$AJ$180,0,MATCH(I$2,Inputs!$K$4:$AJ$4,0)))+SUMPRODUCT((Inputs!$E$5:$E$180=$B11)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11" s="6" t="e">
        <f>IF(ISNA(MATCH(J$2,Inputs!$K$4:$AJ$4,0)),NA(),IF(SUMPRODUCT((Inputs!$A$5:$A$180=$B11)*ISNUMBER(INDEX(Inputs!$K$5:$AJ$180,0,MATCH(J$2,Inputs!$K$4:$AJ$4,0))))+SUMPRODUCT((Inputs!$C$5:$C$180=$B11)*ISNUMBER(INDEX(Inputs!$K$5:$AJ$180,0,MATCH(J$2,Inputs!$K$4:$AJ$4,0))))+SUMPRODUCT((Inputs!$E$5:$E$180=$B11)*ISNUMBER(INDEX(Inputs!$K$5:$AJ$180,0,MATCH(J$2,Inputs!$K$4:$AJ$4,0))))=0,NA(),SUMPRODUCT((Inputs!$A$5:$A$180=$B11)*Inputs!$B$5:$B$180*(((Inputs!$G$5:$G$180="moeda")+(Inputs!$G$5:$G$180="acoes"))*Inputs!$B$1+((Inputs!$G$5:$G$180&lt;&gt;"moeda")*(Inputs!$G$5:$G$180&lt;&gt;"acoes")))*INDEX(Inputs!$K$5:$AJ$180,0,MATCH(J$2,Inputs!$K$4:$AJ$4,0)))+SUMPRODUCT((Inputs!$C$5:$C$180=$B11)*Inputs!$D$5:$D$180*(((Inputs!$G$5:$G$180="moeda")+(Inputs!$G$5:$G$180="acoes"))*Inputs!$B$1+((Inputs!$G$5:$G$180&lt;&gt;"moeda")*(Inputs!$G$5:$G$180&lt;&gt;"acoes")))*INDEX(Inputs!$K$5:$AJ$180,0,MATCH(J$2,Inputs!$K$4:$AJ$4,0)))+SUMPRODUCT((Inputs!$E$5:$E$180=$B11)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11" s="6" t="e">
        <f>IF(ISNA(MATCH(K$2,Inputs!$K$4:$AJ$4,0)),NA(),IF(SUMPRODUCT((Inputs!$A$5:$A$180=$B11)*ISNUMBER(INDEX(Inputs!$K$5:$AJ$180,0,MATCH(K$2,Inputs!$K$4:$AJ$4,0))))+SUMPRODUCT((Inputs!$C$5:$C$180=$B11)*ISNUMBER(INDEX(Inputs!$K$5:$AJ$180,0,MATCH(K$2,Inputs!$K$4:$AJ$4,0))))+SUMPRODUCT((Inputs!$E$5:$E$180=$B11)*ISNUMBER(INDEX(Inputs!$K$5:$AJ$180,0,MATCH(K$2,Inputs!$K$4:$AJ$4,0))))=0,NA(),SUMPRODUCT((Inputs!$A$5:$A$180=$B11)*Inputs!$B$5:$B$180*(((Inputs!$G$5:$G$180="moeda")+(Inputs!$G$5:$G$180="acoes"))*Inputs!$B$1+((Inputs!$G$5:$G$180&lt;&gt;"moeda")*(Inputs!$G$5:$G$180&lt;&gt;"acoes")))*INDEX(Inputs!$K$5:$AJ$180,0,MATCH(K$2,Inputs!$K$4:$AJ$4,0)))+SUMPRODUCT((Inputs!$C$5:$C$180=$B11)*Inputs!$D$5:$D$180*(((Inputs!$G$5:$G$180="moeda")+(Inputs!$G$5:$G$180="acoes"))*Inputs!$B$1+((Inputs!$G$5:$G$180&lt;&gt;"moeda")*(Inputs!$G$5:$G$180&lt;&gt;"acoes")))*INDEX(Inputs!$K$5:$AJ$180,0,MATCH(K$2,Inputs!$K$4:$AJ$4,0)))+SUMPRODUCT((Inputs!$E$5:$E$180=$B11)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11" s="6" t="e">
        <f>IF(ISNA(MATCH(L$2,Inputs!$K$4:$AJ$4,0)),NA(),IF(SUMPRODUCT((Inputs!$A$5:$A$180=$B11)*ISNUMBER(INDEX(Inputs!$K$5:$AJ$180,0,MATCH(L$2,Inputs!$K$4:$AJ$4,0))))+SUMPRODUCT((Inputs!$C$5:$C$180=$B11)*ISNUMBER(INDEX(Inputs!$K$5:$AJ$180,0,MATCH(L$2,Inputs!$K$4:$AJ$4,0))))+SUMPRODUCT((Inputs!$E$5:$E$180=$B11)*ISNUMBER(INDEX(Inputs!$K$5:$AJ$180,0,MATCH(L$2,Inputs!$K$4:$AJ$4,0))))=0,NA(),SUMPRODUCT((Inputs!$A$5:$A$180=$B11)*Inputs!$B$5:$B$180*(((Inputs!$G$5:$G$180="moeda")+(Inputs!$G$5:$G$180="acoes"))*Inputs!$B$1+((Inputs!$G$5:$G$180&lt;&gt;"moeda")*(Inputs!$G$5:$G$180&lt;&gt;"acoes")))*INDEX(Inputs!$K$5:$AJ$180,0,MATCH(L$2,Inputs!$K$4:$AJ$4,0)))+SUMPRODUCT((Inputs!$C$5:$C$180=$B11)*Inputs!$D$5:$D$180*(((Inputs!$G$5:$G$180="moeda")+(Inputs!$G$5:$G$180="acoes"))*Inputs!$B$1+((Inputs!$G$5:$G$180&lt;&gt;"moeda")*(Inputs!$G$5:$G$180&lt;&gt;"acoes")))*INDEX(Inputs!$K$5:$AJ$180,0,MATCH(L$2,Inputs!$K$4:$AJ$4,0)))+SUMPRODUCT((Inputs!$E$5:$E$180=$B11)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$180=$B11)*ISNUMBER(INDEX(Inputs!$K$5:$AJ$180,0,MATCH(N$2,Inputs!$K$4:$AJ$4,0))))+SUMPRODUCT((Inputs!$C$5:$C$180=$B11)*ISNUMBER(INDEX(Inputs!$K$5:$AJ$180,0,MATCH(N$2,Inputs!$K$4:$AJ$4,0))))+SUMPRODUCT((Inputs!$E$5:$E$180=$B11)*ISNUMBER(INDEX(Inputs!$K$5:$AJ$180,0,MATCH(N$2,Inputs!$K$4:$AJ$4,0))))=0,NA(),SUMPRODUCT((Inputs!$A$5:$A$180=$B11)*Inputs!$B$5:$B$180*(((Inputs!$G$5:$G$180="moeda")+(Inputs!$G$5:$G$180="acoes"))*Inputs!$B$1+((Inputs!$G$5:$G$180&lt;&gt;"moeda")*(Inputs!$G$5:$G$180&lt;&gt;"acoes")))*INDEX(Inputs!$K$5:$AJ$180,0,MATCH(N$2,Inputs!$K$4:$AJ$4,0)))+SUMPRODUCT((Inputs!$C$5:$C$180=$B11)*Inputs!$D$5:$D$180*(((Inputs!$G$5:$G$180="moeda")+(Inputs!$G$5:$G$180="acoes"))*Inputs!$B$1+((Inputs!$G$5:$G$180&lt;&gt;"moeda")*(Inputs!$G$5:$G$180&lt;&gt;"acoes")))*INDEX(Inputs!$K$5:$AJ$180,0,MATCH(N$2,Inputs!$K$4:$AJ$4,0)))+SUMPRODUCT((Inputs!$E$5:$E$180=$B11)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11" s="6" t="e">
        <f>IF(ISNA(MATCH(O$2,Inputs!$K$4:$AJ$4,0)),NA(),IF(SUMPRODUCT((Inputs!$A$5:$A$180=$B11)*ISNUMBER(INDEX(Inputs!$K$5:$AJ$180,0,MATCH(O$2,Inputs!$K$4:$AJ$4,0))))+SUMPRODUCT((Inputs!$C$5:$C$180=$B11)*ISNUMBER(INDEX(Inputs!$K$5:$AJ$180,0,MATCH(O$2,Inputs!$K$4:$AJ$4,0))))+SUMPRODUCT((Inputs!$E$5:$E$180=$B11)*ISNUMBER(INDEX(Inputs!$K$5:$AJ$180,0,MATCH(O$2,Inputs!$K$4:$AJ$4,0))))=0,NA(),SUMPRODUCT((Inputs!$A$5:$A$180=$B11)*Inputs!$B$5:$B$180*(((Inputs!$G$5:$G$180="moeda")+(Inputs!$G$5:$G$180="acoes"))*Inputs!$B$1+((Inputs!$G$5:$G$180&lt;&gt;"moeda")*(Inputs!$G$5:$G$180&lt;&gt;"acoes")))*INDEX(Inputs!$K$5:$AJ$180,0,MATCH(O$2,Inputs!$K$4:$AJ$4,0)))+SUMPRODUCT((Inputs!$C$5:$C$180=$B11)*Inputs!$D$5:$D$180*(((Inputs!$G$5:$G$180="moeda")+(Inputs!$G$5:$G$180="acoes"))*Inputs!$B$1+((Inputs!$G$5:$G$180&lt;&gt;"moeda")*(Inputs!$G$5:$G$180&lt;&gt;"acoes")))*INDEX(Inputs!$K$5:$AJ$180,0,MATCH(O$2,Inputs!$K$4:$AJ$4,0)))+SUMPRODUCT((Inputs!$E$5:$E$180=$B11)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11" s="6" t="e">
        <f>IF(ISNA(MATCH(P$2,Inputs!$K$4:$AJ$4,0)),NA(),IF(SUMPRODUCT((Inputs!$A$5:$A$180=$B11)*ISNUMBER(INDEX(Inputs!$K$5:$AJ$180,0,MATCH(P$2,Inputs!$K$4:$AJ$4,0))))+SUMPRODUCT((Inputs!$C$5:$C$180=$B11)*ISNUMBER(INDEX(Inputs!$K$5:$AJ$180,0,MATCH(P$2,Inputs!$K$4:$AJ$4,0))))+SUMPRODUCT((Inputs!$E$5:$E$180=$B11)*ISNUMBER(INDEX(Inputs!$K$5:$AJ$180,0,MATCH(P$2,Inputs!$K$4:$AJ$4,0))))=0,NA(),SUMPRODUCT((Inputs!$A$5:$A$180=$B11)*Inputs!$B$5:$B$180*(((Inputs!$G$5:$G$180="moeda")+(Inputs!$G$5:$G$180="acoes"))*Inputs!$B$1+((Inputs!$G$5:$G$180&lt;&gt;"moeda")*(Inputs!$G$5:$G$180&lt;&gt;"acoes")))*INDEX(Inputs!$K$5:$AJ$180,0,MATCH(P$2,Inputs!$K$4:$AJ$4,0)))+SUMPRODUCT((Inputs!$C$5:$C$180=$B11)*Inputs!$D$5:$D$180*(((Inputs!$G$5:$G$180="moeda")+(Inputs!$G$5:$G$180="acoes"))*Inputs!$B$1+((Inputs!$G$5:$G$180&lt;&gt;"moeda")*(Inputs!$G$5:$G$180&lt;&gt;"acoes")))*INDEX(Inputs!$K$5:$AJ$180,0,MATCH(P$2,Inputs!$K$4:$AJ$4,0)))+SUMPRODUCT((Inputs!$E$5:$E$180=$B11)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11" s="6" t="e">
        <f>IF(ISNA(MATCH(Q$2,Inputs!$K$4:$AJ$4,0)),NA(),IF(SUMPRODUCT((Inputs!$A$5:$A$180=$B11)*ISNUMBER(INDEX(Inputs!$K$5:$AJ$180,0,MATCH(Q$2,Inputs!$K$4:$AJ$4,0))))+SUMPRODUCT((Inputs!$C$5:$C$180=$B11)*ISNUMBER(INDEX(Inputs!$K$5:$AJ$180,0,MATCH(Q$2,Inputs!$K$4:$AJ$4,0))))+SUMPRODUCT((Inputs!$E$5:$E$180=$B11)*ISNUMBER(INDEX(Inputs!$K$5:$AJ$180,0,MATCH(Q$2,Inputs!$K$4:$AJ$4,0))))=0,NA(),SUMPRODUCT((Inputs!$A$5:$A$180=$B11)*Inputs!$B$5:$B$180*(((Inputs!$G$5:$G$180="moeda")+(Inputs!$G$5:$G$180="acoes"))*Inputs!$B$1+((Inputs!$G$5:$G$180&lt;&gt;"moeda")*(Inputs!$G$5:$G$180&lt;&gt;"acoes")))*INDEX(Inputs!$K$5:$AJ$180,0,MATCH(Q$2,Inputs!$K$4:$AJ$4,0)))+SUMPRODUCT((Inputs!$C$5:$C$180=$B11)*Inputs!$D$5:$D$180*(((Inputs!$G$5:$G$180="moeda")+(Inputs!$G$5:$G$180="acoes"))*Inputs!$B$1+((Inputs!$G$5:$G$180&lt;&gt;"moeda")*(Inputs!$G$5:$G$180&lt;&gt;"acoes")))*INDEX(Inputs!$K$5:$AJ$180,0,MATCH(Q$2,Inputs!$K$4:$AJ$4,0)))+SUMPRODUCT((Inputs!$E$5:$E$180=$B11)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$180=$B11)*ISNUMBER(INDEX(Inputs!$K$5:$AJ$180,0,MATCH(S$2,Inputs!$K$4:$AJ$4,0))))+SUMPRODUCT((Inputs!$C$5:$C$180=$B11)*ISNUMBER(INDEX(Inputs!$K$5:$AJ$180,0,MATCH(S$2,Inputs!$K$4:$AJ$4,0))))+SUMPRODUCT((Inputs!$E$5:$E$180=$B11)*ISNUMBER(INDEX(Inputs!$K$5:$AJ$180,0,MATCH(S$2,Inputs!$K$4:$AJ$4,0))))=0,NA(),SUMPRODUCT((Inputs!$A$5:$A$180=$B11)*Inputs!$B$5:$B$180*(((Inputs!$G$5:$G$180="moeda")+(Inputs!$G$5:$G$180="acoes"))*Inputs!$B$1+((Inputs!$G$5:$G$180&lt;&gt;"moeda")*(Inputs!$G$5:$G$180&lt;&gt;"acoes")))*INDEX(Inputs!$K$5:$AJ$180,0,MATCH(S$2,Inputs!$K$4:$AJ$4,0)))+SUMPRODUCT((Inputs!$C$5:$C$180=$B11)*Inputs!$D$5:$D$180*(((Inputs!$G$5:$G$180="moeda")+(Inputs!$G$5:$G$180="acoes"))*Inputs!$B$1+((Inputs!$G$5:$G$180&lt;&gt;"moeda")*(Inputs!$G$5:$G$180&lt;&gt;"acoes")))*INDEX(Inputs!$K$5:$AJ$180,0,MATCH(S$2,Inputs!$K$4:$AJ$4,0)))+SUMPRODUCT((Inputs!$E$5:$E$180=$B11)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11" s="6" t="e">
        <f>IF(ISNA(MATCH(T$2,Inputs!$K$4:$AJ$4,0)),NA(),IF(SUMPRODUCT((Inputs!$A$5:$A$180=$B11)*ISNUMBER(INDEX(Inputs!$K$5:$AJ$180,0,MATCH(T$2,Inputs!$K$4:$AJ$4,0))))+SUMPRODUCT((Inputs!$C$5:$C$180=$B11)*ISNUMBER(INDEX(Inputs!$K$5:$AJ$180,0,MATCH(T$2,Inputs!$K$4:$AJ$4,0))))+SUMPRODUCT((Inputs!$E$5:$E$180=$B11)*ISNUMBER(INDEX(Inputs!$K$5:$AJ$180,0,MATCH(T$2,Inputs!$K$4:$AJ$4,0))))=0,NA(),SUMPRODUCT((Inputs!$A$5:$A$180=$B11)*Inputs!$B$5:$B$180*(((Inputs!$G$5:$G$180="moeda")+(Inputs!$G$5:$G$180="acoes"))*Inputs!$B$1+((Inputs!$G$5:$G$180&lt;&gt;"moeda")*(Inputs!$G$5:$G$180&lt;&gt;"acoes")))*INDEX(Inputs!$K$5:$AJ$180,0,MATCH(T$2,Inputs!$K$4:$AJ$4,0)))+SUMPRODUCT((Inputs!$C$5:$C$180=$B11)*Inputs!$D$5:$D$180*(((Inputs!$G$5:$G$180="moeda")+(Inputs!$G$5:$G$180="acoes"))*Inputs!$B$1+((Inputs!$G$5:$G$180&lt;&gt;"moeda")*(Inputs!$G$5:$G$180&lt;&gt;"acoes")))*INDEX(Inputs!$K$5:$AJ$180,0,MATCH(T$2,Inputs!$K$4:$AJ$4,0)))+SUMPRODUCT((Inputs!$E$5:$E$180=$B11)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11" s="6" t="e">
        <f>IF(ISNA(MATCH(U$2,Inputs!$K$4:$AJ$4,0)),NA(),IF(SUMPRODUCT((Inputs!$A$5:$A$180=$B11)*ISNUMBER(INDEX(Inputs!$K$5:$AJ$180,0,MATCH(U$2,Inputs!$K$4:$AJ$4,0))))+SUMPRODUCT((Inputs!$C$5:$C$180=$B11)*ISNUMBER(INDEX(Inputs!$K$5:$AJ$180,0,MATCH(U$2,Inputs!$K$4:$AJ$4,0))))+SUMPRODUCT((Inputs!$E$5:$E$180=$B11)*ISNUMBER(INDEX(Inputs!$K$5:$AJ$180,0,MATCH(U$2,Inputs!$K$4:$AJ$4,0))))=0,NA(),SUMPRODUCT((Inputs!$A$5:$A$180=$B11)*Inputs!$B$5:$B$180*(((Inputs!$G$5:$G$180="moeda")+(Inputs!$G$5:$G$180="acoes"))*Inputs!$B$1+((Inputs!$G$5:$G$180&lt;&gt;"moeda")*(Inputs!$G$5:$G$180&lt;&gt;"acoes")))*INDEX(Inputs!$K$5:$AJ$180,0,MATCH(U$2,Inputs!$K$4:$AJ$4,0)))+SUMPRODUCT((Inputs!$C$5:$C$180=$B11)*Inputs!$D$5:$D$180*(((Inputs!$G$5:$G$180="moeda")+(Inputs!$G$5:$G$180="acoes"))*Inputs!$B$1+((Inputs!$G$5:$G$180&lt;&gt;"moeda")*(Inputs!$G$5:$G$180&lt;&gt;"acoes")))*INDEX(Inputs!$K$5:$AJ$180,0,MATCH(U$2,Inputs!$K$4:$AJ$4,0)))+SUMPRODUCT((Inputs!$E$5:$E$180=$B11)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11" s="6" t="e">
        <f>IF(ISNA(MATCH(V$2,Inputs!$K$4:$AJ$4,0)),NA(),IF(SUMPRODUCT((Inputs!$A$5:$A$180=$B11)*ISNUMBER(INDEX(Inputs!$K$5:$AJ$180,0,MATCH(V$2,Inputs!$K$4:$AJ$4,0))))+SUMPRODUCT((Inputs!$C$5:$C$180=$B11)*ISNUMBER(INDEX(Inputs!$K$5:$AJ$180,0,MATCH(V$2,Inputs!$K$4:$AJ$4,0))))+SUMPRODUCT((Inputs!$E$5:$E$180=$B11)*ISNUMBER(INDEX(Inputs!$K$5:$AJ$180,0,MATCH(V$2,Inputs!$K$4:$AJ$4,0))))=0,NA(),SUMPRODUCT((Inputs!$A$5:$A$180=$B11)*Inputs!$B$5:$B$180*(((Inputs!$G$5:$G$180="moeda")+(Inputs!$G$5:$G$180="acoes"))*Inputs!$B$1+((Inputs!$G$5:$G$180&lt;&gt;"moeda")*(Inputs!$G$5:$G$180&lt;&gt;"acoes")))*INDEX(Inputs!$K$5:$AJ$180,0,MATCH(V$2,Inputs!$K$4:$AJ$4,0)))+SUMPRODUCT((Inputs!$C$5:$C$180=$B11)*Inputs!$D$5:$D$180*(((Inputs!$G$5:$G$180="moeda")+(Inputs!$G$5:$G$180="acoes"))*Inputs!$B$1+((Inputs!$G$5:$G$180&lt;&gt;"moeda")*(Inputs!$G$5:$G$180&lt;&gt;"acoes")))*INDEX(Inputs!$K$5:$AJ$180,0,MATCH(V$2,Inputs!$K$4:$AJ$4,0)))+SUMPRODUCT((Inputs!$E$5:$E$180=$B11)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$180=$B11)*ISNUMBER(INDEX(Inputs!$K$5:$AJ$180,0,MATCH(X$2,Inputs!$K$4:$AJ$4,0))))+SUMPRODUCT((Inputs!$C$5:$C$180=$B11)*ISNUMBER(INDEX(Inputs!$K$5:$AJ$180,0,MATCH(X$2,Inputs!$K$4:$AJ$4,0))))+SUMPRODUCT((Inputs!$E$5:$E$180=$B11)*ISNUMBER(INDEX(Inputs!$K$5:$AJ$180,0,MATCH(X$2,Inputs!$K$4:$AJ$4,0))))=0,NA(),SUMPRODUCT((Inputs!$A$5:$A$180=$B11)*Inputs!$B$5:$B$180*(((Inputs!$G$5:$G$180="moeda")+(Inputs!$G$5:$G$180="acoes"))*Inputs!$B$1+((Inputs!$G$5:$G$180&lt;&gt;"moeda")*(Inputs!$G$5:$G$180&lt;&gt;"acoes")))*INDEX(Inputs!$K$5:$AJ$180,0,MATCH(X$2,Inputs!$K$4:$AJ$4,0)))+SUMPRODUCT((Inputs!$C$5:$C$180=$B11)*Inputs!$D$5:$D$180*(((Inputs!$G$5:$G$180="moeda")+(Inputs!$G$5:$G$180="acoes"))*Inputs!$B$1+((Inputs!$G$5:$G$180&lt;&gt;"moeda")*(Inputs!$G$5:$G$180&lt;&gt;"acoes")))*INDEX(Inputs!$K$5:$AJ$180,0,MATCH(X$2,Inputs!$K$4:$AJ$4,0)))+SUMPRODUCT((Inputs!$E$5:$E$180=$B11)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11" s="6" t="e">
        <f>IF(ISNA(MATCH(Y$2,Inputs!$K$4:$AJ$4,0)),NA(),IF(SUMPRODUCT((Inputs!$A$5:$A$180=$B11)*ISNUMBER(INDEX(Inputs!$K$5:$AJ$180,0,MATCH(Y$2,Inputs!$K$4:$AJ$4,0))))+SUMPRODUCT((Inputs!$C$5:$C$180=$B11)*ISNUMBER(INDEX(Inputs!$K$5:$AJ$180,0,MATCH(Y$2,Inputs!$K$4:$AJ$4,0))))+SUMPRODUCT((Inputs!$E$5:$E$180=$B11)*ISNUMBER(INDEX(Inputs!$K$5:$AJ$180,0,MATCH(Y$2,Inputs!$K$4:$AJ$4,0))))=0,NA(),SUMPRODUCT((Inputs!$A$5:$A$180=$B11)*Inputs!$B$5:$B$180*(((Inputs!$G$5:$G$180="moeda")+(Inputs!$G$5:$G$180="acoes"))*Inputs!$B$1+((Inputs!$G$5:$G$180&lt;&gt;"moeda")*(Inputs!$G$5:$G$180&lt;&gt;"acoes")))*INDEX(Inputs!$K$5:$AJ$180,0,MATCH(Y$2,Inputs!$K$4:$AJ$4,0)))+SUMPRODUCT((Inputs!$C$5:$C$180=$B11)*Inputs!$D$5:$D$180*(((Inputs!$G$5:$G$180="moeda")+(Inputs!$G$5:$G$180="acoes"))*Inputs!$B$1+((Inputs!$G$5:$G$180&lt;&gt;"moeda")*(Inputs!$G$5:$G$180&lt;&gt;"acoes")))*INDEX(Inputs!$K$5:$AJ$180,0,MATCH(Y$2,Inputs!$K$4:$AJ$4,0)))+SUMPRODUCT((Inputs!$E$5:$E$180=$B11)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11" s="6" t="e">
        <f>IF(ISNA(MATCH(Z$2,Inputs!$K$4:$AJ$4,0)),NA(),IF(SUMPRODUCT((Inputs!$A$5:$A$180=$B11)*ISNUMBER(INDEX(Inputs!$K$5:$AJ$180,0,MATCH(Z$2,Inputs!$K$4:$AJ$4,0))))+SUMPRODUCT((Inputs!$C$5:$C$180=$B11)*ISNUMBER(INDEX(Inputs!$K$5:$AJ$180,0,MATCH(Z$2,Inputs!$K$4:$AJ$4,0))))+SUMPRODUCT((Inputs!$E$5:$E$180=$B11)*ISNUMBER(INDEX(Inputs!$K$5:$AJ$180,0,MATCH(Z$2,Inputs!$K$4:$AJ$4,0))))=0,NA(),SUMPRODUCT((Inputs!$A$5:$A$180=$B11)*Inputs!$B$5:$B$180*(((Inputs!$G$5:$G$180="moeda")+(Inputs!$G$5:$G$180="acoes"))*Inputs!$B$1+((Inputs!$G$5:$G$180&lt;&gt;"moeda")*(Inputs!$G$5:$G$180&lt;&gt;"acoes")))*INDEX(Inputs!$K$5:$AJ$180,0,MATCH(Z$2,Inputs!$K$4:$AJ$4,0)))+SUMPRODUCT((Inputs!$C$5:$C$180=$B11)*Inputs!$D$5:$D$180*(((Inputs!$G$5:$G$180="moeda")+(Inputs!$G$5:$G$180="acoes"))*Inputs!$B$1+((Inputs!$G$5:$G$180&lt;&gt;"moeda")*(Inputs!$G$5:$G$180&lt;&gt;"acoes")))*INDEX(Inputs!$K$5:$AJ$180,0,MATCH(Z$2,Inputs!$K$4:$AJ$4,0)))+SUMPRODUCT((Inputs!$E$5:$E$180=$B11)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11" s="6" t="e">
        <f>IF(ISNA(MATCH(AA$2,Inputs!$K$4:$AJ$4,0)),NA(),IF(SUMPRODUCT((Inputs!$A$5:$A$180=$B11)*ISNUMBER(INDEX(Inputs!$K$5:$AJ$180,0,MATCH(AA$2,Inputs!$K$4:$AJ$4,0))))+SUMPRODUCT((Inputs!$C$5:$C$180=$B11)*ISNUMBER(INDEX(Inputs!$K$5:$AJ$180,0,MATCH(AA$2,Inputs!$K$4:$AJ$4,0))))+SUMPRODUCT((Inputs!$E$5:$E$180=$B11)*ISNUMBER(INDEX(Inputs!$K$5:$AJ$180,0,MATCH(AA$2,Inputs!$K$4:$AJ$4,0))))=0,NA(),SUMPRODUCT((Inputs!$A$5:$A$180=$B11)*Inputs!$B$5:$B$180*(((Inputs!$G$5:$G$180="moeda")+(Inputs!$G$5:$G$180="acoes"))*Inputs!$B$1+((Inputs!$G$5:$G$180&lt;&gt;"moeda")*(Inputs!$G$5:$G$180&lt;&gt;"acoes")))*INDEX(Inputs!$K$5:$AJ$180,0,MATCH(AA$2,Inputs!$K$4:$AJ$4,0)))+SUMPRODUCT((Inputs!$C$5:$C$180=$B11)*Inputs!$D$5:$D$180*(((Inputs!$G$5:$G$180="moeda")+(Inputs!$G$5:$G$180="acoes"))*Inputs!$B$1+((Inputs!$G$5:$G$180&lt;&gt;"moeda")*(Inputs!$G$5:$G$180&lt;&gt;"acoes")))*INDEX(Inputs!$K$5:$AJ$180,0,MATCH(AA$2,Inputs!$K$4:$AJ$4,0)))+SUMPRODUCT((Inputs!$E$5:$E$180=$B11)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$180=$B11)*ISNUMBER(INDEX(Inputs!$K$5:$AJ$180,0,MATCH(AC$2,Inputs!$K$4:$AJ$4,0))))+SUMPRODUCT((Inputs!$C$5:$C$180=$B11)*ISNUMBER(INDEX(Inputs!$K$5:$AJ$180,0,MATCH(AC$2,Inputs!$K$4:$AJ$4,0))))+SUMPRODUCT((Inputs!$E$5:$E$180=$B11)*ISNUMBER(INDEX(Inputs!$K$5:$AJ$180,0,MATCH(AC$2,Inputs!$K$4:$AJ$4,0))))=0,NA(),SUMPRODUCT((Inputs!$A$5:$A$180=$B11)*Inputs!$B$5:$B$180*(((Inputs!$G$5:$G$180="moeda")+(Inputs!$G$5:$G$180="acoes"))*Inputs!$B$1+((Inputs!$G$5:$G$180&lt;&gt;"moeda")*(Inputs!$G$5:$G$180&lt;&gt;"acoes")))*INDEX(Inputs!$K$5:$AJ$180,0,MATCH(AC$2,Inputs!$K$4:$AJ$4,0)))+SUMPRODUCT((Inputs!$C$5:$C$180=$B11)*Inputs!$D$5:$D$180*(((Inputs!$G$5:$G$180="moeda")+(Inputs!$G$5:$G$180="acoes"))*Inputs!$B$1+((Inputs!$G$5:$G$180&lt;&gt;"moeda")*(Inputs!$G$5:$G$180&lt;&gt;"acoes")))*INDEX(Inputs!$K$5:$AJ$180,0,MATCH(AC$2,Inputs!$K$4:$AJ$4,0)))+SUMPRODUCT((Inputs!$E$5:$E$180=$B11)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11" s="6" t="e">
        <f>IF(ISNA(MATCH(AD$2,Inputs!$K$4:$AJ$4,0)),NA(),IF(SUMPRODUCT((Inputs!$A$5:$A$180=$B11)*ISNUMBER(INDEX(Inputs!$K$5:$AJ$180,0,MATCH(AD$2,Inputs!$K$4:$AJ$4,0))))+SUMPRODUCT((Inputs!$C$5:$C$180=$B11)*ISNUMBER(INDEX(Inputs!$K$5:$AJ$180,0,MATCH(AD$2,Inputs!$K$4:$AJ$4,0))))+SUMPRODUCT((Inputs!$E$5:$E$180=$B11)*ISNUMBER(INDEX(Inputs!$K$5:$AJ$180,0,MATCH(AD$2,Inputs!$K$4:$AJ$4,0))))=0,NA(),SUMPRODUCT((Inputs!$A$5:$A$180=$B11)*Inputs!$B$5:$B$180*(((Inputs!$G$5:$G$180="moeda")+(Inputs!$G$5:$G$180="acoes"))*Inputs!$B$1+((Inputs!$G$5:$G$180&lt;&gt;"moeda")*(Inputs!$G$5:$G$180&lt;&gt;"acoes")))*INDEX(Inputs!$K$5:$AJ$180,0,MATCH(AD$2,Inputs!$K$4:$AJ$4,0)))+SUMPRODUCT((Inputs!$C$5:$C$180=$B11)*Inputs!$D$5:$D$180*(((Inputs!$G$5:$G$180="moeda")+(Inputs!$G$5:$G$180="acoes"))*Inputs!$B$1+((Inputs!$G$5:$G$180&lt;&gt;"moeda")*(Inputs!$G$5:$G$180&lt;&gt;"acoes")))*INDEX(Inputs!$K$5:$AJ$180,0,MATCH(AD$2,Inputs!$K$4:$AJ$4,0)))+SUMPRODUCT((Inputs!$E$5:$E$180=$B11)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11" s="6" t="e">
        <f>IF(ISNA(MATCH(AE$2,Inputs!$K$4:$AJ$4,0)),NA(),IF(SUMPRODUCT((Inputs!$A$5:$A$180=$B11)*ISNUMBER(INDEX(Inputs!$K$5:$AJ$180,0,MATCH(AE$2,Inputs!$K$4:$AJ$4,0))))+SUMPRODUCT((Inputs!$C$5:$C$180=$B11)*ISNUMBER(INDEX(Inputs!$K$5:$AJ$180,0,MATCH(AE$2,Inputs!$K$4:$AJ$4,0))))+SUMPRODUCT((Inputs!$E$5:$E$180=$B11)*ISNUMBER(INDEX(Inputs!$K$5:$AJ$180,0,MATCH(AE$2,Inputs!$K$4:$AJ$4,0))))=0,NA(),SUMPRODUCT((Inputs!$A$5:$A$180=$B11)*Inputs!$B$5:$B$180*(((Inputs!$G$5:$G$180="moeda")+(Inputs!$G$5:$G$180="acoes"))*Inputs!$B$1+((Inputs!$G$5:$G$180&lt;&gt;"moeda")*(Inputs!$G$5:$G$180&lt;&gt;"acoes")))*INDEX(Inputs!$K$5:$AJ$180,0,MATCH(AE$2,Inputs!$K$4:$AJ$4,0)))+SUMPRODUCT((Inputs!$C$5:$C$180=$B11)*Inputs!$D$5:$D$180*(((Inputs!$G$5:$G$180="moeda")+(Inputs!$G$5:$G$180="acoes"))*Inputs!$B$1+((Inputs!$G$5:$G$180&lt;&gt;"moeda")*(Inputs!$G$5:$G$180&lt;&gt;"acoes")))*INDEX(Inputs!$K$5:$AJ$180,0,MATCH(AE$2,Inputs!$K$4:$AJ$4,0)))+SUMPRODUCT((Inputs!$E$5:$E$180=$B11)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1" s="6" t="e">
        <f>IF(ISNA(MATCH(AF$2,Inputs!$K$4:$AJ$4,0)),NA(),IF(SUMPRODUCT((Inputs!$A$5:$A$180=$B11)*ISNUMBER(INDEX(Inputs!$K$5:$AJ$180,0,MATCH(AF$2,Inputs!$K$4:$AJ$4,0))))+SUMPRODUCT((Inputs!$C$5:$C$180=$B11)*ISNUMBER(INDEX(Inputs!$K$5:$AJ$180,0,MATCH(AF$2,Inputs!$K$4:$AJ$4,0))))+SUMPRODUCT((Inputs!$E$5:$E$180=$B11)*ISNUMBER(INDEX(Inputs!$K$5:$AJ$180,0,MATCH(AF$2,Inputs!$K$4:$AJ$4,0))))=0,NA(),SUMPRODUCT((Inputs!$A$5:$A$180=$B11)*Inputs!$B$5:$B$180*(((Inputs!$G$5:$G$180="moeda")+(Inputs!$G$5:$G$180="acoes"))*Inputs!$B$1+((Inputs!$G$5:$G$180&lt;&gt;"moeda")*(Inputs!$G$5:$G$180&lt;&gt;"acoes")))*INDEX(Inputs!$K$5:$AJ$180,0,MATCH(AF$2,Inputs!$K$4:$AJ$4,0)))+SUMPRODUCT((Inputs!$C$5:$C$180=$B11)*Inputs!$D$5:$D$180*(((Inputs!$G$5:$G$180="moeda")+(Inputs!$G$5:$G$180="acoes"))*Inputs!$B$1+((Inputs!$G$5:$G$180&lt;&gt;"moeda")*(Inputs!$G$5:$G$180&lt;&gt;"acoes")))*INDEX(Inputs!$K$5:$AJ$180,0,MATCH(AF$2,Inputs!$K$4:$AJ$4,0)))+SUMPRODUCT((Inputs!$E$5:$E$180=$B11)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$180=$B11)*ISNUMBER(INDEX(Inputs!$K$5:$AJ$180,0,MATCH(AH$2,Inputs!$K$4:$AJ$4,0))))+SUMPRODUCT((Inputs!$C$5:$C$180=$B11)*ISNUMBER(INDEX(Inputs!$K$5:$AJ$180,0,MATCH(AH$2,Inputs!$K$4:$AJ$4,0))))+SUMPRODUCT((Inputs!$E$5:$E$180=$B11)*ISNUMBER(INDEX(Inputs!$K$5:$AJ$180,0,MATCH(AH$2,Inputs!$K$4:$AJ$4,0))))=0,NA(),SUMPRODUCT((Inputs!$A$5:$A$180=$B11)*Inputs!$B$5:$B$180*(((Inputs!$G$5:$G$180="moeda")+(Inputs!$G$5:$G$180="acoes"))*Inputs!$B$1+((Inputs!$G$5:$G$180&lt;&gt;"moeda")*(Inputs!$G$5:$G$180&lt;&gt;"acoes")))*INDEX(Inputs!$K$5:$AJ$180,0,MATCH(AH$2,Inputs!$K$4:$AJ$4,0)))+SUMPRODUCT((Inputs!$C$5:$C$180=$B11)*Inputs!$D$5:$D$180*(((Inputs!$G$5:$G$180="moeda")+(Inputs!$G$5:$G$180="acoes"))*Inputs!$B$1+((Inputs!$G$5:$G$180&lt;&gt;"moeda")*(Inputs!$G$5:$G$180&lt;&gt;"acoes")))*INDEX(Inputs!$K$5:$AJ$180,0,MATCH(AH$2,Inputs!$K$4:$AJ$4,0)))+SUMPRODUCT((Inputs!$E$5:$E$180=$B11)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11" s="6" t="e">
        <f>IF(ISNA(MATCH(AI$2,Inputs!$K$4:$AJ$4,0)),NA(),IF(SUMPRODUCT((Inputs!$A$5:$A$180=$B11)*ISNUMBER(INDEX(Inputs!$K$5:$AJ$180,0,MATCH(AI$2,Inputs!$K$4:$AJ$4,0))))+SUMPRODUCT((Inputs!$C$5:$C$180=$B11)*ISNUMBER(INDEX(Inputs!$K$5:$AJ$180,0,MATCH(AI$2,Inputs!$K$4:$AJ$4,0))))+SUMPRODUCT((Inputs!$E$5:$E$180=$B11)*ISNUMBER(INDEX(Inputs!$K$5:$AJ$180,0,MATCH(AI$2,Inputs!$K$4:$AJ$4,0))))=0,NA(),SUMPRODUCT((Inputs!$A$5:$A$180=$B11)*Inputs!$B$5:$B$180*(((Inputs!$G$5:$G$180="moeda")+(Inputs!$G$5:$G$180="acoes"))*Inputs!$B$1+((Inputs!$G$5:$G$180&lt;&gt;"moeda")*(Inputs!$G$5:$G$180&lt;&gt;"acoes")))*INDEX(Inputs!$K$5:$AJ$180,0,MATCH(AI$2,Inputs!$K$4:$AJ$4,0)))+SUMPRODUCT((Inputs!$C$5:$C$180=$B11)*Inputs!$D$5:$D$180*(((Inputs!$G$5:$G$180="moeda")+(Inputs!$G$5:$G$180="acoes"))*Inputs!$B$1+((Inputs!$G$5:$G$180&lt;&gt;"moeda")*(Inputs!$G$5:$G$180&lt;&gt;"acoes")))*INDEX(Inputs!$K$5:$AJ$180,0,MATCH(AI$2,Inputs!$K$4:$AJ$4,0)))+SUMPRODUCT((Inputs!$E$5:$E$180=$B11)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11" s="6" t="e">
        <f>IF(ISNA(MATCH(AJ$2,Inputs!$K$4:$AJ$4,0)),NA(),IF(SUMPRODUCT((Inputs!$A$5:$A$180=$B11)*ISNUMBER(INDEX(Inputs!$K$5:$AJ$180,0,MATCH(AJ$2,Inputs!$K$4:$AJ$4,0))))+SUMPRODUCT((Inputs!$C$5:$C$180=$B11)*ISNUMBER(INDEX(Inputs!$K$5:$AJ$180,0,MATCH(AJ$2,Inputs!$K$4:$AJ$4,0))))+SUMPRODUCT((Inputs!$E$5:$E$180=$B11)*ISNUMBER(INDEX(Inputs!$K$5:$AJ$180,0,MATCH(AJ$2,Inputs!$K$4:$AJ$4,0))))=0,NA(),SUMPRODUCT((Inputs!$A$5:$A$180=$B11)*Inputs!$B$5:$B$180*(((Inputs!$G$5:$G$180="moeda")+(Inputs!$G$5:$G$180="acoes"))*Inputs!$B$1+((Inputs!$G$5:$G$180&lt;&gt;"moeda")*(Inputs!$G$5:$G$180&lt;&gt;"acoes")))*INDEX(Inputs!$K$5:$AJ$180,0,MATCH(AJ$2,Inputs!$K$4:$AJ$4,0)))+SUMPRODUCT((Inputs!$C$5:$C$180=$B11)*Inputs!$D$5:$D$180*(((Inputs!$G$5:$G$180="moeda")+(Inputs!$G$5:$G$180="acoes"))*Inputs!$B$1+((Inputs!$G$5:$G$180&lt;&gt;"moeda")*(Inputs!$G$5:$G$180&lt;&gt;"acoes")))*INDEX(Inputs!$K$5:$AJ$180,0,MATCH(AJ$2,Inputs!$K$4:$AJ$4,0)))+SUMPRODUCT((Inputs!$E$5:$E$180=$B11)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11" s="6" t="e">
        <f>IF(ISNA(MATCH(AK$2,Inputs!$K$4:$AJ$4,0)),NA(),IF(SUMPRODUCT((Inputs!$A$5:$A$180=$B11)*ISNUMBER(INDEX(Inputs!$K$5:$AJ$180,0,MATCH(AK$2,Inputs!$K$4:$AJ$4,0))))+SUMPRODUCT((Inputs!$C$5:$C$180=$B11)*ISNUMBER(INDEX(Inputs!$K$5:$AJ$180,0,MATCH(AK$2,Inputs!$K$4:$AJ$4,0))))+SUMPRODUCT((Inputs!$E$5:$E$180=$B11)*ISNUMBER(INDEX(Inputs!$K$5:$AJ$180,0,MATCH(AK$2,Inputs!$K$4:$AJ$4,0))))=0,NA(),SUMPRODUCT((Inputs!$A$5:$A$180=$B11)*Inputs!$B$5:$B$180*(((Inputs!$G$5:$G$180="moeda")+(Inputs!$G$5:$G$180="acoes"))*Inputs!$B$1+((Inputs!$G$5:$G$180&lt;&gt;"moeda")*(Inputs!$G$5:$G$180&lt;&gt;"acoes")))*INDEX(Inputs!$K$5:$AJ$180,0,MATCH(AK$2,Inputs!$K$4:$AJ$4,0)))+SUMPRODUCT((Inputs!$C$5:$C$180=$B11)*Inputs!$D$5:$D$180*(((Inputs!$G$5:$G$180="moeda")+(Inputs!$G$5:$G$180="acoes"))*Inputs!$B$1+((Inputs!$G$5:$G$180&lt;&gt;"moeda")*(Inputs!$G$5:$G$180&lt;&gt;"acoes")))*INDEX(Inputs!$K$5:$AJ$180,0,MATCH(AK$2,Inputs!$K$4:$AJ$4,0)))+SUMPRODUCT((Inputs!$E$5:$E$180=$B11)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$180=$B12)*ISNUMBER(INDEX(Inputs!$K$5:$AJ$180,0,MATCH(D$2,Inputs!$K$4:$AJ$4,0))))+SUMPRODUCT((Inputs!$C$5:$C$180=$B12)*ISNUMBER(INDEX(Inputs!$K$5:$AJ$180,0,MATCH(D$2,Inputs!$K$4:$AJ$4,0))))+SUMPRODUCT((Inputs!$E$5:$E$180=$B12)*ISNUMBER(INDEX(Inputs!$K$5:$AJ$180,0,MATCH(D$2,Inputs!$K$4:$AJ$4,0))))=0,NA(),SUMPRODUCT((Inputs!$A$5:$A$180=$B12)*Inputs!$B$5:$B$180*(((Inputs!$G$5:$G$180="moeda")+(Inputs!$G$5:$G$180="acoes"))*Inputs!$B$1+((Inputs!$G$5:$G$180&lt;&gt;"moeda")*(Inputs!$G$5:$G$180&lt;&gt;"acoes")))*INDEX(Inputs!$K$5:$AJ$180,0,MATCH(D$2,Inputs!$K$4:$AJ$4,0)))+SUMPRODUCT((Inputs!$C$5:$C$180=$B12)*Inputs!$D$5:$D$180*(((Inputs!$G$5:$G$180="moeda")+(Inputs!$G$5:$G$180="acoes"))*Inputs!$B$1+((Inputs!$G$5:$G$180&lt;&gt;"moeda")*(Inputs!$G$5:$G$180&lt;&gt;"acoes")))*INDEX(Inputs!$K$5:$AJ$180,0,MATCH(D$2,Inputs!$K$4:$AJ$4,0)))+SUMPRODUCT((Inputs!$E$5:$E$180=$B12)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12" s="6" t="e">
        <f>IF(ISNA(MATCH(E$2,Inputs!$K$4:$AJ$4,0)),NA(),IF(SUMPRODUCT((Inputs!$A$5:$A$180=$B12)*ISNUMBER(INDEX(Inputs!$K$5:$AJ$180,0,MATCH(E$2,Inputs!$K$4:$AJ$4,0))))+SUMPRODUCT((Inputs!$C$5:$C$180=$B12)*ISNUMBER(INDEX(Inputs!$K$5:$AJ$180,0,MATCH(E$2,Inputs!$K$4:$AJ$4,0))))+SUMPRODUCT((Inputs!$E$5:$E$180=$B12)*ISNUMBER(INDEX(Inputs!$K$5:$AJ$180,0,MATCH(E$2,Inputs!$K$4:$AJ$4,0))))=0,NA(),SUMPRODUCT((Inputs!$A$5:$A$180=$B12)*Inputs!$B$5:$B$180*(((Inputs!$G$5:$G$180="moeda")+(Inputs!$G$5:$G$180="acoes"))*Inputs!$B$1+((Inputs!$G$5:$G$180&lt;&gt;"moeda")*(Inputs!$G$5:$G$180&lt;&gt;"acoes")))*INDEX(Inputs!$K$5:$AJ$180,0,MATCH(E$2,Inputs!$K$4:$AJ$4,0)))+SUMPRODUCT((Inputs!$C$5:$C$180=$B12)*Inputs!$D$5:$D$180*(((Inputs!$G$5:$G$180="moeda")+(Inputs!$G$5:$G$180="acoes"))*Inputs!$B$1+((Inputs!$G$5:$G$180&lt;&gt;"moeda")*(Inputs!$G$5:$G$180&lt;&gt;"acoes")))*INDEX(Inputs!$K$5:$AJ$180,0,MATCH(E$2,Inputs!$K$4:$AJ$4,0)))+SUMPRODUCT((Inputs!$E$5:$E$180=$B12)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12" s="6" t="e">
        <f>IF(ISNA(MATCH(F$2,Inputs!$K$4:$AJ$4,0)),NA(),IF(SUMPRODUCT((Inputs!$A$5:$A$180=$B12)*ISNUMBER(INDEX(Inputs!$K$5:$AJ$180,0,MATCH(F$2,Inputs!$K$4:$AJ$4,0))))+SUMPRODUCT((Inputs!$C$5:$C$180=$B12)*ISNUMBER(INDEX(Inputs!$K$5:$AJ$180,0,MATCH(F$2,Inputs!$K$4:$AJ$4,0))))+SUMPRODUCT((Inputs!$E$5:$E$180=$B12)*ISNUMBER(INDEX(Inputs!$K$5:$AJ$180,0,MATCH(F$2,Inputs!$K$4:$AJ$4,0))))=0,NA(),SUMPRODUCT((Inputs!$A$5:$A$180=$B12)*Inputs!$B$5:$B$180*(((Inputs!$G$5:$G$180="moeda")+(Inputs!$G$5:$G$180="acoes"))*Inputs!$B$1+((Inputs!$G$5:$G$180&lt;&gt;"moeda")*(Inputs!$G$5:$G$180&lt;&gt;"acoes")))*INDEX(Inputs!$K$5:$AJ$180,0,MATCH(F$2,Inputs!$K$4:$AJ$4,0)))+SUMPRODUCT((Inputs!$C$5:$C$180=$B12)*Inputs!$D$5:$D$180*(((Inputs!$G$5:$G$180="moeda")+(Inputs!$G$5:$G$180="acoes"))*Inputs!$B$1+((Inputs!$G$5:$G$180&lt;&gt;"moeda")*(Inputs!$G$5:$G$180&lt;&gt;"acoes")))*INDEX(Inputs!$K$5:$AJ$180,0,MATCH(F$2,Inputs!$K$4:$AJ$4,0)))+SUMPRODUCT((Inputs!$E$5:$E$180=$B12)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12" s="6" t="e">
        <f>IF(ISNA(MATCH(G$2,Inputs!$K$4:$AJ$4,0)),NA(),IF(SUMPRODUCT((Inputs!$A$5:$A$180=$B12)*ISNUMBER(INDEX(Inputs!$K$5:$AJ$180,0,MATCH(G$2,Inputs!$K$4:$AJ$4,0))))+SUMPRODUCT((Inputs!$C$5:$C$180=$B12)*ISNUMBER(INDEX(Inputs!$K$5:$AJ$180,0,MATCH(G$2,Inputs!$K$4:$AJ$4,0))))+SUMPRODUCT((Inputs!$E$5:$E$180=$B12)*ISNUMBER(INDEX(Inputs!$K$5:$AJ$180,0,MATCH(G$2,Inputs!$K$4:$AJ$4,0))))=0,NA(),SUMPRODUCT((Inputs!$A$5:$A$180=$B12)*Inputs!$B$5:$B$180*(((Inputs!$G$5:$G$180="moeda")+(Inputs!$G$5:$G$180="acoes"))*Inputs!$B$1+((Inputs!$G$5:$G$180&lt;&gt;"moeda")*(Inputs!$G$5:$G$180&lt;&gt;"acoes")))*INDEX(Inputs!$K$5:$AJ$180,0,MATCH(G$2,Inputs!$K$4:$AJ$4,0)))+SUMPRODUCT((Inputs!$C$5:$C$180=$B12)*Inputs!$D$5:$D$180*(((Inputs!$G$5:$G$180="moeda")+(Inputs!$G$5:$G$180="acoes"))*Inputs!$B$1+((Inputs!$G$5:$G$180&lt;&gt;"moeda")*(Inputs!$G$5:$G$180&lt;&gt;"acoes")))*INDEX(Inputs!$K$5:$AJ$180,0,MATCH(G$2,Inputs!$K$4:$AJ$4,0)))+SUMPRODUCT((Inputs!$E$5:$E$180=$B12)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$180=$B12)*ISNUMBER(INDEX(Inputs!$K$5:$AJ$180,0,MATCH(I$2,Inputs!$K$4:$AJ$4,0))))+SUMPRODUCT((Inputs!$C$5:$C$180=$B12)*ISNUMBER(INDEX(Inputs!$K$5:$AJ$180,0,MATCH(I$2,Inputs!$K$4:$AJ$4,0))))+SUMPRODUCT((Inputs!$E$5:$E$180=$B12)*ISNUMBER(INDEX(Inputs!$K$5:$AJ$180,0,MATCH(I$2,Inputs!$K$4:$AJ$4,0))))=0,NA(),SUMPRODUCT((Inputs!$A$5:$A$180=$B12)*Inputs!$B$5:$B$180*(((Inputs!$G$5:$G$180="moeda")+(Inputs!$G$5:$G$180="acoes"))*Inputs!$B$1+((Inputs!$G$5:$G$180&lt;&gt;"moeda")*(Inputs!$G$5:$G$180&lt;&gt;"acoes")))*INDEX(Inputs!$K$5:$AJ$180,0,MATCH(I$2,Inputs!$K$4:$AJ$4,0)))+SUMPRODUCT((Inputs!$C$5:$C$180=$B12)*Inputs!$D$5:$D$180*(((Inputs!$G$5:$G$180="moeda")+(Inputs!$G$5:$G$180="acoes"))*Inputs!$B$1+((Inputs!$G$5:$G$180&lt;&gt;"moeda")*(Inputs!$G$5:$G$180&lt;&gt;"acoes")))*INDEX(Inputs!$K$5:$AJ$180,0,MATCH(I$2,Inputs!$K$4:$AJ$4,0)))+SUMPRODUCT((Inputs!$E$5:$E$180=$B12)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12" s="6" t="e">
        <f>IF(ISNA(MATCH(J$2,Inputs!$K$4:$AJ$4,0)),NA(),IF(SUMPRODUCT((Inputs!$A$5:$A$180=$B12)*ISNUMBER(INDEX(Inputs!$K$5:$AJ$180,0,MATCH(J$2,Inputs!$K$4:$AJ$4,0))))+SUMPRODUCT((Inputs!$C$5:$C$180=$B12)*ISNUMBER(INDEX(Inputs!$K$5:$AJ$180,0,MATCH(J$2,Inputs!$K$4:$AJ$4,0))))+SUMPRODUCT((Inputs!$E$5:$E$180=$B12)*ISNUMBER(INDEX(Inputs!$K$5:$AJ$180,0,MATCH(J$2,Inputs!$K$4:$AJ$4,0))))=0,NA(),SUMPRODUCT((Inputs!$A$5:$A$180=$B12)*Inputs!$B$5:$B$180*(((Inputs!$G$5:$G$180="moeda")+(Inputs!$G$5:$G$180="acoes"))*Inputs!$B$1+((Inputs!$G$5:$G$180&lt;&gt;"moeda")*(Inputs!$G$5:$G$180&lt;&gt;"acoes")))*INDEX(Inputs!$K$5:$AJ$180,0,MATCH(J$2,Inputs!$K$4:$AJ$4,0)))+SUMPRODUCT((Inputs!$C$5:$C$180=$B12)*Inputs!$D$5:$D$180*(((Inputs!$G$5:$G$180="moeda")+(Inputs!$G$5:$G$180="acoes"))*Inputs!$B$1+((Inputs!$G$5:$G$180&lt;&gt;"moeda")*(Inputs!$G$5:$G$180&lt;&gt;"acoes")))*INDEX(Inputs!$K$5:$AJ$180,0,MATCH(J$2,Inputs!$K$4:$AJ$4,0)))+SUMPRODUCT((Inputs!$E$5:$E$180=$B12)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12" s="6" t="e">
        <f>IF(ISNA(MATCH(K$2,Inputs!$K$4:$AJ$4,0)),NA(),IF(SUMPRODUCT((Inputs!$A$5:$A$180=$B12)*ISNUMBER(INDEX(Inputs!$K$5:$AJ$180,0,MATCH(K$2,Inputs!$K$4:$AJ$4,0))))+SUMPRODUCT((Inputs!$C$5:$C$180=$B12)*ISNUMBER(INDEX(Inputs!$K$5:$AJ$180,0,MATCH(K$2,Inputs!$K$4:$AJ$4,0))))+SUMPRODUCT((Inputs!$E$5:$E$180=$B12)*ISNUMBER(INDEX(Inputs!$K$5:$AJ$180,0,MATCH(K$2,Inputs!$K$4:$AJ$4,0))))=0,NA(),SUMPRODUCT((Inputs!$A$5:$A$180=$B12)*Inputs!$B$5:$B$180*(((Inputs!$G$5:$G$180="moeda")+(Inputs!$G$5:$G$180="acoes"))*Inputs!$B$1+((Inputs!$G$5:$G$180&lt;&gt;"moeda")*(Inputs!$G$5:$G$180&lt;&gt;"acoes")))*INDEX(Inputs!$K$5:$AJ$180,0,MATCH(K$2,Inputs!$K$4:$AJ$4,0)))+SUMPRODUCT((Inputs!$C$5:$C$180=$B12)*Inputs!$D$5:$D$180*(((Inputs!$G$5:$G$180="moeda")+(Inputs!$G$5:$G$180="acoes"))*Inputs!$B$1+((Inputs!$G$5:$G$180&lt;&gt;"moeda")*(Inputs!$G$5:$G$180&lt;&gt;"acoes")))*INDEX(Inputs!$K$5:$AJ$180,0,MATCH(K$2,Inputs!$K$4:$AJ$4,0)))+SUMPRODUCT((Inputs!$E$5:$E$180=$B12)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12" s="6" t="e">
        <f>IF(ISNA(MATCH(L$2,Inputs!$K$4:$AJ$4,0)),NA(),IF(SUMPRODUCT((Inputs!$A$5:$A$180=$B12)*ISNUMBER(INDEX(Inputs!$K$5:$AJ$180,0,MATCH(L$2,Inputs!$K$4:$AJ$4,0))))+SUMPRODUCT((Inputs!$C$5:$C$180=$B12)*ISNUMBER(INDEX(Inputs!$K$5:$AJ$180,0,MATCH(L$2,Inputs!$K$4:$AJ$4,0))))+SUMPRODUCT((Inputs!$E$5:$E$180=$B12)*ISNUMBER(INDEX(Inputs!$K$5:$AJ$180,0,MATCH(L$2,Inputs!$K$4:$AJ$4,0))))=0,NA(),SUMPRODUCT((Inputs!$A$5:$A$180=$B12)*Inputs!$B$5:$B$180*(((Inputs!$G$5:$G$180="moeda")+(Inputs!$G$5:$G$180="acoes"))*Inputs!$B$1+((Inputs!$G$5:$G$180&lt;&gt;"moeda")*(Inputs!$G$5:$G$180&lt;&gt;"acoes")))*INDEX(Inputs!$K$5:$AJ$180,0,MATCH(L$2,Inputs!$K$4:$AJ$4,0)))+SUMPRODUCT((Inputs!$C$5:$C$180=$B12)*Inputs!$D$5:$D$180*(((Inputs!$G$5:$G$180="moeda")+(Inputs!$G$5:$G$180="acoes"))*Inputs!$B$1+((Inputs!$G$5:$G$180&lt;&gt;"moeda")*(Inputs!$G$5:$G$180&lt;&gt;"acoes")))*INDEX(Inputs!$K$5:$AJ$180,0,MATCH(L$2,Inputs!$K$4:$AJ$4,0)))+SUMPRODUCT((Inputs!$E$5:$E$180=$B12)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$180=$B12)*ISNUMBER(INDEX(Inputs!$K$5:$AJ$180,0,MATCH(N$2,Inputs!$K$4:$AJ$4,0))))+SUMPRODUCT((Inputs!$C$5:$C$180=$B12)*ISNUMBER(INDEX(Inputs!$K$5:$AJ$180,0,MATCH(N$2,Inputs!$K$4:$AJ$4,0))))+SUMPRODUCT((Inputs!$E$5:$E$180=$B12)*ISNUMBER(INDEX(Inputs!$K$5:$AJ$180,0,MATCH(N$2,Inputs!$K$4:$AJ$4,0))))=0,NA(),SUMPRODUCT((Inputs!$A$5:$A$180=$B12)*Inputs!$B$5:$B$180*(((Inputs!$G$5:$G$180="moeda")+(Inputs!$G$5:$G$180="acoes"))*Inputs!$B$1+((Inputs!$G$5:$G$180&lt;&gt;"moeda")*(Inputs!$G$5:$G$180&lt;&gt;"acoes")))*INDEX(Inputs!$K$5:$AJ$180,0,MATCH(N$2,Inputs!$K$4:$AJ$4,0)))+SUMPRODUCT((Inputs!$C$5:$C$180=$B12)*Inputs!$D$5:$D$180*(((Inputs!$G$5:$G$180="moeda")+(Inputs!$G$5:$G$180="acoes"))*Inputs!$B$1+((Inputs!$G$5:$G$180&lt;&gt;"moeda")*(Inputs!$G$5:$G$180&lt;&gt;"acoes")))*INDEX(Inputs!$K$5:$AJ$180,0,MATCH(N$2,Inputs!$K$4:$AJ$4,0)))+SUMPRODUCT((Inputs!$E$5:$E$180=$B12)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12" s="6" t="e">
        <f>IF(ISNA(MATCH(O$2,Inputs!$K$4:$AJ$4,0)),NA(),IF(SUMPRODUCT((Inputs!$A$5:$A$180=$B12)*ISNUMBER(INDEX(Inputs!$K$5:$AJ$180,0,MATCH(O$2,Inputs!$K$4:$AJ$4,0))))+SUMPRODUCT((Inputs!$C$5:$C$180=$B12)*ISNUMBER(INDEX(Inputs!$K$5:$AJ$180,0,MATCH(O$2,Inputs!$K$4:$AJ$4,0))))+SUMPRODUCT((Inputs!$E$5:$E$180=$B12)*ISNUMBER(INDEX(Inputs!$K$5:$AJ$180,0,MATCH(O$2,Inputs!$K$4:$AJ$4,0))))=0,NA(),SUMPRODUCT((Inputs!$A$5:$A$180=$B12)*Inputs!$B$5:$B$180*(((Inputs!$G$5:$G$180="moeda")+(Inputs!$G$5:$G$180="acoes"))*Inputs!$B$1+((Inputs!$G$5:$G$180&lt;&gt;"moeda")*(Inputs!$G$5:$G$180&lt;&gt;"acoes")))*INDEX(Inputs!$K$5:$AJ$180,0,MATCH(O$2,Inputs!$K$4:$AJ$4,0)))+SUMPRODUCT((Inputs!$C$5:$C$180=$B12)*Inputs!$D$5:$D$180*(((Inputs!$G$5:$G$180="moeda")+(Inputs!$G$5:$G$180="acoes"))*Inputs!$B$1+((Inputs!$G$5:$G$180&lt;&gt;"moeda")*(Inputs!$G$5:$G$180&lt;&gt;"acoes")))*INDEX(Inputs!$K$5:$AJ$180,0,MATCH(O$2,Inputs!$K$4:$AJ$4,0)))+SUMPRODUCT((Inputs!$E$5:$E$180=$B12)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12" s="6" t="e">
        <f>IF(ISNA(MATCH(P$2,Inputs!$K$4:$AJ$4,0)),NA(),IF(SUMPRODUCT((Inputs!$A$5:$A$180=$B12)*ISNUMBER(INDEX(Inputs!$K$5:$AJ$180,0,MATCH(P$2,Inputs!$K$4:$AJ$4,0))))+SUMPRODUCT((Inputs!$C$5:$C$180=$B12)*ISNUMBER(INDEX(Inputs!$K$5:$AJ$180,0,MATCH(P$2,Inputs!$K$4:$AJ$4,0))))+SUMPRODUCT((Inputs!$E$5:$E$180=$B12)*ISNUMBER(INDEX(Inputs!$K$5:$AJ$180,0,MATCH(P$2,Inputs!$K$4:$AJ$4,0))))=0,NA(),SUMPRODUCT((Inputs!$A$5:$A$180=$B12)*Inputs!$B$5:$B$180*(((Inputs!$G$5:$G$180="moeda")+(Inputs!$G$5:$G$180="acoes"))*Inputs!$B$1+((Inputs!$G$5:$G$180&lt;&gt;"moeda")*(Inputs!$G$5:$G$180&lt;&gt;"acoes")))*INDEX(Inputs!$K$5:$AJ$180,0,MATCH(P$2,Inputs!$K$4:$AJ$4,0)))+SUMPRODUCT((Inputs!$C$5:$C$180=$B12)*Inputs!$D$5:$D$180*(((Inputs!$G$5:$G$180="moeda")+(Inputs!$G$5:$G$180="acoes"))*Inputs!$B$1+((Inputs!$G$5:$G$180&lt;&gt;"moeda")*(Inputs!$G$5:$G$180&lt;&gt;"acoes")))*INDEX(Inputs!$K$5:$AJ$180,0,MATCH(P$2,Inputs!$K$4:$AJ$4,0)))+SUMPRODUCT((Inputs!$E$5:$E$180=$B12)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12" s="6" t="e">
        <f>IF(ISNA(MATCH(Q$2,Inputs!$K$4:$AJ$4,0)),NA(),IF(SUMPRODUCT((Inputs!$A$5:$A$180=$B12)*ISNUMBER(INDEX(Inputs!$K$5:$AJ$180,0,MATCH(Q$2,Inputs!$K$4:$AJ$4,0))))+SUMPRODUCT((Inputs!$C$5:$C$180=$B12)*ISNUMBER(INDEX(Inputs!$K$5:$AJ$180,0,MATCH(Q$2,Inputs!$K$4:$AJ$4,0))))+SUMPRODUCT((Inputs!$E$5:$E$180=$B12)*ISNUMBER(INDEX(Inputs!$K$5:$AJ$180,0,MATCH(Q$2,Inputs!$K$4:$AJ$4,0))))=0,NA(),SUMPRODUCT((Inputs!$A$5:$A$180=$B12)*Inputs!$B$5:$B$180*(((Inputs!$G$5:$G$180="moeda")+(Inputs!$G$5:$G$180="acoes"))*Inputs!$B$1+((Inputs!$G$5:$G$180&lt;&gt;"moeda")*(Inputs!$G$5:$G$180&lt;&gt;"acoes")))*INDEX(Inputs!$K$5:$AJ$180,0,MATCH(Q$2,Inputs!$K$4:$AJ$4,0)))+SUMPRODUCT((Inputs!$C$5:$C$180=$B12)*Inputs!$D$5:$D$180*(((Inputs!$G$5:$G$180="moeda")+(Inputs!$G$5:$G$180="acoes"))*Inputs!$B$1+((Inputs!$G$5:$G$180&lt;&gt;"moeda")*(Inputs!$G$5:$G$180&lt;&gt;"acoes")))*INDEX(Inputs!$K$5:$AJ$180,0,MATCH(Q$2,Inputs!$K$4:$AJ$4,0)))+SUMPRODUCT((Inputs!$E$5:$E$180=$B12)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$180=$B12)*ISNUMBER(INDEX(Inputs!$K$5:$AJ$180,0,MATCH(S$2,Inputs!$K$4:$AJ$4,0))))+SUMPRODUCT((Inputs!$C$5:$C$180=$B12)*ISNUMBER(INDEX(Inputs!$K$5:$AJ$180,0,MATCH(S$2,Inputs!$K$4:$AJ$4,0))))+SUMPRODUCT((Inputs!$E$5:$E$180=$B12)*ISNUMBER(INDEX(Inputs!$K$5:$AJ$180,0,MATCH(S$2,Inputs!$K$4:$AJ$4,0))))=0,NA(),SUMPRODUCT((Inputs!$A$5:$A$180=$B12)*Inputs!$B$5:$B$180*(((Inputs!$G$5:$G$180="moeda")+(Inputs!$G$5:$G$180="acoes"))*Inputs!$B$1+((Inputs!$G$5:$G$180&lt;&gt;"moeda")*(Inputs!$G$5:$G$180&lt;&gt;"acoes")))*INDEX(Inputs!$K$5:$AJ$180,0,MATCH(S$2,Inputs!$K$4:$AJ$4,0)))+SUMPRODUCT((Inputs!$C$5:$C$180=$B12)*Inputs!$D$5:$D$180*(((Inputs!$G$5:$G$180="moeda")+(Inputs!$G$5:$G$180="acoes"))*Inputs!$B$1+((Inputs!$G$5:$G$180&lt;&gt;"moeda")*(Inputs!$G$5:$G$180&lt;&gt;"acoes")))*INDEX(Inputs!$K$5:$AJ$180,0,MATCH(S$2,Inputs!$K$4:$AJ$4,0)))+SUMPRODUCT((Inputs!$E$5:$E$180=$B12)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12" s="6" t="e">
        <f>IF(ISNA(MATCH(T$2,Inputs!$K$4:$AJ$4,0)),NA(),IF(SUMPRODUCT((Inputs!$A$5:$A$180=$B12)*ISNUMBER(INDEX(Inputs!$K$5:$AJ$180,0,MATCH(T$2,Inputs!$K$4:$AJ$4,0))))+SUMPRODUCT((Inputs!$C$5:$C$180=$B12)*ISNUMBER(INDEX(Inputs!$K$5:$AJ$180,0,MATCH(T$2,Inputs!$K$4:$AJ$4,0))))+SUMPRODUCT((Inputs!$E$5:$E$180=$B12)*ISNUMBER(INDEX(Inputs!$K$5:$AJ$180,0,MATCH(T$2,Inputs!$K$4:$AJ$4,0))))=0,NA(),SUMPRODUCT((Inputs!$A$5:$A$180=$B12)*Inputs!$B$5:$B$180*(((Inputs!$G$5:$G$180="moeda")+(Inputs!$G$5:$G$180="acoes"))*Inputs!$B$1+((Inputs!$G$5:$G$180&lt;&gt;"moeda")*(Inputs!$G$5:$G$180&lt;&gt;"acoes")))*INDEX(Inputs!$K$5:$AJ$180,0,MATCH(T$2,Inputs!$K$4:$AJ$4,0)))+SUMPRODUCT((Inputs!$C$5:$C$180=$B12)*Inputs!$D$5:$D$180*(((Inputs!$G$5:$G$180="moeda")+(Inputs!$G$5:$G$180="acoes"))*Inputs!$B$1+((Inputs!$G$5:$G$180&lt;&gt;"moeda")*(Inputs!$G$5:$G$180&lt;&gt;"acoes")))*INDEX(Inputs!$K$5:$AJ$180,0,MATCH(T$2,Inputs!$K$4:$AJ$4,0)))+SUMPRODUCT((Inputs!$E$5:$E$180=$B12)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12" s="6" t="e">
        <f>IF(ISNA(MATCH(U$2,Inputs!$K$4:$AJ$4,0)),NA(),IF(SUMPRODUCT((Inputs!$A$5:$A$180=$B12)*ISNUMBER(INDEX(Inputs!$K$5:$AJ$180,0,MATCH(U$2,Inputs!$K$4:$AJ$4,0))))+SUMPRODUCT((Inputs!$C$5:$C$180=$B12)*ISNUMBER(INDEX(Inputs!$K$5:$AJ$180,0,MATCH(U$2,Inputs!$K$4:$AJ$4,0))))+SUMPRODUCT((Inputs!$E$5:$E$180=$B12)*ISNUMBER(INDEX(Inputs!$K$5:$AJ$180,0,MATCH(U$2,Inputs!$K$4:$AJ$4,0))))=0,NA(),SUMPRODUCT((Inputs!$A$5:$A$180=$B12)*Inputs!$B$5:$B$180*(((Inputs!$G$5:$G$180="moeda")+(Inputs!$G$5:$G$180="acoes"))*Inputs!$B$1+((Inputs!$G$5:$G$180&lt;&gt;"moeda")*(Inputs!$G$5:$G$180&lt;&gt;"acoes")))*INDEX(Inputs!$K$5:$AJ$180,0,MATCH(U$2,Inputs!$K$4:$AJ$4,0)))+SUMPRODUCT((Inputs!$C$5:$C$180=$B12)*Inputs!$D$5:$D$180*(((Inputs!$G$5:$G$180="moeda")+(Inputs!$G$5:$G$180="acoes"))*Inputs!$B$1+((Inputs!$G$5:$G$180&lt;&gt;"moeda")*(Inputs!$G$5:$G$180&lt;&gt;"acoes")))*INDEX(Inputs!$K$5:$AJ$180,0,MATCH(U$2,Inputs!$K$4:$AJ$4,0)))+SUMPRODUCT((Inputs!$E$5:$E$180=$B12)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12" s="6" t="e">
        <f>IF(ISNA(MATCH(V$2,Inputs!$K$4:$AJ$4,0)),NA(),IF(SUMPRODUCT((Inputs!$A$5:$A$180=$B12)*ISNUMBER(INDEX(Inputs!$K$5:$AJ$180,0,MATCH(V$2,Inputs!$K$4:$AJ$4,0))))+SUMPRODUCT((Inputs!$C$5:$C$180=$B12)*ISNUMBER(INDEX(Inputs!$K$5:$AJ$180,0,MATCH(V$2,Inputs!$K$4:$AJ$4,0))))+SUMPRODUCT((Inputs!$E$5:$E$180=$B12)*ISNUMBER(INDEX(Inputs!$K$5:$AJ$180,0,MATCH(V$2,Inputs!$K$4:$AJ$4,0))))=0,NA(),SUMPRODUCT((Inputs!$A$5:$A$180=$B12)*Inputs!$B$5:$B$180*(((Inputs!$G$5:$G$180="moeda")+(Inputs!$G$5:$G$180="acoes"))*Inputs!$B$1+((Inputs!$G$5:$G$180&lt;&gt;"moeda")*(Inputs!$G$5:$G$180&lt;&gt;"acoes")))*INDEX(Inputs!$K$5:$AJ$180,0,MATCH(V$2,Inputs!$K$4:$AJ$4,0)))+SUMPRODUCT((Inputs!$C$5:$C$180=$B12)*Inputs!$D$5:$D$180*(((Inputs!$G$5:$G$180="moeda")+(Inputs!$G$5:$G$180="acoes"))*Inputs!$B$1+((Inputs!$G$5:$G$180&lt;&gt;"moeda")*(Inputs!$G$5:$G$180&lt;&gt;"acoes")))*INDEX(Inputs!$K$5:$AJ$180,0,MATCH(V$2,Inputs!$K$4:$AJ$4,0)))+SUMPRODUCT((Inputs!$E$5:$E$180=$B12)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$180=$B12)*ISNUMBER(INDEX(Inputs!$K$5:$AJ$180,0,MATCH(X$2,Inputs!$K$4:$AJ$4,0))))+SUMPRODUCT((Inputs!$C$5:$C$180=$B12)*ISNUMBER(INDEX(Inputs!$K$5:$AJ$180,0,MATCH(X$2,Inputs!$K$4:$AJ$4,0))))+SUMPRODUCT((Inputs!$E$5:$E$180=$B12)*ISNUMBER(INDEX(Inputs!$K$5:$AJ$180,0,MATCH(X$2,Inputs!$K$4:$AJ$4,0))))=0,NA(),SUMPRODUCT((Inputs!$A$5:$A$180=$B12)*Inputs!$B$5:$B$180*(((Inputs!$G$5:$G$180="moeda")+(Inputs!$G$5:$G$180="acoes"))*Inputs!$B$1+((Inputs!$G$5:$G$180&lt;&gt;"moeda")*(Inputs!$G$5:$G$180&lt;&gt;"acoes")))*INDEX(Inputs!$K$5:$AJ$180,0,MATCH(X$2,Inputs!$K$4:$AJ$4,0)))+SUMPRODUCT((Inputs!$C$5:$C$180=$B12)*Inputs!$D$5:$D$180*(((Inputs!$G$5:$G$180="moeda")+(Inputs!$G$5:$G$180="acoes"))*Inputs!$B$1+((Inputs!$G$5:$G$180&lt;&gt;"moeda")*(Inputs!$G$5:$G$180&lt;&gt;"acoes")))*INDEX(Inputs!$K$5:$AJ$180,0,MATCH(X$2,Inputs!$K$4:$AJ$4,0)))+SUMPRODUCT((Inputs!$E$5:$E$180=$B12)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12" s="6" t="e">
        <f>IF(ISNA(MATCH(Y$2,Inputs!$K$4:$AJ$4,0)),NA(),IF(SUMPRODUCT((Inputs!$A$5:$A$180=$B12)*ISNUMBER(INDEX(Inputs!$K$5:$AJ$180,0,MATCH(Y$2,Inputs!$K$4:$AJ$4,0))))+SUMPRODUCT((Inputs!$C$5:$C$180=$B12)*ISNUMBER(INDEX(Inputs!$K$5:$AJ$180,0,MATCH(Y$2,Inputs!$K$4:$AJ$4,0))))+SUMPRODUCT((Inputs!$E$5:$E$180=$B12)*ISNUMBER(INDEX(Inputs!$K$5:$AJ$180,0,MATCH(Y$2,Inputs!$K$4:$AJ$4,0))))=0,NA(),SUMPRODUCT((Inputs!$A$5:$A$180=$B12)*Inputs!$B$5:$B$180*(((Inputs!$G$5:$G$180="moeda")+(Inputs!$G$5:$G$180="acoes"))*Inputs!$B$1+((Inputs!$G$5:$G$180&lt;&gt;"moeda")*(Inputs!$G$5:$G$180&lt;&gt;"acoes")))*INDEX(Inputs!$K$5:$AJ$180,0,MATCH(Y$2,Inputs!$K$4:$AJ$4,0)))+SUMPRODUCT((Inputs!$C$5:$C$180=$B12)*Inputs!$D$5:$D$180*(((Inputs!$G$5:$G$180="moeda")+(Inputs!$G$5:$G$180="acoes"))*Inputs!$B$1+((Inputs!$G$5:$G$180&lt;&gt;"moeda")*(Inputs!$G$5:$G$180&lt;&gt;"acoes")))*INDEX(Inputs!$K$5:$AJ$180,0,MATCH(Y$2,Inputs!$K$4:$AJ$4,0)))+SUMPRODUCT((Inputs!$E$5:$E$180=$B12)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12" s="6" t="e">
        <f>IF(ISNA(MATCH(Z$2,Inputs!$K$4:$AJ$4,0)),NA(),IF(SUMPRODUCT((Inputs!$A$5:$A$180=$B12)*ISNUMBER(INDEX(Inputs!$K$5:$AJ$180,0,MATCH(Z$2,Inputs!$K$4:$AJ$4,0))))+SUMPRODUCT((Inputs!$C$5:$C$180=$B12)*ISNUMBER(INDEX(Inputs!$K$5:$AJ$180,0,MATCH(Z$2,Inputs!$K$4:$AJ$4,0))))+SUMPRODUCT((Inputs!$E$5:$E$180=$B12)*ISNUMBER(INDEX(Inputs!$K$5:$AJ$180,0,MATCH(Z$2,Inputs!$K$4:$AJ$4,0))))=0,NA(),SUMPRODUCT((Inputs!$A$5:$A$180=$B12)*Inputs!$B$5:$B$180*(((Inputs!$G$5:$G$180="moeda")+(Inputs!$G$5:$G$180="acoes"))*Inputs!$B$1+((Inputs!$G$5:$G$180&lt;&gt;"moeda")*(Inputs!$G$5:$G$180&lt;&gt;"acoes")))*INDEX(Inputs!$K$5:$AJ$180,0,MATCH(Z$2,Inputs!$K$4:$AJ$4,0)))+SUMPRODUCT((Inputs!$C$5:$C$180=$B12)*Inputs!$D$5:$D$180*(((Inputs!$G$5:$G$180="moeda")+(Inputs!$G$5:$G$180="acoes"))*Inputs!$B$1+((Inputs!$G$5:$G$180&lt;&gt;"moeda")*(Inputs!$G$5:$G$180&lt;&gt;"acoes")))*INDEX(Inputs!$K$5:$AJ$180,0,MATCH(Z$2,Inputs!$K$4:$AJ$4,0)))+SUMPRODUCT((Inputs!$E$5:$E$180=$B12)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12" s="6" t="e">
        <f>IF(ISNA(MATCH(AA$2,Inputs!$K$4:$AJ$4,0)),NA(),IF(SUMPRODUCT((Inputs!$A$5:$A$180=$B12)*ISNUMBER(INDEX(Inputs!$K$5:$AJ$180,0,MATCH(AA$2,Inputs!$K$4:$AJ$4,0))))+SUMPRODUCT((Inputs!$C$5:$C$180=$B12)*ISNUMBER(INDEX(Inputs!$K$5:$AJ$180,0,MATCH(AA$2,Inputs!$K$4:$AJ$4,0))))+SUMPRODUCT((Inputs!$E$5:$E$180=$B12)*ISNUMBER(INDEX(Inputs!$K$5:$AJ$180,0,MATCH(AA$2,Inputs!$K$4:$AJ$4,0))))=0,NA(),SUMPRODUCT((Inputs!$A$5:$A$180=$B12)*Inputs!$B$5:$B$180*(((Inputs!$G$5:$G$180="moeda")+(Inputs!$G$5:$G$180="acoes"))*Inputs!$B$1+((Inputs!$G$5:$G$180&lt;&gt;"moeda")*(Inputs!$G$5:$G$180&lt;&gt;"acoes")))*INDEX(Inputs!$K$5:$AJ$180,0,MATCH(AA$2,Inputs!$K$4:$AJ$4,0)))+SUMPRODUCT((Inputs!$C$5:$C$180=$B12)*Inputs!$D$5:$D$180*(((Inputs!$G$5:$G$180="moeda")+(Inputs!$G$5:$G$180="acoes"))*Inputs!$B$1+((Inputs!$G$5:$G$180&lt;&gt;"moeda")*(Inputs!$G$5:$G$180&lt;&gt;"acoes")))*INDEX(Inputs!$K$5:$AJ$180,0,MATCH(AA$2,Inputs!$K$4:$AJ$4,0)))+SUMPRODUCT((Inputs!$E$5:$E$180=$B12)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$180=$B12)*ISNUMBER(INDEX(Inputs!$K$5:$AJ$180,0,MATCH(AC$2,Inputs!$K$4:$AJ$4,0))))+SUMPRODUCT((Inputs!$C$5:$C$180=$B12)*ISNUMBER(INDEX(Inputs!$K$5:$AJ$180,0,MATCH(AC$2,Inputs!$K$4:$AJ$4,0))))+SUMPRODUCT((Inputs!$E$5:$E$180=$B12)*ISNUMBER(INDEX(Inputs!$K$5:$AJ$180,0,MATCH(AC$2,Inputs!$K$4:$AJ$4,0))))=0,NA(),SUMPRODUCT((Inputs!$A$5:$A$180=$B12)*Inputs!$B$5:$B$180*(((Inputs!$G$5:$G$180="moeda")+(Inputs!$G$5:$G$180="acoes"))*Inputs!$B$1+((Inputs!$G$5:$G$180&lt;&gt;"moeda")*(Inputs!$G$5:$G$180&lt;&gt;"acoes")))*INDEX(Inputs!$K$5:$AJ$180,0,MATCH(AC$2,Inputs!$K$4:$AJ$4,0)))+SUMPRODUCT((Inputs!$C$5:$C$180=$B12)*Inputs!$D$5:$D$180*(((Inputs!$G$5:$G$180="moeda")+(Inputs!$G$5:$G$180="acoes"))*Inputs!$B$1+((Inputs!$G$5:$G$180&lt;&gt;"moeda")*(Inputs!$G$5:$G$180&lt;&gt;"acoes")))*INDEX(Inputs!$K$5:$AJ$180,0,MATCH(AC$2,Inputs!$K$4:$AJ$4,0)))+SUMPRODUCT((Inputs!$E$5:$E$180=$B12)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12" s="6" t="e">
        <f>IF(ISNA(MATCH(AD$2,Inputs!$K$4:$AJ$4,0)),NA(),IF(SUMPRODUCT((Inputs!$A$5:$A$180=$B12)*ISNUMBER(INDEX(Inputs!$K$5:$AJ$180,0,MATCH(AD$2,Inputs!$K$4:$AJ$4,0))))+SUMPRODUCT((Inputs!$C$5:$C$180=$B12)*ISNUMBER(INDEX(Inputs!$K$5:$AJ$180,0,MATCH(AD$2,Inputs!$K$4:$AJ$4,0))))+SUMPRODUCT((Inputs!$E$5:$E$180=$B12)*ISNUMBER(INDEX(Inputs!$K$5:$AJ$180,0,MATCH(AD$2,Inputs!$K$4:$AJ$4,0))))=0,NA(),SUMPRODUCT((Inputs!$A$5:$A$180=$B12)*Inputs!$B$5:$B$180*(((Inputs!$G$5:$G$180="moeda")+(Inputs!$G$5:$G$180="acoes"))*Inputs!$B$1+((Inputs!$G$5:$G$180&lt;&gt;"moeda")*(Inputs!$G$5:$G$180&lt;&gt;"acoes")))*INDEX(Inputs!$K$5:$AJ$180,0,MATCH(AD$2,Inputs!$K$4:$AJ$4,0)))+SUMPRODUCT((Inputs!$C$5:$C$180=$B12)*Inputs!$D$5:$D$180*(((Inputs!$G$5:$G$180="moeda")+(Inputs!$G$5:$G$180="acoes"))*Inputs!$B$1+((Inputs!$G$5:$G$180&lt;&gt;"moeda")*(Inputs!$G$5:$G$180&lt;&gt;"acoes")))*INDEX(Inputs!$K$5:$AJ$180,0,MATCH(AD$2,Inputs!$K$4:$AJ$4,0)))+SUMPRODUCT((Inputs!$E$5:$E$180=$B12)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12" s="6" t="e">
        <f>IF(ISNA(MATCH(AE$2,Inputs!$K$4:$AJ$4,0)),NA(),IF(SUMPRODUCT((Inputs!$A$5:$A$180=$B12)*ISNUMBER(INDEX(Inputs!$K$5:$AJ$180,0,MATCH(AE$2,Inputs!$K$4:$AJ$4,0))))+SUMPRODUCT((Inputs!$C$5:$C$180=$B12)*ISNUMBER(INDEX(Inputs!$K$5:$AJ$180,0,MATCH(AE$2,Inputs!$K$4:$AJ$4,0))))+SUMPRODUCT((Inputs!$E$5:$E$180=$B12)*ISNUMBER(INDEX(Inputs!$K$5:$AJ$180,0,MATCH(AE$2,Inputs!$K$4:$AJ$4,0))))=0,NA(),SUMPRODUCT((Inputs!$A$5:$A$180=$B12)*Inputs!$B$5:$B$180*(((Inputs!$G$5:$G$180="moeda")+(Inputs!$G$5:$G$180="acoes"))*Inputs!$B$1+((Inputs!$G$5:$G$180&lt;&gt;"moeda")*(Inputs!$G$5:$G$180&lt;&gt;"acoes")))*INDEX(Inputs!$K$5:$AJ$180,0,MATCH(AE$2,Inputs!$K$4:$AJ$4,0)))+SUMPRODUCT((Inputs!$C$5:$C$180=$B12)*Inputs!$D$5:$D$180*(((Inputs!$G$5:$G$180="moeda")+(Inputs!$G$5:$G$180="acoes"))*Inputs!$B$1+((Inputs!$G$5:$G$180&lt;&gt;"moeda")*(Inputs!$G$5:$G$180&lt;&gt;"acoes")))*INDEX(Inputs!$K$5:$AJ$180,0,MATCH(AE$2,Inputs!$K$4:$AJ$4,0)))+SUMPRODUCT((Inputs!$E$5:$E$180=$B12)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2" s="6" t="e">
        <f>IF(ISNA(MATCH(AF$2,Inputs!$K$4:$AJ$4,0)),NA(),IF(SUMPRODUCT((Inputs!$A$5:$A$180=$B12)*ISNUMBER(INDEX(Inputs!$K$5:$AJ$180,0,MATCH(AF$2,Inputs!$K$4:$AJ$4,0))))+SUMPRODUCT((Inputs!$C$5:$C$180=$B12)*ISNUMBER(INDEX(Inputs!$K$5:$AJ$180,0,MATCH(AF$2,Inputs!$K$4:$AJ$4,0))))+SUMPRODUCT((Inputs!$E$5:$E$180=$B12)*ISNUMBER(INDEX(Inputs!$K$5:$AJ$180,0,MATCH(AF$2,Inputs!$K$4:$AJ$4,0))))=0,NA(),SUMPRODUCT((Inputs!$A$5:$A$180=$B12)*Inputs!$B$5:$B$180*(((Inputs!$G$5:$G$180="moeda")+(Inputs!$G$5:$G$180="acoes"))*Inputs!$B$1+((Inputs!$G$5:$G$180&lt;&gt;"moeda")*(Inputs!$G$5:$G$180&lt;&gt;"acoes")))*INDEX(Inputs!$K$5:$AJ$180,0,MATCH(AF$2,Inputs!$K$4:$AJ$4,0)))+SUMPRODUCT((Inputs!$C$5:$C$180=$B12)*Inputs!$D$5:$D$180*(((Inputs!$G$5:$G$180="moeda")+(Inputs!$G$5:$G$180="acoes"))*Inputs!$B$1+((Inputs!$G$5:$G$180&lt;&gt;"moeda")*(Inputs!$G$5:$G$180&lt;&gt;"acoes")))*INDEX(Inputs!$K$5:$AJ$180,0,MATCH(AF$2,Inputs!$K$4:$AJ$4,0)))+SUMPRODUCT((Inputs!$E$5:$E$180=$B12)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$180=$B12)*ISNUMBER(INDEX(Inputs!$K$5:$AJ$180,0,MATCH(AH$2,Inputs!$K$4:$AJ$4,0))))+SUMPRODUCT((Inputs!$C$5:$C$180=$B12)*ISNUMBER(INDEX(Inputs!$K$5:$AJ$180,0,MATCH(AH$2,Inputs!$K$4:$AJ$4,0))))+SUMPRODUCT((Inputs!$E$5:$E$180=$B12)*ISNUMBER(INDEX(Inputs!$K$5:$AJ$180,0,MATCH(AH$2,Inputs!$K$4:$AJ$4,0))))=0,NA(),SUMPRODUCT((Inputs!$A$5:$A$180=$B12)*Inputs!$B$5:$B$180*(((Inputs!$G$5:$G$180="moeda")+(Inputs!$G$5:$G$180="acoes"))*Inputs!$B$1+((Inputs!$G$5:$G$180&lt;&gt;"moeda")*(Inputs!$G$5:$G$180&lt;&gt;"acoes")))*INDEX(Inputs!$K$5:$AJ$180,0,MATCH(AH$2,Inputs!$K$4:$AJ$4,0)))+SUMPRODUCT((Inputs!$C$5:$C$180=$B12)*Inputs!$D$5:$D$180*(((Inputs!$G$5:$G$180="moeda")+(Inputs!$G$5:$G$180="acoes"))*Inputs!$B$1+((Inputs!$G$5:$G$180&lt;&gt;"moeda")*(Inputs!$G$5:$G$180&lt;&gt;"acoes")))*INDEX(Inputs!$K$5:$AJ$180,0,MATCH(AH$2,Inputs!$K$4:$AJ$4,0)))+SUMPRODUCT((Inputs!$E$5:$E$180=$B12)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12" s="6" t="e">
        <f>IF(ISNA(MATCH(AI$2,Inputs!$K$4:$AJ$4,0)),NA(),IF(SUMPRODUCT((Inputs!$A$5:$A$180=$B12)*ISNUMBER(INDEX(Inputs!$K$5:$AJ$180,0,MATCH(AI$2,Inputs!$K$4:$AJ$4,0))))+SUMPRODUCT((Inputs!$C$5:$C$180=$B12)*ISNUMBER(INDEX(Inputs!$K$5:$AJ$180,0,MATCH(AI$2,Inputs!$K$4:$AJ$4,0))))+SUMPRODUCT((Inputs!$E$5:$E$180=$B12)*ISNUMBER(INDEX(Inputs!$K$5:$AJ$180,0,MATCH(AI$2,Inputs!$K$4:$AJ$4,0))))=0,NA(),SUMPRODUCT((Inputs!$A$5:$A$180=$B12)*Inputs!$B$5:$B$180*(((Inputs!$G$5:$G$180="moeda")+(Inputs!$G$5:$G$180="acoes"))*Inputs!$B$1+((Inputs!$G$5:$G$180&lt;&gt;"moeda")*(Inputs!$G$5:$G$180&lt;&gt;"acoes")))*INDEX(Inputs!$K$5:$AJ$180,0,MATCH(AI$2,Inputs!$K$4:$AJ$4,0)))+SUMPRODUCT((Inputs!$C$5:$C$180=$B12)*Inputs!$D$5:$D$180*(((Inputs!$G$5:$G$180="moeda")+(Inputs!$G$5:$G$180="acoes"))*Inputs!$B$1+((Inputs!$G$5:$G$180&lt;&gt;"moeda")*(Inputs!$G$5:$G$180&lt;&gt;"acoes")))*INDEX(Inputs!$K$5:$AJ$180,0,MATCH(AI$2,Inputs!$K$4:$AJ$4,0)))+SUMPRODUCT((Inputs!$E$5:$E$180=$B12)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12" s="6" t="e">
        <f>IF(ISNA(MATCH(AJ$2,Inputs!$K$4:$AJ$4,0)),NA(),IF(SUMPRODUCT((Inputs!$A$5:$A$180=$B12)*ISNUMBER(INDEX(Inputs!$K$5:$AJ$180,0,MATCH(AJ$2,Inputs!$K$4:$AJ$4,0))))+SUMPRODUCT((Inputs!$C$5:$C$180=$B12)*ISNUMBER(INDEX(Inputs!$K$5:$AJ$180,0,MATCH(AJ$2,Inputs!$K$4:$AJ$4,0))))+SUMPRODUCT((Inputs!$E$5:$E$180=$B12)*ISNUMBER(INDEX(Inputs!$K$5:$AJ$180,0,MATCH(AJ$2,Inputs!$K$4:$AJ$4,0))))=0,NA(),SUMPRODUCT((Inputs!$A$5:$A$180=$B12)*Inputs!$B$5:$B$180*(((Inputs!$G$5:$G$180="moeda")+(Inputs!$G$5:$G$180="acoes"))*Inputs!$B$1+((Inputs!$G$5:$G$180&lt;&gt;"moeda")*(Inputs!$G$5:$G$180&lt;&gt;"acoes")))*INDEX(Inputs!$K$5:$AJ$180,0,MATCH(AJ$2,Inputs!$K$4:$AJ$4,0)))+SUMPRODUCT((Inputs!$C$5:$C$180=$B12)*Inputs!$D$5:$D$180*(((Inputs!$G$5:$G$180="moeda")+(Inputs!$G$5:$G$180="acoes"))*Inputs!$B$1+((Inputs!$G$5:$G$180&lt;&gt;"moeda")*(Inputs!$G$5:$G$180&lt;&gt;"acoes")))*INDEX(Inputs!$K$5:$AJ$180,0,MATCH(AJ$2,Inputs!$K$4:$AJ$4,0)))+SUMPRODUCT((Inputs!$E$5:$E$180=$B12)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12" s="6" t="e">
        <f>IF(ISNA(MATCH(AK$2,Inputs!$K$4:$AJ$4,0)),NA(),IF(SUMPRODUCT((Inputs!$A$5:$A$180=$B12)*ISNUMBER(INDEX(Inputs!$K$5:$AJ$180,0,MATCH(AK$2,Inputs!$K$4:$AJ$4,0))))+SUMPRODUCT((Inputs!$C$5:$C$180=$B12)*ISNUMBER(INDEX(Inputs!$K$5:$AJ$180,0,MATCH(AK$2,Inputs!$K$4:$AJ$4,0))))+SUMPRODUCT((Inputs!$E$5:$E$180=$B12)*ISNUMBER(INDEX(Inputs!$K$5:$AJ$180,0,MATCH(AK$2,Inputs!$K$4:$AJ$4,0))))=0,NA(),SUMPRODUCT((Inputs!$A$5:$A$180=$B12)*Inputs!$B$5:$B$180*(((Inputs!$G$5:$G$180="moeda")+(Inputs!$G$5:$G$180="acoes"))*Inputs!$B$1+((Inputs!$G$5:$G$180&lt;&gt;"moeda")*(Inputs!$G$5:$G$180&lt;&gt;"acoes")))*INDEX(Inputs!$K$5:$AJ$180,0,MATCH(AK$2,Inputs!$K$4:$AJ$4,0)))+SUMPRODUCT((Inputs!$C$5:$C$180=$B12)*Inputs!$D$5:$D$180*(((Inputs!$G$5:$G$180="moeda")+(Inputs!$G$5:$G$180="acoes"))*Inputs!$B$1+((Inputs!$G$5:$G$180&lt;&gt;"moeda")*(Inputs!$G$5:$G$180&lt;&gt;"acoes")))*INDEX(Inputs!$K$5:$AJ$180,0,MATCH(AK$2,Inputs!$K$4:$AJ$4,0)))+SUMPRODUCT((Inputs!$E$5:$E$180=$B12)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$180=$B13)*ISNUMBER(INDEX(Inputs!$K$5:$AJ$180,0,MATCH(D$2,Inputs!$K$4:$AJ$4,0))))+SUMPRODUCT((Inputs!$C$5:$C$180=$B13)*ISNUMBER(INDEX(Inputs!$K$5:$AJ$180,0,MATCH(D$2,Inputs!$K$4:$AJ$4,0))))+SUMPRODUCT((Inputs!$E$5:$E$180=$B13)*ISNUMBER(INDEX(Inputs!$K$5:$AJ$180,0,MATCH(D$2,Inputs!$K$4:$AJ$4,0))))=0,NA(),SUMPRODUCT((Inputs!$A$5:$A$180=$B13)*Inputs!$B$5:$B$180*(((Inputs!$G$5:$G$180="moeda")+(Inputs!$G$5:$G$180="acoes"))*Inputs!$B$1+((Inputs!$G$5:$G$180&lt;&gt;"moeda")*(Inputs!$G$5:$G$180&lt;&gt;"acoes")))*INDEX(Inputs!$K$5:$AJ$180,0,MATCH(D$2,Inputs!$K$4:$AJ$4,0)))+SUMPRODUCT((Inputs!$C$5:$C$180=$B13)*Inputs!$D$5:$D$180*(((Inputs!$G$5:$G$180="moeda")+(Inputs!$G$5:$G$180="acoes"))*Inputs!$B$1+((Inputs!$G$5:$G$180&lt;&gt;"moeda")*(Inputs!$G$5:$G$180&lt;&gt;"acoes")))*INDEX(Inputs!$K$5:$AJ$180,0,MATCH(D$2,Inputs!$K$4:$AJ$4,0)))+SUMPRODUCT((Inputs!$E$5:$E$180=$B13)*Inputs!$F$5:$F$180*(((Inputs!$G$5:$G$180="moeda")+(Inputs!$G$5:$G$180="acoes"))*Inputs!$B$1+((Inputs!$G$5:$G$180&lt;&gt;"moeda")*(Inputs!$G$5:$G$180&lt;&gt;"acoes")))*INDEX(Inputs!$K$5:$AJ$180,0,MATCH(D$2,Inputs!$K$4:$AJ$4,0)))))</f>
        <v>0</v>
      </c>
      <c r="E13" s="6">
        <f>IF(ISNA(MATCH(E$2,Inputs!$K$4:$AJ$4,0)),NA(),IF(SUMPRODUCT((Inputs!$A$5:$A$180=$B13)*ISNUMBER(INDEX(Inputs!$K$5:$AJ$180,0,MATCH(E$2,Inputs!$K$4:$AJ$4,0))))+SUMPRODUCT((Inputs!$C$5:$C$180=$B13)*ISNUMBER(INDEX(Inputs!$K$5:$AJ$180,0,MATCH(E$2,Inputs!$K$4:$AJ$4,0))))+SUMPRODUCT((Inputs!$E$5:$E$180=$B13)*ISNUMBER(INDEX(Inputs!$K$5:$AJ$180,0,MATCH(E$2,Inputs!$K$4:$AJ$4,0))))=0,NA(),SUMPRODUCT((Inputs!$A$5:$A$180=$B13)*Inputs!$B$5:$B$180*(((Inputs!$G$5:$G$180="moeda")+(Inputs!$G$5:$G$180="acoes"))*Inputs!$B$1+((Inputs!$G$5:$G$180&lt;&gt;"moeda")*(Inputs!$G$5:$G$180&lt;&gt;"acoes")))*INDEX(Inputs!$K$5:$AJ$180,0,MATCH(E$2,Inputs!$K$4:$AJ$4,0)))+SUMPRODUCT((Inputs!$C$5:$C$180=$B13)*Inputs!$D$5:$D$180*(((Inputs!$G$5:$G$180="moeda")+(Inputs!$G$5:$G$180="acoes"))*Inputs!$B$1+((Inputs!$G$5:$G$180&lt;&gt;"moeda")*(Inputs!$G$5:$G$180&lt;&gt;"acoes")))*INDEX(Inputs!$K$5:$AJ$180,0,MATCH(E$2,Inputs!$K$4:$AJ$4,0)))+SUMPRODUCT((Inputs!$E$5:$E$180=$B13)*Inputs!$F$5:$F$180*(((Inputs!$G$5:$G$180="moeda")+(Inputs!$G$5:$G$180="acoes"))*Inputs!$B$1+((Inputs!$G$5:$G$180&lt;&gt;"moeda")*(Inputs!$G$5:$G$180&lt;&gt;"acoes")))*INDEX(Inputs!$K$5:$AJ$180,0,MATCH(E$2,Inputs!$K$4:$AJ$4,0)))))</f>
        <v>-34.8305613300001</v>
      </c>
      <c r="F13" s="6">
        <f>IF(ISNA(MATCH(F$2,Inputs!$K$4:$AJ$4,0)),NA(),IF(SUMPRODUCT((Inputs!$A$5:$A$180=$B13)*ISNUMBER(INDEX(Inputs!$K$5:$AJ$180,0,MATCH(F$2,Inputs!$K$4:$AJ$4,0))))+SUMPRODUCT((Inputs!$C$5:$C$180=$B13)*ISNUMBER(INDEX(Inputs!$K$5:$AJ$180,0,MATCH(F$2,Inputs!$K$4:$AJ$4,0))))+SUMPRODUCT((Inputs!$E$5:$E$180=$B13)*ISNUMBER(INDEX(Inputs!$K$5:$AJ$180,0,MATCH(F$2,Inputs!$K$4:$AJ$4,0))))=0,NA(),SUMPRODUCT((Inputs!$A$5:$A$180=$B13)*Inputs!$B$5:$B$180*(((Inputs!$G$5:$G$180="moeda")+(Inputs!$G$5:$G$180="acoes"))*Inputs!$B$1+((Inputs!$G$5:$G$180&lt;&gt;"moeda")*(Inputs!$G$5:$G$180&lt;&gt;"acoes")))*INDEX(Inputs!$K$5:$AJ$180,0,MATCH(F$2,Inputs!$K$4:$AJ$4,0)))+SUMPRODUCT((Inputs!$C$5:$C$180=$B13)*Inputs!$D$5:$D$180*(((Inputs!$G$5:$G$180="moeda")+(Inputs!$G$5:$G$180="acoes"))*Inputs!$B$1+((Inputs!$G$5:$G$180&lt;&gt;"moeda")*(Inputs!$G$5:$G$180&lt;&gt;"acoes")))*INDEX(Inputs!$K$5:$AJ$180,0,MATCH(F$2,Inputs!$K$4:$AJ$4,0)))+SUMPRODUCT((Inputs!$E$5:$E$180=$B13)*Inputs!$F$5:$F$180*(((Inputs!$G$5:$G$180="moeda")+(Inputs!$G$5:$G$180="acoes"))*Inputs!$B$1+((Inputs!$G$5:$G$180&lt;&gt;"moeda")*(Inputs!$G$5:$G$180&lt;&gt;"acoes")))*INDEX(Inputs!$K$5:$AJ$180,0,MATCH(F$2,Inputs!$K$4:$AJ$4,0)))))</f>
        <v>-0.0023718900000602</v>
      </c>
      <c r="G13" s="6">
        <f>IF(ISNA(MATCH(G$2,Inputs!$K$4:$AJ$4,0)),NA(),IF(SUMPRODUCT((Inputs!$A$5:$A$180=$B13)*ISNUMBER(INDEX(Inputs!$K$5:$AJ$180,0,MATCH(G$2,Inputs!$K$4:$AJ$4,0))))+SUMPRODUCT((Inputs!$C$5:$C$180=$B13)*ISNUMBER(INDEX(Inputs!$K$5:$AJ$180,0,MATCH(G$2,Inputs!$K$4:$AJ$4,0))))+SUMPRODUCT((Inputs!$E$5:$E$180=$B13)*ISNUMBER(INDEX(Inputs!$K$5:$AJ$180,0,MATCH(G$2,Inputs!$K$4:$AJ$4,0))))=0,NA(),SUMPRODUCT((Inputs!$A$5:$A$180=$B13)*Inputs!$B$5:$B$180*(((Inputs!$G$5:$G$180="moeda")+(Inputs!$G$5:$G$180="acoes"))*Inputs!$B$1+((Inputs!$G$5:$G$180&lt;&gt;"moeda")*(Inputs!$G$5:$G$180&lt;&gt;"acoes")))*INDEX(Inputs!$K$5:$AJ$180,0,MATCH(G$2,Inputs!$K$4:$AJ$4,0)))+SUMPRODUCT((Inputs!$C$5:$C$180=$B13)*Inputs!$D$5:$D$180*(((Inputs!$G$5:$G$180="moeda")+(Inputs!$G$5:$G$180="acoes"))*Inputs!$B$1+((Inputs!$G$5:$G$180&lt;&gt;"moeda")*(Inputs!$G$5:$G$180&lt;&gt;"acoes")))*INDEX(Inputs!$K$5:$AJ$180,0,MATCH(G$2,Inputs!$K$4:$AJ$4,0)))+SUMPRODUCT((Inputs!$E$5:$E$180=$B13)*Inputs!$F$5:$F$180*(((Inputs!$G$5:$G$180="moeda")+(Inputs!$G$5:$G$180="acoes"))*Inputs!$B$1+((Inputs!$G$5:$G$180&lt;&gt;"moeda")*(Inputs!$G$5:$G$180&lt;&gt;"acoes")))*INDEX(Inputs!$K$5:$AJ$180,0,MATCH(G$2,Inputs!$K$4:$AJ$4,0)))))</f>
        <v>-6.81770438249104</v>
      </c>
      <c r="H13" s="3">
        <f>SUM(D13:G13)</f>
        <v>-41.6506376024912</v>
      </c>
      <c r="I13" s="6">
        <f>IF(ISNA(MATCH(I$2,Inputs!$K$4:$AJ$4,0)),NA(),IF(SUMPRODUCT((Inputs!$A$5:$A$180=$B13)*ISNUMBER(INDEX(Inputs!$K$5:$AJ$180,0,MATCH(I$2,Inputs!$K$4:$AJ$4,0))))+SUMPRODUCT((Inputs!$C$5:$C$180=$B13)*ISNUMBER(INDEX(Inputs!$K$5:$AJ$180,0,MATCH(I$2,Inputs!$K$4:$AJ$4,0))))+SUMPRODUCT((Inputs!$E$5:$E$180=$B13)*ISNUMBER(INDEX(Inputs!$K$5:$AJ$180,0,MATCH(I$2,Inputs!$K$4:$AJ$4,0))))=0,NA(),SUMPRODUCT((Inputs!$A$5:$A$180=$B13)*Inputs!$B$5:$B$180*(((Inputs!$G$5:$G$180="moeda")+(Inputs!$G$5:$G$180="acoes"))*Inputs!$B$1+((Inputs!$G$5:$G$180&lt;&gt;"moeda")*(Inputs!$G$5:$G$180&lt;&gt;"acoes")))*INDEX(Inputs!$K$5:$AJ$180,0,MATCH(I$2,Inputs!$K$4:$AJ$4,0)))+SUMPRODUCT((Inputs!$C$5:$C$180=$B13)*Inputs!$D$5:$D$180*(((Inputs!$G$5:$G$180="moeda")+(Inputs!$G$5:$G$180="acoes"))*Inputs!$B$1+((Inputs!$G$5:$G$180&lt;&gt;"moeda")*(Inputs!$G$5:$G$180&lt;&gt;"acoes")))*INDEX(Inputs!$K$5:$AJ$180,0,MATCH(I$2,Inputs!$K$4:$AJ$4,0)))+SUMPRODUCT((Inputs!$E$5:$E$180=$B13)*Inputs!$F$5:$F$180*(((Inputs!$G$5:$G$180="moeda")+(Inputs!$G$5:$G$180="acoes"))*Inputs!$B$1+((Inputs!$G$5:$G$180&lt;&gt;"moeda")*(Inputs!$G$5:$G$180&lt;&gt;"acoes")))*INDEX(Inputs!$K$5:$AJ$180,0,MATCH(I$2,Inputs!$K$4:$AJ$4,0)))))</f>
        <v>0</v>
      </c>
      <c r="J13" s="6">
        <f>IF(ISNA(MATCH(J$2,Inputs!$K$4:$AJ$4,0)),NA(),IF(SUMPRODUCT((Inputs!$A$5:$A$180=$B13)*ISNUMBER(INDEX(Inputs!$K$5:$AJ$180,0,MATCH(J$2,Inputs!$K$4:$AJ$4,0))))+SUMPRODUCT((Inputs!$C$5:$C$180=$B13)*ISNUMBER(INDEX(Inputs!$K$5:$AJ$180,0,MATCH(J$2,Inputs!$K$4:$AJ$4,0))))+SUMPRODUCT((Inputs!$E$5:$E$180=$B13)*ISNUMBER(INDEX(Inputs!$K$5:$AJ$180,0,MATCH(J$2,Inputs!$K$4:$AJ$4,0))))=0,NA(),SUMPRODUCT((Inputs!$A$5:$A$180=$B13)*Inputs!$B$5:$B$180*(((Inputs!$G$5:$G$180="moeda")+(Inputs!$G$5:$G$180="acoes"))*Inputs!$B$1+((Inputs!$G$5:$G$180&lt;&gt;"moeda")*(Inputs!$G$5:$G$180&lt;&gt;"acoes")))*INDEX(Inputs!$K$5:$AJ$180,0,MATCH(J$2,Inputs!$K$4:$AJ$4,0)))+SUMPRODUCT((Inputs!$C$5:$C$180=$B13)*Inputs!$D$5:$D$180*(((Inputs!$G$5:$G$180="moeda")+(Inputs!$G$5:$G$180="acoes"))*Inputs!$B$1+((Inputs!$G$5:$G$180&lt;&gt;"moeda")*(Inputs!$G$5:$G$180&lt;&gt;"acoes")))*INDEX(Inputs!$K$5:$AJ$180,0,MATCH(J$2,Inputs!$K$4:$AJ$4,0)))+SUMPRODUCT((Inputs!$E$5:$E$180=$B13)*Inputs!$F$5:$F$180*(((Inputs!$G$5:$G$180="moeda")+(Inputs!$G$5:$G$180="acoes"))*Inputs!$B$1+((Inputs!$G$5:$G$180&lt;&gt;"moeda")*(Inputs!$G$5:$G$180&lt;&gt;"acoes")))*INDEX(Inputs!$K$5:$AJ$180,0,MATCH(J$2,Inputs!$K$4:$AJ$4,0)))))</f>
        <v>-70.8893040400001</v>
      </c>
      <c r="K13" s="6">
        <f>IF(ISNA(MATCH(K$2,Inputs!$K$4:$AJ$4,0)),NA(),IF(SUMPRODUCT((Inputs!$A$5:$A$180=$B13)*ISNUMBER(INDEX(Inputs!$K$5:$AJ$180,0,MATCH(K$2,Inputs!$K$4:$AJ$4,0))))+SUMPRODUCT((Inputs!$C$5:$C$180=$B13)*ISNUMBER(INDEX(Inputs!$K$5:$AJ$180,0,MATCH(K$2,Inputs!$K$4:$AJ$4,0))))+SUMPRODUCT((Inputs!$E$5:$E$180=$B13)*ISNUMBER(INDEX(Inputs!$K$5:$AJ$180,0,MATCH(K$2,Inputs!$K$4:$AJ$4,0))))=0,NA(),SUMPRODUCT((Inputs!$A$5:$A$180=$B13)*Inputs!$B$5:$B$180*(((Inputs!$G$5:$G$180="moeda")+(Inputs!$G$5:$G$180="acoes"))*Inputs!$B$1+((Inputs!$G$5:$G$180&lt;&gt;"moeda")*(Inputs!$G$5:$G$180&lt;&gt;"acoes")))*INDEX(Inputs!$K$5:$AJ$180,0,MATCH(K$2,Inputs!$K$4:$AJ$4,0)))+SUMPRODUCT((Inputs!$C$5:$C$180=$B13)*Inputs!$D$5:$D$180*(((Inputs!$G$5:$G$180="moeda")+(Inputs!$G$5:$G$180="acoes"))*Inputs!$B$1+((Inputs!$G$5:$G$180&lt;&gt;"moeda")*(Inputs!$G$5:$G$180&lt;&gt;"acoes")))*INDEX(Inputs!$K$5:$AJ$180,0,MATCH(K$2,Inputs!$K$4:$AJ$4,0)))+SUMPRODUCT((Inputs!$E$5:$E$180=$B13)*Inputs!$F$5:$F$180*(((Inputs!$G$5:$G$180="moeda")+(Inputs!$G$5:$G$180="acoes"))*Inputs!$B$1+((Inputs!$G$5:$G$180&lt;&gt;"moeda")*(Inputs!$G$5:$G$180&lt;&gt;"acoes")))*INDEX(Inputs!$K$5:$AJ$180,0,MATCH(K$2,Inputs!$K$4:$AJ$4,0)))))</f>
        <v>-3.825</v>
      </c>
      <c r="L13" s="6">
        <f>IF(ISNA(MATCH(L$2,Inputs!$K$4:$AJ$4,0)),NA(),IF(SUMPRODUCT((Inputs!$A$5:$A$180=$B13)*ISNUMBER(INDEX(Inputs!$K$5:$AJ$180,0,MATCH(L$2,Inputs!$K$4:$AJ$4,0))))+SUMPRODUCT((Inputs!$C$5:$C$180=$B13)*ISNUMBER(INDEX(Inputs!$K$5:$AJ$180,0,MATCH(L$2,Inputs!$K$4:$AJ$4,0))))+SUMPRODUCT((Inputs!$E$5:$E$180=$B13)*ISNUMBER(INDEX(Inputs!$K$5:$AJ$180,0,MATCH(L$2,Inputs!$K$4:$AJ$4,0))))=0,NA(),SUMPRODUCT((Inputs!$A$5:$A$180=$B13)*Inputs!$B$5:$B$180*(((Inputs!$G$5:$G$180="moeda")+(Inputs!$G$5:$G$180="acoes"))*Inputs!$B$1+((Inputs!$G$5:$G$180&lt;&gt;"moeda")*(Inputs!$G$5:$G$180&lt;&gt;"acoes")))*INDEX(Inputs!$K$5:$AJ$180,0,MATCH(L$2,Inputs!$K$4:$AJ$4,0)))+SUMPRODUCT((Inputs!$C$5:$C$180=$B13)*Inputs!$D$5:$D$180*(((Inputs!$G$5:$G$180="moeda")+(Inputs!$G$5:$G$180="acoes"))*Inputs!$B$1+((Inputs!$G$5:$G$180&lt;&gt;"moeda")*(Inputs!$G$5:$G$180&lt;&gt;"acoes")))*INDEX(Inputs!$K$5:$AJ$180,0,MATCH(L$2,Inputs!$K$4:$AJ$4,0)))+SUMPRODUCT((Inputs!$E$5:$E$180=$B13)*Inputs!$F$5:$F$180*(((Inputs!$G$5:$G$180="moeda")+(Inputs!$G$5:$G$180="acoes"))*Inputs!$B$1+((Inputs!$G$5:$G$180&lt;&gt;"moeda")*(Inputs!$G$5:$G$180&lt;&gt;"acoes")))*INDEX(Inputs!$K$5:$AJ$180,0,MATCH(L$2,Inputs!$K$4:$AJ$4,0)))))</f>
        <v>0</v>
      </c>
      <c r="M13" s="3">
        <f>SUM(I13:L13)</f>
        <v>-74.7143040400001</v>
      </c>
      <c r="N13" s="6">
        <f>IF(ISNA(MATCH(N$2,Inputs!$K$4:$AJ$4,0)),NA(),IF(SUMPRODUCT((Inputs!$A$5:$A$180=$B13)*ISNUMBER(INDEX(Inputs!$K$5:$AJ$180,0,MATCH(N$2,Inputs!$K$4:$AJ$4,0))))+SUMPRODUCT((Inputs!$C$5:$C$180=$B13)*ISNUMBER(INDEX(Inputs!$K$5:$AJ$180,0,MATCH(N$2,Inputs!$K$4:$AJ$4,0))))+SUMPRODUCT((Inputs!$E$5:$E$180=$B13)*ISNUMBER(INDEX(Inputs!$K$5:$AJ$180,0,MATCH(N$2,Inputs!$K$4:$AJ$4,0))))=0,NA(),SUMPRODUCT((Inputs!$A$5:$A$180=$B13)*Inputs!$B$5:$B$180*(((Inputs!$G$5:$G$180="moeda")+(Inputs!$G$5:$G$180="acoes"))*Inputs!$B$1+((Inputs!$G$5:$G$180&lt;&gt;"moeda")*(Inputs!$G$5:$G$180&lt;&gt;"acoes")))*INDEX(Inputs!$K$5:$AJ$180,0,MATCH(N$2,Inputs!$K$4:$AJ$4,0)))+SUMPRODUCT((Inputs!$C$5:$C$180=$B13)*Inputs!$D$5:$D$180*(((Inputs!$G$5:$G$180="moeda")+(Inputs!$G$5:$G$180="acoes"))*Inputs!$B$1+((Inputs!$G$5:$G$180&lt;&gt;"moeda")*(Inputs!$G$5:$G$180&lt;&gt;"acoes")))*INDEX(Inputs!$K$5:$AJ$180,0,MATCH(N$2,Inputs!$K$4:$AJ$4,0)))+SUMPRODUCT((Inputs!$E$5:$E$180=$B13)*Inputs!$F$5:$F$180*(((Inputs!$G$5:$G$180="moeda")+(Inputs!$G$5:$G$180="acoes"))*Inputs!$B$1+((Inputs!$G$5:$G$180&lt;&gt;"moeda")*(Inputs!$G$5:$G$180&lt;&gt;"acoes")))*INDEX(Inputs!$K$5:$AJ$180,0,MATCH(N$2,Inputs!$K$4:$AJ$4,0)))))</f>
        <v>0</v>
      </c>
      <c r="O13" s="6">
        <f>IF(ISNA(MATCH(O$2,Inputs!$K$4:$AJ$4,0)),NA(),IF(SUMPRODUCT((Inputs!$A$5:$A$180=$B13)*ISNUMBER(INDEX(Inputs!$K$5:$AJ$180,0,MATCH(O$2,Inputs!$K$4:$AJ$4,0))))+SUMPRODUCT((Inputs!$C$5:$C$180=$B13)*ISNUMBER(INDEX(Inputs!$K$5:$AJ$180,0,MATCH(O$2,Inputs!$K$4:$AJ$4,0))))+SUMPRODUCT((Inputs!$E$5:$E$180=$B13)*ISNUMBER(INDEX(Inputs!$K$5:$AJ$180,0,MATCH(O$2,Inputs!$K$4:$AJ$4,0))))=0,NA(),SUMPRODUCT((Inputs!$A$5:$A$180=$B13)*Inputs!$B$5:$B$180*(((Inputs!$G$5:$G$180="moeda")+(Inputs!$G$5:$G$180="acoes"))*Inputs!$B$1+((Inputs!$G$5:$G$180&lt;&gt;"moeda")*(Inputs!$G$5:$G$180&lt;&gt;"acoes")))*INDEX(Inputs!$K$5:$AJ$180,0,MATCH(O$2,Inputs!$K$4:$AJ$4,0)))+SUMPRODUCT((Inputs!$C$5:$C$180=$B13)*Inputs!$D$5:$D$180*(((Inputs!$G$5:$G$180="moeda")+(Inputs!$G$5:$G$180="acoes"))*Inputs!$B$1+((Inputs!$G$5:$G$180&lt;&gt;"moeda")*(Inputs!$G$5:$G$180&lt;&gt;"acoes")))*INDEX(Inputs!$K$5:$AJ$180,0,MATCH(O$2,Inputs!$K$4:$AJ$4,0)))+SUMPRODUCT((Inputs!$E$5:$E$180=$B13)*Inputs!$F$5:$F$180*(((Inputs!$G$5:$G$180="moeda")+(Inputs!$G$5:$G$180="acoes"))*Inputs!$B$1+((Inputs!$G$5:$G$180&lt;&gt;"moeda")*(Inputs!$G$5:$G$180&lt;&gt;"acoes")))*INDEX(Inputs!$K$5:$AJ$180,0,MATCH(O$2,Inputs!$K$4:$AJ$4,0)))))</f>
        <v>-85.70050845</v>
      </c>
      <c r="P13" s="6">
        <f>IF(ISNA(MATCH(P$2,Inputs!$K$4:$AJ$4,0)),NA(),IF(SUMPRODUCT((Inputs!$A$5:$A$180=$B13)*ISNUMBER(INDEX(Inputs!$K$5:$AJ$180,0,MATCH(P$2,Inputs!$K$4:$AJ$4,0))))+SUMPRODUCT((Inputs!$C$5:$C$180=$B13)*ISNUMBER(INDEX(Inputs!$K$5:$AJ$180,0,MATCH(P$2,Inputs!$K$4:$AJ$4,0))))+SUMPRODUCT((Inputs!$E$5:$E$180=$B13)*ISNUMBER(INDEX(Inputs!$K$5:$AJ$180,0,MATCH(P$2,Inputs!$K$4:$AJ$4,0))))=0,NA(),SUMPRODUCT((Inputs!$A$5:$A$180=$B13)*Inputs!$B$5:$B$180*(((Inputs!$G$5:$G$180="moeda")+(Inputs!$G$5:$G$180="acoes"))*Inputs!$B$1+((Inputs!$G$5:$G$180&lt;&gt;"moeda")*(Inputs!$G$5:$G$180&lt;&gt;"acoes")))*INDEX(Inputs!$K$5:$AJ$180,0,MATCH(P$2,Inputs!$K$4:$AJ$4,0)))+SUMPRODUCT((Inputs!$C$5:$C$180=$B13)*Inputs!$D$5:$D$180*(((Inputs!$G$5:$G$180="moeda")+(Inputs!$G$5:$G$180="acoes"))*Inputs!$B$1+((Inputs!$G$5:$G$180&lt;&gt;"moeda")*(Inputs!$G$5:$G$180&lt;&gt;"acoes")))*INDEX(Inputs!$K$5:$AJ$180,0,MATCH(P$2,Inputs!$K$4:$AJ$4,0)))+SUMPRODUCT((Inputs!$E$5:$E$180=$B13)*Inputs!$F$5:$F$180*(((Inputs!$G$5:$G$180="moeda")+(Inputs!$G$5:$G$180="acoes"))*Inputs!$B$1+((Inputs!$G$5:$G$180&lt;&gt;"moeda")*(Inputs!$G$5:$G$180&lt;&gt;"acoes")))*INDEX(Inputs!$K$5:$AJ$180,0,MATCH(P$2,Inputs!$K$4:$AJ$4,0)))))</f>
        <v>0</v>
      </c>
      <c r="Q13" s="6">
        <f>IF(ISNA(MATCH(Q$2,Inputs!$K$4:$AJ$4,0)),NA(),IF(SUMPRODUCT((Inputs!$A$5:$A$180=$B13)*ISNUMBER(INDEX(Inputs!$K$5:$AJ$180,0,MATCH(Q$2,Inputs!$K$4:$AJ$4,0))))+SUMPRODUCT((Inputs!$C$5:$C$180=$B13)*ISNUMBER(INDEX(Inputs!$K$5:$AJ$180,0,MATCH(Q$2,Inputs!$K$4:$AJ$4,0))))+SUMPRODUCT((Inputs!$E$5:$E$180=$B13)*ISNUMBER(INDEX(Inputs!$K$5:$AJ$180,0,MATCH(Q$2,Inputs!$K$4:$AJ$4,0))))=0,NA(),SUMPRODUCT((Inputs!$A$5:$A$180=$B13)*Inputs!$B$5:$B$180*(((Inputs!$G$5:$G$180="moeda")+(Inputs!$G$5:$G$180="acoes"))*Inputs!$B$1+((Inputs!$G$5:$G$180&lt;&gt;"moeda")*(Inputs!$G$5:$G$180&lt;&gt;"acoes")))*INDEX(Inputs!$K$5:$AJ$180,0,MATCH(Q$2,Inputs!$K$4:$AJ$4,0)))+SUMPRODUCT((Inputs!$C$5:$C$180=$B13)*Inputs!$D$5:$D$180*(((Inputs!$G$5:$G$180="moeda")+(Inputs!$G$5:$G$180="acoes"))*Inputs!$B$1+((Inputs!$G$5:$G$180&lt;&gt;"moeda")*(Inputs!$G$5:$G$180&lt;&gt;"acoes")))*INDEX(Inputs!$K$5:$AJ$180,0,MATCH(Q$2,Inputs!$K$4:$AJ$4,0)))+SUMPRODUCT((Inputs!$E$5:$E$180=$B13)*Inputs!$F$5:$F$180*(((Inputs!$G$5:$G$180="moeda")+(Inputs!$G$5:$G$180="acoes"))*Inputs!$B$1+((Inputs!$G$5:$G$180&lt;&gt;"moeda")*(Inputs!$G$5:$G$180&lt;&gt;"acoes")))*INDEX(Inputs!$K$5:$AJ$180,0,MATCH(Q$2,Inputs!$K$4:$AJ$4,0)))))</f>
        <v>-1.37498136609793e-09</v>
      </c>
      <c r="R13" s="3">
        <f>SUM(N13:Q13)</f>
        <v>-85.700508451375</v>
      </c>
      <c r="S13" s="6">
        <f>IF(ISNA(MATCH(S$2,Inputs!$K$4:$AJ$4,0)),NA(),IF(SUMPRODUCT((Inputs!$A$5:$A$180=$B13)*ISNUMBER(INDEX(Inputs!$K$5:$AJ$180,0,MATCH(S$2,Inputs!$K$4:$AJ$4,0))))+SUMPRODUCT((Inputs!$C$5:$C$180=$B13)*ISNUMBER(INDEX(Inputs!$K$5:$AJ$180,0,MATCH(S$2,Inputs!$K$4:$AJ$4,0))))+SUMPRODUCT((Inputs!$E$5:$E$180=$B13)*ISNUMBER(INDEX(Inputs!$K$5:$AJ$180,0,MATCH(S$2,Inputs!$K$4:$AJ$4,0))))=0,NA(),SUMPRODUCT((Inputs!$A$5:$A$180=$B13)*Inputs!$B$5:$B$180*(((Inputs!$G$5:$G$180="moeda")+(Inputs!$G$5:$G$180="acoes"))*Inputs!$B$1+((Inputs!$G$5:$G$180&lt;&gt;"moeda")*(Inputs!$G$5:$G$180&lt;&gt;"acoes")))*INDEX(Inputs!$K$5:$AJ$180,0,MATCH(S$2,Inputs!$K$4:$AJ$4,0)))+SUMPRODUCT((Inputs!$C$5:$C$180=$B13)*Inputs!$D$5:$D$180*(((Inputs!$G$5:$G$180="moeda")+(Inputs!$G$5:$G$180="acoes"))*Inputs!$B$1+((Inputs!$G$5:$G$180&lt;&gt;"moeda")*(Inputs!$G$5:$G$180&lt;&gt;"acoes")))*INDEX(Inputs!$K$5:$AJ$180,0,MATCH(S$2,Inputs!$K$4:$AJ$4,0)))+SUMPRODUCT((Inputs!$E$5:$E$180=$B13)*Inputs!$F$5:$F$180*(((Inputs!$G$5:$G$180="moeda")+(Inputs!$G$5:$G$180="acoes"))*Inputs!$B$1+((Inputs!$G$5:$G$180&lt;&gt;"moeda")*(Inputs!$G$5:$G$180&lt;&gt;"acoes")))*INDEX(Inputs!$K$5:$AJ$180,0,MATCH(S$2,Inputs!$K$4:$AJ$4,0)))))</f>
        <v>0</v>
      </c>
      <c r="T13" s="6">
        <f>IF(ISNA(MATCH(T$2,Inputs!$K$4:$AJ$4,0)),NA(),IF(SUMPRODUCT((Inputs!$A$5:$A$180=$B13)*ISNUMBER(INDEX(Inputs!$K$5:$AJ$180,0,MATCH(T$2,Inputs!$K$4:$AJ$4,0))))+SUMPRODUCT((Inputs!$C$5:$C$180=$B13)*ISNUMBER(INDEX(Inputs!$K$5:$AJ$180,0,MATCH(T$2,Inputs!$K$4:$AJ$4,0))))+SUMPRODUCT((Inputs!$E$5:$E$180=$B13)*ISNUMBER(INDEX(Inputs!$K$5:$AJ$180,0,MATCH(T$2,Inputs!$K$4:$AJ$4,0))))=0,NA(),SUMPRODUCT((Inputs!$A$5:$A$180=$B13)*Inputs!$B$5:$B$180*(((Inputs!$G$5:$G$180="moeda")+(Inputs!$G$5:$G$180="acoes"))*Inputs!$B$1+((Inputs!$G$5:$G$180&lt;&gt;"moeda")*(Inputs!$G$5:$G$180&lt;&gt;"acoes")))*INDEX(Inputs!$K$5:$AJ$180,0,MATCH(T$2,Inputs!$K$4:$AJ$4,0)))+SUMPRODUCT((Inputs!$C$5:$C$180=$B13)*Inputs!$D$5:$D$180*(((Inputs!$G$5:$G$180="moeda")+(Inputs!$G$5:$G$180="acoes"))*Inputs!$B$1+((Inputs!$G$5:$G$180&lt;&gt;"moeda")*(Inputs!$G$5:$G$180&lt;&gt;"acoes")))*INDEX(Inputs!$K$5:$AJ$180,0,MATCH(T$2,Inputs!$K$4:$AJ$4,0)))+SUMPRODUCT((Inputs!$E$5:$E$180=$B13)*Inputs!$F$5:$F$180*(((Inputs!$G$5:$G$180="moeda")+(Inputs!$G$5:$G$180="acoes"))*Inputs!$B$1+((Inputs!$G$5:$G$180&lt;&gt;"moeda")*(Inputs!$G$5:$G$180&lt;&gt;"acoes")))*INDEX(Inputs!$K$5:$AJ$180,0,MATCH(T$2,Inputs!$K$4:$AJ$4,0)))))</f>
        <v>-87.6931151</v>
      </c>
      <c r="U13" s="6">
        <f>IF(ISNA(MATCH(U$2,Inputs!$K$4:$AJ$4,0)),NA(),IF(SUMPRODUCT((Inputs!$A$5:$A$180=$B13)*ISNUMBER(INDEX(Inputs!$K$5:$AJ$180,0,MATCH(U$2,Inputs!$K$4:$AJ$4,0))))+SUMPRODUCT((Inputs!$C$5:$C$180=$B13)*ISNUMBER(INDEX(Inputs!$K$5:$AJ$180,0,MATCH(U$2,Inputs!$K$4:$AJ$4,0))))+SUMPRODUCT((Inputs!$E$5:$E$180=$B13)*ISNUMBER(INDEX(Inputs!$K$5:$AJ$180,0,MATCH(U$2,Inputs!$K$4:$AJ$4,0))))=0,NA(),SUMPRODUCT((Inputs!$A$5:$A$180=$B13)*Inputs!$B$5:$B$180*(((Inputs!$G$5:$G$180="moeda")+(Inputs!$G$5:$G$180="acoes"))*Inputs!$B$1+((Inputs!$G$5:$G$180&lt;&gt;"moeda")*(Inputs!$G$5:$G$180&lt;&gt;"acoes")))*INDEX(Inputs!$K$5:$AJ$180,0,MATCH(U$2,Inputs!$K$4:$AJ$4,0)))+SUMPRODUCT((Inputs!$C$5:$C$180=$B13)*Inputs!$D$5:$D$180*(((Inputs!$G$5:$G$180="moeda")+(Inputs!$G$5:$G$180="acoes"))*Inputs!$B$1+((Inputs!$G$5:$G$180&lt;&gt;"moeda")*(Inputs!$G$5:$G$180&lt;&gt;"acoes")))*INDEX(Inputs!$K$5:$AJ$180,0,MATCH(U$2,Inputs!$K$4:$AJ$4,0)))+SUMPRODUCT((Inputs!$E$5:$E$180=$B13)*Inputs!$F$5:$F$180*(((Inputs!$G$5:$G$180="moeda")+(Inputs!$G$5:$G$180="acoes"))*Inputs!$B$1+((Inputs!$G$5:$G$180&lt;&gt;"moeda")*(Inputs!$G$5:$G$180&lt;&gt;"acoes")))*INDEX(Inputs!$K$5:$AJ$180,0,MATCH(U$2,Inputs!$K$4:$AJ$4,0)))))</f>
        <v>-4.53576212748885e-07</v>
      </c>
      <c r="V13" s="6">
        <f>IF(ISNA(MATCH(V$2,Inputs!$K$4:$AJ$4,0)),NA(),IF(SUMPRODUCT((Inputs!$A$5:$A$180=$B13)*ISNUMBER(INDEX(Inputs!$K$5:$AJ$180,0,MATCH(V$2,Inputs!$K$4:$AJ$4,0))))+SUMPRODUCT((Inputs!$C$5:$C$180=$B13)*ISNUMBER(INDEX(Inputs!$K$5:$AJ$180,0,MATCH(V$2,Inputs!$K$4:$AJ$4,0))))+SUMPRODUCT((Inputs!$E$5:$E$180=$B13)*ISNUMBER(INDEX(Inputs!$K$5:$AJ$180,0,MATCH(V$2,Inputs!$K$4:$AJ$4,0))))=0,NA(),SUMPRODUCT((Inputs!$A$5:$A$180=$B13)*Inputs!$B$5:$B$180*(((Inputs!$G$5:$G$180="moeda")+(Inputs!$G$5:$G$180="acoes"))*Inputs!$B$1+((Inputs!$G$5:$G$180&lt;&gt;"moeda")*(Inputs!$G$5:$G$180&lt;&gt;"acoes")))*INDEX(Inputs!$K$5:$AJ$180,0,MATCH(V$2,Inputs!$K$4:$AJ$4,0)))+SUMPRODUCT((Inputs!$C$5:$C$180=$B13)*Inputs!$D$5:$D$180*(((Inputs!$G$5:$G$180="moeda")+(Inputs!$G$5:$G$180="acoes"))*Inputs!$B$1+((Inputs!$G$5:$G$180&lt;&gt;"moeda")*(Inputs!$G$5:$G$180&lt;&gt;"acoes")))*INDEX(Inputs!$K$5:$AJ$180,0,MATCH(V$2,Inputs!$K$4:$AJ$4,0)))+SUMPRODUCT((Inputs!$E$5:$E$180=$B13)*Inputs!$F$5:$F$180*(((Inputs!$G$5:$G$180="moeda")+(Inputs!$G$5:$G$180="acoes"))*Inputs!$B$1+((Inputs!$G$5:$G$180&lt;&gt;"moeda")*(Inputs!$G$5:$G$180&lt;&gt;"acoes")))*INDEX(Inputs!$K$5:$AJ$180,0,MATCH(V$2,Inputs!$K$4:$AJ$4,0)))))</f>
        <v>4.53080152510665e-07</v>
      </c>
      <c r="W13" s="3">
        <f>SUM(S13:V13)</f>
        <v>-87.6931151004961</v>
      </c>
      <c r="X13" s="6">
        <f>IF(ISNA(MATCH(X$2,Inputs!$K$4:$AJ$4,0)),NA(),IF(SUMPRODUCT((Inputs!$A$5:$A$180=$B13)*ISNUMBER(INDEX(Inputs!$K$5:$AJ$180,0,MATCH(X$2,Inputs!$K$4:$AJ$4,0))))+SUMPRODUCT((Inputs!$C$5:$C$180=$B13)*ISNUMBER(INDEX(Inputs!$K$5:$AJ$180,0,MATCH(X$2,Inputs!$K$4:$AJ$4,0))))+SUMPRODUCT((Inputs!$E$5:$E$180=$B13)*ISNUMBER(INDEX(Inputs!$K$5:$AJ$180,0,MATCH(X$2,Inputs!$K$4:$AJ$4,0))))=0,NA(),SUMPRODUCT((Inputs!$A$5:$A$180=$B13)*Inputs!$B$5:$B$180*(((Inputs!$G$5:$G$180="moeda")+(Inputs!$G$5:$G$180="acoes"))*Inputs!$B$1+((Inputs!$G$5:$G$180&lt;&gt;"moeda")*(Inputs!$G$5:$G$180&lt;&gt;"acoes")))*INDEX(Inputs!$K$5:$AJ$180,0,MATCH(X$2,Inputs!$K$4:$AJ$4,0)))+SUMPRODUCT((Inputs!$C$5:$C$180=$B13)*Inputs!$D$5:$D$180*(((Inputs!$G$5:$G$180="moeda")+(Inputs!$G$5:$G$180="acoes"))*Inputs!$B$1+((Inputs!$G$5:$G$180&lt;&gt;"moeda")*(Inputs!$G$5:$G$180&lt;&gt;"acoes")))*INDEX(Inputs!$K$5:$AJ$180,0,MATCH(X$2,Inputs!$K$4:$AJ$4,0)))+SUMPRODUCT((Inputs!$E$5:$E$180=$B13)*Inputs!$F$5:$F$180*(((Inputs!$G$5:$G$180="moeda")+(Inputs!$G$5:$G$180="acoes"))*Inputs!$B$1+((Inputs!$G$5:$G$180&lt;&gt;"moeda")*(Inputs!$G$5:$G$180&lt;&gt;"acoes")))*INDEX(Inputs!$K$5:$AJ$180,0,MATCH(X$2,Inputs!$K$4:$AJ$4,0)))))</f>
        <v>0</v>
      </c>
      <c r="Y13" s="6">
        <f>IF(ISNA(MATCH(Y$2,Inputs!$K$4:$AJ$4,0)),NA(),IF(SUMPRODUCT((Inputs!$A$5:$A$180=$B13)*ISNUMBER(INDEX(Inputs!$K$5:$AJ$180,0,MATCH(Y$2,Inputs!$K$4:$AJ$4,0))))+SUMPRODUCT((Inputs!$C$5:$C$180=$B13)*ISNUMBER(INDEX(Inputs!$K$5:$AJ$180,0,MATCH(Y$2,Inputs!$K$4:$AJ$4,0))))+SUMPRODUCT((Inputs!$E$5:$E$180=$B13)*ISNUMBER(INDEX(Inputs!$K$5:$AJ$180,0,MATCH(Y$2,Inputs!$K$4:$AJ$4,0))))=0,NA(),SUMPRODUCT((Inputs!$A$5:$A$180=$B13)*Inputs!$B$5:$B$180*(((Inputs!$G$5:$G$180="moeda")+(Inputs!$G$5:$G$180="acoes"))*Inputs!$B$1+((Inputs!$G$5:$G$180&lt;&gt;"moeda")*(Inputs!$G$5:$G$180&lt;&gt;"acoes")))*INDEX(Inputs!$K$5:$AJ$180,0,MATCH(Y$2,Inputs!$K$4:$AJ$4,0)))+SUMPRODUCT((Inputs!$C$5:$C$180=$B13)*Inputs!$D$5:$D$180*(((Inputs!$G$5:$G$180="moeda")+(Inputs!$G$5:$G$180="acoes"))*Inputs!$B$1+((Inputs!$G$5:$G$180&lt;&gt;"moeda")*(Inputs!$G$5:$G$180&lt;&gt;"acoes")))*INDEX(Inputs!$K$5:$AJ$180,0,MATCH(Y$2,Inputs!$K$4:$AJ$4,0)))+SUMPRODUCT((Inputs!$E$5:$E$180=$B13)*Inputs!$F$5:$F$180*(((Inputs!$G$5:$G$180="moeda")+(Inputs!$G$5:$G$180="acoes"))*Inputs!$B$1+((Inputs!$G$5:$G$180&lt;&gt;"moeda")*(Inputs!$G$5:$G$180&lt;&gt;"acoes")))*INDEX(Inputs!$K$5:$AJ$180,0,MATCH(Y$2,Inputs!$K$4:$AJ$4,0)))))</f>
        <v>-155.1770183</v>
      </c>
      <c r="Z13" s="6">
        <f>IF(ISNA(MATCH(Z$2,Inputs!$K$4:$AJ$4,0)),NA(),IF(SUMPRODUCT((Inputs!$A$5:$A$180=$B13)*ISNUMBER(INDEX(Inputs!$K$5:$AJ$180,0,MATCH(Z$2,Inputs!$K$4:$AJ$4,0))))+SUMPRODUCT((Inputs!$C$5:$C$180=$B13)*ISNUMBER(INDEX(Inputs!$K$5:$AJ$180,0,MATCH(Z$2,Inputs!$K$4:$AJ$4,0))))+SUMPRODUCT((Inputs!$E$5:$E$180=$B13)*ISNUMBER(INDEX(Inputs!$K$5:$AJ$180,0,MATCH(Z$2,Inputs!$K$4:$AJ$4,0))))=0,NA(),SUMPRODUCT((Inputs!$A$5:$A$180=$B13)*Inputs!$B$5:$B$180*(((Inputs!$G$5:$G$180="moeda")+(Inputs!$G$5:$G$180="acoes"))*Inputs!$B$1+((Inputs!$G$5:$G$180&lt;&gt;"moeda")*(Inputs!$G$5:$G$180&lt;&gt;"acoes")))*INDEX(Inputs!$K$5:$AJ$180,0,MATCH(Z$2,Inputs!$K$4:$AJ$4,0)))+SUMPRODUCT((Inputs!$C$5:$C$180=$B13)*Inputs!$D$5:$D$180*(((Inputs!$G$5:$G$180="moeda")+(Inputs!$G$5:$G$180="acoes"))*Inputs!$B$1+((Inputs!$G$5:$G$180&lt;&gt;"moeda")*(Inputs!$G$5:$G$180&lt;&gt;"acoes")))*INDEX(Inputs!$K$5:$AJ$180,0,MATCH(Z$2,Inputs!$K$4:$AJ$4,0)))+SUMPRODUCT((Inputs!$E$5:$E$180=$B13)*Inputs!$F$5:$F$180*(((Inputs!$G$5:$G$180="moeda")+(Inputs!$G$5:$G$180="acoes"))*Inputs!$B$1+((Inputs!$G$5:$G$180&lt;&gt;"moeda")*(Inputs!$G$5:$G$180&lt;&gt;"acoes")))*INDEX(Inputs!$K$5:$AJ$180,0,MATCH(Z$2,Inputs!$K$4:$AJ$4,0)))))</f>
        <v>0</v>
      </c>
      <c r="AA13" s="6">
        <f>IF(ISNA(MATCH(AA$2,Inputs!$K$4:$AJ$4,0)),NA(),IF(SUMPRODUCT((Inputs!$A$5:$A$180=$B13)*ISNUMBER(INDEX(Inputs!$K$5:$AJ$180,0,MATCH(AA$2,Inputs!$K$4:$AJ$4,0))))+SUMPRODUCT((Inputs!$C$5:$C$180=$B13)*ISNUMBER(INDEX(Inputs!$K$5:$AJ$180,0,MATCH(AA$2,Inputs!$K$4:$AJ$4,0))))+SUMPRODUCT((Inputs!$E$5:$E$180=$B13)*ISNUMBER(INDEX(Inputs!$K$5:$AJ$180,0,MATCH(AA$2,Inputs!$K$4:$AJ$4,0))))=0,NA(),SUMPRODUCT((Inputs!$A$5:$A$180=$B13)*Inputs!$B$5:$B$180*(((Inputs!$G$5:$G$180="moeda")+(Inputs!$G$5:$G$180="acoes"))*Inputs!$B$1+((Inputs!$G$5:$G$180&lt;&gt;"moeda")*(Inputs!$G$5:$G$180&lt;&gt;"acoes")))*INDEX(Inputs!$K$5:$AJ$180,0,MATCH(AA$2,Inputs!$K$4:$AJ$4,0)))+SUMPRODUCT((Inputs!$C$5:$C$180=$B13)*Inputs!$D$5:$D$180*(((Inputs!$G$5:$G$180="moeda")+(Inputs!$G$5:$G$180="acoes"))*Inputs!$B$1+((Inputs!$G$5:$G$180&lt;&gt;"moeda")*(Inputs!$G$5:$G$180&lt;&gt;"acoes")))*INDEX(Inputs!$K$5:$AJ$180,0,MATCH(AA$2,Inputs!$K$4:$AJ$4,0)))+SUMPRODUCT((Inputs!$E$5:$E$180=$B13)*Inputs!$F$5:$F$180*(((Inputs!$G$5:$G$180="moeda")+(Inputs!$G$5:$G$180="acoes"))*Inputs!$B$1+((Inputs!$G$5:$G$180&lt;&gt;"moeda")*(Inputs!$G$5:$G$180&lt;&gt;"acoes")))*INDEX(Inputs!$K$5:$AJ$180,0,MATCH(AA$2,Inputs!$K$4:$AJ$4,0)))))</f>
        <v>-163.99816688</v>
      </c>
      <c r="AB13" s="3">
        <f>SUM(X13:AA13)</f>
        <v>-319.17518518</v>
      </c>
      <c r="AC13" s="6">
        <f>IF(ISNA(MATCH(AC$2,Inputs!$K$4:$AJ$4,0)),NA(),IF(SUMPRODUCT((Inputs!$A$5:$A$180=$B13)*ISNUMBER(INDEX(Inputs!$K$5:$AJ$180,0,MATCH(AC$2,Inputs!$K$4:$AJ$4,0))))+SUMPRODUCT((Inputs!$C$5:$C$180=$B13)*ISNUMBER(INDEX(Inputs!$K$5:$AJ$180,0,MATCH(AC$2,Inputs!$K$4:$AJ$4,0))))+SUMPRODUCT((Inputs!$E$5:$E$180=$B13)*ISNUMBER(INDEX(Inputs!$K$5:$AJ$180,0,MATCH(AC$2,Inputs!$K$4:$AJ$4,0))))=0,NA(),SUMPRODUCT((Inputs!$A$5:$A$180=$B13)*Inputs!$B$5:$B$180*(((Inputs!$G$5:$G$180="moeda")+(Inputs!$G$5:$G$180="acoes"))*Inputs!$B$1+((Inputs!$G$5:$G$180&lt;&gt;"moeda")*(Inputs!$G$5:$G$180&lt;&gt;"acoes")))*INDEX(Inputs!$K$5:$AJ$180,0,MATCH(AC$2,Inputs!$K$4:$AJ$4,0)))+SUMPRODUCT((Inputs!$C$5:$C$180=$B13)*Inputs!$D$5:$D$180*(((Inputs!$G$5:$G$180="moeda")+(Inputs!$G$5:$G$180="acoes"))*Inputs!$B$1+((Inputs!$G$5:$G$180&lt;&gt;"moeda")*(Inputs!$G$5:$G$180&lt;&gt;"acoes")))*INDEX(Inputs!$K$5:$AJ$180,0,MATCH(AC$2,Inputs!$K$4:$AJ$4,0)))+SUMPRODUCT((Inputs!$E$5:$E$180=$B13)*Inputs!$F$5:$F$180*(((Inputs!$G$5:$G$180="moeda")+(Inputs!$G$5:$G$180="acoes"))*Inputs!$B$1+((Inputs!$G$5:$G$180&lt;&gt;"moeda")*(Inputs!$G$5:$G$180&lt;&gt;"acoes")))*INDEX(Inputs!$K$5:$AJ$180,0,MATCH(AC$2,Inputs!$K$4:$AJ$4,0)))))</f>
        <v>0</v>
      </c>
      <c r="AD13" s="6">
        <f>IF(ISNA(MATCH(AD$2,Inputs!$K$4:$AJ$4,0)),NA(),IF(SUMPRODUCT((Inputs!$A$5:$A$180=$B13)*ISNUMBER(INDEX(Inputs!$K$5:$AJ$180,0,MATCH(AD$2,Inputs!$K$4:$AJ$4,0))))+SUMPRODUCT((Inputs!$C$5:$C$180=$B13)*ISNUMBER(INDEX(Inputs!$K$5:$AJ$180,0,MATCH(AD$2,Inputs!$K$4:$AJ$4,0))))+SUMPRODUCT((Inputs!$E$5:$E$180=$B13)*ISNUMBER(INDEX(Inputs!$K$5:$AJ$180,0,MATCH(AD$2,Inputs!$K$4:$AJ$4,0))))=0,NA(),SUMPRODUCT((Inputs!$A$5:$A$180=$B13)*Inputs!$B$5:$B$180*(((Inputs!$G$5:$G$180="moeda")+(Inputs!$G$5:$G$180="acoes"))*Inputs!$B$1+((Inputs!$G$5:$G$180&lt;&gt;"moeda")*(Inputs!$G$5:$G$180&lt;&gt;"acoes")))*INDEX(Inputs!$K$5:$AJ$180,0,MATCH(AD$2,Inputs!$K$4:$AJ$4,0)))+SUMPRODUCT((Inputs!$C$5:$C$180=$B13)*Inputs!$D$5:$D$180*(((Inputs!$G$5:$G$180="moeda")+(Inputs!$G$5:$G$180="acoes"))*Inputs!$B$1+((Inputs!$G$5:$G$180&lt;&gt;"moeda")*(Inputs!$G$5:$G$180&lt;&gt;"acoes")))*INDEX(Inputs!$K$5:$AJ$180,0,MATCH(AD$2,Inputs!$K$4:$AJ$4,0)))+SUMPRODUCT((Inputs!$E$5:$E$180=$B13)*Inputs!$F$5:$F$180*(((Inputs!$G$5:$G$180="moeda")+(Inputs!$G$5:$G$180="acoes"))*Inputs!$B$1+((Inputs!$G$5:$G$180&lt;&gt;"moeda")*(Inputs!$G$5:$G$180&lt;&gt;"acoes")))*INDEX(Inputs!$K$5:$AJ$180,0,MATCH(AD$2,Inputs!$K$4:$AJ$4,0)))))</f>
        <v>0</v>
      </c>
      <c r="AE13" s="6" t="e">
        <f>IF(ISNA(MATCH(AE$2,Inputs!$K$4:$AJ$4,0)),NA(),IF(SUMPRODUCT((Inputs!$A$5:$A$180=$B13)*ISNUMBER(INDEX(Inputs!$K$5:$AJ$180,0,MATCH(AE$2,Inputs!$K$4:$AJ$4,0))))+SUMPRODUCT((Inputs!$C$5:$C$180=$B13)*ISNUMBER(INDEX(Inputs!$K$5:$AJ$180,0,MATCH(AE$2,Inputs!$K$4:$AJ$4,0))))+SUMPRODUCT((Inputs!$E$5:$E$180=$B13)*ISNUMBER(INDEX(Inputs!$K$5:$AJ$180,0,MATCH(AE$2,Inputs!$K$4:$AJ$4,0))))=0,NA(),SUMPRODUCT((Inputs!$A$5:$A$180=$B13)*Inputs!$B$5:$B$180*(((Inputs!$G$5:$G$180="moeda")+(Inputs!$G$5:$G$180="acoes"))*Inputs!$B$1+((Inputs!$G$5:$G$180&lt;&gt;"moeda")*(Inputs!$G$5:$G$180&lt;&gt;"acoes")))*INDEX(Inputs!$K$5:$AJ$180,0,MATCH(AE$2,Inputs!$K$4:$AJ$4,0)))+SUMPRODUCT((Inputs!$C$5:$C$180=$B13)*Inputs!$D$5:$D$180*(((Inputs!$G$5:$G$180="moeda")+(Inputs!$G$5:$G$180="acoes"))*Inputs!$B$1+((Inputs!$G$5:$G$180&lt;&gt;"moeda")*(Inputs!$G$5:$G$180&lt;&gt;"acoes")))*INDEX(Inputs!$K$5:$AJ$180,0,MATCH(AE$2,Inputs!$K$4:$AJ$4,0)))+SUMPRODUCT((Inputs!$E$5:$E$180=$B13)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3" s="6" t="e">
        <f>IF(ISNA(MATCH(AF$2,Inputs!$K$4:$AJ$4,0)),NA(),IF(SUMPRODUCT((Inputs!$A$5:$A$180=$B13)*ISNUMBER(INDEX(Inputs!$K$5:$AJ$180,0,MATCH(AF$2,Inputs!$K$4:$AJ$4,0))))+SUMPRODUCT((Inputs!$C$5:$C$180=$B13)*ISNUMBER(INDEX(Inputs!$K$5:$AJ$180,0,MATCH(AF$2,Inputs!$K$4:$AJ$4,0))))+SUMPRODUCT((Inputs!$E$5:$E$180=$B13)*ISNUMBER(INDEX(Inputs!$K$5:$AJ$180,0,MATCH(AF$2,Inputs!$K$4:$AJ$4,0))))=0,NA(),SUMPRODUCT((Inputs!$A$5:$A$180=$B13)*Inputs!$B$5:$B$180*(((Inputs!$G$5:$G$180="moeda")+(Inputs!$G$5:$G$180="acoes"))*Inputs!$B$1+((Inputs!$G$5:$G$180&lt;&gt;"moeda")*(Inputs!$G$5:$G$180&lt;&gt;"acoes")))*INDEX(Inputs!$K$5:$AJ$180,0,MATCH(AF$2,Inputs!$K$4:$AJ$4,0)))+SUMPRODUCT((Inputs!$C$5:$C$180=$B13)*Inputs!$D$5:$D$180*(((Inputs!$G$5:$G$180="moeda")+(Inputs!$G$5:$G$180="acoes"))*Inputs!$B$1+((Inputs!$G$5:$G$180&lt;&gt;"moeda")*(Inputs!$G$5:$G$180&lt;&gt;"acoes")))*INDEX(Inputs!$K$5:$AJ$180,0,MATCH(AF$2,Inputs!$K$4:$AJ$4,0)))+SUMPRODUCT((Inputs!$E$5:$E$180=$B13)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$180=$B13)*ISNUMBER(INDEX(Inputs!$K$5:$AJ$180,0,MATCH(AH$2,Inputs!$K$4:$AJ$4,0))))+SUMPRODUCT((Inputs!$C$5:$C$180=$B13)*ISNUMBER(INDEX(Inputs!$K$5:$AJ$180,0,MATCH(AH$2,Inputs!$K$4:$AJ$4,0))))+SUMPRODUCT((Inputs!$E$5:$E$180=$B13)*ISNUMBER(INDEX(Inputs!$K$5:$AJ$180,0,MATCH(AH$2,Inputs!$K$4:$AJ$4,0))))=0,NA(),SUMPRODUCT((Inputs!$A$5:$A$180=$B13)*Inputs!$B$5:$B$180*(((Inputs!$G$5:$G$180="moeda")+(Inputs!$G$5:$G$180="acoes"))*Inputs!$B$1+((Inputs!$G$5:$G$180&lt;&gt;"moeda")*(Inputs!$G$5:$G$180&lt;&gt;"acoes")))*INDEX(Inputs!$K$5:$AJ$180,0,MATCH(AH$2,Inputs!$K$4:$AJ$4,0)))+SUMPRODUCT((Inputs!$C$5:$C$180=$B13)*Inputs!$D$5:$D$180*(((Inputs!$G$5:$G$180="moeda")+(Inputs!$G$5:$G$180="acoes"))*Inputs!$B$1+((Inputs!$G$5:$G$180&lt;&gt;"moeda")*(Inputs!$G$5:$G$180&lt;&gt;"acoes")))*INDEX(Inputs!$K$5:$AJ$180,0,MATCH(AH$2,Inputs!$K$4:$AJ$4,0)))+SUMPRODUCT((Inputs!$E$5:$E$180=$B13)*Inputs!$F$5:$F$180*(((Inputs!$G$5:$G$180="moeda")+(Inputs!$G$5:$G$180="acoes"))*Inputs!$B$1+((Inputs!$G$5:$G$180&lt;&gt;"moeda")*(Inputs!$G$5:$G$180&lt;&gt;"acoes")))*INDEX(Inputs!$K$5:$AJ$180,0,MATCH(AH$2,Inputs!$K$4:$AJ$4,0)))))</f>
        <v>0</v>
      </c>
      <c r="AI13" s="6">
        <f>IF(ISNA(MATCH(AI$2,Inputs!$K$4:$AJ$4,0)),NA(),IF(SUMPRODUCT((Inputs!$A$5:$A$180=$B13)*ISNUMBER(INDEX(Inputs!$K$5:$AJ$180,0,MATCH(AI$2,Inputs!$K$4:$AJ$4,0))))+SUMPRODUCT((Inputs!$C$5:$C$180=$B13)*ISNUMBER(INDEX(Inputs!$K$5:$AJ$180,0,MATCH(AI$2,Inputs!$K$4:$AJ$4,0))))+SUMPRODUCT((Inputs!$E$5:$E$180=$B13)*ISNUMBER(INDEX(Inputs!$K$5:$AJ$180,0,MATCH(AI$2,Inputs!$K$4:$AJ$4,0))))=0,NA(),SUMPRODUCT((Inputs!$A$5:$A$180=$B13)*Inputs!$B$5:$B$180*(((Inputs!$G$5:$G$180="moeda")+(Inputs!$G$5:$G$180="acoes"))*Inputs!$B$1+((Inputs!$G$5:$G$180&lt;&gt;"moeda")*(Inputs!$G$5:$G$180&lt;&gt;"acoes")))*INDEX(Inputs!$K$5:$AJ$180,0,MATCH(AI$2,Inputs!$K$4:$AJ$4,0)))+SUMPRODUCT((Inputs!$C$5:$C$180=$B13)*Inputs!$D$5:$D$180*(((Inputs!$G$5:$G$180="moeda")+(Inputs!$G$5:$G$180="acoes"))*Inputs!$B$1+((Inputs!$G$5:$G$180&lt;&gt;"moeda")*(Inputs!$G$5:$G$180&lt;&gt;"acoes")))*INDEX(Inputs!$K$5:$AJ$180,0,MATCH(AI$2,Inputs!$K$4:$AJ$4,0)))+SUMPRODUCT((Inputs!$E$5:$E$180=$B13)*Inputs!$F$5:$F$180*(((Inputs!$G$5:$G$180="moeda")+(Inputs!$G$5:$G$180="acoes"))*Inputs!$B$1+((Inputs!$G$5:$G$180&lt;&gt;"moeda")*(Inputs!$G$5:$G$180&lt;&gt;"acoes")))*INDEX(Inputs!$K$5:$AJ$180,0,MATCH(AI$2,Inputs!$K$4:$AJ$4,0)))))</f>
        <v>0</v>
      </c>
      <c r="AJ13" s="6">
        <f>IF(ISNA(MATCH(AJ$2,Inputs!$K$4:$AJ$4,0)),NA(),IF(SUMPRODUCT((Inputs!$A$5:$A$180=$B13)*ISNUMBER(INDEX(Inputs!$K$5:$AJ$180,0,MATCH(AJ$2,Inputs!$K$4:$AJ$4,0))))+SUMPRODUCT((Inputs!$C$5:$C$180=$B13)*ISNUMBER(INDEX(Inputs!$K$5:$AJ$180,0,MATCH(AJ$2,Inputs!$K$4:$AJ$4,0))))+SUMPRODUCT((Inputs!$E$5:$E$180=$B13)*ISNUMBER(INDEX(Inputs!$K$5:$AJ$180,0,MATCH(AJ$2,Inputs!$K$4:$AJ$4,0))))=0,NA(),SUMPRODUCT((Inputs!$A$5:$A$180=$B13)*Inputs!$B$5:$B$180*(((Inputs!$G$5:$G$180="moeda")+(Inputs!$G$5:$G$180="acoes"))*Inputs!$B$1+((Inputs!$G$5:$G$180&lt;&gt;"moeda")*(Inputs!$G$5:$G$180&lt;&gt;"acoes")))*INDEX(Inputs!$K$5:$AJ$180,0,MATCH(AJ$2,Inputs!$K$4:$AJ$4,0)))+SUMPRODUCT((Inputs!$C$5:$C$180=$B13)*Inputs!$D$5:$D$180*(((Inputs!$G$5:$G$180="moeda")+(Inputs!$G$5:$G$180="acoes"))*Inputs!$B$1+((Inputs!$G$5:$G$180&lt;&gt;"moeda")*(Inputs!$G$5:$G$180&lt;&gt;"acoes")))*INDEX(Inputs!$K$5:$AJ$180,0,MATCH(AJ$2,Inputs!$K$4:$AJ$4,0)))+SUMPRODUCT((Inputs!$E$5:$E$180=$B13)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13" s="6">
        <f>IF(ISNA(MATCH(AK$2,Inputs!$K$4:$AJ$4,0)),NA(),IF(SUMPRODUCT((Inputs!$A$5:$A$180=$B13)*ISNUMBER(INDEX(Inputs!$K$5:$AJ$180,0,MATCH(AK$2,Inputs!$K$4:$AJ$4,0))))+SUMPRODUCT((Inputs!$C$5:$C$180=$B13)*ISNUMBER(INDEX(Inputs!$K$5:$AJ$180,0,MATCH(AK$2,Inputs!$K$4:$AJ$4,0))))+SUMPRODUCT((Inputs!$E$5:$E$180=$B13)*ISNUMBER(INDEX(Inputs!$K$5:$AJ$180,0,MATCH(AK$2,Inputs!$K$4:$AJ$4,0))))=0,NA(),SUMPRODUCT((Inputs!$A$5:$A$180=$B13)*Inputs!$B$5:$B$180*(((Inputs!$G$5:$G$180="moeda")+(Inputs!$G$5:$G$180="acoes"))*Inputs!$B$1+((Inputs!$G$5:$G$180&lt;&gt;"moeda")*(Inputs!$G$5:$G$180&lt;&gt;"acoes")))*INDEX(Inputs!$K$5:$AJ$180,0,MATCH(AK$2,Inputs!$K$4:$AJ$4,0)))+SUMPRODUCT((Inputs!$C$5:$C$180=$B13)*Inputs!$D$5:$D$180*(((Inputs!$G$5:$G$180="moeda")+(Inputs!$G$5:$G$180="acoes"))*Inputs!$B$1+((Inputs!$G$5:$G$180&lt;&gt;"moeda")*(Inputs!$G$5:$G$180&lt;&gt;"acoes")))*INDEX(Inputs!$K$5:$AJ$180,0,MATCH(AK$2,Inputs!$K$4:$AJ$4,0)))+SUMPRODUCT((Inputs!$E$5:$E$180=$B13)*Inputs!$F$5:$F$180*(((Inputs!$G$5:$G$180="moeda")+(Inputs!$G$5:$G$180="acoes"))*Inputs!$B$1+((Inputs!$G$5:$G$180&lt;&gt;"moeda")*(Inputs!$G$5:$G$180&lt;&gt;"acoes")))*INDEX(Inputs!$K$5:$AJ$180,0,MATCH(AK$2,Inputs!$K$4:$AJ$4,0)))))</f>
        <v>-35.56300563</v>
      </c>
      <c r="AL13" s="3">
        <f>SUM(AH13:AK13)</f>
        <v>-35.56300563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$180=$B15)*ISNUMBER(INDEX(Inputs!$K$5:$AJ$180,0,MATCH(D$2,Inputs!$K$4:$AJ$4,0))))+SUMPRODUCT((Inputs!$C$5:$C$180=$B15)*ISNUMBER(INDEX(Inputs!$K$5:$AJ$180,0,MATCH(D$2,Inputs!$K$4:$AJ$4,0))))+SUMPRODUCT((Inputs!$E$5:$E$180=$B15)*ISNUMBER(INDEX(Inputs!$K$5:$AJ$180,0,MATCH(D$2,Inputs!$K$4:$AJ$4,0))))=0,NA(),SUMPRODUCT((Inputs!$A$5:$A$180=$B15)*Inputs!$B$5:$B$180*(((Inputs!$G$5:$G$180="moeda")+(Inputs!$G$5:$G$180="acoes"))*Inputs!$B$1+((Inputs!$G$5:$G$180&lt;&gt;"moeda")*(Inputs!$G$5:$G$180&lt;&gt;"acoes")))*INDEX(Inputs!$K$5:$AJ$180,0,MATCH(D$2,Inputs!$K$4:$AJ$4,0)))+SUMPRODUCT((Inputs!$C$5:$C$180=$B15)*Inputs!$D$5:$D$180*(((Inputs!$G$5:$G$180="moeda")+(Inputs!$G$5:$G$180="acoes"))*Inputs!$B$1+((Inputs!$G$5:$G$180&lt;&gt;"moeda")*(Inputs!$G$5:$G$180&lt;&gt;"acoes")))*INDEX(Inputs!$K$5:$AJ$180,0,MATCH(D$2,Inputs!$K$4:$AJ$4,0)))+SUMPRODUCT((Inputs!$E$5:$E$180=$B15)*Inputs!$F$5:$F$180*(((Inputs!$G$5:$G$180="moeda")+(Inputs!$G$5:$G$180="acoes"))*Inputs!$B$1+((Inputs!$G$5:$G$180&lt;&gt;"moeda")*(Inputs!$G$5:$G$180&lt;&gt;"acoes")))*INDEX(Inputs!$K$5:$AJ$180,0,MATCH(D$2,Inputs!$K$4:$AJ$4,0)))))</f>
        <v>620.78349952</v>
      </c>
      <c r="E15" s="6">
        <f>IF(ISNA(MATCH(E$2,Inputs!$K$4:$AJ$4,0)),NA(),IF(SUMPRODUCT((Inputs!$A$5:$A$180=$B15)*ISNUMBER(INDEX(Inputs!$K$5:$AJ$180,0,MATCH(E$2,Inputs!$K$4:$AJ$4,0))))+SUMPRODUCT((Inputs!$C$5:$C$180=$B15)*ISNUMBER(INDEX(Inputs!$K$5:$AJ$180,0,MATCH(E$2,Inputs!$K$4:$AJ$4,0))))+SUMPRODUCT((Inputs!$E$5:$E$180=$B15)*ISNUMBER(INDEX(Inputs!$K$5:$AJ$180,0,MATCH(E$2,Inputs!$K$4:$AJ$4,0))))=0,NA(),SUMPRODUCT((Inputs!$A$5:$A$180=$B15)*Inputs!$B$5:$B$180*(((Inputs!$G$5:$G$180="moeda")+(Inputs!$G$5:$G$180="acoes"))*Inputs!$B$1+((Inputs!$G$5:$G$180&lt;&gt;"moeda")*(Inputs!$G$5:$G$180&lt;&gt;"acoes")))*INDEX(Inputs!$K$5:$AJ$180,0,MATCH(E$2,Inputs!$K$4:$AJ$4,0)))+SUMPRODUCT((Inputs!$C$5:$C$180=$B15)*Inputs!$D$5:$D$180*(((Inputs!$G$5:$G$180="moeda")+(Inputs!$G$5:$G$180="acoes"))*Inputs!$B$1+((Inputs!$G$5:$G$180&lt;&gt;"moeda")*(Inputs!$G$5:$G$180&lt;&gt;"acoes")))*INDEX(Inputs!$K$5:$AJ$180,0,MATCH(E$2,Inputs!$K$4:$AJ$4,0)))+SUMPRODUCT((Inputs!$E$5:$E$180=$B15)*Inputs!$F$5:$F$180*(((Inputs!$G$5:$G$180="moeda")+(Inputs!$G$5:$G$180="acoes"))*Inputs!$B$1+((Inputs!$G$5:$G$180&lt;&gt;"moeda")*(Inputs!$G$5:$G$180&lt;&gt;"acoes")))*INDEX(Inputs!$K$5:$AJ$180,0,MATCH(E$2,Inputs!$K$4:$AJ$4,0)))))</f>
        <v>670.86518212</v>
      </c>
      <c r="F15" s="6">
        <f>IF(ISNA(MATCH(F$2,Inputs!$K$4:$AJ$4,0)),NA(),IF(SUMPRODUCT((Inputs!$A$5:$A$180=$B15)*ISNUMBER(INDEX(Inputs!$K$5:$AJ$180,0,MATCH(F$2,Inputs!$K$4:$AJ$4,0))))+SUMPRODUCT((Inputs!$C$5:$C$180=$B15)*ISNUMBER(INDEX(Inputs!$K$5:$AJ$180,0,MATCH(F$2,Inputs!$K$4:$AJ$4,0))))+SUMPRODUCT((Inputs!$E$5:$E$180=$B15)*ISNUMBER(INDEX(Inputs!$K$5:$AJ$180,0,MATCH(F$2,Inputs!$K$4:$AJ$4,0))))=0,NA(),SUMPRODUCT((Inputs!$A$5:$A$180=$B15)*Inputs!$B$5:$B$180*(((Inputs!$G$5:$G$180="moeda")+(Inputs!$G$5:$G$180="acoes"))*Inputs!$B$1+((Inputs!$G$5:$G$180&lt;&gt;"moeda")*(Inputs!$G$5:$G$180&lt;&gt;"acoes")))*INDEX(Inputs!$K$5:$AJ$180,0,MATCH(F$2,Inputs!$K$4:$AJ$4,0)))+SUMPRODUCT((Inputs!$C$5:$C$180=$B15)*Inputs!$D$5:$D$180*(((Inputs!$G$5:$G$180="moeda")+(Inputs!$G$5:$G$180="acoes"))*Inputs!$B$1+((Inputs!$G$5:$G$180&lt;&gt;"moeda")*(Inputs!$G$5:$G$180&lt;&gt;"acoes")))*INDEX(Inputs!$K$5:$AJ$180,0,MATCH(F$2,Inputs!$K$4:$AJ$4,0)))+SUMPRODUCT((Inputs!$E$5:$E$180=$B15)*Inputs!$F$5:$F$180*(((Inputs!$G$5:$G$180="moeda")+(Inputs!$G$5:$G$180="acoes"))*Inputs!$B$1+((Inputs!$G$5:$G$180&lt;&gt;"moeda")*(Inputs!$G$5:$G$180&lt;&gt;"acoes")))*INDEX(Inputs!$K$5:$AJ$180,0,MATCH(F$2,Inputs!$K$4:$AJ$4,0)))))</f>
        <v>713.51727618</v>
      </c>
      <c r="G15" s="6">
        <f>IF(ISNA(MATCH(G$2,Inputs!$K$4:$AJ$4,0)),NA(),IF(SUMPRODUCT((Inputs!$A$5:$A$180=$B15)*ISNUMBER(INDEX(Inputs!$K$5:$AJ$180,0,MATCH(G$2,Inputs!$K$4:$AJ$4,0))))+SUMPRODUCT((Inputs!$C$5:$C$180=$B15)*ISNUMBER(INDEX(Inputs!$K$5:$AJ$180,0,MATCH(G$2,Inputs!$K$4:$AJ$4,0))))+SUMPRODUCT((Inputs!$E$5:$E$180=$B15)*ISNUMBER(INDEX(Inputs!$K$5:$AJ$180,0,MATCH(G$2,Inputs!$K$4:$AJ$4,0))))=0,NA(),SUMPRODUCT((Inputs!$A$5:$A$180=$B15)*Inputs!$B$5:$B$180*(((Inputs!$G$5:$G$180="moeda")+(Inputs!$G$5:$G$180="acoes"))*Inputs!$B$1+((Inputs!$G$5:$G$180&lt;&gt;"moeda")*(Inputs!$G$5:$G$180&lt;&gt;"acoes")))*INDEX(Inputs!$K$5:$AJ$180,0,MATCH(G$2,Inputs!$K$4:$AJ$4,0)))+SUMPRODUCT((Inputs!$C$5:$C$180=$B15)*Inputs!$D$5:$D$180*(((Inputs!$G$5:$G$180="moeda")+(Inputs!$G$5:$G$180="acoes"))*Inputs!$B$1+((Inputs!$G$5:$G$180&lt;&gt;"moeda")*(Inputs!$G$5:$G$180&lt;&gt;"acoes")))*INDEX(Inputs!$K$5:$AJ$180,0,MATCH(G$2,Inputs!$K$4:$AJ$4,0)))+SUMPRODUCT((Inputs!$E$5:$E$180=$B15)*Inputs!$F$5:$F$180*(((Inputs!$G$5:$G$180="moeda")+(Inputs!$G$5:$G$180="acoes"))*Inputs!$B$1+((Inputs!$G$5:$G$180&lt;&gt;"moeda")*(Inputs!$G$5:$G$180&lt;&gt;"acoes")))*INDEX(Inputs!$K$5:$AJ$180,0,MATCH(G$2,Inputs!$K$4:$AJ$4,0)))))</f>
        <v>653.6998696</v>
      </c>
      <c r="H15" s="3">
        <f>G15</f>
        <v>653.6998696</v>
      </c>
      <c r="I15" s="6">
        <f>IF(ISNA(MATCH(I$2,Inputs!$K$4:$AJ$4,0)),NA(),IF(SUMPRODUCT((Inputs!$A$5:$A$180=$B15)*ISNUMBER(INDEX(Inputs!$K$5:$AJ$180,0,MATCH(I$2,Inputs!$K$4:$AJ$4,0))))+SUMPRODUCT((Inputs!$C$5:$C$180=$B15)*ISNUMBER(INDEX(Inputs!$K$5:$AJ$180,0,MATCH(I$2,Inputs!$K$4:$AJ$4,0))))+SUMPRODUCT((Inputs!$E$5:$E$180=$B15)*ISNUMBER(INDEX(Inputs!$K$5:$AJ$180,0,MATCH(I$2,Inputs!$K$4:$AJ$4,0))))=0,NA(),SUMPRODUCT((Inputs!$A$5:$A$180=$B15)*Inputs!$B$5:$B$180*(((Inputs!$G$5:$G$180="moeda")+(Inputs!$G$5:$G$180="acoes"))*Inputs!$B$1+((Inputs!$G$5:$G$180&lt;&gt;"moeda")*(Inputs!$G$5:$G$180&lt;&gt;"acoes")))*INDEX(Inputs!$K$5:$AJ$180,0,MATCH(I$2,Inputs!$K$4:$AJ$4,0)))+SUMPRODUCT((Inputs!$C$5:$C$180=$B15)*Inputs!$D$5:$D$180*(((Inputs!$G$5:$G$180="moeda")+(Inputs!$G$5:$G$180="acoes"))*Inputs!$B$1+((Inputs!$G$5:$G$180&lt;&gt;"moeda")*(Inputs!$G$5:$G$180&lt;&gt;"acoes")))*INDEX(Inputs!$K$5:$AJ$180,0,MATCH(I$2,Inputs!$K$4:$AJ$4,0)))+SUMPRODUCT((Inputs!$E$5:$E$180=$B15)*Inputs!$F$5:$F$180*(((Inputs!$G$5:$G$180="moeda")+(Inputs!$G$5:$G$180="acoes"))*Inputs!$B$1+((Inputs!$G$5:$G$180&lt;&gt;"moeda")*(Inputs!$G$5:$G$180&lt;&gt;"acoes")))*INDEX(Inputs!$K$5:$AJ$180,0,MATCH(I$2,Inputs!$K$4:$AJ$4,0)))))</f>
        <v>579.60540826</v>
      </c>
      <c r="J15" s="6">
        <f>IF(ISNA(MATCH(J$2,Inputs!$K$4:$AJ$4,0)),NA(),IF(SUMPRODUCT((Inputs!$A$5:$A$180=$B15)*ISNUMBER(INDEX(Inputs!$K$5:$AJ$180,0,MATCH(J$2,Inputs!$K$4:$AJ$4,0))))+SUMPRODUCT((Inputs!$C$5:$C$180=$B15)*ISNUMBER(INDEX(Inputs!$K$5:$AJ$180,0,MATCH(J$2,Inputs!$K$4:$AJ$4,0))))+SUMPRODUCT((Inputs!$E$5:$E$180=$B15)*ISNUMBER(INDEX(Inputs!$K$5:$AJ$180,0,MATCH(J$2,Inputs!$K$4:$AJ$4,0))))=0,NA(),SUMPRODUCT((Inputs!$A$5:$A$180=$B15)*Inputs!$B$5:$B$180*(((Inputs!$G$5:$G$180="moeda")+(Inputs!$G$5:$G$180="acoes"))*Inputs!$B$1+((Inputs!$G$5:$G$180&lt;&gt;"moeda")*(Inputs!$G$5:$G$180&lt;&gt;"acoes")))*INDEX(Inputs!$K$5:$AJ$180,0,MATCH(J$2,Inputs!$K$4:$AJ$4,0)))+SUMPRODUCT((Inputs!$C$5:$C$180=$B15)*Inputs!$D$5:$D$180*(((Inputs!$G$5:$G$180="moeda")+(Inputs!$G$5:$G$180="acoes"))*Inputs!$B$1+((Inputs!$G$5:$G$180&lt;&gt;"moeda")*(Inputs!$G$5:$G$180&lt;&gt;"acoes")))*INDEX(Inputs!$K$5:$AJ$180,0,MATCH(J$2,Inputs!$K$4:$AJ$4,0)))+SUMPRODUCT((Inputs!$E$5:$E$180=$B15)*Inputs!$F$5:$F$180*(((Inputs!$G$5:$G$180="moeda")+(Inputs!$G$5:$G$180="acoes"))*Inputs!$B$1+((Inputs!$G$5:$G$180&lt;&gt;"moeda")*(Inputs!$G$5:$G$180&lt;&gt;"acoes")))*INDEX(Inputs!$K$5:$AJ$180,0,MATCH(J$2,Inputs!$K$4:$AJ$4,0)))))</f>
        <v>421.10748334</v>
      </c>
      <c r="K15" s="6">
        <f>IF(ISNA(MATCH(K$2,Inputs!$K$4:$AJ$4,0)),NA(),IF(SUMPRODUCT((Inputs!$A$5:$A$180=$B15)*ISNUMBER(INDEX(Inputs!$K$5:$AJ$180,0,MATCH(K$2,Inputs!$K$4:$AJ$4,0))))+SUMPRODUCT((Inputs!$C$5:$C$180=$B15)*ISNUMBER(INDEX(Inputs!$K$5:$AJ$180,0,MATCH(K$2,Inputs!$K$4:$AJ$4,0))))+SUMPRODUCT((Inputs!$E$5:$E$180=$B15)*ISNUMBER(INDEX(Inputs!$K$5:$AJ$180,0,MATCH(K$2,Inputs!$K$4:$AJ$4,0))))=0,NA(),SUMPRODUCT((Inputs!$A$5:$A$180=$B15)*Inputs!$B$5:$B$180*(((Inputs!$G$5:$G$180="moeda")+(Inputs!$G$5:$G$180="acoes"))*Inputs!$B$1+((Inputs!$G$5:$G$180&lt;&gt;"moeda")*(Inputs!$G$5:$G$180&lt;&gt;"acoes")))*INDEX(Inputs!$K$5:$AJ$180,0,MATCH(K$2,Inputs!$K$4:$AJ$4,0)))+SUMPRODUCT((Inputs!$C$5:$C$180=$B15)*Inputs!$D$5:$D$180*(((Inputs!$G$5:$G$180="moeda")+(Inputs!$G$5:$G$180="acoes"))*Inputs!$B$1+((Inputs!$G$5:$G$180&lt;&gt;"moeda")*(Inputs!$G$5:$G$180&lt;&gt;"acoes")))*INDEX(Inputs!$K$5:$AJ$180,0,MATCH(K$2,Inputs!$K$4:$AJ$4,0)))+SUMPRODUCT((Inputs!$E$5:$E$180=$B15)*Inputs!$F$5:$F$180*(((Inputs!$G$5:$G$180="moeda")+(Inputs!$G$5:$G$180="acoes"))*Inputs!$B$1+((Inputs!$G$5:$G$180&lt;&gt;"moeda")*(Inputs!$G$5:$G$180&lt;&gt;"acoes")))*INDEX(Inputs!$K$5:$AJ$180,0,MATCH(K$2,Inputs!$K$4:$AJ$4,0)))))</f>
        <v>337.63625412</v>
      </c>
      <c r="L15" s="6">
        <f>IF(ISNA(MATCH(L$2,Inputs!$K$4:$AJ$4,0)),NA(),IF(SUMPRODUCT((Inputs!$A$5:$A$180=$B15)*ISNUMBER(INDEX(Inputs!$K$5:$AJ$180,0,MATCH(L$2,Inputs!$K$4:$AJ$4,0))))+SUMPRODUCT((Inputs!$C$5:$C$180=$B15)*ISNUMBER(INDEX(Inputs!$K$5:$AJ$180,0,MATCH(L$2,Inputs!$K$4:$AJ$4,0))))+SUMPRODUCT((Inputs!$E$5:$E$180=$B15)*ISNUMBER(INDEX(Inputs!$K$5:$AJ$180,0,MATCH(L$2,Inputs!$K$4:$AJ$4,0))))=0,NA(),SUMPRODUCT((Inputs!$A$5:$A$180=$B15)*Inputs!$B$5:$B$180*(((Inputs!$G$5:$G$180="moeda")+(Inputs!$G$5:$G$180="acoes"))*Inputs!$B$1+((Inputs!$G$5:$G$180&lt;&gt;"moeda")*(Inputs!$G$5:$G$180&lt;&gt;"acoes")))*INDEX(Inputs!$K$5:$AJ$180,0,MATCH(L$2,Inputs!$K$4:$AJ$4,0)))+SUMPRODUCT((Inputs!$C$5:$C$180=$B15)*Inputs!$D$5:$D$180*(((Inputs!$G$5:$G$180="moeda")+(Inputs!$G$5:$G$180="acoes"))*Inputs!$B$1+((Inputs!$G$5:$G$180&lt;&gt;"moeda")*(Inputs!$G$5:$G$180&lt;&gt;"acoes")))*INDEX(Inputs!$K$5:$AJ$180,0,MATCH(L$2,Inputs!$K$4:$AJ$4,0)))+SUMPRODUCT((Inputs!$E$5:$E$180=$B15)*Inputs!$F$5:$F$180*(((Inputs!$G$5:$G$180="moeda")+(Inputs!$G$5:$G$180="acoes"))*Inputs!$B$1+((Inputs!$G$5:$G$180&lt;&gt;"moeda")*(Inputs!$G$5:$G$180&lt;&gt;"acoes")))*INDEX(Inputs!$K$5:$AJ$180,0,MATCH(L$2,Inputs!$K$4:$AJ$4,0)))))</f>
        <v>382.8671972</v>
      </c>
      <c r="M15" s="3">
        <f>L15</f>
        <v>382.8671972</v>
      </c>
      <c r="N15" s="6">
        <f>IF(ISNA(MATCH(N$2,Inputs!$K$4:$AJ$4,0)),NA(),IF(SUMPRODUCT((Inputs!$A$5:$A$180=$B15)*ISNUMBER(INDEX(Inputs!$K$5:$AJ$180,0,MATCH(N$2,Inputs!$K$4:$AJ$4,0))))+SUMPRODUCT((Inputs!$C$5:$C$180=$B15)*ISNUMBER(INDEX(Inputs!$K$5:$AJ$180,0,MATCH(N$2,Inputs!$K$4:$AJ$4,0))))+SUMPRODUCT((Inputs!$E$5:$E$180=$B15)*ISNUMBER(INDEX(Inputs!$K$5:$AJ$180,0,MATCH(N$2,Inputs!$K$4:$AJ$4,0))))=0,NA(),SUMPRODUCT((Inputs!$A$5:$A$180=$B15)*Inputs!$B$5:$B$180*(((Inputs!$G$5:$G$180="moeda")+(Inputs!$G$5:$G$180="acoes"))*Inputs!$B$1+((Inputs!$G$5:$G$180&lt;&gt;"moeda")*(Inputs!$G$5:$G$180&lt;&gt;"acoes")))*INDEX(Inputs!$K$5:$AJ$180,0,MATCH(N$2,Inputs!$K$4:$AJ$4,0)))+SUMPRODUCT((Inputs!$C$5:$C$180=$B15)*Inputs!$D$5:$D$180*(((Inputs!$G$5:$G$180="moeda")+(Inputs!$G$5:$G$180="acoes"))*Inputs!$B$1+((Inputs!$G$5:$G$180&lt;&gt;"moeda")*(Inputs!$G$5:$G$180&lt;&gt;"acoes")))*INDEX(Inputs!$K$5:$AJ$180,0,MATCH(N$2,Inputs!$K$4:$AJ$4,0)))+SUMPRODUCT((Inputs!$E$5:$E$180=$B15)*Inputs!$F$5:$F$180*(((Inputs!$G$5:$G$180="moeda")+(Inputs!$G$5:$G$180="acoes"))*Inputs!$B$1+((Inputs!$G$5:$G$180&lt;&gt;"moeda")*(Inputs!$G$5:$G$180&lt;&gt;"acoes")))*INDEX(Inputs!$K$5:$AJ$180,0,MATCH(N$2,Inputs!$K$4:$AJ$4,0)))))</f>
        <v>336.847</v>
      </c>
      <c r="O15" s="6">
        <f>IF(ISNA(MATCH(O$2,Inputs!$K$4:$AJ$4,0)),NA(),IF(SUMPRODUCT((Inputs!$A$5:$A$180=$B15)*ISNUMBER(INDEX(Inputs!$K$5:$AJ$180,0,MATCH(O$2,Inputs!$K$4:$AJ$4,0))))+SUMPRODUCT((Inputs!$C$5:$C$180=$B15)*ISNUMBER(INDEX(Inputs!$K$5:$AJ$180,0,MATCH(O$2,Inputs!$K$4:$AJ$4,0))))+SUMPRODUCT((Inputs!$E$5:$E$180=$B15)*ISNUMBER(INDEX(Inputs!$K$5:$AJ$180,0,MATCH(O$2,Inputs!$K$4:$AJ$4,0))))=0,NA(),SUMPRODUCT((Inputs!$A$5:$A$180=$B15)*Inputs!$B$5:$B$180*(((Inputs!$G$5:$G$180="moeda")+(Inputs!$G$5:$G$180="acoes"))*Inputs!$B$1+((Inputs!$G$5:$G$180&lt;&gt;"moeda")*(Inputs!$G$5:$G$180&lt;&gt;"acoes")))*INDEX(Inputs!$K$5:$AJ$180,0,MATCH(O$2,Inputs!$K$4:$AJ$4,0)))+SUMPRODUCT((Inputs!$C$5:$C$180=$B15)*Inputs!$D$5:$D$180*(((Inputs!$G$5:$G$180="moeda")+(Inputs!$G$5:$G$180="acoes"))*Inputs!$B$1+((Inputs!$G$5:$G$180&lt;&gt;"moeda")*(Inputs!$G$5:$G$180&lt;&gt;"acoes")))*INDEX(Inputs!$K$5:$AJ$180,0,MATCH(O$2,Inputs!$K$4:$AJ$4,0)))+SUMPRODUCT((Inputs!$E$5:$E$180=$B15)*Inputs!$F$5:$F$180*(((Inputs!$G$5:$G$180="moeda")+(Inputs!$G$5:$G$180="acoes"))*Inputs!$B$1+((Inputs!$G$5:$G$180&lt;&gt;"moeda")*(Inputs!$G$5:$G$180&lt;&gt;"acoes")))*INDEX(Inputs!$K$5:$AJ$180,0,MATCH(O$2,Inputs!$K$4:$AJ$4,0)))))</f>
        <v>224.56909098</v>
      </c>
      <c r="P15" s="6">
        <f>IF(ISNA(MATCH(P$2,Inputs!$K$4:$AJ$4,0)),NA(),IF(SUMPRODUCT((Inputs!$A$5:$A$180=$B15)*ISNUMBER(INDEX(Inputs!$K$5:$AJ$180,0,MATCH(P$2,Inputs!$K$4:$AJ$4,0))))+SUMPRODUCT((Inputs!$C$5:$C$180=$B15)*ISNUMBER(INDEX(Inputs!$K$5:$AJ$180,0,MATCH(P$2,Inputs!$K$4:$AJ$4,0))))+SUMPRODUCT((Inputs!$E$5:$E$180=$B15)*ISNUMBER(INDEX(Inputs!$K$5:$AJ$180,0,MATCH(P$2,Inputs!$K$4:$AJ$4,0))))=0,NA(),SUMPRODUCT((Inputs!$A$5:$A$180=$B15)*Inputs!$B$5:$B$180*(((Inputs!$G$5:$G$180="moeda")+(Inputs!$G$5:$G$180="acoes"))*Inputs!$B$1+((Inputs!$G$5:$G$180&lt;&gt;"moeda")*(Inputs!$G$5:$G$180&lt;&gt;"acoes")))*INDEX(Inputs!$K$5:$AJ$180,0,MATCH(P$2,Inputs!$K$4:$AJ$4,0)))+SUMPRODUCT((Inputs!$C$5:$C$180=$B15)*Inputs!$D$5:$D$180*(((Inputs!$G$5:$G$180="moeda")+(Inputs!$G$5:$G$180="acoes"))*Inputs!$B$1+((Inputs!$G$5:$G$180&lt;&gt;"moeda")*(Inputs!$G$5:$G$180&lt;&gt;"acoes")))*INDEX(Inputs!$K$5:$AJ$180,0,MATCH(P$2,Inputs!$K$4:$AJ$4,0)))+SUMPRODUCT((Inputs!$E$5:$E$180=$B15)*Inputs!$F$5:$F$180*(((Inputs!$G$5:$G$180="moeda")+(Inputs!$G$5:$G$180="acoes"))*Inputs!$B$1+((Inputs!$G$5:$G$180&lt;&gt;"moeda")*(Inputs!$G$5:$G$180&lt;&gt;"acoes")))*INDEX(Inputs!$K$5:$AJ$180,0,MATCH(P$2,Inputs!$K$4:$AJ$4,0)))))</f>
        <v>206.8340675</v>
      </c>
      <c r="Q15" s="6">
        <f>IF(ISNA(MATCH(Q$2,Inputs!$K$4:$AJ$4,0)),NA(),IF(SUMPRODUCT((Inputs!$A$5:$A$180=$B15)*ISNUMBER(INDEX(Inputs!$K$5:$AJ$180,0,MATCH(Q$2,Inputs!$K$4:$AJ$4,0))))+SUMPRODUCT((Inputs!$C$5:$C$180=$B15)*ISNUMBER(INDEX(Inputs!$K$5:$AJ$180,0,MATCH(Q$2,Inputs!$K$4:$AJ$4,0))))+SUMPRODUCT((Inputs!$E$5:$E$180=$B15)*ISNUMBER(INDEX(Inputs!$K$5:$AJ$180,0,MATCH(Q$2,Inputs!$K$4:$AJ$4,0))))=0,NA(),SUMPRODUCT((Inputs!$A$5:$A$180=$B15)*Inputs!$B$5:$B$180*(((Inputs!$G$5:$G$180="moeda")+(Inputs!$G$5:$G$180="acoes"))*Inputs!$B$1+((Inputs!$G$5:$G$180&lt;&gt;"moeda")*(Inputs!$G$5:$G$180&lt;&gt;"acoes")))*INDEX(Inputs!$K$5:$AJ$180,0,MATCH(Q$2,Inputs!$K$4:$AJ$4,0)))+SUMPRODUCT((Inputs!$C$5:$C$180=$B15)*Inputs!$D$5:$D$180*(((Inputs!$G$5:$G$180="moeda")+(Inputs!$G$5:$G$180="acoes"))*Inputs!$B$1+((Inputs!$G$5:$G$180&lt;&gt;"moeda")*(Inputs!$G$5:$G$180&lt;&gt;"acoes")))*INDEX(Inputs!$K$5:$AJ$180,0,MATCH(Q$2,Inputs!$K$4:$AJ$4,0)))+SUMPRODUCT((Inputs!$E$5:$E$180=$B15)*Inputs!$F$5:$F$180*(((Inputs!$G$5:$G$180="moeda")+(Inputs!$G$5:$G$180="acoes"))*Inputs!$B$1+((Inputs!$G$5:$G$180&lt;&gt;"moeda")*(Inputs!$G$5:$G$180&lt;&gt;"acoes")))*INDEX(Inputs!$K$5:$AJ$180,0,MATCH(Q$2,Inputs!$K$4:$AJ$4,0)))))</f>
        <v>304.48973387</v>
      </c>
      <c r="R15" s="3">
        <f>Q15</f>
        <v>304.48973387</v>
      </c>
      <c r="S15" s="6">
        <f>IF(ISNA(MATCH(S$2,Inputs!$K$4:$AJ$4,0)),NA(),IF(SUMPRODUCT((Inputs!$A$5:$A$180=$B15)*ISNUMBER(INDEX(Inputs!$K$5:$AJ$180,0,MATCH(S$2,Inputs!$K$4:$AJ$4,0))))+SUMPRODUCT((Inputs!$C$5:$C$180=$B15)*ISNUMBER(INDEX(Inputs!$K$5:$AJ$180,0,MATCH(S$2,Inputs!$K$4:$AJ$4,0))))+SUMPRODUCT((Inputs!$E$5:$E$180=$B15)*ISNUMBER(INDEX(Inputs!$K$5:$AJ$180,0,MATCH(S$2,Inputs!$K$4:$AJ$4,0))))=0,NA(),SUMPRODUCT((Inputs!$A$5:$A$180=$B15)*Inputs!$B$5:$B$180*(((Inputs!$G$5:$G$180="moeda")+(Inputs!$G$5:$G$180="acoes"))*Inputs!$B$1+((Inputs!$G$5:$G$180&lt;&gt;"moeda")*(Inputs!$G$5:$G$180&lt;&gt;"acoes")))*INDEX(Inputs!$K$5:$AJ$180,0,MATCH(S$2,Inputs!$K$4:$AJ$4,0)))+SUMPRODUCT((Inputs!$C$5:$C$180=$B15)*Inputs!$D$5:$D$180*(((Inputs!$G$5:$G$180="moeda")+(Inputs!$G$5:$G$180="acoes"))*Inputs!$B$1+((Inputs!$G$5:$G$180&lt;&gt;"moeda")*(Inputs!$G$5:$G$180&lt;&gt;"acoes")))*INDEX(Inputs!$K$5:$AJ$180,0,MATCH(S$2,Inputs!$K$4:$AJ$4,0)))+SUMPRODUCT((Inputs!$E$5:$E$180=$B15)*Inputs!$F$5:$F$180*(((Inputs!$G$5:$G$180="moeda")+(Inputs!$G$5:$G$180="acoes"))*Inputs!$B$1+((Inputs!$G$5:$G$180&lt;&gt;"moeda")*(Inputs!$G$5:$G$180&lt;&gt;"acoes")))*INDEX(Inputs!$K$5:$AJ$180,0,MATCH(S$2,Inputs!$K$4:$AJ$4,0)))))</f>
        <v>365.48766283</v>
      </c>
      <c r="T15" s="6">
        <f>IF(ISNA(MATCH(T$2,Inputs!$K$4:$AJ$4,0)),NA(),IF(SUMPRODUCT((Inputs!$A$5:$A$180=$B15)*ISNUMBER(INDEX(Inputs!$K$5:$AJ$180,0,MATCH(T$2,Inputs!$K$4:$AJ$4,0))))+SUMPRODUCT((Inputs!$C$5:$C$180=$B15)*ISNUMBER(INDEX(Inputs!$K$5:$AJ$180,0,MATCH(T$2,Inputs!$K$4:$AJ$4,0))))+SUMPRODUCT((Inputs!$E$5:$E$180=$B15)*ISNUMBER(INDEX(Inputs!$K$5:$AJ$180,0,MATCH(T$2,Inputs!$K$4:$AJ$4,0))))=0,NA(),SUMPRODUCT((Inputs!$A$5:$A$180=$B15)*Inputs!$B$5:$B$180*(((Inputs!$G$5:$G$180="moeda")+(Inputs!$G$5:$G$180="acoes"))*Inputs!$B$1+((Inputs!$G$5:$G$180&lt;&gt;"moeda")*(Inputs!$G$5:$G$180&lt;&gt;"acoes")))*INDEX(Inputs!$K$5:$AJ$180,0,MATCH(T$2,Inputs!$K$4:$AJ$4,0)))+SUMPRODUCT((Inputs!$C$5:$C$180=$B15)*Inputs!$D$5:$D$180*(((Inputs!$G$5:$G$180="moeda")+(Inputs!$G$5:$G$180="acoes"))*Inputs!$B$1+((Inputs!$G$5:$G$180&lt;&gt;"moeda")*(Inputs!$G$5:$G$180&lt;&gt;"acoes")))*INDEX(Inputs!$K$5:$AJ$180,0,MATCH(T$2,Inputs!$K$4:$AJ$4,0)))+SUMPRODUCT((Inputs!$E$5:$E$180=$B15)*Inputs!$F$5:$F$180*(((Inputs!$G$5:$G$180="moeda")+(Inputs!$G$5:$G$180="acoes"))*Inputs!$B$1+((Inputs!$G$5:$G$180&lt;&gt;"moeda")*(Inputs!$G$5:$G$180&lt;&gt;"acoes")))*INDEX(Inputs!$K$5:$AJ$180,0,MATCH(T$2,Inputs!$K$4:$AJ$4,0)))))</f>
        <v>341.860267214769</v>
      </c>
      <c r="U15" s="6">
        <f>IF(ISNA(MATCH(U$2,Inputs!$K$4:$AJ$4,0)),NA(),IF(SUMPRODUCT((Inputs!$A$5:$A$180=$B15)*ISNUMBER(INDEX(Inputs!$K$5:$AJ$180,0,MATCH(U$2,Inputs!$K$4:$AJ$4,0))))+SUMPRODUCT((Inputs!$C$5:$C$180=$B15)*ISNUMBER(INDEX(Inputs!$K$5:$AJ$180,0,MATCH(U$2,Inputs!$K$4:$AJ$4,0))))+SUMPRODUCT((Inputs!$E$5:$E$180=$B15)*ISNUMBER(INDEX(Inputs!$K$5:$AJ$180,0,MATCH(U$2,Inputs!$K$4:$AJ$4,0))))=0,NA(),SUMPRODUCT((Inputs!$A$5:$A$180=$B15)*Inputs!$B$5:$B$180*(((Inputs!$G$5:$G$180="moeda")+(Inputs!$G$5:$G$180="acoes"))*Inputs!$B$1+((Inputs!$G$5:$G$180&lt;&gt;"moeda")*(Inputs!$G$5:$G$180&lt;&gt;"acoes")))*INDEX(Inputs!$K$5:$AJ$180,0,MATCH(U$2,Inputs!$K$4:$AJ$4,0)))+SUMPRODUCT((Inputs!$C$5:$C$180=$B15)*Inputs!$D$5:$D$180*(((Inputs!$G$5:$G$180="moeda")+(Inputs!$G$5:$G$180="acoes"))*Inputs!$B$1+((Inputs!$G$5:$G$180&lt;&gt;"moeda")*(Inputs!$G$5:$G$180&lt;&gt;"acoes")))*INDEX(Inputs!$K$5:$AJ$180,0,MATCH(U$2,Inputs!$K$4:$AJ$4,0)))+SUMPRODUCT((Inputs!$E$5:$E$180=$B15)*Inputs!$F$5:$F$180*(((Inputs!$G$5:$G$180="moeda")+(Inputs!$G$5:$G$180="acoes"))*Inputs!$B$1+((Inputs!$G$5:$G$180&lt;&gt;"moeda")*(Inputs!$G$5:$G$180&lt;&gt;"acoes")))*INDEX(Inputs!$K$5:$AJ$180,0,MATCH(U$2,Inputs!$K$4:$AJ$4,0)))))</f>
        <v>314.05727863</v>
      </c>
      <c r="V15" s="6">
        <f>IF(ISNA(MATCH(V$2,Inputs!$K$4:$AJ$4,0)),NA(),IF(SUMPRODUCT((Inputs!$A$5:$A$180=$B15)*ISNUMBER(INDEX(Inputs!$K$5:$AJ$180,0,MATCH(V$2,Inputs!$K$4:$AJ$4,0))))+SUMPRODUCT((Inputs!$C$5:$C$180=$B15)*ISNUMBER(INDEX(Inputs!$K$5:$AJ$180,0,MATCH(V$2,Inputs!$K$4:$AJ$4,0))))+SUMPRODUCT((Inputs!$E$5:$E$180=$B15)*ISNUMBER(INDEX(Inputs!$K$5:$AJ$180,0,MATCH(V$2,Inputs!$K$4:$AJ$4,0))))=0,NA(),SUMPRODUCT((Inputs!$A$5:$A$180=$B15)*Inputs!$B$5:$B$180*(((Inputs!$G$5:$G$180="moeda")+(Inputs!$G$5:$G$180="acoes"))*Inputs!$B$1+((Inputs!$G$5:$G$180&lt;&gt;"moeda")*(Inputs!$G$5:$G$180&lt;&gt;"acoes")))*INDEX(Inputs!$K$5:$AJ$180,0,MATCH(V$2,Inputs!$K$4:$AJ$4,0)))+SUMPRODUCT((Inputs!$C$5:$C$180=$B15)*Inputs!$D$5:$D$180*(((Inputs!$G$5:$G$180="moeda")+(Inputs!$G$5:$G$180="acoes"))*Inputs!$B$1+((Inputs!$G$5:$G$180&lt;&gt;"moeda")*(Inputs!$G$5:$G$180&lt;&gt;"acoes")))*INDEX(Inputs!$K$5:$AJ$180,0,MATCH(V$2,Inputs!$K$4:$AJ$4,0)))+SUMPRODUCT((Inputs!$E$5:$E$180=$B15)*Inputs!$F$5:$F$180*(((Inputs!$G$5:$G$180="moeda")+(Inputs!$G$5:$G$180="acoes"))*Inputs!$B$1+((Inputs!$G$5:$G$180&lt;&gt;"moeda")*(Inputs!$G$5:$G$180&lt;&gt;"acoes")))*INDEX(Inputs!$K$5:$AJ$180,0,MATCH(V$2,Inputs!$K$4:$AJ$4,0)))))</f>
        <v>282.68306407</v>
      </c>
      <c r="W15" s="3">
        <f>V15</f>
        <v>282.68306407</v>
      </c>
      <c r="X15" s="6">
        <f>IF(ISNA(MATCH(X$2,Inputs!$K$4:$AJ$4,0)),NA(),IF(SUMPRODUCT((Inputs!$A$5:$A$180=$B15)*ISNUMBER(INDEX(Inputs!$K$5:$AJ$180,0,MATCH(X$2,Inputs!$K$4:$AJ$4,0))))+SUMPRODUCT((Inputs!$C$5:$C$180=$B15)*ISNUMBER(INDEX(Inputs!$K$5:$AJ$180,0,MATCH(X$2,Inputs!$K$4:$AJ$4,0))))+SUMPRODUCT((Inputs!$E$5:$E$180=$B15)*ISNUMBER(INDEX(Inputs!$K$5:$AJ$180,0,MATCH(X$2,Inputs!$K$4:$AJ$4,0))))=0,NA(),SUMPRODUCT((Inputs!$A$5:$A$180=$B15)*Inputs!$B$5:$B$180*(((Inputs!$G$5:$G$180="moeda")+(Inputs!$G$5:$G$180="acoes"))*Inputs!$B$1+((Inputs!$G$5:$G$180&lt;&gt;"moeda")*(Inputs!$G$5:$G$180&lt;&gt;"acoes")))*INDEX(Inputs!$K$5:$AJ$180,0,MATCH(X$2,Inputs!$K$4:$AJ$4,0)))+SUMPRODUCT((Inputs!$C$5:$C$180=$B15)*Inputs!$D$5:$D$180*(((Inputs!$G$5:$G$180="moeda")+(Inputs!$G$5:$G$180="acoes"))*Inputs!$B$1+((Inputs!$G$5:$G$180&lt;&gt;"moeda")*(Inputs!$G$5:$G$180&lt;&gt;"acoes")))*INDEX(Inputs!$K$5:$AJ$180,0,MATCH(X$2,Inputs!$K$4:$AJ$4,0)))+SUMPRODUCT((Inputs!$E$5:$E$180=$B15)*Inputs!$F$5:$F$180*(((Inputs!$G$5:$G$180="moeda")+(Inputs!$G$5:$G$180="acoes"))*Inputs!$B$1+((Inputs!$G$5:$G$180&lt;&gt;"moeda")*(Inputs!$G$5:$G$180&lt;&gt;"acoes")))*INDEX(Inputs!$K$5:$AJ$180,0,MATCH(X$2,Inputs!$K$4:$AJ$4,0)))))</f>
        <v>177.07779591</v>
      </c>
      <c r="Y15" s="6">
        <f>IF(ISNA(MATCH(Y$2,Inputs!$K$4:$AJ$4,0)),NA(),IF(SUMPRODUCT((Inputs!$A$5:$A$180=$B15)*ISNUMBER(INDEX(Inputs!$K$5:$AJ$180,0,MATCH(Y$2,Inputs!$K$4:$AJ$4,0))))+SUMPRODUCT((Inputs!$C$5:$C$180=$B15)*ISNUMBER(INDEX(Inputs!$K$5:$AJ$180,0,MATCH(Y$2,Inputs!$K$4:$AJ$4,0))))+SUMPRODUCT((Inputs!$E$5:$E$180=$B15)*ISNUMBER(INDEX(Inputs!$K$5:$AJ$180,0,MATCH(Y$2,Inputs!$K$4:$AJ$4,0))))=0,NA(),SUMPRODUCT((Inputs!$A$5:$A$180=$B15)*Inputs!$B$5:$B$180*(((Inputs!$G$5:$G$180="moeda")+(Inputs!$G$5:$G$180="acoes"))*Inputs!$B$1+((Inputs!$G$5:$G$180&lt;&gt;"moeda")*(Inputs!$G$5:$G$180&lt;&gt;"acoes")))*INDEX(Inputs!$K$5:$AJ$180,0,MATCH(Y$2,Inputs!$K$4:$AJ$4,0)))+SUMPRODUCT((Inputs!$C$5:$C$180=$B15)*Inputs!$D$5:$D$180*(((Inputs!$G$5:$G$180="moeda")+(Inputs!$G$5:$G$180="acoes"))*Inputs!$B$1+((Inputs!$G$5:$G$180&lt;&gt;"moeda")*(Inputs!$G$5:$G$180&lt;&gt;"acoes")))*INDEX(Inputs!$K$5:$AJ$180,0,MATCH(Y$2,Inputs!$K$4:$AJ$4,0)))+SUMPRODUCT((Inputs!$E$5:$E$180=$B15)*Inputs!$F$5:$F$180*(((Inputs!$G$5:$G$180="moeda")+(Inputs!$G$5:$G$180="acoes"))*Inputs!$B$1+((Inputs!$G$5:$G$180&lt;&gt;"moeda")*(Inputs!$G$5:$G$180&lt;&gt;"acoes")))*INDEX(Inputs!$K$5:$AJ$180,0,MATCH(Y$2,Inputs!$K$4:$AJ$4,0)))))</f>
        <v>186.08527754</v>
      </c>
      <c r="Z15" s="6">
        <f>IF(ISNA(MATCH(Z$2,Inputs!$K$4:$AJ$4,0)),NA(),IF(SUMPRODUCT((Inputs!$A$5:$A$180=$B15)*ISNUMBER(INDEX(Inputs!$K$5:$AJ$180,0,MATCH(Z$2,Inputs!$K$4:$AJ$4,0))))+SUMPRODUCT((Inputs!$C$5:$C$180=$B15)*ISNUMBER(INDEX(Inputs!$K$5:$AJ$180,0,MATCH(Z$2,Inputs!$K$4:$AJ$4,0))))+SUMPRODUCT((Inputs!$E$5:$E$180=$B15)*ISNUMBER(INDEX(Inputs!$K$5:$AJ$180,0,MATCH(Z$2,Inputs!$K$4:$AJ$4,0))))=0,NA(),SUMPRODUCT((Inputs!$A$5:$A$180=$B15)*Inputs!$B$5:$B$180*(((Inputs!$G$5:$G$180="moeda")+(Inputs!$G$5:$G$180="acoes"))*Inputs!$B$1+((Inputs!$G$5:$G$180&lt;&gt;"moeda")*(Inputs!$G$5:$G$180&lt;&gt;"acoes")))*INDEX(Inputs!$K$5:$AJ$180,0,MATCH(Z$2,Inputs!$K$4:$AJ$4,0)))+SUMPRODUCT((Inputs!$C$5:$C$180=$B15)*Inputs!$D$5:$D$180*(((Inputs!$G$5:$G$180="moeda")+(Inputs!$G$5:$G$180="acoes"))*Inputs!$B$1+((Inputs!$G$5:$G$180&lt;&gt;"moeda")*(Inputs!$G$5:$G$180&lt;&gt;"acoes")))*INDEX(Inputs!$K$5:$AJ$180,0,MATCH(Z$2,Inputs!$K$4:$AJ$4,0)))+SUMPRODUCT((Inputs!$E$5:$E$180=$B15)*Inputs!$F$5:$F$180*(((Inputs!$G$5:$G$180="moeda")+(Inputs!$G$5:$G$180="acoes"))*Inputs!$B$1+((Inputs!$G$5:$G$180&lt;&gt;"moeda")*(Inputs!$G$5:$G$180&lt;&gt;"acoes")))*INDEX(Inputs!$K$5:$AJ$180,0,MATCH(Z$2,Inputs!$K$4:$AJ$4,0)))))</f>
        <v>234.363</v>
      </c>
      <c r="AA15" s="6">
        <f>IF(ISNA(MATCH(AA$2,Inputs!$K$4:$AJ$4,0)),NA(),IF(SUMPRODUCT((Inputs!$A$5:$A$180=$B15)*ISNUMBER(INDEX(Inputs!$K$5:$AJ$180,0,MATCH(AA$2,Inputs!$K$4:$AJ$4,0))))+SUMPRODUCT((Inputs!$C$5:$C$180=$B15)*ISNUMBER(INDEX(Inputs!$K$5:$AJ$180,0,MATCH(AA$2,Inputs!$K$4:$AJ$4,0))))+SUMPRODUCT((Inputs!$E$5:$E$180=$B15)*ISNUMBER(INDEX(Inputs!$K$5:$AJ$180,0,MATCH(AA$2,Inputs!$K$4:$AJ$4,0))))=0,NA(),SUMPRODUCT((Inputs!$A$5:$A$180=$B15)*Inputs!$B$5:$B$180*(((Inputs!$G$5:$G$180="moeda")+(Inputs!$G$5:$G$180="acoes"))*Inputs!$B$1+((Inputs!$G$5:$G$180&lt;&gt;"moeda")*(Inputs!$G$5:$G$180&lt;&gt;"acoes")))*INDEX(Inputs!$K$5:$AJ$180,0,MATCH(AA$2,Inputs!$K$4:$AJ$4,0)))+SUMPRODUCT((Inputs!$C$5:$C$180=$B15)*Inputs!$D$5:$D$180*(((Inputs!$G$5:$G$180="moeda")+(Inputs!$G$5:$G$180="acoes"))*Inputs!$B$1+((Inputs!$G$5:$G$180&lt;&gt;"moeda")*(Inputs!$G$5:$G$180&lt;&gt;"acoes")))*INDEX(Inputs!$K$5:$AJ$180,0,MATCH(AA$2,Inputs!$K$4:$AJ$4,0)))+SUMPRODUCT((Inputs!$E$5:$E$180=$B15)*Inputs!$F$5:$F$180*(((Inputs!$G$5:$G$180="moeda")+(Inputs!$G$5:$G$180="acoes"))*Inputs!$B$1+((Inputs!$G$5:$G$180&lt;&gt;"moeda")*(Inputs!$G$5:$G$180&lt;&gt;"acoes")))*INDEX(Inputs!$K$5:$AJ$180,0,MATCH(AA$2,Inputs!$K$4:$AJ$4,0)))))</f>
        <v>398.64423187</v>
      </c>
      <c r="AB15" s="3">
        <f>AA15</f>
        <v>398.64423187</v>
      </c>
      <c r="AC15" s="6">
        <f>IF(ISNA(MATCH(AC$2,Inputs!$K$4:$AJ$4,0)),NA(),IF(SUMPRODUCT((Inputs!$A$5:$A$180=$B15)*ISNUMBER(INDEX(Inputs!$K$5:$AJ$180,0,MATCH(AC$2,Inputs!$K$4:$AJ$4,0))))+SUMPRODUCT((Inputs!$C$5:$C$180=$B15)*ISNUMBER(INDEX(Inputs!$K$5:$AJ$180,0,MATCH(AC$2,Inputs!$K$4:$AJ$4,0))))+SUMPRODUCT((Inputs!$E$5:$E$180=$B15)*ISNUMBER(INDEX(Inputs!$K$5:$AJ$180,0,MATCH(AC$2,Inputs!$K$4:$AJ$4,0))))=0,NA(),SUMPRODUCT((Inputs!$A$5:$A$180=$B15)*Inputs!$B$5:$B$180*(((Inputs!$G$5:$G$180="moeda")+(Inputs!$G$5:$G$180="acoes"))*Inputs!$B$1+((Inputs!$G$5:$G$180&lt;&gt;"moeda")*(Inputs!$G$5:$G$180&lt;&gt;"acoes")))*INDEX(Inputs!$K$5:$AJ$180,0,MATCH(AC$2,Inputs!$K$4:$AJ$4,0)))+SUMPRODUCT((Inputs!$C$5:$C$180=$B15)*Inputs!$D$5:$D$180*(((Inputs!$G$5:$G$180="moeda")+(Inputs!$G$5:$G$180="acoes"))*Inputs!$B$1+((Inputs!$G$5:$G$180&lt;&gt;"moeda")*(Inputs!$G$5:$G$180&lt;&gt;"acoes")))*INDEX(Inputs!$K$5:$AJ$180,0,MATCH(AC$2,Inputs!$K$4:$AJ$4,0)))+SUMPRODUCT((Inputs!$E$5:$E$180=$B15)*Inputs!$F$5:$F$180*(((Inputs!$G$5:$G$180="moeda")+(Inputs!$G$5:$G$180="acoes"))*Inputs!$B$1+((Inputs!$G$5:$G$180&lt;&gt;"moeda")*(Inputs!$G$5:$G$180&lt;&gt;"acoes")))*INDEX(Inputs!$K$5:$AJ$180,0,MATCH(AC$2,Inputs!$K$4:$AJ$4,0)))))</f>
        <v>308.47368287</v>
      </c>
      <c r="AD15" s="6">
        <f>IF(ISNA(MATCH(AD$2,Inputs!$K$4:$AJ$4,0)),NA(),IF(SUMPRODUCT((Inputs!$A$5:$A$180=$B15)*ISNUMBER(INDEX(Inputs!$K$5:$AJ$180,0,MATCH(AD$2,Inputs!$K$4:$AJ$4,0))))+SUMPRODUCT((Inputs!$C$5:$C$180=$B15)*ISNUMBER(INDEX(Inputs!$K$5:$AJ$180,0,MATCH(AD$2,Inputs!$K$4:$AJ$4,0))))+SUMPRODUCT((Inputs!$E$5:$E$180=$B15)*ISNUMBER(INDEX(Inputs!$K$5:$AJ$180,0,MATCH(AD$2,Inputs!$K$4:$AJ$4,0))))=0,NA(),SUMPRODUCT((Inputs!$A$5:$A$180=$B15)*Inputs!$B$5:$B$180*(((Inputs!$G$5:$G$180="moeda")+(Inputs!$G$5:$G$180="acoes"))*Inputs!$B$1+((Inputs!$G$5:$G$180&lt;&gt;"moeda")*(Inputs!$G$5:$G$180&lt;&gt;"acoes")))*INDEX(Inputs!$K$5:$AJ$180,0,MATCH(AD$2,Inputs!$K$4:$AJ$4,0)))+SUMPRODUCT((Inputs!$C$5:$C$180=$B15)*Inputs!$D$5:$D$180*(((Inputs!$G$5:$G$180="moeda")+(Inputs!$G$5:$G$180="acoes"))*Inputs!$B$1+((Inputs!$G$5:$G$180&lt;&gt;"moeda")*(Inputs!$G$5:$G$180&lt;&gt;"acoes")))*INDEX(Inputs!$K$5:$AJ$180,0,MATCH(AD$2,Inputs!$K$4:$AJ$4,0)))+SUMPRODUCT((Inputs!$E$5:$E$180=$B15)*Inputs!$F$5:$F$180*(((Inputs!$G$5:$G$180="moeda")+(Inputs!$G$5:$G$180="acoes"))*Inputs!$B$1+((Inputs!$G$5:$G$180&lt;&gt;"moeda")*(Inputs!$G$5:$G$180&lt;&gt;"acoes")))*INDEX(Inputs!$K$5:$AJ$180,0,MATCH(AD$2,Inputs!$K$4:$AJ$4,0)))))</f>
        <v>416.65922804</v>
      </c>
      <c r="AE15" s="6" t="e">
        <f>IF(ISNA(MATCH(AE$2,Inputs!$K$4:$AJ$4,0)),NA(),IF(SUMPRODUCT((Inputs!$A$5:$A$180=$B15)*ISNUMBER(INDEX(Inputs!$K$5:$AJ$180,0,MATCH(AE$2,Inputs!$K$4:$AJ$4,0))))+SUMPRODUCT((Inputs!$C$5:$C$180=$B15)*ISNUMBER(INDEX(Inputs!$K$5:$AJ$180,0,MATCH(AE$2,Inputs!$K$4:$AJ$4,0))))+SUMPRODUCT((Inputs!$E$5:$E$180=$B15)*ISNUMBER(INDEX(Inputs!$K$5:$AJ$180,0,MATCH(AE$2,Inputs!$K$4:$AJ$4,0))))=0,NA(),SUMPRODUCT((Inputs!$A$5:$A$180=$B15)*Inputs!$B$5:$B$180*(((Inputs!$G$5:$G$180="moeda")+(Inputs!$G$5:$G$180="acoes"))*Inputs!$B$1+((Inputs!$G$5:$G$180&lt;&gt;"moeda")*(Inputs!$G$5:$G$180&lt;&gt;"acoes")))*INDEX(Inputs!$K$5:$AJ$180,0,MATCH(AE$2,Inputs!$K$4:$AJ$4,0)))+SUMPRODUCT((Inputs!$C$5:$C$180=$B15)*Inputs!$D$5:$D$180*(((Inputs!$G$5:$G$180="moeda")+(Inputs!$G$5:$G$180="acoes"))*Inputs!$B$1+((Inputs!$G$5:$G$180&lt;&gt;"moeda")*(Inputs!$G$5:$G$180&lt;&gt;"acoes")))*INDEX(Inputs!$K$5:$AJ$180,0,MATCH(AE$2,Inputs!$K$4:$AJ$4,0)))+SUMPRODUCT((Inputs!$E$5:$E$180=$B15)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5" s="6" t="e">
        <f>IF(ISNA(MATCH(AF$2,Inputs!$K$4:$AJ$4,0)),NA(),IF(SUMPRODUCT((Inputs!$A$5:$A$180=$B15)*ISNUMBER(INDEX(Inputs!$K$5:$AJ$180,0,MATCH(AF$2,Inputs!$K$4:$AJ$4,0))))+SUMPRODUCT((Inputs!$C$5:$C$180=$B15)*ISNUMBER(INDEX(Inputs!$K$5:$AJ$180,0,MATCH(AF$2,Inputs!$K$4:$AJ$4,0))))+SUMPRODUCT((Inputs!$E$5:$E$180=$B15)*ISNUMBER(INDEX(Inputs!$K$5:$AJ$180,0,MATCH(AF$2,Inputs!$K$4:$AJ$4,0))))=0,NA(),SUMPRODUCT((Inputs!$A$5:$A$180=$B15)*Inputs!$B$5:$B$180*(((Inputs!$G$5:$G$180="moeda")+(Inputs!$G$5:$G$180="acoes"))*Inputs!$B$1+((Inputs!$G$5:$G$180&lt;&gt;"moeda")*(Inputs!$G$5:$G$180&lt;&gt;"acoes")))*INDEX(Inputs!$K$5:$AJ$180,0,MATCH(AF$2,Inputs!$K$4:$AJ$4,0)))+SUMPRODUCT((Inputs!$C$5:$C$180=$B15)*Inputs!$D$5:$D$180*(((Inputs!$G$5:$G$180="moeda")+(Inputs!$G$5:$G$180="acoes"))*Inputs!$B$1+((Inputs!$G$5:$G$180&lt;&gt;"moeda")*(Inputs!$G$5:$G$180&lt;&gt;"acoes")))*INDEX(Inputs!$K$5:$AJ$180,0,MATCH(AF$2,Inputs!$K$4:$AJ$4,0)))+SUMPRODUCT((Inputs!$E$5:$E$180=$B15)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5" s="3" t="e">
        <f>AF15</f>
        <v>#N/A</v>
      </c>
      <c r="AH15" s="6">
        <f>IF(ISNA(MATCH(AH$2,Inputs!$K$4:$AJ$4,0)),NA(),IF(SUMPRODUCT((Inputs!$A$5:$A$180=$B15)*ISNUMBER(INDEX(Inputs!$K$5:$AJ$180,0,MATCH(AH$2,Inputs!$K$4:$AJ$4,0))))+SUMPRODUCT((Inputs!$C$5:$C$180=$B15)*ISNUMBER(INDEX(Inputs!$K$5:$AJ$180,0,MATCH(AH$2,Inputs!$K$4:$AJ$4,0))))+SUMPRODUCT((Inputs!$E$5:$E$180=$B15)*ISNUMBER(INDEX(Inputs!$K$5:$AJ$180,0,MATCH(AH$2,Inputs!$K$4:$AJ$4,0))))=0,NA(),SUMPRODUCT((Inputs!$A$5:$A$180=$B15)*Inputs!$B$5:$B$180*(((Inputs!$G$5:$G$180="moeda")+(Inputs!$G$5:$G$180="acoes"))*Inputs!$B$1+((Inputs!$G$5:$G$180&lt;&gt;"moeda")*(Inputs!$G$5:$G$180&lt;&gt;"acoes")))*INDEX(Inputs!$K$5:$AJ$180,0,MATCH(AH$2,Inputs!$K$4:$AJ$4,0)))+SUMPRODUCT((Inputs!$C$5:$C$180=$B15)*Inputs!$D$5:$D$180*(((Inputs!$G$5:$G$180="moeda")+(Inputs!$G$5:$G$180="acoes"))*Inputs!$B$1+((Inputs!$G$5:$G$180&lt;&gt;"moeda")*(Inputs!$G$5:$G$180&lt;&gt;"acoes")))*INDEX(Inputs!$K$5:$AJ$180,0,MATCH(AH$2,Inputs!$K$4:$AJ$4,0)))+SUMPRODUCT((Inputs!$E$5:$E$180=$B15)*Inputs!$F$5:$F$180*(((Inputs!$G$5:$G$180="moeda")+(Inputs!$G$5:$G$180="acoes"))*Inputs!$B$1+((Inputs!$G$5:$G$180&lt;&gt;"moeda")*(Inputs!$G$5:$G$180&lt;&gt;"acoes")))*INDEX(Inputs!$K$5:$AJ$180,0,MATCH(AH$2,Inputs!$K$4:$AJ$4,0)))))</f>
        <v>472.789</v>
      </c>
      <c r="AI15" s="6">
        <f>IF(ISNA(MATCH(AI$2,Inputs!$K$4:$AJ$4,0)),NA(),IF(SUMPRODUCT((Inputs!$A$5:$A$180=$B15)*ISNUMBER(INDEX(Inputs!$K$5:$AJ$180,0,MATCH(AI$2,Inputs!$K$4:$AJ$4,0))))+SUMPRODUCT((Inputs!$C$5:$C$180=$B15)*ISNUMBER(INDEX(Inputs!$K$5:$AJ$180,0,MATCH(AI$2,Inputs!$K$4:$AJ$4,0))))+SUMPRODUCT((Inputs!$E$5:$E$180=$B15)*ISNUMBER(INDEX(Inputs!$K$5:$AJ$180,0,MATCH(AI$2,Inputs!$K$4:$AJ$4,0))))=0,NA(),SUMPRODUCT((Inputs!$A$5:$A$180=$B15)*Inputs!$B$5:$B$180*(((Inputs!$G$5:$G$180="moeda")+(Inputs!$G$5:$G$180="acoes"))*Inputs!$B$1+((Inputs!$G$5:$G$180&lt;&gt;"moeda")*(Inputs!$G$5:$G$180&lt;&gt;"acoes")))*INDEX(Inputs!$K$5:$AJ$180,0,MATCH(AI$2,Inputs!$K$4:$AJ$4,0)))+SUMPRODUCT((Inputs!$C$5:$C$180=$B15)*Inputs!$D$5:$D$180*(((Inputs!$G$5:$G$180="moeda")+(Inputs!$G$5:$G$180="acoes"))*Inputs!$B$1+((Inputs!$G$5:$G$180&lt;&gt;"moeda")*(Inputs!$G$5:$G$180&lt;&gt;"acoes")))*INDEX(Inputs!$K$5:$AJ$180,0,MATCH(AI$2,Inputs!$K$4:$AJ$4,0)))+SUMPRODUCT((Inputs!$E$5:$E$180=$B15)*Inputs!$F$5:$F$180*(((Inputs!$G$5:$G$180="moeda")+(Inputs!$G$5:$G$180="acoes"))*Inputs!$B$1+((Inputs!$G$5:$G$180&lt;&gt;"moeda")*(Inputs!$G$5:$G$180&lt;&gt;"acoes")))*INDEX(Inputs!$K$5:$AJ$180,0,MATCH(AI$2,Inputs!$K$4:$AJ$4,0)))))</f>
        <v>584.67889157</v>
      </c>
      <c r="AJ15" s="6">
        <f>IF(ISNA(MATCH(AJ$2,Inputs!$K$4:$AJ$4,0)),NA(),IF(SUMPRODUCT((Inputs!$A$5:$A$180=$B15)*ISNUMBER(INDEX(Inputs!$K$5:$AJ$180,0,MATCH(AJ$2,Inputs!$K$4:$AJ$4,0))))+SUMPRODUCT((Inputs!$C$5:$C$180=$B15)*ISNUMBER(INDEX(Inputs!$K$5:$AJ$180,0,MATCH(AJ$2,Inputs!$K$4:$AJ$4,0))))+SUMPRODUCT((Inputs!$E$5:$E$180=$B15)*ISNUMBER(INDEX(Inputs!$K$5:$AJ$180,0,MATCH(AJ$2,Inputs!$K$4:$AJ$4,0))))=0,NA(),SUMPRODUCT((Inputs!$A$5:$A$180=$B15)*Inputs!$B$5:$B$180*(((Inputs!$G$5:$G$180="moeda")+(Inputs!$G$5:$G$180="acoes"))*Inputs!$B$1+((Inputs!$G$5:$G$180&lt;&gt;"moeda")*(Inputs!$G$5:$G$180&lt;&gt;"acoes")))*INDEX(Inputs!$K$5:$AJ$180,0,MATCH(AJ$2,Inputs!$K$4:$AJ$4,0)))+SUMPRODUCT((Inputs!$C$5:$C$180=$B15)*Inputs!$D$5:$D$180*(((Inputs!$G$5:$G$180="moeda")+(Inputs!$G$5:$G$180="acoes"))*Inputs!$B$1+((Inputs!$G$5:$G$180&lt;&gt;"moeda")*(Inputs!$G$5:$G$180&lt;&gt;"acoes")))*INDEX(Inputs!$K$5:$AJ$180,0,MATCH(AJ$2,Inputs!$K$4:$AJ$4,0)))+SUMPRODUCT((Inputs!$E$5:$E$180=$B15)*Inputs!$F$5:$F$180*(((Inputs!$G$5:$G$180="moeda")+(Inputs!$G$5:$G$180="acoes"))*Inputs!$B$1+((Inputs!$G$5:$G$180&lt;&gt;"moeda")*(Inputs!$G$5:$G$180&lt;&gt;"acoes")))*INDEX(Inputs!$K$5:$AJ$180,0,MATCH(AJ$2,Inputs!$K$4:$AJ$4,0)))))</f>
        <v>612.2453311</v>
      </c>
      <c r="AK15" s="6">
        <f>IF(ISNA(MATCH(AK$2,Inputs!$K$4:$AJ$4,0)),NA(),IF(SUMPRODUCT((Inputs!$A$5:$A$180=$B15)*ISNUMBER(INDEX(Inputs!$K$5:$AJ$180,0,MATCH(AK$2,Inputs!$K$4:$AJ$4,0))))+SUMPRODUCT((Inputs!$C$5:$C$180=$B15)*ISNUMBER(INDEX(Inputs!$K$5:$AJ$180,0,MATCH(AK$2,Inputs!$K$4:$AJ$4,0))))+SUMPRODUCT((Inputs!$E$5:$E$180=$B15)*ISNUMBER(INDEX(Inputs!$K$5:$AJ$180,0,MATCH(AK$2,Inputs!$K$4:$AJ$4,0))))=0,NA(),SUMPRODUCT((Inputs!$A$5:$A$180=$B15)*Inputs!$B$5:$B$180*(((Inputs!$G$5:$G$180="moeda")+(Inputs!$G$5:$G$180="acoes"))*Inputs!$B$1+((Inputs!$G$5:$G$180&lt;&gt;"moeda")*(Inputs!$G$5:$G$180&lt;&gt;"acoes")))*INDEX(Inputs!$K$5:$AJ$180,0,MATCH(AK$2,Inputs!$K$4:$AJ$4,0)))+SUMPRODUCT((Inputs!$C$5:$C$180=$B15)*Inputs!$D$5:$D$180*(((Inputs!$G$5:$G$180="moeda")+(Inputs!$G$5:$G$180="acoes"))*Inputs!$B$1+((Inputs!$G$5:$G$180&lt;&gt;"moeda")*(Inputs!$G$5:$G$180&lt;&gt;"acoes")))*INDEX(Inputs!$K$5:$AJ$180,0,MATCH(AK$2,Inputs!$K$4:$AJ$4,0)))+SUMPRODUCT((Inputs!$E$5:$E$180=$B15)*Inputs!$F$5:$F$180*(((Inputs!$G$5:$G$180="moeda")+(Inputs!$G$5:$G$180="acoes"))*Inputs!$B$1+((Inputs!$G$5:$G$180&lt;&gt;"moeda")*(Inputs!$G$5:$G$180&lt;&gt;"acoes")))*INDEX(Inputs!$K$5:$AJ$180,0,MATCH(AK$2,Inputs!$K$4:$AJ$4,0)))))</f>
        <v>701.92083799</v>
      </c>
      <c r="AL15" s="3">
        <f>AK15</f>
        <v>701.92083799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$180=$B16)*ISNUMBER(INDEX(Inputs!$K$5:$AJ$180,0,MATCH(D$2,Inputs!$K$4:$AJ$4,0))))+SUMPRODUCT((Inputs!$C$5:$C$180=$B16)*ISNUMBER(INDEX(Inputs!$K$5:$AJ$180,0,MATCH(D$2,Inputs!$K$4:$AJ$4,0))))+SUMPRODUCT((Inputs!$E$5:$E$180=$B16)*ISNUMBER(INDEX(Inputs!$K$5:$AJ$180,0,MATCH(D$2,Inputs!$K$4:$AJ$4,0))))=0,NA(),SUMPRODUCT((Inputs!$A$5:$A$180=$B16)*Inputs!$B$5:$B$180*(((Inputs!$G$5:$G$180="moeda")+(Inputs!$G$5:$G$180="acoes"))*Inputs!$B$1+((Inputs!$G$5:$G$180&lt;&gt;"moeda")*(Inputs!$G$5:$G$180&lt;&gt;"acoes")))*INDEX(Inputs!$K$5:$AJ$180,0,MATCH(D$2,Inputs!$K$4:$AJ$4,0)))+SUMPRODUCT((Inputs!$C$5:$C$180=$B16)*Inputs!$D$5:$D$180*(((Inputs!$G$5:$G$180="moeda")+(Inputs!$G$5:$G$180="acoes"))*Inputs!$B$1+((Inputs!$G$5:$G$180&lt;&gt;"moeda")*(Inputs!$G$5:$G$180&lt;&gt;"acoes")))*INDEX(Inputs!$K$5:$AJ$180,0,MATCH(D$2,Inputs!$K$4:$AJ$4,0)))+SUMPRODUCT((Inputs!$E$5:$E$180=$B16)*Inputs!$F$5:$F$180*(((Inputs!$G$5:$G$180="moeda")+(Inputs!$G$5:$G$180="acoes"))*Inputs!$B$1+((Inputs!$G$5:$G$180&lt;&gt;"moeda")*(Inputs!$G$5:$G$180&lt;&gt;"acoes")))*INDEX(Inputs!$K$5:$AJ$180,0,MATCH(D$2,Inputs!$K$4:$AJ$4,0)))))</f>
        <v>285.00400907</v>
      </c>
      <c r="E16" s="6">
        <f>IF(ISNA(MATCH(E$2,Inputs!$K$4:$AJ$4,0)),NA(),IF(SUMPRODUCT((Inputs!$A$5:$A$180=$B16)*ISNUMBER(INDEX(Inputs!$K$5:$AJ$180,0,MATCH(E$2,Inputs!$K$4:$AJ$4,0))))+SUMPRODUCT((Inputs!$C$5:$C$180=$B16)*ISNUMBER(INDEX(Inputs!$K$5:$AJ$180,0,MATCH(E$2,Inputs!$K$4:$AJ$4,0))))+SUMPRODUCT((Inputs!$E$5:$E$180=$B16)*ISNUMBER(INDEX(Inputs!$K$5:$AJ$180,0,MATCH(E$2,Inputs!$K$4:$AJ$4,0))))=0,NA(),SUMPRODUCT((Inputs!$A$5:$A$180=$B16)*Inputs!$B$5:$B$180*(((Inputs!$G$5:$G$180="moeda")+(Inputs!$G$5:$G$180="acoes"))*Inputs!$B$1+((Inputs!$G$5:$G$180&lt;&gt;"moeda")*(Inputs!$G$5:$G$180&lt;&gt;"acoes")))*INDEX(Inputs!$K$5:$AJ$180,0,MATCH(E$2,Inputs!$K$4:$AJ$4,0)))+SUMPRODUCT((Inputs!$C$5:$C$180=$B16)*Inputs!$D$5:$D$180*(((Inputs!$G$5:$G$180="moeda")+(Inputs!$G$5:$G$180="acoes"))*Inputs!$B$1+((Inputs!$G$5:$G$180&lt;&gt;"moeda")*(Inputs!$G$5:$G$180&lt;&gt;"acoes")))*INDEX(Inputs!$K$5:$AJ$180,0,MATCH(E$2,Inputs!$K$4:$AJ$4,0)))+SUMPRODUCT((Inputs!$E$5:$E$180=$B16)*Inputs!$F$5:$F$180*(((Inputs!$G$5:$G$180="moeda")+(Inputs!$G$5:$G$180="acoes"))*Inputs!$B$1+((Inputs!$G$5:$G$180&lt;&gt;"moeda")*(Inputs!$G$5:$G$180&lt;&gt;"acoes")))*INDEX(Inputs!$K$5:$AJ$180,0,MATCH(E$2,Inputs!$K$4:$AJ$4,0)))))</f>
        <v>366.65706045</v>
      </c>
      <c r="F16" s="6">
        <f>IF(ISNA(MATCH(F$2,Inputs!$K$4:$AJ$4,0)),NA(),IF(SUMPRODUCT((Inputs!$A$5:$A$180=$B16)*ISNUMBER(INDEX(Inputs!$K$5:$AJ$180,0,MATCH(F$2,Inputs!$K$4:$AJ$4,0))))+SUMPRODUCT((Inputs!$C$5:$C$180=$B16)*ISNUMBER(INDEX(Inputs!$K$5:$AJ$180,0,MATCH(F$2,Inputs!$K$4:$AJ$4,0))))+SUMPRODUCT((Inputs!$E$5:$E$180=$B16)*ISNUMBER(INDEX(Inputs!$K$5:$AJ$180,0,MATCH(F$2,Inputs!$K$4:$AJ$4,0))))=0,NA(),SUMPRODUCT((Inputs!$A$5:$A$180=$B16)*Inputs!$B$5:$B$180*(((Inputs!$G$5:$G$180="moeda")+(Inputs!$G$5:$G$180="acoes"))*Inputs!$B$1+((Inputs!$G$5:$G$180&lt;&gt;"moeda")*(Inputs!$G$5:$G$180&lt;&gt;"acoes")))*INDEX(Inputs!$K$5:$AJ$180,0,MATCH(F$2,Inputs!$K$4:$AJ$4,0)))+SUMPRODUCT((Inputs!$C$5:$C$180=$B16)*Inputs!$D$5:$D$180*(((Inputs!$G$5:$G$180="moeda")+(Inputs!$G$5:$G$180="acoes"))*Inputs!$B$1+((Inputs!$G$5:$G$180&lt;&gt;"moeda")*(Inputs!$G$5:$G$180&lt;&gt;"acoes")))*INDEX(Inputs!$K$5:$AJ$180,0,MATCH(F$2,Inputs!$K$4:$AJ$4,0)))+SUMPRODUCT((Inputs!$E$5:$E$180=$B16)*Inputs!$F$5:$F$180*(((Inputs!$G$5:$G$180="moeda")+(Inputs!$G$5:$G$180="acoes"))*Inputs!$B$1+((Inputs!$G$5:$G$180&lt;&gt;"moeda")*(Inputs!$G$5:$G$180&lt;&gt;"acoes")))*INDEX(Inputs!$K$5:$AJ$180,0,MATCH(F$2,Inputs!$K$4:$AJ$4,0)))))</f>
        <v>345.35594863</v>
      </c>
      <c r="G16" s="6">
        <f>IF(ISNA(MATCH(G$2,Inputs!$K$4:$AJ$4,0)),NA(),IF(SUMPRODUCT((Inputs!$A$5:$A$180=$B16)*ISNUMBER(INDEX(Inputs!$K$5:$AJ$180,0,MATCH(G$2,Inputs!$K$4:$AJ$4,0))))+SUMPRODUCT((Inputs!$C$5:$C$180=$B16)*ISNUMBER(INDEX(Inputs!$K$5:$AJ$180,0,MATCH(G$2,Inputs!$K$4:$AJ$4,0))))+SUMPRODUCT((Inputs!$E$5:$E$180=$B16)*ISNUMBER(INDEX(Inputs!$K$5:$AJ$180,0,MATCH(G$2,Inputs!$K$4:$AJ$4,0))))=0,NA(),SUMPRODUCT((Inputs!$A$5:$A$180=$B16)*Inputs!$B$5:$B$180*(((Inputs!$G$5:$G$180="moeda")+(Inputs!$G$5:$G$180="acoes"))*Inputs!$B$1+((Inputs!$G$5:$G$180&lt;&gt;"moeda")*(Inputs!$G$5:$G$180&lt;&gt;"acoes")))*INDEX(Inputs!$K$5:$AJ$180,0,MATCH(G$2,Inputs!$K$4:$AJ$4,0)))+SUMPRODUCT((Inputs!$C$5:$C$180=$B16)*Inputs!$D$5:$D$180*(((Inputs!$G$5:$G$180="moeda")+(Inputs!$G$5:$G$180="acoes"))*Inputs!$B$1+((Inputs!$G$5:$G$180&lt;&gt;"moeda")*(Inputs!$G$5:$G$180&lt;&gt;"acoes")))*INDEX(Inputs!$K$5:$AJ$180,0,MATCH(G$2,Inputs!$K$4:$AJ$4,0)))+SUMPRODUCT((Inputs!$E$5:$E$180=$B16)*Inputs!$F$5:$F$180*(((Inputs!$G$5:$G$180="moeda")+(Inputs!$G$5:$G$180="acoes"))*Inputs!$B$1+((Inputs!$G$5:$G$180&lt;&gt;"moeda")*(Inputs!$G$5:$G$180&lt;&gt;"acoes")))*INDEX(Inputs!$K$5:$AJ$180,0,MATCH(G$2,Inputs!$K$4:$AJ$4,0)))))</f>
        <v>531.77724879</v>
      </c>
      <c r="H16" s="3">
        <f>G16</f>
        <v>531.77724879</v>
      </c>
      <c r="I16" s="6">
        <f>IF(ISNA(MATCH(I$2,Inputs!$K$4:$AJ$4,0)),NA(),IF(SUMPRODUCT((Inputs!$A$5:$A$180=$B16)*ISNUMBER(INDEX(Inputs!$K$5:$AJ$180,0,MATCH(I$2,Inputs!$K$4:$AJ$4,0))))+SUMPRODUCT((Inputs!$C$5:$C$180=$B16)*ISNUMBER(INDEX(Inputs!$K$5:$AJ$180,0,MATCH(I$2,Inputs!$K$4:$AJ$4,0))))+SUMPRODUCT((Inputs!$E$5:$E$180=$B16)*ISNUMBER(INDEX(Inputs!$K$5:$AJ$180,0,MATCH(I$2,Inputs!$K$4:$AJ$4,0))))=0,NA(),SUMPRODUCT((Inputs!$A$5:$A$180=$B16)*Inputs!$B$5:$B$180*(((Inputs!$G$5:$G$180="moeda")+(Inputs!$G$5:$G$180="acoes"))*Inputs!$B$1+((Inputs!$G$5:$G$180&lt;&gt;"moeda")*(Inputs!$G$5:$G$180&lt;&gt;"acoes")))*INDEX(Inputs!$K$5:$AJ$180,0,MATCH(I$2,Inputs!$K$4:$AJ$4,0)))+SUMPRODUCT((Inputs!$C$5:$C$180=$B16)*Inputs!$D$5:$D$180*(((Inputs!$G$5:$G$180="moeda")+(Inputs!$G$5:$G$180="acoes"))*Inputs!$B$1+((Inputs!$G$5:$G$180&lt;&gt;"moeda")*(Inputs!$G$5:$G$180&lt;&gt;"acoes")))*INDEX(Inputs!$K$5:$AJ$180,0,MATCH(I$2,Inputs!$K$4:$AJ$4,0)))+SUMPRODUCT((Inputs!$E$5:$E$180=$B16)*Inputs!$F$5:$F$180*(((Inputs!$G$5:$G$180="moeda")+(Inputs!$G$5:$G$180="acoes"))*Inputs!$B$1+((Inputs!$G$5:$G$180&lt;&gt;"moeda")*(Inputs!$G$5:$G$180&lt;&gt;"acoes")))*INDEX(Inputs!$K$5:$AJ$180,0,MATCH(I$2,Inputs!$K$4:$AJ$4,0)))))</f>
        <v>423.38410091</v>
      </c>
      <c r="J16" s="6">
        <f>IF(ISNA(MATCH(J$2,Inputs!$K$4:$AJ$4,0)),NA(),IF(SUMPRODUCT((Inputs!$A$5:$A$180=$B16)*ISNUMBER(INDEX(Inputs!$K$5:$AJ$180,0,MATCH(J$2,Inputs!$K$4:$AJ$4,0))))+SUMPRODUCT((Inputs!$C$5:$C$180=$B16)*ISNUMBER(INDEX(Inputs!$K$5:$AJ$180,0,MATCH(J$2,Inputs!$K$4:$AJ$4,0))))+SUMPRODUCT((Inputs!$E$5:$E$180=$B16)*ISNUMBER(INDEX(Inputs!$K$5:$AJ$180,0,MATCH(J$2,Inputs!$K$4:$AJ$4,0))))=0,NA(),SUMPRODUCT((Inputs!$A$5:$A$180=$B16)*Inputs!$B$5:$B$180*(((Inputs!$G$5:$G$180="moeda")+(Inputs!$G$5:$G$180="acoes"))*Inputs!$B$1+((Inputs!$G$5:$G$180&lt;&gt;"moeda")*(Inputs!$G$5:$G$180&lt;&gt;"acoes")))*INDEX(Inputs!$K$5:$AJ$180,0,MATCH(J$2,Inputs!$K$4:$AJ$4,0)))+SUMPRODUCT((Inputs!$C$5:$C$180=$B16)*Inputs!$D$5:$D$180*(((Inputs!$G$5:$G$180="moeda")+(Inputs!$G$5:$G$180="acoes"))*Inputs!$B$1+((Inputs!$G$5:$G$180&lt;&gt;"moeda")*(Inputs!$G$5:$G$180&lt;&gt;"acoes")))*INDEX(Inputs!$K$5:$AJ$180,0,MATCH(J$2,Inputs!$K$4:$AJ$4,0)))+SUMPRODUCT((Inputs!$E$5:$E$180=$B16)*Inputs!$F$5:$F$180*(((Inputs!$G$5:$G$180="moeda")+(Inputs!$G$5:$G$180="acoes"))*Inputs!$B$1+((Inputs!$G$5:$G$180&lt;&gt;"moeda")*(Inputs!$G$5:$G$180&lt;&gt;"acoes")))*INDEX(Inputs!$K$5:$AJ$180,0,MATCH(J$2,Inputs!$K$4:$AJ$4,0)))))</f>
        <v>491.50804711</v>
      </c>
      <c r="K16" s="6">
        <f>IF(ISNA(MATCH(K$2,Inputs!$K$4:$AJ$4,0)),NA(),IF(SUMPRODUCT((Inputs!$A$5:$A$180=$B16)*ISNUMBER(INDEX(Inputs!$K$5:$AJ$180,0,MATCH(K$2,Inputs!$K$4:$AJ$4,0))))+SUMPRODUCT((Inputs!$C$5:$C$180=$B16)*ISNUMBER(INDEX(Inputs!$K$5:$AJ$180,0,MATCH(K$2,Inputs!$K$4:$AJ$4,0))))+SUMPRODUCT((Inputs!$E$5:$E$180=$B16)*ISNUMBER(INDEX(Inputs!$K$5:$AJ$180,0,MATCH(K$2,Inputs!$K$4:$AJ$4,0))))=0,NA(),SUMPRODUCT((Inputs!$A$5:$A$180=$B16)*Inputs!$B$5:$B$180*(((Inputs!$G$5:$G$180="moeda")+(Inputs!$G$5:$G$180="acoes"))*Inputs!$B$1+((Inputs!$G$5:$G$180&lt;&gt;"moeda")*(Inputs!$G$5:$G$180&lt;&gt;"acoes")))*INDEX(Inputs!$K$5:$AJ$180,0,MATCH(K$2,Inputs!$K$4:$AJ$4,0)))+SUMPRODUCT((Inputs!$C$5:$C$180=$B16)*Inputs!$D$5:$D$180*(((Inputs!$G$5:$G$180="moeda")+(Inputs!$G$5:$G$180="acoes"))*Inputs!$B$1+((Inputs!$G$5:$G$180&lt;&gt;"moeda")*(Inputs!$G$5:$G$180&lt;&gt;"acoes")))*INDEX(Inputs!$K$5:$AJ$180,0,MATCH(K$2,Inputs!$K$4:$AJ$4,0)))+SUMPRODUCT((Inputs!$E$5:$E$180=$B16)*Inputs!$F$5:$F$180*(((Inputs!$G$5:$G$180="moeda")+(Inputs!$G$5:$G$180="acoes"))*Inputs!$B$1+((Inputs!$G$5:$G$180&lt;&gt;"moeda")*(Inputs!$G$5:$G$180&lt;&gt;"acoes")))*INDEX(Inputs!$K$5:$AJ$180,0,MATCH(K$2,Inputs!$K$4:$AJ$4,0)))))</f>
        <v>446.81196543</v>
      </c>
      <c r="L16" s="6">
        <f>IF(ISNA(MATCH(L$2,Inputs!$K$4:$AJ$4,0)),NA(),IF(SUMPRODUCT((Inputs!$A$5:$A$180=$B16)*ISNUMBER(INDEX(Inputs!$K$5:$AJ$180,0,MATCH(L$2,Inputs!$K$4:$AJ$4,0))))+SUMPRODUCT((Inputs!$C$5:$C$180=$B16)*ISNUMBER(INDEX(Inputs!$K$5:$AJ$180,0,MATCH(L$2,Inputs!$K$4:$AJ$4,0))))+SUMPRODUCT((Inputs!$E$5:$E$180=$B16)*ISNUMBER(INDEX(Inputs!$K$5:$AJ$180,0,MATCH(L$2,Inputs!$K$4:$AJ$4,0))))=0,NA(),SUMPRODUCT((Inputs!$A$5:$A$180=$B16)*Inputs!$B$5:$B$180*(((Inputs!$G$5:$G$180="moeda")+(Inputs!$G$5:$G$180="acoes"))*Inputs!$B$1+((Inputs!$G$5:$G$180&lt;&gt;"moeda")*(Inputs!$G$5:$G$180&lt;&gt;"acoes")))*INDEX(Inputs!$K$5:$AJ$180,0,MATCH(L$2,Inputs!$K$4:$AJ$4,0)))+SUMPRODUCT((Inputs!$C$5:$C$180=$B16)*Inputs!$D$5:$D$180*(((Inputs!$G$5:$G$180="moeda")+(Inputs!$G$5:$G$180="acoes"))*Inputs!$B$1+((Inputs!$G$5:$G$180&lt;&gt;"moeda")*(Inputs!$G$5:$G$180&lt;&gt;"acoes")))*INDEX(Inputs!$K$5:$AJ$180,0,MATCH(L$2,Inputs!$K$4:$AJ$4,0)))+SUMPRODUCT((Inputs!$E$5:$E$180=$B16)*Inputs!$F$5:$F$180*(((Inputs!$G$5:$G$180="moeda")+(Inputs!$G$5:$G$180="acoes"))*Inputs!$B$1+((Inputs!$G$5:$G$180&lt;&gt;"moeda")*(Inputs!$G$5:$G$180&lt;&gt;"acoes")))*INDEX(Inputs!$K$5:$AJ$180,0,MATCH(L$2,Inputs!$K$4:$AJ$4,0)))))</f>
        <v>663.79720881</v>
      </c>
      <c r="M16" s="3">
        <f>L16</f>
        <v>663.79720881</v>
      </c>
      <c r="N16" s="6">
        <f>IF(ISNA(MATCH(N$2,Inputs!$K$4:$AJ$4,0)),NA(),IF(SUMPRODUCT((Inputs!$A$5:$A$180=$B16)*ISNUMBER(INDEX(Inputs!$K$5:$AJ$180,0,MATCH(N$2,Inputs!$K$4:$AJ$4,0))))+SUMPRODUCT((Inputs!$C$5:$C$180=$B16)*ISNUMBER(INDEX(Inputs!$K$5:$AJ$180,0,MATCH(N$2,Inputs!$K$4:$AJ$4,0))))+SUMPRODUCT((Inputs!$E$5:$E$180=$B16)*ISNUMBER(INDEX(Inputs!$K$5:$AJ$180,0,MATCH(N$2,Inputs!$K$4:$AJ$4,0))))=0,NA(),SUMPRODUCT((Inputs!$A$5:$A$180=$B16)*Inputs!$B$5:$B$180*(((Inputs!$G$5:$G$180="moeda")+(Inputs!$G$5:$G$180="acoes"))*Inputs!$B$1+((Inputs!$G$5:$G$180&lt;&gt;"moeda")*(Inputs!$G$5:$G$180&lt;&gt;"acoes")))*INDEX(Inputs!$K$5:$AJ$180,0,MATCH(N$2,Inputs!$K$4:$AJ$4,0)))+SUMPRODUCT((Inputs!$C$5:$C$180=$B16)*Inputs!$D$5:$D$180*(((Inputs!$G$5:$G$180="moeda")+(Inputs!$G$5:$G$180="acoes"))*Inputs!$B$1+((Inputs!$G$5:$G$180&lt;&gt;"moeda")*(Inputs!$G$5:$G$180&lt;&gt;"acoes")))*INDEX(Inputs!$K$5:$AJ$180,0,MATCH(N$2,Inputs!$K$4:$AJ$4,0)))+SUMPRODUCT((Inputs!$E$5:$E$180=$B16)*Inputs!$F$5:$F$180*(((Inputs!$G$5:$G$180="moeda")+(Inputs!$G$5:$G$180="acoes"))*Inputs!$B$1+((Inputs!$G$5:$G$180&lt;&gt;"moeda")*(Inputs!$G$5:$G$180&lt;&gt;"acoes")))*INDEX(Inputs!$K$5:$AJ$180,0,MATCH(N$2,Inputs!$K$4:$AJ$4,0)))))</f>
        <v>515.481</v>
      </c>
      <c r="O16" s="6">
        <f>IF(ISNA(MATCH(O$2,Inputs!$K$4:$AJ$4,0)),NA(),IF(SUMPRODUCT((Inputs!$A$5:$A$180=$B16)*ISNUMBER(INDEX(Inputs!$K$5:$AJ$180,0,MATCH(O$2,Inputs!$K$4:$AJ$4,0))))+SUMPRODUCT((Inputs!$C$5:$C$180=$B16)*ISNUMBER(INDEX(Inputs!$K$5:$AJ$180,0,MATCH(O$2,Inputs!$K$4:$AJ$4,0))))+SUMPRODUCT((Inputs!$E$5:$E$180=$B16)*ISNUMBER(INDEX(Inputs!$K$5:$AJ$180,0,MATCH(O$2,Inputs!$K$4:$AJ$4,0))))=0,NA(),SUMPRODUCT((Inputs!$A$5:$A$180=$B16)*Inputs!$B$5:$B$180*(((Inputs!$G$5:$G$180="moeda")+(Inputs!$G$5:$G$180="acoes"))*Inputs!$B$1+((Inputs!$G$5:$G$180&lt;&gt;"moeda")*(Inputs!$G$5:$G$180&lt;&gt;"acoes")))*INDEX(Inputs!$K$5:$AJ$180,0,MATCH(O$2,Inputs!$K$4:$AJ$4,0)))+SUMPRODUCT((Inputs!$C$5:$C$180=$B16)*Inputs!$D$5:$D$180*(((Inputs!$G$5:$G$180="moeda")+(Inputs!$G$5:$G$180="acoes"))*Inputs!$B$1+((Inputs!$G$5:$G$180&lt;&gt;"moeda")*(Inputs!$G$5:$G$180&lt;&gt;"acoes")))*INDEX(Inputs!$K$5:$AJ$180,0,MATCH(O$2,Inputs!$K$4:$AJ$4,0)))+SUMPRODUCT((Inputs!$E$5:$E$180=$B16)*Inputs!$F$5:$F$180*(((Inputs!$G$5:$G$180="moeda")+(Inputs!$G$5:$G$180="acoes"))*Inputs!$B$1+((Inputs!$G$5:$G$180&lt;&gt;"moeda")*(Inputs!$G$5:$G$180&lt;&gt;"acoes")))*INDEX(Inputs!$K$5:$AJ$180,0,MATCH(O$2,Inputs!$K$4:$AJ$4,0)))))</f>
        <v>603.7674873</v>
      </c>
      <c r="P16" s="6">
        <f>IF(ISNA(MATCH(P$2,Inputs!$K$4:$AJ$4,0)),NA(),IF(SUMPRODUCT((Inputs!$A$5:$A$180=$B16)*ISNUMBER(INDEX(Inputs!$K$5:$AJ$180,0,MATCH(P$2,Inputs!$K$4:$AJ$4,0))))+SUMPRODUCT((Inputs!$C$5:$C$180=$B16)*ISNUMBER(INDEX(Inputs!$K$5:$AJ$180,0,MATCH(P$2,Inputs!$K$4:$AJ$4,0))))+SUMPRODUCT((Inputs!$E$5:$E$180=$B16)*ISNUMBER(INDEX(Inputs!$K$5:$AJ$180,0,MATCH(P$2,Inputs!$K$4:$AJ$4,0))))=0,NA(),SUMPRODUCT((Inputs!$A$5:$A$180=$B16)*Inputs!$B$5:$B$180*(((Inputs!$G$5:$G$180="moeda")+(Inputs!$G$5:$G$180="acoes"))*Inputs!$B$1+((Inputs!$G$5:$G$180&lt;&gt;"moeda")*(Inputs!$G$5:$G$180&lt;&gt;"acoes")))*INDEX(Inputs!$K$5:$AJ$180,0,MATCH(P$2,Inputs!$K$4:$AJ$4,0)))+SUMPRODUCT((Inputs!$C$5:$C$180=$B16)*Inputs!$D$5:$D$180*(((Inputs!$G$5:$G$180="moeda")+(Inputs!$G$5:$G$180="acoes"))*Inputs!$B$1+((Inputs!$G$5:$G$180&lt;&gt;"moeda")*(Inputs!$G$5:$G$180&lt;&gt;"acoes")))*INDEX(Inputs!$K$5:$AJ$180,0,MATCH(P$2,Inputs!$K$4:$AJ$4,0)))+SUMPRODUCT((Inputs!$E$5:$E$180=$B16)*Inputs!$F$5:$F$180*(((Inputs!$G$5:$G$180="moeda")+(Inputs!$G$5:$G$180="acoes"))*Inputs!$B$1+((Inputs!$G$5:$G$180&lt;&gt;"moeda")*(Inputs!$G$5:$G$180&lt;&gt;"acoes")))*INDEX(Inputs!$K$5:$AJ$180,0,MATCH(P$2,Inputs!$K$4:$AJ$4,0)))))</f>
        <v>558.86897015</v>
      </c>
      <c r="Q16" s="6">
        <f>IF(ISNA(MATCH(Q$2,Inputs!$K$4:$AJ$4,0)),NA(),IF(SUMPRODUCT((Inputs!$A$5:$A$180=$B16)*ISNUMBER(INDEX(Inputs!$K$5:$AJ$180,0,MATCH(Q$2,Inputs!$K$4:$AJ$4,0))))+SUMPRODUCT((Inputs!$C$5:$C$180=$B16)*ISNUMBER(INDEX(Inputs!$K$5:$AJ$180,0,MATCH(Q$2,Inputs!$K$4:$AJ$4,0))))+SUMPRODUCT((Inputs!$E$5:$E$180=$B16)*ISNUMBER(INDEX(Inputs!$K$5:$AJ$180,0,MATCH(Q$2,Inputs!$K$4:$AJ$4,0))))=0,NA(),SUMPRODUCT((Inputs!$A$5:$A$180=$B16)*Inputs!$B$5:$B$180*(((Inputs!$G$5:$G$180="moeda")+(Inputs!$G$5:$G$180="acoes"))*Inputs!$B$1+((Inputs!$G$5:$G$180&lt;&gt;"moeda")*(Inputs!$G$5:$G$180&lt;&gt;"acoes")))*INDEX(Inputs!$K$5:$AJ$180,0,MATCH(Q$2,Inputs!$K$4:$AJ$4,0)))+SUMPRODUCT((Inputs!$C$5:$C$180=$B16)*Inputs!$D$5:$D$180*(((Inputs!$G$5:$G$180="moeda")+(Inputs!$G$5:$G$180="acoes"))*Inputs!$B$1+((Inputs!$G$5:$G$180&lt;&gt;"moeda")*(Inputs!$G$5:$G$180&lt;&gt;"acoes")))*INDEX(Inputs!$K$5:$AJ$180,0,MATCH(Q$2,Inputs!$K$4:$AJ$4,0)))+SUMPRODUCT((Inputs!$E$5:$E$180=$B16)*Inputs!$F$5:$F$180*(((Inputs!$G$5:$G$180="moeda")+(Inputs!$G$5:$G$180="acoes"))*Inputs!$B$1+((Inputs!$G$5:$G$180&lt;&gt;"moeda")*(Inputs!$G$5:$G$180&lt;&gt;"acoes")))*INDEX(Inputs!$K$5:$AJ$180,0,MATCH(Q$2,Inputs!$K$4:$AJ$4,0)))))</f>
        <v>830.83234942</v>
      </c>
      <c r="R16" s="3">
        <f>Q16</f>
        <v>830.83234942</v>
      </c>
      <c r="S16" s="6">
        <f>IF(ISNA(MATCH(S$2,Inputs!$K$4:$AJ$4,0)),NA(),IF(SUMPRODUCT((Inputs!$A$5:$A$180=$B16)*ISNUMBER(INDEX(Inputs!$K$5:$AJ$180,0,MATCH(S$2,Inputs!$K$4:$AJ$4,0))))+SUMPRODUCT((Inputs!$C$5:$C$180=$B16)*ISNUMBER(INDEX(Inputs!$K$5:$AJ$180,0,MATCH(S$2,Inputs!$K$4:$AJ$4,0))))+SUMPRODUCT((Inputs!$E$5:$E$180=$B16)*ISNUMBER(INDEX(Inputs!$K$5:$AJ$180,0,MATCH(S$2,Inputs!$K$4:$AJ$4,0))))=0,NA(),SUMPRODUCT((Inputs!$A$5:$A$180=$B16)*Inputs!$B$5:$B$180*(((Inputs!$G$5:$G$180="moeda")+(Inputs!$G$5:$G$180="acoes"))*Inputs!$B$1+((Inputs!$G$5:$G$180&lt;&gt;"moeda")*(Inputs!$G$5:$G$180&lt;&gt;"acoes")))*INDEX(Inputs!$K$5:$AJ$180,0,MATCH(S$2,Inputs!$K$4:$AJ$4,0)))+SUMPRODUCT((Inputs!$C$5:$C$180=$B16)*Inputs!$D$5:$D$180*(((Inputs!$G$5:$G$180="moeda")+(Inputs!$G$5:$G$180="acoes"))*Inputs!$B$1+((Inputs!$G$5:$G$180&lt;&gt;"moeda")*(Inputs!$G$5:$G$180&lt;&gt;"acoes")))*INDEX(Inputs!$K$5:$AJ$180,0,MATCH(S$2,Inputs!$K$4:$AJ$4,0)))+SUMPRODUCT((Inputs!$E$5:$E$180=$B16)*Inputs!$F$5:$F$180*(((Inputs!$G$5:$G$180="moeda")+(Inputs!$G$5:$G$180="acoes"))*Inputs!$B$1+((Inputs!$G$5:$G$180&lt;&gt;"moeda")*(Inputs!$G$5:$G$180&lt;&gt;"acoes")))*INDEX(Inputs!$K$5:$AJ$180,0,MATCH(S$2,Inputs!$K$4:$AJ$4,0)))))</f>
        <v>647.6784613</v>
      </c>
      <c r="T16" s="6">
        <f>IF(ISNA(MATCH(T$2,Inputs!$K$4:$AJ$4,0)),NA(),IF(SUMPRODUCT((Inputs!$A$5:$A$180=$B16)*ISNUMBER(INDEX(Inputs!$K$5:$AJ$180,0,MATCH(T$2,Inputs!$K$4:$AJ$4,0))))+SUMPRODUCT((Inputs!$C$5:$C$180=$B16)*ISNUMBER(INDEX(Inputs!$K$5:$AJ$180,0,MATCH(T$2,Inputs!$K$4:$AJ$4,0))))+SUMPRODUCT((Inputs!$E$5:$E$180=$B16)*ISNUMBER(INDEX(Inputs!$K$5:$AJ$180,0,MATCH(T$2,Inputs!$K$4:$AJ$4,0))))=0,NA(),SUMPRODUCT((Inputs!$A$5:$A$180=$B16)*Inputs!$B$5:$B$180*(((Inputs!$G$5:$G$180="moeda")+(Inputs!$G$5:$G$180="acoes"))*Inputs!$B$1+((Inputs!$G$5:$G$180&lt;&gt;"moeda")*(Inputs!$G$5:$G$180&lt;&gt;"acoes")))*INDEX(Inputs!$K$5:$AJ$180,0,MATCH(T$2,Inputs!$K$4:$AJ$4,0)))+SUMPRODUCT((Inputs!$C$5:$C$180=$B16)*Inputs!$D$5:$D$180*(((Inputs!$G$5:$G$180="moeda")+(Inputs!$G$5:$G$180="acoes"))*Inputs!$B$1+((Inputs!$G$5:$G$180&lt;&gt;"moeda")*(Inputs!$G$5:$G$180&lt;&gt;"acoes")))*INDEX(Inputs!$K$5:$AJ$180,0,MATCH(T$2,Inputs!$K$4:$AJ$4,0)))+SUMPRODUCT((Inputs!$E$5:$E$180=$B16)*Inputs!$F$5:$F$180*(((Inputs!$G$5:$G$180="moeda")+(Inputs!$G$5:$G$180="acoes"))*Inputs!$B$1+((Inputs!$G$5:$G$180&lt;&gt;"moeda")*(Inputs!$G$5:$G$180&lt;&gt;"acoes")))*INDEX(Inputs!$K$5:$AJ$180,0,MATCH(T$2,Inputs!$K$4:$AJ$4,0)))))</f>
        <v>734.68488274</v>
      </c>
      <c r="U16" s="6">
        <f>IF(ISNA(MATCH(U$2,Inputs!$K$4:$AJ$4,0)),NA(),IF(SUMPRODUCT((Inputs!$A$5:$A$180=$B16)*ISNUMBER(INDEX(Inputs!$K$5:$AJ$180,0,MATCH(U$2,Inputs!$K$4:$AJ$4,0))))+SUMPRODUCT((Inputs!$C$5:$C$180=$B16)*ISNUMBER(INDEX(Inputs!$K$5:$AJ$180,0,MATCH(U$2,Inputs!$K$4:$AJ$4,0))))+SUMPRODUCT((Inputs!$E$5:$E$180=$B16)*ISNUMBER(INDEX(Inputs!$K$5:$AJ$180,0,MATCH(U$2,Inputs!$K$4:$AJ$4,0))))=0,NA(),SUMPRODUCT((Inputs!$A$5:$A$180=$B16)*Inputs!$B$5:$B$180*(((Inputs!$G$5:$G$180="moeda")+(Inputs!$G$5:$G$180="acoes"))*Inputs!$B$1+((Inputs!$G$5:$G$180&lt;&gt;"moeda")*(Inputs!$G$5:$G$180&lt;&gt;"acoes")))*INDEX(Inputs!$K$5:$AJ$180,0,MATCH(U$2,Inputs!$K$4:$AJ$4,0)))+SUMPRODUCT((Inputs!$C$5:$C$180=$B16)*Inputs!$D$5:$D$180*(((Inputs!$G$5:$G$180="moeda")+(Inputs!$G$5:$G$180="acoes"))*Inputs!$B$1+((Inputs!$G$5:$G$180&lt;&gt;"moeda")*(Inputs!$G$5:$G$180&lt;&gt;"acoes")))*INDEX(Inputs!$K$5:$AJ$180,0,MATCH(U$2,Inputs!$K$4:$AJ$4,0)))+SUMPRODUCT((Inputs!$E$5:$E$180=$B16)*Inputs!$F$5:$F$180*(((Inputs!$G$5:$G$180="moeda")+(Inputs!$G$5:$G$180="acoes"))*Inputs!$B$1+((Inputs!$G$5:$G$180&lt;&gt;"moeda")*(Inputs!$G$5:$G$180&lt;&gt;"acoes")))*INDEX(Inputs!$K$5:$AJ$180,0,MATCH(U$2,Inputs!$K$4:$AJ$4,0)))))</f>
        <v>664.11159201</v>
      </c>
      <c r="V16" s="6">
        <f>IF(ISNA(MATCH(V$2,Inputs!$K$4:$AJ$4,0)),NA(),IF(SUMPRODUCT((Inputs!$A$5:$A$180=$B16)*ISNUMBER(INDEX(Inputs!$K$5:$AJ$180,0,MATCH(V$2,Inputs!$K$4:$AJ$4,0))))+SUMPRODUCT((Inputs!$C$5:$C$180=$B16)*ISNUMBER(INDEX(Inputs!$K$5:$AJ$180,0,MATCH(V$2,Inputs!$K$4:$AJ$4,0))))+SUMPRODUCT((Inputs!$E$5:$E$180=$B16)*ISNUMBER(INDEX(Inputs!$K$5:$AJ$180,0,MATCH(V$2,Inputs!$K$4:$AJ$4,0))))=0,NA(),SUMPRODUCT((Inputs!$A$5:$A$180=$B16)*Inputs!$B$5:$B$180*(((Inputs!$G$5:$G$180="moeda")+(Inputs!$G$5:$G$180="acoes"))*Inputs!$B$1+((Inputs!$G$5:$G$180&lt;&gt;"moeda")*(Inputs!$G$5:$G$180&lt;&gt;"acoes")))*INDEX(Inputs!$K$5:$AJ$180,0,MATCH(V$2,Inputs!$K$4:$AJ$4,0)))+SUMPRODUCT((Inputs!$C$5:$C$180=$B16)*Inputs!$D$5:$D$180*(((Inputs!$G$5:$G$180="moeda")+(Inputs!$G$5:$G$180="acoes"))*Inputs!$B$1+((Inputs!$G$5:$G$180&lt;&gt;"moeda")*(Inputs!$G$5:$G$180&lt;&gt;"acoes")))*INDEX(Inputs!$K$5:$AJ$180,0,MATCH(V$2,Inputs!$K$4:$AJ$4,0)))+SUMPRODUCT((Inputs!$E$5:$E$180=$B16)*Inputs!$F$5:$F$180*(((Inputs!$G$5:$G$180="moeda")+(Inputs!$G$5:$G$180="acoes"))*Inputs!$B$1+((Inputs!$G$5:$G$180&lt;&gt;"moeda")*(Inputs!$G$5:$G$180&lt;&gt;"acoes")))*INDEX(Inputs!$K$5:$AJ$180,0,MATCH(V$2,Inputs!$K$4:$AJ$4,0)))))</f>
        <v>955.20811561</v>
      </c>
      <c r="W16" s="3">
        <f>V16</f>
        <v>955.20811561</v>
      </c>
      <c r="X16" s="6">
        <f>IF(ISNA(MATCH(X$2,Inputs!$K$4:$AJ$4,0)),NA(),IF(SUMPRODUCT((Inputs!$A$5:$A$180=$B16)*ISNUMBER(INDEX(Inputs!$K$5:$AJ$180,0,MATCH(X$2,Inputs!$K$4:$AJ$4,0))))+SUMPRODUCT((Inputs!$C$5:$C$180=$B16)*ISNUMBER(INDEX(Inputs!$K$5:$AJ$180,0,MATCH(X$2,Inputs!$K$4:$AJ$4,0))))+SUMPRODUCT((Inputs!$E$5:$E$180=$B16)*ISNUMBER(INDEX(Inputs!$K$5:$AJ$180,0,MATCH(X$2,Inputs!$K$4:$AJ$4,0))))=0,NA(),SUMPRODUCT((Inputs!$A$5:$A$180=$B16)*Inputs!$B$5:$B$180*(((Inputs!$G$5:$G$180="moeda")+(Inputs!$G$5:$G$180="acoes"))*Inputs!$B$1+((Inputs!$G$5:$G$180&lt;&gt;"moeda")*(Inputs!$G$5:$G$180&lt;&gt;"acoes")))*INDEX(Inputs!$K$5:$AJ$180,0,MATCH(X$2,Inputs!$K$4:$AJ$4,0)))+SUMPRODUCT((Inputs!$C$5:$C$180=$B16)*Inputs!$D$5:$D$180*(((Inputs!$G$5:$G$180="moeda")+(Inputs!$G$5:$G$180="acoes"))*Inputs!$B$1+((Inputs!$G$5:$G$180&lt;&gt;"moeda")*(Inputs!$G$5:$G$180&lt;&gt;"acoes")))*INDEX(Inputs!$K$5:$AJ$180,0,MATCH(X$2,Inputs!$K$4:$AJ$4,0)))+SUMPRODUCT((Inputs!$E$5:$E$180=$B16)*Inputs!$F$5:$F$180*(((Inputs!$G$5:$G$180="moeda")+(Inputs!$G$5:$G$180="acoes"))*Inputs!$B$1+((Inputs!$G$5:$G$180&lt;&gt;"moeda")*(Inputs!$G$5:$G$180&lt;&gt;"acoes")))*INDEX(Inputs!$K$5:$AJ$180,0,MATCH(X$2,Inputs!$K$4:$AJ$4,0)))))</f>
        <v>751.02975806</v>
      </c>
      <c r="Y16" s="6">
        <f>IF(ISNA(MATCH(Y$2,Inputs!$K$4:$AJ$4,0)),NA(),IF(SUMPRODUCT((Inputs!$A$5:$A$180=$B16)*ISNUMBER(INDEX(Inputs!$K$5:$AJ$180,0,MATCH(Y$2,Inputs!$K$4:$AJ$4,0))))+SUMPRODUCT((Inputs!$C$5:$C$180=$B16)*ISNUMBER(INDEX(Inputs!$K$5:$AJ$180,0,MATCH(Y$2,Inputs!$K$4:$AJ$4,0))))+SUMPRODUCT((Inputs!$E$5:$E$180=$B16)*ISNUMBER(INDEX(Inputs!$K$5:$AJ$180,0,MATCH(Y$2,Inputs!$K$4:$AJ$4,0))))=0,NA(),SUMPRODUCT((Inputs!$A$5:$A$180=$B16)*Inputs!$B$5:$B$180*(((Inputs!$G$5:$G$180="moeda")+(Inputs!$G$5:$G$180="acoes"))*Inputs!$B$1+((Inputs!$G$5:$G$180&lt;&gt;"moeda")*(Inputs!$G$5:$G$180&lt;&gt;"acoes")))*INDEX(Inputs!$K$5:$AJ$180,0,MATCH(Y$2,Inputs!$K$4:$AJ$4,0)))+SUMPRODUCT((Inputs!$C$5:$C$180=$B16)*Inputs!$D$5:$D$180*(((Inputs!$G$5:$G$180="moeda")+(Inputs!$G$5:$G$180="acoes"))*Inputs!$B$1+((Inputs!$G$5:$G$180&lt;&gt;"moeda")*(Inputs!$G$5:$G$180&lt;&gt;"acoes")))*INDEX(Inputs!$K$5:$AJ$180,0,MATCH(Y$2,Inputs!$K$4:$AJ$4,0)))+SUMPRODUCT((Inputs!$E$5:$E$180=$B16)*Inputs!$F$5:$F$180*(((Inputs!$G$5:$G$180="moeda")+(Inputs!$G$5:$G$180="acoes"))*Inputs!$B$1+((Inputs!$G$5:$G$180&lt;&gt;"moeda")*(Inputs!$G$5:$G$180&lt;&gt;"acoes")))*INDEX(Inputs!$K$5:$AJ$180,0,MATCH(Y$2,Inputs!$K$4:$AJ$4,0)))))</f>
        <v>785.27787203</v>
      </c>
      <c r="Z16" s="6">
        <f>IF(ISNA(MATCH(Z$2,Inputs!$K$4:$AJ$4,0)),NA(),IF(SUMPRODUCT((Inputs!$A$5:$A$180=$B16)*ISNUMBER(INDEX(Inputs!$K$5:$AJ$180,0,MATCH(Z$2,Inputs!$K$4:$AJ$4,0))))+SUMPRODUCT((Inputs!$C$5:$C$180=$B16)*ISNUMBER(INDEX(Inputs!$K$5:$AJ$180,0,MATCH(Z$2,Inputs!$K$4:$AJ$4,0))))+SUMPRODUCT((Inputs!$E$5:$E$180=$B16)*ISNUMBER(INDEX(Inputs!$K$5:$AJ$180,0,MATCH(Z$2,Inputs!$K$4:$AJ$4,0))))=0,NA(),SUMPRODUCT((Inputs!$A$5:$A$180=$B16)*Inputs!$B$5:$B$180*(((Inputs!$G$5:$G$180="moeda")+(Inputs!$G$5:$G$180="acoes"))*Inputs!$B$1+((Inputs!$G$5:$G$180&lt;&gt;"moeda")*(Inputs!$G$5:$G$180&lt;&gt;"acoes")))*INDEX(Inputs!$K$5:$AJ$180,0,MATCH(Z$2,Inputs!$K$4:$AJ$4,0)))+SUMPRODUCT((Inputs!$C$5:$C$180=$B16)*Inputs!$D$5:$D$180*(((Inputs!$G$5:$G$180="moeda")+(Inputs!$G$5:$G$180="acoes"))*Inputs!$B$1+((Inputs!$G$5:$G$180&lt;&gt;"moeda")*(Inputs!$G$5:$G$180&lt;&gt;"acoes")))*INDEX(Inputs!$K$5:$AJ$180,0,MATCH(Z$2,Inputs!$K$4:$AJ$4,0)))+SUMPRODUCT((Inputs!$E$5:$E$180=$B16)*Inputs!$F$5:$F$180*(((Inputs!$G$5:$G$180="moeda")+(Inputs!$G$5:$G$180="acoes"))*Inputs!$B$1+((Inputs!$G$5:$G$180&lt;&gt;"moeda")*(Inputs!$G$5:$G$180&lt;&gt;"acoes")))*INDEX(Inputs!$K$5:$AJ$180,0,MATCH(Z$2,Inputs!$K$4:$AJ$4,0)))))</f>
        <v>820.656</v>
      </c>
      <c r="AA16" s="6">
        <f>IF(ISNA(MATCH(AA$2,Inputs!$K$4:$AJ$4,0)),NA(),IF(SUMPRODUCT((Inputs!$A$5:$A$180=$B16)*ISNUMBER(INDEX(Inputs!$K$5:$AJ$180,0,MATCH(AA$2,Inputs!$K$4:$AJ$4,0))))+SUMPRODUCT((Inputs!$C$5:$C$180=$B16)*ISNUMBER(INDEX(Inputs!$K$5:$AJ$180,0,MATCH(AA$2,Inputs!$K$4:$AJ$4,0))))+SUMPRODUCT((Inputs!$E$5:$E$180=$B16)*ISNUMBER(INDEX(Inputs!$K$5:$AJ$180,0,MATCH(AA$2,Inputs!$K$4:$AJ$4,0))))=0,NA(),SUMPRODUCT((Inputs!$A$5:$A$180=$B16)*Inputs!$B$5:$B$180*(((Inputs!$G$5:$G$180="moeda")+(Inputs!$G$5:$G$180="acoes"))*Inputs!$B$1+((Inputs!$G$5:$G$180&lt;&gt;"moeda")*(Inputs!$G$5:$G$180&lt;&gt;"acoes")))*INDEX(Inputs!$K$5:$AJ$180,0,MATCH(AA$2,Inputs!$K$4:$AJ$4,0)))+SUMPRODUCT((Inputs!$C$5:$C$180=$B16)*Inputs!$D$5:$D$180*(((Inputs!$G$5:$G$180="moeda")+(Inputs!$G$5:$G$180="acoes"))*Inputs!$B$1+((Inputs!$G$5:$G$180&lt;&gt;"moeda")*(Inputs!$G$5:$G$180&lt;&gt;"acoes")))*INDEX(Inputs!$K$5:$AJ$180,0,MATCH(AA$2,Inputs!$K$4:$AJ$4,0)))+SUMPRODUCT((Inputs!$E$5:$E$180=$B16)*Inputs!$F$5:$F$180*(((Inputs!$G$5:$G$180="moeda")+(Inputs!$G$5:$G$180="acoes"))*Inputs!$B$1+((Inputs!$G$5:$G$180&lt;&gt;"moeda")*(Inputs!$G$5:$G$180&lt;&gt;"acoes")))*INDEX(Inputs!$K$5:$AJ$180,0,MATCH(AA$2,Inputs!$K$4:$AJ$4,0)))))</f>
        <v>989.60140321</v>
      </c>
      <c r="AB16" s="3">
        <f>AA16</f>
        <v>989.60140321</v>
      </c>
      <c r="AC16" s="6">
        <f>IF(ISNA(MATCH(AC$2,Inputs!$K$4:$AJ$4,0)),NA(),IF(SUMPRODUCT((Inputs!$A$5:$A$180=$B16)*ISNUMBER(INDEX(Inputs!$K$5:$AJ$180,0,MATCH(AC$2,Inputs!$K$4:$AJ$4,0))))+SUMPRODUCT((Inputs!$C$5:$C$180=$B16)*ISNUMBER(INDEX(Inputs!$K$5:$AJ$180,0,MATCH(AC$2,Inputs!$K$4:$AJ$4,0))))+SUMPRODUCT((Inputs!$E$5:$E$180=$B16)*ISNUMBER(INDEX(Inputs!$K$5:$AJ$180,0,MATCH(AC$2,Inputs!$K$4:$AJ$4,0))))=0,NA(),SUMPRODUCT((Inputs!$A$5:$A$180=$B16)*Inputs!$B$5:$B$180*(((Inputs!$G$5:$G$180="moeda")+(Inputs!$G$5:$G$180="acoes"))*Inputs!$B$1+((Inputs!$G$5:$G$180&lt;&gt;"moeda")*(Inputs!$G$5:$G$180&lt;&gt;"acoes")))*INDEX(Inputs!$K$5:$AJ$180,0,MATCH(AC$2,Inputs!$K$4:$AJ$4,0)))+SUMPRODUCT((Inputs!$C$5:$C$180=$B16)*Inputs!$D$5:$D$180*(((Inputs!$G$5:$G$180="moeda")+(Inputs!$G$5:$G$180="acoes"))*Inputs!$B$1+((Inputs!$G$5:$G$180&lt;&gt;"moeda")*(Inputs!$G$5:$G$180&lt;&gt;"acoes")))*INDEX(Inputs!$K$5:$AJ$180,0,MATCH(AC$2,Inputs!$K$4:$AJ$4,0)))+SUMPRODUCT((Inputs!$E$5:$E$180=$B16)*Inputs!$F$5:$F$180*(((Inputs!$G$5:$G$180="moeda")+(Inputs!$G$5:$G$180="acoes"))*Inputs!$B$1+((Inputs!$G$5:$G$180&lt;&gt;"moeda")*(Inputs!$G$5:$G$180&lt;&gt;"acoes")))*INDEX(Inputs!$K$5:$AJ$180,0,MATCH(AC$2,Inputs!$K$4:$AJ$4,0)))))</f>
        <v>899.08502464</v>
      </c>
      <c r="AD16" s="6">
        <f>IF(ISNA(MATCH(AD$2,Inputs!$K$4:$AJ$4,0)),NA(),IF(SUMPRODUCT((Inputs!$A$5:$A$180=$B16)*ISNUMBER(INDEX(Inputs!$K$5:$AJ$180,0,MATCH(AD$2,Inputs!$K$4:$AJ$4,0))))+SUMPRODUCT((Inputs!$C$5:$C$180=$B16)*ISNUMBER(INDEX(Inputs!$K$5:$AJ$180,0,MATCH(AD$2,Inputs!$K$4:$AJ$4,0))))+SUMPRODUCT((Inputs!$E$5:$E$180=$B16)*ISNUMBER(INDEX(Inputs!$K$5:$AJ$180,0,MATCH(AD$2,Inputs!$K$4:$AJ$4,0))))=0,NA(),SUMPRODUCT((Inputs!$A$5:$A$180=$B16)*Inputs!$B$5:$B$180*(((Inputs!$G$5:$G$180="moeda")+(Inputs!$G$5:$G$180="acoes"))*Inputs!$B$1+((Inputs!$G$5:$G$180&lt;&gt;"moeda")*(Inputs!$G$5:$G$180&lt;&gt;"acoes")))*INDEX(Inputs!$K$5:$AJ$180,0,MATCH(AD$2,Inputs!$K$4:$AJ$4,0)))+SUMPRODUCT((Inputs!$C$5:$C$180=$B16)*Inputs!$D$5:$D$180*(((Inputs!$G$5:$G$180="moeda")+(Inputs!$G$5:$G$180="acoes"))*Inputs!$B$1+((Inputs!$G$5:$G$180&lt;&gt;"moeda")*(Inputs!$G$5:$G$180&lt;&gt;"acoes")))*INDEX(Inputs!$K$5:$AJ$180,0,MATCH(AD$2,Inputs!$K$4:$AJ$4,0)))+SUMPRODUCT((Inputs!$E$5:$E$180=$B16)*Inputs!$F$5:$F$180*(((Inputs!$G$5:$G$180="moeda")+(Inputs!$G$5:$G$180="acoes"))*Inputs!$B$1+((Inputs!$G$5:$G$180&lt;&gt;"moeda")*(Inputs!$G$5:$G$180&lt;&gt;"acoes")))*INDEX(Inputs!$K$5:$AJ$180,0,MATCH(AD$2,Inputs!$K$4:$AJ$4,0)))))</f>
        <v>1015.52535945</v>
      </c>
      <c r="AE16" s="6" t="e">
        <f>IF(ISNA(MATCH(AE$2,Inputs!$K$4:$AJ$4,0)),NA(),IF(SUMPRODUCT((Inputs!$A$5:$A$180=$B16)*ISNUMBER(INDEX(Inputs!$K$5:$AJ$180,0,MATCH(AE$2,Inputs!$K$4:$AJ$4,0))))+SUMPRODUCT((Inputs!$C$5:$C$180=$B16)*ISNUMBER(INDEX(Inputs!$K$5:$AJ$180,0,MATCH(AE$2,Inputs!$K$4:$AJ$4,0))))+SUMPRODUCT((Inputs!$E$5:$E$180=$B16)*ISNUMBER(INDEX(Inputs!$K$5:$AJ$180,0,MATCH(AE$2,Inputs!$K$4:$AJ$4,0))))=0,NA(),SUMPRODUCT((Inputs!$A$5:$A$180=$B16)*Inputs!$B$5:$B$180*(((Inputs!$G$5:$G$180="moeda")+(Inputs!$G$5:$G$180="acoes"))*Inputs!$B$1+((Inputs!$G$5:$G$180&lt;&gt;"moeda")*(Inputs!$G$5:$G$180&lt;&gt;"acoes")))*INDEX(Inputs!$K$5:$AJ$180,0,MATCH(AE$2,Inputs!$K$4:$AJ$4,0)))+SUMPRODUCT((Inputs!$C$5:$C$180=$B16)*Inputs!$D$5:$D$180*(((Inputs!$G$5:$G$180="moeda")+(Inputs!$G$5:$G$180="acoes"))*Inputs!$B$1+((Inputs!$G$5:$G$180&lt;&gt;"moeda")*(Inputs!$G$5:$G$180&lt;&gt;"acoes")))*INDEX(Inputs!$K$5:$AJ$180,0,MATCH(AE$2,Inputs!$K$4:$AJ$4,0)))+SUMPRODUCT((Inputs!$E$5:$E$180=$B16)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6" s="6" t="e">
        <f>IF(ISNA(MATCH(AF$2,Inputs!$K$4:$AJ$4,0)),NA(),IF(SUMPRODUCT((Inputs!$A$5:$A$180=$B16)*ISNUMBER(INDEX(Inputs!$K$5:$AJ$180,0,MATCH(AF$2,Inputs!$K$4:$AJ$4,0))))+SUMPRODUCT((Inputs!$C$5:$C$180=$B16)*ISNUMBER(INDEX(Inputs!$K$5:$AJ$180,0,MATCH(AF$2,Inputs!$K$4:$AJ$4,0))))+SUMPRODUCT((Inputs!$E$5:$E$180=$B16)*ISNUMBER(INDEX(Inputs!$K$5:$AJ$180,0,MATCH(AF$2,Inputs!$K$4:$AJ$4,0))))=0,NA(),SUMPRODUCT((Inputs!$A$5:$A$180=$B16)*Inputs!$B$5:$B$180*(((Inputs!$G$5:$G$180="moeda")+(Inputs!$G$5:$G$180="acoes"))*Inputs!$B$1+((Inputs!$G$5:$G$180&lt;&gt;"moeda")*(Inputs!$G$5:$G$180&lt;&gt;"acoes")))*INDEX(Inputs!$K$5:$AJ$180,0,MATCH(AF$2,Inputs!$K$4:$AJ$4,0)))+SUMPRODUCT((Inputs!$C$5:$C$180=$B16)*Inputs!$D$5:$D$180*(((Inputs!$G$5:$G$180="moeda")+(Inputs!$G$5:$G$180="acoes"))*Inputs!$B$1+((Inputs!$G$5:$G$180&lt;&gt;"moeda")*(Inputs!$G$5:$G$180&lt;&gt;"acoes")))*INDEX(Inputs!$K$5:$AJ$180,0,MATCH(AF$2,Inputs!$K$4:$AJ$4,0)))+SUMPRODUCT((Inputs!$E$5:$E$180=$B16)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6" s="3" t="e">
        <f>AF16</f>
        <v>#N/A</v>
      </c>
      <c r="AH16" s="6">
        <f>IF(ISNA(MATCH(AH$2,Inputs!$K$4:$AJ$4,0)),NA(),IF(SUMPRODUCT((Inputs!$A$5:$A$180=$B16)*ISNUMBER(INDEX(Inputs!$K$5:$AJ$180,0,MATCH(AH$2,Inputs!$K$4:$AJ$4,0))))+SUMPRODUCT((Inputs!$C$5:$C$180=$B16)*ISNUMBER(INDEX(Inputs!$K$5:$AJ$180,0,MATCH(AH$2,Inputs!$K$4:$AJ$4,0))))+SUMPRODUCT((Inputs!$E$5:$E$180=$B16)*ISNUMBER(INDEX(Inputs!$K$5:$AJ$180,0,MATCH(AH$2,Inputs!$K$4:$AJ$4,0))))=0,NA(),SUMPRODUCT((Inputs!$A$5:$A$180=$B16)*Inputs!$B$5:$B$180*(((Inputs!$G$5:$G$180="moeda")+(Inputs!$G$5:$G$180="acoes"))*Inputs!$B$1+((Inputs!$G$5:$G$180&lt;&gt;"moeda")*(Inputs!$G$5:$G$180&lt;&gt;"acoes")))*INDEX(Inputs!$K$5:$AJ$180,0,MATCH(AH$2,Inputs!$K$4:$AJ$4,0)))+SUMPRODUCT((Inputs!$C$5:$C$180=$B16)*Inputs!$D$5:$D$180*(((Inputs!$G$5:$G$180="moeda")+(Inputs!$G$5:$G$180="acoes"))*Inputs!$B$1+((Inputs!$G$5:$G$180&lt;&gt;"moeda")*(Inputs!$G$5:$G$180&lt;&gt;"acoes")))*INDEX(Inputs!$K$5:$AJ$180,0,MATCH(AH$2,Inputs!$K$4:$AJ$4,0)))+SUMPRODUCT((Inputs!$E$5:$E$180=$B16)*Inputs!$F$5:$F$180*(((Inputs!$G$5:$G$180="moeda")+(Inputs!$G$5:$G$180="acoes"))*Inputs!$B$1+((Inputs!$G$5:$G$180&lt;&gt;"moeda")*(Inputs!$G$5:$G$180&lt;&gt;"acoes")))*INDEX(Inputs!$K$5:$AJ$180,0,MATCH(AH$2,Inputs!$K$4:$AJ$4,0)))))</f>
        <v>281.886</v>
      </c>
      <c r="AI16" s="6">
        <f>IF(ISNA(MATCH(AI$2,Inputs!$K$4:$AJ$4,0)),NA(),IF(SUMPRODUCT((Inputs!$A$5:$A$180=$B16)*ISNUMBER(INDEX(Inputs!$K$5:$AJ$180,0,MATCH(AI$2,Inputs!$K$4:$AJ$4,0))))+SUMPRODUCT((Inputs!$C$5:$C$180=$B16)*ISNUMBER(INDEX(Inputs!$K$5:$AJ$180,0,MATCH(AI$2,Inputs!$K$4:$AJ$4,0))))+SUMPRODUCT((Inputs!$E$5:$E$180=$B16)*ISNUMBER(INDEX(Inputs!$K$5:$AJ$180,0,MATCH(AI$2,Inputs!$K$4:$AJ$4,0))))=0,NA(),SUMPRODUCT((Inputs!$A$5:$A$180=$B16)*Inputs!$B$5:$B$180*(((Inputs!$G$5:$G$180="moeda")+(Inputs!$G$5:$G$180="acoes"))*Inputs!$B$1+((Inputs!$G$5:$G$180&lt;&gt;"moeda")*(Inputs!$G$5:$G$180&lt;&gt;"acoes")))*INDEX(Inputs!$K$5:$AJ$180,0,MATCH(AI$2,Inputs!$K$4:$AJ$4,0)))+SUMPRODUCT((Inputs!$C$5:$C$180=$B16)*Inputs!$D$5:$D$180*(((Inputs!$G$5:$G$180="moeda")+(Inputs!$G$5:$G$180="acoes"))*Inputs!$B$1+((Inputs!$G$5:$G$180&lt;&gt;"moeda")*(Inputs!$G$5:$G$180&lt;&gt;"acoes")))*INDEX(Inputs!$K$5:$AJ$180,0,MATCH(AI$2,Inputs!$K$4:$AJ$4,0)))+SUMPRODUCT((Inputs!$E$5:$E$180=$B16)*Inputs!$F$5:$F$180*(((Inputs!$G$5:$G$180="moeda")+(Inputs!$G$5:$G$180="acoes"))*Inputs!$B$1+((Inputs!$G$5:$G$180&lt;&gt;"moeda")*(Inputs!$G$5:$G$180&lt;&gt;"acoes")))*INDEX(Inputs!$K$5:$AJ$180,0,MATCH(AI$2,Inputs!$K$4:$AJ$4,0)))))</f>
        <v>212.01211631</v>
      </c>
      <c r="AJ16" s="6">
        <f>IF(ISNA(MATCH(AJ$2,Inputs!$K$4:$AJ$4,0)),NA(),IF(SUMPRODUCT((Inputs!$A$5:$A$180=$B16)*ISNUMBER(INDEX(Inputs!$K$5:$AJ$180,0,MATCH(AJ$2,Inputs!$K$4:$AJ$4,0))))+SUMPRODUCT((Inputs!$C$5:$C$180=$B16)*ISNUMBER(INDEX(Inputs!$K$5:$AJ$180,0,MATCH(AJ$2,Inputs!$K$4:$AJ$4,0))))+SUMPRODUCT((Inputs!$E$5:$E$180=$B16)*ISNUMBER(INDEX(Inputs!$K$5:$AJ$180,0,MATCH(AJ$2,Inputs!$K$4:$AJ$4,0))))=0,NA(),SUMPRODUCT((Inputs!$A$5:$A$180=$B16)*Inputs!$B$5:$B$180*(((Inputs!$G$5:$G$180="moeda")+(Inputs!$G$5:$G$180="acoes"))*Inputs!$B$1+((Inputs!$G$5:$G$180&lt;&gt;"moeda")*(Inputs!$G$5:$G$180&lt;&gt;"acoes")))*INDEX(Inputs!$K$5:$AJ$180,0,MATCH(AJ$2,Inputs!$K$4:$AJ$4,0)))+SUMPRODUCT((Inputs!$C$5:$C$180=$B16)*Inputs!$D$5:$D$180*(((Inputs!$G$5:$G$180="moeda")+(Inputs!$G$5:$G$180="acoes"))*Inputs!$B$1+((Inputs!$G$5:$G$180&lt;&gt;"moeda")*(Inputs!$G$5:$G$180&lt;&gt;"acoes")))*INDEX(Inputs!$K$5:$AJ$180,0,MATCH(AJ$2,Inputs!$K$4:$AJ$4,0)))+SUMPRODUCT((Inputs!$E$5:$E$180=$B16)*Inputs!$F$5:$F$180*(((Inputs!$G$5:$G$180="moeda")+(Inputs!$G$5:$G$180="acoes"))*Inputs!$B$1+((Inputs!$G$5:$G$180&lt;&gt;"moeda")*(Inputs!$G$5:$G$180&lt;&gt;"acoes")))*INDEX(Inputs!$K$5:$AJ$180,0,MATCH(AJ$2,Inputs!$K$4:$AJ$4,0)))))</f>
        <v>226.69560066</v>
      </c>
      <c r="AK16" s="6">
        <f>IF(ISNA(MATCH(AK$2,Inputs!$K$4:$AJ$4,0)),NA(),IF(SUMPRODUCT((Inputs!$A$5:$A$180=$B16)*ISNUMBER(INDEX(Inputs!$K$5:$AJ$180,0,MATCH(AK$2,Inputs!$K$4:$AJ$4,0))))+SUMPRODUCT((Inputs!$C$5:$C$180=$B16)*ISNUMBER(INDEX(Inputs!$K$5:$AJ$180,0,MATCH(AK$2,Inputs!$K$4:$AJ$4,0))))+SUMPRODUCT((Inputs!$E$5:$E$180=$B16)*ISNUMBER(INDEX(Inputs!$K$5:$AJ$180,0,MATCH(AK$2,Inputs!$K$4:$AJ$4,0))))=0,NA(),SUMPRODUCT((Inputs!$A$5:$A$180=$B16)*Inputs!$B$5:$B$180*(((Inputs!$G$5:$G$180="moeda")+(Inputs!$G$5:$G$180="acoes"))*Inputs!$B$1+((Inputs!$G$5:$G$180&lt;&gt;"moeda")*(Inputs!$G$5:$G$180&lt;&gt;"acoes")))*INDEX(Inputs!$K$5:$AJ$180,0,MATCH(AK$2,Inputs!$K$4:$AJ$4,0)))+SUMPRODUCT((Inputs!$C$5:$C$180=$B16)*Inputs!$D$5:$D$180*(((Inputs!$G$5:$G$180="moeda")+(Inputs!$G$5:$G$180="acoes"))*Inputs!$B$1+((Inputs!$G$5:$G$180&lt;&gt;"moeda")*(Inputs!$G$5:$G$180&lt;&gt;"acoes")))*INDEX(Inputs!$K$5:$AJ$180,0,MATCH(AK$2,Inputs!$K$4:$AJ$4,0)))+SUMPRODUCT((Inputs!$E$5:$E$180=$B16)*Inputs!$F$5:$F$180*(((Inputs!$G$5:$G$180="moeda")+(Inputs!$G$5:$G$180="acoes"))*Inputs!$B$1+((Inputs!$G$5:$G$180&lt;&gt;"moeda")*(Inputs!$G$5:$G$180&lt;&gt;"acoes")))*INDEX(Inputs!$K$5:$AJ$180,0,MATCH(AK$2,Inputs!$K$4:$AJ$4,0)))))</f>
        <v>410.26258041</v>
      </c>
      <c r="AL16" s="3">
        <f>AK16</f>
        <v>410.26258041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$180=$B17)*ISNUMBER(INDEX(Inputs!$K$5:$AJ$180,0,MATCH(D$2,Inputs!$K$4:$AJ$4,0))))+SUMPRODUCT((Inputs!$C$5:$C$180=$B17)*ISNUMBER(INDEX(Inputs!$K$5:$AJ$180,0,MATCH(D$2,Inputs!$K$4:$AJ$4,0))))+SUMPRODUCT((Inputs!$E$5:$E$180=$B17)*ISNUMBER(INDEX(Inputs!$K$5:$AJ$180,0,MATCH(D$2,Inputs!$K$4:$AJ$4,0))))=0,NA(),SUMPRODUCT((Inputs!$A$5:$A$180=$B17)*Inputs!$B$5:$B$180*(((Inputs!$G$5:$G$180="moeda")+(Inputs!$G$5:$G$180="acoes"))*Inputs!$B$1+((Inputs!$G$5:$G$180&lt;&gt;"moeda")*(Inputs!$G$5:$G$180&lt;&gt;"acoes")))*INDEX(Inputs!$K$5:$AJ$180,0,MATCH(D$2,Inputs!$K$4:$AJ$4,0)))+SUMPRODUCT((Inputs!$C$5:$C$180=$B17)*Inputs!$D$5:$D$180*(((Inputs!$G$5:$G$180="moeda")+(Inputs!$G$5:$G$180="acoes"))*Inputs!$B$1+((Inputs!$G$5:$G$180&lt;&gt;"moeda")*(Inputs!$G$5:$G$180&lt;&gt;"acoes")))*INDEX(Inputs!$K$5:$AJ$180,0,MATCH(D$2,Inputs!$K$4:$AJ$4,0)))+SUMPRODUCT((Inputs!$E$5:$E$180=$B17)*Inputs!$F$5:$F$180*(((Inputs!$G$5:$G$180="moeda")+(Inputs!$G$5:$G$180="acoes"))*Inputs!$B$1+((Inputs!$G$5:$G$180&lt;&gt;"moeda")*(Inputs!$G$5:$G$180&lt;&gt;"acoes")))*INDEX(Inputs!$K$5:$AJ$180,0,MATCH(D$2,Inputs!$K$4:$AJ$4,0)))))</f>
        <v>410.608199707129</v>
      </c>
      <c r="E17" s="6">
        <f>IF(ISNA(MATCH(E$2,Inputs!$K$4:$AJ$4,0)),NA(),IF(SUMPRODUCT((Inputs!$A$5:$A$180=$B17)*ISNUMBER(INDEX(Inputs!$K$5:$AJ$180,0,MATCH(E$2,Inputs!$K$4:$AJ$4,0))))+SUMPRODUCT((Inputs!$C$5:$C$180=$B17)*ISNUMBER(INDEX(Inputs!$K$5:$AJ$180,0,MATCH(E$2,Inputs!$K$4:$AJ$4,0))))+SUMPRODUCT((Inputs!$E$5:$E$180=$B17)*ISNUMBER(INDEX(Inputs!$K$5:$AJ$180,0,MATCH(E$2,Inputs!$K$4:$AJ$4,0))))=0,NA(),SUMPRODUCT((Inputs!$A$5:$A$180=$B17)*Inputs!$B$5:$B$180*(((Inputs!$G$5:$G$180="moeda")+(Inputs!$G$5:$G$180="acoes"))*Inputs!$B$1+((Inputs!$G$5:$G$180&lt;&gt;"moeda")*(Inputs!$G$5:$G$180&lt;&gt;"acoes")))*INDEX(Inputs!$K$5:$AJ$180,0,MATCH(E$2,Inputs!$K$4:$AJ$4,0)))+SUMPRODUCT((Inputs!$C$5:$C$180=$B17)*Inputs!$D$5:$D$180*(((Inputs!$G$5:$G$180="moeda")+(Inputs!$G$5:$G$180="acoes"))*Inputs!$B$1+((Inputs!$G$5:$G$180&lt;&gt;"moeda")*(Inputs!$G$5:$G$180&lt;&gt;"acoes")))*INDEX(Inputs!$K$5:$AJ$180,0,MATCH(E$2,Inputs!$K$4:$AJ$4,0)))+SUMPRODUCT((Inputs!$E$5:$E$180=$B17)*Inputs!$F$5:$F$180*(((Inputs!$G$5:$G$180="moeda")+(Inputs!$G$5:$G$180="acoes"))*Inputs!$B$1+((Inputs!$G$5:$G$180&lt;&gt;"moeda")*(Inputs!$G$5:$G$180&lt;&gt;"acoes")))*INDEX(Inputs!$K$5:$AJ$180,0,MATCH(E$2,Inputs!$K$4:$AJ$4,0)))))</f>
        <v>443.718574357593</v>
      </c>
      <c r="F17" s="6">
        <f>IF(ISNA(MATCH(F$2,Inputs!$K$4:$AJ$4,0)),NA(),IF(SUMPRODUCT((Inputs!$A$5:$A$180=$B17)*ISNUMBER(INDEX(Inputs!$K$5:$AJ$180,0,MATCH(F$2,Inputs!$K$4:$AJ$4,0))))+SUMPRODUCT((Inputs!$C$5:$C$180=$B17)*ISNUMBER(INDEX(Inputs!$K$5:$AJ$180,0,MATCH(F$2,Inputs!$K$4:$AJ$4,0))))+SUMPRODUCT((Inputs!$E$5:$E$180=$B17)*ISNUMBER(INDEX(Inputs!$K$5:$AJ$180,0,MATCH(F$2,Inputs!$K$4:$AJ$4,0))))=0,NA(),SUMPRODUCT((Inputs!$A$5:$A$180=$B17)*Inputs!$B$5:$B$180*(((Inputs!$G$5:$G$180="moeda")+(Inputs!$G$5:$G$180="acoes"))*Inputs!$B$1+((Inputs!$G$5:$G$180&lt;&gt;"moeda")*(Inputs!$G$5:$G$180&lt;&gt;"acoes")))*INDEX(Inputs!$K$5:$AJ$180,0,MATCH(F$2,Inputs!$K$4:$AJ$4,0)))+SUMPRODUCT((Inputs!$C$5:$C$180=$B17)*Inputs!$D$5:$D$180*(((Inputs!$G$5:$G$180="moeda")+(Inputs!$G$5:$G$180="acoes"))*Inputs!$B$1+((Inputs!$G$5:$G$180&lt;&gt;"moeda")*(Inputs!$G$5:$G$180&lt;&gt;"acoes")))*INDEX(Inputs!$K$5:$AJ$180,0,MATCH(F$2,Inputs!$K$4:$AJ$4,0)))+SUMPRODUCT((Inputs!$E$5:$E$180=$B17)*Inputs!$F$5:$F$180*(((Inputs!$G$5:$G$180="moeda")+(Inputs!$G$5:$G$180="acoes"))*Inputs!$B$1+((Inputs!$G$5:$G$180&lt;&gt;"moeda")*(Inputs!$G$5:$G$180&lt;&gt;"acoes")))*INDEX(Inputs!$K$5:$AJ$180,0,MATCH(F$2,Inputs!$K$4:$AJ$4,0)))))</f>
        <v>525.699078046804</v>
      </c>
      <c r="G17" s="6">
        <f>IF(ISNA(MATCH(G$2,Inputs!$K$4:$AJ$4,0)),NA(),IF(SUMPRODUCT((Inputs!$A$5:$A$180=$B17)*ISNUMBER(INDEX(Inputs!$K$5:$AJ$180,0,MATCH(G$2,Inputs!$K$4:$AJ$4,0))))+SUMPRODUCT((Inputs!$C$5:$C$180=$B17)*ISNUMBER(INDEX(Inputs!$K$5:$AJ$180,0,MATCH(G$2,Inputs!$K$4:$AJ$4,0))))+SUMPRODUCT((Inputs!$E$5:$E$180=$B17)*ISNUMBER(INDEX(Inputs!$K$5:$AJ$180,0,MATCH(G$2,Inputs!$K$4:$AJ$4,0))))=0,NA(),SUMPRODUCT((Inputs!$A$5:$A$180=$B17)*Inputs!$B$5:$B$180*(((Inputs!$G$5:$G$180="moeda")+(Inputs!$G$5:$G$180="acoes"))*Inputs!$B$1+((Inputs!$G$5:$G$180&lt;&gt;"moeda")*(Inputs!$G$5:$G$180&lt;&gt;"acoes")))*INDEX(Inputs!$K$5:$AJ$180,0,MATCH(G$2,Inputs!$K$4:$AJ$4,0)))+SUMPRODUCT((Inputs!$C$5:$C$180=$B17)*Inputs!$D$5:$D$180*(((Inputs!$G$5:$G$180="moeda")+(Inputs!$G$5:$G$180="acoes"))*Inputs!$B$1+((Inputs!$G$5:$G$180&lt;&gt;"moeda")*(Inputs!$G$5:$G$180&lt;&gt;"acoes")))*INDEX(Inputs!$K$5:$AJ$180,0,MATCH(G$2,Inputs!$K$4:$AJ$4,0)))+SUMPRODUCT((Inputs!$E$5:$E$180=$B17)*Inputs!$F$5:$F$180*(((Inputs!$G$5:$G$180="moeda")+(Inputs!$G$5:$G$180="acoes"))*Inputs!$B$1+((Inputs!$G$5:$G$180&lt;&gt;"moeda")*(Inputs!$G$5:$G$180&lt;&gt;"acoes")))*INDEX(Inputs!$K$5:$AJ$180,0,MATCH(G$2,Inputs!$K$4:$AJ$4,0)))))</f>
        <v>527.13903596741</v>
      </c>
      <c r="H17" s="3">
        <f>G17</f>
        <v>527.13903596741</v>
      </c>
      <c r="I17" s="6">
        <f>IF(ISNA(MATCH(I$2,Inputs!$K$4:$AJ$4,0)),NA(),IF(SUMPRODUCT((Inputs!$A$5:$A$180=$B17)*ISNUMBER(INDEX(Inputs!$K$5:$AJ$180,0,MATCH(I$2,Inputs!$K$4:$AJ$4,0))))+SUMPRODUCT((Inputs!$C$5:$C$180=$B17)*ISNUMBER(INDEX(Inputs!$K$5:$AJ$180,0,MATCH(I$2,Inputs!$K$4:$AJ$4,0))))+SUMPRODUCT((Inputs!$E$5:$E$180=$B17)*ISNUMBER(INDEX(Inputs!$K$5:$AJ$180,0,MATCH(I$2,Inputs!$K$4:$AJ$4,0))))=0,NA(),SUMPRODUCT((Inputs!$A$5:$A$180=$B17)*Inputs!$B$5:$B$180*(((Inputs!$G$5:$G$180="moeda")+(Inputs!$G$5:$G$180="acoes"))*Inputs!$B$1+((Inputs!$G$5:$G$180&lt;&gt;"moeda")*(Inputs!$G$5:$G$180&lt;&gt;"acoes")))*INDEX(Inputs!$K$5:$AJ$180,0,MATCH(I$2,Inputs!$K$4:$AJ$4,0)))+SUMPRODUCT((Inputs!$C$5:$C$180=$B17)*Inputs!$D$5:$D$180*(((Inputs!$G$5:$G$180="moeda")+(Inputs!$G$5:$G$180="acoes"))*Inputs!$B$1+((Inputs!$G$5:$G$180&lt;&gt;"moeda")*(Inputs!$G$5:$G$180&lt;&gt;"acoes")))*INDEX(Inputs!$K$5:$AJ$180,0,MATCH(I$2,Inputs!$K$4:$AJ$4,0)))+SUMPRODUCT((Inputs!$E$5:$E$180=$B17)*Inputs!$F$5:$F$180*(((Inputs!$G$5:$G$180="moeda")+(Inputs!$G$5:$G$180="acoes"))*Inputs!$B$1+((Inputs!$G$5:$G$180&lt;&gt;"moeda")*(Inputs!$G$5:$G$180&lt;&gt;"acoes")))*INDEX(Inputs!$K$5:$AJ$180,0,MATCH(I$2,Inputs!$K$4:$AJ$4,0)))))</f>
        <v>620.107869748236</v>
      </c>
      <c r="J17" s="6">
        <f>IF(ISNA(MATCH(J$2,Inputs!$K$4:$AJ$4,0)),NA(),IF(SUMPRODUCT((Inputs!$A$5:$A$180=$B17)*ISNUMBER(INDEX(Inputs!$K$5:$AJ$180,0,MATCH(J$2,Inputs!$K$4:$AJ$4,0))))+SUMPRODUCT((Inputs!$C$5:$C$180=$B17)*ISNUMBER(INDEX(Inputs!$K$5:$AJ$180,0,MATCH(J$2,Inputs!$K$4:$AJ$4,0))))+SUMPRODUCT((Inputs!$E$5:$E$180=$B17)*ISNUMBER(INDEX(Inputs!$K$5:$AJ$180,0,MATCH(J$2,Inputs!$K$4:$AJ$4,0))))=0,NA(),SUMPRODUCT((Inputs!$A$5:$A$180=$B17)*Inputs!$B$5:$B$180*(((Inputs!$G$5:$G$180="moeda")+(Inputs!$G$5:$G$180="acoes"))*Inputs!$B$1+((Inputs!$G$5:$G$180&lt;&gt;"moeda")*(Inputs!$G$5:$G$180&lt;&gt;"acoes")))*INDEX(Inputs!$K$5:$AJ$180,0,MATCH(J$2,Inputs!$K$4:$AJ$4,0)))+SUMPRODUCT((Inputs!$C$5:$C$180=$B17)*Inputs!$D$5:$D$180*(((Inputs!$G$5:$G$180="moeda")+(Inputs!$G$5:$G$180="acoes"))*Inputs!$B$1+((Inputs!$G$5:$G$180&lt;&gt;"moeda")*(Inputs!$G$5:$G$180&lt;&gt;"acoes")))*INDEX(Inputs!$K$5:$AJ$180,0,MATCH(J$2,Inputs!$K$4:$AJ$4,0)))+SUMPRODUCT((Inputs!$E$5:$E$180=$B17)*Inputs!$F$5:$F$180*(((Inputs!$G$5:$G$180="moeda")+(Inputs!$G$5:$G$180="acoes"))*Inputs!$B$1+((Inputs!$G$5:$G$180&lt;&gt;"moeda")*(Inputs!$G$5:$G$180&lt;&gt;"acoes")))*INDEX(Inputs!$K$5:$AJ$180,0,MATCH(J$2,Inputs!$K$4:$AJ$4,0)))))</f>
        <v>646.090698547936</v>
      </c>
      <c r="K17" s="6">
        <f>IF(ISNA(MATCH(K$2,Inputs!$K$4:$AJ$4,0)),NA(),IF(SUMPRODUCT((Inputs!$A$5:$A$180=$B17)*ISNUMBER(INDEX(Inputs!$K$5:$AJ$180,0,MATCH(K$2,Inputs!$K$4:$AJ$4,0))))+SUMPRODUCT((Inputs!$C$5:$C$180=$B17)*ISNUMBER(INDEX(Inputs!$K$5:$AJ$180,0,MATCH(K$2,Inputs!$K$4:$AJ$4,0))))+SUMPRODUCT((Inputs!$E$5:$E$180=$B17)*ISNUMBER(INDEX(Inputs!$K$5:$AJ$180,0,MATCH(K$2,Inputs!$K$4:$AJ$4,0))))=0,NA(),SUMPRODUCT((Inputs!$A$5:$A$180=$B17)*Inputs!$B$5:$B$180*(((Inputs!$G$5:$G$180="moeda")+(Inputs!$G$5:$G$180="acoes"))*Inputs!$B$1+((Inputs!$G$5:$G$180&lt;&gt;"moeda")*(Inputs!$G$5:$G$180&lt;&gt;"acoes")))*INDEX(Inputs!$K$5:$AJ$180,0,MATCH(K$2,Inputs!$K$4:$AJ$4,0)))+SUMPRODUCT((Inputs!$C$5:$C$180=$B17)*Inputs!$D$5:$D$180*(((Inputs!$G$5:$G$180="moeda")+(Inputs!$G$5:$G$180="acoes"))*Inputs!$B$1+((Inputs!$G$5:$G$180&lt;&gt;"moeda")*(Inputs!$G$5:$G$180&lt;&gt;"acoes")))*INDEX(Inputs!$K$5:$AJ$180,0,MATCH(K$2,Inputs!$K$4:$AJ$4,0)))+SUMPRODUCT((Inputs!$E$5:$E$180=$B17)*Inputs!$F$5:$F$180*(((Inputs!$G$5:$G$180="moeda")+(Inputs!$G$5:$G$180="acoes"))*Inputs!$B$1+((Inputs!$G$5:$G$180&lt;&gt;"moeda")*(Inputs!$G$5:$G$180&lt;&gt;"acoes")))*INDEX(Inputs!$K$5:$AJ$180,0,MATCH(K$2,Inputs!$K$4:$AJ$4,0)))))</f>
        <v>774.751166101163</v>
      </c>
      <c r="L17" s="6">
        <f>IF(ISNA(MATCH(L$2,Inputs!$K$4:$AJ$4,0)),NA(),IF(SUMPRODUCT((Inputs!$A$5:$A$180=$B17)*ISNUMBER(INDEX(Inputs!$K$5:$AJ$180,0,MATCH(L$2,Inputs!$K$4:$AJ$4,0))))+SUMPRODUCT((Inputs!$C$5:$C$180=$B17)*ISNUMBER(INDEX(Inputs!$K$5:$AJ$180,0,MATCH(L$2,Inputs!$K$4:$AJ$4,0))))+SUMPRODUCT((Inputs!$E$5:$E$180=$B17)*ISNUMBER(INDEX(Inputs!$K$5:$AJ$180,0,MATCH(L$2,Inputs!$K$4:$AJ$4,0))))=0,NA(),SUMPRODUCT((Inputs!$A$5:$A$180=$B17)*Inputs!$B$5:$B$180*(((Inputs!$G$5:$G$180="moeda")+(Inputs!$G$5:$G$180="acoes"))*Inputs!$B$1+((Inputs!$G$5:$G$180&lt;&gt;"moeda")*(Inputs!$G$5:$G$180&lt;&gt;"acoes")))*INDEX(Inputs!$K$5:$AJ$180,0,MATCH(L$2,Inputs!$K$4:$AJ$4,0)))+SUMPRODUCT((Inputs!$C$5:$C$180=$B17)*Inputs!$D$5:$D$180*(((Inputs!$G$5:$G$180="moeda")+(Inputs!$G$5:$G$180="acoes"))*Inputs!$B$1+((Inputs!$G$5:$G$180&lt;&gt;"moeda")*(Inputs!$G$5:$G$180&lt;&gt;"acoes")))*INDEX(Inputs!$K$5:$AJ$180,0,MATCH(L$2,Inputs!$K$4:$AJ$4,0)))+SUMPRODUCT((Inputs!$E$5:$E$180=$B17)*Inputs!$F$5:$F$180*(((Inputs!$G$5:$G$180="moeda")+(Inputs!$G$5:$G$180="acoes"))*Inputs!$B$1+((Inputs!$G$5:$G$180&lt;&gt;"moeda")*(Inputs!$G$5:$G$180&lt;&gt;"acoes")))*INDEX(Inputs!$K$5:$AJ$180,0,MATCH(L$2,Inputs!$K$4:$AJ$4,0)))))</f>
        <v>709.711831160603</v>
      </c>
      <c r="M17" s="3">
        <f>L17</f>
        <v>709.711831160603</v>
      </c>
      <c r="N17" s="6">
        <f>IF(ISNA(MATCH(N$2,Inputs!$K$4:$AJ$4,0)),NA(),IF(SUMPRODUCT((Inputs!$A$5:$A$180=$B17)*ISNUMBER(INDEX(Inputs!$K$5:$AJ$180,0,MATCH(N$2,Inputs!$K$4:$AJ$4,0))))+SUMPRODUCT((Inputs!$C$5:$C$180=$B17)*ISNUMBER(INDEX(Inputs!$K$5:$AJ$180,0,MATCH(N$2,Inputs!$K$4:$AJ$4,0))))+SUMPRODUCT((Inputs!$E$5:$E$180=$B17)*ISNUMBER(INDEX(Inputs!$K$5:$AJ$180,0,MATCH(N$2,Inputs!$K$4:$AJ$4,0))))=0,NA(),SUMPRODUCT((Inputs!$A$5:$A$180=$B17)*Inputs!$B$5:$B$180*(((Inputs!$G$5:$G$180="moeda")+(Inputs!$G$5:$G$180="acoes"))*Inputs!$B$1+((Inputs!$G$5:$G$180&lt;&gt;"moeda")*(Inputs!$G$5:$G$180&lt;&gt;"acoes")))*INDEX(Inputs!$K$5:$AJ$180,0,MATCH(N$2,Inputs!$K$4:$AJ$4,0)))+SUMPRODUCT((Inputs!$C$5:$C$180=$B17)*Inputs!$D$5:$D$180*(((Inputs!$G$5:$G$180="moeda")+(Inputs!$G$5:$G$180="acoes"))*Inputs!$B$1+((Inputs!$G$5:$G$180&lt;&gt;"moeda")*(Inputs!$G$5:$G$180&lt;&gt;"acoes")))*INDEX(Inputs!$K$5:$AJ$180,0,MATCH(N$2,Inputs!$K$4:$AJ$4,0)))+SUMPRODUCT((Inputs!$E$5:$E$180=$B17)*Inputs!$F$5:$F$180*(((Inputs!$G$5:$G$180="moeda")+(Inputs!$G$5:$G$180="acoes"))*Inputs!$B$1+((Inputs!$G$5:$G$180&lt;&gt;"moeda")*(Inputs!$G$5:$G$180&lt;&gt;"acoes")))*INDEX(Inputs!$K$5:$AJ$180,0,MATCH(N$2,Inputs!$K$4:$AJ$4,0)))))</f>
        <v>802.728</v>
      </c>
      <c r="O17" s="6">
        <f>IF(ISNA(MATCH(O$2,Inputs!$K$4:$AJ$4,0)),NA(),IF(SUMPRODUCT((Inputs!$A$5:$A$180=$B17)*ISNUMBER(INDEX(Inputs!$K$5:$AJ$180,0,MATCH(O$2,Inputs!$K$4:$AJ$4,0))))+SUMPRODUCT((Inputs!$C$5:$C$180=$B17)*ISNUMBER(INDEX(Inputs!$K$5:$AJ$180,0,MATCH(O$2,Inputs!$K$4:$AJ$4,0))))+SUMPRODUCT((Inputs!$E$5:$E$180=$B17)*ISNUMBER(INDEX(Inputs!$K$5:$AJ$180,0,MATCH(O$2,Inputs!$K$4:$AJ$4,0))))=0,NA(),SUMPRODUCT((Inputs!$A$5:$A$180=$B17)*Inputs!$B$5:$B$180*(((Inputs!$G$5:$G$180="moeda")+(Inputs!$G$5:$G$180="acoes"))*Inputs!$B$1+((Inputs!$G$5:$G$180&lt;&gt;"moeda")*(Inputs!$G$5:$G$180&lt;&gt;"acoes")))*INDEX(Inputs!$K$5:$AJ$180,0,MATCH(O$2,Inputs!$K$4:$AJ$4,0)))+SUMPRODUCT((Inputs!$C$5:$C$180=$B17)*Inputs!$D$5:$D$180*(((Inputs!$G$5:$G$180="moeda")+(Inputs!$G$5:$G$180="acoes"))*Inputs!$B$1+((Inputs!$G$5:$G$180&lt;&gt;"moeda")*(Inputs!$G$5:$G$180&lt;&gt;"acoes")))*INDEX(Inputs!$K$5:$AJ$180,0,MATCH(O$2,Inputs!$K$4:$AJ$4,0)))+SUMPRODUCT((Inputs!$E$5:$E$180=$B17)*Inputs!$F$5:$F$180*(((Inputs!$G$5:$G$180="moeda")+(Inputs!$G$5:$G$180="acoes"))*Inputs!$B$1+((Inputs!$G$5:$G$180&lt;&gt;"moeda")*(Inputs!$G$5:$G$180&lt;&gt;"acoes")))*INDEX(Inputs!$K$5:$AJ$180,0,MATCH(O$2,Inputs!$K$4:$AJ$4,0)))))</f>
        <v>851.364871667931</v>
      </c>
      <c r="P17" s="6">
        <f>IF(ISNA(MATCH(P$2,Inputs!$K$4:$AJ$4,0)),NA(),IF(SUMPRODUCT((Inputs!$A$5:$A$180=$B17)*ISNUMBER(INDEX(Inputs!$K$5:$AJ$180,0,MATCH(P$2,Inputs!$K$4:$AJ$4,0))))+SUMPRODUCT((Inputs!$C$5:$C$180=$B17)*ISNUMBER(INDEX(Inputs!$K$5:$AJ$180,0,MATCH(P$2,Inputs!$K$4:$AJ$4,0))))+SUMPRODUCT((Inputs!$E$5:$E$180=$B17)*ISNUMBER(INDEX(Inputs!$K$5:$AJ$180,0,MATCH(P$2,Inputs!$K$4:$AJ$4,0))))=0,NA(),SUMPRODUCT((Inputs!$A$5:$A$180=$B17)*Inputs!$B$5:$B$180*(((Inputs!$G$5:$G$180="moeda")+(Inputs!$G$5:$G$180="acoes"))*Inputs!$B$1+((Inputs!$G$5:$G$180&lt;&gt;"moeda")*(Inputs!$G$5:$G$180&lt;&gt;"acoes")))*INDEX(Inputs!$K$5:$AJ$180,0,MATCH(P$2,Inputs!$K$4:$AJ$4,0)))+SUMPRODUCT((Inputs!$C$5:$C$180=$B17)*Inputs!$D$5:$D$180*(((Inputs!$G$5:$G$180="moeda")+(Inputs!$G$5:$G$180="acoes"))*Inputs!$B$1+((Inputs!$G$5:$G$180&lt;&gt;"moeda")*(Inputs!$G$5:$G$180&lt;&gt;"acoes")))*INDEX(Inputs!$K$5:$AJ$180,0,MATCH(P$2,Inputs!$K$4:$AJ$4,0)))+SUMPRODUCT((Inputs!$E$5:$E$180=$B17)*Inputs!$F$5:$F$180*(((Inputs!$G$5:$G$180="moeda")+(Inputs!$G$5:$G$180="acoes"))*Inputs!$B$1+((Inputs!$G$5:$G$180&lt;&gt;"moeda")*(Inputs!$G$5:$G$180&lt;&gt;"acoes")))*INDEX(Inputs!$K$5:$AJ$180,0,MATCH(P$2,Inputs!$K$4:$AJ$4,0)))))</f>
        <v>876.44506394938</v>
      </c>
      <c r="Q17" s="6">
        <f>IF(ISNA(MATCH(Q$2,Inputs!$K$4:$AJ$4,0)),NA(),IF(SUMPRODUCT((Inputs!$A$5:$A$180=$B17)*ISNUMBER(INDEX(Inputs!$K$5:$AJ$180,0,MATCH(Q$2,Inputs!$K$4:$AJ$4,0))))+SUMPRODUCT((Inputs!$C$5:$C$180=$B17)*ISNUMBER(INDEX(Inputs!$K$5:$AJ$180,0,MATCH(Q$2,Inputs!$K$4:$AJ$4,0))))+SUMPRODUCT((Inputs!$E$5:$E$180=$B17)*ISNUMBER(INDEX(Inputs!$K$5:$AJ$180,0,MATCH(Q$2,Inputs!$K$4:$AJ$4,0))))=0,NA(),SUMPRODUCT((Inputs!$A$5:$A$180=$B17)*Inputs!$B$5:$B$180*(((Inputs!$G$5:$G$180="moeda")+(Inputs!$G$5:$G$180="acoes"))*Inputs!$B$1+((Inputs!$G$5:$G$180&lt;&gt;"moeda")*(Inputs!$G$5:$G$180&lt;&gt;"acoes")))*INDEX(Inputs!$K$5:$AJ$180,0,MATCH(Q$2,Inputs!$K$4:$AJ$4,0)))+SUMPRODUCT((Inputs!$C$5:$C$180=$B17)*Inputs!$D$5:$D$180*(((Inputs!$G$5:$G$180="moeda")+(Inputs!$G$5:$G$180="acoes"))*Inputs!$B$1+((Inputs!$G$5:$G$180&lt;&gt;"moeda")*(Inputs!$G$5:$G$180&lt;&gt;"acoes")))*INDEX(Inputs!$K$5:$AJ$180,0,MATCH(Q$2,Inputs!$K$4:$AJ$4,0)))+SUMPRODUCT((Inputs!$E$5:$E$180=$B17)*Inputs!$F$5:$F$180*(((Inputs!$G$5:$G$180="moeda")+(Inputs!$G$5:$G$180="acoes"))*Inputs!$B$1+((Inputs!$G$5:$G$180&lt;&gt;"moeda")*(Inputs!$G$5:$G$180&lt;&gt;"acoes")))*INDEX(Inputs!$K$5:$AJ$180,0,MATCH(Q$2,Inputs!$K$4:$AJ$4,0)))))</f>
        <v>782.706418471491</v>
      </c>
      <c r="R17" s="3">
        <f>Q17</f>
        <v>782.706418471491</v>
      </c>
      <c r="S17" s="6">
        <f>IF(ISNA(MATCH(S$2,Inputs!$K$4:$AJ$4,0)),NA(),IF(SUMPRODUCT((Inputs!$A$5:$A$180=$B17)*ISNUMBER(INDEX(Inputs!$K$5:$AJ$180,0,MATCH(S$2,Inputs!$K$4:$AJ$4,0))))+SUMPRODUCT((Inputs!$C$5:$C$180=$B17)*ISNUMBER(INDEX(Inputs!$K$5:$AJ$180,0,MATCH(S$2,Inputs!$K$4:$AJ$4,0))))+SUMPRODUCT((Inputs!$E$5:$E$180=$B17)*ISNUMBER(INDEX(Inputs!$K$5:$AJ$180,0,MATCH(S$2,Inputs!$K$4:$AJ$4,0))))=0,NA(),SUMPRODUCT((Inputs!$A$5:$A$180=$B17)*Inputs!$B$5:$B$180*(((Inputs!$G$5:$G$180="moeda")+(Inputs!$G$5:$G$180="acoes"))*Inputs!$B$1+((Inputs!$G$5:$G$180&lt;&gt;"moeda")*(Inputs!$G$5:$G$180&lt;&gt;"acoes")))*INDEX(Inputs!$K$5:$AJ$180,0,MATCH(S$2,Inputs!$K$4:$AJ$4,0)))+SUMPRODUCT((Inputs!$C$5:$C$180=$B17)*Inputs!$D$5:$D$180*(((Inputs!$G$5:$G$180="moeda")+(Inputs!$G$5:$G$180="acoes"))*Inputs!$B$1+((Inputs!$G$5:$G$180&lt;&gt;"moeda")*(Inputs!$G$5:$G$180&lt;&gt;"acoes")))*INDEX(Inputs!$K$5:$AJ$180,0,MATCH(S$2,Inputs!$K$4:$AJ$4,0)))+SUMPRODUCT((Inputs!$E$5:$E$180=$B17)*Inputs!$F$5:$F$180*(((Inputs!$G$5:$G$180="moeda")+(Inputs!$G$5:$G$180="acoes"))*Inputs!$B$1+((Inputs!$G$5:$G$180&lt;&gt;"moeda")*(Inputs!$G$5:$G$180&lt;&gt;"acoes")))*INDEX(Inputs!$K$5:$AJ$180,0,MATCH(S$2,Inputs!$K$4:$AJ$4,0)))))</f>
        <v>841.014912681228</v>
      </c>
      <c r="T17" s="6">
        <f>IF(ISNA(MATCH(T$2,Inputs!$K$4:$AJ$4,0)),NA(),IF(SUMPRODUCT((Inputs!$A$5:$A$180=$B17)*ISNUMBER(INDEX(Inputs!$K$5:$AJ$180,0,MATCH(T$2,Inputs!$K$4:$AJ$4,0))))+SUMPRODUCT((Inputs!$C$5:$C$180=$B17)*ISNUMBER(INDEX(Inputs!$K$5:$AJ$180,0,MATCH(T$2,Inputs!$K$4:$AJ$4,0))))+SUMPRODUCT((Inputs!$E$5:$E$180=$B17)*ISNUMBER(INDEX(Inputs!$K$5:$AJ$180,0,MATCH(T$2,Inputs!$K$4:$AJ$4,0))))=0,NA(),SUMPRODUCT((Inputs!$A$5:$A$180=$B17)*Inputs!$B$5:$B$180*(((Inputs!$G$5:$G$180="moeda")+(Inputs!$G$5:$G$180="acoes"))*Inputs!$B$1+((Inputs!$G$5:$G$180&lt;&gt;"moeda")*(Inputs!$G$5:$G$180&lt;&gt;"acoes")))*INDEX(Inputs!$K$5:$AJ$180,0,MATCH(T$2,Inputs!$K$4:$AJ$4,0)))+SUMPRODUCT((Inputs!$C$5:$C$180=$B17)*Inputs!$D$5:$D$180*(((Inputs!$G$5:$G$180="moeda")+(Inputs!$G$5:$G$180="acoes"))*Inputs!$B$1+((Inputs!$G$5:$G$180&lt;&gt;"moeda")*(Inputs!$G$5:$G$180&lt;&gt;"acoes")))*INDEX(Inputs!$K$5:$AJ$180,0,MATCH(T$2,Inputs!$K$4:$AJ$4,0)))+SUMPRODUCT((Inputs!$E$5:$E$180=$B17)*Inputs!$F$5:$F$180*(((Inputs!$G$5:$G$180="moeda")+(Inputs!$G$5:$G$180="acoes"))*Inputs!$B$1+((Inputs!$G$5:$G$180&lt;&gt;"moeda")*(Inputs!$G$5:$G$180&lt;&gt;"acoes")))*INDEX(Inputs!$K$5:$AJ$180,0,MATCH(T$2,Inputs!$K$4:$AJ$4,0)))))</f>
        <v>884.9347865509</v>
      </c>
      <c r="U17" s="6">
        <f>IF(ISNA(MATCH(U$2,Inputs!$K$4:$AJ$4,0)),NA(),IF(SUMPRODUCT((Inputs!$A$5:$A$180=$B17)*ISNUMBER(INDEX(Inputs!$K$5:$AJ$180,0,MATCH(U$2,Inputs!$K$4:$AJ$4,0))))+SUMPRODUCT((Inputs!$C$5:$C$180=$B17)*ISNUMBER(INDEX(Inputs!$K$5:$AJ$180,0,MATCH(U$2,Inputs!$K$4:$AJ$4,0))))+SUMPRODUCT((Inputs!$E$5:$E$180=$B17)*ISNUMBER(INDEX(Inputs!$K$5:$AJ$180,0,MATCH(U$2,Inputs!$K$4:$AJ$4,0))))=0,NA(),SUMPRODUCT((Inputs!$A$5:$A$180=$B17)*Inputs!$B$5:$B$180*(((Inputs!$G$5:$G$180="moeda")+(Inputs!$G$5:$G$180="acoes"))*Inputs!$B$1+((Inputs!$G$5:$G$180&lt;&gt;"moeda")*(Inputs!$G$5:$G$180&lt;&gt;"acoes")))*INDEX(Inputs!$K$5:$AJ$180,0,MATCH(U$2,Inputs!$K$4:$AJ$4,0)))+SUMPRODUCT((Inputs!$C$5:$C$180=$B17)*Inputs!$D$5:$D$180*(((Inputs!$G$5:$G$180="moeda")+(Inputs!$G$5:$G$180="acoes"))*Inputs!$B$1+((Inputs!$G$5:$G$180&lt;&gt;"moeda")*(Inputs!$G$5:$G$180&lt;&gt;"acoes")))*INDEX(Inputs!$K$5:$AJ$180,0,MATCH(U$2,Inputs!$K$4:$AJ$4,0)))+SUMPRODUCT((Inputs!$E$5:$E$180=$B17)*Inputs!$F$5:$F$180*(((Inputs!$G$5:$G$180="moeda")+(Inputs!$G$5:$G$180="acoes"))*Inputs!$B$1+((Inputs!$G$5:$G$180&lt;&gt;"moeda")*(Inputs!$G$5:$G$180&lt;&gt;"acoes")))*INDEX(Inputs!$K$5:$AJ$180,0,MATCH(U$2,Inputs!$K$4:$AJ$4,0)))))</f>
        <v>1056.1865511</v>
      </c>
      <c r="V17" s="6">
        <f>IF(ISNA(MATCH(V$2,Inputs!$K$4:$AJ$4,0)),NA(),IF(SUMPRODUCT((Inputs!$A$5:$A$180=$B17)*ISNUMBER(INDEX(Inputs!$K$5:$AJ$180,0,MATCH(V$2,Inputs!$K$4:$AJ$4,0))))+SUMPRODUCT((Inputs!$C$5:$C$180=$B17)*ISNUMBER(INDEX(Inputs!$K$5:$AJ$180,0,MATCH(V$2,Inputs!$K$4:$AJ$4,0))))+SUMPRODUCT((Inputs!$E$5:$E$180=$B17)*ISNUMBER(INDEX(Inputs!$K$5:$AJ$180,0,MATCH(V$2,Inputs!$K$4:$AJ$4,0))))=0,NA(),SUMPRODUCT((Inputs!$A$5:$A$180=$B17)*Inputs!$B$5:$B$180*(((Inputs!$G$5:$G$180="moeda")+(Inputs!$G$5:$G$180="acoes"))*Inputs!$B$1+((Inputs!$G$5:$G$180&lt;&gt;"moeda")*(Inputs!$G$5:$G$180&lt;&gt;"acoes")))*INDEX(Inputs!$K$5:$AJ$180,0,MATCH(V$2,Inputs!$K$4:$AJ$4,0)))+SUMPRODUCT((Inputs!$C$5:$C$180=$B17)*Inputs!$D$5:$D$180*(((Inputs!$G$5:$G$180="moeda")+(Inputs!$G$5:$G$180="acoes"))*Inputs!$B$1+((Inputs!$G$5:$G$180&lt;&gt;"moeda")*(Inputs!$G$5:$G$180&lt;&gt;"acoes")))*INDEX(Inputs!$K$5:$AJ$180,0,MATCH(V$2,Inputs!$K$4:$AJ$4,0)))+SUMPRODUCT((Inputs!$E$5:$E$180=$B17)*Inputs!$F$5:$F$180*(((Inputs!$G$5:$G$180="moeda")+(Inputs!$G$5:$G$180="acoes"))*Inputs!$B$1+((Inputs!$G$5:$G$180&lt;&gt;"moeda")*(Inputs!$G$5:$G$180&lt;&gt;"acoes")))*INDEX(Inputs!$K$5:$AJ$180,0,MATCH(V$2,Inputs!$K$4:$AJ$4,0)))))</f>
        <v>1332.57773279</v>
      </c>
      <c r="W17" s="3">
        <f>V17</f>
        <v>1332.57773279</v>
      </c>
      <c r="X17" s="6">
        <f>IF(ISNA(MATCH(X$2,Inputs!$K$4:$AJ$4,0)),NA(),IF(SUMPRODUCT((Inputs!$A$5:$A$180=$B17)*ISNUMBER(INDEX(Inputs!$K$5:$AJ$180,0,MATCH(X$2,Inputs!$K$4:$AJ$4,0))))+SUMPRODUCT((Inputs!$C$5:$C$180=$B17)*ISNUMBER(INDEX(Inputs!$K$5:$AJ$180,0,MATCH(X$2,Inputs!$K$4:$AJ$4,0))))+SUMPRODUCT((Inputs!$E$5:$E$180=$B17)*ISNUMBER(INDEX(Inputs!$K$5:$AJ$180,0,MATCH(X$2,Inputs!$K$4:$AJ$4,0))))=0,NA(),SUMPRODUCT((Inputs!$A$5:$A$180=$B17)*Inputs!$B$5:$B$180*(((Inputs!$G$5:$G$180="moeda")+(Inputs!$G$5:$G$180="acoes"))*Inputs!$B$1+((Inputs!$G$5:$G$180&lt;&gt;"moeda")*(Inputs!$G$5:$G$180&lt;&gt;"acoes")))*INDEX(Inputs!$K$5:$AJ$180,0,MATCH(X$2,Inputs!$K$4:$AJ$4,0)))+SUMPRODUCT((Inputs!$C$5:$C$180=$B17)*Inputs!$D$5:$D$180*(((Inputs!$G$5:$G$180="moeda")+(Inputs!$G$5:$G$180="acoes"))*Inputs!$B$1+((Inputs!$G$5:$G$180&lt;&gt;"moeda")*(Inputs!$G$5:$G$180&lt;&gt;"acoes")))*INDEX(Inputs!$K$5:$AJ$180,0,MATCH(X$2,Inputs!$K$4:$AJ$4,0)))+SUMPRODUCT((Inputs!$E$5:$E$180=$B17)*Inputs!$F$5:$F$180*(((Inputs!$G$5:$G$180="moeda")+(Inputs!$G$5:$G$180="acoes"))*Inputs!$B$1+((Inputs!$G$5:$G$180&lt;&gt;"moeda")*(Inputs!$G$5:$G$180&lt;&gt;"acoes")))*INDEX(Inputs!$K$5:$AJ$180,0,MATCH(X$2,Inputs!$K$4:$AJ$4,0)))))</f>
        <v>1504.0388615</v>
      </c>
      <c r="Y17" s="6">
        <f>IF(ISNA(MATCH(Y$2,Inputs!$K$4:$AJ$4,0)),NA(),IF(SUMPRODUCT((Inputs!$A$5:$A$180=$B17)*ISNUMBER(INDEX(Inputs!$K$5:$AJ$180,0,MATCH(Y$2,Inputs!$K$4:$AJ$4,0))))+SUMPRODUCT((Inputs!$C$5:$C$180=$B17)*ISNUMBER(INDEX(Inputs!$K$5:$AJ$180,0,MATCH(Y$2,Inputs!$K$4:$AJ$4,0))))+SUMPRODUCT((Inputs!$E$5:$E$180=$B17)*ISNUMBER(INDEX(Inputs!$K$5:$AJ$180,0,MATCH(Y$2,Inputs!$K$4:$AJ$4,0))))=0,NA(),SUMPRODUCT((Inputs!$A$5:$A$180=$B17)*Inputs!$B$5:$B$180*(((Inputs!$G$5:$G$180="moeda")+(Inputs!$G$5:$G$180="acoes"))*Inputs!$B$1+((Inputs!$G$5:$G$180&lt;&gt;"moeda")*(Inputs!$G$5:$G$180&lt;&gt;"acoes")))*INDEX(Inputs!$K$5:$AJ$180,0,MATCH(Y$2,Inputs!$K$4:$AJ$4,0)))+SUMPRODUCT((Inputs!$C$5:$C$180=$B17)*Inputs!$D$5:$D$180*(((Inputs!$G$5:$G$180="moeda")+(Inputs!$G$5:$G$180="acoes"))*Inputs!$B$1+((Inputs!$G$5:$G$180&lt;&gt;"moeda")*(Inputs!$G$5:$G$180&lt;&gt;"acoes")))*INDEX(Inputs!$K$5:$AJ$180,0,MATCH(Y$2,Inputs!$K$4:$AJ$4,0)))+SUMPRODUCT((Inputs!$E$5:$E$180=$B17)*Inputs!$F$5:$F$180*(((Inputs!$G$5:$G$180="moeda")+(Inputs!$G$5:$G$180="acoes"))*Inputs!$B$1+((Inputs!$G$5:$G$180&lt;&gt;"moeda")*(Inputs!$G$5:$G$180&lt;&gt;"acoes")))*INDEX(Inputs!$K$5:$AJ$180,0,MATCH(Y$2,Inputs!$K$4:$AJ$4,0)))))</f>
        <v>1496.59538213</v>
      </c>
      <c r="Z17" s="6">
        <f>IF(ISNA(MATCH(Z$2,Inputs!$K$4:$AJ$4,0)),NA(),IF(SUMPRODUCT((Inputs!$A$5:$A$180=$B17)*ISNUMBER(INDEX(Inputs!$K$5:$AJ$180,0,MATCH(Z$2,Inputs!$K$4:$AJ$4,0))))+SUMPRODUCT((Inputs!$C$5:$C$180=$B17)*ISNUMBER(INDEX(Inputs!$K$5:$AJ$180,0,MATCH(Z$2,Inputs!$K$4:$AJ$4,0))))+SUMPRODUCT((Inputs!$E$5:$E$180=$B17)*ISNUMBER(INDEX(Inputs!$K$5:$AJ$180,0,MATCH(Z$2,Inputs!$K$4:$AJ$4,0))))=0,NA(),SUMPRODUCT((Inputs!$A$5:$A$180=$B17)*Inputs!$B$5:$B$180*(((Inputs!$G$5:$G$180="moeda")+(Inputs!$G$5:$G$180="acoes"))*Inputs!$B$1+((Inputs!$G$5:$G$180&lt;&gt;"moeda")*(Inputs!$G$5:$G$180&lt;&gt;"acoes")))*INDEX(Inputs!$K$5:$AJ$180,0,MATCH(Z$2,Inputs!$K$4:$AJ$4,0)))+SUMPRODUCT((Inputs!$C$5:$C$180=$B17)*Inputs!$D$5:$D$180*(((Inputs!$G$5:$G$180="moeda")+(Inputs!$G$5:$G$180="acoes"))*Inputs!$B$1+((Inputs!$G$5:$G$180&lt;&gt;"moeda")*(Inputs!$G$5:$G$180&lt;&gt;"acoes")))*INDEX(Inputs!$K$5:$AJ$180,0,MATCH(Z$2,Inputs!$K$4:$AJ$4,0)))+SUMPRODUCT((Inputs!$E$5:$E$180=$B17)*Inputs!$F$5:$F$180*(((Inputs!$G$5:$G$180="moeda")+(Inputs!$G$5:$G$180="acoes"))*Inputs!$B$1+((Inputs!$G$5:$G$180&lt;&gt;"moeda")*(Inputs!$G$5:$G$180&lt;&gt;"acoes")))*INDEX(Inputs!$K$5:$AJ$180,0,MATCH(Z$2,Inputs!$K$4:$AJ$4,0)))))</f>
        <v>1623.503</v>
      </c>
      <c r="AA17" s="6">
        <f>IF(ISNA(MATCH(AA$2,Inputs!$K$4:$AJ$4,0)),NA(),IF(SUMPRODUCT((Inputs!$A$5:$A$180=$B17)*ISNUMBER(INDEX(Inputs!$K$5:$AJ$180,0,MATCH(AA$2,Inputs!$K$4:$AJ$4,0))))+SUMPRODUCT((Inputs!$C$5:$C$180=$B17)*ISNUMBER(INDEX(Inputs!$K$5:$AJ$180,0,MATCH(AA$2,Inputs!$K$4:$AJ$4,0))))+SUMPRODUCT((Inputs!$E$5:$E$180=$B17)*ISNUMBER(INDEX(Inputs!$K$5:$AJ$180,0,MATCH(AA$2,Inputs!$K$4:$AJ$4,0))))=0,NA(),SUMPRODUCT((Inputs!$A$5:$A$180=$B17)*Inputs!$B$5:$B$180*(((Inputs!$G$5:$G$180="moeda")+(Inputs!$G$5:$G$180="acoes"))*Inputs!$B$1+((Inputs!$G$5:$G$180&lt;&gt;"moeda")*(Inputs!$G$5:$G$180&lt;&gt;"acoes")))*INDEX(Inputs!$K$5:$AJ$180,0,MATCH(AA$2,Inputs!$K$4:$AJ$4,0)))+SUMPRODUCT((Inputs!$C$5:$C$180=$B17)*Inputs!$D$5:$D$180*(((Inputs!$G$5:$G$180="moeda")+(Inputs!$G$5:$G$180="acoes"))*Inputs!$B$1+((Inputs!$G$5:$G$180&lt;&gt;"moeda")*(Inputs!$G$5:$G$180&lt;&gt;"acoes")))*INDEX(Inputs!$K$5:$AJ$180,0,MATCH(AA$2,Inputs!$K$4:$AJ$4,0)))+SUMPRODUCT((Inputs!$E$5:$E$180=$B17)*Inputs!$F$5:$F$180*(((Inputs!$G$5:$G$180="moeda")+(Inputs!$G$5:$G$180="acoes"))*Inputs!$B$1+((Inputs!$G$5:$G$180&lt;&gt;"moeda")*(Inputs!$G$5:$G$180&lt;&gt;"acoes")))*INDEX(Inputs!$K$5:$AJ$180,0,MATCH(AA$2,Inputs!$K$4:$AJ$4,0)))))</f>
        <v>1478.92640926</v>
      </c>
      <c r="AB17" s="3">
        <f>AA17</f>
        <v>1478.92640926</v>
      </c>
      <c r="AC17" s="6">
        <f>IF(ISNA(MATCH(AC$2,Inputs!$K$4:$AJ$4,0)),NA(),IF(SUMPRODUCT((Inputs!$A$5:$A$180=$B17)*ISNUMBER(INDEX(Inputs!$K$5:$AJ$180,0,MATCH(AC$2,Inputs!$K$4:$AJ$4,0))))+SUMPRODUCT((Inputs!$C$5:$C$180=$B17)*ISNUMBER(INDEX(Inputs!$K$5:$AJ$180,0,MATCH(AC$2,Inputs!$K$4:$AJ$4,0))))+SUMPRODUCT((Inputs!$E$5:$E$180=$B17)*ISNUMBER(INDEX(Inputs!$K$5:$AJ$180,0,MATCH(AC$2,Inputs!$K$4:$AJ$4,0))))=0,NA(),SUMPRODUCT((Inputs!$A$5:$A$180=$B17)*Inputs!$B$5:$B$180*(((Inputs!$G$5:$G$180="moeda")+(Inputs!$G$5:$G$180="acoes"))*Inputs!$B$1+((Inputs!$G$5:$G$180&lt;&gt;"moeda")*(Inputs!$G$5:$G$180&lt;&gt;"acoes")))*INDEX(Inputs!$K$5:$AJ$180,0,MATCH(AC$2,Inputs!$K$4:$AJ$4,0)))+SUMPRODUCT((Inputs!$C$5:$C$180=$B17)*Inputs!$D$5:$D$180*(((Inputs!$G$5:$G$180="moeda")+(Inputs!$G$5:$G$180="acoes"))*Inputs!$B$1+((Inputs!$G$5:$G$180&lt;&gt;"moeda")*(Inputs!$G$5:$G$180&lt;&gt;"acoes")))*INDEX(Inputs!$K$5:$AJ$180,0,MATCH(AC$2,Inputs!$K$4:$AJ$4,0)))+SUMPRODUCT((Inputs!$E$5:$E$180=$B17)*Inputs!$F$5:$F$180*(((Inputs!$G$5:$G$180="moeda")+(Inputs!$G$5:$G$180="acoes"))*Inputs!$B$1+((Inputs!$G$5:$G$180&lt;&gt;"moeda")*(Inputs!$G$5:$G$180&lt;&gt;"acoes")))*INDEX(Inputs!$K$5:$AJ$180,0,MATCH(AC$2,Inputs!$K$4:$AJ$4,0)))))</f>
        <v>1550.28590202</v>
      </c>
      <c r="AD17" s="6">
        <f>IF(ISNA(MATCH(AD$2,Inputs!$K$4:$AJ$4,0)),NA(),IF(SUMPRODUCT((Inputs!$A$5:$A$180=$B17)*ISNUMBER(INDEX(Inputs!$K$5:$AJ$180,0,MATCH(AD$2,Inputs!$K$4:$AJ$4,0))))+SUMPRODUCT((Inputs!$C$5:$C$180=$B17)*ISNUMBER(INDEX(Inputs!$K$5:$AJ$180,0,MATCH(AD$2,Inputs!$K$4:$AJ$4,0))))+SUMPRODUCT((Inputs!$E$5:$E$180=$B17)*ISNUMBER(INDEX(Inputs!$K$5:$AJ$180,0,MATCH(AD$2,Inputs!$K$4:$AJ$4,0))))=0,NA(),SUMPRODUCT((Inputs!$A$5:$A$180=$B17)*Inputs!$B$5:$B$180*(((Inputs!$G$5:$G$180="moeda")+(Inputs!$G$5:$G$180="acoes"))*Inputs!$B$1+((Inputs!$G$5:$G$180&lt;&gt;"moeda")*(Inputs!$G$5:$G$180&lt;&gt;"acoes")))*INDEX(Inputs!$K$5:$AJ$180,0,MATCH(AD$2,Inputs!$K$4:$AJ$4,0)))+SUMPRODUCT((Inputs!$C$5:$C$180=$B17)*Inputs!$D$5:$D$180*(((Inputs!$G$5:$G$180="moeda")+(Inputs!$G$5:$G$180="acoes"))*Inputs!$B$1+((Inputs!$G$5:$G$180&lt;&gt;"moeda")*(Inputs!$G$5:$G$180&lt;&gt;"acoes")))*INDEX(Inputs!$K$5:$AJ$180,0,MATCH(AD$2,Inputs!$K$4:$AJ$4,0)))+SUMPRODUCT((Inputs!$E$5:$E$180=$B17)*Inputs!$F$5:$F$180*(((Inputs!$G$5:$G$180="moeda")+(Inputs!$G$5:$G$180="acoes"))*Inputs!$B$1+((Inputs!$G$5:$G$180&lt;&gt;"moeda")*(Inputs!$G$5:$G$180&lt;&gt;"acoes")))*INDEX(Inputs!$K$5:$AJ$180,0,MATCH(AD$2,Inputs!$K$4:$AJ$4,0)))))</f>
        <v>1537.96251349</v>
      </c>
      <c r="AE17" s="6" t="e">
        <f>IF(ISNA(MATCH(AE$2,Inputs!$K$4:$AJ$4,0)),NA(),IF(SUMPRODUCT((Inputs!$A$5:$A$180=$B17)*ISNUMBER(INDEX(Inputs!$K$5:$AJ$180,0,MATCH(AE$2,Inputs!$K$4:$AJ$4,0))))+SUMPRODUCT((Inputs!$C$5:$C$180=$B17)*ISNUMBER(INDEX(Inputs!$K$5:$AJ$180,0,MATCH(AE$2,Inputs!$K$4:$AJ$4,0))))+SUMPRODUCT((Inputs!$E$5:$E$180=$B17)*ISNUMBER(INDEX(Inputs!$K$5:$AJ$180,0,MATCH(AE$2,Inputs!$K$4:$AJ$4,0))))=0,NA(),SUMPRODUCT((Inputs!$A$5:$A$180=$B17)*Inputs!$B$5:$B$180*(((Inputs!$G$5:$G$180="moeda")+(Inputs!$G$5:$G$180="acoes"))*Inputs!$B$1+((Inputs!$G$5:$G$180&lt;&gt;"moeda")*(Inputs!$G$5:$G$180&lt;&gt;"acoes")))*INDEX(Inputs!$K$5:$AJ$180,0,MATCH(AE$2,Inputs!$K$4:$AJ$4,0)))+SUMPRODUCT((Inputs!$C$5:$C$180=$B17)*Inputs!$D$5:$D$180*(((Inputs!$G$5:$G$180="moeda")+(Inputs!$G$5:$G$180="acoes"))*Inputs!$B$1+((Inputs!$G$5:$G$180&lt;&gt;"moeda")*(Inputs!$G$5:$G$180&lt;&gt;"acoes")))*INDEX(Inputs!$K$5:$AJ$180,0,MATCH(AE$2,Inputs!$K$4:$AJ$4,0)))+SUMPRODUCT((Inputs!$E$5:$E$180=$B17)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7" s="6" t="e">
        <f>IF(ISNA(MATCH(AF$2,Inputs!$K$4:$AJ$4,0)),NA(),IF(SUMPRODUCT((Inputs!$A$5:$A$180=$B17)*ISNUMBER(INDEX(Inputs!$K$5:$AJ$180,0,MATCH(AF$2,Inputs!$K$4:$AJ$4,0))))+SUMPRODUCT((Inputs!$C$5:$C$180=$B17)*ISNUMBER(INDEX(Inputs!$K$5:$AJ$180,0,MATCH(AF$2,Inputs!$K$4:$AJ$4,0))))+SUMPRODUCT((Inputs!$E$5:$E$180=$B17)*ISNUMBER(INDEX(Inputs!$K$5:$AJ$180,0,MATCH(AF$2,Inputs!$K$4:$AJ$4,0))))=0,NA(),SUMPRODUCT((Inputs!$A$5:$A$180=$B17)*Inputs!$B$5:$B$180*(((Inputs!$G$5:$G$180="moeda")+(Inputs!$G$5:$G$180="acoes"))*Inputs!$B$1+((Inputs!$G$5:$G$180&lt;&gt;"moeda")*(Inputs!$G$5:$G$180&lt;&gt;"acoes")))*INDEX(Inputs!$K$5:$AJ$180,0,MATCH(AF$2,Inputs!$K$4:$AJ$4,0)))+SUMPRODUCT((Inputs!$C$5:$C$180=$B17)*Inputs!$D$5:$D$180*(((Inputs!$G$5:$G$180="moeda")+(Inputs!$G$5:$G$180="acoes"))*Inputs!$B$1+((Inputs!$G$5:$G$180&lt;&gt;"moeda")*(Inputs!$G$5:$G$180&lt;&gt;"acoes")))*INDEX(Inputs!$K$5:$AJ$180,0,MATCH(AF$2,Inputs!$K$4:$AJ$4,0)))+SUMPRODUCT((Inputs!$E$5:$E$180=$B17)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7" s="3" t="e">
        <f>AF17</f>
        <v>#N/A</v>
      </c>
      <c r="AH17" s="6">
        <f>IF(ISNA(MATCH(AH$2,Inputs!$K$4:$AJ$4,0)),NA(),IF(SUMPRODUCT((Inputs!$A$5:$A$180=$B17)*ISNUMBER(INDEX(Inputs!$K$5:$AJ$180,0,MATCH(AH$2,Inputs!$K$4:$AJ$4,0))))+SUMPRODUCT((Inputs!$C$5:$C$180=$B17)*ISNUMBER(INDEX(Inputs!$K$5:$AJ$180,0,MATCH(AH$2,Inputs!$K$4:$AJ$4,0))))+SUMPRODUCT((Inputs!$E$5:$E$180=$B17)*ISNUMBER(INDEX(Inputs!$K$5:$AJ$180,0,MATCH(AH$2,Inputs!$K$4:$AJ$4,0))))=0,NA(),SUMPRODUCT((Inputs!$A$5:$A$180=$B17)*Inputs!$B$5:$B$180*(((Inputs!$G$5:$G$180="moeda")+(Inputs!$G$5:$G$180="acoes"))*Inputs!$B$1+((Inputs!$G$5:$G$180&lt;&gt;"moeda")*(Inputs!$G$5:$G$180&lt;&gt;"acoes")))*INDEX(Inputs!$K$5:$AJ$180,0,MATCH(AH$2,Inputs!$K$4:$AJ$4,0)))+SUMPRODUCT((Inputs!$C$5:$C$180=$B17)*Inputs!$D$5:$D$180*(((Inputs!$G$5:$G$180="moeda")+(Inputs!$G$5:$G$180="acoes"))*Inputs!$B$1+((Inputs!$G$5:$G$180&lt;&gt;"moeda")*(Inputs!$G$5:$G$180&lt;&gt;"acoes")))*INDEX(Inputs!$K$5:$AJ$180,0,MATCH(AH$2,Inputs!$K$4:$AJ$4,0)))+SUMPRODUCT((Inputs!$E$5:$E$180=$B17)*Inputs!$F$5:$F$180*(((Inputs!$G$5:$G$180="moeda")+(Inputs!$G$5:$G$180="acoes"))*Inputs!$B$1+((Inputs!$G$5:$G$180&lt;&gt;"moeda")*(Inputs!$G$5:$G$180&lt;&gt;"acoes")))*INDEX(Inputs!$K$5:$AJ$180,0,MATCH(AH$2,Inputs!$K$4:$AJ$4,0)))))</f>
        <v>384.295</v>
      </c>
      <c r="AI17" s="6">
        <f>IF(ISNA(MATCH(AI$2,Inputs!$K$4:$AJ$4,0)),NA(),IF(SUMPRODUCT((Inputs!$A$5:$A$180=$B17)*ISNUMBER(INDEX(Inputs!$K$5:$AJ$180,0,MATCH(AI$2,Inputs!$K$4:$AJ$4,0))))+SUMPRODUCT((Inputs!$C$5:$C$180=$B17)*ISNUMBER(INDEX(Inputs!$K$5:$AJ$180,0,MATCH(AI$2,Inputs!$K$4:$AJ$4,0))))+SUMPRODUCT((Inputs!$E$5:$E$180=$B17)*ISNUMBER(INDEX(Inputs!$K$5:$AJ$180,0,MATCH(AI$2,Inputs!$K$4:$AJ$4,0))))=0,NA(),SUMPRODUCT((Inputs!$A$5:$A$180=$B17)*Inputs!$B$5:$B$180*(((Inputs!$G$5:$G$180="moeda")+(Inputs!$G$5:$G$180="acoes"))*Inputs!$B$1+((Inputs!$G$5:$G$180&lt;&gt;"moeda")*(Inputs!$G$5:$G$180&lt;&gt;"acoes")))*INDEX(Inputs!$K$5:$AJ$180,0,MATCH(AI$2,Inputs!$K$4:$AJ$4,0)))+SUMPRODUCT((Inputs!$C$5:$C$180=$B17)*Inputs!$D$5:$D$180*(((Inputs!$G$5:$G$180="moeda")+(Inputs!$G$5:$G$180="acoes"))*Inputs!$B$1+((Inputs!$G$5:$G$180&lt;&gt;"moeda")*(Inputs!$G$5:$G$180&lt;&gt;"acoes")))*INDEX(Inputs!$K$5:$AJ$180,0,MATCH(AI$2,Inputs!$K$4:$AJ$4,0)))+SUMPRODUCT((Inputs!$E$5:$E$180=$B17)*Inputs!$F$5:$F$180*(((Inputs!$G$5:$G$180="moeda")+(Inputs!$G$5:$G$180="acoes"))*Inputs!$B$1+((Inputs!$G$5:$G$180&lt;&gt;"moeda")*(Inputs!$G$5:$G$180&lt;&gt;"acoes")))*INDEX(Inputs!$K$5:$AJ$180,0,MATCH(AI$2,Inputs!$K$4:$AJ$4,0)))))</f>
        <v>360.530639894367</v>
      </c>
      <c r="AJ17" s="6">
        <f>IF(ISNA(MATCH(AJ$2,Inputs!$K$4:$AJ$4,0)),NA(),IF(SUMPRODUCT((Inputs!$A$5:$A$180=$B17)*ISNUMBER(INDEX(Inputs!$K$5:$AJ$180,0,MATCH(AJ$2,Inputs!$K$4:$AJ$4,0))))+SUMPRODUCT((Inputs!$C$5:$C$180=$B17)*ISNUMBER(INDEX(Inputs!$K$5:$AJ$180,0,MATCH(AJ$2,Inputs!$K$4:$AJ$4,0))))+SUMPRODUCT((Inputs!$E$5:$E$180=$B17)*ISNUMBER(INDEX(Inputs!$K$5:$AJ$180,0,MATCH(AJ$2,Inputs!$K$4:$AJ$4,0))))=0,NA(),SUMPRODUCT((Inputs!$A$5:$A$180=$B17)*Inputs!$B$5:$B$180*(((Inputs!$G$5:$G$180="moeda")+(Inputs!$G$5:$G$180="acoes"))*Inputs!$B$1+((Inputs!$G$5:$G$180&lt;&gt;"moeda")*(Inputs!$G$5:$G$180&lt;&gt;"acoes")))*INDEX(Inputs!$K$5:$AJ$180,0,MATCH(AJ$2,Inputs!$K$4:$AJ$4,0)))+SUMPRODUCT((Inputs!$C$5:$C$180=$B17)*Inputs!$D$5:$D$180*(((Inputs!$G$5:$G$180="moeda")+(Inputs!$G$5:$G$180="acoes"))*Inputs!$B$1+((Inputs!$G$5:$G$180&lt;&gt;"moeda")*(Inputs!$G$5:$G$180&lt;&gt;"acoes")))*INDEX(Inputs!$K$5:$AJ$180,0,MATCH(AJ$2,Inputs!$K$4:$AJ$4,0)))+SUMPRODUCT((Inputs!$E$5:$E$180=$B17)*Inputs!$F$5:$F$180*(((Inputs!$G$5:$G$180="moeda")+(Inputs!$G$5:$G$180="acoes"))*Inputs!$B$1+((Inputs!$G$5:$G$180&lt;&gt;"moeda")*(Inputs!$G$5:$G$180&lt;&gt;"acoes")))*INDEX(Inputs!$K$5:$AJ$180,0,MATCH(AJ$2,Inputs!$K$4:$AJ$4,0)))))</f>
        <v>367.381037150751</v>
      </c>
      <c r="AK17" s="6">
        <f>IF(ISNA(MATCH(AK$2,Inputs!$K$4:$AJ$4,0)),NA(),IF(SUMPRODUCT((Inputs!$A$5:$A$180=$B17)*ISNUMBER(INDEX(Inputs!$K$5:$AJ$180,0,MATCH(AK$2,Inputs!$K$4:$AJ$4,0))))+SUMPRODUCT((Inputs!$C$5:$C$180=$B17)*ISNUMBER(INDEX(Inputs!$K$5:$AJ$180,0,MATCH(AK$2,Inputs!$K$4:$AJ$4,0))))+SUMPRODUCT((Inputs!$E$5:$E$180=$B17)*ISNUMBER(INDEX(Inputs!$K$5:$AJ$180,0,MATCH(AK$2,Inputs!$K$4:$AJ$4,0))))=0,NA(),SUMPRODUCT((Inputs!$A$5:$A$180=$B17)*Inputs!$B$5:$B$180*(((Inputs!$G$5:$G$180="moeda")+(Inputs!$G$5:$G$180="acoes"))*Inputs!$B$1+((Inputs!$G$5:$G$180&lt;&gt;"moeda")*(Inputs!$G$5:$G$180&lt;&gt;"acoes")))*INDEX(Inputs!$K$5:$AJ$180,0,MATCH(AK$2,Inputs!$K$4:$AJ$4,0)))+SUMPRODUCT((Inputs!$C$5:$C$180=$B17)*Inputs!$D$5:$D$180*(((Inputs!$G$5:$G$180="moeda")+(Inputs!$G$5:$G$180="acoes"))*Inputs!$B$1+((Inputs!$G$5:$G$180&lt;&gt;"moeda")*(Inputs!$G$5:$G$180&lt;&gt;"acoes")))*INDEX(Inputs!$K$5:$AJ$180,0,MATCH(AK$2,Inputs!$K$4:$AJ$4,0)))+SUMPRODUCT((Inputs!$E$5:$E$180=$B17)*Inputs!$F$5:$F$180*(((Inputs!$G$5:$G$180="moeda")+(Inputs!$G$5:$G$180="acoes"))*Inputs!$B$1+((Inputs!$G$5:$G$180&lt;&gt;"moeda")*(Inputs!$G$5:$G$180&lt;&gt;"acoes")))*INDEX(Inputs!$K$5:$AJ$180,0,MATCH(AK$2,Inputs!$K$4:$AJ$4,0)))))</f>
        <v>365.18436666769</v>
      </c>
      <c r="AL17" s="3">
        <f>AK17</f>
        <v>365.18436666769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$180=$B18)*ISNUMBER(INDEX(Inputs!$K$5:$AJ$180,0,MATCH(D$2,Inputs!$K$4:$AJ$4,0))))+SUMPRODUCT((Inputs!$C$5:$C$180=$B18)*ISNUMBER(INDEX(Inputs!$K$5:$AJ$180,0,MATCH(D$2,Inputs!$K$4:$AJ$4,0))))+SUMPRODUCT((Inputs!$E$5:$E$180=$B18)*ISNUMBER(INDEX(Inputs!$K$5:$AJ$180,0,MATCH(D$2,Inputs!$K$4:$AJ$4,0))))=0,NA(),SUMPRODUCT((Inputs!$A$5:$A$180=$B18)*Inputs!$B$5:$B$180*(((Inputs!$G$5:$G$180="moeda")+(Inputs!$G$5:$G$180="acoes"))*Inputs!$B$1+((Inputs!$G$5:$G$180&lt;&gt;"moeda")*(Inputs!$G$5:$G$180&lt;&gt;"acoes")))*INDEX(Inputs!$K$5:$AJ$180,0,MATCH(D$2,Inputs!$K$4:$AJ$4,0)))+SUMPRODUCT((Inputs!$C$5:$C$180=$B18)*Inputs!$D$5:$D$180*(((Inputs!$G$5:$G$180="moeda")+(Inputs!$G$5:$G$180="acoes"))*Inputs!$B$1+((Inputs!$G$5:$G$180&lt;&gt;"moeda")*(Inputs!$G$5:$G$180&lt;&gt;"acoes")))*INDEX(Inputs!$K$5:$AJ$180,0,MATCH(D$2,Inputs!$K$4:$AJ$4,0)))+SUMPRODUCT((Inputs!$E$5:$E$180=$B18)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18" s="6" t="e">
        <f>IF(ISNA(MATCH(E$2,Inputs!$K$4:$AJ$4,0)),NA(),IF(SUMPRODUCT((Inputs!$A$5:$A$180=$B18)*ISNUMBER(INDEX(Inputs!$K$5:$AJ$180,0,MATCH(E$2,Inputs!$K$4:$AJ$4,0))))+SUMPRODUCT((Inputs!$C$5:$C$180=$B18)*ISNUMBER(INDEX(Inputs!$K$5:$AJ$180,0,MATCH(E$2,Inputs!$K$4:$AJ$4,0))))+SUMPRODUCT((Inputs!$E$5:$E$180=$B18)*ISNUMBER(INDEX(Inputs!$K$5:$AJ$180,0,MATCH(E$2,Inputs!$K$4:$AJ$4,0))))=0,NA(),SUMPRODUCT((Inputs!$A$5:$A$180=$B18)*Inputs!$B$5:$B$180*(((Inputs!$G$5:$G$180="moeda")+(Inputs!$G$5:$G$180="acoes"))*Inputs!$B$1+((Inputs!$G$5:$G$180&lt;&gt;"moeda")*(Inputs!$G$5:$G$180&lt;&gt;"acoes")))*INDEX(Inputs!$K$5:$AJ$180,0,MATCH(E$2,Inputs!$K$4:$AJ$4,0)))+SUMPRODUCT((Inputs!$C$5:$C$180=$B18)*Inputs!$D$5:$D$180*(((Inputs!$G$5:$G$180="moeda")+(Inputs!$G$5:$G$180="acoes"))*Inputs!$B$1+((Inputs!$G$5:$G$180&lt;&gt;"moeda")*(Inputs!$G$5:$G$180&lt;&gt;"acoes")))*INDEX(Inputs!$K$5:$AJ$180,0,MATCH(E$2,Inputs!$K$4:$AJ$4,0)))+SUMPRODUCT((Inputs!$E$5:$E$180=$B18)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18" s="6" t="e">
        <f>IF(ISNA(MATCH(F$2,Inputs!$K$4:$AJ$4,0)),NA(),IF(SUMPRODUCT((Inputs!$A$5:$A$180=$B18)*ISNUMBER(INDEX(Inputs!$K$5:$AJ$180,0,MATCH(F$2,Inputs!$K$4:$AJ$4,0))))+SUMPRODUCT((Inputs!$C$5:$C$180=$B18)*ISNUMBER(INDEX(Inputs!$K$5:$AJ$180,0,MATCH(F$2,Inputs!$K$4:$AJ$4,0))))+SUMPRODUCT((Inputs!$E$5:$E$180=$B18)*ISNUMBER(INDEX(Inputs!$K$5:$AJ$180,0,MATCH(F$2,Inputs!$K$4:$AJ$4,0))))=0,NA(),SUMPRODUCT((Inputs!$A$5:$A$180=$B18)*Inputs!$B$5:$B$180*(((Inputs!$G$5:$G$180="moeda")+(Inputs!$G$5:$G$180="acoes"))*Inputs!$B$1+((Inputs!$G$5:$G$180&lt;&gt;"moeda")*(Inputs!$G$5:$G$180&lt;&gt;"acoes")))*INDEX(Inputs!$K$5:$AJ$180,0,MATCH(F$2,Inputs!$K$4:$AJ$4,0)))+SUMPRODUCT((Inputs!$C$5:$C$180=$B18)*Inputs!$D$5:$D$180*(((Inputs!$G$5:$G$180="moeda")+(Inputs!$G$5:$G$180="acoes"))*Inputs!$B$1+((Inputs!$G$5:$G$180&lt;&gt;"moeda")*(Inputs!$G$5:$G$180&lt;&gt;"acoes")))*INDEX(Inputs!$K$5:$AJ$180,0,MATCH(F$2,Inputs!$K$4:$AJ$4,0)))+SUMPRODUCT((Inputs!$E$5:$E$180=$B18)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18" s="6" t="e">
        <f>IF(ISNA(MATCH(G$2,Inputs!$K$4:$AJ$4,0)),NA(),IF(SUMPRODUCT((Inputs!$A$5:$A$180=$B18)*ISNUMBER(INDEX(Inputs!$K$5:$AJ$180,0,MATCH(G$2,Inputs!$K$4:$AJ$4,0))))+SUMPRODUCT((Inputs!$C$5:$C$180=$B18)*ISNUMBER(INDEX(Inputs!$K$5:$AJ$180,0,MATCH(G$2,Inputs!$K$4:$AJ$4,0))))+SUMPRODUCT((Inputs!$E$5:$E$180=$B18)*ISNUMBER(INDEX(Inputs!$K$5:$AJ$180,0,MATCH(G$2,Inputs!$K$4:$AJ$4,0))))=0,NA(),SUMPRODUCT((Inputs!$A$5:$A$180=$B18)*Inputs!$B$5:$B$180*(((Inputs!$G$5:$G$180="moeda")+(Inputs!$G$5:$G$180="acoes"))*Inputs!$B$1+((Inputs!$G$5:$G$180&lt;&gt;"moeda")*(Inputs!$G$5:$G$180&lt;&gt;"acoes")))*INDEX(Inputs!$K$5:$AJ$180,0,MATCH(G$2,Inputs!$K$4:$AJ$4,0)))+SUMPRODUCT((Inputs!$C$5:$C$180=$B18)*Inputs!$D$5:$D$180*(((Inputs!$G$5:$G$180="moeda")+(Inputs!$G$5:$G$180="acoes"))*Inputs!$B$1+((Inputs!$G$5:$G$180&lt;&gt;"moeda")*(Inputs!$G$5:$G$180&lt;&gt;"acoes")))*INDEX(Inputs!$K$5:$AJ$180,0,MATCH(G$2,Inputs!$K$4:$AJ$4,0)))+SUMPRODUCT((Inputs!$E$5:$E$180=$B18)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18" s="3" t="e">
        <f>G18</f>
        <v>#N/A</v>
      </c>
      <c r="I18" s="6" t="e">
        <f>IF(ISNA(MATCH(I$2,Inputs!$K$4:$AJ$4,0)),NA(),IF(SUMPRODUCT((Inputs!$A$5:$A$180=$B18)*ISNUMBER(INDEX(Inputs!$K$5:$AJ$180,0,MATCH(I$2,Inputs!$K$4:$AJ$4,0))))+SUMPRODUCT((Inputs!$C$5:$C$180=$B18)*ISNUMBER(INDEX(Inputs!$K$5:$AJ$180,0,MATCH(I$2,Inputs!$K$4:$AJ$4,0))))+SUMPRODUCT((Inputs!$E$5:$E$180=$B18)*ISNUMBER(INDEX(Inputs!$K$5:$AJ$180,0,MATCH(I$2,Inputs!$K$4:$AJ$4,0))))=0,NA(),SUMPRODUCT((Inputs!$A$5:$A$180=$B18)*Inputs!$B$5:$B$180*(((Inputs!$G$5:$G$180="moeda")+(Inputs!$G$5:$G$180="acoes"))*Inputs!$B$1+((Inputs!$G$5:$G$180&lt;&gt;"moeda")*(Inputs!$G$5:$G$180&lt;&gt;"acoes")))*INDEX(Inputs!$K$5:$AJ$180,0,MATCH(I$2,Inputs!$K$4:$AJ$4,0)))+SUMPRODUCT((Inputs!$C$5:$C$180=$B18)*Inputs!$D$5:$D$180*(((Inputs!$G$5:$G$180="moeda")+(Inputs!$G$5:$G$180="acoes"))*Inputs!$B$1+((Inputs!$G$5:$G$180&lt;&gt;"moeda")*(Inputs!$G$5:$G$180&lt;&gt;"acoes")))*INDEX(Inputs!$K$5:$AJ$180,0,MATCH(I$2,Inputs!$K$4:$AJ$4,0)))+SUMPRODUCT((Inputs!$E$5:$E$180=$B18)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18" s="6" t="e">
        <f>IF(ISNA(MATCH(J$2,Inputs!$K$4:$AJ$4,0)),NA(),IF(SUMPRODUCT((Inputs!$A$5:$A$180=$B18)*ISNUMBER(INDEX(Inputs!$K$5:$AJ$180,0,MATCH(J$2,Inputs!$K$4:$AJ$4,0))))+SUMPRODUCT((Inputs!$C$5:$C$180=$B18)*ISNUMBER(INDEX(Inputs!$K$5:$AJ$180,0,MATCH(J$2,Inputs!$K$4:$AJ$4,0))))+SUMPRODUCT((Inputs!$E$5:$E$180=$B18)*ISNUMBER(INDEX(Inputs!$K$5:$AJ$180,0,MATCH(J$2,Inputs!$K$4:$AJ$4,0))))=0,NA(),SUMPRODUCT((Inputs!$A$5:$A$180=$B18)*Inputs!$B$5:$B$180*(((Inputs!$G$5:$G$180="moeda")+(Inputs!$G$5:$G$180="acoes"))*Inputs!$B$1+((Inputs!$G$5:$G$180&lt;&gt;"moeda")*(Inputs!$G$5:$G$180&lt;&gt;"acoes")))*INDEX(Inputs!$K$5:$AJ$180,0,MATCH(J$2,Inputs!$K$4:$AJ$4,0)))+SUMPRODUCT((Inputs!$C$5:$C$180=$B18)*Inputs!$D$5:$D$180*(((Inputs!$G$5:$G$180="moeda")+(Inputs!$G$5:$G$180="acoes"))*Inputs!$B$1+((Inputs!$G$5:$G$180&lt;&gt;"moeda")*(Inputs!$G$5:$G$180&lt;&gt;"acoes")))*INDEX(Inputs!$K$5:$AJ$180,0,MATCH(J$2,Inputs!$K$4:$AJ$4,0)))+SUMPRODUCT((Inputs!$E$5:$E$180=$B18)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18" s="6" t="e">
        <f>IF(ISNA(MATCH(K$2,Inputs!$K$4:$AJ$4,0)),NA(),IF(SUMPRODUCT((Inputs!$A$5:$A$180=$B18)*ISNUMBER(INDEX(Inputs!$K$5:$AJ$180,0,MATCH(K$2,Inputs!$K$4:$AJ$4,0))))+SUMPRODUCT((Inputs!$C$5:$C$180=$B18)*ISNUMBER(INDEX(Inputs!$K$5:$AJ$180,0,MATCH(K$2,Inputs!$K$4:$AJ$4,0))))+SUMPRODUCT((Inputs!$E$5:$E$180=$B18)*ISNUMBER(INDEX(Inputs!$K$5:$AJ$180,0,MATCH(K$2,Inputs!$K$4:$AJ$4,0))))=0,NA(),SUMPRODUCT((Inputs!$A$5:$A$180=$B18)*Inputs!$B$5:$B$180*(((Inputs!$G$5:$G$180="moeda")+(Inputs!$G$5:$G$180="acoes"))*Inputs!$B$1+((Inputs!$G$5:$G$180&lt;&gt;"moeda")*(Inputs!$G$5:$G$180&lt;&gt;"acoes")))*INDEX(Inputs!$K$5:$AJ$180,0,MATCH(K$2,Inputs!$K$4:$AJ$4,0)))+SUMPRODUCT((Inputs!$C$5:$C$180=$B18)*Inputs!$D$5:$D$180*(((Inputs!$G$5:$G$180="moeda")+(Inputs!$G$5:$G$180="acoes"))*Inputs!$B$1+((Inputs!$G$5:$G$180&lt;&gt;"moeda")*(Inputs!$G$5:$G$180&lt;&gt;"acoes")))*INDEX(Inputs!$K$5:$AJ$180,0,MATCH(K$2,Inputs!$K$4:$AJ$4,0)))+SUMPRODUCT((Inputs!$E$5:$E$180=$B18)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18" s="6" t="e">
        <f>IF(ISNA(MATCH(L$2,Inputs!$K$4:$AJ$4,0)),NA(),IF(SUMPRODUCT((Inputs!$A$5:$A$180=$B18)*ISNUMBER(INDEX(Inputs!$K$5:$AJ$180,0,MATCH(L$2,Inputs!$K$4:$AJ$4,0))))+SUMPRODUCT((Inputs!$C$5:$C$180=$B18)*ISNUMBER(INDEX(Inputs!$K$5:$AJ$180,0,MATCH(L$2,Inputs!$K$4:$AJ$4,0))))+SUMPRODUCT((Inputs!$E$5:$E$180=$B18)*ISNUMBER(INDEX(Inputs!$K$5:$AJ$180,0,MATCH(L$2,Inputs!$K$4:$AJ$4,0))))=0,NA(),SUMPRODUCT((Inputs!$A$5:$A$180=$B18)*Inputs!$B$5:$B$180*(((Inputs!$G$5:$G$180="moeda")+(Inputs!$G$5:$G$180="acoes"))*Inputs!$B$1+((Inputs!$G$5:$G$180&lt;&gt;"moeda")*(Inputs!$G$5:$G$180&lt;&gt;"acoes")))*INDEX(Inputs!$K$5:$AJ$180,0,MATCH(L$2,Inputs!$K$4:$AJ$4,0)))+SUMPRODUCT((Inputs!$C$5:$C$180=$B18)*Inputs!$D$5:$D$180*(((Inputs!$G$5:$G$180="moeda")+(Inputs!$G$5:$G$180="acoes"))*Inputs!$B$1+((Inputs!$G$5:$G$180&lt;&gt;"moeda")*(Inputs!$G$5:$G$180&lt;&gt;"acoes")))*INDEX(Inputs!$K$5:$AJ$180,0,MATCH(L$2,Inputs!$K$4:$AJ$4,0)))+SUMPRODUCT((Inputs!$E$5:$E$180=$B18)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18" s="3" t="e">
        <f>L18</f>
        <v>#N/A</v>
      </c>
      <c r="N18" s="6" t="e">
        <f>IF(ISNA(MATCH(N$2,Inputs!$K$4:$AJ$4,0)),NA(),IF(SUMPRODUCT((Inputs!$A$5:$A$180=$B18)*ISNUMBER(INDEX(Inputs!$K$5:$AJ$180,0,MATCH(N$2,Inputs!$K$4:$AJ$4,0))))+SUMPRODUCT((Inputs!$C$5:$C$180=$B18)*ISNUMBER(INDEX(Inputs!$K$5:$AJ$180,0,MATCH(N$2,Inputs!$K$4:$AJ$4,0))))+SUMPRODUCT((Inputs!$E$5:$E$180=$B18)*ISNUMBER(INDEX(Inputs!$K$5:$AJ$180,0,MATCH(N$2,Inputs!$K$4:$AJ$4,0))))=0,NA(),SUMPRODUCT((Inputs!$A$5:$A$180=$B18)*Inputs!$B$5:$B$180*(((Inputs!$G$5:$G$180="moeda")+(Inputs!$G$5:$G$180="acoes"))*Inputs!$B$1+((Inputs!$G$5:$G$180&lt;&gt;"moeda")*(Inputs!$G$5:$G$180&lt;&gt;"acoes")))*INDEX(Inputs!$K$5:$AJ$180,0,MATCH(N$2,Inputs!$K$4:$AJ$4,0)))+SUMPRODUCT((Inputs!$C$5:$C$180=$B18)*Inputs!$D$5:$D$180*(((Inputs!$G$5:$G$180="moeda")+(Inputs!$G$5:$G$180="acoes"))*Inputs!$B$1+((Inputs!$G$5:$G$180&lt;&gt;"moeda")*(Inputs!$G$5:$G$180&lt;&gt;"acoes")))*INDEX(Inputs!$K$5:$AJ$180,0,MATCH(N$2,Inputs!$K$4:$AJ$4,0)))+SUMPRODUCT((Inputs!$E$5:$E$180=$B18)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18" s="6" t="e">
        <f>IF(ISNA(MATCH(O$2,Inputs!$K$4:$AJ$4,0)),NA(),IF(SUMPRODUCT((Inputs!$A$5:$A$180=$B18)*ISNUMBER(INDEX(Inputs!$K$5:$AJ$180,0,MATCH(O$2,Inputs!$K$4:$AJ$4,0))))+SUMPRODUCT((Inputs!$C$5:$C$180=$B18)*ISNUMBER(INDEX(Inputs!$K$5:$AJ$180,0,MATCH(O$2,Inputs!$K$4:$AJ$4,0))))+SUMPRODUCT((Inputs!$E$5:$E$180=$B18)*ISNUMBER(INDEX(Inputs!$K$5:$AJ$180,0,MATCH(O$2,Inputs!$K$4:$AJ$4,0))))=0,NA(),SUMPRODUCT((Inputs!$A$5:$A$180=$B18)*Inputs!$B$5:$B$180*(((Inputs!$G$5:$G$180="moeda")+(Inputs!$G$5:$G$180="acoes"))*Inputs!$B$1+((Inputs!$G$5:$G$180&lt;&gt;"moeda")*(Inputs!$G$5:$G$180&lt;&gt;"acoes")))*INDEX(Inputs!$K$5:$AJ$180,0,MATCH(O$2,Inputs!$K$4:$AJ$4,0)))+SUMPRODUCT((Inputs!$C$5:$C$180=$B18)*Inputs!$D$5:$D$180*(((Inputs!$G$5:$G$180="moeda")+(Inputs!$G$5:$G$180="acoes"))*Inputs!$B$1+((Inputs!$G$5:$G$180&lt;&gt;"moeda")*(Inputs!$G$5:$G$180&lt;&gt;"acoes")))*INDEX(Inputs!$K$5:$AJ$180,0,MATCH(O$2,Inputs!$K$4:$AJ$4,0)))+SUMPRODUCT((Inputs!$E$5:$E$180=$B18)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18" s="6" t="e">
        <f>IF(ISNA(MATCH(P$2,Inputs!$K$4:$AJ$4,0)),NA(),IF(SUMPRODUCT((Inputs!$A$5:$A$180=$B18)*ISNUMBER(INDEX(Inputs!$K$5:$AJ$180,0,MATCH(P$2,Inputs!$K$4:$AJ$4,0))))+SUMPRODUCT((Inputs!$C$5:$C$180=$B18)*ISNUMBER(INDEX(Inputs!$K$5:$AJ$180,0,MATCH(P$2,Inputs!$K$4:$AJ$4,0))))+SUMPRODUCT((Inputs!$E$5:$E$180=$B18)*ISNUMBER(INDEX(Inputs!$K$5:$AJ$180,0,MATCH(P$2,Inputs!$K$4:$AJ$4,0))))=0,NA(),SUMPRODUCT((Inputs!$A$5:$A$180=$B18)*Inputs!$B$5:$B$180*(((Inputs!$G$5:$G$180="moeda")+(Inputs!$G$5:$G$180="acoes"))*Inputs!$B$1+((Inputs!$G$5:$G$180&lt;&gt;"moeda")*(Inputs!$G$5:$G$180&lt;&gt;"acoes")))*INDEX(Inputs!$K$5:$AJ$180,0,MATCH(P$2,Inputs!$K$4:$AJ$4,0)))+SUMPRODUCT((Inputs!$C$5:$C$180=$B18)*Inputs!$D$5:$D$180*(((Inputs!$G$5:$G$180="moeda")+(Inputs!$G$5:$G$180="acoes"))*Inputs!$B$1+((Inputs!$G$5:$G$180&lt;&gt;"moeda")*(Inputs!$G$5:$G$180&lt;&gt;"acoes")))*INDEX(Inputs!$K$5:$AJ$180,0,MATCH(P$2,Inputs!$K$4:$AJ$4,0)))+SUMPRODUCT((Inputs!$E$5:$E$180=$B18)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18" s="6" t="e">
        <f>IF(ISNA(MATCH(Q$2,Inputs!$K$4:$AJ$4,0)),NA(),IF(SUMPRODUCT((Inputs!$A$5:$A$180=$B18)*ISNUMBER(INDEX(Inputs!$K$5:$AJ$180,0,MATCH(Q$2,Inputs!$K$4:$AJ$4,0))))+SUMPRODUCT((Inputs!$C$5:$C$180=$B18)*ISNUMBER(INDEX(Inputs!$K$5:$AJ$180,0,MATCH(Q$2,Inputs!$K$4:$AJ$4,0))))+SUMPRODUCT((Inputs!$E$5:$E$180=$B18)*ISNUMBER(INDEX(Inputs!$K$5:$AJ$180,0,MATCH(Q$2,Inputs!$K$4:$AJ$4,0))))=0,NA(),SUMPRODUCT((Inputs!$A$5:$A$180=$B18)*Inputs!$B$5:$B$180*(((Inputs!$G$5:$G$180="moeda")+(Inputs!$G$5:$G$180="acoes"))*Inputs!$B$1+((Inputs!$G$5:$G$180&lt;&gt;"moeda")*(Inputs!$G$5:$G$180&lt;&gt;"acoes")))*INDEX(Inputs!$K$5:$AJ$180,0,MATCH(Q$2,Inputs!$K$4:$AJ$4,0)))+SUMPRODUCT((Inputs!$C$5:$C$180=$B18)*Inputs!$D$5:$D$180*(((Inputs!$G$5:$G$180="moeda")+(Inputs!$G$5:$G$180="acoes"))*Inputs!$B$1+((Inputs!$G$5:$G$180&lt;&gt;"moeda")*(Inputs!$G$5:$G$180&lt;&gt;"acoes")))*INDEX(Inputs!$K$5:$AJ$180,0,MATCH(Q$2,Inputs!$K$4:$AJ$4,0)))+SUMPRODUCT((Inputs!$E$5:$E$180=$B18)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18" s="3" t="e">
        <f>Q18</f>
        <v>#N/A</v>
      </c>
      <c r="S18" s="6" t="e">
        <f>IF(ISNA(MATCH(S$2,Inputs!$K$4:$AJ$4,0)),NA(),IF(SUMPRODUCT((Inputs!$A$5:$A$180=$B18)*ISNUMBER(INDEX(Inputs!$K$5:$AJ$180,0,MATCH(S$2,Inputs!$K$4:$AJ$4,0))))+SUMPRODUCT((Inputs!$C$5:$C$180=$B18)*ISNUMBER(INDEX(Inputs!$K$5:$AJ$180,0,MATCH(S$2,Inputs!$K$4:$AJ$4,0))))+SUMPRODUCT((Inputs!$E$5:$E$180=$B18)*ISNUMBER(INDEX(Inputs!$K$5:$AJ$180,0,MATCH(S$2,Inputs!$K$4:$AJ$4,0))))=0,NA(),SUMPRODUCT((Inputs!$A$5:$A$180=$B18)*Inputs!$B$5:$B$180*(((Inputs!$G$5:$G$180="moeda")+(Inputs!$G$5:$G$180="acoes"))*Inputs!$B$1+((Inputs!$G$5:$G$180&lt;&gt;"moeda")*(Inputs!$G$5:$G$180&lt;&gt;"acoes")))*INDEX(Inputs!$K$5:$AJ$180,0,MATCH(S$2,Inputs!$K$4:$AJ$4,0)))+SUMPRODUCT((Inputs!$C$5:$C$180=$B18)*Inputs!$D$5:$D$180*(((Inputs!$G$5:$G$180="moeda")+(Inputs!$G$5:$G$180="acoes"))*Inputs!$B$1+((Inputs!$G$5:$G$180&lt;&gt;"moeda")*(Inputs!$G$5:$G$180&lt;&gt;"acoes")))*INDEX(Inputs!$K$5:$AJ$180,0,MATCH(S$2,Inputs!$K$4:$AJ$4,0)))+SUMPRODUCT((Inputs!$E$5:$E$180=$B18)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18" s="6" t="e">
        <f>IF(ISNA(MATCH(T$2,Inputs!$K$4:$AJ$4,0)),NA(),IF(SUMPRODUCT((Inputs!$A$5:$A$180=$B18)*ISNUMBER(INDEX(Inputs!$K$5:$AJ$180,0,MATCH(T$2,Inputs!$K$4:$AJ$4,0))))+SUMPRODUCT((Inputs!$C$5:$C$180=$B18)*ISNUMBER(INDEX(Inputs!$K$5:$AJ$180,0,MATCH(T$2,Inputs!$K$4:$AJ$4,0))))+SUMPRODUCT((Inputs!$E$5:$E$180=$B18)*ISNUMBER(INDEX(Inputs!$K$5:$AJ$180,0,MATCH(T$2,Inputs!$K$4:$AJ$4,0))))=0,NA(),SUMPRODUCT((Inputs!$A$5:$A$180=$B18)*Inputs!$B$5:$B$180*(((Inputs!$G$5:$G$180="moeda")+(Inputs!$G$5:$G$180="acoes"))*Inputs!$B$1+((Inputs!$G$5:$G$180&lt;&gt;"moeda")*(Inputs!$G$5:$G$180&lt;&gt;"acoes")))*INDEX(Inputs!$K$5:$AJ$180,0,MATCH(T$2,Inputs!$K$4:$AJ$4,0)))+SUMPRODUCT((Inputs!$C$5:$C$180=$B18)*Inputs!$D$5:$D$180*(((Inputs!$G$5:$G$180="moeda")+(Inputs!$G$5:$G$180="acoes"))*Inputs!$B$1+((Inputs!$G$5:$G$180&lt;&gt;"moeda")*(Inputs!$G$5:$G$180&lt;&gt;"acoes")))*INDEX(Inputs!$K$5:$AJ$180,0,MATCH(T$2,Inputs!$K$4:$AJ$4,0)))+SUMPRODUCT((Inputs!$E$5:$E$180=$B18)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18" s="6" t="e">
        <f>IF(ISNA(MATCH(U$2,Inputs!$K$4:$AJ$4,0)),NA(),IF(SUMPRODUCT((Inputs!$A$5:$A$180=$B18)*ISNUMBER(INDEX(Inputs!$K$5:$AJ$180,0,MATCH(U$2,Inputs!$K$4:$AJ$4,0))))+SUMPRODUCT((Inputs!$C$5:$C$180=$B18)*ISNUMBER(INDEX(Inputs!$K$5:$AJ$180,0,MATCH(U$2,Inputs!$K$4:$AJ$4,0))))+SUMPRODUCT((Inputs!$E$5:$E$180=$B18)*ISNUMBER(INDEX(Inputs!$K$5:$AJ$180,0,MATCH(U$2,Inputs!$K$4:$AJ$4,0))))=0,NA(),SUMPRODUCT((Inputs!$A$5:$A$180=$B18)*Inputs!$B$5:$B$180*(((Inputs!$G$5:$G$180="moeda")+(Inputs!$G$5:$G$180="acoes"))*Inputs!$B$1+((Inputs!$G$5:$G$180&lt;&gt;"moeda")*(Inputs!$G$5:$G$180&lt;&gt;"acoes")))*INDEX(Inputs!$K$5:$AJ$180,0,MATCH(U$2,Inputs!$K$4:$AJ$4,0)))+SUMPRODUCT((Inputs!$C$5:$C$180=$B18)*Inputs!$D$5:$D$180*(((Inputs!$G$5:$G$180="moeda")+(Inputs!$G$5:$G$180="acoes"))*Inputs!$B$1+((Inputs!$G$5:$G$180&lt;&gt;"moeda")*(Inputs!$G$5:$G$180&lt;&gt;"acoes")))*INDEX(Inputs!$K$5:$AJ$180,0,MATCH(U$2,Inputs!$K$4:$AJ$4,0)))+SUMPRODUCT((Inputs!$E$5:$E$180=$B18)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18" s="6" t="e">
        <f>IF(ISNA(MATCH(V$2,Inputs!$K$4:$AJ$4,0)),NA(),IF(SUMPRODUCT((Inputs!$A$5:$A$180=$B18)*ISNUMBER(INDEX(Inputs!$K$5:$AJ$180,0,MATCH(V$2,Inputs!$K$4:$AJ$4,0))))+SUMPRODUCT((Inputs!$C$5:$C$180=$B18)*ISNUMBER(INDEX(Inputs!$K$5:$AJ$180,0,MATCH(V$2,Inputs!$K$4:$AJ$4,0))))+SUMPRODUCT((Inputs!$E$5:$E$180=$B18)*ISNUMBER(INDEX(Inputs!$K$5:$AJ$180,0,MATCH(V$2,Inputs!$K$4:$AJ$4,0))))=0,NA(),SUMPRODUCT((Inputs!$A$5:$A$180=$B18)*Inputs!$B$5:$B$180*(((Inputs!$G$5:$G$180="moeda")+(Inputs!$G$5:$G$180="acoes"))*Inputs!$B$1+((Inputs!$G$5:$G$180&lt;&gt;"moeda")*(Inputs!$G$5:$G$180&lt;&gt;"acoes")))*INDEX(Inputs!$K$5:$AJ$180,0,MATCH(V$2,Inputs!$K$4:$AJ$4,0)))+SUMPRODUCT((Inputs!$C$5:$C$180=$B18)*Inputs!$D$5:$D$180*(((Inputs!$G$5:$G$180="moeda")+(Inputs!$G$5:$G$180="acoes"))*Inputs!$B$1+((Inputs!$G$5:$G$180&lt;&gt;"moeda")*(Inputs!$G$5:$G$180&lt;&gt;"acoes")))*INDEX(Inputs!$K$5:$AJ$180,0,MATCH(V$2,Inputs!$K$4:$AJ$4,0)))+SUMPRODUCT((Inputs!$E$5:$E$180=$B18)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18" s="3" t="e">
        <f>V18</f>
        <v>#N/A</v>
      </c>
      <c r="X18" s="6" t="e">
        <f>IF(ISNA(MATCH(X$2,Inputs!$K$4:$AJ$4,0)),NA(),IF(SUMPRODUCT((Inputs!$A$5:$A$180=$B18)*ISNUMBER(INDEX(Inputs!$K$5:$AJ$180,0,MATCH(X$2,Inputs!$K$4:$AJ$4,0))))+SUMPRODUCT((Inputs!$C$5:$C$180=$B18)*ISNUMBER(INDEX(Inputs!$K$5:$AJ$180,0,MATCH(X$2,Inputs!$K$4:$AJ$4,0))))+SUMPRODUCT((Inputs!$E$5:$E$180=$B18)*ISNUMBER(INDEX(Inputs!$K$5:$AJ$180,0,MATCH(X$2,Inputs!$K$4:$AJ$4,0))))=0,NA(),SUMPRODUCT((Inputs!$A$5:$A$180=$B18)*Inputs!$B$5:$B$180*(((Inputs!$G$5:$G$180="moeda")+(Inputs!$G$5:$G$180="acoes"))*Inputs!$B$1+((Inputs!$G$5:$G$180&lt;&gt;"moeda")*(Inputs!$G$5:$G$180&lt;&gt;"acoes")))*INDEX(Inputs!$K$5:$AJ$180,0,MATCH(X$2,Inputs!$K$4:$AJ$4,0)))+SUMPRODUCT((Inputs!$C$5:$C$180=$B18)*Inputs!$D$5:$D$180*(((Inputs!$G$5:$G$180="moeda")+(Inputs!$G$5:$G$180="acoes"))*Inputs!$B$1+((Inputs!$G$5:$G$180&lt;&gt;"moeda")*(Inputs!$G$5:$G$180&lt;&gt;"acoes")))*INDEX(Inputs!$K$5:$AJ$180,0,MATCH(X$2,Inputs!$K$4:$AJ$4,0)))+SUMPRODUCT((Inputs!$E$5:$E$180=$B18)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18" s="6" t="e">
        <f>IF(ISNA(MATCH(Y$2,Inputs!$K$4:$AJ$4,0)),NA(),IF(SUMPRODUCT((Inputs!$A$5:$A$180=$B18)*ISNUMBER(INDEX(Inputs!$K$5:$AJ$180,0,MATCH(Y$2,Inputs!$K$4:$AJ$4,0))))+SUMPRODUCT((Inputs!$C$5:$C$180=$B18)*ISNUMBER(INDEX(Inputs!$K$5:$AJ$180,0,MATCH(Y$2,Inputs!$K$4:$AJ$4,0))))+SUMPRODUCT((Inputs!$E$5:$E$180=$B18)*ISNUMBER(INDEX(Inputs!$K$5:$AJ$180,0,MATCH(Y$2,Inputs!$K$4:$AJ$4,0))))=0,NA(),SUMPRODUCT((Inputs!$A$5:$A$180=$B18)*Inputs!$B$5:$B$180*(((Inputs!$G$5:$G$180="moeda")+(Inputs!$G$5:$G$180="acoes"))*Inputs!$B$1+((Inputs!$G$5:$G$180&lt;&gt;"moeda")*(Inputs!$G$5:$G$180&lt;&gt;"acoes")))*INDEX(Inputs!$K$5:$AJ$180,0,MATCH(Y$2,Inputs!$K$4:$AJ$4,0)))+SUMPRODUCT((Inputs!$C$5:$C$180=$B18)*Inputs!$D$5:$D$180*(((Inputs!$G$5:$G$180="moeda")+(Inputs!$G$5:$G$180="acoes"))*Inputs!$B$1+((Inputs!$G$5:$G$180&lt;&gt;"moeda")*(Inputs!$G$5:$G$180&lt;&gt;"acoes")))*INDEX(Inputs!$K$5:$AJ$180,0,MATCH(Y$2,Inputs!$K$4:$AJ$4,0)))+SUMPRODUCT((Inputs!$E$5:$E$180=$B18)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18" s="6" t="e">
        <f>IF(ISNA(MATCH(Z$2,Inputs!$K$4:$AJ$4,0)),NA(),IF(SUMPRODUCT((Inputs!$A$5:$A$180=$B18)*ISNUMBER(INDEX(Inputs!$K$5:$AJ$180,0,MATCH(Z$2,Inputs!$K$4:$AJ$4,0))))+SUMPRODUCT((Inputs!$C$5:$C$180=$B18)*ISNUMBER(INDEX(Inputs!$K$5:$AJ$180,0,MATCH(Z$2,Inputs!$K$4:$AJ$4,0))))+SUMPRODUCT((Inputs!$E$5:$E$180=$B18)*ISNUMBER(INDEX(Inputs!$K$5:$AJ$180,0,MATCH(Z$2,Inputs!$K$4:$AJ$4,0))))=0,NA(),SUMPRODUCT((Inputs!$A$5:$A$180=$B18)*Inputs!$B$5:$B$180*(((Inputs!$G$5:$G$180="moeda")+(Inputs!$G$5:$G$180="acoes"))*Inputs!$B$1+((Inputs!$G$5:$G$180&lt;&gt;"moeda")*(Inputs!$G$5:$G$180&lt;&gt;"acoes")))*INDEX(Inputs!$K$5:$AJ$180,0,MATCH(Z$2,Inputs!$K$4:$AJ$4,0)))+SUMPRODUCT((Inputs!$C$5:$C$180=$B18)*Inputs!$D$5:$D$180*(((Inputs!$G$5:$G$180="moeda")+(Inputs!$G$5:$G$180="acoes"))*Inputs!$B$1+((Inputs!$G$5:$G$180&lt;&gt;"moeda")*(Inputs!$G$5:$G$180&lt;&gt;"acoes")))*INDEX(Inputs!$K$5:$AJ$180,0,MATCH(Z$2,Inputs!$K$4:$AJ$4,0)))+SUMPRODUCT((Inputs!$E$5:$E$180=$B18)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18" s="6" t="e">
        <f>IF(ISNA(MATCH(AA$2,Inputs!$K$4:$AJ$4,0)),NA(),IF(SUMPRODUCT((Inputs!$A$5:$A$180=$B18)*ISNUMBER(INDEX(Inputs!$K$5:$AJ$180,0,MATCH(AA$2,Inputs!$K$4:$AJ$4,0))))+SUMPRODUCT((Inputs!$C$5:$C$180=$B18)*ISNUMBER(INDEX(Inputs!$K$5:$AJ$180,0,MATCH(AA$2,Inputs!$K$4:$AJ$4,0))))+SUMPRODUCT((Inputs!$E$5:$E$180=$B18)*ISNUMBER(INDEX(Inputs!$K$5:$AJ$180,0,MATCH(AA$2,Inputs!$K$4:$AJ$4,0))))=0,NA(),SUMPRODUCT((Inputs!$A$5:$A$180=$B18)*Inputs!$B$5:$B$180*(((Inputs!$G$5:$G$180="moeda")+(Inputs!$G$5:$G$180="acoes"))*Inputs!$B$1+((Inputs!$G$5:$G$180&lt;&gt;"moeda")*(Inputs!$G$5:$G$180&lt;&gt;"acoes")))*INDEX(Inputs!$K$5:$AJ$180,0,MATCH(AA$2,Inputs!$K$4:$AJ$4,0)))+SUMPRODUCT((Inputs!$C$5:$C$180=$B18)*Inputs!$D$5:$D$180*(((Inputs!$G$5:$G$180="moeda")+(Inputs!$G$5:$G$180="acoes"))*Inputs!$B$1+((Inputs!$G$5:$G$180&lt;&gt;"moeda")*(Inputs!$G$5:$G$180&lt;&gt;"acoes")))*INDEX(Inputs!$K$5:$AJ$180,0,MATCH(AA$2,Inputs!$K$4:$AJ$4,0)))+SUMPRODUCT((Inputs!$E$5:$E$180=$B18)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18" s="3" t="e">
        <f>AA18</f>
        <v>#N/A</v>
      </c>
      <c r="AC18" s="6" t="e">
        <f>IF(ISNA(MATCH(AC$2,Inputs!$K$4:$AJ$4,0)),NA(),IF(SUMPRODUCT((Inputs!$A$5:$A$180=$B18)*ISNUMBER(INDEX(Inputs!$K$5:$AJ$180,0,MATCH(AC$2,Inputs!$K$4:$AJ$4,0))))+SUMPRODUCT((Inputs!$C$5:$C$180=$B18)*ISNUMBER(INDEX(Inputs!$K$5:$AJ$180,0,MATCH(AC$2,Inputs!$K$4:$AJ$4,0))))+SUMPRODUCT((Inputs!$E$5:$E$180=$B18)*ISNUMBER(INDEX(Inputs!$K$5:$AJ$180,0,MATCH(AC$2,Inputs!$K$4:$AJ$4,0))))=0,NA(),SUMPRODUCT((Inputs!$A$5:$A$180=$B18)*Inputs!$B$5:$B$180*(((Inputs!$G$5:$G$180="moeda")+(Inputs!$G$5:$G$180="acoes"))*Inputs!$B$1+((Inputs!$G$5:$G$180&lt;&gt;"moeda")*(Inputs!$G$5:$G$180&lt;&gt;"acoes")))*INDEX(Inputs!$K$5:$AJ$180,0,MATCH(AC$2,Inputs!$K$4:$AJ$4,0)))+SUMPRODUCT((Inputs!$C$5:$C$180=$B18)*Inputs!$D$5:$D$180*(((Inputs!$G$5:$G$180="moeda")+(Inputs!$G$5:$G$180="acoes"))*Inputs!$B$1+((Inputs!$G$5:$G$180&lt;&gt;"moeda")*(Inputs!$G$5:$G$180&lt;&gt;"acoes")))*INDEX(Inputs!$K$5:$AJ$180,0,MATCH(AC$2,Inputs!$K$4:$AJ$4,0)))+SUMPRODUCT((Inputs!$E$5:$E$180=$B18)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18" s="6" t="e">
        <f>IF(ISNA(MATCH(AD$2,Inputs!$K$4:$AJ$4,0)),NA(),IF(SUMPRODUCT((Inputs!$A$5:$A$180=$B18)*ISNUMBER(INDEX(Inputs!$K$5:$AJ$180,0,MATCH(AD$2,Inputs!$K$4:$AJ$4,0))))+SUMPRODUCT((Inputs!$C$5:$C$180=$B18)*ISNUMBER(INDEX(Inputs!$K$5:$AJ$180,0,MATCH(AD$2,Inputs!$K$4:$AJ$4,0))))+SUMPRODUCT((Inputs!$E$5:$E$180=$B18)*ISNUMBER(INDEX(Inputs!$K$5:$AJ$180,0,MATCH(AD$2,Inputs!$K$4:$AJ$4,0))))=0,NA(),SUMPRODUCT((Inputs!$A$5:$A$180=$B18)*Inputs!$B$5:$B$180*(((Inputs!$G$5:$G$180="moeda")+(Inputs!$G$5:$G$180="acoes"))*Inputs!$B$1+((Inputs!$G$5:$G$180&lt;&gt;"moeda")*(Inputs!$G$5:$G$180&lt;&gt;"acoes")))*INDEX(Inputs!$K$5:$AJ$180,0,MATCH(AD$2,Inputs!$K$4:$AJ$4,0)))+SUMPRODUCT((Inputs!$C$5:$C$180=$B18)*Inputs!$D$5:$D$180*(((Inputs!$G$5:$G$180="moeda")+(Inputs!$G$5:$G$180="acoes"))*Inputs!$B$1+((Inputs!$G$5:$G$180&lt;&gt;"moeda")*(Inputs!$G$5:$G$180&lt;&gt;"acoes")))*INDEX(Inputs!$K$5:$AJ$180,0,MATCH(AD$2,Inputs!$K$4:$AJ$4,0)))+SUMPRODUCT((Inputs!$E$5:$E$180=$B18)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18" s="6" t="e">
        <f>IF(ISNA(MATCH(AE$2,Inputs!$K$4:$AJ$4,0)),NA(),IF(SUMPRODUCT((Inputs!$A$5:$A$180=$B18)*ISNUMBER(INDEX(Inputs!$K$5:$AJ$180,0,MATCH(AE$2,Inputs!$K$4:$AJ$4,0))))+SUMPRODUCT((Inputs!$C$5:$C$180=$B18)*ISNUMBER(INDEX(Inputs!$K$5:$AJ$180,0,MATCH(AE$2,Inputs!$K$4:$AJ$4,0))))+SUMPRODUCT((Inputs!$E$5:$E$180=$B18)*ISNUMBER(INDEX(Inputs!$K$5:$AJ$180,0,MATCH(AE$2,Inputs!$K$4:$AJ$4,0))))=0,NA(),SUMPRODUCT((Inputs!$A$5:$A$180=$B18)*Inputs!$B$5:$B$180*(((Inputs!$G$5:$G$180="moeda")+(Inputs!$G$5:$G$180="acoes"))*Inputs!$B$1+((Inputs!$G$5:$G$180&lt;&gt;"moeda")*(Inputs!$G$5:$G$180&lt;&gt;"acoes")))*INDEX(Inputs!$K$5:$AJ$180,0,MATCH(AE$2,Inputs!$K$4:$AJ$4,0)))+SUMPRODUCT((Inputs!$C$5:$C$180=$B18)*Inputs!$D$5:$D$180*(((Inputs!$G$5:$G$180="moeda")+(Inputs!$G$5:$G$180="acoes"))*Inputs!$B$1+((Inputs!$G$5:$G$180&lt;&gt;"moeda")*(Inputs!$G$5:$G$180&lt;&gt;"acoes")))*INDEX(Inputs!$K$5:$AJ$180,0,MATCH(AE$2,Inputs!$K$4:$AJ$4,0)))+SUMPRODUCT((Inputs!$E$5:$E$180=$B18)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8" s="6" t="e">
        <f>IF(ISNA(MATCH(AF$2,Inputs!$K$4:$AJ$4,0)),NA(),IF(SUMPRODUCT((Inputs!$A$5:$A$180=$B18)*ISNUMBER(INDEX(Inputs!$K$5:$AJ$180,0,MATCH(AF$2,Inputs!$K$4:$AJ$4,0))))+SUMPRODUCT((Inputs!$C$5:$C$180=$B18)*ISNUMBER(INDEX(Inputs!$K$5:$AJ$180,0,MATCH(AF$2,Inputs!$K$4:$AJ$4,0))))+SUMPRODUCT((Inputs!$E$5:$E$180=$B18)*ISNUMBER(INDEX(Inputs!$K$5:$AJ$180,0,MATCH(AF$2,Inputs!$K$4:$AJ$4,0))))=0,NA(),SUMPRODUCT((Inputs!$A$5:$A$180=$B18)*Inputs!$B$5:$B$180*(((Inputs!$G$5:$G$180="moeda")+(Inputs!$G$5:$G$180="acoes"))*Inputs!$B$1+((Inputs!$G$5:$G$180&lt;&gt;"moeda")*(Inputs!$G$5:$G$180&lt;&gt;"acoes")))*INDEX(Inputs!$K$5:$AJ$180,0,MATCH(AF$2,Inputs!$K$4:$AJ$4,0)))+SUMPRODUCT((Inputs!$C$5:$C$180=$B18)*Inputs!$D$5:$D$180*(((Inputs!$G$5:$G$180="moeda")+(Inputs!$G$5:$G$180="acoes"))*Inputs!$B$1+((Inputs!$G$5:$G$180&lt;&gt;"moeda")*(Inputs!$G$5:$G$180&lt;&gt;"acoes")))*INDEX(Inputs!$K$5:$AJ$180,0,MATCH(AF$2,Inputs!$K$4:$AJ$4,0)))+SUMPRODUCT((Inputs!$E$5:$E$180=$B18)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8" s="3" t="e">
        <f>AF18</f>
        <v>#N/A</v>
      </c>
      <c r="AH18" s="6" t="e">
        <f>IF(ISNA(MATCH(AH$2,Inputs!$K$4:$AJ$4,0)),NA(),IF(SUMPRODUCT((Inputs!$A$5:$A$180=$B18)*ISNUMBER(INDEX(Inputs!$K$5:$AJ$180,0,MATCH(AH$2,Inputs!$K$4:$AJ$4,0))))+SUMPRODUCT((Inputs!$C$5:$C$180=$B18)*ISNUMBER(INDEX(Inputs!$K$5:$AJ$180,0,MATCH(AH$2,Inputs!$K$4:$AJ$4,0))))+SUMPRODUCT((Inputs!$E$5:$E$180=$B18)*ISNUMBER(INDEX(Inputs!$K$5:$AJ$180,0,MATCH(AH$2,Inputs!$K$4:$AJ$4,0))))=0,NA(),SUMPRODUCT((Inputs!$A$5:$A$180=$B18)*Inputs!$B$5:$B$180*(((Inputs!$G$5:$G$180="moeda")+(Inputs!$G$5:$G$180="acoes"))*Inputs!$B$1+((Inputs!$G$5:$G$180&lt;&gt;"moeda")*(Inputs!$G$5:$G$180&lt;&gt;"acoes")))*INDEX(Inputs!$K$5:$AJ$180,0,MATCH(AH$2,Inputs!$K$4:$AJ$4,0)))+SUMPRODUCT((Inputs!$C$5:$C$180=$B18)*Inputs!$D$5:$D$180*(((Inputs!$G$5:$G$180="moeda")+(Inputs!$G$5:$G$180="acoes"))*Inputs!$B$1+((Inputs!$G$5:$G$180&lt;&gt;"moeda")*(Inputs!$G$5:$G$180&lt;&gt;"acoes")))*INDEX(Inputs!$K$5:$AJ$180,0,MATCH(AH$2,Inputs!$K$4:$AJ$4,0)))+SUMPRODUCT((Inputs!$E$5:$E$180=$B18)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18" s="6" t="e">
        <f>IF(ISNA(MATCH(AI$2,Inputs!$K$4:$AJ$4,0)),NA(),IF(SUMPRODUCT((Inputs!$A$5:$A$180=$B18)*ISNUMBER(INDEX(Inputs!$K$5:$AJ$180,0,MATCH(AI$2,Inputs!$K$4:$AJ$4,0))))+SUMPRODUCT((Inputs!$C$5:$C$180=$B18)*ISNUMBER(INDEX(Inputs!$K$5:$AJ$180,0,MATCH(AI$2,Inputs!$K$4:$AJ$4,0))))+SUMPRODUCT((Inputs!$E$5:$E$180=$B18)*ISNUMBER(INDEX(Inputs!$K$5:$AJ$180,0,MATCH(AI$2,Inputs!$K$4:$AJ$4,0))))=0,NA(),SUMPRODUCT((Inputs!$A$5:$A$180=$B18)*Inputs!$B$5:$B$180*(((Inputs!$G$5:$G$180="moeda")+(Inputs!$G$5:$G$180="acoes"))*Inputs!$B$1+((Inputs!$G$5:$G$180&lt;&gt;"moeda")*(Inputs!$G$5:$G$180&lt;&gt;"acoes")))*INDEX(Inputs!$K$5:$AJ$180,0,MATCH(AI$2,Inputs!$K$4:$AJ$4,0)))+SUMPRODUCT((Inputs!$C$5:$C$180=$B18)*Inputs!$D$5:$D$180*(((Inputs!$G$5:$G$180="moeda")+(Inputs!$G$5:$G$180="acoes"))*Inputs!$B$1+((Inputs!$G$5:$G$180&lt;&gt;"moeda")*(Inputs!$G$5:$G$180&lt;&gt;"acoes")))*INDEX(Inputs!$K$5:$AJ$180,0,MATCH(AI$2,Inputs!$K$4:$AJ$4,0)))+SUMPRODUCT((Inputs!$E$5:$E$180=$B18)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18" s="6" t="e">
        <f>IF(ISNA(MATCH(AJ$2,Inputs!$K$4:$AJ$4,0)),NA(),IF(SUMPRODUCT((Inputs!$A$5:$A$180=$B18)*ISNUMBER(INDEX(Inputs!$K$5:$AJ$180,0,MATCH(AJ$2,Inputs!$K$4:$AJ$4,0))))+SUMPRODUCT((Inputs!$C$5:$C$180=$B18)*ISNUMBER(INDEX(Inputs!$K$5:$AJ$180,0,MATCH(AJ$2,Inputs!$K$4:$AJ$4,0))))+SUMPRODUCT((Inputs!$E$5:$E$180=$B18)*ISNUMBER(INDEX(Inputs!$K$5:$AJ$180,0,MATCH(AJ$2,Inputs!$K$4:$AJ$4,0))))=0,NA(),SUMPRODUCT((Inputs!$A$5:$A$180=$B18)*Inputs!$B$5:$B$180*(((Inputs!$G$5:$G$180="moeda")+(Inputs!$G$5:$G$180="acoes"))*Inputs!$B$1+((Inputs!$G$5:$G$180&lt;&gt;"moeda")*(Inputs!$G$5:$G$180&lt;&gt;"acoes")))*INDEX(Inputs!$K$5:$AJ$180,0,MATCH(AJ$2,Inputs!$K$4:$AJ$4,0)))+SUMPRODUCT((Inputs!$C$5:$C$180=$B18)*Inputs!$D$5:$D$180*(((Inputs!$G$5:$G$180="moeda")+(Inputs!$G$5:$G$180="acoes"))*Inputs!$B$1+((Inputs!$G$5:$G$180&lt;&gt;"moeda")*(Inputs!$G$5:$G$180&lt;&gt;"acoes")))*INDEX(Inputs!$K$5:$AJ$180,0,MATCH(AJ$2,Inputs!$K$4:$AJ$4,0)))+SUMPRODUCT((Inputs!$E$5:$E$180=$B18)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18" s="6" t="e">
        <f>IF(ISNA(MATCH(AK$2,Inputs!$K$4:$AJ$4,0)),NA(),IF(SUMPRODUCT((Inputs!$A$5:$A$180=$B18)*ISNUMBER(INDEX(Inputs!$K$5:$AJ$180,0,MATCH(AK$2,Inputs!$K$4:$AJ$4,0))))+SUMPRODUCT((Inputs!$C$5:$C$180=$B18)*ISNUMBER(INDEX(Inputs!$K$5:$AJ$180,0,MATCH(AK$2,Inputs!$K$4:$AJ$4,0))))+SUMPRODUCT((Inputs!$E$5:$E$180=$B18)*ISNUMBER(INDEX(Inputs!$K$5:$AJ$180,0,MATCH(AK$2,Inputs!$K$4:$AJ$4,0))))=0,NA(),SUMPRODUCT((Inputs!$A$5:$A$180=$B18)*Inputs!$B$5:$B$180*(((Inputs!$G$5:$G$180="moeda")+(Inputs!$G$5:$G$180="acoes"))*Inputs!$B$1+((Inputs!$G$5:$G$180&lt;&gt;"moeda")*(Inputs!$G$5:$G$180&lt;&gt;"acoes")))*INDEX(Inputs!$K$5:$AJ$180,0,MATCH(AK$2,Inputs!$K$4:$AJ$4,0)))+SUMPRODUCT((Inputs!$C$5:$C$180=$B18)*Inputs!$D$5:$D$180*(((Inputs!$G$5:$G$180="moeda")+(Inputs!$G$5:$G$180="acoes"))*Inputs!$B$1+((Inputs!$G$5:$G$180&lt;&gt;"moeda")*(Inputs!$G$5:$G$180&lt;&gt;"acoes")))*INDEX(Inputs!$K$5:$AJ$180,0,MATCH(AK$2,Inputs!$K$4:$AJ$4,0)))+SUMPRODUCT((Inputs!$E$5:$E$180=$B18)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$180=$B19)*ISNUMBER(INDEX(Inputs!$K$5:$AJ$180,0,MATCH(D$2,Inputs!$K$4:$AJ$4,0))))+SUMPRODUCT((Inputs!$C$5:$C$180=$B19)*ISNUMBER(INDEX(Inputs!$K$5:$AJ$180,0,MATCH(D$2,Inputs!$K$4:$AJ$4,0))))+SUMPRODUCT((Inputs!$E$5:$E$180=$B19)*ISNUMBER(INDEX(Inputs!$K$5:$AJ$180,0,MATCH(D$2,Inputs!$K$4:$AJ$4,0))))=0,NA(),SUMPRODUCT((Inputs!$A$5:$A$180=$B19)*Inputs!$B$5:$B$180*(((Inputs!$G$5:$G$180="moeda")+(Inputs!$G$5:$G$180="acoes"))*Inputs!$B$1+((Inputs!$G$5:$G$180&lt;&gt;"moeda")*(Inputs!$G$5:$G$180&lt;&gt;"acoes")))*INDEX(Inputs!$K$5:$AJ$180,0,MATCH(D$2,Inputs!$K$4:$AJ$4,0)))+SUMPRODUCT((Inputs!$C$5:$C$180=$B19)*Inputs!$D$5:$D$180*(((Inputs!$G$5:$G$180="moeda")+(Inputs!$G$5:$G$180="acoes"))*Inputs!$B$1+((Inputs!$G$5:$G$180&lt;&gt;"moeda")*(Inputs!$G$5:$G$180&lt;&gt;"acoes")))*INDEX(Inputs!$K$5:$AJ$180,0,MATCH(D$2,Inputs!$K$4:$AJ$4,0)))+SUMPRODUCT((Inputs!$E$5:$E$180=$B19)*Inputs!$F$5:$F$180*(((Inputs!$G$5:$G$180="moeda")+(Inputs!$G$5:$G$180="acoes"))*Inputs!$B$1+((Inputs!$G$5:$G$180&lt;&gt;"moeda")*(Inputs!$G$5:$G$180&lt;&gt;"acoes")))*INDEX(Inputs!$K$5:$AJ$180,0,MATCH(D$2,Inputs!$K$4:$AJ$4,0)))))</f>
        <v>12.91036846</v>
      </c>
      <c r="E19" s="6">
        <f>IF(ISNA(MATCH(E$2,Inputs!$K$4:$AJ$4,0)),NA(),IF(SUMPRODUCT((Inputs!$A$5:$A$180=$B19)*ISNUMBER(INDEX(Inputs!$K$5:$AJ$180,0,MATCH(E$2,Inputs!$K$4:$AJ$4,0))))+SUMPRODUCT((Inputs!$C$5:$C$180=$B19)*ISNUMBER(INDEX(Inputs!$K$5:$AJ$180,0,MATCH(E$2,Inputs!$K$4:$AJ$4,0))))+SUMPRODUCT((Inputs!$E$5:$E$180=$B19)*ISNUMBER(INDEX(Inputs!$K$5:$AJ$180,0,MATCH(E$2,Inputs!$K$4:$AJ$4,0))))=0,NA(),SUMPRODUCT((Inputs!$A$5:$A$180=$B19)*Inputs!$B$5:$B$180*(((Inputs!$G$5:$G$180="moeda")+(Inputs!$G$5:$G$180="acoes"))*Inputs!$B$1+((Inputs!$G$5:$G$180&lt;&gt;"moeda")*(Inputs!$G$5:$G$180&lt;&gt;"acoes")))*INDEX(Inputs!$K$5:$AJ$180,0,MATCH(E$2,Inputs!$K$4:$AJ$4,0)))+SUMPRODUCT((Inputs!$C$5:$C$180=$B19)*Inputs!$D$5:$D$180*(((Inputs!$G$5:$G$180="moeda")+(Inputs!$G$5:$G$180="acoes"))*Inputs!$B$1+((Inputs!$G$5:$G$180&lt;&gt;"moeda")*(Inputs!$G$5:$G$180&lt;&gt;"acoes")))*INDEX(Inputs!$K$5:$AJ$180,0,MATCH(E$2,Inputs!$K$4:$AJ$4,0)))+SUMPRODUCT((Inputs!$E$5:$E$180=$B19)*Inputs!$F$5:$F$180*(((Inputs!$G$5:$G$180="moeda")+(Inputs!$G$5:$G$180="acoes"))*Inputs!$B$1+((Inputs!$G$5:$G$180&lt;&gt;"moeda")*(Inputs!$G$5:$G$180&lt;&gt;"acoes")))*INDEX(Inputs!$K$5:$AJ$180,0,MATCH(E$2,Inputs!$K$4:$AJ$4,0)))))</f>
        <v>13.4003447</v>
      </c>
      <c r="F19" s="6">
        <f>IF(ISNA(MATCH(F$2,Inputs!$K$4:$AJ$4,0)),NA(),IF(SUMPRODUCT((Inputs!$A$5:$A$180=$B19)*ISNUMBER(INDEX(Inputs!$K$5:$AJ$180,0,MATCH(F$2,Inputs!$K$4:$AJ$4,0))))+SUMPRODUCT((Inputs!$C$5:$C$180=$B19)*ISNUMBER(INDEX(Inputs!$K$5:$AJ$180,0,MATCH(F$2,Inputs!$K$4:$AJ$4,0))))+SUMPRODUCT((Inputs!$E$5:$E$180=$B19)*ISNUMBER(INDEX(Inputs!$K$5:$AJ$180,0,MATCH(F$2,Inputs!$K$4:$AJ$4,0))))=0,NA(),SUMPRODUCT((Inputs!$A$5:$A$180=$B19)*Inputs!$B$5:$B$180*(((Inputs!$G$5:$G$180="moeda")+(Inputs!$G$5:$G$180="acoes"))*Inputs!$B$1+((Inputs!$G$5:$G$180&lt;&gt;"moeda")*(Inputs!$G$5:$G$180&lt;&gt;"acoes")))*INDEX(Inputs!$K$5:$AJ$180,0,MATCH(F$2,Inputs!$K$4:$AJ$4,0)))+SUMPRODUCT((Inputs!$C$5:$C$180=$B19)*Inputs!$D$5:$D$180*(((Inputs!$G$5:$G$180="moeda")+(Inputs!$G$5:$G$180="acoes"))*Inputs!$B$1+((Inputs!$G$5:$G$180&lt;&gt;"moeda")*(Inputs!$G$5:$G$180&lt;&gt;"acoes")))*INDEX(Inputs!$K$5:$AJ$180,0,MATCH(F$2,Inputs!$K$4:$AJ$4,0)))+SUMPRODUCT((Inputs!$E$5:$E$180=$B19)*Inputs!$F$5:$F$180*(((Inputs!$G$5:$G$180="moeda")+(Inputs!$G$5:$G$180="acoes"))*Inputs!$B$1+((Inputs!$G$5:$G$180&lt;&gt;"moeda")*(Inputs!$G$5:$G$180&lt;&gt;"acoes")))*INDEX(Inputs!$K$5:$AJ$180,0,MATCH(F$2,Inputs!$K$4:$AJ$4,0)))))</f>
        <v>12.24497846</v>
      </c>
      <c r="G19" s="6">
        <f>IF(ISNA(MATCH(G$2,Inputs!$K$4:$AJ$4,0)),NA(),IF(SUMPRODUCT((Inputs!$A$5:$A$180=$B19)*ISNUMBER(INDEX(Inputs!$K$5:$AJ$180,0,MATCH(G$2,Inputs!$K$4:$AJ$4,0))))+SUMPRODUCT((Inputs!$C$5:$C$180=$B19)*ISNUMBER(INDEX(Inputs!$K$5:$AJ$180,0,MATCH(G$2,Inputs!$K$4:$AJ$4,0))))+SUMPRODUCT((Inputs!$E$5:$E$180=$B19)*ISNUMBER(INDEX(Inputs!$K$5:$AJ$180,0,MATCH(G$2,Inputs!$K$4:$AJ$4,0))))=0,NA(),SUMPRODUCT((Inputs!$A$5:$A$180=$B19)*Inputs!$B$5:$B$180*(((Inputs!$G$5:$G$180="moeda")+(Inputs!$G$5:$G$180="acoes"))*Inputs!$B$1+((Inputs!$G$5:$G$180&lt;&gt;"moeda")*(Inputs!$G$5:$G$180&lt;&gt;"acoes")))*INDEX(Inputs!$K$5:$AJ$180,0,MATCH(G$2,Inputs!$K$4:$AJ$4,0)))+SUMPRODUCT((Inputs!$C$5:$C$180=$B19)*Inputs!$D$5:$D$180*(((Inputs!$G$5:$G$180="moeda")+(Inputs!$G$5:$G$180="acoes"))*Inputs!$B$1+((Inputs!$G$5:$G$180&lt;&gt;"moeda")*(Inputs!$G$5:$G$180&lt;&gt;"acoes")))*INDEX(Inputs!$K$5:$AJ$180,0,MATCH(G$2,Inputs!$K$4:$AJ$4,0)))+SUMPRODUCT((Inputs!$E$5:$E$180=$B19)*Inputs!$F$5:$F$180*(((Inputs!$G$5:$G$180="moeda")+(Inputs!$G$5:$G$180="acoes"))*Inputs!$B$1+((Inputs!$G$5:$G$180&lt;&gt;"moeda")*(Inputs!$G$5:$G$180&lt;&gt;"acoes")))*INDEX(Inputs!$K$5:$AJ$180,0,MATCH(G$2,Inputs!$K$4:$AJ$4,0)))))</f>
        <v>8.22308547</v>
      </c>
      <c r="H19" s="3">
        <f>G19</f>
        <v>8.22308547</v>
      </c>
      <c r="I19" s="6">
        <f>IF(ISNA(MATCH(I$2,Inputs!$K$4:$AJ$4,0)),NA(),IF(SUMPRODUCT((Inputs!$A$5:$A$180=$B19)*ISNUMBER(INDEX(Inputs!$K$5:$AJ$180,0,MATCH(I$2,Inputs!$K$4:$AJ$4,0))))+SUMPRODUCT((Inputs!$C$5:$C$180=$B19)*ISNUMBER(INDEX(Inputs!$K$5:$AJ$180,0,MATCH(I$2,Inputs!$K$4:$AJ$4,0))))+SUMPRODUCT((Inputs!$E$5:$E$180=$B19)*ISNUMBER(INDEX(Inputs!$K$5:$AJ$180,0,MATCH(I$2,Inputs!$K$4:$AJ$4,0))))=0,NA(),SUMPRODUCT((Inputs!$A$5:$A$180=$B19)*Inputs!$B$5:$B$180*(((Inputs!$G$5:$G$180="moeda")+(Inputs!$G$5:$G$180="acoes"))*Inputs!$B$1+((Inputs!$G$5:$G$180&lt;&gt;"moeda")*(Inputs!$G$5:$G$180&lt;&gt;"acoes")))*INDEX(Inputs!$K$5:$AJ$180,0,MATCH(I$2,Inputs!$K$4:$AJ$4,0)))+SUMPRODUCT((Inputs!$C$5:$C$180=$B19)*Inputs!$D$5:$D$180*(((Inputs!$G$5:$G$180="moeda")+(Inputs!$G$5:$G$180="acoes"))*Inputs!$B$1+((Inputs!$G$5:$G$180&lt;&gt;"moeda")*(Inputs!$G$5:$G$180&lt;&gt;"acoes")))*INDEX(Inputs!$K$5:$AJ$180,0,MATCH(I$2,Inputs!$K$4:$AJ$4,0)))+SUMPRODUCT((Inputs!$E$5:$E$180=$B19)*Inputs!$F$5:$F$180*(((Inputs!$G$5:$G$180="moeda")+(Inputs!$G$5:$G$180="acoes"))*Inputs!$B$1+((Inputs!$G$5:$G$180&lt;&gt;"moeda")*(Inputs!$G$5:$G$180&lt;&gt;"acoes")))*INDEX(Inputs!$K$5:$AJ$180,0,MATCH(I$2,Inputs!$K$4:$AJ$4,0)))))</f>
        <v>14.52460152</v>
      </c>
      <c r="J19" s="6">
        <f>IF(ISNA(MATCH(J$2,Inputs!$K$4:$AJ$4,0)),NA(),IF(SUMPRODUCT((Inputs!$A$5:$A$180=$B19)*ISNUMBER(INDEX(Inputs!$K$5:$AJ$180,0,MATCH(J$2,Inputs!$K$4:$AJ$4,0))))+SUMPRODUCT((Inputs!$C$5:$C$180=$B19)*ISNUMBER(INDEX(Inputs!$K$5:$AJ$180,0,MATCH(J$2,Inputs!$K$4:$AJ$4,0))))+SUMPRODUCT((Inputs!$E$5:$E$180=$B19)*ISNUMBER(INDEX(Inputs!$K$5:$AJ$180,0,MATCH(J$2,Inputs!$K$4:$AJ$4,0))))=0,NA(),SUMPRODUCT((Inputs!$A$5:$A$180=$B19)*Inputs!$B$5:$B$180*(((Inputs!$G$5:$G$180="moeda")+(Inputs!$G$5:$G$180="acoes"))*Inputs!$B$1+((Inputs!$G$5:$G$180&lt;&gt;"moeda")*(Inputs!$G$5:$G$180&lt;&gt;"acoes")))*INDEX(Inputs!$K$5:$AJ$180,0,MATCH(J$2,Inputs!$K$4:$AJ$4,0)))+SUMPRODUCT((Inputs!$C$5:$C$180=$B19)*Inputs!$D$5:$D$180*(((Inputs!$G$5:$G$180="moeda")+(Inputs!$G$5:$G$180="acoes"))*Inputs!$B$1+((Inputs!$G$5:$G$180&lt;&gt;"moeda")*(Inputs!$G$5:$G$180&lt;&gt;"acoes")))*INDEX(Inputs!$K$5:$AJ$180,0,MATCH(J$2,Inputs!$K$4:$AJ$4,0)))+SUMPRODUCT((Inputs!$E$5:$E$180=$B19)*Inputs!$F$5:$F$180*(((Inputs!$G$5:$G$180="moeda")+(Inputs!$G$5:$G$180="acoes"))*Inputs!$B$1+((Inputs!$G$5:$G$180&lt;&gt;"moeda")*(Inputs!$G$5:$G$180&lt;&gt;"acoes")))*INDEX(Inputs!$K$5:$AJ$180,0,MATCH(J$2,Inputs!$K$4:$AJ$4,0)))))</f>
        <v>13.62805206</v>
      </c>
      <c r="K19" s="6">
        <f>IF(ISNA(MATCH(K$2,Inputs!$K$4:$AJ$4,0)),NA(),IF(SUMPRODUCT((Inputs!$A$5:$A$180=$B19)*ISNUMBER(INDEX(Inputs!$K$5:$AJ$180,0,MATCH(K$2,Inputs!$K$4:$AJ$4,0))))+SUMPRODUCT((Inputs!$C$5:$C$180=$B19)*ISNUMBER(INDEX(Inputs!$K$5:$AJ$180,0,MATCH(K$2,Inputs!$K$4:$AJ$4,0))))+SUMPRODUCT((Inputs!$E$5:$E$180=$B19)*ISNUMBER(INDEX(Inputs!$K$5:$AJ$180,0,MATCH(K$2,Inputs!$K$4:$AJ$4,0))))=0,NA(),SUMPRODUCT((Inputs!$A$5:$A$180=$B19)*Inputs!$B$5:$B$180*(((Inputs!$G$5:$G$180="moeda")+(Inputs!$G$5:$G$180="acoes"))*Inputs!$B$1+((Inputs!$G$5:$G$180&lt;&gt;"moeda")*(Inputs!$G$5:$G$180&lt;&gt;"acoes")))*INDEX(Inputs!$K$5:$AJ$180,0,MATCH(K$2,Inputs!$K$4:$AJ$4,0)))+SUMPRODUCT((Inputs!$C$5:$C$180=$B19)*Inputs!$D$5:$D$180*(((Inputs!$G$5:$G$180="moeda")+(Inputs!$G$5:$G$180="acoes"))*Inputs!$B$1+((Inputs!$G$5:$G$180&lt;&gt;"moeda")*(Inputs!$G$5:$G$180&lt;&gt;"acoes")))*INDEX(Inputs!$K$5:$AJ$180,0,MATCH(K$2,Inputs!$K$4:$AJ$4,0)))+SUMPRODUCT((Inputs!$E$5:$E$180=$B19)*Inputs!$F$5:$F$180*(((Inputs!$G$5:$G$180="moeda")+(Inputs!$G$5:$G$180="acoes"))*Inputs!$B$1+((Inputs!$G$5:$G$180&lt;&gt;"moeda")*(Inputs!$G$5:$G$180&lt;&gt;"acoes")))*INDEX(Inputs!$K$5:$AJ$180,0,MATCH(K$2,Inputs!$K$4:$AJ$4,0)))))</f>
        <v>14.28907165</v>
      </c>
      <c r="L19" s="6">
        <f>IF(ISNA(MATCH(L$2,Inputs!$K$4:$AJ$4,0)),NA(),IF(SUMPRODUCT((Inputs!$A$5:$A$180=$B19)*ISNUMBER(INDEX(Inputs!$K$5:$AJ$180,0,MATCH(L$2,Inputs!$K$4:$AJ$4,0))))+SUMPRODUCT((Inputs!$C$5:$C$180=$B19)*ISNUMBER(INDEX(Inputs!$K$5:$AJ$180,0,MATCH(L$2,Inputs!$K$4:$AJ$4,0))))+SUMPRODUCT((Inputs!$E$5:$E$180=$B19)*ISNUMBER(INDEX(Inputs!$K$5:$AJ$180,0,MATCH(L$2,Inputs!$K$4:$AJ$4,0))))=0,NA(),SUMPRODUCT((Inputs!$A$5:$A$180=$B19)*Inputs!$B$5:$B$180*(((Inputs!$G$5:$G$180="moeda")+(Inputs!$G$5:$G$180="acoes"))*Inputs!$B$1+((Inputs!$G$5:$G$180&lt;&gt;"moeda")*(Inputs!$G$5:$G$180&lt;&gt;"acoes")))*INDEX(Inputs!$K$5:$AJ$180,0,MATCH(L$2,Inputs!$K$4:$AJ$4,0)))+SUMPRODUCT((Inputs!$C$5:$C$180=$B19)*Inputs!$D$5:$D$180*(((Inputs!$G$5:$G$180="moeda")+(Inputs!$G$5:$G$180="acoes"))*Inputs!$B$1+((Inputs!$G$5:$G$180&lt;&gt;"moeda")*(Inputs!$G$5:$G$180&lt;&gt;"acoes")))*INDEX(Inputs!$K$5:$AJ$180,0,MATCH(L$2,Inputs!$K$4:$AJ$4,0)))+SUMPRODUCT((Inputs!$E$5:$E$180=$B19)*Inputs!$F$5:$F$180*(((Inputs!$G$5:$G$180="moeda")+(Inputs!$G$5:$G$180="acoes"))*Inputs!$B$1+((Inputs!$G$5:$G$180&lt;&gt;"moeda")*(Inputs!$G$5:$G$180&lt;&gt;"acoes")))*INDEX(Inputs!$K$5:$AJ$180,0,MATCH(L$2,Inputs!$K$4:$AJ$4,0)))))</f>
        <v>16.4644984</v>
      </c>
      <c r="M19" s="3">
        <f>L19</f>
        <v>16.4644984</v>
      </c>
      <c r="N19" s="6">
        <f>IF(ISNA(MATCH(N$2,Inputs!$K$4:$AJ$4,0)),NA(),IF(SUMPRODUCT((Inputs!$A$5:$A$180=$B19)*ISNUMBER(INDEX(Inputs!$K$5:$AJ$180,0,MATCH(N$2,Inputs!$K$4:$AJ$4,0))))+SUMPRODUCT((Inputs!$C$5:$C$180=$B19)*ISNUMBER(INDEX(Inputs!$K$5:$AJ$180,0,MATCH(N$2,Inputs!$K$4:$AJ$4,0))))+SUMPRODUCT((Inputs!$E$5:$E$180=$B19)*ISNUMBER(INDEX(Inputs!$K$5:$AJ$180,0,MATCH(N$2,Inputs!$K$4:$AJ$4,0))))=0,NA(),SUMPRODUCT((Inputs!$A$5:$A$180=$B19)*Inputs!$B$5:$B$180*(((Inputs!$G$5:$G$180="moeda")+(Inputs!$G$5:$G$180="acoes"))*Inputs!$B$1+((Inputs!$G$5:$G$180&lt;&gt;"moeda")*(Inputs!$G$5:$G$180&lt;&gt;"acoes")))*INDEX(Inputs!$K$5:$AJ$180,0,MATCH(N$2,Inputs!$K$4:$AJ$4,0)))+SUMPRODUCT((Inputs!$C$5:$C$180=$B19)*Inputs!$D$5:$D$180*(((Inputs!$G$5:$G$180="moeda")+(Inputs!$G$5:$G$180="acoes"))*Inputs!$B$1+((Inputs!$G$5:$G$180&lt;&gt;"moeda")*(Inputs!$G$5:$G$180&lt;&gt;"acoes")))*INDEX(Inputs!$K$5:$AJ$180,0,MATCH(N$2,Inputs!$K$4:$AJ$4,0)))+SUMPRODUCT((Inputs!$E$5:$E$180=$B19)*Inputs!$F$5:$F$180*(((Inputs!$G$5:$G$180="moeda")+(Inputs!$G$5:$G$180="acoes"))*Inputs!$B$1+((Inputs!$G$5:$G$180&lt;&gt;"moeda")*(Inputs!$G$5:$G$180&lt;&gt;"acoes")))*INDEX(Inputs!$K$5:$AJ$180,0,MATCH(N$2,Inputs!$K$4:$AJ$4,0)))))</f>
        <v>14.944</v>
      </c>
      <c r="O19" s="6">
        <f>IF(ISNA(MATCH(O$2,Inputs!$K$4:$AJ$4,0)),NA(),IF(SUMPRODUCT((Inputs!$A$5:$A$180=$B19)*ISNUMBER(INDEX(Inputs!$K$5:$AJ$180,0,MATCH(O$2,Inputs!$K$4:$AJ$4,0))))+SUMPRODUCT((Inputs!$C$5:$C$180=$B19)*ISNUMBER(INDEX(Inputs!$K$5:$AJ$180,0,MATCH(O$2,Inputs!$K$4:$AJ$4,0))))+SUMPRODUCT((Inputs!$E$5:$E$180=$B19)*ISNUMBER(INDEX(Inputs!$K$5:$AJ$180,0,MATCH(O$2,Inputs!$K$4:$AJ$4,0))))=0,NA(),SUMPRODUCT((Inputs!$A$5:$A$180=$B19)*Inputs!$B$5:$B$180*(((Inputs!$G$5:$G$180="moeda")+(Inputs!$G$5:$G$180="acoes"))*Inputs!$B$1+((Inputs!$G$5:$G$180&lt;&gt;"moeda")*(Inputs!$G$5:$G$180&lt;&gt;"acoes")))*INDEX(Inputs!$K$5:$AJ$180,0,MATCH(O$2,Inputs!$K$4:$AJ$4,0)))+SUMPRODUCT((Inputs!$C$5:$C$180=$B19)*Inputs!$D$5:$D$180*(((Inputs!$G$5:$G$180="moeda")+(Inputs!$G$5:$G$180="acoes"))*Inputs!$B$1+((Inputs!$G$5:$G$180&lt;&gt;"moeda")*(Inputs!$G$5:$G$180&lt;&gt;"acoes")))*INDEX(Inputs!$K$5:$AJ$180,0,MATCH(O$2,Inputs!$K$4:$AJ$4,0)))+SUMPRODUCT((Inputs!$E$5:$E$180=$B19)*Inputs!$F$5:$F$180*(((Inputs!$G$5:$G$180="moeda")+(Inputs!$G$5:$G$180="acoes"))*Inputs!$B$1+((Inputs!$G$5:$G$180&lt;&gt;"moeda")*(Inputs!$G$5:$G$180&lt;&gt;"acoes")))*INDEX(Inputs!$K$5:$AJ$180,0,MATCH(O$2,Inputs!$K$4:$AJ$4,0)))))</f>
        <v>18.13636506</v>
      </c>
      <c r="P19" s="6">
        <f>IF(ISNA(MATCH(P$2,Inputs!$K$4:$AJ$4,0)),NA(),IF(SUMPRODUCT((Inputs!$A$5:$A$180=$B19)*ISNUMBER(INDEX(Inputs!$K$5:$AJ$180,0,MATCH(P$2,Inputs!$K$4:$AJ$4,0))))+SUMPRODUCT((Inputs!$C$5:$C$180=$B19)*ISNUMBER(INDEX(Inputs!$K$5:$AJ$180,0,MATCH(P$2,Inputs!$K$4:$AJ$4,0))))+SUMPRODUCT((Inputs!$E$5:$E$180=$B19)*ISNUMBER(INDEX(Inputs!$K$5:$AJ$180,0,MATCH(P$2,Inputs!$K$4:$AJ$4,0))))=0,NA(),SUMPRODUCT((Inputs!$A$5:$A$180=$B19)*Inputs!$B$5:$B$180*(((Inputs!$G$5:$G$180="moeda")+(Inputs!$G$5:$G$180="acoes"))*Inputs!$B$1+((Inputs!$G$5:$G$180&lt;&gt;"moeda")*(Inputs!$G$5:$G$180&lt;&gt;"acoes")))*INDEX(Inputs!$K$5:$AJ$180,0,MATCH(P$2,Inputs!$K$4:$AJ$4,0)))+SUMPRODUCT((Inputs!$C$5:$C$180=$B19)*Inputs!$D$5:$D$180*(((Inputs!$G$5:$G$180="moeda")+(Inputs!$G$5:$G$180="acoes"))*Inputs!$B$1+((Inputs!$G$5:$G$180&lt;&gt;"moeda")*(Inputs!$G$5:$G$180&lt;&gt;"acoes")))*INDEX(Inputs!$K$5:$AJ$180,0,MATCH(P$2,Inputs!$K$4:$AJ$4,0)))+SUMPRODUCT((Inputs!$E$5:$E$180=$B19)*Inputs!$F$5:$F$180*(((Inputs!$G$5:$G$180="moeda")+(Inputs!$G$5:$G$180="acoes"))*Inputs!$B$1+((Inputs!$G$5:$G$180&lt;&gt;"moeda")*(Inputs!$G$5:$G$180&lt;&gt;"acoes")))*INDEX(Inputs!$K$5:$AJ$180,0,MATCH(P$2,Inputs!$K$4:$AJ$4,0)))))</f>
        <v>16.30020367</v>
      </c>
      <c r="Q19" s="6">
        <f>IF(ISNA(MATCH(Q$2,Inputs!$K$4:$AJ$4,0)),NA(),IF(SUMPRODUCT((Inputs!$A$5:$A$180=$B19)*ISNUMBER(INDEX(Inputs!$K$5:$AJ$180,0,MATCH(Q$2,Inputs!$K$4:$AJ$4,0))))+SUMPRODUCT((Inputs!$C$5:$C$180=$B19)*ISNUMBER(INDEX(Inputs!$K$5:$AJ$180,0,MATCH(Q$2,Inputs!$K$4:$AJ$4,0))))+SUMPRODUCT((Inputs!$E$5:$E$180=$B19)*ISNUMBER(INDEX(Inputs!$K$5:$AJ$180,0,MATCH(Q$2,Inputs!$K$4:$AJ$4,0))))=0,NA(),SUMPRODUCT((Inputs!$A$5:$A$180=$B19)*Inputs!$B$5:$B$180*(((Inputs!$G$5:$G$180="moeda")+(Inputs!$G$5:$G$180="acoes"))*Inputs!$B$1+((Inputs!$G$5:$G$180&lt;&gt;"moeda")*(Inputs!$G$5:$G$180&lt;&gt;"acoes")))*INDEX(Inputs!$K$5:$AJ$180,0,MATCH(Q$2,Inputs!$K$4:$AJ$4,0)))+SUMPRODUCT((Inputs!$C$5:$C$180=$B19)*Inputs!$D$5:$D$180*(((Inputs!$G$5:$G$180="moeda")+(Inputs!$G$5:$G$180="acoes"))*Inputs!$B$1+((Inputs!$G$5:$G$180&lt;&gt;"moeda")*(Inputs!$G$5:$G$180&lt;&gt;"acoes")))*INDEX(Inputs!$K$5:$AJ$180,0,MATCH(Q$2,Inputs!$K$4:$AJ$4,0)))+SUMPRODUCT((Inputs!$E$5:$E$180=$B19)*Inputs!$F$5:$F$180*(((Inputs!$G$5:$G$180="moeda")+(Inputs!$G$5:$G$180="acoes"))*Inputs!$B$1+((Inputs!$G$5:$G$180&lt;&gt;"moeda")*(Inputs!$G$5:$G$180&lt;&gt;"acoes")))*INDEX(Inputs!$K$5:$AJ$180,0,MATCH(Q$2,Inputs!$K$4:$AJ$4,0)))))</f>
        <v>20.1981531</v>
      </c>
      <c r="R19" s="3">
        <f>Q19</f>
        <v>20.1981531</v>
      </c>
      <c r="S19" s="6">
        <f>IF(ISNA(MATCH(S$2,Inputs!$K$4:$AJ$4,0)),NA(),IF(SUMPRODUCT((Inputs!$A$5:$A$180=$B19)*ISNUMBER(INDEX(Inputs!$K$5:$AJ$180,0,MATCH(S$2,Inputs!$K$4:$AJ$4,0))))+SUMPRODUCT((Inputs!$C$5:$C$180=$B19)*ISNUMBER(INDEX(Inputs!$K$5:$AJ$180,0,MATCH(S$2,Inputs!$K$4:$AJ$4,0))))+SUMPRODUCT((Inputs!$E$5:$E$180=$B19)*ISNUMBER(INDEX(Inputs!$K$5:$AJ$180,0,MATCH(S$2,Inputs!$K$4:$AJ$4,0))))=0,NA(),SUMPRODUCT((Inputs!$A$5:$A$180=$B19)*Inputs!$B$5:$B$180*(((Inputs!$G$5:$G$180="moeda")+(Inputs!$G$5:$G$180="acoes"))*Inputs!$B$1+((Inputs!$G$5:$G$180&lt;&gt;"moeda")*(Inputs!$G$5:$G$180&lt;&gt;"acoes")))*INDEX(Inputs!$K$5:$AJ$180,0,MATCH(S$2,Inputs!$K$4:$AJ$4,0)))+SUMPRODUCT((Inputs!$C$5:$C$180=$B19)*Inputs!$D$5:$D$180*(((Inputs!$G$5:$G$180="moeda")+(Inputs!$G$5:$G$180="acoes"))*Inputs!$B$1+((Inputs!$G$5:$G$180&lt;&gt;"moeda")*(Inputs!$G$5:$G$180&lt;&gt;"acoes")))*INDEX(Inputs!$K$5:$AJ$180,0,MATCH(S$2,Inputs!$K$4:$AJ$4,0)))+SUMPRODUCT((Inputs!$E$5:$E$180=$B19)*Inputs!$F$5:$F$180*(((Inputs!$G$5:$G$180="moeda")+(Inputs!$G$5:$G$180="acoes"))*Inputs!$B$1+((Inputs!$G$5:$G$180&lt;&gt;"moeda")*(Inputs!$G$5:$G$180&lt;&gt;"acoes")))*INDEX(Inputs!$K$5:$AJ$180,0,MATCH(S$2,Inputs!$K$4:$AJ$4,0)))))</f>
        <v>19.20510998</v>
      </c>
      <c r="T19" s="6">
        <f>IF(ISNA(MATCH(T$2,Inputs!$K$4:$AJ$4,0)),NA(),IF(SUMPRODUCT((Inputs!$A$5:$A$180=$B19)*ISNUMBER(INDEX(Inputs!$K$5:$AJ$180,0,MATCH(T$2,Inputs!$K$4:$AJ$4,0))))+SUMPRODUCT((Inputs!$C$5:$C$180=$B19)*ISNUMBER(INDEX(Inputs!$K$5:$AJ$180,0,MATCH(T$2,Inputs!$K$4:$AJ$4,0))))+SUMPRODUCT((Inputs!$E$5:$E$180=$B19)*ISNUMBER(INDEX(Inputs!$K$5:$AJ$180,0,MATCH(T$2,Inputs!$K$4:$AJ$4,0))))=0,NA(),SUMPRODUCT((Inputs!$A$5:$A$180=$B19)*Inputs!$B$5:$B$180*(((Inputs!$G$5:$G$180="moeda")+(Inputs!$G$5:$G$180="acoes"))*Inputs!$B$1+((Inputs!$G$5:$G$180&lt;&gt;"moeda")*(Inputs!$G$5:$G$180&lt;&gt;"acoes")))*INDEX(Inputs!$K$5:$AJ$180,0,MATCH(T$2,Inputs!$K$4:$AJ$4,0)))+SUMPRODUCT((Inputs!$C$5:$C$180=$B19)*Inputs!$D$5:$D$180*(((Inputs!$G$5:$G$180="moeda")+(Inputs!$G$5:$G$180="acoes"))*Inputs!$B$1+((Inputs!$G$5:$G$180&lt;&gt;"moeda")*(Inputs!$G$5:$G$180&lt;&gt;"acoes")))*INDEX(Inputs!$K$5:$AJ$180,0,MATCH(T$2,Inputs!$K$4:$AJ$4,0)))+SUMPRODUCT((Inputs!$E$5:$E$180=$B19)*Inputs!$F$5:$F$180*(((Inputs!$G$5:$G$180="moeda")+(Inputs!$G$5:$G$180="acoes"))*Inputs!$B$1+((Inputs!$G$5:$G$180&lt;&gt;"moeda")*(Inputs!$G$5:$G$180&lt;&gt;"acoes")))*INDEX(Inputs!$K$5:$AJ$180,0,MATCH(T$2,Inputs!$K$4:$AJ$4,0)))))</f>
        <v>19.63334612</v>
      </c>
      <c r="U19" s="6">
        <f>IF(ISNA(MATCH(U$2,Inputs!$K$4:$AJ$4,0)),NA(),IF(SUMPRODUCT((Inputs!$A$5:$A$180=$B19)*ISNUMBER(INDEX(Inputs!$K$5:$AJ$180,0,MATCH(U$2,Inputs!$K$4:$AJ$4,0))))+SUMPRODUCT((Inputs!$C$5:$C$180=$B19)*ISNUMBER(INDEX(Inputs!$K$5:$AJ$180,0,MATCH(U$2,Inputs!$K$4:$AJ$4,0))))+SUMPRODUCT((Inputs!$E$5:$E$180=$B19)*ISNUMBER(INDEX(Inputs!$K$5:$AJ$180,0,MATCH(U$2,Inputs!$K$4:$AJ$4,0))))=0,NA(),SUMPRODUCT((Inputs!$A$5:$A$180=$B19)*Inputs!$B$5:$B$180*(((Inputs!$G$5:$G$180="moeda")+(Inputs!$G$5:$G$180="acoes"))*Inputs!$B$1+((Inputs!$G$5:$G$180&lt;&gt;"moeda")*(Inputs!$G$5:$G$180&lt;&gt;"acoes")))*INDEX(Inputs!$K$5:$AJ$180,0,MATCH(U$2,Inputs!$K$4:$AJ$4,0)))+SUMPRODUCT((Inputs!$C$5:$C$180=$B19)*Inputs!$D$5:$D$180*(((Inputs!$G$5:$G$180="moeda")+(Inputs!$G$5:$G$180="acoes"))*Inputs!$B$1+((Inputs!$G$5:$G$180&lt;&gt;"moeda")*(Inputs!$G$5:$G$180&lt;&gt;"acoes")))*INDEX(Inputs!$K$5:$AJ$180,0,MATCH(U$2,Inputs!$K$4:$AJ$4,0)))+SUMPRODUCT((Inputs!$E$5:$E$180=$B19)*Inputs!$F$5:$F$180*(((Inputs!$G$5:$G$180="moeda")+(Inputs!$G$5:$G$180="acoes"))*Inputs!$B$1+((Inputs!$G$5:$G$180&lt;&gt;"moeda")*(Inputs!$G$5:$G$180&lt;&gt;"acoes")))*INDEX(Inputs!$K$5:$AJ$180,0,MATCH(U$2,Inputs!$K$4:$AJ$4,0)))))</f>
        <v>17.88979453</v>
      </c>
      <c r="V19" s="6">
        <f>IF(ISNA(MATCH(V$2,Inputs!$K$4:$AJ$4,0)),NA(),IF(SUMPRODUCT((Inputs!$A$5:$A$180=$B19)*ISNUMBER(INDEX(Inputs!$K$5:$AJ$180,0,MATCH(V$2,Inputs!$K$4:$AJ$4,0))))+SUMPRODUCT((Inputs!$C$5:$C$180=$B19)*ISNUMBER(INDEX(Inputs!$K$5:$AJ$180,0,MATCH(V$2,Inputs!$K$4:$AJ$4,0))))+SUMPRODUCT((Inputs!$E$5:$E$180=$B19)*ISNUMBER(INDEX(Inputs!$K$5:$AJ$180,0,MATCH(V$2,Inputs!$K$4:$AJ$4,0))))=0,NA(),SUMPRODUCT((Inputs!$A$5:$A$180=$B19)*Inputs!$B$5:$B$180*(((Inputs!$G$5:$G$180="moeda")+(Inputs!$G$5:$G$180="acoes"))*Inputs!$B$1+((Inputs!$G$5:$G$180&lt;&gt;"moeda")*(Inputs!$G$5:$G$180&lt;&gt;"acoes")))*INDEX(Inputs!$K$5:$AJ$180,0,MATCH(V$2,Inputs!$K$4:$AJ$4,0)))+SUMPRODUCT((Inputs!$C$5:$C$180=$B19)*Inputs!$D$5:$D$180*(((Inputs!$G$5:$G$180="moeda")+(Inputs!$G$5:$G$180="acoes"))*Inputs!$B$1+((Inputs!$G$5:$G$180&lt;&gt;"moeda")*(Inputs!$G$5:$G$180&lt;&gt;"acoes")))*INDEX(Inputs!$K$5:$AJ$180,0,MATCH(V$2,Inputs!$K$4:$AJ$4,0)))+SUMPRODUCT((Inputs!$E$5:$E$180=$B19)*Inputs!$F$5:$F$180*(((Inputs!$G$5:$G$180="moeda")+(Inputs!$G$5:$G$180="acoes"))*Inputs!$B$1+((Inputs!$G$5:$G$180&lt;&gt;"moeda")*(Inputs!$G$5:$G$180&lt;&gt;"acoes")))*INDEX(Inputs!$K$5:$AJ$180,0,MATCH(V$2,Inputs!$K$4:$AJ$4,0)))))</f>
        <v>21.51523799</v>
      </c>
      <c r="W19" s="3">
        <f>V19</f>
        <v>21.51523799</v>
      </c>
      <c r="X19" s="6">
        <f>IF(ISNA(MATCH(X$2,Inputs!$K$4:$AJ$4,0)),NA(),IF(SUMPRODUCT((Inputs!$A$5:$A$180=$B19)*ISNUMBER(INDEX(Inputs!$K$5:$AJ$180,0,MATCH(X$2,Inputs!$K$4:$AJ$4,0))))+SUMPRODUCT((Inputs!$C$5:$C$180=$B19)*ISNUMBER(INDEX(Inputs!$K$5:$AJ$180,0,MATCH(X$2,Inputs!$K$4:$AJ$4,0))))+SUMPRODUCT((Inputs!$E$5:$E$180=$B19)*ISNUMBER(INDEX(Inputs!$K$5:$AJ$180,0,MATCH(X$2,Inputs!$K$4:$AJ$4,0))))=0,NA(),SUMPRODUCT((Inputs!$A$5:$A$180=$B19)*Inputs!$B$5:$B$180*(((Inputs!$G$5:$G$180="moeda")+(Inputs!$G$5:$G$180="acoes"))*Inputs!$B$1+((Inputs!$G$5:$G$180&lt;&gt;"moeda")*(Inputs!$G$5:$G$180&lt;&gt;"acoes")))*INDEX(Inputs!$K$5:$AJ$180,0,MATCH(X$2,Inputs!$K$4:$AJ$4,0)))+SUMPRODUCT((Inputs!$C$5:$C$180=$B19)*Inputs!$D$5:$D$180*(((Inputs!$G$5:$G$180="moeda")+(Inputs!$G$5:$G$180="acoes"))*Inputs!$B$1+((Inputs!$G$5:$G$180&lt;&gt;"moeda")*(Inputs!$G$5:$G$180&lt;&gt;"acoes")))*INDEX(Inputs!$K$5:$AJ$180,0,MATCH(X$2,Inputs!$K$4:$AJ$4,0)))+SUMPRODUCT((Inputs!$E$5:$E$180=$B19)*Inputs!$F$5:$F$180*(((Inputs!$G$5:$G$180="moeda")+(Inputs!$G$5:$G$180="acoes"))*Inputs!$B$1+((Inputs!$G$5:$G$180&lt;&gt;"moeda")*(Inputs!$G$5:$G$180&lt;&gt;"acoes")))*INDEX(Inputs!$K$5:$AJ$180,0,MATCH(X$2,Inputs!$K$4:$AJ$4,0)))))</f>
        <v>29.80441021</v>
      </c>
      <c r="Y19" s="6">
        <f>IF(ISNA(MATCH(Y$2,Inputs!$K$4:$AJ$4,0)),NA(),IF(SUMPRODUCT((Inputs!$A$5:$A$180=$B19)*ISNUMBER(INDEX(Inputs!$K$5:$AJ$180,0,MATCH(Y$2,Inputs!$K$4:$AJ$4,0))))+SUMPRODUCT((Inputs!$C$5:$C$180=$B19)*ISNUMBER(INDEX(Inputs!$K$5:$AJ$180,0,MATCH(Y$2,Inputs!$K$4:$AJ$4,0))))+SUMPRODUCT((Inputs!$E$5:$E$180=$B19)*ISNUMBER(INDEX(Inputs!$K$5:$AJ$180,0,MATCH(Y$2,Inputs!$K$4:$AJ$4,0))))=0,NA(),SUMPRODUCT((Inputs!$A$5:$A$180=$B19)*Inputs!$B$5:$B$180*(((Inputs!$G$5:$G$180="moeda")+(Inputs!$G$5:$G$180="acoes"))*Inputs!$B$1+((Inputs!$G$5:$G$180&lt;&gt;"moeda")*(Inputs!$G$5:$G$180&lt;&gt;"acoes")))*INDEX(Inputs!$K$5:$AJ$180,0,MATCH(Y$2,Inputs!$K$4:$AJ$4,0)))+SUMPRODUCT((Inputs!$C$5:$C$180=$B19)*Inputs!$D$5:$D$180*(((Inputs!$G$5:$G$180="moeda")+(Inputs!$G$5:$G$180="acoes"))*Inputs!$B$1+((Inputs!$G$5:$G$180&lt;&gt;"moeda")*(Inputs!$G$5:$G$180&lt;&gt;"acoes")))*INDEX(Inputs!$K$5:$AJ$180,0,MATCH(Y$2,Inputs!$K$4:$AJ$4,0)))+SUMPRODUCT((Inputs!$E$5:$E$180=$B19)*Inputs!$F$5:$F$180*(((Inputs!$G$5:$G$180="moeda")+(Inputs!$G$5:$G$180="acoes"))*Inputs!$B$1+((Inputs!$G$5:$G$180&lt;&gt;"moeda")*(Inputs!$G$5:$G$180&lt;&gt;"acoes")))*INDEX(Inputs!$K$5:$AJ$180,0,MATCH(Y$2,Inputs!$K$4:$AJ$4,0)))))</f>
        <v>65.0088640900001</v>
      </c>
      <c r="Z19" s="6">
        <f>IF(ISNA(MATCH(Z$2,Inputs!$K$4:$AJ$4,0)),NA(),IF(SUMPRODUCT((Inputs!$A$5:$A$180=$B19)*ISNUMBER(INDEX(Inputs!$K$5:$AJ$180,0,MATCH(Z$2,Inputs!$K$4:$AJ$4,0))))+SUMPRODUCT((Inputs!$C$5:$C$180=$B19)*ISNUMBER(INDEX(Inputs!$K$5:$AJ$180,0,MATCH(Z$2,Inputs!$K$4:$AJ$4,0))))+SUMPRODUCT((Inputs!$E$5:$E$180=$B19)*ISNUMBER(INDEX(Inputs!$K$5:$AJ$180,0,MATCH(Z$2,Inputs!$K$4:$AJ$4,0))))=0,NA(),SUMPRODUCT((Inputs!$A$5:$A$180=$B19)*Inputs!$B$5:$B$180*(((Inputs!$G$5:$G$180="moeda")+(Inputs!$G$5:$G$180="acoes"))*Inputs!$B$1+((Inputs!$G$5:$G$180&lt;&gt;"moeda")*(Inputs!$G$5:$G$180&lt;&gt;"acoes")))*INDEX(Inputs!$K$5:$AJ$180,0,MATCH(Z$2,Inputs!$K$4:$AJ$4,0)))+SUMPRODUCT((Inputs!$C$5:$C$180=$B19)*Inputs!$D$5:$D$180*(((Inputs!$G$5:$G$180="moeda")+(Inputs!$G$5:$G$180="acoes"))*Inputs!$B$1+((Inputs!$G$5:$G$180&lt;&gt;"moeda")*(Inputs!$G$5:$G$180&lt;&gt;"acoes")))*INDEX(Inputs!$K$5:$AJ$180,0,MATCH(Z$2,Inputs!$K$4:$AJ$4,0)))+SUMPRODUCT((Inputs!$E$5:$E$180=$B19)*Inputs!$F$5:$F$180*(((Inputs!$G$5:$G$180="moeda")+(Inputs!$G$5:$G$180="acoes"))*Inputs!$B$1+((Inputs!$G$5:$G$180&lt;&gt;"moeda")*(Inputs!$G$5:$G$180&lt;&gt;"acoes")))*INDEX(Inputs!$K$5:$AJ$180,0,MATCH(Z$2,Inputs!$K$4:$AJ$4,0)))))</f>
        <v>86.678</v>
      </c>
      <c r="AA19" s="6">
        <f>IF(ISNA(MATCH(AA$2,Inputs!$K$4:$AJ$4,0)),NA(),IF(SUMPRODUCT((Inputs!$A$5:$A$180=$B19)*ISNUMBER(INDEX(Inputs!$K$5:$AJ$180,0,MATCH(AA$2,Inputs!$K$4:$AJ$4,0))))+SUMPRODUCT((Inputs!$C$5:$C$180=$B19)*ISNUMBER(INDEX(Inputs!$K$5:$AJ$180,0,MATCH(AA$2,Inputs!$K$4:$AJ$4,0))))+SUMPRODUCT((Inputs!$E$5:$E$180=$B19)*ISNUMBER(INDEX(Inputs!$K$5:$AJ$180,0,MATCH(AA$2,Inputs!$K$4:$AJ$4,0))))=0,NA(),SUMPRODUCT((Inputs!$A$5:$A$180=$B19)*Inputs!$B$5:$B$180*(((Inputs!$G$5:$G$180="moeda")+(Inputs!$G$5:$G$180="acoes"))*Inputs!$B$1+((Inputs!$G$5:$G$180&lt;&gt;"moeda")*(Inputs!$G$5:$G$180&lt;&gt;"acoes")))*INDEX(Inputs!$K$5:$AJ$180,0,MATCH(AA$2,Inputs!$K$4:$AJ$4,0)))+SUMPRODUCT((Inputs!$C$5:$C$180=$B19)*Inputs!$D$5:$D$180*(((Inputs!$G$5:$G$180="moeda")+(Inputs!$G$5:$G$180="acoes"))*Inputs!$B$1+((Inputs!$G$5:$G$180&lt;&gt;"moeda")*(Inputs!$G$5:$G$180&lt;&gt;"acoes")))*INDEX(Inputs!$K$5:$AJ$180,0,MATCH(AA$2,Inputs!$K$4:$AJ$4,0)))+SUMPRODUCT((Inputs!$E$5:$E$180=$B19)*Inputs!$F$5:$F$180*(((Inputs!$G$5:$G$180="moeda")+(Inputs!$G$5:$G$180="acoes"))*Inputs!$B$1+((Inputs!$G$5:$G$180&lt;&gt;"moeda")*(Inputs!$G$5:$G$180&lt;&gt;"acoes")))*INDEX(Inputs!$K$5:$AJ$180,0,MATCH(AA$2,Inputs!$K$4:$AJ$4,0)))))</f>
        <v>28.95421047</v>
      </c>
      <c r="AB19" s="3">
        <f>AA19</f>
        <v>28.95421047</v>
      </c>
      <c r="AC19" s="6">
        <f>IF(ISNA(MATCH(AC$2,Inputs!$K$4:$AJ$4,0)),NA(),IF(SUMPRODUCT((Inputs!$A$5:$A$180=$B19)*ISNUMBER(INDEX(Inputs!$K$5:$AJ$180,0,MATCH(AC$2,Inputs!$K$4:$AJ$4,0))))+SUMPRODUCT((Inputs!$C$5:$C$180=$B19)*ISNUMBER(INDEX(Inputs!$K$5:$AJ$180,0,MATCH(AC$2,Inputs!$K$4:$AJ$4,0))))+SUMPRODUCT((Inputs!$E$5:$E$180=$B19)*ISNUMBER(INDEX(Inputs!$K$5:$AJ$180,0,MATCH(AC$2,Inputs!$K$4:$AJ$4,0))))=0,NA(),SUMPRODUCT((Inputs!$A$5:$A$180=$B19)*Inputs!$B$5:$B$180*(((Inputs!$G$5:$G$180="moeda")+(Inputs!$G$5:$G$180="acoes"))*Inputs!$B$1+((Inputs!$G$5:$G$180&lt;&gt;"moeda")*(Inputs!$G$5:$G$180&lt;&gt;"acoes")))*INDEX(Inputs!$K$5:$AJ$180,0,MATCH(AC$2,Inputs!$K$4:$AJ$4,0)))+SUMPRODUCT((Inputs!$C$5:$C$180=$B19)*Inputs!$D$5:$D$180*(((Inputs!$G$5:$G$180="moeda")+(Inputs!$G$5:$G$180="acoes"))*Inputs!$B$1+((Inputs!$G$5:$G$180&lt;&gt;"moeda")*(Inputs!$G$5:$G$180&lt;&gt;"acoes")))*INDEX(Inputs!$K$5:$AJ$180,0,MATCH(AC$2,Inputs!$K$4:$AJ$4,0)))+SUMPRODUCT((Inputs!$E$5:$E$180=$B19)*Inputs!$F$5:$F$180*(((Inputs!$G$5:$G$180="moeda")+(Inputs!$G$5:$G$180="acoes"))*Inputs!$B$1+((Inputs!$G$5:$G$180&lt;&gt;"moeda")*(Inputs!$G$5:$G$180&lt;&gt;"acoes")))*INDEX(Inputs!$K$5:$AJ$180,0,MATCH(AC$2,Inputs!$K$4:$AJ$4,0)))))</f>
        <v>51.91991515</v>
      </c>
      <c r="AD19" s="6">
        <f>IF(ISNA(MATCH(AD$2,Inputs!$K$4:$AJ$4,0)),NA(),IF(SUMPRODUCT((Inputs!$A$5:$A$180=$B19)*ISNUMBER(INDEX(Inputs!$K$5:$AJ$180,0,MATCH(AD$2,Inputs!$K$4:$AJ$4,0))))+SUMPRODUCT((Inputs!$C$5:$C$180=$B19)*ISNUMBER(INDEX(Inputs!$K$5:$AJ$180,0,MATCH(AD$2,Inputs!$K$4:$AJ$4,0))))+SUMPRODUCT((Inputs!$E$5:$E$180=$B19)*ISNUMBER(INDEX(Inputs!$K$5:$AJ$180,0,MATCH(AD$2,Inputs!$K$4:$AJ$4,0))))=0,NA(),SUMPRODUCT((Inputs!$A$5:$A$180=$B19)*Inputs!$B$5:$B$180*(((Inputs!$G$5:$G$180="moeda")+(Inputs!$G$5:$G$180="acoes"))*Inputs!$B$1+((Inputs!$G$5:$G$180&lt;&gt;"moeda")*(Inputs!$G$5:$G$180&lt;&gt;"acoes")))*INDEX(Inputs!$K$5:$AJ$180,0,MATCH(AD$2,Inputs!$K$4:$AJ$4,0)))+SUMPRODUCT((Inputs!$C$5:$C$180=$B19)*Inputs!$D$5:$D$180*(((Inputs!$G$5:$G$180="moeda")+(Inputs!$G$5:$G$180="acoes"))*Inputs!$B$1+((Inputs!$G$5:$G$180&lt;&gt;"moeda")*(Inputs!$G$5:$G$180&lt;&gt;"acoes")))*INDEX(Inputs!$K$5:$AJ$180,0,MATCH(AD$2,Inputs!$K$4:$AJ$4,0)))+SUMPRODUCT((Inputs!$E$5:$E$180=$B19)*Inputs!$F$5:$F$180*(((Inputs!$G$5:$G$180="moeda")+(Inputs!$G$5:$G$180="acoes"))*Inputs!$B$1+((Inputs!$G$5:$G$180&lt;&gt;"moeda")*(Inputs!$G$5:$G$180&lt;&gt;"acoes")))*INDEX(Inputs!$K$5:$AJ$180,0,MATCH(AD$2,Inputs!$K$4:$AJ$4,0)))))</f>
        <v>37.0334882</v>
      </c>
      <c r="AE19" s="6" t="e">
        <f>IF(ISNA(MATCH(AE$2,Inputs!$K$4:$AJ$4,0)),NA(),IF(SUMPRODUCT((Inputs!$A$5:$A$180=$B19)*ISNUMBER(INDEX(Inputs!$K$5:$AJ$180,0,MATCH(AE$2,Inputs!$K$4:$AJ$4,0))))+SUMPRODUCT((Inputs!$C$5:$C$180=$B19)*ISNUMBER(INDEX(Inputs!$K$5:$AJ$180,0,MATCH(AE$2,Inputs!$K$4:$AJ$4,0))))+SUMPRODUCT((Inputs!$E$5:$E$180=$B19)*ISNUMBER(INDEX(Inputs!$K$5:$AJ$180,0,MATCH(AE$2,Inputs!$K$4:$AJ$4,0))))=0,NA(),SUMPRODUCT((Inputs!$A$5:$A$180=$B19)*Inputs!$B$5:$B$180*(((Inputs!$G$5:$G$180="moeda")+(Inputs!$G$5:$G$180="acoes"))*Inputs!$B$1+((Inputs!$G$5:$G$180&lt;&gt;"moeda")*(Inputs!$G$5:$G$180&lt;&gt;"acoes")))*INDEX(Inputs!$K$5:$AJ$180,0,MATCH(AE$2,Inputs!$K$4:$AJ$4,0)))+SUMPRODUCT((Inputs!$C$5:$C$180=$B19)*Inputs!$D$5:$D$180*(((Inputs!$G$5:$G$180="moeda")+(Inputs!$G$5:$G$180="acoes"))*Inputs!$B$1+((Inputs!$G$5:$G$180&lt;&gt;"moeda")*(Inputs!$G$5:$G$180&lt;&gt;"acoes")))*INDEX(Inputs!$K$5:$AJ$180,0,MATCH(AE$2,Inputs!$K$4:$AJ$4,0)))+SUMPRODUCT((Inputs!$E$5:$E$180=$B19)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9" s="6" t="e">
        <f>IF(ISNA(MATCH(AF$2,Inputs!$K$4:$AJ$4,0)),NA(),IF(SUMPRODUCT((Inputs!$A$5:$A$180=$B19)*ISNUMBER(INDEX(Inputs!$K$5:$AJ$180,0,MATCH(AF$2,Inputs!$K$4:$AJ$4,0))))+SUMPRODUCT((Inputs!$C$5:$C$180=$B19)*ISNUMBER(INDEX(Inputs!$K$5:$AJ$180,0,MATCH(AF$2,Inputs!$K$4:$AJ$4,0))))+SUMPRODUCT((Inputs!$E$5:$E$180=$B19)*ISNUMBER(INDEX(Inputs!$K$5:$AJ$180,0,MATCH(AF$2,Inputs!$K$4:$AJ$4,0))))=0,NA(),SUMPRODUCT((Inputs!$A$5:$A$180=$B19)*Inputs!$B$5:$B$180*(((Inputs!$G$5:$G$180="moeda")+(Inputs!$G$5:$G$180="acoes"))*Inputs!$B$1+((Inputs!$G$5:$G$180&lt;&gt;"moeda")*(Inputs!$G$5:$G$180&lt;&gt;"acoes")))*INDEX(Inputs!$K$5:$AJ$180,0,MATCH(AF$2,Inputs!$K$4:$AJ$4,0)))+SUMPRODUCT((Inputs!$C$5:$C$180=$B19)*Inputs!$D$5:$D$180*(((Inputs!$G$5:$G$180="moeda")+(Inputs!$G$5:$G$180="acoes"))*Inputs!$B$1+((Inputs!$G$5:$G$180&lt;&gt;"moeda")*(Inputs!$G$5:$G$180&lt;&gt;"acoes")))*INDEX(Inputs!$K$5:$AJ$180,0,MATCH(AF$2,Inputs!$K$4:$AJ$4,0)))+SUMPRODUCT((Inputs!$E$5:$E$180=$B19)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9" s="3" t="e">
        <f>AF19</f>
        <v>#N/A</v>
      </c>
      <c r="AH19" s="6">
        <f>IF(ISNA(MATCH(AH$2,Inputs!$K$4:$AJ$4,0)),NA(),IF(SUMPRODUCT((Inputs!$A$5:$A$180=$B19)*ISNUMBER(INDEX(Inputs!$K$5:$AJ$180,0,MATCH(AH$2,Inputs!$K$4:$AJ$4,0))))+SUMPRODUCT((Inputs!$C$5:$C$180=$B19)*ISNUMBER(INDEX(Inputs!$K$5:$AJ$180,0,MATCH(AH$2,Inputs!$K$4:$AJ$4,0))))+SUMPRODUCT((Inputs!$E$5:$E$180=$B19)*ISNUMBER(INDEX(Inputs!$K$5:$AJ$180,0,MATCH(AH$2,Inputs!$K$4:$AJ$4,0))))=0,NA(),SUMPRODUCT((Inputs!$A$5:$A$180=$B19)*Inputs!$B$5:$B$180*(((Inputs!$G$5:$G$180="moeda")+(Inputs!$G$5:$G$180="acoes"))*Inputs!$B$1+((Inputs!$G$5:$G$180&lt;&gt;"moeda")*(Inputs!$G$5:$G$180&lt;&gt;"acoes")))*INDEX(Inputs!$K$5:$AJ$180,0,MATCH(AH$2,Inputs!$K$4:$AJ$4,0)))+SUMPRODUCT((Inputs!$C$5:$C$180=$B19)*Inputs!$D$5:$D$180*(((Inputs!$G$5:$G$180="moeda")+(Inputs!$G$5:$G$180="acoes"))*Inputs!$B$1+((Inputs!$G$5:$G$180&lt;&gt;"moeda")*(Inputs!$G$5:$G$180&lt;&gt;"acoes")))*INDEX(Inputs!$K$5:$AJ$180,0,MATCH(AH$2,Inputs!$K$4:$AJ$4,0)))+SUMPRODUCT((Inputs!$E$5:$E$180=$B19)*Inputs!$F$5:$F$180*(((Inputs!$G$5:$G$180="moeda")+(Inputs!$G$5:$G$180="acoes"))*Inputs!$B$1+((Inputs!$G$5:$G$180&lt;&gt;"moeda")*(Inputs!$G$5:$G$180&lt;&gt;"acoes")))*INDEX(Inputs!$K$5:$AJ$180,0,MATCH(AH$2,Inputs!$K$4:$AJ$4,0)))))</f>
        <v>7.566</v>
      </c>
      <c r="AI19" s="6">
        <f>IF(ISNA(MATCH(AI$2,Inputs!$K$4:$AJ$4,0)),NA(),IF(SUMPRODUCT((Inputs!$A$5:$A$180=$B19)*ISNUMBER(INDEX(Inputs!$K$5:$AJ$180,0,MATCH(AI$2,Inputs!$K$4:$AJ$4,0))))+SUMPRODUCT((Inputs!$C$5:$C$180=$B19)*ISNUMBER(INDEX(Inputs!$K$5:$AJ$180,0,MATCH(AI$2,Inputs!$K$4:$AJ$4,0))))+SUMPRODUCT((Inputs!$E$5:$E$180=$B19)*ISNUMBER(INDEX(Inputs!$K$5:$AJ$180,0,MATCH(AI$2,Inputs!$K$4:$AJ$4,0))))=0,NA(),SUMPRODUCT((Inputs!$A$5:$A$180=$B19)*Inputs!$B$5:$B$180*(((Inputs!$G$5:$G$180="moeda")+(Inputs!$G$5:$G$180="acoes"))*Inputs!$B$1+((Inputs!$G$5:$G$180&lt;&gt;"moeda")*(Inputs!$G$5:$G$180&lt;&gt;"acoes")))*INDEX(Inputs!$K$5:$AJ$180,0,MATCH(AI$2,Inputs!$K$4:$AJ$4,0)))+SUMPRODUCT((Inputs!$C$5:$C$180=$B19)*Inputs!$D$5:$D$180*(((Inputs!$G$5:$G$180="moeda")+(Inputs!$G$5:$G$180="acoes"))*Inputs!$B$1+((Inputs!$G$5:$G$180&lt;&gt;"moeda")*(Inputs!$G$5:$G$180&lt;&gt;"acoes")))*INDEX(Inputs!$K$5:$AJ$180,0,MATCH(AI$2,Inputs!$K$4:$AJ$4,0)))+SUMPRODUCT((Inputs!$E$5:$E$180=$B19)*Inputs!$F$5:$F$180*(((Inputs!$G$5:$G$180="moeda")+(Inputs!$G$5:$G$180="acoes"))*Inputs!$B$1+((Inputs!$G$5:$G$180&lt;&gt;"moeda")*(Inputs!$G$5:$G$180&lt;&gt;"acoes")))*INDEX(Inputs!$K$5:$AJ$180,0,MATCH(AI$2,Inputs!$K$4:$AJ$4,0)))))</f>
        <v>5.32947604</v>
      </c>
      <c r="AJ19" s="6">
        <f>IF(ISNA(MATCH(AJ$2,Inputs!$K$4:$AJ$4,0)),NA(),IF(SUMPRODUCT((Inputs!$A$5:$A$180=$B19)*ISNUMBER(INDEX(Inputs!$K$5:$AJ$180,0,MATCH(AJ$2,Inputs!$K$4:$AJ$4,0))))+SUMPRODUCT((Inputs!$C$5:$C$180=$B19)*ISNUMBER(INDEX(Inputs!$K$5:$AJ$180,0,MATCH(AJ$2,Inputs!$K$4:$AJ$4,0))))+SUMPRODUCT((Inputs!$E$5:$E$180=$B19)*ISNUMBER(INDEX(Inputs!$K$5:$AJ$180,0,MATCH(AJ$2,Inputs!$K$4:$AJ$4,0))))=0,NA(),SUMPRODUCT((Inputs!$A$5:$A$180=$B19)*Inputs!$B$5:$B$180*(((Inputs!$G$5:$G$180="moeda")+(Inputs!$G$5:$G$180="acoes"))*Inputs!$B$1+((Inputs!$G$5:$G$180&lt;&gt;"moeda")*(Inputs!$G$5:$G$180&lt;&gt;"acoes")))*INDEX(Inputs!$K$5:$AJ$180,0,MATCH(AJ$2,Inputs!$K$4:$AJ$4,0)))+SUMPRODUCT((Inputs!$C$5:$C$180=$B19)*Inputs!$D$5:$D$180*(((Inputs!$G$5:$G$180="moeda")+(Inputs!$G$5:$G$180="acoes"))*Inputs!$B$1+((Inputs!$G$5:$G$180&lt;&gt;"moeda")*(Inputs!$G$5:$G$180&lt;&gt;"acoes")))*INDEX(Inputs!$K$5:$AJ$180,0,MATCH(AJ$2,Inputs!$K$4:$AJ$4,0)))+SUMPRODUCT((Inputs!$E$5:$E$180=$B19)*Inputs!$F$5:$F$180*(((Inputs!$G$5:$G$180="moeda")+(Inputs!$G$5:$G$180="acoes"))*Inputs!$B$1+((Inputs!$G$5:$G$180&lt;&gt;"moeda")*(Inputs!$G$5:$G$180&lt;&gt;"acoes")))*INDEX(Inputs!$K$5:$AJ$180,0,MATCH(AJ$2,Inputs!$K$4:$AJ$4,0)))))</f>
        <v>3.10603247</v>
      </c>
      <c r="AK19" s="6">
        <f>IF(ISNA(MATCH(AK$2,Inputs!$K$4:$AJ$4,0)),NA(),IF(SUMPRODUCT((Inputs!$A$5:$A$180=$B19)*ISNUMBER(INDEX(Inputs!$K$5:$AJ$180,0,MATCH(AK$2,Inputs!$K$4:$AJ$4,0))))+SUMPRODUCT((Inputs!$C$5:$C$180=$B19)*ISNUMBER(INDEX(Inputs!$K$5:$AJ$180,0,MATCH(AK$2,Inputs!$K$4:$AJ$4,0))))+SUMPRODUCT((Inputs!$E$5:$E$180=$B19)*ISNUMBER(INDEX(Inputs!$K$5:$AJ$180,0,MATCH(AK$2,Inputs!$K$4:$AJ$4,0))))=0,NA(),SUMPRODUCT((Inputs!$A$5:$A$180=$B19)*Inputs!$B$5:$B$180*(((Inputs!$G$5:$G$180="moeda")+(Inputs!$G$5:$G$180="acoes"))*Inputs!$B$1+((Inputs!$G$5:$G$180&lt;&gt;"moeda")*(Inputs!$G$5:$G$180&lt;&gt;"acoes")))*INDEX(Inputs!$K$5:$AJ$180,0,MATCH(AK$2,Inputs!$K$4:$AJ$4,0)))+SUMPRODUCT((Inputs!$C$5:$C$180=$B19)*Inputs!$D$5:$D$180*(((Inputs!$G$5:$G$180="moeda")+(Inputs!$G$5:$G$180="acoes"))*Inputs!$B$1+((Inputs!$G$5:$G$180&lt;&gt;"moeda")*(Inputs!$G$5:$G$180&lt;&gt;"acoes")))*INDEX(Inputs!$K$5:$AJ$180,0,MATCH(AK$2,Inputs!$K$4:$AJ$4,0)))+SUMPRODUCT((Inputs!$E$5:$E$180=$B19)*Inputs!$F$5:$F$180*(((Inputs!$G$5:$G$180="moeda")+(Inputs!$G$5:$G$180="acoes"))*Inputs!$B$1+((Inputs!$G$5:$G$180&lt;&gt;"moeda")*(Inputs!$G$5:$G$180&lt;&gt;"acoes")))*INDEX(Inputs!$K$5:$AJ$180,0,MATCH(AK$2,Inputs!$K$4:$AJ$4,0)))))</f>
        <v>3.26191691</v>
      </c>
      <c r="AL19" s="3">
        <f>AK19</f>
        <v>3.26191691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$180=$B20)*ISNUMBER(INDEX(Inputs!$K$5:$AJ$180,0,MATCH(D$2,Inputs!$K$4:$AJ$4,0))))+SUMPRODUCT((Inputs!$C$5:$C$180=$B20)*ISNUMBER(INDEX(Inputs!$K$5:$AJ$180,0,MATCH(D$2,Inputs!$K$4:$AJ$4,0))))+SUMPRODUCT((Inputs!$E$5:$E$180=$B20)*ISNUMBER(INDEX(Inputs!$K$5:$AJ$180,0,MATCH(D$2,Inputs!$K$4:$AJ$4,0))))=0,NA(),SUMPRODUCT((Inputs!$A$5:$A$180=$B20)*Inputs!$B$5:$B$180*(((Inputs!$G$5:$G$180="moeda")+(Inputs!$G$5:$G$180="acoes"))*Inputs!$B$1+((Inputs!$G$5:$G$180&lt;&gt;"moeda")*(Inputs!$G$5:$G$180&lt;&gt;"acoes")))*INDEX(Inputs!$K$5:$AJ$180,0,MATCH(D$2,Inputs!$K$4:$AJ$4,0)))+SUMPRODUCT((Inputs!$C$5:$C$180=$B20)*Inputs!$D$5:$D$180*(((Inputs!$G$5:$G$180="moeda")+(Inputs!$G$5:$G$180="acoes"))*Inputs!$B$1+((Inputs!$G$5:$G$180&lt;&gt;"moeda")*(Inputs!$G$5:$G$180&lt;&gt;"acoes")))*INDEX(Inputs!$K$5:$AJ$180,0,MATCH(D$2,Inputs!$K$4:$AJ$4,0)))+SUMPRODUCT((Inputs!$E$5:$E$180=$B20)*Inputs!$F$5:$F$180*(((Inputs!$G$5:$G$180="moeda")+(Inputs!$G$5:$G$180="acoes"))*Inputs!$B$1+((Inputs!$G$5:$G$180&lt;&gt;"moeda")*(Inputs!$G$5:$G$180&lt;&gt;"acoes")))*INDEX(Inputs!$K$5:$AJ$180,0,MATCH(D$2,Inputs!$K$4:$AJ$4,0)))))</f>
        <v>81.61890614</v>
      </c>
      <c r="E20" s="6">
        <f>IF(ISNA(MATCH(E$2,Inputs!$K$4:$AJ$4,0)),NA(),IF(SUMPRODUCT((Inputs!$A$5:$A$180=$B20)*ISNUMBER(INDEX(Inputs!$K$5:$AJ$180,0,MATCH(E$2,Inputs!$K$4:$AJ$4,0))))+SUMPRODUCT((Inputs!$C$5:$C$180=$B20)*ISNUMBER(INDEX(Inputs!$K$5:$AJ$180,0,MATCH(E$2,Inputs!$K$4:$AJ$4,0))))+SUMPRODUCT((Inputs!$E$5:$E$180=$B20)*ISNUMBER(INDEX(Inputs!$K$5:$AJ$180,0,MATCH(E$2,Inputs!$K$4:$AJ$4,0))))=0,NA(),SUMPRODUCT((Inputs!$A$5:$A$180=$B20)*Inputs!$B$5:$B$180*(((Inputs!$G$5:$G$180="moeda")+(Inputs!$G$5:$G$180="acoes"))*Inputs!$B$1+((Inputs!$G$5:$G$180&lt;&gt;"moeda")*(Inputs!$G$5:$G$180&lt;&gt;"acoes")))*INDEX(Inputs!$K$5:$AJ$180,0,MATCH(E$2,Inputs!$K$4:$AJ$4,0)))+SUMPRODUCT((Inputs!$C$5:$C$180=$B20)*Inputs!$D$5:$D$180*(((Inputs!$G$5:$G$180="moeda")+(Inputs!$G$5:$G$180="acoes"))*Inputs!$B$1+((Inputs!$G$5:$G$180&lt;&gt;"moeda")*(Inputs!$G$5:$G$180&lt;&gt;"acoes")))*INDEX(Inputs!$K$5:$AJ$180,0,MATCH(E$2,Inputs!$K$4:$AJ$4,0)))+SUMPRODUCT((Inputs!$E$5:$E$180=$B20)*Inputs!$F$5:$F$180*(((Inputs!$G$5:$G$180="moeda")+(Inputs!$G$5:$G$180="acoes"))*Inputs!$B$1+((Inputs!$G$5:$G$180&lt;&gt;"moeda")*(Inputs!$G$5:$G$180&lt;&gt;"acoes")))*INDEX(Inputs!$K$5:$AJ$180,0,MATCH(E$2,Inputs!$K$4:$AJ$4,0)))))</f>
        <v>60.73044049</v>
      </c>
      <c r="F20" s="6">
        <f>IF(ISNA(MATCH(F$2,Inputs!$K$4:$AJ$4,0)),NA(),IF(SUMPRODUCT((Inputs!$A$5:$A$180=$B20)*ISNUMBER(INDEX(Inputs!$K$5:$AJ$180,0,MATCH(F$2,Inputs!$K$4:$AJ$4,0))))+SUMPRODUCT((Inputs!$C$5:$C$180=$B20)*ISNUMBER(INDEX(Inputs!$K$5:$AJ$180,0,MATCH(F$2,Inputs!$K$4:$AJ$4,0))))+SUMPRODUCT((Inputs!$E$5:$E$180=$B20)*ISNUMBER(INDEX(Inputs!$K$5:$AJ$180,0,MATCH(F$2,Inputs!$K$4:$AJ$4,0))))=0,NA(),SUMPRODUCT((Inputs!$A$5:$A$180=$B20)*Inputs!$B$5:$B$180*(((Inputs!$G$5:$G$180="moeda")+(Inputs!$G$5:$G$180="acoes"))*Inputs!$B$1+((Inputs!$G$5:$G$180&lt;&gt;"moeda")*(Inputs!$G$5:$G$180&lt;&gt;"acoes")))*INDEX(Inputs!$K$5:$AJ$180,0,MATCH(F$2,Inputs!$K$4:$AJ$4,0)))+SUMPRODUCT((Inputs!$C$5:$C$180=$B20)*Inputs!$D$5:$D$180*(((Inputs!$G$5:$G$180="moeda")+(Inputs!$G$5:$G$180="acoes"))*Inputs!$B$1+((Inputs!$G$5:$G$180&lt;&gt;"moeda")*(Inputs!$G$5:$G$180&lt;&gt;"acoes")))*INDEX(Inputs!$K$5:$AJ$180,0,MATCH(F$2,Inputs!$K$4:$AJ$4,0)))+SUMPRODUCT((Inputs!$E$5:$E$180=$B20)*Inputs!$F$5:$F$180*(((Inputs!$G$5:$G$180="moeda")+(Inputs!$G$5:$G$180="acoes"))*Inputs!$B$1+((Inputs!$G$5:$G$180&lt;&gt;"moeda")*(Inputs!$G$5:$G$180&lt;&gt;"acoes")))*INDEX(Inputs!$K$5:$AJ$180,0,MATCH(F$2,Inputs!$K$4:$AJ$4,0)))))</f>
        <v>51.52278298</v>
      </c>
      <c r="G20" s="6">
        <f>IF(ISNA(MATCH(G$2,Inputs!$K$4:$AJ$4,0)),NA(),IF(SUMPRODUCT((Inputs!$A$5:$A$180=$B20)*ISNUMBER(INDEX(Inputs!$K$5:$AJ$180,0,MATCH(G$2,Inputs!$K$4:$AJ$4,0))))+SUMPRODUCT((Inputs!$C$5:$C$180=$B20)*ISNUMBER(INDEX(Inputs!$K$5:$AJ$180,0,MATCH(G$2,Inputs!$K$4:$AJ$4,0))))+SUMPRODUCT((Inputs!$E$5:$E$180=$B20)*ISNUMBER(INDEX(Inputs!$K$5:$AJ$180,0,MATCH(G$2,Inputs!$K$4:$AJ$4,0))))=0,NA(),SUMPRODUCT((Inputs!$A$5:$A$180=$B20)*Inputs!$B$5:$B$180*(((Inputs!$G$5:$G$180="moeda")+(Inputs!$G$5:$G$180="acoes"))*Inputs!$B$1+((Inputs!$G$5:$G$180&lt;&gt;"moeda")*(Inputs!$G$5:$G$180&lt;&gt;"acoes")))*INDEX(Inputs!$K$5:$AJ$180,0,MATCH(G$2,Inputs!$K$4:$AJ$4,0)))+SUMPRODUCT((Inputs!$C$5:$C$180=$B20)*Inputs!$D$5:$D$180*(((Inputs!$G$5:$G$180="moeda")+(Inputs!$G$5:$G$180="acoes"))*Inputs!$B$1+((Inputs!$G$5:$G$180&lt;&gt;"moeda")*(Inputs!$G$5:$G$180&lt;&gt;"acoes")))*INDEX(Inputs!$K$5:$AJ$180,0,MATCH(G$2,Inputs!$K$4:$AJ$4,0)))+SUMPRODUCT((Inputs!$E$5:$E$180=$B20)*Inputs!$F$5:$F$180*(((Inputs!$G$5:$G$180="moeda")+(Inputs!$G$5:$G$180="acoes"))*Inputs!$B$1+((Inputs!$G$5:$G$180&lt;&gt;"moeda")*(Inputs!$G$5:$G$180&lt;&gt;"acoes")))*INDEX(Inputs!$K$5:$AJ$180,0,MATCH(G$2,Inputs!$K$4:$AJ$4,0)))))</f>
        <v>48.78568597</v>
      </c>
      <c r="H20" s="3">
        <f>G20</f>
        <v>48.78568597</v>
      </c>
      <c r="I20" s="6">
        <f>IF(ISNA(MATCH(I$2,Inputs!$K$4:$AJ$4,0)),NA(),IF(SUMPRODUCT((Inputs!$A$5:$A$180=$B20)*ISNUMBER(INDEX(Inputs!$K$5:$AJ$180,0,MATCH(I$2,Inputs!$K$4:$AJ$4,0))))+SUMPRODUCT((Inputs!$C$5:$C$180=$B20)*ISNUMBER(INDEX(Inputs!$K$5:$AJ$180,0,MATCH(I$2,Inputs!$K$4:$AJ$4,0))))+SUMPRODUCT((Inputs!$E$5:$E$180=$B20)*ISNUMBER(INDEX(Inputs!$K$5:$AJ$180,0,MATCH(I$2,Inputs!$K$4:$AJ$4,0))))=0,NA(),SUMPRODUCT((Inputs!$A$5:$A$180=$B20)*Inputs!$B$5:$B$180*(((Inputs!$G$5:$G$180="moeda")+(Inputs!$G$5:$G$180="acoes"))*Inputs!$B$1+((Inputs!$G$5:$G$180&lt;&gt;"moeda")*(Inputs!$G$5:$G$180&lt;&gt;"acoes")))*INDEX(Inputs!$K$5:$AJ$180,0,MATCH(I$2,Inputs!$K$4:$AJ$4,0)))+SUMPRODUCT((Inputs!$C$5:$C$180=$B20)*Inputs!$D$5:$D$180*(((Inputs!$G$5:$G$180="moeda")+(Inputs!$G$5:$G$180="acoes"))*Inputs!$B$1+((Inputs!$G$5:$G$180&lt;&gt;"moeda")*(Inputs!$G$5:$G$180&lt;&gt;"acoes")))*INDEX(Inputs!$K$5:$AJ$180,0,MATCH(I$2,Inputs!$K$4:$AJ$4,0)))+SUMPRODUCT((Inputs!$E$5:$E$180=$B20)*Inputs!$F$5:$F$180*(((Inputs!$G$5:$G$180="moeda")+(Inputs!$G$5:$G$180="acoes"))*Inputs!$B$1+((Inputs!$G$5:$G$180&lt;&gt;"moeda")*(Inputs!$G$5:$G$180&lt;&gt;"acoes")))*INDEX(Inputs!$K$5:$AJ$180,0,MATCH(I$2,Inputs!$K$4:$AJ$4,0)))))</f>
        <v>44.65380289</v>
      </c>
      <c r="J20" s="6">
        <f>IF(ISNA(MATCH(J$2,Inputs!$K$4:$AJ$4,0)),NA(),IF(SUMPRODUCT((Inputs!$A$5:$A$180=$B20)*ISNUMBER(INDEX(Inputs!$K$5:$AJ$180,0,MATCH(J$2,Inputs!$K$4:$AJ$4,0))))+SUMPRODUCT((Inputs!$C$5:$C$180=$B20)*ISNUMBER(INDEX(Inputs!$K$5:$AJ$180,0,MATCH(J$2,Inputs!$K$4:$AJ$4,0))))+SUMPRODUCT((Inputs!$E$5:$E$180=$B20)*ISNUMBER(INDEX(Inputs!$K$5:$AJ$180,0,MATCH(J$2,Inputs!$K$4:$AJ$4,0))))=0,NA(),SUMPRODUCT((Inputs!$A$5:$A$180=$B20)*Inputs!$B$5:$B$180*(((Inputs!$G$5:$G$180="moeda")+(Inputs!$G$5:$G$180="acoes"))*Inputs!$B$1+((Inputs!$G$5:$G$180&lt;&gt;"moeda")*(Inputs!$G$5:$G$180&lt;&gt;"acoes")))*INDEX(Inputs!$K$5:$AJ$180,0,MATCH(J$2,Inputs!$K$4:$AJ$4,0)))+SUMPRODUCT((Inputs!$C$5:$C$180=$B20)*Inputs!$D$5:$D$180*(((Inputs!$G$5:$G$180="moeda")+(Inputs!$G$5:$G$180="acoes"))*Inputs!$B$1+((Inputs!$G$5:$G$180&lt;&gt;"moeda")*(Inputs!$G$5:$G$180&lt;&gt;"acoes")))*INDEX(Inputs!$K$5:$AJ$180,0,MATCH(J$2,Inputs!$K$4:$AJ$4,0)))+SUMPRODUCT((Inputs!$E$5:$E$180=$B20)*Inputs!$F$5:$F$180*(((Inputs!$G$5:$G$180="moeda")+(Inputs!$G$5:$G$180="acoes"))*Inputs!$B$1+((Inputs!$G$5:$G$180&lt;&gt;"moeda")*(Inputs!$G$5:$G$180&lt;&gt;"acoes")))*INDEX(Inputs!$K$5:$AJ$180,0,MATCH(J$2,Inputs!$K$4:$AJ$4,0)))))</f>
        <v>44.23989258</v>
      </c>
      <c r="K20" s="6">
        <f>IF(ISNA(MATCH(K$2,Inputs!$K$4:$AJ$4,0)),NA(),IF(SUMPRODUCT((Inputs!$A$5:$A$180=$B20)*ISNUMBER(INDEX(Inputs!$K$5:$AJ$180,0,MATCH(K$2,Inputs!$K$4:$AJ$4,0))))+SUMPRODUCT((Inputs!$C$5:$C$180=$B20)*ISNUMBER(INDEX(Inputs!$K$5:$AJ$180,0,MATCH(K$2,Inputs!$K$4:$AJ$4,0))))+SUMPRODUCT((Inputs!$E$5:$E$180=$B20)*ISNUMBER(INDEX(Inputs!$K$5:$AJ$180,0,MATCH(K$2,Inputs!$K$4:$AJ$4,0))))=0,NA(),SUMPRODUCT((Inputs!$A$5:$A$180=$B20)*Inputs!$B$5:$B$180*(((Inputs!$G$5:$G$180="moeda")+(Inputs!$G$5:$G$180="acoes"))*Inputs!$B$1+((Inputs!$G$5:$G$180&lt;&gt;"moeda")*(Inputs!$G$5:$G$180&lt;&gt;"acoes")))*INDEX(Inputs!$K$5:$AJ$180,0,MATCH(K$2,Inputs!$K$4:$AJ$4,0)))+SUMPRODUCT((Inputs!$C$5:$C$180=$B20)*Inputs!$D$5:$D$180*(((Inputs!$G$5:$G$180="moeda")+(Inputs!$G$5:$G$180="acoes"))*Inputs!$B$1+((Inputs!$G$5:$G$180&lt;&gt;"moeda")*(Inputs!$G$5:$G$180&lt;&gt;"acoes")))*INDEX(Inputs!$K$5:$AJ$180,0,MATCH(K$2,Inputs!$K$4:$AJ$4,0)))+SUMPRODUCT((Inputs!$E$5:$E$180=$B20)*Inputs!$F$5:$F$180*(((Inputs!$G$5:$G$180="moeda")+(Inputs!$G$5:$G$180="acoes"))*Inputs!$B$1+((Inputs!$G$5:$G$180&lt;&gt;"moeda")*(Inputs!$G$5:$G$180&lt;&gt;"acoes")))*INDEX(Inputs!$K$5:$AJ$180,0,MATCH(K$2,Inputs!$K$4:$AJ$4,0)))))</f>
        <v>54.31100411</v>
      </c>
      <c r="L20" s="6">
        <f>IF(ISNA(MATCH(L$2,Inputs!$K$4:$AJ$4,0)),NA(),IF(SUMPRODUCT((Inputs!$A$5:$A$180=$B20)*ISNUMBER(INDEX(Inputs!$K$5:$AJ$180,0,MATCH(L$2,Inputs!$K$4:$AJ$4,0))))+SUMPRODUCT((Inputs!$C$5:$C$180=$B20)*ISNUMBER(INDEX(Inputs!$K$5:$AJ$180,0,MATCH(L$2,Inputs!$K$4:$AJ$4,0))))+SUMPRODUCT((Inputs!$E$5:$E$180=$B20)*ISNUMBER(INDEX(Inputs!$K$5:$AJ$180,0,MATCH(L$2,Inputs!$K$4:$AJ$4,0))))=0,NA(),SUMPRODUCT((Inputs!$A$5:$A$180=$B20)*Inputs!$B$5:$B$180*(((Inputs!$G$5:$G$180="moeda")+(Inputs!$G$5:$G$180="acoes"))*Inputs!$B$1+((Inputs!$G$5:$G$180&lt;&gt;"moeda")*(Inputs!$G$5:$G$180&lt;&gt;"acoes")))*INDEX(Inputs!$K$5:$AJ$180,0,MATCH(L$2,Inputs!$K$4:$AJ$4,0)))+SUMPRODUCT((Inputs!$C$5:$C$180=$B20)*Inputs!$D$5:$D$180*(((Inputs!$G$5:$G$180="moeda")+(Inputs!$G$5:$G$180="acoes"))*Inputs!$B$1+((Inputs!$G$5:$G$180&lt;&gt;"moeda")*(Inputs!$G$5:$G$180&lt;&gt;"acoes")))*INDEX(Inputs!$K$5:$AJ$180,0,MATCH(L$2,Inputs!$K$4:$AJ$4,0)))+SUMPRODUCT((Inputs!$E$5:$E$180=$B20)*Inputs!$F$5:$F$180*(((Inputs!$G$5:$G$180="moeda")+(Inputs!$G$5:$G$180="acoes"))*Inputs!$B$1+((Inputs!$G$5:$G$180&lt;&gt;"moeda")*(Inputs!$G$5:$G$180&lt;&gt;"acoes")))*INDEX(Inputs!$K$5:$AJ$180,0,MATCH(L$2,Inputs!$K$4:$AJ$4,0)))))</f>
        <v>55.86985973</v>
      </c>
      <c r="M20" s="3">
        <f>L20</f>
        <v>55.86985973</v>
      </c>
      <c r="N20" s="6">
        <f>IF(ISNA(MATCH(N$2,Inputs!$K$4:$AJ$4,0)),NA(),IF(SUMPRODUCT((Inputs!$A$5:$A$180=$B20)*ISNUMBER(INDEX(Inputs!$K$5:$AJ$180,0,MATCH(N$2,Inputs!$K$4:$AJ$4,0))))+SUMPRODUCT((Inputs!$C$5:$C$180=$B20)*ISNUMBER(INDEX(Inputs!$K$5:$AJ$180,0,MATCH(N$2,Inputs!$K$4:$AJ$4,0))))+SUMPRODUCT((Inputs!$E$5:$E$180=$B20)*ISNUMBER(INDEX(Inputs!$K$5:$AJ$180,0,MATCH(N$2,Inputs!$K$4:$AJ$4,0))))=0,NA(),SUMPRODUCT((Inputs!$A$5:$A$180=$B20)*Inputs!$B$5:$B$180*(((Inputs!$G$5:$G$180="moeda")+(Inputs!$G$5:$G$180="acoes"))*Inputs!$B$1+((Inputs!$G$5:$G$180&lt;&gt;"moeda")*(Inputs!$G$5:$G$180&lt;&gt;"acoes")))*INDEX(Inputs!$K$5:$AJ$180,0,MATCH(N$2,Inputs!$K$4:$AJ$4,0)))+SUMPRODUCT((Inputs!$C$5:$C$180=$B20)*Inputs!$D$5:$D$180*(((Inputs!$G$5:$G$180="moeda")+(Inputs!$G$5:$G$180="acoes"))*Inputs!$B$1+((Inputs!$G$5:$G$180&lt;&gt;"moeda")*(Inputs!$G$5:$G$180&lt;&gt;"acoes")))*INDEX(Inputs!$K$5:$AJ$180,0,MATCH(N$2,Inputs!$K$4:$AJ$4,0)))+SUMPRODUCT((Inputs!$E$5:$E$180=$B20)*Inputs!$F$5:$F$180*(((Inputs!$G$5:$G$180="moeda")+(Inputs!$G$5:$G$180="acoes"))*Inputs!$B$1+((Inputs!$G$5:$G$180&lt;&gt;"moeda")*(Inputs!$G$5:$G$180&lt;&gt;"acoes")))*INDEX(Inputs!$K$5:$AJ$180,0,MATCH(N$2,Inputs!$K$4:$AJ$4,0)))))</f>
        <v>57.103</v>
      </c>
      <c r="O20" s="6">
        <f>IF(ISNA(MATCH(O$2,Inputs!$K$4:$AJ$4,0)),NA(),IF(SUMPRODUCT((Inputs!$A$5:$A$180=$B20)*ISNUMBER(INDEX(Inputs!$K$5:$AJ$180,0,MATCH(O$2,Inputs!$K$4:$AJ$4,0))))+SUMPRODUCT((Inputs!$C$5:$C$180=$B20)*ISNUMBER(INDEX(Inputs!$K$5:$AJ$180,0,MATCH(O$2,Inputs!$K$4:$AJ$4,0))))+SUMPRODUCT((Inputs!$E$5:$E$180=$B20)*ISNUMBER(INDEX(Inputs!$K$5:$AJ$180,0,MATCH(O$2,Inputs!$K$4:$AJ$4,0))))=0,NA(),SUMPRODUCT((Inputs!$A$5:$A$180=$B20)*Inputs!$B$5:$B$180*(((Inputs!$G$5:$G$180="moeda")+(Inputs!$G$5:$G$180="acoes"))*Inputs!$B$1+((Inputs!$G$5:$G$180&lt;&gt;"moeda")*(Inputs!$G$5:$G$180&lt;&gt;"acoes")))*INDEX(Inputs!$K$5:$AJ$180,0,MATCH(O$2,Inputs!$K$4:$AJ$4,0)))+SUMPRODUCT((Inputs!$C$5:$C$180=$B20)*Inputs!$D$5:$D$180*(((Inputs!$G$5:$G$180="moeda")+(Inputs!$G$5:$G$180="acoes"))*Inputs!$B$1+((Inputs!$G$5:$G$180&lt;&gt;"moeda")*(Inputs!$G$5:$G$180&lt;&gt;"acoes")))*INDEX(Inputs!$K$5:$AJ$180,0,MATCH(O$2,Inputs!$K$4:$AJ$4,0)))+SUMPRODUCT((Inputs!$E$5:$E$180=$B20)*Inputs!$F$5:$F$180*(((Inputs!$G$5:$G$180="moeda")+(Inputs!$G$5:$G$180="acoes"))*Inputs!$B$1+((Inputs!$G$5:$G$180&lt;&gt;"moeda")*(Inputs!$G$5:$G$180&lt;&gt;"acoes")))*INDEX(Inputs!$K$5:$AJ$180,0,MATCH(O$2,Inputs!$K$4:$AJ$4,0)))))</f>
        <v>69.55885019</v>
      </c>
      <c r="P20" s="6">
        <f>IF(ISNA(MATCH(P$2,Inputs!$K$4:$AJ$4,0)),NA(),IF(SUMPRODUCT((Inputs!$A$5:$A$180=$B20)*ISNUMBER(INDEX(Inputs!$K$5:$AJ$180,0,MATCH(P$2,Inputs!$K$4:$AJ$4,0))))+SUMPRODUCT((Inputs!$C$5:$C$180=$B20)*ISNUMBER(INDEX(Inputs!$K$5:$AJ$180,0,MATCH(P$2,Inputs!$K$4:$AJ$4,0))))+SUMPRODUCT((Inputs!$E$5:$E$180=$B20)*ISNUMBER(INDEX(Inputs!$K$5:$AJ$180,0,MATCH(P$2,Inputs!$K$4:$AJ$4,0))))=0,NA(),SUMPRODUCT((Inputs!$A$5:$A$180=$B20)*Inputs!$B$5:$B$180*(((Inputs!$G$5:$G$180="moeda")+(Inputs!$G$5:$G$180="acoes"))*Inputs!$B$1+((Inputs!$G$5:$G$180&lt;&gt;"moeda")*(Inputs!$G$5:$G$180&lt;&gt;"acoes")))*INDEX(Inputs!$K$5:$AJ$180,0,MATCH(P$2,Inputs!$K$4:$AJ$4,0)))+SUMPRODUCT((Inputs!$C$5:$C$180=$B20)*Inputs!$D$5:$D$180*(((Inputs!$G$5:$G$180="moeda")+(Inputs!$G$5:$G$180="acoes"))*Inputs!$B$1+((Inputs!$G$5:$G$180&lt;&gt;"moeda")*(Inputs!$G$5:$G$180&lt;&gt;"acoes")))*INDEX(Inputs!$K$5:$AJ$180,0,MATCH(P$2,Inputs!$K$4:$AJ$4,0)))+SUMPRODUCT((Inputs!$E$5:$E$180=$B20)*Inputs!$F$5:$F$180*(((Inputs!$G$5:$G$180="moeda")+(Inputs!$G$5:$G$180="acoes"))*Inputs!$B$1+((Inputs!$G$5:$G$180&lt;&gt;"moeda")*(Inputs!$G$5:$G$180&lt;&gt;"acoes")))*INDEX(Inputs!$K$5:$AJ$180,0,MATCH(P$2,Inputs!$K$4:$AJ$4,0)))))</f>
        <v>75.21305908</v>
      </c>
      <c r="Q20" s="6">
        <f>IF(ISNA(MATCH(Q$2,Inputs!$K$4:$AJ$4,0)),NA(),IF(SUMPRODUCT((Inputs!$A$5:$A$180=$B20)*ISNUMBER(INDEX(Inputs!$K$5:$AJ$180,0,MATCH(Q$2,Inputs!$K$4:$AJ$4,0))))+SUMPRODUCT((Inputs!$C$5:$C$180=$B20)*ISNUMBER(INDEX(Inputs!$K$5:$AJ$180,0,MATCH(Q$2,Inputs!$K$4:$AJ$4,0))))+SUMPRODUCT((Inputs!$E$5:$E$180=$B20)*ISNUMBER(INDEX(Inputs!$K$5:$AJ$180,0,MATCH(Q$2,Inputs!$K$4:$AJ$4,0))))=0,NA(),SUMPRODUCT((Inputs!$A$5:$A$180=$B20)*Inputs!$B$5:$B$180*(((Inputs!$G$5:$G$180="moeda")+(Inputs!$G$5:$G$180="acoes"))*Inputs!$B$1+((Inputs!$G$5:$G$180&lt;&gt;"moeda")*(Inputs!$G$5:$G$180&lt;&gt;"acoes")))*INDEX(Inputs!$K$5:$AJ$180,0,MATCH(Q$2,Inputs!$K$4:$AJ$4,0)))+SUMPRODUCT((Inputs!$C$5:$C$180=$B20)*Inputs!$D$5:$D$180*(((Inputs!$G$5:$G$180="moeda")+(Inputs!$G$5:$G$180="acoes"))*Inputs!$B$1+((Inputs!$G$5:$G$180&lt;&gt;"moeda")*(Inputs!$G$5:$G$180&lt;&gt;"acoes")))*INDEX(Inputs!$K$5:$AJ$180,0,MATCH(Q$2,Inputs!$K$4:$AJ$4,0)))+SUMPRODUCT((Inputs!$E$5:$E$180=$B20)*Inputs!$F$5:$F$180*(((Inputs!$G$5:$G$180="moeda")+(Inputs!$G$5:$G$180="acoes"))*Inputs!$B$1+((Inputs!$G$5:$G$180&lt;&gt;"moeda")*(Inputs!$G$5:$G$180&lt;&gt;"acoes")))*INDEX(Inputs!$K$5:$AJ$180,0,MATCH(Q$2,Inputs!$K$4:$AJ$4,0)))))</f>
        <v>118.35346914</v>
      </c>
      <c r="R20" s="3">
        <f>Q20</f>
        <v>118.35346914</v>
      </c>
      <c r="S20" s="6">
        <f>IF(ISNA(MATCH(S$2,Inputs!$K$4:$AJ$4,0)),NA(),IF(SUMPRODUCT((Inputs!$A$5:$A$180=$B20)*ISNUMBER(INDEX(Inputs!$K$5:$AJ$180,0,MATCH(S$2,Inputs!$K$4:$AJ$4,0))))+SUMPRODUCT((Inputs!$C$5:$C$180=$B20)*ISNUMBER(INDEX(Inputs!$K$5:$AJ$180,0,MATCH(S$2,Inputs!$K$4:$AJ$4,0))))+SUMPRODUCT((Inputs!$E$5:$E$180=$B20)*ISNUMBER(INDEX(Inputs!$K$5:$AJ$180,0,MATCH(S$2,Inputs!$K$4:$AJ$4,0))))=0,NA(),SUMPRODUCT((Inputs!$A$5:$A$180=$B20)*Inputs!$B$5:$B$180*(((Inputs!$G$5:$G$180="moeda")+(Inputs!$G$5:$G$180="acoes"))*Inputs!$B$1+((Inputs!$G$5:$G$180&lt;&gt;"moeda")*(Inputs!$G$5:$G$180&lt;&gt;"acoes")))*INDEX(Inputs!$K$5:$AJ$180,0,MATCH(S$2,Inputs!$K$4:$AJ$4,0)))+SUMPRODUCT((Inputs!$C$5:$C$180=$B20)*Inputs!$D$5:$D$180*(((Inputs!$G$5:$G$180="moeda")+(Inputs!$G$5:$G$180="acoes"))*Inputs!$B$1+((Inputs!$G$5:$G$180&lt;&gt;"moeda")*(Inputs!$G$5:$G$180&lt;&gt;"acoes")))*INDEX(Inputs!$K$5:$AJ$180,0,MATCH(S$2,Inputs!$K$4:$AJ$4,0)))+SUMPRODUCT((Inputs!$E$5:$E$180=$B20)*Inputs!$F$5:$F$180*(((Inputs!$G$5:$G$180="moeda")+(Inputs!$G$5:$G$180="acoes"))*Inputs!$B$1+((Inputs!$G$5:$G$180&lt;&gt;"moeda")*(Inputs!$G$5:$G$180&lt;&gt;"acoes")))*INDEX(Inputs!$K$5:$AJ$180,0,MATCH(S$2,Inputs!$K$4:$AJ$4,0)))))</f>
        <v>129.25586085</v>
      </c>
      <c r="T20" s="6">
        <f>IF(ISNA(MATCH(T$2,Inputs!$K$4:$AJ$4,0)),NA(),IF(SUMPRODUCT((Inputs!$A$5:$A$180=$B20)*ISNUMBER(INDEX(Inputs!$K$5:$AJ$180,0,MATCH(T$2,Inputs!$K$4:$AJ$4,0))))+SUMPRODUCT((Inputs!$C$5:$C$180=$B20)*ISNUMBER(INDEX(Inputs!$K$5:$AJ$180,0,MATCH(T$2,Inputs!$K$4:$AJ$4,0))))+SUMPRODUCT((Inputs!$E$5:$E$180=$B20)*ISNUMBER(INDEX(Inputs!$K$5:$AJ$180,0,MATCH(T$2,Inputs!$K$4:$AJ$4,0))))=0,NA(),SUMPRODUCT((Inputs!$A$5:$A$180=$B20)*Inputs!$B$5:$B$180*(((Inputs!$G$5:$G$180="moeda")+(Inputs!$G$5:$G$180="acoes"))*Inputs!$B$1+((Inputs!$G$5:$G$180&lt;&gt;"moeda")*(Inputs!$G$5:$G$180&lt;&gt;"acoes")))*INDEX(Inputs!$K$5:$AJ$180,0,MATCH(T$2,Inputs!$K$4:$AJ$4,0)))+SUMPRODUCT((Inputs!$C$5:$C$180=$B20)*Inputs!$D$5:$D$180*(((Inputs!$G$5:$G$180="moeda")+(Inputs!$G$5:$G$180="acoes"))*Inputs!$B$1+((Inputs!$G$5:$G$180&lt;&gt;"moeda")*(Inputs!$G$5:$G$180&lt;&gt;"acoes")))*INDEX(Inputs!$K$5:$AJ$180,0,MATCH(T$2,Inputs!$K$4:$AJ$4,0)))+SUMPRODUCT((Inputs!$E$5:$E$180=$B20)*Inputs!$F$5:$F$180*(((Inputs!$G$5:$G$180="moeda")+(Inputs!$G$5:$G$180="acoes"))*Inputs!$B$1+((Inputs!$G$5:$G$180&lt;&gt;"moeda")*(Inputs!$G$5:$G$180&lt;&gt;"acoes")))*INDEX(Inputs!$K$5:$AJ$180,0,MATCH(T$2,Inputs!$K$4:$AJ$4,0)))))</f>
        <v>139.206</v>
      </c>
      <c r="U20" s="6">
        <f>IF(ISNA(MATCH(U$2,Inputs!$K$4:$AJ$4,0)),NA(),IF(SUMPRODUCT((Inputs!$A$5:$A$180=$B20)*ISNUMBER(INDEX(Inputs!$K$5:$AJ$180,0,MATCH(U$2,Inputs!$K$4:$AJ$4,0))))+SUMPRODUCT((Inputs!$C$5:$C$180=$B20)*ISNUMBER(INDEX(Inputs!$K$5:$AJ$180,0,MATCH(U$2,Inputs!$K$4:$AJ$4,0))))+SUMPRODUCT((Inputs!$E$5:$E$180=$B20)*ISNUMBER(INDEX(Inputs!$K$5:$AJ$180,0,MATCH(U$2,Inputs!$K$4:$AJ$4,0))))=0,NA(),SUMPRODUCT((Inputs!$A$5:$A$180=$B20)*Inputs!$B$5:$B$180*(((Inputs!$G$5:$G$180="moeda")+(Inputs!$G$5:$G$180="acoes"))*Inputs!$B$1+((Inputs!$G$5:$G$180&lt;&gt;"moeda")*(Inputs!$G$5:$G$180&lt;&gt;"acoes")))*INDEX(Inputs!$K$5:$AJ$180,0,MATCH(U$2,Inputs!$K$4:$AJ$4,0)))+SUMPRODUCT((Inputs!$C$5:$C$180=$B20)*Inputs!$D$5:$D$180*(((Inputs!$G$5:$G$180="moeda")+(Inputs!$G$5:$G$180="acoes"))*Inputs!$B$1+((Inputs!$G$5:$G$180&lt;&gt;"moeda")*(Inputs!$G$5:$G$180&lt;&gt;"acoes")))*INDEX(Inputs!$K$5:$AJ$180,0,MATCH(U$2,Inputs!$K$4:$AJ$4,0)))+SUMPRODUCT((Inputs!$E$5:$E$180=$B20)*Inputs!$F$5:$F$180*(((Inputs!$G$5:$G$180="moeda")+(Inputs!$G$5:$G$180="acoes"))*Inputs!$B$1+((Inputs!$G$5:$G$180&lt;&gt;"moeda")*(Inputs!$G$5:$G$180&lt;&gt;"acoes")))*INDEX(Inputs!$K$5:$AJ$180,0,MATCH(U$2,Inputs!$K$4:$AJ$4,0)))))</f>
        <v>198.38540736</v>
      </c>
      <c r="V20" s="6">
        <f>IF(ISNA(MATCH(V$2,Inputs!$K$4:$AJ$4,0)),NA(),IF(SUMPRODUCT((Inputs!$A$5:$A$180=$B20)*ISNUMBER(INDEX(Inputs!$K$5:$AJ$180,0,MATCH(V$2,Inputs!$K$4:$AJ$4,0))))+SUMPRODUCT((Inputs!$C$5:$C$180=$B20)*ISNUMBER(INDEX(Inputs!$K$5:$AJ$180,0,MATCH(V$2,Inputs!$K$4:$AJ$4,0))))+SUMPRODUCT((Inputs!$E$5:$E$180=$B20)*ISNUMBER(INDEX(Inputs!$K$5:$AJ$180,0,MATCH(V$2,Inputs!$K$4:$AJ$4,0))))=0,NA(),SUMPRODUCT((Inputs!$A$5:$A$180=$B20)*Inputs!$B$5:$B$180*(((Inputs!$G$5:$G$180="moeda")+(Inputs!$G$5:$G$180="acoes"))*Inputs!$B$1+((Inputs!$G$5:$G$180&lt;&gt;"moeda")*(Inputs!$G$5:$G$180&lt;&gt;"acoes")))*INDEX(Inputs!$K$5:$AJ$180,0,MATCH(V$2,Inputs!$K$4:$AJ$4,0)))+SUMPRODUCT((Inputs!$C$5:$C$180=$B20)*Inputs!$D$5:$D$180*(((Inputs!$G$5:$G$180="moeda")+(Inputs!$G$5:$G$180="acoes"))*Inputs!$B$1+((Inputs!$G$5:$G$180&lt;&gt;"moeda")*(Inputs!$G$5:$G$180&lt;&gt;"acoes")))*INDEX(Inputs!$K$5:$AJ$180,0,MATCH(V$2,Inputs!$K$4:$AJ$4,0)))+SUMPRODUCT((Inputs!$E$5:$E$180=$B20)*Inputs!$F$5:$F$180*(((Inputs!$G$5:$G$180="moeda")+(Inputs!$G$5:$G$180="acoes"))*Inputs!$B$1+((Inputs!$G$5:$G$180&lt;&gt;"moeda")*(Inputs!$G$5:$G$180&lt;&gt;"acoes")))*INDEX(Inputs!$K$5:$AJ$180,0,MATCH(V$2,Inputs!$K$4:$AJ$4,0)))))</f>
        <v>189.90397154</v>
      </c>
      <c r="W20" s="3">
        <f>V20</f>
        <v>189.90397154</v>
      </c>
      <c r="X20" s="6">
        <f>IF(ISNA(MATCH(X$2,Inputs!$K$4:$AJ$4,0)),NA(),IF(SUMPRODUCT((Inputs!$A$5:$A$180=$B20)*ISNUMBER(INDEX(Inputs!$K$5:$AJ$180,0,MATCH(X$2,Inputs!$K$4:$AJ$4,0))))+SUMPRODUCT((Inputs!$C$5:$C$180=$B20)*ISNUMBER(INDEX(Inputs!$K$5:$AJ$180,0,MATCH(X$2,Inputs!$K$4:$AJ$4,0))))+SUMPRODUCT((Inputs!$E$5:$E$180=$B20)*ISNUMBER(INDEX(Inputs!$K$5:$AJ$180,0,MATCH(X$2,Inputs!$K$4:$AJ$4,0))))=0,NA(),SUMPRODUCT((Inputs!$A$5:$A$180=$B20)*Inputs!$B$5:$B$180*(((Inputs!$G$5:$G$180="moeda")+(Inputs!$G$5:$G$180="acoes"))*Inputs!$B$1+((Inputs!$G$5:$G$180&lt;&gt;"moeda")*(Inputs!$G$5:$G$180&lt;&gt;"acoes")))*INDEX(Inputs!$K$5:$AJ$180,0,MATCH(X$2,Inputs!$K$4:$AJ$4,0)))+SUMPRODUCT((Inputs!$C$5:$C$180=$B20)*Inputs!$D$5:$D$180*(((Inputs!$G$5:$G$180="moeda")+(Inputs!$G$5:$G$180="acoes"))*Inputs!$B$1+((Inputs!$G$5:$G$180&lt;&gt;"moeda")*(Inputs!$G$5:$G$180&lt;&gt;"acoes")))*INDEX(Inputs!$K$5:$AJ$180,0,MATCH(X$2,Inputs!$K$4:$AJ$4,0)))+SUMPRODUCT((Inputs!$E$5:$E$180=$B20)*Inputs!$F$5:$F$180*(((Inputs!$G$5:$G$180="moeda")+(Inputs!$G$5:$G$180="acoes"))*Inputs!$B$1+((Inputs!$G$5:$G$180&lt;&gt;"moeda")*(Inputs!$G$5:$G$180&lt;&gt;"acoes")))*INDEX(Inputs!$K$5:$AJ$180,0,MATCH(X$2,Inputs!$K$4:$AJ$4,0)))))</f>
        <v>183.74294178</v>
      </c>
      <c r="Y20" s="6">
        <f>IF(ISNA(MATCH(Y$2,Inputs!$K$4:$AJ$4,0)),NA(),IF(SUMPRODUCT((Inputs!$A$5:$A$180=$B20)*ISNUMBER(INDEX(Inputs!$K$5:$AJ$180,0,MATCH(Y$2,Inputs!$K$4:$AJ$4,0))))+SUMPRODUCT((Inputs!$C$5:$C$180=$B20)*ISNUMBER(INDEX(Inputs!$K$5:$AJ$180,0,MATCH(Y$2,Inputs!$K$4:$AJ$4,0))))+SUMPRODUCT((Inputs!$E$5:$E$180=$B20)*ISNUMBER(INDEX(Inputs!$K$5:$AJ$180,0,MATCH(Y$2,Inputs!$K$4:$AJ$4,0))))=0,NA(),SUMPRODUCT((Inputs!$A$5:$A$180=$B20)*Inputs!$B$5:$B$180*(((Inputs!$G$5:$G$180="moeda")+(Inputs!$G$5:$G$180="acoes"))*Inputs!$B$1+((Inputs!$G$5:$G$180&lt;&gt;"moeda")*(Inputs!$G$5:$G$180&lt;&gt;"acoes")))*INDEX(Inputs!$K$5:$AJ$180,0,MATCH(Y$2,Inputs!$K$4:$AJ$4,0)))+SUMPRODUCT((Inputs!$C$5:$C$180=$B20)*Inputs!$D$5:$D$180*(((Inputs!$G$5:$G$180="moeda")+(Inputs!$G$5:$G$180="acoes"))*Inputs!$B$1+((Inputs!$G$5:$G$180&lt;&gt;"moeda")*(Inputs!$G$5:$G$180&lt;&gt;"acoes")))*INDEX(Inputs!$K$5:$AJ$180,0,MATCH(Y$2,Inputs!$K$4:$AJ$4,0)))+SUMPRODUCT((Inputs!$E$5:$E$180=$B20)*Inputs!$F$5:$F$180*(((Inputs!$G$5:$G$180="moeda")+(Inputs!$G$5:$G$180="acoes"))*Inputs!$B$1+((Inputs!$G$5:$G$180&lt;&gt;"moeda")*(Inputs!$G$5:$G$180&lt;&gt;"acoes")))*INDEX(Inputs!$K$5:$AJ$180,0,MATCH(Y$2,Inputs!$K$4:$AJ$4,0)))))</f>
        <v>171.50300963</v>
      </c>
      <c r="Z20" s="6">
        <f>IF(ISNA(MATCH(Z$2,Inputs!$K$4:$AJ$4,0)),NA(),IF(SUMPRODUCT((Inputs!$A$5:$A$180=$B20)*ISNUMBER(INDEX(Inputs!$K$5:$AJ$180,0,MATCH(Z$2,Inputs!$K$4:$AJ$4,0))))+SUMPRODUCT((Inputs!$C$5:$C$180=$B20)*ISNUMBER(INDEX(Inputs!$K$5:$AJ$180,0,MATCH(Z$2,Inputs!$K$4:$AJ$4,0))))+SUMPRODUCT((Inputs!$E$5:$E$180=$B20)*ISNUMBER(INDEX(Inputs!$K$5:$AJ$180,0,MATCH(Z$2,Inputs!$K$4:$AJ$4,0))))=0,NA(),SUMPRODUCT((Inputs!$A$5:$A$180=$B20)*Inputs!$B$5:$B$180*(((Inputs!$G$5:$G$180="moeda")+(Inputs!$G$5:$G$180="acoes"))*Inputs!$B$1+((Inputs!$G$5:$G$180&lt;&gt;"moeda")*(Inputs!$G$5:$G$180&lt;&gt;"acoes")))*INDEX(Inputs!$K$5:$AJ$180,0,MATCH(Z$2,Inputs!$K$4:$AJ$4,0)))+SUMPRODUCT((Inputs!$C$5:$C$180=$B20)*Inputs!$D$5:$D$180*(((Inputs!$G$5:$G$180="moeda")+(Inputs!$G$5:$G$180="acoes"))*Inputs!$B$1+((Inputs!$G$5:$G$180&lt;&gt;"moeda")*(Inputs!$G$5:$G$180&lt;&gt;"acoes")))*INDEX(Inputs!$K$5:$AJ$180,0,MATCH(Z$2,Inputs!$K$4:$AJ$4,0)))+SUMPRODUCT((Inputs!$E$5:$E$180=$B20)*Inputs!$F$5:$F$180*(((Inputs!$G$5:$G$180="moeda")+(Inputs!$G$5:$G$180="acoes"))*Inputs!$B$1+((Inputs!$G$5:$G$180&lt;&gt;"moeda")*(Inputs!$G$5:$G$180&lt;&gt;"acoes")))*INDEX(Inputs!$K$5:$AJ$180,0,MATCH(Z$2,Inputs!$K$4:$AJ$4,0)))))</f>
        <v>262.981</v>
      </c>
      <c r="AA20" s="6">
        <f>IF(ISNA(MATCH(AA$2,Inputs!$K$4:$AJ$4,0)),NA(),IF(SUMPRODUCT((Inputs!$A$5:$A$180=$B20)*ISNUMBER(INDEX(Inputs!$K$5:$AJ$180,0,MATCH(AA$2,Inputs!$K$4:$AJ$4,0))))+SUMPRODUCT((Inputs!$C$5:$C$180=$B20)*ISNUMBER(INDEX(Inputs!$K$5:$AJ$180,0,MATCH(AA$2,Inputs!$K$4:$AJ$4,0))))+SUMPRODUCT((Inputs!$E$5:$E$180=$B20)*ISNUMBER(INDEX(Inputs!$K$5:$AJ$180,0,MATCH(AA$2,Inputs!$K$4:$AJ$4,0))))=0,NA(),SUMPRODUCT((Inputs!$A$5:$A$180=$B20)*Inputs!$B$5:$B$180*(((Inputs!$G$5:$G$180="moeda")+(Inputs!$G$5:$G$180="acoes"))*Inputs!$B$1+((Inputs!$G$5:$G$180&lt;&gt;"moeda")*(Inputs!$G$5:$G$180&lt;&gt;"acoes")))*INDEX(Inputs!$K$5:$AJ$180,0,MATCH(AA$2,Inputs!$K$4:$AJ$4,0)))+SUMPRODUCT((Inputs!$C$5:$C$180=$B20)*Inputs!$D$5:$D$180*(((Inputs!$G$5:$G$180="moeda")+(Inputs!$G$5:$G$180="acoes"))*Inputs!$B$1+((Inputs!$G$5:$G$180&lt;&gt;"moeda")*(Inputs!$G$5:$G$180&lt;&gt;"acoes")))*INDEX(Inputs!$K$5:$AJ$180,0,MATCH(AA$2,Inputs!$K$4:$AJ$4,0)))+SUMPRODUCT((Inputs!$E$5:$E$180=$B20)*Inputs!$F$5:$F$180*(((Inputs!$G$5:$G$180="moeda")+(Inputs!$G$5:$G$180="acoes"))*Inputs!$B$1+((Inputs!$G$5:$G$180&lt;&gt;"moeda")*(Inputs!$G$5:$G$180&lt;&gt;"acoes")))*INDEX(Inputs!$K$5:$AJ$180,0,MATCH(AA$2,Inputs!$K$4:$AJ$4,0)))))</f>
        <v>168.47361213</v>
      </c>
      <c r="AB20" s="3">
        <f>AA20</f>
        <v>168.47361213</v>
      </c>
      <c r="AC20" s="6">
        <f>IF(ISNA(MATCH(AC$2,Inputs!$K$4:$AJ$4,0)),NA(),IF(SUMPRODUCT((Inputs!$A$5:$A$180=$B20)*ISNUMBER(INDEX(Inputs!$K$5:$AJ$180,0,MATCH(AC$2,Inputs!$K$4:$AJ$4,0))))+SUMPRODUCT((Inputs!$C$5:$C$180=$B20)*ISNUMBER(INDEX(Inputs!$K$5:$AJ$180,0,MATCH(AC$2,Inputs!$K$4:$AJ$4,0))))+SUMPRODUCT((Inputs!$E$5:$E$180=$B20)*ISNUMBER(INDEX(Inputs!$K$5:$AJ$180,0,MATCH(AC$2,Inputs!$K$4:$AJ$4,0))))=0,NA(),SUMPRODUCT((Inputs!$A$5:$A$180=$B20)*Inputs!$B$5:$B$180*(((Inputs!$G$5:$G$180="moeda")+(Inputs!$G$5:$G$180="acoes"))*Inputs!$B$1+((Inputs!$G$5:$G$180&lt;&gt;"moeda")*(Inputs!$G$5:$G$180&lt;&gt;"acoes")))*INDEX(Inputs!$K$5:$AJ$180,0,MATCH(AC$2,Inputs!$K$4:$AJ$4,0)))+SUMPRODUCT((Inputs!$C$5:$C$180=$B20)*Inputs!$D$5:$D$180*(((Inputs!$G$5:$G$180="moeda")+(Inputs!$G$5:$G$180="acoes"))*Inputs!$B$1+((Inputs!$G$5:$G$180&lt;&gt;"moeda")*(Inputs!$G$5:$G$180&lt;&gt;"acoes")))*INDEX(Inputs!$K$5:$AJ$180,0,MATCH(AC$2,Inputs!$K$4:$AJ$4,0)))+SUMPRODUCT((Inputs!$E$5:$E$180=$B20)*Inputs!$F$5:$F$180*(((Inputs!$G$5:$G$180="moeda")+(Inputs!$G$5:$G$180="acoes"))*Inputs!$B$1+((Inputs!$G$5:$G$180&lt;&gt;"moeda")*(Inputs!$G$5:$G$180&lt;&gt;"acoes")))*INDEX(Inputs!$K$5:$AJ$180,0,MATCH(AC$2,Inputs!$K$4:$AJ$4,0)))))</f>
        <v>153.21044569</v>
      </c>
      <c r="AD20" s="6">
        <f>IF(ISNA(MATCH(AD$2,Inputs!$K$4:$AJ$4,0)),NA(),IF(SUMPRODUCT((Inputs!$A$5:$A$180=$B20)*ISNUMBER(INDEX(Inputs!$K$5:$AJ$180,0,MATCH(AD$2,Inputs!$K$4:$AJ$4,0))))+SUMPRODUCT((Inputs!$C$5:$C$180=$B20)*ISNUMBER(INDEX(Inputs!$K$5:$AJ$180,0,MATCH(AD$2,Inputs!$K$4:$AJ$4,0))))+SUMPRODUCT((Inputs!$E$5:$E$180=$B20)*ISNUMBER(INDEX(Inputs!$K$5:$AJ$180,0,MATCH(AD$2,Inputs!$K$4:$AJ$4,0))))=0,NA(),SUMPRODUCT((Inputs!$A$5:$A$180=$B20)*Inputs!$B$5:$B$180*(((Inputs!$G$5:$G$180="moeda")+(Inputs!$G$5:$G$180="acoes"))*Inputs!$B$1+((Inputs!$G$5:$G$180&lt;&gt;"moeda")*(Inputs!$G$5:$G$180&lt;&gt;"acoes")))*INDEX(Inputs!$K$5:$AJ$180,0,MATCH(AD$2,Inputs!$K$4:$AJ$4,0)))+SUMPRODUCT((Inputs!$C$5:$C$180=$B20)*Inputs!$D$5:$D$180*(((Inputs!$G$5:$G$180="moeda")+(Inputs!$G$5:$G$180="acoes"))*Inputs!$B$1+((Inputs!$G$5:$G$180&lt;&gt;"moeda")*(Inputs!$G$5:$G$180&lt;&gt;"acoes")))*INDEX(Inputs!$K$5:$AJ$180,0,MATCH(AD$2,Inputs!$K$4:$AJ$4,0)))+SUMPRODUCT((Inputs!$E$5:$E$180=$B20)*Inputs!$F$5:$F$180*(((Inputs!$G$5:$G$180="moeda")+(Inputs!$G$5:$G$180="acoes"))*Inputs!$B$1+((Inputs!$G$5:$G$180&lt;&gt;"moeda")*(Inputs!$G$5:$G$180&lt;&gt;"acoes")))*INDEX(Inputs!$K$5:$AJ$180,0,MATCH(AD$2,Inputs!$K$4:$AJ$4,0)))))</f>
        <v>143.62913522</v>
      </c>
      <c r="AE20" s="6" t="e">
        <f>IF(ISNA(MATCH(AE$2,Inputs!$K$4:$AJ$4,0)),NA(),IF(SUMPRODUCT((Inputs!$A$5:$A$180=$B20)*ISNUMBER(INDEX(Inputs!$K$5:$AJ$180,0,MATCH(AE$2,Inputs!$K$4:$AJ$4,0))))+SUMPRODUCT((Inputs!$C$5:$C$180=$B20)*ISNUMBER(INDEX(Inputs!$K$5:$AJ$180,0,MATCH(AE$2,Inputs!$K$4:$AJ$4,0))))+SUMPRODUCT((Inputs!$E$5:$E$180=$B20)*ISNUMBER(INDEX(Inputs!$K$5:$AJ$180,0,MATCH(AE$2,Inputs!$K$4:$AJ$4,0))))=0,NA(),SUMPRODUCT((Inputs!$A$5:$A$180=$B20)*Inputs!$B$5:$B$180*(((Inputs!$G$5:$G$180="moeda")+(Inputs!$G$5:$G$180="acoes"))*Inputs!$B$1+((Inputs!$G$5:$G$180&lt;&gt;"moeda")*(Inputs!$G$5:$G$180&lt;&gt;"acoes")))*INDEX(Inputs!$K$5:$AJ$180,0,MATCH(AE$2,Inputs!$K$4:$AJ$4,0)))+SUMPRODUCT((Inputs!$C$5:$C$180=$B20)*Inputs!$D$5:$D$180*(((Inputs!$G$5:$G$180="moeda")+(Inputs!$G$5:$G$180="acoes"))*Inputs!$B$1+((Inputs!$G$5:$G$180&lt;&gt;"moeda")*(Inputs!$G$5:$G$180&lt;&gt;"acoes")))*INDEX(Inputs!$K$5:$AJ$180,0,MATCH(AE$2,Inputs!$K$4:$AJ$4,0)))+SUMPRODUCT((Inputs!$E$5:$E$180=$B20)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0" s="6" t="e">
        <f>IF(ISNA(MATCH(AF$2,Inputs!$K$4:$AJ$4,0)),NA(),IF(SUMPRODUCT((Inputs!$A$5:$A$180=$B20)*ISNUMBER(INDEX(Inputs!$K$5:$AJ$180,0,MATCH(AF$2,Inputs!$K$4:$AJ$4,0))))+SUMPRODUCT((Inputs!$C$5:$C$180=$B20)*ISNUMBER(INDEX(Inputs!$K$5:$AJ$180,0,MATCH(AF$2,Inputs!$K$4:$AJ$4,0))))+SUMPRODUCT((Inputs!$E$5:$E$180=$B20)*ISNUMBER(INDEX(Inputs!$K$5:$AJ$180,0,MATCH(AF$2,Inputs!$K$4:$AJ$4,0))))=0,NA(),SUMPRODUCT((Inputs!$A$5:$A$180=$B20)*Inputs!$B$5:$B$180*(((Inputs!$G$5:$G$180="moeda")+(Inputs!$G$5:$G$180="acoes"))*Inputs!$B$1+((Inputs!$G$5:$G$180&lt;&gt;"moeda")*(Inputs!$G$5:$G$180&lt;&gt;"acoes")))*INDEX(Inputs!$K$5:$AJ$180,0,MATCH(AF$2,Inputs!$K$4:$AJ$4,0)))+SUMPRODUCT((Inputs!$C$5:$C$180=$B20)*Inputs!$D$5:$D$180*(((Inputs!$G$5:$G$180="moeda")+(Inputs!$G$5:$G$180="acoes"))*Inputs!$B$1+((Inputs!$G$5:$G$180&lt;&gt;"moeda")*(Inputs!$G$5:$G$180&lt;&gt;"acoes")))*INDEX(Inputs!$K$5:$AJ$180,0,MATCH(AF$2,Inputs!$K$4:$AJ$4,0)))+SUMPRODUCT((Inputs!$E$5:$E$180=$B20)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0" s="3" t="e">
        <f>AF20</f>
        <v>#N/A</v>
      </c>
      <c r="AH20" s="6">
        <f>IF(ISNA(MATCH(AH$2,Inputs!$K$4:$AJ$4,0)),NA(),IF(SUMPRODUCT((Inputs!$A$5:$A$180=$B20)*ISNUMBER(INDEX(Inputs!$K$5:$AJ$180,0,MATCH(AH$2,Inputs!$K$4:$AJ$4,0))))+SUMPRODUCT((Inputs!$C$5:$C$180=$B20)*ISNUMBER(INDEX(Inputs!$K$5:$AJ$180,0,MATCH(AH$2,Inputs!$K$4:$AJ$4,0))))+SUMPRODUCT((Inputs!$E$5:$E$180=$B20)*ISNUMBER(INDEX(Inputs!$K$5:$AJ$180,0,MATCH(AH$2,Inputs!$K$4:$AJ$4,0))))=0,NA(),SUMPRODUCT((Inputs!$A$5:$A$180=$B20)*Inputs!$B$5:$B$180*(((Inputs!$G$5:$G$180="moeda")+(Inputs!$G$5:$G$180="acoes"))*Inputs!$B$1+((Inputs!$G$5:$G$180&lt;&gt;"moeda")*(Inputs!$G$5:$G$180&lt;&gt;"acoes")))*INDEX(Inputs!$K$5:$AJ$180,0,MATCH(AH$2,Inputs!$K$4:$AJ$4,0)))+SUMPRODUCT((Inputs!$C$5:$C$180=$B20)*Inputs!$D$5:$D$180*(((Inputs!$G$5:$G$180="moeda")+(Inputs!$G$5:$G$180="acoes"))*Inputs!$B$1+((Inputs!$G$5:$G$180&lt;&gt;"moeda")*(Inputs!$G$5:$G$180&lt;&gt;"acoes")))*INDEX(Inputs!$K$5:$AJ$180,0,MATCH(AH$2,Inputs!$K$4:$AJ$4,0)))+SUMPRODUCT((Inputs!$E$5:$E$180=$B20)*Inputs!$F$5:$F$180*(((Inputs!$G$5:$G$180="moeda")+(Inputs!$G$5:$G$180="acoes"))*Inputs!$B$1+((Inputs!$G$5:$G$180&lt;&gt;"moeda")*(Inputs!$G$5:$G$180&lt;&gt;"acoes")))*INDEX(Inputs!$K$5:$AJ$180,0,MATCH(AH$2,Inputs!$K$4:$AJ$4,0)))))</f>
        <v>65.799</v>
      </c>
      <c r="AI20" s="6">
        <f>IF(ISNA(MATCH(AI$2,Inputs!$K$4:$AJ$4,0)),NA(),IF(SUMPRODUCT((Inputs!$A$5:$A$180=$B20)*ISNUMBER(INDEX(Inputs!$K$5:$AJ$180,0,MATCH(AI$2,Inputs!$K$4:$AJ$4,0))))+SUMPRODUCT((Inputs!$C$5:$C$180=$B20)*ISNUMBER(INDEX(Inputs!$K$5:$AJ$180,0,MATCH(AI$2,Inputs!$K$4:$AJ$4,0))))+SUMPRODUCT((Inputs!$E$5:$E$180=$B20)*ISNUMBER(INDEX(Inputs!$K$5:$AJ$180,0,MATCH(AI$2,Inputs!$K$4:$AJ$4,0))))=0,NA(),SUMPRODUCT((Inputs!$A$5:$A$180=$B20)*Inputs!$B$5:$B$180*(((Inputs!$G$5:$G$180="moeda")+(Inputs!$G$5:$G$180="acoes"))*Inputs!$B$1+((Inputs!$G$5:$G$180&lt;&gt;"moeda")*(Inputs!$G$5:$G$180&lt;&gt;"acoes")))*INDEX(Inputs!$K$5:$AJ$180,0,MATCH(AI$2,Inputs!$K$4:$AJ$4,0)))+SUMPRODUCT((Inputs!$C$5:$C$180=$B20)*Inputs!$D$5:$D$180*(((Inputs!$G$5:$G$180="moeda")+(Inputs!$G$5:$G$180="acoes"))*Inputs!$B$1+((Inputs!$G$5:$G$180&lt;&gt;"moeda")*(Inputs!$G$5:$G$180&lt;&gt;"acoes")))*INDEX(Inputs!$K$5:$AJ$180,0,MATCH(AI$2,Inputs!$K$4:$AJ$4,0)))+SUMPRODUCT((Inputs!$E$5:$E$180=$B20)*Inputs!$F$5:$F$180*(((Inputs!$G$5:$G$180="moeda")+(Inputs!$G$5:$G$180="acoes"))*Inputs!$B$1+((Inputs!$G$5:$G$180&lt;&gt;"moeda")*(Inputs!$G$5:$G$180&lt;&gt;"acoes")))*INDEX(Inputs!$K$5:$AJ$180,0,MATCH(AI$2,Inputs!$K$4:$AJ$4,0)))))</f>
        <v>79.68148466</v>
      </c>
      <c r="AJ20" s="6">
        <f>IF(ISNA(MATCH(AJ$2,Inputs!$K$4:$AJ$4,0)),NA(),IF(SUMPRODUCT((Inputs!$A$5:$A$180=$B20)*ISNUMBER(INDEX(Inputs!$K$5:$AJ$180,0,MATCH(AJ$2,Inputs!$K$4:$AJ$4,0))))+SUMPRODUCT((Inputs!$C$5:$C$180=$B20)*ISNUMBER(INDEX(Inputs!$K$5:$AJ$180,0,MATCH(AJ$2,Inputs!$K$4:$AJ$4,0))))+SUMPRODUCT((Inputs!$E$5:$E$180=$B20)*ISNUMBER(INDEX(Inputs!$K$5:$AJ$180,0,MATCH(AJ$2,Inputs!$K$4:$AJ$4,0))))=0,NA(),SUMPRODUCT((Inputs!$A$5:$A$180=$B20)*Inputs!$B$5:$B$180*(((Inputs!$G$5:$G$180="moeda")+(Inputs!$G$5:$G$180="acoes"))*Inputs!$B$1+((Inputs!$G$5:$G$180&lt;&gt;"moeda")*(Inputs!$G$5:$G$180&lt;&gt;"acoes")))*INDEX(Inputs!$K$5:$AJ$180,0,MATCH(AJ$2,Inputs!$K$4:$AJ$4,0)))+SUMPRODUCT((Inputs!$C$5:$C$180=$B20)*Inputs!$D$5:$D$180*(((Inputs!$G$5:$G$180="moeda")+(Inputs!$G$5:$G$180="acoes"))*Inputs!$B$1+((Inputs!$G$5:$G$180&lt;&gt;"moeda")*(Inputs!$G$5:$G$180&lt;&gt;"acoes")))*INDEX(Inputs!$K$5:$AJ$180,0,MATCH(AJ$2,Inputs!$K$4:$AJ$4,0)))+SUMPRODUCT((Inputs!$E$5:$E$180=$B20)*Inputs!$F$5:$F$180*(((Inputs!$G$5:$G$180="moeda")+(Inputs!$G$5:$G$180="acoes"))*Inputs!$B$1+((Inputs!$G$5:$G$180&lt;&gt;"moeda")*(Inputs!$G$5:$G$180&lt;&gt;"acoes")))*INDEX(Inputs!$K$5:$AJ$180,0,MATCH(AJ$2,Inputs!$K$4:$AJ$4,0)))))</f>
        <v>115.37307831</v>
      </c>
      <c r="AK20" s="6">
        <f>IF(ISNA(MATCH(AK$2,Inputs!$K$4:$AJ$4,0)),NA(),IF(SUMPRODUCT((Inputs!$A$5:$A$180=$B20)*ISNUMBER(INDEX(Inputs!$K$5:$AJ$180,0,MATCH(AK$2,Inputs!$K$4:$AJ$4,0))))+SUMPRODUCT((Inputs!$C$5:$C$180=$B20)*ISNUMBER(INDEX(Inputs!$K$5:$AJ$180,0,MATCH(AK$2,Inputs!$K$4:$AJ$4,0))))+SUMPRODUCT((Inputs!$E$5:$E$180=$B20)*ISNUMBER(INDEX(Inputs!$K$5:$AJ$180,0,MATCH(AK$2,Inputs!$K$4:$AJ$4,0))))=0,NA(),SUMPRODUCT((Inputs!$A$5:$A$180=$B20)*Inputs!$B$5:$B$180*(((Inputs!$G$5:$G$180="moeda")+(Inputs!$G$5:$G$180="acoes"))*Inputs!$B$1+((Inputs!$G$5:$G$180&lt;&gt;"moeda")*(Inputs!$G$5:$G$180&lt;&gt;"acoes")))*INDEX(Inputs!$K$5:$AJ$180,0,MATCH(AK$2,Inputs!$K$4:$AJ$4,0)))+SUMPRODUCT((Inputs!$C$5:$C$180=$B20)*Inputs!$D$5:$D$180*(((Inputs!$G$5:$G$180="moeda")+(Inputs!$G$5:$G$180="acoes"))*Inputs!$B$1+((Inputs!$G$5:$G$180&lt;&gt;"moeda")*(Inputs!$G$5:$G$180&lt;&gt;"acoes")))*INDEX(Inputs!$K$5:$AJ$180,0,MATCH(AK$2,Inputs!$K$4:$AJ$4,0)))+SUMPRODUCT((Inputs!$E$5:$E$180=$B20)*Inputs!$F$5:$F$180*(((Inputs!$G$5:$G$180="moeda")+(Inputs!$G$5:$G$180="acoes"))*Inputs!$B$1+((Inputs!$G$5:$G$180&lt;&gt;"moeda")*(Inputs!$G$5:$G$180&lt;&gt;"acoes")))*INDEX(Inputs!$K$5:$AJ$180,0,MATCH(AK$2,Inputs!$K$4:$AJ$4,0)))))</f>
        <v>112.80063567</v>
      </c>
      <c r="AL20" s="3">
        <f>AK20</f>
        <v>112.80063567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$180=$B21)*ISNUMBER(INDEX(Inputs!$K$5:$AJ$180,0,MATCH(D$2,Inputs!$K$4:$AJ$4,0))))+SUMPRODUCT((Inputs!$C$5:$C$180=$B21)*ISNUMBER(INDEX(Inputs!$K$5:$AJ$180,0,MATCH(D$2,Inputs!$K$4:$AJ$4,0))))+SUMPRODUCT((Inputs!$E$5:$E$180=$B21)*ISNUMBER(INDEX(Inputs!$K$5:$AJ$180,0,MATCH(D$2,Inputs!$K$4:$AJ$4,0))))=0,NA(),SUMPRODUCT((Inputs!$A$5:$A$180=$B21)*Inputs!$B$5:$B$180*(((Inputs!$G$5:$G$180="moeda")+(Inputs!$G$5:$G$180="acoes"))*Inputs!$B$1+((Inputs!$G$5:$G$180&lt;&gt;"moeda")*(Inputs!$G$5:$G$180&lt;&gt;"acoes")))*INDEX(Inputs!$K$5:$AJ$180,0,MATCH(D$2,Inputs!$K$4:$AJ$4,0)))+SUMPRODUCT((Inputs!$C$5:$C$180=$B21)*Inputs!$D$5:$D$180*(((Inputs!$G$5:$G$180="moeda")+(Inputs!$G$5:$G$180="acoes"))*Inputs!$B$1+((Inputs!$G$5:$G$180&lt;&gt;"moeda")*(Inputs!$G$5:$G$180&lt;&gt;"acoes")))*INDEX(Inputs!$K$5:$AJ$180,0,MATCH(D$2,Inputs!$K$4:$AJ$4,0)))+SUMPRODUCT((Inputs!$E$5:$E$180=$B21)*Inputs!$F$5:$F$180*(((Inputs!$G$5:$G$180="moeda")+(Inputs!$G$5:$G$180="acoes"))*Inputs!$B$1+((Inputs!$G$5:$G$180&lt;&gt;"moeda")*(Inputs!$G$5:$G$180&lt;&gt;"acoes")))*INDEX(Inputs!$K$5:$AJ$180,0,MATCH(D$2,Inputs!$K$4:$AJ$4,0)))))</f>
        <v>0</v>
      </c>
      <c r="E21" s="6">
        <f>IF(ISNA(MATCH(E$2,Inputs!$K$4:$AJ$4,0)),NA(),IF(SUMPRODUCT((Inputs!$A$5:$A$180=$B21)*ISNUMBER(INDEX(Inputs!$K$5:$AJ$180,0,MATCH(E$2,Inputs!$K$4:$AJ$4,0))))+SUMPRODUCT((Inputs!$C$5:$C$180=$B21)*ISNUMBER(INDEX(Inputs!$K$5:$AJ$180,0,MATCH(E$2,Inputs!$K$4:$AJ$4,0))))+SUMPRODUCT((Inputs!$E$5:$E$180=$B21)*ISNUMBER(INDEX(Inputs!$K$5:$AJ$180,0,MATCH(E$2,Inputs!$K$4:$AJ$4,0))))=0,NA(),SUMPRODUCT((Inputs!$A$5:$A$180=$B21)*Inputs!$B$5:$B$180*(((Inputs!$G$5:$G$180="moeda")+(Inputs!$G$5:$G$180="acoes"))*Inputs!$B$1+((Inputs!$G$5:$G$180&lt;&gt;"moeda")*(Inputs!$G$5:$G$180&lt;&gt;"acoes")))*INDEX(Inputs!$K$5:$AJ$180,0,MATCH(E$2,Inputs!$K$4:$AJ$4,0)))+SUMPRODUCT((Inputs!$C$5:$C$180=$B21)*Inputs!$D$5:$D$180*(((Inputs!$G$5:$G$180="moeda")+(Inputs!$G$5:$G$180="acoes"))*Inputs!$B$1+((Inputs!$G$5:$G$180&lt;&gt;"moeda")*(Inputs!$G$5:$G$180&lt;&gt;"acoes")))*INDEX(Inputs!$K$5:$AJ$180,0,MATCH(E$2,Inputs!$K$4:$AJ$4,0)))+SUMPRODUCT((Inputs!$E$5:$E$180=$B21)*Inputs!$F$5:$F$180*(((Inputs!$G$5:$G$180="moeda")+(Inputs!$G$5:$G$180="acoes"))*Inputs!$B$1+((Inputs!$G$5:$G$180&lt;&gt;"moeda")*(Inputs!$G$5:$G$180&lt;&gt;"acoes")))*INDEX(Inputs!$K$5:$AJ$180,0,MATCH(E$2,Inputs!$K$4:$AJ$4,0)))))</f>
        <v>0</v>
      </c>
      <c r="F21" s="6">
        <f>IF(ISNA(MATCH(F$2,Inputs!$K$4:$AJ$4,0)),NA(),IF(SUMPRODUCT((Inputs!$A$5:$A$180=$B21)*ISNUMBER(INDEX(Inputs!$K$5:$AJ$180,0,MATCH(F$2,Inputs!$K$4:$AJ$4,0))))+SUMPRODUCT((Inputs!$C$5:$C$180=$B21)*ISNUMBER(INDEX(Inputs!$K$5:$AJ$180,0,MATCH(F$2,Inputs!$K$4:$AJ$4,0))))+SUMPRODUCT((Inputs!$E$5:$E$180=$B21)*ISNUMBER(INDEX(Inputs!$K$5:$AJ$180,0,MATCH(F$2,Inputs!$K$4:$AJ$4,0))))=0,NA(),SUMPRODUCT((Inputs!$A$5:$A$180=$B21)*Inputs!$B$5:$B$180*(((Inputs!$G$5:$G$180="moeda")+(Inputs!$G$5:$G$180="acoes"))*Inputs!$B$1+((Inputs!$G$5:$G$180&lt;&gt;"moeda")*(Inputs!$G$5:$G$180&lt;&gt;"acoes")))*INDEX(Inputs!$K$5:$AJ$180,0,MATCH(F$2,Inputs!$K$4:$AJ$4,0)))+SUMPRODUCT((Inputs!$C$5:$C$180=$B21)*Inputs!$D$5:$D$180*(((Inputs!$G$5:$G$180="moeda")+(Inputs!$G$5:$G$180="acoes"))*Inputs!$B$1+((Inputs!$G$5:$G$180&lt;&gt;"moeda")*(Inputs!$G$5:$G$180&lt;&gt;"acoes")))*INDEX(Inputs!$K$5:$AJ$180,0,MATCH(F$2,Inputs!$K$4:$AJ$4,0)))+SUMPRODUCT((Inputs!$E$5:$E$180=$B21)*Inputs!$F$5:$F$180*(((Inputs!$G$5:$G$180="moeda")+(Inputs!$G$5:$G$180="acoes"))*Inputs!$B$1+((Inputs!$G$5:$G$180&lt;&gt;"moeda")*(Inputs!$G$5:$G$180&lt;&gt;"acoes")))*INDEX(Inputs!$K$5:$AJ$180,0,MATCH(F$2,Inputs!$K$4:$AJ$4,0)))))</f>
        <v>0</v>
      </c>
      <c r="G21" s="6">
        <f>IF(ISNA(MATCH(G$2,Inputs!$K$4:$AJ$4,0)),NA(),IF(SUMPRODUCT((Inputs!$A$5:$A$180=$B21)*ISNUMBER(INDEX(Inputs!$K$5:$AJ$180,0,MATCH(G$2,Inputs!$K$4:$AJ$4,0))))+SUMPRODUCT((Inputs!$C$5:$C$180=$B21)*ISNUMBER(INDEX(Inputs!$K$5:$AJ$180,0,MATCH(G$2,Inputs!$K$4:$AJ$4,0))))+SUMPRODUCT((Inputs!$E$5:$E$180=$B21)*ISNUMBER(INDEX(Inputs!$K$5:$AJ$180,0,MATCH(G$2,Inputs!$K$4:$AJ$4,0))))=0,NA(),SUMPRODUCT((Inputs!$A$5:$A$180=$B21)*Inputs!$B$5:$B$180*(((Inputs!$G$5:$G$180="moeda")+(Inputs!$G$5:$G$180="acoes"))*Inputs!$B$1+((Inputs!$G$5:$G$180&lt;&gt;"moeda")*(Inputs!$G$5:$G$180&lt;&gt;"acoes")))*INDEX(Inputs!$K$5:$AJ$180,0,MATCH(G$2,Inputs!$K$4:$AJ$4,0)))+SUMPRODUCT((Inputs!$C$5:$C$180=$B21)*Inputs!$D$5:$D$180*(((Inputs!$G$5:$G$180="moeda")+(Inputs!$G$5:$G$180="acoes"))*Inputs!$B$1+((Inputs!$G$5:$G$180&lt;&gt;"moeda")*(Inputs!$G$5:$G$180&lt;&gt;"acoes")))*INDEX(Inputs!$K$5:$AJ$180,0,MATCH(G$2,Inputs!$K$4:$AJ$4,0)))+SUMPRODUCT((Inputs!$E$5:$E$180=$B21)*Inputs!$F$5:$F$180*(((Inputs!$G$5:$G$180="moeda")+(Inputs!$G$5:$G$180="acoes"))*Inputs!$B$1+((Inputs!$G$5:$G$180&lt;&gt;"moeda")*(Inputs!$G$5:$G$180&lt;&gt;"acoes")))*INDEX(Inputs!$K$5:$AJ$180,0,MATCH(G$2,Inputs!$K$4:$AJ$4,0)))))</f>
        <v>0</v>
      </c>
      <c r="H21" s="3">
        <f>G21</f>
        <v>0</v>
      </c>
      <c r="I21" s="6">
        <f>IF(ISNA(MATCH(I$2,Inputs!$K$4:$AJ$4,0)),NA(),IF(SUMPRODUCT((Inputs!$A$5:$A$180=$B21)*ISNUMBER(INDEX(Inputs!$K$5:$AJ$180,0,MATCH(I$2,Inputs!$K$4:$AJ$4,0))))+SUMPRODUCT((Inputs!$C$5:$C$180=$B21)*ISNUMBER(INDEX(Inputs!$K$5:$AJ$180,0,MATCH(I$2,Inputs!$K$4:$AJ$4,0))))+SUMPRODUCT((Inputs!$E$5:$E$180=$B21)*ISNUMBER(INDEX(Inputs!$K$5:$AJ$180,0,MATCH(I$2,Inputs!$K$4:$AJ$4,0))))=0,NA(),SUMPRODUCT((Inputs!$A$5:$A$180=$B21)*Inputs!$B$5:$B$180*(((Inputs!$G$5:$G$180="moeda")+(Inputs!$G$5:$G$180="acoes"))*Inputs!$B$1+((Inputs!$G$5:$G$180&lt;&gt;"moeda")*(Inputs!$G$5:$G$180&lt;&gt;"acoes")))*INDEX(Inputs!$K$5:$AJ$180,0,MATCH(I$2,Inputs!$K$4:$AJ$4,0)))+SUMPRODUCT((Inputs!$C$5:$C$180=$B21)*Inputs!$D$5:$D$180*(((Inputs!$G$5:$G$180="moeda")+(Inputs!$G$5:$G$180="acoes"))*Inputs!$B$1+((Inputs!$G$5:$G$180&lt;&gt;"moeda")*(Inputs!$G$5:$G$180&lt;&gt;"acoes")))*INDEX(Inputs!$K$5:$AJ$180,0,MATCH(I$2,Inputs!$K$4:$AJ$4,0)))+SUMPRODUCT((Inputs!$E$5:$E$180=$B21)*Inputs!$F$5:$F$180*(((Inputs!$G$5:$G$180="moeda")+(Inputs!$G$5:$G$180="acoes"))*Inputs!$B$1+((Inputs!$G$5:$G$180&lt;&gt;"moeda")*(Inputs!$G$5:$G$180&lt;&gt;"acoes")))*INDEX(Inputs!$K$5:$AJ$180,0,MATCH(I$2,Inputs!$K$4:$AJ$4,0)))))</f>
        <v>0</v>
      </c>
      <c r="J21" s="6">
        <f>IF(ISNA(MATCH(J$2,Inputs!$K$4:$AJ$4,0)),NA(),IF(SUMPRODUCT((Inputs!$A$5:$A$180=$B21)*ISNUMBER(INDEX(Inputs!$K$5:$AJ$180,0,MATCH(J$2,Inputs!$K$4:$AJ$4,0))))+SUMPRODUCT((Inputs!$C$5:$C$180=$B21)*ISNUMBER(INDEX(Inputs!$K$5:$AJ$180,0,MATCH(J$2,Inputs!$K$4:$AJ$4,0))))+SUMPRODUCT((Inputs!$E$5:$E$180=$B21)*ISNUMBER(INDEX(Inputs!$K$5:$AJ$180,0,MATCH(J$2,Inputs!$K$4:$AJ$4,0))))=0,NA(),SUMPRODUCT((Inputs!$A$5:$A$180=$B21)*Inputs!$B$5:$B$180*(((Inputs!$G$5:$G$180="moeda")+(Inputs!$G$5:$G$180="acoes"))*Inputs!$B$1+((Inputs!$G$5:$G$180&lt;&gt;"moeda")*(Inputs!$G$5:$G$180&lt;&gt;"acoes")))*INDEX(Inputs!$K$5:$AJ$180,0,MATCH(J$2,Inputs!$K$4:$AJ$4,0)))+SUMPRODUCT((Inputs!$C$5:$C$180=$B21)*Inputs!$D$5:$D$180*(((Inputs!$G$5:$G$180="moeda")+(Inputs!$G$5:$G$180="acoes"))*Inputs!$B$1+((Inputs!$G$5:$G$180&lt;&gt;"moeda")*(Inputs!$G$5:$G$180&lt;&gt;"acoes")))*INDEX(Inputs!$K$5:$AJ$180,0,MATCH(J$2,Inputs!$K$4:$AJ$4,0)))+SUMPRODUCT((Inputs!$E$5:$E$180=$B21)*Inputs!$F$5:$F$180*(((Inputs!$G$5:$G$180="moeda")+(Inputs!$G$5:$G$180="acoes"))*Inputs!$B$1+((Inputs!$G$5:$G$180&lt;&gt;"moeda")*(Inputs!$G$5:$G$180&lt;&gt;"acoes")))*INDEX(Inputs!$K$5:$AJ$180,0,MATCH(J$2,Inputs!$K$4:$AJ$4,0)))))</f>
        <v>0</v>
      </c>
      <c r="K21" s="6">
        <f>IF(ISNA(MATCH(K$2,Inputs!$K$4:$AJ$4,0)),NA(),IF(SUMPRODUCT((Inputs!$A$5:$A$180=$B21)*ISNUMBER(INDEX(Inputs!$K$5:$AJ$180,0,MATCH(K$2,Inputs!$K$4:$AJ$4,0))))+SUMPRODUCT((Inputs!$C$5:$C$180=$B21)*ISNUMBER(INDEX(Inputs!$K$5:$AJ$180,0,MATCH(K$2,Inputs!$K$4:$AJ$4,0))))+SUMPRODUCT((Inputs!$E$5:$E$180=$B21)*ISNUMBER(INDEX(Inputs!$K$5:$AJ$180,0,MATCH(K$2,Inputs!$K$4:$AJ$4,0))))=0,NA(),SUMPRODUCT((Inputs!$A$5:$A$180=$B21)*Inputs!$B$5:$B$180*(((Inputs!$G$5:$G$180="moeda")+(Inputs!$G$5:$G$180="acoes"))*Inputs!$B$1+((Inputs!$G$5:$G$180&lt;&gt;"moeda")*(Inputs!$G$5:$G$180&lt;&gt;"acoes")))*INDEX(Inputs!$K$5:$AJ$180,0,MATCH(K$2,Inputs!$K$4:$AJ$4,0)))+SUMPRODUCT((Inputs!$C$5:$C$180=$B21)*Inputs!$D$5:$D$180*(((Inputs!$G$5:$G$180="moeda")+(Inputs!$G$5:$G$180="acoes"))*Inputs!$B$1+((Inputs!$G$5:$G$180&lt;&gt;"moeda")*(Inputs!$G$5:$G$180&lt;&gt;"acoes")))*INDEX(Inputs!$K$5:$AJ$180,0,MATCH(K$2,Inputs!$K$4:$AJ$4,0)))+SUMPRODUCT((Inputs!$E$5:$E$180=$B21)*Inputs!$F$5:$F$180*(((Inputs!$G$5:$G$180="moeda")+(Inputs!$G$5:$G$180="acoes"))*Inputs!$B$1+((Inputs!$G$5:$G$180&lt;&gt;"moeda")*(Inputs!$G$5:$G$180&lt;&gt;"acoes")))*INDEX(Inputs!$K$5:$AJ$180,0,MATCH(K$2,Inputs!$K$4:$AJ$4,0)))))</f>
        <v>0</v>
      </c>
      <c r="L21" s="6">
        <f>IF(ISNA(MATCH(L$2,Inputs!$K$4:$AJ$4,0)),NA(),IF(SUMPRODUCT((Inputs!$A$5:$A$180=$B21)*ISNUMBER(INDEX(Inputs!$K$5:$AJ$180,0,MATCH(L$2,Inputs!$K$4:$AJ$4,0))))+SUMPRODUCT((Inputs!$C$5:$C$180=$B21)*ISNUMBER(INDEX(Inputs!$K$5:$AJ$180,0,MATCH(L$2,Inputs!$K$4:$AJ$4,0))))+SUMPRODUCT((Inputs!$E$5:$E$180=$B21)*ISNUMBER(INDEX(Inputs!$K$5:$AJ$180,0,MATCH(L$2,Inputs!$K$4:$AJ$4,0))))=0,NA(),SUMPRODUCT((Inputs!$A$5:$A$180=$B21)*Inputs!$B$5:$B$180*(((Inputs!$G$5:$G$180="moeda")+(Inputs!$G$5:$G$180="acoes"))*Inputs!$B$1+((Inputs!$G$5:$G$180&lt;&gt;"moeda")*(Inputs!$G$5:$G$180&lt;&gt;"acoes")))*INDEX(Inputs!$K$5:$AJ$180,0,MATCH(L$2,Inputs!$K$4:$AJ$4,0)))+SUMPRODUCT((Inputs!$C$5:$C$180=$B21)*Inputs!$D$5:$D$180*(((Inputs!$G$5:$G$180="moeda")+(Inputs!$G$5:$G$180="acoes"))*Inputs!$B$1+((Inputs!$G$5:$G$180&lt;&gt;"moeda")*(Inputs!$G$5:$G$180&lt;&gt;"acoes")))*INDEX(Inputs!$K$5:$AJ$180,0,MATCH(L$2,Inputs!$K$4:$AJ$4,0)))+SUMPRODUCT((Inputs!$E$5:$E$180=$B21)*Inputs!$F$5:$F$180*(((Inputs!$G$5:$G$180="moeda")+(Inputs!$G$5:$G$180="acoes"))*Inputs!$B$1+((Inputs!$G$5:$G$180&lt;&gt;"moeda")*(Inputs!$G$5:$G$180&lt;&gt;"acoes")))*INDEX(Inputs!$K$5:$AJ$180,0,MATCH(L$2,Inputs!$K$4:$AJ$4,0)))))</f>
        <v>0</v>
      </c>
      <c r="M21" s="3">
        <f>L21</f>
        <v>0</v>
      </c>
      <c r="N21" s="6">
        <f>IF(ISNA(MATCH(N$2,Inputs!$K$4:$AJ$4,0)),NA(),IF(SUMPRODUCT((Inputs!$A$5:$A$180=$B21)*ISNUMBER(INDEX(Inputs!$K$5:$AJ$180,0,MATCH(N$2,Inputs!$K$4:$AJ$4,0))))+SUMPRODUCT((Inputs!$C$5:$C$180=$B21)*ISNUMBER(INDEX(Inputs!$K$5:$AJ$180,0,MATCH(N$2,Inputs!$K$4:$AJ$4,0))))+SUMPRODUCT((Inputs!$E$5:$E$180=$B21)*ISNUMBER(INDEX(Inputs!$K$5:$AJ$180,0,MATCH(N$2,Inputs!$K$4:$AJ$4,0))))=0,NA(),SUMPRODUCT((Inputs!$A$5:$A$180=$B21)*Inputs!$B$5:$B$180*(((Inputs!$G$5:$G$180="moeda")+(Inputs!$G$5:$G$180="acoes"))*Inputs!$B$1+((Inputs!$G$5:$G$180&lt;&gt;"moeda")*(Inputs!$G$5:$G$180&lt;&gt;"acoes")))*INDEX(Inputs!$K$5:$AJ$180,0,MATCH(N$2,Inputs!$K$4:$AJ$4,0)))+SUMPRODUCT((Inputs!$C$5:$C$180=$B21)*Inputs!$D$5:$D$180*(((Inputs!$G$5:$G$180="moeda")+(Inputs!$G$5:$G$180="acoes"))*Inputs!$B$1+((Inputs!$G$5:$G$180&lt;&gt;"moeda")*(Inputs!$G$5:$G$180&lt;&gt;"acoes")))*INDEX(Inputs!$K$5:$AJ$180,0,MATCH(N$2,Inputs!$K$4:$AJ$4,0)))+SUMPRODUCT((Inputs!$E$5:$E$180=$B21)*Inputs!$F$5:$F$180*(((Inputs!$G$5:$G$180="moeda")+(Inputs!$G$5:$G$180="acoes"))*Inputs!$B$1+((Inputs!$G$5:$G$180&lt;&gt;"moeda")*(Inputs!$G$5:$G$180&lt;&gt;"acoes")))*INDEX(Inputs!$K$5:$AJ$180,0,MATCH(N$2,Inputs!$K$4:$AJ$4,0)))))</f>
        <v>0</v>
      </c>
      <c r="O21" s="6">
        <f>IF(ISNA(MATCH(O$2,Inputs!$K$4:$AJ$4,0)),NA(),IF(SUMPRODUCT((Inputs!$A$5:$A$180=$B21)*ISNUMBER(INDEX(Inputs!$K$5:$AJ$180,0,MATCH(O$2,Inputs!$K$4:$AJ$4,0))))+SUMPRODUCT((Inputs!$C$5:$C$180=$B21)*ISNUMBER(INDEX(Inputs!$K$5:$AJ$180,0,MATCH(O$2,Inputs!$K$4:$AJ$4,0))))+SUMPRODUCT((Inputs!$E$5:$E$180=$B21)*ISNUMBER(INDEX(Inputs!$K$5:$AJ$180,0,MATCH(O$2,Inputs!$K$4:$AJ$4,0))))=0,NA(),SUMPRODUCT((Inputs!$A$5:$A$180=$B21)*Inputs!$B$5:$B$180*(((Inputs!$G$5:$G$180="moeda")+(Inputs!$G$5:$G$180="acoes"))*Inputs!$B$1+((Inputs!$G$5:$G$180&lt;&gt;"moeda")*(Inputs!$G$5:$G$180&lt;&gt;"acoes")))*INDEX(Inputs!$K$5:$AJ$180,0,MATCH(O$2,Inputs!$K$4:$AJ$4,0)))+SUMPRODUCT((Inputs!$C$5:$C$180=$B21)*Inputs!$D$5:$D$180*(((Inputs!$G$5:$G$180="moeda")+(Inputs!$G$5:$G$180="acoes"))*Inputs!$B$1+((Inputs!$G$5:$G$180&lt;&gt;"moeda")*(Inputs!$G$5:$G$180&lt;&gt;"acoes")))*INDEX(Inputs!$K$5:$AJ$180,0,MATCH(O$2,Inputs!$K$4:$AJ$4,0)))+SUMPRODUCT((Inputs!$E$5:$E$180=$B21)*Inputs!$F$5:$F$180*(((Inputs!$G$5:$G$180="moeda")+(Inputs!$G$5:$G$180="acoes"))*Inputs!$B$1+((Inputs!$G$5:$G$180&lt;&gt;"moeda")*(Inputs!$G$5:$G$180&lt;&gt;"acoes")))*INDEX(Inputs!$K$5:$AJ$180,0,MATCH(O$2,Inputs!$K$4:$AJ$4,0)))))</f>
        <v>0</v>
      </c>
      <c r="P21" s="6">
        <f>IF(ISNA(MATCH(P$2,Inputs!$K$4:$AJ$4,0)),NA(),IF(SUMPRODUCT((Inputs!$A$5:$A$180=$B21)*ISNUMBER(INDEX(Inputs!$K$5:$AJ$180,0,MATCH(P$2,Inputs!$K$4:$AJ$4,0))))+SUMPRODUCT((Inputs!$C$5:$C$180=$B21)*ISNUMBER(INDEX(Inputs!$K$5:$AJ$180,0,MATCH(P$2,Inputs!$K$4:$AJ$4,0))))+SUMPRODUCT((Inputs!$E$5:$E$180=$B21)*ISNUMBER(INDEX(Inputs!$K$5:$AJ$180,0,MATCH(P$2,Inputs!$K$4:$AJ$4,0))))=0,NA(),SUMPRODUCT((Inputs!$A$5:$A$180=$B21)*Inputs!$B$5:$B$180*(((Inputs!$G$5:$G$180="moeda")+(Inputs!$G$5:$G$180="acoes"))*Inputs!$B$1+((Inputs!$G$5:$G$180&lt;&gt;"moeda")*(Inputs!$G$5:$G$180&lt;&gt;"acoes")))*INDEX(Inputs!$K$5:$AJ$180,0,MATCH(P$2,Inputs!$K$4:$AJ$4,0)))+SUMPRODUCT((Inputs!$C$5:$C$180=$B21)*Inputs!$D$5:$D$180*(((Inputs!$G$5:$G$180="moeda")+(Inputs!$G$5:$G$180="acoes"))*Inputs!$B$1+((Inputs!$G$5:$G$180&lt;&gt;"moeda")*(Inputs!$G$5:$G$180&lt;&gt;"acoes")))*INDEX(Inputs!$K$5:$AJ$180,0,MATCH(P$2,Inputs!$K$4:$AJ$4,0)))+SUMPRODUCT((Inputs!$E$5:$E$180=$B21)*Inputs!$F$5:$F$180*(((Inputs!$G$5:$G$180="moeda")+(Inputs!$G$5:$G$180="acoes"))*Inputs!$B$1+((Inputs!$G$5:$G$180&lt;&gt;"moeda")*(Inputs!$G$5:$G$180&lt;&gt;"acoes")))*INDEX(Inputs!$K$5:$AJ$180,0,MATCH(P$2,Inputs!$K$4:$AJ$4,0)))))</f>
        <v>0</v>
      </c>
      <c r="Q21" s="6">
        <f>IF(ISNA(MATCH(Q$2,Inputs!$K$4:$AJ$4,0)),NA(),IF(SUMPRODUCT((Inputs!$A$5:$A$180=$B21)*ISNUMBER(INDEX(Inputs!$K$5:$AJ$180,0,MATCH(Q$2,Inputs!$K$4:$AJ$4,0))))+SUMPRODUCT((Inputs!$C$5:$C$180=$B21)*ISNUMBER(INDEX(Inputs!$K$5:$AJ$180,0,MATCH(Q$2,Inputs!$K$4:$AJ$4,0))))+SUMPRODUCT((Inputs!$E$5:$E$180=$B21)*ISNUMBER(INDEX(Inputs!$K$5:$AJ$180,0,MATCH(Q$2,Inputs!$K$4:$AJ$4,0))))=0,NA(),SUMPRODUCT((Inputs!$A$5:$A$180=$B21)*Inputs!$B$5:$B$180*(((Inputs!$G$5:$G$180="moeda")+(Inputs!$G$5:$G$180="acoes"))*Inputs!$B$1+((Inputs!$G$5:$G$180&lt;&gt;"moeda")*(Inputs!$G$5:$G$180&lt;&gt;"acoes")))*INDEX(Inputs!$K$5:$AJ$180,0,MATCH(Q$2,Inputs!$K$4:$AJ$4,0)))+SUMPRODUCT((Inputs!$C$5:$C$180=$B21)*Inputs!$D$5:$D$180*(((Inputs!$G$5:$G$180="moeda")+(Inputs!$G$5:$G$180="acoes"))*Inputs!$B$1+((Inputs!$G$5:$G$180&lt;&gt;"moeda")*(Inputs!$G$5:$G$180&lt;&gt;"acoes")))*INDEX(Inputs!$K$5:$AJ$180,0,MATCH(Q$2,Inputs!$K$4:$AJ$4,0)))+SUMPRODUCT((Inputs!$E$5:$E$180=$B21)*Inputs!$F$5:$F$180*(((Inputs!$G$5:$G$180="moeda")+(Inputs!$G$5:$G$180="acoes"))*Inputs!$B$1+((Inputs!$G$5:$G$180&lt;&gt;"moeda")*(Inputs!$G$5:$G$180&lt;&gt;"acoes")))*INDEX(Inputs!$K$5:$AJ$180,0,MATCH(Q$2,Inputs!$K$4:$AJ$4,0)))))</f>
        <v>0</v>
      </c>
      <c r="R21" s="3">
        <f>Q21</f>
        <v>0</v>
      </c>
      <c r="S21" s="6">
        <f>IF(ISNA(MATCH(S$2,Inputs!$K$4:$AJ$4,0)),NA(),IF(SUMPRODUCT((Inputs!$A$5:$A$180=$B21)*ISNUMBER(INDEX(Inputs!$K$5:$AJ$180,0,MATCH(S$2,Inputs!$K$4:$AJ$4,0))))+SUMPRODUCT((Inputs!$C$5:$C$180=$B21)*ISNUMBER(INDEX(Inputs!$K$5:$AJ$180,0,MATCH(S$2,Inputs!$K$4:$AJ$4,0))))+SUMPRODUCT((Inputs!$E$5:$E$180=$B21)*ISNUMBER(INDEX(Inputs!$K$5:$AJ$180,0,MATCH(S$2,Inputs!$K$4:$AJ$4,0))))=0,NA(),SUMPRODUCT((Inputs!$A$5:$A$180=$B21)*Inputs!$B$5:$B$180*(((Inputs!$G$5:$G$180="moeda")+(Inputs!$G$5:$G$180="acoes"))*Inputs!$B$1+((Inputs!$G$5:$G$180&lt;&gt;"moeda")*(Inputs!$G$5:$G$180&lt;&gt;"acoes")))*INDEX(Inputs!$K$5:$AJ$180,0,MATCH(S$2,Inputs!$K$4:$AJ$4,0)))+SUMPRODUCT((Inputs!$C$5:$C$180=$B21)*Inputs!$D$5:$D$180*(((Inputs!$G$5:$G$180="moeda")+(Inputs!$G$5:$G$180="acoes"))*Inputs!$B$1+((Inputs!$G$5:$G$180&lt;&gt;"moeda")*(Inputs!$G$5:$G$180&lt;&gt;"acoes")))*INDEX(Inputs!$K$5:$AJ$180,0,MATCH(S$2,Inputs!$K$4:$AJ$4,0)))+SUMPRODUCT((Inputs!$E$5:$E$180=$B21)*Inputs!$F$5:$F$180*(((Inputs!$G$5:$G$180="moeda")+(Inputs!$G$5:$G$180="acoes"))*Inputs!$B$1+((Inputs!$G$5:$G$180&lt;&gt;"moeda")*(Inputs!$G$5:$G$180&lt;&gt;"acoes")))*INDEX(Inputs!$K$5:$AJ$180,0,MATCH(S$2,Inputs!$K$4:$AJ$4,0)))))</f>
        <v>0</v>
      </c>
      <c r="T21" s="6">
        <f>IF(ISNA(MATCH(T$2,Inputs!$K$4:$AJ$4,0)),NA(),IF(SUMPRODUCT((Inputs!$A$5:$A$180=$B21)*ISNUMBER(INDEX(Inputs!$K$5:$AJ$180,0,MATCH(T$2,Inputs!$K$4:$AJ$4,0))))+SUMPRODUCT((Inputs!$C$5:$C$180=$B21)*ISNUMBER(INDEX(Inputs!$K$5:$AJ$180,0,MATCH(T$2,Inputs!$K$4:$AJ$4,0))))+SUMPRODUCT((Inputs!$E$5:$E$180=$B21)*ISNUMBER(INDEX(Inputs!$K$5:$AJ$180,0,MATCH(T$2,Inputs!$K$4:$AJ$4,0))))=0,NA(),SUMPRODUCT((Inputs!$A$5:$A$180=$B21)*Inputs!$B$5:$B$180*(((Inputs!$G$5:$G$180="moeda")+(Inputs!$G$5:$G$180="acoes"))*Inputs!$B$1+((Inputs!$G$5:$G$180&lt;&gt;"moeda")*(Inputs!$G$5:$G$180&lt;&gt;"acoes")))*INDEX(Inputs!$K$5:$AJ$180,0,MATCH(T$2,Inputs!$K$4:$AJ$4,0)))+SUMPRODUCT((Inputs!$C$5:$C$180=$B21)*Inputs!$D$5:$D$180*(((Inputs!$G$5:$G$180="moeda")+(Inputs!$G$5:$G$180="acoes"))*Inputs!$B$1+((Inputs!$G$5:$G$180&lt;&gt;"moeda")*(Inputs!$G$5:$G$180&lt;&gt;"acoes")))*INDEX(Inputs!$K$5:$AJ$180,0,MATCH(T$2,Inputs!$K$4:$AJ$4,0)))+SUMPRODUCT((Inputs!$E$5:$E$180=$B21)*Inputs!$F$5:$F$180*(((Inputs!$G$5:$G$180="moeda")+(Inputs!$G$5:$G$180="acoes"))*Inputs!$B$1+((Inputs!$G$5:$G$180&lt;&gt;"moeda")*(Inputs!$G$5:$G$180&lt;&gt;"acoes")))*INDEX(Inputs!$K$5:$AJ$180,0,MATCH(T$2,Inputs!$K$4:$AJ$4,0)))))</f>
        <v>0</v>
      </c>
      <c r="U21" s="6">
        <f>IF(ISNA(MATCH(U$2,Inputs!$K$4:$AJ$4,0)),NA(),IF(SUMPRODUCT((Inputs!$A$5:$A$180=$B21)*ISNUMBER(INDEX(Inputs!$K$5:$AJ$180,0,MATCH(U$2,Inputs!$K$4:$AJ$4,0))))+SUMPRODUCT((Inputs!$C$5:$C$180=$B21)*ISNUMBER(INDEX(Inputs!$K$5:$AJ$180,0,MATCH(U$2,Inputs!$K$4:$AJ$4,0))))+SUMPRODUCT((Inputs!$E$5:$E$180=$B21)*ISNUMBER(INDEX(Inputs!$K$5:$AJ$180,0,MATCH(U$2,Inputs!$K$4:$AJ$4,0))))=0,NA(),SUMPRODUCT((Inputs!$A$5:$A$180=$B21)*Inputs!$B$5:$B$180*(((Inputs!$G$5:$G$180="moeda")+(Inputs!$G$5:$G$180="acoes"))*Inputs!$B$1+((Inputs!$G$5:$G$180&lt;&gt;"moeda")*(Inputs!$G$5:$G$180&lt;&gt;"acoes")))*INDEX(Inputs!$K$5:$AJ$180,0,MATCH(U$2,Inputs!$K$4:$AJ$4,0)))+SUMPRODUCT((Inputs!$C$5:$C$180=$B21)*Inputs!$D$5:$D$180*(((Inputs!$G$5:$G$180="moeda")+(Inputs!$G$5:$G$180="acoes"))*Inputs!$B$1+((Inputs!$G$5:$G$180&lt;&gt;"moeda")*(Inputs!$G$5:$G$180&lt;&gt;"acoes")))*INDEX(Inputs!$K$5:$AJ$180,0,MATCH(U$2,Inputs!$K$4:$AJ$4,0)))+SUMPRODUCT((Inputs!$E$5:$E$180=$B21)*Inputs!$F$5:$F$180*(((Inputs!$G$5:$G$180="moeda")+(Inputs!$G$5:$G$180="acoes"))*Inputs!$B$1+((Inputs!$G$5:$G$180&lt;&gt;"moeda")*(Inputs!$G$5:$G$180&lt;&gt;"acoes")))*INDEX(Inputs!$K$5:$AJ$180,0,MATCH(U$2,Inputs!$K$4:$AJ$4,0)))))</f>
        <v>0</v>
      </c>
      <c r="V21" s="6">
        <f>IF(ISNA(MATCH(V$2,Inputs!$K$4:$AJ$4,0)),NA(),IF(SUMPRODUCT((Inputs!$A$5:$A$180=$B21)*ISNUMBER(INDEX(Inputs!$K$5:$AJ$180,0,MATCH(V$2,Inputs!$K$4:$AJ$4,0))))+SUMPRODUCT((Inputs!$C$5:$C$180=$B21)*ISNUMBER(INDEX(Inputs!$K$5:$AJ$180,0,MATCH(V$2,Inputs!$K$4:$AJ$4,0))))+SUMPRODUCT((Inputs!$E$5:$E$180=$B21)*ISNUMBER(INDEX(Inputs!$K$5:$AJ$180,0,MATCH(V$2,Inputs!$K$4:$AJ$4,0))))=0,NA(),SUMPRODUCT((Inputs!$A$5:$A$180=$B21)*Inputs!$B$5:$B$180*(((Inputs!$G$5:$G$180="moeda")+(Inputs!$G$5:$G$180="acoes"))*Inputs!$B$1+((Inputs!$G$5:$G$180&lt;&gt;"moeda")*(Inputs!$G$5:$G$180&lt;&gt;"acoes")))*INDEX(Inputs!$K$5:$AJ$180,0,MATCH(V$2,Inputs!$K$4:$AJ$4,0)))+SUMPRODUCT((Inputs!$C$5:$C$180=$B21)*Inputs!$D$5:$D$180*(((Inputs!$G$5:$G$180="moeda")+(Inputs!$G$5:$G$180="acoes"))*Inputs!$B$1+((Inputs!$G$5:$G$180&lt;&gt;"moeda")*(Inputs!$G$5:$G$180&lt;&gt;"acoes")))*INDEX(Inputs!$K$5:$AJ$180,0,MATCH(V$2,Inputs!$K$4:$AJ$4,0)))+SUMPRODUCT((Inputs!$E$5:$E$180=$B21)*Inputs!$F$5:$F$180*(((Inputs!$G$5:$G$180="moeda")+(Inputs!$G$5:$G$180="acoes"))*Inputs!$B$1+((Inputs!$G$5:$G$180&lt;&gt;"moeda")*(Inputs!$G$5:$G$180&lt;&gt;"acoes")))*INDEX(Inputs!$K$5:$AJ$180,0,MATCH(V$2,Inputs!$K$4:$AJ$4,0)))))</f>
        <v>0</v>
      </c>
      <c r="W21" s="3">
        <f>V21</f>
        <v>0</v>
      </c>
      <c r="X21" s="6">
        <f>IF(ISNA(MATCH(X$2,Inputs!$K$4:$AJ$4,0)),NA(),IF(SUMPRODUCT((Inputs!$A$5:$A$180=$B21)*ISNUMBER(INDEX(Inputs!$K$5:$AJ$180,0,MATCH(X$2,Inputs!$K$4:$AJ$4,0))))+SUMPRODUCT((Inputs!$C$5:$C$180=$B21)*ISNUMBER(INDEX(Inputs!$K$5:$AJ$180,0,MATCH(X$2,Inputs!$K$4:$AJ$4,0))))+SUMPRODUCT((Inputs!$E$5:$E$180=$B21)*ISNUMBER(INDEX(Inputs!$K$5:$AJ$180,0,MATCH(X$2,Inputs!$K$4:$AJ$4,0))))=0,NA(),SUMPRODUCT((Inputs!$A$5:$A$180=$B21)*Inputs!$B$5:$B$180*(((Inputs!$G$5:$G$180="moeda")+(Inputs!$G$5:$G$180="acoes"))*Inputs!$B$1+((Inputs!$G$5:$G$180&lt;&gt;"moeda")*(Inputs!$G$5:$G$180&lt;&gt;"acoes")))*INDEX(Inputs!$K$5:$AJ$180,0,MATCH(X$2,Inputs!$K$4:$AJ$4,0)))+SUMPRODUCT((Inputs!$C$5:$C$180=$B21)*Inputs!$D$5:$D$180*(((Inputs!$G$5:$G$180="moeda")+(Inputs!$G$5:$G$180="acoes"))*Inputs!$B$1+((Inputs!$G$5:$G$180&lt;&gt;"moeda")*(Inputs!$G$5:$G$180&lt;&gt;"acoes")))*INDEX(Inputs!$K$5:$AJ$180,0,MATCH(X$2,Inputs!$K$4:$AJ$4,0)))+SUMPRODUCT((Inputs!$E$5:$E$180=$B21)*Inputs!$F$5:$F$180*(((Inputs!$G$5:$G$180="moeda")+(Inputs!$G$5:$G$180="acoes"))*Inputs!$B$1+((Inputs!$G$5:$G$180&lt;&gt;"moeda")*(Inputs!$G$5:$G$180&lt;&gt;"acoes")))*INDEX(Inputs!$K$5:$AJ$180,0,MATCH(X$2,Inputs!$K$4:$AJ$4,0)))))</f>
        <v>0</v>
      </c>
      <c r="Y21" s="6">
        <f>IF(ISNA(MATCH(Y$2,Inputs!$K$4:$AJ$4,0)),NA(),IF(SUMPRODUCT((Inputs!$A$5:$A$180=$B21)*ISNUMBER(INDEX(Inputs!$K$5:$AJ$180,0,MATCH(Y$2,Inputs!$K$4:$AJ$4,0))))+SUMPRODUCT((Inputs!$C$5:$C$180=$B21)*ISNUMBER(INDEX(Inputs!$K$5:$AJ$180,0,MATCH(Y$2,Inputs!$K$4:$AJ$4,0))))+SUMPRODUCT((Inputs!$E$5:$E$180=$B21)*ISNUMBER(INDEX(Inputs!$K$5:$AJ$180,0,MATCH(Y$2,Inputs!$K$4:$AJ$4,0))))=0,NA(),SUMPRODUCT((Inputs!$A$5:$A$180=$B21)*Inputs!$B$5:$B$180*(((Inputs!$G$5:$G$180="moeda")+(Inputs!$G$5:$G$180="acoes"))*Inputs!$B$1+((Inputs!$G$5:$G$180&lt;&gt;"moeda")*(Inputs!$G$5:$G$180&lt;&gt;"acoes")))*INDEX(Inputs!$K$5:$AJ$180,0,MATCH(Y$2,Inputs!$K$4:$AJ$4,0)))+SUMPRODUCT((Inputs!$C$5:$C$180=$B21)*Inputs!$D$5:$D$180*(((Inputs!$G$5:$G$180="moeda")+(Inputs!$G$5:$G$180="acoes"))*Inputs!$B$1+((Inputs!$G$5:$G$180&lt;&gt;"moeda")*(Inputs!$G$5:$G$180&lt;&gt;"acoes")))*INDEX(Inputs!$K$5:$AJ$180,0,MATCH(Y$2,Inputs!$K$4:$AJ$4,0)))+SUMPRODUCT((Inputs!$E$5:$E$180=$B21)*Inputs!$F$5:$F$180*(((Inputs!$G$5:$G$180="moeda")+(Inputs!$G$5:$G$180="acoes"))*Inputs!$B$1+((Inputs!$G$5:$G$180&lt;&gt;"moeda")*(Inputs!$G$5:$G$180&lt;&gt;"acoes")))*INDEX(Inputs!$K$5:$AJ$180,0,MATCH(Y$2,Inputs!$K$4:$AJ$4,0)))))</f>
        <v>0</v>
      </c>
      <c r="Z21" s="6">
        <f>IF(ISNA(MATCH(Z$2,Inputs!$K$4:$AJ$4,0)),NA(),IF(SUMPRODUCT((Inputs!$A$5:$A$180=$B21)*ISNUMBER(INDEX(Inputs!$K$5:$AJ$180,0,MATCH(Z$2,Inputs!$K$4:$AJ$4,0))))+SUMPRODUCT((Inputs!$C$5:$C$180=$B21)*ISNUMBER(INDEX(Inputs!$K$5:$AJ$180,0,MATCH(Z$2,Inputs!$K$4:$AJ$4,0))))+SUMPRODUCT((Inputs!$E$5:$E$180=$B21)*ISNUMBER(INDEX(Inputs!$K$5:$AJ$180,0,MATCH(Z$2,Inputs!$K$4:$AJ$4,0))))=0,NA(),SUMPRODUCT((Inputs!$A$5:$A$180=$B21)*Inputs!$B$5:$B$180*(((Inputs!$G$5:$G$180="moeda")+(Inputs!$G$5:$G$180="acoes"))*Inputs!$B$1+((Inputs!$G$5:$G$180&lt;&gt;"moeda")*(Inputs!$G$5:$G$180&lt;&gt;"acoes")))*INDEX(Inputs!$K$5:$AJ$180,0,MATCH(Z$2,Inputs!$K$4:$AJ$4,0)))+SUMPRODUCT((Inputs!$C$5:$C$180=$B21)*Inputs!$D$5:$D$180*(((Inputs!$G$5:$G$180="moeda")+(Inputs!$G$5:$G$180="acoes"))*Inputs!$B$1+((Inputs!$G$5:$G$180&lt;&gt;"moeda")*(Inputs!$G$5:$G$180&lt;&gt;"acoes")))*INDEX(Inputs!$K$5:$AJ$180,0,MATCH(Z$2,Inputs!$K$4:$AJ$4,0)))+SUMPRODUCT((Inputs!$E$5:$E$180=$B21)*Inputs!$F$5:$F$180*(((Inputs!$G$5:$G$180="moeda")+(Inputs!$G$5:$G$180="acoes"))*Inputs!$B$1+((Inputs!$G$5:$G$180&lt;&gt;"moeda")*(Inputs!$G$5:$G$180&lt;&gt;"acoes")))*INDEX(Inputs!$K$5:$AJ$180,0,MATCH(Z$2,Inputs!$K$4:$AJ$4,0)))))</f>
        <v>0</v>
      </c>
      <c r="AA21" s="6">
        <f>IF(ISNA(MATCH(AA$2,Inputs!$K$4:$AJ$4,0)),NA(),IF(SUMPRODUCT((Inputs!$A$5:$A$180=$B21)*ISNUMBER(INDEX(Inputs!$K$5:$AJ$180,0,MATCH(AA$2,Inputs!$K$4:$AJ$4,0))))+SUMPRODUCT((Inputs!$C$5:$C$180=$B21)*ISNUMBER(INDEX(Inputs!$K$5:$AJ$180,0,MATCH(AA$2,Inputs!$K$4:$AJ$4,0))))+SUMPRODUCT((Inputs!$E$5:$E$180=$B21)*ISNUMBER(INDEX(Inputs!$K$5:$AJ$180,0,MATCH(AA$2,Inputs!$K$4:$AJ$4,0))))=0,NA(),SUMPRODUCT((Inputs!$A$5:$A$180=$B21)*Inputs!$B$5:$B$180*(((Inputs!$G$5:$G$180="moeda")+(Inputs!$G$5:$G$180="acoes"))*Inputs!$B$1+((Inputs!$G$5:$G$180&lt;&gt;"moeda")*(Inputs!$G$5:$G$180&lt;&gt;"acoes")))*INDEX(Inputs!$K$5:$AJ$180,0,MATCH(AA$2,Inputs!$K$4:$AJ$4,0)))+SUMPRODUCT((Inputs!$C$5:$C$180=$B21)*Inputs!$D$5:$D$180*(((Inputs!$G$5:$G$180="moeda")+(Inputs!$G$5:$G$180="acoes"))*Inputs!$B$1+((Inputs!$G$5:$G$180&lt;&gt;"moeda")*(Inputs!$G$5:$G$180&lt;&gt;"acoes")))*INDEX(Inputs!$K$5:$AJ$180,0,MATCH(AA$2,Inputs!$K$4:$AJ$4,0)))+SUMPRODUCT((Inputs!$E$5:$E$180=$B21)*Inputs!$F$5:$F$180*(((Inputs!$G$5:$G$180="moeda")+(Inputs!$G$5:$G$180="acoes"))*Inputs!$B$1+((Inputs!$G$5:$G$180&lt;&gt;"moeda")*(Inputs!$G$5:$G$180&lt;&gt;"acoes")))*INDEX(Inputs!$K$5:$AJ$180,0,MATCH(AA$2,Inputs!$K$4:$AJ$4,0)))))</f>
        <v>0</v>
      </c>
      <c r="AB21" s="3">
        <f>AA21</f>
        <v>0</v>
      </c>
      <c r="AC21" s="6">
        <f>IF(ISNA(MATCH(AC$2,Inputs!$K$4:$AJ$4,0)),NA(),IF(SUMPRODUCT((Inputs!$A$5:$A$180=$B21)*ISNUMBER(INDEX(Inputs!$K$5:$AJ$180,0,MATCH(AC$2,Inputs!$K$4:$AJ$4,0))))+SUMPRODUCT((Inputs!$C$5:$C$180=$B21)*ISNUMBER(INDEX(Inputs!$K$5:$AJ$180,0,MATCH(AC$2,Inputs!$K$4:$AJ$4,0))))+SUMPRODUCT((Inputs!$E$5:$E$180=$B21)*ISNUMBER(INDEX(Inputs!$K$5:$AJ$180,0,MATCH(AC$2,Inputs!$K$4:$AJ$4,0))))=0,NA(),SUMPRODUCT((Inputs!$A$5:$A$180=$B21)*Inputs!$B$5:$B$180*(((Inputs!$G$5:$G$180="moeda")+(Inputs!$G$5:$G$180="acoes"))*Inputs!$B$1+((Inputs!$G$5:$G$180&lt;&gt;"moeda")*(Inputs!$G$5:$G$180&lt;&gt;"acoes")))*INDEX(Inputs!$K$5:$AJ$180,0,MATCH(AC$2,Inputs!$K$4:$AJ$4,0)))+SUMPRODUCT((Inputs!$C$5:$C$180=$B21)*Inputs!$D$5:$D$180*(((Inputs!$G$5:$G$180="moeda")+(Inputs!$G$5:$G$180="acoes"))*Inputs!$B$1+((Inputs!$G$5:$G$180&lt;&gt;"moeda")*(Inputs!$G$5:$G$180&lt;&gt;"acoes")))*INDEX(Inputs!$K$5:$AJ$180,0,MATCH(AC$2,Inputs!$K$4:$AJ$4,0)))+SUMPRODUCT((Inputs!$E$5:$E$180=$B21)*Inputs!$F$5:$F$180*(((Inputs!$G$5:$G$180="moeda")+(Inputs!$G$5:$G$180="acoes"))*Inputs!$B$1+((Inputs!$G$5:$G$180&lt;&gt;"moeda")*(Inputs!$G$5:$G$180&lt;&gt;"acoes")))*INDEX(Inputs!$K$5:$AJ$180,0,MATCH(AC$2,Inputs!$K$4:$AJ$4,0)))))</f>
        <v>0</v>
      </c>
      <c r="AD21" s="6">
        <f>IF(ISNA(MATCH(AD$2,Inputs!$K$4:$AJ$4,0)),NA(),IF(SUMPRODUCT((Inputs!$A$5:$A$180=$B21)*ISNUMBER(INDEX(Inputs!$K$5:$AJ$180,0,MATCH(AD$2,Inputs!$K$4:$AJ$4,0))))+SUMPRODUCT((Inputs!$C$5:$C$180=$B21)*ISNUMBER(INDEX(Inputs!$K$5:$AJ$180,0,MATCH(AD$2,Inputs!$K$4:$AJ$4,0))))+SUMPRODUCT((Inputs!$E$5:$E$180=$B21)*ISNUMBER(INDEX(Inputs!$K$5:$AJ$180,0,MATCH(AD$2,Inputs!$K$4:$AJ$4,0))))=0,NA(),SUMPRODUCT((Inputs!$A$5:$A$180=$B21)*Inputs!$B$5:$B$180*(((Inputs!$G$5:$G$180="moeda")+(Inputs!$G$5:$G$180="acoes"))*Inputs!$B$1+((Inputs!$G$5:$G$180&lt;&gt;"moeda")*(Inputs!$G$5:$G$180&lt;&gt;"acoes")))*INDEX(Inputs!$K$5:$AJ$180,0,MATCH(AD$2,Inputs!$K$4:$AJ$4,0)))+SUMPRODUCT((Inputs!$C$5:$C$180=$B21)*Inputs!$D$5:$D$180*(((Inputs!$G$5:$G$180="moeda")+(Inputs!$G$5:$G$180="acoes"))*Inputs!$B$1+((Inputs!$G$5:$G$180&lt;&gt;"moeda")*(Inputs!$G$5:$G$180&lt;&gt;"acoes")))*INDEX(Inputs!$K$5:$AJ$180,0,MATCH(AD$2,Inputs!$K$4:$AJ$4,0)))+SUMPRODUCT((Inputs!$E$5:$E$180=$B21)*Inputs!$F$5:$F$180*(((Inputs!$G$5:$G$180="moeda")+(Inputs!$G$5:$G$180="acoes"))*Inputs!$B$1+((Inputs!$G$5:$G$180&lt;&gt;"moeda")*(Inputs!$G$5:$G$180&lt;&gt;"acoes")))*INDEX(Inputs!$K$5:$AJ$180,0,MATCH(AD$2,Inputs!$K$4:$AJ$4,0)))))</f>
        <v>0</v>
      </c>
      <c r="AE21" s="6" t="e">
        <f>IF(ISNA(MATCH(AE$2,Inputs!$K$4:$AJ$4,0)),NA(),IF(SUMPRODUCT((Inputs!$A$5:$A$180=$B21)*ISNUMBER(INDEX(Inputs!$K$5:$AJ$180,0,MATCH(AE$2,Inputs!$K$4:$AJ$4,0))))+SUMPRODUCT((Inputs!$C$5:$C$180=$B21)*ISNUMBER(INDEX(Inputs!$K$5:$AJ$180,0,MATCH(AE$2,Inputs!$K$4:$AJ$4,0))))+SUMPRODUCT((Inputs!$E$5:$E$180=$B21)*ISNUMBER(INDEX(Inputs!$K$5:$AJ$180,0,MATCH(AE$2,Inputs!$K$4:$AJ$4,0))))=0,NA(),SUMPRODUCT((Inputs!$A$5:$A$180=$B21)*Inputs!$B$5:$B$180*(((Inputs!$G$5:$G$180="moeda")+(Inputs!$G$5:$G$180="acoes"))*Inputs!$B$1+((Inputs!$G$5:$G$180&lt;&gt;"moeda")*(Inputs!$G$5:$G$180&lt;&gt;"acoes")))*INDEX(Inputs!$K$5:$AJ$180,0,MATCH(AE$2,Inputs!$K$4:$AJ$4,0)))+SUMPRODUCT((Inputs!$C$5:$C$180=$B21)*Inputs!$D$5:$D$180*(((Inputs!$G$5:$G$180="moeda")+(Inputs!$G$5:$G$180="acoes"))*Inputs!$B$1+((Inputs!$G$5:$G$180&lt;&gt;"moeda")*(Inputs!$G$5:$G$180&lt;&gt;"acoes")))*INDEX(Inputs!$K$5:$AJ$180,0,MATCH(AE$2,Inputs!$K$4:$AJ$4,0)))+SUMPRODUCT((Inputs!$E$5:$E$180=$B21)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1" s="6" t="e">
        <f>IF(ISNA(MATCH(AF$2,Inputs!$K$4:$AJ$4,0)),NA(),IF(SUMPRODUCT((Inputs!$A$5:$A$180=$B21)*ISNUMBER(INDEX(Inputs!$K$5:$AJ$180,0,MATCH(AF$2,Inputs!$K$4:$AJ$4,0))))+SUMPRODUCT((Inputs!$C$5:$C$180=$B21)*ISNUMBER(INDEX(Inputs!$K$5:$AJ$180,0,MATCH(AF$2,Inputs!$K$4:$AJ$4,0))))+SUMPRODUCT((Inputs!$E$5:$E$180=$B21)*ISNUMBER(INDEX(Inputs!$K$5:$AJ$180,0,MATCH(AF$2,Inputs!$K$4:$AJ$4,0))))=0,NA(),SUMPRODUCT((Inputs!$A$5:$A$180=$B21)*Inputs!$B$5:$B$180*(((Inputs!$G$5:$G$180="moeda")+(Inputs!$G$5:$G$180="acoes"))*Inputs!$B$1+((Inputs!$G$5:$G$180&lt;&gt;"moeda")*(Inputs!$G$5:$G$180&lt;&gt;"acoes")))*INDEX(Inputs!$K$5:$AJ$180,0,MATCH(AF$2,Inputs!$K$4:$AJ$4,0)))+SUMPRODUCT((Inputs!$C$5:$C$180=$B21)*Inputs!$D$5:$D$180*(((Inputs!$G$5:$G$180="moeda")+(Inputs!$G$5:$G$180="acoes"))*Inputs!$B$1+((Inputs!$G$5:$G$180&lt;&gt;"moeda")*(Inputs!$G$5:$G$180&lt;&gt;"acoes")))*INDEX(Inputs!$K$5:$AJ$180,0,MATCH(AF$2,Inputs!$K$4:$AJ$4,0)))+SUMPRODUCT((Inputs!$E$5:$E$180=$B21)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1" s="3" t="e">
        <f>AF21</f>
        <v>#N/A</v>
      </c>
      <c r="AH21" s="6">
        <f>IF(ISNA(MATCH(AH$2,Inputs!$K$4:$AJ$4,0)),NA(),IF(SUMPRODUCT((Inputs!$A$5:$A$180=$B21)*ISNUMBER(INDEX(Inputs!$K$5:$AJ$180,0,MATCH(AH$2,Inputs!$K$4:$AJ$4,0))))+SUMPRODUCT((Inputs!$C$5:$C$180=$B21)*ISNUMBER(INDEX(Inputs!$K$5:$AJ$180,0,MATCH(AH$2,Inputs!$K$4:$AJ$4,0))))+SUMPRODUCT((Inputs!$E$5:$E$180=$B21)*ISNUMBER(INDEX(Inputs!$K$5:$AJ$180,0,MATCH(AH$2,Inputs!$K$4:$AJ$4,0))))=0,NA(),SUMPRODUCT((Inputs!$A$5:$A$180=$B21)*Inputs!$B$5:$B$180*(((Inputs!$G$5:$G$180="moeda")+(Inputs!$G$5:$G$180="acoes"))*Inputs!$B$1+((Inputs!$G$5:$G$180&lt;&gt;"moeda")*(Inputs!$G$5:$G$180&lt;&gt;"acoes")))*INDEX(Inputs!$K$5:$AJ$180,0,MATCH(AH$2,Inputs!$K$4:$AJ$4,0)))+SUMPRODUCT((Inputs!$C$5:$C$180=$B21)*Inputs!$D$5:$D$180*(((Inputs!$G$5:$G$180="moeda")+(Inputs!$G$5:$G$180="acoes"))*Inputs!$B$1+((Inputs!$G$5:$G$180&lt;&gt;"moeda")*(Inputs!$G$5:$G$180&lt;&gt;"acoes")))*INDEX(Inputs!$K$5:$AJ$180,0,MATCH(AH$2,Inputs!$K$4:$AJ$4,0)))+SUMPRODUCT((Inputs!$E$5:$E$180=$B21)*Inputs!$F$5:$F$180*(((Inputs!$G$5:$G$180="moeda")+(Inputs!$G$5:$G$180="acoes"))*Inputs!$B$1+((Inputs!$G$5:$G$180&lt;&gt;"moeda")*(Inputs!$G$5:$G$180&lt;&gt;"acoes")))*INDEX(Inputs!$K$5:$AJ$180,0,MATCH(AH$2,Inputs!$K$4:$AJ$4,0)))))</f>
        <v>0</v>
      </c>
      <c r="AI21" s="6">
        <f>IF(ISNA(MATCH(AI$2,Inputs!$K$4:$AJ$4,0)),NA(),IF(SUMPRODUCT((Inputs!$A$5:$A$180=$B21)*ISNUMBER(INDEX(Inputs!$K$5:$AJ$180,0,MATCH(AI$2,Inputs!$K$4:$AJ$4,0))))+SUMPRODUCT((Inputs!$C$5:$C$180=$B21)*ISNUMBER(INDEX(Inputs!$K$5:$AJ$180,0,MATCH(AI$2,Inputs!$K$4:$AJ$4,0))))+SUMPRODUCT((Inputs!$E$5:$E$180=$B21)*ISNUMBER(INDEX(Inputs!$K$5:$AJ$180,0,MATCH(AI$2,Inputs!$K$4:$AJ$4,0))))=0,NA(),SUMPRODUCT((Inputs!$A$5:$A$180=$B21)*Inputs!$B$5:$B$180*(((Inputs!$G$5:$G$180="moeda")+(Inputs!$G$5:$G$180="acoes"))*Inputs!$B$1+((Inputs!$G$5:$G$180&lt;&gt;"moeda")*(Inputs!$G$5:$G$180&lt;&gt;"acoes")))*INDEX(Inputs!$K$5:$AJ$180,0,MATCH(AI$2,Inputs!$K$4:$AJ$4,0)))+SUMPRODUCT((Inputs!$C$5:$C$180=$B21)*Inputs!$D$5:$D$180*(((Inputs!$G$5:$G$180="moeda")+(Inputs!$G$5:$G$180="acoes"))*Inputs!$B$1+((Inputs!$G$5:$G$180&lt;&gt;"moeda")*(Inputs!$G$5:$G$180&lt;&gt;"acoes")))*INDEX(Inputs!$K$5:$AJ$180,0,MATCH(AI$2,Inputs!$K$4:$AJ$4,0)))+SUMPRODUCT((Inputs!$E$5:$E$180=$B21)*Inputs!$F$5:$F$180*(((Inputs!$G$5:$G$180="moeda")+(Inputs!$G$5:$G$180="acoes"))*Inputs!$B$1+((Inputs!$G$5:$G$180&lt;&gt;"moeda")*(Inputs!$G$5:$G$180&lt;&gt;"acoes")))*INDEX(Inputs!$K$5:$AJ$180,0,MATCH(AI$2,Inputs!$K$4:$AJ$4,0)))))</f>
        <v>0</v>
      </c>
      <c r="AJ21" s="6">
        <f>IF(ISNA(MATCH(AJ$2,Inputs!$K$4:$AJ$4,0)),NA(),IF(SUMPRODUCT((Inputs!$A$5:$A$180=$B21)*ISNUMBER(INDEX(Inputs!$K$5:$AJ$180,0,MATCH(AJ$2,Inputs!$K$4:$AJ$4,0))))+SUMPRODUCT((Inputs!$C$5:$C$180=$B21)*ISNUMBER(INDEX(Inputs!$K$5:$AJ$180,0,MATCH(AJ$2,Inputs!$K$4:$AJ$4,0))))+SUMPRODUCT((Inputs!$E$5:$E$180=$B21)*ISNUMBER(INDEX(Inputs!$K$5:$AJ$180,0,MATCH(AJ$2,Inputs!$K$4:$AJ$4,0))))=0,NA(),SUMPRODUCT((Inputs!$A$5:$A$180=$B21)*Inputs!$B$5:$B$180*(((Inputs!$G$5:$G$180="moeda")+(Inputs!$G$5:$G$180="acoes"))*Inputs!$B$1+((Inputs!$G$5:$G$180&lt;&gt;"moeda")*(Inputs!$G$5:$G$180&lt;&gt;"acoes")))*INDEX(Inputs!$K$5:$AJ$180,0,MATCH(AJ$2,Inputs!$K$4:$AJ$4,0)))+SUMPRODUCT((Inputs!$C$5:$C$180=$B21)*Inputs!$D$5:$D$180*(((Inputs!$G$5:$G$180="moeda")+(Inputs!$G$5:$G$180="acoes"))*Inputs!$B$1+((Inputs!$G$5:$G$180&lt;&gt;"moeda")*(Inputs!$G$5:$G$180&lt;&gt;"acoes")))*INDEX(Inputs!$K$5:$AJ$180,0,MATCH(AJ$2,Inputs!$K$4:$AJ$4,0)))+SUMPRODUCT((Inputs!$E$5:$E$180=$B21)*Inputs!$F$5:$F$180*(((Inputs!$G$5:$G$180="moeda")+(Inputs!$G$5:$G$180="acoes"))*Inputs!$B$1+((Inputs!$G$5:$G$180&lt;&gt;"moeda")*(Inputs!$G$5:$G$180&lt;&gt;"acoes")))*INDEX(Inputs!$K$5:$AJ$180,0,MATCH(AJ$2,Inputs!$K$4:$AJ$4,0)))))</f>
        <v>0</v>
      </c>
      <c r="AK21" s="6">
        <f>IF(ISNA(MATCH(AK$2,Inputs!$K$4:$AJ$4,0)),NA(),IF(SUMPRODUCT((Inputs!$A$5:$A$180=$B21)*ISNUMBER(INDEX(Inputs!$K$5:$AJ$180,0,MATCH(AK$2,Inputs!$K$4:$AJ$4,0))))+SUMPRODUCT((Inputs!$C$5:$C$180=$B21)*ISNUMBER(INDEX(Inputs!$K$5:$AJ$180,0,MATCH(AK$2,Inputs!$K$4:$AJ$4,0))))+SUMPRODUCT((Inputs!$E$5:$E$180=$B21)*ISNUMBER(INDEX(Inputs!$K$5:$AJ$180,0,MATCH(AK$2,Inputs!$K$4:$AJ$4,0))))=0,NA(),SUMPRODUCT((Inputs!$A$5:$A$180=$B21)*Inputs!$B$5:$B$180*(((Inputs!$G$5:$G$180="moeda")+(Inputs!$G$5:$G$180="acoes"))*Inputs!$B$1+((Inputs!$G$5:$G$180&lt;&gt;"moeda")*(Inputs!$G$5:$G$180&lt;&gt;"acoes")))*INDEX(Inputs!$K$5:$AJ$180,0,MATCH(AK$2,Inputs!$K$4:$AJ$4,0)))+SUMPRODUCT((Inputs!$C$5:$C$180=$B21)*Inputs!$D$5:$D$180*(((Inputs!$G$5:$G$180="moeda")+(Inputs!$G$5:$G$180="acoes"))*Inputs!$B$1+((Inputs!$G$5:$G$180&lt;&gt;"moeda")*(Inputs!$G$5:$G$180&lt;&gt;"acoes")))*INDEX(Inputs!$K$5:$AJ$180,0,MATCH(AK$2,Inputs!$K$4:$AJ$4,0)))+SUMPRODUCT((Inputs!$E$5:$E$180=$B21)*Inputs!$F$5:$F$180*(((Inputs!$G$5:$G$180="moeda")+(Inputs!$G$5:$G$180="acoes"))*Inputs!$B$1+((Inputs!$G$5:$G$180&lt;&gt;"moeda")*(Inputs!$G$5:$G$180&lt;&gt;"acoes")))*INDEX(Inputs!$K$5:$AJ$180,0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$180=$B22)*ISNUMBER(INDEX(Inputs!$K$5:$AJ$180,0,MATCH(D$2,Inputs!$K$4:$AJ$4,0))))+SUMPRODUCT((Inputs!$C$5:$C$180=$B22)*ISNUMBER(INDEX(Inputs!$K$5:$AJ$180,0,MATCH(D$2,Inputs!$K$4:$AJ$4,0))))+SUMPRODUCT((Inputs!$E$5:$E$180=$B22)*ISNUMBER(INDEX(Inputs!$K$5:$AJ$180,0,MATCH(D$2,Inputs!$K$4:$AJ$4,0))))=0,NA(),SUMPRODUCT((Inputs!$A$5:$A$180=$B22)*Inputs!$B$5:$B$180*(((Inputs!$G$5:$G$180="moeda")+(Inputs!$G$5:$G$180="acoes"))*Inputs!$B$1+((Inputs!$G$5:$G$180&lt;&gt;"moeda")*(Inputs!$G$5:$G$180&lt;&gt;"acoes")))*INDEX(Inputs!$K$5:$AJ$180,0,MATCH(D$2,Inputs!$K$4:$AJ$4,0)))+SUMPRODUCT((Inputs!$C$5:$C$180=$B22)*Inputs!$D$5:$D$180*(((Inputs!$G$5:$G$180="moeda")+(Inputs!$G$5:$G$180="acoes"))*Inputs!$B$1+((Inputs!$G$5:$G$180&lt;&gt;"moeda")*(Inputs!$G$5:$G$180&lt;&gt;"acoes")))*INDEX(Inputs!$K$5:$AJ$180,0,MATCH(D$2,Inputs!$K$4:$AJ$4,0)))+SUMPRODUCT((Inputs!$E$5:$E$180=$B22)*Inputs!$F$5:$F$180*(((Inputs!$G$5:$G$180="moeda")+(Inputs!$G$5:$G$180="acoes"))*Inputs!$B$1+((Inputs!$G$5:$G$180&lt;&gt;"moeda")*(Inputs!$G$5:$G$180&lt;&gt;"acoes")))*INDEX(Inputs!$K$5:$AJ$180,0,MATCH(D$2,Inputs!$K$4:$AJ$4,0)))))</f>
        <v>359.07066973</v>
      </c>
      <c r="E22" s="6">
        <f>IF(ISNA(MATCH(E$2,Inputs!$K$4:$AJ$4,0)),NA(),IF(SUMPRODUCT((Inputs!$A$5:$A$180=$B22)*ISNUMBER(INDEX(Inputs!$K$5:$AJ$180,0,MATCH(E$2,Inputs!$K$4:$AJ$4,0))))+SUMPRODUCT((Inputs!$C$5:$C$180=$B22)*ISNUMBER(INDEX(Inputs!$K$5:$AJ$180,0,MATCH(E$2,Inputs!$K$4:$AJ$4,0))))+SUMPRODUCT((Inputs!$E$5:$E$180=$B22)*ISNUMBER(INDEX(Inputs!$K$5:$AJ$180,0,MATCH(E$2,Inputs!$K$4:$AJ$4,0))))=0,NA(),SUMPRODUCT((Inputs!$A$5:$A$180=$B22)*Inputs!$B$5:$B$180*(((Inputs!$G$5:$G$180="moeda")+(Inputs!$G$5:$G$180="acoes"))*Inputs!$B$1+((Inputs!$G$5:$G$180&lt;&gt;"moeda")*(Inputs!$G$5:$G$180&lt;&gt;"acoes")))*INDEX(Inputs!$K$5:$AJ$180,0,MATCH(E$2,Inputs!$K$4:$AJ$4,0)))+SUMPRODUCT((Inputs!$C$5:$C$180=$B22)*Inputs!$D$5:$D$180*(((Inputs!$G$5:$G$180="moeda")+(Inputs!$G$5:$G$180="acoes"))*Inputs!$B$1+((Inputs!$G$5:$G$180&lt;&gt;"moeda")*(Inputs!$G$5:$G$180&lt;&gt;"acoes")))*INDEX(Inputs!$K$5:$AJ$180,0,MATCH(E$2,Inputs!$K$4:$AJ$4,0)))+SUMPRODUCT((Inputs!$E$5:$E$180=$B22)*Inputs!$F$5:$F$180*(((Inputs!$G$5:$G$180="moeda")+(Inputs!$G$5:$G$180="acoes"))*Inputs!$B$1+((Inputs!$G$5:$G$180&lt;&gt;"moeda")*(Inputs!$G$5:$G$180&lt;&gt;"acoes")))*INDEX(Inputs!$K$5:$AJ$180,0,MATCH(E$2,Inputs!$K$4:$AJ$4,0)))))</f>
        <v>389.11645849</v>
      </c>
      <c r="F22" s="6">
        <f>IF(ISNA(MATCH(F$2,Inputs!$K$4:$AJ$4,0)),NA(),IF(SUMPRODUCT((Inputs!$A$5:$A$180=$B22)*ISNUMBER(INDEX(Inputs!$K$5:$AJ$180,0,MATCH(F$2,Inputs!$K$4:$AJ$4,0))))+SUMPRODUCT((Inputs!$C$5:$C$180=$B22)*ISNUMBER(INDEX(Inputs!$K$5:$AJ$180,0,MATCH(F$2,Inputs!$K$4:$AJ$4,0))))+SUMPRODUCT((Inputs!$E$5:$E$180=$B22)*ISNUMBER(INDEX(Inputs!$K$5:$AJ$180,0,MATCH(F$2,Inputs!$K$4:$AJ$4,0))))=0,NA(),SUMPRODUCT((Inputs!$A$5:$A$180=$B22)*Inputs!$B$5:$B$180*(((Inputs!$G$5:$G$180="moeda")+(Inputs!$G$5:$G$180="acoes"))*Inputs!$B$1+((Inputs!$G$5:$G$180&lt;&gt;"moeda")*(Inputs!$G$5:$G$180&lt;&gt;"acoes")))*INDEX(Inputs!$K$5:$AJ$180,0,MATCH(F$2,Inputs!$K$4:$AJ$4,0)))+SUMPRODUCT((Inputs!$C$5:$C$180=$B22)*Inputs!$D$5:$D$180*(((Inputs!$G$5:$G$180="moeda")+(Inputs!$G$5:$G$180="acoes"))*Inputs!$B$1+((Inputs!$G$5:$G$180&lt;&gt;"moeda")*(Inputs!$G$5:$G$180&lt;&gt;"acoes")))*INDEX(Inputs!$K$5:$AJ$180,0,MATCH(F$2,Inputs!$K$4:$AJ$4,0)))+SUMPRODUCT((Inputs!$E$5:$E$180=$B22)*Inputs!$F$5:$F$180*(((Inputs!$G$5:$G$180="moeda")+(Inputs!$G$5:$G$180="acoes"))*Inputs!$B$1+((Inputs!$G$5:$G$180&lt;&gt;"moeda")*(Inputs!$G$5:$G$180&lt;&gt;"acoes")))*INDEX(Inputs!$K$5:$AJ$180,0,MATCH(F$2,Inputs!$K$4:$AJ$4,0)))))</f>
        <v>432.31002293</v>
      </c>
      <c r="G22" s="6">
        <f>IF(ISNA(MATCH(G$2,Inputs!$K$4:$AJ$4,0)),NA(),IF(SUMPRODUCT((Inputs!$A$5:$A$180=$B22)*ISNUMBER(INDEX(Inputs!$K$5:$AJ$180,0,MATCH(G$2,Inputs!$K$4:$AJ$4,0))))+SUMPRODUCT((Inputs!$C$5:$C$180=$B22)*ISNUMBER(INDEX(Inputs!$K$5:$AJ$180,0,MATCH(G$2,Inputs!$K$4:$AJ$4,0))))+SUMPRODUCT((Inputs!$E$5:$E$180=$B22)*ISNUMBER(INDEX(Inputs!$K$5:$AJ$180,0,MATCH(G$2,Inputs!$K$4:$AJ$4,0))))=0,NA(),SUMPRODUCT((Inputs!$A$5:$A$180=$B22)*Inputs!$B$5:$B$180*(((Inputs!$G$5:$G$180="moeda")+(Inputs!$G$5:$G$180="acoes"))*Inputs!$B$1+((Inputs!$G$5:$G$180&lt;&gt;"moeda")*(Inputs!$G$5:$G$180&lt;&gt;"acoes")))*INDEX(Inputs!$K$5:$AJ$180,0,MATCH(G$2,Inputs!$K$4:$AJ$4,0)))+SUMPRODUCT((Inputs!$C$5:$C$180=$B22)*Inputs!$D$5:$D$180*(((Inputs!$G$5:$G$180="moeda")+(Inputs!$G$5:$G$180="acoes"))*Inputs!$B$1+((Inputs!$G$5:$G$180&lt;&gt;"moeda")*(Inputs!$G$5:$G$180&lt;&gt;"acoes")))*INDEX(Inputs!$K$5:$AJ$180,0,MATCH(G$2,Inputs!$K$4:$AJ$4,0)))+SUMPRODUCT((Inputs!$E$5:$E$180=$B22)*Inputs!$F$5:$F$180*(((Inputs!$G$5:$G$180="moeda")+(Inputs!$G$5:$G$180="acoes"))*Inputs!$B$1+((Inputs!$G$5:$G$180&lt;&gt;"moeda")*(Inputs!$G$5:$G$180&lt;&gt;"acoes")))*INDEX(Inputs!$K$5:$AJ$180,0,MATCH(G$2,Inputs!$K$4:$AJ$4,0)))))</f>
        <v>480.98795224</v>
      </c>
      <c r="H22" s="3">
        <f>G22</f>
        <v>480.98795224</v>
      </c>
      <c r="I22" s="6">
        <f>IF(ISNA(MATCH(I$2,Inputs!$K$4:$AJ$4,0)),NA(),IF(SUMPRODUCT((Inputs!$A$5:$A$180=$B22)*ISNUMBER(INDEX(Inputs!$K$5:$AJ$180,0,MATCH(I$2,Inputs!$K$4:$AJ$4,0))))+SUMPRODUCT((Inputs!$C$5:$C$180=$B22)*ISNUMBER(INDEX(Inputs!$K$5:$AJ$180,0,MATCH(I$2,Inputs!$K$4:$AJ$4,0))))+SUMPRODUCT((Inputs!$E$5:$E$180=$B22)*ISNUMBER(INDEX(Inputs!$K$5:$AJ$180,0,MATCH(I$2,Inputs!$K$4:$AJ$4,0))))=0,NA(),SUMPRODUCT((Inputs!$A$5:$A$180=$B22)*Inputs!$B$5:$B$180*(((Inputs!$G$5:$G$180="moeda")+(Inputs!$G$5:$G$180="acoes"))*Inputs!$B$1+((Inputs!$G$5:$G$180&lt;&gt;"moeda")*(Inputs!$G$5:$G$180&lt;&gt;"acoes")))*INDEX(Inputs!$K$5:$AJ$180,0,MATCH(I$2,Inputs!$K$4:$AJ$4,0)))+SUMPRODUCT((Inputs!$C$5:$C$180=$B22)*Inputs!$D$5:$D$180*(((Inputs!$G$5:$G$180="moeda")+(Inputs!$G$5:$G$180="acoes"))*Inputs!$B$1+((Inputs!$G$5:$G$180&lt;&gt;"moeda")*(Inputs!$G$5:$G$180&lt;&gt;"acoes")))*INDEX(Inputs!$K$5:$AJ$180,0,MATCH(I$2,Inputs!$K$4:$AJ$4,0)))+SUMPRODUCT((Inputs!$E$5:$E$180=$B22)*Inputs!$F$5:$F$180*(((Inputs!$G$5:$G$180="moeda")+(Inputs!$G$5:$G$180="acoes"))*Inputs!$B$1+((Inputs!$G$5:$G$180&lt;&gt;"moeda")*(Inputs!$G$5:$G$180&lt;&gt;"acoes")))*INDEX(Inputs!$K$5:$AJ$180,0,MATCH(I$2,Inputs!$K$4:$AJ$4,0)))))</f>
        <v>508.95098746</v>
      </c>
      <c r="J22" s="6">
        <f>IF(ISNA(MATCH(J$2,Inputs!$K$4:$AJ$4,0)),NA(),IF(SUMPRODUCT((Inputs!$A$5:$A$180=$B22)*ISNUMBER(INDEX(Inputs!$K$5:$AJ$180,0,MATCH(J$2,Inputs!$K$4:$AJ$4,0))))+SUMPRODUCT((Inputs!$C$5:$C$180=$B22)*ISNUMBER(INDEX(Inputs!$K$5:$AJ$180,0,MATCH(J$2,Inputs!$K$4:$AJ$4,0))))+SUMPRODUCT((Inputs!$E$5:$E$180=$B22)*ISNUMBER(INDEX(Inputs!$K$5:$AJ$180,0,MATCH(J$2,Inputs!$K$4:$AJ$4,0))))=0,NA(),SUMPRODUCT((Inputs!$A$5:$A$180=$B22)*Inputs!$B$5:$B$180*(((Inputs!$G$5:$G$180="moeda")+(Inputs!$G$5:$G$180="acoes"))*Inputs!$B$1+((Inputs!$G$5:$G$180&lt;&gt;"moeda")*(Inputs!$G$5:$G$180&lt;&gt;"acoes")))*INDEX(Inputs!$K$5:$AJ$180,0,MATCH(J$2,Inputs!$K$4:$AJ$4,0)))+SUMPRODUCT((Inputs!$C$5:$C$180=$B22)*Inputs!$D$5:$D$180*(((Inputs!$G$5:$G$180="moeda")+(Inputs!$G$5:$G$180="acoes"))*Inputs!$B$1+((Inputs!$G$5:$G$180&lt;&gt;"moeda")*(Inputs!$G$5:$G$180&lt;&gt;"acoes")))*INDEX(Inputs!$K$5:$AJ$180,0,MATCH(J$2,Inputs!$K$4:$AJ$4,0)))+SUMPRODUCT((Inputs!$E$5:$E$180=$B22)*Inputs!$F$5:$F$180*(((Inputs!$G$5:$G$180="moeda")+(Inputs!$G$5:$G$180="acoes"))*Inputs!$B$1+((Inputs!$G$5:$G$180&lt;&gt;"moeda")*(Inputs!$G$5:$G$180&lt;&gt;"acoes")))*INDEX(Inputs!$K$5:$AJ$180,0,MATCH(J$2,Inputs!$K$4:$AJ$4,0)))))</f>
        <v>550.42530122</v>
      </c>
      <c r="K22" s="6">
        <f>IF(ISNA(MATCH(K$2,Inputs!$K$4:$AJ$4,0)),NA(),IF(SUMPRODUCT((Inputs!$A$5:$A$180=$B22)*ISNUMBER(INDEX(Inputs!$K$5:$AJ$180,0,MATCH(K$2,Inputs!$K$4:$AJ$4,0))))+SUMPRODUCT((Inputs!$C$5:$C$180=$B22)*ISNUMBER(INDEX(Inputs!$K$5:$AJ$180,0,MATCH(K$2,Inputs!$K$4:$AJ$4,0))))+SUMPRODUCT((Inputs!$E$5:$E$180=$B22)*ISNUMBER(INDEX(Inputs!$K$5:$AJ$180,0,MATCH(K$2,Inputs!$K$4:$AJ$4,0))))=0,NA(),SUMPRODUCT((Inputs!$A$5:$A$180=$B22)*Inputs!$B$5:$B$180*(((Inputs!$G$5:$G$180="moeda")+(Inputs!$G$5:$G$180="acoes"))*Inputs!$B$1+((Inputs!$G$5:$G$180&lt;&gt;"moeda")*(Inputs!$G$5:$G$180&lt;&gt;"acoes")))*INDEX(Inputs!$K$5:$AJ$180,0,MATCH(K$2,Inputs!$K$4:$AJ$4,0)))+SUMPRODUCT((Inputs!$C$5:$C$180=$B22)*Inputs!$D$5:$D$180*(((Inputs!$G$5:$G$180="moeda")+(Inputs!$G$5:$G$180="acoes"))*Inputs!$B$1+((Inputs!$G$5:$G$180&lt;&gt;"moeda")*(Inputs!$G$5:$G$180&lt;&gt;"acoes")))*INDEX(Inputs!$K$5:$AJ$180,0,MATCH(K$2,Inputs!$K$4:$AJ$4,0)))+SUMPRODUCT((Inputs!$E$5:$E$180=$B22)*Inputs!$F$5:$F$180*(((Inputs!$G$5:$G$180="moeda")+(Inputs!$G$5:$G$180="acoes"))*Inputs!$B$1+((Inputs!$G$5:$G$180&lt;&gt;"moeda")*(Inputs!$G$5:$G$180&lt;&gt;"acoes")))*INDEX(Inputs!$K$5:$AJ$180,0,MATCH(K$2,Inputs!$K$4:$AJ$4,0)))))</f>
        <v>615.82445021</v>
      </c>
      <c r="L22" s="6">
        <f>IF(ISNA(MATCH(L$2,Inputs!$K$4:$AJ$4,0)),NA(),IF(SUMPRODUCT((Inputs!$A$5:$A$180=$B22)*ISNUMBER(INDEX(Inputs!$K$5:$AJ$180,0,MATCH(L$2,Inputs!$K$4:$AJ$4,0))))+SUMPRODUCT((Inputs!$C$5:$C$180=$B22)*ISNUMBER(INDEX(Inputs!$K$5:$AJ$180,0,MATCH(L$2,Inputs!$K$4:$AJ$4,0))))+SUMPRODUCT((Inputs!$E$5:$E$180=$B22)*ISNUMBER(INDEX(Inputs!$K$5:$AJ$180,0,MATCH(L$2,Inputs!$K$4:$AJ$4,0))))=0,NA(),SUMPRODUCT((Inputs!$A$5:$A$180=$B22)*Inputs!$B$5:$B$180*(((Inputs!$G$5:$G$180="moeda")+(Inputs!$G$5:$G$180="acoes"))*Inputs!$B$1+((Inputs!$G$5:$G$180&lt;&gt;"moeda")*(Inputs!$G$5:$G$180&lt;&gt;"acoes")))*INDEX(Inputs!$K$5:$AJ$180,0,MATCH(L$2,Inputs!$K$4:$AJ$4,0)))+SUMPRODUCT((Inputs!$C$5:$C$180=$B22)*Inputs!$D$5:$D$180*(((Inputs!$G$5:$G$180="moeda")+(Inputs!$G$5:$G$180="acoes"))*Inputs!$B$1+((Inputs!$G$5:$G$180&lt;&gt;"moeda")*(Inputs!$G$5:$G$180&lt;&gt;"acoes")))*INDEX(Inputs!$K$5:$AJ$180,0,MATCH(L$2,Inputs!$K$4:$AJ$4,0)))+SUMPRODUCT((Inputs!$E$5:$E$180=$B22)*Inputs!$F$5:$F$180*(((Inputs!$G$5:$G$180="moeda")+(Inputs!$G$5:$G$180="acoes"))*Inputs!$B$1+((Inputs!$G$5:$G$180&lt;&gt;"moeda")*(Inputs!$G$5:$G$180&lt;&gt;"acoes")))*INDEX(Inputs!$K$5:$AJ$180,0,MATCH(L$2,Inputs!$K$4:$AJ$4,0)))))</f>
        <v>652.164</v>
      </c>
      <c r="M22" s="3">
        <f>L22</f>
        <v>652.164</v>
      </c>
      <c r="N22" s="6">
        <f>IF(ISNA(MATCH(N$2,Inputs!$K$4:$AJ$4,0)),NA(),IF(SUMPRODUCT((Inputs!$A$5:$A$180=$B22)*ISNUMBER(INDEX(Inputs!$K$5:$AJ$180,0,MATCH(N$2,Inputs!$K$4:$AJ$4,0))))+SUMPRODUCT((Inputs!$C$5:$C$180=$B22)*ISNUMBER(INDEX(Inputs!$K$5:$AJ$180,0,MATCH(N$2,Inputs!$K$4:$AJ$4,0))))+SUMPRODUCT((Inputs!$E$5:$E$180=$B22)*ISNUMBER(INDEX(Inputs!$K$5:$AJ$180,0,MATCH(N$2,Inputs!$K$4:$AJ$4,0))))=0,NA(),SUMPRODUCT((Inputs!$A$5:$A$180=$B22)*Inputs!$B$5:$B$180*(((Inputs!$G$5:$G$180="moeda")+(Inputs!$G$5:$G$180="acoes"))*Inputs!$B$1+((Inputs!$G$5:$G$180&lt;&gt;"moeda")*(Inputs!$G$5:$G$180&lt;&gt;"acoes")))*INDEX(Inputs!$K$5:$AJ$180,0,MATCH(N$2,Inputs!$K$4:$AJ$4,0)))+SUMPRODUCT((Inputs!$C$5:$C$180=$B22)*Inputs!$D$5:$D$180*(((Inputs!$G$5:$G$180="moeda")+(Inputs!$G$5:$G$180="acoes"))*Inputs!$B$1+((Inputs!$G$5:$G$180&lt;&gt;"moeda")*(Inputs!$G$5:$G$180&lt;&gt;"acoes")))*INDEX(Inputs!$K$5:$AJ$180,0,MATCH(N$2,Inputs!$K$4:$AJ$4,0)))+SUMPRODUCT((Inputs!$E$5:$E$180=$B22)*Inputs!$F$5:$F$180*(((Inputs!$G$5:$G$180="moeda")+(Inputs!$G$5:$G$180="acoes"))*Inputs!$B$1+((Inputs!$G$5:$G$180&lt;&gt;"moeda")*(Inputs!$G$5:$G$180&lt;&gt;"acoes")))*INDEX(Inputs!$K$5:$AJ$180,0,MATCH(N$2,Inputs!$K$4:$AJ$4,0)))))</f>
        <v>675.451</v>
      </c>
      <c r="O22" s="6">
        <f>IF(ISNA(MATCH(O$2,Inputs!$K$4:$AJ$4,0)),NA(),IF(SUMPRODUCT((Inputs!$A$5:$A$180=$B22)*ISNUMBER(INDEX(Inputs!$K$5:$AJ$180,0,MATCH(O$2,Inputs!$K$4:$AJ$4,0))))+SUMPRODUCT((Inputs!$C$5:$C$180=$B22)*ISNUMBER(INDEX(Inputs!$K$5:$AJ$180,0,MATCH(O$2,Inputs!$K$4:$AJ$4,0))))+SUMPRODUCT((Inputs!$E$5:$E$180=$B22)*ISNUMBER(INDEX(Inputs!$K$5:$AJ$180,0,MATCH(O$2,Inputs!$K$4:$AJ$4,0))))=0,NA(),SUMPRODUCT((Inputs!$A$5:$A$180=$B22)*Inputs!$B$5:$B$180*(((Inputs!$G$5:$G$180="moeda")+(Inputs!$G$5:$G$180="acoes"))*Inputs!$B$1+((Inputs!$G$5:$G$180&lt;&gt;"moeda")*(Inputs!$G$5:$G$180&lt;&gt;"acoes")))*INDEX(Inputs!$K$5:$AJ$180,0,MATCH(O$2,Inputs!$K$4:$AJ$4,0)))+SUMPRODUCT((Inputs!$C$5:$C$180=$B22)*Inputs!$D$5:$D$180*(((Inputs!$G$5:$G$180="moeda")+(Inputs!$G$5:$G$180="acoes"))*Inputs!$B$1+((Inputs!$G$5:$G$180&lt;&gt;"moeda")*(Inputs!$G$5:$G$180&lt;&gt;"acoes")))*INDEX(Inputs!$K$5:$AJ$180,0,MATCH(O$2,Inputs!$K$4:$AJ$4,0)))+SUMPRODUCT((Inputs!$E$5:$E$180=$B22)*Inputs!$F$5:$F$180*(((Inputs!$G$5:$G$180="moeda")+(Inputs!$G$5:$G$180="acoes"))*Inputs!$B$1+((Inputs!$G$5:$G$180&lt;&gt;"moeda")*(Inputs!$G$5:$G$180&lt;&gt;"acoes")))*INDEX(Inputs!$K$5:$AJ$180,0,MATCH(O$2,Inputs!$K$4:$AJ$4,0)))))</f>
        <v>701.40473885</v>
      </c>
      <c r="P22" s="6">
        <f>IF(ISNA(MATCH(P$2,Inputs!$K$4:$AJ$4,0)),NA(),IF(SUMPRODUCT((Inputs!$A$5:$A$180=$B22)*ISNUMBER(INDEX(Inputs!$K$5:$AJ$180,0,MATCH(P$2,Inputs!$K$4:$AJ$4,0))))+SUMPRODUCT((Inputs!$C$5:$C$180=$B22)*ISNUMBER(INDEX(Inputs!$K$5:$AJ$180,0,MATCH(P$2,Inputs!$K$4:$AJ$4,0))))+SUMPRODUCT((Inputs!$E$5:$E$180=$B22)*ISNUMBER(INDEX(Inputs!$K$5:$AJ$180,0,MATCH(P$2,Inputs!$K$4:$AJ$4,0))))=0,NA(),SUMPRODUCT((Inputs!$A$5:$A$180=$B22)*Inputs!$B$5:$B$180*(((Inputs!$G$5:$G$180="moeda")+(Inputs!$G$5:$G$180="acoes"))*Inputs!$B$1+((Inputs!$G$5:$G$180&lt;&gt;"moeda")*(Inputs!$G$5:$G$180&lt;&gt;"acoes")))*INDEX(Inputs!$K$5:$AJ$180,0,MATCH(P$2,Inputs!$K$4:$AJ$4,0)))+SUMPRODUCT((Inputs!$C$5:$C$180=$B22)*Inputs!$D$5:$D$180*(((Inputs!$G$5:$G$180="moeda")+(Inputs!$G$5:$G$180="acoes"))*Inputs!$B$1+((Inputs!$G$5:$G$180&lt;&gt;"moeda")*(Inputs!$G$5:$G$180&lt;&gt;"acoes")))*INDEX(Inputs!$K$5:$AJ$180,0,MATCH(P$2,Inputs!$K$4:$AJ$4,0)))+SUMPRODUCT((Inputs!$E$5:$E$180=$B22)*Inputs!$F$5:$F$180*(((Inputs!$G$5:$G$180="moeda")+(Inputs!$G$5:$G$180="acoes"))*Inputs!$B$1+((Inputs!$G$5:$G$180&lt;&gt;"moeda")*(Inputs!$G$5:$G$180&lt;&gt;"acoes")))*INDEX(Inputs!$K$5:$AJ$180,0,MATCH(P$2,Inputs!$K$4:$AJ$4,0)))))</f>
        <v>738.27728221</v>
      </c>
      <c r="Q22" s="6">
        <f>IF(ISNA(MATCH(Q$2,Inputs!$K$4:$AJ$4,0)),NA(),IF(SUMPRODUCT((Inputs!$A$5:$A$180=$B22)*ISNUMBER(INDEX(Inputs!$K$5:$AJ$180,0,MATCH(Q$2,Inputs!$K$4:$AJ$4,0))))+SUMPRODUCT((Inputs!$C$5:$C$180=$B22)*ISNUMBER(INDEX(Inputs!$K$5:$AJ$180,0,MATCH(Q$2,Inputs!$K$4:$AJ$4,0))))+SUMPRODUCT((Inputs!$E$5:$E$180=$B22)*ISNUMBER(INDEX(Inputs!$K$5:$AJ$180,0,MATCH(Q$2,Inputs!$K$4:$AJ$4,0))))=0,NA(),SUMPRODUCT((Inputs!$A$5:$A$180=$B22)*Inputs!$B$5:$B$180*(((Inputs!$G$5:$G$180="moeda")+(Inputs!$G$5:$G$180="acoes"))*Inputs!$B$1+((Inputs!$G$5:$G$180&lt;&gt;"moeda")*(Inputs!$G$5:$G$180&lt;&gt;"acoes")))*INDEX(Inputs!$K$5:$AJ$180,0,MATCH(Q$2,Inputs!$K$4:$AJ$4,0)))+SUMPRODUCT((Inputs!$C$5:$C$180=$B22)*Inputs!$D$5:$D$180*(((Inputs!$G$5:$G$180="moeda")+(Inputs!$G$5:$G$180="acoes"))*Inputs!$B$1+((Inputs!$G$5:$G$180&lt;&gt;"moeda")*(Inputs!$G$5:$G$180&lt;&gt;"acoes")))*INDEX(Inputs!$K$5:$AJ$180,0,MATCH(Q$2,Inputs!$K$4:$AJ$4,0)))+SUMPRODUCT((Inputs!$E$5:$E$180=$B22)*Inputs!$F$5:$F$180*(((Inputs!$G$5:$G$180="moeda")+(Inputs!$G$5:$G$180="acoes"))*Inputs!$B$1+((Inputs!$G$5:$G$180&lt;&gt;"moeda")*(Inputs!$G$5:$G$180&lt;&gt;"acoes")))*INDEX(Inputs!$K$5:$AJ$180,0,MATCH(Q$2,Inputs!$K$4:$AJ$4,0)))))</f>
        <v>765.74598272</v>
      </c>
      <c r="R22" s="3">
        <f>Q22</f>
        <v>765.74598272</v>
      </c>
      <c r="S22" s="6">
        <f>IF(ISNA(MATCH(S$2,Inputs!$K$4:$AJ$4,0)),NA(),IF(SUMPRODUCT((Inputs!$A$5:$A$180=$B22)*ISNUMBER(INDEX(Inputs!$K$5:$AJ$180,0,MATCH(S$2,Inputs!$K$4:$AJ$4,0))))+SUMPRODUCT((Inputs!$C$5:$C$180=$B22)*ISNUMBER(INDEX(Inputs!$K$5:$AJ$180,0,MATCH(S$2,Inputs!$K$4:$AJ$4,0))))+SUMPRODUCT((Inputs!$E$5:$E$180=$B22)*ISNUMBER(INDEX(Inputs!$K$5:$AJ$180,0,MATCH(S$2,Inputs!$K$4:$AJ$4,0))))=0,NA(),SUMPRODUCT((Inputs!$A$5:$A$180=$B22)*Inputs!$B$5:$B$180*(((Inputs!$G$5:$G$180="moeda")+(Inputs!$G$5:$G$180="acoes"))*Inputs!$B$1+((Inputs!$G$5:$G$180&lt;&gt;"moeda")*(Inputs!$G$5:$G$180&lt;&gt;"acoes")))*INDEX(Inputs!$K$5:$AJ$180,0,MATCH(S$2,Inputs!$K$4:$AJ$4,0)))+SUMPRODUCT((Inputs!$C$5:$C$180=$B22)*Inputs!$D$5:$D$180*(((Inputs!$G$5:$G$180="moeda")+(Inputs!$G$5:$G$180="acoes"))*Inputs!$B$1+((Inputs!$G$5:$G$180&lt;&gt;"moeda")*(Inputs!$G$5:$G$180&lt;&gt;"acoes")))*INDEX(Inputs!$K$5:$AJ$180,0,MATCH(S$2,Inputs!$K$4:$AJ$4,0)))+SUMPRODUCT((Inputs!$E$5:$E$180=$B22)*Inputs!$F$5:$F$180*(((Inputs!$G$5:$G$180="moeda")+(Inputs!$G$5:$G$180="acoes"))*Inputs!$B$1+((Inputs!$G$5:$G$180&lt;&gt;"moeda")*(Inputs!$G$5:$G$180&lt;&gt;"acoes")))*INDEX(Inputs!$K$5:$AJ$180,0,MATCH(S$2,Inputs!$K$4:$AJ$4,0)))))</f>
        <v>787.74775086</v>
      </c>
      <c r="T22" s="6">
        <f>IF(ISNA(MATCH(T$2,Inputs!$K$4:$AJ$4,0)),NA(),IF(SUMPRODUCT((Inputs!$A$5:$A$180=$B22)*ISNUMBER(INDEX(Inputs!$K$5:$AJ$180,0,MATCH(T$2,Inputs!$K$4:$AJ$4,0))))+SUMPRODUCT((Inputs!$C$5:$C$180=$B22)*ISNUMBER(INDEX(Inputs!$K$5:$AJ$180,0,MATCH(T$2,Inputs!$K$4:$AJ$4,0))))+SUMPRODUCT((Inputs!$E$5:$E$180=$B22)*ISNUMBER(INDEX(Inputs!$K$5:$AJ$180,0,MATCH(T$2,Inputs!$K$4:$AJ$4,0))))=0,NA(),SUMPRODUCT((Inputs!$A$5:$A$180=$B22)*Inputs!$B$5:$B$180*(((Inputs!$G$5:$G$180="moeda")+(Inputs!$G$5:$G$180="acoes"))*Inputs!$B$1+((Inputs!$G$5:$G$180&lt;&gt;"moeda")*(Inputs!$G$5:$G$180&lt;&gt;"acoes")))*INDEX(Inputs!$K$5:$AJ$180,0,MATCH(T$2,Inputs!$K$4:$AJ$4,0)))+SUMPRODUCT((Inputs!$C$5:$C$180=$B22)*Inputs!$D$5:$D$180*(((Inputs!$G$5:$G$180="moeda")+(Inputs!$G$5:$G$180="acoes"))*Inputs!$B$1+((Inputs!$G$5:$G$180&lt;&gt;"moeda")*(Inputs!$G$5:$G$180&lt;&gt;"acoes")))*INDEX(Inputs!$K$5:$AJ$180,0,MATCH(T$2,Inputs!$K$4:$AJ$4,0)))+SUMPRODUCT((Inputs!$E$5:$E$180=$B22)*Inputs!$F$5:$F$180*(((Inputs!$G$5:$G$180="moeda")+(Inputs!$G$5:$G$180="acoes"))*Inputs!$B$1+((Inputs!$G$5:$G$180&lt;&gt;"moeda")*(Inputs!$G$5:$G$180&lt;&gt;"acoes")))*INDEX(Inputs!$K$5:$AJ$180,0,MATCH(T$2,Inputs!$K$4:$AJ$4,0)))))</f>
        <v>798.60566233</v>
      </c>
      <c r="U22" s="6">
        <f>IF(ISNA(MATCH(U$2,Inputs!$K$4:$AJ$4,0)),NA(),IF(SUMPRODUCT((Inputs!$A$5:$A$180=$B22)*ISNUMBER(INDEX(Inputs!$K$5:$AJ$180,0,MATCH(U$2,Inputs!$K$4:$AJ$4,0))))+SUMPRODUCT((Inputs!$C$5:$C$180=$B22)*ISNUMBER(INDEX(Inputs!$K$5:$AJ$180,0,MATCH(U$2,Inputs!$K$4:$AJ$4,0))))+SUMPRODUCT((Inputs!$E$5:$E$180=$B22)*ISNUMBER(INDEX(Inputs!$K$5:$AJ$180,0,MATCH(U$2,Inputs!$K$4:$AJ$4,0))))=0,NA(),SUMPRODUCT((Inputs!$A$5:$A$180=$B22)*Inputs!$B$5:$B$180*(((Inputs!$G$5:$G$180="moeda")+(Inputs!$G$5:$G$180="acoes"))*Inputs!$B$1+((Inputs!$G$5:$G$180&lt;&gt;"moeda")*(Inputs!$G$5:$G$180&lt;&gt;"acoes")))*INDEX(Inputs!$K$5:$AJ$180,0,MATCH(U$2,Inputs!$K$4:$AJ$4,0)))+SUMPRODUCT((Inputs!$C$5:$C$180=$B22)*Inputs!$D$5:$D$180*(((Inputs!$G$5:$G$180="moeda")+(Inputs!$G$5:$G$180="acoes"))*Inputs!$B$1+((Inputs!$G$5:$G$180&lt;&gt;"moeda")*(Inputs!$G$5:$G$180&lt;&gt;"acoes")))*INDEX(Inputs!$K$5:$AJ$180,0,MATCH(U$2,Inputs!$K$4:$AJ$4,0)))+SUMPRODUCT((Inputs!$E$5:$E$180=$B22)*Inputs!$F$5:$F$180*(((Inputs!$G$5:$G$180="moeda")+(Inputs!$G$5:$G$180="acoes"))*Inputs!$B$1+((Inputs!$G$5:$G$180&lt;&gt;"moeda")*(Inputs!$G$5:$G$180&lt;&gt;"acoes")))*INDEX(Inputs!$K$5:$AJ$180,0,MATCH(U$2,Inputs!$K$4:$AJ$4,0)))))</f>
        <v>827.38907393</v>
      </c>
      <c r="V22" s="6">
        <f>IF(ISNA(MATCH(V$2,Inputs!$K$4:$AJ$4,0)),NA(),IF(SUMPRODUCT((Inputs!$A$5:$A$180=$B22)*ISNUMBER(INDEX(Inputs!$K$5:$AJ$180,0,MATCH(V$2,Inputs!$K$4:$AJ$4,0))))+SUMPRODUCT((Inputs!$C$5:$C$180=$B22)*ISNUMBER(INDEX(Inputs!$K$5:$AJ$180,0,MATCH(V$2,Inputs!$K$4:$AJ$4,0))))+SUMPRODUCT((Inputs!$E$5:$E$180=$B22)*ISNUMBER(INDEX(Inputs!$K$5:$AJ$180,0,MATCH(V$2,Inputs!$K$4:$AJ$4,0))))=0,NA(),SUMPRODUCT((Inputs!$A$5:$A$180=$B22)*Inputs!$B$5:$B$180*(((Inputs!$G$5:$G$180="moeda")+(Inputs!$G$5:$G$180="acoes"))*Inputs!$B$1+((Inputs!$G$5:$G$180&lt;&gt;"moeda")*(Inputs!$G$5:$G$180&lt;&gt;"acoes")))*INDEX(Inputs!$K$5:$AJ$180,0,MATCH(V$2,Inputs!$K$4:$AJ$4,0)))+SUMPRODUCT((Inputs!$C$5:$C$180=$B22)*Inputs!$D$5:$D$180*(((Inputs!$G$5:$G$180="moeda")+(Inputs!$G$5:$G$180="acoes"))*Inputs!$B$1+((Inputs!$G$5:$G$180&lt;&gt;"moeda")*(Inputs!$G$5:$G$180&lt;&gt;"acoes")))*INDEX(Inputs!$K$5:$AJ$180,0,MATCH(V$2,Inputs!$K$4:$AJ$4,0)))+SUMPRODUCT((Inputs!$E$5:$E$180=$B22)*Inputs!$F$5:$F$180*(((Inputs!$G$5:$G$180="moeda")+(Inputs!$G$5:$G$180="acoes"))*Inputs!$B$1+((Inputs!$G$5:$G$180&lt;&gt;"moeda")*(Inputs!$G$5:$G$180&lt;&gt;"acoes")))*INDEX(Inputs!$K$5:$AJ$180,0,MATCH(V$2,Inputs!$K$4:$AJ$4,0)))))</f>
        <v>853.17156182</v>
      </c>
      <c r="W22" s="3">
        <f>V22</f>
        <v>853.17156182</v>
      </c>
      <c r="X22" s="6">
        <f>IF(ISNA(MATCH(X$2,Inputs!$K$4:$AJ$4,0)),NA(),IF(SUMPRODUCT((Inputs!$A$5:$A$180=$B22)*ISNUMBER(INDEX(Inputs!$K$5:$AJ$180,0,MATCH(X$2,Inputs!$K$4:$AJ$4,0))))+SUMPRODUCT((Inputs!$C$5:$C$180=$B22)*ISNUMBER(INDEX(Inputs!$K$5:$AJ$180,0,MATCH(X$2,Inputs!$K$4:$AJ$4,0))))+SUMPRODUCT((Inputs!$E$5:$E$180=$B22)*ISNUMBER(INDEX(Inputs!$K$5:$AJ$180,0,MATCH(X$2,Inputs!$K$4:$AJ$4,0))))=0,NA(),SUMPRODUCT((Inputs!$A$5:$A$180=$B22)*Inputs!$B$5:$B$180*(((Inputs!$G$5:$G$180="moeda")+(Inputs!$G$5:$G$180="acoes"))*Inputs!$B$1+((Inputs!$G$5:$G$180&lt;&gt;"moeda")*(Inputs!$G$5:$G$180&lt;&gt;"acoes")))*INDEX(Inputs!$K$5:$AJ$180,0,MATCH(X$2,Inputs!$K$4:$AJ$4,0)))+SUMPRODUCT((Inputs!$C$5:$C$180=$B22)*Inputs!$D$5:$D$180*(((Inputs!$G$5:$G$180="moeda")+(Inputs!$G$5:$G$180="acoes"))*Inputs!$B$1+((Inputs!$G$5:$G$180&lt;&gt;"moeda")*(Inputs!$G$5:$G$180&lt;&gt;"acoes")))*INDEX(Inputs!$K$5:$AJ$180,0,MATCH(X$2,Inputs!$K$4:$AJ$4,0)))+SUMPRODUCT((Inputs!$E$5:$E$180=$B22)*Inputs!$F$5:$F$180*(((Inputs!$G$5:$G$180="moeda")+(Inputs!$G$5:$G$180="acoes"))*Inputs!$B$1+((Inputs!$G$5:$G$180&lt;&gt;"moeda")*(Inputs!$G$5:$G$180&lt;&gt;"acoes")))*INDEX(Inputs!$K$5:$AJ$180,0,MATCH(X$2,Inputs!$K$4:$AJ$4,0)))))</f>
        <v>875.204438</v>
      </c>
      <c r="Y22" s="6">
        <f>IF(ISNA(MATCH(Y$2,Inputs!$K$4:$AJ$4,0)),NA(),IF(SUMPRODUCT((Inputs!$A$5:$A$180=$B22)*ISNUMBER(INDEX(Inputs!$K$5:$AJ$180,0,MATCH(Y$2,Inputs!$K$4:$AJ$4,0))))+SUMPRODUCT((Inputs!$C$5:$C$180=$B22)*ISNUMBER(INDEX(Inputs!$K$5:$AJ$180,0,MATCH(Y$2,Inputs!$K$4:$AJ$4,0))))+SUMPRODUCT((Inputs!$E$5:$E$180=$B22)*ISNUMBER(INDEX(Inputs!$K$5:$AJ$180,0,MATCH(Y$2,Inputs!$K$4:$AJ$4,0))))=0,NA(),SUMPRODUCT((Inputs!$A$5:$A$180=$B22)*Inputs!$B$5:$B$180*(((Inputs!$G$5:$G$180="moeda")+(Inputs!$G$5:$G$180="acoes"))*Inputs!$B$1+((Inputs!$G$5:$G$180&lt;&gt;"moeda")*(Inputs!$G$5:$G$180&lt;&gt;"acoes")))*INDEX(Inputs!$K$5:$AJ$180,0,MATCH(Y$2,Inputs!$K$4:$AJ$4,0)))+SUMPRODUCT((Inputs!$C$5:$C$180=$B22)*Inputs!$D$5:$D$180*(((Inputs!$G$5:$G$180="moeda")+(Inputs!$G$5:$G$180="acoes"))*Inputs!$B$1+((Inputs!$G$5:$G$180&lt;&gt;"moeda")*(Inputs!$G$5:$G$180&lt;&gt;"acoes")))*INDEX(Inputs!$K$5:$AJ$180,0,MATCH(Y$2,Inputs!$K$4:$AJ$4,0)))+SUMPRODUCT((Inputs!$E$5:$E$180=$B22)*Inputs!$F$5:$F$180*(((Inputs!$G$5:$G$180="moeda")+(Inputs!$G$5:$G$180="acoes"))*Inputs!$B$1+((Inputs!$G$5:$G$180&lt;&gt;"moeda")*(Inputs!$G$5:$G$180&lt;&gt;"acoes")))*INDEX(Inputs!$K$5:$AJ$180,0,MATCH(Y$2,Inputs!$K$4:$AJ$4,0)))))</f>
        <v>865.69721234</v>
      </c>
      <c r="Z22" s="6">
        <f>IF(ISNA(MATCH(Z$2,Inputs!$K$4:$AJ$4,0)),NA(),IF(SUMPRODUCT((Inputs!$A$5:$A$180=$B22)*ISNUMBER(INDEX(Inputs!$K$5:$AJ$180,0,MATCH(Z$2,Inputs!$K$4:$AJ$4,0))))+SUMPRODUCT((Inputs!$C$5:$C$180=$B22)*ISNUMBER(INDEX(Inputs!$K$5:$AJ$180,0,MATCH(Z$2,Inputs!$K$4:$AJ$4,0))))+SUMPRODUCT((Inputs!$E$5:$E$180=$B22)*ISNUMBER(INDEX(Inputs!$K$5:$AJ$180,0,MATCH(Z$2,Inputs!$K$4:$AJ$4,0))))=0,NA(),SUMPRODUCT((Inputs!$A$5:$A$180=$B22)*Inputs!$B$5:$B$180*(((Inputs!$G$5:$G$180="moeda")+(Inputs!$G$5:$G$180="acoes"))*Inputs!$B$1+((Inputs!$G$5:$G$180&lt;&gt;"moeda")*(Inputs!$G$5:$G$180&lt;&gt;"acoes")))*INDEX(Inputs!$K$5:$AJ$180,0,MATCH(Z$2,Inputs!$K$4:$AJ$4,0)))+SUMPRODUCT((Inputs!$C$5:$C$180=$B22)*Inputs!$D$5:$D$180*(((Inputs!$G$5:$G$180="moeda")+(Inputs!$G$5:$G$180="acoes"))*Inputs!$B$1+((Inputs!$G$5:$G$180&lt;&gt;"moeda")*(Inputs!$G$5:$G$180&lt;&gt;"acoes")))*INDEX(Inputs!$K$5:$AJ$180,0,MATCH(Z$2,Inputs!$K$4:$AJ$4,0)))+SUMPRODUCT((Inputs!$E$5:$E$180=$B22)*Inputs!$F$5:$F$180*(((Inputs!$G$5:$G$180="moeda")+(Inputs!$G$5:$G$180="acoes"))*Inputs!$B$1+((Inputs!$G$5:$G$180&lt;&gt;"moeda")*(Inputs!$G$5:$G$180&lt;&gt;"acoes")))*INDEX(Inputs!$K$5:$AJ$180,0,MATCH(Z$2,Inputs!$K$4:$AJ$4,0)))))</f>
        <v>955.645</v>
      </c>
      <c r="AA22" s="6">
        <f>IF(ISNA(MATCH(AA$2,Inputs!$K$4:$AJ$4,0)),NA(),IF(SUMPRODUCT((Inputs!$A$5:$A$180=$B22)*ISNUMBER(INDEX(Inputs!$K$5:$AJ$180,0,MATCH(AA$2,Inputs!$K$4:$AJ$4,0))))+SUMPRODUCT((Inputs!$C$5:$C$180=$B22)*ISNUMBER(INDEX(Inputs!$K$5:$AJ$180,0,MATCH(AA$2,Inputs!$K$4:$AJ$4,0))))+SUMPRODUCT((Inputs!$E$5:$E$180=$B22)*ISNUMBER(INDEX(Inputs!$K$5:$AJ$180,0,MATCH(AA$2,Inputs!$K$4:$AJ$4,0))))=0,NA(),SUMPRODUCT((Inputs!$A$5:$A$180=$B22)*Inputs!$B$5:$B$180*(((Inputs!$G$5:$G$180="moeda")+(Inputs!$G$5:$G$180="acoes"))*Inputs!$B$1+((Inputs!$G$5:$G$180&lt;&gt;"moeda")*(Inputs!$G$5:$G$180&lt;&gt;"acoes")))*INDEX(Inputs!$K$5:$AJ$180,0,MATCH(AA$2,Inputs!$K$4:$AJ$4,0)))+SUMPRODUCT((Inputs!$C$5:$C$180=$B22)*Inputs!$D$5:$D$180*(((Inputs!$G$5:$G$180="moeda")+(Inputs!$G$5:$G$180="acoes"))*Inputs!$B$1+((Inputs!$G$5:$G$180&lt;&gt;"moeda")*(Inputs!$G$5:$G$180&lt;&gt;"acoes")))*INDEX(Inputs!$K$5:$AJ$180,0,MATCH(AA$2,Inputs!$K$4:$AJ$4,0)))+SUMPRODUCT((Inputs!$E$5:$E$180=$B22)*Inputs!$F$5:$F$180*(((Inputs!$G$5:$G$180="moeda")+(Inputs!$G$5:$G$180="acoes"))*Inputs!$B$1+((Inputs!$G$5:$G$180&lt;&gt;"moeda")*(Inputs!$G$5:$G$180&lt;&gt;"acoes")))*INDEX(Inputs!$K$5:$AJ$180,0,MATCH(AA$2,Inputs!$K$4:$AJ$4,0)))))</f>
        <v>955.34730588</v>
      </c>
      <c r="AB22" s="3">
        <f>AA22</f>
        <v>955.34730588</v>
      </c>
      <c r="AC22" s="6">
        <f>IF(ISNA(MATCH(AC$2,Inputs!$K$4:$AJ$4,0)),NA(),IF(SUMPRODUCT((Inputs!$A$5:$A$180=$B22)*ISNUMBER(INDEX(Inputs!$K$5:$AJ$180,0,MATCH(AC$2,Inputs!$K$4:$AJ$4,0))))+SUMPRODUCT((Inputs!$C$5:$C$180=$B22)*ISNUMBER(INDEX(Inputs!$K$5:$AJ$180,0,MATCH(AC$2,Inputs!$K$4:$AJ$4,0))))+SUMPRODUCT((Inputs!$E$5:$E$180=$B22)*ISNUMBER(INDEX(Inputs!$K$5:$AJ$180,0,MATCH(AC$2,Inputs!$K$4:$AJ$4,0))))=0,NA(),SUMPRODUCT((Inputs!$A$5:$A$180=$B22)*Inputs!$B$5:$B$180*(((Inputs!$G$5:$G$180="moeda")+(Inputs!$G$5:$G$180="acoes"))*Inputs!$B$1+((Inputs!$G$5:$G$180&lt;&gt;"moeda")*(Inputs!$G$5:$G$180&lt;&gt;"acoes")))*INDEX(Inputs!$K$5:$AJ$180,0,MATCH(AC$2,Inputs!$K$4:$AJ$4,0)))+SUMPRODUCT((Inputs!$C$5:$C$180=$B22)*Inputs!$D$5:$D$180*(((Inputs!$G$5:$G$180="moeda")+(Inputs!$G$5:$G$180="acoes"))*Inputs!$B$1+((Inputs!$G$5:$G$180&lt;&gt;"moeda")*(Inputs!$G$5:$G$180&lt;&gt;"acoes")))*INDEX(Inputs!$K$5:$AJ$180,0,MATCH(AC$2,Inputs!$K$4:$AJ$4,0)))+SUMPRODUCT((Inputs!$E$5:$E$180=$B22)*Inputs!$F$5:$F$180*(((Inputs!$G$5:$G$180="moeda")+(Inputs!$G$5:$G$180="acoes"))*Inputs!$B$1+((Inputs!$G$5:$G$180&lt;&gt;"moeda")*(Inputs!$G$5:$G$180&lt;&gt;"acoes")))*INDEX(Inputs!$K$5:$AJ$180,0,MATCH(AC$2,Inputs!$K$4:$AJ$4,0)))))</f>
        <v>957.47019153</v>
      </c>
      <c r="AD22" s="6">
        <f>IF(ISNA(MATCH(AD$2,Inputs!$K$4:$AJ$4,0)),NA(),IF(SUMPRODUCT((Inputs!$A$5:$A$180=$B22)*ISNUMBER(INDEX(Inputs!$K$5:$AJ$180,0,MATCH(AD$2,Inputs!$K$4:$AJ$4,0))))+SUMPRODUCT((Inputs!$C$5:$C$180=$B22)*ISNUMBER(INDEX(Inputs!$K$5:$AJ$180,0,MATCH(AD$2,Inputs!$K$4:$AJ$4,0))))+SUMPRODUCT((Inputs!$E$5:$E$180=$B22)*ISNUMBER(INDEX(Inputs!$K$5:$AJ$180,0,MATCH(AD$2,Inputs!$K$4:$AJ$4,0))))=0,NA(),SUMPRODUCT((Inputs!$A$5:$A$180=$B22)*Inputs!$B$5:$B$180*(((Inputs!$G$5:$G$180="moeda")+(Inputs!$G$5:$G$180="acoes"))*Inputs!$B$1+((Inputs!$G$5:$G$180&lt;&gt;"moeda")*(Inputs!$G$5:$G$180&lt;&gt;"acoes")))*INDEX(Inputs!$K$5:$AJ$180,0,MATCH(AD$2,Inputs!$K$4:$AJ$4,0)))+SUMPRODUCT((Inputs!$C$5:$C$180=$B22)*Inputs!$D$5:$D$180*(((Inputs!$G$5:$G$180="moeda")+(Inputs!$G$5:$G$180="acoes"))*Inputs!$B$1+((Inputs!$G$5:$G$180&lt;&gt;"moeda")*(Inputs!$G$5:$G$180&lt;&gt;"acoes")))*INDEX(Inputs!$K$5:$AJ$180,0,MATCH(AD$2,Inputs!$K$4:$AJ$4,0)))+SUMPRODUCT((Inputs!$E$5:$E$180=$B22)*Inputs!$F$5:$F$180*(((Inputs!$G$5:$G$180="moeda")+(Inputs!$G$5:$G$180="acoes"))*Inputs!$B$1+((Inputs!$G$5:$G$180&lt;&gt;"moeda")*(Inputs!$G$5:$G$180&lt;&gt;"acoes")))*INDEX(Inputs!$K$5:$AJ$180,0,MATCH(AD$2,Inputs!$K$4:$AJ$4,0)))))</f>
        <v>966.3156716</v>
      </c>
      <c r="AE22" s="6" t="e">
        <f>IF(ISNA(MATCH(AE$2,Inputs!$K$4:$AJ$4,0)),NA(),IF(SUMPRODUCT((Inputs!$A$5:$A$180=$B22)*ISNUMBER(INDEX(Inputs!$K$5:$AJ$180,0,MATCH(AE$2,Inputs!$K$4:$AJ$4,0))))+SUMPRODUCT((Inputs!$C$5:$C$180=$B22)*ISNUMBER(INDEX(Inputs!$K$5:$AJ$180,0,MATCH(AE$2,Inputs!$K$4:$AJ$4,0))))+SUMPRODUCT((Inputs!$E$5:$E$180=$B22)*ISNUMBER(INDEX(Inputs!$K$5:$AJ$180,0,MATCH(AE$2,Inputs!$K$4:$AJ$4,0))))=0,NA(),SUMPRODUCT((Inputs!$A$5:$A$180=$B22)*Inputs!$B$5:$B$180*(((Inputs!$G$5:$G$180="moeda")+(Inputs!$G$5:$G$180="acoes"))*Inputs!$B$1+((Inputs!$G$5:$G$180&lt;&gt;"moeda")*(Inputs!$G$5:$G$180&lt;&gt;"acoes")))*INDEX(Inputs!$K$5:$AJ$180,0,MATCH(AE$2,Inputs!$K$4:$AJ$4,0)))+SUMPRODUCT((Inputs!$C$5:$C$180=$B22)*Inputs!$D$5:$D$180*(((Inputs!$G$5:$G$180="moeda")+(Inputs!$G$5:$G$180="acoes"))*Inputs!$B$1+((Inputs!$G$5:$G$180&lt;&gt;"moeda")*(Inputs!$G$5:$G$180&lt;&gt;"acoes")))*INDEX(Inputs!$K$5:$AJ$180,0,MATCH(AE$2,Inputs!$K$4:$AJ$4,0)))+SUMPRODUCT((Inputs!$E$5:$E$180=$B22)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2" s="6" t="e">
        <f>IF(ISNA(MATCH(AF$2,Inputs!$K$4:$AJ$4,0)),NA(),IF(SUMPRODUCT((Inputs!$A$5:$A$180=$B22)*ISNUMBER(INDEX(Inputs!$K$5:$AJ$180,0,MATCH(AF$2,Inputs!$K$4:$AJ$4,0))))+SUMPRODUCT((Inputs!$C$5:$C$180=$B22)*ISNUMBER(INDEX(Inputs!$K$5:$AJ$180,0,MATCH(AF$2,Inputs!$K$4:$AJ$4,0))))+SUMPRODUCT((Inputs!$E$5:$E$180=$B22)*ISNUMBER(INDEX(Inputs!$K$5:$AJ$180,0,MATCH(AF$2,Inputs!$K$4:$AJ$4,0))))=0,NA(),SUMPRODUCT((Inputs!$A$5:$A$180=$B22)*Inputs!$B$5:$B$180*(((Inputs!$G$5:$G$180="moeda")+(Inputs!$G$5:$G$180="acoes"))*Inputs!$B$1+((Inputs!$G$5:$G$180&lt;&gt;"moeda")*(Inputs!$G$5:$G$180&lt;&gt;"acoes")))*INDEX(Inputs!$K$5:$AJ$180,0,MATCH(AF$2,Inputs!$K$4:$AJ$4,0)))+SUMPRODUCT((Inputs!$C$5:$C$180=$B22)*Inputs!$D$5:$D$180*(((Inputs!$G$5:$G$180="moeda")+(Inputs!$G$5:$G$180="acoes"))*Inputs!$B$1+((Inputs!$G$5:$G$180&lt;&gt;"moeda")*(Inputs!$G$5:$G$180&lt;&gt;"acoes")))*INDEX(Inputs!$K$5:$AJ$180,0,MATCH(AF$2,Inputs!$K$4:$AJ$4,0)))+SUMPRODUCT((Inputs!$E$5:$E$180=$B22)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2" s="3" t="e">
        <f>AF22</f>
        <v>#N/A</v>
      </c>
      <c r="AH22" s="6">
        <f>IF(ISNA(MATCH(AH$2,Inputs!$K$4:$AJ$4,0)),NA(),IF(SUMPRODUCT((Inputs!$A$5:$A$180=$B22)*ISNUMBER(INDEX(Inputs!$K$5:$AJ$180,0,MATCH(AH$2,Inputs!$K$4:$AJ$4,0))))+SUMPRODUCT((Inputs!$C$5:$C$180=$B22)*ISNUMBER(INDEX(Inputs!$K$5:$AJ$180,0,MATCH(AH$2,Inputs!$K$4:$AJ$4,0))))+SUMPRODUCT((Inputs!$E$5:$E$180=$B22)*ISNUMBER(INDEX(Inputs!$K$5:$AJ$180,0,MATCH(AH$2,Inputs!$K$4:$AJ$4,0))))=0,NA(),SUMPRODUCT((Inputs!$A$5:$A$180=$B22)*Inputs!$B$5:$B$180*(((Inputs!$G$5:$G$180="moeda")+(Inputs!$G$5:$G$180="acoes"))*Inputs!$B$1+((Inputs!$G$5:$G$180&lt;&gt;"moeda")*(Inputs!$G$5:$G$180&lt;&gt;"acoes")))*INDEX(Inputs!$K$5:$AJ$180,0,MATCH(AH$2,Inputs!$K$4:$AJ$4,0)))+SUMPRODUCT((Inputs!$C$5:$C$180=$B22)*Inputs!$D$5:$D$180*(((Inputs!$G$5:$G$180="moeda")+(Inputs!$G$5:$G$180="acoes"))*Inputs!$B$1+((Inputs!$G$5:$G$180&lt;&gt;"moeda")*(Inputs!$G$5:$G$180&lt;&gt;"acoes")))*INDEX(Inputs!$K$5:$AJ$180,0,MATCH(AH$2,Inputs!$K$4:$AJ$4,0)))+SUMPRODUCT((Inputs!$E$5:$E$180=$B22)*Inputs!$F$5:$F$180*(((Inputs!$G$5:$G$180="moeda")+(Inputs!$G$5:$G$180="acoes"))*Inputs!$B$1+((Inputs!$G$5:$G$180&lt;&gt;"moeda")*(Inputs!$G$5:$G$180&lt;&gt;"acoes")))*INDEX(Inputs!$K$5:$AJ$180,0,MATCH(AH$2,Inputs!$K$4:$AJ$4,0)))))</f>
        <v>323.158</v>
      </c>
      <c r="AI22" s="6">
        <f>IF(ISNA(MATCH(AI$2,Inputs!$K$4:$AJ$4,0)),NA(),IF(SUMPRODUCT((Inputs!$A$5:$A$180=$B22)*ISNUMBER(INDEX(Inputs!$K$5:$AJ$180,0,MATCH(AI$2,Inputs!$K$4:$AJ$4,0))))+SUMPRODUCT((Inputs!$C$5:$C$180=$B22)*ISNUMBER(INDEX(Inputs!$K$5:$AJ$180,0,MATCH(AI$2,Inputs!$K$4:$AJ$4,0))))+SUMPRODUCT((Inputs!$E$5:$E$180=$B22)*ISNUMBER(INDEX(Inputs!$K$5:$AJ$180,0,MATCH(AI$2,Inputs!$K$4:$AJ$4,0))))=0,NA(),SUMPRODUCT((Inputs!$A$5:$A$180=$B22)*Inputs!$B$5:$B$180*(((Inputs!$G$5:$G$180="moeda")+(Inputs!$G$5:$G$180="acoes"))*Inputs!$B$1+((Inputs!$G$5:$G$180&lt;&gt;"moeda")*(Inputs!$G$5:$G$180&lt;&gt;"acoes")))*INDEX(Inputs!$K$5:$AJ$180,0,MATCH(AI$2,Inputs!$K$4:$AJ$4,0)))+SUMPRODUCT((Inputs!$C$5:$C$180=$B22)*Inputs!$D$5:$D$180*(((Inputs!$G$5:$G$180="moeda")+(Inputs!$G$5:$G$180="acoes"))*Inputs!$B$1+((Inputs!$G$5:$G$180&lt;&gt;"moeda")*(Inputs!$G$5:$G$180&lt;&gt;"acoes")))*INDEX(Inputs!$K$5:$AJ$180,0,MATCH(AI$2,Inputs!$K$4:$AJ$4,0)))+SUMPRODUCT((Inputs!$E$5:$E$180=$B22)*Inputs!$F$5:$F$180*(((Inputs!$G$5:$G$180="moeda")+(Inputs!$G$5:$G$180="acoes"))*Inputs!$B$1+((Inputs!$G$5:$G$180&lt;&gt;"moeda")*(Inputs!$G$5:$G$180&lt;&gt;"acoes")))*INDEX(Inputs!$K$5:$AJ$180,0,MATCH(AI$2,Inputs!$K$4:$AJ$4,0)))))</f>
        <v>325.80907259</v>
      </c>
      <c r="AJ22" s="6">
        <f>IF(ISNA(MATCH(AJ$2,Inputs!$K$4:$AJ$4,0)),NA(),IF(SUMPRODUCT((Inputs!$A$5:$A$180=$B22)*ISNUMBER(INDEX(Inputs!$K$5:$AJ$180,0,MATCH(AJ$2,Inputs!$K$4:$AJ$4,0))))+SUMPRODUCT((Inputs!$C$5:$C$180=$B22)*ISNUMBER(INDEX(Inputs!$K$5:$AJ$180,0,MATCH(AJ$2,Inputs!$K$4:$AJ$4,0))))+SUMPRODUCT((Inputs!$E$5:$E$180=$B22)*ISNUMBER(INDEX(Inputs!$K$5:$AJ$180,0,MATCH(AJ$2,Inputs!$K$4:$AJ$4,0))))=0,NA(),SUMPRODUCT((Inputs!$A$5:$A$180=$B22)*Inputs!$B$5:$B$180*(((Inputs!$G$5:$G$180="moeda")+(Inputs!$G$5:$G$180="acoes"))*Inputs!$B$1+((Inputs!$G$5:$G$180&lt;&gt;"moeda")*(Inputs!$G$5:$G$180&lt;&gt;"acoes")))*INDEX(Inputs!$K$5:$AJ$180,0,MATCH(AJ$2,Inputs!$K$4:$AJ$4,0)))+SUMPRODUCT((Inputs!$C$5:$C$180=$B22)*Inputs!$D$5:$D$180*(((Inputs!$G$5:$G$180="moeda")+(Inputs!$G$5:$G$180="acoes"))*Inputs!$B$1+((Inputs!$G$5:$G$180&lt;&gt;"moeda")*(Inputs!$G$5:$G$180&lt;&gt;"acoes")))*INDEX(Inputs!$K$5:$AJ$180,0,MATCH(AJ$2,Inputs!$K$4:$AJ$4,0)))+SUMPRODUCT((Inputs!$E$5:$E$180=$B22)*Inputs!$F$5:$F$180*(((Inputs!$G$5:$G$180="moeda")+(Inputs!$G$5:$G$180="acoes"))*Inputs!$B$1+((Inputs!$G$5:$G$180&lt;&gt;"moeda")*(Inputs!$G$5:$G$180&lt;&gt;"acoes")))*INDEX(Inputs!$K$5:$AJ$180,0,MATCH(AJ$2,Inputs!$K$4:$AJ$4,0)))))</f>
        <v>334.21093647</v>
      </c>
      <c r="AK22" s="6">
        <f>IF(ISNA(MATCH(AK$2,Inputs!$K$4:$AJ$4,0)),NA(),IF(SUMPRODUCT((Inputs!$A$5:$A$180=$B22)*ISNUMBER(INDEX(Inputs!$K$5:$AJ$180,0,MATCH(AK$2,Inputs!$K$4:$AJ$4,0))))+SUMPRODUCT((Inputs!$C$5:$C$180=$B22)*ISNUMBER(INDEX(Inputs!$K$5:$AJ$180,0,MATCH(AK$2,Inputs!$K$4:$AJ$4,0))))+SUMPRODUCT((Inputs!$E$5:$E$180=$B22)*ISNUMBER(INDEX(Inputs!$K$5:$AJ$180,0,MATCH(AK$2,Inputs!$K$4:$AJ$4,0))))=0,NA(),SUMPRODUCT((Inputs!$A$5:$A$180=$B22)*Inputs!$B$5:$B$180*(((Inputs!$G$5:$G$180="moeda")+(Inputs!$G$5:$G$180="acoes"))*Inputs!$B$1+((Inputs!$G$5:$G$180&lt;&gt;"moeda")*(Inputs!$G$5:$G$180&lt;&gt;"acoes")))*INDEX(Inputs!$K$5:$AJ$180,0,MATCH(AK$2,Inputs!$K$4:$AJ$4,0)))+SUMPRODUCT((Inputs!$C$5:$C$180=$B22)*Inputs!$D$5:$D$180*(((Inputs!$G$5:$G$180="moeda")+(Inputs!$G$5:$G$180="acoes"))*Inputs!$B$1+((Inputs!$G$5:$G$180&lt;&gt;"moeda")*(Inputs!$G$5:$G$180&lt;&gt;"acoes")))*INDEX(Inputs!$K$5:$AJ$180,0,MATCH(AK$2,Inputs!$K$4:$AJ$4,0)))+SUMPRODUCT((Inputs!$E$5:$E$180=$B22)*Inputs!$F$5:$F$180*(((Inputs!$G$5:$G$180="moeda")+(Inputs!$G$5:$G$180="acoes"))*Inputs!$B$1+((Inputs!$G$5:$G$180&lt;&gt;"moeda")*(Inputs!$G$5:$G$180&lt;&gt;"acoes")))*INDEX(Inputs!$K$5:$AJ$180,0,MATCH(AK$2,Inputs!$K$4:$AJ$4,0)))))</f>
        <v>340.9073531</v>
      </c>
      <c r="AL22" s="3">
        <f>AK22</f>
        <v>340.9073531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$180=$B23)*ISNUMBER(INDEX(Inputs!$K$5:$AJ$180,0,MATCH(D$2,Inputs!$K$4:$AJ$4,0))))+SUMPRODUCT((Inputs!$C$5:$C$180=$B23)*ISNUMBER(INDEX(Inputs!$K$5:$AJ$180,0,MATCH(D$2,Inputs!$K$4:$AJ$4,0))))+SUMPRODUCT((Inputs!$E$5:$E$180=$B23)*ISNUMBER(INDEX(Inputs!$K$5:$AJ$180,0,MATCH(D$2,Inputs!$K$4:$AJ$4,0))))=0,NA(),SUMPRODUCT((Inputs!$A$5:$A$180=$B23)*Inputs!$B$5:$B$180*(((Inputs!$G$5:$G$180="moeda")+(Inputs!$G$5:$G$180="acoes"))*Inputs!$B$1+((Inputs!$G$5:$G$180&lt;&gt;"moeda")*(Inputs!$G$5:$G$180&lt;&gt;"acoes")))*INDEX(Inputs!$K$5:$AJ$180,0,MATCH(D$2,Inputs!$K$4:$AJ$4,0)))+SUMPRODUCT((Inputs!$C$5:$C$180=$B23)*Inputs!$D$5:$D$180*(((Inputs!$G$5:$G$180="moeda")+(Inputs!$G$5:$G$180="acoes"))*Inputs!$B$1+((Inputs!$G$5:$G$180&lt;&gt;"moeda")*(Inputs!$G$5:$G$180&lt;&gt;"acoes")))*INDEX(Inputs!$K$5:$AJ$180,0,MATCH(D$2,Inputs!$K$4:$AJ$4,0)))+SUMPRODUCT((Inputs!$E$5:$E$180=$B23)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23" s="6" t="e">
        <f>IF(ISNA(MATCH(E$2,Inputs!$K$4:$AJ$4,0)),NA(),IF(SUMPRODUCT((Inputs!$A$5:$A$180=$B23)*ISNUMBER(INDEX(Inputs!$K$5:$AJ$180,0,MATCH(E$2,Inputs!$K$4:$AJ$4,0))))+SUMPRODUCT((Inputs!$C$5:$C$180=$B23)*ISNUMBER(INDEX(Inputs!$K$5:$AJ$180,0,MATCH(E$2,Inputs!$K$4:$AJ$4,0))))+SUMPRODUCT((Inputs!$E$5:$E$180=$B23)*ISNUMBER(INDEX(Inputs!$K$5:$AJ$180,0,MATCH(E$2,Inputs!$K$4:$AJ$4,0))))=0,NA(),SUMPRODUCT((Inputs!$A$5:$A$180=$B23)*Inputs!$B$5:$B$180*(((Inputs!$G$5:$G$180="moeda")+(Inputs!$G$5:$G$180="acoes"))*Inputs!$B$1+((Inputs!$G$5:$G$180&lt;&gt;"moeda")*(Inputs!$G$5:$G$180&lt;&gt;"acoes")))*INDEX(Inputs!$K$5:$AJ$180,0,MATCH(E$2,Inputs!$K$4:$AJ$4,0)))+SUMPRODUCT((Inputs!$C$5:$C$180=$B23)*Inputs!$D$5:$D$180*(((Inputs!$G$5:$G$180="moeda")+(Inputs!$G$5:$G$180="acoes"))*Inputs!$B$1+((Inputs!$G$5:$G$180&lt;&gt;"moeda")*(Inputs!$G$5:$G$180&lt;&gt;"acoes")))*INDEX(Inputs!$K$5:$AJ$180,0,MATCH(E$2,Inputs!$K$4:$AJ$4,0)))+SUMPRODUCT((Inputs!$E$5:$E$180=$B23)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23" s="6" t="e">
        <f>IF(ISNA(MATCH(F$2,Inputs!$K$4:$AJ$4,0)),NA(),IF(SUMPRODUCT((Inputs!$A$5:$A$180=$B23)*ISNUMBER(INDEX(Inputs!$K$5:$AJ$180,0,MATCH(F$2,Inputs!$K$4:$AJ$4,0))))+SUMPRODUCT((Inputs!$C$5:$C$180=$B23)*ISNUMBER(INDEX(Inputs!$K$5:$AJ$180,0,MATCH(F$2,Inputs!$K$4:$AJ$4,0))))+SUMPRODUCT((Inputs!$E$5:$E$180=$B23)*ISNUMBER(INDEX(Inputs!$K$5:$AJ$180,0,MATCH(F$2,Inputs!$K$4:$AJ$4,0))))=0,NA(),SUMPRODUCT((Inputs!$A$5:$A$180=$B23)*Inputs!$B$5:$B$180*(((Inputs!$G$5:$G$180="moeda")+(Inputs!$G$5:$G$180="acoes"))*Inputs!$B$1+((Inputs!$G$5:$G$180&lt;&gt;"moeda")*(Inputs!$G$5:$G$180&lt;&gt;"acoes")))*INDEX(Inputs!$K$5:$AJ$180,0,MATCH(F$2,Inputs!$K$4:$AJ$4,0)))+SUMPRODUCT((Inputs!$C$5:$C$180=$B23)*Inputs!$D$5:$D$180*(((Inputs!$G$5:$G$180="moeda")+(Inputs!$G$5:$G$180="acoes"))*Inputs!$B$1+((Inputs!$G$5:$G$180&lt;&gt;"moeda")*(Inputs!$G$5:$G$180&lt;&gt;"acoes")))*INDEX(Inputs!$K$5:$AJ$180,0,MATCH(F$2,Inputs!$K$4:$AJ$4,0)))+SUMPRODUCT((Inputs!$E$5:$E$180=$B23)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23" s="6" t="e">
        <f>IF(ISNA(MATCH(G$2,Inputs!$K$4:$AJ$4,0)),NA(),IF(SUMPRODUCT((Inputs!$A$5:$A$180=$B23)*ISNUMBER(INDEX(Inputs!$K$5:$AJ$180,0,MATCH(G$2,Inputs!$K$4:$AJ$4,0))))+SUMPRODUCT((Inputs!$C$5:$C$180=$B23)*ISNUMBER(INDEX(Inputs!$K$5:$AJ$180,0,MATCH(G$2,Inputs!$K$4:$AJ$4,0))))+SUMPRODUCT((Inputs!$E$5:$E$180=$B23)*ISNUMBER(INDEX(Inputs!$K$5:$AJ$180,0,MATCH(G$2,Inputs!$K$4:$AJ$4,0))))=0,NA(),SUMPRODUCT((Inputs!$A$5:$A$180=$B23)*Inputs!$B$5:$B$180*(((Inputs!$G$5:$G$180="moeda")+(Inputs!$G$5:$G$180="acoes"))*Inputs!$B$1+((Inputs!$G$5:$G$180&lt;&gt;"moeda")*(Inputs!$G$5:$G$180&lt;&gt;"acoes")))*INDEX(Inputs!$K$5:$AJ$180,0,MATCH(G$2,Inputs!$K$4:$AJ$4,0)))+SUMPRODUCT((Inputs!$C$5:$C$180=$B23)*Inputs!$D$5:$D$180*(((Inputs!$G$5:$G$180="moeda")+(Inputs!$G$5:$G$180="acoes"))*Inputs!$B$1+((Inputs!$G$5:$G$180&lt;&gt;"moeda")*(Inputs!$G$5:$G$180&lt;&gt;"acoes")))*INDEX(Inputs!$K$5:$AJ$180,0,MATCH(G$2,Inputs!$K$4:$AJ$4,0)))+SUMPRODUCT((Inputs!$E$5:$E$180=$B23)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23" s="3" t="e">
        <f>G23</f>
        <v>#N/A</v>
      </c>
      <c r="I23" s="6" t="e">
        <f>IF(ISNA(MATCH(I$2,Inputs!$K$4:$AJ$4,0)),NA(),IF(SUMPRODUCT((Inputs!$A$5:$A$180=$B23)*ISNUMBER(INDEX(Inputs!$K$5:$AJ$180,0,MATCH(I$2,Inputs!$K$4:$AJ$4,0))))+SUMPRODUCT((Inputs!$C$5:$C$180=$B23)*ISNUMBER(INDEX(Inputs!$K$5:$AJ$180,0,MATCH(I$2,Inputs!$K$4:$AJ$4,0))))+SUMPRODUCT((Inputs!$E$5:$E$180=$B23)*ISNUMBER(INDEX(Inputs!$K$5:$AJ$180,0,MATCH(I$2,Inputs!$K$4:$AJ$4,0))))=0,NA(),SUMPRODUCT((Inputs!$A$5:$A$180=$B23)*Inputs!$B$5:$B$180*(((Inputs!$G$5:$G$180="moeda")+(Inputs!$G$5:$G$180="acoes"))*Inputs!$B$1+((Inputs!$G$5:$G$180&lt;&gt;"moeda")*(Inputs!$G$5:$G$180&lt;&gt;"acoes")))*INDEX(Inputs!$K$5:$AJ$180,0,MATCH(I$2,Inputs!$K$4:$AJ$4,0)))+SUMPRODUCT((Inputs!$C$5:$C$180=$B23)*Inputs!$D$5:$D$180*(((Inputs!$G$5:$G$180="moeda")+(Inputs!$G$5:$G$180="acoes"))*Inputs!$B$1+((Inputs!$G$5:$G$180&lt;&gt;"moeda")*(Inputs!$G$5:$G$180&lt;&gt;"acoes")))*INDEX(Inputs!$K$5:$AJ$180,0,MATCH(I$2,Inputs!$K$4:$AJ$4,0)))+SUMPRODUCT((Inputs!$E$5:$E$180=$B23)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23" s="6" t="e">
        <f>IF(ISNA(MATCH(J$2,Inputs!$K$4:$AJ$4,0)),NA(),IF(SUMPRODUCT((Inputs!$A$5:$A$180=$B23)*ISNUMBER(INDEX(Inputs!$K$5:$AJ$180,0,MATCH(J$2,Inputs!$K$4:$AJ$4,0))))+SUMPRODUCT((Inputs!$C$5:$C$180=$B23)*ISNUMBER(INDEX(Inputs!$K$5:$AJ$180,0,MATCH(J$2,Inputs!$K$4:$AJ$4,0))))+SUMPRODUCT((Inputs!$E$5:$E$180=$B23)*ISNUMBER(INDEX(Inputs!$K$5:$AJ$180,0,MATCH(J$2,Inputs!$K$4:$AJ$4,0))))=0,NA(),SUMPRODUCT((Inputs!$A$5:$A$180=$B23)*Inputs!$B$5:$B$180*(((Inputs!$G$5:$G$180="moeda")+(Inputs!$G$5:$G$180="acoes"))*Inputs!$B$1+((Inputs!$G$5:$G$180&lt;&gt;"moeda")*(Inputs!$G$5:$G$180&lt;&gt;"acoes")))*INDEX(Inputs!$K$5:$AJ$180,0,MATCH(J$2,Inputs!$K$4:$AJ$4,0)))+SUMPRODUCT((Inputs!$C$5:$C$180=$B23)*Inputs!$D$5:$D$180*(((Inputs!$G$5:$G$180="moeda")+(Inputs!$G$5:$G$180="acoes"))*Inputs!$B$1+((Inputs!$G$5:$G$180&lt;&gt;"moeda")*(Inputs!$G$5:$G$180&lt;&gt;"acoes")))*INDEX(Inputs!$K$5:$AJ$180,0,MATCH(J$2,Inputs!$K$4:$AJ$4,0)))+SUMPRODUCT((Inputs!$E$5:$E$180=$B23)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23" s="6" t="e">
        <f>IF(ISNA(MATCH(K$2,Inputs!$K$4:$AJ$4,0)),NA(),IF(SUMPRODUCT((Inputs!$A$5:$A$180=$B23)*ISNUMBER(INDEX(Inputs!$K$5:$AJ$180,0,MATCH(K$2,Inputs!$K$4:$AJ$4,0))))+SUMPRODUCT((Inputs!$C$5:$C$180=$B23)*ISNUMBER(INDEX(Inputs!$K$5:$AJ$180,0,MATCH(K$2,Inputs!$K$4:$AJ$4,0))))+SUMPRODUCT((Inputs!$E$5:$E$180=$B23)*ISNUMBER(INDEX(Inputs!$K$5:$AJ$180,0,MATCH(K$2,Inputs!$K$4:$AJ$4,0))))=0,NA(),SUMPRODUCT((Inputs!$A$5:$A$180=$B23)*Inputs!$B$5:$B$180*(((Inputs!$G$5:$G$180="moeda")+(Inputs!$G$5:$G$180="acoes"))*Inputs!$B$1+((Inputs!$G$5:$G$180&lt;&gt;"moeda")*(Inputs!$G$5:$G$180&lt;&gt;"acoes")))*INDEX(Inputs!$K$5:$AJ$180,0,MATCH(K$2,Inputs!$K$4:$AJ$4,0)))+SUMPRODUCT((Inputs!$C$5:$C$180=$B23)*Inputs!$D$5:$D$180*(((Inputs!$G$5:$G$180="moeda")+(Inputs!$G$5:$G$180="acoes"))*Inputs!$B$1+((Inputs!$G$5:$G$180&lt;&gt;"moeda")*(Inputs!$G$5:$G$180&lt;&gt;"acoes")))*INDEX(Inputs!$K$5:$AJ$180,0,MATCH(K$2,Inputs!$K$4:$AJ$4,0)))+SUMPRODUCT((Inputs!$E$5:$E$180=$B23)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23" s="6" t="e">
        <f>IF(ISNA(MATCH(L$2,Inputs!$K$4:$AJ$4,0)),NA(),IF(SUMPRODUCT((Inputs!$A$5:$A$180=$B23)*ISNUMBER(INDEX(Inputs!$K$5:$AJ$180,0,MATCH(L$2,Inputs!$K$4:$AJ$4,0))))+SUMPRODUCT((Inputs!$C$5:$C$180=$B23)*ISNUMBER(INDEX(Inputs!$K$5:$AJ$180,0,MATCH(L$2,Inputs!$K$4:$AJ$4,0))))+SUMPRODUCT((Inputs!$E$5:$E$180=$B23)*ISNUMBER(INDEX(Inputs!$K$5:$AJ$180,0,MATCH(L$2,Inputs!$K$4:$AJ$4,0))))=0,NA(),SUMPRODUCT((Inputs!$A$5:$A$180=$B23)*Inputs!$B$5:$B$180*(((Inputs!$G$5:$G$180="moeda")+(Inputs!$G$5:$G$180="acoes"))*Inputs!$B$1+((Inputs!$G$5:$G$180&lt;&gt;"moeda")*(Inputs!$G$5:$G$180&lt;&gt;"acoes")))*INDEX(Inputs!$K$5:$AJ$180,0,MATCH(L$2,Inputs!$K$4:$AJ$4,0)))+SUMPRODUCT((Inputs!$C$5:$C$180=$B23)*Inputs!$D$5:$D$180*(((Inputs!$G$5:$G$180="moeda")+(Inputs!$G$5:$G$180="acoes"))*Inputs!$B$1+((Inputs!$G$5:$G$180&lt;&gt;"moeda")*(Inputs!$G$5:$G$180&lt;&gt;"acoes")))*INDEX(Inputs!$K$5:$AJ$180,0,MATCH(L$2,Inputs!$K$4:$AJ$4,0)))+SUMPRODUCT((Inputs!$E$5:$E$180=$B23)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23" s="3" t="e">
        <f>L23</f>
        <v>#N/A</v>
      </c>
      <c r="N23" s="6" t="e">
        <f>IF(ISNA(MATCH(N$2,Inputs!$K$4:$AJ$4,0)),NA(),IF(SUMPRODUCT((Inputs!$A$5:$A$180=$B23)*ISNUMBER(INDEX(Inputs!$K$5:$AJ$180,0,MATCH(N$2,Inputs!$K$4:$AJ$4,0))))+SUMPRODUCT((Inputs!$C$5:$C$180=$B23)*ISNUMBER(INDEX(Inputs!$K$5:$AJ$180,0,MATCH(N$2,Inputs!$K$4:$AJ$4,0))))+SUMPRODUCT((Inputs!$E$5:$E$180=$B23)*ISNUMBER(INDEX(Inputs!$K$5:$AJ$180,0,MATCH(N$2,Inputs!$K$4:$AJ$4,0))))=0,NA(),SUMPRODUCT((Inputs!$A$5:$A$180=$B23)*Inputs!$B$5:$B$180*(((Inputs!$G$5:$G$180="moeda")+(Inputs!$G$5:$G$180="acoes"))*Inputs!$B$1+((Inputs!$G$5:$G$180&lt;&gt;"moeda")*(Inputs!$G$5:$G$180&lt;&gt;"acoes")))*INDEX(Inputs!$K$5:$AJ$180,0,MATCH(N$2,Inputs!$K$4:$AJ$4,0)))+SUMPRODUCT((Inputs!$C$5:$C$180=$B23)*Inputs!$D$5:$D$180*(((Inputs!$G$5:$G$180="moeda")+(Inputs!$G$5:$G$180="acoes"))*Inputs!$B$1+((Inputs!$G$5:$G$180&lt;&gt;"moeda")*(Inputs!$G$5:$G$180&lt;&gt;"acoes")))*INDEX(Inputs!$K$5:$AJ$180,0,MATCH(N$2,Inputs!$K$4:$AJ$4,0)))+SUMPRODUCT((Inputs!$E$5:$E$180=$B23)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23" s="6" t="e">
        <f>IF(ISNA(MATCH(O$2,Inputs!$K$4:$AJ$4,0)),NA(),IF(SUMPRODUCT((Inputs!$A$5:$A$180=$B23)*ISNUMBER(INDEX(Inputs!$K$5:$AJ$180,0,MATCH(O$2,Inputs!$K$4:$AJ$4,0))))+SUMPRODUCT((Inputs!$C$5:$C$180=$B23)*ISNUMBER(INDEX(Inputs!$K$5:$AJ$180,0,MATCH(O$2,Inputs!$K$4:$AJ$4,0))))+SUMPRODUCT((Inputs!$E$5:$E$180=$B23)*ISNUMBER(INDEX(Inputs!$K$5:$AJ$180,0,MATCH(O$2,Inputs!$K$4:$AJ$4,0))))=0,NA(),SUMPRODUCT((Inputs!$A$5:$A$180=$B23)*Inputs!$B$5:$B$180*(((Inputs!$G$5:$G$180="moeda")+(Inputs!$G$5:$G$180="acoes"))*Inputs!$B$1+((Inputs!$G$5:$G$180&lt;&gt;"moeda")*(Inputs!$G$5:$G$180&lt;&gt;"acoes")))*INDEX(Inputs!$K$5:$AJ$180,0,MATCH(O$2,Inputs!$K$4:$AJ$4,0)))+SUMPRODUCT((Inputs!$C$5:$C$180=$B23)*Inputs!$D$5:$D$180*(((Inputs!$G$5:$G$180="moeda")+(Inputs!$G$5:$G$180="acoes"))*Inputs!$B$1+((Inputs!$G$5:$G$180&lt;&gt;"moeda")*(Inputs!$G$5:$G$180&lt;&gt;"acoes")))*INDEX(Inputs!$K$5:$AJ$180,0,MATCH(O$2,Inputs!$K$4:$AJ$4,0)))+SUMPRODUCT((Inputs!$E$5:$E$180=$B23)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23" s="6" t="e">
        <f>IF(ISNA(MATCH(P$2,Inputs!$K$4:$AJ$4,0)),NA(),IF(SUMPRODUCT((Inputs!$A$5:$A$180=$B23)*ISNUMBER(INDEX(Inputs!$K$5:$AJ$180,0,MATCH(P$2,Inputs!$K$4:$AJ$4,0))))+SUMPRODUCT((Inputs!$C$5:$C$180=$B23)*ISNUMBER(INDEX(Inputs!$K$5:$AJ$180,0,MATCH(P$2,Inputs!$K$4:$AJ$4,0))))+SUMPRODUCT((Inputs!$E$5:$E$180=$B23)*ISNUMBER(INDEX(Inputs!$K$5:$AJ$180,0,MATCH(P$2,Inputs!$K$4:$AJ$4,0))))=0,NA(),SUMPRODUCT((Inputs!$A$5:$A$180=$B23)*Inputs!$B$5:$B$180*(((Inputs!$G$5:$G$180="moeda")+(Inputs!$G$5:$G$180="acoes"))*Inputs!$B$1+((Inputs!$G$5:$G$180&lt;&gt;"moeda")*(Inputs!$G$5:$G$180&lt;&gt;"acoes")))*INDEX(Inputs!$K$5:$AJ$180,0,MATCH(P$2,Inputs!$K$4:$AJ$4,0)))+SUMPRODUCT((Inputs!$C$5:$C$180=$B23)*Inputs!$D$5:$D$180*(((Inputs!$G$5:$G$180="moeda")+(Inputs!$G$5:$G$180="acoes"))*Inputs!$B$1+((Inputs!$G$5:$G$180&lt;&gt;"moeda")*(Inputs!$G$5:$G$180&lt;&gt;"acoes")))*INDEX(Inputs!$K$5:$AJ$180,0,MATCH(P$2,Inputs!$K$4:$AJ$4,0)))+SUMPRODUCT((Inputs!$E$5:$E$180=$B23)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23" s="6" t="e">
        <f>IF(ISNA(MATCH(Q$2,Inputs!$K$4:$AJ$4,0)),NA(),IF(SUMPRODUCT((Inputs!$A$5:$A$180=$B23)*ISNUMBER(INDEX(Inputs!$K$5:$AJ$180,0,MATCH(Q$2,Inputs!$K$4:$AJ$4,0))))+SUMPRODUCT((Inputs!$C$5:$C$180=$B23)*ISNUMBER(INDEX(Inputs!$K$5:$AJ$180,0,MATCH(Q$2,Inputs!$K$4:$AJ$4,0))))+SUMPRODUCT((Inputs!$E$5:$E$180=$B23)*ISNUMBER(INDEX(Inputs!$K$5:$AJ$180,0,MATCH(Q$2,Inputs!$K$4:$AJ$4,0))))=0,NA(),SUMPRODUCT((Inputs!$A$5:$A$180=$B23)*Inputs!$B$5:$B$180*(((Inputs!$G$5:$G$180="moeda")+(Inputs!$G$5:$G$180="acoes"))*Inputs!$B$1+((Inputs!$G$5:$G$180&lt;&gt;"moeda")*(Inputs!$G$5:$G$180&lt;&gt;"acoes")))*INDEX(Inputs!$K$5:$AJ$180,0,MATCH(Q$2,Inputs!$K$4:$AJ$4,0)))+SUMPRODUCT((Inputs!$C$5:$C$180=$B23)*Inputs!$D$5:$D$180*(((Inputs!$G$5:$G$180="moeda")+(Inputs!$G$5:$G$180="acoes"))*Inputs!$B$1+((Inputs!$G$5:$G$180&lt;&gt;"moeda")*(Inputs!$G$5:$G$180&lt;&gt;"acoes")))*INDEX(Inputs!$K$5:$AJ$180,0,MATCH(Q$2,Inputs!$K$4:$AJ$4,0)))+SUMPRODUCT((Inputs!$E$5:$E$180=$B23)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23" s="3" t="e">
        <f>Q23</f>
        <v>#N/A</v>
      </c>
      <c r="S23" s="6" t="e">
        <f>IF(ISNA(MATCH(S$2,Inputs!$K$4:$AJ$4,0)),NA(),IF(SUMPRODUCT((Inputs!$A$5:$A$180=$B23)*ISNUMBER(INDEX(Inputs!$K$5:$AJ$180,0,MATCH(S$2,Inputs!$K$4:$AJ$4,0))))+SUMPRODUCT((Inputs!$C$5:$C$180=$B23)*ISNUMBER(INDEX(Inputs!$K$5:$AJ$180,0,MATCH(S$2,Inputs!$K$4:$AJ$4,0))))+SUMPRODUCT((Inputs!$E$5:$E$180=$B23)*ISNUMBER(INDEX(Inputs!$K$5:$AJ$180,0,MATCH(S$2,Inputs!$K$4:$AJ$4,0))))=0,NA(),SUMPRODUCT((Inputs!$A$5:$A$180=$B23)*Inputs!$B$5:$B$180*(((Inputs!$G$5:$G$180="moeda")+(Inputs!$G$5:$G$180="acoes"))*Inputs!$B$1+((Inputs!$G$5:$G$180&lt;&gt;"moeda")*(Inputs!$G$5:$G$180&lt;&gt;"acoes")))*INDEX(Inputs!$K$5:$AJ$180,0,MATCH(S$2,Inputs!$K$4:$AJ$4,0)))+SUMPRODUCT((Inputs!$C$5:$C$180=$B23)*Inputs!$D$5:$D$180*(((Inputs!$G$5:$G$180="moeda")+(Inputs!$G$5:$G$180="acoes"))*Inputs!$B$1+((Inputs!$G$5:$G$180&lt;&gt;"moeda")*(Inputs!$G$5:$G$180&lt;&gt;"acoes")))*INDEX(Inputs!$K$5:$AJ$180,0,MATCH(S$2,Inputs!$K$4:$AJ$4,0)))+SUMPRODUCT((Inputs!$E$5:$E$180=$B23)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23" s="6" t="e">
        <f>IF(ISNA(MATCH(T$2,Inputs!$K$4:$AJ$4,0)),NA(),IF(SUMPRODUCT((Inputs!$A$5:$A$180=$B23)*ISNUMBER(INDEX(Inputs!$K$5:$AJ$180,0,MATCH(T$2,Inputs!$K$4:$AJ$4,0))))+SUMPRODUCT((Inputs!$C$5:$C$180=$B23)*ISNUMBER(INDEX(Inputs!$K$5:$AJ$180,0,MATCH(T$2,Inputs!$K$4:$AJ$4,0))))+SUMPRODUCT((Inputs!$E$5:$E$180=$B23)*ISNUMBER(INDEX(Inputs!$K$5:$AJ$180,0,MATCH(T$2,Inputs!$K$4:$AJ$4,0))))=0,NA(),SUMPRODUCT((Inputs!$A$5:$A$180=$B23)*Inputs!$B$5:$B$180*(((Inputs!$G$5:$G$180="moeda")+(Inputs!$G$5:$G$180="acoes"))*Inputs!$B$1+((Inputs!$G$5:$G$180&lt;&gt;"moeda")*(Inputs!$G$5:$G$180&lt;&gt;"acoes")))*INDEX(Inputs!$K$5:$AJ$180,0,MATCH(T$2,Inputs!$K$4:$AJ$4,0)))+SUMPRODUCT((Inputs!$C$5:$C$180=$B23)*Inputs!$D$5:$D$180*(((Inputs!$G$5:$G$180="moeda")+(Inputs!$G$5:$G$180="acoes"))*Inputs!$B$1+((Inputs!$G$5:$G$180&lt;&gt;"moeda")*(Inputs!$G$5:$G$180&lt;&gt;"acoes")))*INDEX(Inputs!$K$5:$AJ$180,0,MATCH(T$2,Inputs!$K$4:$AJ$4,0)))+SUMPRODUCT((Inputs!$E$5:$E$180=$B23)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23" s="6" t="e">
        <f>IF(ISNA(MATCH(U$2,Inputs!$K$4:$AJ$4,0)),NA(),IF(SUMPRODUCT((Inputs!$A$5:$A$180=$B23)*ISNUMBER(INDEX(Inputs!$K$5:$AJ$180,0,MATCH(U$2,Inputs!$K$4:$AJ$4,0))))+SUMPRODUCT((Inputs!$C$5:$C$180=$B23)*ISNUMBER(INDEX(Inputs!$K$5:$AJ$180,0,MATCH(U$2,Inputs!$K$4:$AJ$4,0))))+SUMPRODUCT((Inputs!$E$5:$E$180=$B23)*ISNUMBER(INDEX(Inputs!$K$5:$AJ$180,0,MATCH(U$2,Inputs!$K$4:$AJ$4,0))))=0,NA(),SUMPRODUCT((Inputs!$A$5:$A$180=$B23)*Inputs!$B$5:$B$180*(((Inputs!$G$5:$G$180="moeda")+(Inputs!$G$5:$G$180="acoes"))*Inputs!$B$1+((Inputs!$G$5:$G$180&lt;&gt;"moeda")*(Inputs!$G$5:$G$180&lt;&gt;"acoes")))*INDEX(Inputs!$K$5:$AJ$180,0,MATCH(U$2,Inputs!$K$4:$AJ$4,0)))+SUMPRODUCT((Inputs!$C$5:$C$180=$B23)*Inputs!$D$5:$D$180*(((Inputs!$G$5:$G$180="moeda")+(Inputs!$G$5:$G$180="acoes"))*Inputs!$B$1+((Inputs!$G$5:$G$180&lt;&gt;"moeda")*(Inputs!$G$5:$G$180&lt;&gt;"acoes")))*INDEX(Inputs!$K$5:$AJ$180,0,MATCH(U$2,Inputs!$K$4:$AJ$4,0)))+SUMPRODUCT((Inputs!$E$5:$E$180=$B23)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23" s="6" t="e">
        <f>IF(ISNA(MATCH(V$2,Inputs!$K$4:$AJ$4,0)),NA(),IF(SUMPRODUCT((Inputs!$A$5:$A$180=$B23)*ISNUMBER(INDEX(Inputs!$K$5:$AJ$180,0,MATCH(V$2,Inputs!$K$4:$AJ$4,0))))+SUMPRODUCT((Inputs!$C$5:$C$180=$B23)*ISNUMBER(INDEX(Inputs!$K$5:$AJ$180,0,MATCH(V$2,Inputs!$K$4:$AJ$4,0))))+SUMPRODUCT((Inputs!$E$5:$E$180=$B23)*ISNUMBER(INDEX(Inputs!$K$5:$AJ$180,0,MATCH(V$2,Inputs!$K$4:$AJ$4,0))))=0,NA(),SUMPRODUCT((Inputs!$A$5:$A$180=$B23)*Inputs!$B$5:$B$180*(((Inputs!$G$5:$G$180="moeda")+(Inputs!$G$5:$G$180="acoes"))*Inputs!$B$1+((Inputs!$G$5:$G$180&lt;&gt;"moeda")*(Inputs!$G$5:$G$180&lt;&gt;"acoes")))*INDEX(Inputs!$K$5:$AJ$180,0,MATCH(V$2,Inputs!$K$4:$AJ$4,0)))+SUMPRODUCT((Inputs!$C$5:$C$180=$B23)*Inputs!$D$5:$D$180*(((Inputs!$G$5:$G$180="moeda")+(Inputs!$G$5:$G$180="acoes"))*Inputs!$B$1+((Inputs!$G$5:$G$180&lt;&gt;"moeda")*(Inputs!$G$5:$G$180&lt;&gt;"acoes")))*INDEX(Inputs!$K$5:$AJ$180,0,MATCH(V$2,Inputs!$K$4:$AJ$4,0)))+SUMPRODUCT((Inputs!$E$5:$E$180=$B23)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23" s="3" t="e">
        <f>V23</f>
        <v>#N/A</v>
      </c>
      <c r="X23" s="6" t="e">
        <f>IF(ISNA(MATCH(X$2,Inputs!$K$4:$AJ$4,0)),NA(),IF(SUMPRODUCT((Inputs!$A$5:$A$180=$B23)*ISNUMBER(INDEX(Inputs!$K$5:$AJ$180,0,MATCH(X$2,Inputs!$K$4:$AJ$4,0))))+SUMPRODUCT((Inputs!$C$5:$C$180=$B23)*ISNUMBER(INDEX(Inputs!$K$5:$AJ$180,0,MATCH(X$2,Inputs!$K$4:$AJ$4,0))))+SUMPRODUCT((Inputs!$E$5:$E$180=$B23)*ISNUMBER(INDEX(Inputs!$K$5:$AJ$180,0,MATCH(X$2,Inputs!$K$4:$AJ$4,0))))=0,NA(),SUMPRODUCT((Inputs!$A$5:$A$180=$B23)*Inputs!$B$5:$B$180*(((Inputs!$G$5:$G$180="moeda")+(Inputs!$G$5:$G$180="acoes"))*Inputs!$B$1+((Inputs!$G$5:$G$180&lt;&gt;"moeda")*(Inputs!$G$5:$G$180&lt;&gt;"acoes")))*INDEX(Inputs!$K$5:$AJ$180,0,MATCH(X$2,Inputs!$K$4:$AJ$4,0)))+SUMPRODUCT((Inputs!$C$5:$C$180=$B23)*Inputs!$D$5:$D$180*(((Inputs!$G$5:$G$180="moeda")+(Inputs!$G$5:$G$180="acoes"))*Inputs!$B$1+((Inputs!$G$5:$G$180&lt;&gt;"moeda")*(Inputs!$G$5:$G$180&lt;&gt;"acoes")))*INDEX(Inputs!$K$5:$AJ$180,0,MATCH(X$2,Inputs!$K$4:$AJ$4,0)))+SUMPRODUCT((Inputs!$E$5:$E$180=$B23)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23" s="6" t="e">
        <f>IF(ISNA(MATCH(Y$2,Inputs!$K$4:$AJ$4,0)),NA(),IF(SUMPRODUCT((Inputs!$A$5:$A$180=$B23)*ISNUMBER(INDEX(Inputs!$K$5:$AJ$180,0,MATCH(Y$2,Inputs!$K$4:$AJ$4,0))))+SUMPRODUCT((Inputs!$C$5:$C$180=$B23)*ISNUMBER(INDEX(Inputs!$K$5:$AJ$180,0,MATCH(Y$2,Inputs!$K$4:$AJ$4,0))))+SUMPRODUCT((Inputs!$E$5:$E$180=$B23)*ISNUMBER(INDEX(Inputs!$K$5:$AJ$180,0,MATCH(Y$2,Inputs!$K$4:$AJ$4,0))))=0,NA(),SUMPRODUCT((Inputs!$A$5:$A$180=$B23)*Inputs!$B$5:$B$180*(((Inputs!$G$5:$G$180="moeda")+(Inputs!$G$5:$G$180="acoes"))*Inputs!$B$1+((Inputs!$G$5:$G$180&lt;&gt;"moeda")*(Inputs!$G$5:$G$180&lt;&gt;"acoes")))*INDEX(Inputs!$K$5:$AJ$180,0,MATCH(Y$2,Inputs!$K$4:$AJ$4,0)))+SUMPRODUCT((Inputs!$C$5:$C$180=$B23)*Inputs!$D$5:$D$180*(((Inputs!$G$5:$G$180="moeda")+(Inputs!$G$5:$G$180="acoes"))*Inputs!$B$1+((Inputs!$G$5:$G$180&lt;&gt;"moeda")*(Inputs!$G$5:$G$180&lt;&gt;"acoes")))*INDEX(Inputs!$K$5:$AJ$180,0,MATCH(Y$2,Inputs!$K$4:$AJ$4,0)))+SUMPRODUCT((Inputs!$E$5:$E$180=$B23)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23" s="6" t="e">
        <f>IF(ISNA(MATCH(Z$2,Inputs!$K$4:$AJ$4,0)),NA(),IF(SUMPRODUCT((Inputs!$A$5:$A$180=$B23)*ISNUMBER(INDEX(Inputs!$K$5:$AJ$180,0,MATCH(Z$2,Inputs!$K$4:$AJ$4,0))))+SUMPRODUCT((Inputs!$C$5:$C$180=$B23)*ISNUMBER(INDEX(Inputs!$K$5:$AJ$180,0,MATCH(Z$2,Inputs!$K$4:$AJ$4,0))))+SUMPRODUCT((Inputs!$E$5:$E$180=$B23)*ISNUMBER(INDEX(Inputs!$K$5:$AJ$180,0,MATCH(Z$2,Inputs!$K$4:$AJ$4,0))))=0,NA(),SUMPRODUCT((Inputs!$A$5:$A$180=$B23)*Inputs!$B$5:$B$180*(((Inputs!$G$5:$G$180="moeda")+(Inputs!$G$5:$G$180="acoes"))*Inputs!$B$1+((Inputs!$G$5:$G$180&lt;&gt;"moeda")*(Inputs!$G$5:$G$180&lt;&gt;"acoes")))*INDEX(Inputs!$K$5:$AJ$180,0,MATCH(Z$2,Inputs!$K$4:$AJ$4,0)))+SUMPRODUCT((Inputs!$C$5:$C$180=$B23)*Inputs!$D$5:$D$180*(((Inputs!$G$5:$G$180="moeda")+(Inputs!$G$5:$G$180="acoes"))*Inputs!$B$1+((Inputs!$G$5:$G$180&lt;&gt;"moeda")*(Inputs!$G$5:$G$180&lt;&gt;"acoes")))*INDEX(Inputs!$K$5:$AJ$180,0,MATCH(Z$2,Inputs!$K$4:$AJ$4,0)))+SUMPRODUCT((Inputs!$E$5:$E$180=$B23)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23" s="6" t="e">
        <f>IF(ISNA(MATCH(AA$2,Inputs!$K$4:$AJ$4,0)),NA(),IF(SUMPRODUCT((Inputs!$A$5:$A$180=$B23)*ISNUMBER(INDEX(Inputs!$K$5:$AJ$180,0,MATCH(AA$2,Inputs!$K$4:$AJ$4,0))))+SUMPRODUCT((Inputs!$C$5:$C$180=$B23)*ISNUMBER(INDEX(Inputs!$K$5:$AJ$180,0,MATCH(AA$2,Inputs!$K$4:$AJ$4,0))))+SUMPRODUCT((Inputs!$E$5:$E$180=$B23)*ISNUMBER(INDEX(Inputs!$K$5:$AJ$180,0,MATCH(AA$2,Inputs!$K$4:$AJ$4,0))))=0,NA(),SUMPRODUCT((Inputs!$A$5:$A$180=$B23)*Inputs!$B$5:$B$180*(((Inputs!$G$5:$G$180="moeda")+(Inputs!$G$5:$G$180="acoes"))*Inputs!$B$1+((Inputs!$G$5:$G$180&lt;&gt;"moeda")*(Inputs!$G$5:$G$180&lt;&gt;"acoes")))*INDEX(Inputs!$K$5:$AJ$180,0,MATCH(AA$2,Inputs!$K$4:$AJ$4,0)))+SUMPRODUCT((Inputs!$C$5:$C$180=$B23)*Inputs!$D$5:$D$180*(((Inputs!$G$5:$G$180="moeda")+(Inputs!$G$5:$G$180="acoes"))*Inputs!$B$1+((Inputs!$G$5:$G$180&lt;&gt;"moeda")*(Inputs!$G$5:$G$180&lt;&gt;"acoes")))*INDEX(Inputs!$K$5:$AJ$180,0,MATCH(AA$2,Inputs!$K$4:$AJ$4,0)))+SUMPRODUCT((Inputs!$E$5:$E$180=$B23)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23" s="3" t="e">
        <f>AA23</f>
        <v>#N/A</v>
      </c>
      <c r="AC23" s="6" t="e">
        <f>IF(ISNA(MATCH(AC$2,Inputs!$K$4:$AJ$4,0)),NA(),IF(SUMPRODUCT((Inputs!$A$5:$A$180=$B23)*ISNUMBER(INDEX(Inputs!$K$5:$AJ$180,0,MATCH(AC$2,Inputs!$K$4:$AJ$4,0))))+SUMPRODUCT((Inputs!$C$5:$C$180=$B23)*ISNUMBER(INDEX(Inputs!$K$5:$AJ$180,0,MATCH(AC$2,Inputs!$K$4:$AJ$4,0))))+SUMPRODUCT((Inputs!$E$5:$E$180=$B23)*ISNUMBER(INDEX(Inputs!$K$5:$AJ$180,0,MATCH(AC$2,Inputs!$K$4:$AJ$4,0))))=0,NA(),SUMPRODUCT((Inputs!$A$5:$A$180=$B23)*Inputs!$B$5:$B$180*(((Inputs!$G$5:$G$180="moeda")+(Inputs!$G$5:$G$180="acoes"))*Inputs!$B$1+((Inputs!$G$5:$G$180&lt;&gt;"moeda")*(Inputs!$G$5:$G$180&lt;&gt;"acoes")))*INDEX(Inputs!$K$5:$AJ$180,0,MATCH(AC$2,Inputs!$K$4:$AJ$4,0)))+SUMPRODUCT((Inputs!$C$5:$C$180=$B23)*Inputs!$D$5:$D$180*(((Inputs!$G$5:$G$180="moeda")+(Inputs!$G$5:$G$180="acoes"))*Inputs!$B$1+((Inputs!$G$5:$G$180&lt;&gt;"moeda")*(Inputs!$G$5:$G$180&lt;&gt;"acoes")))*INDEX(Inputs!$K$5:$AJ$180,0,MATCH(AC$2,Inputs!$K$4:$AJ$4,0)))+SUMPRODUCT((Inputs!$E$5:$E$180=$B23)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23" s="6" t="e">
        <f>IF(ISNA(MATCH(AD$2,Inputs!$K$4:$AJ$4,0)),NA(),IF(SUMPRODUCT((Inputs!$A$5:$A$180=$B23)*ISNUMBER(INDEX(Inputs!$K$5:$AJ$180,0,MATCH(AD$2,Inputs!$K$4:$AJ$4,0))))+SUMPRODUCT((Inputs!$C$5:$C$180=$B23)*ISNUMBER(INDEX(Inputs!$K$5:$AJ$180,0,MATCH(AD$2,Inputs!$K$4:$AJ$4,0))))+SUMPRODUCT((Inputs!$E$5:$E$180=$B23)*ISNUMBER(INDEX(Inputs!$K$5:$AJ$180,0,MATCH(AD$2,Inputs!$K$4:$AJ$4,0))))=0,NA(),SUMPRODUCT((Inputs!$A$5:$A$180=$B23)*Inputs!$B$5:$B$180*(((Inputs!$G$5:$G$180="moeda")+(Inputs!$G$5:$G$180="acoes"))*Inputs!$B$1+((Inputs!$G$5:$G$180&lt;&gt;"moeda")*(Inputs!$G$5:$G$180&lt;&gt;"acoes")))*INDEX(Inputs!$K$5:$AJ$180,0,MATCH(AD$2,Inputs!$K$4:$AJ$4,0)))+SUMPRODUCT((Inputs!$C$5:$C$180=$B23)*Inputs!$D$5:$D$180*(((Inputs!$G$5:$G$180="moeda")+(Inputs!$G$5:$G$180="acoes"))*Inputs!$B$1+((Inputs!$G$5:$G$180&lt;&gt;"moeda")*(Inputs!$G$5:$G$180&lt;&gt;"acoes")))*INDEX(Inputs!$K$5:$AJ$180,0,MATCH(AD$2,Inputs!$K$4:$AJ$4,0)))+SUMPRODUCT((Inputs!$E$5:$E$180=$B23)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23" s="6" t="e">
        <f>IF(ISNA(MATCH(AE$2,Inputs!$K$4:$AJ$4,0)),NA(),IF(SUMPRODUCT((Inputs!$A$5:$A$180=$B23)*ISNUMBER(INDEX(Inputs!$K$5:$AJ$180,0,MATCH(AE$2,Inputs!$K$4:$AJ$4,0))))+SUMPRODUCT((Inputs!$C$5:$C$180=$B23)*ISNUMBER(INDEX(Inputs!$K$5:$AJ$180,0,MATCH(AE$2,Inputs!$K$4:$AJ$4,0))))+SUMPRODUCT((Inputs!$E$5:$E$180=$B23)*ISNUMBER(INDEX(Inputs!$K$5:$AJ$180,0,MATCH(AE$2,Inputs!$K$4:$AJ$4,0))))=0,NA(),SUMPRODUCT((Inputs!$A$5:$A$180=$B23)*Inputs!$B$5:$B$180*(((Inputs!$G$5:$G$180="moeda")+(Inputs!$G$5:$G$180="acoes"))*Inputs!$B$1+((Inputs!$G$5:$G$180&lt;&gt;"moeda")*(Inputs!$G$5:$G$180&lt;&gt;"acoes")))*INDEX(Inputs!$K$5:$AJ$180,0,MATCH(AE$2,Inputs!$K$4:$AJ$4,0)))+SUMPRODUCT((Inputs!$C$5:$C$180=$B23)*Inputs!$D$5:$D$180*(((Inputs!$G$5:$G$180="moeda")+(Inputs!$G$5:$G$180="acoes"))*Inputs!$B$1+((Inputs!$G$5:$G$180&lt;&gt;"moeda")*(Inputs!$G$5:$G$180&lt;&gt;"acoes")))*INDEX(Inputs!$K$5:$AJ$180,0,MATCH(AE$2,Inputs!$K$4:$AJ$4,0)))+SUMPRODUCT((Inputs!$E$5:$E$180=$B23)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3" s="6" t="e">
        <f>IF(ISNA(MATCH(AF$2,Inputs!$K$4:$AJ$4,0)),NA(),IF(SUMPRODUCT((Inputs!$A$5:$A$180=$B23)*ISNUMBER(INDEX(Inputs!$K$5:$AJ$180,0,MATCH(AF$2,Inputs!$K$4:$AJ$4,0))))+SUMPRODUCT((Inputs!$C$5:$C$180=$B23)*ISNUMBER(INDEX(Inputs!$K$5:$AJ$180,0,MATCH(AF$2,Inputs!$K$4:$AJ$4,0))))+SUMPRODUCT((Inputs!$E$5:$E$180=$B23)*ISNUMBER(INDEX(Inputs!$K$5:$AJ$180,0,MATCH(AF$2,Inputs!$K$4:$AJ$4,0))))=0,NA(),SUMPRODUCT((Inputs!$A$5:$A$180=$B23)*Inputs!$B$5:$B$180*(((Inputs!$G$5:$G$180="moeda")+(Inputs!$G$5:$G$180="acoes"))*Inputs!$B$1+((Inputs!$G$5:$G$180&lt;&gt;"moeda")*(Inputs!$G$5:$G$180&lt;&gt;"acoes")))*INDEX(Inputs!$K$5:$AJ$180,0,MATCH(AF$2,Inputs!$K$4:$AJ$4,0)))+SUMPRODUCT((Inputs!$C$5:$C$180=$B23)*Inputs!$D$5:$D$180*(((Inputs!$G$5:$G$180="moeda")+(Inputs!$G$5:$G$180="acoes"))*Inputs!$B$1+((Inputs!$G$5:$G$180&lt;&gt;"moeda")*(Inputs!$G$5:$G$180&lt;&gt;"acoes")))*INDEX(Inputs!$K$5:$AJ$180,0,MATCH(AF$2,Inputs!$K$4:$AJ$4,0)))+SUMPRODUCT((Inputs!$E$5:$E$180=$B23)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3" s="3" t="e">
        <f>AF23</f>
        <v>#N/A</v>
      </c>
      <c r="AH23" s="6" t="e">
        <f>IF(ISNA(MATCH(AH$2,Inputs!$K$4:$AJ$4,0)),NA(),IF(SUMPRODUCT((Inputs!$A$5:$A$180=$B23)*ISNUMBER(INDEX(Inputs!$K$5:$AJ$180,0,MATCH(AH$2,Inputs!$K$4:$AJ$4,0))))+SUMPRODUCT((Inputs!$C$5:$C$180=$B23)*ISNUMBER(INDEX(Inputs!$K$5:$AJ$180,0,MATCH(AH$2,Inputs!$K$4:$AJ$4,0))))+SUMPRODUCT((Inputs!$E$5:$E$180=$B23)*ISNUMBER(INDEX(Inputs!$K$5:$AJ$180,0,MATCH(AH$2,Inputs!$K$4:$AJ$4,0))))=0,NA(),SUMPRODUCT((Inputs!$A$5:$A$180=$B23)*Inputs!$B$5:$B$180*(((Inputs!$G$5:$G$180="moeda")+(Inputs!$G$5:$G$180="acoes"))*Inputs!$B$1+((Inputs!$G$5:$G$180&lt;&gt;"moeda")*(Inputs!$G$5:$G$180&lt;&gt;"acoes")))*INDEX(Inputs!$K$5:$AJ$180,0,MATCH(AH$2,Inputs!$K$4:$AJ$4,0)))+SUMPRODUCT((Inputs!$C$5:$C$180=$B23)*Inputs!$D$5:$D$180*(((Inputs!$G$5:$G$180="moeda")+(Inputs!$G$5:$G$180="acoes"))*Inputs!$B$1+((Inputs!$G$5:$G$180&lt;&gt;"moeda")*(Inputs!$G$5:$G$180&lt;&gt;"acoes")))*INDEX(Inputs!$K$5:$AJ$180,0,MATCH(AH$2,Inputs!$K$4:$AJ$4,0)))+SUMPRODUCT((Inputs!$E$5:$E$180=$B23)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23" s="6" t="e">
        <f>IF(ISNA(MATCH(AI$2,Inputs!$K$4:$AJ$4,0)),NA(),IF(SUMPRODUCT((Inputs!$A$5:$A$180=$B23)*ISNUMBER(INDEX(Inputs!$K$5:$AJ$180,0,MATCH(AI$2,Inputs!$K$4:$AJ$4,0))))+SUMPRODUCT((Inputs!$C$5:$C$180=$B23)*ISNUMBER(INDEX(Inputs!$K$5:$AJ$180,0,MATCH(AI$2,Inputs!$K$4:$AJ$4,0))))+SUMPRODUCT((Inputs!$E$5:$E$180=$B23)*ISNUMBER(INDEX(Inputs!$K$5:$AJ$180,0,MATCH(AI$2,Inputs!$K$4:$AJ$4,0))))=0,NA(),SUMPRODUCT((Inputs!$A$5:$A$180=$B23)*Inputs!$B$5:$B$180*(((Inputs!$G$5:$G$180="moeda")+(Inputs!$G$5:$G$180="acoes"))*Inputs!$B$1+((Inputs!$G$5:$G$180&lt;&gt;"moeda")*(Inputs!$G$5:$G$180&lt;&gt;"acoes")))*INDEX(Inputs!$K$5:$AJ$180,0,MATCH(AI$2,Inputs!$K$4:$AJ$4,0)))+SUMPRODUCT((Inputs!$C$5:$C$180=$B23)*Inputs!$D$5:$D$180*(((Inputs!$G$5:$G$180="moeda")+(Inputs!$G$5:$G$180="acoes"))*Inputs!$B$1+((Inputs!$G$5:$G$180&lt;&gt;"moeda")*(Inputs!$G$5:$G$180&lt;&gt;"acoes")))*INDEX(Inputs!$K$5:$AJ$180,0,MATCH(AI$2,Inputs!$K$4:$AJ$4,0)))+SUMPRODUCT((Inputs!$E$5:$E$180=$B23)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23" s="6" t="e">
        <f>IF(ISNA(MATCH(AJ$2,Inputs!$K$4:$AJ$4,0)),NA(),IF(SUMPRODUCT((Inputs!$A$5:$A$180=$B23)*ISNUMBER(INDEX(Inputs!$K$5:$AJ$180,0,MATCH(AJ$2,Inputs!$K$4:$AJ$4,0))))+SUMPRODUCT((Inputs!$C$5:$C$180=$B23)*ISNUMBER(INDEX(Inputs!$K$5:$AJ$180,0,MATCH(AJ$2,Inputs!$K$4:$AJ$4,0))))+SUMPRODUCT((Inputs!$E$5:$E$180=$B23)*ISNUMBER(INDEX(Inputs!$K$5:$AJ$180,0,MATCH(AJ$2,Inputs!$K$4:$AJ$4,0))))=0,NA(),SUMPRODUCT((Inputs!$A$5:$A$180=$B23)*Inputs!$B$5:$B$180*(((Inputs!$G$5:$G$180="moeda")+(Inputs!$G$5:$G$180="acoes"))*Inputs!$B$1+((Inputs!$G$5:$G$180&lt;&gt;"moeda")*(Inputs!$G$5:$G$180&lt;&gt;"acoes")))*INDEX(Inputs!$K$5:$AJ$180,0,MATCH(AJ$2,Inputs!$K$4:$AJ$4,0)))+SUMPRODUCT((Inputs!$C$5:$C$180=$B23)*Inputs!$D$5:$D$180*(((Inputs!$G$5:$G$180="moeda")+(Inputs!$G$5:$G$180="acoes"))*Inputs!$B$1+((Inputs!$G$5:$G$180&lt;&gt;"moeda")*(Inputs!$G$5:$G$180&lt;&gt;"acoes")))*INDEX(Inputs!$K$5:$AJ$180,0,MATCH(AJ$2,Inputs!$K$4:$AJ$4,0)))+SUMPRODUCT((Inputs!$E$5:$E$180=$B23)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23" s="6" t="e">
        <f>IF(ISNA(MATCH(AK$2,Inputs!$K$4:$AJ$4,0)),NA(),IF(SUMPRODUCT((Inputs!$A$5:$A$180=$B23)*ISNUMBER(INDEX(Inputs!$K$5:$AJ$180,0,MATCH(AK$2,Inputs!$K$4:$AJ$4,0))))+SUMPRODUCT((Inputs!$C$5:$C$180=$B23)*ISNUMBER(INDEX(Inputs!$K$5:$AJ$180,0,MATCH(AK$2,Inputs!$K$4:$AJ$4,0))))+SUMPRODUCT((Inputs!$E$5:$E$180=$B23)*ISNUMBER(INDEX(Inputs!$K$5:$AJ$180,0,MATCH(AK$2,Inputs!$K$4:$AJ$4,0))))=0,NA(),SUMPRODUCT((Inputs!$A$5:$A$180=$B23)*Inputs!$B$5:$B$180*(((Inputs!$G$5:$G$180="moeda")+(Inputs!$G$5:$G$180="acoes"))*Inputs!$B$1+((Inputs!$G$5:$G$180&lt;&gt;"moeda")*(Inputs!$G$5:$G$180&lt;&gt;"acoes")))*INDEX(Inputs!$K$5:$AJ$180,0,MATCH(AK$2,Inputs!$K$4:$AJ$4,0)))+SUMPRODUCT((Inputs!$C$5:$C$180=$B23)*Inputs!$D$5:$D$180*(((Inputs!$G$5:$G$180="moeda")+(Inputs!$G$5:$G$180="acoes"))*Inputs!$B$1+((Inputs!$G$5:$G$180&lt;&gt;"moeda")*(Inputs!$G$5:$G$180&lt;&gt;"acoes")))*INDEX(Inputs!$K$5:$AJ$180,0,MATCH(AK$2,Inputs!$K$4:$AJ$4,0)))+SUMPRODUCT((Inputs!$E$5:$E$180=$B23)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$180=$B24)*ISNUMBER(INDEX(Inputs!$K$5:$AJ$180,0,MATCH(D$2,Inputs!$K$4:$AJ$4,0))))+SUMPRODUCT((Inputs!$C$5:$C$180=$B24)*ISNUMBER(INDEX(Inputs!$K$5:$AJ$180,0,MATCH(D$2,Inputs!$K$4:$AJ$4,0))))+SUMPRODUCT((Inputs!$E$5:$E$180=$B24)*ISNUMBER(INDEX(Inputs!$K$5:$AJ$180,0,MATCH(D$2,Inputs!$K$4:$AJ$4,0))))=0,NA(),SUMPRODUCT((Inputs!$A$5:$A$180=$B24)*Inputs!$B$5:$B$180*(((Inputs!$G$5:$G$180="moeda")+(Inputs!$G$5:$G$180="acoes"))*Inputs!$B$1+((Inputs!$G$5:$G$180&lt;&gt;"moeda")*(Inputs!$G$5:$G$180&lt;&gt;"acoes")))*INDEX(Inputs!$K$5:$AJ$180,0,MATCH(D$2,Inputs!$K$4:$AJ$4,0)))+SUMPRODUCT((Inputs!$C$5:$C$180=$B24)*Inputs!$D$5:$D$180*(((Inputs!$G$5:$G$180="moeda")+(Inputs!$G$5:$G$180="acoes"))*Inputs!$B$1+((Inputs!$G$5:$G$180&lt;&gt;"moeda")*(Inputs!$G$5:$G$180&lt;&gt;"acoes")))*INDEX(Inputs!$K$5:$AJ$180,0,MATCH(D$2,Inputs!$K$4:$AJ$4,0)))+SUMPRODUCT((Inputs!$E$5:$E$180=$B24)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24" s="6" t="e">
        <f>IF(ISNA(MATCH(E$2,Inputs!$K$4:$AJ$4,0)),NA(),IF(SUMPRODUCT((Inputs!$A$5:$A$180=$B24)*ISNUMBER(INDEX(Inputs!$K$5:$AJ$180,0,MATCH(E$2,Inputs!$K$4:$AJ$4,0))))+SUMPRODUCT((Inputs!$C$5:$C$180=$B24)*ISNUMBER(INDEX(Inputs!$K$5:$AJ$180,0,MATCH(E$2,Inputs!$K$4:$AJ$4,0))))+SUMPRODUCT((Inputs!$E$5:$E$180=$B24)*ISNUMBER(INDEX(Inputs!$K$5:$AJ$180,0,MATCH(E$2,Inputs!$K$4:$AJ$4,0))))=0,NA(),SUMPRODUCT((Inputs!$A$5:$A$180=$B24)*Inputs!$B$5:$B$180*(((Inputs!$G$5:$G$180="moeda")+(Inputs!$G$5:$G$180="acoes"))*Inputs!$B$1+((Inputs!$G$5:$G$180&lt;&gt;"moeda")*(Inputs!$G$5:$G$180&lt;&gt;"acoes")))*INDEX(Inputs!$K$5:$AJ$180,0,MATCH(E$2,Inputs!$K$4:$AJ$4,0)))+SUMPRODUCT((Inputs!$C$5:$C$180=$B24)*Inputs!$D$5:$D$180*(((Inputs!$G$5:$G$180="moeda")+(Inputs!$G$5:$G$180="acoes"))*Inputs!$B$1+((Inputs!$G$5:$G$180&lt;&gt;"moeda")*(Inputs!$G$5:$G$180&lt;&gt;"acoes")))*INDEX(Inputs!$K$5:$AJ$180,0,MATCH(E$2,Inputs!$K$4:$AJ$4,0)))+SUMPRODUCT((Inputs!$E$5:$E$180=$B24)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24" s="6" t="e">
        <f>IF(ISNA(MATCH(F$2,Inputs!$K$4:$AJ$4,0)),NA(),IF(SUMPRODUCT((Inputs!$A$5:$A$180=$B24)*ISNUMBER(INDEX(Inputs!$K$5:$AJ$180,0,MATCH(F$2,Inputs!$K$4:$AJ$4,0))))+SUMPRODUCT((Inputs!$C$5:$C$180=$B24)*ISNUMBER(INDEX(Inputs!$K$5:$AJ$180,0,MATCH(F$2,Inputs!$K$4:$AJ$4,0))))+SUMPRODUCT((Inputs!$E$5:$E$180=$B24)*ISNUMBER(INDEX(Inputs!$K$5:$AJ$180,0,MATCH(F$2,Inputs!$K$4:$AJ$4,0))))=0,NA(),SUMPRODUCT((Inputs!$A$5:$A$180=$B24)*Inputs!$B$5:$B$180*(((Inputs!$G$5:$G$180="moeda")+(Inputs!$G$5:$G$180="acoes"))*Inputs!$B$1+((Inputs!$G$5:$G$180&lt;&gt;"moeda")*(Inputs!$G$5:$G$180&lt;&gt;"acoes")))*INDEX(Inputs!$K$5:$AJ$180,0,MATCH(F$2,Inputs!$K$4:$AJ$4,0)))+SUMPRODUCT((Inputs!$C$5:$C$180=$B24)*Inputs!$D$5:$D$180*(((Inputs!$G$5:$G$180="moeda")+(Inputs!$G$5:$G$180="acoes"))*Inputs!$B$1+((Inputs!$G$5:$G$180&lt;&gt;"moeda")*(Inputs!$G$5:$G$180&lt;&gt;"acoes")))*INDEX(Inputs!$K$5:$AJ$180,0,MATCH(F$2,Inputs!$K$4:$AJ$4,0)))+SUMPRODUCT((Inputs!$E$5:$E$180=$B24)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24" s="6" t="e">
        <f>IF(ISNA(MATCH(G$2,Inputs!$K$4:$AJ$4,0)),NA(),IF(SUMPRODUCT((Inputs!$A$5:$A$180=$B24)*ISNUMBER(INDEX(Inputs!$K$5:$AJ$180,0,MATCH(G$2,Inputs!$K$4:$AJ$4,0))))+SUMPRODUCT((Inputs!$C$5:$C$180=$B24)*ISNUMBER(INDEX(Inputs!$K$5:$AJ$180,0,MATCH(G$2,Inputs!$K$4:$AJ$4,0))))+SUMPRODUCT((Inputs!$E$5:$E$180=$B24)*ISNUMBER(INDEX(Inputs!$K$5:$AJ$180,0,MATCH(G$2,Inputs!$K$4:$AJ$4,0))))=0,NA(),SUMPRODUCT((Inputs!$A$5:$A$180=$B24)*Inputs!$B$5:$B$180*(((Inputs!$G$5:$G$180="moeda")+(Inputs!$G$5:$G$180="acoes"))*Inputs!$B$1+((Inputs!$G$5:$G$180&lt;&gt;"moeda")*(Inputs!$G$5:$G$180&lt;&gt;"acoes")))*INDEX(Inputs!$K$5:$AJ$180,0,MATCH(G$2,Inputs!$K$4:$AJ$4,0)))+SUMPRODUCT((Inputs!$C$5:$C$180=$B24)*Inputs!$D$5:$D$180*(((Inputs!$G$5:$G$180="moeda")+(Inputs!$G$5:$G$180="acoes"))*Inputs!$B$1+((Inputs!$G$5:$G$180&lt;&gt;"moeda")*(Inputs!$G$5:$G$180&lt;&gt;"acoes")))*INDEX(Inputs!$K$5:$AJ$180,0,MATCH(G$2,Inputs!$K$4:$AJ$4,0)))+SUMPRODUCT((Inputs!$E$5:$E$180=$B24)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24" s="3" t="e">
        <f>G24</f>
        <v>#N/A</v>
      </c>
      <c r="I24" s="6" t="e">
        <f>IF(ISNA(MATCH(I$2,Inputs!$K$4:$AJ$4,0)),NA(),IF(SUMPRODUCT((Inputs!$A$5:$A$180=$B24)*ISNUMBER(INDEX(Inputs!$K$5:$AJ$180,0,MATCH(I$2,Inputs!$K$4:$AJ$4,0))))+SUMPRODUCT((Inputs!$C$5:$C$180=$B24)*ISNUMBER(INDEX(Inputs!$K$5:$AJ$180,0,MATCH(I$2,Inputs!$K$4:$AJ$4,0))))+SUMPRODUCT((Inputs!$E$5:$E$180=$B24)*ISNUMBER(INDEX(Inputs!$K$5:$AJ$180,0,MATCH(I$2,Inputs!$K$4:$AJ$4,0))))=0,NA(),SUMPRODUCT((Inputs!$A$5:$A$180=$B24)*Inputs!$B$5:$B$180*(((Inputs!$G$5:$G$180="moeda")+(Inputs!$G$5:$G$180="acoes"))*Inputs!$B$1+((Inputs!$G$5:$G$180&lt;&gt;"moeda")*(Inputs!$G$5:$G$180&lt;&gt;"acoes")))*INDEX(Inputs!$K$5:$AJ$180,0,MATCH(I$2,Inputs!$K$4:$AJ$4,0)))+SUMPRODUCT((Inputs!$C$5:$C$180=$B24)*Inputs!$D$5:$D$180*(((Inputs!$G$5:$G$180="moeda")+(Inputs!$G$5:$G$180="acoes"))*Inputs!$B$1+((Inputs!$G$5:$G$180&lt;&gt;"moeda")*(Inputs!$G$5:$G$180&lt;&gt;"acoes")))*INDEX(Inputs!$K$5:$AJ$180,0,MATCH(I$2,Inputs!$K$4:$AJ$4,0)))+SUMPRODUCT((Inputs!$E$5:$E$180=$B24)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24" s="6" t="e">
        <f>IF(ISNA(MATCH(J$2,Inputs!$K$4:$AJ$4,0)),NA(),IF(SUMPRODUCT((Inputs!$A$5:$A$180=$B24)*ISNUMBER(INDEX(Inputs!$K$5:$AJ$180,0,MATCH(J$2,Inputs!$K$4:$AJ$4,0))))+SUMPRODUCT((Inputs!$C$5:$C$180=$B24)*ISNUMBER(INDEX(Inputs!$K$5:$AJ$180,0,MATCH(J$2,Inputs!$K$4:$AJ$4,0))))+SUMPRODUCT((Inputs!$E$5:$E$180=$B24)*ISNUMBER(INDEX(Inputs!$K$5:$AJ$180,0,MATCH(J$2,Inputs!$K$4:$AJ$4,0))))=0,NA(),SUMPRODUCT((Inputs!$A$5:$A$180=$B24)*Inputs!$B$5:$B$180*(((Inputs!$G$5:$G$180="moeda")+(Inputs!$G$5:$G$180="acoes"))*Inputs!$B$1+((Inputs!$G$5:$G$180&lt;&gt;"moeda")*(Inputs!$G$5:$G$180&lt;&gt;"acoes")))*INDEX(Inputs!$K$5:$AJ$180,0,MATCH(J$2,Inputs!$K$4:$AJ$4,0)))+SUMPRODUCT((Inputs!$C$5:$C$180=$B24)*Inputs!$D$5:$D$180*(((Inputs!$G$5:$G$180="moeda")+(Inputs!$G$5:$G$180="acoes"))*Inputs!$B$1+((Inputs!$G$5:$G$180&lt;&gt;"moeda")*(Inputs!$G$5:$G$180&lt;&gt;"acoes")))*INDEX(Inputs!$K$5:$AJ$180,0,MATCH(J$2,Inputs!$K$4:$AJ$4,0)))+SUMPRODUCT((Inputs!$E$5:$E$180=$B24)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24" s="6" t="e">
        <f>IF(ISNA(MATCH(K$2,Inputs!$K$4:$AJ$4,0)),NA(),IF(SUMPRODUCT((Inputs!$A$5:$A$180=$B24)*ISNUMBER(INDEX(Inputs!$K$5:$AJ$180,0,MATCH(K$2,Inputs!$K$4:$AJ$4,0))))+SUMPRODUCT((Inputs!$C$5:$C$180=$B24)*ISNUMBER(INDEX(Inputs!$K$5:$AJ$180,0,MATCH(K$2,Inputs!$K$4:$AJ$4,0))))+SUMPRODUCT((Inputs!$E$5:$E$180=$B24)*ISNUMBER(INDEX(Inputs!$K$5:$AJ$180,0,MATCH(K$2,Inputs!$K$4:$AJ$4,0))))=0,NA(),SUMPRODUCT((Inputs!$A$5:$A$180=$B24)*Inputs!$B$5:$B$180*(((Inputs!$G$5:$G$180="moeda")+(Inputs!$G$5:$G$180="acoes"))*Inputs!$B$1+((Inputs!$G$5:$G$180&lt;&gt;"moeda")*(Inputs!$G$5:$G$180&lt;&gt;"acoes")))*INDEX(Inputs!$K$5:$AJ$180,0,MATCH(K$2,Inputs!$K$4:$AJ$4,0)))+SUMPRODUCT((Inputs!$C$5:$C$180=$B24)*Inputs!$D$5:$D$180*(((Inputs!$G$5:$G$180="moeda")+(Inputs!$G$5:$G$180="acoes"))*Inputs!$B$1+((Inputs!$G$5:$G$180&lt;&gt;"moeda")*(Inputs!$G$5:$G$180&lt;&gt;"acoes")))*INDEX(Inputs!$K$5:$AJ$180,0,MATCH(K$2,Inputs!$K$4:$AJ$4,0)))+SUMPRODUCT((Inputs!$E$5:$E$180=$B24)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24" s="6" t="e">
        <f>IF(ISNA(MATCH(L$2,Inputs!$K$4:$AJ$4,0)),NA(),IF(SUMPRODUCT((Inputs!$A$5:$A$180=$B24)*ISNUMBER(INDEX(Inputs!$K$5:$AJ$180,0,MATCH(L$2,Inputs!$K$4:$AJ$4,0))))+SUMPRODUCT((Inputs!$C$5:$C$180=$B24)*ISNUMBER(INDEX(Inputs!$K$5:$AJ$180,0,MATCH(L$2,Inputs!$K$4:$AJ$4,0))))+SUMPRODUCT((Inputs!$E$5:$E$180=$B24)*ISNUMBER(INDEX(Inputs!$K$5:$AJ$180,0,MATCH(L$2,Inputs!$K$4:$AJ$4,0))))=0,NA(),SUMPRODUCT((Inputs!$A$5:$A$180=$B24)*Inputs!$B$5:$B$180*(((Inputs!$G$5:$G$180="moeda")+(Inputs!$G$5:$G$180="acoes"))*Inputs!$B$1+((Inputs!$G$5:$G$180&lt;&gt;"moeda")*(Inputs!$G$5:$G$180&lt;&gt;"acoes")))*INDEX(Inputs!$K$5:$AJ$180,0,MATCH(L$2,Inputs!$K$4:$AJ$4,0)))+SUMPRODUCT((Inputs!$C$5:$C$180=$B24)*Inputs!$D$5:$D$180*(((Inputs!$G$5:$G$180="moeda")+(Inputs!$G$5:$G$180="acoes"))*Inputs!$B$1+((Inputs!$G$5:$G$180&lt;&gt;"moeda")*(Inputs!$G$5:$G$180&lt;&gt;"acoes")))*INDEX(Inputs!$K$5:$AJ$180,0,MATCH(L$2,Inputs!$K$4:$AJ$4,0)))+SUMPRODUCT((Inputs!$E$5:$E$180=$B24)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24" s="3" t="e">
        <f>L24</f>
        <v>#N/A</v>
      </c>
      <c r="N24" s="6" t="e">
        <f>IF(ISNA(MATCH(N$2,Inputs!$K$4:$AJ$4,0)),NA(),IF(SUMPRODUCT((Inputs!$A$5:$A$180=$B24)*ISNUMBER(INDEX(Inputs!$K$5:$AJ$180,0,MATCH(N$2,Inputs!$K$4:$AJ$4,0))))+SUMPRODUCT((Inputs!$C$5:$C$180=$B24)*ISNUMBER(INDEX(Inputs!$K$5:$AJ$180,0,MATCH(N$2,Inputs!$K$4:$AJ$4,0))))+SUMPRODUCT((Inputs!$E$5:$E$180=$B24)*ISNUMBER(INDEX(Inputs!$K$5:$AJ$180,0,MATCH(N$2,Inputs!$K$4:$AJ$4,0))))=0,NA(),SUMPRODUCT((Inputs!$A$5:$A$180=$B24)*Inputs!$B$5:$B$180*(((Inputs!$G$5:$G$180="moeda")+(Inputs!$G$5:$G$180="acoes"))*Inputs!$B$1+((Inputs!$G$5:$G$180&lt;&gt;"moeda")*(Inputs!$G$5:$G$180&lt;&gt;"acoes")))*INDEX(Inputs!$K$5:$AJ$180,0,MATCH(N$2,Inputs!$K$4:$AJ$4,0)))+SUMPRODUCT((Inputs!$C$5:$C$180=$B24)*Inputs!$D$5:$D$180*(((Inputs!$G$5:$G$180="moeda")+(Inputs!$G$5:$G$180="acoes"))*Inputs!$B$1+((Inputs!$G$5:$G$180&lt;&gt;"moeda")*(Inputs!$G$5:$G$180&lt;&gt;"acoes")))*INDEX(Inputs!$K$5:$AJ$180,0,MATCH(N$2,Inputs!$K$4:$AJ$4,0)))+SUMPRODUCT((Inputs!$E$5:$E$180=$B24)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24" s="6" t="e">
        <f>IF(ISNA(MATCH(O$2,Inputs!$K$4:$AJ$4,0)),NA(),IF(SUMPRODUCT((Inputs!$A$5:$A$180=$B24)*ISNUMBER(INDEX(Inputs!$K$5:$AJ$180,0,MATCH(O$2,Inputs!$K$4:$AJ$4,0))))+SUMPRODUCT((Inputs!$C$5:$C$180=$B24)*ISNUMBER(INDEX(Inputs!$K$5:$AJ$180,0,MATCH(O$2,Inputs!$K$4:$AJ$4,0))))+SUMPRODUCT((Inputs!$E$5:$E$180=$B24)*ISNUMBER(INDEX(Inputs!$K$5:$AJ$180,0,MATCH(O$2,Inputs!$K$4:$AJ$4,0))))=0,NA(),SUMPRODUCT((Inputs!$A$5:$A$180=$B24)*Inputs!$B$5:$B$180*(((Inputs!$G$5:$G$180="moeda")+(Inputs!$G$5:$G$180="acoes"))*Inputs!$B$1+((Inputs!$G$5:$G$180&lt;&gt;"moeda")*(Inputs!$G$5:$G$180&lt;&gt;"acoes")))*INDEX(Inputs!$K$5:$AJ$180,0,MATCH(O$2,Inputs!$K$4:$AJ$4,0)))+SUMPRODUCT((Inputs!$C$5:$C$180=$B24)*Inputs!$D$5:$D$180*(((Inputs!$G$5:$G$180="moeda")+(Inputs!$G$5:$G$180="acoes"))*Inputs!$B$1+((Inputs!$G$5:$G$180&lt;&gt;"moeda")*(Inputs!$G$5:$G$180&lt;&gt;"acoes")))*INDEX(Inputs!$K$5:$AJ$180,0,MATCH(O$2,Inputs!$K$4:$AJ$4,0)))+SUMPRODUCT((Inputs!$E$5:$E$180=$B24)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24" s="6" t="e">
        <f>IF(ISNA(MATCH(P$2,Inputs!$K$4:$AJ$4,0)),NA(),IF(SUMPRODUCT((Inputs!$A$5:$A$180=$B24)*ISNUMBER(INDEX(Inputs!$K$5:$AJ$180,0,MATCH(P$2,Inputs!$K$4:$AJ$4,0))))+SUMPRODUCT((Inputs!$C$5:$C$180=$B24)*ISNUMBER(INDEX(Inputs!$K$5:$AJ$180,0,MATCH(P$2,Inputs!$K$4:$AJ$4,0))))+SUMPRODUCT((Inputs!$E$5:$E$180=$B24)*ISNUMBER(INDEX(Inputs!$K$5:$AJ$180,0,MATCH(P$2,Inputs!$K$4:$AJ$4,0))))=0,NA(),SUMPRODUCT((Inputs!$A$5:$A$180=$B24)*Inputs!$B$5:$B$180*(((Inputs!$G$5:$G$180="moeda")+(Inputs!$G$5:$G$180="acoes"))*Inputs!$B$1+((Inputs!$G$5:$G$180&lt;&gt;"moeda")*(Inputs!$G$5:$G$180&lt;&gt;"acoes")))*INDEX(Inputs!$K$5:$AJ$180,0,MATCH(P$2,Inputs!$K$4:$AJ$4,0)))+SUMPRODUCT((Inputs!$C$5:$C$180=$B24)*Inputs!$D$5:$D$180*(((Inputs!$G$5:$G$180="moeda")+(Inputs!$G$5:$G$180="acoes"))*Inputs!$B$1+((Inputs!$G$5:$G$180&lt;&gt;"moeda")*(Inputs!$G$5:$G$180&lt;&gt;"acoes")))*INDEX(Inputs!$K$5:$AJ$180,0,MATCH(P$2,Inputs!$K$4:$AJ$4,0)))+SUMPRODUCT((Inputs!$E$5:$E$180=$B24)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24" s="6" t="e">
        <f>IF(ISNA(MATCH(Q$2,Inputs!$K$4:$AJ$4,0)),NA(),IF(SUMPRODUCT((Inputs!$A$5:$A$180=$B24)*ISNUMBER(INDEX(Inputs!$K$5:$AJ$180,0,MATCH(Q$2,Inputs!$K$4:$AJ$4,0))))+SUMPRODUCT((Inputs!$C$5:$C$180=$B24)*ISNUMBER(INDEX(Inputs!$K$5:$AJ$180,0,MATCH(Q$2,Inputs!$K$4:$AJ$4,0))))+SUMPRODUCT((Inputs!$E$5:$E$180=$B24)*ISNUMBER(INDEX(Inputs!$K$5:$AJ$180,0,MATCH(Q$2,Inputs!$K$4:$AJ$4,0))))=0,NA(),SUMPRODUCT((Inputs!$A$5:$A$180=$B24)*Inputs!$B$5:$B$180*(((Inputs!$G$5:$G$180="moeda")+(Inputs!$G$5:$G$180="acoes"))*Inputs!$B$1+((Inputs!$G$5:$G$180&lt;&gt;"moeda")*(Inputs!$G$5:$G$180&lt;&gt;"acoes")))*INDEX(Inputs!$K$5:$AJ$180,0,MATCH(Q$2,Inputs!$K$4:$AJ$4,0)))+SUMPRODUCT((Inputs!$C$5:$C$180=$B24)*Inputs!$D$5:$D$180*(((Inputs!$G$5:$G$180="moeda")+(Inputs!$G$5:$G$180="acoes"))*Inputs!$B$1+((Inputs!$G$5:$G$180&lt;&gt;"moeda")*(Inputs!$G$5:$G$180&lt;&gt;"acoes")))*INDEX(Inputs!$K$5:$AJ$180,0,MATCH(Q$2,Inputs!$K$4:$AJ$4,0)))+SUMPRODUCT((Inputs!$E$5:$E$180=$B24)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24" s="3" t="e">
        <f>Q24</f>
        <v>#N/A</v>
      </c>
      <c r="S24" s="6" t="e">
        <f>IF(ISNA(MATCH(S$2,Inputs!$K$4:$AJ$4,0)),NA(),IF(SUMPRODUCT((Inputs!$A$5:$A$180=$B24)*ISNUMBER(INDEX(Inputs!$K$5:$AJ$180,0,MATCH(S$2,Inputs!$K$4:$AJ$4,0))))+SUMPRODUCT((Inputs!$C$5:$C$180=$B24)*ISNUMBER(INDEX(Inputs!$K$5:$AJ$180,0,MATCH(S$2,Inputs!$K$4:$AJ$4,0))))+SUMPRODUCT((Inputs!$E$5:$E$180=$B24)*ISNUMBER(INDEX(Inputs!$K$5:$AJ$180,0,MATCH(S$2,Inputs!$K$4:$AJ$4,0))))=0,NA(),SUMPRODUCT((Inputs!$A$5:$A$180=$B24)*Inputs!$B$5:$B$180*(((Inputs!$G$5:$G$180="moeda")+(Inputs!$G$5:$G$180="acoes"))*Inputs!$B$1+((Inputs!$G$5:$G$180&lt;&gt;"moeda")*(Inputs!$G$5:$G$180&lt;&gt;"acoes")))*INDEX(Inputs!$K$5:$AJ$180,0,MATCH(S$2,Inputs!$K$4:$AJ$4,0)))+SUMPRODUCT((Inputs!$C$5:$C$180=$B24)*Inputs!$D$5:$D$180*(((Inputs!$G$5:$G$180="moeda")+(Inputs!$G$5:$G$180="acoes"))*Inputs!$B$1+((Inputs!$G$5:$G$180&lt;&gt;"moeda")*(Inputs!$G$5:$G$180&lt;&gt;"acoes")))*INDEX(Inputs!$K$5:$AJ$180,0,MATCH(S$2,Inputs!$K$4:$AJ$4,0)))+SUMPRODUCT((Inputs!$E$5:$E$180=$B24)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24" s="6" t="e">
        <f>IF(ISNA(MATCH(T$2,Inputs!$K$4:$AJ$4,0)),NA(),IF(SUMPRODUCT((Inputs!$A$5:$A$180=$B24)*ISNUMBER(INDEX(Inputs!$K$5:$AJ$180,0,MATCH(T$2,Inputs!$K$4:$AJ$4,0))))+SUMPRODUCT((Inputs!$C$5:$C$180=$B24)*ISNUMBER(INDEX(Inputs!$K$5:$AJ$180,0,MATCH(T$2,Inputs!$K$4:$AJ$4,0))))+SUMPRODUCT((Inputs!$E$5:$E$180=$B24)*ISNUMBER(INDEX(Inputs!$K$5:$AJ$180,0,MATCH(T$2,Inputs!$K$4:$AJ$4,0))))=0,NA(),SUMPRODUCT((Inputs!$A$5:$A$180=$B24)*Inputs!$B$5:$B$180*(((Inputs!$G$5:$G$180="moeda")+(Inputs!$G$5:$G$180="acoes"))*Inputs!$B$1+((Inputs!$G$5:$G$180&lt;&gt;"moeda")*(Inputs!$G$5:$G$180&lt;&gt;"acoes")))*INDEX(Inputs!$K$5:$AJ$180,0,MATCH(T$2,Inputs!$K$4:$AJ$4,0)))+SUMPRODUCT((Inputs!$C$5:$C$180=$B24)*Inputs!$D$5:$D$180*(((Inputs!$G$5:$G$180="moeda")+(Inputs!$G$5:$G$180="acoes"))*Inputs!$B$1+((Inputs!$G$5:$G$180&lt;&gt;"moeda")*(Inputs!$G$5:$G$180&lt;&gt;"acoes")))*INDEX(Inputs!$K$5:$AJ$180,0,MATCH(T$2,Inputs!$K$4:$AJ$4,0)))+SUMPRODUCT((Inputs!$E$5:$E$180=$B24)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24" s="6" t="e">
        <f>IF(ISNA(MATCH(U$2,Inputs!$K$4:$AJ$4,0)),NA(),IF(SUMPRODUCT((Inputs!$A$5:$A$180=$B24)*ISNUMBER(INDEX(Inputs!$K$5:$AJ$180,0,MATCH(U$2,Inputs!$K$4:$AJ$4,0))))+SUMPRODUCT((Inputs!$C$5:$C$180=$B24)*ISNUMBER(INDEX(Inputs!$K$5:$AJ$180,0,MATCH(U$2,Inputs!$K$4:$AJ$4,0))))+SUMPRODUCT((Inputs!$E$5:$E$180=$B24)*ISNUMBER(INDEX(Inputs!$K$5:$AJ$180,0,MATCH(U$2,Inputs!$K$4:$AJ$4,0))))=0,NA(),SUMPRODUCT((Inputs!$A$5:$A$180=$B24)*Inputs!$B$5:$B$180*(((Inputs!$G$5:$G$180="moeda")+(Inputs!$G$5:$G$180="acoes"))*Inputs!$B$1+((Inputs!$G$5:$G$180&lt;&gt;"moeda")*(Inputs!$G$5:$G$180&lt;&gt;"acoes")))*INDEX(Inputs!$K$5:$AJ$180,0,MATCH(U$2,Inputs!$K$4:$AJ$4,0)))+SUMPRODUCT((Inputs!$C$5:$C$180=$B24)*Inputs!$D$5:$D$180*(((Inputs!$G$5:$G$180="moeda")+(Inputs!$G$5:$G$180="acoes"))*Inputs!$B$1+((Inputs!$G$5:$G$180&lt;&gt;"moeda")*(Inputs!$G$5:$G$180&lt;&gt;"acoes")))*INDEX(Inputs!$K$5:$AJ$180,0,MATCH(U$2,Inputs!$K$4:$AJ$4,0)))+SUMPRODUCT((Inputs!$E$5:$E$180=$B24)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24" s="6" t="e">
        <f>IF(ISNA(MATCH(V$2,Inputs!$K$4:$AJ$4,0)),NA(),IF(SUMPRODUCT((Inputs!$A$5:$A$180=$B24)*ISNUMBER(INDEX(Inputs!$K$5:$AJ$180,0,MATCH(V$2,Inputs!$K$4:$AJ$4,0))))+SUMPRODUCT((Inputs!$C$5:$C$180=$B24)*ISNUMBER(INDEX(Inputs!$K$5:$AJ$180,0,MATCH(V$2,Inputs!$K$4:$AJ$4,0))))+SUMPRODUCT((Inputs!$E$5:$E$180=$B24)*ISNUMBER(INDEX(Inputs!$K$5:$AJ$180,0,MATCH(V$2,Inputs!$K$4:$AJ$4,0))))=0,NA(),SUMPRODUCT((Inputs!$A$5:$A$180=$B24)*Inputs!$B$5:$B$180*(((Inputs!$G$5:$G$180="moeda")+(Inputs!$G$5:$G$180="acoes"))*Inputs!$B$1+((Inputs!$G$5:$G$180&lt;&gt;"moeda")*(Inputs!$G$5:$G$180&lt;&gt;"acoes")))*INDEX(Inputs!$K$5:$AJ$180,0,MATCH(V$2,Inputs!$K$4:$AJ$4,0)))+SUMPRODUCT((Inputs!$C$5:$C$180=$B24)*Inputs!$D$5:$D$180*(((Inputs!$G$5:$G$180="moeda")+(Inputs!$G$5:$G$180="acoes"))*Inputs!$B$1+((Inputs!$G$5:$G$180&lt;&gt;"moeda")*(Inputs!$G$5:$G$180&lt;&gt;"acoes")))*INDEX(Inputs!$K$5:$AJ$180,0,MATCH(V$2,Inputs!$K$4:$AJ$4,0)))+SUMPRODUCT((Inputs!$E$5:$E$180=$B24)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24" s="3" t="e">
        <f>V24</f>
        <v>#N/A</v>
      </c>
      <c r="X24" s="6" t="e">
        <f>IF(ISNA(MATCH(X$2,Inputs!$K$4:$AJ$4,0)),NA(),IF(SUMPRODUCT((Inputs!$A$5:$A$180=$B24)*ISNUMBER(INDEX(Inputs!$K$5:$AJ$180,0,MATCH(X$2,Inputs!$K$4:$AJ$4,0))))+SUMPRODUCT((Inputs!$C$5:$C$180=$B24)*ISNUMBER(INDEX(Inputs!$K$5:$AJ$180,0,MATCH(X$2,Inputs!$K$4:$AJ$4,0))))+SUMPRODUCT((Inputs!$E$5:$E$180=$B24)*ISNUMBER(INDEX(Inputs!$K$5:$AJ$180,0,MATCH(X$2,Inputs!$K$4:$AJ$4,0))))=0,NA(),SUMPRODUCT((Inputs!$A$5:$A$180=$B24)*Inputs!$B$5:$B$180*(((Inputs!$G$5:$G$180="moeda")+(Inputs!$G$5:$G$180="acoes"))*Inputs!$B$1+((Inputs!$G$5:$G$180&lt;&gt;"moeda")*(Inputs!$G$5:$G$180&lt;&gt;"acoes")))*INDEX(Inputs!$K$5:$AJ$180,0,MATCH(X$2,Inputs!$K$4:$AJ$4,0)))+SUMPRODUCT((Inputs!$C$5:$C$180=$B24)*Inputs!$D$5:$D$180*(((Inputs!$G$5:$G$180="moeda")+(Inputs!$G$5:$G$180="acoes"))*Inputs!$B$1+((Inputs!$G$5:$G$180&lt;&gt;"moeda")*(Inputs!$G$5:$G$180&lt;&gt;"acoes")))*INDEX(Inputs!$K$5:$AJ$180,0,MATCH(X$2,Inputs!$K$4:$AJ$4,0)))+SUMPRODUCT((Inputs!$E$5:$E$180=$B24)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24" s="6" t="e">
        <f>IF(ISNA(MATCH(Y$2,Inputs!$K$4:$AJ$4,0)),NA(),IF(SUMPRODUCT((Inputs!$A$5:$A$180=$B24)*ISNUMBER(INDEX(Inputs!$K$5:$AJ$180,0,MATCH(Y$2,Inputs!$K$4:$AJ$4,0))))+SUMPRODUCT((Inputs!$C$5:$C$180=$B24)*ISNUMBER(INDEX(Inputs!$K$5:$AJ$180,0,MATCH(Y$2,Inputs!$K$4:$AJ$4,0))))+SUMPRODUCT((Inputs!$E$5:$E$180=$B24)*ISNUMBER(INDEX(Inputs!$K$5:$AJ$180,0,MATCH(Y$2,Inputs!$K$4:$AJ$4,0))))=0,NA(),SUMPRODUCT((Inputs!$A$5:$A$180=$B24)*Inputs!$B$5:$B$180*(((Inputs!$G$5:$G$180="moeda")+(Inputs!$G$5:$G$180="acoes"))*Inputs!$B$1+((Inputs!$G$5:$G$180&lt;&gt;"moeda")*(Inputs!$G$5:$G$180&lt;&gt;"acoes")))*INDEX(Inputs!$K$5:$AJ$180,0,MATCH(Y$2,Inputs!$K$4:$AJ$4,0)))+SUMPRODUCT((Inputs!$C$5:$C$180=$B24)*Inputs!$D$5:$D$180*(((Inputs!$G$5:$G$180="moeda")+(Inputs!$G$5:$G$180="acoes"))*Inputs!$B$1+((Inputs!$G$5:$G$180&lt;&gt;"moeda")*(Inputs!$G$5:$G$180&lt;&gt;"acoes")))*INDEX(Inputs!$K$5:$AJ$180,0,MATCH(Y$2,Inputs!$K$4:$AJ$4,0)))+SUMPRODUCT((Inputs!$E$5:$E$180=$B24)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24" s="6" t="e">
        <f>IF(ISNA(MATCH(Z$2,Inputs!$K$4:$AJ$4,0)),NA(),IF(SUMPRODUCT((Inputs!$A$5:$A$180=$B24)*ISNUMBER(INDEX(Inputs!$K$5:$AJ$180,0,MATCH(Z$2,Inputs!$K$4:$AJ$4,0))))+SUMPRODUCT((Inputs!$C$5:$C$180=$B24)*ISNUMBER(INDEX(Inputs!$K$5:$AJ$180,0,MATCH(Z$2,Inputs!$K$4:$AJ$4,0))))+SUMPRODUCT((Inputs!$E$5:$E$180=$B24)*ISNUMBER(INDEX(Inputs!$K$5:$AJ$180,0,MATCH(Z$2,Inputs!$K$4:$AJ$4,0))))=0,NA(),SUMPRODUCT((Inputs!$A$5:$A$180=$B24)*Inputs!$B$5:$B$180*(((Inputs!$G$5:$G$180="moeda")+(Inputs!$G$5:$G$180="acoes"))*Inputs!$B$1+((Inputs!$G$5:$G$180&lt;&gt;"moeda")*(Inputs!$G$5:$G$180&lt;&gt;"acoes")))*INDEX(Inputs!$K$5:$AJ$180,0,MATCH(Z$2,Inputs!$K$4:$AJ$4,0)))+SUMPRODUCT((Inputs!$C$5:$C$180=$B24)*Inputs!$D$5:$D$180*(((Inputs!$G$5:$G$180="moeda")+(Inputs!$G$5:$G$180="acoes"))*Inputs!$B$1+((Inputs!$G$5:$G$180&lt;&gt;"moeda")*(Inputs!$G$5:$G$180&lt;&gt;"acoes")))*INDEX(Inputs!$K$5:$AJ$180,0,MATCH(Z$2,Inputs!$K$4:$AJ$4,0)))+SUMPRODUCT((Inputs!$E$5:$E$180=$B24)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24" s="6" t="e">
        <f>IF(ISNA(MATCH(AA$2,Inputs!$K$4:$AJ$4,0)),NA(),IF(SUMPRODUCT((Inputs!$A$5:$A$180=$B24)*ISNUMBER(INDEX(Inputs!$K$5:$AJ$180,0,MATCH(AA$2,Inputs!$K$4:$AJ$4,0))))+SUMPRODUCT((Inputs!$C$5:$C$180=$B24)*ISNUMBER(INDEX(Inputs!$K$5:$AJ$180,0,MATCH(AA$2,Inputs!$K$4:$AJ$4,0))))+SUMPRODUCT((Inputs!$E$5:$E$180=$B24)*ISNUMBER(INDEX(Inputs!$K$5:$AJ$180,0,MATCH(AA$2,Inputs!$K$4:$AJ$4,0))))=0,NA(),SUMPRODUCT((Inputs!$A$5:$A$180=$B24)*Inputs!$B$5:$B$180*(((Inputs!$G$5:$G$180="moeda")+(Inputs!$G$5:$G$180="acoes"))*Inputs!$B$1+((Inputs!$G$5:$G$180&lt;&gt;"moeda")*(Inputs!$G$5:$G$180&lt;&gt;"acoes")))*INDEX(Inputs!$K$5:$AJ$180,0,MATCH(AA$2,Inputs!$K$4:$AJ$4,0)))+SUMPRODUCT((Inputs!$C$5:$C$180=$B24)*Inputs!$D$5:$D$180*(((Inputs!$G$5:$G$180="moeda")+(Inputs!$G$5:$G$180="acoes"))*Inputs!$B$1+((Inputs!$G$5:$G$180&lt;&gt;"moeda")*(Inputs!$G$5:$G$180&lt;&gt;"acoes")))*INDEX(Inputs!$K$5:$AJ$180,0,MATCH(AA$2,Inputs!$K$4:$AJ$4,0)))+SUMPRODUCT((Inputs!$E$5:$E$180=$B24)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24" s="3" t="e">
        <f>AA24</f>
        <v>#N/A</v>
      </c>
      <c r="AC24" s="6" t="e">
        <f>IF(ISNA(MATCH(AC$2,Inputs!$K$4:$AJ$4,0)),NA(),IF(SUMPRODUCT((Inputs!$A$5:$A$180=$B24)*ISNUMBER(INDEX(Inputs!$K$5:$AJ$180,0,MATCH(AC$2,Inputs!$K$4:$AJ$4,0))))+SUMPRODUCT((Inputs!$C$5:$C$180=$B24)*ISNUMBER(INDEX(Inputs!$K$5:$AJ$180,0,MATCH(AC$2,Inputs!$K$4:$AJ$4,0))))+SUMPRODUCT((Inputs!$E$5:$E$180=$B24)*ISNUMBER(INDEX(Inputs!$K$5:$AJ$180,0,MATCH(AC$2,Inputs!$K$4:$AJ$4,0))))=0,NA(),SUMPRODUCT((Inputs!$A$5:$A$180=$B24)*Inputs!$B$5:$B$180*(((Inputs!$G$5:$G$180="moeda")+(Inputs!$G$5:$G$180="acoes"))*Inputs!$B$1+((Inputs!$G$5:$G$180&lt;&gt;"moeda")*(Inputs!$G$5:$G$180&lt;&gt;"acoes")))*INDEX(Inputs!$K$5:$AJ$180,0,MATCH(AC$2,Inputs!$K$4:$AJ$4,0)))+SUMPRODUCT((Inputs!$C$5:$C$180=$B24)*Inputs!$D$5:$D$180*(((Inputs!$G$5:$G$180="moeda")+(Inputs!$G$5:$G$180="acoes"))*Inputs!$B$1+((Inputs!$G$5:$G$180&lt;&gt;"moeda")*(Inputs!$G$5:$G$180&lt;&gt;"acoes")))*INDEX(Inputs!$K$5:$AJ$180,0,MATCH(AC$2,Inputs!$K$4:$AJ$4,0)))+SUMPRODUCT((Inputs!$E$5:$E$180=$B24)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24" s="6" t="e">
        <f>IF(ISNA(MATCH(AD$2,Inputs!$K$4:$AJ$4,0)),NA(),IF(SUMPRODUCT((Inputs!$A$5:$A$180=$B24)*ISNUMBER(INDEX(Inputs!$K$5:$AJ$180,0,MATCH(AD$2,Inputs!$K$4:$AJ$4,0))))+SUMPRODUCT((Inputs!$C$5:$C$180=$B24)*ISNUMBER(INDEX(Inputs!$K$5:$AJ$180,0,MATCH(AD$2,Inputs!$K$4:$AJ$4,0))))+SUMPRODUCT((Inputs!$E$5:$E$180=$B24)*ISNUMBER(INDEX(Inputs!$K$5:$AJ$180,0,MATCH(AD$2,Inputs!$K$4:$AJ$4,0))))=0,NA(),SUMPRODUCT((Inputs!$A$5:$A$180=$B24)*Inputs!$B$5:$B$180*(((Inputs!$G$5:$G$180="moeda")+(Inputs!$G$5:$G$180="acoes"))*Inputs!$B$1+((Inputs!$G$5:$G$180&lt;&gt;"moeda")*(Inputs!$G$5:$G$180&lt;&gt;"acoes")))*INDEX(Inputs!$K$5:$AJ$180,0,MATCH(AD$2,Inputs!$K$4:$AJ$4,0)))+SUMPRODUCT((Inputs!$C$5:$C$180=$B24)*Inputs!$D$5:$D$180*(((Inputs!$G$5:$G$180="moeda")+(Inputs!$G$5:$G$180="acoes"))*Inputs!$B$1+((Inputs!$G$5:$G$180&lt;&gt;"moeda")*(Inputs!$G$5:$G$180&lt;&gt;"acoes")))*INDEX(Inputs!$K$5:$AJ$180,0,MATCH(AD$2,Inputs!$K$4:$AJ$4,0)))+SUMPRODUCT((Inputs!$E$5:$E$180=$B24)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24" s="6" t="e">
        <f>IF(ISNA(MATCH(AE$2,Inputs!$K$4:$AJ$4,0)),NA(),IF(SUMPRODUCT((Inputs!$A$5:$A$180=$B24)*ISNUMBER(INDEX(Inputs!$K$5:$AJ$180,0,MATCH(AE$2,Inputs!$K$4:$AJ$4,0))))+SUMPRODUCT((Inputs!$C$5:$C$180=$B24)*ISNUMBER(INDEX(Inputs!$K$5:$AJ$180,0,MATCH(AE$2,Inputs!$K$4:$AJ$4,0))))+SUMPRODUCT((Inputs!$E$5:$E$180=$B24)*ISNUMBER(INDEX(Inputs!$K$5:$AJ$180,0,MATCH(AE$2,Inputs!$K$4:$AJ$4,0))))=0,NA(),SUMPRODUCT((Inputs!$A$5:$A$180=$B24)*Inputs!$B$5:$B$180*(((Inputs!$G$5:$G$180="moeda")+(Inputs!$G$5:$G$180="acoes"))*Inputs!$B$1+((Inputs!$G$5:$G$180&lt;&gt;"moeda")*(Inputs!$G$5:$G$180&lt;&gt;"acoes")))*INDEX(Inputs!$K$5:$AJ$180,0,MATCH(AE$2,Inputs!$K$4:$AJ$4,0)))+SUMPRODUCT((Inputs!$C$5:$C$180=$B24)*Inputs!$D$5:$D$180*(((Inputs!$G$5:$G$180="moeda")+(Inputs!$G$5:$G$180="acoes"))*Inputs!$B$1+((Inputs!$G$5:$G$180&lt;&gt;"moeda")*(Inputs!$G$5:$G$180&lt;&gt;"acoes")))*INDEX(Inputs!$K$5:$AJ$180,0,MATCH(AE$2,Inputs!$K$4:$AJ$4,0)))+SUMPRODUCT((Inputs!$E$5:$E$180=$B24)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4" s="6" t="e">
        <f>IF(ISNA(MATCH(AF$2,Inputs!$K$4:$AJ$4,0)),NA(),IF(SUMPRODUCT((Inputs!$A$5:$A$180=$B24)*ISNUMBER(INDEX(Inputs!$K$5:$AJ$180,0,MATCH(AF$2,Inputs!$K$4:$AJ$4,0))))+SUMPRODUCT((Inputs!$C$5:$C$180=$B24)*ISNUMBER(INDEX(Inputs!$K$5:$AJ$180,0,MATCH(AF$2,Inputs!$K$4:$AJ$4,0))))+SUMPRODUCT((Inputs!$E$5:$E$180=$B24)*ISNUMBER(INDEX(Inputs!$K$5:$AJ$180,0,MATCH(AF$2,Inputs!$K$4:$AJ$4,0))))=0,NA(),SUMPRODUCT((Inputs!$A$5:$A$180=$B24)*Inputs!$B$5:$B$180*(((Inputs!$G$5:$G$180="moeda")+(Inputs!$G$5:$G$180="acoes"))*Inputs!$B$1+((Inputs!$G$5:$G$180&lt;&gt;"moeda")*(Inputs!$G$5:$G$180&lt;&gt;"acoes")))*INDEX(Inputs!$K$5:$AJ$180,0,MATCH(AF$2,Inputs!$K$4:$AJ$4,0)))+SUMPRODUCT((Inputs!$C$5:$C$180=$B24)*Inputs!$D$5:$D$180*(((Inputs!$G$5:$G$180="moeda")+(Inputs!$G$5:$G$180="acoes"))*Inputs!$B$1+((Inputs!$G$5:$G$180&lt;&gt;"moeda")*(Inputs!$G$5:$G$180&lt;&gt;"acoes")))*INDEX(Inputs!$K$5:$AJ$180,0,MATCH(AF$2,Inputs!$K$4:$AJ$4,0)))+SUMPRODUCT((Inputs!$E$5:$E$180=$B24)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4" s="3" t="e">
        <f>AF24</f>
        <v>#N/A</v>
      </c>
      <c r="AH24" s="6" t="e">
        <f>IF(ISNA(MATCH(AH$2,Inputs!$K$4:$AJ$4,0)),NA(),IF(SUMPRODUCT((Inputs!$A$5:$A$180=$B24)*ISNUMBER(INDEX(Inputs!$K$5:$AJ$180,0,MATCH(AH$2,Inputs!$K$4:$AJ$4,0))))+SUMPRODUCT((Inputs!$C$5:$C$180=$B24)*ISNUMBER(INDEX(Inputs!$K$5:$AJ$180,0,MATCH(AH$2,Inputs!$K$4:$AJ$4,0))))+SUMPRODUCT((Inputs!$E$5:$E$180=$B24)*ISNUMBER(INDEX(Inputs!$K$5:$AJ$180,0,MATCH(AH$2,Inputs!$K$4:$AJ$4,0))))=0,NA(),SUMPRODUCT((Inputs!$A$5:$A$180=$B24)*Inputs!$B$5:$B$180*(((Inputs!$G$5:$G$180="moeda")+(Inputs!$G$5:$G$180="acoes"))*Inputs!$B$1+((Inputs!$G$5:$G$180&lt;&gt;"moeda")*(Inputs!$G$5:$G$180&lt;&gt;"acoes")))*INDEX(Inputs!$K$5:$AJ$180,0,MATCH(AH$2,Inputs!$K$4:$AJ$4,0)))+SUMPRODUCT((Inputs!$C$5:$C$180=$B24)*Inputs!$D$5:$D$180*(((Inputs!$G$5:$G$180="moeda")+(Inputs!$G$5:$G$180="acoes"))*Inputs!$B$1+((Inputs!$G$5:$G$180&lt;&gt;"moeda")*(Inputs!$G$5:$G$180&lt;&gt;"acoes")))*INDEX(Inputs!$K$5:$AJ$180,0,MATCH(AH$2,Inputs!$K$4:$AJ$4,0)))+SUMPRODUCT((Inputs!$E$5:$E$180=$B24)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24" s="6" t="e">
        <f>IF(ISNA(MATCH(AI$2,Inputs!$K$4:$AJ$4,0)),NA(),IF(SUMPRODUCT((Inputs!$A$5:$A$180=$B24)*ISNUMBER(INDEX(Inputs!$K$5:$AJ$180,0,MATCH(AI$2,Inputs!$K$4:$AJ$4,0))))+SUMPRODUCT((Inputs!$C$5:$C$180=$B24)*ISNUMBER(INDEX(Inputs!$K$5:$AJ$180,0,MATCH(AI$2,Inputs!$K$4:$AJ$4,0))))+SUMPRODUCT((Inputs!$E$5:$E$180=$B24)*ISNUMBER(INDEX(Inputs!$K$5:$AJ$180,0,MATCH(AI$2,Inputs!$K$4:$AJ$4,0))))=0,NA(),SUMPRODUCT((Inputs!$A$5:$A$180=$B24)*Inputs!$B$5:$B$180*(((Inputs!$G$5:$G$180="moeda")+(Inputs!$G$5:$G$180="acoes"))*Inputs!$B$1+((Inputs!$G$5:$G$180&lt;&gt;"moeda")*(Inputs!$G$5:$G$180&lt;&gt;"acoes")))*INDEX(Inputs!$K$5:$AJ$180,0,MATCH(AI$2,Inputs!$K$4:$AJ$4,0)))+SUMPRODUCT((Inputs!$C$5:$C$180=$B24)*Inputs!$D$5:$D$180*(((Inputs!$G$5:$G$180="moeda")+(Inputs!$G$5:$G$180="acoes"))*Inputs!$B$1+((Inputs!$G$5:$G$180&lt;&gt;"moeda")*(Inputs!$G$5:$G$180&lt;&gt;"acoes")))*INDEX(Inputs!$K$5:$AJ$180,0,MATCH(AI$2,Inputs!$K$4:$AJ$4,0)))+SUMPRODUCT((Inputs!$E$5:$E$180=$B24)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24" s="6" t="e">
        <f>IF(ISNA(MATCH(AJ$2,Inputs!$K$4:$AJ$4,0)),NA(),IF(SUMPRODUCT((Inputs!$A$5:$A$180=$B24)*ISNUMBER(INDEX(Inputs!$K$5:$AJ$180,0,MATCH(AJ$2,Inputs!$K$4:$AJ$4,0))))+SUMPRODUCT((Inputs!$C$5:$C$180=$B24)*ISNUMBER(INDEX(Inputs!$K$5:$AJ$180,0,MATCH(AJ$2,Inputs!$K$4:$AJ$4,0))))+SUMPRODUCT((Inputs!$E$5:$E$180=$B24)*ISNUMBER(INDEX(Inputs!$K$5:$AJ$180,0,MATCH(AJ$2,Inputs!$K$4:$AJ$4,0))))=0,NA(),SUMPRODUCT((Inputs!$A$5:$A$180=$B24)*Inputs!$B$5:$B$180*(((Inputs!$G$5:$G$180="moeda")+(Inputs!$G$5:$G$180="acoes"))*Inputs!$B$1+((Inputs!$G$5:$G$180&lt;&gt;"moeda")*(Inputs!$G$5:$G$180&lt;&gt;"acoes")))*INDEX(Inputs!$K$5:$AJ$180,0,MATCH(AJ$2,Inputs!$K$4:$AJ$4,0)))+SUMPRODUCT((Inputs!$C$5:$C$180=$B24)*Inputs!$D$5:$D$180*(((Inputs!$G$5:$G$180="moeda")+(Inputs!$G$5:$G$180="acoes"))*Inputs!$B$1+((Inputs!$G$5:$G$180&lt;&gt;"moeda")*(Inputs!$G$5:$G$180&lt;&gt;"acoes")))*INDEX(Inputs!$K$5:$AJ$180,0,MATCH(AJ$2,Inputs!$K$4:$AJ$4,0)))+SUMPRODUCT((Inputs!$E$5:$E$180=$B24)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24" s="6" t="e">
        <f>IF(ISNA(MATCH(AK$2,Inputs!$K$4:$AJ$4,0)),NA(),IF(SUMPRODUCT((Inputs!$A$5:$A$180=$B24)*ISNUMBER(INDEX(Inputs!$K$5:$AJ$180,0,MATCH(AK$2,Inputs!$K$4:$AJ$4,0))))+SUMPRODUCT((Inputs!$C$5:$C$180=$B24)*ISNUMBER(INDEX(Inputs!$K$5:$AJ$180,0,MATCH(AK$2,Inputs!$K$4:$AJ$4,0))))+SUMPRODUCT((Inputs!$E$5:$E$180=$B24)*ISNUMBER(INDEX(Inputs!$K$5:$AJ$180,0,MATCH(AK$2,Inputs!$K$4:$AJ$4,0))))=0,NA(),SUMPRODUCT((Inputs!$A$5:$A$180=$B24)*Inputs!$B$5:$B$180*(((Inputs!$G$5:$G$180="moeda")+(Inputs!$G$5:$G$180="acoes"))*Inputs!$B$1+((Inputs!$G$5:$G$180&lt;&gt;"moeda")*(Inputs!$G$5:$G$180&lt;&gt;"acoes")))*INDEX(Inputs!$K$5:$AJ$180,0,MATCH(AK$2,Inputs!$K$4:$AJ$4,0)))+SUMPRODUCT((Inputs!$C$5:$C$180=$B24)*Inputs!$D$5:$D$180*(((Inputs!$G$5:$G$180="moeda")+(Inputs!$G$5:$G$180="acoes"))*Inputs!$B$1+((Inputs!$G$5:$G$180&lt;&gt;"moeda")*(Inputs!$G$5:$G$180&lt;&gt;"acoes")))*INDEX(Inputs!$K$5:$AJ$180,0,MATCH(AK$2,Inputs!$K$4:$AJ$4,0)))+SUMPRODUCT((Inputs!$E$5:$E$180=$B24)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$180=$B25)*ISNUMBER(INDEX(Inputs!$K$5:$AJ$180,0,MATCH(D$2,Inputs!$K$4:$AJ$4,0))))+SUMPRODUCT((Inputs!$C$5:$C$180=$B25)*ISNUMBER(INDEX(Inputs!$K$5:$AJ$180,0,MATCH(D$2,Inputs!$K$4:$AJ$4,0))))+SUMPRODUCT((Inputs!$E$5:$E$180=$B25)*ISNUMBER(INDEX(Inputs!$K$5:$AJ$180,0,MATCH(D$2,Inputs!$K$4:$AJ$4,0))))=0,NA(),SUMPRODUCT((Inputs!$A$5:$A$180=$B25)*Inputs!$B$5:$B$180*(((Inputs!$G$5:$G$180="moeda")+(Inputs!$G$5:$G$180="acoes"))*Inputs!$B$1+((Inputs!$G$5:$G$180&lt;&gt;"moeda")*(Inputs!$G$5:$G$180&lt;&gt;"acoes")))*INDEX(Inputs!$K$5:$AJ$180,0,MATCH(D$2,Inputs!$K$4:$AJ$4,0)))+SUMPRODUCT((Inputs!$C$5:$C$180=$B25)*Inputs!$D$5:$D$180*(((Inputs!$G$5:$G$180="moeda")+(Inputs!$G$5:$G$180="acoes"))*Inputs!$B$1+((Inputs!$G$5:$G$180&lt;&gt;"moeda")*(Inputs!$G$5:$G$180&lt;&gt;"acoes")))*INDEX(Inputs!$K$5:$AJ$180,0,MATCH(D$2,Inputs!$K$4:$AJ$4,0)))+SUMPRODUCT((Inputs!$E$5:$E$180=$B25)*Inputs!$F$5:$F$180*(((Inputs!$G$5:$G$180="moeda")+(Inputs!$G$5:$G$180="acoes"))*Inputs!$B$1+((Inputs!$G$5:$G$180&lt;&gt;"moeda")*(Inputs!$G$5:$G$180&lt;&gt;"acoes")))*INDEX(Inputs!$K$5:$AJ$180,0,MATCH(D$2,Inputs!$K$4:$AJ$4,0)))))</f>
        <v>10.41187674</v>
      </c>
      <c r="E25" s="6">
        <f>IF(ISNA(MATCH(E$2,Inputs!$K$4:$AJ$4,0)),NA(),IF(SUMPRODUCT((Inputs!$A$5:$A$180=$B25)*ISNUMBER(INDEX(Inputs!$K$5:$AJ$180,0,MATCH(E$2,Inputs!$K$4:$AJ$4,0))))+SUMPRODUCT((Inputs!$C$5:$C$180=$B25)*ISNUMBER(INDEX(Inputs!$K$5:$AJ$180,0,MATCH(E$2,Inputs!$K$4:$AJ$4,0))))+SUMPRODUCT((Inputs!$E$5:$E$180=$B25)*ISNUMBER(INDEX(Inputs!$K$5:$AJ$180,0,MATCH(E$2,Inputs!$K$4:$AJ$4,0))))=0,NA(),SUMPRODUCT((Inputs!$A$5:$A$180=$B25)*Inputs!$B$5:$B$180*(((Inputs!$G$5:$G$180="moeda")+(Inputs!$G$5:$G$180="acoes"))*Inputs!$B$1+((Inputs!$G$5:$G$180&lt;&gt;"moeda")*(Inputs!$G$5:$G$180&lt;&gt;"acoes")))*INDEX(Inputs!$K$5:$AJ$180,0,MATCH(E$2,Inputs!$K$4:$AJ$4,0)))+SUMPRODUCT((Inputs!$C$5:$C$180=$B25)*Inputs!$D$5:$D$180*(((Inputs!$G$5:$G$180="moeda")+(Inputs!$G$5:$G$180="acoes"))*Inputs!$B$1+((Inputs!$G$5:$G$180&lt;&gt;"moeda")*(Inputs!$G$5:$G$180&lt;&gt;"acoes")))*INDEX(Inputs!$K$5:$AJ$180,0,MATCH(E$2,Inputs!$K$4:$AJ$4,0)))+SUMPRODUCT((Inputs!$E$5:$E$180=$B25)*Inputs!$F$5:$F$180*(((Inputs!$G$5:$G$180="moeda")+(Inputs!$G$5:$G$180="acoes"))*Inputs!$B$1+((Inputs!$G$5:$G$180&lt;&gt;"moeda")*(Inputs!$G$5:$G$180&lt;&gt;"acoes")))*INDEX(Inputs!$K$5:$AJ$180,0,MATCH(E$2,Inputs!$K$4:$AJ$4,0)))))</f>
        <v>11.36313578</v>
      </c>
      <c r="F25" s="6">
        <f>IF(ISNA(MATCH(F$2,Inputs!$K$4:$AJ$4,0)),NA(),IF(SUMPRODUCT((Inputs!$A$5:$A$180=$B25)*ISNUMBER(INDEX(Inputs!$K$5:$AJ$180,0,MATCH(F$2,Inputs!$K$4:$AJ$4,0))))+SUMPRODUCT((Inputs!$C$5:$C$180=$B25)*ISNUMBER(INDEX(Inputs!$K$5:$AJ$180,0,MATCH(F$2,Inputs!$K$4:$AJ$4,0))))+SUMPRODUCT((Inputs!$E$5:$E$180=$B25)*ISNUMBER(INDEX(Inputs!$K$5:$AJ$180,0,MATCH(F$2,Inputs!$K$4:$AJ$4,0))))=0,NA(),SUMPRODUCT((Inputs!$A$5:$A$180=$B25)*Inputs!$B$5:$B$180*(((Inputs!$G$5:$G$180="moeda")+(Inputs!$G$5:$G$180="acoes"))*Inputs!$B$1+((Inputs!$G$5:$G$180&lt;&gt;"moeda")*(Inputs!$G$5:$G$180&lt;&gt;"acoes")))*INDEX(Inputs!$K$5:$AJ$180,0,MATCH(F$2,Inputs!$K$4:$AJ$4,0)))+SUMPRODUCT((Inputs!$C$5:$C$180=$B25)*Inputs!$D$5:$D$180*(((Inputs!$G$5:$G$180="moeda")+(Inputs!$G$5:$G$180="acoes"))*Inputs!$B$1+((Inputs!$G$5:$G$180&lt;&gt;"moeda")*(Inputs!$G$5:$G$180&lt;&gt;"acoes")))*INDEX(Inputs!$K$5:$AJ$180,0,MATCH(F$2,Inputs!$K$4:$AJ$4,0)))+SUMPRODUCT((Inputs!$E$5:$E$180=$B25)*Inputs!$F$5:$F$180*(((Inputs!$G$5:$G$180="moeda")+(Inputs!$G$5:$G$180="acoes"))*Inputs!$B$1+((Inputs!$G$5:$G$180&lt;&gt;"moeda")*(Inputs!$G$5:$G$180&lt;&gt;"acoes")))*INDEX(Inputs!$K$5:$AJ$180,0,MATCH(F$2,Inputs!$K$4:$AJ$4,0)))))</f>
        <v>13.87559703</v>
      </c>
      <c r="G25" s="6">
        <f>IF(ISNA(MATCH(G$2,Inputs!$K$4:$AJ$4,0)),NA(),IF(SUMPRODUCT((Inputs!$A$5:$A$180=$B25)*ISNUMBER(INDEX(Inputs!$K$5:$AJ$180,0,MATCH(G$2,Inputs!$K$4:$AJ$4,0))))+SUMPRODUCT((Inputs!$C$5:$C$180=$B25)*ISNUMBER(INDEX(Inputs!$K$5:$AJ$180,0,MATCH(G$2,Inputs!$K$4:$AJ$4,0))))+SUMPRODUCT((Inputs!$E$5:$E$180=$B25)*ISNUMBER(INDEX(Inputs!$K$5:$AJ$180,0,MATCH(G$2,Inputs!$K$4:$AJ$4,0))))=0,NA(),SUMPRODUCT((Inputs!$A$5:$A$180=$B25)*Inputs!$B$5:$B$180*(((Inputs!$G$5:$G$180="moeda")+(Inputs!$G$5:$G$180="acoes"))*Inputs!$B$1+((Inputs!$G$5:$G$180&lt;&gt;"moeda")*(Inputs!$G$5:$G$180&lt;&gt;"acoes")))*INDEX(Inputs!$K$5:$AJ$180,0,MATCH(G$2,Inputs!$K$4:$AJ$4,0)))+SUMPRODUCT((Inputs!$C$5:$C$180=$B25)*Inputs!$D$5:$D$180*(((Inputs!$G$5:$G$180="moeda")+(Inputs!$G$5:$G$180="acoes"))*Inputs!$B$1+((Inputs!$G$5:$G$180&lt;&gt;"moeda")*(Inputs!$G$5:$G$180&lt;&gt;"acoes")))*INDEX(Inputs!$K$5:$AJ$180,0,MATCH(G$2,Inputs!$K$4:$AJ$4,0)))+SUMPRODUCT((Inputs!$E$5:$E$180=$B25)*Inputs!$F$5:$F$180*(((Inputs!$G$5:$G$180="moeda")+(Inputs!$G$5:$G$180="acoes"))*Inputs!$B$1+((Inputs!$G$5:$G$180&lt;&gt;"moeda")*(Inputs!$G$5:$G$180&lt;&gt;"acoes")))*INDEX(Inputs!$K$5:$AJ$180,0,MATCH(G$2,Inputs!$K$4:$AJ$4,0)))))</f>
        <v>29.87393098</v>
      </c>
      <c r="H25" s="3">
        <f>G25</f>
        <v>29.87393098</v>
      </c>
      <c r="I25" s="6">
        <f>IF(ISNA(MATCH(I$2,Inputs!$K$4:$AJ$4,0)),NA(),IF(SUMPRODUCT((Inputs!$A$5:$A$180=$B25)*ISNUMBER(INDEX(Inputs!$K$5:$AJ$180,0,MATCH(I$2,Inputs!$K$4:$AJ$4,0))))+SUMPRODUCT((Inputs!$C$5:$C$180=$B25)*ISNUMBER(INDEX(Inputs!$K$5:$AJ$180,0,MATCH(I$2,Inputs!$K$4:$AJ$4,0))))+SUMPRODUCT((Inputs!$E$5:$E$180=$B25)*ISNUMBER(INDEX(Inputs!$K$5:$AJ$180,0,MATCH(I$2,Inputs!$K$4:$AJ$4,0))))=0,NA(),SUMPRODUCT((Inputs!$A$5:$A$180=$B25)*Inputs!$B$5:$B$180*(((Inputs!$G$5:$G$180="moeda")+(Inputs!$G$5:$G$180="acoes"))*Inputs!$B$1+((Inputs!$G$5:$G$180&lt;&gt;"moeda")*(Inputs!$G$5:$G$180&lt;&gt;"acoes")))*INDEX(Inputs!$K$5:$AJ$180,0,MATCH(I$2,Inputs!$K$4:$AJ$4,0)))+SUMPRODUCT((Inputs!$C$5:$C$180=$B25)*Inputs!$D$5:$D$180*(((Inputs!$G$5:$G$180="moeda")+(Inputs!$G$5:$G$180="acoes"))*Inputs!$B$1+((Inputs!$G$5:$G$180&lt;&gt;"moeda")*(Inputs!$G$5:$G$180&lt;&gt;"acoes")))*INDEX(Inputs!$K$5:$AJ$180,0,MATCH(I$2,Inputs!$K$4:$AJ$4,0)))+SUMPRODUCT((Inputs!$E$5:$E$180=$B25)*Inputs!$F$5:$F$180*(((Inputs!$G$5:$G$180="moeda")+(Inputs!$G$5:$G$180="acoes"))*Inputs!$B$1+((Inputs!$G$5:$G$180&lt;&gt;"moeda")*(Inputs!$G$5:$G$180&lt;&gt;"acoes")))*INDEX(Inputs!$K$5:$AJ$180,0,MATCH(I$2,Inputs!$K$4:$AJ$4,0)))))</f>
        <v>20.66317616</v>
      </c>
      <c r="J25" s="6">
        <f>IF(ISNA(MATCH(J$2,Inputs!$K$4:$AJ$4,0)),NA(),IF(SUMPRODUCT((Inputs!$A$5:$A$180=$B25)*ISNUMBER(INDEX(Inputs!$K$5:$AJ$180,0,MATCH(J$2,Inputs!$K$4:$AJ$4,0))))+SUMPRODUCT((Inputs!$C$5:$C$180=$B25)*ISNUMBER(INDEX(Inputs!$K$5:$AJ$180,0,MATCH(J$2,Inputs!$K$4:$AJ$4,0))))+SUMPRODUCT((Inputs!$E$5:$E$180=$B25)*ISNUMBER(INDEX(Inputs!$K$5:$AJ$180,0,MATCH(J$2,Inputs!$K$4:$AJ$4,0))))=0,NA(),SUMPRODUCT((Inputs!$A$5:$A$180=$B25)*Inputs!$B$5:$B$180*(((Inputs!$G$5:$G$180="moeda")+(Inputs!$G$5:$G$180="acoes"))*Inputs!$B$1+((Inputs!$G$5:$G$180&lt;&gt;"moeda")*(Inputs!$G$5:$G$180&lt;&gt;"acoes")))*INDEX(Inputs!$K$5:$AJ$180,0,MATCH(J$2,Inputs!$K$4:$AJ$4,0)))+SUMPRODUCT((Inputs!$C$5:$C$180=$B25)*Inputs!$D$5:$D$180*(((Inputs!$G$5:$G$180="moeda")+(Inputs!$G$5:$G$180="acoes"))*Inputs!$B$1+((Inputs!$G$5:$G$180&lt;&gt;"moeda")*(Inputs!$G$5:$G$180&lt;&gt;"acoes")))*INDEX(Inputs!$K$5:$AJ$180,0,MATCH(J$2,Inputs!$K$4:$AJ$4,0)))+SUMPRODUCT((Inputs!$E$5:$E$180=$B25)*Inputs!$F$5:$F$180*(((Inputs!$G$5:$G$180="moeda")+(Inputs!$G$5:$G$180="acoes"))*Inputs!$B$1+((Inputs!$G$5:$G$180&lt;&gt;"moeda")*(Inputs!$G$5:$G$180&lt;&gt;"acoes")))*INDEX(Inputs!$K$5:$AJ$180,0,MATCH(J$2,Inputs!$K$4:$AJ$4,0)))))</f>
        <v>26.24199048</v>
      </c>
      <c r="K25" s="6">
        <f>IF(ISNA(MATCH(K$2,Inputs!$K$4:$AJ$4,0)),NA(),IF(SUMPRODUCT((Inputs!$A$5:$A$180=$B25)*ISNUMBER(INDEX(Inputs!$K$5:$AJ$180,0,MATCH(K$2,Inputs!$K$4:$AJ$4,0))))+SUMPRODUCT((Inputs!$C$5:$C$180=$B25)*ISNUMBER(INDEX(Inputs!$K$5:$AJ$180,0,MATCH(K$2,Inputs!$K$4:$AJ$4,0))))+SUMPRODUCT((Inputs!$E$5:$E$180=$B25)*ISNUMBER(INDEX(Inputs!$K$5:$AJ$180,0,MATCH(K$2,Inputs!$K$4:$AJ$4,0))))=0,NA(),SUMPRODUCT((Inputs!$A$5:$A$180=$B25)*Inputs!$B$5:$B$180*(((Inputs!$G$5:$G$180="moeda")+(Inputs!$G$5:$G$180="acoes"))*Inputs!$B$1+((Inputs!$G$5:$G$180&lt;&gt;"moeda")*(Inputs!$G$5:$G$180&lt;&gt;"acoes")))*INDEX(Inputs!$K$5:$AJ$180,0,MATCH(K$2,Inputs!$K$4:$AJ$4,0)))+SUMPRODUCT((Inputs!$C$5:$C$180=$B25)*Inputs!$D$5:$D$180*(((Inputs!$G$5:$G$180="moeda")+(Inputs!$G$5:$G$180="acoes"))*Inputs!$B$1+((Inputs!$G$5:$G$180&lt;&gt;"moeda")*(Inputs!$G$5:$G$180&lt;&gt;"acoes")))*INDEX(Inputs!$K$5:$AJ$180,0,MATCH(K$2,Inputs!$K$4:$AJ$4,0)))+SUMPRODUCT((Inputs!$E$5:$E$180=$B25)*Inputs!$F$5:$F$180*(((Inputs!$G$5:$G$180="moeda")+(Inputs!$G$5:$G$180="acoes"))*Inputs!$B$1+((Inputs!$G$5:$G$180&lt;&gt;"moeda")*(Inputs!$G$5:$G$180&lt;&gt;"acoes")))*INDEX(Inputs!$K$5:$AJ$180,0,MATCH(K$2,Inputs!$K$4:$AJ$4,0)))))</f>
        <v>36.92672287</v>
      </c>
      <c r="L25" s="6">
        <f>IF(ISNA(MATCH(L$2,Inputs!$K$4:$AJ$4,0)),NA(),IF(SUMPRODUCT((Inputs!$A$5:$A$180=$B25)*ISNUMBER(INDEX(Inputs!$K$5:$AJ$180,0,MATCH(L$2,Inputs!$K$4:$AJ$4,0))))+SUMPRODUCT((Inputs!$C$5:$C$180=$B25)*ISNUMBER(INDEX(Inputs!$K$5:$AJ$180,0,MATCH(L$2,Inputs!$K$4:$AJ$4,0))))+SUMPRODUCT((Inputs!$E$5:$E$180=$B25)*ISNUMBER(INDEX(Inputs!$K$5:$AJ$180,0,MATCH(L$2,Inputs!$K$4:$AJ$4,0))))=0,NA(),SUMPRODUCT((Inputs!$A$5:$A$180=$B25)*Inputs!$B$5:$B$180*(((Inputs!$G$5:$G$180="moeda")+(Inputs!$G$5:$G$180="acoes"))*Inputs!$B$1+((Inputs!$G$5:$G$180&lt;&gt;"moeda")*(Inputs!$G$5:$G$180&lt;&gt;"acoes")))*INDEX(Inputs!$K$5:$AJ$180,0,MATCH(L$2,Inputs!$K$4:$AJ$4,0)))+SUMPRODUCT((Inputs!$C$5:$C$180=$B25)*Inputs!$D$5:$D$180*(((Inputs!$G$5:$G$180="moeda")+(Inputs!$G$5:$G$180="acoes"))*Inputs!$B$1+((Inputs!$G$5:$G$180&lt;&gt;"moeda")*(Inputs!$G$5:$G$180&lt;&gt;"acoes")))*INDEX(Inputs!$K$5:$AJ$180,0,MATCH(L$2,Inputs!$K$4:$AJ$4,0)))+SUMPRODUCT((Inputs!$E$5:$E$180=$B25)*Inputs!$F$5:$F$180*(((Inputs!$G$5:$G$180="moeda")+(Inputs!$G$5:$G$180="acoes"))*Inputs!$B$1+((Inputs!$G$5:$G$180&lt;&gt;"moeda")*(Inputs!$G$5:$G$180&lt;&gt;"acoes")))*INDEX(Inputs!$K$5:$AJ$180,0,MATCH(L$2,Inputs!$K$4:$AJ$4,0)))))</f>
        <v>42.24</v>
      </c>
      <c r="M25" s="3">
        <f>L25</f>
        <v>42.24</v>
      </c>
      <c r="N25" s="6">
        <f>IF(ISNA(MATCH(N$2,Inputs!$K$4:$AJ$4,0)),NA(),IF(SUMPRODUCT((Inputs!$A$5:$A$180=$B25)*ISNUMBER(INDEX(Inputs!$K$5:$AJ$180,0,MATCH(N$2,Inputs!$K$4:$AJ$4,0))))+SUMPRODUCT((Inputs!$C$5:$C$180=$B25)*ISNUMBER(INDEX(Inputs!$K$5:$AJ$180,0,MATCH(N$2,Inputs!$K$4:$AJ$4,0))))+SUMPRODUCT((Inputs!$E$5:$E$180=$B25)*ISNUMBER(INDEX(Inputs!$K$5:$AJ$180,0,MATCH(N$2,Inputs!$K$4:$AJ$4,0))))=0,NA(),SUMPRODUCT((Inputs!$A$5:$A$180=$B25)*Inputs!$B$5:$B$180*(((Inputs!$G$5:$G$180="moeda")+(Inputs!$G$5:$G$180="acoes"))*Inputs!$B$1+((Inputs!$G$5:$G$180&lt;&gt;"moeda")*(Inputs!$G$5:$G$180&lt;&gt;"acoes")))*INDEX(Inputs!$K$5:$AJ$180,0,MATCH(N$2,Inputs!$K$4:$AJ$4,0)))+SUMPRODUCT((Inputs!$C$5:$C$180=$B25)*Inputs!$D$5:$D$180*(((Inputs!$G$5:$G$180="moeda")+(Inputs!$G$5:$G$180="acoes"))*Inputs!$B$1+((Inputs!$G$5:$G$180&lt;&gt;"moeda")*(Inputs!$G$5:$G$180&lt;&gt;"acoes")))*INDEX(Inputs!$K$5:$AJ$180,0,MATCH(N$2,Inputs!$K$4:$AJ$4,0)))+SUMPRODUCT((Inputs!$E$5:$E$180=$B25)*Inputs!$F$5:$F$180*(((Inputs!$G$5:$G$180="moeda")+(Inputs!$G$5:$G$180="acoes"))*Inputs!$B$1+((Inputs!$G$5:$G$180&lt;&gt;"moeda")*(Inputs!$G$5:$G$180&lt;&gt;"acoes")))*INDEX(Inputs!$K$5:$AJ$180,0,MATCH(N$2,Inputs!$K$4:$AJ$4,0)))))</f>
        <v>43.895</v>
      </c>
      <c r="O25" s="6">
        <f>IF(ISNA(MATCH(O$2,Inputs!$K$4:$AJ$4,0)),NA(),IF(SUMPRODUCT((Inputs!$A$5:$A$180=$B25)*ISNUMBER(INDEX(Inputs!$K$5:$AJ$180,0,MATCH(O$2,Inputs!$K$4:$AJ$4,0))))+SUMPRODUCT((Inputs!$C$5:$C$180=$B25)*ISNUMBER(INDEX(Inputs!$K$5:$AJ$180,0,MATCH(O$2,Inputs!$K$4:$AJ$4,0))))+SUMPRODUCT((Inputs!$E$5:$E$180=$B25)*ISNUMBER(INDEX(Inputs!$K$5:$AJ$180,0,MATCH(O$2,Inputs!$K$4:$AJ$4,0))))=0,NA(),SUMPRODUCT((Inputs!$A$5:$A$180=$B25)*Inputs!$B$5:$B$180*(((Inputs!$G$5:$G$180="moeda")+(Inputs!$G$5:$G$180="acoes"))*Inputs!$B$1+((Inputs!$G$5:$G$180&lt;&gt;"moeda")*(Inputs!$G$5:$G$180&lt;&gt;"acoes")))*INDEX(Inputs!$K$5:$AJ$180,0,MATCH(O$2,Inputs!$K$4:$AJ$4,0)))+SUMPRODUCT((Inputs!$C$5:$C$180=$B25)*Inputs!$D$5:$D$180*(((Inputs!$G$5:$G$180="moeda")+(Inputs!$G$5:$G$180="acoes"))*Inputs!$B$1+((Inputs!$G$5:$G$180&lt;&gt;"moeda")*(Inputs!$G$5:$G$180&lt;&gt;"acoes")))*INDEX(Inputs!$K$5:$AJ$180,0,MATCH(O$2,Inputs!$K$4:$AJ$4,0)))+SUMPRODUCT((Inputs!$E$5:$E$180=$B25)*Inputs!$F$5:$F$180*(((Inputs!$G$5:$G$180="moeda")+(Inputs!$G$5:$G$180="acoes"))*Inputs!$B$1+((Inputs!$G$5:$G$180&lt;&gt;"moeda")*(Inputs!$G$5:$G$180&lt;&gt;"acoes")))*INDEX(Inputs!$K$5:$AJ$180,0,MATCH(O$2,Inputs!$K$4:$AJ$4,0)))))</f>
        <v>50.40408397</v>
      </c>
      <c r="P25" s="6">
        <f>IF(ISNA(MATCH(P$2,Inputs!$K$4:$AJ$4,0)),NA(),IF(SUMPRODUCT((Inputs!$A$5:$A$180=$B25)*ISNUMBER(INDEX(Inputs!$K$5:$AJ$180,0,MATCH(P$2,Inputs!$K$4:$AJ$4,0))))+SUMPRODUCT((Inputs!$C$5:$C$180=$B25)*ISNUMBER(INDEX(Inputs!$K$5:$AJ$180,0,MATCH(P$2,Inputs!$K$4:$AJ$4,0))))+SUMPRODUCT((Inputs!$E$5:$E$180=$B25)*ISNUMBER(INDEX(Inputs!$K$5:$AJ$180,0,MATCH(P$2,Inputs!$K$4:$AJ$4,0))))=0,NA(),SUMPRODUCT((Inputs!$A$5:$A$180=$B25)*Inputs!$B$5:$B$180*(((Inputs!$G$5:$G$180="moeda")+(Inputs!$G$5:$G$180="acoes"))*Inputs!$B$1+((Inputs!$G$5:$G$180&lt;&gt;"moeda")*(Inputs!$G$5:$G$180&lt;&gt;"acoes")))*INDEX(Inputs!$K$5:$AJ$180,0,MATCH(P$2,Inputs!$K$4:$AJ$4,0)))+SUMPRODUCT((Inputs!$C$5:$C$180=$B25)*Inputs!$D$5:$D$180*(((Inputs!$G$5:$G$180="moeda")+(Inputs!$G$5:$G$180="acoes"))*Inputs!$B$1+((Inputs!$G$5:$G$180&lt;&gt;"moeda")*(Inputs!$G$5:$G$180&lt;&gt;"acoes")))*INDEX(Inputs!$K$5:$AJ$180,0,MATCH(P$2,Inputs!$K$4:$AJ$4,0)))+SUMPRODUCT((Inputs!$E$5:$E$180=$B25)*Inputs!$F$5:$F$180*(((Inputs!$G$5:$G$180="moeda")+(Inputs!$G$5:$G$180="acoes"))*Inputs!$B$1+((Inputs!$G$5:$G$180&lt;&gt;"moeda")*(Inputs!$G$5:$G$180&lt;&gt;"acoes")))*INDEX(Inputs!$K$5:$AJ$180,0,MATCH(P$2,Inputs!$K$4:$AJ$4,0)))))</f>
        <v>55.73704279</v>
      </c>
      <c r="Q25" s="6">
        <f>IF(ISNA(MATCH(Q$2,Inputs!$K$4:$AJ$4,0)),NA(),IF(SUMPRODUCT((Inputs!$A$5:$A$180=$B25)*ISNUMBER(INDEX(Inputs!$K$5:$AJ$180,0,MATCH(Q$2,Inputs!$K$4:$AJ$4,0))))+SUMPRODUCT((Inputs!$C$5:$C$180=$B25)*ISNUMBER(INDEX(Inputs!$K$5:$AJ$180,0,MATCH(Q$2,Inputs!$K$4:$AJ$4,0))))+SUMPRODUCT((Inputs!$E$5:$E$180=$B25)*ISNUMBER(INDEX(Inputs!$K$5:$AJ$180,0,MATCH(Q$2,Inputs!$K$4:$AJ$4,0))))=0,NA(),SUMPRODUCT((Inputs!$A$5:$A$180=$B25)*Inputs!$B$5:$B$180*(((Inputs!$G$5:$G$180="moeda")+(Inputs!$G$5:$G$180="acoes"))*Inputs!$B$1+((Inputs!$G$5:$G$180&lt;&gt;"moeda")*(Inputs!$G$5:$G$180&lt;&gt;"acoes")))*INDEX(Inputs!$K$5:$AJ$180,0,MATCH(Q$2,Inputs!$K$4:$AJ$4,0)))+SUMPRODUCT((Inputs!$C$5:$C$180=$B25)*Inputs!$D$5:$D$180*(((Inputs!$G$5:$G$180="moeda")+(Inputs!$G$5:$G$180="acoes"))*Inputs!$B$1+((Inputs!$G$5:$G$180&lt;&gt;"moeda")*(Inputs!$G$5:$G$180&lt;&gt;"acoes")))*INDEX(Inputs!$K$5:$AJ$180,0,MATCH(Q$2,Inputs!$K$4:$AJ$4,0)))+SUMPRODUCT((Inputs!$E$5:$E$180=$B25)*Inputs!$F$5:$F$180*(((Inputs!$G$5:$G$180="moeda")+(Inputs!$G$5:$G$180="acoes"))*Inputs!$B$1+((Inputs!$G$5:$G$180&lt;&gt;"moeda")*(Inputs!$G$5:$G$180&lt;&gt;"acoes")))*INDEX(Inputs!$K$5:$AJ$180,0,MATCH(Q$2,Inputs!$K$4:$AJ$4,0)))))</f>
        <v>59.19086483</v>
      </c>
      <c r="R25" s="3">
        <f>Q25</f>
        <v>59.19086483</v>
      </c>
      <c r="S25" s="6">
        <f>IF(ISNA(MATCH(S$2,Inputs!$K$4:$AJ$4,0)),NA(),IF(SUMPRODUCT((Inputs!$A$5:$A$180=$B25)*ISNUMBER(INDEX(Inputs!$K$5:$AJ$180,0,MATCH(S$2,Inputs!$K$4:$AJ$4,0))))+SUMPRODUCT((Inputs!$C$5:$C$180=$B25)*ISNUMBER(INDEX(Inputs!$K$5:$AJ$180,0,MATCH(S$2,Inputs!$K$4:$AJ$4,0))))+SUMPRODUCT((Inputs!$E$5:$E$180=$B25)*ISNUMBER(INDEX(Inputs!$K$5:$AJ$180,0,MATCH(S$2,Inputs!$K$4:$AJ$4,0))))=0,NA(),SUMPRODUCT((Inputs!$A$5:$A$180=$B25)*Inputs!$B$5:$B$180*(((Inputs!$G$5:$G$180="moeda")+(Inputs!$G$5:$G$180="acoes"))*Inputs!$B$1+((Inputs!$G$5:$G$180&lt;&gt;"moeda")*(Inputs!$G$5:$G$180&lt;&gt;"acoes")))*INDEX(Inputs!$K$5:$AJ$180,0,MATCH(S$2,Inputs!$K$4:$AJ$4,0)))+SUMPRODUCT((Inputs!$C$5:$C$180=$B25)*Inputs!$D$5:$D$180*(((Inputs!$G$5:$G$180="moeda")+(Inputs!$G$5:$G$180="acoes"))*Inputs!$B$1+((Inputs!$G$5:$G$180&lt;&gt;"moeda")*(Inputs!$G$5:$G$180&lt;&gt;"acoes")))*INDEX(Inputs!$K$5:$AJ$180,0,MATCH(S$2,Inputs!$K$4:$AJ$4,0)))+SUMPRODUCT((Inputs!$E$5:$E$180=$B25)*Inputs!$F$5:$F$180*(((Inputs!$G$5:$G$180="moeda")+(Inputs!$G$5:$G$180="acoes"))*Inputs!$B$1+((Inputs!$G$5:$G$180&lt;&gt;"moeda")*(Inputs!$G$5:$G$180&lt;&gt;"acoes")))*INDEX(Inputs!$K$5:$AJ$180,0,MATCH(S$2,Inputs!$K$4:$AJ$4,0)))))</f>
        <v>62.91151845</v>
      </c>
      <c r="T25" s="6">
        <f>IF(ISNA(MATCH(T$2,Inputs!$K$4:$AJ$4,0)),NA(),IF(SUMPRODUCT((Inputs!$A$5:$A$180=$B25)*ISNUMBER(INDEX(Inputs!$K$5:$AJ$180,0,MATCH(T$2,Inputs!$K$4:$AJ$4,0))))+SUMPRODUCT((Inputs!$C$5:$C$180=$B25)*ISNUMBER(INDEX(Inputs!$K$5:$AJ$180,0,MATCH(T$2,Inputs!$K$4:$AJ$4,0))))+SUMPRODUCT((Inputs!$E$5:$E$180=$B25)*ISNUMBER(INDEX(Inputs!$K$5:$AJ$180,0,MATCH(T$2,Inputs!$K$4:$AJ$4,0))))=0,NA(),SUMPRODUCT((Inputs!$A$5:$A$180=$B25)*Inputs!$B$5:$B$180*(((Inputs!$G$5:$G$180="moeda")+(Inputs!$G$5:$G$180="acoes"))*Inputs!$B$1+((Inputs!$G$5:$G$180&lt;&gt;"moeda")*(Inputs!$G$5:$G$180&lt;&gt;"acoes")))*INDEX(Inputs!$K$5:$AJ$180,0,MATCH(T$2,Inputs!$K$4:$AJ$4,0)))+SUMPRODUCT((Inputs!$C$5:$C$180=$B25)*Inputs!$D$5:$D$180*(((Inputs!$G$5:$G$180="moeda")+(Inputs!$G$5:$G$180="acoes"))*Inputs!$B$1+((Inputs!$G$5:$G$180&lt;&gt;"moeda")*(Inputs!$G$5:$G$180&lt;&gt;"acoes")))*INDEX(Inputs!$K$5:$AJ$180,0,MATCH(T$2,Inputs!$K$4:$AJ$4,0)))+SUMPRODUCT((Inputs!$E$5:$E$180=$B25)*Inputs!$F$5:$F$180*(((Inputs!$G$5:$G$180="moeda")+(Inputs!$G$5:$G$180="acoes"))*Inputs!$B$1+((Inputs!$G$5:$G$180&lt;&gt;"moeda")*(Inputs!$G$5:$G$180&lt;&gt;"acoes")))*INDEX(Inputs!$K$5:$AJ$180,0,MATCH(T$2,Inputs!$K$4:$AJ$4,0)))))</f>
        <v>72.75572573</v>
      </c>
      <c r="U25" s="6">
        <f>IF(ISNA(MATCH(U$2,Inputs!$K$4:$AJ$4,0)),NA(),IF(SUMPRODUCT((Inputs!$A$5:$A$180=$B25)*ISNUMBER(INDEX(Inputs!$K$5:$AJ$180,0,MATCH(U$2,Inputs!$K$4:$AJ$4,0))))+SUMPRODUCT((Inputs!$C$5:$C$180=$B25)*ISNUMBER(INDEX(Inputs!$K$5:$AJ$180,0,MATCH(U$2,Inputs!$K$4:$AJ$4,0))))+SUMPRODUCT((Inputs!$E$5:$E$180=$B25)*ISNUMBER(INDEX(Inputs!$K$5:$AJ$180,0,MATCH(U$2,Inputs!$K$4:$AJ$4,0))))=0,NA(),SUMPRODUCT((Inputs!$A$5:$A$180=$B25)*Inputs!$B$5:$B$180*(((Inputs!$G$5:$G$180="moeda")+(Inputs!$G$5:$G$180="acoes"))*Inputs!$B$1+((Inputs!$G$5:$G$180&lt;&gt;"moeda")*(Inputs!$G$5:$G$180&lt;&gt;"acoes")))*INDEX(Inputs!$K$5:$AJ$180,0,MATCH(U$2,Inputs!$K$4:$AJ$4,0)))+SUMPRODUCT((Inputs!$C$5:$C$180=$B25)*Inputs!$D$5:$D$180*(((Inputs!$G$5:$G$180="moeda")+(Inputs!$G$5:$G$180="acoes"))*Inputs!$B$1+((Inputs!$G$5:$G$180&lt;&gt;"moeda")*(Inputs!$G$5:$G$180&lt;&gt;"acoes")))*INDEX(Inputs!$K$5:$AJ$180,0,MATCH(U$2,Inputs!$K$4:$AJ$4,0)))+SUMPRODUCT((Inputs!$E$5:$E$180=$B25)*Inputs!$F$5:$F$180*(((Inputs!$G$5:$G$180="moeda")+(Inputs!$G$5:$G$180="acoes"))*Inputs!$B$1+((Inputs!$G$5:$G$180&lt;&gt;"moeda")*(Inputs!$G$5:$G$180&lt;&gt;"acoes")))*INDEX(Inputs!$K$5:$AJ$180,0,MATCH(U$2,Inputs!$K$4:$AJ$4,0)))))</f>
        <v>78.48823497</v>
      </c>
      <c r="V25" s="6">
        <f>IF(ISNA(MATCH(V$2,Inputs!$K$4:$AJ$4,0)),NA(),IF(SUMPRODUCT((Inputs!$A$5:$A$180=$B25)*ISNUMBER(INDEX(Inputs!$K$5:$AJ$180,0,MATCH(V$2,Inputs!$K$4:$AJ$4,0))))+SUMPRODUCT((Inputs!$C$5:$C$180=$B25)*ISNUMBER(INDEX(Inputs!$K$5:$AJ$180,0,MATCH(V$2,Inputs!$K$4:$AJ$4,0))))+SUMPRODUCT((Inputs!$E$5:$E$180=$B25)*ISNUMBER(INDEX(Inputs!$K$5:$AJ$180,0,MATCH(V$2,Inputs!$K$4:$AJ$4,0))))=0,NA(),SUMPRODUCT((Inputs!$A$5:$A$180=$B25)*Inputs!$B$5:$B$180*(((Inputs!$G$5:$G$180="moeda")+(Inputs!$G$5:$G$180="acoes"))*Inputs!$B$1+((Inputs!$G$5:$G$180&lt;&gt;"moeda")*(Inputs!$G$5:$G$180&lt;&gt;"acoes")))*INDEX(Inputs!$K$5:$AJ$180,0,MATCH(V$2,Inputs!$K$4:$AJ$4,0)))+SUMPRODUCT((Inputs!$C$5:$C$180=$B25)*Inputs!$D$5:$D$180*(((Inputs!$G$5:$G$180="moeda")+(Inputs!$G$5:$G$180="acoes"))*Inputs!$B$1+((Inputs!$G$5:$G$180&lt;&gt;"moeda")*(Inputs!$G$5:$G$180&lt;&gt;"acoes")))*INDEX(Inputs!$K$5:$AJ$180,0,MATCH(V$2,Inputs!$K$4:$AJ$4,0)))+SUMPRODUCT((Inputs!$E$5:$E$180=$B25)*Inputs!$F$5:$F$180*(((Inputs!$G$5:$G$180="moeda")+(Inputs!$G$5:$G$180="acoes"))*Inputs!$B$1+((Inputs!$G$5:$G$180&lt;&gt;"moeda")*(Inputs!$G$5:$G$180&lt;&gt;"acoes")))*INDEX(Inputs!$K$5:$AJ$180,0,MATCH(V$2,Inputs!$K$4:$AJ$4,0)))))</f>
        <v>67.32603929</v>
      </c>
      <c r="W25" s="3">
        <f>V25</f>
        <v>67.32603929</v>
      </c>
      <c r="X25" s="6">
        <f>IF(ISNA(MATCH(X$2,Inputs!$K$4:$AJ$4,0)),NA(),IF(SUMPRODUCT((Inputs!$A$5:$A$180=$B25)*ISNUMBER(INDEX(Inputs!$K$5:$AJ$180,0,MATCH(X$2,Inputs!$K$4:$AJ$4,0))))+SUMPRODUCT((Inputs!$C$5:$C$180=$B25)*ISNUMBER(INDEX(Inputs!$K$5:$AJ$180,0,MATCH(X$2,Inputs!$K$4:$AJ$4,0))))+SUMPRODUCT((Inputs!$E$5:$E$180=$B25)*ISNUMBER(INDEX(Inputs!$K$5:$AJ$180,0,MATCH(X$2,Inputs!$K$4:$AJ$4,0))))=0,NA(),SUMPRODUCT((Inputs!$A$5:$A$180=$B25)*Inputs!$B$5:$B$180*(((Inputs!$G$5:$G$180="moeda")+(Inputs!$G$5:$G$180="acoes"))*Inputs!$B$1+((Inputs!$G$5:$G$180&lt;&gt;"moeda")*(Inputs!$G$5:$G$180&lt;&gt;"acoes")))*INDEX(Inputs!$K$5:$AJ$180,0,MATCH(X$2,Inputs!$K$4:$AJ$4,0)))+SUMPRODUCT((Inputs!$C$5:$C$180=$B25)*Inputs!$D$5:$D$180*(((Inputs!$G$5:$G$180="moeda")+(Inputs!$G$5:$G$180="acoes"))*Inputs!$B$1+((Inputs!$G$5:$G$180&lt;&gt;"moeda")*(Inputs!$G$5:$G$180&lt;&gt;"acoes")))*INDEX(Inputs!$K$5:$AJ$180,0,MATCH(X$2,Inputs!$K$4:$AJ$4,0)))+SUMPRODUCT((Inputs!$E$5:$E$180=$B25)*Inputs!$F$5:$F$180*(((Inputs!$G$5:$G$180="moeda")+(Inputs!$G$5:$G$180="acoes"))*Inputs!$B$1+((Inputs!$G$5:$G$180&lt;&gt;"moeda")*(Inputs!$G$5:$G$180&lt;&gt;"acoes")))*INDEX(Inputs!$K$5:$AJ$180,0,MATCH(X$2,Inputs!$K$4:$AJ$4,0)))))</f>
        <v>67.9212041</v>
      </c>
      <c r="Y25" s="6">
        <f>IF(ISNA(MATCH(Y$2,Inputs!$K$4:$AJ$4,0)),NA(),IF(SUMPRODUCT((Inputs!$A$5:$A$180=$B25)*ISNUMBER(INDEX(Inputs!$K$5:$AJ$180,0,MATCH(Y$2,Inputs!$K$4:$AJ$4,0))))+SUMPRODUCT((Inputs!$C$5:$C$180=$B25)*ISNUMBER(INDEX(Inputs!$K$5:$AJ$180,0,MATCH(Y$2,Inputs!$K$4:$AJ$4,0))))+SUMPRODUCT((Inputs!$E$5:$E$180=$B25)*ISNUMBER(INDEX(Inputs!$K$5:$AJ$180,0,MATCH(Y$2,Inputs!$K$4:$AJ$4,0))))=0,NA(),SUMPRODUCT((Inputs!$A$5:$A$180=$B25)*Inputs!$B$5:$B$180*(((Inputs!$G$5:$G$180="moeda")+(Inputs!$G$5:$G$180="acoes"))*Inputs!$B$1+((Inputs!$G$5:$G$180&lt;&gt;"moeda")*(Inputs!$G$5:$G$180&lt;&gt;"acoes")))*INDEX(Inputs!$K$5:$AJ$180,0,MATCH(Y$2,Inputs!$K$4:$AJ$4,0)))+SUMPRODUCT((Inputs!$C$5:$C$180=$B25)*Inputs!$D$5:$D$180*(((Inputs!$G$5:$G$180="moeda")+(Inputs!$G$5:$G$180="acoes"))*Inputs!$B$1+((Inputs!$G$5:$G$180&lt;&gt;"moeda")*(Inputs!$G$5:$G$180&lt;&gt;"acoes")))*INDEX(Inputs!$K$5:$AJ$180,0,MATCH(Y$2,Inputs!$K$4:$AJ$4,0)))+SUMPRODUCT((Inputs!$E$5:$E$180=$B25)*Inputs!$F$5:$F$180*(((Inputs!$G$5:$G$180="moeda")+(Inputs!$G$5:$G$180="acoes"))*Inputs!$B$1+((Inputs!$G$5:$G$180&lt;&gt;"moeda")*(Inputs!$G$5:$G$180&lt;&gt;"acoes")))*INDEX(Inputs!$K$5:$AJ$180,0,MATCH(Y$2,Inputs!$K$4:$AJ$4,0)))))</f>
        <v>65.17899848</v>
      </c>
      <c r="Z25" s="6">
        <f>IF(ISNA(MATCH(Z$2,Inputs!$K$4:$AJ$4,0)),NA(),IF(SUMPRODUCT((Inputs!$A$5:$A$180=$B25)*ISNUMBER(INDEX(Inputs!$K$5:$AJ$180,0,MATCH(Z$2,Inputs!$K$4:$AJ$4,0))))+SUMPRODUCT((Inputs!$C$5:$C$180=$B25)*ISNUMBER(INDEX(Inputs!$K$5:$AJ$180,0,MATCH(Z$2,Inputs!$K$4:$AJ$4,0))))+SUMPRODUCT((Inputs!$E$5:$E$180=$B25)*ISNUMBER(INDEX(Inputs!$K$5:$AJ$180,0,MATCH(Z$2,Inputs!$K$4:$AJ$4,0))))=0,NA(),SUMPRODUCT((Inputs!$A$5:$A$180=$B25)*Inputs!$B$5:$B$180*(((Inputs!$G$5:$G$180="moeda")+(Inputs!$G$5:$G$180="acoes"))*Inputs!$B$1+((Inputs!$G$5:$G$180&lt;&gt;"moeda")*(Inputs!$G$5:$G$180&lt;&gt;"acoes")))*INDEX(Inputs!$K$5:$AJ$180,0,MATCH(Z$2,Inputs!$K$4:$AJ$4,0)))+SUMPRODUCT((Inputs!$C$5:$C$180=$B25)*Inputs!$D$5:$D$180*(((Inputs!$G$5:$G$180="moeda")+(Inputs!$G$5:$G$180="acoes"))*Inputs!$B$1+((Inputs!$G$5:$G$180&lt;&gt;"moeda")*(Inputs!$G$5:$G$180&lt;&gt;"acoes")))*INDEX(Inputs!$K$5:$AJ$180,0,MATCH(Z$2,Inputs!$K$4:$AJ$4,0)))+SUMPRODUCT((Inputs!$E$5:$E$180=$B25)*Inputs!$F$5:$F$180*(((Inputs!$G$5:$G$180="moeda")+(Inputs!$G$5:$G$180="acoes"))*Inputs!$B$1+((Inputs!$G$5:$G$180&lt;&gt;"moeda")*(Inputs!$G$5:$G$180&lt;&gt;"acoes")))*INDEX(Inputs!$K$5:$AJ$180,0,MATCH(Z$2,Inputs!$K$4:$AJ$4,0)))))</f>
        <v>62.459</v>
      </c>
      <c r="AA25" s="6">
        <f>IF(ISNA(MATCH(AA$2,Inputs!$K$4:$AJ$4,0)),NA(),IF(SUMPRODUCT((Inputs!$A$5:$A$180=$B25)*ISNUMBER(INDEX(Inputs!$K$5:$AJ$180,0,MATCH(AA$2,Inputs!$K$4:$AJ$4,0))))+SUMPRODUCT((Inputs!$C$5:$C$180=$B25)*ISNUMBER(INDEX(Inputs!$K$5:$AJ$180,0,MATCH(AA$2,Inputs!$K$4:$AJ$4,0))))+SUMPRODUCT((Inputs!$E$5:$E$180=$B25)*ISNUMBER(INDEX(Inputs!$K$5:$AJ$180,0,MATCH(AA$2,Inputs!$K$4:$AJ$4,0))))=0,NA(),SUMPRODUCT((Inputs!$A$5:$A$180=$B25)*Inputs!$B$5:$B$180*(((Inputs!$G$5:$G$180="moeda")+(Inputs!$G$5:$G$180="acoes"))*Inputs!$B$1+((Inputs!$G$5:$G$180&lt;&gt;"moeda")*(Inputs!$G$5:$G$180&lt;&gt;"acoes")))*INDEX(Inputs!$K$5:$AJ$180,0,MATCH(AA$2,Inputs!$K$4:$AJ$4,0)))+SUMPRODUCT((Inputs!$C$5:$C$180=$B25)*Inputs!$D$5:$D$180*(((Inputs!$G$5:$G$180="moeda")+(Inputs!$G$5:$G$180="acoes"))*Inputs!$B$1+((Inputs!$G$5:$G$180&lt;&gt;"moeda")*(Inputs!$G$5:$G$180&lt;&gt;"acoes")))*INDEX(Inputs!$K$5:$AJ$180,0,MATCH(AA$2,Inputs!$K$4:$AJ$4,0)))+SUMPRODUCT((Inputs!$E$5:$E$180=$B25)*Inputs!$F$5:$F$180*(((Inputs!$G$5:$G$180="moeda")+(Inputs!$G$5:$G$180="acoes"))*Inputs!$B$1+((Inputs!$G$5:$G$180&lt;&gt;"moeda")*(Inputs!$G$5:$G$180&lt;&gt;"acoes")))*INDEX(Inputs!$K$5:$AJ$180,0,MATCH(AA$2,Inputs!$K$4:$AJ$4,0)))))</f>
        <v>59.93785068</v>
      </c>
      <c r="AB25" s="3">
        <f>AA25</f>
        <v>59.93785068</v>
      </c>
      <c r="AC25" s="6">
        <f>IF(ISNA(MATCH(AC$2,Inputs!$K$4:$AJ$4,0)),NA(),IF(SUMPRODUCT((Inputs!$A$5:$A$180=$B25)*ISNUMBER(INDEX(Inputs!$K$5:$AJ$180,0,MATCH(AC$2,Inputs!$K$4:$AJ$4,0))))+SUMPRODUCT((Inputs!$C$5:$C$180=$B25)*ISNUMBER(INDEX(Inputs!$K$5:$AJ$180,0,MATCH(AC$2,Inputs!$K$4:$AJ$4,0))))+SUMPRODUCT((Inputs!$E$5:$E$180=$B25)*ISNUMBER(INDEX(Inputs!$K$5:$AJ$180,0,MATCH(AC$2,Inputs!$K$4:$AJ$4,0))))=0,NA(),SUMPRODUCT((Inputs!$A$5:$A$180=$B25)*Inputs!$B$5:$B$180*(((Inputs!$G$5:$G$180="moeda")+(Inputs!$G$5:$G$180="acoes"))*Inputs!$B$1+((Inputs!$G$5:$G$180&lt;&gt;"moeda")*(Inputs!$G$5:$G$180&lt;&gt;"acoes")))*INDEX(Inputs!$K$5:$AJ$180,0,MATCH(AC$2,Inputs!$K$4:$AJ$4,0)))+SUMPRODUCT((Inputs!$C$5:$C$180=$B25)*Inputs!$D$5:$D$180*(((Inputs!$G$5:$G$180="moeda")+(Inputs!$G$5:$G$180="acoes"))*Inputs!$B$1+((Inputs!$G$5:$G$180&lt;&gt;"moeda")*(Inputs!$G$5:$G$180&lt;&gt;"acoes")))*INDEX(Inputs!$K$5:$AJ$180,0,MATCH(AC$2,Inputs!$K$4:$AJ$4,0)))+SUMPRODUCT((Inputs!$E$5:$E$180=$B25)*Inputs!$F$5:$F$180*(((Inputs!$G$5:$G$180="moeda")+(Inputs!$G$5:$G$180="acoes"))*Inputs!$B$1+((Inputs!$G$5:$G$180&lt;&gt;"moeda")*(Inputs!$G$5:$G$180&lt;&gt;"acoes")))*INDEX(Inputs!$K$5:$AJ$180,0,MATCH(AC$2,Inputs!$K$4:$AJ$4,0)))))</f>
        <v>55.84303254</v>
      </c>
      <c r="AD25" s="6">
        <f>IF(ISNA(MATCH(AD$2,Inputs!$K$4:$AJ$4,0)),NA(),IF(SUMPRODUCT((Inputs!$A$5:$A$180=$B25)*ISNUMBER(INDEX(Inputs!$K$5:$AJ$180,0,MATCH(AD$2,Inputs!$K$4:$AJ$4,0))))+SUMPRODUCT((Inputs!$C$5:$C$180=$B25)*ISNUMBER(INDEX(Inputs!$K$5:$AJ$180,0,MATCH(AD$2,Inputs!$K$4:$AJ$4,0))))+SUMPRODUCT((Inputs!$E$5:$E$180=$B25)*ISNUMBER(INDEX(Inputs!$K$5:$AJ$180,0,MATCH(AD$2,Inputs!$K$4:$AJ$4,0))))=0,NA(),SUMPRODUCT((Inputs!$A$5:$A$180=$B25)*Inputs!$B$5:$B$180*(((Inputs!$G$5:$G$180="moeda")+(Inputs!$G$5:$G$180="acoes"))*Inputs!$B$1+((Inputs!$G$5:$G$180&lt;&gt;"moeda")*(Inputs!$G$5:$G$180&lt;&gt;"acoes")))*INDEX(Inputs!$K$5:$AJ$180,0,MATCH(AD$2,Inputs!$K$4:$AJ$4,0)))+SUMPRODUCT((Inputs!$C$5:$C$180=$B25)*Inputs!$D$5:$D$180*(((Inputs!$G$5:$G$180="moeda")+(Inputs!$G$5:$G$180="acoes"))*Inputs!$B$1+((Inputs!$G$5:$G$180&lt;&gt;"moeda")*(Inputs!$G$5:$G$180&lt;&gt;"acoes")))*INDEX(Inputs!$K$5:$AJ$180,0,MATCH(AD$2,Inputs!$K$4:$AJ$4,0)))+SUMPRODUCT((Inputs!$E$5:$E$180=$B25)*Inputs!$F$5:$F$180*(((Inputs!$G$5:$G$180="moeda")+(Inputs!$G$5:$G$180="acoes"))*Inputs!$B$1+((Inputs!$G$5:$G$180&lt;&gt;"moeda")*(Inputs!$G$5:$G$180&lt;&gt;"acoes")))*INDEX(Inputs!$K$5:$AJ$180,0,MATCH(AD$2,Inputs!$K$4:$AJ$4,0)))))</f>
        <v>51.55601363</v>
      </c>
      <c r="AE25" s="6" t="e">
        <f>IF(ISNA(MATCH(AE$2,Inputs!$K$4:$AJ$4,0)),NA(),IF(SUMPRODUCT((Inputs!$A$5:$A$180=$B25)*ISNUMBER(INDEX(Inputs!$K$5:$AJ$180,0,MATCH(AE$2,Inputs!$K$4:$AJ$4,0))))+SUMPRODUCT((Inputs!$C$5:$C$180=$B25)*ISNUMBER(INDEX(Inputs!$K$5:$AJ$180,0,MATCH(AE$2,Inputs!$K$4:$AJ$4,0))))+SUMPRODUCT((Inputs!$E$5:$E$180=$B25)*ISNUMBER(INDEX(Inputs!$K$5:$AJ$180,0,MATCH(AE$2,Inputs!$K$4:$AJ$4,0))))=0,NA(),SUMPRODUCT((Inputs!$A$5:$A$180=$B25)*Inputs!$B$5:$B$180*(((Inputs!$G$5:$G$180="moeda")+(Inputs!$G$5:$G$180="acoes"))*Inputs!$B$1+((Inputs!$G$5:$G$180&lt;&gt;"moeda")*(Inputs!$G$5:$G$180&lt;&gt;"acoes")))*INDEX(Inputs!$K$5:$AJ$180,0,MATCH(AE$2,Inputs!$K$4:$AJ$4,0)))+SUMPRODUCT((Inputs!$C$5:$C$180=$B25)*Inputs!$D$5:$D$180*(((Inputs!$G$5:$G$180="moeda")+(Inputs!$G$5:$G$180="acoes"))*Inputs!$B$1+((Inputs!$G$5:$G$180&lt;&gt;"moeda")*(Inputs!$G$5:$G$180&lt;&gt;"acoes")))*INDEX(Inputs!$K$5:$AJ$180,0,MATCH(AE$2,Inputs!$K$4:$AJ$4,0)))+SUMPRODUCT((Inputs!$E$5:$E$180=$B25)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5" s="6" t="e">
        <f>IF(ISNA(MATCH(AF$2,Inputs!$K$4:$AJ$4,0)),NA(),IF(SUMPRODUCT((Inputs!$A$5:$A$180=$B25)*ISNUMBER(INDEX(Inputs!$K$5:$AJ$180,0,MATCH(AF$2,Inputs!$K$4:$AJ$4,0))))+SUMPRODUCT((Inputs!$C$5:$C$180=$B25)*ISNUMBER(INDEX(Inputs!$K$5:$AJ$180,0,MATCH(AF$2,Inputs!$K$4:$AJ$4,0))))+SUMPRODUCT((Inputs!$E$5:$E$180=$B25)*ISNUMBER(INDEX(Inputs!$K$5:$AJ$180,0,MATCH(AF$2,Inputs!$K$4:$AJ$4,0))))=0,NA(),SUMPRODUCT((Inputs!$A$5:$A$180=$B25)*Inputs!$B$5:$B$180*(((Inputs!$G$5:$G$180="moeda")+(Inputs!$G$5:$G$180="acoes"))*Inputs!$B$1+((Inputs!$G$5:$G$180&lt;&gt;"moeda")*(Inputs!$G$5:$G$180&lt;&gt;"acoes")))*INDEX(Inputs!$K$5:$AJ$180,0,MATCH(AF$2,Inputs!$K$4:$AJ$4,0)))+SUMPRODUCT((Inputs!$C$5:$C$180=$B25)*Inputs!$D$5:$D$180*(((Inputs!$G$5:$G$180="moeda")+(Inputs!$G$5:$G$180="acoes"))*Inputs!$B$1+((Inputs!$G$5:$G$180&lt;&gt;"moeda")*(Inputs!$G$5:$G$180&lt;&gt;"acoes")))*INDEX(Inputs!$K$5:$AJ$180,0,MATCH(AF$2,Inputs!$K$4:$AJ$4,0)))+SUMPRODUCT((Inputs!$E$5:$E$180=$B25)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5" s="3" t="e">
        <f>AF25</f>
        <v>#N/A</v>
      </c>
      <c r="AH25" s="6">
        <f>IF(ISNA(MATCH(AH$2,Inputs!$K$4:$AJ$4,0)),NA(),IF(SUMPRODUCT((Inputs!$A$5:$A$180=$B25)*ISNUMBER(INDEX(Inputs!$K$5:$AJ$180,0,MATCH(AH$2,Inputs!$K$4:$AJ$4,0))))+SUMPRODUCT((Inputs!$C$5:$C$180=$B25)*ISNUMBER(INDEX(Inputs!$K$5:$AJ$180,0,MATCH(AH$2,Inputs!$K$4:$AJ$4,0))))+SUMPRODUCT((Inputs!$E$5:$E$180=$B25)*ISNUMBER(INDEX(Inputs!$K$5:$AJ$180,0,MATCH(AH$2,Inputs!$K$4:$AJ$4,0))))=0,NA(),SUMPRODUCT((Inputs!$A$5:$A$180=$B25)*Inputs!$B$5:$B$180*(((Inputs!$G$5:$G$180="moeda")+(Inputs!$G$5:$G$180="acoes"))*Inputs!$B$1+((Inputs!$G$5:$G$180&lt;&gt;"moeda")*(Inputs!$G$5:$G$180&lt;&gt;"acoes")))*INDEX(Inputs!$K$5:$AJ$180,0,MATCH(AH$2,Inputs!$K$4:$AJ$4,0)))+SUMPRODUCT((Inputs!$C$5:$C$180=$B25)*Inputs!$D$5:$D$180*(((Inputs!$G$5:$G$180="moeda")+(Inputs!$G$5:$G$180="acoes"))*Inputs!$B$1+((Inputs!$G$5:$G$180&lt;&gt;"moeda")*(Inputs!$G$5:$G$180&lt;&gt;"acoes")))*INDEX(Inputs!$K$5:$AJ$180,0,MATCH(AH$2,Inputs!$K$4:$AJ$4,0)))+SUMPRODUCT((Inputs!$E$5:$E$180=$B25)*Inputs!$F$5:$F$180*(((Inputs!$G$5:$G$180="moeda")+(Inputs!$G$5:$G$180="acoes"))*Inputs!$B$1+((Inputs!$G$5:$G$180&lt;&gt;"moeda")*(Inputs!$G$5:$G$180&lt;&gt;"acoes")))*INDEX(Inputs!$K$5:$AJ$180,0,MATCH(AH$2,Inputs!$K$4:$AJ$4,0)))))</f>
        <v>8.707</v>
      </c>
      <c r="AI25" s="6">
        <f>IF(ISNA(MATCH(AI$2,Inputs!$K$4:$AJ$4,0)),NA(),IF(SUMPRODUCT((Inputs!$A$5:$A$180=$B25)*ISNUMBER(INDEX(Inputs!$K$5:$AJ$180,0,MATCH(AI$2,Inputs!$K$4:$AJ$4,0))))+SUMPRODUCT((Inputs!$C$5:$C$180=$B25)*ISNUMBER(INDEX(Inputs!$K$5:$AJ$180,0,MATCH(AI$2,Inputs!$K$4:$AJ$4,0))))+SUMPRODUCT((Inputs!$E$5:$E$180=$B25)*ISNUMBER(INDEX(Inputs!$K$5:$AJ$180,0,MATCH(AI$2,Inputs!$K$4:$AJ$4,0))))=0,NA(),SUMPRODUCT((Inputs!$A$5:$A$180=$B25)*Inputs!$B$5:$B$180*(((Inputs!$G$5:$G$180="moeda")+(Inputs!$G$5:$G$180="acoes"))*Inputs!$B$1+((Inputs!$G$5:$G$180&lt;&gt;"moeda")*(Inputs!$G$5:$G$180&lt;&gt;"acoes")))*INDEX(Inputs!$K$5:$AJ$180,0,MATCH(AI$2,Inputs!$K$4:$AJ$4,0)))+SUMPRODUCT((Inputs!$C$5:$C$180=$B25)*Inputs!$D$5:$D$180*(((Inputs!$G$5:$G$180="moeda")+(Inputs!$G$5:$G$180="acoes"))*Inputs!$B$1+((Inputs!$G$5:$G$180&lt;&gt;"moeda")*(Inputs!$G$5:$G$180&lt;&gt;"acoes")))*INDEX(Inputs!$K$5:$AJ$180,0,MATCH(AI$2,Inputs!$K$4:$AJ$4,0)))+SUMPRODUCT((Inputs!$E$5:$E$180=$B25)*Inputs!$F$5:$F$180*(((Inputs!$G$5:$G$180="moeda")+(Inputs!$G$5:$G$180="acoes"))*Inputs!$B$1+((Inputs!$G$5:$G$180&lt;&gt;"moeda")*(Inputs!$G$5:$G$180&lt;&gt;"acoes")))*INDEX(Inputs!$K$5:$AJ$180,0,MATCH(AI$2,Inputs!$K$4:$AJ$4,0)))))</f>
        <v>8.02101400000001</v>
      </c>
      <c r="AJ25" s="6">
        <f>IF(ISNA(MATCH(AJ$2,Inputs!$K$4:$AJ$4,0)),NA(),IF(SUMPRODUCT((Inputs!$A$5:$A$180=$B25)*ISNUMBER(INDEX(Inputs!$K$5:$AJ$180,0,MATCH(AJ$2,Inputs!$K$4:$AJ$4,0))))+SUMPRODUCT((Inputs!$C$5:$C$180=$B25)*ISNUMBER(INDEX(Inputs!$K$5:$AJ$180,0,MATCH(AJ$2,Inputs!$K$4:$AJ$4,0))))+SUMPRODUCT((Inputs!$E$5:$E$180=$B25)*ISNUMBER(INDEX(Inputs!$K$5:$AJ$180,0,MATCH(AJ$2,Inputs!$K$4:$AJ$4,0))))=0,NA(),SUMPRODUCT((Inputs!$A$5:$A$180=$B25)*Inputs!$B$5:$B$180*(((Inputs!$G$5:$G$180="moeda")+(Inputs!$G$5:$G$180="acoes"))*Inputs!$B$1+((Inputs!$G$5:$G$180&lt;&gt;"moeda")*(Inputs!$G$5:$G$180&lt;&gt;"acoes")))*INDEX(Inputs!$K$5:$AJ$180,0,MATCH(AJ$2,Inputs!$K$4:$AJ$4,0)))+SUMPRODUCT((Inputs!$C$5:$C$180=$B25)*Inputs!$D$5:$D$180*(((Inputs!$G$5:$G$180="moeda")+(Inputs!$G$5:$G$180="acoes"))*Inputs!$B$1+((Inputs!$G$5:$G$180&lt;&gt;"moeda")*(Inputs!$G$5:$G$180&lt;&gt;"acoes")))*INDEX(Inputs!$K$5:$AJ$180,0,MATCH(AJ$2,Inputs!$K$4:$AJ$4,0)))+SUMPRODUCT((Inputs!$E$5:$E$180=$B25)*Inputs!$F$5:$F$180*(((Inputs!$G$5:$G$180="moeda")+(Inputs!$G$5:$G$180="acoes"))*Inputs!$B$1+((Inputs!$G$5:$G$180&lt;&gt;"moeda")*(Inputs!$G$5:$G$180&lt;&gt;"acoes")))*INDEX(Inputs!$K$5:$AJ$180,0,MATCH(AJ$2,Inputs!$K$4:$AJ$4,0)))))</f>
        <v>13.90381051</v>
      </c>
      <c r="AK25" s="6">
        <f>IF(ISNA(MATCH(AK$2,Inputs!$K$4:$AJ$4,0)),NA(),IF(SUMPRODUCT((Inputs!$A$5:$A$180=$B25)*ISNUMBER(INDEX(Inputs!$K$5:$AJ$180,0,MATCH(AK$2,Inputs!$K$4:$AJ$4,0))))+SUMPRODUCT((Inputs!$C$5:$C$180=$B25)*ISNUMBER(INDEX(Inputs!$K$5:$AJ$180,0,MATCH(AK$2,Inputs!$K$4:$AJ$4,0))))+SUMPRODUCT((Inputs!$E$5:$E$180=$B25)*ISNUMBER(INDEX(Inputs!$K$5:$AJ$180,0,MATCH(AK$2,Inputs!$K$4:$AJ$4,0))))=0,NA(),SUMPRODUCT((Inputs!$A$5:$A$180=$B25)*Inputs!$B$5:$B$180*(((Inputs!$G$5:$G$180="moeda")+(Inputs!$G$5:$G$180="acoes"))*Inputs!$B$1+((Inputs!$G$5:$G$180&lt;&gt;"moeda")*(Inputs!$G$5:$G$180&lt;&gt;"acoes")))*INDEX(Inputs!$K$5:$AJ$180,0,MATCH(AK$2,Inputs!$K$4:$AJ$4,0)))+SUMPRODUCT((Inputs!$C$5:$C$180=$B25)*Inputs!$D$5:$D$180*(((Inputs!$G$5:$G$180="moeda")+(Inputs!$G$5:$G$180="acoes"))*Inputs!$B$1+((Inputs!$G$5:$G$180&lt;&gt;"moeda")*(Inputs!$G$5:$G$180&lt;&gt;"acoes")))*INDEX(Inputs!$K$5:$AJ$180,0,MATCH(AK$2,Inputs!$K$4:$AJ$4,0)))+SUMPRODUCT((Inputs!$E$5:$E$180=$B25)*Inputs!$F$5:$F$180*(((Inputs!$G$5:$G$180="moeda")+(Inputs!$G$5:$G$180="acoes"))*Inputs!$B$1+((Inputs!$G$5:$G$180&lt;&gt;"moeda")*(Inputs!$G$5:$G$180&lt;&gt;"acoes")))*INDEX(Inputs!$K$5:$AJ$180,0,MATCH(AK$2,Inputs!$K$4:$AJ$4,0)))))</f>
        <v>8.98057575</v>
      </c>
      <c r="AL25" s="3">
        <f>AK25</f>
        <v>8.98057575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$180=$B26)*ISNUMBER(INDEX(Inputs!$K$5:$AJ$180,0,MATCH(D$2,Inputs!$K$4:$AJ$4,0))))+SUMPRODUCT((Inputs!$C$5:$C$180=$B26)*ISNUMBER(INDEX(Inputs!$K$5:$AJ$180,0,MATCH(D$2,Inputs!$K$4:$AJ$4,0))))+SUMPRODUCT((Inputs!$E$5:$E$180=$B26)*ISNUMBER(INDEX(Inputs!$K$5:$AJ$180,0,MATCH(D$2,Inputs!$K$4:$AJ$4,0))))=0,NA(),SUMPRODUCT((Inputs!$A$5:$A$180=$B26)*Inputs!$B$5:$B$180*(((Inputs!$G$5:$G$180="moeda")+(Inputs!$G$5:$G$180="acoes"))*Inputs!$B$1+((Inputs!$G$5:$G$180&lt;&gt;"moeda")*(Inputs!$G$5:$G$180&lt;&gt;"acoes")))*INDEX(Inputs!$K$5:$AJ$180,0,MATCH(D$2,Inputs!$K$4:$AJ$4,0)))+SUMPRODUCT((Inputs!$C$5:$C$180=$B26)*Inputs!$D$5:$D$180*(((Inputs!$G$5:$G$180="moeda")+(Inputs!$G$5:$G$180="acoes"))*Inputs!$B$1+((Inputs!$G$5:$G$180&lt;&gt;"moeda")*(Inputs!$G$5:$G$180&lt;&gt;"acoes")))*INDEX(Inputs!$K$5:$AJ$180,0,MATCH(D$2,Inputs!$K$4:$AJ$4,0)))+SUMPRODUCT((Inputs!$E$5:$E$180=$B26)*Inputs!$F$5:$F$180*(((Inputs!$G$5:$G$180="moeda")+(Inputs!$G$5:$G$180="acoes"))*Inputs!$B$1+((Inputs!$G$5:$G$180&lt;&gt;"moeda")*(Inputs!$G$5:$G$180&lt;&gt;"acoes")))*INDEX(Inputs!$K$5:$AJ$180,0,MATCH(D$2,Inputs!$K$4:$AJ$4,0)))))</f>
        <v>205.989369685191</v>
      </c>
      <c r="E26" s="6">
        <f>IF(ISNA(MATCH(E$2,Inputs!$K$4:$AJ$4,0)),NA(),IF(SUMPRODUCT((Inputs!$A$5:$A$180=$B26)*ISNUMBER(INDEX(Inputs!$K$5:$AJ$180,0,MATCH(E$2,Inputs!$K$4:$AJ$4,0))))+SUMPRODUCT((Inputs!$C$5:$C$180=$B26)*ISNUMBER(INDEX(Inputs!$K$5:$AJ$180,0,MATCH(E$2,Inputs!$K$4:$AJ$4,0))))+SUMPRODUCT((Inputs!$E$5:$E$180=$B26)*ISNUMBER(INDEX(Inputs!$K$5:$AJ$180,0,MATCH(E$2,Inputs!$K$4:$AJ$4,0))))=0,NA(),SUMPRODUCT((Inputs!$A$5:$A$180=$B26)*Inputs!$B$5:$B$180*(((Inputs!$G$5:$G$180="moeda")+(Inputs!$G$5:$G$180="acoes"))*Inputs!$B$1+((Inputs!$G$5:$G$180&lt;&gt;"moeda")*(Inputs!$G$5:$G$180&lt;&gt;"acoes")))*INDEX(Inputs!$K$5:$AJ$180,0,MATCH(E$2,Inputs!$K$4:$AJ$4,0)))+SUMPRODUCT((Inputs!$C$5:$C$180=$B26)*Inputs!$D$5:$D$180*(((Inputs!$G$5:$G$180="moeda")+(Inputs!$G$5:$G$180="acoes"))*Inputs!$B$1+((Inputs!$G$5:$G$180&lt;&gt;"moeda")*(Inputs!$G$5:$G$180&lt;&gt;"acoes")))*INDEX(Inputs!$K$5:$AJ$180,0,MATCH(E$2,Inputs!$K$4:$AJ$4,0)))+SUMPRODUCT((Inputs!$E$5:$E$180=$B26)*Inputs!$F$5:$F$180*(((Inputs!$G$5:$G$180="moeda")+(Inputs!$G$5:$G$180="acoes"))*Inputs!$B$1+((Inputs!$G$5:$G$180&lt;&gt;"moeda")*(Inputs!$G$5:$G$180&lt;&gt;"acoes")))*INDEX(Inputs!$K$5:$AJ$180,0,MATCH(E$2,Inputs!$K$4:$AJ$4,0)))))</f>
        <v>219.752785552633</v>
      </c>
      <c r="F26" s="6">
        <f>IF(ISNA(MATCH(F$2,Inputs!$K$4:$AJ$4,0)),NA(),IF(SUMPRODUCT((Inputs!$A$5:$A$180=$B26)*ISNUMBER(INDEX(Inputs!$K$5:$AJ$180,0,MATCH(F$2,Inputs!$K$4:$AJ$4,0))))+SUMPRODUCT((Inputs!$C$5:$C$180=$B26)*ISNUMBER(INDEX(Inputs!$K$5:$AJ$180,0,MATCH(F$2,Inputs!$K$4:$AJ$4,0))))+SUMPRODUCT((Inputs!$E$5:$E$180=$B26)*ISNUMBER(INDEX(Inputs!$K$5:$AJ$180,0,MATCH(F$2,Inputs!$K$4:$AJ$4,0))))=0,NA(),SUMPRODUCT((Inputs!$A$5:$A$180=$B26)*Inputs!$B$5:$B$180*(((Inputs!$G$5:$G$180="moeda")+(Inputs!$G$5:$G$180="acoes"))*Inputs!$B$1+((Inputs!$G$5:$G$180&lt;&gt;"moeda")*(Inputs!$G$5:$G$180&lt;&gt;"acoes")))*INDEX(Inputs!$K$5:$AJ$180,0,MATCH(F$2,Inputs!$K$4:$AJ$4,0)))+SUMPRODUCT((Inputs!$C$5:$C$180=$B26)*Inputs!$D$5:$D$180*(((Inputs!$G$5:$G$180="moeda")+(Inputs!$G$5:$G$180="acoes"))*Inputs!$B$1+((Inputs!$G$5:$G$180&lt;&gt;"moeda")*(Inputs!$G$5:$G$180&lt;&gt;"acoes")))*INDEX(Inputs!$K$5:$AJ$180,0,MATCH(F$2,Inputs!$K$4:$AJ$4,0)))+SUMPRODUCT((Inputs!$E$5:$E$180=$B26)*Inputs!$F$5:$F$180*(((Inputs!$G$5:$G$180="moeda")+(Inputs!$G$5:$G$180="acoes"))*Inputs!$B$1+((Inputs!$G$5:$G$180&lt;&gt;"moeda")*(Inputs!$G$5:$G$180&lt;&gt;"acoes")))*INDEX(Inputs!$K$5:$AJ$180,0,MATCH(F$2,Inputs!$K$4:$AJ$4,0)))))</f>
        <v>274.296520835501</v>
      </c>
      <c r="G26" s="6">
        <f>IF(ISNA(MATCH(G$2,Inputs!$K$4:$AJ$4,0)),NA(),IF(SUMPRODUCT((Inputs!$A$5:$A$180=$B26)*ISNUMBER(INDEX(Inputs!$K$5:$AJ$180,0,MATCH(G$2,Inputs!$K$4:$AJ$4,0))))+SUMPRODUCT((Inputs!$C$5:$C$180=$B26)*ISNUMBER(INDEX(Inputs!$K$5:$AJ$180,0,MATCH(G$2,Inputs!$K$4:$AJ$4,0))))+SUMPRODUCT((Inputs!$E$5:$E$180=$B26)*ISNUMBER(INDEX(Inputs!$K$5:$AJ$180,0,MATCH(G$2,Inputs!$K$4:$AJ$4,0))))=0,NA(),SUMPRODUCT((Inputs!$A$5:$A$180=$B26)*Inputs!$B$5:$B$180*(((Inputs!$G$5:$G$180="moeda")+(Inputs!$G$5:$G$180="acoes"))*Inputs!$B$1+((Inputs!$G$5:$G$180&lt;&gt;"moeda")*(Inputs!$G$5:$G$180&lt;&gt;"acoes")))*INDEX(Inputs!$K$5:$AJ$180,0,MATCH(G$2,Inputs!$K$4:$AJ$4,0)))+SUMPRODUCT((Inputs!$C$5:$C$180=$B26)*Inputs!$D$5:$D$180*(((Inputs!$G$5:$G$180="moeda")+(Inputs!$G$5:$G$180="acoes"))*Inputs!$B$1+((Inputs!$G$5:$G$180&lt;&gt;"moeda")*(Inputs!$G$5:$G$180&lt;&gt;"acoes")))*INDEX(Inputs!$K$5:$AJ$180,0,MATCH(G$2,Inputs!$K$4:$AJ$4,0)))+SUMPRODUCT((Inputs!$E$5:$E$180=$B26)*Inputs!$F$5:$F$180*(((Inputs!$G$5:$G$180="moeda")+(Inputs!$G$5:$G$180="acoes"))*Inputs!$B$1+((Inputs!$G$5:$G$180&lt;&gt;"moeda")*(Inputs!$G$5:$G$180&lt;&gt;"acoes")))*INDEX(Inputs!$K$5:$AJ$180,0,MATCH(G$2,Inputs!$K$4:$AJ$4,0)))))</f>
        <v>283.382025277495</v>
      </c>
      <c r="H26" s="3">
        <f>G26</f>
        <v>283.382025277495</v>
      </c>
      <c r="I26" s="6">
        <f>IF(ISNA(MATCH(I$2,Inputs!$K$4:$AJ$4,0)),NA(),IF(SUMPRODUCT((Inputs!$A$5:$A$180=$B26)*ISNUMBER(INDEX(Inputs!$K$5:$AJ$180,0,MATCH(I$2,Inputs!$K$4:$AJ$4,0))))+SUMPRODUCT((Inputs!$C$5:$C$180=$B26)*ISNUMBER(INDEX(Inputs!$K$5:$AJ$180,0,MATCH(I$2,Inputs!$K$4:$AJ$4,0))))+SUMPRODUCT((Inputs!$E$5:$E$180=$B26)*ISNUMBER(INDEX(Inputs!$K$5:$AJ$180,0,MATCH(I$2,Inputs!$K$4:$AJ$4,0))))=0,NA(),SUMPRODUCT((Inputs!$A$5:$A$180=$B26)*Inputs!$B$5:$B$180*(((Inputs!$G$5:$G$180="moeda")+(Inputs!$G$5:$G$180="acoes"))*Inputs!$B$1+((Inputs!$G$5:$G$180&lt;&gt;"moeda")*(Inputs!$G$5:$G$180&lt;&gt;"acoes")))*INDEX(Inputs!$K$5:$AJ$180,0,MATCH(I$2,Inputs!$K$4:$AJ$4,0)))+SUMPRODUCT((Inputs!$C$5:$C$180=$B26)*Inputs!$D$5:$D$180*(((Inputs!$G$5:$G$180="moeda")+(Inputs!$G$5:$G$180="acoes"))*Inputs!$B$1+((Inputs!$G$5:$G$180&lt;&gt;"moeda")*(Inputs!$G$5:$G$180&lt;&gt;"acoes")))*INDEX(Inputs!$K$5:$AJ$180,0,MATCH(I$2,Inputs!$K$4:$AJ$4,0)))+SUMPRODUCT((Inputs!$E$5:$E$180=$B26)*Inputs!$F$5:$F$180*(((Inputs!$G$5:$G$180="moeda")+(Inputs!$G$5:$G$180="acoes"))*Inputs!$B$1+((Inputs!$G$5:$G$180&lt;&gt;"moeda")*(Inputs!$G$5:$G$180&lt;&gt;"acoes")))*INDEX(Inputs!$K$5:$AJ$180,0,MATCH(I$2,Inputs!$K$4:$AJ$4,0)))))</f>
        <v>319.657319112434</v>
      </c>
      <c r="J26" s="6">
        <f>IF(ISNA(MATCH(J$2,Inputs!$K$4:$AJ$4,0)),NA(),IF(SUMPRODUCT((Inputs!$A$5:$A$180=$B26)*ISNUMBER(INDEX(Inputs!$K$5:$AJ$180,0,MATCH(J$2,Inputs!$K$4:$AJ$4,0))))+SUMPRODUCT((Inputs!$C$5:$C$180=$B26)*ISNUMBER(INDEX(Inputs!$K$5:$AJ$180,0,MATCH(J$2,Inputs!$K$4:$AJ$4,0))))+SUMPRODUCT((Inputs!$E$5:$E$180=$B26)*ISNUMBER(INDEX(Inputs!$K$5:$AJ$180,0,MATCH(J$2,Inputs!$K$4:$AJ$4,0))))=0,NA(),SUMPRODUCT((Inputs!$A$5:$A$180=$B26)*Inputs!$B$5:$B$180*(((Inputs!$G$5:$G$180="moeda")+(Inputs!$G$5:$G$180="acoes"))*Inputs!$B$1+((Inputs!$G$5:$G$180&lt;&gt;"moeda")*(Inputs!$G$5:$G$180&lt;&gt;"acoes")))*INDEX(Inputs!$K$5:$AJ$180,0,MATCH(J$2,Inputs!$K$4:$AJ$4,0)))+SUMPRODUCT((Inputs!$C$5:$C$180=$B26)*Inputs!$D$5:$D$180*(((Inputs!$G$5:$G$180="moeda")+(Inputs!$G$5:$G$180="acoes"))*Inputs!$B$1+((Inputs!$G$5:$G$180&lt;&gt;"moeda")*(Inputs!$G$5:$G$180&lt;&gt;"acoes")))*INDEX(Inputs!$K$5:$AJ$180,0,MATCH(J$2,Inputs!$K$4:$AJ$4,0)))+SUMPRODUCT((Inputs!$E$5:$E$180=$B26)*Inputs!$F$5:$F$180*(((Inputs!$G$5:$G$180="moeda")+(Inputs!$G$5:$G$180="acoes"))*Inputs!$B$1+((Inputs!$G$5:$G$180&lt;&gt;"moeda")*(Inputs!$G$5:$G$180&lt;&gt;"acoes")))*INDEX(Inputs!$K$5:$AJ$180,0,MATCH(J$2,Inputs!$K$4:$AJ$4,0)))))</f>
        <v>360.216245844516</v>
      </c>
      <c r="K26" s="6">
        <f>IF(ISNA(MATCH(K$2,Inputs!$K$4:$AJ$4,0)),NA(),IF(SUMPRODUCT((Inputs!$A$5:$A$180=$B26)*ISNUMBER(INDEX(Inputs!$K$5:$AJ$180,0,MATCH(K$2,Inputs!$K$4:$AJ$4,0))))+SUMPRODUCT((Inputs!$C$5:$C$180=$B26)*ISNUMBER(INDEX(Inputs!$K$5:$AJ$180,0,MATCH(K$2,Inputs!$K$4:$AJ$4,0))))+SUMPRODUCT((Inputs!$E$5:$E$180=$B26)*ISNUMBER(INDEX(Inputs!$K$5:$AJ$180,0,MATCH(K$2,Inputs!$K$4:$AJ$4,0))))=0,NA(),SUMPRODUCT((Inputs!$A$5:$A$180=$B26)*Inputs!$B$5:$B$180*(((Inputs!$G$5:$G$180="moeda")+(Inputs!$G$5:$G$180="acoes"))*Inputs!$B$1+((Inputs!$G$5:$G$180&lt;&gt;"moeda")*(Inputs!$G$5:$G$180&lt;&gt;"acoes")))*INDEX(Inputs!$K$5:$AJ$180,0,MATCH(K$2,Inputs!$K$4:$AJ$4,0)))+SUMPRODUCT((Inputs!$C$5:$C$180=$B26)*Inputs!$D$5:$D$180*(((Inputs!$G$5:$G$180="moeda")+(Inputs!$G$5:$G$180="acoes"))*Inputs!$B$1+((Inputs!$G$5:$G$180&lt;&gt;"moeda")*(Inputs!$G$5:$G$180&lt;&gt;"acoes")))*INDEX(Inputs!$K$5:$AJ$180,0,MATCH(K$2,Inputs!$K$4:$AJ$4,0)))+SUMPRODUCT((Inputs!$E$5:$E$180=$B26)*Inputs!$F$5:$F$180*(((Inputs!$G$5:$G$180="moeda")+(Inputs!$G$5:$G$180="acoes"))*Inputs!$B$1+((Inputs!$G$5:$G$180&lt;&gt;"moeda")*(Inputs!$G$5:$G$180&lt;&gt;"acoes")))*INDEX(Inputs!$K$5:$AJ$180,0,MATCH(K$2,Inputs!$K$4:$AJ$4,0)))))</f>
        <v>399.225314044419</v>
      </c>
      <c r="L26" s="6">
        <f>IF(ISNA(MATCH(L$2,Inputs!$K$4:$AJ$4,0)),NA(),IF(SUMPRODUCT((Inputs!$A$5:$A$180=$B26)*ISNUMBER(INDEX(Inputs!$K$5:$AJ$180,0,MATCH(L$2,Inputs!$K$4:$AJ$4,0))))+SUMPRODUCT((Inputs!$C$5:$C$180=$B26)*ISNUMBER(INDEX(Inputs!$K$5:$AJ$180,0,MATCH(L$2,Inputs!$K$4:$AJ$4,0))))+SUMPRODUCT((Inputs!$E$5:$E$180=$B26)*ISNUMBER(INDEX(Inputs!$K$5:$AJ$180,0,MATCH(L$2,Inputs!$K$4:$AJ$4,0))))=0,NA(),SUMPRODUCT((Inputs!$A$5:$A$180=$B26)*Inputs!$B$5:$B$180*(((Inputs!$G$5:$G$180="moeda")+(Inputs!$G$5:$G$180="acoes"))*Inputs!$B$1+((Inputs!$G$5:$G$180&lt;&gt;"moeda")*(Inputs!$G$5:$G$180&lt;&gt;"acoes")))*INDEX(Inputs!$K$5:$AJ$180,0,MATCH(L$2,Inputs!$K$4:$AJ$4,0)))+SUMPRODUCT((Inputs!$C$5:$C$180=$B26)*Inputs!$D$5:$D$180*(((Inputs!$G$5:$G$180="moeda")+(Inputs!$G$5:$G$180="acoes"))*Inputs!$B$1+((Inputs!$G$5:$G$180&lt;&gt;"moeda")*(Inputs!$G$5:$G$180&lt;&gt;"acoes")))*INDEX(Inputs!$K$5:$AJ$180,0,MATCH(L$2,Inputs!$K$4:$AJ$4,0)))+SUMPRODUCT((Inputs!$E$5:$E$180=$B26)*Inputs!$F$5:$F$180*(((Inputs!$G$5:$G$180="moeda")+(Inputs!$G$5:$G$180="acoes"))*Inputs!$B$1+((Inputs!$G$5:$G$180&lt;&gt;"moeda")*(Inputs!$G$5:$G$180&lt;&gt;"acoes")))*INDEX(Inputs!$K$5:$AJ$180,0,MATCH(L$2,Inputs!$K$4:$AJ$4,0)))))</f>
        <v>409.059</v>
      </c>
      <c r="M26" s="3">
        <f>L26</f>
        <v>409.059</v>
      </c>
      <c r="N26" s="6">
        <f>IF(ISNA(MATCH(N$2,Inputs!$K$4:$AJ$4,0)),NA(),IF(SUMPRODUCT((Inputs!$A$5:$A$180=$B26)*ISNUMBER(INDEX(Inputs!$K$5:$AJ$180,0,MATCH(N$2,Inputs!$K$4:$AJ$4,0))))+SUMPRODUCT((Inputs!$C$5:$C$180=$B26)*ISNUMBER(INDEX(Inputs!$K$5:$AJ$180,0,MATCH(N$2,Inputs!$K$4:$AJ$4,0))))+SUMPRODUCT((Inputs!$E$5:$E$180=$B26)*ISNUMBER(INDEX(Inputs!$K$5:$AJ$180,0,MATCH(N$2,Inputs!$K$4:$AJ$4,0))))=0,NA(),SUMPRODUCT((Inputs!$A$5:$A$180=$B26)*Inputs!$B$5:$B$180*(((Inputs!$G$5:$G$180="moeda")+(Inputs!$G$5:$G$180="acoes"))*Inputs!$B$1+((Inputs!$G$5:$G$180&lt;&gt;"moeda")*(Inputs!$G$5:$G$180&lt;&gt;"acoes")))*INDEX(Inputs!$K$5:$AJ$180,0,MATCH(N$2,Inputs!$K$4:$AJ$4,0)))+SUMPRODUCT((Inputs!$C$5:$C$180=$B26)*Inputs!$D$5:$D$180*(((Inputs!$G$5:$G$180="moeda")+(Inputs!$G$5:$G$180="acoes"))*Inputs!$B$1+((Inputs!$G$5:$G$180&lt;&gt;"moeda")*(Inputs!$G$5:$G$180&lt;&gt;"acoes")))*INDEX(Inputs!$K$5:$AJ$180,0,MATCH(N$2,Inputs!$K$4:$AJ$4,0)))+SUMPRODUCT((Inputs!$E$5:$E$180=$B26)*Inputs!$F$5:$F$180*(((Inputs!$G$5:$G$180="moeda")+(Inputs!$G$5:$G$180="acoes"))*Inputs!$B$1+((Inputs!$G$5:$G$180&lt;&gt;"moeda")*(Inputs!$G$5:$G$180&lt;&gt;"acoes")))*INDEX(Inputs!$K$5:$AJ$180,0,MATCH(N$2,Inputs!$K$4:$AJ$4,0)))))</f>
        <v>435.709</v>
      </c>
      <c r="O26" s="6">
        <f>IF(ISNA(MATCH(O$2,Inputs!$K$4:$AJ$4,0)),NA(),IF(SUMPRODUCT((Inputs!$A$5:$A$180=$B26)*ISNUMBER(INDEX(Inputs!$K$5:$AJ$180,0,MATCH(O$2,Inputs!$K$4:$AJ$4,0))))+SUMPRODUCT((Inputs!$C$5:$C$180=$B26)*ISNUMBER(INDEX(Inputs!$K$5:$AJ$180,0,MATCH(O$2,Inputs!$K$4:$AJ$4,0))))+SUMPRODUCT((Inputs!$E$5:$E$180=$B26)*ISNUMBER(INDEX(Inputs!$K$5:$AJ$180,0,MATCH(O$2,Inputs!$K$4:$AJ$4,0))))=0,NA(),SUMPRODUCT((Inputs!$A$5:$A$180=$B26)*Inputs!$B$5:$B$180*(((Inputs!$G$5:$G$180="moeda")+(Inputs!$G$5:$G$180="acoes"))*Inputs!$B$1+((Inputs!$G$5:$G$180&lt;&gt;"moeda")*(Inputs!$G$5:$G$180&lt;&gt;"acoes")))*INDEX(Inputs!$K$5:$AJ$180,0,MATCH(O$2,Inputs!$K$4:$AJ$4,0)))+SUMPRODUCT((Inputs!$C$5:$C$180=$B26)*Inputs!$D$5:$D$180*(((Inputs!$G$5:$G$180="moeda")+(Inputs!$G$5:$G$180="acoes"))*Inputs!$B$1+((Inputs!$G$5:$G$180&lt;&gt;"moeda")*(Inputs!$G$5:$G$180&lt;&gt;"acoes")))*INDEX(Inputs!$K$5:$AJ$180,0,MATCH(O$2,Inputs!$K$4:$AJ$4,0)))+SUMPRODUCT((Inputs!$E$5:$E$180=$B26)*Inputs!$F$5:$F$180*(((Inputs!$G$5:$G$180="moeda")+(Inputs!$G$5:$G$180="acoes"))*Inputs!$B$1+((Inputs!$G$5:$G$180&lt;&gt;"moeda")*(Inputs!$G$5:$G$180&lt;&gt;"acoes")))*INDEX(Inputs!$K$5:$AJ$180,0,MATCH(O$2,Inputs!$K$4:$AJ$4,0)))))</f>
        <v>453.36812787181</v>
      </c>
      <c r="P26" s="6">
        <f>IF(ISNA(MATCH(P$2,Inputs!$K$4:$AJ$4,0)),NA(),IF(SUMPRODUCT((Inputs!$A$5:$A$180=$B26)*ISNUMBER(INDEX(Inputs!$K$5:$AJ$180,0,MATCH(P$2,Inputs!$K$4:$AJ$4,0))))+SUMPRODUCT((Inputs!$C$5:$C$180=$B26)*ISNUMBER(INDEX(Inputs!$K$5:$AJ$180,0,MATCH(P$2,Inputs!$K$4:$AJ$4,0))))+SUMPRODUCT((Inputs!$E$5:$E$180=$B26)*ISNUMBER(INDEX(Inputs!$K$5:$AJ$180,0,MATCH(P$2,Inputs!$K$4:$AJ$4,0))))=0,NA(),SUMPRODUCT((Inputs!$A$5:$A$180=$B26)*Inputs!$B$5:$B$180*(((Inputs!$G$5:$G$180="moeda")+(Inputs!$G$5:$G$180="acoes"))*Inputs!$B$1+((Inputs!$G$5:$G$180&lt;&gt;"moeda")*(Inputs!$G$5:$G$180&lt;&gt;"acoes")))*INDEX(Inputs!$K$5:$AJ$180,0,MATCH(P$2,Inputs!$K$4:$AJ$4,0)))+SUMPRODUCT((Inputs!$C$5:$C$180=$B26)*Inputs!$D$5:$D$180*(((Inputs!$G$5:$G$180="moeda")+(Inputs!$G$5:$G$180="acoes"))*Inputs!$B$1+((Inputs!$G$5:$G$180&lt;&gt;"moeda")*(Inputs!$G$5:$G$180&lt;&gt;"acoes")))*INDEX(Inputs!$K$5:$AJ$180,0,MATCH(P$2,Inputs!$K$4:$AJ$4,0)))+SUMPRODUCT((Inputs!$E$5:$E$180=$B26)*Inputs!$F$5:$F$180*(((Inputs!$G$5:$G$180="moeda")+(Inputs!$G$5:$G$180="acoes"))*Inputs!$B$1+((Inputs!$G$5:$G$180&lt;&gt;"moeda")*(Inputs!$G$5:$G$180&lt;&gt;"acoes")))*INDEX(Inputs!$K$5:$AJ$180,0,MATCH(P$2,Inputs!$K$4:$AJ$4,0)))))</f>
        <v>495.07526597181</v>
      </c>
      <c r="Q26" s="6">
        <f>IF(ISNA(MATCH(Q$2,Inputs!$K$4:$AJ$4,0)),NA(),IF(SUMPRODUCT((Inputs!$A$5:$A$180=$B26)*ISNUMBER(INDEX(Inputs!$K$5:$AJ$180,0,MATCH(Q$2,Inputs!$K$4:$AJ$4,0))))+SUMPRODUCT((Inputs!$C$5:$C$180=$B26)*ISNUMBER(INDEX(Inputs!$K$5:$AJ$180,0,MATCH(Q$2,Inputs!$K$4:$AJ$4,0))))+SUMPRODUCT((Inputs!$E$5:$E$180=$B26)*ISNUMBER(INDEX(Inputs!$K$5:$AJ$180,0,MATCH(Q$2,Inputs!$K$4:$AJ$4,0))))=0,NA(),SUMPRODUCT((Inputs!$A$5:$A$180=$B26)*Inputs!$B$5:$B$180*(((Inputs!$G$5:$G$180="moeda")+(Inputs!$G$5:$G$180="acoes"))*Inputs!$B$1+((Inputs!$G$5:$G$180&lt;&gt;"moeda")*(Inputs!$G$5:$G$180&lt;&gt;"acoes")))*INDEX(Inputs!$K$5:$AJ$180,0,MATCH(Q$2,Inputs!$K$4:$AJ$4,0)))+SUMPRODUCT((Inputs!$C$5:$C$180=$B26)*Inputs!$D$5:$D$180*(((Inputs!$G$5:$G$180="moeda")+(Inputs!$G$5:$G$180="acoes"))*Inputs!$B$1+((Inputs!$G$5:$G$180&lt;&gt;"moeda")*(Inputs!$G$5:$G$180&lt;&gt;"acoes")))*INDEX(Inputs!$K$5:$AJ$180,0,MATCH(Q$2,Inputs!$K$4:$AJ$4,0)))+SUMPRODUCT((Inputs!$E$5:$E$180=$B26)*Inputs!$F$5:$F$180*(((Inputs!$G$5:$G$180="moeda")+(Inputs!$G$5:$G$180="acoes"))*Inputs!$B$1+((Inputs!$G$5:$G$180&lt;&gt;"moeda")*(Inputs!$G$5:$G$180&lt;&gt;"acoes")))*INDEX(Inputs!$K$5:$AJ$180,0,MATCH(Q$2,Inputs!$K$4:$AJ$4,0)))))</f>
        <v>431.88148953181</v>
      </c>
      <c r="R26" s="3">
        <f>Q26</f>
        <v>431.88148953181</v>
      </c>
      <c r="S26" s="6">
        <f>IF(ISNA(MATCH(S$2,Inputs!$K$4:$AJ$4,0)),NA(),IF(SUMPRODUCT((Inputs!$A$5:$A$180=$B26)*ISNUMBER(INDEX(Inputs!$K$5:$AJ$180,0,MATCH(S$2,Inputs!$K$4:$AJ$4,0))))+SUMPRODUCT((Inputs!$C$5:$C$180=$B26)*ISNUMBER(INDEX(Inputs!$K$5:$AJ$180,0,MATCH(S$2,Inputs!$K$4:$AJ$4,0))))+SUMPRODUCT((Inputs!$E$5:$E$180=$B26)*ISNUMBER(INDEX(Inputs!$K$5:$AJ$180,0,MATCH(S$2,Inputs!$K$4:$AJ$4,0))))=0,NA(),SUMPRODUCT((Inputs!$A$5:$A$180=$B26)*Inputs!$B$5:$B$180*(((Inputs!$G$5:$G$180="moeda")+(Inputs!$G$5:$G$180="acoes"))*Inputs!$B$1+((Inputs!$G$5:$G$180&lt;&gt;"moeda")*(Inputs!$G$5:$G$180&lt;&gt;"acoes")))*INDEX(Inputs!$K$5:$AJ$180,0,MATCH(S$2,Inputs!$K$4:$AJ$4,0)))+SUMPRODUCT((Inputs!$C$5:$C$180=$B26)*Inputs!$D$5:$D$180*(((Inputs!$G$5:$G$180="moeda")+(Inputs!$G$5:$G$180="acoes"))*Inputs!$B$1+((Inputs!$G$5:$G$180&lt;&gt;"moeda")*(Inputs!$G$5:$G$180&lt;&gt;"acoes")))*INDEX(Inputs!$K$5:$AJ$180,0,MATCH(S$2,Inputs!$K$4:$AJ$4,0)))+SUMPRODUCT((Inputs!$E$5:$E$180=$B26)*Inputs!$F$5:$F$180*(((Inputs!$G$5:$G$180="moeda")+(Inputs!$G$5:$G$180="acoes"))*Inputs!$B$1+((Inputs!$G$5:$G$180&lt;&gt;"moeda")*(Inputs!$G$5:$G$180&lt;&gt;"acoes")))*INDEX(Inputs!$K$5:$AJ$180,0,MATCH(S$2,Inputs!$K$4:$AJ$4,0)))))</f>
        <v>356.650412481512</v>
      </c>
      <c r="T26" s="6">
        <f>IF(ISNA(MATCH(T$2,Inputs!$K$4:$AJ$4,0)),NA(),IF(SUMPRODUCT((Inputs!$A$5:$A$180=$B26)*ISNUMBER(INDEX(Inputs!$K$5:$AJ$180,0,MATCH(T$2,Inputs!$K$4:$AJ$4,0))))+SUMPRODUCT((Inputs!$C$5:$C$180=$B26)*ISNUMBER(INDEX(Inputs!$K$5:$AJ$180,0,MATCH(T$2,Inputs!$K$4:$AJ$4,0))))+SUMPRODUCT((Inputs!$E$5:$E$180=$B26)*ISNUMBER(INDEX(Inputs!$K$5:$AJ$180,0,MATCH(T$2,Inputs!$K$4:$AJ$4,0))))=0,NA(),SUMPRODUCT((Inputs!$A$5:$A$180=$B26)*Inputs!$B$5:$B$180*(((Inputs!$G$5:$G$180="moeda")+(Inputs!$G$5:$G$180="acoes"))*Inputs!$B$1+((Inputs!$G$5:$G$180&lt;&gt;"moeda")*(Inputs!$G$5:$G$180&lt;&gt;"acoes")))*INDEX(Inputs!$K$5:$AJ$180,0,MATCH(T$2,Inputs!$K$4:$AJ$4,0)))+SUMPRODUCT((Inputs!$C$5:$C$180=$B26)*Inputs!$D$5:$D$180*(((Inputs!$G$5:$G$180="moeda")+(Inputs!$G$5:$G$180="acoes"))*Inputs!$B$1+((Inputs!$G$5:$G$180&lt;&gt;"moeda")*(Inputs!$G$5:$G$180&lt;&gt;"acoes")))*INDEX(Inputs!$K$5:$AJ$180,0,MATCH(T$2,Inputs!$K$4:$AJ$4,0)))+SUMPRODUCT((Inputs!$E$5:$E$180=$B26)*Inputs!$F$5:$F$180*(((Inputs!$G$5:$G$180="moeda")+(Inputs!$G$5:$G$180="acoes"))*Inputs!$B$1+((Inputs!$G$5:$G$180&lt;&gt;"moeda")*(Inputs!$G$5:$G$180&lt;&gt;"acoes")))*INDEX(Inputs!$K$5:$AJ$180,0,MATCH(T$2,Inputs!$K$4:$AJ$4,0)))))</f>
        <v>452.394299093286</v>
      </c>
      <c r="U26" s="6">
        <f>IF(ISNA(MATCH(U$2,Inputs!$K$4:$AJ$4,0)),NA(),IF(SUMPRODUCT((Inputs!$A$5:$A$180=$B26)*ISNUMBER(INDEX(Inputs!$K$5:$AJ$180,0,MATCH(U$2,Inputs!$K$4:$AJ$4,0))))+SUMPRODUCT((Inputs!$C$5:$C$180=$B26)*ISNUMBER(INDEX(Inputs!$K$5:$AJ$180,0,MATCH(U$2,Inputs!$K$4:$AJ$4,0))))+SUMPRODUCT((Inputs!$E$5:$E$180=$B26)*ISNUMBER(INDEX(Inputs!$K$5:$AJ$180,0,MATCH(U$2,Inputs!$K$4:$AJ$4,0))))=0,NA(),SUMPRODUCT((Inputs!$A$5:$A$180=$B26)*Inputs!$B$5:$B$180*(((Inputs!$G$5:$G$180="moeda")+(Inputs!$G$5:$G$180="acoes"))*Inputs!$B$1+((Inputs!$G$5:$G$180&lt;&gt;"moeda")*(Inputs!$G$5:$G$180&lt;&gt;"acoes")))*INDEX(Inputs!$K$5:$AJ$180,0,MATCH(U$2,Inputs!$K$4:$AJ$4,0)))+SUMPRODUCT((Inputs!$C$5:$C$180=$B26)*Inputs!$D$5:$D$180*(((Inputs!$G$5:$G$180="moeda")+(Inputs!$G$5:$G$180="acoes"))*Inputs!$B$1+((Inputs!$G$5:$G$180&lt;&gt;"moeda")*(Inputs!$G$5:$G$180&lt;&gt;"acoes")))*INDEX(Inputs!$K$5:$AJ$180,0,MATCH(U$2,Inputs!$K$4:$AJ$4,0)))+SUMPRODUCT((Inputs!$E$5:$E$180=$B26)*Inputs!$F$5:$F$180*(((Inputs!$G$5:$G$180="moeda")+(Inputs!$G$5:$G$180="acoes"))*Inputs!$B$1+((Inputs!$G$5:$G$180&lt;&gt;"moeda")*(Inputs!$G$5:$G$180&lt;&gt;"acoes")))*INDEX(Inputs!$K$5:$AJ$180,0,MATCH(U$2,Inputs!$K$4:$AJ$4,0)))))</f>
        <v>451.62063516</v>
      </c>
      <c r="V26" s="6">
        <f>IF(ISNA(MATCH(V$2,Inputs!$K$4:$AJ$4,0)),NA(),IF(SUMPRODUCT((Inputs!$A$5:$A$180=$B26)*ISNUMBER(INDEX(Inputs!$K$5:$AJ$180,0,MATCH(V$2,Inputs!$K$4:$AJ$4,0))))+SUMPRODUCT((Inputs!$C$5:$C$180=$B26)*ISNUMBER(INDEX(Inputs!$K$5:$AJ$180,0,MATCH(V$2,Inputs!$K$4:$AJ$4,0))))+SUMPRODUCT((Inputs!$E$5:$E$180=$B26)*ISNUMBER(INDEX(Inputs!$K$5:$AJ$180,0,MATCH(V$2,Inputs!$K$4:$AJ$4,0))))=0,NA(),SUMPRODUCT((Inputs!$A$5:$A$180=$B26)*Inputs!$B$5:$B$180*(((Inputs!$G$5:$G$180="moeda")+(Inputs!$G$5:$G$180="acoes"))*Inputs!$B$1+((Inputs!$G$5:$G$180&lt;&gt;"moeda")*(Inputs!$G$5:$G$180&lt;&gt;"acoes")))*INDEX(Inputs!$K$5:$AJ$180,0,MATCH(V$2,Inputs!$K$4:$AJ$4,0)))+SUMPRODUCT((Inputs!$C$5:$C$180=$B26)*Inputs!$D$5:$D$180*(((Inputs!$G$5:$G$180="moeda")+(Inputs!$G$5:$G$180="acoes"))*Inputs!$B$1+((Inputs!$G$5:$G$180&lt;&gt;"moeda")*(Inputs!$G$5:$G$180&lt;&gt;"acoes")))*INDEX(Inputs!$K$5:$AJ$180,0,MATCH(V$2,Inputs!$K$4:$AJ$4,0)))+SUMPRODUCT((Inputs!$E$5:$E$180=$B26)*Inputs!$F$5:$F$180*(((Inputs!$G$5:$G$180="moeda")+(Inputs!$G$5:$G$180="acoes"))*Inputs!$B$1+((Inputs!$G$5:$G$180&lt;&gt;"moeda")*(Inputs!$G$5:$G$180&lt;&gt;"acoes")))*INDEX(Inputs!$K$5:$AJ$180,0,MATCH(V$2,Inputs!$K$4:$AJ$4,0)))))</f>
        <v>571.34398775</v>
      </c>
      <c r="W26" s="3">
        <f>V26</f>
        <v>571.34398775</v>
      </c>
      <c r="X26" s="6">
        <f>IF(ISNA(MATCH(X$2,Inputs!$K$4:$AJ$4,0)),NA(),IF(SUMPRODUCT((Inputs!$A$5:$A$180=$B26)*ISNUMBER(INDEX(Inputs!$K$5:$AJ$180,0,MATCH(X$2,Inputs!$K$4:$AJ$4,0))))+SUMPRODUCT((Inputs!$C$5:$C$180=$B26)*ISNUMBER(INDEX(Inputs!$K$5:$AJ$180,0,MATCH(X$2,Inputs!$K$4:$AJ$4,0))))+SUMPRODUCT((Inputs!$E$5:$E$180=$B26)*ISNUMBER(INDEX(Inputs!$K$5:$AJ$180,0,MATCH(X$2,Inputs!$K$4:$AJ$4,0))))=0,NA(),SUMPRODUCT((Inputs!$A$5:$A$180=$B26)*Inputs!$B$5:$B$180*(((Inputs!$G$5:$G$180="moeda")+(Inputs!$G$5:$G$180="acoes"))*Inputs!$B$1+((Inputs!$G$5:$G$180&lt;&gt;"moeda")*(Inputs!$G$5:$G$180&lt;&gt;"acoes")))*INDEX(Inputs!$K$5:$AJ$180,0,MATCH(X$2,Inputs!$K$4:$AJ$4,0)))+SUMPRODUCT((Inputs!$C$5:$C$180=$B26)*Inputs!$D$5:$D$180*(((Inputs!$G$5:$G$180="moeda")+(Inputs!$G$5:$G$180="acoes"))*Inputs!$B$1+((Inputs!$G$5:$G$180&lt;&gt;"moeda")*(Inputs!$G$5:$G$180&lt;&gt;"acoes")))*INDEX(Inputs!$K$5:$AJ$180,0,MATCH(X$2,Inputs!$K$4:$AJ$4,0)))+SUMPRODUCT((Inputs!$E$5:$E$180=$B26)*Inputs!$F$5:$F$180*(((Inputs!$G$5:$G$180="moeda")+(Inputs!$G$5:$G$180="acoes"))*Inputs!$B$1+((Inputs!$G$5:$G$180&lt;&gt;"moeda")*(Inputs!$G$5:$G$180&lt;&gt;"acoes")))*INDEX(Inputs!$K$5:$AJ$180,0,MATCH(X$2,Inputs!$K$4:$AJ$4,0)))))</f>
        <v>639.44449805</v>
      </c>
      <c r="Y26" s="6">
        <f>IF(ISNA(MATCH(Y$2,Inputs!$K$4:$AJ$4,0)),NA(),IF(SUMPRODUCT((Inputs!$A$5:$A$180=$B26)*ISNUMBER(INDEX(Inputs!$K$5:$AJ$180,0,MATCH(Y$2,Inputs!$K$4:$AJ$4,0))))+SUMPRODUCT((Inputs!$C$5:$C$180=$B26)*ISNUMBER(INDEX(Inputs!$K$5:$AJ$180,0,MATCH(Y$2,Inputs!$K$4:$AJ$4,0))))+SUMPRODUCT((Inputs!$E$5:$E$180=$B26)*ISNUMBER(INDEX(Inputs!$K$5:$AJ$180,0,MATCH(Y$2,Inputs!$K$4:$AJ$4,0))))=0,NA(),SUMPRODUCT((Inputs!$A$5:$A$180=$B26)*Inputs!$B$5:$B$180*(((Inputs!$G$5:$G$180="moeda")+(Inputs!$G$5:$G$180="acoes"))*Inputs!$B$1+((Inputs!$G$5:$G$180&lt;&gt;"moeda")*(Inputs!$G$5:$G$180&lt;&gt;"acoes")))*INDEX(Inputs!$K$5:$AJ$180,0,MATCH(Y$2,Inputs!$K$4:$AJ$4,0)))+SUMPRODUCT((Inputs!$C$5:$C$180=$B26)*Inputs!$D$5:$D$180*(((Inputs!$G$5:$G$180="moeda")+(Inputs!$G$5:$G$180="acoes"))*Inputs!$B$1+((Inputs!$G$5:$G$180&lt;&gt;"moeda")*(Inputs!$G$5:$G$180&lt;&gt;"acoes")))*INDEX(Inputs!$K$5:$AJ$180,0,MATCH(Y$2,Inputs!$K$4:$AJ$4,0)))+SUMPRODUCT((Inputs!$E$5:$E$180=$B26)*Inputs!$F$5:$F$180*(((Inputs!$G$5:$G$180="moeda")+(Inputs!$G$5:$G$180="acoes"))*Inputs!$B$1+((Inputs!$G$5:$G$180&lt;&gt;"moeda")*(Inputs!$G$5:$G$180&lt;&gt;"acoes")))*INDEX(Inputs!$K$5:$AJ$180,0,MATCH(Y$2,Inputs!$K$4:$AJ$4,0)))))</f>
        <v>650.85384088</v>
      </c>
      <c r="Z26" s="6">
        <f>IF(ISNA(MATCH(Z$2,Inputs!$K$4:$AJ$4,0)),NA(),IF(SUMPRODUCT((Inputs!$A$5:$A$180=$B26)*ISNUMBER(INDEX(Inputs!$K$5:$AJ$180,0,MATCH(Z$2,Inputs!$K$4:$AJ$4,0))))+SUMPRODUCT((Inputs!$C$5:$C$180=$B26)*ISNUMBER(INDEX(Inputs!$K$5:$AJ$180,0,MATCH(Z$2,Inputs!$K$4:$AJ$4,0))))+SUMPRODUCT((Inputs!$E$5:$E$180=$B26)*ISNUMBER(INDEX(Inputs!$K$5:$AJ$180,0,MATCH(Z$2,Inputs!$K$4:$AJ$4,0))))=0,NA(),SUMPRODUCT((Inputs!$A$5:$A$180=$B26)*Inputs!$B$5:$B$180*(((Inputs!$G$5:$G$180="moeda")+(Inputs!$G$5:$G$180="acoes"))*Inputs!$B$1+((Inputs!$G$5:$G$180&lt;&gt;"moeda")*(Inputs!$G$5:$G$180&lt;&gt;"acoes")))*INDEX(Inputs!$K$5:$AJ$180,0,MATCH(Z$2,Inputs!$K$4:$AJ$4,0)))+SUMPRODUCT((Inputs!$C$5:$C$180=$B26)*Inputs!$D$5:$D$180*(((Inputs!$G$5:$G$180="moeda")+(Inputs!$G$5:$G$180="acoes"))*Inputs!$B$1+((Inputs!$G$5:$G$180&lt;&gt;"moeda")*(Inputs!$G$5:$G$180&lt;&gt;"acoes")))*INDEX(Inputs!$K$5:$AJ$180,0,MATCH(Z$2,Inputs!$K$4:$AJ$4,0)))+SUMPRODUCT((Inputs!$E$5:$E$180=$B26)*Inputs!$F$5:$F$180*(((Inputs!$G$5:$G$180="moeda")+(Inputs!$G$5:$G$180="acoes"))*Inputs!$B$1+((Inputs!$G$5:$G$180&lt;&gt;"moeda")*(Inputs!$G$5:$G$180&lt;&gt;"acoes")))*INDEX(Inputs!$K$5:$AJ$180,0,MATCH(Z$2,Inputs!$K$4:$AJ$4,0)))))</f>
        <v>652.908</v>
      </c>
      <c r="AA26" s="6">
        <f>IF(ISNA(MATCH(AA$2,Inputs!$K$4:$AJ$4,0)),NA(),IF(SUMPRODUCT((Inputs!$A$5:$A$180=$B26)*ISNUMBER(INDEX(Inputs!$K$5:$AJ$180,0,MATCH(AA$2,Inputs!$K$4:$AJ$4,0))))+SUMPRODUCT((Inputs!$C$5:$C$180=$B26)*ISNUMBER(INDEX(Inputs!$K$5:$AJ$180,0,MATCH(AA$2,Inputs!$K$4:$AJ$4,0))))+SUMPRODUCT((Inputs!$E$5:$E$180=$B26)*ISNUMBER(INDEX(Inputs!$K$5:$AJ$180,0,MATCH(AA$2,Inputs!$K$4:$AJ$4,0))))=0,NA(),SUMPRODUCT((Inputs!$A$5:$A$180=$B26)*Inputs!$B$5:$B$180*(((Inputs!$G$5:$G$180="moeda")+(Inputs!$G$5:$G$180="acoes"))*Inputs!$B$1+((Inputs!$G$5:$G$180&lt;&gt;"moeda")*(Inputs!$G$5:$G$180&lt;&gt;"acoes")))*INDEX(Inputs!$K$5:$AJ$180,0,MATCH(AA$2,Inputs!$K$4:$AJ$4,0)))+SUMPRODUCT((Inputs!$C$5:$C$180=$B26)*Inputs!$D$5:$D$180*(((Inputs!$G$5:$G$180="moeda")+(Inputs!$G$5:$G$180="acoes"))*Inputs!$B$1+((Inputs!$G$5:$G$180&lt;&gt;"moeda")*(Inputs!$G$5:$G$180&lt;&gt;"acoes")))*INDEX(Inputs!$K$5:$AJ$180,0,MATCH(AA$2,Inputs!$K$4:$AJ$4,0)))+SUMPRODUCT((Inputs!$E$5:$E$180=$B26)*Inputs!$F$5:$F$180*(((Inputs!$G$5:$G$180="moeda")+(Inputs!$G$5:$G$180="acoes"))*Inputs!$B$1+((Inputs!$G$5:$G$180&lt;&gt;"moeda")*(Inputs!$G$5:$G$180&lt;&gt;"acoes")))*INDEX(Inputs!$K$5:$AJ$180,0,MATCH(AA$2,Inputs!$K$4:$AJ$4,0)))))</f>
        <v>642.80834153</v>
      </c>
      <c r="AB26" s="3">
        <f>AA26</f>
        <v>642.80834153</v>
      </c>
      <c r="AC26" s="6">
        <f>IF(ISNA(MATCH(AC$2,Inputs!$K$4:$AJ$4,0)),NA(),IF(SUMPRODUCT((Inputs!$A$5:$A$180=$B26)*ISNUMBER(INDEX(Inputs!$K$5:$AJ$180,0,MATCH(AC$2,Inputs!$K$4:$AJ$4,0))))+SUMPRODUCT((Inputs!$C$5:$C$180=$B26)*ISNUMBER(INDEX(Inputs!$K$5:$AJ$180,0,MATCH(AC$2,Inputs!$K$4:$AJ$4,0))))+SUMPRODUCT((Inputs!$E$5:$E$180=$B26)*ISNUMBER(INDEX(Inputs!$K$5:$AJ$180,0,MATCH(AC$2,Inputs!$K$4:$AJ$4,0))))=0,NA(),SUMPRODUCT((Inputs!$A$5:$A$180=$B26)*Inputs!$B$5:$B$180*(((Inputs!$G$5:$G$180="moeda")+(Inputs!$G$5:$G$180="acoes"))*Inputs!$B$1+((Inputs!$G$5:$G$180&lt;&gt;"moeda")*(Inputs!$G$5:$G$180&lt;&gt;"acoes")))*INDEX(Inputs!$K$5:$AJ$180,0,MATCH(AC$2,Inputs!$K$4:$AJ$4,0)))+SUMPRODUCT((Inputs!$C$5:$C$180=$B26)*Inputs!$D$5:$D$180*(((Inputs!$G$5:$G$180="moeda")+(Inputs!$G$5:$G$180="acoes"))*Inputs!$B$1+((Inputs!$G$5:$G$180&lt;&gt;"moeda")*(Inputs!$G$5:$G$180&lt;&gt;"acoes")))*INDEX(Inputs!$K$5:$AJ$180,0,MATCH(AC$2,Inputs!$K$4:$AJ$4,0)))+SUMPRODUCT((Inputs!$E$5:$E$180=$B26)*Inputs!$F$5:$F$180*(((Inputs!$G$5:$G$180="moeda")+(Inputs!$G$5:$G$180="acoes"))*Inputs!$B$1+((Inputs!$G$5:$G$180&lt;&gt;"moeda")*(Inputs!$G$5:$G$180&lt;&gt;"acoes")))*INDEX(Inputs!$K$5:$AJ$180,0,MATCH(AC$2,Inputs!$K$4:$AJ$4,0)))))</f>
        <v>699.37910037</v>
      </c>
      <c r="AD26" s="6">
        <f>IF(ISNA(MATCH(AD$2,Inputs!$K$4:$AJ$4,0)),NA(),IF(SUMPRODUCT((Inputs!$A$5:$A$180=$B26)*ISNUMBER(INDEX(Inputs!$K$5:$AJ$180,0,MATCH(AD$2,Inputs!$K$4:$AJ$4,0))))+SUMPRODUCT((Inputs!$C$5:$C$180=$B26)*ISNUMBER(INDEX(Inputs!$K$5:$AJ$180,0,MATCH(AD$2,Inputs!$K$4:$AJ$4,0))))+SUMPRODUCT((Inputs!$E$5:$E$180=$B26)*ISNUMBER(INDEX(Inputs!$K$5:$AJ$180,0,MATCH(AD$2,Inputs!$K$4:$AJ$4,0))))=0,NA(),SUMPRODUCT((Inputs!$A$5:$A$180=$B26)*Inputs!$B$5:$B$180*(((Inputs!$G$5:$G$180="moeda")+(Inputs!$G$5:$G$180="acoes"))*Inputs!$B$1+((Inputs!$G$5:$G$180&lt;&gt;"moeda")*(Inputs!$G$5:$G$180&lt;&gt;"acoes")))*INDEX(Inputs!$K$5:$AJ$180,0,MATCH(AD$2,Inputs!$K$4:$AJ$4,0)))+SUMPRODUCT((Inputs!$C$5:$C$180=$B26)*Inputs!$D$5:$D$180*(((Inputs!$G$5:$G$180="moeda")+(Inputs!$G$5:$G$180="acoes"))*Inputs!$B$1+((Inputs!$G$5:$G$180&lt;&gt;"moeda")*(Inputs!$G$5:$G$180&lt;&gt;"acoes")))*INDEX(Inputs!$K$5:$AJ$180,0,MATCH(AD$2,Inputs!$K$4:$AJ$4,0)))+SUMPRODUCT((Inputs!$E$5:$E$180=$B26)*Inputs!$F$5:$F$180*(((Inputs!$G$5:$G$180="moeda")+(Inputs!$G$5:$G$180="acoes"))*Inputs!$B$1+((Inputs!$G$5:$G$180&lt;&gt;"moeda")*(Inputs!$G$5:$G$180&lt;&gt;"acoes")))*INDEX(Inputs!$K$5:$AJ$180,0,MATCH(AD$2,Inputs!$K$4:$AJ$4,0)))))</f>
        <v>711.63137386</v>
      </c>
      <c r="AE26" s="6" t="e">
        <f>IF(ISNA(MATCH(AE$2,Inputs!$K$4:$AJ$4,0)),NA(),IF(SUMPRODUCT((Inputs!$A$5:$A$180=$B26)*ISNUMBER(INDEX(Inputs!$K$5:$AJ$180,0,MATCH(AE$2,Inputs!$K$4:$AJ$4,0))))+SUMPRODUCT((Inputs!$C$5:$C$180=$B26)*ISNUMBER(INDEX(Inputs!$K$5:$AJ$180,0,MATCH(AE$2,Inputs!$K$4:$AJ$4,0))))+SUMPRODUCT((Inputs!$E$5:$E$180=$B26)*ISNUMBER(INDEX(Inputs!$K$5:$AJ$180,0,MATCH(AE$2,Inputs!$K$4:$AJ$4,0))))=0,NA(),SUMPRODUCT((Inputs!$A$5:$A$180=$B26)*Inputs!$B$5:$B$180*(((Inputs!$G$5:$G$180="moeda")+(Inputs!$G$5:$G$180="acoes"))*Inputs!$B$1+((Inputs!$G$5:$G$180&lt;&gt;"moeda")*(Inputs!$G$5:$G$180&lt;&gt;"acoes")))*INDEX(Inputs!$K$5:$AJ$180,0,MATCH(AE$2,Inputs!$K$4:$AJ$4,0)))+SUMPRODUCT((Inputs!$C$5:$C$180=$B26)*Inputs!$D$5:$D$180*(((Inputs!$G$5:$G$180="moeda")+(Inputs!$G$5:$G$180="acoes"))*Inputs!$B$1+((Inputs!$G$5:$G$180&lt;&gt;"moeda")*(Inputs!$G$5:$G$180&lt;&gt;"acoes")))*INDEX(Inputs!$K$5:$AJ$180,0,MATCH(AE$2,Inputs!$K$4:$AJ$4,0)))+SUMPRODUCT((Inputs!$E$5:$E$180=$B26)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6" s="6" t="e">
        <f>IF(ISNA(MATCH(AF$2,Inputs!$K$4:$AJ$4,0)),NA(),IF(SUMPRODUCT((Inputs!$A$5:$A$180=$B26)*ISNUMBER(INDEX(Inputs!$K$5:$AJ$180,0,MATCH(AF$2,Inputs!$K$4:$AJ$4,0))))+SUMPRODUCT((Inputs!$C$5:$C$180=$B26)*ISNUMBER(INDEX(Inputs!$K$5:$AJ$180,0,MATCH(AF$2,Inputs!$K$4:$AJ$4,0))))+SUMPRODUCT((Inputs!$E$5:$E$180=$B26)*ISNUMBER(INDEX(Inputs!$K$5:$AJ$180,0,MATCH(AF$2,Inputs!$K$4:$AJ$4,0))))=0,NA(),SUMPRODUCT((Inputs!$A$5:$A$180=$B26)*Inputs!$B$5:$B$180*(((Inputs!$G$5:$G$180="moeda")+(Inputs!$G$5:$G$180="acoes"))*Inputs!$B$1+((Inputs!$G$5:$G$180&lt;&gt;"moeda")*(Inputs!$G$5:$G$180&lt;&gt;"acoes")))*INDEX(Inputs!$K$5:$AJ$180,0,MATCH(AF$2,Inputs!$K$4:$AJ$4,0)))+SUMPRODUCT((Inputs!$C$5:$C$180=$B26)*Inputs!$D$5:$D$180*(((Inputs!$G$5:$G$180="moeda")+(Inputs!$G$5:$G$180="acoes"))*Inputs!$B$1+((Inputs!$G$5:$G$180&lt;&gt;"moeda")*(Inputs!$G$5:$G$180&lt;&gt;"acoes")))*INDEX(Inputs!$K$5:$AJ$180,0,MATCH(AF$2,Inputs!$K$4:$AJ$4,0)))+SUMPRODUCT((Inputs!$E$5:$E$180=$B26)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6" s="3" t="e">
        <f>AF26</f>
        <v>#N/A</v>
      </c>
      <c r="AH26" s="6">
        <f>IF(ISNA(MATCH(AH$2,Inputs!$K$4:$AJ$4,0)),NA(),IF(SUMPRODUCT((Inputs!$A$5:$A$180=$B26)*ISNUMBER(INDEX(Inputs!$K$5:$AJ$180,0,MATCH(AH$2,Inputs!$K$4:$AJ$4,0))))+SUMPRODUCT((Inputs!$C$5:$C$180=$B26)*ISNUMBER(INDEX(Inputs!$K$5:$AJ$180,0,MATCH(AH$2,Inputs!$K$4:$AJ$4,0))))+SUMPRODUCT((Inputs!$E$5:$E$180=$B26)*ISNUMBER(INDEX(Inputs!$K$5:$AJ$180,0,MATCH(AH$2,Inputs!$K$4:$AJ$4,0))))=0,NA(),SUMPRODUCT((Inputs!$A$5:$A$180=$B26)*Inputs!$B$5:$B$180*(((Inputs!$G$5:$G$180="moeda")+(Inputs!$G$5:$G$180="acoes"))*Inputs!$B$1+((Inputs!$G$5:$G$180&lt;&gt;"moeda")*(Inputs!$G$5:$G$180&lt;&gt;"acoes")))*INDEX(Inputs!$K$5:$AJ$180,0,MATCH(AH$2,Inputs!$K$4:$AJ$4,0)))+SUMPRODUCT((Inputs!$C$5:$C$180=$B26)*Inputs!$D$5:$D$180*(((Inputs!$G$5:$G$180="moeda")+(Inputs!$G$5:$G$180="acoes"))*Inputs!$B$1+((Inputs!$G$5:$G$180&lt;&gt;"moeda")*(Inputs!$G$5:$G$180&lt;&gt;"acoes")))*INDEX(Inputs!$K$5:$AJ$180,0,MATCH(AH$2,Inputs!$K$4:$AJ$4,0)))+SUMPRODUCT((Inputs!$E$5:$E$180=$B26)*Inputs!$F$5:$F$180*(((Inputs!$G$5:$G$180="moeda")+(Inputs!$G$5:$G$180="acoes"))*Inputs!$B$1+((Inputs!$G$5:$G$180&lt;&gt;"moeda")*(Inputs!$G$5:$G$180&lt;&gt;"acoes")))*INDEX(Inputs!$K$5:$AJ$180,0,MATCH(AH$2,Inputs!$K$4:$AJ$4,0)))))</f>
        <v>284.992</v>
      </c>
      <c r="AI26" s="6">
        <f>IF(ISNA(MATCH(AI$2,Inputs!$K$4:$AJ$4,0)),NA(),IF(SUMPRODUCT((Inputs!$A$5:$A$180=$B26)*ISNUMBER(INDEX(Inputs!$K$5:$AJ$180,0,MATCH(AI$2,Inputs!$K$4:$AJ$4,0))))+SUMPRODUCT((Inputs!$C$5:$C$180=$B26)*ISNUMBER(INDEX(Inputs!$K$5:$AJ$180,0,MATCH(AI$2,Inputs!$K$4:$AJ$4,0))))+SUMPRODUCT((Inputs!$E$5:$E$180=$B26)*ISNUMBER(INDEX(Inputs!$K$5:$AJ$180,0,MATCH(AI$2,Inputs!$K$4:$AJ$4,0))))=0,NA(),SUMPRODUCT((Inputs!$A$5:$A$180=$B26)*Inputs!$B$5:$B$180*(((Inputs!$G$5:$G$180="moeda")+(Inputs!$G$5:$G$180="acoes"))*Inputs!$B$1+((Inputs!$G$5:$G$180&lt;&gt;"moeda")*(Inputs!$G$5:$G$180&lt;&gt;"acoes")))*INDEX(Inputs!$K$5:$AJ$180,0,MATCH(AI$2,Inputs!$K$4:$AJ$4,0)))+SUMPRODUCT((Inputs!$C$5:$C$180=$B26)*Inputs!$D$5:$D$180*(((Inputs!$G$5:$G$180="moeda")+(Inputs!$G$5:$G$180="acoes"))*Inputs!$B$1+((Inputs!$G$5:$G$180&lt;&gt;"moeda")*(Inputs!$G$5:$G$180&lt;&gt;"acoes")))*INDEX(Inputs!$K$5:$AJ$180,0,MATCH(AI$2,Inputs!$K$4:$AJ$4,0)))+SUMPRODUCT((Inputs!$E$5:$E$180=$B26)*Inputs!$F$5:$F$180*(((Inputs!$G$5:$G$180="moeda")+(Inputs!$G$5:$G$180="acoes"))*Inputs!$B$1+((Inputs!$G$5:$G$180&lt;&gt;"moeda")*(Inputs!$G$5:$G$180&lt;&gt;"acoes")))*INDEX(Inputs!$K$5:$AJ$180,0,MATCH(AI$2,Inputs!$K$4:$AJ$4,0)))))</f>
        <v>277.476054385444</v>
      </c>
      <c r="AJ26" s="6">
        <f>IF(ISNA(MATCH(AJ$2,Inputs!$K$4:$AJ$4,0)),NA(),IF(SUMPRODUCT((Inputs!$A$5:$A$180=$B26)*ISNUMBER(INDEX(Inputs!$K$5:$AJ$180,0,MATCH(AJ$2,Inputs!$K$4:$AJ$4,0))))+SUMPRODUCT((Inputs!$C$5:$C$180=$B26)*ISNUMBER(INDEX(Inputs!$K$5:$AJ$180,0,MATCH(AJ$2,Inputs!$K$4:$AJ$4,0))))+SUMPRODUCT((Inputs!$E$5:$E$180=$B26)*ISNUMBER(INDEX(Inputs!$K$5:$AJ$180,0,MATCH(AJ$2,Inputs!$K$4:$AJ$4,0))))=0,NA(),SUMPRODUCT((Inputs!$A$5:$A$180=$B26)*Inputs!$B$5:$B$180*(((Inputs!$G$5:$G$180="moeda")+(Inputs!$G$5:$G$180="acoes"))*Inputs!$B$1+((Inputs!$G$5:$G$180&lt;&gt;"moeda")*(Inputs!$G$5:$G$180&lt;&gt;"acoes")))*INDEX(Inputs!$K$5:$AJ$180,0,MATCH(AJ$2,Inputs!$K$4:$AJ$4,0)))+SUMPRODUCT((Inputs!$C$5:$C$180=$B26)*Inputs!$D$5:$D$180*(((Inputs!$G$5:$G$180="moeda")+(Inputs!$G$5:$G$180="acoes"))*Inputs!$B$1+((Inputs!$G$5:$G$180&lt;&gt;"moeda")*(Inputs!$G$5:$G$180&lt;&gt;"acoes")))*INDEX(Inputs!$K$5:$AJ$180,0,MATCH(AJ$2,Inputs!$K$4:$AJ$4,0)))+SUMPRODUCT((Inputs!$E$5:$E$180=$B26)*Inputs!$F$5:$F$180*(((Inputs!$G$5:$G$180="moeda")+(Inputs!$G$5:$G$180="acoes"))*Inputs!$B$1+((Inputs!$G$5:$G$180&lt;&gt;"moeda")*(Inputs!$G$5:$G$180&lt;&gt;"acoes")))*INDEX(Inputs!$K$5:$AJ$180,0,MATCH(AJ$2,Inputs!$K$4:$AJ$4,0)))))</f>
        <v>237.742700043333</v>
      </c>
      <c r="AK26" s="6">
        <f>IF(ISNA(MATCH(AK$2,Inputs!$K$4:$AJ$4,0)),NA(),IF(SUMPRODUCT((Inputs!$A$5:$A$180=$B26)*ISNUMBER(INDEX(Inputs!$K$5:$AJ$180,0,MATCH(AK$2,Inputs!$K$4:$AJ$4,0))))+SUMPRODUCT((Inputs!$C$5:$C$180=$B26)*ISNUMBER(INDEX(Inputs!$K$5:$AJ$180,0,MATCH(AK$2,Inputs!$K$4:$AJ$4,0))))+SUMPRODUCT((Inputs!$E$5:$E$180=$B26)*ISNUMBER(INDEX(Inputs!$K$5:$AJ$180,0,MATCH(AK$2,Inputs!$K$4:$AJ$4,0))))=0,NA(),SUMPRODUCT((Inputs!$A$5:$A$180=$B26)*Inputs!$B$5:$B$180*(((Inputs!$G$5:$G$180="moeda")+(Inputs!$G$5:$G$180="acoes"))*Inputs!$B$1+((Inputs!$G$5:$G$180&lt;&gt;"moeda")*(Inputs!$G$5:$G$180&lt;&gt;"acoes")))*INDEX(Inputs!$K$5:$AJ$180,0,MATCH(AK$2,Inputs!$K$4:$AJ$4,0)))+SUMPRODUCT((Inputs!$C$5:$C$180=$B26)*Inputs!$D$5:$D$180*(((Inputs!$G$5:$G$180="moeda")+(Inputs!$G$5:$G$180="acoes"))*Inputs!$B$1+((Inputs!$G$5:$G$180&lt;&gt;"moeda")*(Inputs!$G$5:$G$180&lt;&gt;"acoes")))*INDEX(Inputs!$K$5:$AJ$180,0,MATCH(AK$2,Inputs!$K$4:$AJ$4,0)))+SUMPRODUCT((Inputs!$E$5:$E$180=$B26)*Inputs!$F$5:$F$180*(((Inputs!$G$5:$G$180="moeda")+(Inputs!$G$5:$G$180="acoes"))*Inputs!$B$1+((Inputs!$G$5:$G$180&lt;&gt;"moeda")*(Inputs!$G$5:$G$180&lt;&gt;"acoes")))*INDEX(Inputs!$K$5:$AJ$180,0,MATCH(AK$2,Inputs!$K$4:$AJ$4,0)))))</f>
        <v>197.3784501862</v>
      </c>
      <c r="AL26" s="3">
        <f>AK26</f>
        <v>197.3784501862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$180=$B28)*ISNUMBER(INDEX(Inputs!$K$5:$AJ$180,0,MATCH(D$2,Inputs!$K$4:$AJ$4,0))))+SUMPRODUCT((Inputs!$C$5:$C$180=$B28)*ISNUMBER(INDEX(Inputs!$K$5:$AJ$180,0,MATCH(D$2,Inputs!$K$4:$AJ$4,0))))+SUMPRODUCT((Inputs!$E$5:$E$180=$B28)*ISNUMBER(INDEX(Inputs!$K$5:$AJ$180,0,MATCH(D$2,Inputs!$K$4:$AJ$4,0))))=0,NA(),SUMPRODUCT((Inputs!$A$5:$A$180=$B28)*Inputs!$B$5:$B$180*(((Inputs!$G$5:$G$180="moeda")+(Inputs!$G$5:$G$180="acoes"))*Inputs!$B$1+((Inputs!$G$5:$G$180&lt;&gt;"moeda")*(Inputs!$G$5:$G$180&lt;&gt;"acoes")))*INDEX(Inputs!$K$5:$AJ$180,0,MATCH(D$2,Inputs!$K$4:$AJ$4,0)))+SUMPRODUCT((Inputs!$C$5:$C$180=$B28)*Inputs!$D$5:$D$180*(((Inputs!$G$5:$G$180="moeda")+(Inputs!$G$5:$G$180="acoes"))*Inputs!$B$1+((Inputs!$G$5:$G$180&lt;&gt;"moeda")*(Inputs!$G$5:$G$180&lt;&gt;"acoes")))*INDEX(Inputs!$K$5:$AJ$180,0,MATCH(D$2,Inputs!$K$4:$AJ$4,0)))+SUMPRODUCT((Inputs!$E$5:$E$180=$B28)*Inputs!$F$5:$F$180*(((Inputs!$G$5:$G$180="moeda")+(Inputs!$G$5:$G$180="acoes"))*Inputs!$B$1+((Inputs!$G$5:$G$180&lt;&gt;"moeda")*(Inputs!$G$5:$G$180&lt;&gt;"acoes")))*INDEX(Inputs!$K$5:$AJ$180,0,MATCH(D$2,Inputs!$K$4:$AJ$4,0)))))</f>
        <v>36.18960171</v>
      </c>
      <c r="E28" s="6">
        <f>IF(ISNA(MATCH(E$2,Inputs!$K$4:$AJ$4,0)),NA(),IF(SUMPRODUCT((Inputs!$A$5:$A$180=$B28)*ISNUMBER(INDEX(Inputs!$K$5:$AJ$180,0,MATCH(E$2,Inputs!$K$4:$AJ$4,0))))+SUMPRODUCT((Inputs!$C$5:$C$180=$B28)*ISNUMBER(INDEX(Inputs!$K$5:$AJ$180,0,MATCH(E$2,Inputs!$K$4:$AJ$4,0))))+SUMPRODUCT((Inputs!$E$5:$E$180=$B28)*ISNUMBER(INDEX(Inputs!$K$5:$AJ$180,0,MATCH(E$2,Inputs!$K$4:$AJ$4,0))))=0,NA(),SUMPRODUCT((Inputs!$A$5:$A$180=$B28)*Inputs!$B$5:$B$180*(((Inputs!$G$5:$G$180="moeda")+(Inputs!$G$5:$G$180="acoes"))*Inputs!$B$1+((Inputs!$G$5:$G$180&lt;&gt;"moeda")*(Inputs!$G$5:$G$180&lt;&gt;"acoes")))*INDEX(Inputs!$K$5:$AJ$180,0,MATCH(E$2,Inputs!$K$4:$AJ$4,0)))+SUMPRODUCT((Inputs!$C$5:$C$180=$B28)*Inputs!$D$5:$D$180*(((Inputs!$G$5:$G$180="moeda")+(Inputs!$G$5:$G$180="acoes"))*Inputs!$B$1+((Inputs!$G$5:$G$180&lt;&gt;"moeda")*(Inputs!$G$5:$G$180&lt;&gt;"acoes")))*INDEX(Inputs!$K$5:$AJ$180,0,MATCH(E$2,Inputs!$K$4:$AJ$4,0)))+SUMPRODUCT((Inputs!$E$5:$E$180=$B28)*Inputs!$F$5:$F$180*(((Inputs!$G$5:$G$180="moeda")+(Inputs!$G$5:$G$180="acoes"))*Inputs!$B$1+((Inputs!$G$5:$G$180&lt;&gt;"moeda")*(Inputs!$G$5:$G$180&lt;&gt;"acoes")))*INDEX(Inputs!$K$5:$AJ$180,0,MATCH(E$2,Inputs!$K$4:$AJ$4,0)))))</f>
        <v>56.86854222</v>
      </c>
      <c r="F28" s="6">
        <f>IF(ISNA(MATCH(F$2,Inputs!$K$4:$AJ$4,0)),NA(),IF(SUMPRODUCT((Inputs!$A$5:$A$180=$B28)*ISNUMBER(INDEX(Inputs!$K$5:$AJ$180,0,MATCH(F$2,Inputs!$K$4:$AJ$4,0))))+SUMPRODUCT((Inputs!$C$5:$C$180=$B28)*ISNUMBER(INDEX(Inputs!$K$5:$AJ$180,0,MATCH(F$2,Inputs!$K$4:$AJ$4,0))))+SUMPRODUCT((Inputs!$E$5:$E$180=$B28)*ISNUMBER(INDEX(Inputs!$K$5:$AJ$180,0,MATCH(F$2,Inputs!$K$4:$AJ$4,0))))=0,NA(),SUMPRODUCT((Inputs!$A$5:$A$180=$B28)*Inputs!$B$5:$B$180*(((Inputs!$G$5:$G$180="moeda")+(Inputs!$G$5:$G$180="acoes"))*Inputs!$B$1+((Inputs!$G$5:$G$180&lt;&gt;"moeda")*(Inputs!$G$5:$G$180&lt;&gt;"acoes")))*INDEX(Inputs!$K$5:$AJ$180,0,MATCH(F$2,Inputs!$K$4:$AJ$4,0)))+SUMPRODUCT((Inputs!$C$5:$C$180=$B28)*Inputs!$D$5:$D$180*(((Inputs!$G$5:$G$180="moeda")+(Inputs!$G$5:$G$180="acoes"))*Inputs!$B$1+((Inputs!$G$5:$G$180&lt;&gt;"moeda")*(Inputs!$G$5:$G$180&lt;&gt;"acoes")))*INDEX(Inputs!$K$5:$AJ$180,0,MATCH(F$2,Inputs!$K$4:$AJ$4,0)))+SUMPRODUCT((Inputs!$E$5:$E$180=$B28)*Inputs!$F$5:$F$180*(((Inputs!$G$5:$G$180="moeda")+(Inputs!$G$5:$G$180="acoes"))*Inputs!$B$1+((Inputs!$G$5:$G$180&lt;&gt;"moeda")*(Inputs!$G$5:$G$180&lt;&gt;"acoes")))*INDEX(Inputs!$K$5:$AJ$180,0,MATCH(F$2,Inputs!$K$4:$AJ$4,0)))))</f>
        <v>100.00599354</v>
      </c>
      <c r="G28" s="6">
        <f>IF(ISNA(MATCH(G$2,Inputs!$K$4:$AJ$4,0)),NA(),IF(SUMPRODUCT((Inputs!$A$5:$A$180=$B28)*ISNUMBER(INDEX(Inputs!$K$5:$AJ$180,0,MATCH(G$2,Inputs!$K$4:$AJ$4,0))))+SUMPRODUCT((Inputs!$C$5:$C$180=$B28)*ISNUMBER(INDEX(Inputs!$K$5:$AJ$180,0,MATCH(G$2,Inputs!$K$4:$AJ$4,0))))+SUMPRODUCT((Inputs!$E$5:$E$180=$B28)*ISNUMBER(INDEX(Inputs!$K$5:$AJ$180,0,MATCH(G$2,Inputs!$K$4:$AJ$4,0))))=0,NA(),SUMPRODUCT((Inputs!$A$5:$A$180=$B28)*Inputs!$B$5:$B$180*(((Inputs!$G$5:$G$180="moeda")+(Inputs!$G$5:$G$180="acoes"))*Inputs!$B$1+((Inputs!$G$5:$G$180&lt;&gt;"moeda")*(Inputs!$G$5:$G$180&lt;&gt;"acoes")))*INDEX(Inputs!$K$5:$AJ$180,0,MATCH(G$2,Inputs!$K$4:$AJ$4,0)))+SUMPRODUCT((Inputs!$C$5:$C$180=$B28)*Inputs!$D$5:$D$180*(((Inputs!$G$5:$G$180="moeda")+(Inputs!$G$5:$G$180="acoes"))*Inputs!$B$1+((Inputs!$G$5:$G$180&lt;&gt;"moeda")*(Inputs!$G$5:$G$180&lt;&gt;"acoes")))*INDEX(Inputs!$K$5:$AJ$180,0,MATCH(G$2,Inputs!$K$4:$AJ$4,0)))+SUMPRODUCT((Inputs!$E$5:$E$180=$B28)*Inputs!$F$5:$F$180*(((Inputs!$G$5:$G$180="moeda")+(Inputs!$G$5:$G$180="acoes"))*Inputs!$B$1+((Inputs!$G$5:$G$180&lt;&gt;"moeda")*(Inputs!$G$5:$G$180&lt;&gt;"acoes")))*INDEX(Inputs!$K$5:$AJ$180,0,MATCH(G$2,Inputs!$K$4:$AJ$4,0)))))</f>
        <v>88.20720052</v>
      </c>
      <c r="H28" s="3">
        <f>G28</f>
        <v>88.20720052</v>
      </c>
      <c r="I28" s="6">
        <f>IF(ISNA(MATCH(I$2,Inputs!$K$4:$AJ$4,0)),NA(),IF(SUMPRODUCT((Inputs!$A$5:$A$180=$B28)*ISNUMBER(INDEX(Inputs!$K$5:$AJ$180,0,MATCH(I$2,Inputs!$K$4:$AJ$4,0))))+SUMPRODUCT((Inputs!$C$5:$C$180=$B28)*ISNUMBER(INDEX(Inputs!$K$5:$AJ$180,0,MATCH(I$2,Inputs!$K$4:$AJ$4,0))))+SUMPRODUCT((Inputs!$E$5:$E$180=$B28)*ISNUMBER(INDEX(Inputs!$K$5:$AJ$180,0,MATCH(I$2,Inputs!$K$4:$AJ$4,0))))=0,NA(),SUMPRODUCT((Inputs!$A$5:$A$180=$B28)*Inputs!$B$5:$B$180*(((Inputs!$G$5:$G$180="moeda")+(Inputs!$G$5:$G$180="acoes"))*Inputs!$B$1+((Inputs!$G$5:$G$180&lt;&gt;"moeda")*(Inputs!$G$5:$G$180&lt;&gt;"acoes")))*INDEX(Inputs!$K$5:$AJ$180,0,MATCH(I$2,Inputs!$K$4:$AJ$4,0)))+SUMPRODUCT((Inputs!$C$5:$C$180=$B28)*Inputs!$D$5:$D$180*(((Inputs!$G$5:$G$180="moeda")+(Inputs!$G$5:$G$180="acoes"))*Inputs!$B$1+((Inputs!$G$5:$G$180&lt;&gt;"moeda")*(Inputs!$G$5:$G$180&lt;&gt;"acoes")))*INDEX(Inputs!$K$5:$AJ$180,0,MATCH(I$2,Inputs!$K$4:$AJ$4,0)))+SUMPRODUCT((Inputs!$E$5:$E$180=$B28)*Inputs!$F$5:$F$180*(((Inputs!$G$5:$G$180="moeda")+(Inputs!$G$5:$G$180="acoes"))*Inputs!$B$1+((Inputs!$G$5:$G$180&lt;&gt;"moeda")*(Inputs!$G$5:$G$180&lt;&gt;"acoes")))*INDEX(Inputs!$K$5:$AJ$180,0,MATCH(I$2,Inputs!$K$4:$AJ$4,0)))))</f>
        <v>77.36864816</v>
      </c>
      <c r="J28" s="6">
        <f>IF(ISNA(MATCH(J$2,Inputs!$K$4:$AJ$4,0)),NA(),IF(SUMPRODUCT((Inputs!$A$5:$A$180=$B28)*ISNUMBER(INDEX(Inputs!$K$5:$AJ$180,0,MATCH(J$2,Inputs!$K$4:$AJ$4,0))))+SUMPRODUCT((Inputs!$C$5:$C$180=$B28)*ISNUMBER(INDEX(Inputs!$K$5:$AJ$180,0,MATCH(J$2,Inputs!$K$4:$AJ$4,0))))+SUMPRODUCT((Inputs!$E$5:$E$180=$B28)*ISNUMBER(INDEX(Inputs!$K$5:$AJ$180,0,MATCH(J$2,Inputs!$K$4:$AJ$4,0))))=0,NA(),SUMPRODUCT((Inputs!$A$5:$A$180=$B28)*Inputs!$B$5:$B$180*(((Inputs!$G$5:$G$180="moeda")+(Inputs!$G$5:$G$180="acoes"))*Inputs!$B$1+((Inputs!$G$5:$G$180&lt;&gt;"moeda")*(Inputs!$G$5:$G$180&lt;&gt;"acoes")))*INDEX(Inputs!$K$5:$AJ$180,0,MATCH(J$2,Inputs!$K$4:$AJ$4,0)))+SUMPRODUCT((Inputs!$C$5:$C$180=$B28)*Inputs!$D$5:$D$180*(((Inputs!$G$5:$G$180="moeda")+(Inputs!$G$5:$G$180="acoes"))*Inputs!$B$1+((Inputs!$G$5:$G$180&lt;&gt;"moeda")*(Inputs!$G$5:$G$180&lt;&gt;"acoes")))*INDEX(Inputs!$K$5:$AJ$180,0,MATCH(J$2,Inputs!$K$4:$AJ$4,0)))+SUMPRODUCT((Inputs!$E$5:$E$180=$B28)*Inputs!$F$5:$F$180*(((Inputs!$G$5:$G$180="moeda")+(Inputs!$G$5:$G$180="acoes"))*Inputs!$B$1+((Inputs!$G$5:$G$180&lt;&gt;"moeda")*(Inputs!$G$5:$G$180&lt;&gt;"acoes")))*INDEX(Inputs!$K$5:$AJ$180,0,MATCH(J$2,Inputs!$K$4:$AJ$4,0)))))</f>
        <v>71.88823787</v>
      </c>
      <c r="K28" s="6">
        <f>IF(ISNA(MATCH(K$2,Inputs!$K$4:$AJ$4,0)),NA(),IF(SUMPRODUCT((Inputs!$A$5:$A$180=$B28)*ISNUMBER(INDEX(Inputs!$K$5:$AJ$180,0,MATCH(K$2,Inputs!$K$4:$AJ$4,0))))+SUMPRODUCT((Inputs!$C$5:$C$180=$B28)*ISNUMBER(INDEX(Inputs!$K$5:$AJ$180,0,MATCH(K$2,Inputs!$K$4:$AJ$4,0))))+SUMPRODUCT((Inputs!$E$5:$E$180=$B28)*ISNUMBER(INDEX(Inputs!$K$5:$AJ$180,0,MATCH(K$2,Inputs!$K$4:$AJ$4,0))))=0,NA(),SUMPRODUCT((Inputs!$A$5:$A$180=$B28)*Inputs!$B$5:$B$180*(((Inputs!$G$5:$G$180="moeda")+(Inputs!$G$5:$G$180="acoes"))*Inputs!$B$1+((Inputs!$G$5:$G$180&lt;&gt;"moeda")*(Inputs!$G$5:$G$180&lt;&gt;"acoes")))*INDEX(Inputs!$K$5:$AJ$180,0,MATCH(K$2,Inputs!$K$4:$AJ$4,0)))+SUMPRODUCT((Inputs!$C$5:$C$180=$B28)*Inputs!$D$5:$D$180*(((Inputs!$G$5:$G$180="moeda")+(Inputs!$G$5:$G$180="acoes"))*Inputs!$B$1+((Inputs!$G$5:$G$180&lt;&gt;"moeda")*(Inputs!$G$5:$G$180&lt;&gt;"acoes")))*INDEX(Inputs!$K$5:$AJ$180,0,MATCH(K$2,Inputs!$K$4:$AJ$4,0)))+SUMPRODUCT((Inputs!$E$5:$E$180=$B28)*Inputs!$F$5:$F$180*(((Inputs!$G$5:$G$180="moeda")+(Inputs!$G$5:$G$180="acoes"))*Inputs!$B$1+((Inputs!$G$5:$G$180&lt;&gt;"moeda")*(Inputs!$G$5:$G$180&lt;&gt;"acoes")))*INDEX(Inputs!$K$5:$AJ$180,0,MATCH(K$2,Inputs!$K$4:$AJ$4,0)))))</f>
        <v>110.22431589</v>
      </c>
      <c r="L28" s="6">
        <f>IF(ISNA(MATCH(L$2,Inputs!$K$4:$AJ$4,0)),NA(),IF(SUMPRODUCT((Inputs!$A$5:$A$180=$B28)*ISNUMBER(INDEX(Inputs!$K$5:$AJ$180,0,MATCH(L$2,Inputs!$K$4:$AJ$4,0))))+SUMPRODUCT((Inputs!$C$5:$C$180=$B28)*ISNUMBER(INDEX(Inputs!$K$5:$AJ$180,0,MATCH(L$2,Inputs!$K$4:$AJ$4,0))))+SUMPRODUCT((Inputs!$E$5:$E$180=$B28)*ISNUMBER(INDEX(Inputs!$K$5:$AJ$180,0,MATCH(L$2,Inputs!$K$4:$AJ$4,0))))=0,NA(),SUMPRODUCT((Inputs!$A$5:$A$180=$B28)*Inputs!$B$5:$B$180*(((Inputs!$G$5:$G$180="moeda")+(Inputs!$G$5:$G$180="acoes"))*Inputs!$B$1+((Inputs!$G$5:$G$180&lt;&gt;"moeda")*(Inputs!$G$5:$G$180&lt;&gt;"acoes")))*INDEX(Inputs!$K$5:$AJ$180,0,MATCH(L$2,Inputs!$K$4:$AJ$4,0)))+SUMPRODUCT((Inputs!$C$5:$C$180=$B28)*Inputs!$D$5:$D$180*(((Inputs!$G$5:$G$180="moeda")+(Inputs!$G$5:$G$180="acoes"))*Inputs!$B$1+((Inputs!$G$5:$G$180&lt;&gt;"moeda")*(Inputs!$G$5:$G$180&lt;&gt;"acoes")))*INDEX(Inputs!$K$5:$AJ$180,0,MATCH(L$2,Inputs!$K$4:$AJ$4,0)))+SUMPRODUCT((Inputs!$E$5:$E$180=$B28)*Inputs!$F$5:$F$180*(((Inputs!$G$5:$G$180="moeda")+(Inputs!$G$5:$G$180="acoes"))*Inputs!$B$1+((Inputs!$G$5:$G$180&lt;&gt;"moeda")*(Inputs!$G$5:$G$180&lt;&gt;"acoes")))*INDEX(Inputs!$K$5:$AJ$180,0,MATCH(L$2,Inputs!$K$4:$AJ$4,0)))))</f>
        <v>104.961</v>
      </c>
      <c r="M28" s="3">
        <f>L28</f>
        <v>104.961</v>
      </c>
      <c r="N28" s="6">
        <f>IF(ISNA(MATCH(N$2,Inputs!$K$4:$AJ$4,0)),NA(),IF(SUMPRODUCT((Inputs!$A$5:$A$180=$B28)*ISNUMBER(INDEX(Inputs!$K$5:$AJ$180,0,MATCH(N$2,Inputs!$K$4:$AJ$4,0))))+SUMPRODUCT((Inputs!$C$5:$C$180=$B28)*ISNUMBER(INDEX(Inputs!$K$5:$AJ$180,0,MATCH(N$2,Inputs!$K$4:$AJ$4,0))))+SUMPRODUCT((Inputs!$E$5:$E$180=$B28)*ISNUMBER(INDEX(Inputs!$K$5:$AJ$180,0,MATCH(N$2,Inputs!$K$4:$AJ$4,0))))=0,NA(),SUMPRODUCT((Inputs!$A$5:$A$180=$B28)*Inputs!$B$5:$B$180*(((Inputs!$G$5:$G$180="moeda")+(Inputs!$G$5:$G$180="acoes"))*Inputs!$B$1+((Inputs!$G$5:$G$180&lt;&gt;"moeda")*(Inputs!$G$5:$G$180&lt;&gt;"acoes")))*INDEX(Inputs!$K$5:$AJ$180,0,MATCH(N$2,Inputs!$K$4:$AJ$4,0)))+SUMPRODUCT((Inputs!$C$5:$C$180=$B28)*Inputs!$D$5:$D$180*(((Inputs!$G$5:$G$180="moeda")+(Inputs!$G$5:$G$180="acoes"))*Inputs!$B$1+((Inputs!$G$5:$G$180&lt;&gt;"moeda")*(Inputs!$G$5:$G$180&lt;&gt;"acoes")))*INDEX(Inputs!$K$5:$AJ$180,0,MATCH(N$2,Inputs!$K$4:$AJ$4,0)))+SUMPRODUCT((Inputs!$E$5:$E$180=$B28)*Inputs!$F$5:$F$180*(((Inputs!$G$5:$G$180="moeda")+(Inputs!$G$5:$G$180="acoes"))*Inputs!$B$1+((Inputs!$G$5:$G$180&lt;&gt;"moeda")*(Inputs!$G$5:$G$180&lt;&gt;"acoes")))*INDEX(Inputs!$K$5:$AJ$180,0,MATCH(N$2,Inputs!$K$4:$AJ$4,0)))))</f>
        <v>122.162</v>
      </c>
      <c r="O28" s="6">
        <f>IF(ISNA(MATCH(O$2,Inputs!$K$4:$AJ$4,0)),NA(),IF(SUMPRODUCT((Inputs!$A$5:$A$180=$B28)*ISNUMBER(INDEX(Inputs!$K$5:$AJ$180,0,MATCH(O$2,Inputs!$K$4:$AJ$4,0))))+SUMPRODUCT((Inputs!$C$5:$C$180=$B28)*ISNUMBER(INDEX(Inputs!$K$5:$AJ$180,0,MATCH(O$2,Inputs!$K$4:$AJ$4,0))))+SUMPRODUCT((Inputs!$E$5:$E$180=$B28)*ISNUMBER(INDEX(Inputs!$K$5:$AJ$180,0,MATCH(O$2,Inputs!$K$4:$AJ$4,0))))=0,NA(),SUMPRODUCT((Inputs!$A$5:$A$180=$B28)*Inputs!$B$5:$B$180*(((Inputs!$G$5:$G$180="moeda")+(Inputs!$G$5:$G$180="acoes"))*Inputs!$B$1+((Inputs!$G$5:$G$180&lt;&gt;"moeda")*(Inputs!$G$5:$G$180&lt;&gt;"acoes")))*INDEX(Inputs!$K$5:$AJ$180,0,MATCH(O$2,Inputs!$K$4:$AJ$4,0)))+SUMPRODUCT((Inputs!$C$5:$C$180=$B28)*Inputs!$D$5:$D$180*(((Inputs!$G$5:$G$180="moeda")+(Inputs!$G$5:$G$180="acoes"))*Inputs!$B$1+((Inputs!$G$5:$G$180&lt;&gt;"moeda")*(Inputs!$G$5:$G$180&lt;&gt;"acoes")))*INDEX(Inputs!$K$5:$AJ$180,0,MATCH(O$2,Inputs!$K$4:$AJ$4,0)))+SUMPRODUCT((Inputs!$E$5:$E$180=$B28)*Inputs!$F$5:$F$180*(((Inputs!$G$5:$G$180="moeda")+(Inputs!$G$5:$G$180="acoes"))*Inputs!$B$1+((Inputs!$G$5:$G$180&lt;&gt;"moeda")*(Inputs!$G$5:$G$180&lt;&gt;"acoes")))*INDEX(Inputs!$K$5:$AJ$180,0,MATCH(O$2,Inputs!$K$4:$AJ$4,0)))))</f>
        <v>118.58373421</v>
      </c>
      <c r="P28" s="6">
        <f>IF(ISNA(MATCH(P$2,Inputs!$K$4:$AJ$4,0)),NA(),IF(SUMPRODUCT((Inputs!$A$5:$A$180=$B28)*ISNUMBER(INDEX(Inputs!$K$5:$AJ$180,0,MATCH(P$2,Inputs!$K$4:$AJ$4,0))))+SUMPRODUCT((Inputs!$C$5:$C$180=$B28)*ISNUMBER(INDEX(Inputs!$K$5:$AJ$180,0,MATCH(P$2,Inputs!$K$4:$AJ$4,0))))+SUMPRODUCT((Inputs!$E$5:$E$180=$B28)*ISNUMBER(INDEX(Inputs!$K$5:$AJ$180,0,MATCH(P$2,Inputs!$K$4:$AJ$4,0))))=0,NA(),SUMPRODUCT((Inputs!$A$5:$A$180=$B28)*Inputs!$B$5:$B$180*(((Inputs!$G$5:$G$180="moeda")+(Inputs!$G$5:$G$180="acoes"))*Inputs!$B$1+((Inputs!$G$5:$G$180&lt;&gt;"moeda")*(Inputs!$G$5:$G$180&lt;&gt;"acoes")))*INDEX(Inputs!$K$5:$AJ$180,0,MATCH(P$2,Inputs!$K$4:$AJ$4,0)))+SUMPRODUCT((Inputs!$C$5:$C$180=$B28)*Inputs!$D$5:$D$180*(((Inputs!$G$5:$G$180="moeda")+(Inputs!$G$5:$G$180="acoes"))*Inputs!$B$1+((Inputs!$G$5:$G$180&lt;&gt;"moeda")*(Inputs!$G$5:$G$180&lt;&gt;"acoes")))*INDEX(Inputs!$K$5:$AJ$180,0,MATCH(P$2,Inputs!$K$4:$AJ$4,0)))+SUMPRODUCT((Inputs!$E$5:$E$180=$B28)*Inputs!$F$5:$F$180*(((Inputs!$G$5:$G$180="moeda")+(Inputs!$G$5:$G$180="acoes"))*Inputs!$B$1+((Inputs!$G$5:$G$180&lt;&gt;"moeda")*(Inputs!$G$5:$G$180&lt;&gt;"acoes")))*INDEX(Inputs!$K$5:$AJ$180,0,MATCH(P$2,Inputs!$K$4:$AJ$4,0)))))</f>
        <v>73.52451899</v>
      </c>
      <c r="Q28" s="6">
        <f>IF(ISNA(MATCH(Q$2,Inputs!$K$4:$AJ$4,0)),NA(),IF(SUMPRODUCT((Inputs!$A$5:$A$180=$B28)*ISNUMBER(INDEX(Inputs!$K$5:$AJ$180,0,MATCH(Q$2,Inputs!$K$4:$AJ$4,0))))+SUMPRODUCT((Inputs!$C$5:$C$180=$B28)*ISNUMBER(INDEX(Inputs!$K$5:$AJ$180,0,MATCH(Q$2,Inputs!$K$4:$AJ$4,0))))+SUMPRODUCT((Inputs!$E$5:$E$180=$B28)*ISNUMBER(INDEX(Inputs!$K$5:$AJ$180,0,MATCH(Q$2,Inputs!$K$4:$AJ$4,0))))=0,NA(),SUMPRODUCT((Inputs!$A$5:$A$180=$B28)*Inputs!$B$5:$B$180*(((Inputs!$G$5:$G$180="moeda")+(Inputs!$G$5:$G$180="acoes"))*Inputs!$B$1+((Inputs!$G$5:$G$180&lt;&gt;"moeda")*(Inputs!$G$5:$G$180&lt;&gt;"acoes")))*INDEX(Inputs!$K$5:$AJ$180,0,MATCH(Q$2,Inputs!$K$4:$AJ$4,0)))+SUMPRODUCT((Inputs!$C$5:$C$180=$B28)*Inputs!$D$5:$D$180*(((Inputs!$G$5:$G$180="moeda")+(Inputs!$G$5:$G$180="acoes"))*Inputs!$B$1+((Inputs!$G$5:$G$180&lt;&gt;"moeda")*(Inputs!$G$5:$G$180&lt;&gt;"acoes")))*INDEX(Inputs!$K$5:$AJ$180,0,MATCH(Q$2,Inputs!$K$4:$AJ$4,0)))+SUMPRODUCT((Inputs!$E$5:$E$180=$B28)*Inputs!$F$5:$F$180*(((Inputs!$G$5:$G$180="moeda")+(Inputs!$G$5:$G$180="acoes"))*Inputs!$B$1+((Inputs!$G$5:$G$180&lt;&gt;"moeda")*(Inputs!$G$5:$G$180&lt;&gt;"acoes")))*INDEX(Inputs!$K$5:$AJ$180,0,MATCH(Q$2,Inputs!$K$4:$AJ$4,0)))))</f>
        <v>142.18292441</v>
      </c>
      <c r="R28" s="3">
        <f>Q28</f>
        <v>142.18292441</v>
      </c>
      <c r="S28" s="6">
        <f>IF(ISNA(MATCH(S$2,Inputs!$K$4:$AJ$4,0)),NA(),IF(SUMPRODUCT((Inputs!$A$5:$A$180=$B28)*ISNUMBER(INDEX(Inputs!$K$5:$AJ$180,0,MATCH(S$2,Inputs!$K$4:$AJ$4,0))))+SUMPRODUCT((Inputs!$C$5:$C$180=$B28)*ISNUMBER(INDEX(Inputs!$K$5:$AJ$180,0,MATCH(S$2,Inputs!$K$4:$AJ$4,0))))+SUMPRODUCT((Inputs!$E$5:$E$180=$B28)*ISNUMBER(INDEX(Inputs!$K$5:$AJ$180,0,MATCH(S$2,Inputs!$K$4:$AJ$4,0))))=0,NA(),SUMPRODUCT((Inputs!$A$5:$A$180=$B28)*Inputs!$B$5:$B$180*(((Inputs!$G$5:$G$180="moeda")+(Inputs!$G$5:$G$180="acoes"))*Inputs!$B$1+((Inputs!$G$5:$G$180&lt;&gt;"moeda")*(Inputs!$G$5:$G$180&lt;&gt;"acoes")))*INDEX(Inputs!$K$5:$AJ$180,0,MATCH(S$2,Inputs!$K$4:$AJ$4,0)))+SUMPRODUCT((Inputs!$C$5:$C$180=$B28)*Inputs!$D$5:$D$180*(((Inputs!$G$5:$G$180="moeda")+(Inputs!$G$5:$G$180="acoes"))*Inputs!$B$1+((Inputs!$G$5:$G$180&lt;&gt;"moeda")*(Inputs!$G$5:$G$180&lt;&gt;"acoes")))*INDEX(Inputs!$K$5:$AJ$180,0,MATCH(S$2,Inputs!$K$4:$AJ$4,0)))+SUMPRODUCT((Inputs!$E$5:$E$180=$B28)*Inputs!$F$5:$F$180*(((Inputs!$G$5:$G$180="moeda")+(Inputs!$G$5:$G$180="acoes"))*Inputs!$B$1+((Inputs!$G$5:$G$180&lt;&gt;"moeda")*(Inputs!$G$5:$G$180&lt;&gt;"acoes")))*INDEX(Inputs!$K$5:$AJ$180,0,MATCH(S$2,Inputs!$K$4:$AJ$4,0)))))</f>
        <v>76.32343143</v>
      </c>
      <c r="T28" s="6">
        <f>IF(ISNA(MATCH(T$2,Inputs!$K$4:$AJ$4,0)),NA(),IF(SUMPRODUCT((Inputs!$A$5:$A$180=$B28)*ISNUMBER(INDEX(Inputs!$K$5:$AJ$180,0,MATCH(T$2,Inputs!$K$4:$AJ$4,0))))+SUMPRODUCT((Inputs!$C$5:$C$180=$B28)*ISNUMBER(INDEX(Inputs!$K$5:$AJ$180,0,MATCH(T$2,Inputs!$K$4:$AJ$4,0))))+SUMPRODUCT((Inputs!$E$5:$E$180=$B28)*ISNUMBER(INDEX(Inputs!$K$5:$AJ$180,0,MATCH(T$2,Inputs!$K$4:$AJ$4,0))))=0,NA(),SUMPRODUCT((Inputs!$A$5:$A$180=$B28)*Inputs!$B$5:$B$180*(((Inputs!$G$5:$G$180="moeda")+(Inputs!$G$5:$G$180="acoes"))*Inputs!$B$1+((Inputs!$G$5:$G$180&lt;&gt;"moeda")*(Inputs!$G$5:$G$180&lt;&gt;"acoes")))*INDEX(Inputs!$K$5:$AJ$180,0,MATCH(T$2,Inputs!$K$4:$AJ$4,0)))+SUMPRODUCT((Inputs!$C$5:$C$180=$B28)*Inputs!$D$5:$D$180*(((Inputs!$G$5:$G$180="moeda")+(Inputs!$G$5:$G$180="acoes"))*Inputs!$B$1+((Inputs!$G$5:$G$180&lt;&gt;"moeda")*(Inputs!$G$5:$G$180&lt;&gt;"acoes")))*INDEX(Inputs!$K$5:$AJ$180,0,MATCH(T$2,Inputs!$K$4:$AJ$4,0)))+SUMPRODUCT((Inputs!$E$5:$E$180=$B28)*Inputs!$F$5:$F$180*(((Inputs!$G$5:$G$180="moeda")+(Inputs!$G$5:$G$180="acoes"))*Inputs!$B$1+((Inputs!$G$5:$G$180&lt;&gt;"moeda")*(Inputs!$G$5:$G$180&lt;&gt;"acoes")))*INDEX(Inputs!$K$5:$AJ$180,0,MATCH(T$2,Inputs!$K$4:$AJ$4,0)))))</f>
        <v>110.14470156</v>
      </c>
      <c r="U28" s="6">
        <f>IF(ISNA(MATCH(U$2,Inputs!$K$4:$AJ$4,0)),NA(),IF(SUMPRODUCT((Inputs!$A$5:$A$180=$B28)*ISNUMBER(INDEX(Inputs!$K$5:$AJ$180,0,MATCH(U$2,Inputs!$K$4:$AJ$4,0))))+SUMPRODUCT((Inputs!$C$5:$C$180=$B28)*ISNUMBER(INDEX(Inputs!$K$5:$AJ$180,0,MATCH(U$2,Inputs!$K$4:$AJ$4,0))))+SUMPRODUCT((Inputs!$E$5:$E$180=$B28)*ISNUMBER(INDEX(Inputs!$K$5:$AJ$180,0,MATCH(U$2,Inputs!$K$4:$AJ$4,0))))=0,NA(),SUMPRODUCT((Inputs!$A$5:$A$180=$B28)*Inputs!$B$5:$B$180*(((Inputs!$G$5:$G$180="moeda")+(Inputs!$G$5:$G$180="acoes"))*Inputs!$B$1+((Inputs!$G$5:$G$180&lt;&gt;"moeda")*(Inputs!$G$5:$G$180&lt;&gt;"acoes")))*INDEX(Inputs!$K$5:$AJ$180,0,MATCH(U$2,Inputs!$K$4:$AJ$4,0)))+SUMPRODUCT((Inputs!$C$5:$C$180=$B28)*Inputs!$D$5:$D$180*(((Inputs!$G$5:$G$180="moeda")+(Inputs!$G$5:$G$180="acoes"))*Inputs!$B$1+((Inputs!$G$5:$G$180&lt;&gt;"moeda")*(Inputs!$G$5:$G$180&lt;&gt;"acoes")))*INDEX(Inputs!$K$5:$AJ$180,0,MATCH(U$2,Inputs!$K$4:$AJ$4,0)))+SUMPRODUCT((Inputs!$E$5:$E$180=$B28)*Inputs!$F$5:$F$180*(((Inputs!$G$5:$G$180="moeda")+(Inputs!$G$5:$G$180="acoes"))*Inputs!$B$1+((Inputs!$G$5:$G$180&lt;&gt;"moeda")*(Inputs!$G$5:$G$180&lt;&gt;"acoes")))*INDEX(Inputs!$K$5:$AJ$180,0,MATCH(U$2,Inputs!$K$4:$AJ$4,0)))))</f>
        <v>85.09915715</v>
      </c>
      <c r="V28" s="6">
        <f>IF(ISNA(MATCH(V$2,Inputs!$K$4:$AJ$4,0)),NA(),IF(SUMPRODUCT((Inputs!$A$5:$A$180=$B28)*ISNUMBER(INDEX(Inputs!$K$5:$AJ$180,0,MATCH(V$2,Inputs!$K$4:$AJ$4,0))))+SUMPRODUCT((Inputs!$C$5:$C$180=$B28)*ISNUMBER(INDEX(Inputs!$K$5:$AJ$180,0,MATCH(V$2,Inputs!$K$4:$AJ$4,0))))+SUMPRODUCT((Inputs!$E$5:$E$180=$B28)*ISNUMBER(INDEX(Inputs!$K$5:$AJ$180,0,MATCH(V$2,Inputs!$K$4:$AJ$4,0))))=0,NA(),SUMPRODUCT((Inputs!$A$5:$A$180=$B28)*Inputs!$B$5:$B$180*(((Inputs!$G$5:$G$180="moeda")+(Inputs!$G$5:$G$180="acoes"))*Inputs!$B$1+((Inputs!$G$5:$G$180&lt;&gt;"moeda")*(Inputs!$G$5:$G$180&lt;&gt;"acoes")))*INDEX(Inputs!$K$5:$AJ$180,0,MATCH(V$2,Inputs!$K$4:$AJ$4,0)))+SUMPRODUCT((Inputs!$C$5:$C$180=$B28)*Inputs!$D$5:$D$180*(((Inputs!$G$5:$G$180="moeda")+(Inputs!$G$5:$G$180="acoes"))*Inputs!$B$1+((Inputs!$G$5:$G$180&lt;&gt;"moeda")*(Inputs!$G$5:$G$180&lt;&gt;"acoes")))*INDEX(Inputs!$K$5:$AJ$180,0,MATCH(V$2,Inputs!$K$4:$AJ$4,0)))+SUMPRODUCT((Inputs!$E$5:$E$180=$B28)*Inputs!$F$5:$F$180*(((Inputs!$G$5:$G$180="moeda")+(Inputs!$G$5:$G$180="acoes"))*Inputs!$B$1+((Inputs!$G$5:$G$180&lt;&gt;"moeda")*(Inputs!$G$5:$G$180&lt;&gt;"acoes")))*INDEX(Inputs!$K$5:$AJ$180,0,MATCH(V$2,Inputs!$K$4:$AJ$4,0)))))</f>
        <v>158.73578572</v>
      </c>
      <c r="W28" s="3">
        <f>V28</f>
        <v>158.73578572</v>
      </c>
      <c r="X28" s="6">
        <f>IF(ISNA(MATCH(X$2,Inputs!$K$4:$AJ$4,0)),NA(),IF(SUMPRODUCT((Inputs!$A$5:$A$180=$B28)*ISNUMBER(INDEX(Inputs!$K$5:$AJ$180,0,MATCH(X$2,Inputs!$K$4:$AJ$4,0))))+SUMPRODUCT((Inputs!$C$5:$C$180=$B28)*ISNUMBER(INDEX(Inputs!$K$5:$AJ$180,0,MATCH(X$2,Inputs!$K$4:$AJ$4,0))))+SUMPRODUCT((Inputs!$E$5:$E$180=$B28)*ISNUMBER(INDEX(Inputs!$K$5:$AJ$180,0,MATCH(X$2,Inputs!$K$4:$AJ$4,0))))=0,NA(),SUMPRODUCT((Inputs!$A$5:$A$180=$B28)*Inputs!$B$5:$B$180*(((Inputs!$G$5:$G$180="moeda")+(Inputs!$G$5:$G$180="acoes"))*Inputs!$B$1+((Inputs!$G$5:$G$180&lt;&gt;"moeda")*(Inputs!$G$5:$G$180&lt;&gt;"acoes")))*INDEX(Inputs!$K$5:$AJ$180,0,MATCH(X$2,Inputs!$K$4:$AJ$4,0)))+SUMPRODUCT((Inputs!$C$5:$C$180=$B28)*Inputs!$D$5:$D$180*(((Inputs!$G$5:$G$180="moeda")+(Inputs!$G$5:$G$180="acoes"))*Inputs!$B$1+((Inputs!$G$5:$G$180&lt;&gt;"moeda")*(Inputs!$G$5:$G$180&lt;&gt;"acoes")))*INDEX(Inputs!$K$5:$AJ$180,0,MATCH(X$2,Inputs!$K$4:$AJ$4,0)))+SUMPRODUCT((Inputs!$E$5:$E$180=$B28)*Inputs!$F$5:$F$180*(((Inputs!$G$5:$G$180="moeda")+(Inputs!$G$5:$G$180="acoes"))*Inputs!$B$1+((Inputs!$G$5:$G$180&lt;&gt;"moeda")*(Inputs!$G$5:$G$180&lt;&gt;"acoes")))*INDEX(Inputs!$K$5:$AJ$180,0,MATCH(X$2,Inputs!$K$4:$AJ$4,0)))))</f>
        <v>152.64995621</v>
      </c>
      <c r="Y28" s="6">
        <f>IF(ISNA(MATCH(Y$2,Inputs!$K$4:$AJ$4,0)),NA(),IF(SUMPRODUCT((Inputs!$A$5:$A$180=$B28)*ISNUMBER(INDEX(Inputs!$K$5:$AJ$180,0,MATCH(Y$2,Inputs!$K$4:$AJ$4,0))))+SUMPRODUCT((Inputs!$C$5:$C$180=$B28)*ISNUMBER(INDEX(Inputs!$K$5:$AJ$180,0,MATCH(Y$2,Inputs!$K$4:$AJ$4,0))))+SUMPRODUCT((Inputs!$E$5:$E$180=$B28)*ISNUMBER(INDEX(Inputs!$K$5:$AJ$180,0,MATCH(Y$2,Inputs!$K$4:$AJ$4,0))))=0,NA(),SUMPRODUCT((Inputs!$A$5:$A$180=$B28)*Inputs!$B$5:$B$180*(((Inputs!$G$5:$G$180="moeda")+(Inputs!$G$5:$G$180="acoes"))*Inputs!$B$1+((Inputs!$G$5:$G$180&lt;&gt;"moeda")*(Inputs!$G$5:$G$180&lt;&gt;"acoes")))*INDEX(Inputs!$K$5:$AJ$180,0,MATCH(Y$2,Inputs!$K$4:$AJ$4,0)))+SUMPRODUCT((Inputs!$C$5:$C$180=$B28)*Inputs!$D$5:$D$180*(((Inputs!$G$5:$G$180="moeda")+(Inputs!$G$5:$G$180="acoes"))*Inputs!$B$1+((Inputs!$G$5:$G$180&lt;&gt;"moeda")*(Inputs!$G$5:$G$180&lt;&gt;"acoes")))*INDEX(Inputs!$K$5:$AJ$180,0,MATCH(Y$2,Inputs!$K$4:$AJ$4,0)))+SUMPRODUCT((Inputs!$E$5:$E$180=$B28)*Inputs!$F$5:$F$180*(((Inputs!$G$5:$G$180="moeda")+(Inputs!$G$5:$G$180="acoes"))*Inputs!$B$1+((Inputs!$G$5:$G$180&lt;&gt;"moeda")*(Inputs!$G$5:$G$180&lt;&gt;"acoes")))*INDEX(Inputs!$K$5:$AJ$180,0,MATCH(Y$2,Inputs!$K$4:$AJ$4,0)))))</f>
        <v>160.95397891</v>
      </c>
      <c r="Z28" s="6">
        <f>IF(ISNA(MATCH(Z$2,Inputs!$K$4:$AJ$4,0)),NA(),IF(SUMPRODUCT((Inputs!$A$5:$A$180=$B28)*ISNUMBER(INDEX(Inputs!$K$5:$AJ$180,0,MATCH(Z$2,Inputs!$K$4:$AJ$4,0))))+SUMPRODUCT((Inputs!$C$5:$C$180=$B28)*ISNUMBER(INDEX(Inputs!$K$5:$AJ$180,0,MATCH(Z$2,Inputs!$K$4:$AJ$4,0))))+SUMPRODUCT((Inputs!$E$5:$E$180=$B28)*ISNUMBER(INDEX(Inputs!$K$5:$AJ$180,0,MATCH(Z$2,Inputs!$K$4:$AJ$4,0))))=0,NA(),SUMPRODUCT((Inputs!$A$5:$A$180=$B28)*Inputs!$B$5:$B$180*(((Inputs!$G$5:$G$180="moeda")+(Inputs!$G$5:$G$180="acoes"))*Inputs!$B$1+((Inputs!$G$5:$G$180&lt;&gt;"moeda")*(Inputs!$G$5:$G$180&lt;&gt;"acoes")))*INDEX(Inputs!$K$5:$AJ$180,0,MATCH(Z$2,Inputs!$K$4:$AJ$4,0)))+SUMPRODUCT((Inputs!$C$5:$C$180=$B28)*Inputs!$D$5:$D$180*(((Inputs!$G$5:$G$180="moeda")+(Inputs!$G$5:$G$180="acoes"))*Inputs!$B$1+((Inputs!$G$5:$G$180&lt;&gt;"moeda")*(Inputs!$G$5:$G$180&lt;&gt;"acoes")))*INDEX(Inputs!$K$5:$AJ$180,0,MATCH(Z$2,Inputs!$K$4:$AJ$4,0)))+SUMPRODUCT((Inputs!$E$5:$E$180=$B28)*Inputs!$F$5:$F$180*(((Inputs!$G$5:$G$180="moeda")+(Inputs!$G$5:$G$180="acoes"))*Inputs!$B$1+((Inputs!$G$5:$G$180&lt;&gt;"moeda")*(Inputs!$G$5:$G$180&lt;&gt;"acoes")))*INDEX(Inputs!$K$5:$AJ$180,0,MATCH(Z$2,Inputs!$K$4:$AJ$4,0)))))</f>
        <v>210.96</v>
      </c>
      <c r="AA28" s="6">
        <f>IF(ISNA(MATCH(AA$2,Inputs!$K$4:$AJ$4,0)),NA(),IF(SUMPRODUCT((Inputs!$A$5:$A$180=$B28)*ISNUMBER(INDEX(Inputs!$K$5:$AJ$180,0,MATCH(AA$2,Inputs!$K$4:$AJ$4,0))))+SUMPRODUCT((Inputs!$C$5:$C$180=$B28)*ISNUMBER(INDEX(Inputs!$K$5:$AJ$180,0,MATCH(AA$2,Inputs!$K$4:$AJ$4,0))))+SUMPRODUCT((Inputs!$E$5:$E$180=$B28)*ISNUMBER(INDEX(Inputs!$K$5:$AJ$180,0,MATCH(AA$2,Inputs!$K$4:$AJ$4,0))))=0,NA(),SUMPRODUCT((Inputs!$A$5:$A$180=$B28)*Inputs!$B$5:$B$180*(((Inputs!$G$5:$G$180="moeda")+(Inputs!$G$5:$G$180="acoes"))*Inputs!$B$1+((Inputs!$G$5:$G$180&lt;&gt;"moeda")*(Inputs!$G$5:$G$180&lt;&gt;"acoes")))*INDEX(Inputs!$K$5:$AJ$180,0,MATCH(AA$2,Inputs!$K$4:$AJ$4,0)))+SUMPRODUCT((Inputs!$C$5:$C$180=$B28)*Inputs!$D$5:$D$180*(((Inputs!$G$5:$G$180="moeda")+(Inputs!$G$5:$G$180="acoes"))*Inputs!$B$1+((Inputs!$G$5:$G$180&lt;&gt;"moeda")*(Inputs!$G$5:$G$180&lt;&gt;"acoes")))*INDEX(Inputs!$K$5:$AJ$180,0,MATCH(AA$2,Inputs!$K$4:$AJ$4,0)))+SUMPRODUCT((Inputs!$E$5:$E$180=$B28)*Inputs!$F$5:$F$180*(((Inputs!$G$5:$G$180="moeda")+(Inputs!$G$5:$G$180="acoes"))*Inputs!$B$1+((Inputs!$G$5:$G$180&lt;&gt;"moeda")*(Inputs!$G$5:$G$180&lt;&gt;"acoes")))*INDEX(Inputs!$K$5:$AJ$180,0,MATCH(AA$2,Inputs!$K$4:$AJ$4,0)))))</f>
        <v>189.47200839</v>
      </c>
      <c r="AB28" s="3">
        <f>AA28</f>
        <v>189.47200839</v>
      </c>
      <c r="AC28" s="6">
        <f>IF(ISNA(MATCH(AC$2,Inputs!$K$4:$AJ$4,0)),NA(),IF(SUMPRODUCT((Inputs!$A$5:$A$180=$B28)*ISNUMBER(INDEX(Inputs!$K$5:$AJ$180,0,MATCH(AC$2,Inputs!$K$4:$AJ$4,0))))+SUMPRODUCT((Inputs!$C$5:$C$180=$B28)*ISNUMBER(INDEX(Inputs!$K$5:$AJ$180,0,MATCH(AC$2,Inputs!$K$4:$AJ$4,0))))+SUMPRODUCT((Inputs!$E$5:$E$180=$B28)*ISNUMBER(INDEX(Inputs!$K$5:$AJ$180,0,MATCH(AC$2,Inputs!$K$4:$AJ$4,0))))=0,NA(),SUMPRODUCT((Inputs!$A$5:$A$180=$B28)*Inputs!$B$5:$B$180*(((Inputs!$G$5:$G$180="moeda")+(Inputs!$G$5:$G$180="acoes"))*Inputs!$B$1+((Inputs!$G$5:$G$180&lt;&gt;"moeda")*(Inputs!$G$5:$G$180&lt;&gt;"acoes")))*INDEX(Inputs!$K$5:$AJ$180,0,MATCH(AC$2,Inputs!$K$4:$AJ$4,0)))+SUMPRODUCT((Inputs!$C$5:$C$180=$B28)*Inputs!$D$5:$D$180*(((Inputs!$G$5:$G$180="moeda")+(Inputs!$G$5:$G$180="acoes"))*Inputs!$B$1+((Inputs!$G$5:$G$180&lt;&gt;"moeda")*(Inputs!$G$5:$G$180&lt;&gt;"acoes")))*INDEX(Inputs!$K$5:$AJ$180,0,MATCH(AC$2,Inputs!$K$4:$AJ$4,0)))+SUMPRODUCT((Inputs!$E$5:$E$180=$B28)*Inputs!$F$5:$F$180*(((Inputs!$G$5:$G$180="moeda")+(Inputs!$G$5:$G$180="acoes"))*Inputs!$B$1+((Inputs!$G$5:$G$180&lt;&gt;"moeda")*(Inputs!$G$5:$G$180&lt;&gt;"acoes")))*INDEX(Inputs!$K$5:$AJ$180,0,MATCH(AC$2,Inputs!$K$4:$AJ$4,0)))))</f>
        <v>125.46004216</v>
      </c>
      <c r="AD28" s="6">
        <f>IF(ISNA(MATCH(AD$2,Inputs!$K$4:$AJ$4,0)),NA(),IF(SUMPRODUCT((Inputs!$A$5:$A$180=$B28)*ISNUMBER(INDEX(Inputs!$K$5:$AJ$180,0,MATCH(AD$2,Inputs!$K$4:$AJ$4,0))))+SUMPRODUCT((Inputs!$C$5:$C$180=$B28)*ISNUMBER(INDEX(Inputs!$K$5:$AJ$180,0,MATCH(AD$2,Inputs!$K$4:$AJ$4,0))))+SUMPRODUCT((Inputs!$E$5:$E$180=$B28)*ISNUMBER(INDEX(Inputs!$K$5:$AJ$180,0,MATCH(AD$2,Inputs!$K$4:$AJ$4,0))))=0,NA(),SUMPRODUCT((Inputs!$A$5:$A$180=$B28)*Inputs!$B$5:$B$180*(((Inputs!$G$5:$G$180="moeda")+(Inputs!$G$5:$G$180="acoes"))*Inputs!$B$1+((Inputs!$G$5:$G$180&lt;&gt;"moeda")*(Inputs!$G$5:$G$180&lt;&gt;"acoes")))*INDEX(Inputs!$K$5:$AJ$180,0,MATCH(AD$2,Inputs!$K$4:$AJ$4,0)))+SUMPRODUCT((Inputs!$C$5:$C$180=$B28)*Inputs!$D$5:$D$180*(((Inputs!$G$5:$G$180="moeda")+(Inputs!$G$5:$G$180="acoes"))*Inputs!$B$1+((Inputs!$G$5:$G$180&lt;&gt;"moeda")*(Inputs!$G$5:$G$180&lt;&gt;"acoes")))*INDEX(Inputs!$K$5:$AJ$180,0,MATCH(AD$2,Inputs!$K$4:$AJ$4,0)))+SUMPRODUCT((Inputs!$E$5:$E$180=$B28)*Inputs!$F$5:$F$180*(((Inputs!$G$5:$G$180="moeda")+(Inputs!$G$5:$G$180="acoes"))*Inputs!$B$1+((Inputs!$G$5:$G$180&lt;&gt;"moeda")*(Inputs!$G$5:$G$180&lt;&gt;"acoes")))*INDEX(Inputs!$K$5:$AJ$180,0,MATCH(AD$2,Inputs!$K$4:$AJ$4,0)))))</f>
        <v>130.58308155</v>
      </c>
      <c r="AE28" s="6" t="e">
        <f>IF(ISNA(MATCH(AE$2,Inputs!$K$4:$AJ$4,0)),NA(),IF(SUMPRODUCT((Inputs!$A$5:$A$180=$B28)*ISNUMBER(INDEX(Inputs!$K$5:$AJ$180,0,MATCH(AE$2,Inputs!$K$4:$AJ$4,0))))+SUMPRODUCT((Inputs!$C$5:$C$180=$B28)*ISNUMBER(INDEX(Inputs!$K$5:$AJ$180,0,MATCH(AE$2,Inputs!$K$4:$AJ$4,0))))+SUMPRODUCT((Inputs!$E$5:$E$180=$B28)*ISNUMBER(INDEX(Inputs!$K$5:$AJ$180,0,MATCH(AE$2,Inputs!$K$4:$AJ$4,0))))=0,NA(),SUMPRODUCT((Inputs!$A$5:$A$180=$B28)*Inputs!$B$5:$B$180*(((Inputs!$G$5:$G$180="moeda")+(Inputs!$G$5:$G$180="acoes"))*Inputs!$B$1+((Inputs!$G$5:$G$180&lt;&gt;"moeda")*(Inputs!$G$5:$G$180&lt;&gt;"acoes")))*INDEX(Inputs!$K$5:$AJ$180,0,MATCH(AE$2,Inputs!$K$4:$AJ$4,0)))+SUMPRODUCT((Inputs!$C$5:$C$180=$B28)*Inputs!$D$5:$D$180*(((Inputs!$G$5:$G$180="moeda")+(Inputs!$G$5:$G$180="acoes"))*Inputs!$B$1+((Inputs!$G$5:$G$180&lt;&gt;"moeda")*(Inputs!$G$5:$G$180&lt;&gt;"acoes")))*INDEX(Inputs!$K$5:$AJ$180,0,MATCH(AE$2,Inputs!$K$4:$AJ$4,0)))+SUMPRODUCT((Inputs!$E$5:$E$180=$B28)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8" s="6" t="e">
        <f>IF(ISNA(MATCH(AF$2,Inputs!$K$4:$AJ$4,0)),NA(),IF(SUMPRODUCT((Inputs!$A$5:$A$180=$B28)*ISNUMBER(INDEX(Inputs!$K$5:$AJ$180,0,MATCH(AF$2,Inputs!$K$4:$AJ$4,0))))+SUMPRODUCT((Inputs!$C$5:$C$180=$B28)*ISNUMBER(INDEX(Inputs!$K$5:$AJ$180,0,MATCH(AF$2,Inputs!$K$4:$AJ$4,0))))+SUMPRODUCT((Inputs!$E$5:$E$180=$B28)*ISNUMBER(INDEX(Inputs!$K$5:$AJ$180,0,MATCH(AF$2,Inputs!$K$4:$AJ$4,0))))=0,NA(),SUMPRODUCT((Inputs!$A$5:$A$180=$B28)*Inputs!$B$5:$B$180*(((Inputs!$G$5:$G$180="moeda")+(Inputs!$G$5:$G$180="acoes"))*Inputs!$B$1+((Inputs!$G$5:$G$180&lt;&gt;"moeda")*(Inputs!$G$5:$G$180&lt;&gt;"acoes")))*INDEX(Inputs!$K$5:$AJ$180,0,MATCH(AF$2,Inputs!$K$4:$AJ$4,0)))+SUMPRODUCT((Inputs!$C$5:$C$180=$B28)*Inputs!$D$5:$D$180*(((Inputs!$G$5:$G$180="moeda")+(Inputs!$G$5:$G$180="acoes"))*Inputs!$B$1+((Inputs!$G$5:$G$180&lt;&gt;"moeda")*(Inputs!$G$5:$G$180&lt;&gt;"acoes")))*INDEX(Inputs!$K$5:$AJ$180,0,MATCH(AF$2,Inputs!$K$4:$AJ$4,0)))+SUMPRODUCT((Inputs!$E$5:$E$180=$B28)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8" s="3" t="e">
        <f>AF28</f>
        <v>#N/A</v>
      </c>
      <c r="AH28" s="6">
        <f>IF(ISNA(MATCH(AH$2,Inputs!$K$4:$AJ$4,0)),NA(),IF(SUMPRODUCT((Inputs!$A$5:$A$180=$B28)*ISNUMBER(INDEX(Inputs!$K$5:$AJ$180,0,MATCH(AH$2,Inputs!$K$4:$AJ$4,0))))+SUMPRODUCT((Inputs!$C$5:$C$180=$B28)*ISNUMBER(INDEX(Inputs!$K$5:$AJ$180,0,MATCH(AH$2,Inputs!$K$4:$AJ$4,0))))+SUMPRODUCT((Inputs!$E$5:$E$180=$B28)*ISNUMBER(INDEX(Inputs!$K$5:$AJ$180,0,MATCH(AH$2,Inputs!$K$4:$AJ$4,0))))=0,NA(),SUMPRODUCT((Inputs!$A$5:$A$180=$B28)*Inputs!$B$5:$B$180*(((Inputs!$G$5:$G$180="moeda")+(Inputs!$G$5:$G$180="acoes"))*Inputs!$B$1+((Inputs!$G$5:$G$180&lt;&gt;"moeda")*(Inputs!$G$5:$G$180&lt;&gt;"acoes")))*INDEX(Inputs!$K$5:$AJ$180,0,MATCH(AH$2,Inputs!$K$4:$AJ$4,0)))+SUMPRODUCT((Inputs!$C$5:$C$180=$B28)*Inputs!$D$5:$D$180*(((Inputs!$G$5:$G$180="moeda")+(Inputs!$G$5:$G$180="acoes"))*Inputs!$B$1+((Inputs!$G$5:$G$180&lt;&gt;"moeda")*(Inputs!$G$5:$G$180&lt;&gt;"acoes")))*INDEX(Inputs!$K$5:$AJ$180,0,MATCH(AH$2,Inputs!$K$4:$AJ$4,0)))+SUMPRODUCT((Inputs!$E$5:$E$180=$B28)*Inputs!$F$5:$F$180*(((Inputs!$G$5:$G$180="moeda")+(Inputs!$G$5:$G$180="acoes"))*Inputs!$B$1+((Inputs!$G$5:$G$180&lt;&gt;"moeda")*(Inputs!$G$5:$G$180&lt;&gt;"acoes")))*INDEX(Inputs!$K$5:$AJ$180,0,MATCH(AH$2,Inputs!$K$4:$AJ$4,0)))))</f>
        <v>24.785</v>
      </c>
      <c r="AI28" s="6">
        <f>IF(ISNA(MATCH(AI$2,Inputs!$K$4:$AJ$4,0)),NA(),IF(SUMPRODUCT((Inputs!$A$5:$A$180=$B28)*ISNUMBER(INDEX(Inputs!$K$5:$AJ$180,0,MATCH(AI$2,Inputs!$K$4:$AJ$4,0))))+SUMPRODUCT((Inputs!$C$5:$C$180=$B28)*ISNUMBER(INDEX(Inputs!$K$5:$AJ$180,0,MATCH(AI$2,Inputs!$K$4:$AJ$4,0))))+SUMPRODUCT((Inputs!$E$5:$E$180=$B28)*ISNUMBER(INDEX(Inputs!$K$5:$AJ$180,0,MATCH(AI$2,Inputs!$K$4:$AJ$4,0))))=0,NA(),SUMPRODUCT((Inputs!$A$5:$A$180=$B28)*Inputs!$B$5:$B$180*(((Inputs!$G$5:$G$180="moeda")+(Inputs!$G$5:$G$180="acoes"))*Inputs!$B$1+((Inputs!$G$5:$G$180&lt;&gt;"moeda")*(Inputs!$G$5:$G$180&lt;&gt;"acoes")))*INDEX(Inputs!$K$5:$AJ$180,0,MATCH(AI$2,Inputs!$K$4:$AJ$4,0)))+SUMPRODUCT((Inputs!$C$5:$C$180=$B28)*Inputs!$D$5:$D$180*(((Inputs!$G$5:$G$180="moeda")+(Inputs!$G$5:$G$180="acoes"))*Inputs!$B$1+((Inputs!$G$5:$G$180&lt;&gt;"moeda")*(Inputs!$G$5:$G$180&lt;&gt;"acoes")))*INDEX(Inputs!$K$5:$AJ$180,0,MATCH(AI$2,Inputs!$K$4:$AJ$4,0)))+SUMPRODUCT((Inputs!$E$5:$E$180=$B28)*Inputs!$F$5:$F$180*(((Inputs!$G$5:$G$180="moeda")+(Inputs!$G$5:$G$180="acoes"))*Inputs!$B$1+((Inputs!$G$5:$G$180&lt;&gt;"moeda")*(Inputs!$G$5:$G$180&lt;&gt;"acoes")))*INDEX(Inputs!$K$5:$AJ$180,0,MATCH(AI$2,Inputs!$K$4:$AJ$4,0)))))</f>
        <v>18.60376887</v>
      </c>
      <c r="AJ28" s="6">
        <f>IF(ISNA(MATCH(AJ$2,Inputs!$K$4:$AJ$4,0)),NA(),IF(SUMPRODUCT((Inputs!$A$5:$A$180=$B28)*ISNUMBER(INDEX(Inputs!$K$5:$AJ$180,0,MATCH(AJ$2,Inputs!$K$4:$AJ$4,0))))+SUMPRODUCT((Inputs!$C$5:$C$180=$B28)*ISNUMBER(INDEX(Inputs!$K$5:$AJ$180,0,MATCH(AJ$2,Inputs!$K$4:$AJ$4,0))))+SUMPRODUCT((Inputs!$E$5:$E$180=$B28)*ISNUMBER(INDEX(Inputs!$K$5:$AJ$180,0,MATCH(AJ$2,Inputs!$K$4:$AJ$4,0))))=0,NA(),SUMPRODUCT((Inputs!$A$5:$A$180=$B28)*Inputs!$B$5:$B$180*(((Inputs!$G$5:$G$180="moeda")+(Inputs!$G$5:$G$180="acoes"))*Inputs!$B$1+((Inputs!$G$5:$G$180&lt;&gt;"moeda")*(Inputs!$G$5:$G$180&lt;&gt;"acoes")))*INDEX(Inputs!$K$5:$AJ$180,0,MATCH(AJ$2,Inputs!$K$4:$AJ$4,0)))+SUMPRODUCT((Inputs!$C$5:$C$180=$B28)*Inputs!$D$5:$D$180*(((Inputs!$G$5:$G$180="moeda")+(Inputs!$G$5:$G$180="acoes"))*Inputs!$B$1+((Inputs!$G$5:$G$180&lt;&gt;"moeda")*(Inputs!$G$5:$G$180&lt;&gt;"acoes")))*INDEX(Inputs!$K$5:$AJ$180,0,MATCH(AJ$2,Inputs!$K$4:$AJ$4,0)))+SUMPRODUCT((Inputs!$E$5:$E$180=$B28)*Inputs!$F$5:$F$180*(((Inputs!$G$5:$G$180="moeda")+(Inputs!$G$5:$G$180="acoes"))*Inputs!$B$1+((Inputs!$G$5:$G$180&lt;&gt;"moeda")*(Inputs!$G$5:$G$180&lt;&gt;"acoes")))*INDEX(Inputs!$K$5:$AJ$180,0,MATCH(AJ$2,Inputs!$K$4:$AJ$4,0)))))</f>
        <v>9.03926611</v>
      </c>
      <c r="AK28" s="6">
        <f>IF(ISNA(MATCH(AK$2,Inputs!$K$4:$AJ$4,0)),NA(),IF(SUMPRODUCT((Inputs!$A$5:$A$180=$B28)*ISNUMBER(INDEX(Inputs!$K$5:$AJ$180,0,MATCH(AK$2,Inputs!$K$4:$AJ$4,0))))+SUMPRODUCT((Inputs!$C$5:$C$180=$B28)*ISNUMBER(INDEX(Inputs!$K$5:$AJ$180,0,MATCH(AK$2,Inputs!$K$4:$AJ$4,0))))+SUMPRODUCT((Inputs!$E$5:$E$180=$B28)*ISNUMBER(INDEX(Inputs!$K$5:$AJ$180,0,MATCH(AK$2,Inputs!$K$4:$AJ$4,0))))=0,NA(),SUMPRODUCT((Inputs!$A$5:$A$180=$B28)*Inputs!$B$5:$B$180*(((Inputs!$G$5:$G$180="moeda")+(Inputs!$G$5:$G$180="acoes"))*Inputs!$B$1+((Inputs!$G$5:$G$180&lt;&gt;"moeda")*(Inputs!$G$5:$G$180&lt;&gt;"acoes")))*INDEX(Inputs!$K$5:$AJ$180,0,MATCH(AK$2,Inputs!$K$4:$AJ$4,0)))+SUMPRODUCT((Inputs!$C$5:$C$180=$B28)*Inputs!$D$5:$D$180*(((Inputs!$G$5:$G$180="moeda")+(Inputs!$G$5:$G$180="acoes"))*Inputs!$B$1+((Inputs!$G$5:$G$180&lt;&gt;"moeda")*(Inputs!$G$5:$G$180&lt;&gt;"acoes")))*INDEX(Inputs!$K$5:$AJ$180,0,MATCH(AK$2,Inputs!$K$4:$AJ$4,0)))+SUMPRODUCT((Inputs!$E$5:$E$180=$B28)*Inputs!$F$5:$F$180*(((Inputs!$G$5:$G$180="moeda")+(Inputs!$G$5:$G$180="acoes"))*Inputs!$B$1+((Inputs!$G$5:$G$180&lt;&gt;"moeda")*(Inputs!$G$5:$G$180&lt;&gt;"acoes")))*INDEX(Inputs!$K$5:$AJ$180,0,MATCH(AK$2,Inputs!$K$4:$AJ$4,0)))))</f>
        <v>53.19818437</v>
      </c>
      <c r="AL28" s="3">
        <f>AK28</f>
        <v>53.19818437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$180=$B29)*ISNUMBER(INDEX(Inputs!$K$5:$AJ$180,0,MATCH(D$2,Inputs!$K$4:$AJ$4,0))))+SUMPRODUCT((Inputs!$C$5:$C$180=$B29)*ISNUMBER(INDEX(Inputs!$K$5:$AJ$180,0,MATCH(D$2,Inputs!$K$4:$AJ$4,0))))+SUMPRODUCT((Inputs!$E$5:$E$180=$B29)*ISNUMBER(INDEX(Inputs!$K$5:$AJ$180,0,MATCH(D$2,Inputs!$K$4:$AJ$4,0))))=0,NA(),SUMPRODUCT((Inputs!$A$5:$A$180=$B29)*Inputs!$B$5:$B$180*(((Inputs!$G$5:$G$180="moeda")+(Inputs!$G$5:$G$180="acoes"))*Inputs!$B$1+((Inputs!$G$5:$G$180&lt;&gt;"moeda")*(Inputs!$G$5:$G$180&lt;&gt;"acoes")))*INDEX(Inputs!$K$5:$AJ$180,0,MATCH(D$2,Inputs!$K$4:$AJ$4,0)))+SUMPRODUCT((Inputs!$C$5:$C$180=$B29)*Inputs!$D$5:$D$180*(((Inputs!$G$5:$G$180="moeda")+(Inputs!$G$5:$G$180="acoes"))*Inputs!$B$1+((Inputs!$G$5:$G$180&lt;&gt;"moeda")*(Inputs!$G$5:$G$180&lt;&gt;"acoes")))*INDEX(Inputs!$K$5:$AJ$180,0,MATCH(D$2,Inputs!$K$4:$AJ$4,0)))+SUMPRODUCT((Inputs!$E$5:$E$180=$B29)*Inputs!$F$5:$F$180*(((Inputs!$G$5:$G$180="moeda")+(Inputs!$G$5:$G$180="acoes"))*Inputs!$B$1+((Inputs!$G$5:$G$180&lt;&gt;"moeda")*(Inputs!$G$5:$G$180&lt;&gt;"acoes")))*INDEX(Inputs!$K$5:$AJ$180,0,MATCH(D$2,Inputs!$K$4:$AJ$4,0)))))</f>
        <v>38.21870663</v>
      </c>
      <c r="E29" s="6">
        <f>IF(ISNA(MATCH(E$2,Inputs!$K$4:$AJ$4,0)),NA(),IF(SUMPRODUCT((Inputs!$A$5:$A$180=$B29)*ISNUMBER(INDEX(Inputs!$K$5:$AJ$180,0,MATCH(E$2,Inputs!$K$4:$AJ$4,0))))+SUMPRODUCT((Inputs!$C$5:$C$180=$B29)*ISNUMBER(INDEX(Inputs!$K$5:$AJ$180,0,MATCH(E$2,Inputs!$K$4:$AJ$4,0))))+SUMPRODUCT((Inputs!$E$5:$E$180=$B29)*ISNUMBER(INDEX(Inputs!$K$5:$AJ$180,0,MATCH(E$2,Inputs!$K$4:$AJ$4,0))))=0,NA(),SUMPRODUCT((Inputs!$A$5:$A$180=$B29)*Inputs!$B$5:$B$180*(((Inputs!$G$5:$G$180="moeda")+(Inputs!$G$5:$G$180="acoes"))*Inputs!$B$1+((Inputs!$G$5:$G$180&lt;&gt;"moeda")*(Inputs!$G$5:$G$180&lt;&gt;"acoes")))*INDEX(Inputs!$K$5:$AJ$180,0,MATCH(E$2,Inputs!$K$4:$AJ$4,0)))+SUMPRODUCT((Inputs!$C$5:$C$180=$B29)*Inputs!$D$5:$D$180*(((Inputs!$G$5:$G$180="moeda")+(Inputs!$G$5:$G$180="acoes"))*Inputs!$B$1+((Inputs!$G$5:$G$180&lt;&gt;"moeda")*(Inputs!$G$5:$G$180&lt;&gt;"acoes")))*INDEX(Inputs!$K$5:$AJ$180,0,MATCH(E$2,Inputs!$K$4:$AJ$4,0)))+SUMPRODUCT((Inputs!$E$5:$E$180=$B29)*Inputs!$F$5:$F$180*(((Inputs!$G$5:$G$180="moeda")+(Inputs!$G$5:$G$180="acoes"))*Inputs!$B$1+((Inputs!$G$5:$G$180&lt;&gt;"moeda")*(Inputs!$G$5:$G$180&lt;&gt;"acoes")))*INDEX(Inputs!$K$5:$AJ$180,0,MATCH(E$2,Inputs!$K$4:$AJ$4,0)))))</f>
        <v>56.60859771</v>
      </c>
      <c r="F29" s="6">
        <f>IF(ISNA(MATCH(F$2,Inputs!$K$4:$AJ$4,0)),NA(),IF(SUMPRODUCT((Inputs!$A$5:$A$180=$B29)*ISNUMBER(INDEX(Inputs!$K$5:$AJ$180,0,MATCH(F$2,Inputs!$K$4:$AJ$4,0))))+SUMPRODUCT((Inputs!$C$5:$C$180=$B29)*ISNUMBER(INDEX(Inputs!$K$5:$AJ$180,0,MATCH(F$2,Inputs!$K$4:$AJ$4,0))))+SUMPRODUCT((Inputs!$E$5:$E$180=$B29)*ISNUMBER(INDEX(Inputs!$K$5:$AJ$180,0,MATCH(F$2,Inputs!$K$4:$AJ$4,0))))=0,NA(),SUMPRODUCT((Inputs!$A$5:$A$180=$B29)*Inputs!$B$5:$B$180*(((Inputs!$G$5:$G$180="moeda")+(Inputs!$G$5:$G$180="acoes"))*Inputs!$B$1+((Inputs!$G$5:$G$180&lt;&gt;"moeda")*(Inputs!$G$5:$G$180&lt;&gt;"acoes")))*INDEX(Inputs!$K$5:$AJ$180,0,MATCH(F$2,Inputs!$K$4:$AJ$4,0)))+SUMPRODUCT((Inputs!$C$5:$C$180=$B29)*Inputs!$D$5:$D$180*(((Inputs!$G$5:$G$180="moeda")+(Inputs!$G$5:$G$180="acoes"))*Inputs!$B$1+((Inputs!$G$5:$G$180&lt;&gt;"moeda")*(Inputs!$G$5:$G$180&lt;&gt;"acoes")))*INDEX(Inputs!$K$5:$AJ$180,0,MATCH(F$2,Inputs!$K$4:$AJ$4,0)))+SUMPRODUCT((Inputs!$E$5:$E$180=$B29)*Inputs!$F$5:$F$180*(((Inputs!$G$5:$G$180="moeda")+(Inputs!$G$5:$G$180="acoes"))*Inputs!$B$1+((Inputs!$G$5:$G$180&lt;&gt;"moeda")*(Inputs!$G$5:$G$180&lt;&gt;"acoes")))*INDEX(Inputs!$K$5:$AJ$180,0,MATCH(F$2,Inputs!$K$4:$AJ$4,0)))))</f>
        <v>63.46617657</v>
      </c>
      <c r="G29" s="6">
        <f>IF(ISNA(MATCH(G$2,Inputs!$K$4:$AJ$4,0)),NA(),IF(SUMPRODUCT((Inputs!$A$5:$A$180=$B29)*ISNUMBER(INDEX(Inputs!$K$5:$AJ$180,0,MATCH(G$2,Inputs!$K$4:$AJ$4,0))))+SUMPRODUCT((Inputs!$C$5:$C$180=$B29)*ISNUMBER(INDEX(Inputs!$K$5:$AJ$180,0,MATCH(G$2,Inputs!$K$4:$AJ$4,0))))+SUMPRODUCT((Inputs!$E$5:$E$180=$B29)*ISNUMBER(INDEX(Inputs!$K$5:$AJ$180,0,MATCH(G$2,Inputs!$K$4:$AJ$4,0))))=0,NA(),SUMPRODUCT((Inputs!$A$5:$A$180=$B29)*Inputs!$B$5:$B$180*(((Inputs!$G$5:$G$180="moeda")+(Inputs!$G$5:$G$180="acoes"))*Inputs!$B$1+((Inputs!$G$5:$G$180&lt;&gt;"moeda")*(Inputs!$G$5:$G$180&lt;&gt;"acoes")))*INDEX(Inputs!$K$5:$AJ$180,0,MATCH(G$2,Inputs!$K$4:$AJ$4,0)))+SUMPRODUCT((Inputs!$C$5:$C$180=$B29)*Inputs!$D$5:$D$180*(((Inputs!$G$5:$G$180="moeda")+(Inputs!$G$5:$G$180="acoes"))*Inputs!$B$1+((Inputs!$G$5:$G$180&lt;&gt;"moeda")*(Inputs!$G$5:$G$180&lt;&gt;"acoes")))*INDEX(Inputs!$K$5:$AJ$180,0,MATCH(G$2,Inputs!$K$4:$AJ$4,0)))+SUMPRODUCT((Inputs!$E$5:$E$180=$B29)*Inputs!$F$5:$F$180*(((Inputs!$G$5:$G$180="moeda")+(Inputs!$G$5:$G$180="acoes"))*Inputs!$B$1+((Inputs!$G$5:$G$180&lt;&gt;"moeda")*(Inputs!$G$5:$G$180&lt;&gt;"acoes")))*INDEX(Inputs!$K$5:$AJ$180,0,MATCH(G$2,Inputs!$K$4:$AJ$4,0)))))</f>
        <v>78.0460701</v>
      </c>
      <c r="H29" s="3">
        <f>G29</f>
        <v>78.0460701</v>
      </c>
      <c r="I29" s="6">
        <f>IF(ISNA(MATCH(I$2,Inputs!$K$4:$AJ$4,0)),NA(),IF(SUMPRODUCT((Inputs!$A$5:$A$180=$B29)*ISNUMBER(INDEX(Inputs!$K$5:$AJ$180,0,MATCH(I$2,Inputs!$K$4:$AJ$4,0))))+SUMPRODUCT((Inputs!$C$5:$C$180=$B29)*ISNUMBER(INDEX(Inputs!$K$5:$AJ$180,0,MATCH(I$2,Inputs!$K$4:$AJ$4,0))))+SUMPRODUCT((Inputs!$E$5:$E$180=$B29)*ISNUMBER(INDEX(Inputs!$K$5:$AJ$180,0,MATCH(I$2,Inputs!$K$4:$AJ$4,0))))=0,NA(),SUMPRODUCT((Inputs!$A$5:$A$180=$B29)*Inputs!$B$5:$B$180*(((Inputs!$G$5:$G$180="moeda")+(Inputs!$G$5:$G$180="acoes"))*Inputs!$B$1+((Inputs!$G$5:$G$180&lt;&gt;"moeda")*(Inputs!$G$5:$G$180&lt;&gt;"acoes")))*INDEX(Inputs!$K$5:$AJ$180,0,MATCH(I$2,Inputs!$K$4:$AJ$4,0)))+SUMPRODUCT((Inputs!$C$5:$C$180=$B29)*Inputs!$D$5:$D$180*(((Inputs!$G$5:$G$180="moeda")+(Inputs!$G$5:$G$180="acoes"))*Inputs!$B$1+((Inputs!$G$5:$G$180&lt;&gt;"moeda")*(Inputs!$G$5:$G$180&lt;&gt;"acoes")))*INDEX(Inputs!$K$5:$AJ$180,0,MATCH(I$2,Inputs!$K$4:$AJ$4,0)))+SUMPRODUCT((Inputs!$E$5:$E$180=$B29)*Inputs!$F$5:$F$180*(((Inputs!$G$5:$G$180="moeda")+(Inputs!$G$5:$G$180="acoes"))*Inputs!$B$1+((Inputs!$G$5:$G$180&lt;&gt;"moeda")*(Inputs!$G$5:$G$180&lt;&gt;"acoes")))*INDEX(Inputs!$K$5:$AJ$180,0,MATCH(I$2,Inputs!$K$4:$AJ$4,0)))))</f>
        <v>69.04669143</v>
      </c>
      <c r="J29" s="6">
        <f>IF(ISNA(MATCH(J$2,Inputs!$K$4:$AJ$4,0)),NA(),IF(SUMPRODUCT((Inputs!$A$5:$A$180=$B29)*ISNUMBER(INDEX(Inputs!$K$5:$AJ$180,0,MATCH(J$2,Inputs!$K$4:$AJ$4,0))))+SUMPRODUCT((Inputs!$C$5:$C$180=$B29)*ISNUMBER(INDEX(Inputs!$K$5:$AJ$180,0,MATCH(J$2,Inputs!$K$4:$AJ$4,0))))+SUMPRODUCT((Inputs!$E$5:$E$180=$B29)*ISNUMBER(INDEX(Inputs!$K$5:$AJ$180,0,MATCH(J$2,Inputs!$K$4:$AJ$4,0))))=0,NA(),SUMPRODUCT((Inputs!$A$5:$A$180=$B29)*Inputs!$B$5:$B$180*(((Inputs!$G$5:$G$180="moeda")+(Inputs!$G$5:$G$180="acoes"))*Inputs!$B$1+((Inputs!$G$5:$G$180&lt;&gt;"moeda")*(Inputs!$G$5:$G$180&lt;&gt;"acoes")))*INDEX(Inputs!$K$5:$AJ$180,0,MATCH(J$2,Inputs!$K$4:$AJ$4,0)))+SUMPRODUCT((Inputs!$C$5:$C$180=$B29)*Inputs!$D$5:$D$180*(((Inputs!$G$5:$G$180="moeda")+(Inputs!$G$5:$G$180="acoes"))*Inputs!$B$1+((Inputs!$G$5:$G$180&lt;&gt;"moeda")*(Inputs!$G$5:$G$180&lt;&gt;"acoes")))*INDEX(Inputs!$K$5:$AJ$180,0,MATCH(J$2,Inputs!$K$4:$AJ$4,0)))+SUMPRODUCT((Inputs!$E$5:$E$180=$B29)*Inputs!$F$5:$F$180*(((Inputs!$G$5:$G$180="moeda")+(Inputs!$G$5:$G$180="acoes"))*Inputs!$B$1+((Inputs!$G$5:$G$180&lt;&gt;"moeda")*(Inputs!$G$5:$G$180&lt;&gt;"acoes")))*INDEX(Inputs!$K$5:$AJ$180,0,MATCH(J$2,Inputs!$K$4:$AJ$4,0)))))</f>
        <v>74.51296511</v>
      </c>
      <c r="K29" s="6">
        <f>IF(ISNA(MATCH(K$2,Inputs!$K$4:$AJ$4,0)),NA(),IF(SUMPRODUCT((Inputs!$A$5:$A$180=$B29)*ISNUMBER(INDEX(Inputs!$K$5:$AJ$180,0,MATCH(K$2,Inputs!$K$4:$AJ$4,0))))+SUMPRODUCT((Inputs!$C$5:$C$180=$B29)*ISNUMBER(INDEX(Inputs!$K$5:$AJ$180,0,MATCH(K$2,Inputs!$K$4:$AJ$4,0))))+SUMPRODUCT((Inputs!$E$5:$E$180=$B29)*ISNUMBER(INDEX(Inputs!$K$5:$AJ$180,0,MATCH(K$2,Inputs!$K$4:$AJ$4,0))))=0,NA(),SUMPRODUCT((Inputs!$A$5:$A$180=$B29)*Inputs!$B$5:$B$180*(((Inputs!$G$5:$G$180="moeda")+(Inputs!$G$5:$G$180="acoes"))*Inputs!$B$1+((Inputs!$G$5:$G$180&lt;&gt;"moeda")*(Inputs!$G$5:$G$180&lt;&gt;"acoes")))*INDEX(Inputs!$K$5:$AJ$180,0,MATCH(K$2,Inputs!$K$4:$AJ$4,0)))+SUMPRODUCT((Inputs!$C$5:$C$180=$B29)*Inputs!$D$5:$D$180*(((Inputs!$G$5:$G$180="moeda")+(Inputs!$G$5:$G$180="acoes"))*Inputs!$B$1+((Inputs!$G$5:$G$180&lt;&gt;"moeda")*(Inputs!$G$5:$G$180&lt;&gt;"acoes")))*INDEX(Inputs!$K$5:$AJ$180,0,MATCH(K$2,Inputs!$K$4:$AJ$4,0)))+SUMPRODUCT((Inputs!$E$5:$E$180=$B29)*Inputs!$F$5:$F$180*(((Inputs!$G$5:$G$180="moeda")+(Inputs!$G$5:$G$180="acoes"))*Inputs!$B$1+((Inputs!$G$5:$G$180&lt;&gt;"moeda")*(Inputs!$G$5:$G$180&lt;&gt;"acoes")))*INDEX(Inputs!$K$5:$AJ$180,0,MATCH(K$2,Inputs!$K$4:$AJ$4,0)))))</f>
        <v>80.69514495</v>
      </c>
      <c r="L29" s="6">
        <f>IF(ISNA(MATCH(L$2,Inputs!$K$4:$AJ$4,0)),NA(),IF(SUMPRODUCT((Inputs!$A$5:$A$180=$B29)*ISNUMBER(INDEX(Inputs!$K$5:$AJ$180,0,MATCH(L$2,Inputs!$K$4:$AJ$4,0))))+SUMPRODUCT((Inputs!$C$5:$C$180=$B29)*ISNUMBER(INDEX(Inputs!$K$5:$AJ$180,0,MATCH(L$2,Inputs!$K$4:$AJ$4,0))))+SUMPRODUCT((Inputs!$E$5:$E$180=$B29)*ISNUMBER(INDEX(Inputs!$K$5:$AJ$180,0,MATCH(L$2,Inputs!$K$4:$AJ$4,0))))=0,NA(),SUMPRODUCT((Inputs!$A$5:$A$180=$B29)*Inputs!$B$5:$B$180*(((Inputs!$G$5:$G$180="moeda")+(Inputs!$G$5:$G$180="acoes"))*Inputs!$B$1+((Inputs!$G$5:$G$180&lt;&gt;"moeda")*(Inputs!$G$5:$G$180&lt;&gt;"acoes")))*INDEX(Inputs!$K$5:$AJ$180,0,MATCH(L$2,Inputs!$K$4:$AJ$4,0)))+SUMPRODUCT((Inputs!$C$5:$C$180=$B29)*Inputs!$D$5:$D$180*(((Inputs!$G$5:$G$180="moeda")+(Inputs!$G$5:$G$180="acoes"))*Inputs!$B$1+((Inputs!$G$5:$G$180&lt;&gt;"moeda")*(Inputs!$G$5:$G$180&lt;&gt;"acoes")))*INDEX(Inputs!$K$5:$AJ$180,0,MATCH(L$2,Inputs!$K$4:$AJ$4,0)))+SUMPRODUCT((Inputs!$E$5:$E$180=$B29)*Inputs!$F$5:$F$180*(((Inputs!$G$5:$G$180="moeda")+(Inputs!$G$5:$G$180="acoes"))*Inputs!$B$1+((Inputs!$G$5:$G$180&lt;&gt;"moeda")*(Inputs!$G$5:$G$180&lt;&gt;"acoes")))*INDEX(Inputs!$K$5:$AJ$180,0,MATCH(L$2,Inputs!$K$4:$AJ$4,0)))))</f>
        <v>92.338</v>
      </c>
      <c r="M29" s="3">
        <f>L29</f>
        <v>92.338</v>
      </c>
      <c r="N29" s="6">
        <f>IF(ISNA(MATCH(N$2,Inputs!$K$4:$AJ$4,0)),NA(),IF(SUMPRODUCT((Inputs!$A$5:$A$180=$B29)*ISNUMBER(INDEX(Inputs!$K$5:$AJ$180,0,MATCH(N$2,Inputs!$K$4:$AJ$4,0))))+SUMPRODUCT((Inputs!$C$5:$C$180=$B29)*ISNUMBER(INDEX(Inputs!$K$5:$AJ$180,0,MATCH(N$2,Inputs!$K$4:$AJ$4,0))))+SUMPRODUCT((Inputs!$E$5:$E$180=$B29)*ISNUMBER(INDEX(Inputs!$K$5:$AJ$180,0,MATCH(N$2,Inputs!$K$4:$AJ$4,0))))=0,NA(),SUMPRODUCT((Inputs!$A$5:$A$180=$B29)*Inputs!$B$5:$B$180*(((Inputs!$G$5:$G$180="moeda")+(Inputs!$G$5:$G$180="acoes"))*Inputs!$B$1+((Inputs!$G$5:$G$180&lt;&gt;"moeda")*(Inputs!$G$5:$G$180&lt;&gt;"acoes")))*INDEX(Inputs!$K$5:$AJ$180,0,MATCH(N$2,Inputs!$K$4:$AJ$4,0)))+SUMPRODUCT((Inputs!$C$5:$C$180=$B29)*Inputs!$D$5:$D$180*(((Inputs!$G$5:$G$180="moeda")+(Inputs!$G$5:$G$180="acoes"))*Inputs!$B$1+((Inputs!$G$5:$G$180&lt;&gt;"moeda")*(Inputs!$G$5:$G$180&lt;&gt;"acoes")))*INDEX(Inputs!$K$5:$AJ$180,0,MATCH(N$2,Inputs!$K$4:$AJ$4,0)))+SUMPRODUCT((Inputs!$E$5:$E$180=$B29)*Inputs!$F$5:$F$180*(((Inputs!$G$5:$G$180="moeda")+(Inputs!$G$5:$G$180="acoes"))*Inputs!$B$1+((Inputs!$G$5:$G$180&lt;&gt;"moeda")*(Inputs!$G$5:$G$180&lt;&gt;"acoes")))*INDEX(Inputs!$K$5:$AJ$180,0,MATCH(N$2,Inputs!$K$4:$AJ$4,0)))))</f>
        <v>79.32</v>
      </c>
      <c r="O29" s="6">
        <f>IF(ISNA(MATCH(O$2,Inputs!$K$4:$AJ$4,0)),NA(),IF(SUMPRODUCT((Inputs!$A$5:$A$180=$B29)*ISNUMBER(INDEX(Inputs!$K$5:$AJ$180,0,MATCH(O$2,Inputs!$K$4:$AJ$4,0))))+SUMPRODUCT((Inputs!$C$5:$C$180=$B29)*ISNUMBER(INDEX(Inputs!$K$5:$AJ$180,0,MATCH(O$2,Inputs!$K$4:$AJ$4,0))))+SUMPRODUCT((Inputs!$E$5:$E$180=$B29)*ISNUMBER(INDEX(Inputs!$K$5:$AJ$180,0,MATCH(O$2,Inputs!$K$4:$AJ$4,0))))=0,NA(),SUMPRODUCT((Inputs!$A$5:$A$180=$B29)*Inputs!$B$5:$B$180*(((Inputs!$G$5:$G$180="moeda")+(Inputs!$G$5:$G$180="acoes"))*Inputs!$B$1+((Inputs!$G$5:$G$180&lt;&gt;"moeda")*(Inputs!$G$5:$G$180&lt;&gt;"acoes")))*INDEX(Inputs!$K$5:$AJ$180,0,MATCH(O$2,Inputs!$K$4:$AJ$4,0)))+SUMPRODUCT((Inputs!$C$5:$C$180=$B29)*Inputs!$D$5:$D$180*(((Inputs!$G$5:$G$180="moeda")+(Inputs!$G$5:$G$180="acoes"))*Inputs!$B$1+((Inputs!$G$5:$G$180&lt;&gt;"moeda")*(Inputs!$G$5:$G$180&lt;&gt;"acoes")))*INDEX(Inputs!$K$5:$AJ$180,0,MATCH(O$2,Inputs!$K$4:$AJ$4,0)))+SUMPRODUCT((Inputs!$E$5:$E$180=$B29)*Inputs!$F$5:$F$180*(((Inputs!$G$5:$G$180="moeda")+(Inputs!$G$5:$G$180="acoes"))*Inputs!$B$1+((Inputs!$G$5:$G$180&lt;&gt;"moeda")*(Inputs!$G$5:$G$180&lt;&gt;"acoes")))*INDEX(Inputs!$K$5:$AJ$180,0,MATCH(O$2,Inputs!$K$4:$AJ$4,0)))))</f>
        <v>89.33422627</v>
      </c>
      <c r="P29" s="6">
        <f>IF(ISNA(MATCH(P$2,Inputs!$K$4:$AJ$4,0)),NA(),IF(SUMPRODUCT((Inputs!$A$5:$A$180=$B29)*ISNUMBER(INDEX(Inputs!$K$5:$AJ$180,0,MATCH(P$2,Inputs!$K$4:$AJ$4,0))))+SUMPRODUCT((Inputs!$C$5:$C$180=$B29)*ISNUMBER(INDEX(Inputs!$K$5:$AJ$180,0,MATCH(P$2,Inputs!$K$4:$AJ$4,0))))+SUMPRODUCT((Inputs!$E$5:$E$180=$B29)*ISNUMBER(INDEX(Inputs!$K$5:$AJ$180,0,MATCH(P$2,Inputs!$K$4:$AJ$4,0))))=0,NA(),SUMPRODUCT((Inputs!$A$5:$A$180=$B29)*Inputs!$B$5:$B$180*(((Inputs!$G$5:$G$180="moeda")+(Inputs!$G$5:$G$180="acoes"))*Inputs!$B$1+((Inputs!$G$5:$G$180&lt;&gt;"moeda")*(Inputs!$G$5:$G$180&lt;&gt;"acoes")))*INDEX(Inputs!$K$5:$AJ$180,0,MATCH(P$2,Inputs!$K$4:$AJ$4,0)))+SUMPRODUCT((Inputs!$C$5:$C$180=$B29)*Inputs!$D$5:$D$180*(((Inputs!$G$5:$G$180="moeda")+(Inputs!$G$5:$G$180="acoes"))*Inputs!$B$1+((Inputs!$G$5:$G$180&lt;&gt;"moeda")*(Inputs!$G$5:$G$180&lt;&gt;"acoes")))*INDEX(Inputs!$K$5:$AJ$180,0,MATCH(P$2,Inputs!$K$4:$AJ$4,0)))+SUMPRODUCT((Inputs!$E$5:$E$180=$B29)*Inputs!$F$5:$F$180*(((Inputs!$G$5:$G$180="moeda")+(Inputs!$G$5:$G$180="acoes"))*Inputs!$B$1+((Inputs!$G$5:$G$180&lt;&gt;"moeda")*(Inputs!$G$5:$G$180&lt;&gt;"acoes")))*INDEX(Inputs!$K$5:$AJ$180,0,MATCH(P$2,Inputs!$K$4:$AJ$4,0)))))</f>
        <v>93.05261465</v>
      </c>
      <c r="Q29" s="6">
        <f>IF(ISNA(MATCH(Q$2,Inputs!$K$4:$AJ$4,0)),NA(),IF(SUMPRODUCT((Inputs!$A$5:$A$180=$B29)*ISNUMBER(INDEX(Inputs!$K$5:$AJ$180,0,MATCH(Q$2,Inputs!$K$4:$AJ$4,0))))+SUMPRODUCT((Inputs!$C$5:$C$180=$B29)*ISNUMBER(INDEX(Inputs!$K$5:$AJ$180,0,MATCH(Q$2,Inputs!$K$4:$AJ$4,0))))+SUMPRODUCT((Inputs!$E$5:$E$180=$B29)*ISNUMBER(INDEX(Inputs!$K$5:$AJ$180,0,MATCH(Q$2,Inputs!$K$4:$AJ$4,0))))=0,NA(),SUMPRODUCT((Inputs!$A$5:$A$180=$B29)*Inputs!$B$5:$B$180*(((Inputs!$G$5:$G$180="moeda")+(Inputs!$G$5:$G$180="acoes"))*Inputs!$B$1+((Inputs!$G$5:$G$180&lt;&gt;"moeda")*(Inputs!$G$5:$G$180&lt;&gt;"acoes")))*INDEX(Inputs!$K$5:$AJ$180,0,MATCH(Q$2,Inputs!$K$4:$AJ$4,0)))+SUMPRODUCT((Inputs!$C$5:$C$180=$B29)*Inputs!$D$5:$D$180*(((Inputs!$G$5:$G$180="moeda")+(Inputs!$G$5:$G$180="acoes"))*Inputs!$B$1+((Inputs!$G$5:$G$180&lt;&gt;"moeda")*(Inputs!$G$5:$G$180&lt;&gt;"acoes")))*INDEX(Inputs!$K$5:$AJ$180,0,MATCH(Q$2,Inputs!$K$4:$AJ$4,0)))+SUMPRODUCT((Inputs!$E$5:$E$180=$B29)*Inputs!$F$5:$F$180*(((Inputs!$G$5:$G$180="moeda")+(Inputs!$G$5:$G$180="acoes"))*Inputs!$B$1+((Inputs!$G$5:$G$180&lt;&gt;"moeda")*(Inputs!$G$5:$G$180&lt;&gt;"acoes")))*INDEX(Inputs!$K$5:$AJ$180,0,MATCH(Q$2,Inputs!$K$4:$AJ$4,0)))))</f>
        <v>117.85876958</v>
      </c>
      <c r="R29" s="3">
        <f>Q29</f>
        <v>117.85876958</v>
      </c>
      <c r="S29" s="6">
        <f>IF(ISNA(MATCH(S$2,Inputs!$K$4:$AJ$4,0)),NA(),IF(SUMPRODUCT((Inputs!$A$5:$A$180=$B29)*ISNUMBER(INDEX(Inputs!$K$5:$AJ$180,0,MATCH(S$2,Inputs!$K$4:$AJ$4,0))))+SUMPRODUCT((Inputs!$C$5:$C$180=$B29)*ISNUMBER(INDEX(Inputs!$K$5:$AJ$180,0,MATCH(S$2,Inputs!$K$4:$AJ$4,0))))+SUMPRODUCT((Inputs!$E$5:$E$180=$B29)*ISNUMBER(INDEX(Inputs!$K$5:$AJ$180,0,MATCH(S$2,Inputs!$K$4:$AJ$4,0))))=0,NA(),SUMPRODUCT((Inputs!$A$5:$A$180=$B29)*Inputs!$B$5:$B$180*(((Inputs!$G$5:$G$180="moeda")+(Inputs!$G$5:$G$180="acoes"))*Inputs!$B$1+((Inputs!$G$5:$G$180&lt;&gt;"moeda")*(Inputs!$G$5:$G$180&lt;&gt;"acoes")))*INDEX(Inputs!$K$5:$AJ$180,0,MATCH(S$2,Inputs!$K$4:$AJ$4,0)))+SUMPRODUCT((Inputs!$C$5:$C$180=$B29)*Inputs!$D$5:$D$180*(((Inputs!$G$5:$G$180="moeda")+(Inputs!$G$5:$G$180="acoes"))*Inputs!$B$1+((Inputs!$G$5:$G$180&lt;&gt;"moeda")*(Inputs!$G$5:$G$180&lt;&gt;"acoes")))*INDEX(Inputs!$K$5:$AJ$180,0,MATCH(S$2,Inputs!$K$4:$AJ$4,0)))+SUMPRODUCT((Inputs!$E$5:$E$180=$B29)*Inputs!$F$5:$F$180*(((Inputs!$G$5:$G$180="moeda")+(Inputs!$G$5:$G$180="acoes"))*Inputs!$B$1+((Inputs!$G$5:$G$180&lt;&gt;"moeda")*(Inputs!$G$5:$G$180&lt;&gt;"acoes")))*INDEX(Inputs!$K$5:$AJ$180,0,MATCH(S$2,Inputs!$K$4:$AJ$4,0)))))</f>
        <v>96.17528958</v>
      </c>
      <c r="T29" s="6">
        <f>IF(ISNA(MATCH(T$2,Inputs!$K$4:$AJ$4,0)),NA(),IF(SUMPRODUCT((Inputs!$A$5:$A$180=$B29)*ISNUMBER(INDEX(Inputs!$K$5:$AJ$180,0,MATCH(T$2,Inputs!$K$4:$AJ$4,0))))+SUMPRODUCT((Inputs!$C$5:$C$180=$B29)*ISNUMBER(INDEX(Inputs!$K$5:$AJ$180,0,MATCH(T$2,Inputs!$K$4:$AJ$4,0))))+SUMPRODUCT((Inputs!$E$5:$E$180=$B29)*ISNUMBER(INDEX(Inputs!$K$5:$AJ$180,0,MATCH(T$2,Inputs!$K$4:$AJ$4,0))))=0,NA(),SUMPRODUCT((Inputs!$A$5:$A$180=$B29)*Inputs!$B$5:$B$180*(((Inputs!$G$5:$G$180="moeda")+(Inputs!$G$5:$G$180="acoes"))*Inputs!$B$1+((Inputs!$G$5:$G$180&lt;&gt;"moeda")*(Inputs!$G$5:$G$180&lt;&gt;"acoes")))*INDEX(Inputs!$K$5:$AJ$180,0,MATCH(T$2,Inputs!$K$4:$AJ$4,0)))+SUMPRODUCT((Inputs!$C$5:$C$180=$B29)*Inputs!$D$5:$D$180*(((Inputs!$G$5:$G$180="moeda")+(Inputs!$G$5:$G$180="acoes"))*Inputs!$B$1+((Inputs!$G$5:$G$180&lt;&gt;"moeda")*(Inputs!$G$5:$G$180&lt;&gt;"acoes")))*INDEX(Inputs!$K$5:$AJ$180,0,MATCH(T$2,Inputs!$K$4:$AJ$4,0)))+SUMPRODUCT((Inputs!$E$5:$E$180=$B29)*Inputs!$F$5:$F$180*(((Inputs!$G$5:$G$180="moeda")+(Inputs!$G$5:$G$180="acoes"))*Inputs!$B$1+((Inputs!$G$5:$G$180&lt;&gt;"moeda")*(Inputs!$G$5:$G$180&lt;&gt;"acoes")))*INDEX(Inputs!$K$5:$AJ$180,0,MATCH(T$2,Inputs!$K$4:$AJ$4,0)))))</f>
        <v>102.69020985</v>
      </c>
      <c r="U29" s="6">
        <f>IF(ISNA(MATCH(U$2,Inputs!$K$4:$AJ$4,0)),NA(),IF(SUMPRODUCT((Inputs!$A$5:$A$180=$B29)*ISNUMBER(INDEX(Inputs!$K$5:$AJ$180,0,MATCH(U$2,Inputs!$K$4:$AJ$4,0))))+SUMPRODUCT((Inputs!$C$5:$C$180=$B29)*ISNUMBER(INDEX(Inputs!$K$5:$AJ$180,0,MATCH(U$2,Inputs!$K$4:$AJ$4,0))))+SUMPRODUCT((Inputs!$E$5:$E$180=$B29)*ISNUMBER(INDEX(Inputs!$K$5:$AJ$180,0,MATCH(U$2,Inputs!$K$4:$AJ$4,0))))=0,NA(),SUMPRODUCT((Inputs!$A$5:$A$180=$B29)*Inputs!$B$5:$B$180*(((Inputs!$G$5:$G$180="moeda")+(Inputs!$G$5:$G$180="acoes"))*Inputs!$B$1+((Inputs!$G$5:$G$180&lt;&gt;"moeda")*(Inputs!$G$5:$G$180&lt;&gt;"acoes")))*INDEX(Inputs!$K$5:$AJ$180,0,MATCH(U$2,Inputs!$K$4:$AJ$4,0)))+SUMPRODUCT((Inputs!$C$5:$C$180=$B29)*Inputs!$D$5:$D$180*(((Inputs!$G$5:$G$180="moeda")+(Inputs!$G$5:$G$180="acoes"))*Inputs!$B$1+((Inputs!$G$5:$G$180&lt;&gt;"moeda")*(Inputs!$G$5:$G$180&lt;&gt;"acoes")))*INDEX(Inputs!$K$5:$AJ$180,0,MATCH(U$2,Inputs!$K$4:$AJ$4,0)))+SUMPRODUCT((Inputs!$E$5:$E$180=$B29)*Inputs!$F$5:$F$180*(((Inputs!$G$5:$G$180="moeda")+(Inputs!$G$5:$G$180="acoes"))*Inputs!$B$1+((Inputs!$G$5:$G$180&lt;&gt;"moeda")*(Inputs!$G$5:$G$180&lt;&gt;"acoes")))*INDEX(Inputs!$K$5:$AJ$180,0,MATCH(U$2,Inputs!$K$4:$AJ$4,0)))))</f>
        <v>106.68101504</v>
      </c>
      <c r="V29" s="6">
        <f>IF(ISNA(MATCH(V$2,Inputs!$K$4:$AJ$4,0)),NA(),IF(SUMPRODUCT((Inputs!$A$5:$A$180=$B29)*ISNUMBER(INDEX(Inputs!$K$5:$AJ$180,0,MATCH(V$2,Inputs!$K$4:$AJ$4,0))))+SUMPRODUCT((Inputs!$C$5:$C$180=$B29)*ISNUMBER(INDEX(Inputs!$K$5:$AJ$180,0,MATCH(V$2,Inputs!$K$4:$AJ$4,0))))+SUMPRODUCT((Inputs!$E$5:$E$180=$B29)*ISNUMBER(INDEX(Inputs!$K$5:$AJ$180,0,MATCH(V$2,Inputs!$K$4:$AJ$4,0))))=0,NA(),SUMPRODUCT((Inputs!$A$5:$A$180=$B29)*Inputs!$B$5:$B$180*(((Inputs!$G$5:$G$180="moeda")+(Inputs!$G$5:$G$180="acoes"))*Inputs!$B$1+((Inputs!$G$5:$G$180&lt;&gt;"moeda")*(Inputs!$G$5:$G$180&lt;&gt;"acoes")))*INDEX(Inputs!$K$5:$AJ$180,0,MATCH(V$2,Inputs!$K$4:$AJ$4,0)))+SUMPRODUCT((Inputs!$C$5:$C$180=$B29)*Inputs!$D$5:$D$180*(((Inputs!$G$5:$G$180="moeda")+(Inputs!$G$5:$G$180="acoes"))*Inputs!$B$1+((Inputs!$G$5:$G$180&lt;&gt;"moeda")*(Inputs!$G$5:$G$180&lt;&gt;"acoes")))*INDEX(Inputs!$K$5:$AJ$180,0,MATCH(V$2,Inputs!$K$4:$AJ$4,0)))+SUMPRODUCT((Inputs!$E$5:$E$180=$B29)*Inputs!$F$5:$F$180*(((Inputs!$G$5:$G$180="moeda")+(Inputs!$G$5:$G$180="acoes"))*Inputs!$B$1+((Inputs!$G$5:$G$180&lt;&gt;"moeda")*(Inputs!$G$5:$G$180&lt;&gt;"acoes")))*INDEX(Inputs!$K$5:$AJ$180,0,MATCH(V$2,Inputs!$K$4:$AJ$4,0)))))</f>
        <v>125.29275499</v>
      </c>
      <c r="W29" s="3">
        <f>V29</f>
        <v>125.29275499</v>
      </c>
      <c r="X29" s="6">
        <f>IF(ISNA(MATCH(X$2,Inputs!$K$4:$AJ$4,0)),NA(),IF(SUMPRODUCT((Inputs!$A$5:$A$180=$B29)*ISNUMBER(INDEX(Inputs!$K$5:$AJ$180,0,MATCH(X$2,Inputs!$K$4:$AJ$4,0))))+SUMPRODUCT((Inputs!$C$5:$C$180=$B29)*ISNUMBER(INDEX(Inputs!$K$5:$AJ$180,0,MATCH(X$2,Inputs!$K$4:$AJ$4,0))))+SUMPRODUCT((Inputs!$E$5:$E$180=$B29)*ISNUMBER(INDEX(Inputs!$K$5:$AJ$180,0,MATCH(X$2,Inputs!$K$4:$AJ$4,0))))=0,NA(),SUMPRODUCT((Inputs!$A$5:$A$180=$B29)*Inputs!$B$5:$B$180*(((Inputs!$G$5:$G$180="moeda")+(Inputs!$G$5:$G$180="acoes"))*Inputs!$B$1+((Inputs!$G$5:$G$180&lt;&gt;"moeda")*(Inputs!$G$5:$G$180&lt;&gt;"acoes")))*INDEX(Inputs!$K$5:$AJ$180,0,MATCH(X$2,Inputs!$K$4:$AJ$4,0)))+SUMPRODUCT((Inputs!$C$5:$C$180=$B29)*Inputs!$D$5:$D$180*(((Inputs!$G$5:$G$180="moeda")+(Inputs!$G$5:$G$180="acoes"))*Inputs!$B$1+((Inputs!$G$5:$G$180&lt;&gt;"moeda")*(Inputs!$G$5:$G$180&lt;&gt;"acoes")))*INDEX(Inputs!$K$5:$AJ$180,0,MATCH(X$2,Inputs!$K$4:$AJ$4,0)))+SUMPRODUCT((Inputs!$E$5:$E$180=$B29)*Inputs!$F$5:$F$180*(((Inputs!$G$5:$G$180="moeda")+(Inputs!$G$5:$G$180="acoes"))*Inputs!$B$1+((Inputs!$G$5:$G$180&lt;&gt;"moeda")*(Inputs!$G$5:$G$180&lt;&gt;"acoes")))*INDEX(Inputs!$K$5:$AJ$180,0,MATCH(X$2,Inputs!$K$4:$AJ$4,0)))))</f>
        <v>101.0113837</v>
      </c>
      <c r="Y29" s="6">
        <f>IF(ISNA(MATCH(Y$2,Inputs!$K$4:$AJ$4,0)),NA(),IF(SUMPRODUCT((Inputs!$A$5:$A$180=$B29)*ISNUMBER(INDEX(Inputs!$K$5:$AJ$180,0,MATCH(Y$2,Inputs!$K$4:$AJ$4,0))))+SUMPRODUCT((Inputs!$C$5:$C$180=$B29)*ISNUMBER(INDEX(Inputs!$K$5:$AJ$180,0,MATCH(Y$2,Inputs!$K$4:$AJ$4,0))))+SUMPRODUCT((Inputs!$E$5:$E$180=$B29)*ISNUMBER(INDEX(Inputs!$K$5:$AJ$180,0,MATCH(Y$2,Inputs!$K$4:$AJ$4,0))))=0,NA(),SUMPRODUCT((Inputs!$A$5:$A$180=$B29)*Inputs!$B$5:$B$180*(((Inputs!$G$5:$G$180="moeda")+(Inputs!$G$5:$G$180="acoes"))*Inputs!$B$1+((Inputs!$G$5:$G$180&lt;&gt;"moeda")*(Inputs!$G$5:$G$180&lt;&gt;"acoes")))*INDEX(Inputs!$K$5:$AJ$180,0,MATCH(Y$2,Inputs!$K$4:$AJ$4,0)))+SUMPRODUCT((Inputs!$C$5:$C$180=$B29)*Inputs!$D$5:$D$180*(((Inputs!$G$5:$G$180="moeda")+(Inputs!$G$5:$G$180="acoes"))*Inputs!$B$1+((Inputs!$G$5:$G$180&lt;&gt;"moeda")*(Inputs!$G$5:$G$180&lt;&gt;"acoes")))*INDEX(Inputs!$K$5:$AJ$180,0,MATCH(Y$2,Inputs!$K$4:$AJ$4,0)))+SUMPRODUCT((Inputs!$E$5:$E$180=$B29)*Inputs!$F$5:$F$180*(((Inputs!$G$5:$G$180="moeda")+(Inputs!$G$5:$G$180="acoes"))*Inputs!$B$1+((Inputs!$G$5:$G$180&lt;&gt;"moeda")*(Inputs!$G$5:$G$180&lt;&gt;"acoes")))*INDEX(Inputs!$K$5:$AJ$180,0,MATCH(Y$2,Inputs!$K$4:$AJ$4,0)))))</f>
        <v>119.62176617</v>
      </c>
      <c r="Z29" s="6">
        <f>IF(ISNA(MATCH(Z$2,Inputs!$K$4:$AJ$4,0)),NA(),IF(SUMPRODUCT((Inputs!$A$5:$A$180=$B29)*ISNUMBER(INDEX(Inputs!$K$5:$AJ$180,0,MATCH(Z$2,Inputs!$K$4:$AJ$4,0))))+SUMPRODUCT((Inputs!$C$5:$C$180=$B29)*ISNUMBER(INDEX(Inputs!$K$5:$AJ$180,0,MATCH(Z$2,Inputs!$K$4:$AJ$4,0))))+SUMPRODUCT((Inputs!$E$5:$E$180=$B29)*ISNUMBER(INDEX(Inputs!$K$5:$AJ$180,0,MATCH(Z$2,Inputs!$K$4:$AJ$4,0))))=0,NA(),SUMPRODUCT((Inputs!$A$5:$A$180=$B29)*Inputs!$B$5:$B$180*(((Inputs!$G$5:$G$180="moeda")+(Inputs!$G$5:$G$180="acoes"))*Inputs!$B$1+((Inputs!$G$5:$G$180&lt;&gt;"moeda")*(Inputs!$G$5:$G$180&lt;&gt;"acoes")))*INDEX(Inputs!$K$5:$AJ$180,0,MATCH(Z$2,Inputs!$K$4:$AJ$4,0)))+SUMPRODUCT((Inputs!$C$5:$C$180=$B29)*Inputs!$D$5:$D$180*(((Inputs!$G$5:$G$180="moeda")+(Inputs!$G$5:$G$180="acoes"))*Inputs!$B$1+((Inputs!$G$5:$G$180&lt;&gt;"moeda")*(Inputs!$G$5:$G$180&lt;&gt;"acoes")))*INDEX(Inputs!$K$5:$AJ$180,0,MATCH(Z$2,Inputs!$K$4:$AJ$4,0)))+SUMPRODUCT((Inputs!$E$5:$E$180=$B29)*Inputs!$F$5:$F$180*(((Inputs!$G$5:$G$180="moeda")+(Inputs!$G$5:$G$180="acoes"))*Inputs!$B$1+((Inputs!$G$5:$G$180&lt;&gt;"moeda")*(Inputs!$G$5:$G$180&lt;&gt;"acoes")))*INDEX(Inputs!$K$5:$AJ$180,0,MATCH(Z$2,Inputs!$K$4:$AJ$4,0)))))</f>
        <v>116.438</v>
      </c>
      <c r="AA29" s="6">
        <f>IF(ISNA(MATCH(AA$2,Inputs!$K$4:$AJ$4,0)),NA(),IF(SUMPRODUCT((Inputs!$A$5:$A$180=$B29)*ISNUMBER(INDEX(Inputs!$K$5:$AJ$180,0,MATCH(AA$2,Inputs!$K$4:$AJ$4,0))))+SUMPRODUCT((Inputs!$C$5:$C$180=$B29)*ISNUMBER(INDEX(Inputs!$K$5:$AJ$180,0,MATCH(AA$2,Inputs!$K$4:$AJ$4,0))))+SUMPRODUCT((Inputs!$E$5:$E$180=$B29)*ISNUMBER(INDEX(Inputs!$K$5:$AJ$180,0,MATCH(AA$2,Inputs!$K$4:$AJ$4,0))))=0,NA(),SUMPRODUCT((Inputs!$A$5:$A$180=$B29)*Inputs!$B$5:$B$180*(((Inputs!$G$5:$G$180="moeda")+(Inputs!$G$5:$G$180="acoes"))*Inputs!$B$1+((Inputs!$G$5:$G$180&lt;&gt;"moeda")*(Inputs!$G$5:$G$180&lt;&gt;"acoes")))*INDEX(Inputs!$K$5:$AJ$180,0,MATCH(AA$2,Inputs!$K$4:$AJ$4,0)))+SUMPRODUCT((Inputs!$C$5:$C$180=$B29)*Inputs!$D$5:$D$180*(((Inputs!$G$5:$G$180="moeda")+(Inputs!$G$5:$G$180="acoes"))*Inputs!$B$1+((Inputs!$G$5:$G$180&lt;&gt;"moeda")*(Inputs!$G$5:$G$180&lt;&gt;"acoes")))*INDEX(Inputs!$K$5:$AJ$180,0,MATCH(AA$2,Inputs!$K$4:$AJ$4,0)))+SUMPRODUCT((Inputs!$E$5:$E$180=$B29)*Inputs!$F$5:$F$180*(((Inputs!$G$5:$G$180="moeda")+(Inputs!$G$5:$G$180="acoes"))*Inputs!$B$1+((Inputs!$G$5:$G$180&lt;&gt;"moeda")*(Inputs!$G$5:$G$180&lt;&gt;"acoes")))*INDEX(Inputs!$K$5:$AJ$180,0,MATCH(AA$2,Inputs!$K$4:$AJ$4,0)))))</f>
        <v>143.62012145</v>
      </c>
      <c r="AB29" s="3">
        <f>AA29</f>
        <v>143.62012145</v>
      </c>
      <c r="AC29" s="6">
        <f>IF(ISNA(MATCH(AC$2,Inputs!$K$4:$AJ$4,0)),NA(),IF(SUMPRODUCT((Inputs!$A$5:$A$180=$B29)*ISNUMBER(INDEX(Inputs!$K$5:$AJ$180,0,MATCH(AC$2,Inputs!$K$4:$AJ$4,0))))+SUMPRODUCT((Inputs!$C$5:$C$180=$B29)*ISNUMBER(INDEX(Inputs!$K$5:$AJ$180,0,MATCH(AC$2,Inputs!$K$4:$AJ$4,0))))+SUMPRODUCT((Inputs!$E$5:$E$180=$B29)*ISNUMBER(INDEX(Inputs!$K$5:$AJ$180,0,MATCH(AC$2,Inputs!$K$4:$AJ$4,0))))=0,NA(),SUMPRODUCT((Inputs!$A$5:$A$180=$B29)*Inputs!$B$5:$B$180*(((Inputs!$G$5:$G$180="moeda")+(Inputs!$G$5:$G$180="acoes"))*Inputs!$B$1+((Inputs!$G$5:$G$180&lt;&gt;"moeda")*(Inputs!$G$5:$G$180&lt;&gt;"acoes")))*INDEX(Inputs!$K$5:$AJ$180,0,MATCH(AC$2,Inputs!$K$4:$AJ$4,0)))+SUMPRODUCT((Inputs!$C$5:$C$180=$B29)*Inputs!$D$5:$D$180*(((Inputs!$G$5:$G$180="moeda")+(Inputs!$G$5:$G$180="acoes"))*Inputs!$B$1+((Inputs!$G$5:$G$180&lt;&gt;"moeda")*(Inputs!$G$5:$G$180&lt;&gt;"acoes")))*INDEX(Inputs!$K$5:$AJ$180,0,MATCH(AC$2,Inputs!$K$4:$AJ$4,0)))+SUMPRODUCT((Inputs!$E$5:$E$180=$B29)*Inputs!$F$5:$F$180*(((Inputs!$G$5:$G$180="moeda")+(Inputs!$G$5:$G$180="acoes"))*Inputs!$B$1+((Inputs!$G$5:$G$180&lt;&gt;"moeda")*(Inputs!$G$5:$G$180&lt;&gt;"acoes")))*INDEX(Inputs!$K$5:$AJ$180,0,MATCH(AC$2,Inputs!$K$4:$AJ$4,0)))))</f>
        <v>121.29004759</v>
      </c>
      <c r="AD29" s="6">
        <f>IF(ISNA(MATCH(AD$2,Inputs!$K$4:$AJ$4,0)),NA(),IF(SUMPRODUCT((Inputs!$A$5:$A$180=$B29)*ISNUMBER(INDEX(Inputs!$K$5:$AJ$180,0,MATCH(AD$2,Inputs!$K$4:$AJ$4,0))))+SUMPRODUCT((Inputs!$C$5:$C$180=$B29)*ISNUMBER(INDEX(Inputs!$K$5:$AJ$180,0,MATCH(AD$2,Inputs!$K$4:$AJ$4,0))))+SUMPRODUCT((Inputs!$E$5:$E$180=$B29)*ISNUMBER(INDEX(Inputs!$K$5:$AJ$180,0,MATCH(AD$2,Inputs!$K$4:$AJ$4,0))))=0,NA(),SUMPRODUCT((Inputs!$A$5:$A$180=$B29)*Inputs!$B$5:$B$180*(((Inputs!$G$5:$G$180="moeda")+(Inputs!$G$5:$G$180="acoes"))*Inputs!$B$1+((Inputs!$G$5:$G$180&lt;&gt;"moeda")*(Inputs!$G$5:$G$180&lt;&gt;"acoes")))*INDEX(Inputs!$K$5:$AJ$180,0,MATCH(AD$2,Inputs!$K$4:$AJ$4,0)))+SUMPRODUCT((Inputs!$C$5:$C$180=$B29)*Inputs!$D$5:$D$180*(((Inputs!$G$5:$G$180="moeda")+(Inputs!$G$5:$G$180="acoes"))*Inputs!$B$1+((Inputs!$G$5:$G$180&lt;&gt;"moeda")*(Inputs!$G$5:$G$180&lt;&gt;"acoes")))*INDEX(Inputs!$K$5:$AJ$180,0,MATCH(AD$2,Inputs!$K$4:$AJ$4,0)))+SUMPRODUCT((Inputs!$E$5:$E$180=$B29)*Inputs!$F$5:$F$180*(((Inputs!$G$5:$G$180="moeda")+(Inputs!$G$5:$G$180="acoes"))*Inputs!$B$1+((Inputs!$G$5:$G$180&lt;&gt;"moeda")*(Inputs!$G$5:$G$180&lt;&gt;"acoes")))*INDEX(Inputs!$K$5:$AJ$180,0,MATCH(AD$2,Inputs!$K$4:$AJ$4,0)))))</f>
        <v>136.92910584</v>
      </c>
      <c r="AE29" s="6" t="e">
        <f>IF(ISNA(MATCH(AE$2,Inputs!$K$4:$AJ$4,0)),NA(),IF(SUMPRODUCT((Inputs!$A$5:$A$180=$B29)*ISNUMBER(INDEX(Inputs!$K$5:$AJ$180,0,MATCH(AE$2,Inputs!$K$4:$AJ$4,0))))+SUMPRODUCT((Inputs!$C$5:$C$180=$B29)*ISNUMBER(INDEX(Inputs!$K$5:$AJ$180,0,MATCH(AE$2,Inputs!$K$4:$AJ$4,0))))+SUMPRODUCT((Inputs!$E$5:$E$180=$B29)*ISNUMBER(INDEX(Inputs!$K$5:$AJ$180,0,MATCH(AE$2,Inputs!$K$4:$AJ$4,0))))=0,NA(),SUMPRODUCT((Inputs!$A$5:$A$180=$B29)*Inputs!$B$5:$B$180*(((Inputs!$G$5:$G$180="moeda")+(Inputs!$G$5:$G$180="acoes"))*Inputs!$B$1+((Inputs!$G$5:$G$180&lt;&gt;"moeda")*(Inputs!$G$5:$G$180&lt;&gt;"acoes")))*INDEX(Inputs!$K$5:$AJ$180,0,MATCH(AE$2,Inputs!$K$4:$AJ$4,0)))+SUMPRODUCT((Inputs!$C$5:$C$180=$B29)*Inputs!$D$5:$D$180*(((Inputs!$G$5:$G$180="moeda")+(Inputs!$G$5:$G$180="acoes"))*Inputs!$B$1+((Inputs!$G$5:$G$180&lt;&gt;"moeda")*(Inputs!$G$5:$G$180&lt;&gt;"acoes")))*INDEX(Inputs!$K$5:$AJ$180,0,MATCH(AE$2,Inputs!$K$4:$AJ$4,0)))+SUMPRODUCT((Inputs!$E$5:$E$180=$B29)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9" s="6" t="e">
        <f>IF(ISNA(MATCH(AF$2,Inputs!$K$4:$AJ$4,0)),NA(),IF(SUMPRODUCT((Inputs!$A$5:$A$180=$B29)*ISNUMBER(INDEX(Inputs!$K$5:$AJ$180,0,MATCH(AF$2,Inputs!$K$4:$AJ$4,0))))+SUMPRODUCT((Inputs!$C$5:$C$180=$B29)*ISNUMBER(INDEX(Inputs!$K$5:$AJ$180,0,MATCH(AF$2,Inputs!$K$4:$AJ$4,0))))+SUMPRODUCT((Inputs!$E$5:$E$180=$B29)*ISNUMBER(INDEX(Inputs!$K$5:$AJ$180,0,MATCH(AF$2,Inputs!$K$4:$AJ$4,0))))=0,NA(),SUMPRODUCT((Inputs!$A$5:$A$180=$B29)*Inputs!$B$5:$B$180*(((Inputs!$G$5:$G$180="moeda")+(Inputs!$G$5:$G$180="acoes"))*Inputs!$B$1+((Inputs!$G$5:$G$180&lt;&gt;"moeda")*(Inputs!$G$5:$G$180&lt;&gt;"acoes")))*INDEX(Inputs!$K$5:$AJ$180,0,MATCH(AF$2,Inputs!$K$4:$AJ$4,0)))+SUMPRODUCT((Inputs!$C$5:$C$180=$B29)*Inputs!$D$5:$D$180*(((Inputs!$G$5:$G$180="moeda")+(Inputs!$G$5:$G$180="acoes"))*Inputs!$B$1+((Inputs!$G$5:$G$180&lt;&gt;"moeda")*(Inputs!$G$5:$G$180&lt;&gt;"acoes")))*INDEX(Inputs!$K$5:$AJ$180,0,MATCH(AF$2,Inputs!$K$4:$AJ$4,0)))+SUMPRODUCT((Inputs!$E$5:$E$180=$B29)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9" s="3" t="e">
        <f>AF29</f>
        <v>#N/A</v>
      </c>
      <c r="AH29" s="6">
        <f>IF(ISNA(MATCH(AH$2,Inputs!$K$4:$AJ$4,0)),NA(),IF(SUMPRODUCT((Inputs!$A$5:$A$180=$B29)*ISNUMBER(INDEX(Inputs!$K$5:$AJ$180,0,MATCH(AH$2,Inputs!$K$4:$AJ$4,0))))+SUMPRODUCT((Inputs!$C$5:$C$180=$B29)*ISNUMBER(INDEX(Inputs!$K$5:$AJ$180,0,MATCH(AH$2,Inputs!$K$4:$AJ$4,0))))+SUMPRODUCT((Inputs!$E$5:$E$180=$B29)*ISNUMBER(INDEX(Inputs!$K$5:$AJ$180,0,MATCH(AH$2,Inputs!$K$4:$AJ$4,0))))=0,NA(),SUMPRODUCT((Inputs!$A$5:$A$180=$B29)*Inputs!$B$5:$B$180*(((Inputs!$G$5:$G$180="moeda")+(Inputs!$G$5:$G$180="acoes"))*Inputs!$B$1+((Inputs!$G$5:$G$180&lt;&gt;"moeda")*(Inputs!$G$5:$G$180&lt;&gt;"acoes")))*INDEX(Inputs!$K$5:$AJ$180,0,MATCH(AH$2,Inputs!$K$4:$AJ$4,0)))+SUMPRODUCT((Inputs!$C$5:$C$180=$B29)*Inputs!$D$5:$D$180*(((Inputs!$G$5:$G$180="moeda")+(Inputs!$G$5:$G$180="acoes"))*Inputs!$B$1+((Inputs!$G$5:$G$180&lt;&gt;"moeda")*(Inputs!$G$5:$G$180&lt;&gt;"acoes")))*INDEX(Inputs!$K$5:$AJ$180,0,MATCH(AH$2,Inputs!$K$4:$AJ$4,0)))+SUMPRODUCT((Inputs!$E$5:$E$180=$B29)*Inputs!$F$5:$F$180*(((Inputs!$G$5:$G$180="moeda")+(Inputs!$G$5:$G$180="acoes"))*Inputs!$B$1+((Inputs!$G$5:$G$180&lt;&gt;"moeda")*(Inputs!$G$5:$G$180&lt;&gt;"acoes")))*INDEX(Inputs!$K$5:$AJ$180,0,MATCH(AH$2,Inputs!$K$4:$AJ$4,0)))))</f>
        <v>52.283</v>
      </c>
      <c r="AI29" s="6">
        <f>IF(ISNA(MATCH(AI$2,Inputs!$K$4:$AJ$4,0)),NA(),IF(SUMPRODUCT((Inputs!$A$5:$A$180=$B29)*ISNUMBER(INDEX(Inputs!$K$5:$AJ$180,0,MATCH(AI$2,Inputs!$K$4:$AJ$4,0))))+SUMPRODUCT((Inputs!$C$5:$C$180=$B29)*ISNUMBER(INDEX(Inputs!$K$5:$AJ$180,0,MATCH(AI$2,Inputs!$K$4:$AJ$4,0))))+SUMPRODUCT((Inputs!$E$5:$E$180=$B29)*ISNUMBER(INDEX(Inputs!$K$5:$AJ$180,0,MATCH(AI$2,Inputs!$K$4:$AJ$4,0))))=0,NA(),SUMPRODUCT((Inputs!$A$5:$A$180=$B29)*Inputs!$B$5:$B$180*(((Inputs!$G$5:$G$180="moeda")+(Inputs!$G$5:$G$180="acoes"))*Inputs!$B$1+((Inputs!$G$5:$G$180&lt;&gt;"moeda")*(Inputs!$G$5:$G$180&lt;&gt;"acoes")))*INDEX(Inputs!$K$5:$AJ$180,0,MATCH(AI$2,Inputs!$K$4:$AJ$4,0)))+SUMPRODUCT((Inputs!$C$5:$C$180=$B29)*Inputs!$D$5:$D$180*(((Inputs!$G$5:$G$180="moeda")+(Inputs!$G$5:$G$180="acoes"))*Inputs!$B$1+((Inputs!$G$5:$G$180&lt;&gt;"moeda")*(Inputs!$G$5:$G$180&lt;&gt;"acoes")))*INDEX(Inputs!$K$5:$AJ$180,0,MATCH(AI$2,Inputs!$K$4:$AJ$4,0)))+SUMPRODUCT((Inputs!$E$5:$E$180=$B29)*Inputs!$F$5:$F$180*(((Inputs!$G$5:$G$180="moeda")+(Inputs!$G$5:$G$180="acoes"))*Inputs!$B$1+((Inputs!$G$5:$G$180&lt;&gt;"moeda")*(Inputs!$G$5:$G$180&lt;&gt;"acoes")))*INDEX(Inputs!$K$5:$AJ$180,0,MATCH(AI$2,Inputs!$K$4:$AJ$4,0)))))</f>
        <v>47.50274303</v>
      </c>
      <c r="AJ29" s="6">
        <f>IF(ISNA(MATCH(AJ$2,Inputs!$K$4:$AJ$4,0)),NA(),IF(SUMPRODUCT((Inputs!$A$5:$A$180=$B29)*ISNUMBER(INDEX(Inputs!$K$5:$AJ$180,0,MATCH(AJ$2,Inputs!$K$4:$AJ$4,0))))+SUMPRODUCT((Inputs!$C$5:$C$180=$B29)*ISNUMBER(INDEX(Inputs!$K$5:$AJ$180,0,MATCH(AJ$2,Inputs!$K$4:$AJ$4,0))))+SUMPRODUCT((Inputs!$E$5:$E$180=$B29)*ISNUMBER(INDEX(Inputs!$K$5:$AJ$180,0,MATCH(AJ$2,Inputs!$K$4:$AJ$4,0))))=0,NA(),SUMPRODUCT((Inputs!$A$5:$A$180=$B29)*Inputs!$B$5:$B$180*(((Inputs!$G$5:$G$180="moeda")+(Inputs!$G$5:$G$180="acoes"))*Inputs!$B$1+((Inputs!$G$5:$G$180&lt;&gt;"moeda")*(Inputs!$G$5:$G$180&lt;&gt;"acoes")))*INDEX(Inputs!$K$5:$AJ$180,0,MATCH(AJ$2,Inputs!$K$4:$AJ$4,0)))+SUMPRODUCT((Inputs!$C$5:$C$180=$B29)*Inputs!$D$5:$D$180*(((Inputs!$G$5:$G$180="moeda")+(Inputs!$G$5:$G$180="acoes"))*Inputs!$B$1+((Inputs!$G$5:$G$180&lt;&gt;"moeda")*(Inputs!$G$5:$G$180&lt;&gt;"acoes")))*INDEX(Inputs!$K$5:$AJ$180,0,MATCH(AJ$2,Inputs!$K$4:$AJ$4,0)))+SUMPRODUCT((Inputs!$E$5:$E$180=$B29)*Inputs!$F$5:$F$180*(((Inputs!$G$5:$G$180="moeda")+(Inputs!$G$5:$G$180="acoes"))*Inputs!$B$1+((Inputs!$G$5:$G$180&lt;&gt;"moeda")*(Inputs!$G$5:$G$180&lt;&gt;"acoes")))*INDEX(Inputs!$K$5:$AJ$180,0,MATCH(AJ$2,Inputs!$K$4:$AJ$4,0)))))</f>
        <v>42.97703668</v>
      </c>
      <c r="AK29" s="6">
        <f>IF(ISNA(MATCH(AK$2,Inputs!$K$4:$AJ$4,0)),NA(),IF(SUMPRODUCT((Inputs!$A$5:$A$180=$B29)*ISNUMBER(INDEX(Inputs!$K$5:$AJ$180,0,MATCH(AK$2,Inputs!$K$4:$AJ$4,0))))+SUMPRODUCT((Inputs!$C$5:$C$180=$B29)*ISNUMBER(INDEX(Inputs!$K$5:$AJ$180,0,MATCH(AK$2,Inputs!$K$4:$AJ$4,0))))+SUMPRODUCT((Inputs!$E$5:$E$180=$B29)*ISNUMBER(INDEX(Inputs!$K$5:$AJ$180,0,MATCH(AK$2,Inputs!$K$4:$AJ$4,0))))=0,NA(),SUMPRODUCT((Inputs!$A$5:$A$180=$B29)*Inputs!$B$5:$B$180*(((Inputs!$G$5:$G$180="moeda")+(Inputs!$G$5:$G$180="acoes"))*Inputs!$B$1+((Inputs!$G$5:$G$180&lt;&gt;"moeda")*(Inputs!$G$5:$G$180&lt;&gt;"acoes")))*INDEX(Inputs!$K$5:$AJ$180,0,MATCH(AK$2,Inputs!$K$4:$AJ$4,0)))+SUMPRODUCT((Inputs!$C$5:$C$180=$B29)*Inputs!$D$5:$D$180*(((Inputs!$G$5:$G$180="moeda")+(Inputs!$G$5:$G$180="acoes"))*Inputs!$B$1+((Inputs!$G$5:$G$180&lt;&gt;"moeda")*(Inputs!$G$5:$G$180&lt;&gt;"acoes")))*INDEX(Inputs!$K$5:$AJ$180,0,MATCH(AK$2,Inputs!$K$4:$AJ$4,0)))+SUMPRODUCT((Inputs!$E$5:$E$180=$B29)*Inputs!$F$5:$F$180*(((Inputs!$G$5:$G$180="moeda")+(Inputs!$G$5:$G$180="acoes"))*Inputs!$B$1+((Inputs!$G$5:$G$180&lt;&gt;"moeda")*(Inputs!$G$5:$G$180&lt;&gt;"acoes")))*INDEX(Inputs!$K$5:$AJ$180,0,MATCH(AK$2,Inputs!$K$4:$AJ$4,0)))))</f>
        <v>49.92205457</v>
      </c>
      <c r="AL29" s="3">
        <f>AK29</f>
        <v>49.92205457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$180=$B30)*ISNUMBER(INDEX(Inputs!$K$5:$AJ$180,0,MATCH(D$2,Inputs!$K$4:$AJ$4,0))))+SUMPRODUCT((Inputs!$C$5:$C$180=$B30)*ISNUMBER(INDEX(Inputs!$K$5:$AJ$180,0,MATCH(D$2,Inputs!$K$4:$AJ$4,0))))+SUMPRODUCT((Inputs!$E$5:$E$180=$B30)*ISNUMBER(INDEX(Inputs!$K$5:$AJ$180,0,MATCH(D$2,Inputs!$K$4:$AJ$4,0))))=0,NA(),SUMPRODUCT((Inputs!$A$5:$A$180=$B30)*Inputs!$B$5:$B$180*(((Inputs!$G$5:$G$180="moeda")+(Inputs!$G$5:$G$180="acoes"))*Inputs!$B$1+((Inputs!$G$5:$G$180&lt;&gt;"moeda")*(Inputs!$G$5:$G$180&lt;&gt;"acoes")))*INDEX(Inputs!$K$5:$AJ$180,0,MATCH(D$2,Inputs!$K$4:$AJ$4,0)))+SUMPRODUCT((Inputs!$C$5:$C$180=$B30)*Inputs!$D$5:$D$180*(((Inputs!$G$5:$G$180="moeda")+(Inputs!$G$5:$G$180="acoes"))*Inputs!$B$1+((Inputs!$G$5:$G$180&lt;&gt;"moeda")*(Inputs!$G$5:$G$180&lt;&gt;"acoes")))*INDEX(Inputs!$K$5:$AJ$180,0,MATCH(D$2,Inputs!$K$4:$AJ$4,0)))+SUMPRODUCT((Inputs!$E$5:$E$180=$B30)*Inputs!$F$5:$F$180*(((Inputs!$G$5:$G$180="moeda")+(Inputs!$G$5:$G$180="acoes"))*Inputs!$B$1+((Inputs!$G$5:$G$180&lt;&gt;"moeda")*(Inputs!$G$5:$G$180&lt;&gt;"acoes")))*INDEX(Inputs!$K$5:$AJ$180,0,MATCH(D$2,Inputs!$K$4:$AJ$4,0)))))</f>
        <v>35.74066032</v>
      </c>
      <c r="E30" s="6">
        <f>IF(ISNA(MATCH(E$2,Inputs!$K$4:$AJ$4,0)),NA(),IF(SUMPRODUCT((Inputs!$A$5:$A$180=$B30)*ISNUMBER(INDEX(Inputs!$K$5:$AJ$180,0,MATCH(E$2,Inputs!$K$4:$AJ$4,0))))+SUMPRODUCT((Inputs!$C$5:$C$180=$B30)*ISNUMBER(INDEX(Inputs!$K$5:$AJ$180,0,MATCH(E$2,Inputs!$K$4:$AJ$4,0))))+SUMPRODUCT((Inputs!$E$5:$E$180=$B30)*ISNUMBER(INDEX(Inputs!$K$5:$AJ$180,0,MATCH(E$2,Inputs!$K$4:$AJ$4,0))))=0,NA(),SUMPRODUCT((Inputs!$A$5:$A$180=$B30)*Inputs!$B$5:$B$180*(((Inputs!$G$5:$G$180="moeda")+(Inputs!$G$5:$G$180="acoes"))*Inputs!$B$1+((Inputs!$G$5:$G$180&lt;&gt;"moeda")*(Inputs!$G$5:$G$180&lt;&gt;"acoes")))*INDEX(Inputs!$K$5:$AJ$180,0,MATCH(E$2,Inputs!$K$4:$AJ$4,0)))+SUMPRODUCT((Inputs!$C$5:$C$180=$B30)*Inputs!$D$5:$D$180*(((Inputs!$G$5:$G$180="moeda")+(Inputs!$G$5:$G$180="acoes"))*Inputs!$B$1+((Inputs!$G$5:$G$180&lt;&gt;"moeda")*(Inputs!$G$5:$G$180&lt;&gt;"acoes")))*INDEX(Inputs!$K$5:$AJ$180,0,MATCH(E$2,Inputs!$K$4:$AJ$4,0)))+SUMPRODUCT((Inputs!$E$5:$E$180=$B30)*Inputs!$F$5:$F$180*(((Inputs!$G$5:$G$180="moeda")+(Inputs!$G$5:$G$180="acoes"))*Inputs!$B$1+((Inputs!$G$5:$G$180&lt;&gt;"moeda")*(Inputs!$G$5:$G$180&lt;&gt;"acoes")))*INDEX(Inputs!$K$5:$AJ$180,0,MATCH(E$2,Inputs!$K$4:$AJ$4,0)))))</f>
        <v>58.84738256</v>
      </c>
      <c r="F30" s="6">
        <f>IF(ISNA(MATCH(F$2,Inputs!$K$4:$AJ$4,0)),NA(),IF(SUMPRODUCT((Inputs!$A$5:$A$180=$B30)*ISNUMBER(INDEX(Inputs!$K$5:$AJ$180,0,MATCH(F$2,Inputs!$K$4:$AJ$4,0))))+SUMPRODUCT((Inputs!$C$5:$C$180=$B30)*ISNUMBER(INDEX(Inputs!$K$5:$AJ$180,0,MATCH(F$2,Inputs!$K$4:$AJ$4,0))))+SUMPRODUCT((Inputs!$E$5:$E$180=$B30)*ISNUMBER(INDEX(Inputs!$K$5:$AJ$180,0,MATCH(F$2,Inputs!$K$4:$AJ$4,0))))=0,NA(),SUMPRODUCT((Inputs!$A$5:$A$180=$B30)*Inputs!$B$5:$B$180*(((Inputs!$G$5:$G$180="moeda")+(Inputs!$G$5:$G$180="acoes"))*Inputs!$B$1+((Inputs!$G$5:$G$180&lt;&gt;"moeda")*(Inputs!$G$5:$G$180&lt;&gt;"acoes")))*INDEX(Inputs!$K$5:$AJ$180,0,MATCH(F$2,Inputs!$K$4:$AJ$4,0)))+SUMPRODUCT((Inputs!$C$5:$C$180=$B30)*Inputs!$D$5:$D$180*(((Inputs!$G$5:$G$180="moeda")+(Inputs!$G$5:$G$180="acoes"))*Inputs!$B$1+((Inputs!$G$5:$G$180&lt;&gt;"moeda")*(Inputs!$G$5:$G$180&lt;&gt;"acoes")))*INDEX(Inputs!$K$5:$AJ$180,0,MATCH(F$2,Inputs!$K$4:$AJ$4,0)))+SUMPRODUCT((Inputs!$E$5:$E$180=$B30)*Inputs!$F$5:$F$180*(((Inputs!$G$5:$G$180="moeda")+(Inputs!$G$5:$G$180="acoes"))*Inputs!$B$1+((Inputs!$G$5:$G$180&lt;&gt;"moeda")*(Inputs!$G$5:$G$180&lt;&gt;"acoes")))*INDEX(Inputs!$K$5:$AJ$180,0,MATCH(F$2,Inputs!$K$4:$AJ$4,0)))))</f>
        <v>50.60080795</v>
      </c>
      <c r="G30" s="6">
        <f>IF(ISNA(MATCH(G$2,Inputs!$K$4:$AJ$4,0)),NA(),IF(SUMPRODUCT((Inputs!$A$5:$A$180=$B30)*ISNUMBER(INDEX(Inputs!$K$5:$AJ$180,0,MATCH(G$2,Inputs!$K$4:$AJ$4,0))))+SUMPRODUCT((Inputs!$C$5:$C$180=$B30)*ISNUMBER(INDEX(Inputs!$K$5:$AJ$180,0,MATCH(G$2,Inputs!$K$4:$AJ$4,0))))+SUMPRODUCT((Inputs!$E$5:$E$180=$B30)*ISNUMBER(INDEX(Inputs!$K$5:$AJ$180,0,MATCH(G$2,Inputs!$K$4:$AJ$4,0))))=0,NA(),SUMPRODUCT((Inputs!$A$5:$A$180=$B30)*Inputs!$B$5:$B$180*(((Inputs!$G$5:$G$180="moeda")+(Inputs!$G$5:$G$180="acoes"))*Inputs!$B$1+((Inputs!$G$5:$G$180&lt;&gt;"moeda")*(Inputs!$G$5:$G$180&lt;&gt;"acoes")))*INDEX(Inputs!$K$5:$AJ$180,0,MATCH(G$2,Inputs!$K$4:$AJ$4,0)))+SUMPRODUCT((Inputs!$C$5:$C$180=$B30)*Inputs!$D$5:$D$180*(((Inputs!$G$5:$G$180="moeda")+(Inputs!$G$5:$G$180="acoes"))*Inputs!$B$1+((Inputs!$G$5:$G$180&lt;&gt;"moeda")*(Inputs!$G$5:$G$180&lt;&gt;"acoes")))*INDEX(Inputs!$K$5:$AJ$180,0,MATCH(G$2,Inputs!$K$4:$AJ$4,0)))+SUMPRODUCT((Inputs!$E$5:$E$180=$B30)*Inputs!$F$5:$F$180*(((Inputs!$G$5:$G$180="moeda")+(Inputs!$G$5:$G$180="acoes"))*Inputs!$B$1+((Inputs!$G$5:$G$180&lt;&gt;"moeda")*(Inputs!$G$5:$G$180&lt;&gt;"acoes")))*INDEX(Inputs!$K$5:$AJ$180,0,MATCH(G$2,Inputs!$K$4:$AJ$4,0)))))</f>
        <v>113.75786336</v>
      </c>
      <c r="H30" s="3">
        <f>G30</f>
        <v>113.75786336</v>
      </c>
      <c r="I30" s="6">
        <f>IF(ISNA(MATCH(I$2,Inputs!$K$4:$AJ$4,0)),NA(),IF(SUMPRODUCT((Inputs!$A$5:$A$180=$B30)*ISNUMBER(INDEX(Inputs!$K$5:$AJ$180,0,MATCH(I$2,Inputs!$K$4:$AJ$4,0))))+SUMPRODUCT((Inputs!$C$5:$C$180=$B30)*ISNUMBER(INDEX(Inputs!$K$5:$AJ$180,0,MATCH(I$2,Inputs!$K$4:$AJ$4,0))))+SUMPRODUCT((Inputs!$E$5:$E$180=$B30)*ISNUMBER(INDEX(Inputs!$K$5:$AJ$180,0,MATCH(I$2,Inputs!$K$4:$AJ$4,0))))=0,NA(),SUMPRODUCT((Inputs!$A$5:$A$180=$B30)*Inputs!$B$5:$B$180*(((Inputs!$G$5:$G$180="moeda")+(Inputs!$G$5:$G$180="acoes"))*Inputs!$B$1+((Inputs!$G$5:$G$180&lt;&gt;"moeda")*(Inputs!$G$5:$G$180&lt;&gt;"acoes")))*INDEX(Inputs!$K$5:$AJ$180,0,MATCH(I$2,Inputs!$K$4:$AJ$4,0)))+SUMPRODUCT((Inputs!$C$5:$C$180=$B30)*Inputs!$D$5:$D$180*(((Inputs!$G$5:$G$180="moeda")+(Inputs!$G$5:$G$180="acoes"))*Inputs!$B$1+((Inputs!$G$5:$G$180&lt;&gt;"moeda")*(Inputs!$G$5:$G$180&lt;&gt;"acoes")))*INDEX(Inputs!$K$5:$AJ$180,0,MATCH(I$2,Inputs!$K$4:$AJ$4,0)))+SUMPRODUCT((Inputs!$E$5:$E$180=$B30)*Inputs!$F$5:$F$180*(((Inputs!$G$5:$G$180="moeda")+(Inputs!$G$5:$G$180="acoes"))*Inputs!$B$1+((Inputs!$G$5:$G$180&lt;&gt;"moeda")*(Inputs!$G$5:$G$180&lt;&gt;"acoes")))*INDEX(Inputs!$K$5:$AJ$180,0,MATCH(I$2,Inputs!$K$4:$AJ$4,0)))))</f>
        <v>50.70310185</v>
      </c>
      <c r="J30" s="6">
        <f>IF(ISNA(MATCH(J$2,Inputs!$K$4:$AJ$4,0)),NA(),IF(SUMPRODUCT((Inputs!$A$5:$A$180=$B30)*ISNUMBER(INDEX(Inputs!$K$5:$AJ$180,0,MATCH(J$2,Inputs!$K$4:$AJ$4,0))))+SUMPRODUCT((Inputs!$C$5:$C$180=$B30)*ISNUMBER(INDEX(Inputs!$K$5:$AJ$180,0,MATCH(J$2,Inputs!$K$4:$AJ$4,0))))+SUMPRODUCT((Inputs!$E$5:$E$180=$B30)*ISNUMBER(INDEX(Inputs!$K$5:$AJ$180,0,MATCH(J$2,Inputs!$K$4:$AJ$4,0))))=0,NA(),SUMPRODUCT((Inputs!$A$5:$A$180=$B30)*Inputs!$B$5:$B$180*(((Inputs!$G$5:$G$180="moeda")+(Inputs!$G$5:$G$180="acoes"))*Inputs!$B$1+((Inputs!$G$5:$G$180&lt;&gt;"moeda")*(Inputs!$G$5:$G$180&lt;&gt;"acoes")))*INDEX(Inputs!$K$5:$AJ$180,0,MATCH(J$2,Inputs!$K$4:$AJ$4,0)))+SUMPRODUCT((Inputs!$C$5:$C$180=$B30)*Inputs!$D$5:$D$180*(((Inputs!$G$5:$G$180="moeda")+(Inputs!$G$5:$G$180="acoes"))*Inputs!$B$1+((Inputs!$G$5:$G$180&lt;&gt;"moeda")*(Inputs!$G$5:$G$180&lt;&gt;"acoes")))*INDEX(Inputs!$K$5:$AJ$180,0,MATCH(J$2,Inputs!$K$4:$AJ$4,0)))+SUMPRODUCT((Inputs!$E$5:$E$180=$B30)*Inputs!$F$5:$F$180*(((Inputs!$G$5:$G$180="moeda")+(Inputs!$G$5:$G$180="acoes"))*Inputs!$B$1+((Inputs!$G$5:$G$180&lt;&gt;"moeda")*(Inputs!$G$5:$G$180&lt;&gt;"acoes")))*INDEX(Inputs!$K$5:$AJ$180,0,MATCH(J$2,Inputs!$K$4:$AJ$4,0)))))</f>
        <v>66.70450168</v>
      </c>
      <c r="K30" s="6">
        <f>IF(ISNA(MATCH(K$2,Inputs!$K$4:$AJ$4,0)),NA(),IF(SUMPRODUCT((Inputs!$A$5:$A$180=$B30)*ISNUMBER(INDEX(Inputs!$K$5:$AJ$180,0,MATCH(K$2,Inputs!$K$4:$AJ$4,0))))+SUMPRODUCT((Inputs!$C$5:$C$180=$B30)*ISNUMBER(INDEX(Inputs!$K$5:$AJ$180,0,MATCH(K$2,Inputs!$K$4:$AJ$4,0))))+SUMPRODUCT((Inputs!$E$5:$E$180=$B30)*ISNUMBER(INDEX(Inputs!$K$5:$AJ$180,0,MATCH(K$2,Inputs!$K$4:$AJ$4,0))))=0,NA(),SUMPRODUCT((Inputs!$A$5:$A$180=$B30)*Inputs!$B$5:$B$180*(((Inputs!$G$5:$G$180="moeda")+(Inputs!$G$5:$G$180="acoes"))*Inputs!$B$1+((Inputs!$G$5:$G$180&lt;&gt;"moeda")*(Inputs!$G$5:$G$180&lt;&gt;"acoes")))*INDEX(Inputs!$K$5:$AJ$180,0,MATCH(K$2,Inputs!$K$4:$AJ$4,0)))+SUMPRODUCT((Inputs!$C$5:$C$180=$B30)*Inputs!$D$5:$D$180*(((Inputs!$G$5:$G$180="moeda")+(Inputs!$G$5:$G$180="acoes"))*Inputs!$B$1+((Inputs!$G$5:$G$180&lt;&gt;"moeda")*(Inputs!$G$5:$G$180&lt;&gt;"acoes")))*INDEX(Inputs!$K$5:$AJ$180,0,MATCH(K$2,Inputs!$K$4:$AJ$4,0)))+SUMPRODUCT((Inputs!$E$5:$E$180=$B30)*Inputs!$F$5:$F$180*(((Inputs!$G$5:$G$180="moeda")+(Inputs!$G$5:$G$180="acoes"))*Inputs!$B$1+((Inputs!$G$5:$G$180&lt;&gt;"moeda")*(Inputs!$G$5:$G$180&lt;&gt;"acoes")))*INDEX(Inputs!$K$5:$AJ$180,0,MATCH(K$2,Inputs!$K$4:$AJ$4,0)))))</f>
        <v>63.59577567</v>
      </c>
      <c r="L30" s="6">
        <f>IF(ISNA(MATCH(L$2,Inputs!$K$4:$AJ$4,0)),NA(),IF(SUMPRODUCT((Inputs!$A$5:$A$180=$B30)*ISNUMBER(INDEX(Inputs!$K$5:$AJ$180,0,MATCH(L$2,Inputs!$K$4:$AJ$4,0))))+SUMPRODUCT((Inputs!$C$5:$C$180=$B30)*ISNUMBER(INDEX(Inputs!$K$5:$AJ$180,0,MATCH(L$2,Inputs!$K$4:$AJ$4,0))))+SUMPRODUCT((Inputs!$E$5:$E$180=$B30)*ISNUMBER(INDEX(Inputs!$K$5:$AJ$180,0,MATCH(L$2,Inputs!$K$4:$AJ$4,0))))=0,NA(),SUMPRODUCT((Inputs!$A$5:$A$180=$B30)*Inputs!$B$5:$B$180*(((Inputs!$G$5:$G$180="moeda")+(Inputs!$G$5:$G$180="acoes"))*Inputs!$B$1+((Inputs!$G$5:$G$180&lt;&gt;"moeda")*(Inputs!$G$5:$G$180&lt;&gt;"acoes")))*INDEX(Inputs!$K$5:$AJ$180,0,MATCH(L$2,Inputs!$K$4:$AJ$4,0)))+SUMPRODUCT((Inputs!$C$5:$C$180=$B30)*Inputs!$D$5:$D$180*(((Inputs!$G$5:$G$180="moeda")+(Inputs!$G$5:$G$180="acoes"))*Inputs!$B$1+((Inputs!$G$5:$G$180&lt;&gt;"moeda")*(Inputs!$G$5:$G$180&lt;&gt;"acoes")))*INDEX(Inputs!$K$5:$AJ$180,0,MATCH(L$2,Inputs!$K$4:$AJ$4,0)))+SUMPRODUCT((Inputs!$E$5:$E$180=$B30)*Inputs!$F$5:$F$180*(((Inputs!$G$5:$G$180="moeda")+(Inputs!$G$5:$G$180="acoes"))*Inputs!$B$1+((Inputs!$G$5:$G$180&lt;&gt;"moeda")*(Inputs!$G$5:$G$180&lt;&gt;"acoes")))*INDEX(Inputs!$K$5:$AJ$180,0,MATCH(L$2,Inputs!$K$4:$AJ$4,0)))))</f>
        <v>111.87</v>
      </c>
      <c r="M30" s="3">
        <f>L30</f>
        <v>111.87</v>
      </c>
      <c r="N30" s="6">
        <f>IF(ISNA(MATCH(N$2,Inputs!$K$4:$AJ$4,0)),NA(),IF(SUMPRODUCT((Inputs!$A$5:$A$180=$B30)*ISNUMBER(INDEX(Inputs!$K$5:$AJ$180,0,MATCH(N$2,Inputs!$K$4:$AJ$4,0))))+SUMPRODUCT((Inputs!$C$5:$C$180=$B30)*ISNUMBER(INDEX(Inputs!$K$5:$AJ$180,0,MATCH(N$2,Inputs!$K$4:$AJ$4,0))))+SUMPRODUCT((Inputs!$E$5:$E$180=$B30)*ISNUMBER(INDEX(Inputs!$K$5:$AJ$180,0,MATCH(N$2,Inputs!$K$4:$AJ$4,0))))=0,NA(),SUMPRODUCT((Inputs!$A$5:$A$180=$B30)*Inputs!$B$5:$B$180*(((Inputs!$G$5:$G$180="moeda")+(Inputs!$G$5:$G$180="acoes"))*Inputs!$B$1+((Inputs!$G$5:$G$180&lt;&gt;"moeda")*(Inputs!$G$5:$G$180&lt;&gt;"acoes")))*INDEX(Inputs!$K$5:$AJ$180,0,MATCH(N$2,Inputs!$K$4:$AJ$4,0)))+SUMPRODUCT((Inputs!$C$5:$C$180=$B30)*Inputs!$D$5:$D$180*(((Inputs!$G$5:$G$180="moeda")+(Inputs!$G$5:$G$180="acoes"))*Inputs!$B$1+((Inputs!$G$5:$G$180&lt;&gt;"moeda")*(Inputs!$G$5:$G$180&lt;&gt;"acoes")))*INDEX(Inputs!$K$5:$AJ$180,0,MATCH(N$2,Inputs!$K$4:$AJ$4,0)))+SUMPRODUCT((Inputs!$E$5:$E$180=$B30)*Inputs!$F$5:$F$180*(((Inputs!$G$5:$G$180="moeda")+(Inputs!$G$5:$G$180="acoes"))*Inputs!$B$1+((Inputs!$G$5:$G$180&lt;&gt;"moeda")*(Inputs!$G$5:$G$180&lt;&gt;"acoes")))*INDEX(Inputs!$K$5:$AJ$180,0,MATCH(N$2,Inputs!$K$4:$AJ$4,0)))))</f>
        <v>57.734</v>
      </c>
      <c r="O30" s="6">
        <f>IF(ISNA(MATCH(O$2,Inputs!$K$4:$AJ$4,0)),NA(),IF(SUMPRODUCT((Inputs!$A$5:$A$180=$B30)*ISNUMBER(INDEX(Inputs!$K$5:$AJ$180,0,MATCH(O$2,Inputs!$K$4:$AJ$4,0))))+SUMPRODUCT((Inputs!$C$5:$C$180=$B30)*ISNUMBER(INDEX(Inputs!$K$5:$AJ$180,0,MATCH(O$2,Inputs!$K$4:$AJ$4,0))))+SUMPRODUCT((Inputs!$E$5:$E$180=$B30)*ISNUMBER(INDEX(Inputs!$K$5:$AJ$180,0,MATCH(O$2,Inputs!$K$4:$AJ$4,0))))=0,NA(),SUMPRODUCT((Inputs!$A$5:$A$180=$B30)*Inputs!$B$5:$B$180*(((Inputs!$G$5:$G$180="moeda")+(Inputs!$G$5:$G$180="acoes"))*Inputs!$B$1+((Inputs!$G$5:$G$180&lt;&gt;"moeda")*(Inputs!$G$5:$G$180&lt;&gt;"acoes")))*INDEX(Inputs!$K$5:$AJ$180,0,MATCH(O$2,Inputs!$K$4:$AJ$4,0)))+SUMPRODUCT((Inputs!$C$5:$C$180=$B30)*Inputs!$D$5:$D$180*(((Inputs!$G$5:$G$180="moeda")+(Inputs!$G$5:$G$180="acoes"))*Inputs!$B$1+((Inputs!$G$5:$G$180&lt;&gt;"moeda")*(Inputs!$G$5:$G$180&lt;&gt;"acoes")))*INDEX(Inputs!$K$5:$AJ$180,0,MATCH(O$2,Inputs!$K$4:$AJ$4,0)))+SUMPRODUCT((Inputs!$E$5:$E$180=$B30)*Inputs!$F$5:$F$180*(((Inputs!$G$5:$G$180="moeda")+(Inputs!$G$5:$G$180="acoes"))*Inputs!$B$1+((Inputs!$G$5:$G$180&lt;&gt;"moeda")*(Inputs!$G$5:$G$180&lt;&gt;"acoes")))*INDEX(Inputs!$K$5:$AJ$180,0,MATCH(O$2,Inputs!$K$4:$AJ$4,0)))))</f>
        <v>65.77563058</v>
      </c>
      <c r="P30" s="6">
        <f>IF(ISNA(MATCH(P$2,Inputs!$K$4:$AJ$4,0)),NA(),IF(SUMPRODUCT((Inputs!$A$5:$A$180=$B30)*ISNUMBER(INDEX(Inputs!$K$5:$AJ$180,0,MATCH(P$2,Inputs!$K$4:$AJ$4,0))))+SUMPRODUCT((Inputs!$C$5:$C$180=$B30)*ISNUMBER(INDEX(Inputs!$K$5:$AJ$180,0,MATCH(P$2,Inputs!$K$4:$AJ$4,0))))+SUMPRODUCT((Inputs!$E$5:$E$180=$B30)*ISNUMBER(INDEX(Inputs!$K$5:$AJ$180,0,MATCH(P$2,Inputs!$K$4:$AJ$4,0))))=0,NA(),SUMPRODUCT((Inputs!$A$5:$A$180=$B30)*Inputs!$B$5:$B$180*(((Inputs!$G$5:$G$180="moeda")+(Inputs!$G$5:$G$180="acoes"))*Inputs!$B$1+((Inputs!$G$5:$G$180&lt;&gt;"moeda")*(Inputs!$G$5:$G$180&lt;&gt;"acoes")))*INDEX(Inputs!$K$5:$AJ$180,0,MATCH(P$2,Inputs!$K$4:$AJ$4,0)))+SUMPRODUCT((Inputs!$C$5:$C$180=$B30)*Inputs!$D$5:$D$180*(((Inputs!$G$5:$G$180="moeda")+(Inputs!$G$5:$G$180="acoes"))*Inputs!$B$1+((Inputs!$G$5:$G$180&lt;&gt;"moeda")*(Inputs!$G$5:$G$180&lt;&gt;"acoes")))*INDEX(Inputs!$K$5:$AJ$180,0,MATCH(P$2,Inputs!$K$4:$AJ$4,0)))+SUMPRODUCT((Inputs!$E$5:$E$180=$B30)*Inputs!$F$5:$F$180*(((Inputs!$G$5:$G$180="moeda")+(Inputs!$G$5:$G$180="acoes"))*Inputs!$B$1+((Inputs!$G$5:$G$180&lt;&gt;"moeda")*(Inputs!$G$5:$G$180&lt;&gt;"acoes")))*INDEX(Inputs!$K$5:$AJ$180,0,MATCH(P$2,Inputs!$K$4:$AJ$4,0)))))</f>
        <v>58.27884281</v>
      </c>
      <c r="Q30" s="6">
        <f>IF(ISNA(MATCH(Q$2,Inputs!$K$4:$AJ$4,0)),NA(),IF(SUMPRODUCT((Inputs!$A$5:$A$180=$B30)*ISNUMBER(INDEX(Inputs!$K$5:$AJ$180,0,MATCH(Q$2,Inputs!$K$4:$AJ$4,0))))+SUMPRODUCT((Inputs!$C$5:$C$180=$B30)*ISNUMBER(INDEX(Inputs!$K$5:$AJ$180,0,MATCH(Q$2,Inputs!$K$4:$AJ$4,0))))+SUMPRODUCT((Inputs!$E$5:$E$180=$B30)*ISNUMBER(INDEX(Inputs!$K$5:$AJ$180,0,MATCH(Q$2,Inputs!$K$4:$AJ$4,0))))=0,NA(),SUMPRODUCT((Inputs!$A$5:$A$180=$B30)*Inputs!$B$5:$B$180*(((Inputs!$G$5:$G$180="moeda")+(Inputs!$G$5:$G$180="acoes"))*Inputs!$B$1+((Inputs!$G$5:$G$180&lt;&gt;"moeda")*(Inputs!$G$5:$G$180&lt;&gt;"acoes")))*INDEX(Inputs!$K$5:$AJ$180,0,MATCH(Q$2,Inputs!$K$4:$AJ$4,0)))+SUMPRODUCT((Inputs!$C$5:$C$180=$B30)*Inputs!$D$5:$D$180*(((Inputs!$G$5:$G$180="moeda")+(Inputs!$G$5:$G$180="acoes"))*Inputs!$B$1+((Inputs!$G$5:$G$180&lt;&gt;"moeda")*(Inputs!$G$5:$G$180&lt;&gt;"acoes")))*INDEX(Inputs!$K$5:$AJ$180,0,MATCH(Q$2,Inputs!$K$4:$AJ$4,0)))+SUMPRODUCT((Inputs!$E$5:$E$180=$B30)*Inputs!$F$5:$F$180*(((Inputs!$G$5:$G$180="moeda")+(Inputs!$G$5:$G$180="acoes"))*Inputs!$B$1+((Inputs!$G$5:$G$180&lt;&gt;"moeda")*(Inputs!$G$5:$G$180&lt;&gt;"acoes")))*INDEX(Inputs!$K$5:$AJ$180,0,MATCH(Q$2,Inputs!$K$4:$AJ$4,0)))))</f>
        <v>85.08082577</v>
      </c>
      <c r="R30" s="3">
        <f>Q30</f>
        <v>85.08082577</v>
      </c>
      <c r="S30" s="6">
        <f>IF(ISNA(MATCH(S$2,Inputs!$K$4:$AJ$4,0)),NA(),IF(SUMPRODUCT((Inputs!$A$5:$A$180=$B30)*ISNUMBER(INDEX(Inputs!$K$5:$AJ$180,0,MATCH(S$2,Inputs!$K$4:$AJ$4,0))))+SUMPRODUCT((Inputs!$C$5:$C$180=$B30)*ISNUMBER(INDEX(Inputs!$K$5:$AJ$180,0,MATCH(S$2,Inputs!$K$4:$AJ$4,0))))+SUMPRODUCT((Inputs!$E$5:$E$180=$B30)*ISNUMBER(INDEX(Inputs!$K$5:$AJ$180,0,MATCH(S$2,Inputs!$K$4:$AJ$4,0))))=0,NA(),SUMPRODUCT((Inputs!$A$5:$A$180=$B30)*Inputs!$B$5:$B$180*(((Inputs!$G$5:$G$180="moeda")+(Inputs!$G$5:$G$180="acoes"))*Inputs!$B$1+((Inputs!$G$5:$G$180&lt;&gt;"moeda")*(Inputs!$G$5:$G$180&lt;&gt;"acoes")))*INDEX(Inputs!$K$5:$AJ$180,0,MATCH(S$2,Inputs!$K$4:$AJ$4,0)))+SUMPRODUCT((Inputs!$C$5:$C$180=$B30)*Inputs!$D$5:$D$180*(((Inputs!$G$5:$G$180="moeda")+(Inputs!$G$5:$G$180="acoes"))*Inputs!$B$1+((Inputs!$G$5:$G$180&lt;&gt;"moeda")*(Inputs!$G$5:$G$180&lt;&gt;"acoes")))*INDEX(Inputs!$K$5:$AJ$180,0,MATCH(S$2,Inputs!$K$4:$AJ$4,0)))+SUMPRODUCT((Inputs!$E$5:$E$180=$B30)*Inputs!$F$5:$F$180*(((Inputs!$G$5:$G$180="moeda")+(Inputs!$G$5:$G$180="acoes"))*Inputs!$B$1+((Inputs!$G$5:$G$180&lt;&gt;"moeda")*(Inputs!$G$5:$G$180&lt;&gt;"acoes")))*INDEX(Inputs!$K$5:$AJ$180,0,MATCH(S$2,Inputs!$K$4:$AJ$4,0)))))</f>
        <v>53.75362984</v>
      </c>
      <c r="T30" s="6">
        <f>IF(ISNA(MATCH(T$2,Inputs!$K$4:$AJ$4,0)),NA(),IF(SUMPRODUCT((Inputs!$A$5:$A$180=$B30)*ISNUMBER(INDEX(Inputs!$K$5:$AJ$180,0,MATCH(T$2,Inputs!$K$4:$AJ$4,0))))+SUMPRODUCT((Inputs!$C$5:$C$180=$B30)*ISNUMBER(INDEX(Inputs!$K$5:$AJ$180,0,MATCH(T$2,Inputs!$K$4:$AJ$4,0))))+SUMPRODUCT((Inputs!$E$5:$E$180=$B30)*ISNUMBER(INDEX(Inputs!$K$5:$AJ$180,0,MATCH(T$2,Inputs!$K$4:$AJ$4,0))))=0,NA(),SUMPRODUCT((Inputs!$A$5:$A$180=$B30)*Inputs!$B$5:$B$180*(((Inputs!$G$5:$G$180="moeda")+(Inputs!$G$5:$G$180="acoes"))*Inputs!$B$1+((Inputs!$G$5:$G$180&lt;&gt;"moeda")*(Inputs!$G$5:$G$180&lt;&gt;"acoes")))*INDEX(Inputs!$K$5:$AJ$180,0,MATCH(T$2,Inputs!$K$4:$AJ$4,0)))+SUMPRODUCT((Inputs!$C$5:$C$180=$B30)*Inputs!$D$5:$D$180*(((Inputs!$G$5:$G$180="moeda")+(Inputs!$G$5:$G$180="acoes"))*Inputs!$B$1+((Inputs!$G$5:$G$180&lt;&gt;"moeda")*(Inputs!$G$5:$G$180&lt;&gt;"acoes")))*INDEX(Inputs!$K$5:$AJ$180,0,MATCH(T$2,Inputs!$K$4:$AJ$4,0)))+SUMPRODUCT((Inputs!$E$5:$E$180=$B30)*Inputs!$F$5:$F$180*(((Inputs!$G$5:$G$180="moeda")+(Inputs!$G$5:$G$180="acoes"))*Inputs!$B$1+((Inputs!$G$5:$G$180&lt;&gt;"moeda")*(Inputs!$G$5:$G$180&lt;&gt;"acoes")))*INDEX(Inputs!$K$5:$AJ$180,0,MATCH(T$2,Inputs!$K$4:$AJ$4,0)))))</f>
        <v>82.6134918</v>
      </c>
      <c r="U30" s="6">
        <f>IF(ISNA(MATCH(U$2,Inputs!$K$4:$AJ$4,0)),NA(),IF(SUMPRODUCT((Inputs!$A$5:$A$180=$B30)*ISNUMBER(INDEX(Inputs!$K$5:$AJ$180,0,MATCH(U$2,Inputs!$K$4:$AJ$4,0))))+SUMPRODUCT((Inputs!$C$5:$C$180=$B30)*ISNUMBER(INDEX(Inputs!$K$5:$AJ$180,0,MATCH(U$2,Inputs!$K$4:$AJ$4,0))))+SUMPRODUCT((Inputs!$E$5:$E$180=$B30)*ISNUMBER(INDEX(Inputs!$K$5:$AJ$180,0,MATCH(U$2,Inputs!$K$4:$AJ$4,0))))=0,NA(),SUMPRODUCT((Inputs!$A$5:$A$180=$B30)*Inputs!$B$5:$B$180*(((Inputs!$G$5:$G$180="moeda")+(Inputs!$G$5:$G$180="acoes"))*Inputs!$B$1+((Inputs!$G$5:$G$180&lt;&gt;"moeda")*(Inputs!$G$5:$G$180&lt;&gt;"acoes")))*INDEX(Inputs!$K$5:$AJ$180,0,MATCH(U$2,Inputs!$K$4:$AJ$4,0)))+SUMPRODUCT((Inputs!$C$5:$C$180=$B30)*Inputs!$D$5:$D$180*(((Inputs!$G$5:$G$180="moeda")+(Inputs!$G$5:$G$180="acoes"))*Inputs!$B$1+((Inputs!$G$5:$G$180&lt;&gt;"moeda")*(Inputs!$G$5:$G$180&lt;&gt;"acoes")))*INDEX(Inputs!$K$5:$AJ$180,0,MATCH(U$2,Inputs!$K$4:$AJ$4,0)))+SUMPRODUCT((Inputs!$E$5:$E$180=$B30)*Inputs!$F$5:$F$180*(((Inputs!$G$5:$G$180="moeda")+(Inputs!$G$5:$G$180="acoes"))*Inputs!$B$1+((Inputs!$G$5:$G$180&lt;&gt;"moeda")*(Inputs!$G$5:$G$180&lt;&gt;"acoes")))*INDEX(Inputs!$K$5:$AJ$180,0,MATCH(U$2,Inputs!$K$4:$AJ$4,0)))))</f>
        <v>69.53605591</v>
      </c>
      <c r="V30" s="6">
        <f>IF(ISNA(MATCH(V$2,Inputs!$K$4:$AJ$4,0)),NA(),IF(SUMPRODUCT((Inputs!$A$5:$A$180=$B30)*ISNUMBER(INDEX(Inputs!$K$5:$AJ$180,0,MATCH(V$2,Inputs!$K$4:$AJ$4,0))))+SUMPRODUCT((Inputs!$C$5:$C$180=$B30)*ISNUMBER(INDEX(Inputs!$K$5:$AJ$180,0,MATCH(V$2,Inputs!$K$4:$AJ$4,0))))+SUMPRODUCT((Inputs!$E$5:$E$180=$B30)*ISNUMBER(INDEX(Inputs!$K$5:$AJ$180,0,MATCH(V$2,Inputs!$K$4:$AJ$4,0))))=0,NA(),SUMPRODUCT((Inputs!$A$5:$A$180=$B30)*Inputs!$B$5:$B$180*(((Inputs!$G$5:$G$180="moeda")+(Inputs!$G$5:$G$180="acoes"))*Inputs!$B$1+((Inputs!$G$5:$G$180&lt;&gt;"moeda")*(Inputs!$G$5:$G$180&lt;&gt;"acoes")))*INDEX(Inputs!$K$5:$AJ$180,0,MATCH(V$2,Inputs!$K$4:$AJ$4,0)))+SUMPRODUCT((Inputs!$C$5:$C$180=$B30)*Inputs!$D$5:$D$180*(((Inputs!$G$5:$G$180="moeda")+(Inputs!$G$5:$G$180="acoes"))*Inputs!$B$1+((Inputs!$G$5:$G$180&lt;&gt;"moeda")*(Inputs!$G$5:$G$180&lt;&gt;"acoes")))*INDEX(Inputs!$K$5:$AJ$180,0,MATCH(V$2,Inputs!$K$4:$AJ$4,0)))+SUMPRODUCT((Inputs!$E$5:$E$180=$B30)*Inputs!$F$5:$F$180*(((Inputs!$G$5:$G$180="moeda")+(Inputs!$G$5:$G$180="acoes"))*Inputs!$B$1+((Inputs!$G$5:$G$180&lt;&gt;"moeda")*(Inputs!$G$5:$G$180&lt;&gt;"acoes")))*INDEX(Inputs!$K$5:$AJ$180,0,MATCH(V$2,Inputs!$K$4:$AJ$4,0)))))</f>
        <v>106.98105801</v>
      </c>
      <c r="W30" s="3">
        <f>V30</f>
        <v>106.98105801</v>
      </c>
      <c r="X30" s="6">
        <f>IF(ISNA(MATCH(X$2,Inputs!$K$4:$AJ$4,0)),NA(),IF(SUMPRODUCT((Inputs!$A$5:$A$180=$B30)*ISNUMBER(INDEX(Inputs!$K$5:$AJ$180,0,MATCH(X$2,Inputs!$K$4:$AJ$4,0))))+SUMPRODUCT((Inputs!$C$5:$C$180=$B30)*ISNUMBER(INDEX(Inputs!$K$5:$AJ$180,0,MATCH(X$2,Inputs!$K$4:$AJ$4,0))))+SUMPRODUCT((Inputs!$E$5:$E$180=$B30)*ISNUMBER(INDEX(Inputs!$K$5:$AJ$180,0,MATCH(X$2,Inputs!$K$4:$AJ$4,0))))=0,NA(),SUMPRODUCT((Inputs!$A$5:$A$180=$B30)*Inputs!$B$5:$B$180*(((Inputs!$G$5:$G$180="moeda")+(Inputs!$G$5:$G$180="acoes"))*Inputs!$B$1+((Inputs!$G$5:$G$180&lt;&gt;"moeda")*(Inputs!$G$5:$G$180&lt;&gt;"acoes")))*INDEX(Inputs!$K$5:$AJ$180,0,MATCH(X$2,Inputs!$K$4:$AJ$4,0)))+SUMPRODUCT((Inputs!$C$5:$C$180=$B30)*Inputs!$D$5:$D$180*(((Inputs!$G$5:$G$180="moeda")+(Inputs!$G$5:$G$180="acoes"))*Inputs!$B$1+((Inputs!$G$5:$G$180&lt;&gt;"moeda")*(Inputs!$G$5:$G$180&lt;&gt;"acoes")))*INDEX(Inputs!$K$5:$AJ$180,0,MATCH(X$2,Inputs!$K$4:$AJ$4,0)))+SUMPRODUCT((Inputs!$E$5:$E$180=$B30)*Inputs!$F$5:$F$180*(((Inputs!$G$5:$G$180="moeda")+(Inputs!$G$5:$G$180="acoes"))*Inputs!$B$1+((Inputs!$G$5:$G$180&lt;&gt;"moeda")*(Inputs!$G$5:$G$180&lt;&gt;"acoes")))*INDEX(Inputs!$K$5:$AJ$180,0,MATCH(X$2,Inputs!$K$4:$AJ$4,0)))))</f>
        <v>54.82964442</v>
      </c>
      <c r="Y30" s="6">
        <f>IF(ISNA(MATCH(Y$2,Inputs!$K$4:$AJ$4,0)),NA(),IF(SUMPRODUCT((Inputs!$A$5:$A$180=$B30)*ISNUMBER(INDEX(Inputs!$K$5:$AJ$180,0,MATCH(Y$2,Inputs!$K$4:$AJ$4,0))))+SUMPRODUCT((Inputs!$C$5:$C$180=$B30)*ISNUMBER(INDEX(Inputs!$K$5:$AJ$180,0,MATCH(Y$2,Inputs!$K$4:$AJ$4,0))))+SUMPRODUCT((Inputs!$E$5:$E$180=$B30)*ISNUMBER(INDEX(Inputs!$K$5:$AJ$180,0,MATCH(Y$2,Inputs!$K$4:$AJ$4,0))))=0,NA(),SUMPRODUCT((Inputs!$A$5:$A$180=$B30)*Inputs!$B$5:$B$180*(((Inputs!$G$5:$G$180="moeda")+(Inputs!$G$5:$G$180="acoes"))*Inputs!$B$1+((Inputs!$G$5:$G$180&lt;&gt;"moeda")*(Inputs!$G$5:$G$180&lt;&gt;"acoes")))*INDEX(Inputs!$K$5:$AJ$180,0,MATCH(Y$2,Inputs!$K$4:$AJ$4,0)))+SUMPRODUCT((Inputs!$C$5:$C$180=$B30)*Inputs!$D$5:$D$180*(((Inputs!$G$5:$G$180="moeda")+(Inputs!$G$5:$G$180="acoes"))*Inputs!$B$1+((Inputs!$G$5:$G$180&lt;&gt;"moeda")*(Inputs!$G$5:$G$180&lt;&gt;"acoes")))*INDEX(Inputs!$K$5:$AJ$180,0,MATCH(Y$2,Inputs!$K$4:$AJ$4,0)))+SUMPRODUCT((Inputs!$E$5:$E$180=$B30)*Inputs!$F$5:$F$180*(((Inputs!$G$5:$G$180="moeda")+(Inputs!$G$5:$G$180="acoes"))*Inputs!$B$1+((Inputs!$G$5:$G$180&lt;&gt;"moeda")*(Inputs!$G$5:$G$180&lt;&gt;"acoes")))*INDEX(Inputs!$K$5:$AJ$180,0,MATCH(Y$2,Inputs!$K$4:$AJ$4,0)))))</f>
        <v>79.41800107</v>
      </c>
      <c r="Z30" s="6">
        <f>IF(ISNA(MATCH(Z$2,Inputs!$K$4:$AJ$4,0)),NA(),IF(SUMPRODUCT((Inputs!$A$5:$A$180=$B30)*ISNUMBER(INDEX(Inputs!$K$5:$AJ$180,0,MATCH(Z$2,Inputs!$K$4:$AJ$4,0))))+SUMPRODUCT((Inputs!$C$5:$C$180=$B30)*ISNUMBER(INDEX(Inputs!$K$5:$AJ$180,0,MATCH(Z$2,Inputs!$K$4:$AJ$4,0))))+SUMPRODUCT((Inputs!$E$5:$E$180=$B30)*ISNUMBER(INDEX(Inputs!$K$5:$AJ$180,0,MATCH(Z$2,Inputs!$K$4:$AJ$4,0))))=0,NA(),SUMPRODUCT((Inputs!$A$5:$A$180=$B30)*Inputs!$B$5:$B$180*(((Inputs!$G$5:$G$180="moeda")+(Inputs!$G$5:$G$180="acoes"))*Inputs!$B$1+((Inputs!$G$5:$G$180&lt;&gt;"moeda")*(Inputs!$G$5:$G$180&lt;&gt;"acoes")))*INDEX(Inputs!$K$5:$AJ$180,0,MATCH(Z$2,Inputs!$K$4:$AJ$4,0)))+SUMPRODUCT((Inputs!$C$5:$C$180=$B30)*Inputs!$D$5:$D$180*(((Inputs!$G$5:$G$180="moeda")+(Inputs!$G$5:$G$180="acoes"))*Inputs!$B$1+((Inputs!$G$5:$G$180&lt;&gt;"moeda")*(Inputs!$G$5:$G$180&lt;&gt;"acoes")))*INDEX(Inputs!$K$5:$AJ$180,0,MATCH(Z$2,Inputs!$K$4:$AJ$4,0)))+SUMPRODUCT((Inputs!$E$5:$E$180=$B30)*Inputs!$F$5:$F$180*(((Inputs!$G$5:$G$180="moeda")+(Inputs!$G$5:$G$180="acoes"))*Inputs!$B$1+((Inputs!$G$5:$G$180&lt;&gt;"moeda")*(Inputs!$G$5:$G$180&lt;&gt;"acoes")))*INDEX(Inputs!$K$5:$AJ$180,0,MATCH(Z$2,Inputs!$K$4:$AJ$4,0)))))</f>
        <v>101.917</v>
      </c>
      <c r="AA30" s="6">
        <f>IF(ISNA(MATCH(AA$2,Inputs!$K$4:$AJ$4,0)),NA(),IF(SUMPRODUCT((Inputs!$A$5:$A$180=$B30)*ISNUMBER(INDEX(Inputs!$K$5:$AJ$180,0,MATCH(AA$2,Inputs!$K$4:$AJ$4,0))))+SUMPRODUCT((Inputs!$C$5:$C$180=$B30)*ISNUMBER(INDEX(Inputs!$K$5:$AJ$180,0,MATCH(AA$2,Inputs!$K$4:$AJ$4,0))))+SUMPRODUCT((Inputs!$E$5:$E$180=$B30)*ISNUMBER(INDEX(Inputs!$K$5:$AJ$180,0,MATCH(AA$2,Inputs!$K$4:$AJ$4,0))))=0,NA(),SUMPRODUCT((Inputs!$A$5:$A$180=$B30)*Inputs!$B$5:$B$180*(((Inputs!$G$5:$G$180="moeda")+(Inputs!$G$5:$G$180="acoes"))*Inputs!$B$1+((Inputs!$G$5:$G$180&lt;&gt;"moeda")*(Inputs!$G$5:$G$180&lt;&gt;"acoes")))*INDEX(Inputs!$K$5:$AJ$180,0,MATCH(AA$2,Inputs!$K$4:$AJ$4,0)))+SUMPRODUCT((Inputs!$C$5:$C$180=$B30)*Inputs!$D$5:$D$180*(((Inputs!$G$5:$G$180="moeda")+(Inputs!$G$5:$G$180="acoes"))*Inputs!$B$1+((Inputs!$G$5:$G$180&lt;&gt;"moeda")*(Inputs!$G$5:$G$180&lt;&gt;"acoes")))*INDEX(Inputs!$K$5:$AJ$180,0,MATCH(AA$2,Inputs!$K$4:$AJ$4,0)))+SUMPRODUCT((Inputs!$E$5:$E$180=$B30)*Inputs!$F$5:$F$180*(((Inputs!$G$5:$G$180="moeda")+(Inputs!$G$5:$G$180="acoes"))*Inputs!$B$1+((Inputs!$G$5:$G$180&lt;&gt;"moeda")*(Inputs!$G$5:$G$180&lt;&gt;"acoes")))*INDEX(Inputs!$K$5:$AJ$180,0,MATCH(AA$2,Inputs!$K$4:$AJ$4,0)))))</f>
        <v>123.90926167</v>
      </c>
      <c r="AB30" s="3">
        <f>AA30</f>
        <v>123.90926167</v>
      </c>
      <c r="AC30" s="6">
        <f>IF(ISNA(MATCH(AC$2,Inputs!$K$4:$AJ$4,0)),NA(),IF(SUMPRODUCT((Inputs!$A$5:$A$180=$B30)*ISNUMBER(INDEX(Inputs!$K$5:$AJ$180,0,MATCH(AC$2,Inputs!$K$4:$AJ$4,0))))+SUMPRODUCT((Inputs!$C$5:$C$180=$B30)*ISNUMBER(INDEX(Inputs!$K$5:$AJ$180,0,MATCH(AC$2,Inputs!$K$4:$AJ$4,0))))+SUMPRODUCT((Inputs!$E$5:$E$180=$B30)*ISNUMBER(INDEX(Inputs!$K$5:$AJ$180,0,MATCH(AC$2,Inputs!$K$4:$AJ$4,0))))=0,NA(),SUMPRODUCT((Inputs!$A$5:$A$180=$B30)*Inputs!$B$5:$B$180*(((Inputs!$G$5:$G$180="moeda")+(Inputs!$G$5:$G$180="acoes"))*Inputs!$B$1+((Inputs!$G$5:$G$180&lt;&gt;"moeda")*(Inputs!$G$5:$G$180&lt;&gt;"acoes")))*INDEX(Inputs!$K$5:$AJ$180,0,MATCH(AC$2,Inputs!$K$4:$AJ$4,0)))+SUMPRODUCT((Inputs!$C$5:$C$180=$B30)*Inputs!$D$5:$D$180*(((Inputs!$G$5:$G$180="moeda")+(Inputs!$G$5:$G$180="acoes"))*Inputs!$B$1+((Inputs!$G$5:$G$180&lt;&gt;"moeda")*(Inputs!$G$5:$G$180&lt;&gt;"acoes")))*INDEX(Inputs!$K$5:$AJ$180,0,MATCH(AC$2,Inputs!$K$4:$AJ$4,0)))+SUMPRODUCT((Inputs!$E$5:$E$180=$B30)*Inputs!$F$5:$F$180*(((Inputs!$G$5:$G$180="moeda")+(Inputs!$G$5:$G$180="acoes"))*Inputs!$B$1+((Inputs!$G$5:$G$180&lt;&gt;"moeda")*(Inputs!$G$5:$G$180&lt;&gt;"acoes")))*INDEX(Inputs!$K$5:$AJ$180,0,MATCH(AC$2,Inputs!$K$4:$AJ$4,0)))))</f>
        <v>76.07238625</v>
      </c>
      <c r="AD30" s="6">
        <f>IF(ISNA(MATCH(AD$2,Inputs!$K$4:$AJ$4,0)),NA(),IF(SUMPRODUCT((Inputs!$A$5:$A$180=$B30)*ISNUMBER(INDEX(Inputs!$K$5:$AJ$180,0,MATCH(AD$2,Inputs!$K$4:$AJ$4,0))))+SUMPRODUCT((Inputs!$C$5:$C$180=$B30)*ISNUMBER(INDEX(Inputs!$K$5:$AJ$180,0,MATCH(AD$2,Inputs!$K$4:$AJ$4,0))))+SUMPRODUCT((Inputs!$E$5:$E$180=$B30)*ISNUMBER(INDEX(Inputs!$K$5:$AJ$180,0,MATCH(AD$2,Inputs!$K$4:$AJ$4,0))))=0,NA(),SUMPRODUCT((Inputs!$A$5:$A$180=$B30)*Inputs!$B$5:$B$180*(((Inputs!$G$5:$G$180="moeda")+(Inputs!$G$5:$G$180="acoes"))*Inputs!$B$1+((Inputs!$G$5:$G$180&lt;&gt;"moeda")*(Inputs!$G$5:$G$180&lt;&gt;"acoes")))*INDEX(Inputs!$K$5:$AJ$180,0,MATCH(AD$2,Inputs!$K$4:$AJ$4,0)))+SUMPRODUCT((Inputs!$C$5:$C$180=$B30)*Inputs!$D$5:$D$180*(((Inputs!$G$5:$G$180="moeda")+(Inputs!$G$5:$G$180="acoes"))*Inputs!$B$1+((Inputs!$G$5:$G$180&lt;&gt;"moeda")*(Inputs!$G$5:$G$180&lt;&gt;"acoes")))*INDEX(Inputs!$K$5:$AJ$180,0,MATCH(AD$2,Inputs!$K$4:$AJ$4,0)))+SUMPRODUCT((Inputs!$E$5:$E$180=$B30)*Inputs!$F$5:$F$180*(((Inputs!$G$5:$G$180="moeda")+(Inputs!$G$5:$G$180="acoes"))*Inputs!$B$1+((Inputs!$G$5:$G$180&lt;&gt;"moeda")*(Inputs!$G$5:$G$180&lt;&gt;"acoes")))*INDEX(Inputs!$K$5:$AJ$180,0,MATCH(AD$2,Inputs!$K$4:$AJ$4,0)))))</f>
        <v>91.33871148</v>
      </c>
      <c r="AE30" s="6" t="e">
        <f>IF(ISNA(MATCH(AE$2,Inputs!$K$4:$AJ$4,0)),NA(),IF(SUMPRODUCT((Inputs!$A$5:$A$180=$B30)*ISNUMBER(INDEX(Inputs!$K$5:$AJ$180,0,MATCH(AE$2,Inputs!$K$4:$AJ$4,0))))+SUMPRODUCT((Inputs!$C$5:$C$180=$B30)*ISNUMBER(INDEX(Inputs!$K$5:$AJ$180,0,MATCH(AE$2,Inputs!$K$4:$AJ$4,0))))+SUMPRODUCT((Inputs!$E$5:$E$180=$B30)*ISNUMBER(INDEX(Inputs!$K$5:$AJ$180,0,MATCH(AE$2,Inputs!$K$4:$AJ$4,0))))=0,NA(),SUMPRODUCT((Inputs!$A$5:$A$180=$B30)*Inputs!$B$5:$B$180*(((Inputs!$G$5:$G$180="moeda")+(Inputs!$G$5:$G$180="acoes"))*Inputs!$B$1+((Inputs!$G$5:$G$180&lt;&gt;"moeda")*(Inputs!$G$5:$G$180&lt;&gt;"acoes")))*INDEX(Inputs!$K$5:$AJ$180,0,MATCH(AE$2,Inputs!$K$4:$AJ$4,0)))+SUMPRODUCT((Inputs!$C$5:$C$180=$B30)*Inputs!$D$5:$D$180*(((Inputs!$G$5:$G$180="moeda")+(Inputs!$G$5:$G$180="acoes"))*Inputs!$B$1+((Inputs!$G$5:$G$180&lt;&gt;"moeda")*(Inputs!$G$5:$G$180&lt;&gt;"acoes")))*INDEX(Inputs!$K$5:$AJ$180,0,MATCH(AE$2,Inputs!$K$4:$AJ$4,0)))+SUMPRODUCT((Inputs!$E$5:$E$180=$B30)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0" s="6" t="e">
        <f>IF(ISNA(MATCH(AF$2,Inputs!$K$4:$AJ$4,0)),NA(),IF(SUMPRODUCT((Inputs!$A$5:$A$180=$B30)*ISNUMBER(INDEX(Inputs!$K$5:$AJ$180,0,MATCH(AF$2,Inputs!$K$4:$AJ$4,0))))+SUMPRODUCT((Inputs!$C$5:$C$180=$B30)*ISNUMBER(INDEX(Inputs!$K$5:$AJ$180,0,MATCH(AF$2,Inputs!$K$4:$AJ$4,0))))+SUMPRODUCT((Inputs!$E$5:$E$180=$B30)*ISNUMBER(INDEX(Inputs!$K$5:$AJ$180,0,MATCH(AF$2,Inputs!$K$4:$AJ$4,0))))=0,NA(),SUMPRODUCT((Inputs!$A$5:$A$180=$B30)*Inputs!$B$5:$B$180*(((Inputs!$G$5:$G$180="moeda")+(Inputs!$G$5:$G$180="acoes"))*Inputs!$B$1+((Inputs!$G$5:$G$180&lt;&gt;"moeda")*(Inputs!$G$5:$G$180&lt;&gt;"acoes")))*INDEX(Inputs!$K$5:$AJ$180,0,MATCH(AF$2,Inputs!$K$4:$AJ$4,0)))+SUMPRODUCT((Inputs!$C$5:$C$180=$B30)*Inputs!$D$5:$D$180*(((Inputs!$G$5:$G$180="moeda")+(Inputs!$G$5:$G$180="acoes"))*Inputs!$B$1+((Inputs!$G$5:$G$180&lt;&gt;"moeda")*(Inputs!$G$5:$G$180&lt;&gt;"acoes")))*INDEX(Inputs!$K$5:$AJ$180,0,MATCH(AF$2,Inputs!$K$4:$AJ$4,0)))+SUMPRODUCT((Inputs!$E$5:$E$180=$B30)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0" s="3" t="e">
        <f>AF30</f>
        <v>#N/A</v>
      </c>
      <c r="AH30" s="6">
        <f>IF(ISNA(MATCH(AH$2,Inputs!$K$4:$AJ$4,0)),NA(),IF(SUMPRODUCT((Inputs!$A$5:$A$180=$B30)*ISNUMBER(INDEX(Inputs!$K$5:$AJ$180,0,MATCH(AH$2,Inputs!$K$4:$AJ$4,0))))+SUMPRODUCT((Inputs!$C$5:$C$180=$B30)*ISNUMBER(INDEX(Inputs!$K$5:$AJ$180,0,MATCH(AH$2,Inputs!$K$4:$AJ$4,0))))+SUMPRODUCT((Inputs!$E$5:$E$180=$B30)*ISNUMBER(INDEX(Inputs!$K$5:$AJ$180,0,MATCH(AH$2,Inputs!$K$4:$AJ$4,0))))=0,NA(),SUMPRODUCT((Inputs!$A$5:$A$180=$B30)*Inputs!$B$5:$B$180*(((Inputs!$G$5:$G$180="moeda")+(Inputs!$G$5:$G$180="acoes"))*Inputs!$B$1+((Inputs!$G$5:$G$180&lt;&gt;"moeda")*(Inputs!$G$5:$G$180&lt;&gt;"acoes")))*INDEX(Inputs!$K$5:$AJ$180,0,MATCH(AH$2,Inputs!$K$4:$AJ$4,0)))+SUMPRODUCT((Inputs!$C$5:$C$180=$B30)*Inputs!$D$5:$D$180*(((Inputs!$G$5:$G$180="moeda")+(Inputs!$G$5:$G$180="acoes"))*Inputs!$B$1+((Inputs!$G$5:$G$180&lt;&gt;"moeda")*(Inputs!$G$5:$G$180&lt;&gt;"acoes")))*INDEX(Inputs!$K$5:$AJ$180,0,MATCH(AH$2,Inputs!$K$4:$AJ$4,0)))+SUMPRODUCT((Inputs!$E$5:$E$180=$B30)*Inputs!$F$5:$F$180*(((Inputs!$G$5:$G$180="moeda")+(Inputs!$G$5:$G$180="acoes"))*Inputs!$B$1+((Inputs!$G$5:$G$180&lt;&gt;"moeda")*(Inputs!$G$5:$G$180&lt;&gt;"acoes")))*INDEX(Inputs!$K$5:$AJ$180,0,MATCH(AH$2,Inputs!$K$4:$AJ$4,0)))))</f>
        <v>34.518</v>
      </c>
      <c r="AI30" s="6">
        <f>IF(ISNA(MATCH(AI$2,Inputs!$K$4:$AJ$4,0)),NA(),IF(SUMPRODUCT((Inputs!$A$5:$A$180=$B30)*ISNUMBER(INDEX(Inputs!$K$5:$AJ$180,0,MATCH(AI$2,Inputs!$K$4:$AJ$4,0))))+SUMPRODUCT((Inputs!$C$5:$C$180=$B30)*ISNUMBER(INDEX(Inputs!$K$5:$AJ$180,0,MATCH(AI$2,Inputs!$K$4:$AJ$4,0))))+SUMPRODUCT((Inputs!$E$5:$E$180=$B30)*ISNUMBER(INDEX(Inputs!$K$5:$AJ$180,0,MATCH(AI$2,Inputs!$K$4:$AJ$4,0))))=0,NA(),SUMPRODUCT((Inputs!$A$5:$A$180=$B30)*Inputs!$B$5:$B$180*(((Inputs!$G$5:$G$180="moeda")+(Inputs!$G$5:$G$180="acoes"))*Inputs!$B$1+((Inputs!$G$5:$G$180&lt;&gt;"moeda")*(Inputs!$G$5:$G$180&lt;&gt;"acoes")))*INDEX(Inputs!$K$5:$AJ$180,0,MATCH(AI$2,Inputs!$K$4:$AJ$4,0)))+SUMPRODUCT((Inputs!$C$5:$C$180=$B30)*Inputs!$D$5:$D$180*(((Inputs!$G$5:$G$180="moeda")+(Inputs!$G$5:$G$180="acoes"))*Inputs!$B$1+((Inputs!$G$5:$G$180&lt;&gt;"moeda")*(Inputs!$G$5:$G$180&lt;&gt;"acoes")))*INDEX(Inputs!$K$5:$AJ$180,0,MATCH(AI$2,Inputs!$K$4:$AJ$4,0)))+SUMPRODUCT((Inputs!$E$5:$E$180=$B30)*Inputs!$F$5:$F$180*(((Inputs!$G$5:$G$180="moeda")+(Inputs!$G$5:$G$180="acoes"))*Inputs!$B$1+((Inputs!$G$5:$G$180&lt;&gt;"moeda")*(Inputs!$G$5:$G$180&lt;&gt;"acoes")))*INDEX(Inputs!$K$5:$AJ$180,0,MATCH(AI$2,Inputs!$K$4:$AJ$4,0)))))</f>
        <v>36.2322049</v>
      </c>
      <c r="AJ30" s="6">
        <f>IF(ISNA(MATCH(AJ$2,Inputs!$K$4:$AJ$4,0)),NA(),IF(SUMPRODUCT((Inputs!$A$5:$A$180=$B30)*ISNUMBER(INDEX(Inputs!$K$5:$AJ$180,0,MATCH(AJ$2,Inputs!$K$4:$AJ$4,0))))+SUMPRODUCT((Inputs!$C$5:$C$180=$B30)*ISNUMBER(INDEX(Inputs!$K$5:$AJ$180,0,MATCH(AJ$2,Inputs!$K$4:$AJ$4,0))))+SUMPRODUCT((Inputs!$E$5:$E$180=$B30)*ISNUMBER(INDEX(Inputs!$K$5:$AJ$180,0,MATCH(AJ$2,Inputs!$K$4:$AJ$4,0))))=0,NA(),SUMPRODUCT((Inputs!$A$5:$A$180=$B30)*Inputs!$B$5:$B$180*(((Inputs!$G$5:$G$180="moeda")+(Inputs!$G$5:$G$180="acoes"))*Inputs!$B$1+((Inputs!$G$5:$G$180&lt;&gt;"moeda")*(Inputs!$G$5:$G$180&lt;&gt;"acoes")))*INDEX(Inputs!$K$5:$AJ$180,0,MATCH(AJ$2,Inputs!$K$4:$AJ$4,0)))+SUMPRODUCT((Inputs!$C$5:$C$180=$B30)*Inputs!$D$5:$D$180*(((Inputs!$G$5:$G$180="moeda")+(Inputs!$G$5:$G$180="acoes"))*Inputs!$B$1+((Inputs!$G$5:$G$180&lt;&gt;"moeda")*(Inputs!$G$5:$G$180&lt;&gt;"acoes")))*INDEX(Inputs!$K$5:$AJ$180,0,MATCH(AJ$2,Inputs!$K$4:$AJ$4,0)))+SUMPRODUCT((Inputs!$E$5:$E$180=$B30)*Inputs!$F$5:$F$180*(((Inputs!$G$5:$G$180="moeda")+(Inputs!$G$5:$G$180="acoes"))*Inputs!$B$1+((Inputs!$G$5:$G$180&lt;&gt;"moeda")*(Inputs!$G$5:$G$180&lt;&gt;"acoes")))*INDEX(Inputs!$K$5:$AJ$180,0,MATCH(AJ$2,Inputs!$K$4:$AJ$4,0)))))</f>
        <v>42.45214474</v>
      </c>
      <c r="AK30" s="6">
        <f>IF(ISNA(MATCH(AK$2,Inputs!$K$4:$AJ$4,0)),NA(),IF(SUMPRODUCT((Inputs!$A$5:$A$180=$B30)*ISNUMBER(INDEX(Inputs!$K$5:$AJ$180,0,MATCH(AK$2,Inputs!$K$4:$AJ$4,0))))+SUMPRODUCT((Inputs!$C$5:$C$180=$B30)*ISNUMBER(INDEX(Inputs!$K$5:$AJ$180,0,MATCH(AK$2,Inputs!$K$4:$AJ$4,0))))+SUMPRODUCT((Inputs!$E$5:$E$180=$B30)*ISNUMBER(INDEX(Inputs!$K$5:$AJ$180,0,MATCH(AK$2,Inputs!$K$4:$AJ$4,0))))=0,NA(),SUMPRODUCT((Inputs!$A$5:$A$180=$B30)*Inputs!$B$5:$B$180*(((Inputs!$G$5:$G$180="moeda")+(Inputs!$G$5:$G$180="acoes"))*Inputs!$B$1+((Inputs!$G$5:$G$180&lt;&gt;"moeda")*(Inputs!$G$5:$G$180&lt;&gt;"acoes")))*INDEX(Inputs!$K$5:$AJ$180,0,MATCH(AK$2,Inputs!$K$4:$AJ$4,0)))+SUMPRODUCT((Inputs!$C$5:$C$180=$B30)*Inputs!$D$5:$D$180*(((Inputs!$G$5:$G$180="moeda")+(Inputs!$G$5:$G$180="acoes"))*Inputs!$B$1+((Inputs!$G$5:$G$180&lt;&gt;"moeda")*(Inputs!$G$5:$G$180&lt;&gt;"acoes")))*INDEX(Inputs!$K$5:$AJ$180,0,MATCH(AK$2,Inputs!$K$4:$AJ$4,0)))+SUMPRODUCT((Inputs!$E$5:$E$180=$B30)*Inputs!$F$5:$F$180*(((Inputs!$G$5:$G$180="moeda")+(Inputs!$G$5:$G$180="acoes"))*Inputs!$B$1+((Inputs!$G$5:$G$180&lt;&gt;"moeda")*(Inputs!$G$5:$G$180&lt;&gt;"acoes")))*INDEX(Inputs!$K$5:$AJ$180,0,MATCH(AK$2,Inputs!$K$4:$AJ$4,0)))))</f>
        <v>92.50399356</v>
      </c>
      <c r="AL30" s="3">
        <f>AK30</f>
        <v>92.50399356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$180=$B31)*ISNUMBER(INDEX(Inputs!$K$5:$AJ$180,0,MATCH(D$2,Inputs!$K$4:$AJ$4,0))))+SUMPRODUCT((Inputs!$C$5:$C$180=$B31)*ISNUMBER(INDEX(Inputs!$K$5:$AJ$180,0,MATCH(D$2,Inputs!$K$4:$AJ$4,0))))+SUMPRODUCT((Inputs!$E$5:$E$180=$B31)*ISNUMBER(INDEX(Inputs!$K$5:$AJ$180,0,MATCH(D$2,Inputs!$K$4:$AJ$4,0))))=0,NA(),SUMPRODUCT((Inputs!$A$5:$A$180=$B31)*Inputs!$B$5:$B$180*(((Inputs!$G$5:$G$180="moeda")+(Inputs!$G$5:$G$180="acoes"))*Inputs!$B$1+((Inputs!$G$5:$G$180&lt;&gt;"moeda")*(Inputs!$G$5:$G$180&lt;&gt;"acoes")))*INDEX(Inputs!$K$5:$AJ$180,0,MATCH(D$2,Inputs!$K$4:$AJ$4,0)))+SUMPRODUCT((Inputs!$C$5:$C$180=$B31)*Inputs!$D$5:$D$180*(((Inputs!$G$5:$G$180="moeda")+(Inputs!$G$5:$G$180="acoes"))*Inputs!$B$1+((Inputs!$G$5:$G$180&lt;&gt;"moeda")*(Inputs!$G$5:$G$180&lt;&gt;"acoes")))*INDEX(Inputs!$K$5:$AJ$180,0,MATCH(D$2,Inputs!$K$4:$AJ$4,0)))+SUMPRODUCT((Inputs!$E$5:$E$180=$B31)*Inputs!$F$5:$F$180*(((Inputs!$G$5:$G$180="moeda")+(Inputs!$G$5:$G$180="acoes"))*Inputs!$B$1+((Inputs!$G$5:$G$180&lt;&gt;"moeda")*(Inputs!$G$5:$G$180&lt;&gt;"acoes")))*INDEX(Inputs!$K$5:$AJ$180,0,MATCH(D$2,Inputs!$K$4:$AJ$4,0)))))</f>
        <v>64.53252704</v>
      </c>
      <c r="E31" s="6">
        <f>IF(ISNA(MATCH(E$2,Inputs!$K$4:$AJ$4,0)),NA(),IF(SUMPRODUCT((Inputs!$A$5:$A$180=$B31)*ISNUMBER(INDEX(Inputs!$K$5:$AJ$180,0,MATCH(E$2,Inputs!$K$4:$AJ$4,0))))+SUMPRODUCT((Inputs!$C$5:$C$180=$B31)*ISNUMBER(INDEX(Inputs!$K$5:$AJ$180,0,MATCH(E$2,Inputs!$K$4:$AJ$4,0))))+SUMPRODUCT((Inputs!$E$5:$E$180=$B31)*ISNUMBER(INDEX(Inputs!$K$5:$AJ$180,0,MATCH(E$2,Inputs!$K$4:$AJ$4,0))))=0,NA(),SUMPRODUCT((Inputs!$A$5:$A$180=$B31)*Inputs!$B$5:$B$180*(((Inputs!$G$5:$G$180="moeda")+(Inputs!$G$5:$G$180="acoes"))*Inputs!$B$1+((Inputs!$G$5:$G$180&lt;&gt;"moeda")*(Inputs!$G$5:$G$180&lt;&gt;"acoes")))*INDEX(Inputs!$K$5:$AJ$180,0,MATCH(E$2,Inputs!$K$4:$AJ$4,0)))+SUMPRODUCT((Inputs!$C$5:$C$180=$B31)*Inputs!$D$5:$D$180*(((Inputs!$G$5:$G$180="moeda")+(Inputs!$G$5:$G$180="acoes"))*Inputs!$B$1+((Inputs!$G$5:$G$180&lt;&gt;"moeda")*(Inputs!$G$5:$G$180&lt;&gt;"acoes")))*INDEX(Inputs!$K$5:$AJ$180,0,MATCH(E$2,Inputs!$K$4:$AJ$4,0)))+SUMPRODUCT((Inputs!$E$5:$E$180=$B31)*Inputs!$F$5:$F$180*(((Inputs!$G$5:$G$180="moeda")+(Inputs!$G$5:$G$180="acoes"))*Inputs!$B$1+((Inputs!$G$5:$G$180&lt;&gt;"moeda")*(Inputs!$G$5:$G$180&lt;&gt;"acoes")))*INDEX(Inputs!$K$5:$AJ$180,0,MATCH(E$2,Inputs!$K$4:$AJ$4,0)))))</f>
        <v>24.55388589</v>
      </c>
      <c r="F31" s="6">
        <f>IF(ISNA(MATCH(F$2,Inputs!$K$4:$AJ$4,0)),NA(),IF(SUMPRODUCT((Inputs!$A$5:$A$180=$B31)*ISNUMBER(INDEX(Inputs!$K$5:$AJ$180,0,MATCH(F$2,Inputs!$K$4:$AJ$4,0))))+SUMPRODUCT((Inputs!$C$5:$C$180=$B31)*ISNUMBER(INDEX(Inputs!$K$5:$AJ$180,0,MATCH(F$2,Inputs!$K$4:$AJ$4,0))))+SUMPRODUCT((Inputs!$E$5:$E$180=$B31)*ISNUMBER(INDEX(Inputs!$K$5:$AJ$180,0,MATCH(F$2,Inputs!$K$4:$AJ$4,0))))=0,NA(),SUMPRODUCT((Inputs!$A$5:$A$180=$B31)*Inputs!$B$5:$B$180*(((Inputs!$G$5:$G$180="moeda")+(Inputs!$G$5:$G$180="acoes"))*Inputs!$B$1+((Inputs!$G$5:$G$180&lt;&gt;"moeda")*(Inputs!$G$5:$G$180&lt;&gt;"acoes")))*INDEX(Inputs!$K$5:$AJ$180,0,MATCH(F$2,Inputs!$K$4:$AJ$4,0)))+SUMPRODUCT((Inputs!$C$5:$C$180=$B31)*Inputs!$D$5:$D$180*(((Inputs!$G$5:$G$180="moeda")+(Inputs!$G$5:$G$180="acoes"))*Inputs!$B$1+((Inputs!$G$5:$G$180&lt;&gt;"moeda")*(Inputs!$G$5:$G$180&lt;&gt;"acoes")))*INDEX(Inputs!$K$5:$AJ$180,0,MATCH(F$2,Inputs!$K$4:$AJ$4,0)))+SUMPRODUCT((Inputs!$E$5:$E$180=$B31)*Inputs!$F$5:$F$180*(((Inputs!$G$5:$G$180="moeda")+(Inputs!$G$5:$G$180="acoes"))*Inputs!$B$1+((Inputs!$G$5:$G$180&lt;&gt;"moeda")*(Inputs!$G$5:$G$180&lt;&gt;"acoes")))*INDEX(Inputs!$K$5:$AJ$180,0,MATCH(F$2,Inputs!$K$4:$AJ$4,0)))))</f>
        <v>25.03988111</v>
      </c>
      <c r="G31" s="6">
        <f>IF(ISNA(MATCH(G$2,Inputs!$K$4:$AJ$4,0)),NA(),IF(SUMPRODUCT((Inputs!$A$5:$A$180=$B31)*ISNUMBER(INDEX(Inputs!$K$5:$AJ$180,0,MATCH(G$2,Inputs!$K$4:$AJ$4,0))))+SUMPRODUCT((Inputs!$C$5:$C$180=$B31)*ISNUMBER(INDEX(Inputs!$K$5:$AJ$180,0,MATCH(G$2,Inputs!$K$4:$AJ$4,0))))+SUMPRODUCT((Inputs!$E$5:$E$180=$B31)*ISNUMBER(INDEX(Inputs!$K$5:$AJ$180,0,MATCH(G$2,Inputs!$K$4:$AJ$4,0))))=0,NA(),SUMPRODUCT((Inputs!$A$5:$A$180=$B31)*Inputs!$B$5:$B$180*(((Inputs!$G$5:$G$180="moeda")+(Inputs!$G$5:$G$180="acoes"))*Inputs!$B$1+((Inputs!$G$5:$G$180&lt;&gt;"moeda")*(Inputs!$G$5:$G$180&lt;&gt;"acoes")))*INDEX(Inputs!$K$5:$AJ$180,0,MATCH(G$2,Inputs!$K$4:$AJ$4,0)))+SUMPRODUCT((Inputs!$C$5:$C$180=$B31)*Inputs!$D$5:$D$180*(((Inputs!$G$5:$G$180="moeda")+(Inputs!$G$5:$G$180="acoes"))*Inputs!$B$1+((Inputs!$G$5:$G$180&lt;&gt;"moeda")*(Inputs!$G$5:$G$180&lt;&gt;"acoes")))*INDEX(Inputs!$K$5:$AJ$180,0,MATCH(G$2,Inputs!$K$4:$AJ$4,0)))+SUMPRODUCT((Inputs!$E$5:$E$180=$B31)*Inputs!$F$5:$F$180*(((Inputs!$G$5:$G$180="moeda")+(Inputs!$G$5:$G$180="acoes"))*Inputs!$B$1+((Inputs!$G$5:$G$180&lt;&gt;"moeda")*(Inputs!$G$5:$G$180&lt;&gt;"acoes")))*INDEX(Inputs!$K$5:$AJ$180,0,MATCH(G$2,Inputs!$K$4:$AJ$4,0)))))</f>
        <v>120.69928688</v>
      </c>
      <c r="H31" s="3">
        <f>G31</f>
        <v>120.69928688</v>
      </c>
      <c r="I31" s="6">
        <f>IF(ISNA(MATCH(I$2,Inputs!$K$4:$AJ$4,0)),NA(),IF(SUMPRODUCT((Inputs!$A$5:$A$180=$B31)*ISNUMBER(INDEX(Inputs!$K$5:$AJ$180,0,MATCH(I$2,Inputs!$K$4:$AJ$4,0))))+SUMPRODUCT((Inputs!$C$5:$C$180=$B31)*ISNUMBER(INDEX(Inputs!$K$5:$AJ$180,0,MATCH(I$2,Inputs!$K$4:$AJ$4,0))))+SUMPRODUCT((Inputs!$E$5:$E$180=$B31)*ISNUMBER(INDEX(Inputs!$K$5:$AJ$180,0,MATCH(I$2,Inputs!$K$4:$AJ$4,0))))=0,NA(),SUMPRODUCT((Inputs!$A$5:$A$180=$B31)*Inputs!$B$5:$B$180*(((Inputs!$G$5:$G$180="moeda")+(Inputs!$G$5:$G$180="acoes"))*Inputs!$B$1+((Inputs!$G$5:$G$180&lt;&gt;"moeda")*(Inputs!$G$5:$G$180&lt;&gt;"acoes")))*INDEX(Inputs!$K$5:$AJ$180,0,MATCH(I$2,Inputs!$K$4:$AJ$4,0)))+SUMPRODUCT((Inputs!$C$5:$C$180=$B31)*Inputs!$D$5:$D$180*(((Inputs!$G$5:$G$180="moeda")+(Inputs!$G$5:$G$180="acoes"))*Inputs!$B$1+((Inputs!$G$5:$G$180&lt;&gt;"moeda")*(Inputs!$G$5:$G$180&lt;&gt;"acoes")))*INDEX(Inputs!$K$5:$AJ$180,0,MATCH(I$2,Inputs!$K$4:$AJ$4,0)))+SUMPRODUCT((Inputs!$E$5:$E$180=$B31)*Inputs!$F$5:$F$180*(((Inputs!$G$5:$G$180="moeda")+(Inputs!$G$5:$G$180="acoes"))*Inputs!$B$1+((Inputs!$G$5:$G$180&lt;&gt;"moeda")*(Inputs!$G$5:$G$180&lt;&gt;"acoes")))*INDEX(Inputs!$K$5:$AJ$180,0,MATCH(I$2,Inputs!$K$4:$AJ$4,0)))))</f>
        <v>98.00898294</v>
      </c>
      <c r="J31" s="6">
        <f>IF(ISNA(MATCH(J$2,Inputs!$K$4:$AJ$4,0)),NA(),IF(SUMPRODUCT((Inputs!$A$5:$A$180=$B31)*ISNUMBER(INDEX(Inputs!$K$5:$AJ$180,0,MATCH(J$2,Inputs!$K$4:$AJ$4,0))))+SUMPRODUCT((Inputs!$C$5:$C$180=$B31)*ISNUMBER(INDEX(Inputs!$K$5:$AJ$180,0,MATCH(J$2,Inputs!$K$4:$AJ$4,0))))+SUMPRODUCT((Inputs!$E$5:$E$180=$B31)*ISNUMBER(INDEX(Inputs!$K$5:$AJ$180,0,MATCH(J$2,Inputs!$K$4:$AJ$4,0))))=0,NA(),SUMPRODUCT((Inputs!$A$5:$A$180=$B31)*Inputs!$B$5:$B$180*(((Inputs!$G$5:$G$180="moeda")+(Inputs!$G$5:$G$180="acoes"))*Inputs!$B$1+((Inputs!$G$5:$G$180&lt;&gt;"moeda")*(Inputs!$G$5:$G$180&lt;&gt;"acoes")))*INDEX(Inputs!$K$5:$AJ$180,0,MATCH(J$2,Inputs!$K$4:$AJ$4,0)))+SUMPRODUCT((Inputs!$C$5:$C$180=$B31)*Inputs!$D$5:$D$180*(((Inputs!$G$5:$G$180="moeda")+(Inputs!$G$5:$G$180="acoes"))*Inputs!$B$1+((Inputs!$G$5:$G$180&lt;&gt;"moeda")*(Inputs!$G$5:$G$180&lt;&gt;"acoes")))*INDEX(Inputs!$K$5:$AJ$180,0,MATCH(J$2,Inputs!$K$4:$AJ$4,0)))+SUMPRODUCT((Inputs!$E$5:$E$180=$B31)*Inputs!$F$5:$F$180*(((Inputs!$G$5:$G$180="moeda")+(Inputs!$G$5:$G$180="acoes"))*Inputs!$B$1+((Inputs!$G$5:$G$180&lt;&gt;"moeda")*(Inputs!$G$5:$G$180&lt;&gt;"acoes")))*INDEX(Inputs!$K$5:$AJ$180,0,MATCH(J$2,Inputs!$K$4:$AJ$4,0)))))</f>
        <v>41.59128416</v>
      </c>
      <c r="K31" s="6">
        <f>IF(ISNA(MATCH(K$2,Inputs!$K$4:$AJ$4,0)),NA(),IF(SUMPRODUCT((Inputs!$A$5:$A$180=$B31)*ISNUMBER(INDEX(Inputs!$K$5:$AJ$180,0,MATCH(K$2,Inputs!$K$4:$AJ$4,0))))+SUMPRODUCT((Inputs!$C$5:$C$180=$B31)*ISNUMBER(INDEX(Inputs!$K$5:$AJ$180,0,MATCH(K$2,Inputs!$K$4:$AJ$4,0))))+SUMPRODUCT((Inputs!$E$5:$E$180=$B31)*ISNUMBER(INDEX(Inputs!$K$5:$AJ$180,0,MATCH(K$2,Inputs!$K$4:$AJ$4,0))))=0,NA(),SUMPRODUCT((Inputs!$A$5:$A$180=$B31)*Inputs!$B$5:$B$180*(((Inputs!$G$5:$G$180="moeda")+(Inputs!$G$5:$G$180="acoes"))*Inputs!$B$1+((Inputs!$G$5:$G$180&lt;&gt;"moeda")*(Inputs!$G$5:$G$180&lt;&gt;"acoes")))*INDEX(Inputs!$K$5:$AJ$180,0,MATCH(K$2,Inputs!$K$4:$AJ$4,0)))+SUMPRODUCT((Inputs!$C$5:$C$180=$B31)*Inputs!$D$5:$D$180*(((Inputs!$G$5:$G$180="moeda")+(Inputs!$G$5:$G$180="acoes"))*Inputs!$B$1+((Inputs!$G$5:$G$180&lt;&gt;"moeda")*(Inputs!$G$5:$G$180&lt;&gt;"acoes")))*INDEX(Inputs!$K$5:$AJ$180,0,MATCH(K$2,Inputs!$K$4:$AJ$4,0)))+SUMPRODUCT((Inputs!$E$5:$E$180=$B31)*Inputs!$F$5:$F$180*(((Inputs!$G$5:$G$180="moeda")+(Inputs!$G$5:$G$180="acoes"))*Inputs!$B$1+((Inputs!$G$5:$G$180&lt;&gt;"moeda")*(Inputs!$G$5:$G$180&lt;&gt;"acoes")))*INDEX(Inputs!$K$5:$AJ$180,0,MATCH(K$2,Inputs!$K$4:$AJ$4,0)))))</f>
        <v>43.30680812</v>
      </c>
      <c r="L31" s="6">
        <f>IF(ISNA(MATCH(L$2,Inputs!$K$4:$AJ$4,0)),NA(),IF(SUMPRODUCT((Inputs!$A$5:$A$180=$B31)*ISNUMBER(INDEX(Inputs!$K$5:$AJ$180,0,MATCH(L$2,Inputs!$K$4:$AJ$4,0))))+SUMPRODUCT((Inputs!$C$5:$C$180=$B31)*ISNUMBER(INDEX(Inputs!$K$5:$AJ$180,0,MATCH(L$2,Inputs!$K$4:$AJ$4,0))))+SUMPRODUCT((Inputs!$E$5:$E$180=$B31)*ISNUMBER(INDEX(Inputs!$K$5:$AJ$180,0,MATCH(L$2,Inputs!$K$4:$AJ$4,0))))=0,NA(),SUMPRODUCT((Inputs!$A$5:$A$180=$B31)*Inputs!$B$5:$B$180*(((Inputs!$G$5:$G$180="moeda")+(Inputs!$G$5:$G$180="acoes"))*Inputs!$B$1+((Inputs!$G$5:$G$180&lt;&gt;"moeda")*(Inputs!$G$5:$G$180&lt;&gt;"acoes")))*INDEX(Inputs!$K$5:$AJ$180,0,MATCH(L$2,Inputs!$K$4:$AJ$4,0)))+SUMPRODUCT((Inputs!$C$5:$C$180=$B31)*Inputs!$D$5:$D$180*(((Inputs!$G$5:$G$180="moeda")+(Inputs!$G$5:$G$180="acoes"))*Inputs!$B$1+((Inputs!$G$5:$G$180&lt;&gt;"moeda")*(Inputs!$G$5:$G$180&lt;&gt;"acoes")))*INDEX(Inputs!$K$5:$AJ$180,0,MATCH(L$2,Inputs!$K$4:$AJ$4,0)))+SUMPRODUCT((Inputs!$E$5:$E$180=$B31)*Inputs!$F$5:$F$180*(((Inputs!$G$5:$G$180="moeda")+(Inputs!$G$5:$G$180="acoes"))*Inputs!$B$1+((Inputs!$G$5:$G$180&lt;&gt;"moeda")*(Inputs!$G$5:$G$180&lt;&gt;"acoes")))*INDEX(Inputs!$K$5:$AJ$180,0,MATCH(L$2,Inputs!$K$4:$AJ$4,0)))))</f>
        <v>180.5569735</v>
      </c>
      <c r="M31" s="3">
        <f>L31</f>
        <v>180.5569735</v>
      </c>
      <c r="N31" s="6">
        <f>IF(ISNA(MATCH(N$2,Inputs!$K$4:$AJ$4,0)),NA(),IF(SUMPRODUCT((Inputs!$A$5:$A$180=$B31)*ISNUMBER(INDEX(Inputs!$K$5:$AJ$180,0,MATCH(N$2,Inputs!$K$4:$AJ$4,0))))+SUMPRODUCT((Inputs!$C$5:$C$180=$B31)*ISNUMBER(INDEX(Inputs!$K$5:$AJ$180,0,MATCH(N$2,Inputs!$K$4:$AJ$4,0))))+SUMPRODUCT((Inputs!$E$5:$E$180=$B31)*ISNUMBER(INDEX(Inputs!$K$5:$AJ$180,0,MATCH(N$2,Inputs!$K$4:$AJ$4,0))))=0,NA(),SUMPRODUCT((Inputs!$A$5:$A$180=$B31)*Inputs!$B$5:$B$180*(((Inputs!$G$5:$G$180="moeda")+(Inputs!$G$5:$G$180="acoes"))*Inputs!$B$1+((Inputs!$G$5:$G$180&lt;&gt;"moeda")*(Inputs!$G$5:$G$180&lt;&gt;"acoes")))*INDEX(Inputs!$K$5:$AJ$180,0,MATCH(N$2,Inputs!$K$4:$AJ$4,0)))+SUMPRODUCT((Inputs!$C$5:$C$180=$B31)*Inputs!$D$5:$D$180*(((Inputs!$G$5:$G$180="moeda")+(Inputs!$G$5:$G$180="acoes"))*Inputs!$B$1+((Inputs!$G$5:$G$180&lt;&gt;"moeda")*(Inputs!$G$5:$G$180&lt;&gt;"acoes")))*INDEX(Inputs!$K$5:$AJ$180,0,MATCH(N$2,Inputs!$K$4:$AJ$4,0)))+SUMPRODUCT((Inputs!$E$5:$E$180=$B31)*Inputs!$F$5:$F$180*(((Inputs!$G$5:$G$180="moeda")+(Inputs!$G$5:$G$180="acoes"))*Inputs!$B$1+((Inputs!$G$5:$G$180&lt;&gt;"moeda")*(Inputs!$G$5:$G$180&lt;&gt;"acoes")))*INDEX(Inputs!$K$5:$AJ$180,0,MATCH(N$2,Inputs!$K$4:$AJ$4,0)))))</f>
        <v>143.132</v>
      </c>
      <c r="O31" s="6">
        <f>IF(ISNA(MATCH(O$2,Inputs!$K$4:$AJ$4,0)),NA(),IF(SUMPRODUCT((Inputs!$A$5:$A$180=$B31)*ISNUMBER(INDEX(Inputs!$K$5:$AJ$180,0,MATCH(O$2,Inputs!$K$4:$AJ$4,0))))+SUMPRODUCT((Inputs!$C$5:$C$180=$B31)*ISNUMBER(INDEX(Inputs!$K$5:$AJ$180,0,MATCH(O$2,Inputs!$K$4:$AJ$4,0))))+SUMPRODUCT((Inputs!$E$5:$E$180=$B31)*ISNUMBER(INDEX(Inputs!$K$5:$AJ$180,0,MATCH(O$2,Inputs!$K$4:$AJ$4,0))))=0,NA(),SUMPRODUCT((Inputs!$A$5:$A$180=$B31)*Inputs!$B$5:$B$180*(((Inputs!$G$5:$G$180="moeda")+(Inputs!$G$5:$G$180="acoes"))*Inputs!$B$1+((Inputs!$G$5:$G$180&lt;&gt;"moeda")*(Inputs!$G$5:$G$180&lt;&gt;"acoes")))*INDEX(Inputs!$K$5:$AJ$180,0,MATCH(O$2,Inputs!$K$4:$AJ$4,0)))+SUMPRODUCT((Inputs!$C$5:$C$180=$B31)*Inputs!$D$5:$D$180*(((Inputs!$G$5:$G$180="moeda")+(Inputs!$G$5:$G$180="acoes"))*Inputs!$B$1+((Inputs!$G$5:$G$180&lt;&gt;"moeda")*(Inputs!$G$5:$G$180&lt;&gt;"acoes")))*INDEX(Inputs!$K$5:$AJ$180,0,MATCH(O$2,Inputs!$K$4:$AJ$4,0)))+SUMPRODUCT((Inputs!$E$5:$E$180=$B31)*Inputs!$F$5:$F$180*(((Inputs!$G$5:$G$180="moeda")+(Inputs!$G$5:$G$180="acoes"))*Inputs!$B$1+((Inputs!$G$5:$G$180&lt;&gt;"moeda")*(Inputs!$G$5:$G$180&lt;&gt;"acoes")))*INDEX(Inputs!$K$5:$AJ$180,0,MATCH(O$2,Inputs!$K$4:$AJ$4,0)))))</f>
        <v>63.17528473</v>
      </c>
      <c r="P31" s="6">
        <f>IF(ISNA(MATCH(P$2,Inputs!$K$4:$AJ$4,0)),NA(),IF(SUMPRODUCT((Inputs!$A$5:$A$180=$B31)*ISNUMBER(INDEX(Inputs!$K$5:$AJ$180,0,MATCH(P$2,Inputs!$K$4:$AJ$4,0))))+SUMPRODUCT((Inputs!$C$5:$C$180=$B31)*ISNUMBER(INDEX(Inputs!$K$5:$AJ$180,0,MATCH(P$2,Inputs!$K$4:$AJ$4,0))))+SUMPRODUCT((Inputs!$E$5:$E$180=$B31)*ISNUMBER(INDEX(Inputs!$K$5:$AJ$180,0,MATCH(P$2,Inputs!$K$4:$AJ$4,0))))=0,NA(),SUMPRODUCT((Inputs!$A$5:$A$180=$B31)*Inputs!$B$5:$B$180*(((Inputs!$G$5:$G$180="moeda")+(Inputs!$G$5:$G$180="acoes"))*Inputs!$B$1+((Inputs!$G$5:$G$180&lt;&gt;"moeda")*(Inputs!$G$5:$G$180&lt;&gt;"acoes")))*INDEX(Inputs!$K$5:$AJ$180,0,MATCH(P$2,Inputs!$K$4:$AJ$4,0)))+SUMPRODUCT((Inputs!$C$5:$C$180=$B31)*Inputs!$D$5:$D$180*(((Inputs!$G$5:$G$180="moeda")+(Inputs!$G$5:$G$180="acoes"))*Inputs!$B$1+((Inputs!$G$5:$G$180&lt;&gt;"moeda")*(Inputs!$G$5:$G$180&lt;&gt;"acoes")))*INDEX(Inputs!$K$5:$AJ$180,0,MATCH(P$2,Inputs!$K$4:$AJ$4,0)))+SUMPRODUCT((Inputs!$E$5:$E$180=$B31)*Inputs!$F$5:$F$180*(((Inputs!$G$5:$G$180="moeda")+(Inputs!$G$5:$G$180="acoes"))*Inputs!$B$1+((Inputs!$G$5:$G$180&lt;&gt;"moeda")*(Inputs!$G$5:$G$180&lt;&gt;"acoes")))*INDEX(Inputs!$K$5:$AJ$180,0,MATCH(P$2,Inputs!$K$4:$AJ$4,0)))))</f>
        <v>63.48546577</v>
      </c>
      <c r="Q31" s="6">
        <f>IF(ISNA(MATCH(Q$2,Inputs!$K$4:$AJ$4,0)),NA(),IF(SUMPRODUCT((Inputs!$A$5:$A$180=$B31)*ISNUMBER(INDEX(Inputs!$K$5:$AJ$180,0,MATCH(Q$2,Inputs!$K$4:$AJ$4,0))))+SUMPRODUCT((Inputs!$C$5:$C$180=$B31)*ISNUMBER(INDEX(Inputs!$K$5:$AJ$180,0,MATCH(Q$2,Inputs!$K$4:$AJ$4,0))))+SUMPRODUCT((Inputs!$E$5:$E$180=$B31)*ISNUMBER(INDEX(Inputs!$K$5:$AJ$180,0,MATCH(Q$2,Inputs!$K$4:$AJ$4,0))))=0,NA(),SUMPRODUCT((Inputs!$A$5:$A$180=$B31)*Inputs!$B$5:$B$180*(((Inputs!$G$5:$G$180="moeda")+(Inputs!$G$5:$G$180="acoes"))*Inputs!$B$1+((Inputs!$G$5:$G$180&lt;&gt;"moeda")*(Inputs!$G$5:$G$180&lt;&gt;"acoes")))*INDEX(Inputs!$K$5:$AJ$180,0,MATCH(Q$2,Inputs!$K$4:$AJ$4,0)))+SUMPRODUCT((Inputs!$C$5:$C$180=$B31)*Inputs!$D$5:$D$180*(((Inputs!$G$5:$G$180="moeda")+(Inputs!$G$5:$G$180="acoes"))*Inputs!$B$1+((Inputs!$G$5:$G$180&lt;&gt;"moeda")*(Inputs!$G$5:$G$180&lt;&gt;"acoes")))*INDEX(Inputs!$K$5:$AJ$180,0,MATCH(Q$2,Inputs!$K$4:$AJ$4,0)))+SUMPRODUCT((Inputs!$E$5:$E$180=$B31)*Inputs!$F$5:$F$180*(((Inputs!$G$5:$G$180="moeda")+(Inputs!$G$5:$G$180="acoes"))*Inputs!$B$1+((Inputs!$G$5:$G$180&lt;&gt;"moeda")*(Inputs!$G$5:$G$180&lt;&gt;"acoes")))*INDEX(Inputs!$K$5:$AJ$180,0,MATCH(Q$2,Inputs!$K$4:$AJ$4,0)))))</f>
        <v>121.76095271</v>
      </c>
      <c r="R31" s="3">
        <f>Q31</f>
        <v>121.76095271</v>
      </c>
      <c r="S31" s="6">
        <f>IF(ISNA(MATCH(S$2,Inputs!$K$4:$AJ$4,0)),NA(),IF(SUMPRODUCT((Inputs!$A$5:$A$180=$B31)*ISNUMBER(INDEX(Inputs!$K$5:$AJ$180,0,MATCH(S$2,Inputs!$K$4:$AJ$4,0))))+SUMPRODUCT((Inputs!$C$5:$C$180=$B31)*ISNUMBER(INDEX(Inputs!$K$5:$AJ$180,0,MATCH(S$2,Inputs!$K$4:$AJ$4,0))))+SUMPRODUCT((Inputs!$E$5:$E$180=$B31)*ISNUMBER(INDEX(Inputs!$K$5:$AJ$180,0,MATCH(S$2,Inputs!$K$4:$AJ$4,0))))=0,NA(),SUMPRODUCT((Inputs!$A$5:$A$180=$B31)*Inputs!$B$5:$B$180*(((Inputs!$G$5:$G$180="moeda")+(Inputs!$G$5:$G$180="acoes"))*Inputs!$B$1+((Inputs!$G$5:$G$180&lt;&gt;"moeda")*(Inputs!$G$5:$G$180&lt;&gt;"acoes")))*INDEX(Inputs!$K$5:$AJ$180,0,MATCH(S$2,Inputs!$K$4:$AJ$4,0)))+SUMPRODUCT((Inputs!$C$5:$C$180=$B31)*Inputs!$D$5:$D$180*(((Inputs!$G$5:$G$180="moeda")+(Inputs!$G$5:$G$180="acoes"))*Inputs!$B$1+((Inputs!$G$5:$G$180&lt;&gt;"moeda")*(Inputs!$G$5:$G$180&lt;&gt;"acoes")))*INDEX(Inputs!$K$5:$AJ$180,0,MATCH(S$2,Inputs!$K$4:$AJ$4,0)))+SUMPRODUCT((Inputs!$E$5:$E$180=$B31)*Inputs!$F$5:$F$180*(((Inputs!$G$5:$G$180="moeda")+(Inputs!$G$5:$G$180="acoes"))*Inputs!$B$1+((Inputs!$G$5:$G$180&lt;&gt;"moeda")*(Inputs!$G$5:$G$180&lt;&gt;"acoes")))*INDEX(Inputs!$K$5:$AJ$180,0,MATCH(S$2,Inputs!$K$4:$AJ$4,0)))))</f>
        <v>173.90636893</v>
      </c>
      <c r="T31" s="6">
        <f>IF(ISNA(MATCH(T$2,Inputs!$K$4:$AJ$4,0)),NA(),IF(SUMPRODUCT((Inputs!$A$5:$A$180=$B31)*ISNUMBER(INDEX(Inputs!$K$5:$AJ$180,0,MATCH(T$2,Inputs!$K$4:$AJ$4,0))))+SUMPRODUCT((Inputs!$C$5:$C$180=$B31)*ISNUMBER(INDEX(Inputs!$K$5:$AJ$180,0,MATCH(T$2,Inputs!$K$4:$AJ$4,0))))+SUMPRODUCT((Inputs!$E$5:$E$180=$B31)*ISNUMBER(INDEX(Inputs!$K$5:$AJ$180,0,MATCH(T$2,Inputs!$K$4:$AJ$4,0))))=0,NA(),SUMPRODUCT((Inputs!$A$5:$A$180=$B31)*Inputs!$B$5:$B$180*(((Inputs!$G$5:$G$180="moeda")+(Inputs!$G$5:$G$180="acoes"))*Inputs!$B$1+((Inputs!$G$5:$G$180&lt;&gt;"moeda")*(Inputs!$G$5:$G$180&lt;&gt;"acoes")))*INDEX(Inputs!$K$5:$AJ$180,0,MATCH(T$2,Inputs!$K$4:$AJ$4,0)))+SUMPRODUCT((Inputs!$C$5:$C$180=$B31)*Inputs!$D$5:$D$180*(((Inputs!$G$5:$G$180="moeda")+(Inputs!$G$5:$G$180="acoes"))*Inputs!$B$1+((Inputs!$G$5:$G$180&lt;&gt;"moeda")*(Inputs!$G$5:$G$180&lt;&gt;"acoes")))*INDEX(Inputs!$K$5:$AJ$180,0,MATCH(T$2,Inputs!$K$4:$AJ$4,0)))+SUMPRODUCT((Inputs!$E$5:$E$180=$B31)*Inputs!$F$5:$F$180*(((Inputs!$G$5:$G$180="moeda")+(Inputs!$G$5:$G$180="acoes"))*Inputs!$B$1+((Inputs!$G$5:$G$180&lt;&gt;"moeda")*(Inputs!$G$5:$G$180&lt;&gt;"acoes")))*INDEX(Inputs!$K$5:$AJ$180,0,MATCH(T$2,Inputs!$K$4:$AJ$4,0)))))</f>
        <v>83.84642079</v>
      </c>
      <c r="U31" s="6">
        <f>IF(ISNA(MATCH(U$2,Inputs!$K$4:$AJ$4,0)),NA(),IF(SUMPRODUCT((Inputs!$A$5:$A$180=$B31)*ISNUMBER(INDEX(Inputs!$K$5:$AJ$180,0,MATCH(U$2,Inputs!$K$4:$AJ$4,0))))+SUMPRODUCT((Inputs!$C$5:$C$180=$B31)*ISNUMBER(INDEX(Inputs!$K$5:$AJ$180,0,MATCH(U$2,Inputs!$K$4:$AJ$4,0))))+SUMPRODUCT((Inputs!$E$5:$E$180=$B31)*ISNUMBER(INDEX(Inputs!$K$5:$AJ$180,0,MATCH(U$2,Inputs!$K$4:$AJ$4,0))))=0,NA(),SUMPRODUCT((Inputs!$A$5:$A$180=$B31)*Inputs!$B$5:$B$180*(((Inputs!$G$5:$G$180="moeda")+(Inputs!$G$5:$G$180="acoes"))*Inputs!$B$1+((Inputs!$G$5:$G$180&lt;&gt;"moeda")*(Inputs!$G$5:$G$180&lt;&gt;"acoes")))*INDEX(Inputs!$K$5:$AJ$180,0,MATCH(U$2,Inputs!$K$4:$AJ$4,0)))+SUMPRODUCT((Inputs!$C$5:$C$180=$B31)*Inputs!$D$5:$D$180*(((Inputs!$G$5:$G$180="moeda")+(Inputs!$G$5:$G$180="acoes"))*Inputs!$B$1+((Inputs!$G$5:$G$180&lt;&gt;"moeda")*(Inputs!$G$5:$G$180&lt;&gt;"acoes")))*INDEX(Inputs!$K$5:$AJ$180,0,MATCH(U$2,Inputs!$K$4:$AJ$4,0)))+SUMPRODUCT((Inputs!$E$5:$E$180=$B31)*Inputs!$F$5:$F$180*(((Inputs!$G$5:$G$180="moeda")+(Inputs!$G$5:$G$180="acoes"))*Inputs!$B$1+((Inputs!$G$5:$G$180&lt;&gt;"moeda")*(Inputs!$G$5:$G$180&lt;&gt;"acoes")))*INDEX(Inputs!$K$5:$AJ$180,0,MATCH(U$2,Inputs!$K$4:$AJ$4,0)))))</f>
        <v>73.60808458</v>
      </c>
      <c r="V31" s="6">
        <f>IF(ISNA(MATCH(V$2,Inputs!$K$4:$AJ$4,0)),NA(),IF(SUMPRODUCT((Inputs!$A$5:$A$180=$B31)*ISNUMBER(INDEX(Inputs!$K$5:$AJ$180,0,MATCH(V$2,Inputs!$K$4:$AJ$4,0))))+SUMPRODUCT((Inputs!$C$5:$C$180=$B31)*ISNUMBER(INDEX(Inputs!$K$5:$AJ$180,0,MATCH(V$2,Inputs!$K$4:$AJ$4,0))))+SUMPRODUCT((Inputs!$E$5:$E$180=$B31)*ISNUMBER(INDEX(Inputs!$K$5:$AJ$180,0,MATCH(V$2,Inputs!$K$4:$AJ$4,0))))=0,NA(),SUMPRODUCT((Inputs!$A$5:$A$180=$B31)*Inputs!$B$5:$B$180*(((Inputs!$G$5:$G$180="moeda")+(Inputs!$G$5:$G$180="acoes"))*Inputs!$B$1+((Inputs!$G$5:$G$180&lt;&gt;"moeda")*(Inputs!$G$5:$G$180&lt;&gt;"acoes")))*INDEX(Inputs!$K$5:$AJ$180,0,MATCH(V$2,Inputs!$K$4:$AJ$4,0)))+SUMPRODUCT((Inputs!$C$5:$C$180=$B31)*Inputs!$D$5:$D$180*(((Inputs!$G$5:$G$180="moeda")+(Inputs!$G$5:$G$180="acoes"))*Inputs!$B$1+((Inputs!$G$5:$G$180&lt;&gt;"moeda")*(Inputs!$G$5:$G$180&lt;&gt;"acoes")))*INDEX(Inputs!$K$5:$AJ$180,0,MATCH(V$2,Inputs!$K$4:$AJ$4,0)))+SUMPRODUCT((Inputs!$E$5:$E$180=$B31)*Inputs!$F$5:$F$180*(((Inputs!$G$5:$G$180="moeda")+(Inputs!$G$5:$G$180="acoes"))*Inputs!$B$1+((Inputs!$G$5:$G$180&lt;&gt;"moeda")*(Inputs!$G$5:$G$180&lt;&gt;"acoes")))*INDEX(Inputs!$K$5:$AJ$180,0,MATCH(V$2,Inputs!$K$4:$AJ$4,0)))))</f>
        <v>174.1697665</v>
      </c>
      <c r="W31" s="3">
        <f>V31</f>
        <v>174.1697665</v>
      </c>
      <c r="X31" s="6">
        <f>IF(ISNA(MATCH(X$2,Inputs!$K$4:$AJ$4,0)),NA(),IF(SUMPRODUCT((Inputs!$A$5:$A$180=$B31)*ISNUMBER(INDEX(Inputs!$K$5:$AJ$180,0,MATCH(X$2,Inputs!$K$4:$AJ$4,0))))+SUMPRODUCT((Inputs!$C$5:$C$180=$B31)*ISNUMBER(INDEX(Inputs!$K$5:$AJ$180,0,MATCH(X$2,Inputs!$K$4:$AJ$4,0))))+SUMPRODUCT((Inputs!$E$5:$E$180=$B31)*ISNUMBER(INDEX(Inputs!$K$5:$AJ$180,0,MATCH(X$2,Inputs!$K$4:$AJ$4,0))))=0,NA(),SUMPRODUCT((Inputs!$A$5:$A$180=$B31)*Inputs!$B$5:$B$180*(((Inputs!$G$5:$G$180="moeda")+(Inputs!$G$5:$G$180="acoes"))*Inputs!$B$1+((Inputs!$G$5:$G$180&lt;&gt;"moeda")*(Inputs!$G$5:$G$180&lt;&gt;"acoes")))*INDEX(Inputs!$K$5:$AJ$180,0,MATCH(X$2,Inputs!$K$4:$AJ$4,0)))+SUMPRODUCT((Inputs!$C$5:$C$180=$B31)*Inputs!$D$5:$D$180*(((Inputs!$G$5:$G$180="moeda")+(Inputs!$G$5:$G$180="acoes"))*Inputs!$B$1+((Inputs!$G$5:$G$180&lt;&gt;"moeda")*(Inputs!$G$5:$G$180&lt;&gt;"acoes")))*INDEX(Inputs!$K$5:$AJ$180,0,MATCH(X$2,Inputs!$K$4:$AJ$4,0)))+SUMPRODUCT((Inputs!$E$5:$E$180=$B31)*Inputs!$F$5:$F$180*(((Inputs!$G$5:$G$180="moeda")+(Inputs!$G$5:$G$180="acoes"))*Inputs!$B$1+((Inputs!$G$5:$G$180&lt;&gt;"moeda")*(Inputs!$G$5:$G$180&lt;&gt;"acoes")))*INDEX(Inputs!$K$5:$AJ$180,0,MATCH(X$2,Inputs!$K$4:$AJ$4,0)))))</f>
        <v>188.50315901</v>
      </c>
      <c r="Y31" s="6">
        <f>IF(ISNA(MATCH(Y$2,Inputs!$K$4:$AJ$4,0)),NA(),IF(SUMPRODUCT((Inputs!$A$5:$A$180=$B31)*ISNUMBER(INDEX(Inputs!$K$5:$AJ$180,0,MATCH(Y$2,Inputs!$K$4:$AJ$4,0))))+SUMPRODUCT((Inputs!$C$5:$C$180=$B31)*ISNUMBER(INDEX(Inputs!$K$5:$AJ$180,0,MATCH(Y$2,Inputs!$K$4:$AJ$4,0))))+SUMPRODUCT((Inputs!$E$5:$E$180=$B31)*ISNUMBER(INDEX(Inputs!$K$5:$AJ$180,0,MATCH(Y$2,Inputs!$K$4:$AJ$4,0))))=0,NA(),SUMPRODUCT((Inputs!$A$5:$A$180=$B31)*Inputs!$B$5:$B$180*(((Inputs!$G$5:$G$180="moeda")+(Inputs!$G$5:$G$180="acoes"))*Inputs!$B$1+((Inputs!$G$5:$G$180&lt;&gt;"moeda")*(Inputs!$G$5:$G$180&lt;&gt;"acoes")))*INDEX(Inputs!$K$5:$AJ$180,0,MATCH(Y$2,Inputs!$K$4:$AJ$4,0)))+SUMPRODUCT((Inputs!$C$5:$C$180=$B31)*Inputs!$D$5:$D$180*(((Inputs!$G$5:$G$180="moeda")+(Inputs!$G$5:$G$180="acoes"))*Inputs!$B$1+((Inputs!$G$5:$G$180&lt;&gt;"moeda")*(Inputs!$G$5:$G$180&lt;&gt;"acoes")))*INDEX(Inputs!$K$5:$AJ$180,0,MATCH(Y$2,Inputs!$K$4:$AJ$4,0)))+SUMPRODUCT((Inputs!$E$5:$E$180=$B31)*Inputs!$F$5:$F$180*(((Inputs!$G$5:$G$180="moeda")+(Inputs!$G$5:$G$180="acoes"))*Inputs!$B$1+((Inputs!$G$5:$G$180&lt;&gt;"moeda")*(Inputs!$G$5:$G$180&lt;&gt;"acoes")))*INDEX(Inputs!$K$5:$AJ$180,0,MATCH(Y$2,Inputs!$K$4:$AJ$4,0)))))</f>
        <v>24.6649001</v>
      </c>
      <c r="Z31" s="6">
        <f>IF(ISNA(MATCH(Z$2,Inputs!$K$4:$AJ$4,0)),NA(),IF(SUMPRODUCT((Inputs!$A$5:$A$180=$B31)*ISNUMBER(INDEX(Inputs!$K$5:$AJ$180,0,MATCH(Z$2,Inputs!$K$4:$AJ$4,0))))+SUMPRODUCT((Inputs!$C$5:$C$180=$B31)*ISNUMBER(INDEX(Inputs!$K$5:$AJ$180,0,MATCH(Z$2,Inputs!$K$4:$AJ$4,0))))+SUMPRODUCT((Inputs!$E$5:$E$180=$B31)*ISNUMBER(INDEX(Inputs!$K$5:$AJ$180,0,MATCH(Z$2,Inputs!$K$4:$AJ$4,0))))=0,NA(),SUMPRODUCT((Inputs!$A$5:$A$180=$B31)*Inputs!$B$5:$B$180*(((Inputs!$G$5:$G$180="moeda")+(Inputs!$G$5:$G$180="acoes"))*Inputs!$B$1+((Inputs!$G$5:$G$180&lt;&gt;"moeda")*(Inputs!$G$5:$G$180&lt;&gt;"acoes")))*INDEX(Inputs!$K$5:$AJ$180,0,MATCH(Z$2,Inputs!$K$4:$AJ$4,0)))+SUMPRODUCT((Inputs!$C$5:$C$180=$B31)*Inputs!$D$5:$D$180*(((Inputs!$G$5:$G$180="moeda")+(Inputs!$G$5:$G$180="acoes"))*Inputs!$B$1+((Inputs!$G$5:$G$180&lt;&gt;"moeda")*(Inputs!$G$5:$G$180&lt;&gt;"acoes")))*INDEX(Inputs!$K$5:$AJ$180,0,MATCH(Z$2,Inputs!$K$4:$AJ$4,0)))+SUMPRODUCT((Inputs!$E$5:$E$180=$B31)*Inputs!$F$5:$F$180*(((Inputs!$G$5:$G$180="moeda")+(Inputs!$G$5:$G$180="acoes"))*Inputs!$B$1+((Inputs!$G$5:$G$180&lt;&gt;"moeda")*(Inputs!$G$5:$G$180&lt;&gt;"acoes")))*INDEX(Inputs!$K$5:$AJ$180,0,MATCH(Z$2,Inputs!$K$4:$AJ$4,0)))))</f>
        <v>20.381</v>
      </c>
      <c r="AA31" s="6">
        <f>IF(ISNA(MATCH(AA$2,Inputs!$K$4:$AJ$4,0)),NA(),IF(SUMPRODUCT((Inputs!$A$5:$A$180=$B31)*ISNUMBER(INDEX(Inputs!$K$5:$AJ$180,0,MATCH(AA$2,Inputs!$K$4:$AJ$4,0))))+SUMPRODUCT((Inputs!$C$5:$C$180=$B31)*ISNUMBER(INDEX(Inputs!$K$5:$AJ$180,0,MATCH(AA$2,Inputs!$K$4:$AJ$4,0))))+SUMPRODUCT((Inputs!$E$5:$E$180=$B31)*ISNUMBER(INDEX(Inputs!$K$5:$AJ$180,0,MATCH(AA$2,Inputs!$K$4:$AJ$4,0))))=0,NA(),SUMPRODUCT((Inputs!$A$5:$A$180=$B31)*Inputs!$B$5:$B$180*(((Inputs!$G$5:$G$180="moeda")+(Inputs!$G$5:$G$180="acoes"))*Inputs!$B$1+((Inputs!$G$5:$G$180&lt;&gt;"moeda")*(Inputs!$G$5:$G$180&lt;&gt;"acoes")))*INDEX(Inputs!$K$5:$AJ$180,0,MATCH(AA$2,Inputs!$K$4:$AJ$4,0)))+SUMPRODUCT((Inputs!$C$5:$C$180=$B31)*Inputs!$D$5:$D$180*(((Inputs!$G$5:$G$180="moeda")+(Inputs!$G$5:$G$180="acoes"))*Inputs!$B$1+((Inputs!$G$5:$G$180&lt;&gt;"moeda")*(Inputs!$G$5:$G$180&lt;&gt;"acoes")))*INDEX(Inputs!$K$5:$AJ$180,0,MATCH(AA$2,Inputs!$K$4:$AJ$4,0)))+SUMPRODUCT((Inputs!$E$5:$E$180=$B31)*Inputs!$F$5:$F$180*(((Inputs!$G$5:$G$180="moeda")+(Inputs!$G$5:$G$180="acoes"))*Inputs!$B$1+((Inputs!$G$5:$G$180&lt;&gt;"moeda")*(Inputs!$G$5:$G$180&lt;&gt;"acoes")))*INDEX(Inputs!$K$5:$AJ$180,0,MATCH(AA$2,Inputs!$K$4:$AJ$4,0)))))</f>
        <v>51.69104197</v>
      </c>
      <c r="AB31" s="3">
        <f>AA31</f>
        <v>51.69104197</v>
      </c>
      <c r="AC31" s="6">
        <f>IF(ISNA(MATCH(AC$2,Inputs!$K$4:$AJ$4,0)),NA(),IF(SUMPRODUCT((Inputs!$A$5:$A$180=$B31)*ISNUMBER(INDEX(Inputs!$K$5:$AJ$180,0,MATCH(AC$2,Inputs!$K$4:$AJ$4,0))))+SUMPRODUCT((Inputs!$C$5:$C$180=$B31)*ISNUMBER(INDEX(Inputs!$K$5:$AJ$180,0,MATCH(AC$2,Inputs!$K$4:$AJ$4,0))))+SUMPRODUCT((Inputs!$E$5:$E$180=$B31)*ISNUMBER(INDEX(Inputs!$K$5:$AJ$180,0,MATCH(AC$2,Inputs!$K$4:$AJ$4,0))))=0,NA(),SUMPRODUCT((Inputs!$A$5:$A$180=$B31)*Inputs!$B$5:$B$180*(((Inputs!$G$5:$G$180="moeda")+(Inputs!$G$5:$G$180="acoes"))*Inputs!$B$1+((Inputs!$G$5:$G$180&lt;&gt;"moeda")*(Inputs!$G$5:$G$180&lt;&gt;"acoes")))*INDEX(Inputs!$K$5:$AJ$180,0,MATCH(AC$2,Inputs!$K$4:$AJ$4,0)))+SUMPRODUCT((Inputs!$C$5:$C$180=$B31)*Inputs!$D$5:$D$180*(((Inputs!$G$5:$G$180="moeda")+(Inputs!$G$5:$G$180="acoes"))*Inputs!$B$1+((Inputs!$G$5:$G$180&lt;&gt;"moeda")*(Inputs!$G$5:$G$180&lt;&gt;"acoes")))*INDEX(Inputs!$K$5:$AJ$180,0,MATCH(AC$2,Inputs!$K$4:$AJ$4,0)))+SUMPRODUCT((Inputs!$E$5:$E$180=$B31)*Inputs!$F$5:$F$180*(((Inputs!$G$5:$G$180="moeda")+(Inputs!$G$5:$G$180="acoes"))*Inputs!$B$1+((Inputs!$G$5:$G$180&lt;&gt;"moeda")*(Inputs!$G$5:$G$180&lt;&gt;"acoes")))*INDEX(Inputs!$K$5:$AJ$180,0,MATCH(AC$2,Inputs!$K$4:$AJ$4,0)))))</f>
        <v>80.5690724100002</v>
      </c>
      <c r="AD31" s="6">
        <f>IF(ISNA(MATCH(AD$2,Inputs!$K$4:$AJ$4,0)),NA(),IF(SUMPRODUCT((Inputs!$A$5:$A$180=$B31)*ISNUMBER(INDEX(Inputs!$K$5:$AJ$180,0,MATCH(AD$2,Inputs!$K$4:$AJ$4,0))))+SUMPRODUCT((Inputs!$C$5:$C$180=$B31)*ISNUMBER(INDEX(Inputs!$K$5:$AJ$180,0,MATCH(AD$2,Inputs!$K$4:$AJ$4,0))))+SUMPRODUCT((Inputs!$E$5:$E$180=$B31)*ISNUMBER(INDEX(Inputs!$K$5:$AJ$180,0,MATCH(AD$2,Inputs!$K$4:$AJ$4,0))))=0,NA(),SUMPRODUCT((Inputs!$A$5:$A$180=$B31)*Inputs!$B$5:$B$180*(((Inputs!$G$5:$G$180="moeda")+(Inputs!$G$5:$G$180="acoes"))*Inputs!$B$1+((Inputs!$G$5:$G$180&lt;&gt;"moeda")*(Inputs!$G$5:$G$180&lt;&gt;"acoes")))*INDEX(Inputs!$K$5:$AJ$180,0,MATCH(AD$2,Inputs!$K$4:$AJ$4,0)))+SUMPRODUCT((Inputs!$C$5:$C$180=$B31)*Inputs!$D$5:$D$180*(((Inputs!$G$5:$G$180="moeda")+(Inputs!$G$5:$G$180="acoes"))*Inputs!$B$1+((Inputs!$G$5:$G$180&lt;&gt;"moeda")*(Inputs!$G$5:$G$180&lt;&gt;"acoes")))*INDEX(Inputs!$K$5:$AJ$180,0,MATCH(AD$2,Inputs!$K$4:$AJ$4,0)))+SUMPRODUCT((Inputs!$E$5:$E$180=$B31)*Inputs!$F$5:$F$180*(((Inputs!$G$5:$G$180="moeda")+(Inputs!$G$5:$G$180="acoes"))*Inputs!$B$1+((Inputs!$G$5:$G$180&lt;&gt;"moeda")*(Inputs!$G$5:$G$180&lt;&gt;"acoes")))*INDEX(Inputs!$K$5:$AJ$180,0,MATCH(AD$2,Inputs!$K$4:$AJ$4,0)))))</f>
        <v>71.87963608</v>
      </c>
      <c r="AE31" s="6" t="e">
        <f>IF(ISNA(MATCH(AE$2,Inputs!$K$4:$AJ$4,0)),NA(),IF(SUMPRODUCT((Inputs!$A$5:$A$180=$B31)*ISNUMBER(INDEX(Inputs!$K$5:$AJ$180,0,MATCH(AE$2,Inputs!$K$4:$AJ$4,0))))+SUMPRODUCT((Inputs!$C$5:$C$180=$B31)*ISNUMBER(INDEX(Inputs!$K$5:$AJ$180,0,MATCH(AE$2,Inputs!$K$4:$AJ$4,0))))+SUMPRODUCT((Inputs!$E$5:$E$180=$B31)*ISNUMBER(INDEX(Inputs!$K$5:$AJ$180,0,MATCH(AE$2,Inputs!$K$4:$AJ$4,0))))=0,NA(),SUMPRODUCT((Inputs!$A$5:$A$180=$B31)*Inputs!$B$5:$B$180*(((Inputs!$G$5:$G$180="moeda")+(Inputs!$G$5:$G$180="acoes"))*Inputs!$B$1+((Inputs!$G$5:$G$180&lt;&gt;"moeda")*(Inputs!$G$5:$G$180&lt;&gt;"acoes")))*INDEX(Inputs!$K$5:$AJ$180,0,MATCH(AE$2,Inputs!$K$4:$AJ$4,0)))+SUMPRODUCT((Inputs!$C$5:$C$180=$B31)*Inputs!$D$5:$D$180*(((Inputs!$G$5:$G$180="moeda")+(Inputs!$G$5:$G$180="acoes"))*Inputs!$B$1+((Inputs!$G$5:$G$180&lt;&gt;"moeda")*(Inputs!$G$5:$G$180&lt;&gt;"acoes")))*INDEX(Inputs!$K$5:$AJ$180,0,MATCH(AE$2,Inputs!$K$4:$AJ$4,0)))+SUMPRODUCT((Inputs!$E$5:$E$180=$B31)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1" s="6" t="e">
        <f>IF(ISNA(MATCH(AF$2,Inputs!$K$4:$AJ$4,0)),NA(),IF(SUMPRODUCT((Inputs!$A$5:$A$180=$B31)*ISNUMBER(INDEX(Inputs!$K$5:$AJ$180,0,MATCH(AF$2,Inputs!$K$4:$AJ$4,0))))+SUMPRODUCT((Inputs!$C$5:$C$180=$B31)*ISNUMBER(INDEX(Inputs!$K$5:$AJ$180,0,MATCH(AF$2,Inputs!$K$4:$AJ$4,0))))+SUMPRODUCT((Inputs!$E$5:$E$180=$B31)*ISNUMBER(INDEX(Inputs!$K$5:$AJ$180,0,MATCH(AF$2,Inputs!$K$4:$AJ$4,0))))=0,NA(),SUMPRODUCT((Inputs!$A$5:$A$180=$B31)*Inputs!$B$5:$B$180*(((Inputs!$G$5:$G$180="moeda")+(Inputs!$G$5:$G$180="acoes"))*Inputs!$B$1+((Inputs!$G$5:$G$180&lt;&gt;"moeda")*(Inputs!$G$5:$G$180&lt;&gt;"acoes")))*INDEX(Inputs!$K$5:$AJ$180,0,MATCH(AF$2,Inputs!$K$4:$AJ$4,0)))+SUMPRODUCT((Inputs!$C$5:$C$180=$B31)*Inputs!$D$5:$D$180*(((Inputs!$G$5:$G$180="moeda")+(Inputs!$G$5:$G$180="acoes"))*Inputs!$B$1+((Inputs!$G$5:$G$180&lt;&gt;"moeda")*(Inputs!$G$5:$G$180&lt;&gt;"acoes")))*INDEX(Inputs!$K$5:$AJ$180,0,MATCH(AF$2,Inputs!$K$4:$AJ$4,0)))+SUMPRODUCT((Inputs!$E$5:$E$180=$B31)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1" s="3" t="e">
        <f>AF31</f>
        <v>#N/A</v>
      </c>
      <c r="AH31" s="6">
        <f>IF(ISNA(MATCH(AH$2,Inputs!$K$4:$AJ$4,0)),NA(),IF(SUMPRODUCT((Inputs!$A$5:$A$180=$B31)*ISNUMBER(INDEX(Inputs!$K$5:$AJ$180,0,MATCH(AH$2,Inputs!$K$4:$AJ$4,0))))+SUMPRODUCT((Inputs!$C$5:$C$180=$B31)*ISNUMBER(INDEX(Inputs!$K$5:$AJ$180,0,MATCH(AH$2,Inputs!$K$4:$AJ$4,0))))+SUMPRODUCT((Inputs!$E$5:$E$180=$B31)*ISNUMBER(INDEX(Inputs!$K$5:$AJ$180,0,MATCH(AH$2,Inputs!$K$4:$AJ$4,0))))=0,NA(),SUMPRODUCT((Inputs!$A$5:$A$180=$B31)*Inputs!$B$5:$B$180*(((Inputs!$G$5:$G$180="moeda")+(Inputs!$G$5:$G$180="acoes"))*Inputs!$B$1+((Inputs!$G$5:$G$180&lt;&gt;"moeda")*(Inputs!$G$5:$G$180&lt;&gt;"acoes")))*INDEX(Inputs!$K$5:$AJ$180,0,MATCH(AH$2,Inputs!$K$4:$AJ$4,0)))+SUMPRODUCT((Inputs!$C$5:$C$180=$B31)*Inputs!$D$5:$D$180*(((Inputs!$G$5:$G$180="moeda")+(Inputs!$G$5:$G$180="acoes"))*Inputs!$B$1+((Inputs!$G$5:$G$180&lt;&gt;"moeda")*(Inputs!$G$5:$G$180&lt;&gt;"acoes")))*INDEX(Inputs!$K$5:$AJ$180,0,MATCH(AH$2,Inputs!$K$4:$AJ$4,0)))+SUMPRODUCT((Inputs!$E$5:$E$180=$B31)*Inputs!$F$5:$F$180*(((Inputs!$G$5:$G$180="moeda")+(Inputs!$G$5:$G$180="acoes"))*Inputs!$B$1+((Inputs!$G$5:$G$180&lt;&gt;"moeda")*(Inputs!$G$5:$G$180&lt;&gt;"acoes")))*INDEX(Inputs!$K$5:$AJ$180,0,MATCH(AH$2,Inputs!$K$4:$AJ$4,0)))))</f>
        <v>21.09</v>
      </c>
      <c r="AI31" s="6">
        <f>IF(ISNA(MATCH(AI$2,Inputs!$K$4:$AJ$4,0)),NA(),IF(SUMPRODUCT((Inputs!$A$5:$A$180=$B31)*ISNUMBER(INDEX(Inputs!$K$5:$AJ$180,0,MATCH(AI$2,Inputs!$K$4:$AJ$4,0))))+SUMPRODUCT((Inputs!$C$5:$C$180=$B31)*ISNUMBER(INDEX(Inputs!$K$5:$AJ$180,0,MATCH(AI$2,Inputs!$K$4:$AJ$4,0))))+SUMPRODUCT((Inputs!$E$5:$E$180=$B31)*ISNUMBER(INDEX(Inputs!$K$5:$AJ$180,0,MATCH(AI$2,Inputs!$K$4:$AJ$4,0))))=0,NA(),SUMPRODUCT((Inputs!$A$5:$A$180=$B31)*Inputs!$B$5:$B$180*(((Inputs!$G$5:$G$180="moeda")+(Inputs!$G$5:$G$180="acoes"))*Inputs!$B$1+((Inputs!$G$5:$G$180&lt;&gt;"moeda")*(Inputs!$G$5:$G$180&lt;&gt;"acoes")))*INDEX(Inputs!$K$5:$AJ$180,0,MATCH(AI$2,Inputs!$K$4:$AJ$4,0)))+SUMPRODUCT((Inputs!$C$5:$C$180=$B31)*Inputs!$D$5:$D$180*(((Inputs!$G$5:$G$180="moeda")+(Inputs!$G$5:$G$180="acoes"))*Inputs!$B$1+((Inputs!$G$5:$G$180&lt;&gt;"moeda")*(Inputs!$G$5:$G$180&lt;&gt;"acoes")))*INDEX(Inputs!$K$5:$AJ$180,0,MATCH(AI$2,Inputs!$K$4:$AJ$4,0)))+SUMPRODUCT((Inputs!$E$5:$E$180=$B31)*Inputs!$F$5:$F$180*(((Inputs!$G$5:$G$180="moeda")+(Inputs!$G$5:$G$180="acoes"))*Inputs!$B$1+((Inputs!$G$5:$G$180&lt;&gt;"moeda")*(Inputs!$G$5:$G$180&lt;&gt;"acoes")))*INDEX(Inputs!$K$5:$AJ$180,0,MATCH(AI$2,Inputs!$K$4:$AJ$4,0)))))</f>
        <v>60.80908932</v>
      </c>
      <c r="AJ31" s="6">
        <f>IF(ISNA(MATCH(AJ$2,Inputs!$K$4:$AJ$4,0)),NA(),IF(SUMPRODUCT((Inputs!$A$5:$A$180=$B31)*ISNUMBER(INDEX(Inputs!$K$5:$AJ$180,0,MATCH(AJ$2,Inputs!$K$4:$AJ$4,0))))+SUMPRODUCT((Inputs!$C$5:$C$180=$B31)*ISNUMBER(INDEX(Inputs!$K$5:$AJ$180,0,MATCH(AJ$2,Inputs!$K$4:$AJ$4,0))))+SUMPRODUCT((Inputs!$E$5:$E$180=$B31)*ISNUMBER(INDEX(Inputs!$K$5:$AJ$180,0,MATCH(AJ$2,Inputs!$K$4:$AJ$4,0))))=0,NA(),SUMPRODUCT((Inputs!$A$5:$A$180=$B31)*Inputs!$B$5:$B$180*(((Inputs!$G$5:$G$180="moeda")+(Inputs!$G$5:$G$180="acoes"))*Inputs!$B$1+((Inputs!$G$5:$G$180&lt;&gt;"moeda")*(Inputs!$G$5:$G$180&lt;&gt;"acoes")))*INDEX(Inputs!$K$5:$AJ$180,0,MATCH(AJ$2,Inputs!$K$4:$AJ$4,0)))+SUMPRODUCT((Inputs!$C$5:$C$180=$B31)*Inputs!$D$5:$D$180*(((Inputs!$G$5:$G$180="moeda")+(Inputs!$G$5:$G$180="acoes"))*Inputs!$B$1+((Inputs!$G$5:$G$180&lt;&gt;"moeda")*(Inputs!$G$5:$G$180&lt;&gt;"acoes")))*INDEX(Inputs!$K$5:$AJ$180,0,MATCH(AJ$2,Inputs!$K$4:$AJ$4,0)))+SUMPRODUCT((Inputs!$E$5:$E$180=$B31)*Inputs!$F$5:$F$180*(((Inputs!$G$5:$G$180="moeda")+(Inputs!$G$5:$G$180="acoes"))*Inputs!$B$1+((Inputs!$G$5:$G$180&lt;&gt;"moeda")*(Inputs!$G$5:$G$180&lt;&gt;"acoes")))*INDEX(Inputs!$K$5:$AJ$180,0,MATCH(AJ$2,Inputs!$K$4:$AJ$4,0)))))</f>
        <v>57.9224609399999</v>
      </c>
      <c r="AK31" s="6">
        <f>IF(ISNA(MATCH(AK$2,Inputs!$K$4:$AJ$4,0)),NA(),IF(SUMPRODUCT((Inputs!$A$5:$A$180=$B31)*ISNUMBER(INDEX(Inputs!$K$5:$AJ$180,0,MATCH(AK$2,Inputs!$K$4:$AJ$4,0))))+SUMPRODUCT((Inputs!$C$5:$C$180=$B31)*ISNUMBER(INDEX(Inputs!$K$5:$AJ$180,0,MATCH(AK$2,Inputs!$K$4:$AJ$4,0))))+SUMPRODUCT((Inputs!$E$5:$E$180=$B31)*ISNUMBER(INDEX(Inputs!$K$5:$AJ$180,0,MATCH(AK$2,Inputs!$K$4:$AJ$4,0))))=0,NA(),SUMPRODUCT((Inputs!$A$5:$A$180=$B31)*Inputs!$B$5:$B$180*(((Inputs!$G$5:$G$180="moeda")+(Inputs!$G$5:$G$180="acoes"))*Inputs!$B$1+((Inputs!$G$5:$G$180&lt;&gt;"moeda")*(Inputs!$G$5:$G$180&lt;&gt;"acoes")))*INDEX(Inputs!$K$5:$AJ$180,0,MATCH(AK$2,Inputs!$K$4:$AJ$4,0)))+SUMPRODUCT((Inputs!$C$5:$C$180=$B31)*Inputs!$D$5:$D$180*(((Inputs!$G$5:$G$180="moeda")+(Inputs!$G$5:$G$180="acoes"))*Inputs!$B$1+((Inputs!$G$5:$G$180&lt;&gt;"moeda")*(Inputs!$G$5:$G$180&lt;&gt;"acoes")))*INDEX(Inputs!$K$5:$AJ$180,0,MATCH(AK$2,Inputs!$K$4:$AJ$4,0)))+SUMPRODUCT((Inputs!$E$5:$E$180=$B31)*Inputs!$F$5:$F$180*(((Inputs!$G$5:$G$180="moeda")+(Inputs!$G$5:$G$180="acoes"))*Inputs!$B$1+((Inputs!$G$5:$G$180&lt;&gt;"moeda")*(Inputs!$G$5:$G$180&lt;&gt;"acoes")))*INDEX(Inputs!$K$5:$AJ$180,0,MATCH(AK$2,Inputs!$K$4:$AJ$4,0)))))</f>
        <v>65.27577574</v>
      </c>
      <c r="AL31" s="3">
        <f>AK31</f>
        <v>65.27577574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$180=$B32)*ISNUMBER(INDEX(Inputs!$K$5:$AJ$180,0,MATCH(D$2,Inputs!$K$4:$AJ$4,0))))+SUMPRODUCT((Inputs!$C$5:$C$180=$B32)*ISNUMBER(INDEX(Inputs!$K$5:$AJ$180,0,MATCH(D$2,Inputs!$K$4:$AJ$4,0))))+SUMPRODUCT((Inputs!$E$5:$E$180=$B32)*ISNUMBER(INDEX(Inputs!$K$5:$AJ$180,0,MATCH(D$2,Inputs!$K$4:$AJ$4,0))))=0,NA(),SUMPRODUCT((Inputs!$A$5:$A$180=$B32)*Inputs!$B$5:$B$180*(((Inputs!$G$5:$G$180="moeda")+(Inputs!$G$5:$G$180="acoes"))*Inputs!$B$1+((Inputs!$G$5:$G$180&lt;&gt;"moeda")*(Inputs!$G$5:$G$180&lt;&gt;"acoes")))*INDEX(Inputs!$K$5:$AJ$180,0,MATCH(D$2,Inputs!$K$4:$AJ$4,0)))+SUMPRODUCT((Inputs!$C$5:$C$180=$B32)*Inputs!$D$5:$D$180*(((Inputs!$G$5:$G$180="moeda")+(Inputs!$G$5:$G$180="acoes"))*Inputs!$B$1+((Inputs!$G$5:$G$180&lt;&gt;"moeda")*(Inputs!$G$5:$G$180&lt;&gt;"acoes")))*INDEX(Inputs!$K$5:$AJ$180,0,MATCH(D$2,Inputs!$K$4:$AJ$4,0)))+SUMPRODUCT((Inputs!$E$5:$E$180=$B32)*Inputs!$F$5:$F$180*(((Inputs!$G$5:$G$180="moeda")+(Inputs!$G$5:$G$180="acoes"))*Inputs!$B$1+((Inputs!$G$5:$G$180&lt;&gt;"moeda")*(Inputs!$G$5:$G$180&lt;&gt;"acoes")))*INDEX(Inputs!$K$5:$AJ$180,0,MATCH(D$2,Inputs!$K$4:$AJ$4,0)))))</f>
        <v>82.73263523</v>
      </c>
      <c r="E32" s="6">
        <f>IF(ISNA(MATCH(E$2,Inputs!$K$4:$AJ$4,0)),NA(),IF(SUMPRODUCT((Inputs!$A$5:$A$180=$B32)*ISNUMBER(INDEX(Inputs!$K$5:$AJ$180,0,MATCH(E$2,Inputs!$K$4:$AJ$4,0))))+SUMPRODUCT((Inputs!$C$5:$C$180=$B32)*ISNUMBER(INDEX(Inputs!$K$5:$AJ$180,0,MATCH(E$2,Inputs!$K$4:$AJ$4,0))))+SUMPRODUCT((Inputs!$E$5:$E$180=$B32)*ISNUMBER(INDEX(Inputs!$K$5:$AJ$180,0,MATCH(E$2,Inputs!$K$4:$AJ$4,0))))=0,NA(),SUMPRODUCT((Inputs!$A$5:$A$180=$B32)*Inputs!$B$5:$B$180*(((Inputs!$G$5:$G$180="moeda")+(Inputs!$G$5:$G$180="acoes"))*Inputs!$B$1+((Inputs!$G$5:$G$180&lt;&gt;"moeda")*(Inputs!$G$5:$G$180&lt;&gt;"acoes")))*INDEX(Inputs!$K$5:$AJ$180,0,MATCH(E$2,Inputs!$K$4:$AJ$4,0)))+SUMPRODUCT((Inputs!$C$5:$C$180=$B32)*Inputs!$D$5:$D$180*(((Inputs!$G$5:$G$180="moeda")+(Inputs!$G$5:$G$180="acoes"))*Inputs!$B$1+((Inputs!$G$5:$G$180&lt;&gt;"moeda")*(Inputs!$G$5:$G$180&lt;&gt;"acoes")))*INDEX(Inputs!$K$5:$AJ$180,0,MATCH(E$2,Inputs!$K$4:$AJ$4,0)))+SUMPRODUCT((Inputs!$E$5:$E$180=$B32)*Inputs!$F$5:$F$180*(((Inputs!$G$5:$G$180="moeda")+(Inputs!$G$5:$G$180="acoes"))*Inputs!$B$1+((Inputs!$G$5:$G$180&lt;&gt;"moeda")*(Inputs!$G$5:$G$180&lt;&gt;"acoes")))*INDEX(Inputs!$K$5:$AJ$180,0,MATCH(E$2,Inputs!$K$4:$AJ$4,0)))))</f>
        <v>204.16479933</v>
      </c>
      <c r="F32" s="6">
        <f>IF(ISNA(MATCH(F$2,Inputs!$K$4:$AJ$4,0)),NA(),IF(SUMPRODUCT((Inputs!$A$5:$A$180=$B32)*ISNUMBER(INDEX(Inputs!$K$5:$AJ$180,0,MATCH(F$2,Inputs!$K$4:$AJ$4,0))))+SUMPRODUCT((Inputs!$C$5:$C$180=$B32)*ISNUMBER(INDEX(Inputs!$K$5:$AJ$180,0,MATCH(F$2,Inputs!$K$4:$AJ$4,0))))+SUMPRODUCT((Inputs!$E$5:$E$180=$B32)*ISNUMBER(INDEX(Inputs!$K$5:$AJ$180,0,MATCH(F$2,Inputs!$K$4:$AJ$4,0))))=0,NA(),SUMPRODUCT((Inputs!$A$5:$A$180=$B32)*Inputs!$B$5:$B$180*(((Inputs!$G$5:$G$180="moeda")+(Inputs!$G$5:$G$180="acoes"))*Inputs!$B$1+((Inputs!$G$5:$G$180&lt;&gt;"moeda")*(Inputs!$G$5:$G$180&lt;&gt;"acoes")))*INDEX(Inputs!$K$5:$AJ$180,0,MATCH(F$2,Inputs!$K$4:$AJ$4,0)))+SUMPRODUCT((Inputs!$C$5:$C$180=$B32)*Inputs!$D$5:$D$180*(((Inputs!$G$5:$G$180="moeda")+(Inputs!$G$5:$G$180="acoes"))*Inputs!$B$1+((Inputs!$G$5:$G$180&lt;&gt;"moeda")*(Inputs!$G$5:$G$180&lt;&gt;"acoes")))*INDEX(Inputs!$K$5:$AJ$180,0,MATCH(F$2,Inputs!$K$4:$AJ$4,0)))+SUMPRODUCT((Inputs!$E$5:$E$180=$B32)*Inputs!$F$5:$F$180*(((Inputs!$G$5:$G$180="moeda")+(Inputs!$G$5:$G$180="acoes"))*Inputs!$B$1+((Inputs!$G$5:$G$180&lt;&gt;"moeda")*(Inputs!$G$5:$G$180&lt;&gt;"acoes")))*INDEX(Inputs!$K$5:$AJ$180,0,MATCH(F$2,Inputs!$K$4:$AJ$4,0)))))</f>
        <v>279.03942839</v>
      </c>
      <c r="G32" s="6">
        <f>IF(ISNA(MATCH(G$2,Inputs!$K$4:$AJ$4,0)),NA(),IF(SUMPRODUCT((Inputs!$A$5:$A$180=$B32)*ISNUMBER(INDEX(Inputs!$K$5:$AJ$180,0,MATCH(G$2,Inputs!$K$4:$AJ$4,0))))+SUMPRODUCT((Inputs!$C$5:$C$180=$B32)*ISNUMBER(INDEX(Inputs!$K$5:$AJ$180,0,MATCH(G$2,Inputs!$K$4:$AJ$4,0))))+SUMPRODUCT((Inputs!$E$5:$E$180=$B32)*ISNUMBER(INDEX(Inputs!$K$5:$AJ$180,0,MATCH(G$2,Inputs!$K$4:$AJ$4,0))))=0,NA(),SUMPRODUCT((Inputs!$A$5:$A$180=$B32)*Inputs!$B$5:$B$180*(((Inputs!$G$5:$G$180="moeda")+(Inputs!$G$5:$G$180="acoes"))*Inputs!$B$1+((Inputs!$G$5:$G$180&lt;&gt;"moeda")*(Inputs!$G$5:$G$180&lt;&gt;"acoes")))*INDEX(Inputs!$K$5:$AJ$180,0,MATCH(G$2,Inputs!$K$4:$AJ$4,0)))+SUMPRODUCT((Inputs!$C$5:$C$180=$B32)*Inputs!$D$5:$D$180*(((Inputs!$G$5:$G$180="moeda")+(Inputs!$G$5:$G$180="acoes"))*Inputs!$B$1+((Inputs!$G$5:$G$180&lt;&gt;"moeda")*(Inputs!$G$5:$G$180&lt;&gt;"acoes")))*INDEX(Inputs!$K$5:$AJ$180,0,MATCH(G$2,Inputs!$K$4:$AJ$4,0)))+SUMPRODUCT((Inputs!$E$5:$E$180=$B32)*Inputs!$F$5:$F$180*(((Inputs!$G$5:$G$180="moeda")+(Inputs!$G$5:$G$180="acoes"))*Inputs!$B$1+((Inputs!$G$5:$G$180&lt;&gt;"moeda")*(Inputs!$G$5:$G$180&lt;&gt;"acoes")))*INDEX(Inputs!$K$5:$AJ$180,0,MATCH(G$2,Inputs!$K$4:$AJ$4,0)))))</f>
        <v>213.66570155</v>
      </c>
      <c r="H32" s="3">
        <f>G32</f>
        <v>213.66570155</v>
      </c>
      <c r="I32" s="6">
        <f>IF(ISNA(MATCH(I$2,Inputs!$K$4:$AJ$4,0)),NA(),IF(SUMPRODUCT((Inputs!$A$5:$A$180=$B32)*ISNUMBER(INDEX(Inputs!$K$5:$AJ$180,0,MATCH(I$2,Inputs!$K$4:$AJ$4,0))))+SUMPRODUCT((Inputs!$C$5:$C$180=$B32)*ISNUMBER(INDEX(Inputs!$K$5:$AJ$180,0,MATCH(I$2,Inputs!$K$4:$AJ$4,0))))+SUMPRODUCT((Inputs!$E$5:$E$180=$B32)*ISNUMBER(INDEX(Inputs!$K$5:$AJ$180,0,MATCH(I$2,Inputs!$K$4:$AJ$4,0))))=0,NA(),SUMPRODUCT((Inputs!$A$5:$A$180=$B32)*Inputs!$B$5:$B$180*(((Inputs!$G$5:$G$180="moeda")+(Inputs!$G$5:$G$180="acoes"))*Inputs!$B$1+((Inputs!$G$5:$G$180&lt;&gt;"moeda")*(Inputs!$G$5:$G$180&lt;&gt;"acoes")))*INDEX(Inputs!$K$5:$AJ$180,0,MATCH(I$2,Inputs!$K$4:$AJ$4,0)))+SUMPRODUCT((Inputs!$C$5:$C$180=$B32)*Inputs!$D$5:$D$180*(((Inputs!$G$5:$G$180="moeda")+(Inputs!$G$5:$G$180="acoes"))*Inputs!$B$1+((Inputs!$G$5:$G$180&lt;&gt;"moeda")*(Inputs!$G$5:$G$180&lt;&gt;"acoes")))*INDEX(Inputs!$K$5:$AJ$180,0,MATCH(I$2,Inputs!$K$4:$AJ$4,0)))+SUMPRODUCT((Inputs!$E$5:$E$180=$B32)*Inputs!$F$5:$F$180*(((Inputs!$G$5:$G$180="moeda")+(Inputs!$G$5:$G$180="acoes"))*Inputs!$B$1+((Inputs!$G$5:$G$180&lt;&gt;"moeda")*(Inputs!$G$5:$G$180&lt;&gt;"acoes")))*INDEX(Inputs!$K$5:$AJ$180,0,MATCH(I$2,Inputs!$K$4:$AJ$4,0)))))</f>
        <v>261.1010699</v>
      </c>
      <c r="J32" s="6">
        <f>IF(ISNA(MATCH(J$2,Inputs!$K$4:$AJ$4,0)),NA(),IF(SUMPRODUCT((Inputs!$A$5:$A$180=$B32)*ISNUMBER(INDEX(Inputs!$K$5:$AJ$180,0,MATCH(J$2,Inputs!$K$4:$AJ$4,0))))+SUMPRODUCT((Inputs!$C$5:$C$180=$B32)*ISNUMBER(INDEX(Inputs!$K$5:$AJ$180,0,MATCH(J$2,Inputs!$K$4:$AJ$4,0))))+SUMPRODUCT((Inputs!$E$5:$E$180=$B32)*ISNUMBER(INDEX(Inputs!$K$5:$AJ$180,0,MATCH(J$2,Inputs!$K$4:$AJ$4,0))))=0,NA(),SUMPRODUCT((Inputs!$A$5:$A$180=$B32)*Inputs!$B$5:$B$180*(((Inputs!$G$5:$G$180="moeda")+(Inputs!$G$5:$G$180="acoes"))*Inputs!$B$1+((Inputs!$G$5:$G$180&lt;&gt;"moeda")*(Inputs!$G$5:$G$180&lt;&gt;"acoes")))*INDEX(Inputs!$K$5:$AJ$180,0,MATCH(J$2,Inputs!$K$4:$AJ$4,0)))+SUMPRODUCT((Inputs!$C$5:$C$180=$B32)*Inputs!$D$5:$D$180*(((Inputs!$G$5:$G$180="moeda")+(Inputs!$G$5:$G$180="acoes"))*Inputs!$B$1+((Inputs!$G$5:$G$180&lt;&gt;"moeda")*(Inputs!$G$5:$G$180&lt;&gt;"acoes")))*INDEX(Inputs!$K$5:$AJ$180,0,MATCH(J$2,Inputs!$K$4:$AJ$4,0)))+SUMPRODUCT((Inputs!$E$5:$E$180=$B32)*Inputs!$F$5:$F$180*(((Inputs!$G$5:$G$180="moeda")+(Inputs!$G$5:$G$180="acoes"))*Inputs!$B$1+((Inputs!$G$5:$G$180&lt;&gt;"moeda")*(Inputs!$G$5:$G$180&lt;&gt;"acoes")))*INDEX(Inputs!$K$5:$AJ$180,0,MATCH(J$2,Inputs!$K$4:$AJ$4,0)))))</f>
        <v>227.38853986</v>
      </c>
      <c r="K32" s="6">
        <f>IF(ISNA(MATCH(K$2,Inputs!$K$4:$AJ$4,0)),NA(),IF(SUMPRODUCT((Inputs!$A$5:$A$180=$B32)*ISNUMBER(INDEX(Inputs!$K$5:$AJ$180,0,MATCH(K$2,Inputs!$K$4:$AJ$4,0))))+SUMPRODUCT((Inputs!$C$5:$C$180=$B32)*ISNUMBER(INDEX(Inputs!$K$5:$AJ$180,0,MATCH(K$2,Inputs!$K$4:$AJ$4,0))))+SUMPRODUCT((Inputs!$E$5:$E$180=$B32)*ISNUMBER(INDEX(Inputs!$K$5:$AJ$180,0,MATCH(K$2,Inputs!$K$4:$AJ$4,0))))=0,NA(),SUMPRODUCT((Inputs!$A$5:$A$180=$B32)*Inputs!$B$5:$B$180*(((Inputs!$G$5:$G$180="moeda")+(Inputs!$G$5:$G$180="acoes"))*Inputs!$B$1+((Inputs!$G$5:$G$180&lt;&gt;"moeda")*(Inputs!$G$5:$G$180&lt;&gt;"acoes")))*INDEX(Inputs!$K$5:$AJ$180,0,MATCH(K$2,Inputs!$K$4:$AJ$4,0)))+SUMPRODUCT((Inputs!$C$5:$C$180=$B32)*Inputs!$D$5:$D$180*(((Inputs!$G$5:$G$180="moeda")+(Inputs!$G$5:$G$180="acoes"))*Inputs!$B$1+((Inputs!$G$5:$G$180&lt;&gt;"moeda")*(Inputs!$G$5:$G$180&lt;&gt;"acoes")))*INDEX(Inputs!$K$5:$AJ$180,0,MATCH(K$2,Inputs!$K$4:$AJ$4,0)))+SUMPRODUCT((Inputs!$E$5:$E$180=$B32)*Inputs!$F$5:$F$180*(((Inputs!$G$5:$G$180="moeda")+(Inputs!$G$5:$G$180="acoes"))*Inputs!$B$1+((Inputs!$G$5:$G$180&lt;&gt;"moeda")*(Inputs!$G$5:$G$180&lt;&gt;"acoes")))*INDEX(Inputs!$K$5:$AJ$180,0,MATCH(K$2,Inputs!$K$4:$AJ$4,0)))))</f>
        <v>167.01569717</v>
      </c>
      <c r="L32" s="6">
        <f>IF(ISNA(MATCH(L$2,Inputs!$K$4:$AJ$4,0)),NA(),IF(SUMPRODUCT((Inputs!$A$5:$A$180=$B32)*ISNUMBER(INDEX(Inputs!$K$5:$AJ$180,0,MATCH(L$2,Inputs!$K$4:$AJ$4,0))))+SUMPRODUCT((Inputs!$C$5:$C$180=$B32)*ISNUMBER(INDEX(Inputs!$K$5:$AJ$180,0,MATCH(L$2,Inputs!$K$4:$AJ$4,0))))+SUMPRODUCT((Inputs!$E$5:$E$180=$B32)*ISNUMBER(INDEX(Inputs!$K$5:$AJ$180,0,MATCH(L$2,Inputs!$K$4:$AJ$4,0))))=0,NA(),SUMPRODUCT((Inputs!$A$5:$A$180=$B32)*Inputs!$B$5:$B$180*(((Inputs!$G$5:$G$180="moeda")+(Inputs!$G$5:$G$180="acoes"))*Inputs!$B$1+((Inputs!$G$5:$G$180&lt;&gt;"moeda")*(Inputs!$G$5:$G$180&lt;&gt;"acoes")))*INDEX(Inputs!$K$5:$AJ$180,0,MATCH(L$2,Inputs!$K$4:$AJ$4,0)))+SUMPRODUCT((Inputs!$C$5:$C$180=$B32)*Inputs!$D$5:$D$180*(((Inputs!$G$5:$G$180="moeda")+(Inputs!$G$5:$G$180="acoes"))*Inputs!$B$1+((Inputs!$G$5:$G$180&lt;&gt;"moeda")*(Inputs!$G$5:$G$180&lt;&gt;"acoes")))*INDEX(Inputs!$K$5:$AJ$180,0,MATCH(L$2,Inputs!$K$4:$AJ$4,0)))+SUMPRODUCT((Inputs!$E$5:$E$180=$B32)*Inputs!$F$5:$F$180*(((Inputs!$G$5:$G$180="moeda")+(Inputs!$G$5:$G$180="acoes"))*Inputs!$B$1+((Inputs!$G$5:$G$180&lt;&gt;"moeda")*(Inputs!$G$5:$G$180&lt;&gt;"acoes")))*INDEX(Inputs!$K$5:$AJ$180,0,MATCH(L$2,Inputs!$K$4:$AJ$4,0)))))</f>
        <v>176.983</v>
      </c>
      <c r="M32" s="3">
        <f>L32</f>
        <v>176.983</v>
      </c>
      <c r="N32" s="6">
        <f>IF(ISNA(MATCH(N$2,Inputs!$K$4:$AJ$4,0)),NA(),IF(SUMPRODUCT((Inputs!$A$5:$A$180=$B32)*ISNUMBER(INDEX(Inputs!$K$5:$AJ$180,0,MATCH(N$2,Inputs!$K$4:$AJ$4,0))))+SUMPRODUCT((Inputs!$C$5:$C$180=$B32)*ISNUMBER(INDEX(Inputs!$K$5:$AJ$180,0,MATCH(N$2,Inputs!$K$4:$AJ$4,0))))+SUMPRODUCT((Inputs!$E$5:$E$180=$B32)*ISNUMBER(INDEX(Inputs!$K$5:$AJ$180,0,MATCH(N$2,Inputs!$K$4:$AJ$4,0))))=0,NA(),SUMPRODUCT((Inputs!$A$5:$A$180=$B32)*Inputs!$B$5:$B$180*(((Inputs!$G$5:$G$180="moeda")+(Inputs!$G$5:$G$180="acoes"))*Inputs!$B$1+((Inputs!$G$5:$G$180&lt;&gt;"moeda")*(Inputs!$G$5:$G$180&lt;&gt;"acoes")))*INDEX(Inputs!$K$5:$AJ$180,0,MATCH(N$2,Inputs!$K$4:$AJ$4,0)))+SUMPRODUCT((Inputs!$C$5:$C$180=$B32)*Inputs!$D$5:$D$180*(((Inputs!$G$5:$G$180="moeda")+(Inputs!$G$5:$G$180="acoes"))*Inputs!$B$1+((Inputs!$G$5:$G$180&lt;&gt;"moeda")*(Inputs!$G$5:$G$180&lt;&gt;"acoes")))*INDEX(Inputs!$K$5:$AJ$180,0,MATCH(N$2,Inputs!$K$4:$AJ$4,0)))+SUMPRODUCT((Inputs!$E$5:$E$180=$B32)*Inputs!$F$5:$F$180*(((Inputs!$G$5:$G$180="moeda")+(Inputs!$G$5:$G$180="acoes"))*Inputs!$B$1+((Inputs!$G$5:$G$180&lt;&gt;"moeda")*(Inputs!$G$5:$G$180&lt;&gt;"acoes")))*INDEX(Inputs!$K$5:$AJ$180,0,MATCH(N$2,Inputs!$K$4:$AJ$4,0)))))</f>
        <v>178.462</v>
      </c>
      <c r="O32" s="6">
        <f>IF(ISNA(MATCH(O$2,Inputs!$K$4:$AJ$4,0)),NA(),IF(SUMPRODUCT((Inputs!$A$5:$A$180=$B32)*ISNUMBER(INDEX(Inputs!$K$5:$AJ$180,0,MATCH(O$2,Inputs!$K$4:$AJ$4,0))))+SUMPRODUCT((Inputs!$C$5:$C$180=$B32)*ISNUMBER(INDEX(Inputs!$K$5:$AJ$180,0,MATCH(O$2,Inputs!$K$4:$AJ$4,0))))+SUMPRODUCT((Inputs!$E$5:$E$180=$B32)*ISNUMBER(INDEX(Inputs!$K$5:$AJ$180,0,MATCH(O$2,Inputs!$K$4:$AJ$4,0))))=0,NA(),SUMPRODUCT((Inputs!$A$5:$A$180=$B32)*Inputs!$B$5:$B$180*(((Inputs!$G$5:$G$180="moeda")+(Inputs!$G$5:$G$180="acoes"))*Inputs!$B$1+((Inputs!$G$5:$G$180&lt;&gt;"moeda")*(Inputs!$G$5:$G$180&lt;&gt;"acoes")))*INDEX(Inputs!$K$5:$AJ$180,0,MATCH(O$2,Inputs!$K$4:$AJ$4,0)))+SUMPRODUCT((Inputs!$C$5:$C$180=$B32)*Inputs!$D$5:$D$180*(((Inputs!$G$5:$G$180="moeda")+(Inputs!$G$5:$G$180="acoes"))*Inputs!$B$1+((Inputs!$G$5:$G$180&lt;&gt;"moeda")*(Inputs!$G$5:$G$180&lt;&gt;"acoes")))*INDEX(Inputs!$K$5:$AJ$180,0,MATCH(O$2,Inputs!$K$4:$AJ$4,0)))+SUMPRODUCT((Inputs!$E$5:$E$180=$B32)*Inputs!$F$5:$F$180*(((Inputs!$G$5:$G$180="moeda")+(Inputs!$G$5:$G$180="acoes"))*Inputs!$B$1+((Inputs!$G$5:$G$180&lt;&gt;"moeda")*(Inputs!$G$5:$G$180&lt;&gt;"acoes")))*INDEX(Inputs!$K$5:$AJ$180,0,MATCH(O$2,Inputs!$K$4:$AJ$4,0)))))</f>
        <v>216.81164582</v>
      </c>
      <c r="P32" s="6">
        <f>IF(ISNA(MATCH(P$2,Inputs!$K$4:$AJ$4,0)),NA(),IF(SUMPRODUCT((Inputs!$A$5:$A$180=$B32)*ISNUMBER(INDEX(Inputs!$K$5:$AJ$180,0,MATCH(P$2,Inputs!$K$4:$AJ$4,0))))+SUMPRODUCT((Inputs!$C$5:$C$180=$B32)*ISNUMBER(INDEX(Inputs!$K$5:$AJ$180,0,MATCH(P$2,Inputs!$K$4:$AJ$4,0))))+SUMPRODUCT((Inputs!$E$5:$E$180=$B32)*ISNUMBER(INDEX(Inputs!$K$5:$AJ$180,0,MATCH(P$2,Inputs!$K$4:$AJ$4,0))))=0,NA(),SUMPRODUCT((Inputs!$A$5:$A$180=$B32)*Inputs!$B$5:$B$180*(((Inputs!$G$5:$G$180="moeda")+(Inputs!$G$5:$G$180="acoes"))*Inputs!$B$1+((Inputs!$G$5:$G$180&lt;&gt;"moeda")*(Inputs!$G$5:$G$180&lt;&gt;"acoes")))*INDEX(Inputs!$K$5:$AJ$180,0,MATCH(P$2,Inputs!$K$4:$AJ$4,0)))+SUMPRODUCT((Inputs!$C$5:$C$180=$B32)*Inputs!$D$5:$D$180*(((Inputs!$G$5:$G$180="moeda")+(Inputs!$G$5:$G$180="acoes"))*Inputs!$B$1+((Inputs!$G$5:$G$180&lt;&gt;"moeda")*(Inputs!$G$5:$G$180&lt;&gt;"acoes")))*INDEX(Inputs!$K$5:$AJ$180,0,MATCH(P$2,Inputs!$K$4:$AJ$4,0)))+SUMPRODUCT((Inputs!$E$5:$E$180=$B32)*Inputs!$F$5:$F$180*(((Inputs!$G$5:$G$180="moeda")+(Inputs!$G$5:$G$180="acoes"))*Inputs!$B$1+((Inputs!$G$5:$G$180&lt;&gt;"moeda")*(Inputs!$G$5:$G$180&lt;&gt;"acoes")))*INDEX(Inputs!$K$5:$AJ$180,0,MATCH(P$2,Inputs!$K$4:$AJ$4,0)))))</f>
        <v>218.21269927</v>
      </c>
      <c r="Q32" s="6">
        <f>IF(ISNA(MATCH(Q$2,Inputs!$K$4:$AJ$4,0)),NA(),IF(SUMPRODUCT((Inputs!$A$5:$A$180=$B32)*ISNUMBER(INDEX(Inputs!$K$5:$AJ$180,0,MATCH(Q$2,Inputs!$K$4:$AJ$4,0))))+SUMPRODUCT((Inputs!$C$5:$C$180=$B32)*ISNUMBER(INDEX(Inputs!$K$5:$AJ$180,0,MATCH(Q$2,Inputs!$K$4:$AJ$4,0))))+SUMPRODUCT((Inputs!$E$5:$E$180=$B32)*ISNUMBER(INDEX(Inputs!$K$5:$AJ$180,0,MATCH(Q$2,Inputs!$K$4:$AJ$4,0))))=0,NA(),SUMPRODUCT((Inputs!$A$5:$A$180=$B32)*Inputs!$B$5:$B$180*(((Inputs!$G$5:$G$180="moeda")+(Inputs!$G$5:$G$180="acoes"))*Inputs!$B$1+((Inputs!$G$5:$G$180&lt;&gt;"moeda")*(Inputs!$G$5:$G$180&lt;&gt;"acoes")))*INDEX(Inputs!$K$5:$AJ$180,0,MATCH(Q$2,Inputs!$K$4:$AJ$4,0)))+SUMPRODUCT((Inputs!$C$5:$C$180=$B32)*Inputs!$D$5:$D$180*(((Inputs!$G$5:$G$180="moeda")+(Inputs!$G$5:$G$180="acoes"))*Inputs!$B$1+((Inputs!$G$5:$G$180&lt;&gt;"moeda")*(Inputs!$G$5:$G$180&lt;&gt;"acoes")))*INDEX(Inputs!$K$5:$AJ$180,0,MATCH(Q$2,Inputs!$K$4:$AJ$4,0)))+SUMPRODUCT((Inputs!$E$5:$E$180=$B32)*Inputs!$F$5:$F$180*(((Inputs!$G$5:$G$180="moeda")+(Inputs!$G$5:$G$180="acoes"))*Inputs!$B$1+((Inputs!$G$5:$G$180&lt;&gt;"moeda")*(Inputs!$G$5:$G$180&lt;&gt;"acoes")))*INDEX(Inputs!$K$5:$AJ$180,0,MATCH(Q$2,Inputs!$K$4:$AJ$4,0)))))</f>
        <v>158.64530248</v>
      </c>
      <c r="R32" s="3">
        <f>Q32</f>
        <v>158.64530248</v>
      </c>
      <c r="S32" s="6">
        <f>IF(ISNA(MATCH(S$2,Inputs!$K$4:$AJ$4,0)),NA(),IF(SUMPRODUCT((Inputs!$A$5:$A$180=$B32)*ISNUMBER(INDEX(Inputs!$K$5:$AJ$180,0,MATCH(S$2,Inputs!$K$4:$AJ$4,0))))+SUMPRODUCT((Inputs!$C$5:$C$180=$B32)*ISNUMBER(INDEX(Inputs!$K$5:$AJ$180,0,MATCH(S$2,Inputs!$K$4:$AJ$4,0))))+SUMPRODUCT((Inputs!$E$5:$E$180=$B32)*ISNUMBER(INDEX(Inputs!$K$5:$AJ$180,0,MATCH(S$2,Inputs!$K$4:$AJ$4,0))))=0,NA(),SUMPRODUCT((Inputs!$A$5:$A$180=$B32)*Inputs!$B$5:$B$180*(((Inputs!$G$5:$G$180="moeda")+(Inputs!$G$5:$G$180="acoes"))*Inputs!$B$1+((Inputs!$G$5:$G$180&lt;&gt;"moeda")*(Inputs!$G$5:$G$180&lt;&gt;"acoes")))*INDEX(Inputs!$K$5:$AJ$180,0,MATCH(S$2,Inputs!$K$4:$AJ$4,0)))+SUMPRODUCT((Inputs!$C$5:$C$180=$B32)*Inputs!$D$5:$D$180*(((Inputs!$G$5:$G$180="moeda")+(Inputs!$G$5:$G$180="acoes"))*Inputs!$B$1+((Inputs!$G$5:$G$180&lt;&gt;"moeda")*(Inputs!$G$5:$G$180&lt;&gt;"acoes")))*INDEX(Inputs!$K$5:$AJ$180,0,MATCH(S$2,Inputs!$K$4:$AJ$4,0)))+SUMPRODUCT((Inputs!$E$5:$E$180=$B32)*Inputs!$F$5:$F$180*(((Inputs!$G$5:$G$180="moeda")+(Inputs!$G$5:$G$180="acoes"))*Inputs!$B$1+((Inputs!$G$5:$G$180&lt;&gt;"moeda")*(Inputs!$G$5:$G$180&lt;&gt;"acoes")))*INDEX(Inputs!$K$5:$AJ$180,0,MATCH(S$2,Inputs!$K$4:$AJ$4,0)))))</f>
        <v>209.67571082</v>
      </c>
      <c r="T32" s="6">
        <f>IF(ISNA(MATCH(T$2,Inputs!$K$4:$AJ$4,0)),NA(),IF(SUMPRODUCT((Inputs!$A$5:$A$180=$B32)*ISNUMBER(INDEX(Inputs!$K$5:$AJ$180,0,MATCH(T$2,Inputs!$K$4:$AJ$4,0))))+SUMPRODUCT((Inputs!$C$5:$C$180=$B32)*ISNUMBER(INDEX(Inputs!$K$5:$AJ$180,0,MATCH(T$2,Inputs!$K$4:$AJ$4,0))))+SUMPRODUCT((Inputs!$E$5:$E$180=$B32)*ISNUMBER(INDEX(Inputs!$K$5:$AJ$180,0,MATCH(T$2,Inputs!$K$4:$AJ$4,0))))=0,NA(),SUMPRODUCT((Inputs!$A$5:$A$180=$B32)*Inputs!$B$5:$B$180*(((Inputs!$G$5:$G$180="moeda")+(Inputs!$G$5:$G$180="acoes"))*Inputs!$B$1+((Inputs!$G$5:$G$180&lt;&gt;"moeda")*(Inputs!$G$5:$G$180&lt;&gt;"acoes")))*INDEX(Inputs!$K$5:$AJ$180,0,MATCH(T$2,Inputs!$K$4:$AJ$4,0)))+SUMPRODUCT((Inputs!$C$5:$C$180=$B32)*Inputs!$D$5:$D$180*(((Inputs!$G$5:$G$180="moeda")+(Inputs!$G$5:$G$180="acoes"))*Inputs!$B$1+((Inputs!$G$5:$G$180&lt;&gt;"moeda")*(Inputs!$G$5:$G$180&lt;&gt;"acoes")))*INDEX(Inputs!$K$5:$AJ$180,0,MATCH(T$2,Inputs!$K$4:$AJ$4,0)))+SUMPRODUCT((Inputs!$E$5:$E$180=$B32)*Inputs!$F$5:$F$180*(((Inputs!$G$5:$G$180="moeda")+(Inputs!$G$5:$G$180="acoes"))*Inputs!$B$1+((Inputs!$G$5:$G$180&lt;&gt;"moeda")*(Inputs!$G$5:$G$180&lt;&gt;"acoes")))*INDEX(Inputs!$K$5:$AJ$180,0,MATCH(T$2,Inputs!$K$4:$AJ$4,0)))))</f>
        <v>244.36276214</v>
      </c>
      <c r="U32" s="6">
        <f>IF(ISNA(MATCH(U$2,Inputs!$K$4:$AJ$4,0)),NA(),IF(SUMPRODUCT((Inputs!$A$5:$A$180=$B32)*ISNUMBER(INDEX(Inputs!$K$5:$AJ$180,0,MATCH(U$2,Inputs!$K$4:$AJ$4,0))))+SUMPRODUCT((Inputs!$C$5:$C$180=$B32)*ISNUMBER(INDEX(Inputs!$K$5:$AJ$180,0,MATCH(U$2,Inputs!$K$4:$AJ$4,0))))+SUMPRODUCT((Inputs!$E$5:$E$180=$B32)*ISNUMBER(INDEX(Inputs!$K$5:$AJ$180,0,MATCH(U$2,Inputs!$K$4:$AJ$4,0))))=0,NA(),SUMPRODUCT((Inputs!$A$5:$A$180=$B32)*Inputs!$B$5:$B$180*(((Inputs!$G$5:$G$180="moeda")+(Inputs!$G$5:$G$180="acoes"))*Inputs!$B$1+((Inputs!$G$5:$G$180&lt;&gt;"moeda")*(Inputs!$G$5:$G$180&lt;&gt;"acoes")))*INDEX(Inputs!$K$5:$AJ$180,0,MATCH(U$2,Inputs!$K$4:$AJ$4,0)))+SUMPRODUCT((Inputs!$C$5:$C$180=$B32)*Inputs!$D$5:$D$180*(((Inputs!$G$5:$G$180="moeda")+(Inputs!$G$5:$G$180="acoes"))*Inputs!$B$1+((Inputs!$G$5:$G$180&lt;&gt;"moeda")*(Inputs!$G$5:$G$180&lt;&gt;"acoes")))*INDEX(Inputs!$K$5:$AJ$180,0,MATCH(U$2,Inputs!$K$4:$AJ$4,0)))+SUMPRODUCT((Inputs!$E$5:$E$180=$B32)*Inputs!$F$5:$F$180*(((Inputs!$G$5:$G$180="moeda")+(Inputs!$G$5:$G$180="acoes"))*Inputs!$B$1+((Inputs!$G$5:$G$180&lt;&gt;"moeda")*(Inputs!$G$5:$G$180&lt;&gt;"acoes")))*INDEX(Inputs!$K$5:$AJ$180,0,MATCH(U$2,Inputs!$K$4:$AJ$4,0)))))</f>
        <v>331.63844745</v>
      </c>
      <c r="V32" s="6">
        <f>IF(ISNA(MATCH(V$2,Inputs!$K$4:$AJ$4,0)),NA(),IF(SUMPRODUCT((Inputs!$A$5:$A$180=$B32)*ISNUMBER(INDEX(Inputs!$K$5:$AJ$180,0,MATCH(V$2,Inputs!$K$4:$AJ$4,0))))+SUMPRODUCT((Inputs!$C$5:$C$180=$B32)*ISNUMBER(INDEX(Inputs!$K$5:$AJ$180,0,MATCH(V$2,Inputs!$K$4:$AJ$4,0))))+SUMPRODUCT((Inputs!$E$5:$E$180=$B32)*ISNUMBER(INDEX(Inputs!$K$5:$AJ$180,0,MATCH(V$2,Inputs!$K$4:$AJ$4,0))))=0,NA(),SUMPRODUCT((Inputs!$A$5:$A$180=$B32)*Inputs!$B$5:$B$180*(((Inputs!$G$5:$G$180="moeda")+(Inputs!$G$5:$G$180="acoes"))*Inputs!$B$1+((Inputs!$G$5:$G$180&lt;&gt;"moeda")*(Inputs!$G$5:$G$180&lt;&gt;"acoes")))*INDEX(Inputs!$K$5:$AJ$180,0,MATCH(V$2,Inputs!$K$4:$AJ$4,0)))+SUMPRODUCT((Inputs!$C$5:$C$180=$B32)*Inputs!$D$5:$D$180*(((Inputs!$G$5:$G$180="moeda")+(Inputs!$G$5:$G$180="acoes"))*Inputs!$B$1+((Inputs!$G$5:$G$180&lt;&gt;"moeda")*(Inputs!$G$5:$G$180&lt;&gt;"acoes")))*INDEX(Inputs!$K$5:$AJ$180,0,MATCH(V$2,Inputs!$K$4:$AJ$4,0)))+SUMPRODUCT((Inputs!$E$5:$E$180=$B32)*Inputs!$F$5:$F$180*(((Inputs!$G$5:$G$180="moeda")+(Inputs!$G$5:$G$180="acoes"))*Inputs!$B$1+((Inputs!$G$5:$G$180&lt;&gt;"moeda")*(Inputs!$G$5:$G$180&lt;&gt;"acoes")))*INDEX(Inputs!$K$5:$AJ$180,0,MATCH(V$2,Inputs!$K$4:$AJ$4,0)))))</f>
        <v>342.43806981</v>
      </c>
      <c r="W32" s="3">
        <f>V32</f>
        <v>342.43806981</v>
      </c>
      <c r="X32" s="6">
        <f>IF(ISNA(MATCH(X$2,Inputs!$K$4:$AJ$4,0)),NA(),IF(SUMPRODUCT((Inputs!$A$5:$A$180=$B32)*ISNUMBER(INDEX(Inputs!$K$5:$AJ$180,0,MATCH(X$2,Inputs!$K$4:$AJ$4,0))))+SUMPRODUCT((Inputs!$C$5:$C$180=$B32)*ISNUMBER(INDEX(Inputs!$K$5:$AJ$180,0,MATCH(X$2,Inputs!$K$4:$AJ$4,0))))+SUMPRODUCT((Inputs!$E$5:$E$180=$B32)*ISNUMBER(INDEX(Inputs!$K$5:$AJ$180,0,MATCH(X$2,Inputs!$K$4:$AJ$4,0))))=0,NA(),SUMPRODUCT((Inputs!$A$5:$A$180=$B32)*Inputs!$B$5:$B$180*(((Inputs!$G$5:$G$180="moeda")+(Inputs!$G$5:$G$180="acoes"))*Inputs!$B$1+((Inputs!$G$5:$G$180&lt;&gt;"moeda")*(Inputs!$G$5:$G$180&lt;&gt;"acoes")))*INDEX(Inputs!$K$5:$AJ$180,0,MATCH(X$2,Inputs!$K$4:$AJ$4,0)))+SUMPRODUCT((Inputs!$C$5:$C$180=$B32)*Inputs!$D$5:$D$180*(((Inputs!$G$5:$G$180="moeda")+(Inputs!$G$5:$G$180="acoes"))*Inputs!$B$1+((Inputs!$G$5:$G$180&lt;&gt;"moeda")*(Inputs!$G$5:$G$180&lt;&gt;"acoes")))*INDEX(Inputs!$K$5:$AJ$180,0,MATCH(X$2,Inputs!$K$4:$AJ$4,0)))+SUMPRODUCT((Inputs!$E$5:$E$180=$B32)*Inputs!$F$5:$F$180*(((Inputs!$G$5:$G$180="moeda")+(Inputs!$G$5:$G$180="acoes"))*Inputs!$B$1+((Inputs!$G$5:$G$180&lt;&gt;"moeda")*(Inputs!$G$5:$G$180&lt;&gt;"acoes")))*INDEX(Inputs!$K$5:$AJ$180,0,MATCH(X$2,Inputs!$K$4:$AJ$4,0)))))</f>
        <v>164.02480182</v>
      </c>
      <c r="Y32" s="6">
        <f>IF(ISNA(MATCH(Y$2,Inputs!$K$4:$AJ$4,0)),NA(),IF(SUMPRODUCT((Inputs!$A$5:$A$180=$B32)*ISNUMBER(INDEX(Inputs!$K$5:$AJ$180,0,MATCH(Y$2,Inputs!$K$4:$AJ$4,0))))+SUMPRODUCT((Inputs!$C$5:$C$180=$B32)*ISNUMBER(INDEX(Inputs!$K$5:$AJ$180,0,MATCH(Y$2,Inputs!$K$4:$AJ$4,0))))+SUMPRODUCT((Inputs!$E$5:$E$180=$B32)*ISNUMBER(INDEX(Inputs!$K$5:$AJ$180,0,MATCH(Y$2,Inputs!$K$4:$AJ$4,0))))=0,NA(),SUMPRODUCT((Inputs!$A$5:$A$180=$B32)*Inputs!$B$5:$B$180*(((Inputs!$G$5:$G$180="moeda")+(Inputs!$G$5:$G$180="acoes"))*Inputs!$B$1+((Inputs!$G$5:$G$180&lt;&gt;"moeda")*(Inputs!$G$5:$G$180&lt;&gt;"acoes")))*INDEX(Inputs!$K$5:$AJ$180,0,MATCH(Y$2,Inputs!$K$4:$AJ$4,0)))+SUMPRODUCT((Inputs!$C$5:$C$180=$B32)*Inputs!$D$5:$D$180*(((Inputs!$G$5:$G$180="moeda")+(Inputs!$G$5:$G$180="acoes"))*Inputs!$B$1+((Inputs!$G$5:$G$180&lt;&gt;"moeda")*(Inputs!$G$5:$G$180&lt;&gt;"acoes")))*INDEX(Inputs!$K$5:$AJ$180,0,MATCH(Y$2,Inputs!$K$4:$AJ$4,0)))+SUMPRODUCT((Inputs!$E$5:$E$180=$B32)*Inputs!$F$5:$F$180*(((Inputs!$G$5:$G$180="moeda")+(Inputs!$G$5:$G$180="acoes"))*Inputs!$B$1+((Inputs!$G$5:$G$180&lt;&gt;"moeda")*(Inputs!$G$5:$G$180&lt;&gt;"acoes")))*INDEX(Inputs!$K$5:$AJ$180,0,MATCH(Y$2,Inputs!$K$4:$AJ$4,0)))))</f>
        <v>185.16692304</v>
      </c>
      <c r="Z32" s="6">
        <f>IF(ISNA(MATCH(Z$2,Inputs!$K$4:$AJ$4,0)),NA(),IF(SUMPRODUCT((Inputs!$A$5:$A$180=$B32)*ISNUMBER(INDEX(Inputs!$K$5:$AJ$180,0,MATCH(Z$2,Inputs!$K$4:$AJ$4,0))))+SUMPRODUCT((Inputs!$C$5:$C$180=$B32)*ISNUMBER(INDEX(Inputs!$K$5:$AJ$180,0,MATCH(Z$2,Inputs!$K$4:$AJ$4,0))))+SUMPRODUCT((Inputs!$E$5:$E$180=$B32)*ISNUMBER(INDEX(Inputs!$K$5:$AJ$180,0,MATCH(Z$2,Inputs!$K$4:$AJ$4,0))))=0,NA(),SUMPRODUCT((Inputs!$A$5:$A$180=$B32)*Inputs!$B$5:$B$180*(((Inputs!$G$5:$G$180="moeda")+(Inputs!$G$5:$G$180="acoes"))*Inputs!$B$1+((Inputs!$G$5:$G$180&lt;&gt;"moeda")*(Inputs!$G$5:$G$180&lt;&gt;"acoes")))*INDEX(Inputs!$K$5:$AJ$180,0,MATCH(Z$2,Inputs!$K$4:$AJ$4,0)))+SUMPRODUCT((Inputs!$C$5:$C$180=$B32)*Inputs!$D$5:$D$180*(((Inputs!$G$5:$G$180="moeda")+(Inputs!$G$5:$G$180="acoes"))*Inputs!$B$1+((Inputs!$G$5:$G$180&lt;&gt;"moeda")*(Inputs!$G$5:$G$180&lt;&gt;"acoes")))*INDEX(Inputs!$K$5:$AJ$180,0,MATCH(Z$2,Inputs!$K$4:$AJ$4,0)))+SUMPRODUCT((Inputs!$E$5:$E$180=$B32)*Inputs!$F$5:$F$180*(((Inputs!$G$5:$G$180="moeda")+(Inputs!$G$5:$G$180="acoes"))*Inputs!$B$1+((Inputs!$G$5:$G$180&lt;&gt;"moeda")*(Inputs!$G$5:$G$180&lt;&gt;"acoes")))*INDEX(Inputs!$K$5:$AJ$180,0,MATCH(Z$2,Inputs!$K$4:$AJ$4,0)))))</f>
        <v>54.402</v>
      </c>
      <c r="AA32" s="6">
        <f>IF(ISNA(MATCH(AA$2,Inputs!$K$4:$AJ$4,0)),NA(),IF(SUMPRODUCT((Inputs!$A$5:$A$180=$B32)*ISNUMBER(INDEX(Inputs!$K$5:$AJ$180,0,MATCH(AA$2,Inputs!$K$4:$AJ$4,0))))+SUMPRODUCT((Inputs!$C$5:$C$180=$B32)*ISNUMBER(INDEX(Inputs!$K$5:$AJ$180,0,MATCH(AA$2,Inputs!$K$4:$AJ$4,0))))+SUMPRODUCT((Inputs!$E$5:$E$180=$B32)*ISNUMBER(INDEX(Inputs!$K$5:$AJ$180,0,MATCH(AA$2,Inputs!$K$4:$AJ$4,0))))=0,NA(),SUMPRODUCT((Inputs!$A$5:$A$180=$B32)*Inputs!$B$5:$B$180*(((Inputs!$G$5:$G$180="moeda")+(Inputs!$G$5:$G$180="acoes"))*Inputs!$B$1+((Inputs!$G$5:$G$180&lt;&gt;"moeda")*(Inputs!$G$5:$G$180&lt;&gt;"acoes")))*INDEX(Inputs!$K$5:$AJ$180,0,MATCH(AA$2,Inputs!$K$4:$AJ$4,0)))+SUMPRODUCT((Inputs!$C$5:$C$180=$B32)*Inputs!$D$5:$D$180*(((Inputs!$G$5:$G$180="moeda")+(Inputs!$G$5:$G$180="acoes"))*Inputs!$B$1+((Inputs!$G$5:$G$180&lt;&gt;"moeda")*(Inputs!$G$5:$G$180&lt;&gt;"acoes")))*INDEX(Inputs!$K$5:$AJ$180,0,MATCH(AA$2,Inputs!$K$4:$AJ$4,0)))+SUMPRODUCT((Inputs!$E$5:$E$180=$B32)*Inputs!$F$5:$F$180*(((Inputs!$G$5:$G$180="moeda")+(Inputs!$G$5:$G$180="acoes"))*Inputs!$B$1+((Inputs!$G$5:$G$180&lt;&gt;"moeda")*(Inputs!$G$5:$G$180&lt;&gt;"acoes")))*INDEX(Inputs!$K$5:$AJ$180,0,MATCH(AA$2,Inputs!$K$4:$AJ$4,0)))))</f>
        <v>252.06949587</v>
      </c>
      <c r="AB32" s="3">
        <f>AA32</f>
        <v>252.06949587</v>
      </c>
      <c r="AC32" s="6">
        <f>IF(ISNA(MATCH(AC$2,Inputs!$K$4:$AJ$4,0)),NA(),IF(SUMPRODUCT((Inputs!$A$5:$A$180=$B32)*ISNUMBER(INDEX(Inputs!$K$5:$AJ$180,0,MATCH(AC$2,Inputs!$K$4:$AJ$4,0))))+SUMPRODUCT((Inputs!$C$5:$C$180=$B32)*ISNUMBER(INDEX(Inputs!$K$5:$AJ$180,0,MATCH(AC$2,Inputs!$K$4:$AJ$4,0))))+SUMPRODUCT((Inputs!$E$5:$E$180=$B32)*ISNUMBER(INDEX(Inputs!$K$5:$AJ$180,0,MATCH(AC$2,Inputs!$K$4:$AJ$4,0))))=0,NA(),SUMPRODUCT((Inputs!$A$5:$A$180=$B32)*Inputs!$B$5:$B$180*(((Inputs!$G$5:$G$180="moeda")+(Inputs!$G$5:$G$180="acoes"))*Inputs!$B$1+((Inputs!$G$5:$G$180&lt;&gt;"moeda")*(Inputs!$G$5:$G$180&lt;&gt;"acoes")))*INDEX(Inputs!$K$5:$AJ$180,0,MATCH(AC$2,Inputs!$K$4:$AJ$4,0)))+SUMPRODUCT((Inputs!$C$5:$C$180=$B32)*Inputs!$D$5:$D$180*(((Inputs!$G$5:$G$180="moeda")+(Inputs!$G$5:$G$180="acoes"))*Inputs!$B$1+((Inputs!$G$5:$G$180&lt;&gt;"moeda")*(Inputs!$G$5:$G$180&lt;&gt;"acoes")))*INDEX(Inputs!$K$5:$AJ$180,0,MATCH(AC$2,Inputs!$K$4:$AJ$4,0)))+SUMPRODUCT((Inputs!$E$5:$E$180=$B32)*Inputs!$F$5:$F$180*(((Inputs!$G$5:$G$180="moeda")+(Inputs!$G$5:$G$180="acoes"))*Inputs!$B$1+((Inputs!$G$5:$G$180&lt;&gt;"moeda")*(Inputs!$G$5:$G$180&lt;&gt;"acoes")))*INDEX(Inputs!$K$5:$AJ$180,0,MATCH(AC$2,Inputs!$K$4:$AJ$4,0)))))</f>
        <v>228.4214503</v>
      </c>
      <c r="AD32" s="6">
        <f>IF(ISNA(MATCH(AD$2,Inputs!$K$4:$AJ$4,0)),NA(),IF(SUMPRODUCT((Inputs!$A$5:$A$180=$B32)*ISNUMBER(INDEX(Inputs!$K$5:$AJ$180,0,MATCH(AD$2,Inputs!$K$4:$AJ$4,0))))+SUMPRODUCT((Inputs!$C$5:$C$180=$B32)*ISNUMBER(INDEX(Inputs!$K$5:$AJ$180,0,MATCH(AD$2,Inputs!$K$4:$AJ$4,0))))+SUMPRODUCT((Inputs!$E$5:$E$180=$B32)*ISNUMBER(INDEX(Inputs!$K$5:$AJ$180,0,MATCH(AD$2,Inputs!$K$4:$AJ$4,0))))=0,NA(),SUMPRODUCT((Inputs!$A$5:$A$180=$B32)*Inputs!$B$5:$B$180*(((Inputs!$G$5:$G$180="moeda")+(Inputs!$G$5:$G$180="acoes"))*Inputs!$B$1+((Inputs!$G$5:$G$180&lt;&gt;"moeda")*(Inputs!$G$5:$G$180&lt;&gt;"acoes")))*INDEX(Inputs!$K$5:$AJ$180,0,MATCH(AD$2,Inputs!$K$4:$AJ$4,0)))+SUMPRODUCT((Inputs!$C$5:$C$180=$B32)*Inputs!$D$5:$D$180*(((Inputs!$G$5:$G$180="moeda")+(Inputs!$G$5:$G$180="acoes"))*Inputs!$B$1+((Inputs!$G$5:$G$180&lt;&gt;"moeda")*(Inputs!$G$5:$G$180&lt;&gt;"acoes")))*INDEX(Inputs!$K$5:$AJ$180,0,MATCH(AD$2,Inputs!$K$4:$AJ$4,0)))+SUMPRODUCT((Inputs!$E$5:$E$180=$B32)*Inputs!$F$5:$F$180*(((Inputs!$G$5:$G$180="moeda")+(Inputs!$G$5:$G$180="acoes"))*Inputs!$B$1+((Inputs!$G$5:$G$180&lt;&gt;"moeda")*(Inputs!$G$5:$G$180&lt;&gt;"acoes")))*INDEX(Inputs!$K$5:$AJ$180,0,MATCH(AD$2,Inputs!$K$4:$AJ$4,0)))))</f>
        <v>237.72193538</v>
      </c>
      <c r="AE32" s="6" t="e">
        <f>IF(ISNA(MATCH(AE$2,Inputs!$K$4:$AJ$4,0)),NA(),IF(SUMPRODUCT((Inputs!$A$5:$A$180=$B32)*ISNUMBER(INDEX(Inputs!$K$5:$AJ$180,0,MATCH(AE$2,Inputs!$K$4:$AJ$4,0))))+SUMPRODUCT((Inputs!$C$5:$C$180=$B32)*ISNUMBER(INDEX(Inputs!$K$5:$AJ$180,0,MATCH(AE$2,Inputs!$K$4:$AJ$4,0))))+SUMPRODUCT((Inputs!$E$5:$E$180=$B32)*ISNUMBER(INDEX(Inputs!$K$5:$AJ$180,0,MATCH(AE$2,Inputs!$K$4:$AJ$4,0))))=0,NA(),SUMPRODUCT((Inputs!$A$5:$A$180=$B32)*Inputs!$B$5:$B$180*(((Inputs!$G$5:$G$180="moeda")+(Inputs!$G$5:$G$180="acoes"))*Inputs!$B$1+((Inputs!$G$5:$G$180&lt;&gt;"moeda")*(Inputs!$G$5:$G$180&lt;&gt;"acoes")))*INDEX(Inputs!$K$5:$AJ$180,0,MATCH(AE$2,Inputs!$K$4:$AJ$4,0)))+SUMPRODUCT((Inputs!$C$5:$C$180=$B32)*Inputs!$D$5:$D$180*(((Inputs!$G$5:$G$180="moeda")+(Inputs!$G$5:$G$180="acoes"))*Inputs!$B$1+((Inputs!$G$5:$G$180&lt;&gt;"moeda")*(Inputs!$G$5:$G$180&lt;&gt;"acoes")))*INDEX(Inputs!$K$5:$AJ$180,0,MATCH(AE$2,Inputs!$K$4:$AJ$4,0)))+SUMPRODUCT((Inputs!$E$5:$E$180=$B32)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2" s="6" t="e">
        <f>IF(ISNA(MATCH(AF$2,Inputs!$K$4:$AJ$4,0)),NA(),IF(SUMPRODUCT((Inputs!$A$5:$A$180=$B32)*ISNUMBER(INDEX(Inputs!$K$5:$AJ$180,0,MATCH(AF$2,Inputs!$K$4:$AJ$4,0))))+SUMPRODUCT((Inputs!$C$5:$C$180=$B32)*ISNUMBER(INDEX(Inputs!$K$5:$AJ$180,0,MATCH(AF$2,Inputs!$K$4:$AJ$4,0))))+SUMPRODUCT((Inputs!$E$5:$E$180=$B32)*ISNUMBER(INDEX(Inputs!$K$5:$AJ$180,0,MATCH(AF$2,Inputs!$K$4:$AJ$4,0))))=0,NA(),SUMPRODUCT((Inputs!$A$5:$A$180=$B32)*Inputs!$B$5:$B$180*(((Inputs!$G$5:$G$180="moeda")+(Inputs!$G$5:$G$180="acoes"))*Inputs!$B$1+((Inputs!$G$5:$G$180&lt;&gt;"moeda")*(Inputs!$G$5:$G$180&lt;&gt;"acoes")))*INDEX(Inputs!$K$5:$AJ$180,0,MATCH(AF$2,Inputs!$K$4:$AJ$4,0)))+SUMPRODUCT((Inputs!$C$5:$C$180=$B32)*Inputs!$D$5:$D$180*(((Inputs!$G$5:$G$180="moeda")+(Inputs!$G$5:$G$180="acoes"))*Inputs!$B$1+((Inputs!$G$5:$G$180&lt;&gt;"moeda")*(Inputs!$G$5:$G$180&lt;&gt;"acoes")))*INDEX(Inputs!$K$5:$AJ$180,0,MATCH(AF$2,Inputs!$K$4:$AJ$4,0)))+SUMPRODUCT((Inputs!$E$5:$E$180=$B32)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2" s="3" t="e">
        <f>AF32</f>
        <v>#N/A</v>
      </c>
      <c r="AH32" s="6">
        <f>IF(ISNA(MATCH(AH$2,Inputs!$K$4:$AJ$4,0)),NA(),IF(SUMPRODUCT((Inputs!$A$5:$A$180=$B32)*ISNUMBER(INDEX(Inputs!$K$5:$AJ$180,0,MATCH(AH$2,Inputs!$K$4:$AJ$4,0))))+SUMPRODUCT((Inputs!$C$5:$C$180=$B32)*ISNUMBER(INDEX(Inputs!$K$5:$AJ$180,0,MATCH(AH$2,Inputs!$K$4:$AJ$4,0))))+SUMPRODUCT((Inputs!$E$5:$E$180=$B32)*ISNUMBER(INDEX(Inputs!$K$5:$AJ$180,0,MATCH(AH$2,Inputs!$K$4:$AJ$4,0))))=0,NA(),SUMPRODUCT((Inputs!$A$5:$A$180=$B32)*Inputs!$B$5:$B$180*(((Inputs!$G$5:$G$180="moeda")+(Inputs!$G$5:$G$180="acoes"))*Inputs!$B$1+((Inputs!$G$5:$G$180&lt;&gt;"moeda")*(Inputs!$G$5:$G$180&lt;&gt;"acoes")))*INDEX(Inputs!$K$5:$AJ$180,0,MATCH(AH$2,Inputs!$K$4:$AJ$4,0)))+SUMPRODUCT((Inputs!$C$5:$C$180=$B32)*Inputs!$D$5:$D$180*(((Inputs!$G$5:$G$180="moeda")+(Inputs!$G$5:$G$180="acoes"))*Inputs!$B$1+((Inputs!$G$5:$G$180&lt;&gt;"moeda")*(Inputs!$G$5:$G$180&lt;&gt;"acoes")))*INDEX(Inputs!$K$5:$AJ$180,0,MATCH(AH$2,Inputs!$K$4:$AJ$4,0)))+SUMPRODUCT((Inputs!$E$5:$E$180=$B32)*Inputs!$F$5:$F$180*(((Inputs!$G$5:$G$180="moeda")+(Inputs!$G$5:$G$180="acoes"))*Inputs!$B$1+((Inputs!$G$5:$G$180&lt;&gt;"moeda")*(Inputs!$G$5:$G$180&lt;&gt;"acoes")))*INDEX(Inputs!$K$5:$AJ$180,0,MATCH(AH$2,Inputs!$K$4:$AJ$4,0)))))</f>
        <v>244.951</v>
      </c>
      <c r="AI32" s="6">
        <f>IF(ISNA(MATCH(AI$2,Inputs!$K$4:$AJ$4,0)),NA(),IF(SUMPRODUCT((Inputs!$A$5:$A$180=$B32)*ISNUMBER(INDEX(Inputs!$K$5:$AJ$180,0,MATCH(AI$2,Inputs!$K$4:$AJ$4,0))))+SUMPRODUCT((Inputs!$C$5:$C$180=$B32)*ISNUMBER(INDEX(Inputs!$K$5:$AJ$180,0,MATCH(AI$2,Inputs!$K$4:$AJ$4,0))))+SUMPRODUCT((Inputs!$E$5:$E$180=$B32)*ISNUMBER(INDEX(Inputs!$K$5:$AJ$180,0,MATCH(AI$2,Inputs!$K$4:$AJ$4,0))))=0,NA(),SUMPRODUCT((Inputs!$A$5:$A$180=$B32)*Inputs!$B$5:$B$180*(((Inputs!$G$5:$G$180="moeda")+(Inputs!$G$5:$G$180="acoes"))*Inputs!$B$1+((Inputs!$G$5:$G$180&lt;&gt;"moeda")*(Inputs!$G$5:$G$180&lt;&gt;"acoes")))*INDEX(Inputs!$K$5:$AJ$180,0,MATCH(AI$2,Inputs!$K$4:$AJ$4,0)))+SUMPRODUCT((Inputs!$C$5:$C$180=$B32)*Inputs!$D$5:$D$180*(((Inputs!$G$5:$G$180="moeda")+(Inputs!$G$5:$G$180="acoes"))*Inputs!$B$1+((Inputs!$G$5:$G$180&lt;&gt;"moeda")*(Inputs!$G$5:$G$180&lt;&gt;"acoes")))*INDEX(Inputs!$K$5:$AJ$180,0,MATCH(AI$2,Inputs!$K$4:$AJ$4,0)))+SUMPRODUCT((Inputs!$E$5:$E$180=$B32)*Inputs!$F$5:$F$180*(((Inputs!$G$5:$G$180="moeda")+(Inputs!$G$5:$G$180="acoes"))*Inputs!$B$1+((Inputs!$G$5:$G$180&lt;&gt;"moeda")*(Inputs!$G$5:$G$180&lt;&gt;"acoes")))*INDEX(Inputs!$K$5:$AJ$180,0,MATCH(AI$2,Inputs!$K$4:$AJ$4,0)))))</f>
        <v>316.75823784</v>
      </c>
      <c r="AJ32" s="6">
        <f>IF(ISNA(MATCH(AJ$2,Inputs!$K$4:$AJ$4,0)),NA(),IF(SUMPRODUCT((Inputs!$A$5:$A$180=$B32)*ISNUMBER(INDEX(Inputs!$K$5:$AJ$180,0,MATCH(AJ$2,Inputs!$K$4:$AJ$4,0))))+SUMPRODUCT((Inputs!$C$5:$C$180=$B32)*ISNUMBER(INDEX(Inputs!$K$5:$AJ$180,0,MATCH(AJ$2,Inputs!$K$4:$AJ$4,0))))+SUMPRODUCT((Inputs!$E$5:$E$180=$B32)*ISNUMBER(INDEX(Inputs!$K$5:$AJ$180,0,MATCH(AJ$2,Inputs!$K$4:$AJ$4,0))))=0,NA(),SUMPRODUCT((Inputs!$A$5:$A$180=$B32)*Inputs!$B$5:$B$180*(((Inputs!$G$5:$G$180="moeda")+(Inputs!$G$5:$G$180="acoes"))*Inputs!$B$1+((Inputs!$G$5:$G$180&lt;&gt;"moeda")*(Inputs!$G$5:$G$180&lt;&gt;"acoes")))*INDEX(Inputs!$K$5:$AJ$180,0,MATCH(AJ$2,Inputs!$K$4:$AJ$4,0)))+SUMPRODUCT((Inputs!$C$5:$C$180=$B32)*Inputs!$D$5:$D$180*(((Inputs!$G$5:$G$180="moeda")+(Inputs!$G$5:$G$180="acoes"))*Inputs!$B$1+((Inputs!$G$5:$G$180&lt;&gt;"moeda")*(Inputs!$G$5:$G$180&lt;&gt;"acoes")))*INDEX(Inputs!$K$5:$AJ$180,0,MATCH(AJ$2,Inputs!$K$4:$AJ$4,0)))+SUMPRODUCT((Inputs!$E$5:$E$180=$B32)*Inputs!$F$5:$F$180*(((Inputs!$G$5:$G$180="moeda")+(Inputs!$G$5:$G$180="acoes"))*Inputs!$B$1+((Inputs!$G$5:$G$180&lt;&gt;"moeda")*(Inputs!$G$5:$G$180&lt;&gt;"acoes")))*INDEX(Inputs!$K$5:$AJ$180,0,MATCH(AJ$2,Inputs!$K$4:$AJ$4,0)))))</f>
        <v>296.244632</v>
      </c>
      <c r="AK32" s="6">
        <f>IF(ISNA(MATCH(AK$2,Inputs!$K$4:$AJ$4,0)),NA(),IF(SUMPRODUCT((Inputs!$A$5:$A$180=$B32)*ISNUMBER(INDEX(Inputs!$K$5:$AJ$180,0,MATCH(AK$2,Inputs!$K$4:$AJ$4,0))))+SUMPRODUCT((Inputs!$C$5:$C$180=$B32)*ISNUMBER(INDEX(Inputs!$K$5:$AJ$180,0,MATCH(AK$2,Inputs!$K$4:$AJ$4,0))))+SUMPRODUCT((Inputs!$E$5:$E$180=$B32)*ISNUMBER(INDEX(Inputs!$K$5:$AJ$180,0,MATCH(AK$2,Inputs!$K$4:$AJ$4,0))))=0,NA(),SUMPRODUCT((Inputs!$A$5:$A$180=$B32)*Inputs!$B$5:$B$180*(((Inputs!$G$5:$G$180="moeda")+(Inputs!$G$5:$G$180="acoes"))*Inputs!$B$1+((Inputs!$G$5:$G$180&lt;&gt;"moeda")*(Inputs!$G$5:$G$180&lt;&gt;"acoes")))*INDEX(Inputs!$K$5:$AJ$180,0,MATCH(AK$2,Inputs!$K$4:$AJ$4,0)))+SUMPRODUCT((Inputs!$C$5:$C$180=$B32)*Inputs!$D$5:$D$180*(((Inputs!$G$5:$G$180="moeda")+(Inputs!$G$5:$G$180="acoes"))*Inputs!$B$1+((Inputs!$G$5:$G$180&lt;&gt;"moeda")*(Inputs!$G$5:$G$180&lt;&gt;"acoes")))*INDEX(Inputs!$K$5:$AJ$180,0,MATCH(AK$2,Inputs!$K$4:$AJ$4,0)))+SUMPRODUCT((Inputs!$E$5:$E$180=$B32)*Inputs!$F$5:$F$180*(((Inputs!$G$5:$G$180="moeda")+(Inputs!$G$5:$G$180="acoes"))*Inputs!$B$1+((Inputs!$G$5:$G$180&lt;&gt;"moeda")*(Inputs!$G$5:$G$180&lt;&gt;"acoes")))*INDEX(Inputs!$K$5:$AJ$180,0,MATCH(AK$2,Inputs!$K$4:$AJ$4,0)))))</f>
        <v>288.18792132</v>
      </c>
      <c r="AL32" s="3">
        <f>AK32</f>
        <v>288.18792132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$180=$B33)*ISNUMBER(INDEX(Inputs!$K$5:$AJ$180,0,MATCH(D$2,Inputs!$K$4:$AJ$4,0))))+SUMPRODUCT((Inputs!$C$5:$C$180=$B33)*ISNUMBER(INDEX(Inputs!$K$5:$AJ$180,0,MATCH(D$2,Inputs!$K$4:$AJ$4,0))))+SUMPRODUCT((Inputs!$E$5:$E$180=$B33)*ISNUMBER(INDEX(Inputs!$K$5:$AJ$180,0,MATCH(D$2,Inputs!$K$4:$AJ$4,0))))=0,NA(),SUMPRODUCT((Inputs!$A$5:$A$180=$B33)*Inputs!$B$5:$B$180*(((Inputs!$G$5:$G$180="moeda")+(Inputs!$G$5:$G$180="acoes"))*Inputs!$B$1+((Inputs!$G$5:$G$180&lt;&gt;"moeda")*(Inputs!$G$5:$G$180&lt;&gt;"acoes")))*INDEX(Inputs!$K$5:$AJ$180,0,MATCH(D$2,Inputs!$K$4:$AJ$4,0)))+SUMPRODUCT((Inputs!$C$5:$C$180=$B33)*Inputs!$D$5:$D$180*(((Inputs!$G$5:$G$180="moeda")+(Inputs!$G$5:$G$180="acoes"))*Inputs!$B$1+((Inputs!$G$5:$G$180&lt;&gt;"moeda")*(Inputs!$G$5:$G$180&lt;&gt;"acoes")))*INDEX(Inputs!$K$5:$AJ$180,0,MATCH(D$2,Inputs!$K$4:$AJ$4,0)))+SUMPRODUCT((Inputs!$E$5:$E$180=$B33)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3" s="6" t="e">
        <f>IF(ISNA(MATCH(E$2,Inputs!$K$4:$AJ$4,0)),NA(),IF(SUMPRODUCT((Inputs!$A$5:$A$180=$B33)*ISNUMBER(INDEX(Inputs!$K$5:$AJ$180,0,MATCH(E$2,Inputs!$K$4:$AJ$4,0))))+SUMPRODUCT((Inputs!$C$5:$C$180=$B33)*ISNUMBER(INDEX(Inputs!$K$5:$AJ$180,0,MATCH(E$2,Inputs!$K$4:$AJ$4,0))))+SUMPRODUCT((Inputs!$E$5:$E$180=$B33)*ISNUMBER(INDEX(Inputs!$K$5:$AJ$180,0,MATCH(E$2,Inputs!$K$4:$AJ$4,0))))=0,NA(),SUMPRODUCT((Inputs!$A$5:$A$180=$B33)*Inputs!$B$5:$B$180*(((Inputs!$G$5:$G$180="moeda")+(Inputs!$G$5:$G$180="acoes"))*Inputs!$B$1+((Inputs!$G$5:$G$180&lt;&gt;"moeda")*(Inputs!$G$5:$G$180&lt;&gt;"acoes")))*INDEX(Inputs!$K$5:$AJ$180,0,MATCH(E$2,Inputs!$K$4:$AJ$4,0)))+SUMPRODUCT((Inputs!$C$5:$C$180=$B33)*Inputs!$D$5:$D$180*(((Inputs!$G$5:$G$180="moeda")+(Inputs!$G$5:$G$180="acoes"))*Inputs!$B$1+((Inputs!$G$5:$G$180&lt;&gt;"moeda")*(Inputs!$G$5:$G$180&lt;&gt;"acoes")))*INDEX(Inputs!$K$5:$AJ$180,0,MATCH(E$2,Inputs!$K$4:$AJ$4,0)))+SUMPRODUCT((Inputs!$E$5:$E$180=$B33)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3" s="6" t="e">
        <f>IF(ISNA(MATCH(F$2,Inputs!$K$4:$AJ$4,0)),NA(),IF(SUMPRODUCT((Inputs!$A$5:$A$180=$B33)*ISNUMBER(INDEX(Inputs!$K$5:$AJ$180,0,MATCH(F$2,Inputs!$K$4:$AJ$4,0))))+SUMPRODUCT((Inputs!$C$5:$C$180=$B33)*ISNUMBER(INDEX(Inputs!$K$5:$AJ$180,0,MATCH(F$2,Inputs!$K$4:$AJ$4,0))))+SUMPRODUCT((Inputs!$E$5:$E$180=$B33)*ISNUMBER(INDEX(Inputs!$K$5:$AJ$180,0,MATCH(F$2,Inputs!$K$4:$AJ$4,0))))=0,NA(),SUMPRODUCT((Inputs!$A$5:$A$180=$B33)*Inputs!$B$5:$B$180*(((Inputs!$G$5:$G$180="moeda")+(Inputs!$G$5:$G$180="acoes"))*Inputs!$B$1+((Inputs!$G$5:$G$180&lt;&gt;"moeda")*(Inputs!$G$5:$G$180&lt;&gt;"acoes")))*INDEX(Inputs!$K$5:$AJ$180,0,MATCH(F$2,Inputs!$K$4:$AJ$4,0)))+SUMPRODUCT((Inputs!$C$5:$C$180=$B33)*Inputs!$D$5:$D$180*(((Inputs!$G$5:$G$180="moeda")+(Inputs!$G$5:$G$180="acoes"))*Inputs!$B$1+((Inputs!$G$5:$G$180&lt;&gt;"moeda")*(Inputs!$G$5:$G$180&lt;&gt;"acoes")))*INDEX(Inputs!$K$5:$AJ$180,0,MATCH(F$2,Inputs!$K$4:$AJ$4,0)))+SUMPRODUCT((Inputs!$E$5:$E$180=$B33)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3" s="6" t="e">
        <f>IF(ISNA(MATCH(G$2,Inputs!$K$4:$AJ$4,0)),NA(),IF(SUMPRODUCT((Inputs!$A$5:$A$180=$B33)*ISNUMBER(INDEX(Inputs!$K$5:$AJ$180,0,MATCH(G$2,Inputs!$K$4:$AJ$4,0))))+SUMPRODUCT((Inputs!$C$5:$C$180=$B33)*ISNUMBER(INDEX(Inputs!$K$5:$AJ$180,0,MATCH(G$2,Inputs!$K$4:$AJ$4,0))))+SUMPRODUCT((Inputs!$E$5:$E$180=$B33)*ISNUMBER(INDEX(Inputs!$K$5:$AJ$180,0,MATCH(G$2,Inputs!$K$4:$AJ$4,0))))=0,NA(),SUMPRODUCT((Inputs!$A$5:$A$180=$B33)*Inputs!$B$5:$B$180*(((Inputs!$G$5:$G$180="moeda")+(Inputs!$G$5:$G$180="acoes"))*Inputs!$B$1+((Inputs!$G$5:$G$180&lt;&gt;"moeda")*(Inputs!$G$5:$G$180&lt;&gt;"acoes")))*INDEX(Inputs!$K$5:$AJ$180,0,MATCH(G$2,Inputs!$K$4:$AJ$4,0)))+SUMPRODUCT((Inputs!$C$5:$C$180=$B33)*Inputs!$D$5:$D$180*(((Inputs!$G$5:$G$180="moeda")+(Inputs!$G$5:$G$180="acoes"))*Inputs!$B$1+((Inputs!$G$5:$G$180&lt;&gt;"moeda")*(Inputs!$G$5:$G$180&lt;&gt;"acoes")))*INDEX(Inputs!$K$5:$AJ$180,0,MATCH(G$2,Inputs!$K$4:$AJ$4,0)))+SUMPRODUCT((Inputs!$E$5:$E$180=$B33)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3" s="3" t="e">
        <f>G33</f>
        <v>#N/A</v>
      </c>
      <c r="I33" s="6" t="e">
        <f>IF(ISNA(MATCH(I$2,Inputs!$K$4:$AJ$4,0)),NA(),IF(SUMPRODUCT((Inputs!$A$5:$A$180=$B33)*ISNUMBER(INDEX(Inputs!$K$5:$AJ$180,0,MATCH(I$2,Inputs!$K$4:$AJ$4,0))))+SUMPRODUCT((Inputs!$C$5:$C$180=$B33)*ISNUMBER(INDEX(Inputs!$K$5:$AJ$180,0,MATCH(I$2,Inputs!$K$4:$AJ$4,0))))+SUMPRODUCT((Inputs!$E$5:$E$180=$B33)*ISNUMBER(INDEX(Inputs!$K$5:$AJ$180,0,MATCH(I$2,Inputs!$K$4:$AJ$4,0))))=0,NA(),SUMPRODUCT((Inputs!$A$5:$A$180=$B33)*Inputs!$B$5:$B$180*(((Inputs!$G$5:$G$180="moeda")+(Inputs!$G$5:$G$180="acoes"))*Inputs!$B$1+((Inputs!$G$5:$G$180&lt;&gt;"moeda")*(Inputs!$G$5:$G$180&lt;&gt;"acoes")))*INDEX(Inputs!$K$5:$AJ$180,0,MATCH(I$2,Inputs!$K$4:$AJ$4,0)))+SUMPRODUCT((Inputs!$C$5:$C$180=$B33)*Inputs!$D$5:$D$180*(((Inputs!$G$5:$G$180="moeda")+(Inputs!$G$5:$G$180="acoes"))*Inputs!$B$1+((Inputs!$G$5:$G$180&lt;&gt;"moeda")*(Inputs!$G$5:$G$180&lt;&gt;"acoes")))*INDEX(Inputs!$K$5:$AJ$180,0,MATCH(I$2,Inputs!$K$4:$AJ$4,0)))+SUMPRODUCT((Inputs!$E$5:$E$180=$B33)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3" s="6" t="e">
        <f>IF(ISNA(MATCH(J$2,Inputs!$K$4:$AJ$4,0)),NA(),IF(SUMPRODUCT((Inputs!$A$5:$A$180=$B33)*ISNUMBER(INDEX(Inputs!$K$5:$AJ$180,0,MATCH(J$2,Inputs!$K$4:$AJ$4,0))))+SUMPRODUCT((Inputs!$C$5:$C$180=$B33)*ISNUMBER(INDEX(Inputs!$K$5:$AJ$180,0,MATCH(J$2,Inputs!$K$4:$AJ$4,0))))+SUMPRODUCT((Inputs!$E$5:$E$180=$B33)*ISNUMBER(INDEX(Inputs!$K$5:$AJ$180,0,MATCH(J$2,Inputs!$K$4:$AJ$4,0))))=0,NA(),SUMPRODUCT((Inputs!$A$5:$A$180=$B33)*Inputs!$B$5:$B$180*(((Inputs!$G$5:$G$180="moeda")+(Inputs!$G$5:$G$180="acoes"))*Inputs!$B$1+((Inputs!$G$5:$G$180&lt;&gt;"moeda")*(Inputs!$G$5:$G$180&lt;&gt;"acoes")))*INDEX(Inputs!$K$5:$AJ$180,0,MATCH(J$2,Inputs!$K$4:$AJ$4,0)))+SUMPRODUCT((Inputs!$C$5:$C$180=$B33)*Inputs!$D$5:$D$180*(((Inputs!$G$5:$G$180="moeda")+(Inputs!$G$5:$G$180="acoes"))*Inputs!$B$1+((Inputs!$G$5:$G$180&lt;&gt;"moeda")*(Inputs!$G$5:$G$180&lt;&gt;"acoes")))*INDEX(Inputs!$K$5:$AJ$180,0,MATCH(J$2,Inputs!$K$4:$AJ$4,0)))+SUMPRODUCT((Inputs!$E$5:$E$180=$B33)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3" s="6" t="e">
        <f>IF(ISNA(MATCH(K$2,Inputs!$K$4:$AJ$4,0)),NA(),IF(SUMPRODUCT((Inputs!$A$5:$A$180=$B33)*ISNUMBER(INDEX(Inputs!$K$5:$AJ$180,0,MATCH(K$2,Inputs!$K$4:$AJ$4,0))))+SUMPRODUCT((Inputs!$C$5:$C$180=$B33)*ISNUMBER(INDEX(Inputs!$K$5:$AJ$180,0,MATCH(K$2,Inputs!$K$4:$AJ$4,0))))+SUMPRODUCT((Inputs!$E$5:$E$180=$B33)*ISNUMBER(INDEX(Inputs!$K$5:$AJ$180,0,MATCH(K$2,Inputs!$K$4:$AJ$4,0))))=0,NA(),SUMPRODUCT((Inputs!$A$5:$A$180=$B33)*Inputs!$B$5:$B$180*(((Inputs!$G$5:$G$180="moeda")+(Inputs!$G$5:$G$180="acoes"))*Inputs!$B$1+((Inputs!$G$5:$G$180&lt;&gt;"moeda")*(Inputs!$G$5:$G$180&lt;&gt;"acoes")))*INDEX(Inputs!$K$5:$AJ$180,0,MATCH(K$2,Inputs!$K$4:$AJ$4,0)))+SUMPRODUCT((Inputs!$C$5:$C$180=$B33)*Inputs!$D$5:$D$180*(((Inputs!$G$5:$G$180="moeda")+(Inputs!$G$5:$G$180="acoes"))*Inputs!$B$1+((Inputs!$G$5:$G$180&lt;&gt;"moeda")*(Inputs!$G$5:$G$180&lt;&gt;"acoes")))*INDEX(Inputs!$K$5:$AJ$180,0,MATCH(K$2,Inputs!$K$4:$AJ$4,0)))+SUMPRODUCT((Inputs!$E$5:$E$180=$B33)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3" s="6" t="e">
        <f>IF(ISNA(MATCH(L$2,Inputs!$K$4:$AJ$4,0)),NA(),IF(SUMPRODUCT((Inputs!$A$5:$A$180=$B33)*ISNUMBER(INDEX(Inputs!$K$5:$AJ$180,0,MATCH(L$2,Inputs!$K$4:$AJ$4,0))))+SUMPRODUCT((Inputs!$C$5:$C$180=$B33)*ISNUMBER(INDEX(Inputs!$K$5:$AJ$180,0,MATCH(L$2,Inputs!$K$4:$AJ$4,0))))+SUMPRODUCT((Inputs!$E$5:$E$180=$B33)*ISNUMBER(INDEX(Inputs!$K$5:$AJ$180,0,MATCH(L$2,Inputs!$K$4:$AJ$4,0))))=0,NA(),SUMPRODUCT((Inputs!$A$5:$A$180=$B33)*Inputs!$B$5:$B$180*(((Inputs!$G$5:$G$180="moeda")+(Inputs!$G$5:$G$180="acoes"))*Inputs!$B$1+((Inputs!$G$5:$G$180&lt;&gt;"moeda")*(Inputs!$G$5:$G$180&lt;&gt;"acoes")))*INDEX(Inputs!$K$5:$AJ$180,0,MATCH(L$2,Inputs!$K$4:$AJ$4,0)))+SUMPRODUCT((Inputs!$C$5:$C$180=$B33)*Inputs!$D$5:$D$180*(((Inputs!$G$5:$G$180="moeda")+(Inputs!$G$5:$G$180="acoes"))*Inputs!$B$1+((Inputs!$G$5:$G$180&lt;&gt;"moeda")*(Inputs!$G$5:$G$180&lt;&gt;"acoes")))*INDEX(Inputs!$K$5:$AJ$180,0,MATCH(L$2,Inputs!$K$4:$AJ$4,0)))+SUMPRODUCT((Inputs!$E$5:$E$180=$B33)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3" s="3" t="e">
        <f>L33</f>
        <v>#N/A</v>
      </c>
      <c r="N33" s="6" t="e">
        <f>IF(ISNA(MATCH(N$2,Inputs!$K$4:$AJ$4,0)),NA(),IF(SUMPRODUCT((Inputs!$A$5:$A$180=$B33)*ISNUMBER(INDEX(Inputs!$K$5:$AJ$180,0,MATCH(N$2,Inputs!$K$4:$AJ$4,0))))+SUMPRODUCT((Inputs!$C$5:$C$180=$B33)*ISNUMBER(INDEX(Inputs!$K$5:$AJ$180,0,MATCH(N$2,Inputs!$K$4:$AJ$4,0))))+SUMPRODUCT((Inputs!$E$5:$E$180=$B33)*ISNUMBER(INDEX(Inputs!$K$5:$AJ$180,0,MATCH(N$2,Inputs!$K$4:$AJ$4,0))))=0,NA(),SUMPRODUCT((Inputs!$A$5:$A$180=$B33)*Inputs!$B$5:$B$180*(((Inputs!$G$5:$G$180="moeda")+(Inputs!$G$5:$G$180="acoes"))*Inputs!$B$1+((Inputs!$G$5:$G$180&lt;&gt;"moeda")*(Inputs!$G$5:$G$180&lt;&gt;"acoes")))*INDEX(Inputs!$K$5:$AJ$180,0,MATCH(N$2,Inputs!$K$4:$AJ$4,0)))+SUMPRODUCT((Inputs!$C$5:$C$180=$B33)*Inputs!$D$5:$D$180*(((Inputs!$G$5:$G$180="moeda")+(Inputs!$G$5:$G$180="acoes"))*Inputs!$B$1+((Inputs!$G$5:$G$180&lt;&gt;"moeda")*(Inputs!$G$5:$G$180&lt;&gt;"acoes")))*INDEX(Inputs!$K$5:$AJ$180,0,MATCH(N$2,Inputs!$K$4:$AJ$4,0)))+SUMPRODUCT((Inputs!$E$5:$E$180=$B33)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3" s="6" t="e">
        <f>IF(ISNA(MATCH(O$2,Inputs!$K$4:$AJ$4,0)),NA(),IF(SUMPRODUCT((Inputs!$A$5:$A$180=$B33)*ISNUMBER(INDEX(Inputs!$K$5:$AJ$180,0,MATCH(O$2,Inputs!$K$4:$AJ$4,0))))+SUMPRODUCT((Inputs!$C$5:$C$180=$B33)*ISNUMBER(INDEX(Inputs!$K$5:$AJ$180,0,MATCH(O$2,Inputs!$K$4:$AJ$4,0))))+SUMPRODUCT((Inputs!$E$5:$E$180=$B33)*ISNUMBER(INDEX(Inputs!$K$5:$AJ$180,0,MATCH(O$2,Inputs!$K$4:$AJ$4,0))))=0,NA(),SUMPRODUCT((Inputs!$A$5:$A$180=$B33)*Inputs!$B$5:$B$180*(((Inputs!$G$5:$G$180="moeda")+(Inputs!$G$5:$G$180="acoes"))*Inputs!$B$1+((Inputs!$G$5:$G$180&lt;&gt;"moeda")*(Inputs!$G$5:$G$180&lt;&gt;"acoes")))*INDEX(Inputs!$K$5:$AJ$180,0,MATCH(O$2,Inputs!$K$4:$AJ$4,0)))+SUMPRODUCT((Inputs!$C$5:$C$180=$B33)*Inputs!$D$5:$D$180*(((Inputs!$G$5:$G$180="moeda")+(Inputs!$G$5:$G$180="acoes"))*Inputs!$B$1+((Inputs!$G$5:$G$180&lt;&gt;"moeda")*(Inputs!$G$5:$G$180&lt;&gt;"acoes")))*INDEX(Inputs!$K$5:$AJ$180,0,MATCH(O$2,Inputs!$K$4:$AJ$4,0)))+SUMPRODUCT((Inputs!$E$5:$E$180=$B33)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3" s="6" t="e">
        <f>IF(ISNA(MATCH(P$2,Inputs!$K$4:$AJ$4,0)),NA(),IF(SUMPRODUCT((Inputs!$A$5:$A$180=$B33)*ISNUMBER(INDEX(Inputs!$K$5:$AJ$180,0,MATCH(P$2,Inputs!$K$4:$AJ$4,0))))+SUMPRODUCT((Inputs!$C$5:$C$180=$B33)*ISNUMBER(INDEX(Inputs!$K$5:$AJ$180,0,MATCH(P$2,Inputs!$K$4:$AJ$4,0))))+SUMPRODUCT((Inputs!$E$5:$E$180=$B33)*ISNUMBER(INDEX(Inputs!$K$5:$AJ$180,0,MATCH(P$2,Inputs!$K$4:$AJ$4,0))))=0,NA(),SUMPRODUCT((Inputs!$A$5:$A$180=$B33)*Inputs!$B$5:$B$180*(((Inputs!$G$5:$G$180="moeda")+(Inputs!$G$5:$G$180="acoes"))*Inputs!$B$1+((Inputs!$G$5:$G$180&lt;&gt;"moeda")*(Inputs!$G$5:$G$180&lt;&gt;"acoes")))*INDEX(Inputs!$K$5:$AJ$180,0,MATCH(P$2,Inputs!$K$4:$AJ$4,0)))+SUMPRODUCT((Inputs!$C$5:$C$180=$B33)*Inputs!$D$5:$D$180*(((Inputs!$G$5:$G$180="moeda")+(Inputs!$G$5:$G$180="acoes"))*Inputs!$B$1+((Inputs!$G$5:$G$180&lt;&gt;"moeda")*(Inputs!$G$5:$G$180&lt;&gt;"acoes")))*INDEX(Inputs!$K$5:$AJ$180,0,MATCH(P$2,Inputs!$K$4:$AJ$4,0)))+SUMPRODUCT((Inputs!$E$5:$E$180=$B33)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3" s="6" t="e">
        <f>IF(ISNA(MATCH(Q$2,Inputs!$K$4:$AJ$4,0)),NA(),IF(SUMPRODUCT((Inputs!$A$5:$A$180=$B33)*ISNUMBER(INDEX(Inputs!$K$5:$AJ$180,0,MATCH(Q$2,Inputs!$K$4:$AJ$4,0))))+SUMPRODUCT((Inputs!$C$5:$C$180=$B33)*ISNUMBER(INDEX(Inputs!$K$5:$AJ$180,0,MATCH(Q$2,Inputs!$K$4:$AJ$4,0))))+SUMPRODUCT((Inputs!$E$5:$E$180=$B33)*ISNUMBER(INDEX(Inputs!$K$5:$AJ$180,0,MATCH(Q$2,Inputs!$K$4:$AJ$4,0))))=0,NA(),SUMPRODUCT((Inputs!$A$5:$A$180=$B33)*Inputs!$B$5:$B$180*(((Inputs!$G$5:$G$180="moeda")+(Inputs!$G$5:$G$180="acoes"))*Inputs!$B$1+((Inputs!$G$5:$G$180&lt;&gt;"moeda")*(Inputs!$G$5:$G$180&lt;&gt;"acoes")))*INDEX(Inputs!$K$5:$AJ$180,0,MATCH(Q$2,Inputs!$K$4:$AJ$4,0)))+SUMPRODUCT((Inputs!$C$5:$C$180=$B33)*Inputs!$D$5:$D$180*(((Inputs!$G$5:$G$180="moeda")+(Inputs!$G$5:$G$180="acoes"))*Inputs!$B$1+((Inputs!$G$5:$G$180&lt;&gt;"moeda")*(Inputs!$G$5:$G$180&lt;&gt;"acoes")))*INDEX(Inputs!$K$5:$AJ$180,0,MATCH(Q$2,Inputs!$K$4:$AJ$4,0)))+SUMPRODUCT((Inputs!$E$5:$E$180=$B33)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3" s="3" t="e">
        <f>Q33</f>
        <v>#N/A</v>
      </c>
      <c r="S33" s="6" t="e">
        <f>IF(ISNA(MATCH(S$2,Inputs!$K$4:$AJ$4,0)),NA(),IF(SUMPRODUCT((Inputs!$A$5:$A$180=$B33)*ISNUMBER(INDEX(Inputs!$K$5:$AJ$180,0,MATCH(S$2,Inputs!$K$4:$AJ$4,0))))+SUMPRODUCT((Inputs!$C$5:$C$180=$B33)*ISNUMBER(INDEX(Inputs!$K$5:$AJ$180,0,MATCH(S$2,Inputs!$K$4:$AJ$4,0))))+SUMPRODUCT((Inputs!$E$5:$E$180=$B33)*ISNUMBER(INDEX(Inputs!$K$5:$AJ$180,0,MATCH(S$2,Inputs!$K$4:$AJ$4,0))))=0,NA(),SUMPRODUCT((Inputs!$A$5:$A$180=$B33)*Inputs!$B$5:$B$180*(((Inputs!$G$5:$G$180="moeda")+(Inputs!$G$5:$G$180="acoes"))*Inputs!$B$1+((Inputs!$G$5:$G$180&lt;&gt;"moeda")*(Inputs!$G$5:$G$180&lt;&gt;"acoes")))*INDEX(Inputs!$K$5:$AJ$180,0,MATCH(S$2,Inputs!$K$4:$AJ$4,0)))+SUMPRODUCT((Inputs!$C$5:$C$180=$B33)*Inputs!$D$5:$D$180*(((Inputs!$G$5:$G$180="moeda")+(Inputs!$G$5:$G$180="acoes"))*Inputs!$B$1+((Inputs!$G$5:$G$180&lt;&gt;"moeda")*(Inputs!$G$5:$G$180&lt;&gt;"acoes")))*INDEX(Inputs!$K$5:$AJ$180,0,MATCH(S$2,Inputs!$K$4:$AJ$4,0)))+SUMPRODUCT((Inputs!$E$5:$E$180=$B33)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3" s="6" t="e">
        <f>IF(ISNA(MATCH(T$2,Inputs!$K$4:$AJ$4,0)),NA(),IF(SUMPRODUCT((Inputs!$A$5:$A$180=$B33)*ISNUMBER(INDEX(Inputs!$K$5:$AJ$180,0,MATCH(T$2,Inputs!$K$4:$AJ$4,0))))+SUMPRODUCT((Inputs!$C$5:$C$180=$B33)*ISNUMBER(INDEX(Inputs!$K$5:$AJ$180,0,MATCH(T$2,Inputs!$K$4:$AJ$4,0))))+SUMPRODUCT((Inputs!$E$5:$E$180=$B33)*ISNUMBER(INDEX(Inputs!$K$5:$AJ$180,0,MATCH(T$2,Inputs!$K$4:$AJ$4,0))))=0,NA(),SUMPRODUCT((Inputs!$A$5:$A$180=$B33)*Inputs!$B$5:$B$180*(((Inputs!$G$5:$G$180="moeda")+(Inputs!$G$5:$G$180="acoes"))*Inputs!$B$1+((Inputs!$G$5:$G$180&lt;&gt;"moeda")*(Inputs!$G$5:$G$180&lt;&gt;"acoes")))*INDEX(Inputs!$K$5:$AJ$180,0,MATCH(T$2,Inputs!$K$4:$AJ$4,0)))+SUMPRODUCT((Inputs!$C$5:$C$180=$B33)*Inputs!$D$5:$D$180*(((Inputs!$G$5:$G$180="moeda")+(Inputs!$G$5:$G$180="acoes"))*Inputs!$B$1+((Inputs!$G$5:$G$180&lt;&gt;"moeda")*(Inputs!$G$5:$G$180&lt;&gt;"acoes")))*INDEX(Inputs!$K$5:$AJ$180,0,MATCH(T$2,Inputs!$K$4:$AJ$4,0)))+SUMPRODUCT((Inputs!$E$5:$E$180=$B33)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3" s="6" t="e">
        <f>IF(ISNA(MATCH(U$2,Inputs!$K$4:$AJ$4,0)),NA(),IF(SUMPRODUCT((Inputs!$A$5:$A$180=$B33)*ISNUMBER(INDEX(Inputs!$K$5:$AJ$180,0,MATCH(U$2,Inputs!$K$4:$AJ$4,0))))+SUMPRODUCT((Inputs!$C$5:$C$180=$B33)*ISNUMBER(INDEX(Inputs!$K$5:$AJ$180,0,MATCH(U$2,Inputs!$K$4:$AJ$4,0))))+SUMPRODUCT((Inputs!$E$5:$E$180=$B33)*ISNUMBER(INDEX(Inputs!$K$5:$AJ$180,0,MATCH(U$2,Inputs!$K$4:$AJ$4,0))))=0,NA(),SUMPRODUCT((Inputs!$A$5:$A$180=$B33)*Inputs!$B$5:$B$180*(((Inputs!$G$5:$G$180="moeda")+(Inputs!$G$5:$G$180="acoes"))*Inputs!$B$1+((Inputs!$G$5:$G$180&lt;&gt;"moeda")*(Inputs!$G$5:$G$180&lt;&gt;"acoes")))*INDEX(Inputs!$K$5:$AJ$180,0,MATCH(U$2,Inputs!$K$4:$AJ$4,0)))+SUMPRODUCT((Inputs!$C$5:$C$180=$B33)*Inputs!$D$5:$D$180*(((Inputs!$G$5:$G$180="moeda")+(Inputs!$G$5:$G$180="acoes"))*Inputs!$B$1+((Inputs!$G$5:$G$180&lt;&gt;"moeda")*(Inputs!$G$5:$G$180&lt;&gt;"acoes")))*INDEX(Inputs!$K$5:$AJ$180,0,MATCH(U$2,Inputs!$K$4:$AJ$4,0)))+SUMPRODUCT((Inputs!$E$5:$E$180=$B33)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3" s="6" t="e">
        <f>IF(ISNA(MATCH(V$2,Inputs!$K$4:$AJ$4,0)),NA(),IF(SUMPRODUCT((Inputs!$A$5:$A$180=$B33)*ISNUMBER(INDEX(Inputs!$K$5:$AJ$180,0,MATCH(V$2,Inputs!$K$4:$AJ$4,0))))+SUMPRODUCT((Inputs!$C$5:$C$180=$B33)*ISNUMBER(INDEX(Inputs!$K$5:$AJ$180,0,MATCH(V$2,Inputs!$K$4:$AJ$4,0))))+SUMPRODUCT((Inputs!$E$5:$E$180=$B33)*ISNUMBER(INDEX(Inputs!$K$5:$AJ$180,0,MATCH(V$2,Inputs!$K$4:$AJ$4,0))))=0,NA(),SUMPRODUCT((Inputs!$A$5:$A$180=$B33)*Inputs!$B$5:$B$180*(((Inputs!$G$5:$G$180="moeda")+(Inputs!$G$5:$G$180="acoes"))*Inputs!$B$1+((Inputs!$G$5:$G$180&lt;&gt;"moeda")*(Inputs!$G$5:$G$180&lt;&gt;"acoes")))*INDEX(Inputs!$K$5:$AJ$180,0,MATCH(V$2,Inputs!$K$4:$AJ$4,0)))+SUMPRODUCT((Inputs!$C$5:$C$180=$B33)*Inputs!$D$5:$D$180*(((Inputs!$G$5:$G$180="moeda")+(Inputs!$G$5:$G$180="acoes"))*Inputs!$B$1+((Inputs!$G$5:$G$180&lt;&gt;"moeda")*(Inputs!$G$5:$G$180&lt;&gt;"acoes")))*INDEX(Inputs!$K$5:$AJ$180,0,MATCH(V$2,Inputs!$K$4:$AJ$4,0)))+SUMPRODUCT((Inputs!$E$5:$E$180=$B33)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3" s="3" t="e">
        <f>V33</f>
        <v>#N/A</v>
      </c>
      <c r="X33" s="6" t="e">
        <f>IF(ISNA(MATCH(X$2,Inputs!$K$4:$AJ$4,0)),NA(),IF(SUMPRODUCT((Inputs!$A$5:$A$180=$B33)*ISNUMBER(INDEX(Inputs!$K$5:$AJ$180,0,MATCH(X$2,Inputs!$K$4:$AJ$4,0))))+SUMPRODUCT((Inputs!$C$5:$C$180=$B33)*ISNUMBER(INDEX(Inputs!$K$5:$AJ$180,0,MATCH(X$2,Inputs!$K$4:$AJ$4,0))))+SUMPRODUCT((Inputs!$E$5:$E$180=$B33)*ISNUMBER(INDEX(Inputs!$K$5:$AJ$180,0,MATCH(X$2,Inputs!$K$4:$AJ$4,0))))=0,NA(),SUMPRODUCT((Inputs!$A$5:$A$180=$B33)*Inputs!$B$5:$B$180*(((Inputs!$G$5:$G$180="moeda")+(Inputs!$G$5:$G$180="acoes"))*Inputs!$B$1+((Inputs!$G$5:$G$180&lt;&gt;"moeda")*(Inputs!$G$5:$G$180&lt;&gt;"acoes")))*INDEX(Inputs!$K$5:$AJ$180,0,MATCH(X$2,Inputs!$K$4:$AJ$4,0)))+SUMPRODUCT((Inputs!$C$5:$C$180=$B33)*Inputs!$D$5:$D$180*(((Inputs!$G$5:$G$180="moeda")+(Inputs!$G$5:$G$180="acoes"))*Inputs!$B$1+((Inputs!$G$5:$G$180&lt;&gt;"moeda")*(Inputs!$G$5:$G$180&lt;&gt;"acoes")))*INDEX(Inputs!$K$5:$AJ$180,0,MATCH(X$2,Inputs!$K$4:$AJ$4,0)))+SUMPRODUCT((Inputs!$E$5:$E$180=$B33)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3" s="6" t="e">
        <f>IF(ISNA(MATCH(Y$2,Inputs!$K$4:$AJ$4,0)),NA(),IF(SUMPRODUCT((Inputs!$A$5:$A$180=$B33)*ISNUMBER(INDEX(Inputs!$K$5:$AJ$180,0,MATCH(Y$2,Inputs!$K$4:$AJ$4,0))))+SUMPRODUCT((Inputs!$C$5:$C$180=$B33)*ISNUMBER(INDEX(Inputs!$K$5:$AJ$180,0,MATCH(Y$2,Inputs!$K$4:$AJ$4,0))))+SUMPRODUCT((Inputs!$E$5:$E$180=$B33)*ISNUMBER(INDEX(Inputs!$K$5:$AJ$180,0,MATCH(Y$2,Inputs!$K$4:$AJ$4,0))))=0,NA(),SUMPRODUCT((Inputs!$A$5:$A$180=$B33)*Inputs!$B$5:$B$180*(((Inputs!$G$5:$G$180="moeda")+(Inputs!$G$5:$G$180="acoes"))*Inputs!$B$1+((Inputs!$G$5:$G$180&lt;&gt;"moeda")*(Inputs!$G$5:$G$180&lt;&gt;"acoes")))*INDEX(Inputs!$K$5:$AJ$180,0,MATCH(Y$2,Inputs!$K$4:$AJ$4,0)))+SUMPRODUCT((Inputs!$C$5:$C$180=$B33)*Inputs!$D$5:$D$180*(((Inputs!$G$5:$G$180="moeda")+(Inputs!$G$5:$G$180="acoes"))*Inputs!$B$1+((Inputs!$G$5:$G$180&lt;&gt;"moeda")*(Inputs!$G$5:$G$180&lt;&gt;"acoes")))*INDEX(Inputs!$K$5:$AJ$180,0,MATCH(Y$2,Inputs!$K$4:$AJ$4,0)))+SUMPRODUCT((Inputs!$E$5:$E$180=$B33)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3" s="6" t="e">
        <f>IF(ISNA(MATCH(Z$2,Inputs!$K$4:$AJ$4,0)),NA(),IF(SUMPRODUCT((Inputs!$A$5:$A$180=$B33)*ISNUMBER(INDEX(Inputs!$K$5:$AJ$180,0,MATCH(Z$2,Inputs!$K$4:$AJ$4,0))))+SUMPRODUCT((Inputs!$C$5:$C$180=$B33)*ISNUMBER(INDEX(Inputs!$K$5:$AJ$180,0,MATCH(Z$2,Inputs!$K$4:$AJ$4,0))))+SUMPRODUCT((Inputs!$E$5:$E$180=$B33)*ISNUMBER(INDEX(Inputs!$K$5:$AJ$180,0,MATCH(Z$2,Inputs!$K$4:$AJ$4,0))))=0,NA(),SUMPRODUCT((Inputs!$A$5:$A$180=$B33)*Inputs!$B$5:$B$180*(((Inputs!$G$5:$G$180="moeda")+(Inputs!$G$5:$G$180="acoes"))*Inputs!$B$1+((Inputs!$G$5:$G$180&lt;&gt;"moeda")*(Inputs!$G$5:$G$180&lt;&gt;"acoes")))*INDEX(Inputs!$K$5:$AJ$180,0,MATCH(Z$2,Inputs!$K$4:$AJ$4,0)))+SUMPRODUCT((Inputs!$C$5:$C$180=$B33)*Inputs!$D$5:$D$180*(((Inputs!$G$5:$G$180="moeda")+(Inputs!$G$5:$G$180="acoes"))*Inputs!$B$1+((Inputs!$G$5:$G$180&lt;&gt;"moeda")*(Inputs!$G$5:$G$180&lt;&gt;"acoes")))*INDEX(Inputs!$K$5:$AJ$180,0,MATCH(Z$2,Inputs!$K$4:$AJ$4,0)))+SUMPRODUCT((Inputs!$E$5:$E$180=$B33)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3" s="6" t="e">
        <f>IF(ISNA(MATCH(AA$2,Inputs!$K$4:$AJ$4,0)),NA(),IF(SUMPRODUCT((Inputs!$A$5:$A$180=$B33)*ISNUMBER(INDEX(Inputs!$K$5:$AJ$180,0,MATCH(AA$2,Inputs!$K$4:$AJ$4,0))))+SUMPRODUCT((Inputs!$C$5:$C$180=$B33)*ISNUMBER(INDEX(Inputs!$K$5:$AJ$180,0,MATCH(AA$2,Inputs!$K$4:$AJ$4,0))))+SUMPRODUCT((Inputs!$E$5:$E$180=$B33)*ISNUMBER(INDEX(Inputs!$K$5:$AJ$180,0,MATCH(AA$2,Inputs!$K$4:$AJ$4,0))))=0,NA(),SUMPRODUCT((Inputs!$A$5:$A$180=$B33)*Inputs!$B$5:$B$180*(((Inputs!$G$5:$G$180="moeda")+(Inputs!$G$5:$G$180="acoes"))*Inputs!$B$1+((Inputs!$G$5:$G$180&lt;&gt;"moeda")*(Inputs!$G$5:$G$180&lt;&gt;"acoes")))*INDEX(Inputs!$K$5:$AJ$180,0,MATCH(AA$2,Inputs!$K$4:$AJ$4,0)))+SUMPRODUCT((Inputs!$C$5:$C$180=$B33)*Inputs!$D$5:$D$180*(((Inputs!$G$5:$G$180="moeda")+(Inputs!$G$5:$G$180="acoes"))*Inputs!$B$1+((Inputs!$G$5:$G$180&lt;&gt;"moeda")*(Inputs!$G$5:$G$180&lt;&gt;"acoes")))*INDEX(Inputs!$K$5:$AJ$180,0,MATCH(AA$2,Inputs!$K$4:$AJ$4,0)))+SUMPRODUCT((Inputs!$E$5:$E$180=$B33)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3" s="3" t="e">
        <f>AA33</f>
        <v>#N/A</v>
      </c>
      <c r="AC33" s="6" t="e">
        <f>IF(ISNA(MATCH(AC$2,Inputs!$K$4:$AJ$4,0)),NA(),IF(SUMPRODUCT((Inputs!$A$5:$A$180=$B33)*ISNUMBER(INDEX(Inputs!$K$5:$AJ$180,0,MATCH(AC$2,Inputs!$K$4:$AJ$4,0))))+SUMPRODUCT((Inputs!$C$5:$C$180=$B33)*ISNUMBER(INDEX(Inputs!$K$5:$AJ$180,0,MATCH(AC$2,Inputs!$K$4:$AJ$4,0))))+SUMPRODUCT((Inputs!$E$5:$E$180=$B33)*ISNUMBER(INDEX(Inputs!$K$5:$AJ$180,0,MATCH(AC$2,Inputs!$K$4:$AJ$4,0))))=0,NA(),SUMPRODUCT((Inputs!$A$5:$A$180=$B33)*Inputs!$B$5:$B$180*(((Inputs!$G$5:$G$180="moeda")+(Inputs!$G$5:$G$180="acoes"))*Inputs!$B$1+((Inputs!$G$5:$G$180&lt;&gt;"moeda")*(Inputs!$G$5:$G$180&lt;&gt;"acoes")))*INDEX(Inputs!$K$5:$AJ$180,0,MATCH(AC$2,Inputs!$K$4:$AJ$4,0)))+SUMPRODUCT((Inputs!$C$5:$C$180=$B33)*Inputs!$D$5:$D$180*(((Inputs!$G$5:$G$180="moeda")+(Inputs!$G$5:$G$180="acoes"))*Inputs!$B$1+((Inputs!$G$5:$G$180&lt;&gt;"moeda")*(Inputs!$G$5:$G$180&lt;&gt;"acoes")))*INDEX(Inputs!$K$5:$AJ$180,0,MATCH(AC$2,Inputs!$K$4:$AJ$4,0)))+SUMPRODUCT((Inputs!$E$5:$E$180=$B33)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3" s="6" t="e">
        <f>IF(ISNA(MATCH(AD$2,Inputs!$K$4:$AJ$4,0)),NA(),IF(SUMPRODUCT((Inputs!$A$5:$A$180=$B33)*ISNUMBER(INDEX(Inputs!$K$5:$AJ$180,0,MATCH(AD$2,Inputs!$K$4:$AJ$4,0))))+SUMPRODUCT((Inputs!$C$5:$C$180=$B33)*ISNUMBER(INDEX(Inputs!$K$5:$AJ$180,0,MATCH(AD$2,Inputs!$K$4:$AJ$4,0))))+SUMPRODUCT((Inputs!$E$5:$E$180=$B33)*ISNUMBER(INDEX(Inputs!$K$5:$AJ$180,0,MATCH(AD$2,Inputs!$K$4:$AJ$4,0))))=0,NA(),SUMPRODUCT((Inputs!$A$5:$A$180=$B33)*Inputs!$B$5:$B$180*(((Inputs!$G$5:$G$180="moeda")+(Inputs!$G$5:$G$180="acoes"))*Inputs!$B$1+((Inputs!$G$5:$G$180&lt;&gt;"moeda")*(Inputs!$G$5:$G$180&lt;&gt;"acoes")))*INDEX(Inputs!$K$5:$AJ$180,0,MATCH(AD$2,Inputs!$K$4:$AJ$4,0)))+SUMPRODUCT((Inputs!$C$5:$C$180=$B33)*Inputs!$D$5:$D$180*(((Inputs!$G$5:$G$180="moeda")+(Inputs!$G$5:$G$180="acoes"))*Inputs!$B$1+((Inputs!$G$5:$G$180&lt;&gt;"moeda")*(Inputs!$G$5:$G$180&lt;&gt;"acoes")))*INDEX(Inputs!$K$5:$AJ$180,0,MATCH(AD$2,Inputs!$K$4:$AJ$4,0)))+SUMPRODUCT((Inputs!$E$5:$E$180=$B33)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3" s="6" t="e">
        <f>IF(ISNA(MATCH(AE$2,Inputs!$K$4:$AJ$4,0)),NA(),IF(SUMPRODUCT((Inputs!$A$5:$A$180=$B33)*ISNUMBER(INDEX(Inputs!$K$5:$AJ$180,0,MATCH(AE$2,Inputs!$K$4:$AJ$4,0))))+SUMPRODUCT((Inputs!$C$5:$C$180=$B33)*ISNUMBER(INDEX(Inputs!$K$5:$AJ$180,0,MATCH(AE$2,Inputs!$K$4:$AJ$4,0))))+SUMPRODUCT((Inputs!$E$5:$E$180=$B33)*ISNUMBER(INDEX(Inputs!$K$5:$AJ$180,0,MATCH(AE$2,Inputs!$K$4:$AJ$4,0))))=0,NA(),SUMPRODUCT((Inputs!$A$5:$A$180=$B33)*Inputs!$B$5:$B$180*(((Inputs!$G$5:$G$180="moeda")+(Inputs!$G$5:$G$180="acoes"))*Inputs!$B$1+((Inputs!$G$5:$G$180&lt;&gt;"moeda")*(Inputs!$G$5:$G$180&lt;&gt;"acoes")))*INDEX(Inputs!$K$5:$AJ$180,0,MATCH(AE$2,Inputs!$K$4:$AJ$4,0)))+SUMPRODUCT((Inputs!$C$5:$C$180=$B33)*Inputs!$D$5:$D$180*(((Inputs!$G$5:$G$180="moeda")+(Inputs!$G$5:$G$180="acoes"))*Inputs!$B$1+((Inputs!$G$5:$G$180&lt;&gt;"moeda")*(Inputs!$G$5:$G$180&lt;&gt;"acoes")))*INDEX(Inputs!$K$5:$AJ$180,0,MATCH(AE$2,Inputs!$K$4:$AJ$4,0)))+SUMPRODUCT((Inputs!$E$5:$E$180=$B33)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3" s="6" t="e">
        <f>IF(ISNA(MATCH(AF$2,Inputs!$K$4:$AJ$4,0)),NA(),IF(SUMPRODUCT((Inputs!$A$5:$A$180=$B33)*ISNUMBER(INDEX(Inputs!$K$5:$AJ$180,0,MATCH(AF$2,Inputs!$K$4:$AJ$4,0))))+SUMPRODUCT((Inputs!$C$5:$C$180=$B33)*ISNUMBER(INDEX(Inputs!$K$5:$AJ$180,0,MATCH(AF$2,Inputs!$K$4:$AJ$4,0))))+SUMPRODUCT((Inputs!$E$5:$E$180=$B33)*ISNUMBER(INDEX(Inputs!$K$5:$AJ$180,0,MATCH(AF$2,Inputs!$K$4:$AJ$4,0))))=0,NA(),SUMPRODUCT((Inputs!$A$5:$A$180=$B33)*Inputs!$B$5:$B$180*(((Inputs!$G$5:$G$180="moeda")+(Inputs!$G$5:$G$180="acoes"))*Inputs!$B$1+((Inputs!$G$5:$G$180&lt;&gt;"moeda")*(Inputs!$G$5:$G$180&lt;&gt;"acoes")))*INDEX(Inputs!$K$5:$AJ$180,0,MATCH(AF$2,Inputs!$K$4:$AJ$4,0)))+SUMPRODUCT((Inputs!$C$5:$C$180=$B33)*Inputs!$D$5:$D$180*(((Inputs!$G$5:$G$180="moeda")+(Inputs!$G$5:$G$180="acoes"))*Inputs!$B$1+((Inputs!$G$5:$G$180&lt;&gt;"moeda")*(Inputs!$G$5:$G$180&lt;&gt;"acoes")))*INDEX(Inputs!$K$5:$AJ$180,0,MATCH(AF$2,Inputs!$K$4:$AJ$4,0)))+SUMPRODUCT((Inputs!$E$5:$E$180=$B33)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3" s="3" t="e">
        <f>AF33</f>
        <v>#N/A</v>
      </c>
      <c r="AH33" s="6" t="e">
        <f>IF(ISNA(MATCH(AH$2,Inputs!$K$4:$AJ$4,0)),NA(),IF(SUMPRODUCT((Inputs!$A$5:$A$180=$B33)*ISNUMBER(INDEX(Inputs!$K$5:$AJ$180,0,MATCH(AH$2,Inputs!$K$4:$AJ$4,0))))+SUMPRODUCT((Inputs!$C$5:$C$180=$B33)*ISNUMBER(INDEX(Inputs!$K$5:$AJ$180,0,MATCH(AH$2,Inputs!$K$4:$AJ$4,0))))+SUMPRODUCT((Inputs!$E$5:$E$180=$B33)*ISNUMBER(INDEX(Inputs!$K$5:$AJ$180,0,MATCH(AH$2,Inputs!$K$4:$AJ$4,0))))=0,NA(),SUMPRODUCT((Inputs!$A$5:$A$180=$B33)*Inputs!$B$5:$B$180*(((Inputs!$G$5:$G$180="moeda")+(Inputs!$G$5:$G$180="acoes"))*Inputs!$B$1+((Inputs!$G$5:$G$180&lt;&gt;"moeda")*(Inputs!$G$5:$G$180&lt;&gt;"acoes")))*INDEX(Inputs!$K$5:$AJ$180,0,MATCH(AH$2,Inputs!$K$4:$AJ$4,0)))+SUMPRODUCT((Inputs!$C$5:$C$180=$B33)*Inputs!$D$5:$D$180*(((Inputs!$G$5:$G$180="moeda")+(Inputs!$G$5:$G$180="acoes"))*Inputs!$B$1+((Inputs!$G$5:$G$180&lt;&gt;"moeda")*(Inputs!$G$5:$G$180&lt;&gt;"acoes")))*INDEX(Inputs!$K$5:$AJ$180,0,MATCH(AH$2,Inputs!$K$4:$AJ$4,0)))+SUMPRODUCT((Inputs!$E$5:$E$180=$B33)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3" s="6" t="e">
        <f>IF(ISNA(MATCH(AI$2,Inputs!$K$4:$AJ$4,0)),NA(),IF(SUMPRODUCT((Inputs!$A$5:$A$180=$B33)*ISNUMBER(INDEX(Inputs!$K$5:$AJ$180,0,MATCH(AI$2,Inputs!$K$4:$AJ$4,0))))+SUMPRODUCT((Inputs!$C$5:$C$180=$B33)*ISNUMBER(INDEX(Inputs!$K$5:$AJ$180,0,MATCH(AI$2,Inputs!$K$4:$AJ$4,0))))+SUMPRODUCT((Inputs!$E$5:$E$180=$B33)*ISNUMBER(INDEX(Inputs!$K$5:$AJ$180,0,MATCH(AI$2,Inputs!$K$4:$AJ$4,0))))=0,NA(),SUMPRODUCT((Inputs!$A$5:$A$180=$B33)*Inputs!$B$5:$B$180*(((Inputs!$G$5:$G$180="moeda")+(Inputs!$G$5:$G$180="acoes"))*Inputs!$B$1+((Inputs!$G$5:$G$180&lt;&gt;"moeda")*(Inputs!$G$5:$G$180&lt;&gt;"acoes")))*INDEX(Inputs!$K$5:$AJ$180,0,MATCH(AI$2,Inputs!$K$4:$AJ$4,0)))+SUMPRODUCT((Inputs!$C$5:$C$180=$B33)*Inputs!$D$5:$D$180*(((Inputs!$G$5:$G$180="moeda")+(Inputs!$G$5:$G$180="acoes"))*Inputs!$B$1+((Inputs!$G$5:$G$180&lt;&gt;"moeda")*(Inputs!$G$5:$G$180&lt;&gt;"acoes")))*INDEX(Inputs!$K$5:$AJ$180,0,MATCH(AI$2,Inputs!$K$4:$AJ$4,0)))+SUMPRODUCT((Inputs!$E$5:$E$180=$B33)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3" s="6" t="e">
        <f>IF(ISNA(MATCH(AJ$2,Inputs!$K$4:$AJ$4,0)),NA(),IF(SUMPRODUCT((Inputs!$A$5:$A$180=$B33)*ISNUMBER(INDEX(Inputs!$K$5:$AJ$180,0,MATCH(AJ$2,Inputs!$K$4:$AJ$4,0))))+SUMPRODUCT((Inputs!$C$5:$C$180=$B33)*ISNUMBER(INDEX(Inputs!$K$5:$AJ$180,0,MATCH(AJ$2,Inputs!$K$4:$AJ$4,0))))+SUMPRODUCT((Inputs!$E$5:$E$180=$B33)*ISNUMBER(INDEX(Inputs!$K$5:$AJ$180,0,MATCH(AJ$2,Inputs!$K$4:$AJ$4,0))))=0,NA(),SUMPRODUCT((Inputs!$A$5:$A$180=$B33)*Inputs!$B$5:$B$180*(((Inputs!$G$5:$G$180="moeda")+(Inputs!$G$5:$G$180="acoes"))*Inputs!$B$1+((Inputs!$G$5:$G$180&lt;&gt;"moeda")*(Inputs!$G$5:$G$180&lt;&gt;"acoes")))*INDEX(Inputs!$K$5:$AJ$180,0,MATCH(AJ$2,Inputs!$K$4:$AJ$4,0)))+SUMPRODUCT((Inputs!$C$5:$C$180=$B33)*Inputs!$D$5:$D$180*(((Inputs!$G$5:$G$180="moeda")+(Inputs!$G$5:$G$180="acoes"))*Inputs!$B$1+((Inputs!$G$5:$G$180&lt;&gt;"moeda")*(Inputs!$G$5:$G$180&lt;&gt;"acoes")))*INDEX(Inputs!$K$5:$AJ$180,0,MATCH(AJ$2,Inputs!$K$4:$AJ$4,0)))+SUMPRODUCT((Inputs!$E$5:$E$180=$B33)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3" s="6" t="e">
        <f>IF(ISNA(MATCH(AK$2,Inputs!$K$4:$AJ$4,0)),NA(),IF(SUMPRODUCT((Inputs!$A$5:$A$180=$B33)*ISNUMBER(INDEX(Inputs!$K$5:$AJ$180,0,MATCH(AK$2,Inputs!$K$4:$AJ$4,0))))+SUMPRODUCT((Inputs!$C$5:$C$180=$B33)*ISNUMBER(INDEX(Inputs!$K$5:$AJ$180,0,MATCH(AK$2,Inputs!$K$4:$AJ$4,0))))+SUMPRODUCT((Inputs!$E$5:$E$180=$B33)*ISNUMBER(INDEX(Inputs!$K$5:$AJ$180,0,MATCH(AK$2,Inputs!$K$4:$AJ$4,0))))=0,NA(),SUMPRODUCT((Inputs!$A$5:$A$180=$B33)*Inputs!$B$5:$B$180*(((Inputs!$G$5:$G$180="moeda")+(Inputs!$G$5:$G$180="acoes"))*Inputs!$B$1+((Inputs!$G$5:$G$180&lt;&gt;"moeda")*(Inputs!$G$5:$G$180&lt;&gt;"acoes")))*INDEX(Inputs!$K$5:$AJ$180,0,MATCH(AK$2,Inputs!$K$4:$AJ$4,0)))+SUMPRODUCT((Inputs!$C$5:$C$180=$B33)*Inputs!$D$5:$D$180*(((Inputs!$G$5:$G$180="moeda")+(Inputs!$G$5:$G$180="acoes"))*Inputs!$B$1+((Inputs!$G$5:$G$180&lt;&gt;"moeda")*(Inputs!$G$5:$G$180&lt;&gt;"acoes")))*INDEX(Inputs!$K$5:$AJ$180,0,MATCH(AK$2,Inputs!$K$4:$AJ$4,0)))+SUMPRODUCT((Inputs!$E$5:$E$180=$B33)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$180=$B34)*ISNUMBER(INDEX(Inputs!$K$5:$AJ$180,0,MATCH(D$2,Inputs!$K$4:$AJ$4,0))))+SUMPRODUCT((Inputs!$C$5:$C$180=$B34)*ISNUMBER(INDEX(Inputs!$K$5:$AJ$180,0,MATCH(D$2,Inputs!$K$4:$AJ$4,0))))+SUMPRODUCT((Inputs!$E$5:$E$180=$B34)*ISNUMBER(INDEX(Inputs!$K$5:$AJ$180,0,MATCH(D$2,Inputs!$K$4:$AJ$4,0))))=0,NA(),SUMPRODUCT((Inputs!$A$5:$A$180=$B34)*Inputs!$B$5:$B$180*(((Inputs!$G$5:$G$180="moeda")+(Inputs!$G$5:$G$180="acoes"))*Inputs!$B$1+((Inputs!$G$5:$G$180&lt;&gt;"moeda")*(Inputs!$G$5:$G$180&lt;&gt;"acoes")))*INDEX(Inputs!$K$5:$AJ$180,0,MATCH(D$2,Inputs!$K$4:$AJ$4,0)))+SUMPRODUCT((Inputs!$C$5:$C$180=$B34)*Inputs!$D$5:$D$180*(((Inputs!$G$5:$G$180="moeda")+(Inputs!$G$5:$G$180="acoes"))*Inputs!$B$1+((Inputs!$G$5:$G$180&lt;&gt;"moeda")*(Inputs!$G$5:$G$180&lt;&gt;"acoes")))*INDEX(Inputs!$K$5:$AJ$180,0,MATCH(D$2,Inputs!$K$4:$AJ$4,0)))+SUMPRODUCT((Inputs!$E$5:$E$180=$B34)*Inputs!$F$5:$F$180*(((Inputs!$G$5:$G$180="moeda")+(Inputs!$G$5:$G$180="acoes"))*Inputs!$B$1+((Inputs!$G$5:$G$180&lt;&gt;"moeda")*(Inputs!$G$5:$G$180&lt;&gt;"acoes")))*INDEX(Inputs!$K$5:$AJ$180,0,MATCH(D$2,Inputs!$K$4:$AJ$4,0)))))</f>
        <v>44.63546011</v>
      </c>
      <c r="E34" s="6">
        <f>IF(ISNA(MATCH(E$2,Inputs!$K$4:$AJ$4,0)),NA(),IF(SUMPRODUCT((Inputs!$A$5:$A$180=$B34)*ISNUMBER(INDEX(Inputs!$K$5:$AJ$180,0,MATCH(E$2,Inputs!$K$4:$AJ$4,0))))+SUMPRODUCT((Inputs!$C$5:$C$180=$B34)*ISNUMBER(INDEX(Inputs!$K$5:$AJ$180,0,MATCH(E$2,Inputs!$K$4:$AJ$4,0))))+SUMPRODUCT((Inputs!$E$5:$E$180=$B34)*ISNUMBER(INDEX(Inputs!$K$5:$AJ$180,0,MATCH(E$2,Inputs!$K$4:$AJ$4,0))))=0,NA(),SUMPRODUCT((Inputs!$A$5:$A$180=$B34)*Inputs!$B$5:$B$180*(((Inputs!$G$5:$G$180="moeda")+(Inputs!$G$5:$G$180="acoes"))*Inputs!$B$1+((Inputs!$G$5:$G$180&lt;&gt;"moeda")*(Inputs!$G$5:$G$180&lt;&gt;"acoes")))*INDEX(Inputs!$K$5:$AJ$180,0,MATCH(E$2,Inputs!$K$4:$AJ$4,0)))+SUMPRODUCT((Inputs!$C$5:$C$180=$B34)*Inputs!$D$5:$D$180*(((Inputs!$G$5:$G$180="moeda")+(Inputs!$G$5:$G$180="acoes"))*Inputs!$B$1+((Inputs!$G$5:$G$180&lt;&gt;"moeda")*(Inputs!$G$5:$G$180&lt;&gt;"acoes")))*INDEX(Inputs!$K$5:$AJ$180,0,MATCH(E$2,Inputs!$K$4:$AJ$4,0)))+SUMPRODUCT((Inputs!$E$5:$E$180=$B34)*Inputs!$F$5:$F$180*(((Inputs!$G$5:$G$180="moeda")+(Inputs!$G$5:$G$180="acoes"))*Inputs!$B$1+((Inputs!$G$5:$G$180&lt;&gt;"moeda")*(Inputs!$G$5:$G$180&lt;&gt;"acoes")))*INDEX(Inputs!$K$5:$AJ$180,0,MATCH(E$2,Inputs!$K$4:$AJ$4,0)))))</f>
        <v>56.66888564</v>
      </c>
      <c r="F34" s="6">
        <f>IF(ISNA(MATCH(F$2,Inputs!$K$4:$AJ$4,0)),NA(),IF(SUMPRODUCT((Inputs!$A$5:$A$180=$B34)*ISNUMBER(INDEX(Inputs!$K$5:$AJ$180,0,MATCH(F$2,Inputs!$K$4:$AJ$4,0))))+SUMPRODUCT((Inputs!$C$5:$C$180=$B34)*ISNUMBER(INDEX(Inputs!$K$5:$AJ$180,0,MATCH(F$2,Inputs!$K$4:$AJ$4,0))))+SUMPRODUCT((Inputs!$E$5:$E$180=$B34)*ISNUMBER(INDEX(Inputs!$K$5:$AJ$180,0,MATCH(F$2,Inputs!$K$4:$AJ$4,0))))=0,NA(),SUMPRODUCT((Inputs!$A$5:$A$180=$B34)*Inputs!$B$5:$B$180*(((Inputs!$G$5:$G$180="moeda")+(Inputs!$G$5:$G$180="acoes"))*Inputs!$B$1+((Inputs!$G$5:$G$180&lt;&gt;"moeda")*(Inputs!$G$5:$G$180&lt;&gt;"acoes")))*INDEX(Inputs!$K$5:$AJ$180,0,MATCH(F$2,Inputs!$K$4:$AJ$4,0)))+SUMPRODUCT((Inputs!$C$5:$C$180=$B34)*Inputs!$D$5:$D$180*(((Inputs!$G$5:$G$180="moeda")+(Inputs!$G$5:$G$180="acoes"))*Inputs!$B$1+((Inputs!$G$5:$G$180&lt;&gt;"moeda")*(Inputs!$G$5:$G$180&lt;&gt;"acoes")))*INDEX(Inputs!$K$5:$AJ$180,0,MATCH(F$2,Inputs!$K$4:$AJ$4,0)))+SUMPRODUCT((Inputs!$E$5:$E$180=$B34)*Inputs!$F$5:$F$180*(((Inputs!$G$5:$G$180="moeda")+(Inputs!$G$5:$G$180="acoes"))*Inputs!$B$1+((Inputs!$G$5:$G$180&lt;&gt;"moeda")*(Inputs!$G$5:$G$180&lt;&gt;"acoes")))*INDEX(Inputs!$K$5:$AJ$180,0,MATCH(F$2,Inputs!$K$4:$AJ$4,0)))))</f>
        <v>47.53680748</v>
      </c>
      <c r="G34" s="6">
        <f>IF(ISNA(MATCH(G$2,Inputs!$K$4:$AJ$4,0)),NA(),IF(SUMPRODUCT((Inputs!$A$5:$A$180=$B34)*ISNUMBER(INDEX(Inputs!$K$5:$AJ$180,0,MATCH(G$2,Inputs!$K$4:$AJ$4,0))))+SUMPRODUCT((Inputs!$C$5:$C$180=$B34)*ISNUMBER(INDEX(Inputs!$K$5:$AJ$180,0,MATCH(G$2,Inputs!$K$4:$AJ$4,0))))+SUMPRODUCT((Inputs!$E$5:$E$180=$B34)*ISNUMBER(INDEX(Inputs!$K$5:$AJ$180,0,MATCH(G$2,Inputs!$K$4:$AJ$4,0))))=0,NA(),SUMPRODUCT((Inputs!$A$5:$A$180=$B34)*Inputs!$B$5:$B$180*(((Inputs!$G$5:$G$180="moeda")+(Inputs!$G$5:$G$180="acoes"))*Inputs!$B$1+((Inputs!$G$5:$G$180&lt;&gt;"moeda")*(Inputs!$G$5:$G$180&lt;&gt;"acoes")))*INDEX(Inputs!$K$5:$AJ$180,0,MATCH(G$2,Inputs!$K$4:$AJ$4,0)))+SUMPRODUCT((Inputs!$C$5:$C$180=$B34)*Inputs!$D$5:$D$180*(((Inputs!$G$5:$G$180="moeda")+(Inputs!$G$5:$G$180="acoes"))*Inputs!$B$1+((Inputs!$G$5:$G$180&lt;&gt;"moeda")*(Inputs!$G$5:$G$180&lt;&gt;"acoes")))*INDEX(Inputs!$K$5:$AJ$180,0,MATCH(G$2,Inputs!$K$4:$AJ$4,0)))+SUMPRODUCT((Inputs!$E$5:$E$180=$B34)*Inputs!$F$5:$F$180*(((Inputs!$G$5:$G$180="moeda")+(Inputs!$G$5:$G$180="acoes"))*Inputs!$B$1+((Inputs!$G$5:$G$180&lt;&gt;"moeda")*(Inputs!$G$5:$G$180&lt;&gt;"acoes")))*INDEX(Inputs!$K$5:$AJ$180,0,MATCH(G$2,Inputs!$K$4:$AJ$4,0)))))</f>
        <v>59.91974471</v>
      </c>
      <c r="H34" s="3">
        <f>G34</f>
        <v>59.91974471</v>
      </c>
      <c r="I34" s="6">
        <f>IF(ISNA(MATCH(I$2,Inputs!$K$4:$AJ$4,0)),NA(),IF(SUMPRODUCT((Inputs!$A$5:$A$180=$B34)*ISNUMBER(INDEX(Inputs!$K$5:$AJ$180,0,MATCH(I$2,Inputs!$K$4:$AJ$4,0))))+SUMPRODUCT((Inputs!$C$5:$C$180=$B34)*ISNUMBER(INDEX(Inputs!$K$5:$AJ$180,0,MATCH(I$2,Inputs!$K$4:$AJ$4,0))))+SUMPRODUCT((Inputs!$E$5:$E$180=$B34)*ISNUMBER(INDEX(Inputs!$K$5:$AJ$180,0,MATCH(I$2,Inputs!$K$4:$AJ$4,0))))=0,NA(),SUMPRODUCT((Inputs!$A$5:$A$180=$B34)*Inputs!$B$5:$B$180*(((Inputs!$G$5:$G$180="moeda")+(Inputs!$G$5:$G$180="acoes"))*Inputs!$B$1+((Inputs!$G$5:$G$180&lt;&gt;"moeda")*(Inputs!$G$5:$G$180&lt;&gt;"acoes")))*INDEX(Inputs!$K$5:$AJ$180,0,MATCH(I$2,Inputs!$K$4:$AJ$4,0)))+SUMPRODUCT((Inputs!$C$5:$C$180=$B34)*Inputs!$D$5:$D$180*(((Inputs!$G$5:$G$180="moeda")+(Inputs!$G$5:$G$180="acoes"))*Inputs!$B$1+((Inputs!$G$5:$G$180&lt;&gt;"moeda")*(Inputs!$G$5:$G$180&lt;&gt;"acoes")))*INDEX(Inputs!$K$5:$AJ$180,0,MATCH(I$2,Inputs!$K$4:$AJ$4,0)))+SUMPRODUCT((Inputs!$E$5:$E$180=$B34)*Inputs!$F$5:$F$180*(((Inputs!$G$5:$G$180="moeda")+(Inputs!$G$5:$G$180="acoes"))*Inputs!$B$1+((Inputs!$G$5:$G$180&lt;&gt;"moeda")*(Inputs!$G$5:$G$180&lt;&gt;"acoes")))*INDEX(Inputs!$K$5:$AJ$180,0,MATCH(I$2,Inputs!$K$4:$AJ$4,0)))))</f>
        <v>56.44508628</v>
      </c>
      <c r="J34" s="6">
        <f>IF(ISNA(MATCH(J$2,Inputs!$K$4:$AJ$4,0)),NA(),IF(SUMPRODUCT((Inputs!$A$5:$A$180=$B34)*ISNUMBER(INDEX(Inputs!$K$5:$AJ$180,0,MATCH(J$2,Inputs!$K$4:$AJ$4,0))))+SUMPRODUCT((Inputs!$C$5:$C$180=$B34)*ISNUMBER(INDEX(Inputs!$K$5:$AJ$180,0,MATCH(J$2,Inputs!$K$4:$AJ$4,0))))+SUMPRODUCT((Inputs!$E$5:$E$180=$B34)*ISNUMBER(INDEX(Inputs!$K$5:$AJ$180,0,MATCH(J$2,Inputs!$K$4:$AJ$4,0))))=0,NA(),SUMPRODUCT((Inputs!$A$5:$A$180=$B34)*Inputs!$B$5:$B$180*(((Inputs!$G$5:$G$180="moeda")+(Inputs!$G$5:$G$180="acoes"))*Inputs!$B$1+((Inputs!$G$5:$G$180&lt;&gt;"moeda")*(Inputs!$G$5:$G$180&lt;&gt;"acoes")))*INDEX(Inputs!$K$5:$AJ$180,0,MATCH(J$2,Inputs!$K$4:$AJ$4,0)))+SUMPRODUCT((Inputs!$C$5:$C$180=$B34)*Inputs!$D$5:$D$180*(((Inputs!$G$5:$G$180="moeda")+(Inputs!$G$5:$G$180="acoes"))*Inputs!$B$1+((Inputs!$G$5:$G$180&lt;&gt;"moeda")*(Inputs!$G$5:$G$180&lt;&gt;"acoes")))*INDEX(Inputs!$K$5:$AJ$180,0,MATCH(J$2,Inputs!$K$4:$AJ$4,0)))+SUMPRODUCT((Inputs!$E$5:$E$180=$B34)*Inputs!$F$5:$F$180*(((Inputs!$G$5:$G$180="moeda")+(Inputs!$G$5:$G$180="acoes"))*Inputs!$B$1+((Inputs!$G$5:$G$180&lt;&gt;"moeda")*(Inputs!$G$5:$G$180&lt;&gt;"acoes")))*INDEX(Inputs!$K$5:$AJ$180,0,MATCH(J$2,Inputs!$K$4:$AJ$4,0)))))</f>
        <v>60.84167654</v>
      </c>
      <c r="K34" s="6">
        <f>IF(ISNA(MATCH(K$2,Inputs!$K$4:$AJ$4,0)),NA(),IF(SUMPRODUCT((Inputs!$A$5:$A$180=$B34)*ISNUMBER(INDEX(Inputs!$K$5:$AJ$180,0,MATCH(K$2,Inputs!$K$4:$AJ$4,0))))+SUMPRODUCT((Inputs!$C$5:$C$180=$B34)*ISNUMBER(INDEX(Inputs!$K$5:$AJ$180,0,MATCH(K$2,Inputs!$K$4:$AJ$4,0))))+SUMPRODUCT((Inputs!$E$5:$E$180=$B34)*ISNUMBER(INDEX(Inputs!$K$5:$AJ$180,0,MATCH(K$2,Inputs!$K$4:$AJ$4,0))))=0,NA(),SUMPRODUCT((Inputs!$A$5:$A$180=$B34)*Inputs!$B$5:$B$180*(((Inputs!$G$5:$G$180="moeda")+(Inputs!$G$5:$G$180="acoes"))*Inputs!$B$1+((Inputs!$G$5:$G$180&lt;&gt;"moeda")*(Inputs!$G$5:$G$180&lt;&gt;"acoes")))*INDEX(Inputs!$K$5:$AJ$180,0,MATCH(K$2,Inputs!$K$4:$AJ$4,0)))+SUMPRODUCT((Inputs!$C$5:$C$180=$B34)*Inputs!$D$5:$D$180*(((Inputs!$G$5:$G$180="moeda")+(Inputs!$G$5:$G$180="acoes"))*Inputs!$B$1+((Inputs!$G$5:$G$180&lt;&gt;"moeda")*(Inputs!$G$5:$G$180&lt;&gt;"acoes")))*INDEX(Inputs!$K$5:$AJ$180,0,MATCH(K$2,Inputs!$K$4:$AJ$4,0)))+SUMPRODUCT((Inputs!$E$5:$E$180=$B34)*Inputs!$F$5:$F$180*(((Inputs!$G$5:$G$180="moeda")+(Inputs!$G$5:$G$180="acoes"))*Inputs!$B$1+((Inputs!$G$5:$G$180&lt;&gt;"moeda")*(Inputs!$G$5:$G$180&lt;&gt;"acoes")))*INDEX(Inputs!$K$5:$AJ$180,0,MATCH(K$2,Inputs!$K$4:$AJ$4,0)))))</f>
        <v>64.58381376</v>
      </c>
      <c r="L34" s="6">
        <f>IF(ISNA(MATCH(L$2,Inputs!$K$4:$AJ$4,0)),NA(),IF(SUMPRODUCT((Inputs!$A$5:$A$180=$B34)*ISNUMBER(INDEX(Inputs!$K$5:$AJ$180,0,MATCH(L$2,Inputs!$K$4:$AJ$4,0))))+SUMPRODUCT((Inputs!$C$5:$C$180=$B34)*ISNUMBER(INDEX(Inputs!$K$5:$AJ$180,0,MATCH(L$2,Inputs!$K$4:$AJ$4,0))))+SUMPRODUCT((Inputs!$E$5:$E$180=$B34)*ISNUMBER(INDEX(Inputs!$K$5:$AJ$180,0,MATCH(L$2,Inputs!$K$4:$AJ$4,0))))=0,NA(),SUMPRODUCT((Inputs!$A$5:$A$180=$B34)*Inputs!$B$5:$B$180*(((Inputs!$G$5:$G$180="moeda")+(Inputs!$G$5:$G$180="acoes"))*Inputs!$B$1+((Inputs!$G$5:$G$180&lt;&gt;"moeda")*(Inputs!$G$5:$G$180&lt;&gt;"acoes")))*INDEX(Inputs!$K$5:$AJ$180,0,MATCH(L$2,Inputs!$K$4:$AJ$4,0)))+SUMPRODUCT((Inputs!$C$5:$C$180=$B34)*Inputs!$D$5:$D$180*(((Inputs!$G$5:$G$180="moeda")+(Inputs!$G$5:$G$180="acoes"))*Inputs!$B$1+((Inputs!$G$5:$G$180&lt;&gt;"moeda")*(Inputs!$G$5:$G$180&lt;&gt;"acoes")))*INDEX(Inputs!$K$5:$AJ$180,0,MATCH(L$2,Inputs!$K$4:$AJ$4,0)))+SUMPRODUCT((Inputs!$E$5:$E$180=$B34)*Inputs!$F$5:$F$180*(((Inputs!$G$5:$G$180="moeda")+(Inputs!$G$5:$G$180="acoes"))*Inputs!$B$1+((Inputs!$G$5:$G$180&lt;&gt;"moeda")*(Inputs!$G$5:$G$180&lt;&gt;"acoes")))*INDEX(Inputs!$K$5:$AJ$180,0,MATCH(L$2,Inputs!$K$4:$AJ$4,0)))))</f>
        <v>59.546</v>
      </c>
      <c r="M34" s="3">
        <f>L34</f>
        <v>59.546</v>
      </c>
      <c r="N34" s="6">
        <f>IF(ISNA(MATCH(N$2,Inputs!$K$4:$AJ$4,0)),NA(),IF(SUMPRODUCT((Inputs!$A$5:$A$180=$B34)*ISNUMBER(INDEX(Inputs!$K$5:$AJ$180,0,MATCH(N$2,Inputs!$K$4:$AJ$4,0))))+SUMPRODUCT((Inputs!$C$5:$C$180=$B34)*ISNUMBER(INDEX(Inputs!$K$5:$AJ$180,0,MATCH(N$2,Inputs!$K$4:$AJ$4,0))))+SUMPRODUCT((Inputs!$E$5:$E$180=$B34)*ISNUMBER(INDEX(Inputs!$K$5:$AJ$180,0,MATCH(N$2,Inputs!$K$4:$AJ$4,0))))=0,NA(),SUMPRODUCT((Inputs!$A$5:$A$180=$B34)*Inputs!$B$5:$B$180*(((Inputs!$G$5:$G$180="moeda")+(Inputs!$G$5:$G$180="acoes"))*Inputs!$B$1+((Inputs!$G$5:$G$180&lt;&gt;"moeda")*(Inputs!$G$5:$G$180&lt;&gt;"acoes")))*INDEX(Inputs!$K$5:$AJ$180,0,MATCH(N$2,Inputs!$K$4:$AJ$4,0)))+SUMPRODUCT((Inputs!$C$5:$C$180=$B34)*Inputs!$D$5:$D$180*(((Inputs!$G$5:$G$180="moeda")+(Inputs!$G$5:$G$180="acoes"))*Inputs!$B$1+((Inputs!$G$5:$G$180&lt;&gt;"moeda")*(Inputs!$G$5:$G$180&lt;&gt;"acoes")))*INDEX(Inputs!$K$5:$AJ$180,0,MATCH(N$2,Inputs!$K$4:$AJ$4,0)))+SUMPRODUCT((Inputs!$E$5:$E$180=$B34)*Inputs!$F$5:$F$180*(((Inputs!$G$5:$G$180="moeda")+(Inputs!$G$5:$G$180="acoes"))*Inputs!$B$1+((Inputs!$G$5:$G$180&lt;&gt;"moeda")*(Inputs!$G$5:$G$180&lt;&gt;"acoes")))*INDEX(Inputs!$K$5:$AJ$180,0,MATCH(N$2,Inputs!$K$4:$AJ$4,0)))))</f>
        <v>67.47</v>
      </c>
      <c r="O34" s="6">
        <f>IF(ISNA(MATCH(O$2,Inputs!$K$4:$AJ$4,0)),NA(),IF(SUMPRODUCT((Inputs!$A$5:$A$180=$B34)*ISNUMBER(INDEX(Inputs!$K$5:$AJ$180,0,MATCH(O$2,Inputs!$K$4:$AJ$4,0))))+SUMPRODUCT((Inputs!$C$5:$C$180=$B34)*ISNUMBER(INDEX(Inputs!$K$5:$AJ$180,0,MATCH(O$2,Inputs!$K$4:$AJ$4,0))))+SUMPRODUCT((Inputs!$E$5:$E$180=$B34)*ISNUMBER(INDEX(Inputs!$K$5:$AJ$180,0,MATCH(O$2,Inputs!$K$4:$AJ$4,0))))=0,NA(),SUMPRODUCT((Inputs!$A$5:$A$180=$B34)*Inputs!$B$5:$B$180*(((Inputs!$G$5:$G$180="moeda")+(Inputs!$G$5:$G$180="acoes"))*Inputs!$B$1+((Inputs!$G$5:$G$180&lt;&gt;"moeda")*(Inputs!$G$5:$G$180&lt;&gt;"acoes")))*INDEX(Inputs!$K$5:$AJ$180,0,MATCH(O$2,Inputs!$K$4:$AJ$4,0)))+SUMPRODUCT((Inputs!$C$5:$C$180=$B34)*Inputs!$D$5:$D$180*(((Inputs!$G$5:$G$180="moeda")+(Inputs!$G$5:$G$180="acoes"))*Inputs!$B$1+((Inputs!$G$5:$G$180&lt;&gt;"moeda")*(Inputs!$G$5:$G$180&lt;&gt;"acoes")))*INDEX(Inputs!$K$5:$AJ$180,0,MATCH(O$2,Inputs!$K$4:$AJ$4,0)))+SUMPRODUCT((Inputs!$E$5:$E$180=$B34)*Inputs!$F$5:$F$180*(((Inputs!$G$5:$G$180="moeda")+(Inputs!$G$5:$G$180="acoes"))*Inputs!$B$1+((Inputs!$G$5:$G$180&lt;&gt;"moeda")*(Inputs!$G$5:$G$180&lt;&gt;"acoes")))*INDEX(Inputs!$K$5:$AJ$180,0,MATCH(O$2,Inputs!$K$4:$AJ$4,0)))))</f>
        <v>68.00782477</v>
      </c>
      <c r="P34" s="6">
        <f>IF(ISNA(MATCH(P$2,Inputs!$K$4:$AJ$4,0)),NA(),IF(SUMPRODUCT((Inputs!$A$5:$A$180=$B34)*ISNUMBER(INDEX(Inputs!$K$5:$AJ$180,0,MATCH(P$2,Inputs!$K$4:$AJ$4,0))))+SUMPRODUCT((Inputs!$C$5:$C$180=$B34)*ISNUMBER(INDEX(Inputs!$K$5:$AJ$180,0,MATCH(P$2,Inputs!$K$4:$AJ$4,0))))+SUMPRODUCT((Inputs!$E$5:$E$180=$B34)*ISNUMBER(INDEX(Inputs!$K$5:$AJ$180,0,MATCH(P$2,Inputs!$K$4:$AJ$4,0))))=0,NA(),SUMPRODUCT((Inputs!$A$5:$A$180=$B34)*Inputs!$B$5:$B$180*(((Inputs!$G$5:$G$180="moeda")+(Inputs!$G$5:$G$180="acoes"))*Inputs!$B$1+((Inputs!$G$5:$G$180&lt;&gt;"moeda")*(Inputs!$G$5:$G$180&lt;&gt;"acoes")))*INDEX(Inputs!$K$5:$AJ$180,0,MATCH(P$2,Inputs!$K$4:$AJ$4,0)))+SUMPRODUCT((Inputs!$C$5:$C$180=$B34)*Inputs!$D$5:$D$180*(((Inputs!$G$5:$G$180="moeda")+(Inputs!$G$5:$G$180="acoes"))*Inputs!$B$1+((Inputs!$G$5:$G$180&lt;&gt;"moeda")*(Inputs!$G$5:$G$180&lt;&gt;"acoes")))*INDEX(Inputs!$K$5:$AJ$180,0,MATCH(P$2,Inputs!$K$4:$AJ$4,0)))+SUMPRODUCT((Inputs!$E$5:$E$180=$B34)*Inputs!$F$5:$F$180*(((Inputs!$G$5:$G$180="moeda")+(Inputs!$G$5:$G$180="acoes"))*Inputs!$B$1+((Inputs!$G$5:$G$180&lt;&gt;"moeda")*(Inputs!$G$5:$G$180&lt;&gt;"acoes")))*INDEX(Inputs!$K$5:$AJ$180,0,MATCH(P$2,Inputs!$K$4:$AJ$4,0)))))</f>
        <v>70.19288521</v>
      </c>
      <c r="Q34" s="6">
        <f>IF(ISNA(MATCH(Q$2,Inputs!$K$4:$AJ$4,0)),NA(),IF(SUMPRODUCT((Inputs!$A$5:$A$180=$B34)*ISNUMBER(INDEX(Inputs!$K$5:$AJ$180,0,MATCH(Q$2,Inputs!$K$4:$AJ$4,0))))+SUMPRODUCT((Inputs!$C$5:$C$180=$B34)*ISNUMBER(INDEX(Inputs!$K$5:$AJ$180,0,MATCH(Q$2,Inputs!$K$4:$AJ$4,0))))+SUMPRODUCT((Inputs!$E$5:$E$180=$B34)*ISNUMBER(INDEX(Inputs!$K$5:$AJ$180,0,MATCH(Q$2,Inputs!$K$4:$AJ$4,0))))=0,NA(),SUMPRODUCT((Inputs!$A$5:$A$180=$B34)*Inputs!$B$5:$B$180*(((Inputs!$G$5:$G$180="moeda")+(Inputs!$G$5:$G$180="acoes"))*Inputs!$B$1+((Inputs!$G$5:$G$180&lt;&gt;"moeda")*(Inputs!$G$5:$G$180&lt;&gt;"acoes")))*INDEX(Inputs!$K$5:$AJ$180,0,MATCH(Q$2,Inputs!$K$4:$AJ$4,0)))+SUMPRODUCT((Inputs!$C$5:$C$180=$B34)*Inputs!$D$5:$D$180*(((Inputs!$G$5:$G$180="moeda")+(Inputs!$G$5:$G$180="acoes"))*Inputs!$B$1+((Inputs!$G$5:$G$180&lt;&gt;"moeda")*(Inputs!$G$5:$G$180&lt;&gt;"acoes")))*INDEX(Inputs!$K$5:$AJ$180,0,MATCH(Q$2,Inputs!$K$4:$AJ$4,0)))+SUMPRODUCT((Inputs!$E$5:$E$180=$B34)*Inputs!$F$5:$F$180*(((Inputs!$G$5:$G$180="moeda")+(Inputs!$G$5:$G$180="acoes"))*Inputs!$B$1+((Inputs!$G$5:$G$180&lt;&gt;"moeda")*(Inputs!$G$5:$G$180&lt;&gt;"acoes")))*INDEX(Inputs!$K$5:$AJ$180,0,MATCH(Q$2,Inputs!$K$4:$AJ$4,0)))))</f>
        <v>70.05908533</v>
      </c>
      <c r="R34" s="3">
        <f>Q34</f>
        <v>70.05908533</v>
      </c>
      <c r="S34" s="6">
        <f>IF(ISNA(MATCH(S$2,Inputs!$K$4:$AJ$4,0)),NA(),IF(SUMPRODUCT((Inputs!$A$5:$A$180=$B34)*ISNUMBER(INDEX(Inputs!$K$5:$AJ$180,0,MATCH(S$2,Inputs!$K$4:$AJ$4,0))))+SUMPRODUCT((Inputs!$C$5:$C$180=$B34)*ISNUMBER(INDEX(Inputs!$K$5:$AJ$180,0,MATCH(S$2,Inputs!$K$4:$AJ$4,0))))+SUMPRODUCT((Inputs!$E$5:$E$180=$B34)*ISNUMBER(INDEX(Inputs!$K$5:$AJ$180,0,MATCH(S$2,Inputs!$K$4:$AJ$4,0))))=0,NA(),SUMPRODUCT((Inputs!$A$5:$A$180=$B34)*Inputs!$B$5:$B$180*(((Inputs!$G$5:$G$180="moeda")+(Inputs!$G$5:$G$180="acoes"))*Inputs!$B$1+((Inputs!$G$5:$G$180&lt;&gt;"moeda")*(Inputs!$G$5:$G$180&lt;&gt;"acoes")))*INDEX(Inputs!$K$5:$AJ$180,0,MATCH(S$2,Inputs!$K$4:$AJ$4,0)))+SUMPRODUCT((Inputs!$C$5:$C$180=$B34)*Inputs!$D$5:$D$180*(((Inputs!$G$5:$G$180="moeda")+(Inputs!$G$5:$G$180="acoes"))*Inputs!$B$1+((Inputs!$G$5:$G$180&lt;&gt;"moeda")*(Inputs!$G$5:$G$180&lt;&gt;"acoes")))*INDEX(Inputs!$K$5:$AJ$180,0,MATCH(S$2,Inputs!$K$4:$AJ$4,0)))+SUMPRODUCT((Inputs!$E$5:$E$180=$B34)*Inputs!$F$5:$F$180*(((Inputs!$G$5:$G$180="moeda")+(Inputs!$G$5:$G$180="acoes"))*Inputs!$B$1+((Inputs!$G$5:$G$180&lt;&gt;"moeda")*(Inputs!$G$5:$G$180&lt;&gt;"acoes")))*INDEX(Inputs!$K$5:$AJ$180,0,MATCH(S$2,Inputs!$K$4:$AJ$4,0)))))</f>
        <v>67.47443166</v>
      </c>
      <c r="T34" s="6">
        <f>IF(ISNA(MATCH(T$2,Inputs!$K$4:$AJ$4,0)),NA(),IF(SUMPRODUCT((Inputs!$A$5:$A$180=$B34)*ISNUMBER(INDEX(Inputs!$K$5:$AJ$180,0,MATCH(T$2,Inputs!$K$4:$AJ$4,0))))+SUMPRODUCT((Inputs!$C$5:$C$180=$B34)*ISNUMBER(INDEX(Inputs!$K$5:$AJ$180,0,MATCH(T$2,Inputs!$K$4:$AJ$4,0))))+SUMPRODUCT((Inputs!$E$5:$E$180=$B34)*ISNUMBER(INDEX(Inputs!$K$5:$AJ$180,0,MATCH(T$2,Inputs!$K$4:$AJ$4,0))))=0,NA(),SUMPRODUCT((Inputs!$A$5:$A$180=$B34)*Inputs!$B$5:$B$180*(((Inputs!$G$5:$G$180="moeda")+(Inputs!$G$5:$G$180="acoes"))*Inputs!$B$1+((Inputs!$G$5:$G$180&lt;&gt;"moeda")*(Inputs!$G$5:$G$180&lt;&gt;"acoes")))*INDEX(Inputs!$K$5:$AJ$180,0,MATCH(T$2,Inputs!$K$4:$AJ$4,0)))+SUMPRODUCT((Inputs!$C$5:$C$180=$B34)*Inputs!$D$5:$D$180*(((Inputs!$G$5:$G$180="moeda")+(Inputs!$G$5:$G$180="acoes"))*Inputs!$B$1+((Inputs!$G$5:$G$180&lt;&gt;"moeda")*(Inputs!$G$5:$G$180&lt;&gt;"acoes")))*INDEX(Inputs!$K$5:$AJ$180,0,MATCH(T$2,Inputs!$K$4:$AJ$4,0)))+SUMPRODUCT((Inputs!$E$5:$E$180=$B34)*Inputs!$F$5:$F$180*(((Inputs!$G$5:$G$180="moeda")+(Inputs!$G$5:$G$180="acoes"))*Inputs!$B$1+((Inputs!$G$5:$G$180&lt;&gt;"moeda")*(Inputs!$G$5:$G$180&lt;&gt;"acoes")))*INDEX(Inputs!$K$5:$AJ$180,0,MATCH(T$2,Inputs!$K$4:$AJ$4,0)))))</f>
        <v>68.40382885</v>
      </c>
      <c r="U34" s="6">
        <f>IF(ISNA(MATCH(U$2,Inputs!$K$4:$AJ$4,0)),NA(),IF(SUMPRODUCT((Inputs!$A$5:$A$180=$B34)*ISNUMBER(INDEX(Inputs!$K$5:$AJ$180,0,MATCH(U$2,Inputs!$K$4:$AJ$4,0))))+SUMPRODUCT((Inputs!$C$5:$C$180=$B34)*ISNUMBER(INDEX(Inputs!$K$5:$AJ$180,0,MATCH(U$2,Inputs!$K$4:$AJ$4,0))))+SUMPRODUCT((Inputs!$E$5:$E$180=$B34)*ISNUMBER(INDEX(Inputs!$K$5:$AJ$180,0,MATCH(U$2,Inputs!$K$4:$AJ$4,0))))=0,NA(),SUMPRODUCT((Inputs!$A$5:$A$180=$B34)*Inputs!$B$5:$B$180*(((Inputs!$G$5:$G$180="moeda")+(Inputs!$G$5:$G$180="acoes"))*Inputs!$B$1+((Inputs!$G$5:$G$180&lt;&gt;"moeda")*(Inputs!$G$5:$G$180&lt;&gt;"acoes")))*INDEX(Inputs!$K$5:$AJ$180,0,MATCH(U$2,Inputs!$K$4:$AJ$4,0)))+SUMPRODUCT((Inputs!$C$5:$C$180=$B34)*Inputs!$D$5:$D$180*(((Inputs!$G$5:$G$180="moeda")+(Inputs!$G$5:$G$180="acoes"))*Inputs!$B$1+((Inputs!$G$5:$G$180&lt;&gt;"moeda")*(Inputs!$G$5:$G$180&lt;&gt;"acoes")))*INDEX(Inputs!$K$5:$AJ$180,0,MATCH(U$2,Inputs!$K$4:$AJ$4,0)))+SUMPRODUCT((Inputs!$E$5:$E$180=$B34)*Inputs!$F$5:$F$180*(((Inputs!$G$5:$G$180="moeda")+(Inputs!$G$5:$G$180="acoes"))*Inputs!$B$1+((Inputs!$G$5:$G$180&lt;&gt;"moeda")*(Inputs!$G$5:$G$180&lt;&gt;"acoes")))*INDEX(Inputs!$K$5:$AJ$180,0,MATCH(U$2,Inputs!$K$4:$AJ$4,0)))))</f>
        <v>94.63792474</v>
      </c>
      <c r="V34" s="6">
        <f>IF(ISNA(MATCH(V$2,Inputs!$K$4:$AJ$4,0)),NA(),IF(SUMPRODUCT((Inputs!$A$5:$A$180=$B34)*ISNUMBER(INDEX(Inputs!$K$5:$AJ$180,0,MATCH(V$2,Inputs!$K$4:$AJ$4,0))))+SUMPRODUCT((Inputs!$C$5:$C$180=$B34)*ISNUMBER(INDEX(Inputs!$K$5:$AJ$180,0,MATCH(V$2,Inputs!$K$4:$AJ$4,0))))+SUMPRODUCT((Inputs!$E$5:$E$180=$B34)*ISNUMBER(INDEX(Inputs!$K$5:$AJ$180,0,MATCH(V$2,Inputs!$K$4:$AJ$4,0))))=0,NA(),SUMPRODUCT((Inputs!$A$5:$A$180=$B34)*Inputs!$B$5:$B$180*(((Inputs!$G$5:$G$180="moeda")+(Inputs!$G$5:$G$180="acoes"))*Inputs!$B$1+((Inputs!$G$5:$G$180&lt;&gt;"moeda")*(Inputs!$G$5:$G$180&lt;&gt;"acoes")))*INDEX(Inputs!$K$5:$AJ$180,0,MATCH(V$2,Inputs!$K$4:$AJ$4,0)))+SUMPRODUCT((Inputs!$C$5:$C$180=$B34)*Inputs!$D$5:$D$180*(((Inputs!$G$5:$G$180="moeda")+(Inputs!$G$5:$G$180="acoes"))*Inputs!$B$1+((Inputs!$G$5:$G$180&lt;&gt;"moeda")*(Inputs!$G$5:$G$180&lt;&gt;"acoes")))*INDEX(Inputs!$K$5:$AJ$180,0,MATCH(V$2,Inputs!$K$4:$AJ$4,0)))+SUMPRODUCT((Inputs!$E$5:$E$180=$B34)*Inputs!$F$5:$F$180*(((Inputs!$G$5:$G$180="moeda")+(Inputs!$G$5:$G$180="acoes"))*Inputs!$B$1+((Inputs!$G$5:$G$180&lt;&gt;"moeda")*(Inputs!$G$5:$G$180&lt;&gt;"acoes")))*INDEX(Inputs!$K$5:$AJ$180,0,MATCH(V$2,Inputs!$K$4:$AJ$4,0)))))</f>
        <v>88.0694388</v>
      </c>
      <c r="W34" s="3">
        <f>V34</f>
        <v>88.0694388</v>
      </c>
      <c r="X34" s="6">
        <f>IF(ISNA(MATCH(X$2,Inputs!$K$4:$AJ$4,0)),NA(),IF(SUMPRODUCT((Inputs!$A$5:$A$180=$B34)*ISNUMBER(INDEX(Inputs!$K$5:$AJ$180,0,MATCH(X$2,Inputs!$K$4:$AJ$4,0))))+SUMPRODUCT((Inputs!$C$5:$C$180=$B34)*ISNUMBER(INDEX(Inputs!$K$5:$AJ$180,0,MATCH(X$2,Inputs!$K$4:$AJ$4,0))))+SUMPRODUCT((Inputs!$E$5:$E$180=$B34)*ISNUMBER(INDEX(Inputs!$K$5:$AJ$180,0,MATCH(X$2,Inputs!$K$4:$AJ$4,0))))=0,NA(),SUMPRODUCT((Inputs!$A$5:$A$180=$B34)*Inputs!$B$5:$B$180*(((Inputs!$G$5:$G$180="moeda")+(Inputs!$G$5:$G$180="acoes"))*Inputs!$B$1+((Inputs!$G$5:$G$180&lt;&gt;"moeda")*(Inputs!$G$5:$G$180&lt;&gt;"acoes")))*INDEX(Inputs!$K$5:$AJ$180,0,MATCH(X$2,Inputs!$K$4:$AJ$4,0)))+SUMPRODUCT((Inputs!$C$5:$C$180=$B34)*Inputs!$D$5:$D$180*(((Inputs!$G$5:$G$180="moeda")+(Inputs!$G$5:$G$180="acoes"))*Inputs!$B$1+((Inputs!$G$5:$G$180&lt;&gt;"moeda")*(Inputs!$G$5:$G$180&lt;&gt;"acoes")))*INDEX(Inputs!$K$5:$AJ$180,0,MATCH(X$2,Inputs!$K$4:$AJ$4,0)))+SUMPRODUCT((Inputs!$E$5:$E$180=$B34)*Inputs!$F$5:$F$180*(((Inputs!$G$5:$G$180="moeda")+(Inputs!$G$5:$G$180="acoes"))*Inputs!$B$1+((Inputs!$G$5:$G$180&lt;&gt;"moeda")*(Inputs!$G$5:$G$180&lt;&gt;"acoes")))*INDEX(Inputs!$K$5:$AJ$180,0,MATCH(X$2,Inputs!$K$4:$AJ$4,0)))))</f>
        <v>85.53912428</v>
      </c>
      <c r="Y34" s="6">
        <f>IF(ISNA(MATCH(Y$2,Inputs!$K$4:$AJ$4,0)),NA(),IF(SUMPRODUCT((Inputs!$A$5:$A$180=$B34)*ISNUMBER(INDEX(Inputs!$K$5:$AJ$180,0,MATCH(Y$2,Inputs!$K$4:$AJ$4,0))))+SUMPRODUCT((Inputs!$C$5:$C$180=$B34)*ISNUMBER(INDEX(Inputs!$K$5:$AJ$180,0,MATCH(Y$2,Inputs!$K$4:$AJ$4,0))))+SUMPRODUCT((Inputs!$E$5:$E$180=$B34)*ISNUMBER(INDEX(Inputs!$K$5:$AJ$180,0,MATCH(Y$2,Inputs!$K$4:$AJ$4,0))))=0,NA(),SUMPRODUCT((Inputs!$A$5:$A$180=$B34)*Inputs!$B$5:$B$180*(((Inputs!$G$5:$G$180="moeda")+(Inputs!$G$5:$G$180="acoes"))*Inputs!$B$1+((Inputs!$G$5:$G$180&lt;&gt;"moeda")*(Inputs!$G$5:$G$180&lt;&gt;"acoes")))*INDEX(Inputs!$K$5:$AJ$180,0,MATCH(Y$2,Inputs!$K$4:$AJ$4,0)))+SUMPRODUCT((Inputs!$C$5:$C$180=$B34)*Inputs!$D$5:$D$180*(((Inputs!$G$5:$G$180="moeda")+(Inputs!$G$5:$G$180="acoes"))*Inputs!$B$1+((Inputs!$G$5:$G$180&lt;&gt;"moeda")*(Inputs!$G$5:$G$180&lt;&gt;"acoes")))*INDEX(Inputs!$K$5:$AJ$180,0,MATCH(Y$2,Inputs!$K$4:$AJ$4,0)))+SUMPRODUCT((Inputs!$E$5:$E$180=$B34)*Inputs!$F$5:$F$180*(((Inputs!$G$5:$G$180="moeda")+(Inputs!$G$5:$G$180="acoes"))*Inputs!$B$1+((Inputs!$G$5:$G$180&lt;&gt;"moeda")*(Inputs!$G$5:$G$180&lt;&gt;"acoes")))*INDEX(Inputs!$K$5:$AJ$180,0,MATCH(Y$2,Inputs!$K$4:$AJ$4,0)))))</f>
        <v>85.18205603</v>
      </c>
      <c r="Z34" s="6">
        <f>IF(ISNA(MATCH(Z$2,Inputs!$K$4:$AJ$4,0)),NA(),IF(SUMPRODUCT((Inputs!$A$5:$A$180=$B34)*ISNUMBER(INDEX(Inputs!$K$5:$AJ$180,0,MATCH(Z$2,Inputs!$K$4:$AJ$4,0))))+SUMPRODUCT((Inputs!$C$5:$C$180=$B34)*ISNUMBER(INDEX(Inputs!$K$5:$AJ$180,0,MATCH(Z$2,Inputs!$K$4:$AJ$4,0))))+SUMPRODUCT((Inputs!$E$5:$E$180=$B34)*ISNUMBER(INDEX(Inputs!$K$5:$AJ$180,0,MATCH(Z$2,Inputs!$K$4:$AJ$4,0))))=0,NA(),SUMPRODUCT((Inputs!$A$5:$A$180=$B34)*Inputs!$B$5:$B$180*(((Inputs!$G$5:$G$180="moeda")+(Inputs!$G$5:$G$180="acoes"))*Inputs!$B$1+((Inputs!$G$5:$G$180&lt;&gt;"moeda")*(Inputs!$G$5:$G$180&lt;&gt;"acoes")))*INDEX(Inputs!$K$5:$AJ$180,0,MATCH(Z$2,Inputs!$K$4:$AJ$4,0)))+SUMPRODUCT((Inputs!$C$5:$C$180=$B34)*Inputs!$D$5:$D$180*(((Inputs!$G$5:$G$180="moeda")+(Inputs!$G$5:$G$180="acoes"))*Inputs!$B$1+((Inputs!$G$5:$G$180&lt;&gt;"moeda")*(Inputs!$G$5:$G$180&lt;&gt;"acoes")))*INDEX(Inputs!$K$5:$AJ$180,0,MATCH(Z$2,Inputs!$K$4:$AJ$4,0)))+SUMPRODUCT((Inputs!$E$5:$E$180=$B34)*Inputs!$F$5:$F$180*(((Inputs!$G$5:$G$180="moeda")+(Inputs!$G$5:$G$180="acoes"))*Inputs!$B$1+((Inputs!$G$5:$G$180&lt;&gt;"moeda")*(Inputs!$G$5:$G$180&lt;&gt;"acoes")))*INDEX(Inputs!$K$5:$AJ$180,0,MATCH(Z$2,Inputs!$K$4:$AJ$4,0)))))</f>
        <v>82.191</v>
      </c>
      <c r="AA34" s="6">
        <f>IF(ISNA(MATCH(AA$2,Inputs!$K$4:$AJ$4,0)),NA(),IF(SUMPRODUCT((Inputs!$A$5:$A$180=$B34)*ISNUMBER(INDEX(Inputs!$K$5:$AJ$180,0,MATCH(AA$2,Inputs!$K$4:$AJ$4,0))))+SUMPRODUCT((Inputs!$C$5:$C$180=$B34)*ISNUMBER(INDEX(Inputs!$K$5:$AJ$180,0,MATCH(AA$2,Inputs!$K$4:$AJ$4,0))))+SUMPRODUCT((Inputs!$E$5:$E$180=$B34)*ISNUMBER(INDEX(Inputs!$K$5:$AJ$180,0,MATCH(AA$2,Inputs!$K$4:$AJ$4,0))))=0,NA(),SUMPRODUCT((Inputs!$A$5:$A$180=$B34)*Inputs!$B$5:$B$180*(((Inputs!$G$5:$G$180="moeda")+(Inputs!$G$5:$G$180="acoes"))*Inputs!$B$1+((Inputs!$G$5:$G$180&lt;&gt;"moeda")*(Inputs!$G$5:$G$180&lt;&gt;"acoes")))*INDEX(Inputs!$K$5:$AJ$180,0,MATCH(AA$2,Inputs!$K$4:$AJ$4,0)))+SUMPRODUCT((Inputs!$C$5:$C$180=$B34)*Inputs!$D$5:$D$180*(((Inputs!$G$5:$G$180="moeda")+(Inputs!$G$5:$G$180="acoes"))*Inputs!$B$1+((Inputs!$G$5:$G$180&lt;&gt;"moeda")*(Inputs!$G$5:$G$180&lt;&gt;"acoes")))*INDEX(Inputs!$K$5:$AJ$180,0,MATCH(AA$2,Inputs!$K$4:$AJ$4,0)))+SUMPRODUCT((Inputs!$E$5:$E$180=$B34)*Inputs!$F$5:$F$180*(((Inputs!$G$5:$G$180="moeda")+(Inputs!$G$5:$G$180="acoes"))*Inputs!$B$1+((Inputs!$G$5:$G$180&lt;&gt;"moeda")*(Inputs!$G$5:$G$180&lt;&gt;"acoes")))*INDEX(Inputs!$K$5:$AJ$180,0,MATCH(AA$2,Inputs!$K$4:$AJ$4,0)))))</f>
        <v>83.18638845</v>
      </c>
      <c r="AB34" s="3">
        <f>AA34</f>
        <v>83.18638845</v>
      </c>
      <c r="AC34" s="6">
        <f>IF(ISNA(MATCH(AC$2,Inputs!$K$4:$AJ$4,0)),NA(),IF(SUMPRODUCT((Inputs!$A$5:$A$180=$B34)*ISNUMBER(INDEX(Inputs!$K$5:$AJ$180,0,MATCH(AC$2,Inputs!$K$4:$AJ$4,0))))+SUMPRODUCT((Inputs!$C$5:$C$180=$B34)*ISNUMBER(INDEX(Inputs!$K$5:$AJ$180,0,MATCH(AC$2,Inputs!$K$4:$AJ$4,0))))+SUMPRODUCT((Inputs!$E$5:$E$180=$B34)*ISNUMBER(INDEX(Inputs!$K$5:$AJ$180,0,MATCH(AC$2,Inputs!$K$4:$AJ$4,0))))=0,NA(),SUMPRODUCT((Inputs!$A$5:$A$180=$B34)*Inputs!$B$5:$B$180*(((Inputs!$G$5:$G$180="moeda")+(Inputs!$G$5:$G$180="acoes"))*Inputs!$B$1+((Inputs!$G$5:$G$180&lt;&gt;"moeda")*(Inputs!$G$5:$G$180&lt;&gt;"acoes")))*INDEX(Inputs!$K$5:$AJ$180,0,MATCH(AC$2,Inputs!$K$4:$AJ$4,0)))+SUMPRODUCT((Inputs!$C$5:$C$180=$B34)*Inputs!$D$5:$D$180*(((Inputs!$G$5:$G$180="moeda")+(Inputs!$G$5:$G$180="acoes"))*Inputs!$B$1+((Inputs!$G$5:$G$180&lt;&gt;"moeda")*(Inputs!$G$5:$G$180&lt;&gt;"acoes")))*INDEX(Inputs!$K$5:$AJ$180,0,MATCH(AC$2,Inputs!$K$4:$AJ$4,0)))+SUMPRODUCT((Inputs!$E$5:$E$180=$B34)*Inputs!$F$5:$F$180*(((Inputs!$G$5:$G$180="moeda")+(Inputs!$G$5:$G$180="acoes"))*Inputs!$B$1+((Inputs!$G$5:$G$180&lt;&gt;"moeda")*(Inputs!$G$5:$G$180&lt;&gt;"acoes")))*INDEX(Inputs!$K$5:$AJ$180,0,MATCH(AC$2,Inputs!$K$4:$AJ$4,0)))))</f>
        <v>83.3072542</v>
      </c>
      <c r="AD34" s="6">
        <f>IF(ISNA(MATCH(AD$2,Inputs!$K$4:$AJ$4,0)),NA(),IF(SUMPRODUCT((Inputs!$A$5:$A$180=$B34)*ISNUMBER(INDEX(Inputs!$K$5:$AJ$180,0,MATCH(AD$2,Inputs!$K$4:$AJ$4,0))))+SUMPRODUCT((Inputs!$C$5:$C$180=$B34)*ISNUMBER(INDEX(Inputs!$K$5:$AJ$180,0,MATCH(AD$2,Inputs!$K$4:$AJ$4,0))))+SUMPRODUCT((Inputs!$E$5:$E$180=$B34)*ISNUMBER(INDEX(Inputs!$K$5:$AJ$180,0,MATCH(AD$2,Inputs!$K$4:$AJ$4,0))))=0,NA(),SUMPRODUCT((Inputs!$A$5:$A$180=$B34)*Inputs!$B$5:$B$180*(((Inputs!$G$5:$G$180="moeda")+(Inputs!$G$5:$G$180="acoes"))*Inputs!$B$1+((Inputs!$G$5:$G$180&lt;&gt;"moeda")*(Inputs!$G$5:$G$180&lt;&gt;"acoes")))*INDEX(Inputs!$K$5:$AJ$180,0,MATCH(AD$2,Inputs!$K$4:$AJ$4,0)))+SUMPRODUCT((Inputs!$C$5:$C$180=$B34)*Inputs!$D$5:$D$180*(((Inputs!$G$5:$G$180="moeda")+(Inputs!$G$5:$G$180="acoes"))*Inputs!$B$1+((Inputs!$G$5:$G$180&lt;&gt;"moeda")*(Inputs!$G$5:$G$180&lt;&gt;"acoes")))*INDEX(Inputs!$K$5:$AJ$180,0,MATCH(AD$2,Inputs!$K$4:$AJ$4,0)))+SUMPRODUCT((Inputs!$E$5:$E$180=$B34)*Inputs!$F$5:$F$180*(((Inputs!$G$5:$G$180="moeda")+(Inputs!$G$5:$G$180="acoes"))*Inputs!$B$1+((Inputs!$G$5:$G$180&lt;&gt;"moeda")*(Inputs!$G$5:$G$180&lt;&gt;"acoes")))*INDEX(Inputs!$K$5:$AJ$180,0,MATCH(AD$2,Inputs!$K$4:$AJ$4,0)))))</f>
        <v>83.72235324</v>
      </c>
      <c r="AE34" s="6" t="e">
        <f>IF(ISNA(MATCH(AE$2,Inputs!$K$4:$AJ$4,0)),NA(),IF(SUMPRODUCT((Inputs!$A$5:$A$180=$B34)*ISNUMBER(INDEX(Inputs!$K$5:$AJ$180,0,MATCH(AE$2,Inputs!$K$4:$AJ$4,0))))+SUMPRODUCT((Inputs!$C$5:$C$180=$B34)*ISNUMBER(INDEX(Inputs!$K$5:$AJ$180,0,MATCH(AE$2,Inputs!$K$4:$AJ$4,0))))+SUMPRODUCT((Inputs!$E$5:$E$180=$B34)*ISNUMBER(INDEX(Inputs!$K$5:$AJ$180,0,MATCH(AE$2,Inputs!$K$4:$AJ$4,0))))=0,NA(),SUMPRODUCT((Inputs!$A$5:$A$180=$B34)*Inputs!$B$5:$B$180*(((Inputs!$G$5:$G$180="moeda")+(Inputs!$G$5:$G$180="acoes"))*Inputs!$B$1+((Inputs!$G$5:$G$180&lt;&gt;"moeda")*(Inputs!$G$5:$G$180&lt;&gt;"acoes")))*INDEX(Inputs!$K$5:$AJ$180,0,MATCH(AE$2,Inputs!$K$4:$AJ$4,0)))+SUMPRODUCT((Inputs!$C$5:$C$180=$B34)*Inputs!$D$5:$D$180*(((Inputs!$G$5:$G$180="moeda")+(Inputs!$G$5:$G$180="acoes"))*Inputs!$B$1+((Inputs!$G$5:$G$180&lt;&gt;"moeda")*(Inputs!$G$5:$G$180&lt;&gt;"acoes")))*INDEX(Inputs!$K$5:$AJ$180,0,MATCH(AE$2,Inputs!$K$4:$AJ$4,0)))+SUMPRODUCT((Inputs!$E$5:$E$180=$B34)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4" s="6" t="e">
        <f>IF(ISNA(MATCH(AF$2,Inputs!$K$4:$AJ$4,0)),NA(),IF(SUMPRODUCT((Inputs!$A$5:$A$180=$B34)*ISNUMBER(INDEX(Inputs!$K$5:$AJ$180,0,MATCH(AF$2,Inputs!$K$4:$AJ$4,0))))+SUMPRODUCT((Inputs!$C$5:$C$180=$B34)*ISNUMBER(INDEX(Inputs!$K$5:$AJ$180,0,MATCH(AF$2,Inputs!$K$4:$AJ$4,0))))+SUMPRODUCT((Inputs!$E$5:$E$180=$B34)*ISNUMBER(INDEX(Inputs!$K$5:$AJ$180,0,MATCH(AF$2,Inputs!$K$4:$AJ$4,0))))=0,NA(),SUMPRODUCT((Inputs!$A$5:$A$180=$B34)*Inputs!$B$5:$B$180*(((Inputs!$G$5:$G$180="moeda")+(Inputs!$G$5:$G$180="acoes"))*Inputs!$B$1+((Inputs!$G$5:$G$180&lt;&gt;"moeda")*(Inputs!$G$5:$G$180&lt;&gt;"acoes")))*INDEX(Inputs!$K$5:$AJ$180,0,MATCH(AF$2,Inputs!$K$4:$AJ$4,0)))+SUMPRODUCT((Inputs!$C$5:$C$180=$B34)*Inputs!$D$5:$D$180*(((Inputs!$G$5:$G$180="moeda")+(Inputs!$G$5:$G$180="acoes"))*Inputs!$B$1+((Inputs!$G$5:$G$180&lt;&gt;"moeda")*(Inputs!$G$5:$G$180&lt;&gt;"acoes")))*INDEX(Inputs!$K$5:$AJ$180,0,MATCH(AF$2,Inputs!$K$4:$AJ$4,0)))+SUMPRODUCT((Inputs!$E$5:$E$180=$B34)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4" s="3" t="e">
        <f>AF34</f>
        <v>#N/A</v>
      </c>
      <c r="AH34" s="6">
        <f>IF(ISNA(MATCH(AH$2,Inputs!$K$4:$AJ$4,0)),NA(),IF(SUMPRODUCT((Inputs!$A$5:$A$180=$B34)*ISNUMBER(INDEX(Inputs!$K$5:$AJ$180,0,MATCH(AH$2,Inputs!$K$4:$AJ$4,0))))+SUMPRODUCT((Inputs!$C$5:$C$180=$B34)*ISNUMBER(INDEX(Inputs!$K$5:$AJ$180,0,MATCH(AH$2,Inputs!$K$4:$AJ$4,0))))+SUMPRODUCT((Inputs!$E$5:$E$180=$B34)*ISNUMBER(INDEX(Inputs!$K$5:$AJ$180,0,MATCH(AH$2,Inputs!$K$4:$AJ$4,0))))=0,NA(),SUMPRODUCT((Inputs!$A$5:$A$180=$B34)*Inputs!$B$5:$B$180*(((Inputs!$G$5:$G$180="moeda")+(Inputs!$G$5:$G$180="acoes"))*Inputs!$B$1+((Inputs!$G$5:$G$180&lt;&gt;"moeda")*(Inputs!$G$5:$G$180&lt;&gt;"acoes")))*INDEX(Inputs!$K$5:$AJ$180,0,MATCH(AH$2,Inputs!$K$4:$AJ$4,0)))+SUMPRODUCT((Inputs!$C$5:$C$180=$B34)*Inputs!$D$5:$D$180*(((Inputs!$G$5:$G$180="moeda")+(Inputs!$G$5:$G$180="acoes"))*Inputs!$B$1+((Inputs!$G$5:$G$180&lt;&gt;"moeda")*(Inputs!$G$5:$G$180&lt;&gt;"acoes")))*INDEX(Inputs!$K$5:$AJ$180,0,MATCH(AH$2,Inputs!$K$4:$AJ$4,0)))+SUMPRODUCT((Inputs!$E$5:$E$180=$B34)*Inputs!$F$5:$F$180*(((Inputs!$G$5:$G$180="moeda")+(Inputs!$G$5:$G$180="acoes"))*Inputs!$B$1+((Inputs!$G$5:$G$180&lt;&gt;"moeda")*(Inputs!$G$5:$G$180&lt;&gt;"acoes")))*INDEX(Inputs!$K$5:$AJ$180,0,MATCH(AH$2,Inputs!$K$4:$AJ$4,0)))))</f>
        <v>25.919</v>
      </c>
      <c r="AI34" s="6">
        <f>IF(ISNA(MATCH(AI$2,Inputs!$K$4:$AJ$4,0)),NA(),IF(SUMPRODUCT((Inputs!$A$5:$A$180=$B34)*ISNUMBER(INDEX(Inputs!$K$5:$AJ$180,0,MATCH(AI$2,Inputs!$K$4:$AJ$4,0))))+SUMPRODUCT((Inputs!$C$5:$C$180=$B34)*ISNUMBER(INDEX(Inputs!$K$5:$AJ$180,0,MATCH(AI$2,Inputs!$K$4:$AJ$4,0))))+SUMPRODUCT((Inputs!$E$5:$E$180=$B34)*ISNUMBER(INDEX(Inputs!$K$5:$AJ$180,0,MATCH(AI$2,Inputs!$K$4:$AJ$4,0))))=0,NA(),SUMPRODUCT((Inputs!$A$5:$A$180=$B34)*Inputs!$B$5:$B$180*(((Inputs!$G$5:$G$180="moeda")+(Inputs!$G$5:$G$180="acoes"))*Inputs!$B$1+((Inputs!$G$5:$G$180&lt;&gt;"moeda")*(Inputs!$G$5:$G$180&lt;&gt;"acoes")))*INDEX(Inputs!$K$5:$AJ$180,0,MATCH(AI$2,Inputs!$K$4:$AJ$4,0)))+SUMPRODUCT((Inputs!$C$5:$C$180=$B34)*Inputs!$D$5:$D$180*(((Inputs!$G$5:$G$180="moeda")+(Inputs!$G$5:$G$180="acoes"))*Inputs!$B$1+((Inputs!$G$5:$G$180&lt;&gt;"moeda")*(Inputs!$G$5:$G$180&lt;&gt;"acoes")))*INDEX(Inputs!$K$5:$AJ$180,0,MATCH(AI$2,Inputs!$K$4:$AJ$4,0)))+SUMPRODUCT((Inputs!$E$5:$E$180=$B34)*Inputs!$F$5:$F$180*(((Inputs!$G$5:$G$180="moeda")+(Inputs!$G$5:$G$180="acoes"))*Inputs!$B$1+((Inputs!$G$5:$G$180&lt;&gt;"moeda")*(Inputs!$G$5:$G$180&lt;&gt;"acoes")))*INDEX(Inputs!$K$5:$AJ$180,0,MATCH(AI$2,Inputs!$K$4:$AJ$4,0)))))</f>
        <v>26.91900058</v>
      </c>
      <c r="AJ34" s="6">
        <f>IF(ISNA(MATCH(AJ$2,Inputs!$K$4:$AJ$4,0)),NA(),IF(SUMPRODUCT((Inputs!$A$5:$A$180=$B34)*ISNUMBER(INDEX(Inputs!$K$5:$AJ$180,0,MATCH(AJ$2,Inputs!$K$4:$AJ$4,0))))+SUMPRODUCT((Inputs!$C$5:$C$180=$B34)*ISNUMBER(INDEX(Inputs!$K$5:$AJ$180,0,MATCH(AJ$2,Inputs!$K$4:$AJ$4,0))))+SUMPRODUCT((Inputs!$E$5:$E$180=$B34)*ISNUMBER(INDEX(Inputs!$K$5:$AJ$180,0,MATCH(AJ$2,Inputs!$K$4:$AJ$4,0))))=0,NA(),SUMPRODUCT((Inputs!$A$5:$A$180=$B34)*Inputs!$B$5:$B$180*(((Inputs!$G$5:$G$180="moeda")+(Inputs!$G$5:$G$180="acoes"))*Inputs!$B$1+((Inputs!$G$5:$G$180&lt;&gt;"moeda")*(Inputs!$G$5:$G$180&lt;&gt;"acoes")))*INDEX(Inputs!$K$5:$AJ$180,0,MATCH(AJ$2,Inputs!$K$4:$AJ$4,0)))+SUMPRODUCT((Inputs!$C$5:$C$180=$B34)*Inputs!$D$5:$D$180*(((Inputs!$G$5:$G$180="moeda")+(Inputs!$G$5:$G$180="acoes"))*Inputs!$B$1+((Inputs!$G$5:$G$180&lt;&gt;"moeda")*(Inputs!$G$5:$G$180&lt;&gt;"acoes")))*INDEX(Inputs!$K$5:$AJ$180,0,MATCH(AJ$2,Inputs!$K$4:$AJ$4,0)))+SUMPRODUCT((Inputs!$E$5:$E$180=$B34)*Inputs!$F$5:$F$180*(((Inputs!$G$5:$G$180="moeda")+(Inputs!$G$5:$G$180="acoes"))*Inputs!$B$1+((Inputs!$G$5:$G$180&lt;&gt;"moeda")*(Inputs!$G$5:$G$180&lt;&gt;"acoes")))*INDEX(Inputs!$K$5:$AJ$180,0,MATCH(AJ$2,Inputs!$K$4:$AJ$4,0)))))</f>
        <v>28.80602764</v>
      </c>
      <c r="AK34" s="6">
        <f>IF(ISNA(MATCH(AK$2,Inputs!$K$4:$AJ$4,0)),NA(),IF(SUMPRODUCT((Inputs!$A$5:$A$180=$B34)*ISNUMBER(INDEX(Inputs!$K$5:$AJ$180,0,MATCH(AK$2,Inputs!$K$4:$AJ$4,0))))+SUMPRODUCT((Inputs!$C$5:$C$180=$B34)*ISNUMBER(INDEX(Inputs!$K$5:$AJ$180,0,MATCH(AK$2,Inputs!$K$4:$AJ$4,0))))+SUMPRODUCT((Inputs!$E$5:$E$180=$B34)*ISNUMBER(INDEX(Inputs!$K$5:$AJ$180,0,MATCH(AK$2,Inputs!$K$4:$AJ$4,0))))=0,NA(),SUMPRODUCT((Inputs!$A$5:$A$180=$B34)*Inputs!$B$5:$B$180*(((Inputs!$G$5:$G$180="moeda")+(Inputs!$G$5:$G$180="acoes"))*Inputs!$B$1+((Inputs!$G$5:$G$180&lt;&gt;"moeda")*(Inputs!$G$5:$G$180&lt;&gt;"acoes")))*INDEX(Inputs!$K$5:$AJ$180,0,MATCH(AK$2,Inputs!$K$4:$AJ$4,0)))+SUMPRODUCT((Inputs!$C$5:$C$180=$B34)*Inputs!$D$5:$D$180*(((Inputs!$G$5:$G$180="moeda")+(Inputs!$G$5:$G$180="acoes"))*Inputs!$B$1+((Inputs!$G$5:$G$180&lt;&gt;"moeda")*(Inputs!$G$5:$G$180&lt;&gt;"acoes")))*INDEX(Inputs!$K$5:$AJ$180,0,MATCH(AK$2,Inputs!$K$4:$AJ$4,0)))+SUMPRODUCT((Inputs!$E$5:$E$180=$B34)*Inputs!$F$5:$F$180*(((Inputs!$G$5:$G$180="moeda")+(Inputs!$G$5:$G$180="acoes"))*Inputs!$B$1+((Inputs!$G$5:$G$180&lt;&gt;"moeda")*(Inputs!$G$5:$G$180&lt;&gt;"acoes")))*INDEX(Inputs!$K$5:$AJ$180,0,MATCH(AK$2,Inputs!$K$4:$AJ$4,0)))))</f>
        <v>39.9549798</v>
      </c>
      <c r="AL34" s="3">
        <f>AK34</f>
        <v>39.9549798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$180=$B35)*ISNUMBER(INDEX(Inputs!$K$5:$AJ$180,0,MATCH(D$2,Inputs!$K$4:$AJ$4,0))))+SUMPRODUCT((Inputs!$C$5:$C$180=$B35)*ISNUMBER(INDEX(Inputs!$K$5:$AJ$180,0,MATCH(D$2,Inputs!$K$4:$AJ$4,0))))+SUMPRODUCT((Inputs!$E$5:$E$180=$B35)*ISNUMBER(INDEX(Inputs!$K$5:$AJ$180,0,MATCH(D$2,Inputs!$K$4:$AJ$4,0))))=0,NA(),SUMPRODUCT((Inputs!$A$5:$A$180=$B35)*Inputs!$B$5:$B$180*(((Inputs!$G$5:$G$180="moeda")+(Inputs!$G$5:$G$180="acoes"))*Inputs!$B$1+((Inputs!$G$5:$G$180&lt;&gt;"moeda")*(Inputs!$G$5:$G$180&lt;&gt;"acoes")))*INDEX(Inputs!$K$5:$AJ$180,0,MATCH(D$2,Inputs!$K$4:$AJ$4,0)))+SUMPRODUCT((Inputs!$C$5:$C$180=$B35)*Inputs!$D$5:$D$180*(((Inputs!$G$5:$G$180="moeda")+(Inputs!$G$5:$G$180="acoes"))*Inputs!$B$1+((Inputs!$G$5:$G$180&lt;&gt;"moeda")*(Inputs!$G$5:$G$180&lt;&gt;"acoes")))*INDEX(Inputs!$K$5:$AJ$180,0,MATCH(D$2,Inputs!$K$4:$AJ$4,0)))+SUMPRODUCT((Inputs!$E$5:$E$180=$B35)*Inputs!$F$5:$F$180*(((Inputs!$G$5:$G$180="moeda")+(Inputs!$G$5:$G$180="acoes"))*Inputs!$B$1+((Inputs!$G$5:$G$180&lt;&gt;"moeda")*(Inputs!$G$5:$G$180&lt;&gt;"acoes")))*INDEX(Inputs!$K$5:$AJ$180,0,MATCH(D$2,Inputs!$K$4:$AJ$4,0)))))</f>
        <v>233.35878587</v>
      </c>
      <c r="E35" s="6">
        <f>IF(ISNA(MATCH(E$2,Inputs!$K$4:$AJ$4,0)),NA(),IF(SUMPRODUCT((Inputs!$A$5:$A$180=$B35)*ISNUMBER(INDEX(Inputs!$K$5:$AJ$180,0,MATCH(E$2,Inputs!$K$4:$AJ$4,0))))+SUMPRODUCT((Inputs!$C$5:$C$180=$B35)*ISNUMBER(INDEX(Inputs!$K$5:$AJ$180,0,MATCH(E$2,Inputs!$K$4:$AJ$4,0))))+SUMPRODUCT((Inputs!$E$5:$E$180=$B35)*ISNUMBER(INDEX(Inputs!$K$5:$AJ$180,0,MATCH(E$2,Inputs!$K$4:$AJ$4,0))))=0,NA(),SUMPRODUCT((Inputs!$A$5:$A$180=$B35)*Inputs!$B$5:$B$180*(((Inputs!$G$5:$G$180="moeda")+(Inputs!$G$5:$G$180="acoes"))*Inputs!$B$1+((Inputs!$G$5:$G$180&lt;&gt;"moeda")*(Inputs!$G$5:$G$180&lt;&gt;"acoes")))*INDEX(Inputs!$K$5:$AJ$180,0,MATCH(E$2,Inputs!$K$4:$AJ$4,0)))+SUMPRODUCT((Inputs!$C$5:$C$180=$B35)*Inputs!$D$5:$D$180*(((Inputs!$G$5:$G$180="moeda")+(Inputs!$G$5:$G$180="acoes"))*Inputs!$B$1+((Inputs!$G$5:$G$180&lt;&gt;"moeda")*(Inputs!$G$5:$G$180&lt;&gt;"acoes")))*INDEX(Inputs!$K$5:$AJ$180,0,MATCH(E$2,Inputs!$K$4:$AJ$4,0)))+SUMPRODUCT((Inputs!$E$5:$E$180=$B35)*Inputs!$F$5:$F$180*(((Inputs!$G$5:$G$180="moeda")+(Inputs!$G$5:$G$180="acoes"))*Inputs!$B$1+((Inputs!$G$5:$G$180&lt;&gt;"moeda")*(Inputs!$G$5:$G$180&lt;&gt;"acoes")))*INDEX(Inputs!$K$5:$AJ$180,0,MATCH(E$2,Inputs!$K$4:$AJ$4,0)))))</f>
        <v>174.01285183</v>
      </c>
      <c r="F35" s="6">
        <f>IF(ISNA(MATCH(F$2,Inputs!$K$4:$AJ$4,0)),NA(),IF(SUMPRODUCT((Inputs!$A$5:$A$180=$B35)*ISNUMBER(INDEX(Inputs!$K$5:$AJ$180,0,MATCH(F$2,Inputs!$K$4:$AJ$4,0))))+SUMPRODUCT((Inputs!$C$5:$C$180=$B35)*ISNUMBER(INDEX(Inputs!$K$5:$AJ$180,0,MATCH(F$2,Inputs!$K$4:$AJ$4,0))))+SUMPRODUCT((Inputs!$E$5:$E$180=$B35)*ISNUMBER(INDEX(Inputs!$K$5:$AJ$180,0,MATCH(F$2,Inputs!$K$4:$AJ$4,0))))=0,NA(),SUMPRODUCT((Inputs!$A$5:$A$180=$B35)*Inputs!$B$5:$B$180*(((Inputs!$G$5:$G$180="moeda")+(Inputs!$G$5:$G$180="acoes"))*Inputs!$B$1+((Inputs!$G$5:$G$180&lt;&gt;"moeda")*(Inputs!$G$5:$G$180&lt;&gt;"acoes")))*INDEX(Inputs!$K$5:$AJ$180,0,MATCH(F$2,Inputs!$K$4:$AJ$4,0)))+SUMPRODUCT((Inputs!$C$5:$C$180=$B35)*Inputs!$D$5:$D$180*(((Inputs!$G$5:$G$180="moeda")+(Inputs!$G$5:$G$180="acoes"))*Inputs!$B$1+((Inputs!$G$5:$G$180&lt;&gt;"moeda")*(Inputs!$G$5:$G$180&lt;&gt;"acoes")))*INDEX(Inputs!$K$5:$AJ$180,0,MATCH(F$2,Inputs!$K$4:$AJ$4,0)))+SUMPRODUCT((Inputs!$E$5:$E$180=$B35)*Inputs!$F$5:$F$180*(((Inputs!$G$5:$G$180="moeda")+(Inputs!$G$5:$G$180="acoes"))*Inputs!$B$1+((Inputs!$G$5:$G$180&lt;&gt;"moeda")*(Inputs!$G$5:$G$180&lt;&gt;"acoes")))*INDEX(Inputs!$K$5:$AJ$180,0,MATCH(F$2,Inputs!$K$4:$AJ$4,0)))))</f>
        <v>135.88255549</v>
      </c>
      <c r="G35" s="6">
        <f>IF(ISNA(MATCH(G$2,Inputs!$K$4:$AJ$4,0)),NA(),IF(SUMPRODUCT((Inputs!$A$5:$A$180=$B35)*ISNUMBER(INDEX(Inputs!$K$5:$AJ$180,0,MATCH(G$2,Inputs!$K$4:$AJ$4,0))))+SUMPRODUCT((Inputs!$C$5:$C$180=$B35)*ISNUMBER(INDEX(Inputs!$K$5:$AJ$180,0,MATCH(G$2,Inputs!$K$4:$AJ$4,0))))+SUMPRODUCT((Inputs!$E$5:$E$180=$B35)*ISNUMBER(INDEX(Inputs!$K$5:$AJ$180,0,MATCH(G$2,Inputs!$K$4:$AJ$4,0))))=0,NA(),SUMPRODUCT((Inputs!$A$5:$A$180=$B35)*Inputs!$B$5:$B$180*(((Inputs!$G$5:$G$180="moeda")+(Inputs!$G$5:$G$180="acoes"))*Inputs!$B$1+((Inputs!$G$5:$G$180&lt;&gt;"moeda")*(Inputs!$G$5:$G$180&lt;&gt;"acoes")))*INDEX(Inputs!$K$5:$AJ$180,0,MATCH(G$2,Inputs!$K$4:$AJ$4,0)))+SUMPRODUCT((Inputs!$C$5:$C$180=$B35)*Inputs!$D$5:$D$180*(((Inputs!$G$5:$G$180="moeda")+(Inputs!$G$5:$G$180="acoes"))*Inputs!$B$1+((Inputs!$G$5:$G$180&lt;&gt;"moeda")*(Inputs!$G$5:$G$180&lt;&gt;"acoes")))*INDEX(Inputs!$K$5:$AJ$180,0,MATCH(G$2,Inputs!$K$4:$AJ$4,0)))+SUMPRODUCT((Inputs!$E$5:$E$180=$B35)*Inputs!$F$5:$F$180*(((Inputs!$G$5:$G$180="moeda")+(Inputs!$G$5:$G$180="acoes"))*Inputs!$B$1+((Inputs!$G$5:$G$180&lt;&gt;"moeda")*(Inputs!$G$5:$G$180&lt;&gt;"acoes")))*INDEX(Inputs!$K$5:$AJ$180,0,MATCH(G$2,Inputs!$K$4:$AJ$4,0)))))</f>
        <v>164.03672818</v>
      </c>
      <c r="H35" s="3">
        <f>G35</f>
        <v>164.03672818</v>
      </c>
      <c r="I35" s="6">
        <f>IF(ISNA(MATCH(I$2,Inputs!$K$4:$AJ$4,0)),NA(),IF(SUMPRODUCT((Inputs!$A$5:$A$180=$B35)*ISNUMBER(INDEX(Inputs!$K$5:$AJ$180,0,MATCH(I$2,Inputs!$K$4:$AJ$4,0))))+SUMPRODUCT((Inputs!$C$5:$C$180=$B35)*ISNUMBER(INDEX(Inputs!$K$5:$AJ$180,0,MATCH(I$2,Inputs!$K$4:$AJ$4,0))))+SUMPRODUCT((Inputs!$E$5:$E$180=$B35)*ISNUMBER(INDEX(Inputs!$K$5:$AJ$180,0,MATCH(I$2,Inputs!$K$4:$AJ$4,0))))=0,NA(),SUMPRODUCT((Inputs!$A$5:$A$180=$B35)*Inputs!$B$5:$B$180*(((Inputs!$G$5:$G$180="moeda")+(Inputs!$G$5:$G$180="acoes"))*Inputs!$B$1+((Inputs!$G$5:$G$180&lt;&gt;"moeda")*(Inputs!$G$5:$G$180&lt;&gt;"acoes")))*INDEX(Inputs!$K$5:$AJ$180,0,MATCH(I$2,Inputs!$K$4:$AJ$4,0)))+SUMPRODUCT((Inputs!$C$5:$C$180=$B35)*Inputs!$D$5:$D$180*(((Inputs!$G$5:$G$180="moeda")+(Inputs!$G$5:$G$180="acoes"))*Inputs!$B$1+((Inputs!$G$5:$G$180&lt;&gt;"moeda")*(Inputs!$G$5:$G$180&lt;&gt;"acoes")))*INDEX(Inputs!$K$5:$AJ$180,0,MATCH(I$2,Inputs!$K$4:$AJ$4,0)))+SUMPRODUCT((Inputs!$E$5:$E$180=$B35)*Inputs!$F$5:$F$180*(((Inputs!$G$5:$G$180="moeda")+(Inputs!$G$5:$G$180="acoes"))*Inputs!$B$1+((Inputs!$G$5:$G$180&lt;&gt;"moeda")*(Inputs!$G$5:$G$180&lt;&gt;"acoes")))*INDEX(Inputs!$K$5:$AJ$180,0,MATCH(I$2,Inputs!$K$4:$AJ$4,0)))))</f>
        <v>133.86416949</v>
      </c>
      <c r="J35" s="6">
        <f>IF(ISNA(MATCH(J$2,Inputs!$K$4:$AJ$4,0)),NA(),IF(SUMPRODUCT((Inputs!$A$5:$A$180=$B35)*ISNUMBER(INDEX(Inputs!$K$5:$AJ$180,0,MATCH(J$2,Inputs!$K$4:$AJ$4,0))))+SUMPRODUCT((Inputs!$C$5:$C$180=$B35)*ISNUMBER(INDEX(Inputs!$K$5:$AJ$180,0,MATCH(J$2,Inputs!$K$4:$AJ$4,0))))+SUMPRODUCT((Inputs!$E$5:$E$180=$B35)*ISNUMBER(INDEX(Inputs!$K$5:$AJ$180,0,MATCH(J$2,Inputs!$K$4:$AJ$4,0))))=0,NA(),SUMPRODUCT((Inputs!$A$5:$A$180=$B35)*Inputs!$B$5:$B$180*(((Inputs!$G$5:$G$180="moeda")+(Inputs!$G$5:$G$180="acoes"))*Inputs!$B$1+((Inputs!$G$5:$G$180&lt;&gt;"moeda")*(Inputs!$G$5:$G$180&lt;&gt;"acoes")))*INDEX(Inputs!$K$5:$AJ$180,0,MATCH(J$2,Inputs!$K$4:$AJ$4,0)))+SUMPRODUCT((Inputs!$C$5:$C$180=$B35)*Inputs!$D$5:$D$180*(((Inputs!$G$5:$G$180="moeda")+(Inputs!$G$5:$G$180="acoes"))*Inputs!$B$1+((Inputs!$G$5:$G$180&lt;&gt;"moeda")*(Inputs!$G$5:$G$180&lt;&gt;"acoes")))*INDEX(Inputs!$K$5:$AJ$180,0,MATCH(J$2,Inputs!$K$4:$AJ$4,0)))+SUMPRODUCT((Inputs!$E$5:$E$180=$B35)*Inputs!$F$5:$F$180*(((Inputs!$G$5:$G$180="moeda")+(Inputs!$G$5:$G$180="acoes"))*Inputs!$B$1+((Inputs!$G$5:$G$180&lt;&gt;"moeda")*(Inputs!$G$5:$G$180&lt;&gt;"acoes")))*INDEX(Inputs!$K$5:$AJ$180,0,MATCH(J$2,Inputs!$K$4:$AJ$4,0)))))</f>
        <v>118.27025729</v>
      </c>
      <c r="K35" s="6">
        <f>IF(ISNA(MATCH(K$2,Inputs!$K$4:$AJ$4,0)),NA(),IF(SUMPRODUCT((Inputs!$A$5:$A$180=$B35)*ISNUMBER(INDEX(Inputs!$K$5:$AJ$180,0,MATCH(K$2,Inputs!$K$4:$AJ$4,0))))+SUMPRODUCT((Inputs!$C$5:$C$180=$B35)*ISNUMBER(INDEX(Inputs!$K$5:$AJ$180,0,MATCH(K$2,Inputs!$K$4:$AJ$4,0))))+SUMPRODUCT((Inputs!$E$5:$E$180=$B35)*ISNUMBER(INDEX(Inputs!$K$5:$AJ$180,0,MATCH(K$2,Inputs!$K$4:$AJ$4,0))))=0,NA(),SUMPRODUCT((Inputs!$A$5:$A$180=$B35)*Inputs!$B$5:$B$180*(((Inputs!$G$5:$G$180="moeda")+(Inputs!$G$5:$G$180="acoes"))*Inputs!$B$1+((Inputs!$G$5:$G$180&lt;&gt;"moeda")*(Inputs!$G$5:$G$180&lt;&gt;"acoes")))*INDEX(Inputs!$K$5:$AJ$180,0,MATCH(K$2,Inputs!$K$4:$AJ$4,0)))+SUMPRODUCT((Inputs!$C$5:$C$180=$B35)*Inputs!$D$5:$D$180*(((Inputs!$G$5:$G$180="moeda")+(Inputs!$G$5:$G$180="acoes"))*Inputs!$B$1+((Inputs!$G$5:$G$180&lt;&gt;"moeda")*(Inputs!$G$5:$G$180&lt;&gt;"acoes")))*INDEX(Inputs!$K$5:$AJ$180,0,MATCH(K$2,Inputs!$K$4:$AJ$4,0)))+SUMPRODUCT((Inputs!$E$5:$E$180=$B35)*Inputs!$F$5:$F$180*(((Inputs!$G$5:$G$180="moeda")+(Inputs!$G$5:$G$180="acoes"))*Inputs!$B$1+((Inputs!$G$5:$G$180&lt;&gt;"moeda")*(Inputs!$G$5:$G$180&lt;&gt;"acoes")))*INDEX(Inputs!$K$5:$AJ$180,0,MATCH(K$2,Inputs!$K$4:$AJ$4,0)))))</f>
        <v>159.79220919</v>
      </c>
      <c r="L35" s="6">
        <f>IF(ISNA(MATCH(L$2,Inputs!$K$4:$AJ$4,0)),NA(),IF(SUMPRODUCT((Inputs!$A$5:$A$180=$B35)*ISNUMBER(INDEX(Inputs!$K$5:$AJ$180,0,MATCH(L$2,Inputs!$K$4:$AJ$4,0))))+SUMPRODUCT((Inputs!$C$5:$C$180=$B35)*ISNUMBER(INDEX(Inputs!$K$5:$AJ$180,0,MATCH(L$2,Inputs!$K$4:$AJ$4,0))))+SUMPRODUCT((Inputs!$E$5:$E$180=$B35)*ISNUMBER(INDEX(Inputs!$K$5:$AJ$180,0,MATCH(L$2,Inputs!$K$4:$AJ$4,0))))=0,NA(),SUMPRODUCT((Inputs!$A$5:$A$180=$B35)*Inputs!$B$5:$B$180*(((Inputs!$G$5:$G$180="moeda")+(Inputs!$G$5:$G$180="acoes"))*Inputs!$B$1+((Inputs!$G$5:$G$180&lt;&gt;"moeda")*(Inputs!$G$5:$G$180&lt;&gt;"acoes")))*INDEX(Inputs!$K$5:$AJ$180,0,MATCH(L$2,Inputs!$K$4:$AJ$4,0)))+SUMPRODUCT((Inputs!$C$5:$C$180=$B35)*Inputs!$D$5:$D$180*(((Inputs!$G$5:$G$180="moeda")+(Inputs!$G$5:$G$180="acoes"))*Inputs!$B$1+((Inputs!$G$5:$G$180&lt;&gt;"moeda")*(Inputs!$G$5:$G$180&lt;&gt;"acoes")))*INDEX(Inputs!$K$5:$AJ$180,0,MATCH(L$2,Inputs!$K$4:$AJ$4,0)))+SUMPRODUCT((Inputs!$E$5:$E$180=$B35)*Inputs!$F$5:$F$180*(((Inputs!$G$5:$G$180="moeda")+(Inputs!$G$5:$G$180="acoes"))*Inputs!$B$1+((Inputs!$G$5:$G$180&lt;&gt;"moeda")*(Inputs!$G$5:$G$180&lt;&gt;"acoes")))*INDEX(Inputs!$K$5:$AJ$180,0,MATCH(L$2,Inputs!$K$4:$AJ$4,0)))))</f>
        <v>108.186</v>
      </c>
      <c r="M35" s="3">
        <f>L35</f>
        <v>108.186</v>
      </c>
      <c r="N35" s="6">
        <f>IF(ISNA(MATCH(N$2,Inputs!$K$4:$AJ$4,0)),NA(),IF(SUMPRODUCT((Inputs!$A$5:$A$180=$B35)*ISNUMBER(INDEX(Inputs!$K$5:$AJ$180,0,MATCH(N$2,Inputs!$K$4:$AJ$4,0))))+SUMPRODUCT((Inputs!$C$5:$C$180=$B35)*ISNUMBER(INDEX(Inputs!$K$5:$AJ$180,0,MATCH(N$2,Inputs!$K$4:$AJ$4,0))))+SUMPRODUCT((Inputs!$E$5:$E$180=$B35)*ISNUMBER(INDEX(Inputs!$K$5:$AJ$180,0,MATCH(N$2,Inputs!$K$4:$AJ$4,0))))=0,NA(),SUMPRODUCT((Inputs!$A$5:$A$180=$B35)*Inputs!$B$5:$B$180*(((Inputs!$G$5:$G$180="moeda")+(Inputs!$G$5:$G$180="acoes"))*Inputs!$B$1+((Inputs!$G$5:$G$180&lt;&gt;"moeda")*(Inputs!$G$5:$G$180&lt;&gt;"acoes")))*INDEX(Inputs!$K$5:$AJ$180,0,MATCH(N$2,Inputs!$K$4:$AJ$4,0)))+SUMPRODUCT((Inputs!$C$5:$C$180=$B35)*Inputs!$D$5:$D$180*(((Inputs!$G$5:$G$180="moeda")+(Inputs!$G$5:$G$180="acoes"))*Inputs!$B$1+((Inputs!$G$5:$G$180&lt;&gt;"moeda")*(Inputs!$G$5:$G$180&lt;&gt;"acoes")))*INDEX(Inputs!$K$5:$AJ$180,0,MATCH(N$2,Inputs!$K$4:$AJ$4,0)))+SUMPRODUCT((Inputs!$E$5:$E$180=$B35)*Inputs!$F$5:$F$180*(((Inputs!$G$5:$G$180="moeda")+(Inputs!$G$5:$G$180="acoes"))*Inputs!$B$1+((Inputs!$G$5:$G$180&lt;&gt;"moeda")*(Inputs!$G$5:$G$180&lt;&gt;"acoes")))*INDEX(Inputs!$K$5:$AJ$180,0,MATCH(N$2,Inputs!$K$4:$AJ$4,0)))))</f>
        <v>120</v>
      </c>
      <c r="O35" s="6">
        <f>IF(ISNA(MATCH(O$2,Inputs!$K$4:$AJ$4,0)),NA(),IF(SUMPRODUCT((Inputs!$A$5:$A$180=$B35)*ISNUMBER(INDEX(Inputs!$K$5:$AJ$180,0,MATCH(O$2,Inputs!$K$4:$AJ$4,0))))+SUMPRODUCT((Inputs!$C$5:$C$180=$B35)*ISNUMBER(INDEX(Inputs!$K$5:$AJ$180,0,MATCH(O$2,Inputs!$K$4:$AJ$4,0))))+SUMPRODUCT((Inputs!$E$5:$E$180=$B35)*ISNUMBER(INDEX(Inputs!$K$5:$AJ$180,0,MATCH(O$2,Inputs!$K$4:$AJ$4,0))))=0,NA(),SUMPRODUCT((Inputs!$A$5:$A$180=$B35)*Inputs!$B$5:$B$180*(((Inputs!$G$5:$G$180="moeda")+(Inputs!$G$5:$G$180="acoes"))*Inputs!$B$1+((Inputs!$G$5:$G$180&lt;&gt;"moeda")*(Inputs!$G$5:$G$180&lt;&gt;"acoes")))*INDEX(Inputs!$K$5:$AJ$180,0,MATCH(O$2,Inputs!$K$4:$AJ$4,0)))+SUMPRODUCT((Inputs!$C$5:$C$180=$B35)*Inputs!$D$5:$D$180*(((Inputs!$G$5:$G$180="moeda")+(Inputs!$G$5:$G$180="acoes"))*Inputs!$B$1+((Inputs!$G$5:$G$180&lt;&gt;"moeda")*(Inputs!$G$5:$G$180&lt;&gt;"acoes")))*INDEX(Inputs!$K$5:$AJ$180,0,MATCH(O$2,Inputs!$K$4:$AJ$4,0)))+SUMPRODUCT((Inputs!$E$5:$E$180=$B35)*Inputs!$F$5:$F$180*(((Inputs!$G$5:$G$180="moeda")+(Inputs!$G$5:$G$180="acoes"))*Inputs!$B$1+((Inputs!$G$5:$G$180&lt;&gt;"moeda")*(Inputs!$G$5:$G$180&lt;&gt;"acoes")))*INDEX(Inputs!$K$5:$AJ$180,0,MATCH(O$2,Inputs!$K$4:$AJ$4,0)))))</f>
        <v>119.99999997</v>
      </c>
      <c r="P35" s="6">
        <f>IF(ISNA(MATCH(P$2,Inputs!$K$4:$AJ$4,0)),NA(),IF(SUMPRODUCT((Inputs!$A$5:$A$180=$B35)*ISNUMBER(INDEX(Inputs!$K$5:$AJ$180,0,MATCH(P$2,Inputs!$K$4:$AJ$4,0))))+SUMPRODUCT((Inputs!$C$5:$C$180=$B35)*ISNUMBER(INDEX(Inputs!$K$5:$AJ$180,0,MATCH(P$2,Inputs!$K$4:$AJ$4,0))))+SUMPRODUCT((Inputs!$E$5:$E$180=$B35)*ISNUMBER(INDEX(Inputs!$K$5:$AJ$180,0,MATCH(P$2,Inputs!$K$4:$AJ$4,0))))=0,NA(),SUMPRODUCT((Inputs!$A$5:$A$180=$B35)*Inputs!$B$5:$B$180*(((Inputs!$G$5:$G$180="moeda")+(Inputs!$G$5:$G$180="acoes"))*Inputs!$B$1+((Inputs!$G$5:$G$180&lt;&gt;"moeda")*(Inputs!$G$5:$G$180&lt;&gt;"acoes")))*INDEX(Inputs!$K$5:$AJ$180,0,MATCH(P$2,Inputs!$K$4:$AJ$4,0)))+SUMPRODUCT((Inputs!$C$5:$C$180=$B35)*Inputs!$D$5:$D$180*(((Inputs!$G$5:$G$180="moeda")+(Inputs!$G$5:$G$180="acoes"))*Inputs!$B$1+((Inputs!$G$5:$G$180&lt;&gt;"moeda")*(Inputs!$G$5:$G$180&lt;&gt;"acoes")))*INDEX(Inputs!$K$5:$AJ$180,0,MATCH(P$2,Inputs!$K$4:$AJ$4,0)))+SUMPRODUCT((Inputs!$E$5:$E$180=$B35)*Inputs!$F$5:$F$180*(((Inputs!$G$5:$G$180="moeda")+(Inputs!$G$5:$G$180="acoes"))*Inputs!$B$1+((Inputs!$G$5:$G$180&lt;&gt;"moeda")*(Inputs!$G$5:$G$180&lt;&gt;"acoes")))*INDEX(Inputs!$K$5:$AJ$180,0,MATCH(P$2,Inputs!$K$4:$AJ$4,0)))))</f>
        <v>132.60442724</v>
      </c>
      <c r="Q35" s="6">
        <f>IF(ISNA(MATCH(Q$2,Inputs!$K$4:$AJ$4,0)),NA(),IF(SUMPRODUCT((Inputs!$A$5:$A$180=$B35)*ISNUMBER(INDEX(Inputs!$K$5:$AJ$180,0,MATCH(Q$2,Inputs!$K$4:$AJ$4,0))))+SUMPRODUCT((Inputs!$C$5:$C$180=$B35)*ISNUMBER(INDEX(Inputs!$K$5:$AJ$180,0,MATCH(Q$2,Inputs!$K$4:$AJ$4,0))))+SUMPRODUCT((Inputs!$E$5:$E$180=$B35)*ISNUMBER(INDEX(Inputs!$K$5:$AJ$180,0,MATCH(Q$2,Inputs!$K$4:$AJ$4,0))))=0,NA(),SUMPRODUCT((Inputs!$A$5:$A$180=$B35)*Inputs!$B$5:$B$180*(((Inputs!$G$5:$G$180="moeda")+(Inputs!$G$5:$G$180="acoes"))*Inputs!$B$1+((Inputs!$G$5:$G$180&lt;&gt;"moeda")*(Inputs!$G$5:$G$180&lt;&gt;"acoes")))*INDEX(Inputs!$K$5:$AJ$180,0,MATCH(Q$2,Inputs!$K$4:$AJ$4,0)))+SUMPRODUCT((Inputs!$C$5:$C$180=$B35)*Inputs!$D$5:$D$180*(((Inputs!$G$5:$G$180="moeda")+(Inputs!$G$5:$G$180="acoes"))*Inputs!$B$1+((Inputs!$G$5:$G$180&lt;&gt;"moeda")*(Inputs!$G$5:$G$180&lt;&gt;"acoes")))*INDEX(Inputs!$K$5:$AJ$180,0,MATCH(Q$2,Inputs!$K$4:$AJ$4,0)))+SUMPRODUCT((Inputs!$E$5:$E$180=$B35)*Inputs!$F$5:$F$180*(((Inputs!$G$5:$G$180="moeda")+(Inputs!$G$5:$G$180="acoes"))*Inputs!$B$1+((Inputs!$G$5:$G$180&lt;&gt;"moeda")*(Inputs!$G$5:$G$180&lt;&gt;"acoes")))*INDEX(Inputs!$K$5:$AJ$180,0,MATCH(Q$2,Inputs!$K$4:$AJ$4,0)))))</f>
        <v>160.00000048</v>
      </c>
      <c r="R35" s="3">
        <f>Q35</f>
        <v>160.00000048</v>
      </c>
      <c r="S35" s="6">
        <f>IF(ISNA(MATCH(S$2,Inputs!$K$4:$AJ$4,0)),NA(),IF(SUMPRODUCT((Inputs!$A$5:$A$180=$B35)*ISNUMBER(INDEX(Inputs!$K$5:$AJ$180,0,MATCH(S$2,Inputs!$K$4:$AJ$4,0))))+SUMPRODUCT((Inputs!$C$5:$C$180=$B35)*ISNUMBER(INDEX(Inputs!$K$5:$AJ$180,0,MATCH(S$2,Inputs!$K$4:$AJ$4,0))))+SUMPRODUCT((Inputs!$E$5:$E$180=$B35)*ISNUMBER(INDEX(Inputs!$K$5:$AJ$180,0,MATCH(S$2,Inputs!$K$4:$AJ$4,0))))=0,NA(),SUMPRODUCT((Inputs!$A$5:$A$180=$B35)*Inputs!$B$5:$B$180*(((Inputs!$G$5:$G$180="moeda")+(Inputs!$G$5:$G$180="acoes"))*Inputs!$B$1+((Inputs!$G$5:$G$180&lt;&gt;"moeda")*(Inputs!$G$5:$G$180&lt;&gt;"acoes")))*INDEX(Inputs!$K$5:$AJ$180,0,MATCH(S$2,Inputs!$K$4:$AJ$4,0)))+SUMPRODUCT((Inputs!$C$5:$C$180=$B35)*Inputs!$D$5:$D$180*(((Inputs!$G$5:$G$180="moeda")+(Inputs!$G$5:$G$180="acoes"))*Inputs!$B$1+((Inputs!$G$5:$G$180&lt;&gt;"moeda")*(Inputs!$G$5:$G$180&lt;&gt;"acoes")))*INDEX(Inputs!$K$5:$AJ$180,0,MATCH(S$2,Inputs!$K$4:$AJ$4,0)))+SUMPRODUCT((Inputs!$E$5:$E$180=$B35)*Inputs!$F$5:$F$180*(((Inputs!$G$5:$G$180="moeda")+(Inputs!$G$5:$G$180="acoes"))*Inputs!$B$1+((Inputs!$G$5:$G$180&lt;&gt;"moeda")*(Inputs!$G$5:$G$180&lt;&gt;"acoes")))*INDEX(Inputs!$K$5:$AJ$180,0,MATCH(S$2,Inputs!$K$4:$AJ$4,0)))))</f>
        <v>100.00000049</v>
      </c>
      <c r="T35" s="6">
        <f>IF(ISNA(MATCH(T$2,Inputs!$K$4:$AJ$4,0)),NA(),IF(SUMPRODUCT((Inputs!$A$5:$A$180=$B35)*ISNUMBER(INDEX(Inputs!$K$5:$AJ$180,0,MATCH(T$2,Inputs!$K$4:$AJ$4,0))))+SUMPRODUCT((Inputs!$C$5:$C$180=$B35)*ISNUMBER(INDEX(Inputs!$K$5:$AJ$180,0,MATCH(T$2,Inputs!$K$4:$AJ$4,0))))+SUMPRODUCT((Inputs!$E$5:$E$180=$B35)*ISNUMBER(INDEX(Inputs!$K$5:$AJ$180,0,MATCH(T$2,Inputs!$K$4:$AJ$4,0))))=0,NA(),SUMPRODUCT((Inputs!$A$5:$A$180=$B35)*Inputs!$B$5:$B$180*(((Inputs!$G$5:$G$180="moeda")+(Inputs!$G$5:$G$180="acoes"))*Inputs!$B$1+((Inputs!$G$5:$G$180&lt;&gt;"moeda")*(Inputs!$G$5:$G$180&lt;&gt;"acoes")))*INDEX(Inputs!$K$5:$AJ$180,0,MATCH(T$2,Inputs!$K$4:$AJ$4,0)))+SUMPRODUCT((Inputs!$C$5:$C$180=$B35)*Inputs!$D$5:$D$180*(((Inputs!$G$5:$G$180="moeda")+(Inputs!$G$5:$G$180="acoes"))*Inputs!$B$1+((Inputs!$G$5:$G$180&lt;&gt;"moeda")*(Inputs!$G$5:$G$180&lt;&gt;"acoes")))*INDEX(Inputs!$K$5:$AJ$180,0,MATCH(T$2,Inputs!$K$4:$AJ$4,0)))+SUMPRODUCT((Inputs!$E$5:$E$180=$B35)*Inputs!$F$5:$F$180*(((Inputs!$G$5:$G$180="moeda")+(Inputs!$G$5:$G$180="acoes"))*Inputs!$B$1+((Inputs!$G$5:$G$180&lt;&gt;"moeda")*(Inputs!$G$5:$G$180&lt;&gt;"acoes")))*INDEX(Inputs!$K$5:$AJ$180,0,MATCH(T$2,Inputs!$K$4:$AJ$4,0)))))</f>
        <v>107.55898797</v>
      </c>
      <c r="U35" s="6">
        <f>IF(ISNA(MATCH(U$2,Inputs!$K$4:$AJ$4,0)),NA(),IF(SUMPRODUCT((Inputs!$A$5:$A$180=$B35)*ISNUMBER(INDEX(Inputs!$K$5:$AJ$180,0,MATCH(U$2,Inputs!$K$4:$AJ$4,0))))+SUMPRODUCT((Inputs!$C$5:$C$180=$B35)*ISNUMBER(INDEX(Inputs!$K$5:$AJ$180,0,MATCH(U$2,Inputs!$K$4:$AJ$4,0))))+SUMPRODUCT((Inputs!$E$5:$E$180=$B35)*ISNUMBER(INDEX(Inputs!$K$5:$AJ$180,0,MATCH(U$2,Inputs!$K$4:$AJ$4,0))))=0,NA(),SUMPRODUCT((Inputs!$A$5:$A$180=$B35)*Inputs!$B$5:$B$180*(((Inputs!$G$5:$G$180="moeda")+(Inputs!$G$5:$G$180="acoes"))*Inputs!$B$1+((Inputs!$G$5:$G$180&lt;&gt;"moeda")*(Inputs!$G$5:$G$180&lt;&gt;"acoes")))*INDEX(Inputs!$K$5:$AJ$180,0,MATCH(U$2,Inputs!$K$4:$AJ$4,0)))+SUMPRODUCT((Inputs!$C$5:$C$180=$B35)*Inputs!$D$5:$D$180*(((Inputs!$G$5:$G$180="moeda")+(Inputs!$G$5:$G$180="acoes"))*Inputs!$B$1+((Inputs!$G$5:$G$180&lt;&gt;"moeda")*(Inputs!$G$5:$G$180&lt;&gt;"acoes")))*INDEX(Inputs!$K$5:$AJ$180,0,MATCH(U$2,Inputs!$K$4:$AJ$4,0)))+SUMPRODUCT((Inputs!$E$5:$E$180=$B35)*Inputs!$F$5:$F$180*(((Inputs!$G$5:$G$180="moeda")+(Inputs!$G$5:$G$180="acoes"))*Inputs!$B$1+((Inputs!$G$5:$G$180&lt;&gt;"moeda")*(Inputs!$G$5:$G$180&lt;&gt;"acoes")))*INDEX(Inputs!$K$5:$AJ$180,0,MATCH(U$2,Inputs!$K$4:$AJ$4,0)))))</f>
        <v>90</v>
      </c>
      <c r="V35" s="6">
        <f>IF(ISNA(MATCH(V$2,Inputs!$K$4:$AJ$4,0)),NA(),IF(SUMPRODUCT((Inputs!$A$5:$A$180=$B35)*ISNUMBER(INDEX(Inputs!$K$5:$AJ$180,0,MATCH(V$2,Inputs!$K$4:$AJ$4,0))))+SUMPRODUCT((Inputs!$C$5:$C$180=$B35)*ISNUMBER(INDEX(Inputs!$K$5:$AJ$180,0,MATCH(V$2,Inputs!$K$4:$AJ$4,0))))+SUMPRODUCT((Inputs!$E$5:$E$180=$B35)*ISNUMBER(INDEX(Inputs!$K$5:$AJ$180,0,MATCH(V$2,Inputs!$K$4:$AJ$4,0))))=0,NA(),SUMPRODUCT((Inputs!$A$5:$A$180=$B35)*Inputs!$B$5:$B$180*(((Inputs!$G$5:$G$180="moeda")+(Inputs!$G$5:$G$180="acoes"))*Inputs!$B$1+((Inputs!$G$5:$G$180&lt;&gt;"moeda")*(Inputs!$G$5:$G$180&lt;&gt;"acoes")))*INDEX(Inputs!$K$5:$AJ$180,0,MATCH(V$2,Inputs!$K$4:$AJ$4,0)))+SUMPRODUCT((Inputs!$C$5:$C$180=$B35)*Inputs!$D$5:$D$180*(((Inputs!$G$5:$G$180="moeda")+(Inputs!$G$5:$G$180="acoes"))*Inputs!$B$1+((Inputs!$G$5:$G$180&lt;&gt;"moeda")*(Inputs!$G$5:$G$180&lt;&gt;"acoes")))*INDEX(Inputs!$K$5:$AJ$180,0,MATCH(V$2,Inputs!$K$4:$AJ$4,0)))+SUMPRODUCT((Inputs!$E$5:$E$180=$B35)*Inputs!$F$5:$F$180*(((Inputs!$G$5:$G$180="moeda")+(Inputs!$G$5:$G$180="acoes"))*Inputs!$B$1+((Inputs!$G$5:$G$180&lt;&gt;"moeda")*(Inputs!$G$5:$G$180&lt;&gt;"acoes")))*INDEX(Inputs!$K$5:$AJ$180,0,MATCH(V$2,Inputs!$K$4:$AJ$4,0)))))</f>
        <v>285.19105128</v>
      </c>
      <c r="W35" s="3">
        <f>V35</f>
        <v>285.19105128</v>
      </c>
      <c r="X35" s="6">
        <f>IF(ISNA(MATCH(X$2,Inputs!$K$4:$AJ$4,0)),NA(),IF(SUMPRODUCT((Inputs!$A$5:$A$180=$B35)*ISNUMBER(INDEX(Inputs!$K$5:$AJ$180,0,MATCH(X$2,Inputs!$K$4:$AJ$4,0))))+SUMPRODUCT((Inputs!$C$5:$C$180=$B35)*ISNUMBER(INDEX(Inputs!$K$5:$AJ$180,0,MATCH(X$2,Inputs!$K$4:$AJ$4,0))))+SUMPRODUCT((Inputs!$E$5:$E$180=$B35)*ISNUMBER(INDEX(Inputs!$K$5:$AJ$180,0,MATCH(X$2,Inputs!$K$4:$AJ$4,0))))=0,NA(),SUMPRODUCT((Inputs!$A$5:$A$180=$B35)*Inputs!$B$5:$B$180*(((Inputs!$G$5:$G$180="moeda")+(Inputs!$G$5:$G$180="acoes"))*Inputs!$B$1+((Inputs!$G$5:$G$180&lt;&gt;"moeda")*(Inputs!$G$5:$G$180&lt;&gt;"acoes")))*INDEX(Inputs!$K$5:$AJ$180,0,MATCH(X$2,Inputs!$K$4:$AJ$4,0)))+SUMPRODUCT((Inputs!$C$5:$C$180=$B35)*Inputs!$D$5:$D$180*(((Inputs!$G$5:$G$180="moeda")+(Inputs!$G$5:$G$180="acoes"))*Inputs!$B$1+((Inputs!$G$5:$G$180&lt;&gt;"moeda")*(Inputs!$G$5:$G$180&lt;&gt;"acoes")))*INDEX(Inputs!$K$5:$AJ$180,0,MATCH(X$2,Inputs!$K$4:$AJ$4,0)))+SUMPRODUCT((Inputs!$E$5:$E$180=$B35)*Inputs!$F$5:$F$180*(((Inputs!$G$5:$G$180="moeda")+(Inputs!$G$5:$G$180="acoes"))*Inputs!$B$1+((Inputs!$G$5:$G$180&lt;&gt;"moeda")*(Inputs!$G$5:$G$180&lt;&gt;"acoes")))*INDEX(Inputs!$K$5:$AJ$180,0,MATCH(X$2,Inputs!$K$4:$AJ$4,0)))))</f>
        <v>328.31122549</v>
      </c>
      <c r="Y35" s="6">
        <f>IF(ISNA(MATCH(Y$2,Inputs!$K$4:$AJ$4,0)),NA(),IF(SUMPRODUCT((Inputs!$A$5:$A$180=$B35)*ISNUMBER(INDEX(Inputs!$K$5:$AJ$180,0,MATCH(Y$2,Inputs!$K$4:$AJ$4,0))))+SUMPRODUCT((Inputs!$C$5:$C$180=$B35)*ISNUMBER(INDEX(Inputs!$K$5:$AJ$180,0,MATCH(Y$2,Inputs!$K$4:$AJ$4,0))))+SUMPRODUCT((Inputs!$E$5:$E$180=$B35)*ISNUMBER(INDEX(Inputs!$K$5:$AJ$180,0,MATCH(Y$2,Inputs!$K$4:$AJ$4,0))))=0,NA(),SUMPRODUCT((Inputs!$A$5:$A$180=$B35)*Inputs!$B$5:$B$180*(((Inputs!$G$5:$G$180="moeda")+(Inputs!$G$5:$G$180="acoes"))*Inputs!$B$1+((Inputs!$G$5:$G$180&lt;&gt;"moeda")*(Inputs!$G$5:$G$180&lt;&gt;"acoes")))*INDEX(Inputs!$K$5:$AJ$180,0,MATCH(Y$2,Inputs!$K$4:$AJ$4,0)))+SUMPRODUCT((Inputs!$C$5:$C$180=$B35)*Inputs!$D$5:$D$180*(((Inputs!$G$5:$G$180="moeda")+(Inputs!$G$5:$G$180="acoes"))*Inputs!$B$1+((Inputs!$G$5:$G$180&lt;&gt;"moeda")*(Inputs!$G$5:$G$180&lt;&gt;"acoes")))*INDEX(Inputs!$K$5:$AJ$180,0,MATCH(Y$2,Inputs!$K$4:$AJ$4,0)))+SUMPRODUCT((Inputs!$E$5:$E$180=$B35)*Inputs!$F$5:$F$180*(((Inputs!$G$5:$G$180="moeda")+(Inputs!$G$5:$G$180="acoes"))*Inputs!$B$1+((Inputs!$G$5:$G$180&lt;&gt;"moeda")*(Inputs!$G$5:$G$180&lt;&gt;"acoes")))*INDEX(Inputs!$K$5:$AJ$180,0,MATCH(Y$2,Inputs!$K$4:$AJ$4,0)))))</f>
        <v>316.8243912</v>
      </c>
      <c r="Z35" s="6">
        <f>IF(ISNA(MATCH(Z$2,Inputs!$K$4:$AJ$4,0)),NA(),IF(SUMPRODUCT((Inputs!$A$5:$A$180=$B35)*ISNUMBER(INDEX(Inputs!$K$5:$AJ$180,0,MATCH(Z$2,Inputs!$K$4:$AJ$4,0))))+SUMPRODUCT((Inputs!$C$5:$C$180=$B35)*ISNUMBER(INDEX(Inputs!$K$5:$AJ$180,0,MATCH(Z$2,Inputs!$K$4:$AJ$4,0))))+SUMPRODUCT((Inputs!$E$5:$E$180=$B35)*ISNUMBER(INDEX(Inputs!$K$5:$AJ$180,0,MATCH(Z$2,Inputs!$K$4:$AJ$4,0))))=0,NA(),SUMPRODUCT((Inputs!$A$5:$A$180=$B35)*Inputs!$B$5:$B$180*(((Inputs!$G$5:$G$180="moeda")+(Inputs!$G$5:$G$180="acoes"))*Inputs!$B$1+((Inputs!$G$5:$G$180&lt;&gt;"moeda")*(Inputs!$G$5:$G$180&lt;&gt;"acoes")))*INDEX(Inputs!$K$5:$AJ$180,0,MATCH(Z$2,Inputs!$K$4:$AJ$4,0)))+SUMPRODUCT((Inputs!$C$5:$C$180=$B35)*Inputs!$D$5:$D$180*(((Inputs!$G$5:$G$180="moeda")+(Inputs!$G$5:$G$180="acoes"))*Inputs!$B$1+((Inputs!$G$5:$G$180&lt;&gt;"moeda")*(Inputs!$G$5:$G$180&lt;&gt;"acoes")))*INDEX(Inputs!$K$5:$AJ$180,0,MATCH(Z$2,Inputs!$K$4:$AJ$4,0)))+SUMPRODUCT((Inputs!$E$5:$E$180=$B35)*Inputs!$F$5:$F$180*(((Inputs!$G$5:$G$180="moeda")+(Inputs!$G$5:$G$180="acoes"))*Inputs!$B$1+((Inputs!$G$5:$G$180&lt;&gt;"moeda")*(Inputs!$G$5:$G$180&lt;&gt;"acoes")))*INDEX(Inputs!$K$5:$AJ$180,0,MATCH(Z$2,Inputs!$K$4:$AJ$4,0)))))</f>
        <v>508.994</v>
      </c>
      <c r="AA35" s="6">
        <f>IF(ISNA(MATCH(AA$2,Inputs!$K$4:$AJ$4,0)),NA(),IF(SUMPRODUCT((Inputs!$A$5:$A$180=$B35)*ISNUMBER(INDEX(Inputs!$K$5:$AJ$180,0,MATCH(AA$2,Inputs!$K$4:$AJ$4,0))))+SUMPRODUCT((Inputs!$C$5:$C$180=$B35)*ISNUMBER(INDEX(Inputs!$K$5:$AJ$180,0,MATCH(AA$2,Inputs!$K$4:$AJ$4,0))))+SUMPRODUCT((Inputs!$E$5:$E$180=$B35)*ISNUMBER(INDEX(Inputs!$K$5:$AJ$180,0,MATCH(AA$2,Inputs!$K$4:$AJ$4,0))))=0,NA(),SUMPRODUCT((Inputs!$A$5:$A$180=$B35)*Inputs!$B$5:$B$180*(((Inputs!$G$5:$G$180="moeda")+(Inputs!$G$5:$G$180="acoes"))*Inputs!$B$1+((Inputs!$G$5:$G$180&lt;&gt;"moeda")*(Inputs!$G$5:$G$180&lt;&gt;"acoes")))*INDEX(Inputs!$K$5:$AJ$180,0,MATCH(AA$2,Inputs!$K$4:$AJ$4,0)))+SUMPRODUCT((Inputs!$C$5:$C$180=$B35)*Inputs!$D$5:$D$180*(((Inputs!$G$5:$G$180="moeda")+(Inputs!$G$5:$G$180="acoes"))*Inputs!$B$1+((Inputs!$G$5:$G$180&lt;&gt;"moeda")*(Inputs!$G$5:$G$180&lt;&gt;"acoes")))*INDEX(Inputs!$K$5:$AJ$180,0,MATCH(AA$2,Inputs!$K$4:$AJ$4,0)))+SUMPRODUCT((Inputs!$E$5:$E$180=$B35)*Inputs!$F$5:$F$180*(((Inputs!$G$5:$G$180="moeda")+(Inputs!$G$5:$G$180="acoes"))*Inputs!$B$1+((Inputs!$G$5:$G$180&lt;&gt;"moeda")*(Inputs!$G$5:$G$180&lt;&gt;"acoes")))*INDEX(Inputs!$K$5:$AJ$180,0,MATCH(AA$2,Inputs!$K$4:$AJ$4,0)))))</f>
        <v>298.30286383</v>
      </c>
      <c r="AB35" s="3">
        <f>AA35</f>
        <v>298.30286383</v>
      </c>
      <c r="AC35" s="6">
        <f>IF(ISNA(MATCH(AC$2,Inputs!$K$4:$AJ$4,0)),NA(),IF(SUMPRODUCT((Inputs!$A$5:$A$180=$B35)*ISNUMBER(INDEX(Inputs!$K$5:$AJ$180,0,MATCH(AC$2,Inputs!$K$4:$AJ$4,0))))+SUMPRODUCT((Inputs!$C$5:$C$180=$B35)*ISNUMBER(INDEX(Inputs!$K$5:$AJ$180,0,MATCH(AC$2,Inputs!$K$4:$AJ$4,0))))+SUMPRODUCT((Inputs!$E$5:$E$180=$B35)*ISNUMBER(INDEX(Inputs!$K$5:$AJ$180,0,MATCH(AC$2,Inputs!$K$4:$AJ$4,0))))=0,NA(),SUMPRODUCT((Inputs!$A$5:$A$180=$B35)*Inputs!$B$5:$B$180*(((Inputs!$G$5:$G$180="moeda")+(Inputs!$G$5:$G$180="acoes"))*Inputs!$B$1+((Inputs!$G$5:$G$180&lt;&gt;"moeda")*(Inputs!$G$5:$G$180&lt;&gt;"acoes")))*INDEX(Inputs!$K$5:$AJ$180,0,MATCH(AC$2,Inputs!$K$4:$AJ$4,0)))+SUMPRODUCT((Inputs!$C$5:$C$180=$B35)*Inputs!$D$5:$D$180*(((Inputs!$G$5:$G$180="moeda")+(Inputs!$G$5:$G$180="acoes"))*Inputs!$B$1+((Inputs!$G$5:$G$180&lt;&gt;"moeda")*(Inputs!$G$5:$G$180&lt;&gt;"acoes")))*INDEX(Inputs!$K$5:$AJ$180,0,MATCH(AC$2,Inputs!$K$4:$AJ$4,0)))+SUMPRODUCT((Inputs!$E$5:$E$180=$B35)*Inputs!$F$5:$F$180*(((Inputs!$G$5:$G$180="moeda")+(Inputs!$G$5:$G$180="acoes"))*Inputs!$B$1+((Inputs!$G$5:$G$180&lt;&gt;"moeda")*(Inputs!$G$5:$G$180&lt;&gt;"acoes")))*INDEX(Inputs!$K$5:$AJ$180,0,MATCH(AC$2,Inputs!$K$4:$AJ$4,0)))))</f>
        <v>298.39378183</v>
      </c>
      <c r="AD35" s="6">
        <f>IF(ISNA(MATCH(AD$2,Inputs!$K$4:$AJ$4,0)),NA(),IF(SUMPRODUCT((Inputs!$A$5:$A$180=$B35)*ISNUMBER(INDEX(Inputs!$K$5:$AJ$180,0,MATCH(AD$2,Inputs!$K$4:$AJ$4,0))))+SUMPRODUCT((Inputs!$C$5:$C$180=$B35)*ISNUMBER(INDEX(Inputs!$K$5:$AJ$180,0,MATCH(AD$2,Inputs!$K$4:$AJ$4,0))))+SUMPRODUCT((Inputs!$E$5:$E$180=$B35)*ISNUMBER(INDEX(Inputs!$K$5:$AJ$180,0,MATCH(AD$2,Inputs!$K$4:$AJ$4,0))))=0,NA(),SUMPRODUCT((Inputs!$A$5:$A$180=$B35)*Inputs!$B$5:$B$180*(((Inputs!$G$5:$G$180="moeda")+(Inputs!$G$5:$G$180="acoes"))*Inputs!$B$1+((Inputs!$G$5:$G$180&lt;&gt;"moeda")*(Inputs!$G$5:$G$180&lt;&gt;"acoes")))*INDEX(Inputs!$K$5:$AJ$180,0,MATCH(AD$2,Inputs!$K$4:$AJ$4,0)))+SUMPRODUCT((Inputs!$C$5:$C$180=$B35)*Inputs!$D$5:$D$180*(((Inputs!$G$5:$G$180="moeda")+(Inputs!$G$5:$G$180="acoes"))*Inputs!$B$1+((Inputs!$G$5:$G$180&lt;&gt;"moeda")*(Inputs!$G$5:$G$180&lt;&gt;"acoes")))*INDEX(Inputs!$K$5:$AJ$180,0,MATCH(AD$2,Inputs!$K$4:$AJ$4,0)))+SUMPRODUCT((Inputs!$E$5:$E$180=$B35)*Inputs!$F$5:$F$180*(((Inputs!$G$5:$G$180="moeda")+(Inputs!$G$5:$G$180="acoes"))*Inputs!$B$1+((Inputs!$G$5:$G$180&lt;&gt;"moeda")*(Inputs!$G$5:$G$180&lt;&gt;"acoes")))*INDEX(Inputs!$K$5:$AJ$180,0,MATCH(AD$2,Inputs!$K$4:$AJ$4,0)))))</f>
        <v>298.48469983</v>
      </c>
      <c r="AE35" s="6" t="e">
        <f>IF(ISNA(MATCH(AE$2,Inputs!$K$4:$AJ$4,0)),NA(),IF(SUMPRODUCT((Inputs!$A$5:$A$180=$B35)*ISNUMBER(INDEX(Inputs!$K$5:$AJ$180,0,MATCH(AE$2,Inputs!$K$4:$AJ$4,0))))+SUMPRODUCT((Inputs!$C$5:$C$180=$B35)*ISNUMBER(INDEX(Inputs!$K$5:$AJ$180,0,MATCH(AE$2,Inputs!$K$4:$AJ$4,0))))+SUMPRODUCT((Inputs!$E$5:$E$180=$B35)*ISNUMBER(INDEX(Inputs!$K$5:$AJ$180,0,MATCH(AE$2,Inputs!$K$4:$AJ$4,0))))=0,NA(),SUMPRODUCT((Inputs!$A$5:$A$180=$B35)*Inputs!$B$5:$B$180*(((Inputs!$G$5:$G$180="moeda")+(Inputs!$G$5:$G$180="acoes"))*Inputs!$B$1+((Inputs!$G$5:$G$180&lt;&gt;"moeda")*(Inputs!$G$5:$G$180&lt;&gt;"acoes")))*INDEX(Inputs!$K$5:$AJ$180,0,MATCH(AE$2,Inputs!$K$4:$AJ$4,0)))+SUMPRODUCT((Inputs!$C$5:$C$180=$B35)*Inputs!$D$5:$D$180*(((Inputs!$G$5:$G$180="moeda")+(Inputs!$G$5:$G$180="acoes"))*Inputs!$B$1+((Inputs!$G$5:$G$180&lt;&gt;"moeda")*(Inputs!$G$5:$G$180&lt;&gt;"acoes")))*INDEX(Inputs!$K$5:$AJ$180,0,MATCH(AE$2,Inputs!$K$4:$AJ$4,0)))+SUMPRODUCT((Inputs!$E$5:$E$180=$B35)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5" s="6" t="e">
        <f>IF(ISNA(MATCH(AF$2,Inputs!$K$4:$AJ$4,0)),NA(),IF(SUMPRODUCT((Inputs!$A$5:$A$180=$B35)*ISNUMBER(INDEX(Inputs!$K$5:$AJ$180,0,MATCH(AF$2,Inputs!$K$4:$AJ$4,0))))+SUMPRODUCT((Inputs!$C$5:$C$180=$B35)*ISNUMBER(INDEX(Inputs!$K$5:$AJ$180,0,MATCH(AF$2,Inputs!$K$4:$AJ$4,0))))+SUMPRODUCT((Inputs!$E$5:$E$180=$B35)*ISNUMBER(INDEX(Inputs!$K$5:$AJ$180,0,MATCH(AF$2,Inputs!$K$4:$AJ$4,0))))=0,NA(),SUMPRODUCT((Inputs!$A$5:$A$180=$B35)*Inputs!$B$5:$B$180*(((Inputs!$G$5:$G$180="moeda")+(Inputs!$G$5:$G$180="acoes"))*Inputs!$B$1+((Inputs!$G$5:$G$180&lt;&gt;"moeda")*(Inputs!$G$5:$G$180&lt;&gt;"acoes")))*INDEX(Inputs!$K$5:$AJ$180,0,MATCH(AF$2,Inputs!$K$4:$AJ$4,0)))+SUMPRODUCT((Inputs!$C$5:$C$180=$B35)*Inputs!$D$5:$D$180*(((Inputs!$G$5:$G$180="moeda")+(Inputs!$G$5:$G$180="acoes"))*Inputs!$B$1+((Inputs!$G$5:$G$180&lt;&gt;"moeda")*(Inputs!$G$5:$G$180&lt;&gt;"acoes")))*INDEX(Inputs!$K$5:$AJ$180,0,MATCH(AF$2,Inputs!$K$4:$AJ$4,0)))+SUMPRODUCT((Inputs!$E$5:$E$180=$B35)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5" s="3" t="e">
        <f>AF35</f>
        <v>#N/A</v>
      </c>
      <c r="AH35" s="6">
        <f>IF(ISNA(MATCH(AH$2,Inputs!$K$4:$AJ$4,0)),NA(),IF(SUMPRODUCT((Inputs!$A$5:$A$180=$B35)*ISNUMBER(INDEX(Inputs!$K$5:$AJ$180,0,MATCH(AH$2,Inputs!$K$4:$AJ$4,0))))+SUMPRODUCT((Inputs!$C$5:$C$180=$B35)*ISNUMBER(INDEX(Inputs!$K$5:$AJ$180,0,MATCH(AH$2,Inputs!$K$4:$AJ$4,0))))+SUMPRODUCT((Inputs!$E$5:$E$180=$B35)*ISNUMBER(INDEX(Inputs!$K$5:$AJ$180,0,MATCH(AH$2,Inputs!$K$4:$AJ$4,0))))=0,NA(),SUMPRODUCT((Inputs!$A$5:$A$180=$B35)*Inputs!$B$5:$B$180*(((Inputs!$G$5:$G$180="moeda")+(Inputs!$G$5:$G$180="acoes"))*Inputs!$B$1+((Inputs!$G$5:$G$180&lt;&gt;"moeda")*(Inputs!$G$5:$G$180&lt;&gt;"acoes")))*INDEX(Inputs!$K$5:$AJ$180,0,MATCH(AH$2,Inputs!$K$4:$AJ$4,0)))+SUMPRODUCT((Inputs!$C$5:$C$180=$B35)*Inputs!$D$5:$D$180*(((Inputs!$G$5:$G$180="moeda")+(Inputs!$G$5:$G$180="acoes"))*Inputs!$B$1+((Inputs!$G$5:$G$180&lt;&gt;"moeda")*(Inputs!$G$5:$G$180&lt;&gt;"acoes")))*INDEX(Inputs!$K$5:$AJ$180,0,MATCH(AH$2,Inputs!$K$4:$AJ$4,0)))+SUMPRODUCT((Inputs!$E$5:$E$180=$B35)*Inputs!$F$5:$F$180*(((Inputs!$G$5:$G$180="moeda")+(Inputs!$G$5:$G$180="acoes"))*Inputs!$B$1+((Inputs!$G$5:$G$180&lt;&gt;"moeda")*(Inputs!$G$5:$G$180&lt;&gt;"acoes")))*INDEX(Inputs!$K$5:$AJ$180,0,MATCH(AH$2,Inputs!$K$4:$AJ$4,0)))))</f>
        <v>62.667</v>
      </c>
      <c r="AI35" s="6">
        <f>IF(ISNA(MATCH(AI$2,Inputs!$K$4:$AJ$4,0)),NA(),IF(SUMPRODUCT((Inputs!$A$5:$A$180=$B35)*ISNUMBER(INDEX(Inputs!$K$5:$AJ$180,0,MATCH(AI$2,Inputs!$K$4:$AJ$4,0))))+SUMPRODUCT((Inputs!$C$5:$C$180=$B35)*ISNUMBER(INDEX(Inputs!$K$5:$AJ$180,0,MATCH(AI$2,Inputs!$K$4:$AJ$4,0))))+SUMPRODUCT((Inputs!$E$5:$E$180=$B35)*ISNUMBER(INDEX(Inputs!$K$5:$AJ$180,0,MATCH(AI$2,Inputs!$K$4:$AJ$4,0))))=0,NA(),SUMPRODUCT((Inputs!$A$5:$A$180=$B35)*Inputs!$B$5:$B$180*(((Inputs!$G$5:$G$180="moeda")+(Inputs!$G$5:$G$180="acoes"))*Inputs!$B$1+((Inputs!$G$5:$G$180&lt;&gt;"moeda")*(Inputs!$G$5:$G$180&lt;&gt;"acoes")))*INDEX(Inputs!$K$5:$AJ$180,0,MATCH(AI$2,Inputs!$K$4:$AJ$4,0)))+SUMPRODUCT((Inputs!$C$5:$C$180=$B35)*Inputs!$D$5:$D$180*(((Inputs!$G$5:$G$180="moeda")+(Inputs!$G$5:$G$180="acoes"))*Inputs!$B$1+((Inputs!$G$5:$G$180&lt;&gt;"moeda")*(Inputs!$G$5:$G$180&lt;&gt;"acoes")))*INDEX(Inputs!$K$5:$AJ$180,0,MATCH(AI$2,Inputs!$K$4:$AJ$4,0)))+SUMPRODUCT((Inputs!$E$5:$E$180=$B35)*Inputs!$F$5:$F$180*(((Inputs!$G$5:$G$180="moeda")+(Inputs!$G$5:$G$180="acoes"))*Inputs!$B$1+((Inputs!$G$5:$G$180&lt;&gt;"moeda")*(Inputs!$G$5:$G$180&lt;&gt;"acoes")))*INDEX(Inputs!$K$5:$AJ$180,0,MATCH(AI$2,Inputs!$K$4:$AJ$4,0)))))</f>
        <v>17.5</v>
      </c>
      <c r="AJ35" s="6">
        <f>IF(ISNA(MATCH(AJ$2,Inputs!$K$4:$AJ$4,0)),NA(),IF(SUMPRODUCT((Inputs!$A$5:$A$180=$B35)*ISNUMBER(INDEX(Inputs!$K$5:$AJ$180,0,MATCH(AJ$2,Inputs!$K$4:$AJ$4,0))))+SUMPRODUCT((Inputs!$C$5:$C$180=$B35)*ISNUMBER(INDEX(Inputs!$K$5:$AJ$180,0,MATCH(AJ$2,Inputs!$K$4:$AJ$4,0))))+SUMPRODUCT((Inputs!$E$5:$E$180=$B35)*ISNUMBER(INDEX(Inputs!$K$5:$AJ$180,0,MATCH(AJ$2,Inputs!$K$4:$AJ$4,0))))=0,NA(),SUMPRODUCT((Inputs!$A$5:$A$180=$B35)*Inputs!$B$5:$B$180*(((Inputs!$G$5:$G$180="moeda")+(Inputs!$G$5:$G$180="acoes"))*Inputs!$B$1+((Inputs!$G$5:$G$180&lt;&gt;"moeda")*(Inputs!$G$5:$G$180&lt;&gt;"acoes")))*INDEX(Inputs!$K$5:$AJ$180,0,MATCH(AJ$2,Inputs!$K$4:$AJ$4,0)))+SUMPRODUCT((Inputs!$C$5:$C$180=$B35)*Inputs!$D$5:$D$180*(((Inputs!$G$5:$G$180="moeda")+(Inputs!$G$5:$G$180="acoes"))*Inputs!$B$1+((Inputs!$G$5:$G$180&lt;&gt;"moeda")*(Inputs!$G$5:$G$180&lt;&gt;"acoes")))*INDEX(Inputs!$K$5:$AJ$180,0,MATCH(AJ$2,Inputs!$K$4:$AJ$4,0)))+SUMPRODUCT((Inputs!$E$5:$E$180=$B35)*Inputs!$F$5:$F$180*(((Inputs!$G$5:$G$180="moeda")+(Inputs!$G$5:$G$180="acoes"))*Inputs!$B$1+((Inputs!$G$5:$G$180&lt;&gt;"moeda")*(Inputs!$G$5:$G$180&lt;&gt;"acoes")))*INDEX(Inputs!$K$5:$AJ$180,0,MATCH(AJ$2,Inputs!$K$4:$AJ$4,0)))))</f>
        <v>55</v>
      </c>
      <c r="AK35" s="6">
        <f>IF(ISNA(MATCH(AK$2,Inputs!$K$4:$AJ$4,0)),NA(),IF(SUMPRODUCT((Inputs!$A$5:$A$180=$B35)*ISNUMBER(INDEX(Inputs!$K$5:$AJ$180,0,MATCH(AK$2,Inputs!$K$4:$AJ$4,0))))+SUMPRODUCT((Inputs!$C$5:$C$180=$B35)*ISNUMBER(INDEX(Inputs!$K$5:$AJ$180,0,MATCH(AK$2,Inputs!$K$4:$AJ$4,0))))+SUMPRODUCT((Inputs!$E$5:$E$180=$B35)*ISNUMBER(INDEX(Inputs!$K$5:$AJ$180,0,MATCH(AK$2,Inputs!$K$4:$AJ$4,0))))=0,NA(),SUMPRODUCT((Inputs!$A$5:$A$180=$B35)*Inputs!$B$5:$B$180*(((Inputs!$G$5:$G$180="moeda")+(Inputs!$G$5:$G$180="acoes"))*Inputs!$B$1+((Inputs!$G$5:$G$180&lt;&gt;"moeda")*(Inputs!$G$5:$G$180&lt;&gt;"acoes")))*INDEX(Inputs!$K$5:$AJ$180,0,MATCH(AK$2,Inputs!$K$4:$AJ$4,0)))+SUMPRODUCT((Inputs!$C$5:$C$180=$B35)*Inputs!$D$5:$D$180*(((Inputs!$G$5:$G$180="moeda")+(Inputs!$G$5:$G$180="acoes"))*Inputs!$B$1+((Inputs!$G$5:$G$180&lt;&gt;"moeda")*(Inputs!$G$5:$G$180&lt;&gt;"acoes")))*INDEX(Inputs!$K$5:$AJ$180,0,MATCH(AK$2,Inputs!$K$4:$AJ$4,0)))+SUMPRODUCT((Inputs!$E$5:$E$180=$B35)*Inputs!$F$5:$F$180*(((Inputs!$G$5:$G$180="moeda")+(Inputs!$G$5:$G$180="acoes"))*Inputs!$B$1+((Inputs!$G$5:$G$180&lt;&gt;"moeda")*(Inputs!$G$5:$G$180&lt;&gt;"acoes")))*INDEX(Inputs!$K$5:$AJ$180,0,MATCH(AK$2,Inputs!$K$4:$AJ$4,0)))))</f>
        <v>112.5</v>
      </c>
      <c r="AL35" s="3">
        <f>AK35</f>
        <v>112.5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$180=$B36)*ISNUMBER(INDEX(Inputs!$K$5:$AJ$180,0,MATCH(D$2,Inputs!$K$4:$AJ$4,0))))+SUMPRODUCT((Inputs!$C$5:$C$180=$B36)*ISNUMBER(INDEX(Inputs!$K$5:$AJ$180,0,MATCH(D$2,Inputs!$K$4:$AJ$4,0))))+SUMPRODUCT((Inputs!$E$5:$E$180=$B36)*ISNUMBER(INDEX(Inputs!$K$5:$AJ$180,0,MATCH(D$2,Inputs!$K$4:$AJ$4,0))))=0,NA(),SUMPRODUCT((Inputs!$A$5:$A$180=$B36)*Inputs!$B$5:$B$180*(((Inputs!$G$5:$G$180="moeda")+(Inputs!$G$5:$G$180="acoes"))*Inputs!$B$1+((Inputs!$G$5:$G$180&lt;&gt;"moeda")*(Inputs!$G$5:$G$180&lt;&gt;"acoes")))*INDEX(Inputs!$K$5:$AJ$180,0,MATCH(D$2,Inputs!$K$4:$AJ$4,0)))+SUMPRODUCT((Inputs!$C$5:$C$180=$B36)*Inputs!$D$5:$D$180*(((Inputs!$G$5:$G$180="moeda")+(Inputs!$G$5:$G$180="acoes"))*Inputs!$B$1+((Inputs!$G$5:$G$180&lt;&gt;"moeda")*(Inputs!$G$5:$G$180&lt;&gt;"acoes")))*INDEX(Inputs!$K$5:$AJ$180,0,MATCH(D$2,Inputs!$K$4:$AJ$4,0)))+SUMPRODUCT((Inputs!$E$5:$E$180=$B36)*Inputs!$F$5:$F$180*(((Inputs!$G$5:$G$180="moeda")+(Inputs!$G$5:$G$180="acoes"))*Inputs!$B$1+((Inputs!$G$5:$G$180&lt;&gt;"moeda")*(Inputs!$G$5:$G$180&lt;&gt;"acoes")))*INDEX(Inputs!$K$5:$AJ$180,0,MATCH(D$2,Inputs!$K$4:$AJ$4,0)))))</f>
        <v>242.65189661</v>
      </c>
      <c r="E36" s="6">
        <f>IF(ISNA(MATCH(E$2,Inputs!$K$4:$AJ$4,0)),NA(),IF(SUMPRODUCT((Inputs!$A$5:$A$180=$B36)*ISNUMBER(INDEX(Inputs!$K$5:$AJ$180,0,MATCH(E$2,Inputs!$K$4:$AJ$4,0))))+SUMPRODUCT((Inputs!$C$5:$C$180=$B36)*ISNUMBER(INDEX(Inputs!$K$5:$AJ$180,0,MATCH(E$2,Inputs!$K$4:$AJ$4,0))))+SUMPRODUCT((Inputs!$E$5:$E$180=$B36)*ISNUMBER(INDEX(Inputs!$K$5:$AJ$180,0,MATCH(E$2,Inputs!$K$4:$AJ$4,0))))=0,NA(),SUMPRODUCT((Inputs!$A$5:$A$180=$B36)*Inputs!$B$5:$B$180*(((Inputs!$G$5:$G$180="moeda")+(Inputs!$G$5:$G$180="acoes"))*Inputs!$B$1+((Inputs!$G$5:$G$180&lt;&gt;"moeda")*(Inputs!$G$5:$G$180&lt;&gt;"acoes")))*INDEX(Inputs!$K$5:$AJ$180,0,MATCH(E$2,Inputs!$K$4:$AJ$4,0)))+SUMPRODUCT((Inputs!$C$5:$C$180=$B36)*Inputs!$D$5:$D$180*(((Inputs!$G$5:$G$180="moeda")+(Inputs!$G$5:$G$180="acoes"))*Inputs!$B$1+((Inputs!$G$5:$G$180&lt;&gt;"moeda")*(Inputs!$G$5:$G$180&lt;&gt;"acoes")))*INDEX(Inputs!$K$5:$AJ$180,0,MATCH(E$2,Inputs!$K$4:$AJ$4,0)))+SUMPRODUCT((Inputs!$E$5:$E$180=$B36)*Inputs!$F$5:$F$180*(((Inputs!$G$5:$G$180="moeda")+(Inputs!$G$5:$G$180="acoes"))*Inputs!$B$1+((Inputs!$G$5:$G$180&lt;&gt;"moeda")*(Inputs!$G$5:$G$180&lt;&gt;"acoes")))*INDEX(Inputs!$K$5:$AJ$180,0,MATCH(E$2,Inputs!$K$4:$AJ$4,0)))))</f>
        <v>252.93896289</v>
      </c>
      <c r="F36" s="6">
        <f>IF(ISNA(MATCH(F$2,Inputs!$K$4:$AJ$4,0)),NA(),IF(SUMPRODUCT((Inputs!$A$5:$A$180=$B36)*ISNUMBER(INDEX(Inputs!$K$5:$AJ$180,0,MATCH(F$2,Inputs!$K$4:$AJ$4,0))))+SUMPRODUCT((Inputs!$C$5:$C$180=$B36)*ISNUMBER(INDEX(Inputs!$K$5:$AJ$180,0,MATCH(F$2,Inputs!$K$4:$AJ$4,0))))+SUMPRODUCT((Inputs!$E$5:$E$180=$B36)*ISNUMBER(INDEX(Inputs!$K$5:$AJ$180,0,MATCH(F$2,Inputs!$K$4:$AJ$4,0))))=0,NA(),SUMPRODUCT((Inputs!$A$5:$A$180=$B36)*Inputs!$B$5:$B$180*(((Inputs!$G$5:$G$180="moeda")+(Inputs!$G$5:$G$180="acoes"))*Inputs!$B$1+((Inputs!$G$5:$G$180&lt;&gt;"moeda")*(Inputs!$G$5:$G$180&lt;&gt;"acoes")))*INDEX(Inputs!$K$5:$AJ$180,0,MATCH(F$2,Inputs!$K$4:$AJ$4,0)))+SUMPRODUCT((Inputs!$C$5:$C$180=$B36)*Inputs!$D$5:$D$180*(((Inputs!$G$5:$G$180="moeda")+(Inputs!$G$5:$G$180="acoes"))*Inputs!$B$1+((Inputs!$G$5:$G$180&lt;&gt;"moeda")*(Inputs!$G$5:$G$180&lt;&gt;"acoes")))*INDEX(Inputs!$K$5:$AJ$180,0,MATCH(F$2,Inputs!$K$4:$AJ$4,0)))+SUMPRODUCT((Inputs!$E$5:$E$180=$B36)*Inputs!$F$5:$F$180*(((Inputs!$G$5:$G$180="moeda")+(Inputs!$G$5:$G$180="acoes"))*Inputs!$B$1+((Inputs!$G$5:$G$180&lt;&gt;"moeda")*(Inputs!$G$5:$G$180&lt;&gt;"acoes")))*INDEX(Inputs!$K$5:$AJ$180,0,MATCH(F$2,Inputs!$K$4:$AJ$4,0)))))</f>
        <v>291.37504025</v>
      </c>
      <c r="G36" s="6">
        <f>IF(ISNA(MATCH(G$2,Inputs!$K$4:$AJ$4,0)),NA(),IF(SUMPRODUCT((Inputs!$A$5:$A$180=$B36)*ISNUMBER(INDEX(Inputs!$K$5:$AJ$180,0,MATCH(G$2,Inputs!$K$4:$AJ$4,0))))+SUMPRODUCT((Inputs!$C$5:$C$180=$B36)*ISNUMBER(INDEX(Inputs!$K$5:$AJ$180,0,MATCH(G$2,Inputs!$K$4:$AJ$4,0))))+SUMPRODUCT((Inputs!$E$5:$E$180=$B36)*ISNUMBER(INDEX(Inputs!$K$5:$AJ$180,0,MATCH(G$2,Inputs!$K$4:$AJ$4,0))))=0,NA(),SUMPRODUCT((Inputs!$A$5:$A$180=$B36)*Inputs!$B$5:$B$180*(((Inputs!$G$5:$G$180="moeda")+(Inputs!$G$5:$G$180="acoes"))*Inputs!$B$1+((Inputs!$G$5:$G$180&lt;&gt;"moeda")*(Inputs!$G$5:$G$180&lt;&gt;"acoes")))*INDEX(Inputs!$K$5:$AJ$180,0,MATCH(G$2,Inputs!$K$4:$AJ$4,0)))+SUMPRODUCT((Inputs!$C$5:$C$180=$B36)*Inputs!$D$5:$D$180*(((Inputs!$G$5:$G$180="moeda")+(Inputs!$G$5:$G$180="acoes"))*Inputs!$B$1+((Inputs!$G$5:$G$180&lt;&gt;"moeda")*(Inputs!$G$5:$G$180&lt;&gt;"acoes")))*INDEX(Inputs!$K$5:$AJ$180,0,MATCH(G$2,Inputs!$K$4:$AJ$4,0)))+SUMPRODUCT((Inputs!$E$5:$E$180=$B36)*Inputs!$F$5:$F$180*(((Inputs!$G$5:$G$180="moeda")+(Inputs!$G$5:$G$180="acoes"))*Inputs!$B$1+((Inputs!$G$5:$G$180&lt;&gt;"moeda")*(Inputs!$G$5:$G$180&lt;&gt;"acoes")))*INDEX(Inputs!$K$5:$AJ$180,0,MATCH(G$2,Inputs!$K$4:$AJ$4,0)))))</f>
        <v>310.14835357</v>
      </c>
      <c r="H36" s="3">
        <f>G36</f>
        <v>310.14835357</v>
      </c>
      <c r="I36" s="6">
        <f>IF(ISNA(MATCH(I$2,Inputs!$K$4:$AJ$4,0)),NA(),IF(SUMPRODUCT((Inputs!$A$5:$A$180=$B36)*ISNUMBER(INDEX(Inputs!$K$5:$AJ$180,0,MATCH(I$2,Inputs!$K$4:$AJ$4,0))))+SUMPRODUCT((Inputs!$C$5:$C$180=$B36)*ISNUMBER(INDEX(Inputs!$K$5:$AJ$180,0,MATCH(I$2,Inputs!$K$4:$AJ$4,0))))+SUMPRODUCT((Inputs!$E$5:$E$180=$B36)*ISNUMBER(INDEX(Inputs!$K$5:$AJ$180,0,MATCH(I$2,Inputs!$K$4:$AJ$4,0))))=0,NA(),SUMPRODUCT((Inputs!$A$5:$A$180=$B36)*Inputs!$B$5:$B$180*(((Inputs!$G$5:$G$180="moeda")+(Inputs!$G$5:$G$180="acoes"))*Inputs!$B$1+((Inputs!$G$5:$G$180&lt;&gt;"moeda")*(Inputs!$G$5:$G$180&lt;&gt;"acoes")))*INDEX(Inputs!$K$5:$AJ$180,0,MATCH(I$2,Inputs!$K$4:$AJ$4,0)))+SUMPRODUCT((Inputs!$C$5:$C$180=$B36)*Inputs!$D$5:$D$180*(((Inputs!$G$5:$G$180="moeda")+(Inputs!$G$5:$G$180="acoes"))*Inputs!$B$1+((Inputs!$G$5:$G$180&lt;&gt;"moeda")*(Inputs!$G$5:$G$180&lt;&gt;"acoes")))*INDEX(Inputs!$K$5:$AJ$180,0,MATCH(I$2,Inputs!$K$4:$AJ$4,0)))+SUMPRODUCT((Inputs!$E$5:$E$180=$B36)*Inputs!$F$5:$F$180*(((Inputs!$G$5:$G$180="moeda")+(Inputs!$G$5:$G$180="acoes"))*Inputs!$B$1+((Inputs!$G$5:$G$180&lt;&gt;"moeda")*(Inputs!$G$5:$G$180&lt;&gt;"acoes")))*INDEX(Inputs!$K$5:$AJ$180,0,MATCH(I$2,Inputs!$K$4:$AJ$4,0)))))</f>
        <v>319.74282632</v>
      </c>
      <c r="J36" s="6">
        <f>IF(ISNA(MATCH(J$2,Inputs!$K$4:$AJ$4,0)),NA(),IF(SUMPRODUCT((Inputs!$A$5:$A$180=$B36)*ISNUMBER(INDEX(Inputs!$K$5:$AJ$180,0,MATCH(J$2,Inputs!$K$4:$AJ$4,0))))+SUMPRODUCT((Inputs!$C$5:$C$180=$B36)*ISNUMBER(INDEX(Inputs!$K$5:$AJ$180,0,MATCH(J$2,Inputs!$K$4:$AJ$4,0))))+SUMPRODUCT((Inputs!$E$5:$E$180=$B36)*ISNUMBER(INDEX(Inputs!$K$5:$AJ$180,0,MATCH(J$2,Inputs!$K$4:$AJ$4,0))))=0,NA(),SUMPRODUCT((Inputs!$A$5:$A$180=$B36)*Inputs!$B$5:$B$180*(((Inputs!$G$5:$G$180="moeda")+(Inputs!$G$5:$G$180="acoes"))*Inputs!$B$1+((Inputs!$G$5:$G$180&lt;&gt;"moeda")*(Inputs!$G$5:$G$180&lt;&gt;"acoes")))*INDEX(Inputs!$K$5:$AJ$180,0,MATCH(J$2,Inputs!$K$4:$AJ$4,0)))+SUMPRODUCT((Inputs!$C$5:$C$180=$B36)*Inputs!$D$5:$D$180*(((Inputs!$G$5:$G$180="moeda")+(Inputs!$G$5:$G$180="acoes"))*Inputs!$B$1+((Inputs!$G$5:$G$180&lt;&gt;"moeda")*(Inputs!$G$5:$G$180&lt;&gt;"acoes")))*INDEX(Inputs!$K$5:$AJ$180,0,MATCH(J$2,Inputs!$K$4:$AJ$4,0)))+SUMPRODUCT((Inputs!$E$5:$E$180=$B36)*Inputs!$F$5:$F$180*(((Inputs!$G$5:$G$180="moeda")+(Inputs!$G$5:$G$180="acoes"))*Inputs!$B$1+((Inputs!$G$5:$G$180&lt;&gt;"moeda")*(Inputs!$G$5:$G$180&lt;&gt;"acoes")))*INDEX(Inputs!$K$5:$AJ$180,0,MATCH(J$2,Inputs!$K$4:$AJ$4,0)))))</f>
        <v>346.37487757</v>
      </c>
      <c r="K36" s="6">
        <f>IF(ISNA(MATCH(K$2,Inputs!$K$4:$AJ$4,0)),NA(),IF(SUMPRODUCT((Inputs!$A$5:$A$180=$B36)*ISNUMBER(INDEX(Inputs!$K$5:$AJ$180,0,MATCH(K$2,Inputs!$K$4:$AJ$4,0))))+SUMPRODUCT((Inputs!$C$5:$C$180=$B36)*ISNUMBER(INDEX(Inputs!$K$5:$AJ$180,0,MATCH(K$2,Inputs!$K$4:$AJ$4,0))))+SUMPRODUCT((Inputs!$E$5:$E$180=$B36)*ISNUMBER(INDEX(Inputs!$K$5:$AJ$180,0,MATCH(K$2,Inputs!$K$4:$AJ$4,0))))=0,NA(),SUMPRODUCT((Inputs!$A$5:$A$180=$B36)*Inputs!$B$5:$B$180*(((Inputs!$G$5:$G$180="moeda")+(Inputs!$G$5:$G$180="acoes"))*Inputs!$B$1+((Inputs!$G$5:$G$180&lt;&gt;"moeda")*(Inputs!$G$5:$G$180&lt;&gt;"acoes")))*INDEX(Inputs!$K$5:$AJ$180,0,MATCH(K$2,Inputs!$K$4:$AJ$4,0)))+SUMPRODUCT((Inputs!$C$5:$C$180=$B36)*Inputs!$D$5:$D$180*(((Inputs!$G$5:$G$180="moeda")+(Inputs!$G$5:$G$180="acoes"))*Inputs!$B$1+((Inputs!$G$5:$G$180&lt;&gt;"moeda")*(Inputs!$G$5:$G$180&lt;&gt;"acoes")))*INDEX(Inputs!$K$5:$AJ$180,0,MATCH(K$2,Inputs!$K$4:$AJ$4,0)))+SUMPRODUCT((Inputs!$E$5:$E$180=$B36)*Inputs!$F$5:$F$180*(((Inputs!$G$5:$G$180="moeda")+(Inputs!$G$5:$G$180="acoes"))*Inputs!$B$1+((Inputs!$G$5:$G$180&lt;&gt;"moeda")*(Inputs!$G$5:$G$180&lt;&gt;"acoes")))*INDEX(Inputs!$K$5:$AJ$180,0,MATCH(K$2,Inputs!$K$4:$AJ$4,0)))))</f>
        <v>383.75032793</v>
      </c>
      <c r="L36" s="6">
        <f>IF(ISNA(MATCH(L$2,Inputs!$K$4:$AJ$4,0)),NA(),IF(SUMPRODUCT((Inputs!$A$5:$A$180=$B36)*ISNUMBER(INDEX(Inputs!$K$5:$AJ$180,0,MATCH(L$2,Inputs!$K$4:$AJ$4,0))))+SUMPRODUCT((Inputs!$C$5:$C$180=$B36)*ISNUMBER(INDEX(Inputs!$K$5:$AJ$180,0,MATCH(L$2,Inputs!$K$4:$AJ$4,0))))+SUMPRODUCT((Inputs!$E$5:$E$180=$B36)*ISNUMBER(INDEX(Inputs!$K$5:$AJ$180,0,MATCH(L$2,Inputs!$K$4:$AJ$4,0))))=0,NA(),SUMPRODUCT((Inputs!$A$5:$A$180=$B36)*Inputs!$B$5:$B$180*(((Inputs!$G$5:$G$180="moeda")+(Inputs!$G$5:$G$180="acoes"))*Inputs!$B$1+((Inputs!$G$5:$G$180&lt;&gt;"moeda")*(Inputs!$G$5:$G$180&lt;&gt;"acoes")))*INDEX(Inputs!$K$5:$AJ$180,0,MATCH(L$2,Inputs!$K$4:$AJ$4,0)))+SUMPRODUCT((Inputs!$C$5:$C$180=$B36)*Inputs!$D$5:$D$180*(((Inputs!$G$5:$G$180="moeda")+(Inputs!$G$5:$G$180="acoes"))*Inputs!$B$1+((Inputs!$G$5:$G$180&lt;&gt;"moeda")*(Inputs!$G$5:$G$180&lt;&gt;"acoes")))*INDEX(Inputs!$K$5:$AJ$180,0,MATCH(L$2,Inputs!$K$4:$AJ$4,0)))+SUMPRODUCT((Inputs!$E$5:$E$180=$B36)*Inputs!$F$5:$F$180*(((Inputs!$G$5:$G$180="moeda")+(Inputs!$G$5:$G$180="acoes"))*Inputs!$B$1+((Inputs!$G$5:$G$180&lt;&gt;"moeda")*(Inputs!$G$5:$G$180&lt;&gt;"acoes")))*INDEX(Inputs!$K$5:$AJ$180,0,MATCH(L$2,Inputs!$K$4:$AJ$4,0)))))</f>
        <v>415.097</v>
      </c>
      <c r="M36" s="3">
        <f>L36</f>
        <v>415.097</v>
      </c>
      <c r="N36" s="6">
        <f>IF(ISNA(MATCH(N$2,Inputs!$K$4:$AJ$4,0)),NA(),IF(SUMPRODUCT((Inputs!$A$5:$A$180=$B36)*ISNUMBER(INDEX(Inputs!$K$5:$AJ$180,0,MATCH(N$2,Inputs!$K$4:$AJ$4,0))))+SUMPRODUCT((Inputs!$C$5:$C$180=$B36)*ISNUMBER(INDEX(Inputs!$K$5:$AJ$180,0,MATCH(N$2,Inputs!$K$4:$AJ$4,0))))+SUMPRODUCT((Inputs!$E$5:$E$180=$B36)*ISNUMBER(INDEX(Inputs!$K$5:$AJ$180,0,MATCH(N$2,Inputs!$K$4:$AJ$4,0))))=0,NA(),SUMPRODUCT((Inputs!$A$5:$A$180=$B36)*Inputs!$B$5:$B$180*(((Inputs!$G$5:$G$180="moeda")+(Inputs!$G$5:$G$180="acoes"))*Inputs!$B$1+((Inputs!$G$5:$G$180&lt;&gt;"moeda")*(Inputs!$G$5:$G$180&lt;&gt;"acoes")))*INDEX(Inputs!$K$5:$AJ$180,0,MATCH(N$2,Inputs!$K$4:$AJ$4,0)))+SUMPRODUCT((Inputs!$C$5:$C$180=$B36)*Inputs!$D$5:$D$180*(((Inputs!$G$5:$G$180="moeda")+(Inputs!$G$5:$G$180="acoes"))*Inputs!$B$1+((Inputs!$G$5:$G$180&lt;&gt;"moeda")*(Inputs!$G$5:$G$180&lt;&gt;"acoes")))*INDEX(Inputs!$K$5:$AJ$180,0,MATCH(N$2,Inputs!$K$4:$AJ$4,0)))+SUMPRODUCT((Inputs!$E$5:$E$180=$B36)*Inputs!$F$5:$F$180*(((Inputs!$G$5:$G$180="moeda")+(Inputs!$G$5:$G$180="acoes"))*Inputs!$B$1+((Inputs!$G$5:$G$180&lt;&gt;"moeda")*(Inputs!$G$5:$G$180&lt;&gt;"acoes")))*INDEX(Inputs!$K$5:$AJ$180,0,MATCH(N$2,Inputs!$K$4:$AJ$4,0)))))</f>
        <v>399.86</v>
      </c>
      <c r="O36" s="6">
        <f>IF(ISNA(MATCH(O$2,Inputs!$K$4:$AJ$4,0)),NA(),IF(SUMPRODUCT((Inputs!$A$5:$A$180=$B36)*ISNUMBER(INDEX(Inputs!$K$5:$AJ$180,0,MATCH(O$2,Inputs!$K$4:$AJ$4,0))))+SUMPRODUCT((Inputs!$C$5:$C$180=$B36)*ISNUMBER(INDEX(Inputs!$K$5:$AJ$180,0,MATCH(O$2,Inputs!$K$4:$AJ$4,0))))+SUMPRODUCT((Inputs!$E$5:$E$180=$B36)*ISNUMBER(INDEX(Inputs!$K$5:$AJ$180,0,MATCH(O$2,Inputs!$K$4:$AJ$4,0))))=0,NA(),SUMPRODUCT((Inputs!$A$5:$A$180=$B36)*Inputs!$B$5:$B$180*(((Inputs!$G$5:$G$180="moeda")+(Inputs!$G$5:$G$180="acoes"))*Inputs!$B$1+((Inputs!$G$5:$G$180&lt;&gt;"moeda")*(Inputs!$G$5:$G$180&lt;&gt;"acoes")))*INDEX(Inputs!$K$5:$AJ$180,0,MATCH(O$2,Inputs!$K$4:$AJ$4,0)))+SUMPRODUCT((Inputs!$C$5:$C$180=$B36)*Inputs!$D$5:$D$180*(((Inputs!$G$5:$G$180="moeda")+(Inputs!$G$5:$G$180="acoes"))*Inputs!$B$1+((Inputs!$G$5:$G$180&lt;&gt;"moeda")*(Inputs!$G$5:$G$180&lt;&gt;"acoes")))*INDEX(Inputs!$K$5:$AJ$180,0,MATCH(O$2,Inputs!$K$4:$AJ$4,0)))+SUMPRODUCT((Inputs!$E$5:$E$180=$B36)*Inputs!$F$5:$F$180*(((Inputs!$G$5:$G$180="moeda")+(Inputs!$G$5:$G$180="acoes"))*Inputs!$B$1+((Inputs!$G$5:$G$180&lt;&gt;"moeda")*(Inputs!$G$5:$G$180&lt;&gt;"acoes")))*INDEX(Inputs!$K$5:$AJ$180,0,MATCH(O$2,Inputs!$K$4:$AJ$4,0)))))</f>
        <v>403.92511688</v>
      </c>
      <c r="P36" s="6">
        <f>IF(ISNA(MATCH(P$2,Inputs!$K$4:$AJ$4,0)),NA(),IF(SUMPRODUCT((Inputs!$A$5:$A$180=$B36)*ISNUMBER(INDEX(Inputs!$K$5:$AJ$180,0,MATCH(P$2,Inputs!$K$4:$AJ$4,0))))+SUMPRODUCT((Inputs!$C$5:$C$180=$B36)*ISNUMBER(INDEX(Inputs!$K$5:$AJ$180,0,MATCH(P$2,Inputs!$K$4:$AJ$4,0))))+SUMPRODUCT((Inputs!$E$5:$E$180=$B36)*ISNUMBER(INDEX(Inputs!$K$5:$AJ$180,0,MATCH(P$2,Inputs!$K$4:$AJ$4,0))))=0,NA(),SUMPRODUCT((Inputs!$A$5:$A$180=$B36)*Inputs!$B$5:$B$180*(((Inputs!$G$5:$G$180="moeda")+(Inputs!$G$5:$G$180="acoes"))*Inputs!$B$1+((Inputs!$G$5:$G$180&lt;&gt;"moeda")*(Inputs!$G$5:$G$180&lt;&gt;"acoes")))*INDEX(Inputs!$K$5:$AJ$180,0,MATCH(P$2,Inputs!$K$4:$AJ$4,0)))+SUMPRODUCT((Inputs!$C$5:$C$180=$B36)*Inputs!$D$5:$D$180*(((Inputs!$G$5:$G$180="moeda")+(Inputs!$G$5:$G$180="acoes"))*Inputs!$B$1+((Inputs!$G$5:$G$180&lt;&gt;"moeda")*(Inputs!$G$5:$G$180&lt;&gt;"acoes")))*INDEX(Inputs!$K$5:$AJ$180,0,MATCH(P$2,Inputs!$K$4:$AJ$4,0)))+SUMPRODUCT((Inputs!$E$5:$E$180=$B36)*Inputs!$F$5:$F$180*(((Inputs!$G$5:$G$180="moeda")+(Inputs!$G$5:$G$180="acoes"))*Inputs!$B$1+((Inputs!$G$5:$G$180&lt;&gt;"moeda")*(Inputs!$G$5:$G$180&lt;&gt;"acoes")))*INDEX(Inputs!$K$5:$AJ$180,0,MATCH(P$2,Inputs!$K$4:$AJ$4,0)))))</f>
        <v>416.52185172</v>
      </c>
      <c r="Q36" s="6">
        <f>IF(ISNA(MATCH(Q$2,Inputs!$K$4:$AJ$4,0)),NA(),IF(SUMPRODUCT((Inputs!$A$5:$A$180=$B36)*ISNUMBER(INDEX(Inputs!$K$5:$AJ$180,0,MATCH(Q$2,Inputs!$K$4:$AJ$4,0))))+SUMPRODUCT((Inputs!$C$5:$C$180=$B36)*ISNUMBER(INDEX(Inputs!$K$5:$AJ$180,0,MATCH(Q$2,Inputs!$K$4:$AJ$4,0))))+SUMPRODUCT((Inputs!$E$5:$E$180=$B36)*ISNUMBER(INDEX(Inputs!$K$5:$AJ$180,0,MATCH(Q$2,Inputs!$K$4:$AJ$4,0))))=0,NA(),SUMPRODUCT((Inputs!$A$5:$A$180=$B36)*Inputs!$B$5:$B$180*(((Inputs!$G$5:$G$180="moeda")+(Inputs!$G$5:$G$180="acoes"))*Inputs!$B$1+((Inputs!$G$5:$G$180&lt;&gt;"moeda")*(Inputs!$G$5:$G$180&lt;&gt;"acoes")))*INDEX(Inputs!$K$5:$AJ$180,0,MATCH(Q$2,Inputs!$K$4:$AJ$4,0)))+SUMPRODUCT((Inputs!$C$5:$C$180=$B36)*Inputs!$D$5:$D$180*(((Inputs!$G$5:$G$180="moeda")+(Inputs!$G$5:$G$180="acoes"))*Inputs!$B$1+((Inputs!$G$5:$G$180&lt;&gt;"moeda")*(Inputs!$G$5:$G$180&lt;&gt;"acoes")))*INDEX(Inputs!$K$5:$AJ$180,0,MATCH(Q$2,Inputs!$K$4:$AJ$4,0)))+SUMPRODUCT((Inputs!$E$5:$E$180=$B36)*Inputs!$F$5:$F$180*(((Inputs!$G$5:$G$180="moeda")+(Inputs!$G$5:$G$180="acoes"))*Inputs!$B$1+((Inputs!$G$5:$G$180&lt;&gt;"moeda")*(Inputs!$G$5:$G$180&lt;&gt;"acoes")))*INDEX(Inputs!$K$5:$AJ$180,0,MATCH(Q$2,Inputs!$K$4:$AJ$4,0)))))</f>
        <v>432.62456006</v>
      </c>
      <c r="R36" s="3">
        <f>Q36</f>
        <v>432.62456006</v>
      </c>
      <c r="S36" s="6">
        <f>IF(ISNA(MATCH(S$2,Inputs!$K$4:$AJ$4,0)),NA(),IF(SUMPRODUCT((Inputs!$A$5:$A$180=$B36)*ISNUMBER(INDEX(Inputs!$K$5:$AJ$180,0,MATCH(S$2,Inputs!$K$4:$AJ$4,0))))+SUMPRODUCT((Inputs!$C$5:$C$180=$B36)*ISNUMBER(INDEX(Inputs!$K$5:$AJ$180,0,MATCH(S$2,Inputs!$K$4:$AJ$4,0))))+SUMPRODUCT((Inputs!$E$5:$E$180=$B36)*ISNUMBER(INDEX(Inputs!$K$5:$AJ$180,0,MATCH(S$2,Inputs!$K$4:$AJ$4,0))))=0,NA(),SUMPRODUCT((Inputs!$A$5:$A$180=$B36)*Inputs!$B$5:$B$180*(((Inputs!$G$5:$G$180="moeda")+(Inputs!$G$5:$G$180="acoes"))*Inputs!$B$1+((Inputs!$G$5:$G$180&lt;&gt;"moeda")*(Inputs!$G$5:$G$180&lt;&gt;"acoes")))*INDEX(Inputs!$K$5:$AJ$180,0,MATCH(S$2,Inputs!$K$4:$AJ$4,0)))+SUMPRODUCT((Inputs!$C$5:$C$180=$B36)*Inputs!$D$5:$D$180*(((Inputs!$G$5:$G$180="moeda")+(Inputs!$G$5:$G$180="acoes"))*Inputs!$B$1+((Inputs!$G$5:$G$180&lt;&gt;"moeda")*(Inputs!$G$5:$G$180&lt;&gt;"acoes")))*INDEX(Inputs!$K$5:$AJ$180,0,MATCH(S$2,Inputs!$K$4:$AJ$4,0)))+SUMPRODUCT((Inputs!$E$5:$E$180=$B36)*Inputs!$F$5:$F$180*(((Inputs!$G$5:$G$180="moeda")+(Inputs!$G$5:$G$180="acoes"))*Inputs!$B$1+((Inputs!$G$5:$G$180&lt;&gt;"moeda")*(Inputs!$G$5:$G$180&lt;&gt;"acoes")))*INDEX(Inputs!$K$5:$AJ$180,0,MATCH(S$2,Inputs!$K$4:$AJ$4,0)))))</f>
        <v>441.9748787</v>
      </c>
      <c r="T36" s="6">
        <f>IF(ISNA(MATCH(T$2,Inputs!$K$4:$AJ$4,0)),NA(),IF(SUMPRODUCT((Inputs!$A$5:$A$180=$B36)*ISNUMBER(INDEX(Inputs!$K$5:$AJ$180,0,MATCH(T$2,Inputs!$K$4:$AJ$4,0))))+SUMPRODUCT((Inputs!$C$5:$C$180=$B36)*ISNUMBER(INDEX(Inputs!$K$5:$AJ$180,0,MATCH(T$2,Inputs!$K$4:$AJ$4,0))))+SUMPRODUCT((Inputs!$E$5:$E$180=$B36)*ISNUMBER(INDEX(Inputs!$K$5:$AJ$180,0,MATCH(T$2,Inputs!$K$4:$AJ$4,0))))=0,NA(),SUMPRODUCT((Inputs!$A$5:$A$180=$B36)*Inputs!$B$5:$B$180*(((Inputs!$G$5:$G$180="moeda")+(Inputs!$G$5:$G$180="acoes"))*Inputs!$B$1+((Inputs!$G$5:$G$180&lt;&gt;"moeda")*(Inputs!$G$5:$G$180&lt;&gt;"acoes")))*INDEX(Inputs!$K$5:$AJ$180,0,MATCH(T$2,Inputs!$K$4:$AJ$4,0)))+SUMPRODUCT((Inputs!$C$5:$C$180=$B36)*Inputs!$D$5:$D$180*(((Inputs!$G$5:$G$180="moeda")+(Inputs!$G$5:$G$180="acoes"))*Inputs!$B$1+((Inputs!$G$5:$G$180&lt;&gt;"moeda")*(Inputs!$G$5:$G$180&lt;&gt;"acoes")))*INDEX(Inputs!$K$5:$AJ$180,0,MATCH(T$2,Inputs!$K$4:$AJ$4,0)))+SUMPRODUCT((Inputs!$E$5:$E$180=$B36)*Inputs!$F$5:$F$180*(((Inputs!$G$5:$G$180="moeda")+(Inputs!$G$5:$G$180="acoes"))*Inputs!$B$1+((Inputs!$G$5:$G$180&lt;&gt;"moeda")*(Inputs!$G$5:$G$180&lt;&gt;"acoes")))*INDEX(Inputs!$K$5:$AJ$180,0,MATCH(T$2,Inputs!$K$4:$AJ$4,0)))))</f>
        <v>449.60447687</v>
      </c>
      <c r="U36" s="6">
        <f>IF(ISNA(MATCH(U$2,Inputs!$K$4:$AJ$4,0)),NA(),IF(SUMPRODUCT((Inputs!$A$5:$A$180=$B36)*ISNUMBER(INDEX(Inputs!$K$5:$AJ$180,0,MATCH(U$2,Inputs!$K$4:$AJ$4,0))))+SUMPRODUCT((Inputs!$C$5:$C$180=$B36)*ISNUMBER(INDEX(Inputs!$K$5:$AJ$180,0,MATCH(U$2,Inputs!$K$4:$AJ$4,0))))+SUMPRODUCT((Inputs!$E$5:$E$180=$B36)*ISNUMBER(INDEX(Inputs!$K$5:$AJ$180,0,MATCH(U$2,Inputs!$K$4:$AJ$4,0))))=0,NA(),SUMPRODUCT((Inputs!$A$5:$A$180=$B36)*Inputs!$B$5:$B$180*(((Inputs!$G$5:$G$180="moeda")+(Inputs!$G$5:$G$180="acoes"))*Inputs!$B$1+((Inputs!$G$5:$G$180&lt;&gt;"moeda")*(Inputs!$G$5:$G$180&lt;&gt;"acoes")))*INDEX(Inputs!$K$5:$AJ$180,0,MATCH(U$2,Inputs!$K$4:$AJ$4,0)))+SUMPRODUCT((Inputs!$C$5:$C$180=$B36)*Inputs!$D$5:$D$180*(((Inputs!$G$5:$G$180="moeda")+(Inputs!$G$5:$G$180="acoes"))*Inputs!$B$1+((Inputs!$G$5:$G$180&lt;&gt;"moeda")*(Inputs!$G$5:$G$180&lt;&gt;"acoes")))*INDEX(Inputs!$K$5:$AJ$180,0,MATCH(U$2,Inputs!$K$4:$AJ$4,0)))+SUMPRODUCT((Inputs!$E$5:$E$180=$B36)*Inputs!$F$5:$F$180*(((Inputs!$G$5:$G$180="moeda")+(Inputs!$G$5:$G$180="acoes"))*Inputs!$B$1+((Inputs!$G$5:$G$180&lt;&gt;"moeda")*(Inputs!$G$5:$G$180&lt;&gt;"acoes")))*INDEX(Inputs!$K$5:$AJ$180,0,MATCH(U$2,Inputs!$K$4:$AJ$4,0)))))</f>
        <v>453.210842479359</v>
      </c>
      <c r="V36" s="6">
        <f>IF(ISNA(MATCH(V$2,Inputs!$K$4:$AJ$4,0)),NA(),IF(SUMPRODUCT((Inputs!$A$5:$A$180=$B36)*ISNUMBER(INDEX(Inputs!$K$5:$AJ$180,0,MATCH(V$2,Inputs!$K$4:$AJ$4,0))))+SUMPRODUCT((Inputs!$C$5:$C$180=$B36)*ISNUMBER(INDEX(Inputs!$K$5:$AJ$180,0,MATCH(V$2,Inputs!$K$4:$AJ$4,0))))+SUMPRODUCT((Inputs!$E$5:$E$180=$B36)*ISNUMBER(INDEX(Inputs!$K$5:$AJ$180,0,MATCH(V$2,Inputs!$K$4:$AJ$4,0))))=0,NA(),SUMPRODUCT((Inputs!$A$5:$A$180=$B36)*Inputs!$B$5:$B$180*(((Inputs!$G$5:$G$180="moeda")+(Inputs!$G$5:$G$180="acoes"))*Inputs!$B$1+((Inputs!$G$5:$G$180&lt;&gt;"moeda")*(Inputs!$G$5:$G$180&lt;&gt;"acoes")))*INDEX(Inputs!$K$5:$AJ$180,0,MATCH(V$2,Inputs!$K$4:$AJ$4,0)))+SUMPRODUCT((Inputs!$C$5:$C$180=$B36)*Inputs!$D$5:$D$180*(((Inputs!$G$5:$G$180="moeda")+(Inputs!$G$5:$G$180="acoes"))*Inputs!$B$1+((Inputs!$G$5:$G$180&lt;&gt;"moeda")*(Inputs!$G$5:$G$180&lt;&gt;"acoes")))*INDEX(Inputs!$K$5:$AJ$180,0,MATCH(V$2,Inputs!$K$4:$AJ$4,0)))+SUMPRODUCT((Inputs!$E$5:$E$180=$B36)*Inputs!$F$5:$F$180*(((Inputs!$G$5:$G$180="moeda")+(Inputs!$G$5:$G$180="acoes"))*Inputs!$B$1+((Inputs!$G$5:$G$180&lt;&gt;"moeda")*(Inputs!$G$5:$G$180&lt;&gt;"acoes")))*INDEX(Inputs!$K$5:$AJ$180,0,MATCH(V$2,Inputs!$K$4:$AJ$4,0)))))</f>
        <v>472.13059294</v>
      </c>
      <c r="W36" s="3">
        <f>V36</f>
        <v>472.13059294</v>
      </c>
      <c r="X36" s="6">
        <f>IF(ISNA(MATCH(X$2,Inputs!$K$4:$AJ$4,0)),NA(),IF(SUMPRODUCT((Inputs!$A$5:$A$180=$B36)*ISNUMBER(INDEX(Inputs!$K$5:$AJ$180,0,MATCH(X$2,Inputs!$K$4:$AJ$4,0))))+SUMPRODUCT((Inputs!$C$5:$C$180=$B36)*ISNUMBER(INDEX(Inputs!$K$5:$AJ$180,0,MATCH(X$2,Inputs!$K$4:$AJ$4,0))))+SUMPRODUCT((Inputs!$E$5:$E$180=$B36)*ISNUMBER(INDEX(Inputs!$K$5:$AJ$180,0,MATCH(X$2,Inputs!$K$4:$AJ$4,0))))=0,NA(),SUMPRODUCT((Inputs!$A$5:$A$180=$B36)*Inputs!$B$5:$B$180*(((Inputs!$G$5:$G$180="moeda")+(Inputs!$G$5:$G$180="acoes"))*Inputs!$B$1+((Inputs!$G$5:$G$180&lt;&gt;"moeda")*(Inputs!$G$5:$G$180&lt;&gt;"acoes")))*INDEX(Inputs!$K$5:$AJ$180,0,MATCH(X$2,Inputs!$K$4:$AJ$4,0)))+SUMPRODUCT((Inputs!$C$5:$C$180=$B36)*Inputs!$D$5:$D$180*(((Inputs!$G$5:$G$180="moeda")+(Inputs!$G$5:$G$180="acoes"))*Inputs!$B$1+((Inputs!$G$5:$G$180&lt;&gt;"moeda")*(Inputs!$G$5:$G$180&lt;&gt;"acoes")))*INDEX(Inputs!$K$5:$AJ$180,0,MATCH(X$2,Inputs!$K$4:$AJ$4,0)))+SUMPRODUCT((Inputs!$E$5:$E$180=$B36)*Inputs!$F$5:$F$180*(((Inputs!$G$5:$G$180="moeda")+(Inputs!$G$5:$G$180="acoes"))*Inputs!$B$1+((Inputs!$G$5:$G$180&lt;&gt;"moeda")*(Inputs!$G$5:$G$180&lt;&gt;"acoes")))*INDEX(Inputs!$K$5:$AJ$180,0,MATCH(X$2,Inputs!$K$4:$AJ$4,0)))))</f>
        <v>496.43663268</v>
      </c>
      <c r="Y36" s="6">
        <f>IF(ISNA(MATCH(Y$2,Inputs!$K$4:$AJ$4,0)),NA(),IF(SUMPRODUCT((Inputs!$A$5:$A$180=$B36)*ISNUMBER(INDEX(Inputs!$K$5:$AJ$180,0,MATCH(Y$2,Inputs!$K$4:$AJ$4,0))))+SUMPRODUCT((Inputs!$C$5:$C$180=$B36)*ISNUMBER(INDEX(Inputs!$K$5:$AJ$180,0,MATCH(Y$2,Inputs!$K$4:$AJ$4,0))))+SUMPRODUCT((Inputs!$E$5:$E$180=$B36)*ISNUMBER(INDEX(Inputs!$K$5:$AJ$180,0,MATCH(Y$2,Inputs!$K$4:$AJ$4,0))))=0,NA(),SUMPRODUCT((Inputs!$A$5:$A$180=$B36)*Inputs!$B$5:$B$180*(((Inputs!$G$5:$G$180="moeda")+(Inputs!$G$5:$G$180="acoes"))*Inputs!$B$1+((Inputs!$G$5:$G$180&lt;&gt;"moeda")*(Inputs!$G$5:$G$180&lt;&gt;"acoes")))*INDEX(Inputs!$K$5:$AJ$180,0,MATCH(Y$2,Inputs!$K$4:$AJ$4,0)))+SUMPRODUCT((Inputs!$C$5:$C$180=$B36)*Inputs!$D$5:$D$180*(((Inputs!$G$5:$G$180="moeda")+(Inputs!$G$5:$G$180="acoes"))*Inputs!$B$1+((Inputs!$G$5:$G$180&lt;&gt;"moeda")*(Inputs!$G$5:$G$180&lt;&gt;"acoes")))*INDEX(Inputs!$K$5:$AJ$180,0,MATCH(Y$2,Inputs!$K$4:$AJ$4,0)))+SUMPRODUCT((Inputs!$E$5:$E$180=$B36)*Inputs!$F$5:$F$180*(((Inputs!$G$5:$G$180="moeda")+(Inputs!$G$5:$G$180="acoes"))*Inputs!$B$1+((Inputs!$G$5:$G$180&lt;&gt;"moeda")*(Inputs!$G$5:$G$180&lt;&gt;"acoes")))*INDEX(Inputs!$K$5:$AJ$180,0,MATCH(Y$2,Inputs!$K$4:$AJ$4,0)))))</f>
        <v>495.06846211</v>
      </c>
      <c r="Z36" s="6">
        <f>IF(ISNA(MATCH(Z$2,Inputs!$K$4:$AJ$4,0)),NA(),IF(SUMPRODUCT((Inputs!$A$5:$A$180=$B36)*ISNUMBER(INDEX(Inputs!$K$5:$AJ$180,0,MATCH(Z$2,Inputs!$K$4:$AJ$4,0))))+SUMPRODUCT((Inputs!$C$5:$C$180=$B36)*ISNUMBER(INDEX(Inputs!$K$5:$AJ$180,0,MATCH(Z$2,Inputs!$K$4:$AJ$4,0))))+SUMPRODUCT((Inputs!$E$5:$E$180=$B36)*ISNUMBER(INDEX(Inputs!$K$5:$AJ$180,0,MATCH(Z$2,Inputs!$K$4:$AJ$4,0))))=0,NA(),SUMPRODUCT((Inputs!$A$5:$A$180=$B36)*Inputs!$B$5:$B$180*(((Inputs!$G$5:$G$180="moeda")+(Inputs!$G$5:$G$180="acoes"))*Inputs!$B$1+((Inputs!$G$5:$G$180&lt;&gt;"moeda")*(Inputs!$G$5:$G$180&lt;&gt;"acoes")))*INDEX(Inputs!$K$5:$AJ$180,0,MATCH(Z$2,Inputs!$K$4:$AJ$4,0)))+SUMPRODUCT((Inputs!$C$5:$C$180=$B36)*Inputs!$D$5:$D$180*(((Inputs!$G$5:$G$180="moeda")+(Inputs!$G$5:$G$180="acoes"))*Inputs!$B$1+((Inputs!$G$5:$G$180&lt;&gt;"moeda")*(Inputs!$G$5:$G$180&lt;&gt;"acoes")))*INDEX(Inputs!$K$5:$AJ$180,0,MATCH(Z$2,Inputs!$K$4:$AJ$4,0)))+SUMPRODUCT((Inputs!$E$5:$E$180=$B36)*Inputs!$F$5:$F$180*(((Inputs!$G$5:$G$180="moeda")+(Inputs!$G$5:$G$180="acoes"))*Inputs!$B$1+((Inputs!$G$5:$G$180&lt;&gt;"moeda")*(Inputs!$G$5:$G$180&lt;&gt;"acoes")))*INDEX(Inputs!$K$5:$AJ$180,0,MATCH(Z$2,Inputs!$K$4:$AJ$4,0)))))</f>
        <v>595.771</v>
      </c>
      <c r="AA36" s="6">
        <f>IF(ISNA(MATCH(AA$2,Inputs!$K$4:$AJ$4,0)),NA(),IF(SUMPRODUCT((Inputs!$A$5:$A$180=$B36)*ISNUMBER(INDEX(Inputs!$K$5:$AJ$180,0,MATCH(AA$2,Inputs!$K$4:$AJ$4,0))))+SUMPRODUCT((Inputs!$C$5:$C$180=$B36)*ISNUMBER(INDEX(Inputs!$K$5:$AJ$180,0,MATCH(AA$2,Inputs!$K$4:$AJ$4,0))))+SUMPRODUCT((Inputs!$E$5:$E$180=$B36)*ISNUMBER(INDEX(Inputs!$K$5:$AJ$180,0,MATCH(AA$2,Inputs!$K$4:$AJ$4,0))))=0,NA(),SUMPRODUCT((Inputs!$A$5:$A$180=$B36)*Inputs!$B$5:$B$180*(((Inputs!$G$5:$G$180="moeda")+(Inputs!$G$5:$G$180="acoes"))*Inputs!$B$1+((Inputs!$G$5:$G$180&lt;&gt;"moeda")*(Inputs!$G$5:$G$180&lt;&gt;"acoes")))*INDEX(Inputs!$K$5:$AJ$180,0,MATCH(AA$2,Inputs!$K$4:$AJ$4,0)))+SUMPRODUCT((Inputs!$C$5:$C$180=$B36)*Inputs!$D$5:$D$180*(((Inputs!$G$5:$G$180="moeda")+(Inputs!$G$5:$G$180="acoes"))*Inputs!$B$1+((Inputs!$G$5:$G$180&lt;&gt;"moeda")*(Inputs!$G$5:$G$180&lt;&gt;"acoes")))*INDEX(Inputs!$K$5:$AJ$180,0,MATCH(AA$2,Inputs!$K$4:$AJ$4,0)))+SUMPRODUCT((Inputs!$E$5:$E$180=$B36)*Inputs!$F$5:$F$180*(((Inputs!$G$5:$G$180="moeda")+(Inputs!$G$5:$G$180="acoes"))*Inputs!$B$1+((Inputs!$G$5:$G$180&lt;&gt;"moeda")*(Inputs!$G$5:$G$180&lt;&gt;"acoes")))*INDEX(Inputs!$K$5:$AJ$180,0,MATCH(AA$2,Inputs!$K$4:$AJ$4,0)))))</f>
        <v>599.51792284</v>
      </c>
      <c r="AB36" s="3">
        <f>AA36</f>
        <v>599.51792284</v>
      </c>
      <c r="AC36" s="6">
        <f>IF(ISNA(MATCH(AC$2,Inputs!$K$4:$AJ$4,0)),NA(),IF(SUMPRODUCT((Inputs!$A$5:$A$180=$B36)*ISNUMBER(INDEX(Inputs!$K$5:$AJ$180,0,MATCH(AC$2,Inputs!$K$4:$AJ$4,0))))+SUMPRODUCT((Inputs!$C$5:$C$180=$B36)*ISNUMBER(INDEX(Inputs!$K$5:$AJ$180,0,MATCH(AC$2,Inputs!$K$4:$AJ$4,0))))+SUMPRODUCT((Inputs!$E$5:$E$180=$B36)*ISNUMBER(INDEX(Inputs!$K$5:$AJ$180,0,MATCH(AC$2,Inputs!$K$4:$AJ$4,0))))=0,NA(),SUMPRODUCT((Inputs!$A$5:$A$180=$B36)*Inputs!$B$5:$B$180*(((Inputs!$G$5:$G$180="moeda")+(Inputs!$G$5:$G$180="acoes"))*Inputs!$B$1+((Inputs!$G$5:$G$180&lt;&gt;"moeda")*(Inputs!$G$5:$G$180&lt;&gt;"acoes")))*INDEX(Inputs!$K$5:$AJ$180,0,MATCH(AC$2,Inputs!$K$4:$AJ$4,0)))+SUMPRODUCT((Inputs!$C$5:$C$180=$B36)*Inputs!$D$5:$D$180*(((Inputs!$G$5:$G$180="moeda")+(Inputs!$G$5:$G$180="acoes"))*Inputs!$B$1+((Inputs!$G$5:$G$180&lt;&gt;"moeda")*(Inputs!$G$5:$G$180&lt;&gt;"acoes")))*INDEX(Inputs!$K$5:$AJ$180,0,MATCH(AC$2,Inputs!$K$4:$AJ$4,0)))+SUMPRODUCT((Inputs!$E$5:$E$180=$B36)*Inputs!$F$5:$F$180*(((Inputs!$G$5:$G$180="moeda")+(Inputs!$G$5:$G$180="acoes"))*Inputs!$B$1+((Inputs!$G$5:$G$180&lt;&gt;"moeda")*(Inputs!$G$5:$G$180&lt;&gt;"acoes")))*INDEX(Inputs!$K$5:$AJ$180,0,MATCH(AC$2,Inputs!$K$4:$AJ$4,0)))))</f>
        <v>598.94270661</v>
      </c>
      <c r="AD36" s="6">
        <f>IF(ISNA(MATCH(AD$2,Inputs!$K$4:$AJ$4,0)),NA(),IF(SUMPRODUCT((Inputs!$A$5:$A$180=$B36)*ISNUMBER(INDEX(Inputs!$K$5:$AJ$180,0,MATCH(AD$2,Inputs!$K$4:$AJ$4,0))))+SUMPRODUCT((Inputs!$C$5:$C$180=$B36)*ISNUMBER(INDEX(Inputs!$K$5:$AJ$180,0,MATCH(AD$2,Inputs!$K$4:$AJ$4,0))))+SUMPRODUCT((Inputs!$E$5:$E$180=$B36)*ISNUMBER(INDEX(Inputs!$K$5:$AJ$180,0,MATCH(AD$2,Inputs!$K$4:$AJ$4,0))))=0,NA(),SUMPRODUCT((Inputs!$A$5:$A$180=$B36)*Inputs!$B$5:$B$180*(((Inputs!$G$5:$G$180="moeda")+(Inputs!$G$5:$G$180="acoes"))*Inputs!$B$1+((Inputs!$G$5:$G$180&lt;&gt;"moeda")*(Inputs!$G$5:$G$180&lt;&gt;"acoes")))*INDEX(Inputs!$K$5:$AJ$180,0,MATCH(AD$2,Inputs!$K$4:$AJ$4,0)))+SUMPRODUCT((Inputs!$C$5:$C$180=$B36)*Inputs!$D$5:$D$180*(((Inputs!$G$5:$G$180="moeda")+(Inputs!$G$5:$G$180="acoes"))*Inputs!$B$1+((Inputs!$G$5:$G$180&lt;&gt;"moeda")*(Inputs!$G$5:$G$180&lt;&gt;"acoes")))*INDEX(Inputs!$K$5:$AJ$180,0,MATCH(AD$2,Inputs!$K$4:$AJ$4,0)))+SUMPRODUCT((Inputs!$E$5:$E$180=$B36)*Inputs!$F$5:$F$180*(((Inputs!$G$5:$G$180="moeda")+(Inputs!$G$5:$G$180="acoes"))*Inputs!$B$1+((Inputs!$G$5:$G$180&lt;&gt;"moeda")*(Inputs!$G$5:$G$180&lt;&gt;"acoes")))*INDEX(Inputs!$K$5:$AJ$180,0,MATCH(AD$2,Inputs!$K$4:$AJ$4,0)))))</f>
        <v>608.46509458</v>
      </c>
      <c r="AE36" s="6" t="e">
        <f>IF(ISNA(MATCH(AE$2,Inputs!$K$4:$AJ$4,0)),NA(),IF(SUMPRODUCT((Inputs!$A$5:$A$180=$B36)*ISNUMBER(INDEX(Inputs!$K$5:$AJ$180,0,MATCH(AE$2,Inputs!$K$4:$AJ$4,0))))+SUMPRODUCT((Inputs!$C$5:$C$180=$B36)*ISNUMBER(INDEX(Inputs!$K$5:$AJ$180,0,MATCH(AE$2,Inputs!$K$4:$AJ$4,0))))+SUMPRODUCT((Inputs!$E$5:$E$180=$B36)*ISNUMBER(INDEX(Inputs!$K$5:$AJ$180,0,MATCH(AE$2,Inputs!$K$4:$AJ$4,0))))=0,NA(),SUMPRODUCT((Inputs!$A$5:$A$180=$B36)*Inputs!$B$5:$B$180*(((Inputs!$G$5:$G$180="moeda")+(Inputs!$G$5:$G$180="acoes"))*Inputs!$B$1+((Inputs!$G$5:$G$180&lt;&gt;"moeda")*(Inputs!$G$5:$G$180&lt;&gt;"acoes")))*INDEX(Inputs!$K$5:$AJ$180,0,MATCH(AE$2,Inputs!$K$4:$AJ$4,0)))+SUMPRODUCT((Inputs!$C$5:$C$180=$B36)*Inputs!$D$5:$D$180*(((Inputs!$G$5:$G$180="moeda")+(Inputs!$G$5:$G$180="acoes"))*Inputs!$B$1+((Inputs!$G$5:$G$180&lt;&gt;"moeda")*(Inputs!$G$5:$G$180&lt;&gt;"acoes")))*INDEX(Inputs!$K$5:$AJ$180,0,MATCH(AE$2,Inputs!$K$4:$AJ$4,0)))+SUMPRODUCT((Inputs!$E$5:$E$180=$B36)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6" s="6" t="e">
        <f>IF(ISNA(MATCH(AF$2,Inputs!$K$4:$AJ$4,0)),NA(),IF(SUMPRODUCT((Inputs!$A$5:$A$180=$B36)*ISNUMBER(INDEX(Inputs!$K$5:$AJ$180,0,MATCH(AF$2,Inputs!$K$4:$AJ$4,0))))+SUMPRODUCT((Inputs!$C$5:$C$180=$B36)*ISNUMBER(INDEX(Inputs!$K$5:$AJ$180,0,MATCH(AF$2,Inputs!$K$4:$AJ$4,0))))+SUMPRODUCT((Inputs!$E$5:$E$180=$B36)*ISNUMBER(INDEX(Inputs!$K$5:$AJ$180,0,MATCH(AF$2,Inputs!$K$4:$AJ$4,0))))=0,NA(),SUMPRODUCT((Inputs!$A$5:$A$180=$B36)*Inputs!$B$5:$B$180*(((Inputs!$G$5:$G$180="moeda")+(Inputs!$G$5:$G$180="acoes"))*Inputs!$B$1+((Inputs!$G$5:$G$180&lt;&gt;"moeda")*(Inputs!$G$5:$G$180&lt;&gt;"acoes")))*INDEX(Inputs!$K$5:$AJ$180,0,MATCH(AF$2,Inputs!$K$4:$AJ$4,0)))+SUMPRODUCT((Inputs!$C$5:$C$180=$B36)*Inputs!$D$5:$D$180*(((Inputs!$G$5:$G$180="moeda")+(Inputs!$G$5:$G$180="acoes"))*Inputs!$B$1+((Inputs!$G$5:$G$180&lt;&gt;"moeda")*(Inputs!$G$5:$G$180&lt;&gt;"acoes")))*INDEX(Inputs!$K$5:$AJ$180,0,MATCH(AF$2,Inputs!$K$4:$AJ$4,0)))+SUMPRODUCT((Inputs!$E$5:$E$180=$B36)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6" s="3" t="e">
        <f>AF36</f>
        <v>#N/A</v>
      </c>
      <c r="AH36" s="6">
        <f>IF(ISNA(MATCH(AH$2,Inputs!$K$4:$AJ$4,0)),NA(),IF(SUMPRODUCT((Inputs!$A$5:$A$180=$B36)*ISNUMBER(INDEX(Inputs!$K$5:$AJ$180,0,MATCH(AH$2,Inputs!$K$4:$AJ$4,0))))+SUMPRODUCT((Inputs!$C$5:$C$180=$B36)*ISNUMBER(INDEX(Inputs!$K$5:$AJ$180,0,MATCH(AH$2,Inputs!$K$4:$AJ$4,0))))+SUMPRODUCT((Inputs!$E$5:$E$180=$B36)*ISNUMBER(INDEX(Inputs!$K$5:$AJ$180,0,MATCH(AH$2,Inputs!$K$4:$AJ$4,0))))=0,NA(),SUMPRODUCT((Inputs!$A$5:$A$180=$B36)*Inputs!$B$5:$B$180*(((Inputs!$G$5:$G$180="moeda")+(Inputs!$G$5:$G$180="acoes"))*Inputs!$B$1+((Inputs!$G$5:$G$180&lt;&gt;"moeda")*(Inputs!$G$5:$G$180&lt;&gt;"acoes")))*INDEX(Inputs!$K$5:$AJ$180,0,MATCH(AH$2,Inputs!$K$4:$AJ$4,0)))+SUMPRODUCT((Inputs!$C$5:$C$180=$B36)*Inputs!$D$5:$D$180*(((Inputs!$G$5:$G$180="moeda")+(Inputs!$G$5:$G$180="acoes"))*Inputs!$B$1+((Inputs!$G$5:$G$180&lt;&gt;"moeda")*(Inputs!$G$5:$G$180&lt;&gt;"acoes")))*INDEX(Inputs!$K$5:$AJ$180,0,MATCH(AH$2,Inputs!$K$4:$AJ$4,0)))+SUMPRODUCT((Inputs!$E$5:$E$180=$B36)*Inputs!$F$5:$F$180*(((Inputs!$G$5:$G$180="moeda")+(Inputs!$G$5:$G$180="acoes"))*Inputs!$B$1+((Inputs!$G$5:$G$180&lt;&gt;"moeda")*(Inputs!$G$5:$G$180&lt;&gt;"acoes")))*INDEX(Inputs!$K$5:$AJ$180,0,MATCH(AH$2,Inputs!$K$4:$AJ$4,0)))))</f>
        <v>228.751</v>
      </c>
      <c r="AI36" s="6">
        <f>IF(ISNA(MATCH(AI$2,Inputs!$K$4:$AJ$4,0)),NA(),IF(SUMPRODUCT((Inputs!$A$5:$A$180=$B36)*ISNUMBER(INDEX(Inputs!$K$5:$AJ$180,0,MATCH(AI$2,Inputs!$K$4:$AJ$4,0))))+SUMPRODUCT((Inputs!$C$5:$C$180=$B36)*ISNUMBER(INDEX(Inputs!$K$5:$AJ$180,0,MATCH(AI$2,Inputs!$K$4:$AJ$4,0))))+SUMPRODUCT((Inputs!$E$5:$E$180=$B36)*ISNUMBER(INDEX(Inputs!$K$5:$AJ$180,0,MATCH(AI$2,Inputs!$K$4:$AJ$4,0))))=0,NA(),SUMPRODUCT((Inputs!$A$5:$A$180=$B36)*Inputs!$B$5:$B$180*(((Inputs!$G$5:$G$180="moeda")+(Inputs!$G$5:$G$180="acoes"))*Inputs!$B$1+((Inputs!$G$5:$G$180&lt;&gt;"moeda")*(Inputs!$G$5:$G$180&lt;&gt;"acoes")))*INDEX(Inputs!$K$5:$AJ$180,0,MATCH(AI$2,Inputs!$K$4:$AJ$4,0)))+SUMPRODUCT((Inputs!$C$5:$C$180=$B36)*Inputs!$D$5:$D$180*(((Inputs!$G$5:$G$180="moeda")+(Inputs!$G$5:$G$180="acoes"))*Inputs!$B$1+((Inputs!$G$5:$G$180&lt;&gt;"moeda")*(Inputs!$G$5:$G$180&lt;&gt;"acoes")))*INDEX(Inputs!$K$5:$AJ$180,0,MATCH(AI$2,Inputs!$K$4:$AJ$4,0)))+SUMPRODUCT((Inputs!$E$5:$E$180=$B36)*Inputs!$F$5:$F$180*(((Inputs!$G$5:$G$180="moeda")+(Inputs!$G$5:$G$180="acoes"))*Inputs!$B$1+((Inputs!$G$5:$G$180&lt;&gt;"moeda")*(Inputs!$G$5:$G$180&lt;&gt;"acoes")))*INDEX(Inputs!$K$5:$AJ$180,0,MATCH(AI$2,Inputs!$K$4:$AJ$4,0)))))</f>
        <v>225.65729671</v>
      </c>
      <c r="AJ36" s="6">
        <f>IF(ISNA(MATCH(AJ$2,Inputs!$K$4:$AJ$4,0)),NA(),IF(SUMPRODUCT((Inputs!$A$5:$A$180=$B36)*ISNUMBER(INDEX(Inputs!$K$5:$AJ$180,0,MATCH(AJ$2,Inputs!$K$4:$AJ$4,0))))+SUMPRODUCT((Inputs!$C$5:$C$180=$B36)*ISNUMBER(INDEX(Inputs!$K$5:$AJ$180,0,MATCH(AJ$2,Inputs!$K$4:$AJ$4,0))))+SUMPRODUCT((Inputs!$E$5:$E$180=$B36)*ISNUMBER(INDEX(Inputs!$K$5:$AJ$180,0,MATCH(AJ$2,Inputs!$K$4:$AJ$4,0))))=0,NA(),SUMPRODUCT((Inputs!$A$5:$A$180=$B36)*Inputs!$B$5:$B$180*(((Inputs!$G$5:$G$180="moeda")+(Inputs!$G$5:$G$180="acoes"))*Inputs!$B$1+((Inputs!$G$5:$G$180&lt;&gt;"moeda")*(Inputs!$G$5:$G$180&lt;&gt;"acoes")))*INDEX(Inputs!$K$5:$AJ$180,0,MATCH(AJ$2,Inputs!$K$4:$AJ$4,0)))+SUMPRODUCT((Inputs!$C$5:$C$180=$B36)*Inputs!$D$5:$D$180*(((Inputs!$G$5:$G$180="moeda")+(Inputs!$G$5:$G$180="acoes"))*Inputs!$B$1+((Inputs!$G$5:$G$180&lt;&gt;"moeda")*(Inputs!$G$5:$G$180&lt;&gt;"acoes")))*INDEX(Inputs!$K$5:$AJ$180,0,MATCH(AJ$2,Inputs!$K$4:$AJ$4,0)))+SUMPRODUCT((Inputs!$E$5:$E$180=$B36)*Inputs!$F$5:$F$180*(((Inputs!$G$5:$G$180="moeda")+(Inputs!$G$5:$G$180="acoes"))*Inputs!$B$1+((Inputs!$G$5:$G$180&lt;&gt;"moeda")*(Inputs!$G$5:$G$180&lt;&gt;"acoes")))*INDEX(Inputs!$K$5:$AJ$180,0,MATCH(AJ$2,Inputs!$K$4:$AJ$4,0)))))</f>
        <v>236.67166187</v>
      </c>
      <c r="AK36" s="6">
        <f>IF(ISNA(MATCH(AK$2,Inputs!$K$4:$AJ$4,0)),NA(),IF(SUMPRODUCT((Inputs!$A$5:$A$180=$B36)*ISNUMBER(INDEX(Inputs!$K$5:$AJ$180,0,MATCH(AK$2,Inputs!$K$4:$AJ$4,0))))+SUMPRODUCT((Inputs!$C$5:$C$180=$B36)*ISNUMBER(INDEX(Inputs!$K$5:$AJ$180,0,MATCH(AK$2,Inputs!$K$4:$AJ$4,0))))+SUMPRODUCT((Inputs!$E$5:$E$180=$B36)*ISNUMBER(INDEX(Inputs!$K$5:$AJ$180,0,MATCH(AK$2,Inputs!$K$4:$AJ$4,0))))=0,NA(),SUMPRODUCT((Inputs!$A$5:$A$180=$B36)*Inputs!$B$5:$B$180*(((Inputs!$G$5:$G$180="moeda")+(Inputs!$G$5:$G$180="acoes"))*Inputs!$B$1+((Inputs!$G$5:$G$180&lt;&gt;"moeda")*(Inputs!$G$5:$G$180&lt;&gt;"acoes")))*INDEX(Inputs!$K$5:$AJ$180,0,MATCH(AK$2,Inputs!$K$4:$AJ$4,0)))+SUMPRODUCT((Inputs!$C$5:$C$180=$B36)*Inputs!$D$5:$D$180*(((Inputs!$G$5:$G$180="moeda")+(Inputs!$G$5:$G$180="acoes"))*Inputs!$B$1+((Inputs!$G$5:$G$180&lt;&gt;"moeda")*(Inputs!$G$5:$G$180&lt;&gt;"acoes")))*INDEX(Inputs!$K$5:$AJ$180,0,MATCH(AK$2,Inputs!$K$4:$AJ$4,0)))+SUMPRODUCT((Inputs!$E$5:$E$180=$B36)*Inputs!$F$5:$F$180*(((Inputs!$G$5:$G$180="moeda")+(Inputs!$G$5:$G$180="acoes"))*Inputs!$B$1+((Inputs!$G$5:$G$180&lt;&gt;"moeda")*(Inputs!$G$5:$G$180&lt;&gt;"acoes")))*INDEX(Inputs!$K$5:$AJ$180,0,MATCH(AK$2,Inputs!$K$4:$AJ$4,0)))))</f>
        <v>235.27346437</v>
      </c>
      <c r="AL36" s="3">
        <f>AK36</f>
        <v>235.27346437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$180=$B37)*ISNUMBER(INDEX(Inputs!$K$5:$AJ$180,0,MATCH(D$2,Inputs!$K$4:$AJ$4,0))))+SUMPRODUCT((Inputs!$C$5:$C$180=$B37)*ISNUMBER(INDEX(Inputs!$K$5:$AJ$180,0,MATCH(D$2,Inputs!$K$4:$AJ$4,0))))+SUMPRODUCT((Inputs!$E$5:$E$180=$B37)*ISNUMBER(INDEX(Inputs!$K$5:$AJ$180,0,MATCH(D$2,Inputs!$K$4:$AJ$4,0))))=0,NA(),SUMPRODUCT((Inputs!$A$5:$A$180=$B37)*Inputs!$B$5:$B$180*(((Inputs!$G$5:$G$180="moeda")+(Inputs!$G$5:$G$180="acoes"))*Inputs!$B$1+((Inputs!$G$5:$G$180&lt;&gt;"moeda")*(Inputs!$G$5:$G$180&lt;&gt;"acoes")))*INDEX(Inputs!$K$5:$AJ$180,0,MATCH(D$2,Inputs!$K$4:$AJ$4,0)))+SUMPRODUCT((Inputs!$C$5:$C$180=$B37)*Inputs!$D$5:$D$180*(((Inputs!$G$5:$G$180="moeda")+(Inputs!$G$5:$G$180="acoes"))*Inputs!$B$1+((Inputs!$G$5:$G$180&lt;&gt;"moeda")*(Inputs!$G$5:$G$180&lt;&gt;"acoes")))*INDEX(Inputs!$K$5:$AJ$180,0,MATCH(D$2,Inputs!$K$4:$AJ$4,0)))+SUMPRODUCT((Inputs!$E$5:$E$180=$B37)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7" s="6" t="e">
        <f>IF(ISNA(MATCH(E$2,Inputs!$K$4:$AJ$4,0)),NA(),IF(SUMPRODUCT((Inputs!$A$5:$A$180=$B37)*ISNUMBER(INDEX(Inputs!$K$5:$AJ$180,0,MATCH(E$2,Inputs!$K$4:$AJ$4,0))))+SUMPRODUCT((Inputs!$C$5:$C$180=$B37)*ISNUMBER(INDEX(Inputs!$K$5:$AJ$180,0,MATCH(E$2,Inputs!$K$4:$AJ$4,0))))+SUMPRODUCT((Inputs!$E$5:$E$180=$B37)*ISNUMBER(INDEX(Inputs!$K$5:$AJ$180,0,MATCH(E$2,Inputs!$K$4:$AJ$4,0))))=0,NA(),SUMPRODUCT((Inputs!$A$5:$A$180=$B37)*Inputs!$B$5:$B$180*(((Inputs!$G$5:$G$180="moeda")+(Inputs!$G$5:$G$180="acoes"))*Inputs!$B$1+((Inputs!$G$5:$G$180&lt;&gt;"moeda")*(Inputs!$G$5:$G$180&lt;&gt;"acoes")))*INDEX(Inputs!$K$5:$AJ$180,0,MATCH(E$2,Inputs!$K$4:$AJ$4,0)))+SUMPRODUCT((Inputs!$C$5:$C$180=$B37)*Inputs!$D$5:$D$180*(((Inputs!$G$5:$G$180="moeda")+(Inputs!$G$5:$G$180="acoes"))*Inputs!$B$1+((Inputs!$G$5:$G$180&lt;&gt;"moeda")*(Inputs!$G$5:$G$180&lt;&gt;"acoes")))*INDEX(Inputs!$K$5:$AJ$180,0,MATCH(E$2,Inputs!$K$4:$AJ$4,0)))+SUMPRODUCT((Inputs!$E$5:$E$180=$B37)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7" s="6" t="e">
        <f>IF(ISNA(MATCH(F$2,Inputs!$K$4:$AJ$4,0)),NA(),IF(SUMPRODUCT((Inputs!$A$5:$A$180=$B37)*ISNUMBER(INDEX(Inputs!$K$5:$AJ$180,0,MATCH(F$2,Inputs!$K$4:$AJ$4,0))))+SUMPRODUCT((Inputs!$C$5:$C$180=$B37)*ISNUMBER(INDEX(Inputs!$K$5:$AJ$180,0,MATCH(F$2,Inputs!$K$4:$AJ$4,0))))+SUMPRODUCT((Inputs!$E$5:$E$180=$B37)*ISNUMBER(INDEX(Inputs!$K$5:$AJ$180,0,MATCH(F$2,Inputs!$K$4:$AJ$4,0))))=0,NA(),SUMPRODUCT((Inputs!$A$5:$A$180=$B37)*Inputs!$B$5:$B$180*(((Inputs!$G$5:$G$180="moeda")+(Inputs!$G$5:$G$180="acoes"))*Inputs!$B$1+((Inputs!$G$5:$G$180&lt;&gt;"moeda")*(Inputs!$G$5:$G$180&lt;&gt;"acoes")))*INDEX(Inputs!$K$5:$AJ$180,0,MATCH(F$2,Inputs!$K$4:$AJ$4,0)))+SUMPRODUCT((Inputs!$C$5:$C$180=$B37)*Inputs!$D$5:$D$180*(((Inputs!$G$5:$G$180="moeda")+(Inputs!$G$5:$G$180="acoes"))*Inputs!$B$1+((Inputs!$G$5:$G$180&lt;&gt;"moeda")*(Inputs!$G$5:$G$180&lt;&gt;"acoes")))*INDEX(Inputs!$K$5:$AJ$180,0,MATCH(F$2,Inputs!$K$4:$AJ$4,0)))+SUMPRODUCT((Inputs!$E$5:$E$180=$B37)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7" s="6" t="e">
        <f>IF(ISNA(MATCH(G$2,Inputs!$K$4:$AJ$4,0)),NA(),IF(SUMPRODUCT((Inputs!$A$5:$A$180=$B37)*ISNUMBER(INDEX(Inputs!$K$5:$AJ$180,0,MATCH(G$2,Inputs!$K$4:$AJ$4,0))))+SUMPRODUCT((Inputs!$C$5:$C$180=$B37)*ISNUMBER(INDEX(Inputs!$K$5:$AJ$180,0,MATCH(G$2,Inputs!$K$4:$AJ$4,0))))+SUMPRODUCT((Inputs!$E$5:$E$180=$B37)*ISNUMBER(INDEX(Inputs!$K$5:$AJ$180,0,MATCH(G$2,Inputs!$K$4:$AJ$4,0))))=0,NA(),SUMPRODUCT((Inputs!$A$5:$A$180=$B37)*Inputs!$B$5:$B$180*(((Inputs!$G$5:$G$180="moeda")+(Inputs!$G$5:$G$180="acoes"))*Inputs!$B$1+((Inputs!$G$5:$G$180&lt;&gt;"moeda")*(Inputs!$G$5:$G$180&lt;&gt;"acoes")))*INDEX(Inputs!$K$5:$AJ$180,0,MATCH(G$2,Inputs!$K$4:$AJ$4,0)))+SUMPRODUCT((Inputs!$C$5:$C$180=$B37)*Inputs!$D$5:$D$180*(((Inputs!$G$5:$G$180="moeda")+(Inputs!$G$5:$G$180="acoes"))*Inputs!$B$1+((Inputs!$G$5:$G$180&lt;&gt;"moeda")*(Inputs!$G$5:$G$180&lt;&gt;"acoes")))*INDEX(Inputs!$K$5:$AJ$180,0,MATCH(G$2,Inputs!$K$4:$AJ$4,0)))+SUMPRODUCT((Inputs!$E$5:$E$180=$B37)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7" s="3" t="e">
        <f>G37</f>
        <v>#N/A</v>
      </c>
      <c r="I37" s="6" t="e">
        <f>IF(ISNA(MATCH(I$2,Inputs!$K$4:$AJ$4,0)),NA(),IF(SUMPRODUCT((Inputs!$A$5:$A$180=$B37)*ISNUMBER(INDEX(Inputs!$K$5:$AJ$180,0,MATCH(I$2,Inputs!$K$4:$AJ$4,0))))+SUMPRODUCT((Inputs!$C$5:$C$180=$B37)*ISNUMBER(INDEX(Inputs!$K$5:$AJ$180,0,MATCH(I$2,Inputs!$K$4:$AJ$4,0))))+SUMPRODUCT((Inputs!$E$5:$E$180=$B37)*ISNUMBER(INDEX(Inputs!$K$5:$AJ$180,0,MATCH(I$2,Inputs!$K$4:$AJ$4,0))))=0,NA(),SUMPRODUCT((Inputs!$A$5:$A$180=$B37)*Inputs!$B$5:$B$180*(((Inputs!$G$5:$G$180="moeda")+(Inputs!$G$5:$G$180="acoes"))*Inputs!$B$1+((Inputs!$G$5:$G$180&lt;&gt;"moeda")*(Inputs!$G$5:$G$180&lt;&gt;"acoes")))*INDEX(Inputs!$K$5:$AJ$180,0,MATCH(I$2,Inputs!$K$4:$AJ$4,0)))+SUMPRODUCT((Inputs!$C$5:$C$180=$B37)*Inputs!$D$5:$D$180*(((Inputs!$G$5:$G$180="moeda")+(Inputs!$G$5:$G$180="acoes"))*Inputs!$B$1+((Inputs!$G$5:$G$180&lt;&gt;"moeda")*(Inputs!$G$5:$G$180&lt;&gt;"acoes")))*INDEX(Inputs!$K$5:$AJ$180,0,MATCH(I$2,Inputs!$K$4:$AJ$4,0)))+SUMPRODUCT((Inputs!$E$5:$E$180=$B37)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7" s="6" t="e">
        <f>IF(ISNA(MATCH(J$2,Inputs!$K$4:$AJ$4,0)),NA(),IF(SUMPRODUCT((Inputs!$A$5:$A$180=$B37)*ISNUMBER(INDEX(Inputs!$K$5:$AJ$180,0,MATCH(J$2,Inputs!$K$4:$AJ$4,0))))+SUMPRODUCT((Inputs!$C$5:$C$180=$B37)*ISNUMBER(INDEX(Inputs!$K$5:$AJ$180,0,MATCH(J$2,Inputs!$K$4:$AJ$4,0))))+SUMPRODUCT((Inputs!$E$5:$E$180=$B37)*ISNUMBER(INDEX(Inputs!$K$5:$AJ$180,0,MATCH(J$2,Inputs!$K$4:$AJ$4,0))))=0,NA(),SUMPRODUCT((Inputs!$A$5:$A$180=$B37)*Inputs!$B$5:$B$180*(((Inputs!$G$5:$G$180="moeda")+(Inputs!$G$5:$G$180="acoes"))*Inputs!$B$1+((Inputs!$G$5:$G$180&lt;&gt;"moeda")*(Inputs!$G$5:$G$180&lt;&gt;"acoes")))*INDEX(Inputs!$K$5:$AJ$180,0,MATCH(J$2,Inputs!$K$4:$AJ$4,0)))+SUMPRODUCT((Inputs!$C$5:$C$180=$B37)*Inputs!$D$5:$D$180*(((Inputs!$G$5:$G$180="moeda")+(Inputs!$G$5:$G$180="acoes"))*Inputs!$B$1+((Inputs!$G$5:$G$180&lt;&gt;"moeda")*(Inputs!$G$5:$G$180&lt;&gt;"acoes")))*INDEX(Inputs!$K$5:$AJ$180,0,MATCH(J$2,Inputs!$K$4:$AJ$4,0)))+SUMPRODUCT((Inputs!$E$5:$E$180=$B37)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7" s="6" t="e">
        <f>IF(ISNA(MATCH(K$2,Inputs!$K$4:$AJ$4,0)),NA(),IF(SUMPRODUCT((Inputs!$A$5:$A$180=$B37)*ISNUMBER(INDEX(Inputs!$K$5:$AJ$180,0,MATCH(K$2,Inputs!$K$4:$AJ$4,0))))+SUMPRODUCT((Inputs!$C$5:$C$180=$B37)*ISNUMBER(INDEX(Inputs!$K$5:$AJ$180,0,MATCH(K$2,Inputs!$K$4:$AJ$4,0))))+SUMPRODUCT((Inputs!$E$5:$E$180=$B37)*ISNUMBER(INDEX(Inputs!$K$5:$AJ$180,0,MATCH(K$2,Inputs!$K$4:$AJ$4,0))))=0,NA(),SUMPRODUCT((Inputs!$A$5:$A$180=$B37)*Inputs!$B$5:$B$180*(((Inputs!$G$5:$G$180="moeda")+(Inputs!$G$5:$G$180="acoes"))*Inputs!$B$1+((Inputs!$G$5:$G$180&lt;&gt;"moeda")*(Inputs!$G$5:$G$180&lt;&gt;"acoes")))*INDEX(Inputs!$K$5:$AJ$180,0,MATCH(K$2,Inputs!$K$4:$AJ$4,0)))+SUMPRODUCT((Inputs!$C$5:$C$180=$B37)*Inputs!$D$5:$D$180*(((Inputs!$G$5:$G$180="moeda")+(Inputs!$G$5:$G$180="acoes"))*Inputs!$B$1+((Inputs!$G$5:$G$180&lt;&gt;"moeda")*(Inputs!$G$5:$G$180&lt;&gt;"acoes")))*INDEX(Inputs!$K$5:$AJ$180,0,MATCH(K$2,Inputs!$K$4:$AJ$4,0)))+SUMPRODUCT((Inputs!$E$5:$E$180=$B37)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7" s="6" t="e">
        <f>IF(ISNA(MATCH(L$2,Inputs!$K$4:$AJ$4,0)),NA(),IF(SUMPRODUCT((Inputs!$A$5:$A$180=$B37)*ISNUMBER(INDEX(Inputs!$K$5:$AJ$180,0,MATCH(L$2,Inputs!$K$4:$AJ$4,0))))+SUMPRODUCT((Inputs!$C$5:$C$180=$B37)*ISNUMBER(INDEX(Inputs!$K$5:$AJ$180,0,MATCH(L$2,Inputs!$K$4:$AJ$4,0))))+SUMPRODUCT((Inputs!$E$5:$E$180=$B37)*ISNUMBER(INDEX(Inputs!$K$5:$AJ$180,0,MATCH(L$2,Inputs!$K$4:$AJ$4,0))))=0,NA(),SUMPRODUCT((Inputs!$A$5:$A$180=$B37)*Inputs!$B$5:$B$180*(((Inputs!$G$5:$G$180="moeda")+(Inputs!$G$5:$G$180="acoes"))*Inputs!$B$1+((Inputs!$G$5:$G$180&lt;&gt;"moeda")*(Inputs!$G$5:$G$180&lt;&gt;"acoes")))*INDEX(Inputs!$K$5:$AJ$180,0,MATCH(L$2,Inputs!$K$4:$AJ$4,0)))+SUMPRODUCT((Inputs!$C$5:$C$180=$B37)*Inputs!$D$5:$D$180*(((Inputs!$G$5:$G$180="moeda")+(Inputs!$G$5:$G$180="acoes"))*Inputs!$B$1+((Inputs!$G$5:$G$180&lt;&gt;"moeda")*(Inputs!$G$5:$G$180&lt;&gt;"acoes")))*INDEX(Inputs!$K$5:$AJ$180,0,MATCH(L$2,Inputs!$K$4:$AJ$4,0)))+SUMPRODUCT((Inputs!$E$5:$E$180=$B37)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7" s="3" t="e">
        <f>L37</f>
        <v>#N/A</v>
      </c>
      <c r="N37" s="6" t="e">
        <f>IF(ISNA(MATCH(N$2,Inputs!$K$4:$AJ$4,0)),NA(),IF(SUMPRODUCT((Inputs!$A$5:$A$180=$B37)*ISNUMBER(INDEX(Inputs!$K$5:$AJ$180,0,MATCH(N$2,Inputs!$K$4:$AJ$4,0))))+SUMPRODUCT((Inputs!$C$5:$C$180=$B37)*ISNUMBER(INDEX(Inputs!$K$5:$AJ$180,0,MATCH(N$2,Inputs!$K$4:$AJ$4,0))))+SUMPRODUCT((Inputs!$E$5:$E$180=$B37)*ISNUMBER(INDEX(Inputs!$K$5:$AJ$180,0,MATCH(N$2,Inputs!$K$4:$AJ$4,0))))=0,NA(),SUMPRODUCT((Inputs!$A$5:$A$180=$B37)*Inputs!$B$5:$B$180*(((Inputs!$G$5:$G$180="moeda")+(Inputs!$G$5:$G$180="acoes"))*Inputs!$B$1+((Inputs!$G$5:$G$180&lt;&gt;"moeda")*(Inputs!$G$5:$G$180&lt;&gt;"acoes")))*INDEX(Inputs!$K$5:$AJ$180,0,MATCH(N$2,Inputs!$K$4:$AJ$4,0)))+SUMPRODUCT((Inputs!$C$5:$C$180=$B37)*Inputs!$D$5:$D$180*(((Inputs!$G$5:$G$180="moeda")+(Inputs!$G$5:$G$180="acoes"))*Inputs!$B$1+((Inputs!$G$5:$G$180&lt;&gt;"moeda")*(Inputs!$G$5:$G$180&lt;&gt;"acoes")))*INDEX(Inputs!$K$5:$AJ$180,0,MATCH(N$2,Inputs!$K$4:$AJ$4,0)))+SUMPRODUCT((Inputs!$E$5:$E$180=$B37)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7" s="6" t="e">
        <f>IF(ISNA(MATCH(O$2,Inputs!$K$4:$AJ$4,0)),NA(),IF(SUMPRODUCT((Inputs!$A$5:$A$180=$B37)*ISNUMBER(INDEX(Inputs!$K$5:$AJ$180,0,MATCH(O$2,Inputs!$K$4:$AJ$4,0))))+SUMPRODUCT((Inputs!$C$5:$C$180=$B37)*ISNUMBER(INDEX(Inputs!$K$5:$AJ$180,0,MATCH(O$2,Inputs!$K$4:$AJ$4,0))))+SUMPRODUCT((Inputs!$E$5:$E$180=$B37)*ISNUMBER(INDEX(Inputs!$K$5:$AJ$180,0,MATCH(O$2,Inputs!$K$4:$AJ$4,0))))=0,NA(),SUMPRODUCT((Inputs!$A$5:$A$180=$B37)*Inputs!$B$5:$B$180*(((Inputs!$G$5:$G$180="moeda")+(Inputs!$G$5:$G$180="acoes"))*Inputs!$B$1+((Inputs!$G$5:$G$180&lt;&gt;"moeda")*(Inputs!$G$5:$G$180&lt;&gt;"acoes")))*INDEX(Inputs!$K$5:$AJ$180,0,MATCH(O$2,Inputs!$K$4:$AJ$4,0)))+SUMPRODUCT((Inputs!$C$5:$C$180=$B37)*Inputs!$D$5:$D$180*(((Inputs!$G$5:$G$180="moeda")+(Inputs!$G$5:$G$180="acoes"))*Inputs!$B$1+((Inputs!$G$5:$G$180&lt;&gt;"moeda")*(Inputs!$G$5:$G$180&lt;&gt;"acoes")))*INDEX(Inputs!$K$5:$AJ$180,0,MATCH(O$2,Inputs!$K$4:$AJ$4,0)))+SUMPRODUCT((Inputs!$E$5:$E$180=$B37)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7" s="6" t="e">
        <f>IF(ISNA(MATCH(P$2,Inputs!$K$4:$AJ$4,0)),NA(),IF(SUMPRODUCT((Inputs!$A$5:$A$180=$B37)*ISNUMBER(INDEX(Inputs!$K$5:$AJ$180,0,MATCH(P$2,Inputs!$K$4:$AJ$4,0))))+SUMPRODUCT((Inputs!$C$5:$C$180=$B37)*ISNUMBER(INDEX(Inputs!$K$5:$AJ$180,0,MATCH(P$2,Inputs!$K$4:$AJ$4,0))))+SUMPRODUCT((Inputs!$E$5:$E$180=$B37)*ISNUMBER(INDEX(Inputs!$K$5:$AJ$180,0,MATCH(P$2,Inputs!$K$4:$AJ$4,0))))=0,NA(),SUMPRODUCT((Inputs!$A$5:$A$180=$B37)*Inputs!$B$5:$B$180*(((Inputs!$G$5:$G$180="moeda")+(Inputs!$G$5:$G$180="acoes"))*Inputs!$B$1+((Inputs!$G$5:$G$180&lt;&gt;"moeda")*(Inputs!$G$5:$G$180&lt;&gt;"acoes")))*INDEX(Inputs!$K$5:$AJ$180,0,MATCH(P$2,Inputs!$K$4:$AJ$4,0)))+SUMPRODUCT((Inputs!$C$5:$C$180=$B37)*Inputs!$D$5:$D$180*(((Inputs!$G$5:$G$180="moeda")+(Inputs!$G$5:$G$180="acoes"))*Inputs!$B$1+((Inputs!$G$5:$G$180&lt;&gt;"moeda")*(Inputs!$G$5:$G$180&lt;&gt;"acoes")))*INDEX(Inputs!$K$5:$AJ$180,0,MATCH(P$2,Inputs!$K$4:$AJ$4,0)))+SUMPRODUCT((Inputs!$E$5:$E$180=$B37)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7" s="6" t="e">
        <f>IF(ISNA(MATCH(Q$2,Inputs!$K$4:$AJ$4,0)),NA(),IF(SUMPRODUCT((Inputs!$A$5:$A$180=$B37)*ISNUMBER(INDEX(Inputs!$K$5:$AJ$180,0,MATCH(Q$2,Inputs!$K$4:$AJ$4,0))))+SUMPRODUCT((Inputs!$C$5:$C$180=$B37)*ISNUMBER(INDEX(Inputs!$K$5:$AJ$180,0,MATCH(Q$2,Inputs!$K$4:$AJ$4,0))))+SUMPRODUCT((Inputs!$E$5:$E$180=$B37)*ISNUMBER(INDEX(Inputs!$K$5:$AJ$180,0,MATCH(Q$2,Inputs!$K$4:$AJ$4,0))))=0,NA(),SUMPRODUCT((Inputs!$A$5:$A$180=$B37)*Inputs!$B$5:$B$180*(((Inputs!$G$5:$G$180="moeda")+(Inputs!$G$5:$G$180="acoes"))*Inputs!$B$1+((Inputs!$G$5:$G$180&lt;&gt;"moeda")*(Inputs!$G$5:$G$180&lt;&gt;"acoes")))*INDEX(Inputs!$K$5:$AJ$180,0,MATCH(Q$2,Inputs!$K$4:$AJ$4,0)))+SUMPRODUCT((Inputs!$C$5:$C$180=$B37)*Inputs!$D$5:$D$180*(((Inputs!$G$5:$G$180="moeda")+(Inputs!$G$5:$G$180="acoes"))*Inputs!$B$1+((Inputs!$G$5:$G$180&lt;&gt;"moeda")*(Inputs!$G$5:$G$180&lt;&gt;"acoes")))*INDEX(Inputs!$K$5:$AJ$180,0,MATCH(Q$2,Inputs!$K$4:$AJ$4,0)))+SUMPRODUCT((Inputs!$E$5:$E$180=$B37)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7" s="3" t="e">
        <f>Q37</f>
        <v>#N/A</v>
      </c>
      <c r="S37" s="6" t="e">
        <f>IF(ISNA(MATCH(S$2,Inputs!$K$4:$AJ$4,0)),NA(),IF(SUMPRODUCT((Inputs!$A$5:$A$180=$B37)*ISNUMBER(INDEX(Inputs!$K$5:$AJ$180,0,MATCH(S$2,Inputs!$K$4:$AJ$4,0))))+SUMPRODUCT((Inputs!$C$5:$C$180=$B37)*ISNUMBER(INDEX(Inputs!$K$5:$AJ$180,0,MATCH(S$2,Inputs!$K$4:$AJ$4,0))))+SUMPRODUCT((Inputs!$E$5:$E$180=$B37)*ISNUMBER(INDEX(Inputs!$K$5:$AJ$180,0,MATCH(S$2,Inputs!$K$4:$AJ$4,0))))=0,NA(),SUMPRODUCT((Inputs!$A$5:$A$180=$B37)*Inputs!$B$5:$B$180*(((Inputs!$G$5:$G$180="moeda")+(Inputs!$G$5:$G$180="acoes"))*Inputs!$B$1+((Inputs!$G$5:$G$180&lt;&gt;"moeda")*(Inputs!$G$5:$G$180&lt;&gt;"acoes")))*INDEX(Inputs!$K$5:$AJ$180,0,MATCH(S$2,Inputs!$K$4:$AJ$4,0)))+SUMPRODUCT((Inputs!$C$5:$C$180=$B37)*Inputs!$D$5:$D$180*(((Inputs!$G$5:$G$180="moeda")+(Inputs!$G$5:$G$180="acoes"))*Inputs!$B$1+((Inputs!$G$5:$G$180&lt;&gt;"moeda")*(Inputs!$G$5:$G$180&lt;&gt;"acoes")))*INDEX(Inputs!$K$5:$AJ$180,0,MATCH(S$2,Inputs!$K$4:$AJ$4,0)))+SUMPRODUCT((Inputs!$E$5:$E$180=$B37)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7" s="6" t="e">
        <f>IF(ISNA(MATCH(T$2,Inputs!$K$4:$AJ$4,0)),NA(),IF(SUMPRODUCT((Inputs!$A$5:$A$180=$B37)*ISNUMBER(INDEX(Inputs!$K$5:$AJ$180,0,MATCH(T$2,Inputs!$K$4:$AJ$4,0))))+SUMPRODUCT((Inputs!$C$5:$C$180=$B37)*ISNUMBER(INDEX(Inputs!$K$5:$AJ$180,0,MATCH(T$2,Inputs!$K$4:$AJ$4,0))))+SUMPRODUCT((Inputs!$E$5:$E$180=$B37)*ISNUMBER(INDEX(Inputs!$K$5:$AJ$180,0,MATCH(T$2,Inputs!$K$4:$AJ$4,0))))=0,NA(),SUMPRODUCT((Inputs!$A$5:$A$180=$B37)*Inputs!$B$5:$B$180*(((Inputs!$G$5:$G$180="moeda")+(Inputs!$G$5:$G$180="acoes"))*Inputs!$B$1+((Inputs!$G$5:$G$180&lt;&gt;"moeda")*(Inputs!$G$5:$G$180&lt;&gt;"acoes")))*INDEX(Inputs!$K$5:$AJ$180,0,MATCH(T$2,Inputs!$K$4:$AJ$4,0)))+SUMPRODUCT((Inputs!$C$5:$C$180=$B37)*Inputs!$D$5:$D$180*(((Inputs!$G$5:$G$180="moeda")+(Inputs!$G$5:$G$180="acoes"))*Inputs!$B$1+((Inputs!$G$5:$G$180&lt;&gt;"moeda")*(Inputs!$G$5:$G$180&lt;&gt;"acoes")))*INDEX(Inputs!$K$5:$AJ$180,0,MATCH(T$2,Inputs!$K$4:$AJ$4,0)))+SUMPRODUCT((Inputs!$E$5:$E$180=$B37)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7" s="6" t="e">
        <f>IF(ISNA(MATCH(U$2,Inputs!$K$4:$AJ$4,0)),NA(),IF(SUMPRODUCT((Inputs!$A$5:$A$180=$B37)*ISNUMBER(INDEX(Inputs!$K$5:$AJ$180,0,MATCH(U$2,Inputs!$K$4:$AJ$4,0))))+SUMPRODUCT((Inputs!$C$5:$C$180=$B37)*ISNUMBER(INDEX(Inputs!$K$5:$AJ$180,0,MATCH(U$2,Inputs!$K$4:$AJ$4,0))))+SUMPRODUCT((Inputs!$E$5:$E$180=$B37)*ISNUMBER(INDEX(Inputs!$K$5:$AJ$180,0,MATCH(U$2,Inputs!$K$4:$AJ$4,0))))=0,NA(),SUMPRODUCT((Inputs!$A$5:$A$180=$B37)*Inputs!$B$5:$B$180*(((Inputs!$G$5:$G$180="moeda")+(Inputs!$G$5:$G$180="acoes"))*Inputs!$B$1+((Inputs!$G$5:$G$180&lt;&gt;"moeda")*(Inputs!$G$5:$G$180&lt;&gt;"acoes")))*INDEX(Inputs!$K$5:$AJ$180,0,MATCH(U$2,Inputs!$K$4:$AJ$4,0)))+SUMPRODUCT((Inputs!$C$5:$C$180=$B37)*Inputs!$D$5:$D$180*(((Inputs!$G$5:$G$180="moeda")+(Inputs!$G$5:$G$180="acoes"))*Inputs!$B$1+((Inputs!$G$5:$G$180&lt;&gt;"moeda")*(Inputs!$G$5:$G$180&lt;&gt;"acoes")))*INDEX(Inputs!$K$5:$AJ$180,0,MATCH(U$2,Inputs!$K$4:$AJ$4,0)))+SUMPRODUCT((Inputs!$E$5:$E$180=$B37)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7" s="6" t="e">
        <f>IF(ISNA(MATCH(V$2,Inputs!$K$4:$AJ$4,0)),NA(),IF(SUMPRODUCT((Inputs!$A$5:$A$180=$B37)*ISNUMBER(INDEX(Inputs!$K$5:$AJ$180,0,MATCH(V$2,Inputs!$K$4:$AJ$4,0))))+SUMPRODUCT((Inputs!$C$5:$C$180=$B37)*ISNUMBER(INDEX(Inputs!$K$5:$AJ$180,0,MATCH(V$2,Inputs!$K$4:$AJ$4,0))))+SUMPRODUCT((Inputs!$E$5:$E$180=$B37)*ISNUMBER(INDEX(Inputs!$K$5:$AJ$180,0,MATCH(V$2,Inputs!$K$4:$AJ$4,0))))=0,NA(),SUMPRODUCT((Inputs!$A$5:$A$180=$B37)*Inputs!$B$5:$B$180*(((Inputs!$G$5:$G$180="moeda")+(Inputs!$G$5:$G$180="acoes"))*Inputs!$B$1+((Inputs!$G$5:$G$180&lt;&gt;"moeda")*(Inputs!$G$5:$G$180&lt;&gt;"acoes")))*INDEX(Inputs!$K$5:$AJ$180,0,MATCH(V$2,Inputs!$K$4:$AJ$4,0)))+SUMPRODUCT((Inputs!$C$5:$C$180=$B37)*Inputs!$D$5:$D$180*(((Inputs!$G$5:$G$180="moeda")+(Inputs!$G$5:$G$180="acoes"))*Inputs!$B$1+((Inputs!$G$5:$G$180&lt;&gt;"moeda")*(Inputs!$G$5:$G$180&lt;&gt;"acoes")))*INDEX(Inputs!$K$5:$AJ$180,0,MATCH(V$2,Inputs!$K$4:$AJ$4,0)))+SUMPRODUCT((Inputs!$E$5:$E$180=$B37)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7" s="3" t="e">
        <f>V37</f>
        <v>#N/A</v>
      </c>
      <c r="X37" s="6" t="e">
        <f>IF(ISNA(MATCH(X$2,Inputs!$K$4:$AJ$4,0)),NA(),IF(SUMPRODUCT((Inputs!$A$5:$A$180=$B37)*ISNUMBER(INDEX(Inputs!$K$5:$AJ$180,0,MATCH(X$2,Inputs!$K$4:$AJ$4,0))))+SUMPRODUCT((Inputs!$C$5:$C$180=$B37)*ISNUMBER(INDEX(Inputs!$K$5:$AJ$180,0,MATCH(X$2,Inputs!$K$4:$AJ$4,0))))+SUMPRODUCT((Inputs!$E$5:$E$180=$B37)*ISNUMBER(INDEX(Inputs!$K$5:$AJ$180,0,MATCH(X$2,Inputs!$K$4:$AJ$4,0))))=0,NA(),SUMPRODUCT((Inputs!$A$5:$A$180=$B37)*Inputs!$B$5:$B$180*(((Inputs!$G$5:$G$180="moeda")+(Inputs!$G$5:$G$180="acoes"))*Inputs!$B$1+((Inputs!$G$5:$G$180&lt;&gt;"moeda")*(Inputs!$G$5:$G$180&lt;&gt;"acoes")))*INDEX(Inputs!$K$5:$AJ$180,0,MATCH(X$2,Inputs!$K$4:$AJ$4,0)))+SUMPRODUCT((Inputs!$C$5:$C$180=$B37)*Inputs!$D$5:$D$180*(((Inputs!$G$5:$G$180="moeda")+(Inputs!$G$5:$G$180="acoes"))*Inputs!$B$1+((Inputs!$G$5:$G$180&lt;&gt;"moeda")*(Inputs!$G$5:$G$180&lt;&gt;"acoes")))*INDEX(Inputs!$K$5:$AJ$180,0,MATCH(X$2,Inputs!$K$4:$AJ$4,0)))+SUMPRODUCT((Inputs!$E$5:$E$180=$B37)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7" s="6" t="e">
        <f>IF(ISNA(MATCH(Y$2,Inputs!$K$4:$AJ$4,0)),NA(),IF(SUMPRODUCT((Inputs!$A$5:$A$180=$B37)*ISNUMBER(INDEX(Inputs!$K$5:$AJ$180,0,MATCH(Y$2,Inputs!$K$4:$AJ$4,0))))+SUMPRODUCT((Inputs!$C$5:$C$180=$B37)*ISNUMBER(INDEX(Inputs!$K$5:$AJ$180,0,MATCH(Y$2,Inputs!$K$4:$AJ$4,0))))+SUMPRODUCT((Inputs!$E$5:$E$180=$B37)*ISNUMBER(INDEX(Inputs!$K$5:$AJ$180,0,MATCH(Y$2,Inputs!$K$4:$AJ$4,0))))=0,NA(),SUMPRODUCT((Inputs!$A$5:$A$180=$B37)*Inputs!$B$5:$B$180*(((Inputs!$G$5:$G$180="moeda")+(Inputs!$G$5:$G$180="acoes"))*Inputs!$B$1+((Inputs!$G$5:$G$180&lt;&gt;"moeda")*(Inputs!$G$5:$G$180&lt;&gt;"acoes")))*INDEX(Inputs!$K$5:$AJ$180,0,MATCH(Y$2,Inputs!$K$4:$AJ$4,0)))+SUMPRODUCT((Inputs!$C$5:$C$180=$B37)*Inputs!$D$5:$D$180*(((Inputs!$G$5:$G$180="moeda")+(Inputs!$G$5:$G$180="acoes"))*Inputs!$B$1+((Inputs!$G$5:$G$180&lt;&gt;"moeda")*(Inputs!$G$5:$G$180&lt;&gt;"acoes")))*INDEX(Inputs!$K$5:$AJ$180,0,MATCH(Y$2,Inputs!$K$4:$AJ$4,0)))+SUMPRODUCT((Inputs!$E$5:$E$180=$B37)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7" s="6" t="e">
        <f>IF(ISNA(MATCH(Z$2,Inputs!$K$4:$AJ$4,0)),NA(),IF(SUMPRODUCT((Inputs!$A$5:$A$180=$B37)*ISNUMBER(INDEX(Inputs!$K$5:$AJ$180,0,MATCH(Z$2,Inputs!$K$4:$AJ$4,0))))+SUMPRODUCT((Inputs!$C$5:$C$180=$B37)*ISNUMBER(INDEX(Inputs!$K$5:$AJ$180,0,MATCH(Z$2,Inputs!$K$4:$AJ$4,0))))+SUMPRODUCT((Inputs!$E$5:$E$180=$B37)*ISNUMBER(INDEX(Inputs!$K$5:$AJ$180,0,MATCH(Z$2,Inputs!$K$4:$AJ$4,0))))=0,NA(),SUMPRODUCT((Inputs!$A$5:$A$180=$B37)*Inputs!$B$5:$B$180*(((Inputs!$G$5:$G$180="moeda")+(Inputs!$G$5:$G$180="acoes"))*Inputs!$B$1+((Inputs!$G$5:$G$180&lt;&gt;"moeda")*(Inputs!$G$5:$G$180&lt;&gt;"acoes")))*INDEX(Inputs!$K$5:$AJ$180,0,MATCH(Z$2,Inputs!$K$4:$AJ$4,0)))+SUMPRODUCT((Inputs!$C$5:$C$180=$B37)*Inputs!$D$5:$D$180*(((Inputs!$G$5:$G$180="moeda")+(Inputs!$G$5:$G$180="acoes"))*Inputs!$B$1+((Inputs!$G$5:$G$180&lt;&gt;"moeda")*(Inputs!$G$5:$G$180&lt;&gt;"acoes")))*INDEX(Inputs!$K$5:$AJ$180,0,MATCH(Z$2,Inputs!$K$4:$AJ$4,0)))+SUMPRODUCT((Inputs!$E$5:$E$180=$B37)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7" s="6" t="e">
        <f>IF(ISNA(MATCH(AA$2,Inputs!$K$4:$AJ$4,0)),NA(),IF(SUMPRODUCT((Inputs!$A$5:$A$180=$B37)*ISNUMBER(INDEX(Inputs!$K$5:$AJ$180,0,MATCH(AA$2,Inputs!$K$4:$AJ$4,0))))+SUMPRODUCT((Inputs!$C$5:$C$180=$B37)*ISNUMBER(INDEX(Inputs!$K$5:$AJ$180,0,MATCH(AA$2,Inputs!$K$4:$AJ$4,0))))+SUMPRODUCT((Inputs!$E$5:$E$180=$B37)*ISNUMBER(INDEX(Inputs!$K$5:$AJ$180,0,MATCH(AA$2,Inputs!$K$4:$AJ$4,0))))=0,NA(),SUMPRODUCT((Inputs!$A$5:$A$180=$B37)*Inputs!$B$5:$B$180*(((Inputs!$G$5:$G$180="moeda")+(Inputs!$G$5:$G$180="acoes"))*Inputs!$B$1+((Inputs!$G$5:$G$180&lt;&gt;"moeda")*(Inputs!$G$5:$G$180&lt;&gt;"acoes")))*INDEX(Inputs!$K$5:$AJ$180,0,MATCH(AA$2,Inputs!$K$4:$AJ$4,0)))+SUMPRODUCT((Inputs!$C$5:$C$180=$B37)*Inputs!$D$5:$D$180*(((Inputs!$G$5:$G$180="moeda")+(Inputs!$G$5:$G$180="acoes"))*Inputs!$B$1+((Inputs!$G$5:$G$180&lt;&gt;"moeda")*(Inputs!$G$5:$G$180&lt;&gt;"acoes")))*INDEX(Inputs!$K$5:$AJ$180,0,MATCH(AA$2,Inputs!$K$4:$AJ$4,0)))+SUMPRODUCT((Inputs!$E$5:$E$180=$B37)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7" s="3" t="e">
        <f>AA37</f>
        <v>#N/A</v>
      </c>
      <c r="AC37" s="6" t="e">
        <f>IF(ISNA(MATCH(AC$2,Inputs!$K$4:$AJ$4,0)),NA(),IF(SUMPRODUCT((Inputs!$A$5:$A$180=$B37)*ISNUMBER(INDEX(Inputs!$K$5:$AJ$180,0,MATCH(AC$2,Inputs!$K$4:$AJ$4,0))))+SUMPRODUCT((Inputs!$C$5:$C$180=$B37)*ISNUMBER(INDEX(Inputs!$K$5:$AJ$180,0,MATCH(AC$2,Inputs!$K$4:$AJ$4,0))))+SUMPRODUCT((Inputs!$E$5:$E$180=$B37)*ISNUMBER(INDEX(Inputs!$K$5:$AJ$180,0,MATCH(AC$2,Inputs!$K$4:$AJ$4,0))))=0,NA(),SUMPRODUCT((Inputs!$A$5:$A$180=$B37)*Inputs!$B$5:$B$180*(((Inputs!$G$5:$G$180="moeda")+(Inputs!$G$5:$G$180="acoes"))*Inputs!$B$1+((Inputs!$G$5:$G$180&lt;&gt;"moeda")*(Inputs!$G$5:$G$180&lt;&gt;"acoes")))*INDEX(Inputs!$K$5:$AJ$180,0,MATCH(AC$2,Inputs!$K$4:$AJ$4,0)))+SUMPRODUCT((Inputs!$C$5:$C$180=$B37)*Inputs!$D$5:$D$180*(((Inputs!$G$5:$G$180="moeda")+(Inputs!$G$5:$G$180="acoes"))*Inputs!$B$1+((Inputs!$G$5:$G$180&lt;&gt;"moeda")*(Inputs!$G$5:$G$180&lt;&gt;"acoes")))*INDEX(Inputs!$K$5:$AJ$180,0,MATCH(AC$2,Inputs!$K$4:$AJ$4,0)))+SUMPRODUCT((Inputs!$E$5:$E$180=$B37)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7" s="6" t="e">
        <f>IF(ISNA(MATCH(AD$2,Inputs!$K$4:$AJ$4,0)),NA(),IF(SUMPRODUCT((Inputs!$A$5:$A$180=$B37)*ISNUMBER(INDEX(Inputs!$K$5:$AJ$180,0,MATCH(AD$2,Inputs!$K$4:$AJ$4,0))))+SUMPRODUCT((Inputs!$C$5:$C$180=$B37)*ISNUMBER(INDEX(Inputs!$K$5:$AJ$180,0,MATCH(AD$2,Inputs!$K$4:$AJ$4,0))))+SUMPRODUCT((Inputs!$E$5:$E$180=$B37)*ISNUMBER(INDEX(Inputs!$K$5:$AJ$180,0,MATCH(AD$2,Inputs!$K$4:$AJ$4,0))))=0,NA(),SUMPRODUCT((Inputs!$A$5:$A$180=$B37)*Inputs!$B$5:$B$180*(((Inputs!$G$5:$G$180="moeda")+(Inputs!$G$5:$G$180="acoes"))*Inputs!$B$1+((Inputs!$G$5:$G$180&lt;&gt;"moeda")*(Inputs!$G$5:$G$180&lt;&gt;"acoes")))*INDEX(Inputs!$K$5:$AJ$180,0,MATCH(AD$2,Inputs!$K$4:$AJ$4,0)))+SUMPRODUCT((Inputs!$C$5:$C$180=$B37)*Inputs!$D$5:$D$180*(((Inputs!$G$5:$G$180="moeda")+(Inputs!$G$5:$G$180="acoes"))*Inputs!$B$1+((Inputs!$G$5:$G$180&lt;&gt;"moeda")*(Inputs!$G$5:$G$180&lt;&gt;"acoes")))*INDEX(Inputs!$K$5:$AJ$180,0,MATCH(AD$2,Inputs!$K$4:$AJ$4,0)))+SUMPRODUCT((Inputs!$E$5:$E$180=$B37)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7" s="6" t="e">
        <f>IF(ISNA(MATCH(AE$2,Inputs!$K$4:$AJ$4,0)),NA(),IF(SUMPRODUCT((Inputs!$A$5:$A$180=$B37)*ISNUMBER(INDEX(Inputs!$K$5:$AJ$180,0,MATCH(AE$2,Inputs!$K$4:$AJ$4,0))))+SUMPRODUCT((Inputs!$C$5:$C$180=$B37)*ISNUMBER(INDEX(Inputs!$K$5:$AJ$180,0,MATCH(AE$2,Inputs!$K$4:$AJ$4,0))))+SUMPRODUCT((Inputs!$E$5:$E$180=$B37)*ISNUMBER(INDEX(Inputs!$K$5:$AJ$180,0,MATCH(AE$2,Inputs!$K$4:$AJ$4,0))))=0,NA(),SUMPRODUCT((Inputs!$A$5:$A$180=$B37)*Inputs!$B$5:$B$180*(((Inputs!$G$5:$G$180="moeda")+(Inputs!$G$5:$G$180="acoes"))*Inputs!$B$1+((Inputs!$G$5:$G$180&lt;&gt;"moeda")*(Inputs!$G$5:$G$180&lt;&gt;"acoes")))*INDEX(Inputs!$K$5:$AJ$180,0,MATCH(AE$2,Inputs!$K$4:$AJ$4,0)))+SUMPRODUCT((Inputs!$C$5:$C$180=$B37)*Inputs!$D$5:$D$180*(((Inputs!$G$5:$G$180="moeda")+(Inputs!$G$5:$G$180="acoes"))*Inputs!$B$1+((Inputs!$G$5:$G$180&lt;&gt;"moeda")*(Inputs!$G$5:$G$180&lt;&gt;"acoes")))*INDEX(Inputs!$K$5:$AJ$180,0,MATCH(AE$2,Inputs!$K$4:$AJ$4,0)))+SUMPRODUCT((Inputs!$E$5:$E$180=$B37)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7" s="6" t="e">
        <f>IF(ISNA(MATCH(AF$2,Inputs!$K$4:$AJ$4,0)),NA(),IF(SUMPRODUCT((Inputs!$A$5:$A$180=$B37)*ISNUMBER(INDEX(Inputs!$K$5:$AJ$180,0,MATCH(AF$2,Inputs!$K$4:$AJ$4,0))))+SUMPRODUCT((Inputs!$C$5:$C$180=$B37)*ISNUMBER(INDEX(Inputs!$K$5:$AJ$180,0,MATCH(AF$2,Inputs!$K$4:$AJ$4,0))))+SUMPRODUCT((Inputs!$E$5:$E$180=$B37)*ISNUMBER(INDEX(Inputs!$K$5:$AJ$180,0,MATCH(AF$2,Inputs!$K$4:$AJ$4,0))))=0,NA(),SUMPRODUCT((Inputs!$A$5:$A$180=$B37)*Inputs!$B$5:$B$180*(((Inputs!$G$5:$G$180="moeda")+(Inputs!$G$5:$G$180="acoes"))*Inputs!$B$1+((Inputs!$G$5:$G$180&lt;&gt;"moeda")*(Inputs!$G$5:$G$180&lt;&gt;"acoes")))*INDEX(Inputs!$K$5:$AJ$180,0,MATCH(AF$2,Inputs!$K$4:$AJ$4,0)))+SUMPRODUCT((Inputs!$C$5:$C$180=$B37)*Inputs!$D$5:$D$180*(((Inputs!$G$5:$G$180="moeda")+(Inputs!$G$5:$G$180="acoes"))*Inputs!$B$1+((Inputs!$G$5:$G$180&lt;&gt;"moeda")*(Inputs!$G$5:$G$180&lt;&gt;"acoes")))*INDEX(Inputs!$K$5:$AJ$180,0,MATCH(AF$2,Inputs!$K$4:$AJ$4,0)))+SUMPRODUCT((Inputs!$E$5:$E$180=$B37)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7" s="3" t="e">
        <f>AF37</f>
        <v>#N/A</v>
      </c>
      <c r="AH37" s="6" t="e">
        <f>IF(ISNA(MATCH(AH$2,Inputs!$K$4:$AJ$4,0)),NA(),IF(SUMPRODUCT((Inputs!$A$5:$A$180=$B37)*ISNUMBER(INDEX(Inputs!$K$5:$AJ$180,0,MATCH(AH$2,Inputs!$K$4:$AJ$4,0))))+SUMPRODUCT((Inputs!$C$5:$C$180=$B37)*ISNUMBER(INDEX(Inputs!$K$5:$AJ$180,0,MATCH(AH$2,Inputs!$K$4:$AJ$4,0))))+SUMPRODUCT((Inputs!$E$5:$E$180=$B37)*ISNUMBER(INDEX(Inputs!$K$5:$AJ$180,0,MATCH(AH$2,Inputs!$K$4:$AJ$4,0))))=0,NA(),SUMPRODUCT((Inputs!$A$5:$A$180=$B37)*Inputs!$B$5:$B$180*(((Inputs!$G$5:$G$180="moeda")+(Inputs!$G$5:$G$180="acoes"))*Inputs!$B$1+((Inputs!$G$5:$G$180&lt;&gt;"moeda")*(Inputs!$G$5:$G$180&lt;&gt;"acoes")))*INDEX(Inputs!$K$5:$AJ$180,0,MATCH(AH$2,Inputs!$K$4:$AJ$4,0)))+SUMPRODUCT((Inputs!$C$5:$C$180=$B37)*Inputs!$D$5:$D$180*(((Inputs!$G$5:$G$180="moeda")+(Inputs!$G$5:$G$180="acoes"))*Inputs!$B$1+((Inputs!$G$5:$G$180&lt;&gt;"moeda")*(Inputs!$G$5:$G$180&lt;&gt;"acoes")))*INDEX(Inputs!$K$5:$AJ$180,0,MATCH(AH$2,Inputs!$K$4:$AJ$4,0)))+SUMPRODUCT((Inputs!$E$5:$E$180=$B37)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7" s="6" t="e">
        <f>IF(ISNA(MATCH(AI$2,Inputs!$K$4:$AJ$4,0)),NA(),IF(SUMPRODUCT((Inputs!$A$5:$A$180=$B37)*ISNUMBER(INDEX(Inputs!$K$5:$AJ$180,0,MATCH(AI$2,Inputs!$K$4:$AJ$4,0))))+SUMPRODUCT((Inputs!$C$5:$C$180=$B37)*ISNUMBER(INDEX(Inputs!$K$5:$AJ$180,0,MATCH(AI$2,Inputs!$K$4:$AJ$4,0))))+SUMPRODUCT((Inputs!$E$5:$E$180=$B37)*ISNUMBER(INDEX(Inputs!$K$5:$AJ$180,0,MATCH(AI$2,Inputs!$K$4:$AJ$4,0))))=0,NA(),SUMPRODUCT((Inputs!$A$5:$A$180=$B37)*Inputs!$B$5:$B$180*(((Inputs!$G$5:$G$180="moeda")+(Inputs!$G$5:$G$180="acoes"))*Inputs!$B$1+((Inputs!$G$5:$G$180&lt;&gt;"moeda")*(Inputs!$G$5:$G$180&lt;&gt;"acoes")))*INDEX(Inputs!$K$5:$AJ$180,0,MATCH(AI$2,Inputs!$K$4:$AJ$4,0)))+SUMPRODUCT((Inputs!$C$5:$C$180=$B37)*Inputs!$D$5:$D$180*(((Inputs!$G$5:$G$180="moeda")+(Inputs!$G$5:$G$180="acoes"))*Inputs!$B$1+((Inputs!$G$5:$G$180&lt;&gt;"moeda")*(Inputs!$G$5:$G$180&lt;&gt;"acoes")))*INDEX(Inputs!$K$5:$AJ$180,0,MATCH(AI$2,Inputs!$K$4:$AJ$4,0)))+SUMPRODUCT((Inputs!$E$5:$E$180=$B37)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7" s="6" t="e">
        <f>IF(ISNA(MATCH(AJ$2,Inputs!$K$4:$AJ$4,0)),NA(),IF(SUMPRODUCT((Inputs!$A$5:$A$180=$B37)*ISNUMBER(INDEX(Inputs!$K$5:$AJ$180,0,MATCH(AJ$2,Inputs!$K$4:$AJ$4,0))))+SUMPRODUCT((Inputs!$C$5:$C$180=$B37)*ISNUMBER(INDEX(Inputs!$K$5:$AJ$180,0,MATCH(AJ$2,Inputs!$K$4:$AJ$4,0))))+SUMPRODUCT((Inputs!$E$5:$E$180=$B37)*ISNUMBER(INDEX(Inputs!$K$5:$AJ$180,0,MATCH(AJ$2,Inputs!$K$4:$AJ$4,0))))=0,NA(),SUMPRODUCT((Inputs!$A$5:$A$180=$B37)*Inputs!$B$5:$B$180*(((Inputs!$G$5:$G$180="moeda")+(Inputs!$G$5:$G$180="acoes"))*Inputs!$B$1+((Inputs!$G$5:$G$180&lt;&gt;"moeda")*(Inputs!$G$5:$G$180&lt;&gt;"acoes")))*INDEX(Inputs!$K$5:$AJ$180,0,MATCH(AJ$2,Inputs!$K$4:$AJ$4,0)))+SUMPRODUCT((Inputs!$C$5:$C$180=$B37)*Inputs!$D$5:$D$180*(((Inputs!$G$5:$G$180="moeda")+(Inputs!$G$5:$G$180="acoes"))*Inputs!$B$1+((Inputs!$G$5:$G$180&lt;&gt;"moeda")*(Inputs!$G$5:$G$180&lt;&gt;"acoes")))*INDEX(Inputs!$K$5:$AJ$180,0,MATCH(AJ$2,Inputs!$K$4:$AJ$4,0)))+SUMPRODUCT((Inputs!$E$5:$E$180=$B37)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7" s="6" t="e">
        <f>IF(ISNA(MATCH(AK$2,Inputs!$K$4:$AJ$4,0)),NA(),IF(SUMPRODUCT((Inputs!$A$5:$A$180=$B37)*ISNUMBER(INDEX(Inputs!$K$5:$AJ$180,0,MATCH(AK$2,Inputs!$K$4:$AJ$4,0))))+SUMPRODUCT((Inputs!$C$5:$C$180=$B37)*ISNUMBER(INDEX(Inputs!$K$5:$AJ$180,0,MATCH(AK$2,Inputs!$K$4:$AJ$4,0))))+SUMPRODUCT((Inputs!$E$5:$E$180=$B37)*ISNUMBER(INDEX(Inputs!$K$5:$AJ$180,0,MATCH(AK$2,Inputs!$K$4:$AJ$4,0))))=0,NA(),SUMPRODUCT((Inputs!$A$5:$A$180=$B37)*Inputs!$B$5:$B$180*(((Inputs!$G$5:$G$180="moeda")+(Inputs!$G$5:$G$180="acoes"))*Inputs!$B$1+((Inputs!$G$5:$G$180&lt;&gt;"moeda")*(Inputs!$G$5:$G$180&lt;&gt;"acoes")))*INDEX(Inputs!$K$5:$AJ$180,0,MATCH(AK$2,Inputs!$K$4:$AJ$4,0)))+SUMPRODUCT((Inputs!$C$5:$C$180=$B37)*Inputs!$D$5:$D$180*(((Inputs!$G$5:$G$180="moeda")+(Inputs!$G$5:$G$180="acoes"))*Inputs!$B$1+((Inputs!$G$5:$G$180&lt;&gt;"moeda")*(Inputs!$G$5:$G$180&lt;&gt;"acoes")))*INDEX(Inputs!$K$5:$AJ$180,0,MATCH(AK$2,Inputs!$K$4:$AJ$4,0)))+SUMPRODUCT((Inputs!$E$5:$E$180=$B37)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 t="e">
        <f>IF(ISNA(MATCH(D$2,Inputs!$K$4:$AJ$4,0)),NA(),IF(SUMPRODUCT((Inputs!$A$5:$A$180=$B38)*ISNUMBER(INDEX(Inputs!$K$5:$AJ$180,0,MATCH(D$2,Inputs!$K$4:$AJ$4,0))))+SUMPRODUCT((Inputs!$C$5:$C$180=$B38)*ISNUMBER(INDEX(Inputs!$K$5:$AJ$180,0,MATCH(D$2,Inputs!$K$4:$AJ$4,0))))+SUMPRODUCT((Inputs!$E$5:$E$180=$B38)*ISNUMBER(INDEX(Inputs!$K$5:$AJ$180,0,MATCH(D$2,Inputs!$K$4:$AJ$4,0))))=0,NA(),SUMPRODUCT((Inputs!$A$5:$A$180=$B38)*Inputs!$B$5:$B$180*(((Inputs!$G$5:$G$180="moeda")+(Inputs!$G$5:$G$180="acoes"))*Inputs!$B$1+((Inputs!$G$5:$G$180&lt;&gt;"moeda")*(Inputs!$G$5:$G$180&lt;&gt;"acoes")))*INDEX(Inputs!$K$5:$AJ$180,0,MATCH(D$2,Inputs!$K$4:$AJ$4,0)))+SUMPRODUCT((Inputs!$C$5:$C$180=$B38)*Inputs!$D$5:$D$180*(((Inputs!$G$5:$G$180="moeda")+(Inputs!$G$5:$G$180="acoes"))*Inputs!$B$1+((Inputs!$G$5:$G$180&lt;&gt;"moeda")*(Inputs!$G$5:$G$180&lt;&gt;"acoes")))*INDEX(Inputs!$K$5:$AJ$180,0,MATCH(D$2,Inputs!$K$4:$AJ$4,0)))+SUMPRODUCT((Inputs!$E$5:$E$180=$B38)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8" s="6" t="e">
        <f>IF(ISNA(MATCH(E$2,Inputs!$K$4:$AJ$4,0)),NA(),IF(SUMPRODUCT((Inputs!$A$5:$A$180=$B38)*ISNUMBER(INDEX(Inputs!$K$5:$AJ$180,0,MATCH(E$2,Inputs!$K$4:$AJ$4,0))))+SUMPRODUCT((Inputs!$C$5:$C$180=$B38)*ISNUMBER(INDEX(Inputs!$K$5:$AJ$180,0,MATCH(E$2,Inputs!$K$4:$AJ$4,0))))+SUMPRODUCT((Inputs!$E$5:$E$180=$B38)*ISNUMBER(INDEX(Inputs!$K$5:$AJ$180,0,MATCH(E$2,Inputs!$K$4:$AJ$4,0))))=0,NA(),SUMPRODUCT((Inputs!$A$5:$A$180=$B38)*Inputs!$B$5:$B$180*(((Inputs!$G$5:$G$180="moeda")+(Inputs!$G$5:$G$180="acoes"))*Inputs!$B$1+((Inputs!$G$5:$G$180&lt;&gt;"moeda")*(Inputs!$G$5:$G$180&lt;&gt;"acoes")))*INDEX(Inputs!$K$5:$AJ$180,0,MATCH(E$2,Inputs!$K$4:$AJ$4,0)))+SUMPRODUCT((Inputs!$C$5:$C$180=$B38)*Inputs!$D$5:$D$180*(((Inputs!$G$5:$G$180="moeda")+(Inputs!$G$5:$G$180="acoes"))*Inputs!$B$1+((Inputs!$G$5:$G$180&lt;&gt;"moeda")*(Inputs!$G$5:$G$180&lt;&gt;"acoes")))*INDEX(Inputs!$K$5:$AJ$180,0,MATCH(E$2,Inputs!$K$4:$AJ$4,0)))+SUMPRODUCT((Inputs!$E$5:$E$180=$B38)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8" s="6" t="e">
        <f>IF(ISNA(MATCH(F$2,Inputs!$K$4:$AJ$4,0)),NA(),IF(SUMPRODUCT((Inputs!$A$5:$A$180=$B38)*ISNUMBER(INDEX(Inputs!$K$5:$AJ$180,0,MATCH(F$2,Inputs!$K$4:$AJ$4,0))))+SUMPRODUCT((Inputs!$C$5:$C$180=$B38)*ISNUMBER(INDEX(Inputs!$K$5:$AJ$180,0,MATCH(F$2,Inputs!$K$4:$AJ$4,0))))+SUMPRODUCT((Inputs!$E$5:$E$180=$B38)*ISNUMBER(INDEX(Inputs!$K$5:$AJ$180,0,MATCH(F$2,Inputs!$K$4:$AJ$4,0))))=0,NA(),SUMPRODUCT((Inputs!$A$5:$A$180=$B38)*Inputs!$B$5:$B$180*(((Inputs!$G$5:$G$180="moeda")+(Inputs!$G$5:$G$180="acoes"))*Inputs!$B$1+((Inputs!$G$5:$G$180&lt;&gt;"moeda")*(Inputs!$G$5:$G$180&lt;&gt;"acoes")))*INDEX(Inputs!$K$5:$AJ$180,0,MATCH(F$2,Inputs!$K$4:$AJ$4,0)))+SUMPRODUCT((Inputs!$C$5:$C$180=$B38)*Inputs!$D$5:$D$180*(((Inputs!$G$5:$G$180="moeda")+(Inputs!$G$5:$G$180="acoes"))*Inputs!$B$1+((Inputs!$G$5:$G$180&lt;&gt;"moeda")*(Inputs!$G$5:$G$180&lt;&gt;"acoes")))*INDEX(Inputs!$K$5:$AJ$180,0,MATCH(F$2,Inputs!$K$4:$AJ$4,0)))+SUMPRODUCT((Inputs!$E$5:$E$180=$B38)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8" s="6" t="e">
        <f>IF(ISNA(MATCH(G$2,Inputs!$K$4:$AJ$4,0)),NA(),IF(SUMPRODUCT((Inputs!$A$5:$A$180=$B38)*ISNUMBER(INDEX(Inputs!$K$5:$AJ$180,0,MATCH(G$2,Inputs!$K$4:$AJ$4,0))))+SUMPRODUCT((Inputs!$C$5:$C$180=$B38)*ISNUMBER(INDEX(Inputs!$K$5:$AJ$180,0,MATCH(G$2,Inputs!$K$4:$AJ$4,0))))+SUMPRODUCT((Inputs!$E$5:$E$180=$B38)*ISNUMBER(INDEX(Inputs!$K$5:$AJ$180,0,MATCH(G$2,Inputs!$K$4:$AJ$4,0))))=0,NA(),SUMPRODUCT((Inputs!$A$5:$A$180=$B38)*Inputs!$B$5:$B$180*(((Inputs!$G$5:$G$180="moeda")+(Inputs!$G$5:$G$180="acoes"))*Inputs!$B$1+((Inputs!$G$5:$G$180&lt;&gt;"moeda")*(Inputs!$G$5:$G$180&lt;&gt;"acoes")))*INDEX(Inputs!$K$5:$AJ$180,0,MATCH(G$2,Inputs!$K$4:$AJ$4,0)))+SUMPRODUCT((Inputs!$C$5:$C$180=$B38)*Inputs!$D$5:$D$180*(((Inputs!$G$5:$G$180="moeda")+(Inputs!$G$5:$G$180="acoes"))*Inputs!$B$1+((Inputs!$G$5:$G$180&lt;&gt;"moeda")*(Inputs!$G$5:$G$180&lt;&gt;"acoes")))*INDEX(Inputs!$K$5:$AJ$180,0,MATCH(G$2,Inputs!$K$4:$AJ$4,0)))+SUMPRODUCT((Inputs!$E$5:$E$180=$B38)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8" s="3" t="e">
        <f>G38</f>
        <v>#N/A</v>
      </c>
      <c r="I38" s="6" t="e">
        <f>IF(ISNA(MATCH(I$2,Inputs!$K$4:$AJ$4,0)),NA(),IF(SUMPRODUCT((Inputs!$A$5:$A$180=$B38)*ISNUMBER(INDEX(Inputs!$K$5:$AJ$180,0,MATCH(I$2,Inputs!$K$4:$AJ$4,0))))+SUMPRODUCT((Inputs!$C$5:$C$180=$B38)*ISNUMBER(INDEX(Inputs!$K$5:$AJ$180,0,MATCH(I$2,Inputs!$K$4:$AJ$4,0))))+SUMPRODUCT((Inputs!$E$5:$E$180=$B38)*ISNUMBER(INDEX(Inputs!$K$5:$AJ$180,0,MATCH(I$2,Inputs!$K$4:$AJ$4,0))))=0,NA(),SUMPRODUCT((Inputs!$A$5:$A$180=$B38)*Inputs!$B$5:$B$180*(((Inputs!$G$5:$G$180="moeda")+(Inputs!$G$5:$G$180="acoes"))*Inputs!$B$1+((Inputs!$G$5:$G$180&lt;&gt;"moeda")*(Inputs!$G$5:$G$180&lt;&gt;"acoes")))*INDEX(Inputs!$K$5:$AJ$180,0,MATCH(I$2,Inputs!$K$4:$AJ$4,0)))+SUMPRODUCT((Inputs!$C$5:$C$180=$B38)*Inputs!$D$5:$D$180*(((Inputs!$G$5:$G$180="moeda")+(Inputs!$G$5:$G$180="acoes"))*Inputs!$B$1+((Inputs!$G$5:$G$180&lt;&gt;"moeda")*(Inputs!$G$5:$G$180&lt;&gt;"acoes")))*INDEX(Inputs!$K$5:$AJ$180,0,MATCH(I$2,Inputs!$K$4:$AJ$4,0)))+SUMPRODUCT((Inputs!$E$5:$E$180=$B38)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8" s="6" t="e">
        <f>IF(ISNA(MATCH(J$2,Inputs!$K$4:$AJ$4,0)),NA(),IF(SUMPRODUCT((Inputs!$A$5:$A$180=$B38)*ISNUMBER(INDEX(Inputs!$K$5:$AJ$180,0,MATCH(J$2,Inputs!$K$4:$AJ$4,0))))+SUMPRODUCT((Inputs!$C$5:$C$180=$B38)*ISNUMBER(INDEX(Inputs!$K$5:$AJ$180,0,MATCH(J$2,Inputs!$K$4:$AJ$4,0))))+SUMPRODUCT((Inputs!$E$5:$E$180=$B38)*ISNUMBER(INDEX(Inputs!$K$5:$AJ$180,0,MATCH(J$2,Inputs!$K$4:$AJ$4,0))))=0,NA(),SUMPRODUCT((Inputs!$A$5:$A$180=$B38)*Inputs!$B$5:$B$180*(((Inputs!$G$5:$G$180="moeda")+(Inputs!$G$5:$G$180="acoes"))*Inputs!$B$1+((Inputs!$G$5:$G$180&lt;&gt;"moeda")*(Inputs!$G$5:$G$180&lt;&gt;"acoes")))*INDEX(Inputs!$K$5:$AJ$180,0,MATCH(J$2,Inputs!$K$4:$AJ$4,0)))+SUMPRODUCT((Inputs!$C$5:$C$180=$B38)*Inputs!$D$5:$D$180*(((Inputs!$G$5:$G$180="moeda")+(Inputs!$G$5:$G$180="acoes"))*Inputs!$B$1+((Inputs!$G$5:$G$180&lt;&gt;"moeda")*(Inputs!$G$5:$G$180&lt;&gt;"acoes")))*INDEX(Inputs!$K$5:$AJ$180,0,MATCH(J$2,Inputs!$K$4:$AJ$4,0)))+SUMPRODUCT((Inputs!$E$5:$E$180=$B38)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8" s="6" t="e">
        <f>IF(ISNA(MATCH(K$2,Inputs!$K$4:$AJ$4,0)),NA(),IF(SUMPRODUCT((Inputs!$A$5:$A$180=$B38)*ISNUMBER(INDEX(Inputs!$K$5:$AJ$180,0,MATCH(K$2,Inputs!$K$4:$AJ$4,0))))+SUMPRODUCT((Inputs!$C$5:$C$180=$B38)*ISNUMBER(INDEX(Inputs!$K$5:$AJ$180,0,MATCH(K$2,Inputs!$K$4:$AJ$4,0))))+SUMPRODUCT((Inputs!$E$5:$E$180=$B38)*ISNUMBER(INDEX(Inputs!$K$5:$AJ$180,0,MATCH(K$2,Inputs!$K$4:$AJ$4,0))))=0,NA(),SUMPRODUCT((Inputs!$A$5:$A$180=$B38)*Inputs!$B$5:$B$180*(((Inputs!$G$5:$G$180="moeda")+(Inputs!$G$5:$G$180="acoes"))*Inputs!$B$1+((Inputs!$G$5:$G$180&lt;&gt;"moeda")*(Inputs!$G$5:$G$180&lt;&gt;"acoes")))*INDEX(Inputs!$K$5:$AJ$180,0,MATCH(K$2,Inputs!$K$4:$AJ$4,0)))+SUMPRODUCT((Inputs!$C$5:$C$180=$B38)*Inputs!$D$5:$D$180*(((Inputs!$G$5:$G$180="moeda")+(Inputs!$G$5:$G$180="acoes"))*Inputs!$B$1+((Inputs!$G$5:$G$180&lt;&gt;"moeda")*(Inputs!$G$5:$G$180&lt;&gt;"acoes")))*INDEX(Inputs!$K$5:$AJ$180,0,MATCH(K$2,Inputs!$K$4:$AJ$4,0)))+SUMPRODUCT((Inputs!$E$5:$E$180=$B38)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8" s="6" t="e">
        <f>IF(ISNA(MATCH(L$2,Inputs!$K$4:$AJ$4,0)),NA(),IF(SUMPRODUCT((Inputs!$A$5:$A$180=$B38)*ISNUMBER(INDEX(Inputs!$K$5:$AJ$180,0,MATCH(L$2,Inputs!$K$4:$AJ$4,0))))+SUMPRODUCT((Inputs!$C$5:$C$180=$B38)*ISNUMBER(INDEX(Inputs!$K$5:$AJ$180,0,MATCH(L$2,Inputs!$K$4:$AJ$4,0))))+SUMPRODUCT((Inputs!$E$5:$E$180=$B38)*ISNUMBER(INDEX(Inputs!$K$5:$AJ$180,0,MATCH(L$2,Inputs!$K$4:$AJ$4,0))))=0,NA(),SUMPRODUCT((Inputs!$A$5:$A$180=$B38)*Inputs!$B$5:$B$180*(((Inputs!$G$5:$G$180="moeda")+(Inputs!$G$5:$G$180="acoes"))*Inputs!$B$1+((Inputs!$G$5:$G$180&lt;&gt;"moeda")*(Inputs!$G$5:$G$180&lt;&gt;"acoes")))*INDEX(Inputs!$K$5:$AJ$180,0,MATCH(L$2,Inputs!$K$4:$AJ$4,0)))+SUMPRODUCT((Inputs!$C$5:$C$180=$B38)*Inputs!$D$5:$D$180*(((Inputs!$G$5:$G$180="moeda")+(Inputs!$G$5:$G$180="acoes"))*Inputs!$B$1+((Inputs!$G$5:$G$180&lt;&gt;"moeda")*(Inputs!$G$5:$G$180&lt;&gt;"acoes")))*INDEX(Inputs!$K$5:$AJ$180,0,MATCH(L$2,Inputs!$K$4:$AJ$4,0)))+SUMPRODUCT((Inputs!$E$5:$E$180=$B38)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8" s="3" t="e">
        <f>L38</f>
        <v>#N/A</v>
      </c>
      <c r="N38" s="6" t="e">
        <f>IF(ISNA(MATCH(N$2,Inputs!$K$4:$AJ$4,0)),NA(),IF(SUMPRODUCT((Inputs!$A$5:$A$180=$B38)*ISNUMBER(INDEX(Inputs!$K$5:$AJ$180,0,MATCH(N$2,Inputs!$K$4:$AJ$4,0))))+SUMPRODUCT((Inputs!$C$5:$C$180=$B38)*ISNUMBER(INDEX(Inputs!$K$5:$AJ$180,0,MATCH(N$2,Inputs!$K$4:$AJ$4,0))))+SUMPRODUCT((Inputs!$E$5:$E$180=$B38)*ISNUMBER(INDEX(Inputs!$K$5:$AJ$180,0,MATCH(N$2,Inputs!$K$4:$AJ$4,0))))=0,NA(),SUMPRODUCT((Inputs!$A$5:$A$180=$B38)*Inputs!$B$5:$B$180*(((Inputs!$G$5:$G$180="moeda")+(Inputs!$G$5:$G$180="acoes"))*Inputs!$B$1+((Inputs!$G$5:$G$180&lt;&gt;"moeda")*(Inputs!$G$5:$G$180&lt;&gt;"acoes")))*INDEX(Inputs!$K$5:$AJ$180,0,MATCH(N$2,Inputs!$K$4:$AJ$4,0)))+SUMPRODUCT((Inputs!$C$5:$C$180=$B38)*Inputs!$D$5:$D$180*(((Inputs!$G$5:$G$180="moeda")+(Inputs!$G$5:$G$180="acoes"))*Inputs!$B$1+((Inputs!$G$5:$G$180&lt;&gt;"moeda")*(Inputs!$G$5:$G$180&lt;&gt;"acoes")))*INDEX(Inputs!$K$5:$AJ$180,0,MATCH(N$2,Inputs!$K$4:$AJ$4,0)))+SUMPRODUCT((Inputs!$E$5:$E$180=$B38)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8" s="6" t="e">
        <f>IF(ISNA(MATCH(O$2,Inputs!$K$4:$AJ$4,0)),NA(),IF(SUMPRODUCT((Inputs!$A$5:$A$180=$B38)*ISNUMBER(INDEX(Inputs!$K$5:$AJ$180,0,MATCH(O$2,Inputs!$K$4:$AJ$4,0))))+SUMPRODUCT((Inputs!$C$5:$C$180=$B38)*ISNUMBER(INDEX(Inputs!$K$5:$AJ$180,0,MATCH(O$2,Inputs!$K$4:$AJ$4,0))))+SUMPRODUCT((Inputs!$E$5:$E$180=$B38)*ISNUMBER(INDEX(Inputs!$K$5:$AJ$180,0,MATCH(O$2,Inputs!$K$4:$AJ$4,0))))=0,NA(),SUMPRODUCT((Inputs!$A$5:$A$180=$B38)*Inputs!$B$5:$B$180*(((Inputs!$G$5:$G$180="moeda")+(Inputs!$G$5:$G$180="acoes"))*Inputs!$B$1+((Inputs!$G$5:$G$180&lt;&gt;"moeda")*(Inputs!$G$5:$G$180&lt;&gt;"acoes")))*INDEX(Inputs!$K$5:$AJ$180,0,MATCH(O$2,Inputs!$K$4:$AJ$4,0)))+SUMPRODUCT((Inputs!$C$5:$C$180=$B38)*Inputs!$D$5:$D$180*(((Inputs!$G$5:$G$180="moeda")+(Inputs!$G$5:$G$180="acoes"))*Inputs!$B$1+((Inputs!$G$5:$G$180&lt;&gt;"moeda")*(Inputs!$G$5:$G$180&lt;&gt;"acoes")))*INDEX(Inputs!$K$5:$AJ$180,0,MATCH(O$2,Inputs!$K$4:$AJ$4,0)))+SUMPRODUCT((Inputs!$E$5:$E$180=$B38)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8" s="6" t="e">
        <f>IF(ISNA(MATCH(P$2,Inputs!$K$4:$AJ$4,0)),NA(),IF(SUMPRODUCT((Inputs!$A$5:$A$180=$B38)*ISNUMBER(INDEX(Inputs!$K$5:$AJ$180,0,MATCH(P$2,Inputs!$K$4:$AJ$4,0))))+SUMPRODUCT((Inputs!$C$5:$C$180=$B38)*ISNUMBER(INDEX(Inputs!$K$5:$AJ$180,0,MATCH(P$2,Inputs!$K$4:$AJ$4,0))))+SUMPRODUCT((Inputs!$E$5:$E$180=$B38)*ISNUMBER(INDEX(Inputs!$K$5:$AJ$180,0,MATCH(P$2,Inputs!$K$4:$AJ$4,0))))=0,NA(),SUMPRODUCT((Inputs!$A$5:$A$180=$B38)*Inputs!$B$5:$B$180*(((Inputs!$G$5:$G$180="moeda")+(Inputs!$G$5:$G$180="acoes"))*Inputs!$B$1+((Inputs!$G$5:$G$180&lt;&gt;"moeda")*(Inputs!$G$5:$G$180&lt;&gt;"acoes")))*INDEX(Inputs!$K$5:$AJ$180,0,MATCH(P$2,Inputs!$K$4:$AJ$4,0)))+SUMPRODUCT((Inputs!$C$5:$C$180=$B38)*Inputs!$D$5:$D$180*(((Inputs!$G$5:$G$180="moeda")+(Inputs!$G$5:$G$180="acoes"))*Inputs!$B$1+((Inputs!$G$5:$G$180&lt;&gt;"moeda")*(Inputs!$G$5:$G$180&lt;&gt;"acoes")))*INDEX(Inputs!$K$5:$AJ$180,0,MATCH(P$2,Inputs!$K$4:$AJ$4,0)))+SUMPRODUCT((Inputs!$E$5:$E$180=$B38)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8" s="6" t="e">
        <f>IF(ISNA(MATCH(Q$2,Inputs!$K$4:$AJ$4,0)),NA(),IF(SUMPRODUCT((Inputs!$A$5:$A$180=$B38)*ISNUMBER(INDEX(Inputs!$K$5:$AJ$180,0,MATCH(Q$2,Inputs!$K$4:$AJ$4,0))))+SUMPRODUCT((Inputs!$C$5:$C$180=$B38)*ISNUMBER(INDEX(Inputs!$K$5:$AJ$180,0,MATCH(Q$2,Inputs!$K$4:$AJ$4,0))))+SUMPRODUCT((Inputs!$E$5:$E$180=$B38)*ISNUMBER(INDEX(Inputs!$K$5:$AJ$180,0,MATCH(Q$2,Inputs!$K$4:$AJ$4,0))))=0,NA(),SUMPRODUCT((Inputs!$A$5:$A$180=$B38)*Inputs!$B$5:$B$180*(((Inputs!$G$5:$G$180="moeda")+(Inputs!$G$5:$G$180="acoes"))*Inputs!$B$1+((Inputs!$G$5:$G$180&lt;&gt;"moeda")*(Inputs!$G$5:$G$180&lt;&gt;"acoes")))*INDEX(Inputs!$K$5:$AJ$180,0,MATCH(Q$2,Inputs!$K$4:$AJ$4,0)))+SUMPRODUCT((Inputs!$C$5:$C$180=$B38)*Inputs!$D$5:$D$180*(((Inputs!$G$5:$G$180="moeda")+(Inputs!$G$5:$G$180="acoes"))*Inputs!$B$1+((Inputs!$G$5:$G$180&lt;&gt;"moeda")*(Inputs!$G$5:$G$180&lt;&gt;"acoes")))*INDEX(Inputs!$K$5:$AJ$180,0,MATCH(Q$2,Inputs!$K$4:$AJ$4,0)))+SUMPRODUCT((Inputs!$E$5:$E$180=$B38)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8" s="3" t="e">
        <f>Q38</f>
        <v>#N/A</v>
      </c>
      <c r="S38" s="6" t="e">
        <f>IF(ISNA(MATCH(S$2,Inputs!$K$4:$AJ$4,0)),NA(),IF(SUMPRODUCT((Inputs!$A$5:$A$180=$B38)*ISNUMBER(INDEX(Inputs!$K$5:$AJ$180,0,MATCH(S$2,Inputs!$K$4:$AJ$4,0))))+SUMPRODUCT((Inputs!$C$5:$C$180=$B38)*ISNUMBER(INDEX(Inputs!$K$5:$AJ$180,0,MATCH(S$2,Inputs!$K$4:$AJ$4,0))))+SUMPRODUCT((Inputs!$E$5:$E$180=$B38)*ISNUMBER(INDEX(Inputs!$K$5:$AJ$180,0,MATCH(S$2,Inputs!$K$4:$AJ$4,0))))=0,NA(),SUMPRODUCT((Inputs!$A$5:$A$180=$B38)*Inputs!$B$5:$B$180*(((Inputs!$G$5:$G$180="moeda")+(Inputs!$G$5:$G$180="acoes"))*Inputs!$B$1+((Inputs!$G$5:$G$180&lt;&gt;"moeda")*(Inputs!$G$5:$G$180&lt;&gt;"acoes")))*INDEX(Inputs!$K$5:$AJ$180,0,MATCH(S$2,Inputs!$K$4:$AJ$4,0)))+SUMPRODUCT((Inputs!$C$5:$C$180=$B38)*Inputs!$D$5:$D$180*(((Inputs!$G$5:$G$180="moeda")+(Inputs!$G$5:$G$180="acoes"))*Inputs!$B$1+((Inputs!$G$5:$G$180&lt;&gt;"moeda")*(Inputs!$G$5:$G$180&lt;&gt;"acoes")))*INDEX(Inputs!$K$5:$AJ$180,0,MATCH(S$2,Inputs!$K$4:$AJ$4,0)))+SUMPRODUCT((Inputs!$E$5:$E$180=$B38)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8" s="6" t="e">
        <f>IF(ISNA(MATCH(T$2,Inputs!$K$4:$AJ$4,0)),NA(),IF(SUMPRODUCT((Inputs!$A$5:$A$180=$B38)*ISNUMBER(INDEX(Inputs!$K$5:$AJ$180,0,MATCH(T$2,Inputs!$K$4:$AJ$4,0))))+SUMPRODUCT((Inputs!$C$5:$C$180=$B38)*ISNUMBER(INDEX(Inputs!$K$5:$AJ$180,0,MATCH(T$2,Inputs!$K$4:$AJ$4,0))))+SUMPRODUCT((Inputs!$E$5:$E$180=$B38)*ISNUMBER(INDEX(Inputs!$K$5:$AJ$180,0,MATCH(T$2,Inputs!$K$4:$AJ$4,0))))=0,NA(),SUMPRODUCT((Inputs!$A$5:$A$180=$B38)*Inputs!$B$5:$B$180*(((Inputs!$G$5:$G$180="moeda")+(Inputs!$G$5:$G$180="acoes"))*Inputs!$B$1+((Inputs!$G$5:$G$180&lt;&gt;"moeda")*(Inputs!$G$5:$G$180&lt;&gt;"acoes")))*INDEX(Inputs!$K$5:$AJ$180,0,MATCH(T$2,Inputs!$K$4:$AJ$4,0)))+SUMPRODUCT((Inputs!$C$5:$C$180=$B38)*Inputs!$D$5:$D$180*(((Inputs!$G$5:$G$180="moeda")+(Inputs!$G$5:$G$180="acoes"))*Inputs!$B$1+((Inputs!$G$5:$G$180&lt;&gt;"moeda")*(Inputs!$G$5:$G$180&lt;&gt;"acoes")))*INDEX(Inputs!$K$5:$AJ$180,0,MATCH(T$2,Inputs!$K$4:$AJ$4,0)))+SUMPRODUCT((Inputs!$E$5:$E$180=$B38)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8" s="6" t="e">
        <f>IF(ISNA(MATCH(U$2,Inputs!$K$4:$AJ$4,0)),NA(),IF(SUMPRODUCT((Inputs!$A$5:$A$180=$B38)*ISNUMBER(INDEX(Inputs!$K$5:$AJ$180,0,MATCH(U$2,Inputs!$K$4:$AJ$4,0))))+SUMPRODUCT((Inputs!$C$5:$C$180=$B38)*ISNUMBER(INDEX(Inputs!$K$5:$AJ$180,0,MATCH(U$2,Inputs!$K$4:$AJ$4,0))))+SUMPRODUCT((Inputs!$E$5:$E$180=$B38)*ISNUMBER(INDEX(Inputs!$K$5:$AJ$180,0,MATCH(U$2,Inputs!$K$4:$AJ$4,0))))=0,NA(),SUMPRODUCT((Inputs!$A$5:$A$180=$B38)*Inputs!$B$5:$B$180*(((Inputs!$G$5:$G$180="moeda")+(Inputs!$G$5:$G$180="acoes"))*Inputs!$B$1+((Inputs!$G$5:$G$180&lt;&gt;"moeda")*(Inputs!$G$5:$G$180&lt;&gt;"acoes")))*INDEX(Inputs!$K$5:$AJ$180,0,MATCH(U$2,Inputs!$K$4:$AJ$4,0)))+SUMPRODUCT((Inputs!$C$5:$C$180=$B38)*Inputs!$D$5:$D$180*(((Inputs!$G$5:$G$180="moeda")+(Inputs!$G$5:$G$180="acoes"))*Inputs!$B$1+((Inputs!$G$5:$G$180&lt;&gt;"moeda")*(Inputs!$G$5:$G$180&lt;&gt;"acoes")))*INDEX(Inputs!$K$5:$AJ$180,0,MATCH(U$2,Inputs!$K$4:$AJ$4,0)))+SUMPRODUCT((Inputs!$E$5:$E$180=$B38)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8" s="6" t="e">
        <f>IF(ISNA(MATCH(V$2,Inputs!$K$4:$AJ$4,0)),NA(),IF(SUMPRODUCT((Inputs!$A$5:$A$180=$B38)*ISNUMBER(INDEX(Inputs!$K$5:$AJ$180,0,MATCH(V$2,Inputs!$K$4:$AJ$4,0))))+SUMPRODUCT((Inputs!$C$5:$C$180=$B38)*ISNUMBER(INDEX(Inputs!$K$5:$AJ$180,0,MATCH(V$2,Inputs!$K$4:$AJ$4,0))))+SUMPRODUCT((Inputs!$E$5:$E$180=$B38)*ISNUMBER(INDEX(Inputs!$K$5:$AJ$180,0,MATCH(V$2,Inputs!$K$4:$AJ$4,0))))=0,NA(),SUMPRODUCT((Inputs!$A$5:$A$180=$B38)*Inputs!$B$5:$B$180*(((Inputs!$G$5:$G$180="moeda")+(Inputs!$G$5:$G$180="acoes"))*Inputs!$B$1+((Inputs!$G$5:$G$180&lt;&gt;"moeda")*(Inputs!$G$5:$G$180&lt;&gt;"acoes")))*INDEX(Inputs!$K$5:$AJ$180,0,MATCH(V$2,Inputs!$K$4:$AJ$4,0)))+SUMPRODUCT((Inputs!$C$5:$C$180=$B38)*Inputs!$D$5:$D$180*(((Inputs!$G$5:$G$180="moeda")+(Inputs!$G$5:$G$180="acoes"))*Inputs!$B$1+((Inputs!$G$5:$G$180&lt;&gt;"moeda")*(Inputs!$G$5:$G$180&lt;&gt;"acoes")))*INDEX(Inputs!$K$5:$AJ$180,0,MATCH(V$2,Inputs!$K$4:$AJ$4,0)))+SUMPRODUCT((Inputs!$E$5:$E$180=$B38)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8" s="3" t="e">
        <f>V38</f>
        <v>#N/A</v>
      </c>
      <c r="X38" s="6" t="e">
        <f>IF(ISNA(MATCH(X$2,Inputs!$K$4:$AJ$4,0)),NA(),IF(SUMPRODUCT((Inputs!$A$5:$A$180=$B38)*ISNUMBER(INDEX(Inputs!$K$5:$AJ$180,0,MATCH(X$2,Inputs!$K$4:$AJ$4,0))))+SUMPRODUCT((Inputs!$C$5:$C$180=$B38)*ISNUMBER(INDEX(Inputs!$K$5:$AJ$180,0,MATCH(X$2,Inputs!$K$4:$AJ$4,0))))+SUMPRODUCT((Inputs!$E$5:$E$180=$B38)*ISNUMBER(INDEX(Inputs!$K$5:$AJ$180,0,MATCH(X$2,Inputs!$K$4:$AJ$4,0))))=0,NA(),SUMPRODUCT((Inputs!$A$5:$A$180=$B38)*Inputs!$B$5:$B$180*(((Inputs!$G$5:$G$180="moeda")+(Inputs!$G$5:$G$180="acoes"))*Inputs!$B$1+((Inputs!$G$5:$G$180&lt;&gt;"moeda")*(Inputs!$G$5:$G$180&lt;&gt;"acoes")))*INDEX(Inputs!$K$5:$AJ$180,0,MATCH(X$2,Inputs!$K$4:$AJ$4,0)))+SUMPRODUCT((Inputs!$C$5:$C$180=$B38)*Inputs!$D$5:$D$180*(((Inputs!$G$5:$G$180="moeda")+(Inputs!$G$5:$G$180="acoes"))*Inputs!$B$1+((Inputs!$G$5:$G$180&lt;&gt;"moeda")*(Inputs!$G$5:$G$180&lt;&gt;"acoes")))*INDEX(Inputs!$K$5:$AJ$180,0,MATCH(X$2,Inputs!$K$4:$AJ$4,0)))+SUMPRODUCT((Inputs!$E$5:$E$180=$B38)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8" s="6" t="e">
        <f>IF(ISNA(MATCH(Y$2,Inputs!$K$4:$AJ$4,0)),NA(),IF(SUMPRODUCT((Inputs!$A$5:$A$180=$B38)*ISNUMBER(INDEX(Inputs!$K$5:$AJ$180,0,MATCH(Y$2,Inputs!$K$4:$AJ$4,0))))+SUMPRODUCT((Inputs!$C$5:$C$180=$B38)*ISNUMBER(INDEX(Inputs!$K$5:$AJ$180,0,MATCH(Y$2,Inputs!$K$4:$AJ$4,0))))+SUMPRODUCT((Inputs!$E$5:$E$180=$B38)*ISNUMBER(INDEX(Inputs!$K$5:$AJ$180,0,MATCH(Y$2,Inputs!$K$4:$AJ$4,0))))=0,NA(),SUMPRODUCT((Inputs!$A$5:$A$180=$B38)*Inputs!$B$5:$B$180*(((Inputs!$G$5:$G$180="moeda")+(Inputs!$G$5:$G$180="acoes"))*Inputs!$B$1+((Inputs!$G$5:$G$180&lt;&gt;"moeda")*(Inputs!$G$5:$G$180&lt;&gt;"acoes")))*INDEX(Inputs!$K$5:$AJ$180,0,MATCH(Y$2,Inputs!$K$4:$AJ$4,0)))+SUMPRODUCT((Inputs!$C$5:$C$180=$B38)*Inputs!$D$5:$D$180*(((Inputs!$G$5:$G$180="moeda")+(Inputs!$G$5:$G$180="acoes"))*Inputs!$B$1+((Inputs!$G$5:$G$180&lt;&gt;"moeda")*(Inputs!$G$5:$G$180&lt;&gt;"acoes")))*INDEX(Inputs!$K$5:$AJ$180,0,MATCH(Y$2,Inputs!$K$4:$AJ$4,0)))+SUMPRODUCT((Inputs!$E$5:$E$180=$B38)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8" s="6" t="e">
        <f>IF(ISNA(MATCH(Z$2,Inputs!$K$4:$AJ$4,0)),NA(),IF(SUMPRODUCT((Inputs!$A$5:$A$180=$B38)*ISNUMBER(INDEX(Inputs!$K$5:$AJ$180,0,MATCH(Z$2,Inputs!$K$4:$AJ$4,0))))+SUMPRODUCT((Inputs!$C$5:$C$180=$B38)*ISNUMBER(INDEX(Inputs!$K$5:$AJ$180,0,MATCH(Z$2,Inputs!$K$4:$AJ$4,0))))+SUMPRODUCT((Inputs!$E$5:$E$180=$B38)*ISNUMBER(INDEX(Inputs!$K$5:$AJ$180,0,MATCH(Z$2,Inputs!$K$4:$AJ$4,0))))=0,NA(),SUMPRODUCT((Inputs!$A$5:$A$180=$B38)*Inputs!$B$5:$B$180*(((Inputs!$G$5:$G$180="moeda")+(Inputs!$G$5:$G$180="acoes"))*Inputs!$B$1+((Inputs!$G$5:$G$180&lt;&gt;"moeda")*(Inputs!$G$5:$G$180&lt;&gt;"acoes")))*INDEX(Inputs!$K$5:$AJ$180,0,MATCH(Z$2,Inputs!$K$4:$AJ$4,0)))+SUMPRODUCT((Inputs!$C$5:$C$180=$B38)*Inputs!$D$5:$D$180*(((Inputs!$G$5:$G$180="moeda")+(Inputs!$G$5:$G$180="acoes"))*Inputs!$B$1+((Inputs!$G$5:$G$180&lt;&gt;"moeda")*(Inputs!$G$5:$G$180&lt;&gt;"acoes")))*INDEX(Inputs!$K$5:$AJ$180,0,MATCH(Z$2,Inputs!$K$4:$AJ$4,0)))+SUMPRODUCT((Inputs!$E$5:$E$180=$B38)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8" s="6" t="e">
        <f>IF(ISNA(MATCH(AA$2,Inputs!$K$4:$AJ$4,0)),NA(),IF(SUMPRODUCT((Inputs!$A$5:$A$180=$B38)*ISNUMBER(INDEX(Inputs!$K$5:$AJ$180,0,MATCH(AA$2,Inputs!$K$4:$AJ$4,0))))+SUMPRODUCT((Inputs!$C$5:$C$180=$B38)*ISNUMBER(INDEX(Inputs!$K$5:$AJ$180,0,MATCH(AA$2,Inputs!$K$4:$AJ$4,0))))+SUMPRODUCT((Inputs!$E$5:$E$180=$B38)*ISNUMBER(INDEX(Inputs!$K$5:$AJ$180,0,MATCH(AA$2,Inputs!$K$4:$AJ$4,0))))=0,NA(),SUMPRODUCT((Inputs!$A$5:$A$180=$B38)*Inputs!$B$5:$B$180*(((Inputs!$G$5:$G$180="moeda")+(Inputs!$G$5:$G$180="acoes"))*Inputs!$B$1+((Inputs!$G$5:$G$180&lt;&gt;"moeda")*(Inputs!$G$5:$G$180&lt;&gt;"acoes")))*INDEX(Inputs!$K$5:$AJ$180,0,MATCH(AA$2,Inputs!$K$4:$AJ$4,0)))+SUMPRODUCT((Inputs!$C$5:$C$180=$B38)*Inputs!$D$5:$D$180*(((Inputs!$G$5:$G$180="moeda")+(Inputs!$G$5:$G$180="acoes"))*Inputs!$B$1+((Inputs!$G$5:$G$180&lt;&gt;"moeda")*(Inputs!$G$5:$G$180&lt;&gt;"acoes")))*INDEX(Inputs!$K$5:$AJ$180,0,MATCH(AA$2,Inputs!$K$4:$AJ$4,0)))+SUMPRODUCT((Inputs!$E$5:$E$180=$B38)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8" s="3" t="e">
        <f>AA38</f>
        <v>#N/A</v>
      </c>
      <c r="AC38" s="6" t="e">
        <f>IF(ISNA(MATCH(AC$2,Inputs!$K$4:$AJ$4,0)),NA(),IF(SUMPRODUCT((Inputs!$A$5:$A$180=$B38)*ISNUMBER(INDEX(Inputs!$K$5:$AJ$180,0,MATCH(AC$2,Inputs!$K$4:$AJ$4,0))))+SUMPRODUCT((Inputs!$C$5:$C$180=$B38)*ISNUMBER(INDEX(Inputs!$K$5:$AJ$180,0,MATCH(AC$2,Inputs!$K$4:$AJ$4,0))))+SUMPRODUCT((Inputs!$E$5:$E$180=$B38)*ISNUMBER(INDEX(Inputs!$K$5:$AJ$180,0,MATCH(AC$2,Inputs!$K$4:$AJ$4,0))))=0,NA(),SUMPRODUCT((Inputs!$A$5:$A$180=$B38)*Inputs!$B$5:$B$180*(((Inputs!$G$5:$G$180="moeda")+(Inputs!$G$5:$G$180="acoes"))*Inputs!$B$1+((Inputs!$G$5:$G$180&lt;&gt;"moeda")*(Inputs!$G$5:$G$180&lt;&gt;"acoes")))*INDEX(Inputs!$K$5:$AJ$180,0,MATCH(AC$2,Inputs!$K$4:$AJ$4,0)))+SUMPRODUCT((Inputs!$C$5:$C$180=$B38)*Inputs!$D$5:$D$180*(((Inputs!$G$5:$G$180="moeda")+(Inputs!$G$5:$G$180="acoes"))*Inputs!$B$1+((Inputs!$G$5:$G$180&lt;&gt;"moeda")*(Inputs!$G$5:$G$180&lt;&gt;"acoes")))*INDEX(Inputs!$K$5:$AJ$180,0,MATCH(AC$2,Inputs!$K$4:$AJ$4,0)))+SUMPRODUCT((Inputs!$E$5:$E$180=$B38)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8" s="6" t="e">
        <f>IF(ISNA(MATCH(AD$2,Inputs!$K$4:$AJ$4,0)),NA(),IF(SUMPRODUCT((Inputs!$A$5:$A$180=$B38)*ISNUMBER(INDEX(Inputs!$K$5:$AJ$180,0,MATCH(AD$2,Inputs!$K$4:$AJ$4,0))))+SUMPRODUCT((Inputs!$C$5:$C$180=$B38)*ISNUMBER(INDEX(Inputs!$K$5:$AJ$180,0,MATCH(AD$2,Inputs!$K$4:$AJ$4,0))))+SUMPRODUCT((Inputs!$E$5:$E$180=$B38)*ISNUMBER(INDEX(Inputs!$K$5:$AJ$180,0,MATCH(AD$2,Inputs!$K$4:$AJ$4,0))))=0,NA(),SUMPRODUCT((Inputs!$A$5:$A$180=$B38)*Inputs!$B$5:$B$180*(((Inputs!$G$5:$G$180="moeda")+(Inputs!$G$5:$G$180="acoes"))*Inputs!$B$1+((Inputs!$G$5:$G$180&lt;&gt;"moeda")*(Inputs!$G$5:$G$180&lt;&gt;"acoes")))*INDEX(Inputs!$K$5:$AJ$180,0,MATCH(AD$2,Inputs!$K$4:$AJ$4,0)))+SUMPRODUCT((Inputs!$C$5:$C$180=$B38)*Inputs!$D$5:$D$180*(((Inputs!$G$5:$G$180="moeda")+(Inputs!$G$5:$G$180="acoes"))*Inputs!$B$1+((Inputs!$G$5:$G$180&lt;&gt;"moeda")*(Inputs!$G$5:$G$180&lt;&gt;"acoes")))*INDEX(Inputs!$K$5:$AJ$180,0,MATCH(AD$2,Inputs!$K$4:$AJ$4,0)))+SUMPRODUCT((Inputs!$E$5:$E$180=$B38)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8" s="6" t="e">
        <f>IF(ISNA(MATCH(AE$2,Inputs!$K$4:$AJ$4,0)),NA(),IF(SUMPRODUCT((Inputs!$A$5:$A$180=$B38)*ISNUMBER(INDEX(Inputs!$K$5:$AJ$180,0,MATCH(AE$2,Inputs!$K$4:$AJ$4,0))))+SUMPRODUCT((Inputs!$C$5:$C$180=$B38)*ISNUMBER(INDEX(Inputs!$K$5:$AJ$180,0,MATCH(AE$2,Inputs!$K$4:$AJ$4,0))))+SUMPRODUCT((Inputs!$E$5:$E$180=$B38)*ISNUMBER(INDEX(Inputs!$K$5:$AJ$180,0,MATCH(AE$2,Inputs!$K$4:$AJ$4,0))))=0,NA(),SUMPRODUCT((Inputs!$A$5:$A$180=$B38)*Inputs!$B$5:$B$180*(((Inputs!$G$5:$G$180="moeda")+(Inputs!$G$5:$G$180="acoes"))*Inputs!$B$1+((Inputs!$G$5:$G$180&lt;&gt;"moeda")*(Inputs!$G$5:$G$180&lt;&gt;"acoes")))*INDEX(Inputs!$K$5:$AJ$180,0,MATCH(AE$2,Inputs!$K$4:$AJ$4,0)))+SUMPRODUCT((Inputs!$C$5:$C$180=$B38)*Inputs!$D$5:$D$180*(((Inputs!$G$5:$G$180="moeda")+(Inputs!$G$5:$G$180="acoes"))*Inputs!$B$1+((Inputs!$G$5:$G$180&lt;&gt;"moeda")*(Inputs!$G$5:$G$180&lt;&gt;"acoes")))*INDEX(Inputs!$K$5:$AJ$180,0,MATCH(AE$2,Inputs!$K$4:$AJ$4,0)))+SUMPRODUCT((Inputs!$E$5:$E$180=$B38)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8" s="6" t="e">
        <f>IF(ISNA(MATCH(AF$2,Inputs!$K$4:$AJ$4,0)),NA(),IF(SUMPRODUCT((Inputs!$A$5:$A$180=$B38)*ISNUMBER(INDEX(Inputs!$K$5:$AJ$180,0,MATCH(AF$2,Inputs!$K$4:$AJ$4,0))))+SUMPRODUCT((Inputs!$C$5:$C$180=$B38)*ISNUMBER(INDEX(Inputs!$K$5:$AJ$180,0,MATCH(AF$2,Inputs!$K$4:$AJ$4,0))))+SUMPRODUCT((Inputs!$E$5:$E$180=$B38)*ISNUMBER(INDEX(Inputs!$K$5:$AJ$180,0,MATCH(AF$2,Inputs!$K$4:$AJ$4,0))))=0,NA(),SUMPRODUCT((Inputs!$A$5:$A$180=$B38)*Inputs!$B$5:$B$180*(((Inputs!$G$5:$G$180="moeda")+(Inputs!$G$5:$G$180="acoes"))*Inputs!$B$1+((Inputs!$G$5:$G$180&lt;&gt;"moeda")*(Inputs!$G$5:$G$180&lt;&gt;"acoes")))*INDEX(Inputs!$K$5:$AJ$180,0,MATCH(AF$2,Inputs!$K$4:$AJ$4,0)))+SUMPRODUCT((Inputs!$C$5:$C$180=$B38)*Inputs!$D$5:$D$180*(((Inputs!$G$5:$G$180="moeda")+(Inputs!$G$5:$G$180="acoes"))*Inputs!$B$1+((Inputs!$G$5:$G$180&lt;&gt;"moeda")*(Inputs!$G$5:$G$180&lt;&gt;"acoes")))*INDEX(Inputs!$K$5:$AJ$180,0,MATCH(AF$2,Inputs!$K$4:$AJ$4,0)))+SUMPRODUCT((Inputs!$E$5:$E$180=$B38)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8" s="3" t="e">
        <f>AF38</f>
        <v>#N/A</v>
      </c>
      <c r="AH38" s="6" t="e">
        <f>IF(ISNA(MATCH(AH$2,Inputs!$K$4:$AJ$4,0)),NA(),IF(SUMPRODUCT((Inputs!$A$5:$A$180=$B38)*ISNUMBER(INDEX(Inputs!$K$5:$AJ$180,0,MATCH(AH$2,Inputs!$K$4:$AJ$4,0))))+SUMPRODUCT((Inputs!$C$5:$C$180=$B38)*ISNUMBER(INDEX(Inputs!$K$5:$AJ$180,0,MATCH(AH$2,Inputs!$K$4:$AJ$4,0))))+SUMPRODUCT((Inputs!$E$5:$E$180=$B38)*ISNUMBER(INDEX(Inputs!$K$5:$AJ$180,0,MATCH(AH$2,Inputs!$K$4:$AJ$4,0))))=0,NA(),SUMPRODUCT((Inputs!$A$5:$A$180=$B38)*Inputs!$B$5:$B$180*(((Inputs!$G$5:$G$180="moeda")+(Inputs!$G$5:$G$180="acoes"))*Inputs!$B$1+((Inputs!$G$5:$G$180&lt;&gt;"moeda")*(Inputs!$G$5:$G$180&lt;&gt;"acoes")))*INDEX(Inputs!$K$5:$AJ$180,0,MATCH(AH$2,Inputs!$K$4:$AJ$4,0)))+SUMPRODUCT((Inputs!$C$5:$C$180=$B38)*Inputs!$D$5:$D$180*(((Inputs!$G$5:$G$180="moeda")+(Inputs!$G$5:$G$180="acoes"))*Inputs!$B$1+((Inputs!$G$5:$G$180&lt;&gt;"moeda")*(Inputs!$G$5:$G$180&lt;&gt;"acoes")))*INDEX(Inputs!$K$5:$AJ$180,0,MATCH(AH$2,Inputs!$K$4:$AJ$4,0)))+SUMPRODUCT((Inputs!$E$5:$E$180=$B38)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8" s="6" t="e">
        <f>IF(ISNA(MATCH(AI$2,Inputs!$K$4:$AJ$4,0)),NA(),IF(SUMPRODUCT((Inputs!$A$5:$A$180=$B38)*ISNUMBER(INDEX(Inputs!$K$5:$AJ$180,0,MATCH(AI$2,Inputs!$K$4:$AJ$4,0))))+SUMPRODUCT((Inputs!$C$5:$C$180=$B38)*ISNUMBER(INDEX(Inputs!$K$5:$AJ$180,0,MATCH(AI$2,Inputs!$K$4:$AJ$4,0))))+SUMPRODUCT((Inputs!$E$5:$E$180=$B38)*ISNUMBER(INDEX(Inputs!$K$5:$AJ$180,0,MATCH(AI$2,Inputs!$K$4:$AJ$4,0))))=0,NA(),SUMPRODUCT((Inputs!$A$5:$A$180=$B38)*Inputs!$B$5:$B$180*(((Inputs!$G$5:$G$180="moeda")+(Inputs!$G$5:$G$180="acoes"))*Inputs!$B$1+((Inputs!$G$5:$G$180&lt;&gt;"moeda")*(Inputs!$G$5:$G$180&lt;&gt;"acoes")))*INDEX(Inputs!$K$5:$AJ$180,0,MATCH(AI$2,Inputs!$K$4:$AJ$4,0)))+SUMPRODUCT((Inputs!$C$5:$C$180=$B38)*Inputs!$D$5:$D$180*(((Inputs!$G$5:$G$180="moeda")+(Inputs!$G$5:$G$180="acoes"))*Inputs!$B$1+((Inputs!$G$5:$G$180&lt;&gt;"moeda")*(Inputs!$G$5:$G$180&lt;&gt;"acoes")))*INDEX(Inputs!$K$5:$AJ$180,0,MATCH(AI$2,Inputs!$K$4:$AJ$4,0)))+SUMPRODUCT((Inputs!$E$5:$E$180=$B38)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8" s="6" t="e">
        <f>IF(ISNA(MATCH(AJ$2,Inputs!$K$4:$AJ$4,0)),NA(),IF(SUMPRODUCT((Inputs!$A$5:$A$180=$B38)*ISNUMBER(INDEX(Inputs!$K$5:$AJ$180,0,MATCH(AJ$2,Inputs!$K$4:$AJ$4,0))))+SUMPRODUCT((Inputs!$C$5:$C$180=$B38)*ISNUMBER(INDEX(Inputs!$K$5:$AJ$180,0,MATCH(AJ$2,Inputs!$K$4:$AJ$4,0))))+SUMPRODUCT((Inputs!$E$5:$E$180=$B38)*ISNUMBER(INDEX(Inputs!$K$5:$AJ$180,0,MATCH(AJ$2,Inputs!$K$4:$AJ$4,0))))=0,NA(),SUMPRODUCT((Inputs!$A$5:$A$180=$B38)*Inputs!$B$5:$B$180*(((Inputs!$G$5:$G$180="moeda")+(Inputs!$G$5:$G$180="acoes"))*Inputs!$B$1+((Inputs!$G$5:$G$180&lt;&gt;"moeda")*(Inputs!$G$5:$G$180&lt;&gt;"acoes")))*INDEX(Inputs!$K$5:$AJ$180,0,MATCH(AJ$2,Inputs!$K$4:$AJ$4,0)))+SUMPRODUCT((Inputs!$C$5:$C$180=$B38)*Inputs!$D$5:$D$180*(((Inputs!$G$5:$G$180="moeda")+(Inputs!$G$5:$G$180="acoes"))*Inputs!$B$1+((Inputs!$G$5:$G$180&lt;&gt;"moeda")*(Inputs!$G$5:$G$180&lt;&gt;"acoes")))*INDEX(Inputs!$K$5:$AJ$180,0,MATCH(AJ$2,Inputs!$K$4:$AJ$4,0)))+SUMPRODUCT((Inputs!$E$5:$E$180=$B38)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8" s="6" t="e">
        <f>IF(ISNA(MATCH(AK$2,Inputs!$K$4:$AJ$4,0)),NA(),IF(SUMPRODUCT((Inputs!$A$5:$A$180=$B38)*ISNUMBER(INDEX(Inputs!$K$5:$AJ$180,0,MATCH(AK$2,Inputs!$K$4:$AJ$4,0))))+SUMPRODUCT((Inputs!$C$5:$C$180=$B38)*ISNUMBER(INDEX(Inputs!$K$5:$AJ$180,0,MATCH(AK$2,Inputs!$K$4:$AJ$4,0))))+SUMPRODUCT((Inputs!$E$5:$E$180=$B38)*ISNUMBER(INDEX(Inputs!$K$5:$AJ$180,0,MATCH(AK$2,Inputs!$K$4:$AJ$4,0))))=0,NA(),SUMPRODUCT((Inputs!$A$5:$A$180=$B38)*Inputs!$B$5:$B$180*(((Inputs!$G$5:$G$180="moeda")+(Inputs!$G$5:$G$180="acoes"))*Inputs!$B$1+((Inputs!$G$5:$G$180&lt;&gt;"moeda")*(Inputs!$G$5:$G$180&lt;&gt;"acoes")))*INDEX(Inputs!$K$5:$AJ$180,0,MATCH(AK$2,Inputs!$K$4:$AJ$4,0)))+SUMPRODUCT((Inputs!$C$5:$C$180=$B38)*Inputs!$D$5:$D$180*(((Inputs!$G$5:$G$180="moeda")+(Inputs!$G$5:$G$180="acoes"))*Inputs!$B$1+((Inputs!$G$5:$G$180&lt;&gt;"moeda")*(Inputs!$G$5:$G$180&lt;&gt;"acoes")))*INDEX(Inputs!$K$5:$AJ$180,0,MATCH(AK$2,Inputs!$K$4:$AJ$4,0)))+SUMPRODUCT((Inputs!$E$5:$E$180=$B38)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8" s="3" t="e">
        <f>AK38</f>
        <v>#N/A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$180=$B39)*ISNUMBER(INDEX(Inputs!$K$5:$AJ$180,0,MATCH(D$2,Inputs!$K$4:$AJ$4,0))))+SUMPRODUCT((Inputs!$C$5:$C$180=$B39)*ISNUMBER(INDEX(Inputs!$K$5:$AJ$180,0,MATCH(D$2,Inputs!$K$4:$AJ$4,0))))+SUMPRODUCT((Inputs!$E$5:$E$180=$B39)*ISNUMBER(INDEX(Inputs!$K$5:$AJ$180,0,MATCH(D$2,Inputs!$K$4:$AJ$4,0))))=0,NA(),SUMPRODUCT((Inputs!$A$5:$A$180=$B39)*Inputs!$B$5:$B$180*(((Inputs!$G$5:$G$180="moeda")+(Inputs!$G$5:$G$180="acoes"))*Inputs!$B$1+((Inputs!$G$5:$G$180&lt;&gt;"moeda")*(Inputs!$G$5:$G$180&lt;&gt;"acoes")))*INDEX(Inputs!$K$5:$AJ$180,0,MATCH(D$2,Inputs!$K$4:$AJ$4,0)))+SUMPRODUCT((Inputs!$C$5:$C$180=$B39)*Inputs!$D$5:$D$180*(((Inputs!$G$5:$G$180="moeda")+(Inputs!$G$5:$G$180="acoes"))*Inputs!$B$1+((Inputs!$G$5:$G$180&lt;&gt;"moeda")*(Inputs!$G$5:$G$180&lt;&gt;"acoes")))*INDEX(Inputs!$K$5:$AJ$180,0,MATCH(D$2,Inputs!$K$4:$AJ$4,0)))+SUMPRODUCT((Inputs!$E$5:$E$180=$B39)*Inputs!$F$5:$F$180*(((Inputs!$G$5:$G$180="moeda")+(Inputs!$G$5:$G$180="acoes"))*Inputs!$B$1+((Inputs!$G$5:$G$180&lt;&gt;"moeda")*(Inputs!$G$5:$G$180&lt;&gt;"acoes")))*INDEX(Inputs!$K$5:$AJ$180,0,MATCH(D$2,Inputs!$K$4:$AJ$4,0)))))</f>
        <v>32.94815598</v>
      </c>
      <c r="E39" s="6">
        <f>IF(ISNA(MATCH(E$2,Inputs!$K$4:$AJ$4,0)),NA(),IF(SUMPRODUCT((Inputs!$A$5:$A$180=$B39)*ISNUMBER(INDEX(Inputs!$K$5:$AJ$180,0,MATCH(E$2,Inputs!$K$4:$AJ$4,0))))+SUMPRODUCT((Inputs!$C$5:$C$180=$B39)*ISNUMBER(INDEX(Inputs!$K$5:$AJ$180,0,MATCH(E$2,Inputs!$K$4:$AJ$4,0))))+SUMPRODUCT((Inputs!$E$5:$E$180=$B39)*ISNUMBER(INDEX(Inputs!$K$5:$AJ$180,0,MATCH(E$2,Inputs!$K$4:$AJ$4,0))))=0,NA(),SUMPRODUCT((Inputs!$A$5:$A$180=$B39)*Inputs!$B$5:$B$180*(((Inputs!$G$5:$G$180="moeda")+(Inputs!$G$5:$G$180="acoes"))*Inputs!$B$1+((Inputs!$G$5:$G$180&lt;&gt;"moeda")*(Inputs!$G$5:$G$180&lt;&gt;"acoes")))*INDEX(Inputs!$K$5:$AJ$180,0,MATCH(E$2,Inputs!$K$4:$AJ$4,0)))+SUMPRODUCT((Inputs!$C$5:$C$180=$B39)*Inputs!$D$5:$D$180*(((Inputs!$G$5:$G$180="moeda")+(Inputs!$G$5:$G$180="acoes"))*Inputs!$B$1+((Inputs!$G$5:$G$180&lt;&gt;"moeda")*(Inputs!$G$5:$G$180&lt;&gt;"acoes")))*INDEX(Inputs!$K$5:$AJ$180,0,MATCH(E$2,Inputs!$K$4:$AJ$4,0)))+SUMPRODUCT((Inputs!$E$5:$E$180=$B39)*Inputs!$F$5:$F$180*(((Inputs!$G$5:$G$180="moeda")+(Inputs!$G$5:$G$180="acoes"))*Inputs!$B$1+((Inputs!$G$5:$G$180&lt;&gt;"moeda")*(Inputs!$G$5:$G$180&lt;&gt;"acoes")))*INDEX(Inputs!$K$5:$AJ$180,0,MATCH(E$2,Inputs!$K$4:$AJ$4,0)))))</f>
        <v>33.89409615</v>
      </c>
      <c r="F39" s="6">
        <f>IF(ISNA(MATCH(F$2,Inputs!$K$4:$AJ$4,0)),NA(),IF(SUMPRODUCT((Inputs!$A$5:$A$180=$B39)*ISNUMBER(INDEX(Inputs!$K$5:$AJ$180,0,MATCH(F$2,Inputs!$K$4:$AJ$4,0))))+SUMPRODUCT((Inputs!$C$5:$C$180=$B39)*ISNUMBER(INDEX(Inputs!$K$5:$AJ$180,0,MATCH(F$2,Inputs!$K$4:$AJ$4,0))))+SUMPRODUCT((Inputs!$E$5:$E$180=$B39)*ISNUMBER(INDEX(Inputs!$K$5:$AJ$180,0,MATCH(F$2,Inputs!$K$4:$AJ$4,0))))=0,NA(),SUMPRODUCT((Inputs!$A$5:$A$180=$B39)*Inputs!$B$5:$B$180*(((Inputs!$G$5:$G$180="moeda")+(Inputs!$G$5:$G$180="acoes"))*Inputs!$B$1+((Inputs!$G$5:$G$180&lt;&gt;"moeda")*(Inputs!$G$5:$G$180&lt;&gt;"acoes")))*INDEX(Inputs!$K$5:$AJ$180,0,MATCH(F$2,Inputs!$K$4:$AJ$4,0)))+SUMPRODUCT((Inputs!$C$5:$C$180=$B39)*Inputs!$D$5:$D$180*(((Inputs!$G$5:$G$180="moeda")+(Inputs!$G$5:$G$180="acoes"))*Inputs!$B$1+((Inputs!$G$5:$G$180&lt;&gt;"moeda")*(Inputs!$G$5:$G$180&lt;&gt;"acoes")))*INDEX(Inputs!$K$5:$AJ$180,0,MATCH(F$2,Inputs!$K$4:$AJ$4,0)))+SUMPRODUCT((Inputs!$E$5:$E$180=$B39)*Inputs!$F$5:$F$180*(((Inputs!$G$5:$G$180="moeda")+(Inputs!$G$5:$G$180="acoes"))*Inputs!$B$1+((Inputs!$G$5:$G$180&lt;&gt;"moeda")*(Inputs!$G$5:$G$180&lt;&gt;"acoes")))*INDEX(Inputs!$K$5:$AJ$180,0,MATCH(F$2,Inputs!$K$4:$AJ$4,0)))))</f>
        <v>33.03749484</v>
      </c>
      <c r="G39" s="6">
        <f>IF(ISNA(MATCH(G$2,Inputs!$K$4:$AJ$4,0)),NA(),IF(SUMPRODUCT((Inputs!$A$5:$A$180=$B39)*ISNUMBER(INDEX(Inputs!$K$5:$AJ$180,0,MATCH(G$2,Inputs!$K$4:$AJ$4,0))))+SUMPRODUCT((Inputs!$C$5:$C$180=$B39)*ISNUMBER(INDEX(Inputs!$K$5:$AJ$180,0,MATCH(G$2,Inputs!$K$4:$AJ$4,0))))+SUMPRODUCT((Inputs!$E$5:$E$180=$B39)*ISNUMBER(INDEX(Inputs!$K$5:$AJ$180,0,MATCH(G$2,Inputs!$K$4:$AJ$4,0))))=0,NA(),SUMPRODUCT((Inputs!$A$5:$A$180=$B39)*Inputs!$B$5:$B$180*(((Inputs!$G$5:$G$180="moeda")+(Inputs!$G$5:$G$180="acoes"))*Inputs!$B$1+((Inputs!$G$5:$G$180&lt;&gt;"moeda")*(Inputs!$G$5:$G$180&lt;&gt;"acoes")))*INDEX(Inputs!$K$5:$AJ$180,0,MATCH(G$2,Inputs!$K$4:$AJ$4,0)))+SUMPRODUCT((Inputs!$C$5:$C$180=$B39)*Inputs!$D$5:$D$180*(((Inputs!$G$5:$G$180="moeda")+(Inputs!$G$5:$G$180="acoes"))*Inputs!$B$1+((Inputs!$G$5:$G$180&lt;&gt;"moeda")*(Inputs!$G$5:$G$180&lt;&gt;"acoes")))*INDEX(Inputs!$K$5:$AJ$180,0,MATCH(G$2,Inputs!$K$4:$AJ$4,0)))+SUMPRODUCT((Inputs!$E$5:$E$180=$B39)*Inputs!$F$5:$F$180*(((Inputs!$G$5:$G$180="moeda")+(Inputs!$G$5:$G$180="acoes"))*Inputs!$B$1+((Inputs!$G$5:$G$180&lt;&gt;"moeda")*(Inputs!$G$5:$G$180&lt;&gt;"acoes")))*INDEX(Inputs!$K$5:$AJ$180,0,MATCH(G$2,Inputs!$K$4:$AJ$4,0)))))</f>
        <v>22.65652177</v>
      </c>
      <c r="H39" s="3">
        <f>G39</f>
        <v>22.65652177</v>
      </c>
      <c r="I39" s="6">
        <f>IF(ISNA(MATCH(I$2,Inputs!$K$4:$AJ$4,0)),NA(),IF(SUMPRODUCT((Inputs!$A$5:$A$180=$B39)*ISNUMBER(INDEX(Inputs!$K$5:$AJ$180,0,MATCH(I$2,Inputs!$K$4:$AJ$4,0))))+SUMPRODUCT((Inputs!$C$5:$C$180=$B39)*ISNUMBER(INDEX(Inputs!$K$5:$AJ$180,0,MATCH(I$2,Inputs!$K$4:$AJ$4,0))))+SUMPRODUCT((Inputs!$E$5:$E$180=$B39)*ISNUMBER(INDEX(Inputs!$K$5:$AJ$180,0,MATCH(I$2,Inputs!$K$4:$AJ$4,0))))=0,NA(),SUMPRODUCT((Inputs!$A$5:$A$180=$B39)*Inputs!$B$5:$B$180*(((Inputs!$G$5:$G$180="moeda")+(Inputs!$G$5:$G$180="acoes"))*Inputs!$B$1+((Inputs!$G$5:$G$180&lt;&gt;"moeda")*(Inputs!$G$5:$G$180&lt;&gt;"acoes")))*INDEX(Inputs!$K$5:$AJ$180,0,MATCH(I$2,Inputs!$K$4:$AJ$4,0)))+SUMPRODUCT((Inputs!$C$5:$C$180=$B39)*Inputs!$D$5:$D$180*(((Inputs!$G$5:$G$180="moeda")+(Inputs!$G$5:$G$180="acoes"))*Inputs!$B$1+((Inputs!$G$5:$G$180&lt;&gt;"moeda")*(Inputs!$G$5:$G$180&lt;&gt;"acoes")))*INDEX(Inputs!$K$5:$AJ$180,0,MATCH(I$2,Inputs!$K$4:$AJ$4,0)))+SUMPRODUCT((Inputs!$E$5:$E$180=$B39)*Inputs!$F$5:$F$180*(((Inputs!$G$5:$G$180="moeda")+(Inputs!$G$5:$G$180="acoes"))*Inputs!$B$1+((Inputs!$G$5:$G$180&lt;&gt;"moeda")*(Inputs!$G$5:$G$180&lt;&gt;"acoes")))*INDEX(Inputs!$K$5:$AJ$180,0,MATCH(I$2,Inputs!$K$4:$AJ$4,0)))))</f>
        <v>28.01711</v>
      </c>
      <c r="J39" s="6">
        <f>IF(ISNA(MATCH(J$2,Inputs!$K$4:$AJ$4,0)),NA(),IF(SUMPRODUCT((Inputs!$A$5:$A$180=$B39)*ISNUMBER(INDEX(Inputs!$K$5:$AJ$180,0,MATCH(J$2,Inputs!$K$4:$AJ$4,0))))+SUMPRODUCT((Inputs!$C$5:$C$180=$B39)*ISNUMBER(INDEX(Inputs!$K$5:$AJ$180,0,MATCH(J$2,Inputs!$K$4:$AJ$4,0))))+SUMPRODUCT((Inputs!$E$5:$E$180=$B39)*ISNUMBER(INDEX(Inputs!$K$5:$AJ$180,0,MATCH(J$2,Inputs!$K$4:$AJ$4,0))))=0,NA(),SUMPRODUCT((Inputs!$A$5:$A$180=$B39)*Inputs!$B$5:$B$180*(((Inputs!$G$5:$G$180="moeda")+(Inputs!$G$5:$G$180="acoes"))*Inputs!$B$1+((Inputs!$G$5:$G$180&lt;&gt;"moeda")*(Inputs!$G$5:$G$180&lt;&gt;"acoes")))*INDEX(Inputs!$K$5:$AJ$180,0,MATCH(J$2,Inputs!$K$4:$AJ$4,0)))+SUMPRODUCT((Inputs!$C$5:$C$180=$B39)*Inputs!$D$5:$D$180*(((Inputs!$G$5:$G$180="moeda")+(Inputs!$G$5:$G$180="acoes"))*Inputs!$B$1+((Inputs!$G$5:$G$180&lt;&gt;"moeda")*(Inputs!$G$5:$G$180&lt;&gt;"acoes")))*INDEX(Inputs!$K$5:$AJ$180,0,MATCH(J$2,Inputs!$K$4:$AJ$4,0)))+SUMPRODUCT((Inputs!$E$5:$E$180=$B39)*Inputs!$F$5:$F$180*(((Inputs!$G$5:$G$180="moeda")+(Inputs!$G$5:$G$180="acoes"))*Inputs!$B$1+((Inputs!$G$5:$G$180&lt;&gt;"moeda")*(Inputs!$G$5:$G$180&lt;&gt;"acoes")))*INDEX(Inputs!$K$5:$AJ$180,0,MATCH(J$2,Inputs!$K$4:$AJ$4,0)))))</f>
        <v>27.0434706</v>
      </c>
      <c r="K39" s="6">
        <f>IF(ISNA(MATCH(K$2,Inputs!$K$4:$AJ$4,0)),NA(),IF(SUMPRODUCT((Inputs!$A$5:$A$180=$B39)*ISNUMBER(INDEX(Inputs!$K$5:$AJ$180,0,MATCH(K$2,Inputs!$K$4:$AJ$4,0))))+SUMPRODUCT((Inputs!$C$5:$C$180=$B39)*ISNUMBER(INDEX(Inputs!$K$5:$AJ$180,0,MATCH(K$2,Inputs!$K$4:$AJ$4,0))))+SUMPRODUCT((Inputs!$E$5:$E$180=$B39)*ISNUMBER(INDEX(Inputs!$K$5:$AJ$180,0,MATCH(K$2,Inputs!$K$4:$AJ$4,0))))=0,NA(),SUMPRODUCT((Inputs!$A$5:$A$180=$B39)*Inputs!$B$5:$B$180*(((Inputs!$G$5:$G$180="moeda")+(Inputs!$G$5:$G$180="acoes"))*Inputs!$B$1+((Inputs!$G$5:$G$180&lt;&gt;"moeda")*(Inputs!$G$5:$G$180&lt;&gt;"acoes")))*INDEX(Inputs!$K$5:$AJ$180,0,MATCH(K$2,Inputs!$K$4:$AJ$4,0)))+SUMPRODUCT((Inputs!$C$5:$C$180=$B39)*Inputs!$D$5:$D$180*(((Inputs!$G$5:$G$180="moeda")+(Inputs!$G$5:$G$180="acoes"))*Inputs!$B$1+((Inputs!$G$5:$G$180&lt;&gt;"moeda")*(Inputs!$G$5:$G$180&lt;&gt;"acoes")))*INDEX(Inputs!$K$5:$AJ$180,0,MATCH(K$2,Inputs!$K$4:$AJ$4,0)))+SUMPRODUCT((Inputs!$E$5:$E$180=$B39)*Inputs!$F$5:$F$180*(((Inputs!$G$5:$G$180="moeda")+(Inputs!$G$5:$G$180="acoes"))*Inputs!$B$1+((Inputs!$G$5:$G$180&lt;&gt;"moeda")*(Inputs!$G$5:$G$180&lt;&gt;"acoes")))*INDEX(Inputs!$K$5:$AJ$180,0,MATCH(K$2,Inputs!$K$4:$AJ$4,0)))))</f>
        <v>22.44219732</v>
      </c>
      <c r="L39" s="6">
        <f>IF(ISNA(MATCH(L$2,Inputs!$K$4:$AJ$4,0)),NA(),IF(SUMPRODUCT((Inputs!$A$5:$A$180=$B39)*ISNUMBER(INDEX(Inputs!$K$5:$AJ$180,0,MATCH(L$2,Inputs!$K$4:$AJ$4,0))))+SUMPRODUCT((Inputs!$C$5:$C$180=$B39)*ISNUMBER(INDEX(Inputs!$K$5:$AJ$180,0,MATCH(L$2,Inputs!$K$4:$AJ$4,0))))+SUMPRODUCT((Inputs!$E$5:$E$180=$B39)*ISNUMBER(INDEX(Inputs!$K$5:$AJ$180,0,MATCH(L$2,Inputs!$K$4:$AJ$4,0))))=0,NA(),SUMPRODUCT((Inputs!$A$5:$A$180=$B39)*Inputs!$B$5:$B$180*(((Inputs!$G$5:$G$180="moeda")+(Inputs!$G$5:$G$180="acoes"))*Inputs!$B$1+((Inputs!$G$5:$G$180&lt;&gt;"moeda")*(Inputs!$G$5:$G$180&lt;&gt;"acoes")))*INDEX(Inputs!$K$5:$AJ$180,0,MATCH(L$2,Inputs!$K$4:$AJ$4,0)))+SUMPRODUCT((Inputs!$C$5:$C$180=$B39)*Inputs!$D$5:$D$180*(((Inputs!$G$5:$G$180="moeda")+(Inputs!$G$5:$G$180="acoes"))*Inputs!$B$1+((Inputs!$G$5:$G$180&lt;&gt;"moeda")*(Inputs!$G$5:$G$180&lt;&gt;"acoes")))*INDEX(Inputs!$K$5:$AJ$180,0,MATCH(L$2,Inputs!$K$4:$AJ$4,0)))+SUMPRODUCT((Inputs!$E$5:$E$180=$B39)*Inputs!$F$5:$F$180*(((Inputs!$G$5:$G$180="moeda")+(Inputs!$G$5:$G$180="acoes"))*Inputs!$B$1+((Inputs!$G$5:$G$180&lt;&gt;"moeda")*(Inputs!$G$5:$G$180&lt;&gt;"acoes")))*INDEX(Inputs!$K$5:$AJ$180,0,MATCH(L$2,Inputs!$K$4:$AJ$4,0)))))</f>
        <v>24.684</v>
      </c>
      <c r="M39" s="3">
        <f>L39</f>
        <v>24.684</v>
      </c>
      <c r="N39" s="6">
        <f>IF(ISNA(MATCH(N$2,Inputs!$K$4:$AJ$4,0)),NA(),IF(SUMPRODUCT((Inputs!$A$5:$A$180=$B39)*ISNUMBER(INDEX(Inputs!$K$5:$AJ$180,0,MATCH(N$2,Inputs!$K$4:$AJ$4,0))))+SUMPRODUCT((Inputs!$C$5:$C$180=$B39)*ISNUMBER(INDEX(Inputs!$K$5:$AJ$180,0,MATCH(N$2,Inputs!$K$4:$AJ$4,0))))+SUMPRODUCT((Inputs!$E$5:$E$180=$B39)*ISNUMBER(INDEX(Inputs!$K$5:$AJ$180,0,MATCH(N$2,Inputs!$K$4:$AJ$4,0))))=0,NA(),SUMPRODUCT((Inputs!$A$5:$A$180=$B39)*Inputs!$B$5:$B$180*(((Inputs!$G$5:$G$180="moeda")+(Inputs!$G$5:$G$180="acoes"))*Inputs!$B$1+((Inputs!$G$5:$G$180&lt;&gt;"moeda")*(Inputs!$G$5:$G$180&lt;&gt;"acoes")))*INDEX(Inputs!$K$5:$AJ$180,0,MATCH(N$2,Inputs!$K$4:$AJ$4,0)))+SUMPRODUCT((Inputs!$C$5:$C$180=$B39)*Inputs!$D$5:$D$180*(((Inputs!$G$5:$G$180="moeda")+(Inputs!$G$5:$G$180="acoes"))*Inputs!$B$1+((Inputs!$G$5:$G$180&lt;&gt;"moeda")*(Inputs!$G$5:$G$180&lt;&gt;"acoes")))*INDEX(Inputs!$K$5:$AJ$180,0,MATCH(N$2,Inputs!$K$4:$AJ$4,0)))+SUMPRODUCT((Inputs!$E$5:$E$180=$B39)*Inputs!$F$5:$F$180*(((Inputs!$G$5:$G$180="moeda")+(Inputs!$G$5:$G$180="acoes"))*Inputs!$B$1+((Inputs!$G$5:$G$180&lt;&gt;"moeda")*(Inputs!$G$5:$G$180&lt;&gt;"acoes")))*INDEX(Inputs!$K$5:$AJ$180,0,MATCH(N$2,Inputs!$K$4:$AJ$4,0)))))</f>
        <v>21.929</v>
      </c>
      <c r="O39" s="6">
        <f>IF(ISNA(MATCH(O$2,Inputs!$K$4:$AJ$4,0)),NA(),IF(SUMPRODUCT((Inputs!$A$5:$A$180=$B39)*ISNUMBER(INDEX(Inputs!$K$5:$AJ$180,0,MATCH(O$2,Inputs!$K$4:$AJ$4,0))))+SUMPRODUCT((Inputs!$C$5:$C$180=$B39)*ISNUMBER(INDEX(Inputs!$K$5:$AJ$180,0,MATCH(O$2,Inputs!$K$4:$AJ$4,0))))+SUMPRODUCT((Inputs!$E$5:$E$180=$B39)*ISNUMBER(INDEX(Inputs!$K$5:$AJ$180,0,MATCH(O$2,Inputs!$K$4:$AJ$4,0))))=0,NA(),SUMPRODUCT((Inputs!$A$5:$A$180=$B39)*Inputs!$B$5:$B$180*(((Inputs!$G$5:$G$180="moeda")+(Inputs!$G$5:$G$180="acoes"))*Inputs!$B$1+((Inputs!$G$5:$G$180&lt;&gt;"moeda")*(Inputs!$G$5:$G$180&lt;&gt;"acoes")))*INDEX(Inputs!$K$5:$AJ$180,0,MATCH(O$2,Inputs!$K$4:$AJ$4,0)))+SUMPRODUCT((Inputs!$C$5:$C$180=$B39)*Inputs!$D$5:$D$180*(((Inputs!$G$5:$G$180="moeda")+(Inputs!$G$5:$G$180="acoes"))*Inputs!$B$1+((Inputs!$G$5:$G$180&lt;&gt;"moeda")*(Inputs!$G$5:$G$180&lt;&gt;"acoes")))*INDEX(Inputs!$K$5:$AJ$180,0,MATCH(O$2,Inputs!$K$4:$AJ$4,0)))+SUMPRODUCT((Inputs!$E$5:$E$180=$B39)*Inputs!$F$5:$F$180*(((Inputs!$G$5:$G$180="moeda")+(Inputs!$G$5:$G$180="acoes"))*Inputs!$B$1+((Inputs!$G$5:$G$180&lt;&gt;"moeda")*(Inputs!$G$5:$G$180&lt;&gt;"acoes")))*INDEX(Inputs!$K$5:$AJ$180,0,MATCH(O$2,Inputs!$K$4:$AJ$4,0)))))</f>
        <v>23.54428072</v>
      </c>
      <c r="P39" s="6">
        <f>IF(ISNA(MATCH(P$2,Inputs!$K$4:$AJ$4,0)),NA(),IF(SUMPRODUCT((Inputs!$A$5:$A$180=$B39)*ISNUMBER(INDEX(Inputs!$K$5:$AJ$180,0,MATCH(P$2,Inputs!$K$4:$AJ$4,0))))+SUMPRODUCT((Inputs!$C$5:$C$180=$B39)*ISNUMBER(INDEX(Inputs!$K$5:$AJ$180,0,MATCH(P$2,Inputs!$K$4:$AJ$4,0))))+SUMPRODUCT((Inputs!$E$5:$E$180=$B39)*ISNUMBER(INDEX(Inputs!$K$5:$AJ$180,0,MATCH(P$2,Inputs!$K$4:$AJ$4,0))))=0,NA(),SUMPRODUCT((Inputs!$A$5:$A$180=$B39)*Inputs!$B$5:$B$180*(((Inputs!$G$5:$G$180="moeda")+(Inputs!$G$5:$G$180="acoes"))*Inputs!$B$1+((Inputs!$G$5:$G$180&lt;&gt;"moeda")*(Inputs!$G$5:$G$180&lt;&gt;"acoes")))*INDEX(Inputs!$K$5:$AJ$180,0,MATCH(P$2,Inputs!$K$4:$AJ$4,0)))+SUMPRODUCT((Inputs!$C$5:$C$180=$B39)*Inputs!$D$5:$D$180*(((Inputs!$G$5:$G$180="moeda")+(Inputs!$G$5:$G$180="acoes"))*Inputs!$B$1+((Inputs!$G$5:$G$180&lt;&gt;"moeda")*(Inputs!$G$5:$G$180&lt;&gt;"acoes")))*INDEX(Inputs!$K$5:$AJ$180,0,MATCH(P$2,Inputs!$K$4:$AJ$4,0)))+SUMPRODUCT((Inputs!$E$5:$E$180=$B39)*Inputs!$F$5:$F$180*(((Inputs!$G$5:$G$180="moeda")+(Inputs!$G$5:$G$180="acoes"))*Inputs!$B$1+((Inputs!$G$5:$G$180&lt;&gt;"moeda")*(Inputs!$G$5:$G$180&lt;&gt;"acoes")))*INDEX(Inputs!$K$5:$AJ$180,0,MATCH(P$2,Inputs!$K$4:$AJ$4,0)))))</f>
        <v>20.27761099</v>
      </c>
      <c r="Q39" s="6">
        <f>IF(ISNA(MATCH(Q$2,Inputs!$K$4:$AJ$4,0)),NA(),IF(SUMPRODUCT((Inputs!$A$5:$A$180=$B39)*ISNUMBER(INDEX(Inputs!$K$5:$AJ$180,0,MATCH(Q$2,Inputs!$K$4:$AJ$4,0))))+SUMPRODUCT((Inputs!$C$5:$C$180=$B39)*ISNUMBER(INDEX(Inputs!$K$5:$AJ$180,0,MATCH(Q$2,Inputs!$K$4:$AJ$4,0))))+SUMPRODUCT((Inputs!$E$5:$E$180=$B39)*ISNUMBER(INDEX(Inputs!$K$5:$AJ$180,0,MATCH(Q$2,Inputs!$K$4:$AJ$4,0))))=0,NA(),SUMPRODUCT((Inputs!$A$5:$A$180=$B39)*Inputs!$B$5:$B$180*(((Inputs!$G$5:$G$180="moeda")+(Inputs!$G$5:$G$180="acoes"))*Inputs!$B$1+((Inputs!$G$5:$G$180&lt;&gt;"moeda")*(Inputs!$G$5:$G$180&lt;&gt;"acoes")))*INDEX(Inputs!$K$5:$AJ$180,0,MATCH(Q$2,Inputs!$K$4:$AJ$4,0)))+SUMPRODUCT((Inputs!$C$5:$C$180=$B39)*Inputs!$D$5:$D$180*(((Inputs!$G$5:$G$180="moeda")+(Inputs!$G$5:$G$180="acoes"))*Inputs!$B$1+((Inputs!$G$5:$G$180&lt;&gt;"moeda")*(Inputs!$G$5:$G$180&lt;&gt;"acoes")))*INDEX(Inputs!$K$5:$AJ$180,0,MATCH(Q$2,Inputs!$K$4:$AJ$4,0)))+SUMPRODUCT((Inputs!$E$5:$E$180=$B39)*Inputs!$F$5:$F$180*(((Inputs!$G$5:$G$180="moeda")+(Inputs!$G$5:$G$180="acoes"))*Inputs!$B$1+((Inputs!$G$5:$G$180&lt;&gt;"moeda")*(Inputs!$G$5:$G$180&lt;&gt;"acoes")))*INDEX(Inputs!$K$5:$AJ$180,0,MATCH(Q$2,Inputs!$K$4:$AJ$4,0)))))</f>
        <v>19.65625376</v>
      </c>
      <c r="R39" s="3">
        <f>Q39</f>
        <v>19.65625376</v>
      </c>
      <c r="S39" s="6">
        <f>IF(ISNA(MATCH(S$2,Inputs!$K$4:$AJ$4,0)),NA(),IF(SUMPRODUCT((Inputs!$A$5:$A$180=$B39)*ISNUMBER(INDEX(Inputs!$K$5:$AJ$180,0,MATCH(S$2,Inputs!$K$4:$AJ$4,0))))+SUMPRODUCT((Inputs!$C$5:$C$180=$B39)*ISNUMBER(INDEX(Inputs!$K$5:$AJ$180,0,MATCH(S$2,Inputs!$K$4:$AJ$4,0))))+SUMPRODUCT((Inputs!$E$5:$E$180=$B39)*ISNUMBER(INDEX(Inputs!$K$5:$AJ$180,0,MATCH(S$2,Inputs!$K$4:$AJ$4,0))))=0,NA(),SUMPRODUCT((Inputs!$A$5:$A$180=$B39)*Inputs!$B$5:$B$180*(((Inputs!$G$5:$G$180="moeda")+(Inputs!$G$5:$G$180="acoes"))*Inputs!$B$1+((Inputs!$G$5:$G$180&lt;&gt;"moeda")*(Inputs!$G$5:$G$180&lt;&gt;"acoes")))*INDEX(Inputs!$K$5:$AJ$180,0,MATCH(S$2,Inputs!$K$4:$AJ$4,0)))+SUMPRODUCT((Inputs!$C$5:$C$180=$B39)*Inputs!$D$5:$D$180*(((Inputs!$G$5:$G$180="moeda")+(Inputs!$G$5:$G$180="acoes"))*Inputs!$B$1+((Inputs!$G$5:$G$180&lt;&gt;"moeda")*(Inputs!$G$5:$G$180&lt;&gt;"acoes")))*INDEX(Inputs!$K$5:$AJ$180,0,MATCH(S$2,Inputs!$K$4:$AJ$4,0)))+SUMPRODUCT((Inputs!$E$5:$E$180=$B39)*Inputs!$F$5:$F$180*(((Inputs!$G$5:$G$180="moeda")+(Inputs!$G$5:$G$180="acoes"))*Inputs!$B$1+((Inputs!$G$5:$G$180&lt;&gt;"moeda")*(Inputs!$G$5:$G$180&lt;&gt;"acoes")))*INDEX(Inputs!$K$5:$AJ$180,0,MATCH(S$2,Inputs!$K$4:$AJ$4,0)))))</f>
        <v>20.72513312</v>
      </c>
      <c r="T39" s="6">
        <f>IF(ISNA(MATCH(T$2,Inputs!$K$4:$AJ$4,0)),NA(),IF(SUMPRODUCT((Inputs!$A$5:$A$180=$B39)*ISNUMBER(INDEX(Inputs!$K$5:$AJ$180,0,MATCH(T$2,Inputs!$K$4:$AJ$4,0))))+SUMPRODUCT((Inputs!$C$5:$C$180=$B39)*ISNUMBER(INDEX(Inputs!$K$5:$AJ$180,0,MATCH(T$2,Inputs!$K$4:$AJ$4,0))))+SUMPRODUCT((Inputs!$E$5:$E$180=$B39)*ISNUMBER(INDEX(Inputs!$K$5:$AJ$180,0,MATCH(T$2,Inputs!$K$4:$AJ$4,0))))=0,NA(),SUMPRODUCT((Inputs!$A$5:$A$180=$B39)*Inputs!$B$5:$B$180*(((Inputs!$G$5:$G$180="moeda")+(Inputs!$G$5:$G$180="acoes"))*Inputs!$B$1+((Inputs!$G$5:$G$180&lt;&gt;"moeda")*(Inputs!$G$5:$G$180&lt;&gt;"acoes")))*INDEX(Inputs!$K$5:$AJ$180,0,MATCH(T$2,Inputs!$K$4:$AJ$4,0)))+SUMPRODUCT((Inputs!$C$5:$C$180=$B39)*Inputs!$D$5:$D$180*(((Inputs!$G$5:$G$180="moeda")+(Inputs!$G$5:$G$180="acoes"))*Inputs!$B$1+((Inputs!$G$5:$G$180&lt;&gt;"moeda")*(Inputs!$G$5:$G$180&lt;&gt;"acoes")))*INDEX(Inputs!$K$5:$AJ$180,0,MATCH(T$2,Inputs!$K$4:$AJ$4,0)))+SUMPRODUCT((Inputs!$E$5:$E$180=$B39)*Inputs!$F$5:$F$180*(((Inputs!$G$5:$G$180="moeda")+(Inputs!$G$5:$G$180="acoes"))*Inputs!$B$1+((Inputs!$G$5:$G$180&lt;&gt;"moeda")*(Inputs!$G$5:$G$180&lt;&gt;"acoes")))*INDEX(Inputs!$K$5:$AJ$180,0,MATCH(T$2,Inputs!$K$4:$AJ$4,0)))))</f>
        <v>20.8403887</v>
      </c>
      <c r="U39" s="6">
        <f>IF(ISNA(MATCH(U$2,Inputs!$K$4:$AJ$4,0)),NA(),IF(SUMPRODUCT((Inputs!$A$5:$A$180=$B39)*ISNUMBER(INDEX(Inputs!$K$5:$AJ$180,0,MATCH(U$2,Inputs!$K$4:$AJ$4,0))))+SUMPRODUCT((Inputs!$C$5:$C$180=$B39)*ISNUMBER(INDEX(Inputs!$K$5:$AJ$180,0,MATCH(U$2,Inputs!$K$4:$AJ$4,0))))+SUMPRODUCT((Inputs!$E$5:$E$180=$B39)*ISNUMBER(INDEX(Inputs!$K$5:$AJ$180,0,MATCH(U$2,Inputs!$K$4:$AJ$4,0))))=0,NA(),SUMPRODUCT((Inputs!$A$5:$A$180=$B39)*Inputs!$B$5:$B$180*(((Inputs!$G$5:$G$180="moeda")+(Inputs!$G$5:$G$180="acoes"))*Inputs!$B$1+((Inputs!$G$5:$G$180&lt;&gt;"moeda")*(Inputs!$G$5:$G$180&lt;&gt;"acoes")))*INDEX(Inputs!$K$5:$AJ$180,0,MATCH(U$2,Inputs!$K$4:$AJ$4,0)))+SUMPRODUCT((Inputs!$C$5:$C$180=$B39)*Inputs!$D$5:$D$180*(((Inputs!$G$5:$G$180="moeda")+(Inputs!$G$5:$G$180="acoes"))*Inputs!$B$1+((Inputs!$G$5:$G$180&lt;&gt;"moeda")*(Inputs!$G$5:$G$180&lt;&gt;"acoes")))*INDEX(Inputs!$K$5:$AJ$180,0,MATCH(U$2,Inputs!$K$4:$AJ$4,0)))+SUMPRODUCT((Inputs!$E$5:$E$180=$B39)*Inputs!$F$5:$F$180*(((Inputs!$G$5:$G$180="moeda")+(Inputs!$G$5:$G$180="acoes"))*Inputs!$B$1+((Inputs!$G$5:$G$180&lt;&gt;"moeda")*(Inputs!$G$5:$G$180&lt;&gt;"acoes")))*INDEX(Inputs!$K$5:$AJ$180,0,MATCH(U$2,Inputs!$K$4:$AJ$4,0)))))</f>
        <v>21.53490533</v>
      </c>
      <c r="V39" s="6">
        <f>IF(ISNA(MATCH(V$2,Inputs!$K$4:$AJ$4,0)),NA(),IF(SUMPRODUCT((Inputs!$A$5:$A$180=$B39)*ISNUMBER(INDEX(Inputs!$K$5:$AJ$180,0,MATCH(V$2,Inputs!$K$4:$AJ$4,0))))+SUMPRODUCT((Inputs!$C$5:$C$180=$B39)*ISNUMBER(INDEX(Inputs!$K$5:$AJ$180,0,MATCH(V$2,Inputs!$K$4:$AJ$4,0))))+SUMPRODUCT((Inputs!$E$5:$E$180=$B39)*ISNUMBER(INDEX(Inputs!$K$5:$AJ$180,0,MATCH(V$2,Inputs!$K$4:$AJ$4,0))))=0,NA(),SUMPRODUCT((Inputs!$A$5:$A$180=$B39)*Inputs!$B$5:$B$180*(((Inputs!$G$5:$G$180="moeda")+(Inputs!$G$5:$G$180="acoes"))*Inputs!$B$1+((Inputs!$G$5:$G$180&lt;&gt;"moeda")*(Inputs!$G$5:$G$180&lt;&gt;"acoes")))*INDEX(Inputs!$K$5:$AJ$180,0,MATCH(V$2,Inputs!$K$4:$AJ$4,0)))+SUMPRODUCT((Inputs!$C$5:$C$180=$B39)*Inputs!$D$5:$D$180*(((Inputs!$G$5:$G$180="moeda")+(Inputs!$G$5:$G$180="acoes"))*Inputs!$B$1+((Inputs!$G$5:$G$180&lt;&gt;"moeda")*(Inputs!$G$5:$G$180&lt;&gt;"acoes")))*INDEX(Inputs!$K$5:$AJ$180,0,MATCH(V$2,Inputs!$K$4:$AJ$4,0)))+SUMPRODUCT((Inputs!$E$5:$E$180=$B39)*Inputs!$F$5:$F$180*(((Inputs!$G$5:$G$180="moeda")+(Inputs!$G$5:$G$180="acoes"))*Inputs!$B$1+((Inputs!$G$5:$G$180&lt;&gt;"moeda")*(Inputs!$G$5:$G$180&lt;&gt;"acoes")))*INDEX(Inputs!$K$5:$AJ$180,0,MATCH(V$2,Inputs!$K$4:$AJ$4,0)))))</f>
        <v>23.77900509</v>
      </c>
      <c r="W39" s="3">
        <f>V39</f>
        <v>23.77900509</v>
      </c>
      <c r="X39" s="6">
        <f>IF(ISNA(MATCH(X$2,Inputs!$K$4:$AJ$4,0)),NA(),IF(SUMPRODUCT((Inputs!$A$5:$A$180=$B39)*ISNUMBER(INDEX(Inputs!$K$5:$AJ$180,0,MATCH(X$2,Inputs!$K$4:$AJ$4,0))))+SUMPRODUCT((Inputs!$C$5:$C$180=$B39)*ISNUMBER(INDEX(Inputs!$K$5:$AJ$180,0,MATCH(X$2,Inputs!$K$4:$AJ$4,0))))+SUMPRODUCT((Inputs!$E$5:$E$180=$B39)*ISNUMBER(INDEX(Inputs!$K$5:$AJ$180,0,MATCH(X$2,Inputs!$K$4:$AJ$4,0))))=0,NA(),SUMPRODUCT((Inputs!$A$5:$A$180=$B39)*Inputs!$B$5:$B$180*(((Inputs!$G$5:$G$180="moeda")+(Inputs!$G$5:$G$180="acoes"))*Inputs!$B$1+((Inputs!$G$5:$G$180&lt;&gt;"moeda")*(Inputs!$G$5:$G$180&lt;&gt;"acoes")))*INDEX(Inputs!$K$5:$AJ$180,0,MATCH(X$2,Inputs!$K$4:$AJ$4,0)))+SUMPRODUCT((Inputs!$C$5:$C$180=$B39)*Inputs!$D$5:$D$180*(((Inputs!$G$5:$G$180="moeda")+(Inputs!$G$5:$G$180="acoes"))*Inputs!$B$1+((Inputs!$G$5:$G$180&lt;&gt;"moeda")*(Inputs!$G$5:$G$180&lt;&gt;"acoes")))*INDEX(Inputs!$K$5:$AJ$180,0,MATCH(X$2,Inputs!$K$4:$AJ$4,0)))+SUMPRODUCT((Inputs!$E$5:$E$180=$B39)*Inputs!$F$5:$F$180*(((Inputs!$G$5:$G$180="moeda")+(Inputs!$G$5:$G$180="acoes"))*Inputs!$B$1+((Inputs!$G$5:$G$180&lt;&gt;"moeda")*(Inputs!$G$5:$G$180&lt;&gt;"acoes")))*INDEX(Inputs!$K$5:$AJ$180,0,MATCH(X$2,Inputs!$K$4:$AJ$4,0)))))</f>
        <v>45.01792284</v>
      </c>
      <c r="Y39" s="6">
        <f>IF(ISNA(MATCH(Y$2,Inputs!$K$4:$AJ$4,0)),NA(),IF(SUMPRODUCT((Inputs!$A$5:$A$180=$B39)*ISNUMBER(INDEX(Inputs!$K$5:$AJ$180,0,MATCH(Y$2,Inputs!$K$4:$AJ$4,0))))+SUMPRODUCT((Inputs!$C$5:$C$180=$B39)*ISNUMBER(INDEX(Inputs!$K$5:$AJ$180,0,MATCH(Y$2,Inputs!$K$4:$AJ$4,0))))+SUMPRODUCT((Inputs!$E$5:$E$180=$B39)*ISNUMBER(INDEX(Inputs!$K$5:$AJ$180,0,MATCH(Y$2,Inputs!$K$4:$AJ$4,0))))=0,NA(),SUMPRODUCT((Inputs!$A$5:$A$180=$B39)*Inputs!$B$5:$B$180*(((Inputs!$G$5:$G$180="moeda")+(Inputs!$G$5:$G$180="acoes"))*Inputs!$B$1+((Inputs!$G$5:$G$180&lt;&gt;"moeda")*(Inputs!$G$5:$G$180&lt;&gt;"acoes")))*INDEX(Inputs!$K$5:$AJ$180,0,MATCH(Y$2,Inputs!$K$4:$AJ$4,0)))+SUMPRODUCT((Inputs!$C$5:$C$180=$B39)*Inputs!$D$5:$D$180*(((Inputs!$G$5:$G$180="moeda")+(Inputs!$G$5:$G$180="acoes"))*Inputs!$B$1+((Inputs!$G$5:$G$180&lt;&gt;"moeda")*(Inputs!$G$5:$G$180&lt;&gt;"acoes")))*INDEX(Inputs!$K$5:$AJ$180,0,MATCH(Y$2,Inputs!$K$4:$AJ$4,0)))+SUMPRODUCT((Inputs!$E$5:$E$180=$B39)*Inputs!$F$5:$F$180*(((Inputs!$G$5:$G$180="moeda")+(Inputs!$G$5:$G$180="acoes"))*Inputs!$B$1+((Inputs!$G$5:$G$180&lt;&gt;"moeda")*(Inputs!$G$5:$G$180&lt;&gt;"acoes")))*INDEX(Inputs!$K$5:$AJ$180,0,MATCH(Y$2,Inputs!$K$4:$AJ$4,0)))))</f>
        <v>56.79085536</v>
      </c>
      <c r="Z39" s="6">
        <f>IF(ISNA(MATCH(Z$2,Inputs!$K$4:$AJ$4,0)),NA(),IF(SUMPRODUCT((Inputs!$A$5:$A$180=$B39)*ISNUMBER(INDEX(Inputs!$K$5:$AJ$180,0,MATCH(Z$2,Inputs!$K$4:$AJ$4,0))))+SUMPRODUCT((Inputs!$C$5:$C$180=$B39)*ISNUMBER(INDEX(Inputs!$K$5:$AJ$180,0,MATCH(Z$2,Inputs!$K$4:$AJ$4,0))))+SUMPRODUCT((Inputs!$E$5:$E$180=$B39)*ISNUMBER(INDEX(Inputs!$K$5:$AJ$180,0,MATCH(Z$2,Inputs!$K$4:$AJ$4,0))))=0,NA(),SUMPRODUCT((Inputs!$A$5:$A$180=$B39)*Inputs!$B$5:$B$180*(((Inputs!$G$5:$G$180="moeda")+(Inputs!$G$5:$G$180="acoes"))*Inputs!$B$1+((Inputs!$G$5:$G$180&lt;&gt;"moeda")*(Inputs!$G$5:$G$180&lt;&gt;"acoes")))*INDEX(Inputs!$K$5:$AJ$180,0,MATCH(Z$2,Inputs!$K$4:$AJ$4,0)))+SUMPRODUCT((Inputs!$C$5:$C$180=$B39)*Inputs!$D$5:$D$180*(((Inputs!$G$5:$G$180="moeda")+(Inputs!$G$5:$G$180="acoes"))*Inputs!$B$1+((Inputs!$G$5:$G$180&lt;&gt;"moeda")*(Inputs!$G$5:$G$180&lt;&gt;"acoes")))*INDEX(Inputs!$K$5:$AJ$180,0,MATCH(Z$2,Inputs!$K$4:$AJ$4,0)))+SUMPRODUCT((Inputs!$E$5:$E$180=$B39)*Inputs!$F$5:$F$180*(((Inputs!$G$5:$G$180="moeda")+(Inputs!$G$5:$G$180="acoes"))*Inputs!$B$1+((Inputs!$G$5:$G$180&lt;&gt;"moeda")*(Inputs!$G$5:$G$180&lt;&gt;"acoes")))*INDEX(Inputs!$K$5:$AJ$180,0,MATCH(Z$2,Inputs!$K$4:$AJ$4,0)))))</f>
        <v>72.288</v>
      </c>
      <c r="AA39" s="6">
        <f>IF(ISNA(MATCH(AA$2,Inputs!$K$4:$AJ$4,0)),NA(),IF(SUMPRODUCT((Inputs!$A$5:$A$180=$B39)*ISNUMBER(INDEX(Inputs!$K$5:$AJ$180,0,MATCH(AA$2,Inputs!$K$4:$AJ$4,0))))+SUMPRODUCT((Inputs!$C$5:$C$180=$B39)*ISNUMBER(INDEX(Inputs!$K$5:$AJ$180,0,MATCH(AA$2,Inputs!$K$4:$AJ$4,0))))+SUMPRODUCT((Inputs!$E$5:$E$180=$B39)*ISNUMBER(INDEX(Inputs!$K$5:$AJ$180,0,MATCH(AA$2,Inputs!$K$4:$AJ$4,0))))=0,NA(),SUMPRODUCT((Inputs!$A$5:$A$180=$B39)*Inputs!$B$5:$B$180*(((Inputs!$G$5:$G$180="moeda")+(Inputs!$G$5:$G$180="acoes"))*Inputs!$B$1+((Inputs!$G$5:$G$180&lt;&gt;"moeda")*(Inputs!$G$5:$G$180&lt;&gt;"acoes")))*INDEX(Inputs!$K$5:$AJ$180,0,MATCH(AA$2,Inputs!$K$4:$AJ$4,0)))+SUMPRODUCT((Inputs!$C$5:$C$180=$B39)*Inputs!$D$5:$D$180*(((Inputs!$G$5:$G$180="moeda")+(Inputs!$G$5:$G$180="acoes"))*Inputs!$B$1+((Inputs!$G$5:$G$180&lt;&gt;"moeda")*(Inputs!$G$5:$G$180&lt;&gt;"acoes")))*INDEX(Inputs!$K$5:$AJ$180,0,MATCH(AA$2,Inputs!$K$4:$AJ$4,0)))+SUMPRODUCT((Inputs!$E$5:$E$180=$B39)*Inputs!$F$5:$F$180*(((Inputs!$G$5:$G$180="moeda")+(Inputs!$G$5:$G$180="acoes"))*Inputs!$B$1+((Inputs!$G$5:$G$180&lt;&gt;"moeda")*(Inputs!$G$5:$G$180&lt;&gt;"acoes")))*INDEX(Inputs!$K$5:$AJ$180,0,MATCH(AA$2,Inputs!$K$4:$AJ$4,0)))))</f>
        <v>31.3574429</v>
      </c>
      <c r="AB39" s="3">
        <f>AA39</f>
        <v>31.3574429</v>
      </c>
      <c r="AC39" s="6">
        <f>IF(ISNA(MATCH(AC$2,Inputs!$K$4:$AJ$4,0)),NA(),IF(SUMPRODUCT((Inputs!$A$5:$A$180=$B39)*ISNUMBER(INDEX(Inputs!$K$5:$AJ$180,0,MATCH(AC$2,Inputs!$K$4:$AJ$4,0))))+SUMPRODUCT((Inputs!$C$5:$C$180=$B39)*ISNUMBER(INDEX(Inputs!$K$5:$AJ$180,0,MATCH(AC$2,Inputs!$K$4:$AJ$4,0))))+SUMPRODUCT((Inputs!$E$5:$E$180=$B39)*ISNUMBER(INDEX(Inputs!$K$5:$AJ$180,0,MATCH(AC$2,Inputs!$K$4:$AJ$4,0))))=0,NA(),SUMPRODUCT((Inputs!$A$5:$A$180=$B39)*Inputs!$B$5:$B$180*(((Inputs!$G$5:$G$180="moeda")+(Inputs!$G$5:$G$180="acoes"))*Inputs!$B$1+((Inputs!$G$5:$G$180&lt;&gt;"moeda")*(Inputs!$G$5:$G$180&lt;&gt;"acoes")))*INDEX(Inputs!$K$5:$AJ$180,0,MATCH(AC$2,Inputs!$K$4:$AJ$4,0)))+SUMPRODUCT((Inputs!$C$5:$C$180=$B39)*Inputs!$D$5:$D$180*(((Inputs!$G$5:$G$180="moeda")+(Inputs!$G$5:$G$180="acoes"))*Inputs!$B$1+((Inputs!$G$5:$G$180&lt;&gt;"moeda")*(Inputs!$G$5:$G$180&lt;&gt;"acoes")))*INDEX(Inputs!$K$5:$AJ$180,0,MATCH(AC$2,Inputs!$K$4:$AJ$4,0)))+SUMPRODUCT((Inputs!$E$5:$E$180=$B39)*Inputs!$F$5:$F$180*(((Inputs!$G$5:$G$180="moeda")+(Inputs!$G$5:$G$180="acoes"))*Inputs!$B$1+((Inputs!$G$5:$G$180&lt;&gt;"moeda")*(Inputs!$G$5:$G$180&lt;&gt;"acoes")))*INDEX(Inputs!$K$5:$AJ$180,0,MATCH(AC$2,Inputs!$K$4:$AJ$4,0)))))</f>
        <v>32.92164953</v>
      </c>
      <c r="AD39" s="6">
        <f>IF(ISNA(MATCH(AD$2,Inputs!$K$4:$AJ$4,0)),NA(),IF(SUMPRODUCT((Inputs!$A$5:$A$180=$B39)*ISNUMBER(INDEX(Inputs!$K$5:$AJ$180,0,MATCH(AD$2,Inputs!$K$4:$AJ$4,0))))+SUMPRODUCT((Inputs!$C$5:$C$180=$B39)*ISNUMBER(INDEX(Inputs!$K$5:$AJ$180,0,MATCH(AD$2,Inputs!$K$4:$AJ$4,0))))+SUMPRODUCT((Inputs!$E$5:$E$180=$B39)*ISNUMBER(INDEX(Inputs!$K$5:$AJ$180,0,MATCH(AD$2,Inputs!$K$4:$AJ$4,0))))=0,NA(),SUMPRODUCT((Inputs!$A$5:$A$180=$B39)*Inputs!$B$5:$B$180*(((Inputs!$G$5:$G$180="moeda")+(Inputs!$G$5:$G$180="acoes"))*Inputs!$B$1+((Inputs!$G$5:$G$180&lt;&gt;"moeda")*(Inputs!$G$5:$G$180&lt;&gt;"acoes")))*INDEX(Inputs!$K$5:$AJ$180,0,MATCH(AD$2,Inputs!$K$4:$AJ$4,0)))+SUMPRODUCT((Inputs!$C$5:$C$180=$B39)*Inputs!$D$5:$D$180*(((Inputs!$G$5:$G$180="moeda")+(Inputs!$G$5:$G$180="acoes"))*Inputs!$B$1+((Inputs!$G$5:$G$180&lt;&gt;"moeda")*(Inputs!$G$5:$G$180&lt;&gt;"acoes")))*INDEX(Inputs!$K$5:$AJ$180,0,MATCH(AD$2,Inputs!$K$4:$AJ$4,0)))+SUMPRODUCT((Inputs!$E$5:$E$180=$B39)*Inputs!$F$5:$F$180*(((Inputs!$G$5:$G$180="moeda")+(Inputs!$G$5:$G$180="acoes"))*Inputs!$B$1+((Inputs!$G$5:$G$180&lt;&gt;"moeda")*(Inputs!$G$5:$G$180&lt;&gt;"acoes")))*INDEX(Inputs!$K$5:$AJ$180,0,MATCH(AD$2,Inputs!$K$4:$AJ$4,0)))))</f>
        <v>36.90326203</v>
      </c>
      <c r="AE39" s="6" t="e">
        <f>IF(ISNA(MATCH(AE$2,Inputs!$K$4:$AJ$4,0)),NA(),IF(SUMPRODUCT((Inputs!$A$5:$A$180=$B39)*ISNUMBER(INDEX(Inputs!$K$5:$AJ$180,0,MATCH(AE$2,Inputs!$K$4:$AJ$4,0))))+SUMPRODUCT((Inputs!$C$5:$C$180=$B39)*ISNUMBER(INDEX(Inputs!$K$5:$AJ$180,0,MATCH(AE$2,Inputs!$K$4:$AJ$4,0))))+SUMPRODUCT((Inputs!$E$5:$E$180=$B39)*ISNUMBER(INDEX(Inputs!$K$5:$AJ$180,0,MATCH(AE$2,Inputs!$K$4:$AJ$4,0))))=0,NA(),SUMPRODUCT((Inputs!$A$5:$A$180=$B39)*Inputs!$B$5:$B$180*(((Inputs!$G$5:$G$180="moeda")+(Inputs!$G$5:$G$180="acoes"))*Inputs!$B$1+((Inputs!$G$5:$G$180&lt;&gt;"moeda")*(Inputs!$G$5:$G$180&lt;&gt;"acoes")))*INDEX(Inputs!$K$5:$AJ$180,0,MATCH(AE$2,Inputs!$K$4:$AJ$4,0)))+SUMPRODUCT((Inputs!$C$5:$C$180=$B39)*Inputs!$D$5:$D$180*(((Inputs!$G$5:$G$180="moeda")+(Inputs!$G$5:$G$180="acoes"))*Inputs!$B$1+((Inputs!$G$5:$G$180&lt;&gt;"moeda")*(Inputs!$G$5:$G$180&lt;&gt;"acoes")))*INDEX(Inputs!$K$5:$AJ$180,0,MATCH(AE$2,Inputs!$K$4:$AJ$4,0)))+SUMPRODUCT((Inputs!$E$5:$E$180=$B39)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9" s="6" t="e">
        <f>IF(ISNA(MATCH(AF$2,Inputs!$K$4:$AJ$4,0)),NA(),IF(SUMPRODUCT((Inputs!$A$5:$A$180=$B39)*ISNUMBER(INDEX(Inputs!$K$5:$AJ$180,0,MATCH(AF$2,Inputs!$K$4:$AJ$4,0))))+SUMPRODUCT((Inputs!$C$5:$C$180=$B39)*ISNUMBER(INDEX(Inputs!$K$5:$AJ$180,0,MATCH(AF$2,Inputs!$K$4:$AJ$4,0))))+SUMPRODUCT((Inputs!$E$5:$E$180=$B39)*ISNUMBER(INDEX(Inputs!$K$5:$AJ$180,0,MATCH(AF$2,Inputs!$K$4:$AJ$4,0))))=0,NA(),SUMPRODUCT((Inputs!$A$5:$A$180=$B39)*Inputs!$B$5:$B$180*(((Inputs!$G$5:$G$180="moeda")+(Inputs!$G$5:$G$180="acoes"))*Inputs!$B$1+((Inputs!$G$5:$G$180&lt;&gt;"moeda")*(Inputs!$G$5:$G$180&lt;&gt;"acoes")))*INDEX(Inputs!$K$5:$AJ$180,0,MATCH(AF$2,Inputs!$K$4:$AJ$4,0)))+SUMPRODUCT((Inputs!$C$5:$C$180=$B39)*Inputs!$D$5:$D$180*(((Inputs!$G$5:$G$180="moeda")+(Inputs!$G$5:$G$180="acoes"))*Inputs!$B$1+((Inputs!$G$5:$G$180&lt;&gt;"moeda")*(Inputs!$G$5:$G$180&lt;&gt;"acoes")))*INDEX(Inputs!$K$5:$AJ$180,0,MATCH(AF$2,Inputs!$K$4:$AJ$4,0)))+SUMPRODUCT((Inputs!$E$5:$E$180=$B39)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9" s="3" t="e">
        <f>AF39</f>
        <v>#N/A</v>
      </c>
      <c r="AH39" s="6">
        <f>IF(ISNA(MATCH(AH$2,Inputs!$K$4:$AJ$4,0)),NA(),IF(SUMPRODUCT((Inputs!$A$5:$A$180=$B39)*ISNUMBER(INDEX(Inputs!$K$5:$AJ$180,0,MATCH(AH$2,Inputs!$K$4:$AJ$4,0))))+SUMPRODUCT((Inputs!$C$5:$C$180=$B39)*ISNUMBER(INDEX(Inputs!$K$5:$AJ$180,0,MATCH(AH$2,Inputs!$K$4:$AJ$4,0))))+SUMPRODUCT((Inputs!$E$5:$E$180=$B39)*ISNUMBER(INDEX(Inputs!$K$5:$AJ$180,0,MATCH(AH$2,Inputs!$K$4:$AJ$4,0))))=0,NA(),SUMPRODUCT((Inputs!$A$5:$A$180=$B39)*Inputs!$B$5:$B$180*(((Inputs!$G$5:$G$180="moeda")+(Inputs!$G$5:$G$180="acoes"))*Inputs!$B$1+((Inputs!$G$5:$G$180&lt;&gt;"moeda")*(Inputs!$G$5:$G$180&lt;&gt;"acoes")))*INDEX(Inputs!$K$5:$AJ$180,0,MATCH(AH$2,Inputs!$K$4:$AJ$4,0)))+SUMPRODUCT((Inputs!$C$5:$C$180=$B39)*Inputs!$D$5:$D$180*(((Inputs!$G$5:$G$180="moeda")+(Inputs!$G$5:$G$180="acoes"))*Inputs!$B$1+((Inputs!$G$5:$G$180&lt;&gt;"moeda")*(Inputs!$G$5:$G$180&lt;&gt;"acoes")))*INDEX(Inputs!$K$5:$AJ$180,0,MATCH(AH$2,Inputs!$K$4:$AJ$4,0)))+SUMPRODUCT((Inputs!$E$5:$E$180=$B39)*Inputs!$F$5:$F$180*(((Inputs!$G$5:$G$180="moeda")+(Inputs!$G$5:$G$180="acoes"))*Inputs!$B$1+((Inputs!$G$5:$G$180&lt;&gt;"moeda")*(Inputs!$G$5:$G$180&lt;&gt;"acoes")))*INDEX(Inputs!$K$5:$AJ$180,0,MATCH(AH$2,Inputs!$K$4:$AJ$4,0)))))</f>
        <v>25.493</v>
      </c>
      <c r="AI39" s="6">
        <f>IF(ISNA(MATCH(AI$2,Inputs!$K$4:$AJ$4,0)),NA(),IF(SUMPRODUCT((Inputs!$A$5:$A$180=$B39)*ISNUMBER(INDEX(Inputs!$K$5:$AJ$180,0,MATCH(AI$2,Inputs!$K$4:$AJ$4,0))))+SUMPRODUCT((Inputs!$C$5:$C$180=$B39)*ISNUMBER(INDEX(Inputs!$K$5:$AJ$180,0,MATCH(AI$2,Inputs!$K$4:$AJ$4,0))))+SUMPRODUCT((Inputs!$E$5:$E$180=$B39)*ISNUMBER(INDEX(Inputs!$K$5:$AJ$180,0,MATCH(AI$2,Inputs!$K$4:$AJ$4,0))))=0,NA(),SUMPRODUCT((Inputs!$A$5:$A$180=$B39)*Inputs!$B$5:$B$180*(((Inputs!$G$5:$G$180="moeda")+(Inputs!$G$5:$G$180="acoes"))*Inputs!$B$1+((Inputs!$G$5:$G$180&lt;&gt;"moeda")*(Inputs!$G$5:$G$180&lt;&gt;"acoes")))*INDEX(Inputs!$K$5:$AJ$180,0,MATCH(AI$2,Inputs!$K$4:$AJ$4,0)))+SUMPRODUCT((Inputs!$C$5:$C$180=$B39)*Inputs!$D$5:$D$180*(((Inputs!$G$5:$G$180="moeda")+(Inputs!$G$5:$G$180="acoes"))*Inputs!$B$1+((Inputs!$G$5:$G$180&lt;&gt;"moeda")*(Inputs!$G$5:$G$180&lt;&gt;"acoes")))*INDEX(Inputs!$K$5:$AJ$180,0,MATCH(AI$2,Inputs!$K$4:$AJ$4,0)))+SUMPRODUCT((Inputs!$E$5:$E$180=$B39)*Inputs!$F$5:$F$180*(((Inputs!$G$5:$G$180="moeda")+(Inputs!$G$5:$G$180="acoes"))*Inputs!$B$1+((Inputs!$G$5:$G$180&lt;&gt;"moeda")*(Inputs!$G$5:$G$180&lt;&gt;"acoes")))*INDEX(Inputs!$K$5:$AJ$180,0,MATCH(AI$2,Inputs!$K$4:$AJ$4,0)))))</f>
        <v>23.92778719</v>
      </c>
      <c r="AJ39" s="6">
        <f>IF(ISNA(MATCH(AJ$2,Inputs!$K$4:$AJ$4,0)),NA(),IF(SUMPRODUCT((Inputs!$A$5:$A$180=$B39)*ISNUMBER(INDEX(Inputs!$K$5:$AJ$180,0,MATCH(AJ$2,Inputs!$K$4:$AJ$4,0))))+SUMPRODUCT((Inputs!$C$5:$C$180=$B39)*ISNUMBER(INDEX(Inputs!$K$5:$AJ$180,0,MATCH(AJ$2,Inputs!$K$4:$AJ$4,0))))+SUMPRODUCT((Inputs!$E$5:$E$180=$B39)*ISNUMBER(INDEX(Inputs!$K$5:$AJ$180,0,MATCH(AJ$2,Inputs!$K$4:$AJ$4,0))))=0,NA(),SUMPRODUCT((Inputs!$A$5:$A$180=$B39)*Inputs!$B$5:$B$180*(((Inputs!$G$5:$G$180="moeda")+(Inputs!$G$5:$G$180="acoes"))*Inputs!$B$1+((Inputs!$G$5:$G$180&lt;&gt;"moeda")*(Inputs!$G$5:$G$180&lt;&gt;"acoes")))*INDEX(Inputs!$K$5:$AJ$180,0,MATCH(AJ$2,Inputs!$K$4:$AJ$4,0)))+SUMPRODUCT((Inputs!$C$5:$C$180=$B39)*Inputs!$D$5:$D$180*(((Inputs!$G$5:$G$180="moeda")+(Inputs!$G$5:$G$180="acoes"))*Inputs!$B$1+((Inputs!$G$5:$G$180&lt;&gt;"moeda")*(Inputs!$G$5:$G$180&lt;&gt;"acoes")))*INDEX(Inputs!$K$5:$AJ$180,0,MATCH(AJ$2,Inputs!$K$4:$AJ$4,0)))+SUMPRODUCT((Inputs!$E$5:$E$180=$B39)*Inputs!$F$5:$F$180*(((Inputs!$G$5:$G$180="moeda")+(Inputs!$G$5:$G$180="acoes"))*Inputs!$B$1+((Inputs!$G$5:$G$180&lt;&gt;"moeda")*(Inputs!$G$5:$G$180&lt;&gt;"acoes")))*INDEX(Inputs!$K$5:$AJ$180,0,MATCH(AJ$2,Inputs!$K$4:$AJ$4,0)))))</f>
        <v>25.76997779</v>
      </c>
      <c r="AK39" s="6">
        <f>IF(ISNA(MATCH(AK$2,Inputs!$K$4:$AJ$4,0)),NA(),IF(SUMPRODUCT((Inputs!$A$5:$A$180=$B39)*ISNUMBER(INDEX(Inputs!$K$5:$AJ$180,0,MATCH(AK$2,Inputs!$K$4:$AJ$4,0))))+SUMPRODUCT((Inputs!$C$5:$C$180=$B39)*ISNUMBER(INDEX(Inputs!$K$5:$AJ$180,0,MATCH(AK$2,Inputs!$K$4:$AJ$4,0))))+SUMPRODUCT((Inputs!$E$5:$E$180=$B39)*ISNUMBER(INDEX(Inputs!$K$5:$AJ$180,0,MATCH(AK$2,Inputs!$K$4:$AJ$4,0))))=0,NA(),SUMPRODUCT((Inputs!$A$5:$A$180=$B39)*Inputs!$B$5:$B$180*(((Inputs!$G$5:$G$180="moeda")+(Inputs!$G$5:$G$180="acoes"))*Inputs!$B$1+((Inputs!$G$5:$G$180&lt;&gt;"moeda")*(Inputs!$G$5:$G$180&lt;&gt;"acoes")))*INDEX(Inputs!$K$5:$AJ$180,0,MATCH(AK$2,Inputs!$K$4:$AJ$4,0)))+SUMPRODUCT((Inputs!$C$5:$C$180=$B39)*Inputs!$D$5:$D$180*(((Inputs!$G$5:$G$180="moeda")+(Inputs!$G$5:$G$180="acoes"))*Inputs!$B$1+((Inputs!$G$5:$G$180&lt;&gt;"moeda")*(Inputs!$G$5:$G$180&lt;&gt;"acoes")))*INDEX(Inputs!$K$5:$AJ$180,0,MATCH(AK$2,Inputs!$K$4:$AJ$4,0)))+SUMPRODUCT((Inputs!$E$5:$E$180=$B39)*Inputs!$F$5:$F$180*(((Inputs!$G$5:$G$180="moeda")+(Inputs!$G$5:$G$180="acoes"))*Inputs!$B$1+((Inputs!$G$5:$G$180&lt;&gt;"moeda")*(Inputs!$G$5:$G$180&lt;&gt;"acoes")))*INDEX(Inputs!$K$5:$AJ$180,0,MATCH(AK$2,Inputs!$K$4:$AJ$4,0)))))</f>
        <v>32.40452951</v>
      </c>
      <c r="AL39" s="3">
        <f>AK39</f>
        <v>32.40452951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$180=$B41)*ISNUMBER(INDEX(Inputs!$K$5:$AJ$180,0,MATCH(D$2,Inputs!$K$4:$AJ$4,0))))+SUMPRODUCT((Inputs!$C$5:$C$180=$B41)*ISNUMBER(INDEX(Inputs!$K$5:$AJ$180,0,MATCH(D$2,Inputs!$K$4:$AJ$4,0))))+SUMPRODUCT((Inputs!$E$5:$E$180=$B41)*ISNUMBER(INDEX(Inputs!$K$5:$AJ$180,0,MATCH(D$2,Inputs!$K$4:$AJ$4,0))))=0,NA(),SUMPRODUCT((Inputs!$A$5:$A$180=$B41)*Inputs!$B$5:$B$180*(((Inputs!$G$5:$G$180="moeda")+(Inputs!$G$5:$G$180="acoes"))*Inputs!$B$1+((Inputs!$G$5:$G$180&lt;&gt;"moeda")*(Inputs!$G$5:$G$180&lt;&gt;"acoes")))*INDEX(Inputs!$K$5:$AJ$180,0,MATCH(D$2,Inputs!$K$4:$AJ$4,0)))+SUMPRODUCT((Inputs!$C$5:$C$180=$B41)*Inputs!$D$5:$D$180*(((Inputs!$G$5:$G$180="moeda")+(Inputs!$G$5:$G$180="acoes"))*Inputs!$B$1+((Inputs!$G$5:$G$180&lt;&gt;"moeda")*(Inputs!$G$5:$G$180&lt;&gt;"acoes")))*INDEX(Inputs!$K$5:$AJ$180,0,MATCH(D$2,Inputs!$K$4:$AJ$4,0)))+SUMPRODUCT((Inputs!$E$5:$E$180=$B41)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41" s="6" t="e">
        <f>IF(ISNA(MATCH(E$2,Inputs!$K$4:$AJ$4,0)),NA(),IF(SUMPRODUCT((Inputs!$A$5:$A$180=$B41)*ISNUMBER(INDEX(Inputs!$K$5:$AJ$180,0,MATCH(E$2,Inputs!$K$4:$AJ$4,0))))+SUMPRODUCT((Inputs!$C$5:$C$180=$B41)*ISNUMBER(INDEX(Inputs!$K$5:$AJ$180,0,MATCH(E$2,Inputs!$K$4:$AJ$4,0))))+SUMPRODUCT((Inputs!$E$5:$E$180=$B41)*ISNUMBER(INDEX(Inputs!$K$5:$AJ$180,0,MATCH(E$2,Inputs!$K$4:$AJ$4,0))))=0,NA(),SUMPRODUCT((Inputs!$A$5:$A$180=$B41)*Inputs!$B$5:$B$180*(((Inputs!$G$5:$G$180="moeda")+(Inputs!$G$5:$G$180="acoes"))*Inputs!$B$1+((Inputs!$G$5:$G$180&lt;&gt;"moeda")*(Inputs!$G$5:$G$180&lt;&gt;"acoes")))*INDEX(Inputs!$K$5:$AJ$180,0,MATCH(E$2,Inputs!$K$4:$AJ$4,0)))+SUMPRODUCT((Inputs!$C$5:$C$180=$B41)*Inputs!$D$5:$D$180*(((Inputs!$G$5:$G$180="moeda")+(Inputs!$G$5:$G$180="acoes"))*Inputs!$B$1+((Inputs!$G$5:$G$180&lt;&gt;"moeda")*(Inputs!$G$5:$G$180&lt;&gt;"acoes")))*INDEX(Inputs!$K$5:$AJ$180,0,MATCH(E$2,Inputs!$K$4:$AJ$4,0)))+SUMPRODUCT((Inputs!$E$5:$E$180=$B41)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41" s="6" t="e">
        <f>IF(ISNA(MATCH(F$2,Inputs!$K$4:$AJ$4,0)),NA(),IF(SUMPRODUCT((Inputs!$A$5:$A$180=$B41)*ISNUMBER(INDEX(Inputs!$K$5:$AJ$180,0,MATCH(F$2,Inputs!$K$4:$AJ$4,0))))+SUMPRODUCT((Inputs!$C$5:$C$180=$B41)*ISNUMBER(INDEX(Inputs!$K$5:$AJ$180,0,MATCH(F$2,Inputs!$K$4:$AJ$4,0))))+SUMPRODUCT((Inputs!$E$5:$E$180=$B41)*ISNUMBER(INDEX(Inputs!$K$5:$AJ$180,0,MATCH(F$2,Inputs!$K$4:$AJ$4,0))))=0,NA(),SUMPRODUCT((Inputs!$A$5:$A$180=$B41)*Inputs!$B$5:$B$180*(((Inputs!$G$5:$G$180="moeda")+(Inputs!$G$5:$G$180="acoes"))*Inputs!$B$1+((Inputs!$G$5:$G$180&lt;&gt;"moeda")*(Inputs!$G$5:$G$180&lt;&gt;"acoes")))*INDEX(Inputs!$K$5:$AJ$180,0,MATCH(F$2,Inputs!$K$4:$AJ$4,0)))+SUMPRODUCT((Inputs!$C$5:$C$180=$B41)*Inputs!$D$5:$D$180*(((Inputs!$G$5:$G$180="moeda")+(Inputs!$G$5:$G$180="acoes"))*Inputs!$B$1+((Inputs!$G$5:$G$180&lt;&gt;"moeda")*(Inputs!$G$5:$G$180&lt;&gt;"acoes")))*INDEX(Inputs!$K$5:$AJ$180,0,MATCH(F$2,Inputs!$K$4:$AJ$4,0)))+SUMPRODUCT((Inputs!$E$5:$E$180=$B41)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41" s="6" t="e">
        <f>IF(ISNA(MATCH(G$2,Inputs!$K$4:$AJ$4,0)),NA(),IF(SUMPRODUCT((Inputs!$A$5:$A$180=$B41)*ISNUMBER(INDEX(Inputs!$K$5:$AJ$180,0,MATCH(G$2,Inputs!$K$4:$AJ$4,0))))+SUMPRODUCT((Inputs!$C$5:$C$180=$B41)*ISNUMBER(INDEX(Inputs!$K$5:$AJ$180,0,MATCH(G$2,Inputs!$K$4:$AJ$4,0))))+SUMPRODUCT((Inputs!$E$5:$E$180=$B41)*ISNUMBER(INDEX(Inputs!$K$5:$AJ$180,0,MATCH(G$2,Inputs!$K$4:$AJ$4,0))))=0,NA(),SUMPRODUCT((Inputs!$A$5:$A$180=$B41)*Inputs!$B$5:$B$180*(((Inputs!$G$5:$G$180="moeda")+(Inputs!$G$5:$G$180="acoes"))*Inputs!$B$1+((Inputs!$G$5:$G$180&lt;&gt;"moeda")*(Inputs!$G$5:$G$180&lt;&gt;"acoes")))*INDEX(Inputs!$K$5:$AJ$180,0,MATCH(G$2,Inputs!$K$4:$AJ$4,0)))+SUMPRODUCT((Inputs!$C$5:$C$180=$B41)*Inputs!$D$5:$D$180*(((Inputs!$G$5:$G$180="moeda")+(Inputs!$G$5:$G$180="acoes"))*Inputs!$B$1+((Inputs!$G$5:$G$180&lt;&gt;"moeda")*(Inputs!$G$5:$G$180&lt;&gt;"acoes")))*INDEX(Inputs!$K$5:$AJ$180,0,MATCH(G$2,Inputs!$K$4:$AJ$4,0)))+SUMPRODUCT((Inputs!$E$5:$E$180=$B41)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41" s="3" t="e">
        <f>G41</f>
        <v>#N/A</v>
      </c>
      <c r="I41" s="6" t="e">
        <f>IF(ISNA(MATCH(I$2,Inputs!$K$4:$AJ$4,0)),NA(),IF(SUMPRODUCT((Inputs!$A$5:$A$180=$B41)*ISNUMBER(INDEX(Inputs!$K$5:$AJ$180,0,MATCH(I$2,Inputs!$K$4:$AJ$4,0))))+SUMPRODUCT((Inputs!$C$5:$C$180=$B41)*ISNUMBER(INDEX(Inputs!$K$5:$AJ$180,0,MATCH(I$2,Inputs!$K$4:$AJ$4,0))))+SUMPRODUCT((Inputs!$E$5:$E$180=$B41)*ISNUMBER(INDEX(Inputs!$K$5:$AJ$180,0,MATCH(I$2,Inputs!$K$4:$AJ$4,0))))=0,NA(),SUMPRODUCT((Inputs!$A$5:$A$180=$B41)*Inputs!$B$5:$B$180*(((Inputs!$G$5:$G$180="moeda")+(Inputs!$G$5:$G$180="acoes"))*Inputs!$B$1+((Inputs!$G$5:$G$180&lt;&gt;"moeda")*(Inputs!$G$5:$G$180&lt;&gt;"acoes")))*INDEX(Inputs!$K$5:$AJ$180,0,MATCH(I$2,Inputs!$K$4:$AJ$4,0)))+SUMPRODUCT((Inputs!$C$5:$C$180=$B41)*Inputs!$D$5:$D$180*(((Inputs!$G$5:$G$180="moeda")+(Inputs!$G$5:$G$180="acoes"))*Inputs!$B$1+((Inputs!$G$5:$G$180&lt;&gt;"moeda")*(Inputs!$G$5:$G$180&lt;&gt;"acoes")))*INDEX(Inputs!$K$5:$AJ$180,0,MATCH(I$2,Inputs!$K$4:$AJ$4,0)))+SUMPRODUCT((Inputs!$E$5:$E$180=$B41)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41" s="6" t="e">
        <f>IF(ISNA(MATCH(J$2,Inputs!$K$4:$AJ$4,0)),NA(),IF(SUMPRODUCT((Inputs!$A$5:$A$180=$B41)*ISNUMBER(INDEX(Inputs!$K$5:$AJ$180,0,MATCH(J$2,Inputs!$K$4:$AJ$4,0))))+SUMPRODUCT((Inputs!$C$5:$C$180=$B41)*ISNUMBER(INDEX(Inputs!$K$5:$AJ$180,0,MATCH(J$2,Inputs!$K$4:$AJ$4,0))))+SUMPRODUCT((Inputs!$E$5:$E$180=$B41)*ISNUMBER(INDEX(Inputs!$K$5:$AJ$180,0,MATCH(J$2,Inputs!$K$4:$AJ$4,0))))=0,NA(),SUMPRODUCT((Inputs!$A$5:$A$180=$B41)*Inputs!$B$5:$B$180*(((Inputs!$G$5:$G$180="moeda")+(Inputs!$G$5:$G$180="acoes"))*Inputs!$B$1+((Inputs!$G$5:$G$180&lt;&gt;"moeda")*(Inputs!$G$5:$G$180&lt;&gt;"acoes")))*INDEX(Inputs!$K$5:$AJ$180,0,MATCH(J$2,Inputs!$K$4:$AJ$4,0)))+SUMPRODUCT((Inputs!$C$5:$C$180=$B41)*Inputs!$D$5:$D$180*(((Inputs!$G$5:$G$180="moeda")+(Inputs!$G$5:$G$180="acoes"))*Inputs!$B$1+((Inputs!$G$5:$G$180&lt;&gt;"moeda")*(Inputs!$G$5:$G$180&lt;&gt;"acoes")))*INDEX(Inputs!$K$5:$AJ$180,0,MATCH(J$2,Inputs!$K$4:$AJ$4,0)))+SUMPRODUCT((Inputs!$E$5:$E$180=$B41)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41" s="6" t="e">
        <f>IF(ISNA(MATCH(K$2,Inputs!$K$4:$AJ$4,0)),NA(),IF(SUMPRODUCT((Inputs!$A$5:$A$180=$B41)*ISNUMBER(INDEX(Inputs!$K$5:$AJ$180,0,MATCH(K$2,Inputs!$K$4:$AJ$4,0))))+SUMPRODUCT((Inputs!$C$5:$C$180=$B41)*ISNUMBER(INDEX(Inputs!$K$5:$AJ$180,0,MATCH(K$2,Inputs!$K$4:$AJ$4,0))))+SUMPRODUCT((Inputs!$E$5:$E$180=$B41)*ISNUMBER(INDEX(Inputs!$K$5:$AJ$180,0,MATCH(K$2,Inputs!$K$4:$AJ$4,0))))=0,NA(),SUMPRODUCT((Inputs!$A$5:$A$180=$B41)*Inputs!$B$5:$B$180*(((Inputs!$G$5:$G$180="moeda")+(Inputs!$G$5:$G$180="acoes"))*Inputs!$B$1+((Inputs!$G$5:$G$180&lt;&gt;"moeda")*(Inputs!$G$5:$G$180&lt;&gt;"acoes")))*INDEX(Inputs!$K$5:$AJ$180,0,MATCH(K$2,Inputs!$K$4:$AJ$4,0)))+SUMPRODUCT((Inputs!$C$5:$C$180=$B41)*Inputs!$D$5:$D$180*(((Inputs!$G$5:$G$180="moeda")+(Inputs!$G$5:$G$180="acoes"))*Inputs!$B$1+((Inputs!$G$5:$G$180&lt;&gt;"moeda")*(Inputs!$G$5:$G$180&lt;&gt;"acoes")))*INDEX(Inputs!$K$5:$AJ$180,0,MATCH(K$2,Inputs!$K$4:$AJ$4,0)))+SUMPRODUCT((Inputs!$E$5:$E$180=$B41)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41" s="6" t="e">
        <f>IF(ISNA(MATCH(L$2,Inputs!$K$4:$AJ$4,0)),NA(),IF(SUMPRODUCT((Inputs!$A$5:$A$180=$B41)*ISNUMBER(INDEX(Inputs!$K$5:$AJ$180,0,MATCH(L$2,Inputs!$K$4:$AJ$4,0))))+SUMPRODUCT((Inputs!$C$5:$C$180=$B41)*ISNUMBER(INDEX(Inputs!$K$5:$AJ$180,0,MATCH(L$2,Inputs!$K$4:$AJ$4,0))))+SUMPRODUCT((Inputs!$E$5:$E$180=$B41)*ISNUMBER(INDEX(Inputs!$K$5:$AJ$180,0,MATCH(L$2,Inputs!$K$4:$AJ$4,0))))=0,NA(),SUMPRODUCT((Inputs!$A$5:$A$180=$B41)*Inputs!$B$5:$B$180*(((Inputs!$G$5:$G$180="moeda")+(Inputs!$G$5:$G$180="acoes"))*Inputs!$B$1+((Inputs!$G$5:$G$180&lt;&gt;"moeda")*(Inputs!$G$5:$G$180&lt;&gt;"acoes")))*INDEX(Inputs!$K$5:$AJ$180,0,MATCH(L$2,Inputs!$K$4:$AJ$4,0)))+SUMPRODUCT((Inputs!$C$5:$C$180=$B41)*Inputs!$D$5:$D$180*(((Inputs!$G$5:$G$180="moeda")+(Inputs!$G$5:$G$180="acoes"))*Inputs!$B$1+((Inputs!$G$5:$G$180&lt;&gt;"moeda")*(Inputs!$G$5:$G$180&lt;&gt;"acoes")))*INDEX(Inputs!$K$5:$AJ$180,0,MATCH(L$2,Inputs!$K$4:$AJ$4,0)))+SUMPRODUCT((Inputs!$E$5:$E$180=$B41)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41" s="3" t="e">
        <f>L41</f>
        <v>#N/A</v>
      </c>
      <c r="N41" s="6" t="e">
        <f>IF(ISNA(MATCH(N$2,Inputs!$K$4:$AJ$4,0)),NA(),IF(SUMPRODUCT((Inputs!$A$5:$A$180=$B41)*ISNUMBER(INDEX(Inputs!$K$5:$AJ$180,0,MATCH(N$2,Inputs!$K$4:$AJ$4,0))))+SUMPRODUCT((Inputs!$C$5:$C$180=$B41)*ISNUMBER(INDEX(Inputs!$K$5:$AJ$180,0,MATCH(N$2,Inputs!$K$4:$AJ$4,0))))+SUMPRODUCT((Inputs!$E$5:$E$180=$B41)*ISNUMBER(INDEX(Inputs!$K$5:$AJ$180,0,MATCH(N$2,Inputs!$K$4:$AJ$4,0))))=0,NA(),SUMPRODUCT((Inputs!$A$5:$A$180=$B41)*Inputs!$B$5:$B$180*(((Inputs!$G$5:$G$180="moeda")+(Inputs!$G$5:$G$180="acoes"))*Inputs!$B$1+((Inputs!$G$5:$G$180&lt;&gt;"moeda")*(Inputs!$G$5:$G$180&lt;&gt;"acoes")))*INDEX(Inputs!$K$5:$AJ$180,0,MATCH(N$2,Inputs!$K$4:$AJ$4,0)))+SUMPRODUCT((Inputs!$C$5:$C$180=$B41)*Inputs!$D$5:$D$180*(((Inputs!$G$5:$G$180="moeda")+(Inputs!$G$5:$G$180="acoes"))*Inputs!$B$1+((Inputs!$G$5:$G$180&lt;&gt;"moeda")*(Inputs!$G$5:$G$180&lt;&gt;"acoes")))*INDEX(Inputs!$K$5:$AJ$180,0,MATCH(N$2,Inputs!$K$4:$AJ$4,0)))+SUMPRODUCT((Inputs!$E$5:$E$180=$B41)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41" s="6" t="e">
        <f>IF(ISNA(MATCH(O$2,Inputs!$K$4:$AJ$4,0)),NA(),IF(SUMPRODUCT((Inputs!$A$5:$A$180=$B41)*ISNUMBER(INDEX(Inputs!$K$5:$AJ$180,0,MATCH(O$2,Inputs!$K$4:$AJ$4,0))))+SUMPRODUCT((Inputs!$C$5:$C$180=$B41)*ISNUMBER(INDEX(Inputs!$K$5:$AJ$180,0,MATCH(O$2,Inputs!$K$4:$AJ$4,0))))+SUMPRODUCT((Inputs!$E$5:$E$180=$B41)*ISNUMBER(INDEX(Inputs!$K$5:$AJ$180,0,MATCH(O$2,Inputs!$K$4:$AJ$4,0))))=0,NA(),SUMPRODUCT((Inputs!$A$5:$A$180=$B41)*Inputs!$B$5:$B$180*(((Inputs!$G$5:$G$180="moeda")+(Inputs!$G$5:$G$180="acoes"))*Inputs!$B$1+((Inputs!$G$5:$G$180&lt;&gt;"moeda")*(Inputs!$G$5:$G$180&lt;&gt;"acoes")))*INDEX(Inputs!$K$5:$AJ$180,0,MATCH(O$2,Inputs!$K$4:$AJ$4,0)))+SUMPRODUCT((Inputs!$C$5:$C$180=$B41)*Inputs!$D$5:$D$180*(((Inputs!$G$5:$G$180="moeda")+(Inputs!$G$5:$G$180="acoes"))*Inputs!$B$1+((Inputs!$G$5:$G$180&lt;&gt;"moeda")*(Inputs!$G$5:$G$180&lt;&gt;"acoes")))*INDEX(Inputs!$K$5:$AJ$180,0,MATCH(O$2,Inputs!$K$4:$AJ$4,0)))+SUMPRODUCT((Inputs!$E$5:$E$180=$B41)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41" s="6" t="e">
        <f>IF(ISNA(MATCH(P$2,Inputs!$K$4:$AJ$4,0)),NA(),IF(SUMPRODUCT((Inputs!$A$5:$A$180=$B41)*ISNUMBER(INDEX(Inputs!$K$5:$AJ$180,0,MATCH(P$2,Inputs!$K$4:$AJ$4,0))))+SUMPRODUCT((Inputs!$C$5:$C$180=$B41)*ISNUMBER(INDEX(Inputs!$K$5:$AJ$180,0,MATCH(P$2,Inputs!$K$4:$AJ$4,0))))+SUMPRODUCT((Inputs!$E$5:$E$180=$B41)*ISNUMBER(INDEX(Inputs!$K$5:$AJ$180,0,MATCH(P$2,Inputs!$K$4:$AJ$4,0))))=0,NA(),SUMPRODUCT((Inputs!$A$5:$A$180=$B41)*Inputs!$B$5:$B$180*(((Inputs!$G$5:$G$180="moeda")+(Inputs!$G$5:$G$180="acoes"))*Inputs!$B$1+((Inputs!$G$5:$G$180&lt;&gt;"moeda")*(Inputs!$G$5:$G$180&lt;&gt;"acoes")))*INDEX(Inputs!$K$5:$AJ$180,0,MATCH(P$2,Inputs!$K$4:$AJ$4,0)))+SUMPRODUCT((Inputs!$C$5:$C$180=$B41)*Inputs!$D$5:$D$180*(((Inputs!$G$5:$G$180="moeda")+(Inputs!$G$5:$G$180="acoes"))*Inputs!$B$1+((Inputs!$G$5:$G$180&lt;&gt;"moeda")*(Inputs!$G$5:$G$180&lt;&gt;"acoes")))*INDEX(Inputs!$K$5:$AJ$180,0,MATCH(P$2,Inputs!$K$4:$AJ$4,0)))+SUMPRODUCT((Inputs!$E$5:$E$180=$B41)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41" s="6" t="e">
        <f>IF(ISNA(MATCH(Q$2,Inputs!$K$4:$AJ$4,0)),NA(),IF(SUMPRODUCT((Inputs!$A$5:$A$180=$B41)*ISNUMBER(INDEX(Inputs!$K$5:$AJ$180,0,MATCH(Q$2,Inputs!$K$4:$AJ$4,0))))+SUMPRODUCT((Inputs!$C$5:$C$180=$B41)*ISNUMBER(INDEX(Inputs!$K$5:$AJ$180,0,MATCH(Q$2,Inputs!$K$4:$AJ$4,0))))+SUMPRODUCT((Inputs!$E$5:$E$180=$B41)*ISNUMBER(INDEX(Inputs!$K$5:$AJ$180,0,MATCH(Q$2,Inputs!$K$4:$AJ$4,0))))=0,NA(),SUMPRODUCT((Inputs!$A$5:$A$180=$B41)*Inputs!$B$5:$B$180*(((Inputs!$G$5:$G$180="moeda")+(Inputs!$G$5:$G$180="acoes"))*Inputs!$B$1+((Inputs!$G$5:$G$180&lt;&gt;"moeda")*(Inputs!$G$5:$G$180&lt;&gt;"acoes")))*INDEX(Inputs!$K$5:$AJ$180,0,MATCH(Q$2,Inputs!$K$4:$AJ$4,0)))+SUMPRODUCT((Inputs!$C$5:$C$180=$B41)*Inputs!$D$5:$D$180*(((Inputs!$G$5:$G$180="moeda")+(Inputs!$G$5:$G$180="acoes"))*Inputs!$B$1+((Inputs!$G$5:$G$180&lt;&gt;"moeda")*(Inputs!$G$5:$G$180&lt;&gt;"acoes")))*INDEX(Inputs!$K$5:$AJ$180,0,MATCH(Q$2,Inputs!$K$4:$AJ$4,0)))+SUMPRODUCT((Inputs!$E$5:$E$180=$B41)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41" s="3" t="e">
        <f>Q41</f>
        <v>#N/A</v>
      </c>
      <c r="S41" s="6" t="e">
        <f>IF(ISNA(MATCH(S$2,Inputs!$K$4:$AJ$4,0)),NA(),IF(SUMPRODUCT((Inputs!$A$5:$A$180=$B41)*ISNUMBER(INDEX(Inputs!$K$5:$AJ$180,0,MATCH(S$2,Inputs!$K$4:$AJ$4,0))))+SUMPRODUCT((Inputs!$C$5:$C$180=$B41)*ISNUMBER(INDEX(Inputs!$K$5:$AJ$180,0,MATCH(S$2,Inputs!$K$4:$AJ$4,0))))+SUMPRODUCT((Inputs!$E$5:$E$180=$B41)*ISNUMBER(INDEX(Inputs!$K$5:$AJ$180,0,MATCH(S$2,Inputs!$K$4:$AJ$4,0))))=0,NA(),SUMPRODUCT((Inputs!$A$5:$A$180=$B41)*Inputs!$B$5:$B$180*(((Inputs!$G$5:$G$180="moeda")+(Inputs!$G$5:$G$180="acoes"))*Inputs!$B$1+((Inputs!$G$5:$G$180&lt;&gt;"moeda")*(Inputs!$G$5:$G$180&lt;&gt;"acoes")))*INDEX(Inputs!$K$5:$AJ$180,0,MATCH(S$2,Inputs!$K$4:$AJ$4,0)))+SUMPRODUCT((Inputs!$C$5:$C$180=$B41)*Inputs!$D$5:$D$180*(((Inputs!$G$5:$G$180="moeda")+(Inputs!$G$5:$G$180="acoes"))*Inputs!$B$1+((Inputs!$G$5:$G$180&lt;&gt;"moeda")*(Inputs!$G$5:$G$180&lt;&gt;"acoes")))*INDEX(Inputs!$K$5:$AJ$180,0,MATCH(S$2,Inputs!$K$4:$AJ$4,0)))+SUMPRODUCT((Inputs!$E$5:$E$180=$B41)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41" s="6" t="e">
        <f>IF(ISNA(MATCH(T$2,Inputs!$K$4:$AJ$4,0)),NA(),IF(SUMPRODUCT((Inputs!$A$5:$A$180=$B41)*ISNUMBER(INDEX(Inputs!$K$5:$AJ$180,0,MATCH(T$2,Inputs!$K$4:$AJ$4,0))))+SUMPRODUCT((Inputs!$C$5:$C$180=$B41)*ISNUMBER(INDEX(Inputs!$K$5:$AJ$180,0,MATCH(T$2,Inputs!$K$4:$AJ$4,0))))+SUMPRODUCT((Inputs!$E$5:$E$180=$B41)*ISNUMBER(INDEX(Inputs!$K$5:$AJ$180,0,MATCH(T$2,Inputs!$K$4:$AJ$4,0))))=0,NA(),SUMPRODUCT((Inputs!$A$5:$A$180=$B41)*Inputs!$B$5:$B$180*(((Inputs!$G$5:$G$180="moeda")+(Inputs!$G$5:$G$180="acoes"))*Inputs!$B$1+((Inputs!$G$5:$G$180&lt;&gt;"moeda")*(Inputs!$G$5:$G$180&lt;&gt;"acoes")))*INDEX(Inputs!$K$5:$AJ$180,0,MATCH(T$2,Inputs!$K$4:$AJ$4,0)))+SUMPRODUCT((Inputs!$C$5:$C$180=$B41)*Inputs!$D$5:$D$180*(((Inputs!$G$5:$G$180="moeda")+(Inputs!$G$5:$G$180="acoes"))*Inputs!$B$1+((Inputs!$G$5:$G$180&lt;&gt;"moeda")*(Inputs!$G$5:$G$180&lt;&gt;"acoes")))*INDEX(Inputs!$K$5:$AJ$180,0,MATCH(T$2,Inputs!$K$4:$AJ$4,0)))+SUMPRODUCT((Inputs!$E$5:$E$180=$B41)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41" s="6" t="e">
        <f>IF(ISNA(MATCH(U$2,Inputs!$K$4:$AJ$4,0)),NA(),IF(SUMPRODUCT((Inputs!$A$5:$A$180=$B41)*ISNUMBER(INDEX(Inputs!$K$5:$AJ$180,0,MATCH(U$2,Inputs!$K$4:$AJ$4,0))))+SUMPRODUCT((Inputs!$C$5:$C$180=$B41)*ISNUMBER(INDEX(Inputs!$K$5:$AJ$180,0,MATCH(U$2,Inputs!$K$4:$AJ$4,0))))+SUMPRODUCT((Inputs!$E$5:$E$180=$B41)*ISNUMBER(INDEX(Inputs!$K$5:$AJ$180,0,MATCH(U$2,Inputs!$K$4:$AJ$4,0))))=0,NA(),SUMPRODUCT((Inputs!$A$5:$A$180=$B41)*Inputs!$B$5:$B$180*(((Inputs!$G$5:$G$180="moeda")+(Inputs!$G$5:$G$180="acoes"))*Inputs!$B$1+((Inputs!$G$5:$G$180&lt;&gt;"moeda")*(Inputs!$G$5:$G$180&lt;&gt;"acoes")))*INDEX(Inputs!$K$5:$AJ$180,0,MATCH(U$2,Inputs!$K$4:$AJ$4,0)))+SUMPRODUCT((Inputs!$C$5:$C$180=$B41)*Inputs!$D$5:$D$180*(((Inputs!$G$5:$G$180="moeda")+(Inputs!$G$5:$G$180="acoes"))*Inputs!$B$1+((Inputs!$G$5:$G$180&lt;&gt;"moeda")*(Inputs!$G$5:$G$180&lt;&gt;"acoes")))*INDEX(Inputs!$K$5:$AJ$180,0,MATCH(U$2,Inputs!$K$4:$AJ$4,0)))+SUMPRODUCT((Inputs!$E$5:$E$180=$B41)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41" s="6" t="e">
        <f>IF(ISNA(MATCH(V$2,Inputs!$K$4:$AJ$4,0)),NA(),IF(SUMPRODUCT((Inputs!$A$5:$A$180=$B41)*ISNUMBER(INDEX(Inputs!$K$5:$AJ$180,0,MATCH(V$2,Inputs!$K$4:$AJ$4,0))))+SUMPRODUCT((Inputs!$C$5:$C$180=$B41)*ISNUMBER(INDEX(Inputs!$K$5:$AJ$180,0,MATCH(V$2,Inputs!$K$4:$AJ$4,0))))+SUMPRODUCT((Inputs!$E$5:$E$180=$B41)*ISNUMBER(INDEX(Inputs!$K$5:$AJ$180,0,MATCH(V$2,Inputs!$K$4:$AJ$4,0))))=0,NA(),SUMPRODUCT((Inputs!$A$5:$A$180=$B41)*Inputs!$B$5:$B$180*(((Inputs!$G$5:$G$180="moeda")+(Inputs!$G$5:$G$180="acoes"))*Inputs!$B$1+((Inputs!$G$5:$G$180&lt;&gt;"moeda")*(Inputs!$G$5:$G$180&lt;&gt;"acoes")))*INDEX(Inputs!$K$5:$AJ$180,0,MATCH(V$2,Inputs!$K$4:$AJ$4,0)))+SUMPRODUCT((Inputs!$C$5:$C$180=$B41)*Inputs!$D$5:$D$180*(((Inputs!$G$5:$G$180="moeda")+(Inputs!$G$5:$G$180="acoes"))*Inputs!$B$1+((Inputs!$G$5:$G$180&lt;&gt;"moeda")*(Inputs!$G$5:$G$180&lt;&gt;"acoes")))*INDEX(Inputs!$K$5:$AJ$180,0,MATCH(V$2,Inputs!$K$4:$AJ$4,0)))+SUMPRODUCT((Inputs!$E$5:$E$180=$B41)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41" s="3" t="e">
        <f>V41</f>
        <v>#N/A</v>
      </c>
      <c r="X41" s="6" t="e">
        <f>IF(ISNA(MATCH(X$2,Inputs!$K$4:$AJ$4,0)),NA(),IF(SUMPRODUCT((Inputs!$A$5:$A$180=$B41)*ISNUMBER(INDEX(Inputs!$K$5:$AJ$180,0,MATCH(X$2,Inputs!$K$4:$AJ$4,0))))+SUMPRODUCT((Inputs!$C$5:$C$180=$B41)*ISNUMBER(INDEX(Inputs!$K$5:$AJ$180,0,MATCH(X$2,Inputs!$K$4:$AJ$4,0))))+SUMPRODUCT((Inputs!$E$5:$E$180=$B41)*ISNUMBER(INDEX(Inputs!$K$5:$AJ$180,0,MATCH(X$2,Inputs!$K$4:$AJ$4,0))))=0,NA(),SUMPRODUCT((Inputs!$A$5:$A$180=$B41)*Inputs!$B$5:$B$180*(((Inputs!$G$5:$G$180="moeda")+(Inputs!$G$5:$G$180="acoes"))*Inputs!$B$1+((Inputs!$G$5:$G$180&lt;&gt;"moeda")*(Inputs!$G$5:$G$180&lt;&gt;"acoes")))*INDEX(Inputs!$K$5:$AJ$180,0,MATCH(X$2,Inputs!$K$4:$AJ$4,0)))+SUMPRODUCT((Inputs!$C$5:$C$180=$B41)*Inputs!$D$5:$D$180*(((Inputs!$G$5:$G$180="moeda")+(Inputs!$G$5:$G$180="acoes"))*Inputs!$B$1+((Inputs!$G$5:$G$180&lt;&gt;"moeda")*(Inputs!$G$5:$G$180&lt;&gt;"acoes")))*INDEX(Inputs!$K$5:$AJ$180,0,MATCH(X$2,Inputs!$K$4:$AJ$4,0)))+SUMPRODUCT((Inputs!$E$5:$E$180=$B41)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41" s="6" t="e">
        <f>IF(ISNA(MATCH(Y$2,Inputs!$K$4:$AJ$4,0)),NA(),IF(SUMPRODUCT((Inputs!$A$5:$A$180=$B41)*ISNUMBER(INDEX(Inputs!$K$5:$AJ$180,0,MATCH(Y$2,Inputs!$K$4:$AJ$4,0))))+SUMPRODUCT((Inputs!$C$5:$C$180=$B41)*ISNUMBER(INDEX(Inputs!$K$5:$AJ$180,0,MATCH(Y$2,Inputs!$K$4:$AJ$4,0))))+SUMPRODUCT((Inputs!$E$5:$E$180=$B41)*ISNUMBER(INDEX(Inputs!$K$5:$AJ$180,0,MATCH(Y$2,Inputs!$K$4:$AJ$4,0))))=0,NA(),SUMPRODUCT((Inputs!$A$5:$A$180=$B41)*Inputs!$B$5:$B$180*(((Inputs!$G$5:$G$180="moeda")+(Inputs!$G$5:$G$180="acoes"))*Inputs!$B$1+((Inputs!$G$5:$G$180&lt;&gt;"moeda")*(Inputs!$G$5:$G$180&lt;&gt;"acoes")))*INDEX(Inputs!$K$5:$AJ$180,0,MATCH(Y$2,Inputs!$K$4:$AJ$4,0)))+SUMPRODUCT((Inputs!$C$5:$C$180=$B41)*Inputs!$D$5:$D$180*(((Inputs!$G$5:$G$180="moeda")+(Inputs!$G$5:$G$180="acoes"))*Inputs!$B$1+((Inputs!$G$5:$G$180&lt;&gt;"moeda")*(Inputs!$G$5:$G$180&lt;&gt;"acoes")))*INDEX(Inputs!$K$5:$AJ$180,0,MATCH(Y$2,Inputs!$K$4:$AJ$4,0)))+SUMPRODUCT((Inputs!$E$5:$E$180=$B41)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41" s="6" t="e">
        <f>IF(ISNA(MATCH(Z$2,Inputs!$K$4:$AJ$4,0)),NA(),IF(SUMPRODUCT((Inputs!$A$5:$A$180=$B41)*ISNUMBER(INDEX(Inputs!$K$5:$AJ$180,0,MATCH(Z$2,Inputs!$K$4:$AJ$4,0))))+SUMPRODUCT((Inputs!$C$5:$C$180=$B41)*ISNUMBER(INDEX(Inputs!$K$5:$AJ$180,0,MATCH(Z$2,Inputs!$K$4:$AJ$4,0))))+SUMPRODUCT((Inputs!$E$5:$E$180=$B41)*ISNUMBER(INDEX(Inputs!$K$5:$AJ$180,0,MATCH(Z$2,Inputs!$K$4:$AJ$4,0))))=0,NA(),SUMPRODUCT((Inputs!$A$5:$A$180=$B41)*Inputs!$B$5:$B$180*(((Inputs!$G$5:$G$180="moeda")+(Inputs!$G$5:$G$180="acoes"))*Inputs!$B$1+((Inputs!$G$5:$G$180&lt;&gt;"moeda")*(Inputs!$G$5:$G$180&lt;&gt;"acoes")))*INDEX(Inputs!$K$5:$AJ$180,0,MATCH(Z$2,Inputs!$K$4:$AJ$4,0)))+SUMPRODUCT((Inputs!$C$5:$C$180=$B41)*Inputs!$D$5:$D$180*(((Inputs!$G$5:$G$180="moeda")+(Inputs!$G$5:$G$180="acoes"))*Inputs!$B$1+((Inputs!$G$5:$G$180&lt;&gt;"moeda")*(Inputs!$G$5:$G$180&lt;&gt;"acoes")))*INDEX(Inputs!$K$5:$AJ$180,0,MATCH(Z$2,Inputs!$K$4:$AJ$4,0)))+SUMPRODUCT((Inputs!$E$5:$E$180=$B41)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41" s="6" t="e">
        <f>IF(ISNA(MATCH(AA$2,Inputs!$K$4:$AJ$4,0)),NA(),IF(SUMPRODUCT((Inputs!$A$5:$A$180=$B41)*ISNUMBER(INDEX(Inputs!$K$5:$AJ$180,0,MATCH(AA$2,Inputs!$K$4:$AJ$4,0))))+SUMPRODUCT((Inputs!$C$5:$C$180=$B41)*ISNUMBER(INDEX(Inputs!$K$5:$AJ$180,0,MATCH(AA$2,Inputs!$K$4:$AJ$4,0))))+SUMPRODUCT((Inputs!$E$5:$E$180=$B41)*ISNUMBER(INDEX(Inputs!$K$5:$AJ$180,0,MATCH(AA$2,Inputs!$K$4:$AJ$4,0))))=0,NA(),SUMPRODUCT((Inputs!$A$5:$A$180=$B41)*Inputs!$B$5:$B$180*(((Inputs!$G$5:$G$180="moeda")+(Inputs!$G$5:$G$180="acoes"))*Inputs!$B$1+((Inputs!$G$5:$G$180&lt;&gt;"moeda")*(Inputs!$G$5:$G$180&lt;&gt;"acoes")))*INDEX(Inputs!$K$5:$AJ$180,0,MATCH(AA$2,Inputs!$K$4:$AJ$4,0)))+SUMPRODUCT((Inputs!$C$5:$C$180=$B41)*Inputs!$D$5:$D$180*(((Inputs!$G$5:$G$180="moeda")+(Inputs!$G$5:$G$180="acoes"))*Inputs!$B$1+((Inputs!$G$5:$G$180&lt;&gt;"moeda")*(Inputs!$G$5:$G$180&lt;&gt;"acoes")))*INDEX(Inputs!$K$5:$AJ$180,0,MATCH(AA$2,Inputs!$K$4:$AJ$4,0)))+SUMPRODUCT((Inputs!$E$5:$E$180=$B41)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41" s="3" t="e">
        <f>AA41</f>
        <v>#N/A</v>
      </c>
      <c r="AC41" s="6" t="e">
        <f>IF(ISNA(MATCH(AC$2,Inputs!$K$4:$AJ$4,0)),NA(),IF(SUMPRODUCT((Inputs!$A$5:$A$180=$B41)*ISNUMBER(INDEX(Inputs!$K$5:$AJ$180,0,MATCH(AC$2,Inputs!$K$4:$AJ$4,0))))+SUMPRODUCT((Inputs!$C$5:$C$180=$B41)*ISNUMBER(INDEX(Inputs!$K$5:$AJ$180,0,MATCH(AC$2,Inputs!$K$4:$AJ$4,0))))+SUMPRODUCT((Inputs!$E$5:$E$180=$B41)*ISNUMBER(INDEX(Inputs!$K$5:$AJ$180,0,MATCH(AC$2,Inputs!$K$4:$AJ$4,0))))=0,NA(),SUMPRODUCT((Inputs!$A$5:$A$180=$B41)*Inputs!$B$5:$B$180*(((Inputs!$G$5:$G$180="moeda")+(Inputs!$G$5:$G$180="acoes"))*Inputs!$B$1+((Inputs!$G$5:$G$180&lt;&gt;"moeda")*(Inputs!$G$5:$G$180&lt;&gt;"acoes")))*INDEX(Inputs!$K$5:$AJ$180,0,MATCH(AC$2,Inputs!$K$4:$AJ$4,0)))+SUMPRODUCT((Inputs!$C$5:$C$180=$B41)*Inputs!$D$5:$D$180*(((Inputs!$G$5:$G$180="moeda")+(Inputs!$G$5:$G$180="acoes"))*Inputs!$B$1+((Inputs!$G$5:$G$180&lt;&gt;"moeda")*(Inputs!$G$5:$G$180&lt;&gt;"acoes")))*INDEX(Inputs!$K$5:$AJ$180,0,MATCH(AC$2,Inputs!$K$4:$AJ$4,0)))+SUMPRODUCT((Inputs!$E$5:$E$180=$B41)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41" s="6" t="e">
        <f>IF(ISNA(MATCH(AD$2,Inputs!$K$4:$AJ$4,0)),NA(),IF(SUMPRODUCT((Inputs!$A$5:$A$180=$B41)*ISNUMBER(INDEX(Inputs!$K$5:$AJ$180,0,MATCH(AD$2,Inputs!$K$4:$AJ$4,0))))+SUMPRODUCT((Inputs!$C$5:$C$180=$B41)*ISNUMBER(INDEX(Inputs!$K$5:$AJ$180,0,MATCH(AD$2,Inputs!$K$4:$AJ$4,0))))+SUMPRODUCT((Inputs!$E$5:$E$180=$B41)*ISNUMBER(INDEX(Inputs!$K$5:$AJ$180,0,MATCH(AD$2,Inputs!$K$4:$AJ$4,0))))=0,NA(),SUMPRODUCT((Inputs!$A$5:$A$180=$B41)*Inputs!$B$5:$B$180*(((Inputs!$G$5:$G$180="moeda")+(Inputs!$G$5:$G$180="acoes"))*Inputs!$B$1+((Inputs!$G$5:$G$180&lt;&gt;"moeda")*(Inputs!$G$5:$G$180&lt;&gt;"acoes")))*INDEX(Inputs!$K$5:$AJ$180,0,MATCH(AD$2,Inputs!$K$4:$AJ$4,0)))+SUMPRODUCT((Inputs!$C$5:$C$180=$B41)*Inputs!$D$5:$D$180*(((Inputs!$G$5:$G$180="moeda")+(Inputs!$G$5:$G$180="acoes"))*Inputs!$B$1+((Inputs!$G$5:$G$180&lt;&gt;"moeda")*(Inputs!$G$5:$G$180&lt;&gt;"acoes")))*INDEX(Inputs!$K$5:$AJ$180,0,MATCH(AD$2,Inputs!$K$4:$AJ$4,0)))+SUMPRODUCT((Inputs!$E$5:$E$180=$B41)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41" s="6" t="e">
        <f>IF(ISNA(MATCH(AE$2,Inputs!$K$4:$AJ$4,0)),NA(),IF(SUMPRODUCT((Inputs!$A$5:$A$180=$B41)*ISNUMBER(INDEX(Inputs!$K$5:$AJ$180,0,MATCH(AE$2,Inputs!$K$4:$AJ$4,0))))+SUMPRODUCT((Inputs!$C$5:$C$180=$B41)*ISNUMBER(INDEX(Inputs!$K$5:$AJ$180,0,MATCH(AE$2,Inputs!$K$4:$AJ$4,0))))+SUMPRODUCT((Inputs!$E$5:$E$180=$B41)*ISNUMBER(INDEX(Inputs!$K$5:$AJ$180,0,MATCH(AE$2,Inputs!$K$4:$AJ$4,0))))=0,NA(),SUMPRODUCT((Inputs!$A$5:$A$180=$B41)*Inputs!$B$5:$B$180*(((Inputs!$G$5:$G$180="moeda")+(Inputs!$G$5:$G$180="acoes"))*Inputs!$B$1+((Inputs!$G$5:$G$180&lt;&gt;"moeda")*(Inputs!$G$5:$G$180&lt;&gt;"acoes")))*INDEX(Inputs!$K$5:$AJ$180,0,MATCH(AE$2,Inputs!$K$4:$AJ$4,0)))+SUMPRODUCT((Inputs!$C$5:$C$180=$B41)*Inputs!$D$5:$D$180*(((Inputs!$G$5:$G$180="moeda")+(Inputs!$G$5:$G$180="acoes"))*Inputs!$B$1+((Inputs!$G$5:$G$180&lt;&gt;"moeda")*(Inputs!$G$5:$G$180&lt;&gt;"acoes")))*INDEX(Inputs!$K$5:$AJ$180,0,MATCH(AE$2,Inputs!$K$4:$AJ$4,0)))+SUMPRODUCT((Inputs!$E$5:$E$180=$B41)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1" s="6" t="e">
        <f>IF(ISNA(MATCH(AF$2,Inputs!$K$4:$AJ$4,0)),NA(),IF(SUMPRODUCT((Inputs!$A$5:$A$180=$B41)*ISNUMBER(INDEX(Inputs!$K$5:$AJ$180,0,MATCH(AF$2,Inputs!$K$4:$AJ$4,0))))+SUMPRODUCT((Inputs!$C$5:$C$180=$B41)*ISNUMBER(INDEX(Inputs!$K$5:$AJ$180,0,MATCH(AF$2,Inputs!$K$4:$AJ$4,0))))+SUMPRODUCT((Inputs!$E$5:$E$180=$B41)*ISNUMBER(INDEX(Inputs!$K$5:$AJ$180,0,MATCH(AF$2,Inputs!$K$4:$AJ$4,0))))=0,NA(),SUMPRODUCT((Inputs!$A$5:$A$180=$B41)*Inputs!$B$5:$B$180*(((Inputs!$G$5:$G$180="moeda")+(Inputs!$G$5:$G$180="acoes"))*Inputs!$B$1+((Inputs!$G$5:$G$180&lt;&gt;"moeda")*(Inputs!$G$5:$G$180&lt;&gt;"acoes")))*INDEX(Inputs!$K$5:$AJ$180,0,MATCH(AF$2,Inputs!$K$4:$AJ$4,0)))+SUMPRODUCT((Inputs!$C$5:$C$180=$B41)*Inputs!$D$5:$D$180*(((Inputs!$G$5:$G$180="moeda")+(Inputs!$G$5:$G$180="acoes"))*Inputs!$B$1+((Inputs!$G$5:$G$180&lt;&gt;"moeda")*(Inputs!$G$5:$G$180&lt;&gt;"acoes")))*INDEX(Inputs!$K$5:$AJ$180,0,MATCH(AF$2,Inputs!$K$4:$AJ$4,0)))+SUMPRODUCT((Inputs!$E$5:$E$180=$B41)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1" s="3" t="e">
        <f>AF41</f>
        <v>#N/A</v>
      </c>
      <c r="AH41" s="6" t="e">
        <f>IF(ISNA(MATCH(AH$2,Inputs!$K$4:$AJ$4,0)),NA(),IF(SUMPRODUCT((Inputs!$A$5:$A$180=$B41)*ISNUMBER(INDEX(Inputs!$K$5:$AJ$180,0,MATCH(AH$2,Inputs!$K$4:$AJ$4,0))))+SUMPRODUCT((Inputs!$C$5:$C$180=$B41)*ISNUMBER(INDEX(Inputs!$K$5:$AJ$180,0,MATCH(AH$2,Inputs!$K$4:$AJ$4,0))))+SUMPRODUCT((Inputs!$E$5:$E$180=$B41)*ISNUMBER(INDEX(Inputs!$K$5:$AJ$180,0,MATCH(AH$2,Inputs!$K$4:$AJ$4,0))))=0,NA(),SUMPRODUCT((Inputs!$A$5:$A$180=$B41)*Inputs!$B$5:$B$180*(((Inputs!$G$5:$G$180="moeda")+(Inputs!$G$5:$G$180="acoes"))*Inputs!$B$1+((Inputs!$G$5:$G$180&lt;&gt;"moeda")*(Inputs!$G$5:$G$180&lt;&gt;"acoes")))*INDEX(Inputs!$K$5:$AJ$180,0,MATCH(AH$2,Inputs!$K$4:$AJ$4,0)))+SUMPRODUCT((Inputs!$C$5:$C$180=$B41)*Inputs!$D$5:$D$180*(((Inputs!$G$5:$G$180="moeda")+(Inputs!$G$5:$G$180="acoes"))*Inputs!$B$1+((Inputs!$G$5:$G$180&lt;&gt;"moeda")*(Inputs!$G$5:$G$180&lt;&gt;"acoes")))*INDEX(Inputs!$K$5:$AJ$180,0,MATCH(AH$2,Inputs!$K$4:$AJ$4,0)))+SUMPRODUCT((Inputs!$E$5:$E$180=$B41)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41" s="6" t="e">
        <f>IF(ISNA(MATCH(AI$2,Inputs!$K$4:$AJ$4,0)),NA(),IF(SUMPRODUCT((Inputs!$A$5:$A$180=$B41)*ISNUMBER(INDEX(Inputs!$K$5:$AJ$180,0,MATCH(AI$2,Inputs!$K$4:$AJ$4,0))))+SUMPRODUCT((Inputs!$C$5:$C$180=$B41)*ISNUMBER(INDEX(Inputs!$K$5:$AJ$180,0,MATCH(AI$2,Inputs!$K$4:$AJ$4,0))))+SUMPRODUCT((Inputs!$E$5:$E$180=$B41)*ISNUMBER(INDEX(Inputs!$K$5:$AJ$180,0,MATCH(AI$2,Inputs!$K$4:$AJ$4,0))))=0,NA(),SUMPRODUCT((Inputs!$A$5:$A$180=$B41)*Inputs!$B$5:$B$180*(((Inputs!$G$5:$G$180="moeda")+(Inputs!$G$5:$G$180="acoes"))*Inputs!$B$1+((Inputs!$G$5:$G$180&lt;&gt;"moeda")*(Inputs!$G$5:$G$180&lt;&gt;"acoes")))*INDEX(Inputs!$K$5:$AJ$180,0,MATCH(AI$2,Inputs!$K$4:$AJ$4,0)))+SUMPRODUCT((Inputs!$C$5:$C$180=$B41)*Inputs!$D$5:$D$180*(((Inputs!$G$5:$G$180="moeda")+(Inputs!$G$5:$G$180="acoes"))*Inputs!$B$1+((Inputs!$G$5:$G$180&lt;&gt;"moeda")*(Inputs!$G$5:$G$180&lt;&gt;"acoes")))*INDEX(Inputs!$K$5:$AJ$180,0,MATCH(AI$2,Inputs!$K$4:$AJ$4,0)))+SUMPRODUCT((Inputs!$E$5:$E$180=$B41)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41" s="6" t="e">
        <f>IF(ISNA(MATCH(AJ$2,Inputs!$K$4:$AJ$4,0)),NA(),IF(SUMPRODUCT((Inputs!$A$5:$A$180=$B41)*ISNUMBER(INDEX(Inputs!$K$5:$AJ$180,0,MATCH(AJ$2,Inputs!$K$4:$AJ$4,0))))+SUMPRODUCT((Inputs!$C$5:$C$180=$B41)*ISNUMBER(INDEX(Inputs!$K$5:$AJ$180,0,MATCH(AJ$2,Inputs!$K$4:$AJ$4,0))))+SUMPRODUCT((Inputs!$E$5:$E$180=$B41)*ISNUMBER(INDEX(Inputs!$K$5:$AJ$180,0,MATCH(AJ$2,Inputs!$K$4:$AJ$4,0))))=0,NA(),SUMPRODUCT((Inputs!$A$5:$A$180=$B41)*Inputs!$B$5:$B$180*(((Inputs!$G$5:$G$180="moeda")+(Inputs!$G$5:$G$180="acoes"))*Inputs!$B$1+((Inputs!$G$5:$G$180&lt;&gt;"moeda")*(Inputs!$G$5:$G$180&lt;&gt;"acoes")))*INDEX(Inputs!$K$5:$AJ$180,0,MATCH(AJ$2,Inputs!$K$4:$AJ$4,0)))+SUMPRODUCT((Inputs!$C$5:$C$180=$B41)*Inputs!$D$5:$D$180*(((Inputs!$G$5:$G$180="moeda")+(Inputs!$G$5:$G$180="acoes"))*Inputs!$B$1+((Inputs!$G$5:$G$180&lt;&gt;"moeda")*(Inputs!$G$5:$G$180&lt;&gt;"acoes")))*INDEX(Inputs!$K$5:$AJ$180,0,MATCH(AJ$2,Inputs!$K$4:$AJ$4,0)))+SUMPRODUCT((Inputs!$E$5:$E$180=$B41)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41" s="6" t="e">
        <f>IF(ISNA(MATCH(AK$2,Inputs!$K$4:$AJ$4,0)),NA(),IF(SUMPRODUCT((Inputs!$A$5:$A$180=$B41)*ISNUMBER(INDEX(Inputs!$K$5:$AJ$180,0,MATCH(AK$2,Inputs!$K$4:$AJ$4,0))))+SUMPRODUCT((Inputs!$C$5:$C$180=$B41)*ISNUMBER(INDEX(Inputs!$K$5:$AJ$180,0,MATCH(AK$2,Inputs!$K$4:$AJ$4,0))))+SUMPRODUCT((Inputs!$E$5:$E$180=$B41)*ISNUMBER(INDEX(Inputs!$K$5:$AJ$180,0,MATCH(AK$2,Inputs!$K$4:$AJ$4,0))))=0,NA(),SUMPRODUCT((Inputs!$A$5:$A$180=$B41)*Inputs!$B$5:$B$180*(((Inputs!$G$5:$G$180="moeda")+(Inputs!$G$5:$G$180="acoes"))*Inputs!$B$1+((Inputs!$G$5:$G$180&lt;&gt;"moeda")*(Inputs!$G$5:$G$180&lt;&gt;"acoes")))*INDEX(Inputs!$K$5:$AJ$180,0,MATCH(AK$2,Inputs!$K$4:$AJ$4,0)))+SUMPRODUCT((Inputs!$C$5:$C$180=$B41)*Inputs!$D$5:$D$180*(((Inputs!$G$5:$G$180="moeda")+(Inputs!$G$5:$G$180="acoes"))*Inputs!$B$1+((Inputs!$G$5:$G$180&lt;&gt;"moeda")*(Inputs!$G$5:$G$180&lt;&gt;"acoes")))*INDEX(Inputs!$K$5:$AJ$180,0,MATCH(AK$2,Inputs!$K$4:$AJ$4,0)))+SUMPRODUCT((Inputs!$E$5:$E$180=$B41)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$180=$B42)*ISNUMBER(INDEX(Inputs!$K$5:$AJ$180,0,MATCH(D$2,Inputs!$K$4:$AJ$4,0))))+SUMPRODUCT((Inputs!$C$5:$C$180=$B42)*ISNUMBER(INDEX(Inputs!$K$5:$AJ$180,0,MATCH(D$2,Inputs!$K$4:$AJ$4,0))))+SUMPRODUCT((Inputs!$E$5:$E$180=$B42)*ISNUMBER(INDEX(Inputs!$K$5:$AJ$180,0,MATCH(D$2,Inputs!$K$4:$AJ$4,0))))=0,NA(),SUMPRODUCT((Inputs!$A$5:$A$180=$B42)*Inputs!$B$5:$B$180*(((Inputs!$G$5:$G$180="moeda")+(Inputs!$G$5:$G$180="acoes"))*Inputs!$B$1+((Inputs!$G$5:$G$180&lt;&gt;"moeda")*(Inputs!$G$5:$G$180&lt;&gt;"acoes")))*INDEX(Inputs!$K$5:$AJ$180,0,MATCH(D$2,Inputs!$K$4:$AJ$4,0)))+SUMPRODUCT((Inputs!$C$5:$C$180=$B42)*Inputs!$D$5:$D$180*(((Inputs!$G$5:$G$180="moeda")+(Inputs!$G$5:$G$180="acoes"))*Inputs!$B$1+((Inputs!$G$5:$G$180&lt;&gt;"moeda")*(Inputs!$G$5:$G$180&lt;&gt;"acoes")))*INDEX(Inputs!$K$5:$AJ$180,0,MATCH(D$2,Inputs!$K$4:$AJ$4,0)))+SUMPRODUCT((Inputs!$E$5:$E$180=$B42)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42" s="6" t="e">
        <f>IF(ISNA(MATCH(E$2,Inputs!$K$4:$AJ$4,0)),NA(),IF(SUMPRODUCT((Inputs!$A$5:$A$180=$B42)*ISNUMBER(INDEX(Inputs!$K$5:$AJ$180,0,MATCH(E$2,Inputs!$K$4:$AJ$4,0))))+SUMPRODUCT((Inputs!$C$5:$C$180=$B42)*ISNUMBER(INDEX(Inputs!$K$5:$AJ$180,0,MATCH(E$2,Inputs!$K$4:$AJ$4,0))))+SUMPRODUCT((Inputs!$E$5:$E$180=$B42)*ISNUMBER(INDEX(Inputs!$K$5:$AJ$180,0,MATCH(E$2,Inputs!$K$4:$AJ$4,0))))=0,NA(),SUMPRODUCT((Inputs!$A$5:$A$180=$B42)*Inputs!$B$5:$B$180*(((Inputs!$G$5:$G$180="moeda")+(Inputs!$G$5:$G$180="acoes"))*Inputs!$B$1+((Inputs!$G$5:$G$180&lt;&gt;"moeda")*(Inputs!$G$5:$G$180&lt;&gt;"acoes")))*INDEX(Inputs!$K$5:$AJ$180,0,MATCH(E$2,Inputs!$K$4:$AJ$4,0)))+SUMPRODUCT((Inputs!$C$5:$C$180=$B42)*Inputs!$D$5:$D$180*(((Inputs!$G$5:$G$180="moeda")+(Inputs!$G$5:$G$180="acoes"))*Inputs!$B$1+((Inputs!$G$5:$G$180&lt;&gt;"moeda")*(Inputs!$G$5:$G$180&lt;&gt;"acoes")))*INDEX(Inputs!$K$5:$AJ$180,0,MATCH(E$2,Inputs!$K$4:$AJ$4,0)))+SUMPRODUCT((Inputs!$E$5:$E$180=$B42)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42" s="6" t="e">
        <f>IF(ISNA(MATCH(F$2,Inputs!$K$4:$AJ$4,0)),NA(),IF(SUMPRODUCT((Inputs!$A$5:$A$180=$B42)*ISNUMBER(INDEX(Inputs!$K$5:$AJ$180,0,MATCH(F$2,Inputs!$K$4:$AJ$4,0))))+SUMPRODUCT((Inputs!$C$5:$C$180=$B42)*ISNUMBER(INDEX(Inputs!$K$5:$AJ$180,0,MATCH(F$2,Inputs!$K$4:$AJ$4,0))))+SUMPRODUCT((Inputs!$E$5:$E$180=$B42)*ISNUMBER(INDEX(Inputs!$K$5:$AJ$180,0,MATCH(F$2,Inputs!$K$4:$AJ$4,0))))=0,NA(),SUMPRODUCT((Inputs!$A$5:$A$180=$B42)*Inputs!$B$5:$B$180*(((Inputs!$G$5:$G$180="moeda")+(Inputs!$G$5:$G$180="acoes"))*Inputs!$B$1+((Inputs!$G$5:$G$180&lt;&gt;"moeda")*(Inputs!$G$5:$G$180&lt;&gt;"acoes")))*INDEX(Inputs!$K$5:$AJ$180,0,MATCH(F$2,Inputs!$K$4:$AJ$4,0)))+SUMPRODUCT((Inputs!$C$5:$C$180=$B42)*Inputs!$D$5:$D$180*(((Inputs!$G$5:$G$180="moeda")+(Inputs!$G$5:$G$180="acoes"))*Inputs!$B$1+((Inputs!$G$5:$G$180&lt;&gt;"moeda")*(Inputs!$G$5:$G$180&lt;&gt;"acoes")))*INDEX(Inputs!$K$5:$AJ$180,0,MATCH(F$2,Inputs!$K$4:$AJ$4,0)))+SUMPRODUCT((Inputs!$E$5:$E$180=$B42)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42" s="6" t="e">
        <f>IF(ISNA(MATCH(G$2,Inputs!$K$4:$AJ$4,0)),NA(),IF(SUMPRODUCT((Inputs!$A$5:$A$180=$B42)*ISNUMBER(INDEX(Inputs!$K$5:$AJ$180,0,MATCH(G$2,Inputs!$K$4:$AJ$4,0))))+SUMPRODUCT((Inputs!$C$5:$C$180=$B42)*ISNUMBER(INDEX(Inputs!$K$5:$AJ$180,0,MATCH(G$2,Inputs!$K$4:$AJ$4,0))))+SUMPRODUCT((Inputs!$E$5:$E$180=$B42)*ISNUMBER(INDEX(Inputs!$K$5:$AJ$180,0,MATCH(G$2,Inputs!$K$4:$AJ$4,0))))=0,NA(),SUMPRODUCT((Inputs!$A$5:$A$180=$B42)*Inputs!$B$5:$B$180*(((Inputs!$G$5:$G$180="moeda")+(Inputs!$G$5:$G$180="acoes"))*Inputs!$B$1+((Inputs!$G$5:$G$180&lt;&gt;"moeda")*(Inputs!$G$5:$G$180&lt;&gt;"acoes")))*INDEX(Inputs!$K$5:$AJ$180,0,MATCH(G$2,Inputs!$K$4:$AJ$4,0)))+SUMPRODUCT((Inputs!$C$5:$C$180=$B42)*Inputs!$D$5:$D$180*(((Inputs!$G$5:$G$180="moeda")+(Inputs!$G$5:$G$180="acoes"))*Inputs!$B$1+((Inputs!$G$5:$G$180&lt;&gt;"moeda")*(Inputs!$G$5:$G$180&lt;&gt;"acoes")))*INDEX(Inputs!$K$5:$AJ$180,0,MATCH(G$2,Inputs!$K$4:$AJ$4,0)))+SUMPRODUCT((Inputs!$E$5:$E$180=$B42)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42" s="3" t="e">
        <f>G42</f>
        <v>#N/A</v>
      </c>
      <c r="I42" s="6" t="e">
        <f>IF(ISNA(MATCH(I$2,Inputs!$K$4:$AJ$4,0)),NA(),IF(SUMPRODUCT((Inputs!$A$5:$A$180=$B42)*ISNUMBER(INDEX(Inputs!$K$5:$AJ$180,0,MATCH(I$2,Inputs!$K$4:$AJ$4,0))))+SUMPRODUCT((Inputs!$C$5:$C$180=$B42)*ISNUMBER(INDEX(Inputs!$K$5:$AJ$180,0,MATCH(I$2,Inputs!$K$4:$AJ$4,0))))+SUMPRODUCT((Inputs!$E$5:$E$180=$B42)*ISNUMBER(INDEX(Inputs!$K$5:$AJ$180,0,MATCH(I$2,Inputs!$K$4:$AJ$4,0))))=0,NA(),SUMPRODUCT((Inputs!$A$5:$A$180=$B42)*Inputs!$B$5:$B$180*(((Inputs!$G$5:$G$180="moeda")+(Inputs!$G$5:$G$180="acoes"))*Inputs!$B$1+((Inputs!$G$5:$G$180&lt;&gt;"moeda")*(Inputs!$G$5:$G$180&lt;&gt;"acoes")))*INDEX(Inputs!$K$5:$AJ$180,0,MATCH(I$2,Inputs!$K$4:$AJ$4,0)))+SUMPRODUCT((Inputs!$C$5:$C$180=$B42)*Inputs!$D$5:$D$180*(((Inputs!$G$5:$G$180="moeda")+(Inputs!$G$5:$G$180="acoes"))*Inputs!$B$1+((Inputs!$G$5:$G$180&lt;&gt;"moeda")*(Inputs!$G$5:$G$180&lt;&gt;"acoes")))*INDEX(Inputs!$K$5:$AJ$180,0,MATCH(I$2,Inputs!$K$4:$AJ$4,0)))+SUMPRODUCT((Inputs!$E$5:$E$180=$B42)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42" s="6" t="e">
        <f>IF(ISNA(MATCH(J$2,Inputs!$K$4:$AJ$4,0)),NA(),IF(SUMPRODUCT((Inputs!$A$5:$A$180=$B42)*ISNUMBER(INDEX(Inputs!$K$5:$AJ$180,0,MATCH(J$2,Inputs!$K$4:$AJ$4,0))))+SUMPRODUCT((Inputs!$C$5:$C$180=$B42)*ISNUMBER(INDEX(Inputs!$K$5:$AJ$180,0,MATCH(J$2,Inputs!$K$4:$AJ$4,0))))+SUMPRODUCT((Inputs!$E$5:$E$180=$B42)*ISNUMBER(INDEX(Inputs!$K$5:$AJ$180,0,MATCH(J$2,Inputs!$K$4:$AJ$4,0))))=0,NA(),SUMPRODUCT((Inputs!$A$5:$A$180=$B42)*Inputs!$B$5:$B$180*(((Inputs!$G$5:$G$180="moeda")+(Inputs!$G$5:$G$180="acoes"))*Inputs!$B$1+((Inputs!$G$5:$G$180&lt;&gt;"moeda")*(Inputs!$G$5:$G$180&lt;&gt;"acoes")))*INDEX(Inputs!$K$5:$AJ$180,0,MATCH(J$2,Inputs!$K$4:$AJ$4,0)))+SUMPRODUCT((Inputs!$C$5:$C$180=$B42)*Inputs!$D$5:$D$180*(((Inputs!$G$5:$G$180="moeda")+(Inputs!$G$5:$G$180="acoes"))*Inputs!$B$1+((Inputs!$G$5:$G$180&lt;&gt;"moeda")*(Inputs!$G$5:$G$180&lt;&gt;"acoes")))*INDEX(Inputs!$K$5:$AJ$180,0,MATCH(J$2,Inputs!$K$4:$AJ$4,0)))+SUMPRODUCT((Inputs!$E$5:$E$180=$B42)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42" s="6" t="e">
        <f>IF(ISNA(MATCH(K$2,Inputs!$K$4:$AJ$4,0)),NA(),IF(SUMPRODUCT((Inputs!$A$5:$A$180=$B42)*ISNUMBER(INDEX(Inputs!$K$5:$AJ$180,0,MATCH(K$2,Inputs!$K$4:$AJ$4,0))))+SUMPRODUCT((Inputs!$C$5:$C$180=$B42)*ISNUMBER(INDEX(Inputs!$K$5:$AJ$180,0,MATCH(K$2,Inputs!$K$4:$AJ$4,0))))+SUMPRODUCT((Inputs!$E$5:$E$180=$B42)*ISNUMBER(INDEX(Inputs!$K$5:$AJ$180,0,MATCH(K$2,Inputs!$K$4:$AJ$4,0))))=0,NA(),SUMPRODUCT((Inputs!$A$5:$A$180=$B42)*Inputs!$B$5:$B$180*(((Inputs!$G$5:$G$180="moeda")+(Inputs!$G$5:$G$180="acoes"))*Inputs!$B$1+((Inputs!$G$5:$G$180&lt;&gt;"moeda")*(Inputs!$G$5:$G$180&lt;&gt;"acoes")))*INDEX(Inputs!$K$5:$AJ$180,0,MATCH(K$2,Inputs!$K$4:$AJ$4,0)))+SUMPRODUCT((Inputs!$C$5:$C$180=$B42)*Inputs!$D$5:$D$180*(((Inputs!$G$5:$G$180="moeda")+(Inputs!$G$5:$G$180="acoes"))*Inputs!$B$1+((Inputs!$G$5:$G$180&lt;&gt;"moeda")*(Inputs!$G$5:$G$180&lt;&gt;"acoes")))*INDEX(Inputs!$K$5:$AJ$180,0,MATCH(K$2,Inputs!$K$4:$AJ$4,0)))+SUMPRODUCT((Inputs!$E$5:$E$180=$B42)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42" s="6" t="e">
        <f>IF(ISNA(MATCH(L$2,Inputs!$K$4:$AJ$4,0)),NA(),IF(SUMPRODUCT((Inputs!$A$5:$A$180=$B42)*ISNUMBER(INDEX(Inputs!$K$5:$AJ$180,0,MATCH(L$2,Inputs!$K$4:$AJ$4,0))))+SUMPRODUCT((Inputs!$C$5:$C$180=$B42)*ISNUMBER(INDEX(Inputs!$K$5:$AJ$180,0,MATCH(L$2,Inputs!$K$4:$AJ$4,0))))+SUMPRODUCT((Inputs!$E$5:$E$180=$B42)*ISNUMBER(INDEX(Inputs!$K$5:$AJ$180,0,MATCH(L$2,Inputs!$K$4:$AJ$4,0))))=0,NA(),SUMPRODUCT((Inputs!$A$5:$A$180=$B42)*Inputs!$B$5:$B$180*(((Inputs!$G$5:$G$180="moeda")+(Inputs!$G$5:$G$180="acoes"))*Inputs!$B$1+((Inputs!$G$5:$G$180&lt;&gt;"moeda")*(Inputs!$G$5:$G$180&lt;&gt;"acoes")))*INDEX(Inputs!$K$5:$AJ$180,0,MATCH(L$2,Inputs!$K$4:$AJ$4,0)))+SUMPRODUCT((Inputs!$C$5:$C$180=$B42)*Inputs!$D$5:$D$180*(((Inputs!$G$5:$G$180="moeda")+(Inputs!$G$5:$G$180="acoes"))*Inputs!$B$1+((Inputs!$G$5:$G$180&lt;&gt;"moeda")*(Inputs!$G$5:$G$180&lt;&gt;"acoes")))*INDEX(Inputs!$K$5:$AJ$180,0,MATCH(L$2,Inputs!$K$4:$AJ$4,0)))+SUMPRODUCT((Inputs!$E$5:$E$180=$B42)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42" s="3" t="e">
        <f>L42</f>
        <v>#N/A</v>
      </c>
      <c r="N42" s="6" t="e">
        <f>IF(ISNA(MATCH(N$2,Inputs!$K$4:$AJ$4,0)),NA(),IF(SUMPRODUCT((Inputs!$A$5:$A$180=$B42)*ISNUMBER(INDEX(Inputs!$K$5:$AJ$180,0,MATCH(N$2,Inputs!$K$4:$AJ$4,0))))+SUMPRODUCT((Inputs!$C$5:$C$180=$B42)*ISNUMBER(INDEX(Inputs!$K$5:$AJ$180,0,MATCH(N$2,Inputs!$K$4:$AJ$4,0))))+SUMPRODUCT((Inputs!$E$5:$E$180=$B42)*ISNUMBER(INDEX(Inputs!$K$5:$AJ$180,0,MATCH(N$2,Inputs!$K$4:$AJ$4,0))))=0,NA(),SUMPRODUCT((Inputs!$A$5:$A$180=$B42)*Inputs!$B$5:$B$180*(((Inputs!$G$5:$G$180="moeda")+(Inputs!$G$5:$G$180="acoes"))*Inputs!$B$1+((Inputs!$G$5:$G$180&lt;&gt;"moeda")*(Inputs!$G$5:$G$180&lt;&gt;"acoes")))*INDEX(Inputs!$K$5:$AJ$180,0,MATCH(N$2,Inputs!$K$4:$AJ$4,0)))+SUMPRODUCT((Inputs!$C$5:$C$180=$B42)*Inputs!$D$5:$D$180*(((Inputs!$G$5:$G$180="moeda")+(Inputs!$G$5:$G$180="acoes"))*Inputs!$B$1+((Inputs!$G$5:$G$180&lt;&gt;"moeda")*(Inputs!$G$5:$G$180&lt;&gt;"acoes")))*INDEX(Inputs!$K$5:$AJ$180,0,MATCH(N$2,Inputs!$K$4:$AJ$4,0)))+SUMPRODUCT((Inputs!$E$5:$E$180=$B42)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42" s="6" t="e">
        <f>IF(ISNA(MATCH(O$2,Inputs!$K$4:$AJ$4,0)),NA(),IF(SUMPRODUCT((Inputs!$A$5:$A$180=$B42)*ISNUMBER(INDEX(Inputs!$K$5:$AJ$180,0,MATCH(O$2,Inputs!$K$4:$AJ$4,0))))+SUMPRODUCT((Inputs!$C$5:$C$180=$B42)*ISNUMBER(INDEX(Inputs!$K$5:$AJ$180,0,MATCH(O$2,Inputs!$K$4:$AJ$4,0))))+SUMPRODUCT((Inputs!$E$5:$E$180=$B42)*ISNUMBER(INDEX(Inputs!$K$5:$AJ$180,0,MATCH(O$2,Inputs!$K$4:$AJ$4,0))))=0,NA(),SUMPRODUCT((Inputs!$A$5:$A$180=$B42)*Inputs!$B$5:$B$180*(((Inputs!$G$5:$G$180="moeda")+(Inputs!$G$5:$G$180="acoes"))*Inputs!$B$1+((Inputs!$G$5:$G$180&lt;&gt;"moeda")*(Inputs!$G$5:$G$180&lt;&gt;"acoes")))*INDEX(Inputs!$K$5:$AJ$180,0,MATCH(O$2,Inputs!$K$4:$AJ$4,0)))+SUMPRODUCT((Inputs!$C$5:$C$180=$B42)*Inputs!$D$5:$D$180*(((Inputs!$G$5:$G$180="moeda")+(Inputs!$G$5:$G$180="acoes"))*Inputs!$B$1+((Inputs!$G$5:$G$180&lt;&gt;"moeda")*(Inputs!$G$5:$G$180&lt;&gt;"acoes")))*INDEX(Inputs!$K$5:$AJ$180,0,MATCH(O$2,Inputs!$K$4:$AJ$4,0)))+SUMPRODUCT((Inputs!$E$5:$E$180=$B42)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42" s="6" t="e">
        <f>IF(ISNA(MATCH(P$2,Inputs!$K$4:$AJ$4,0)),NA(),IF(SUMPRODUCT((Inputs!$A$5:$A$180=$B42)*ISNUMBER(INDEX(Inputs!$K$5:$AJ$180,0,MATCH(P$2,Inputs!$K$4:$AJ$4,0))))+SUMPRODUCT((Inputs!$C$5:$C$180=$B42)*ISNUMBER(INDEX(Inputs!$K$5:$AJ$180,0,MATCH(P$2,Inputs!$K$4:$AJ$4,0))))+SUMPRODUCT((Inputs!$E$5:$E$180=$B42)*ISNUMBER(INDEX(Inputs!$K$5:$AJ$180,0,MATCH(P$2,Inputs!$K$4:$AJ$4,0))))=0,NA(),SUMPRODUCT((Inputs!$A$5:$A$180=$B42)*Inputs!$B$5:$B$180*(((Inputs!$G$5:$G$180="moeda")+(Inputs!$G$5:$G$180="acoes"))*Inputs!$B$1+((Inputs!$G$5:$G$180&lt;&gt;"moeda")*(Inputs!$G$5:$G$180&lt;&gt;"acoes")))*INDEX(Inputs!$K$5:$AJ$180,0,MATCH(P$2,Inputs!$K$4:$AJ$4,0)))+SUMPRODUCT((Inputs!$C$5:$C$180=$B42)*Inputs!$D$5:$D$180*(((Inputs!$G$5:$G$180="moeda")+(Inputs!$G$5:$G$180="acoes"))*Inputs!$B$1+((Inputs!$G$5:$G$180&lt;&gt;"moeda")*(Inputs!$G$5:$G$180&lt;&gt;"acoes")))*INDEX(Inputs!$K$5:$AJ$180,0,MATCH(P$2,Inputs!$K$4:$AJ$4,0)))+SUMPRODUCT((Inputs!$E$5:$E$180=$B42)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42" s="6" t="e">
        <f>IF(ISNA(MATCH(Q$2,Inputs!$K$4:$AJ$4,0)),NA(),IF(SUMPRODUCT((Inputs!$A$5:$A$180=$B42)*ISNUMBER(INDEX(Inputs!$K$5:$AJ$180,0,MATCH(Q$2,Inputs!$K$4:$AJ$4,0))))+SUMPRODUCT((Inputs!$C$5:$C$180=$B42)*ISNUMBER(INDEX(Inputs!$K$5:$AJ$180,0,MATCH(Q$2,Inputs!$K$4:$AJ$4,0))))+SUMPRODUCT((Inputs!$E$5:$E$180=$B42)*ISNUMBER(INDEX(Inputs!$K$5:$AJ$180,0,MATCH(Q$2,Inputs!$K$4:$AJ$4,0))))=0,NA(),SUMPRODUCT((Inputs!$A$5:$A$180=$B42)*Inputs!$B$5:$B$180*(((Inputs!$G$5:$G$180="moeda")+(Inputs!$G$5:$G$180="acoes"))*Inputs!$B$1+((Inputs!$G$5:$G$180&lt;&gt;"moeda")*(Inputs!$G$5:$G$180&lt;&gt;"acoes")))*INDEX(Inputs!$K$5:$AJ$180,0,MATCH(Q$2,Inputs!$K$4:$AJ$4,0)))+SUMPRODUCT((Inputs!$C$5:$C$180=$B42)*Inputs!$D$5:$D$180*(((Inputs!$G$5:$G$180="moeda")+(Inputs!$G$5:$G$180="acoes"))*Inputs!$B$1+((Inputs!$G$5:$G$180&lt;&gt;"moeda")*(Inputs!$G$5:$G$180&lt;&gt;"acoes")))*INDEX(Inputs!$K$5:$AJ$180,0,MATCH(Q$2,Inputs!$K$4:$AJ$4,0)))+SUMPRODUCT((Inputs!$E$5:$E$180=$B42)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42" s="3" t="e">
        <f>Q42</f>
        <v>#N/A</v>
      </c>
      <c r="S42" s="6" t="e">
        <f>IF(ISNA(MATCH(S$2,Inputs!$K$4:$AJ$4,0)),NA(),IF(SUMPRODUCT((Inputs!$A$5:$A$180=$B42)*ISNUMBER(INDEX(Inputs!$K$5:$AJ$180,0,MATCH(S$2,Inputs!$K$4:$AJ$4,0))))+SUMPRODUCT((Inputs!$C$5:$C$180=$B42)*ISNUMBER(INDEX(Inputs!$K$5:$AJ$180,0,MATCH(S$2,Inputs!$K$4:$AJ$4,0))))+SUMPRODUCT((Inputs!$E$5:$E$180=$B42)*ISNUMBER(INDEX(Inputs!$K$5:$AJ$180,0,MATCH(S$2,Inputs!$K$4:$AJ$4,0))))=0,NA(),SUMPRODUCT((Inputs!$A$5:$A$180=$B42)*Inputs!$B$5:$B$180*(((Inputs!$G$5:$G$180="moeda")+(Inputs!$G$5:$G$180="acoes"))*Inputs!$B$1+((Inputs!$G$5:$G$180&lt;&gt;"moeda")*(Inputs!$G$5:$G$180&lt;&gt;"acoes")))*INDEX(Inputs!$K$5:$AJ$180,0,MATCH(S$2,Inputs!$K$4:$AJ$4,0)))+SUMPRODUCT((Inputs!$C$5:$C$180=$B42)*Inputs!$D$5:$D$180*(((Inputs!$G$5:$G$180="moeda")+(Inputs!$G$5:$G$180="acoes"))*Inputs!$B$1+((Inputs!$G$5:$G$180&lt;&gt;"moeda")*(Inputs!$G$5:$G$180&lt;&gt;"acoes")))*INDEX(Inputs!$K$5:$AJ$180,0,MATCH(S$2,Inputs!$K$4:$AJ$4,0)))+SUMPRODUCT((Inputs!$E$5:$E$180=$B42)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42" s="6" t="e">
        <f>IF(ISNA(MATCH(T$2,Inputs!$K$4:$AJ$4,0)),NA(),IF(SUMPRODUCT((Inputs!$A$5:$A$180=$B42)*ISNUMBER(INDEX(Inputs!$K$5:$AJ$180,0,MATCH(T$2,Inputs!$K$4:$AJ$4,0))))+SUMPRODUCT((Inputs!$C$5:$C$180=$B42)*ISNUMBER(INDEX(Inputs!$K$5:$AJ$180,0,MATCH(T$2,Inputs!$K$4:$AJ$4,0))))+SUMPRODUCT((Inputs!$E$5:$E$180=$B42)*ISNUMBER(INDEX(Inputs!$K$5:$AJ$180,0,MATCH(T$2,Inputs!$K$4:$AJ$4,0))))=0,NA(),SUMPRODUCT((Inputs!$A$5:$A$180=$B42)*Inputs!$B$5:$B$180*(((Inputs!$G$5:$G$180="moeda")+(Inputs!$G$5:$G$180="acoes"))*Inputs!$B$1+((Inputs!$G$5:$G$180&lt;&gt;"moeda")*(Inputs!$G$5:$G$180&lt;&gt;"acoes")))*INDEX(Inputs!$K$5:$AJ$180,0,MATCH(T$2,Inputs!$K$4:$AJ$4,0)))+SUMPRODUCT((Inputs!$C$5:$C$180=$B42)*Inputs!$D$5:$D$180*(((Inputs!$G$5:$G$180="moeda")+(Inputs!$G$5:$G$180="acoes"))*Inputs!$B$1+((Inputs!$G$5:$G$180&lt;&gt;"moeda")*(Inputs!$G$5:$G$180&lt;&gt;"acoes")))*INDEX(Inputs!$K$5:$AJ$180,0,MATCH(T$2,Inputs!$K$4:$AJ$4,0)))+SUMPRODUCT((Inputs!$E$5:$E$180=$B42)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42" s="6" t="e">
        <f>IF(ISNA(MATCH(U$2,Inputs!$K$4:$AJ$4,0)),NA(),IF(SUMPRODUCT((Inputs!$A$5:$A$180=$B42)*ISNUMBER(INDEX(Inputs!$K$5:$AJ$180,0,MATCH(U$2,Inputs!$K$4:$AJ$4,0))))+SUMPRODUCT((Inputs!$C$5:$C$180=$B42)*ISNUMBER(INDEX(Inputs!$K$5:$AJ$180,0,MATCH(U$2,Inputs!$K$4:$AJ$4,0))))+SUMPRODUCT((Inputs!$E$5:$E$180=$B42)*ISNUMBER(INDEX(Inputs!$K$5:$AJ$180,0,MATCH(U$2,Inputs!$K$4:$AJ$4,0))))=0,NA(),SUMPRODUCT((Inputs!$A$5:$A$180=$B42)*Inputs!$B$5:$B$180*(((Inputs!$G$5:$G$180="moeda")+(Inputs!$G$5:$G$180="acoes"))*Inputs!$B$1+((Inputs!$G$5:$G$180&lt;&gt;"moeda")*(Inputs!$G$5:$G$180&lt;&gt;"acoes")))*INDEX(Inputs!$K$5:$AJ$180,0,MATCH(U$2,Inputs!$K$4:$AJ$4,0)))+SUMPRODUCT((Inputs!$C$5:$C$180=$B42)*Inputs!$D$5:$D$180*(((Inputs!$G$5:$G$180="moeda")+(Inputs!$G$5:$G$180="acoes"))*Inputs!$B$1+((Inputs!$G$5:$G$180&lt;&gt;"moeda")*(Inputs!$G$5:$G$180&lt;&gt;"acoes")))*INDEX(Inputs!$K$5:$AJ$180,0,MATCH(U$2,Inputs!$K$4:$AJ$4,0)))+SUMPRODUCT((Inputs!$E$5:$E$180=$B42)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42" s="6" t="e">
        <f>IF(ISNA(MATCH(V$2,Inputs!$K$4:$AJ$4,0)),NA(),IF(SUMPRODUCT((Inputs!$A$5:$A$180=$B42)*ISNUMBER(INDEX(Inputs!$K$5:$AJ$180,0,MATCH(V$2,Inputs!$K$4:$AJ$4,0))))+SUMPRODUCT((Inputs!$C$5:$C$180=$B42)*ISNUMBER(INDEX(Inputs!$K$5:$AJ$180,0,MATCH(V$2,Inputs!$K$4:$AJ$4,0))))+SUMPRODUCT((Inputs!$E$5:$E$180=$B42)*ISNUMBER(INDEX(Inputs!$K$5:$AJ$180,0,MATCH(V$2,Inputs!$K$4:$AJ$4,0))))=0,NA(),SUMPRODUCT((Inputs!$A$5:$A$180=$B42)*Inputs!$B$5:$B$180*(((Inputs!$G$5:$G$180="moeda")+(Inputs!$G$5:$G$180="acoes"))*Inputs!$B$1+((Inputs!$G$5:$G$180&lt;&gt;"moeda")*(Inputs!$G$5:$G$180&lt;&gt;"acoes")))*INDEX(Inputs!$K$5:$AJ$180,0,MATCH(V$2,Inputs!$K$4:$AJ$4,0)))+SUMPRODUCT((Inputs!$C$5:$C$180=$B42)*Inputs!$D$5:$D$180*(((Inputs!$G$5:$G$180="moeda")+(Inputs!$G$5:$G$180="acoes"))*Inputs!$B$1+((Inputs!$G$5:$G$180&lt;&gt;"moeda")*(Inputs!$G$5:$G$180&lt;&gt;"acoes")))*INDEX(Inputs!$K$5:$AJ$180,0,MATCH(V$2,Inputs!$K$4:$AJ$4,0)))+SUMPRODUCT((Inputs!$E$5:$E$180=$B42)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42" s="3" t="e">
        <f>V42</f>
        <v>#N/A</v>
      </c>
      <c r="X42" s="6" t="e">
        <f>IF(ISNA(MATCH(X$2,Inputs!$K$4:$AJ$4,0)),NA(),IF(SUMPRODUCT((Inputs!$A$5:$A$180=$B42)*ISNUMBER(INDEX(Inputs!$K$5:$AJ$180,0,MATCH(X$2,Inputs!$K$4:$AJ$4,0))))+SUMPRODUCT((Inputs!$C$5:$C$180=$B42)*ISNUMBER(INDEX(Inputs!$K$5:$AJ$180,0,MATCH(X$2,Inputs!$K$4:$AJ$4,0))))+SUMPRODUCT((Inputs!$E$5:$E$180=$B42)*ISNUMBER(INDEX(Inputs!$K$5:$AJ$180,0,MATCH(X$2,Inputs!$K$4:$AJ$4,0))))=0,NA(),SUMPRODUCT((Inputs!$A$5:$A$180=$B42)*Inputs!$B$5:$B$180*(((Inputs!$G$5:$G$180="moeda")+(Inputs!$G$5:$G$180="acoes"))*Inputs!$B$1+((Inputs!$G$5:$G$180&lt;&gt;"moeda")*(Inputs!$G$5:$G$180&lt;&gt;"acoes")))*INDEX(Inputs!$K$5:$AJ$180,0,MATCH(X$2,Inputs!$K$4:$AJ$4,0)))+SUMPRODUCT((Inputs!$C$5:$C$180=$B42)*Inputs!$D$5:$D$180*(((Inputs!$G$5:$G$180="moeda")+(Inputs!$G$5:$G$180="acoes"))*Inputs!$B$1+((Inputs!$G$5:$G$180&lt;&gt;"moeda")*(Inputs!$G$5:$G$180&lt;&gt;"acoes")))*INDEX(Inputs!$K$5:$AJ$180,0,MATCH(X$2,Inputs!$K$4:$AJ$4,0)))+SUMPRODUCT((Inputs!$E$5:$E$180=$B42)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42" s="6" t="e">
        <f>IF(ISNA(MATCH(Y$2,Inputs!$K$4:$AJ$4,0)),NA(),IF(SUMPRODUCT((Inputs!$A$5:$A$180=$B42)*ISNUMBER(INDEX(Inputs!$K$5:$AJ$180,0,MATCH(Y$2,Inputs!$K$4:$AJ$4,0))))+SUMPRODUCT((Inputs!$C$5:$C$180=$B42)*ISNUMBER(INDEX(Inputs!$K$5:$AJ$180,0,MATCH(Y$2,Inputs!$K$4:$AJ$4,0))))+SUMPRODUCT((Inputs!$E$5:$E$180=$B42)*ISNUMBER(INDEX(Inputs!$K$5:$AJ$180,0,MATCH(Y$2,Inputs!$K$4:$AJ$4,0))))=0,NA(),SUMPRODUCT((Inputs!$A$5:$A$180=$B42)*Inputs!$B$5:$B$180*(((Inputs!$G$5:$G$180="moeda")+(Inputs!$G$5:$G$180="acoes"))*Inputs!$B$1+((Inputs!$G$5:$G$180&lt;&gt;"moeda")*(Inputs!$G$5:$G$180&lt;&gt;"acoes")))*INDEX(Inputs!$K$5:$AJ$180,0,MATCH(Y$2,Inputs!$K$4:$AJ$4,0)))+SUMPRODUCT((Inputs!$C$5:$C$180=$B42)*Inputs!$D$5:$D$180*(((Inputs!$G$5:$G$180="moeda")+(Inputs!$G$5:$G$180="acoes"))*Inputs!$B$1+((Inputs!$G$5:$G$180&lt;&gt;"moeda")*(Inputs!$G$5:$G$180&lt;&gt;"acoes")))*INDEX(Inputs!$K$5:$AJ$180,0,MATCH(Y$2,Inputs!$K$4:$AJ$4,0)))+SUMPRODUCT((Inputs!$E$5:$E$180=$B42)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42" s="6" t="e">
        <f>IF(ISNA(MATCH(Z$2,Inputs!$K$4:$AJ$4,0)),NA(),IF(SUMPRODUCT((Inputs!$A$5:$A$180=$B42)*ISNUMBER(INDEX(Inputs!$K$5:$AJ$180,0,MATCH(Z$2,Inputs!$K$4:$AJ$4,0))))+SUMPRODUCT((Inputs!$C$5:$C$180=$B42)*ISNUMBER(INDEX(Inputs!$K$5:$AJ$180,0,MATCH(Z$2,Inputs!$K$4:$AJ$4,0))))+SUMPRODUCT((Inputs!$E$5:$E$180=$B42)*ISNUMBER(INDEX(Inputs!$K$5:$AJ$180,0,MATCH(Z$2,Inputs!$K$4:$AJ$4,0))))=0,NA(),SUMPRODUCT((Inputs!$A$5:$A$180=$B42)*Inputs!$B$5:$B$180*(((Inputs!$G$5:$G$180="moeda")+(Inputs!$G$5:$G$180="acoes"))*Inputs!$B$1+((Inputs!$G$5:$G$180&lt;&gt;"moeda")*(Inputs!$G$5:$G$180&lt;&gt;"acoes")))*INDEX(Inputs!$K$5:$AJ$180,0,MATCH(Z$2,Inputs!$K$4:$AJ$4,0)))+SUMPRODUCT((Inputs!$C$5:$C$180=$B42)*Inputs!$D$5:$D$180*(((Inputs!$G$5:$G$180="moeda")+(Inputs!$G$5:$G$180="acoes"))*Inputs!$B$1+((Inputs!$G$5:$G$180&lt;&gt;"moeda")*(Inputs!$G$5:$G$180&lt;&gt;"acoes")))*INDEX(Inputs!$K$5:$AJ$180,0,MATCH(Z$2,Inputs!$K$4:$AJ$4,0)))+SUMPRODUCT((Inputs!$E$5:$E$180=$B42)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42" s="6" t="e">
        <f>IF(ISNA(MATCH(AA$2,Inputs!$K$4:$AJ$4,0)),NA(),IF(SUMPRODUCT((Inputs!$A$5:$A$180=$B42)*ISNUMBER(INDEX(Inputs!$K$5:$AJ$180,0,MATCH(AA$2,Inputs!$K$4:$AJ$4,0))))+SUMPRODUCT((Inputs!$C$5:$C$180=$B42)*ISNUMBER(INDEX(Inputs!$K$5:$AJ$180,0,MATCH(AA$2,Inputs!$K$4:$AJ$4,0))))+SUMPRODUCT((Inputs!$E$5:$E$180=$B42)*ISNUMBER(INDEX(Inputs!$K$5:$AJ$180,0,MATCH(AA$2,Inputs!$K$4:$AJ$4,0))))=0,NA(),SUMPRODUCT((Inputs!$A$5:$A$180=$B42)*Inputs!$B$5:$B$180*(((Inputs!$G$5:$G$180="moeda")+(Inputs!$G$5:$G$180="acoes"))*Inputs!$B$1+((Inputs!$G$5:$G$180&lt;&gt;"moeda")*(Inputs!$G$5:$G$180&lt;&gt;"acoes")))*INDEX(Inputs!$K$5:$AJ$180,0,MATCH(AA$2,Inputs!$K$4:$AJ$4,0)))+SUMPRODUCT((Inputs!$C$5:$C$180=$B42)*Inputs!$D$5:$D$180*(((Inputs!$G$5:$G$180="moeda")+(Inputs!$G$5:$G$180="acoes"))*Inputs!$B$1+((Inputs!$G$5:$G$180&lt;&gt;"moeda")*(Inputs!$G$5:$G$180&lt;&gt;"acoes")))*INDEX(Inputs!$K$5:$AJ$180,0,MATCH(AA$2,Inputs!$K$4:$AJ$4,0)))+SUMPRODUCT((Inputs!$E$5:$E$180=$B42)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42" s="3" t="e">
        <f>AA42</f>
        <v>#N/A</v>
      </c>
      <c r="AC42" s="6" t="e">
        <f>IF(ISNA(MATCH(AC$2,Inputs!$K$4:$AJ$4,0)),NA(),IF(SUMPRODUCT((Inputs!$A$5:$A$180=$B42)*ISNUMBER(INDEX(Inputs!$K$5:$AJ$180,0,MATCH(AC$2,Inputs!$K$4:$AJ$4,0))))+SUMPRODUCT((Inputs!$C$5:$C$180=$B42)*ISNUMBER(INDEX(Inputs!$K$5:$AJ$180,0,MATCH(AC$2,Inputs!$K$4:$AJ$4,0))))+SUMPRODUCT((Inputs!$E$5:$E$180=$B42)*ISNUMBER(INDEX(Inputs!$K$5:$AJ$180,0,MATCH(AC$2,Inputs!$K$4:$AJ$4,0))))=0,NA(),SUMPRODUCT((Inputs!$A$5:$A$180=$B42)*Inputs!$B$5:$B$180*(((Inputs!$G$5:$G$180="moeda")+(Inputs!$G$5:$G$180="acoes"))*Inputs!$B$1+((Inputs!$G$5:$G$180&lt;&gt;"moeda")*(Inputs!$G$5:$G$180&lt;&gt;"acoes")))*INDEX(Inputs!$K$5:$AJ$180,0,MATCH(AC$2,Inputs!$K$4:$AJ$4,0)))+SUMPRODUCT((Inputs!$C$5:$C$180=$B42)*Inputs!$D$5:$D$180*(((Inputs!$G$5:$G$180="moeda")+(Inputs!$G$5:$G$180="acoes"))*Inputs!$B$1+((Inputs!$G$5:$G$180&lt;&gt;"moeda")*(Inputs!$G$5:$G$180&lt;&gt;"acoes")))*INDEX(Inputs!$K$5:$AJ$180,0,MATCH(AC$2,Inputs!$K$4:$AJ$4,0)))+SUMPRODUCT((Inputs!$E$5:$E$180=$B42)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42" s="6" t="e">
        <f>IF(ISNA(MATCH(AD$2,Inputs!$K$4:$AJ$4,0)),NA(),IF(SUMPRODUCT((Inputs!$A$5:$A$180=$B42)*ISNUMBER(INDEX(Inputs!$K$5:$AJ$180,0,MATCH(AD$2,Inputs!$K$4:$AJ$4,0))))+SUMPRODUCT((Inputs!$C$5:$C$180=$B42)*ISNUMBER(INDEX(Inputs!$K$5:$AJ$180,0,MATCH(AD$2,Inputs!$K$4:$AJ$4,0))))+SUMPRODUCT((Inputs!$E$5:$E$180=$B42)*ISNUMBER(INDEX(Inputs!$K$5:$AJ$180,0,MATCH(AD$2,Inputs!$K$4:$AJ$4,0))))=0,NA(),SUMPRODUCT((Inputs!$A$5:$A$180=$B42)*Inputs!$B$5:$B$180*(((Inputs!$G$5:$G$180="moeda")+(Inputs!$G$5:$G$180="acoes"))*Inputs!$B$1+((Inputs!$G$5:$G$180&lt;&gt;"moeda")*(Inputs!$G$5:$G$180&lt;&gt;"acoes")))*INDEX(Inputs!$K$5:$AJ$180,0,MATCH(AD$2,Inputs!$K$4:$AJ$4,0)))+SUMPRODUCT((Inputs!$C$5:$C$180=$B42)*Inputs!$D$5:$D$180*(((Inputs!$G$5:$G$180="moeda")+(Inputs!$G$5:$G$180="acoes"))*Inputs!$B$1+((Inputs!$G$5:$G$180&lt;&gt;"moeda")*(Inputs!$G$5:$G$180&lt;&gt;"acoes")))*INDEX(Inputs!$K$5:$AJ$180,0,MATCH(AD$2,Inputs!$K$4:$AJ$4,0)))+SUMPRODUCT((Inputs!$E$5:$E$180=$B42)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42" s="6" t="e">
        <f>IF(ISNA(MATCH(AE$2,Inputs!$K$4:$AJ$4,0)),NA(),IF(SUMPRODUCT((Inputs!$A$5:$A$180=$B42)*ISNUMBER(INDEX(Inputs!$K$5:$AJ$180,0,MATCH(AE$2,Inputs!$K$4:$AJ$4,0))))+SUMPRODUCT((Inputs!$C$5:$C$180=$B42)*ISNUMBER(INDEX(Inputs!$K$5:$AJ$180,0,MATCH(AE$2,Inputs!$K$4:$AJ$4,0))))+SUMPRODUCT((Inputs!$E$5:$E$180=$B42)*ISNUMBER(INDEX(Inputs!$K$5:$AJ$180,0,MATCH(AE$2,Inputs!$K$4:$AJ$4,0))))=0,NA(),SUMPRODUCT((Inputs!$A$5:$A$180=$B42)*Inputs!$B$5:$B$180*(((Inputs!$G$5:$G$180="moeda")+(Inputs!$G$5:$G$180="acoes"))*Inputs!$B$1+((Inputs!$G$5:$G$180&lt;&gt;"moeda")*(Inputs!$G$5:$G$180&lt;&gt;"acoes")))*INDEX(Inputs!$K$5:$AJ$180,0,MATCH(AE$2,Inputs!$K$4:$AJ$4,0)))+SUMPRODUCT((Inputs!$C$5:$C$180=$B42)*Inputs!$D$5:$D$180*(((Inputs!$G$5:$G$180="moeda")+(Inputs!$G$5:$G$180="acoes"))*Inputs!$B$1+((Inputs!$G$5:$G$180&lt;&gt;"moeda")*(Inputs!$G$5:$G$180&lt;&gt;"acoes")))*INDEX(Inputs!$K$5:$AJ$180,0,MATCH(AE$2,Inputs!$K$4:$AJ$4,0)))+SUMPRODUCT((Inputs!$E$5:$E$180=$B42)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2" s="6" t="e">
        <f>IF(ISNA(MATCH(AF$2,Inputs!$K$4:$AJ$4,0)),NA(),IF(SUMPRODUCT((Inputs!$A$5:$A$180=$B42)*ISNUMBER(INDEX(Inputs!$K$5:$AJ$180,0,MATCH(AF$2,Inputs!$K$4:$AJ$4,0))))+SUMPRODUCT((Inputs!$C$5:$C$180=$B42)*ISNUMBER(INDEX(Inputs!$K$5:$AJ$180,0,MATCH(AF$2,Inputs!$K$4:$AJ$4,0))))+SUMPRODUCT((Inputs!$E$5:$E$180=$B42)*ISNUMBER(INDEX(Inputs!$K$5:$AJ$180,0,MATCH(AF$2,Inputs!$K$4:$AJ$4,0))))=0,NA(),SUMPRODUCT((Inputs!$A$5:$A$180=$B42)*Inputs!$B$5:$B$180*(((Inputs!$G$5:$G$180="moeda")+(Inputs!$G$5:$G$180="acoes"))*Inputs!$B$1+((Inputs!$G$5:$G$180&lt;&gt;"moeda")*(Inputs!$G$5:$G$180&lt;&gt;"acoes")))*INDEX(Inputs!$K$5:$AJ$180,0,MATCH(AF$2,Inputs!$K$4:$AJ$4,0)))+SUMPRODUCT((Inputs!$C$5:$C$180=$B42)*Inputs!$D$5:$D$180*(((Inputs!$G$5:$G$180="moeda")+(Inputs!$G$5:$G$180="acoes"))*Inputs!$B$1+((Inputs!$G$5:$G$180&lt;&gt;"moeda")*(Inputs!$G$5:$G$180&lt;&gt;"acoes")))*INDEX(Inputs!$K$5:$AJ$180,0,MATCH(AF$2,Inputs!$K$4:$AJ$4,0)))+SUMPRODUCT((Inputs!$E$5:$E$180=$B42)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2" s="3" t="e">
        <f>AF42</f>
        <v>#N/A</v>
      </c>
      <c r="AH42" s="6" t="e">
        <f>IF(ISNA(MATCH(AH$2,Inputs!$K$4:$AJ$4,0)),NA(),IF(SUMPRODUCT((Inputs!$A$5:$A$180=$B42)*ISNUMBER(INDEX(Inputs!$K$5:$AJ$180,0,MATCH(AH$2,Inputs!$K$4:$AJ$4,0))))+SUMPRODUCT((Inputs!$C$5:$C$180=$B42)*ISNUMBER(INDEX(Inputs!$K$5:$AJ$180,0,MATCH(AH$2,Inputs!$K$4:$AJ$4,0))))+SUMPRODUCT((Inputs!$E$5:$E$180=$B42)*ISNUMBER(INDEX(Inputs!$K$5:$AJ$180,0,MATCH(AH$2,Inputs!$K$4:$AJ$4,0))))=0,NA(),SUMPRODUCT((Inputs!$A$5:$A$180=$B42)*Inputs!$B$5:$B$180*(((Inputs!$G$5:$G$180="moeda")+(Inputs!$G$5:$G$180="acoes"))*Inputs!$B$1+((Inputs!$G$5:$G$180&lt;&gt;"moeda")*(Inputs!$G$5:$G$180&lt;&gt;"acoes")))*INDEX(Inputs!$K$5:$AJ$180,0,MATCH(AH$2,Inputs!$K$4:$AJ$4,0)))+SUMPRODUCT((Inputs!$C$5:$C$180=$B42)*Inputs!$D$5:$D$180*(((Inputs!$G$5:$G$180="moeda")+(Inputs!$G$5:$G$180="acoes"))*Inputs!$B$1+((Inputs!$G$5:$G$180&lt;&gt;"moeda")*(Inputs!$G$5:$G$180&lt;&gt;"acoes")))*INDEX(Inputs!$K$5:$AJ$180,0,MATCH(AH$2,Inputs!$K$4:$AJ$4,0)))+SUMPRODUCT((Inputs!$E$5:$E$180=$B42)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42" s="6" t="e">
        <f>IF(ISNA(MATCH(AI$2,Inputs!$K$4:$AJ$4,0)),NA(),IF(SUMPRODUCT((Inputs!$A$5:$A$180=$B42)*ISNUMBER(INDEX(Inputs!$K$5:$AJ$180,0,MATCH(AI$2,Inputs!$K$4:$AJ$4,0))))+SUMPRODUCT((Inputs!$C$5:$C$180=$B42)*ISNUMBER(INDEX(Inputs!$K$5:$AJ$180,0,MATCH(AI$2,Inputs!$K$4:$AJ$4,0))))+SUMPRODUCT((Inputs!$E$5:$E$180=$B42)*ISNUMBER(INDEX(Inputs!$K$5:$AJ$180,0,MATCH(AI$2,Inputs!$K$4:$AJ$4,0))))=0,NA(),SUMPRODUCT((Inputs!$A$5:$A$180=$B42)*Inputs!$B$5:$B$180*(((Inputs!$G$5:$G$180="moeda")+(Inputs!$G$5:$G$180="acoes"))*Inputs!$B$1+((Inputs!$G$5:$G$180&lt;&gt;"moeda")*(Inputs!$G$5:$G$180&lt;&gt;"acoes")))*INDEX(Inputs!$K$5:$AJ$180,0,MATCH(AI$2,Inputs!$K$4:$AJ$4,0)))+SUMPRODUCT((Inputs!$C$5:$C$180=$B42)*Inputs!$D$5:$D$180*(((Inputs!$G$5:$G$180="moeda")+(Inputs!$G$5:$G$180="acoes"))*Inputs!$B$1+((Inputs!$G$5:$G$180&lt;&gt;"moeda")*(Inputs!$G$5:$G$180&lt;&gt;"acoes")))*INDEX(Inputs!$K$5:$AJ$180,0,MATCH(AI$2,Inputs!$K$4:$AJ$4,0)))+SUMPRODUCT((Inputs!$E$5:$E$180=$B42)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42" s="6" t="e">
        <f>IF(ISNA(MATCH(AJ$2,Inputs!$K$4:$AJ$4,0)),NA(),IF(SUMPRODUCT((Inputs!$A$5:$A$180=$B42)*ISNUMBER(INDEX(Inputs!$K$5:$AJ$180,0,MATCH(AJ$2,Inputs!$K$4:$AJ$4,0))))+SUMPRODUCT((Inputs!$C$5:$C$180=$B42)*ISNUMBER(INDEX(Inputs!$K$5:$AJ$180,0,MATCH(AJ$2,Inputs!$K$4:$AJ$4,0))))+SUMPRODUCT((Inputs!$E$5:$E$180=$B42)*ISNUMBER(INDEX(Inputs!$K$5:$AJ$180,0,MATCH(AJ$2,Inputs!$K$4:$AJ$4,0))))=0,NA(),SUMPRODUCT((Inputs!$A$5:$A$180=$B42)*Inputs!$B$5:$B$180*(((Inputs!$G$5:$G$180="moeda")+(Inputs!$G$5:$G$180="acoes"))*Inputs!$B$1+((Inputs!$G$5:$G$180&lt;&gt;"moeda")*(Inputs!$G$5:$G$180&lt;&gt;"acoes")))*INDEX(Inputs!$K$5:$AJ$180,0,MATCH(AJ$2,Inputs!$K$4:$AJ$4,0)))+SUMPRODUCT((Inputs!$C$5:$C$180=$B42)*Inputs!$D$5:$D$180*(((Inputs!$G$5:$G$180="moeda")+(Inputs!$G$5:$G$180="acoes"))*Inputs!$B$1+((Inputs!$G$5:$G$180&lt;&gt;"moeda")*(Inputs!$G$5:$G$180&lt;&gt;"acoes")))*INDEX(Inputs!$K$5:$AJ$180,0,MATCH(AJ$2,Inputs!$K$4:$AJ$4,0)))+SUMPRODUCT((Inputs!$E$5:$E$180=$B42)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42" s="6" t="e">
        <f>IF(ISNA(MATCH(AK$2,Inputs!$K$4:$AJ$4,0)),NA(),IF(SUMPRODUCT((Inputs!$A$5:$A$180=$B42)*ISNUMBER(INDEX(Inputs!$K$5:$AJ$180,0,MATCH(AK$2,Inputs!$K$4:$AJ$4,0))))+SUMPRODUCT((Inputs!$C$5:$C$180=$B42)*ISNUMBER(INDEX(Inputs!$K$5:$AJ$180,0,MATCH(AK$2,Inputs!$K$4:$AJ$4,0))))+SUMPRODUCT((Inputs!$E$5:$E$180=$B42)*ISNUMBER(INDEX(Inputs!$K$5:$AJ$180,0,MATCH(AK$2,Inputs!$K$4:$AJ$4,0))))=0,NA(),SUMPRODUCT((Inputs!$A$5:$A$180=$B42)*Inputs!$B$5:$B$180*(((Inputs!$G$5:$G$180="moeda")+(Inputs!$G$5:$G$180="acoes"))*Inputs!$B$1+((Inputs!$G$5:$G$180&lt;&gt;"moeda")*(Inputs!$G$5:$G$180&lt;&gt;"acoes")))*INDEX(Inputs!$K$5:$AJ$180,0,MATCH(AK$2,Inputs!$K$4:$AJ$4,0)))+SUMPRODUCT((Inputs!$C$5:$C$180=$B42)*Inputs!$D$5:$D$180*(((Inputs!$G$5:$G$180="moeda")+(Inputs!$G$5:$G$180="acoes"))*Inputs!$B$1+((Inputs!$G$5:$G$180&lt;&gt;"moeda")*(Inputs!$G$5:$G$180&lt;&gt;"acoes")))*INDEX(Inputs!$K$5:$AJ$180,0,MATCH(AK$2,Inputs!$K$4:$AJ$4,0)))+SUMPRODUCT((Inputs!$E$5:$E$180=$B42)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$180=$B43)*ISNUMBER(INDEX(Inputs!$K$5:$AJ$180,0,MATCH(D$2,Inputs!$K$4:$AJ$4,0))))+SUMPRODUCT((Inputs!$C$5:$C$180=$B43)*ISNUMBER(INDEX(Inputs!$K$5:$AJ$180,0,MATCH(D$2,Inputs!$K$4:$AJ$4,0))))+SUMPRODUCT((Inputs!$E$5:$E$180=$B43)*ISNUMBER(INDEX(Inputs!$K$5:$AJ$180,0,MATCH(D$2,Inputs!$K$4:$AJ$4,0))))=0,NA(),SUMPRODUCT((Inputs!$A$5:$A$180=$B43)*Inputs!$B$5:$B$180*(((Inputs!$G$5:$G$180="moeda")+(Inputs!$G$5:$G$180="acoes"))*Inputs!$B$1+((Inputs!$G$5:$G$180&lt;&gt;"moeda")*(Inputs!$G$5:$G$180&lt;&gt;"acoes")))*INDEX(Inputs!$K$5:$AJ$180,0,MATCH(D$2,Inputs!$K$4:$AJ$4,0)))+SUMPRODUCT((Inputs!$C$5:$C$180=$B43)*Inputs!$D$5:$D$180*(((Inputs!$G$5:$G$180="moeda")+(Inputs!$G$5:$G$180="acoes"))*Inputs!$B$1+((Inputs!$G$5:$G$180&lt;&gt;"moeda")*(Inputs!$G$5:$G$180&lt;&gt;"acoes")))*INDEX(Inputs!$K$5:$AJ$180,0,MATCH(D$2,Inputs!$K$4:$AJ$4,0)))+SUMPRODUCT((Inputs!$E$5:$E$180=$B43)*Inputs!$F$5:$F$180*(((Inputs!$G$5:$G$180="moeda")+(Inputs!$G$5:$G$180="acoes"))*Inputs!$B$1+((Inputs!$G$5:$G$180&lt;&gt;"moeda")*(Inputs!$G$5:$G$180&lt;&gt;"acoes")))*INDEX(Inputs!$K$5:$AJ$180,0,MATCH(D$2,Inputs!$K$4:$AJ$4,0)))))</f>
        <v>1105.381209</v>
      </c>
      <c r="E43" s="6">
        <f>IF(ISNA(MATCH(E$2,Inputs!$K$4:$AJ$4,0)),NA(),IF(SUMPRODUCT((Inputs!$A$5:$A$180=$B43)*ISNUMBER(INDEX(Inputs!$K$5:$AJ$180,0,MATCH(E$2,Inputs!$K$4:$AJ$4,0))))+SUMPRODUCT((Inputs!$C$5:$C$180=$B43)*ISNUMBER(INDEX(Inputs!$K$5:$AJ$180,0,MATCH(E$2,Inputs!$K$4:$AJ$4,0))))+SUMPRODUCT((Inputs!$E$5:$E$180=$B43)*ISNUMBER(INDEX(Inputs!$K$5:$AJ$180,0,MATCH(E$2,Inputs!$K$4:$AJ$4,0))))=0,NA(),SUMPRODUCT((Inputs!$A$5:$A$180=$B43)*Inputs!$B$5:$B$180*(((Inputs!$G$5:$G$180="moeda")+(Inputs!$G$5:$G$180="acoes"))*Inputs!$B$1+((Inputs!$G$5:$G$180&lt;&gt;"moeda")*(Inputs!$G$5:$G$180&lt;&gt;"acoes")))*INDEX(Inputs!$K$5:$AJ$180,0,MATCH(E$2,Inputs!$K$4:$AJ$4,0)))+SUMPRODUCT((Inputs!$C$5:$C$180=$B43)*Inputs!$D$5:$D$180*(((Inputs!$G$5:$G$180="moeda")+(Inputs!$G$5:$G$180="acoes"))*Inputs!$B$1+((Inputs!$G$5:$G$180&lt;&gt;"moeda")*(Inputs!$G$5:$G$180&lt;&gt;"acoes")))*INDEX(Inputs!$K$5:$AJ$180,0,MATCH(E$2,Inputs!$K$4:$AJ$4,0)))+SUMPRODUCT((Inputs!$E$5:$E$180=$B43)*Inputs!$F$5:$F$180*(((Inputs!$G$5:$G$180="moeda")+(Inputs!$G$5:$G$180="acoes"))*Inputs!$B$1+((Inputs!$G$5:$G$180&lt;&gt;"moeda")*(Inputs!$G$5:$G$180&lt;&gt;"acoes")))*INDEX(Inputs!$K$5:$AJ$180,0,MATCH(E$2,Inputs!$K$4:$AJ$4,0)))))</f>
        <v>1105.381209</v>
      </c>
      <c r="F43" s="6">
        <f>IF(ISNA(MATCH(F$2,Inputs!$K$4:$AJ$4,0)),NA(),IF(SUMPRODUCT((Inputs!$A$5:$A$180=$B43)*ISNUMBER(INDEX(Inputs!$K$5:$AJ$180,0,MATCH(F$2,Inputs!$K$4:$AJ$4,0))))+SUMPRODUCT((Inputs!$C$5:$C$180=$B43)*ISNUMBER(INDEX(Inputs!$K$5:$AJ$180,0,MATCH(F$2,Inputs!$K$4:$AJ$4,0))))+SUMPRODUCT((Inputs!$E$5:$E$180=$B43)*ISNUMBER(INDEX(Inputs!$K$5:$AJ$180,0,MATCH(F$2,Inputs!$K$4:$AJ$4,0))))=0,NA(),SUMPRODUCT((Inputs!$A$5:$A$180=$B43)*Inputs!$B$5:$B$180*(((Inputs!$G$5:$G$180="moeda")+(Inputs!$G$5:$G$180="acoes"))*Inputs!$B$1+((Inputs!$G$5:$G$180&lt;&gt;"moeda")*(Inputs!$G$5:$G$180&lt;&gt;"acoes")))*INDEX(Inputs!$K$5:$AJ$180,0,MATCH(F$2,Inputs!$K$4:$AJ$4,0)))+SUMPRODUCT((Inputs!$C$5:$C$180=$B43)*Inputs!$D$5:$D$180*(((Inputs!$G$5:$G$180="moeda")+(Inputs!$G$5:$G$180="acoes"))*Inputs!$B$1+((Inputs!$G$5:$G$180&lt;&gt;"moeda")*(Inputs!$G$5:$G$180&lt;&gt;"acoes")))*INDEX(Inputs!$K$5:$AJ$180,0,MATCH(F$2,Inputs!$K$4:$AJ$4,0)))+SUMPRODUCT((Inputs!$E$5:$E$180=$B43)*Inputs!$F$5:$F$180*(((Inputs!$G$5:$G$180="moeda")+(Inputs!$G$5:$G$180="acoes"))*Inputs!$B$1+((Inputs!$G$5:$G$180&lt;&gt;"moeda")*(Inputs!$G$5:$G$180&lt;&gt;"acoes")))*INDEX(Inputs!$K$5:$AJ$180,0,MATCH(F$2,Inputs!$K$4:$AJ$4,0)))))</f>
        <v>1105.381209</v>
      </c>
      <c r="G43" s="6">
        <f>IF(ISNA(MATCH(G$2,Inputs!$K$4:$AJ$4,0)),NA(),IF(SUMPRODUCT((Inputs!$A$5:$A$180=$B43)*ISNUMBER(INDEX(Inputs!$K$5:$AJ$180,0,MATCH(G$2,Inputs!$K$4:$AJ$4,0))))+SUMPRODUCT((Inputs!$C$5:$C$180=$B43)*ISNUMBER(INDEX(Inputs!$K$5:$AJ$180,0,MATCH(G$2,Inputs!$K$4:$AJ$4,0))))+SUMPRODUCT((Inputs!$E$5:$E$180=$B43)*ISNUMBER(INDEX(Inputs!$K$5:$AJ$180,0,MATCH(G$2,Inputs!$K$4:$AJ$4,0))))=0,NA(),SUMPRODUCT((Inputs!$A$5:$A$180=$B43)*Inputs!$B$5:$B$180*(((Inputs!$G$5:$G$180="moeda")+(Inputs!$G$5:$G$180="acoes"))*Inputs!$B$1+((Inputs!$G$5:$G$180&lt;&gt;"moeda")*(Inputs!$G$5:$G$180&lt;&gt;"acoes")))*INDEX(Inputs!$K$5:$AJ$180,0,MATCH(G$2,Inputs!$K$4:$AJ$4,0)))+SUMPRODUCT((Inputs!$C$5:$C$180=$B43)*Inputs!$D$5:$D$180*(((Inputs!$G$5:$G$180="moeda")+(Inputs!$G$5:$G$180="acoes"))*Inputs!$B$1+((Inputs!$G$5:$G$180&lt;&gt;"moeda")*(Inputs!$G$5:$G$180&lt;&gt;"acoes")))*INDEX(Inputs!$K$5:$AJ$180,0,MATCH(G$2,Inputs!$K$4:$AJ$4,0)))+SUMPRODUCT((Inputs!$E$5:$E$180=$B43)*Inputs!$F$5:$F$180*(((Inputs!$G$5:$G$180="moeda")+(Inputs!$G$5:$G$180="acoes"))*Inputs!$B$1+((Inputs!$G$5:$G$180&lt;&gt;"moeda")*(Inputs!$G$5:$G$180&lt;&gt;"acoes")))*INDEX(Inputs!$K$5:$AJ$180,0,MATCH(G$2,Inputs!$K$4:$AJ$4,0)))))</f>
        <v>1105.381209</v>
      </c>
      <c r="H43" s="3">
        <f>G43</f>
        <v>1105.381209</v>
      </c>
      <c r="I43" s="6">
        <f>IF(ISNA(MATCH(I$2,Inputs!$K$4:$AJ$4,0)),NA(),IF(SUMPRODUCT((Inputs!$A$5:$A$180=$B43)*ISNUMBER(INDEX(Inputs!$K$5:$AJ$180,0,MATCH(I$2,Inputs!$K$4:$AJ$4,0))))+SUMPRODUCT((Inputs!$C$5:$C$180=$B43)*ISNUMBER(INDEX(Inputs!$K$5:$AJ$180,0,MATCH(I$2,Inputs!$K$4:$AJ$4,0))))+SUMPRODUCT((Inputs!$E$5:$E$180=$B43)*ISNUMBER(INDEX(Inputs!$K$5:$AJ$180,0,MATCH(I$2,Inputs!$K$4:$AJ$4,0))))=0,NA(),SUMPRODUCT((Inputs!$A$5:$A$180=$B43)*Inputs!$B$5:$B$180*(((Inputs!$G$5:$G$180="moeda")+(Inputs!$G$5:$G$180="acoes"))*Inputs!$B$1+((Inputs!$G$5:$G$180&lt;&gt;"moeda")*(Inputs!$G$5:$G$180&lt;&gt;"acoes")))*INDEX(Inputs!$K$5:$AJ$180,0,MATCH(I$2,Inputs!$K$4:$AJ$4,0)))+SUMPRODUCT((Inputs!$C$5:$C$180=$B43)*Inputs!$D$5:$D$180*(((Inputs!$G$5:$G$180="moeda")+(Inputs!$G$5:$G$180="acoes"))*Inputs!$B$1+((Inputs!$G$5:$G$180&lt;&gt;"moeda")*(Inputs!$G$5:$G$180&lt;&gt;"acoes")))*INDEX(Inputs!$K$5:$AJ$180,0,MATCH(I$2,Inputs!$K$4:$AJ$4,0)))+SUMPRODUCT((Inputs!$E$5:$E$180=$B43)*Inputs!$F$5:$F$180*(((Inputs!$G$5:$G$180="moeda")+(Inputs!$G$5:$G$180="acoes"))*Inputs!$B$1+((Inputs!$G$5:$G$180&lt;&gt;"moeda")*(Inputs!$G$5:$G$180&lt;&gt;"acoes")))*INDEX(Inputs!$K$5:$AJ$180,0,MATCH(I$2,Inputs!$K$4:$AJ$4,0)))))</f>
        <v>1105.381209</v>
      </c>
      <c r="J43" s="6">
        <f>IF(ISNA(MATCH(J$2,Inputs!$K$4:$AJ$4,0)),NA(),IF(SUMPRODUCT((Inputs!$A$5:$A$180=$B43)*ISNUMBER(INDEX(Inputs!$K$5:$AJ$180,0,MATCH(J$2,Inputs!$K$4:$AJ$4,0))))+SUMPRODUCT((Inputs!$C$5:$C$180=$B43)*ISNUMBER(INDEX(Inputs!$K$5:$AJ$180,0,MATCH(J$2,Inputs!$K$4:$AJ$4,0))))+SUMPRODUCT((Inputs!$E$5:$E$180=$B43)*ISNUMBER(INDEX(Inputs!$K$5:$AJ$180,0,MATCH(J$2,Inputs!$K$4:$AJ$4,0))))=0,NA(),SUMPRODUCT((Inputs!$A$5:$A$180=$B43)*Inputs!$B$5:$B$180*(((Inputs!$G$5:$G$180="moeda")+(Inputs!$G$5:$G$180="acoes"))*Inputs!$B$1+((Inputs!$G$5:$G$180&lt;&gt;"moeda")*(Inputs!$G$5:$G$180&lt;&gt;"acoes")))*INDEX(Inputs!$K$5:$AJ$180,0,MATCH(J$2,Inputs!$K$4:$AJ$4,0)))+SUMPRODUCT((Inputs!$C$5:$C$180=$B43)*Inputs!$D$5:$D$180*(((Inputs!$G$5:$G$180="moeda")+(Inputs!$G$5:$G$180="acoes"))*Inputs!$B$1+((Inputs!$G$5:$G$180&lt;&gt;"moeda")*(Inputs!$G$5:$G$180&lt;&gt;"acoes")))*INDEX(Inputs!$K$5:$AJ$180,0,MATCH(J$2,Inputs!$K$4:$AJ$4,0)))+SUMPRODUCT((Inputs!$E$5:$E$180=$B43)*Inputs!$F$5:$F$180*(((Inputs!$G$5:$G$180="moeda")+(Inputs!$G$5:$G$180="acoes"))*Inputs!$B$1+((Inputs!$G$5:$G$180&lt;&gt;"moeda")*(Inputs!$G$5:$G$180&lt;&gt;"acoes")))*INDEX(Inputs!$K$5:$AJ$180,0,MATCH(J$2,Inputs!$K$4:$AJ$4,0)))))</f>
        <v>1105.381209</v>
      </c>
      <c r="K43" s="6">
        <f>IF(ISNA(MATCH(K$2,Inputs!$K$4:$AJ$4,0)),NA(),IF(SUMPRODUCT((Inputs!$A$5:$A$180=$B43)*ISNUMBER(INDEX(Inputs!$K$5:$AJ$180,0,MATCH(K$2,Inputs!$K$4:$AJ$4,0))))+SUMPRODUCT((Inputs!$C$5:$C$180=$B43)*ISNUMBER(INDEX(Inputs!$K$5:$AJ$180,0,MATCH(K$2,Inputs!$K$4:$AJ$4,0))))+SUMPRODUCT((Inputs!$E$5:$E$180=$B43)*ISNUMBER(INDEX(Inputs!$K$5:$AJ$180,0,MATCH(K$2,Inputs!$K$4:$AJ$4,0))))=0,NA(),SUMPRODUCT((Inputs!$A$5:$A$180=$B43)*Inputs!$B$5:$B$180*(((Inputs!$G$5:$G$180="moeda")+(Inputs!$G$5:$G$180="acoes"))*Inputs!$B$1+((Inputs!$G$5:$G$180&lt;&gt;"moeda")*(Inputs!$G$5:$G$180&lt;&gt;"acoes")))*INDEX(Inputs!$K$5:$AJ$180,0,MATCH(K$2,Inputs!$K$4:$AJ$4,0)))+SUMPRODUCT((Inputs!$C$5:$C$180=$B43)*Inputs!$D$5:$D$180*(((Inputs!$G$5:$G$180="moeda")+(Inputs!$G$5:$G$180="acoes"))*Inputs!$B$1+((Inputs!$G$5:$G$180&lt;&gt;"moeda")*(Inputs!$G$5:$G$180&lt;&gt;"acoes")))*INDEX(Inputs!$K$5:$AJ$180,0,MATCH(K$2,Inputs!$K$4:$AJ$4,0)))+SUMPRODUCT((Inputs!$E$5:$E$180=$B43)*Inputs!$F$5:$F$180*(((Inputs!$G$5:$G$180="moeda")+(Inputs!$G$5:$G$180="acoes"))*Inputs!$B$1+((Inputs!$G$5:$G$180&lt;&gt;"moeda")*(Inputs!$G$5:$G$180&lt;&gt;"acoes")))*INDEX(Inputs!$K$5:$AJ$180,0,MATCH(K$2,Inputs!$K$4:$AJ$4,0)))))</f>
        <v>1105.381209</v>
      </c>
      <c r="L43" s="6">
        <f>IF(ISNA(MATCH(L$2,Inputs!$K$4:$AJ$4,0)),NA(),IF(SUMPRODUCT((Inputs!$A$5:$A$180=$B43)*ISNUMBER(INDEX(Inputs!$K$5:$AJ$180,0,MATCH(L$2,Inputs!$K$4:$AJ$4,0))))+SUMPRODUCT((Inputs!$C$5:$C$180=$B43)*ISNUMBER(INDEX(Inputs!$K$5:$AJ$180,0,MATCH(L$2,Inputs!$K$4:$AJ$4,0))))+SUMPRODUCT((Inputs!$E$5:$E$180=$B43)*ISNUMBER(INDEX(Inputs!$K$5:$AJ$180,0,MATCH(L$2,Inputs!$K$4:$AJ$4,0))))=0,NA(),SUMPRODUCT((Inputs!$A$5:$A$180=$B43)*Inputs!$B$5:$B$180*(((Inputs!$G$5:$G$180="moeda")+(Inputs!$G$5:$G$180="acoes"))*Inputs!$B$1+((Inputs!$G$5:$G$180&lt;&gt;"moeda")*(Inputs!$G$5:$G$180&lt;&gt;"acoes")))*INDEX(Inputs!$K$5:$AJ$180,0,MATCH(L$2,Inputs!$K$4:$AJ$4,0)))+SUMPRODUCT((Inputs!$C$5:$C$180=$B43)*Inputs!$D$5:$D$180*(((Inputs!$G$5:$G$180="moeda")+(Inputs!$G$5:$G$180="acoes"))*Inputs!$B$1+((Inputs!$G$5:$G$180&lt;&gt;"moeda")*(Inputs!$G$5:$G$180&lt;&gt;"acoes")))*INDEX(Inputs!$K$5:$AJ$180,0,MATCH(L$2,Inputs!$K$4:$AJ$4,0)))+SUMPRODUCT((Inputs!$E$5:$E$180=$B43)*Inputs!$F$5:$F$180*(((Inputs!$G$5:$G$180="moeda")+(Inputs!$G$5:$G$180="acoes"))*Inputs!$B$1+((Inputs!$G$5:$G$180&lt;&gt;"moeda")*(Inputs!$G$5:$G$180&lt;&gt;"acoes")))*INDEX(Inputs!$K$5:$AJ$180,0,MATCH(L$2,Inputs!$K$4:$AJ$4,0)))))</f>
        <v>1105.381</v>
      </c>
      <c r="M43" s="3">
        <f>L43</f>
        <v>1105.381</v>
      </c>
      <c r="N43" s="6">
        <f>IF(ISNA(MATCH(N$2,Inputs!$K$4:$AJ$4,0)),NA(),IF(SUMPRODUCT((Inputs!$A$5:$A$180=$B43)*ISNUMBER(INDEX(Inputs!$K$5:$AJ$180,0,MATCH(N$2,Inputs!$K$4:$AJ$4,0))))+SUMPRODUCT((Inputs!$C$5:$C$180=$B43)*ISNUMBER(INDEX(Inputs!$K$5:$AJ$180,0,MATCH(N$2,Inputs!$K$4:$AJ$4,0))))+SUMPRODUCT((Inputs!$E$5:$E$180=$B43)*ISNUMBER(INDEX(Inputs!$K$5:$AJ$180,0,MATCH(N$2,Inputs!$K$4:$AJ$4,0))))=0,NA(),SUMPRODUCT((Inputs!$A$5:$A$180=$B43)*Inputs!$B$5:$B$180*(((Inputs!$G$5:$G$180="moeda")+(Inputs!$G$5:$G$180="acoes"))*Inputs!$B$1+((Inputs!$G$5:$G$180&lt;&gt;"moeda")*(Inputs!$G$5:$G$180&lt;&gt;"acoes")))*INDEX(Inputs!$K$5:$AJ$180,0,MATCH(N$2,Inputs!$K$4:$AJ$4,0)))+SUMPRODUCT((Inputs!$C$5:$C$180=$B43)*Inputs!$D$5:$D$180*(((Inputs!$G$5:$G$180="moeda")+(Inputs!$G$5:$G$180="acoes"))*Inputs!$B$1+((Inputs!$G$5:$G$180&lt;&gt;"moeda")*(Inputs!$G$5:$G$180&lt;&gt;"acoes")))*INDEX(Inputs!$K$5:$AJ$180,0,MATCH(N$2,Inputs!$K$4:$AJ$4,0)))+SUMPRODUCT((Inputs!$E$5:$E$180=$B43)*Inputs!$F$5:$F$180*(((Inputs!$G$5:$G$180="moeda")+(Inputs!$G$5:$G$180="acoes"))*Inputs!$B$1+((Inputs!$G$5:$G$180&lt;&gt;"moeda")*(Inputs!$G$5:$G$180&lt;&gt;"acoes")))*INDEX(Inputs!$K$5:$AJ$180,0,MATCH(N$2,Inputs!$K$4:$AJ$4,0)))))</f>
        <v>1105.381</v>
      </c>
      <c r="O43" s="6">
        <f>IF(ISNA(MATCH(O$2,Inputs!$K$4:$AJ$4,0)),NA(),IF(SUMPRODUCT((Inputs!$A$5:$A$180=$B43)*ISNUMBER(INDEX(Inputs!$K$5:$AJ$180,0,MATCH(O$2,Inputs!$K$4:$AJ$4,0))))+SUMPRODUCT((Inputs!$C$5:$C$180=$B43)*ISNUMBER(INDEX(Inputs!$K$5:$AJ$180,0,MATCH(O$2,Inputs!$K$4:$AJ$4,0))))+SUMPRODUCT((Inputs!$E$5:$E$180=$B43)*ISNUMBER(INDEX(Inputs!$K$5:$AJ$180,0,MATCH(O$2,Inputs!$K$4:$AJ$4,0))))=0,NA(),SUMPRODUCT((Inputs!$A$5:$A$180=$B43)*Inputs!$B$5:$B$180*(((Inputs!$G$5:$G$180="moeda")+(Inputs!$G$5:$G$180="acoes"))*Inputs!$B$1+((Inputs!$G$5:$G$180&lt;&gt;"moeda")*(Inputs!$G$5:$G$180&lt;&gt;"acoes")))*INDEX(Inputs!$K$5:$AJ$180,0,MATCH(O$2,Inputs!$K$4:$AJ$4,0)))+SUMPRODUCT((Inputs!$C$5:$C$180=$B43)*Inputs!$D$5:$D$180*(((Inputs!$G$5:$G$180="moeda")+(Inputs!$G$5:$G$180="acoes"))*Inputs!$B$1+((Inputs!$G$5:$G$180&lt;&gt;"moeda")*(Inputs!$G$5:$G$180&lt;&gt;"acoes")))*INDEX(Inputs!$K$5:$AJ$180,0,MATCH(O$2,Inputs!$K$4:$AJ$4,0)))+SUMPRODUCT((Inputs!$E$5:$E$180=$B43)*Inputs!$F$5:$F$180*(((Inputs!$G$5:$G$180="moeda")+(Inputs!$G$5:$G$180="acoes"))*Inputs!$B$1+((Inputs!$G$5:$G$180&lt;&gt;"moeda")*(Inputs!$G$5:$G$180&lt;&gt;"acoes")))*INDEX(Inputs!$K$5:$AJ$180,0,MATCH(O$2,Inputs!$K$4:$AJ$4,0)))))</f>
        <v>1105.381209</v>
      </c>
      <c r="P43" s="6">
        <f>IF(ISNA(MATCH(P$2,Inputs!$K$4:$AJ$4,0)),NA(),IF(SUMPRODUCT((Inputs!$A$5:$A$180=$B43)*ISNUMBER(INDEX(Inputs!$K$5:$AJ$180,0,MATCH(P$2,Inputs!$K$4:$AJ$4,0))))+SUMPRODUCT((Inputs!$C$5:$C$180=$B43)*ISNUMBER(INDEX(Inputs!$K$5:$AJ$180,0,MATCH(P$2,Inputs!$K$4:$AJ$4,0))))+SUMPRODUCT((Inputs!$E$5:$E$180=$B43)*ISNUMBER(INDEX(Inputs!$K$5:$AJ$180,0,MATCH(P$2,Inputs!$K$4:$AJ$4,0))))=0,NA(),SUMPRODUCT((Inputs!$A$5:$A$180=$B43)*Inputs!$B$5:$B$180*(((Inputs!$G$5:$G$180="moeda")+(Inputs!$G$5:$G$180="acoes"))*Inputs!$B$1+((Inputs!$G$5:$G$180&lt;&gt;"moeda")*(Inputs!$G$5:$G$180&lt;&gt;"acoes")))*INDEX(Inputs!$K$5:$AJ$180,0,MATCH(P$2,Inputs!$K$4:$AJ$4,0)))+SUMPRODUCT((Inputs!$C$5:$C$180=$B43)*Inputs!$D$5:$D$180*(((Inputs!$G$5:$G$180="moeda")+(Inputs!$G$5:$G$180="acoes"))*Inputs!$B$1+((Inputs!$G$5:$G$180&lt;&gt;"moeda")*(Inputs!$G$5:$G$180&lt;&gt;"acoes")))*INDEX(Inputs!$K$5:$AJ$180,0,MATCH(P$2,Inputs!$K$4:$AJ$4,0)))+SUMPRODUCT((Inputs!$E$5:$E$180=$B43)*Inputs!$F$5:$F$180*(((Inputs!$G$5:$G$180="moeda")+(Inputs!$G$5:$G$180="acoes"))*Inputs!$B$1+((Inputs!$G$5:$G$180&lt;&gt;"moeda")*(Inputs!$G$5:$G$180&lt;&gt;"acoes")))*INDEX(Inputs!$K$5:$AJ$180,0,MATCH(P$2,Inputs!$K$4:$AJ$4,0)))))</f>
        <v>1105.381209</v>
      </c>
      <c r="Q43" s="6">
        <f>IF(ISNA(MATCH(Q$2,Inputs!$K$4:$AJ$4,0)),NA(),IF(SUMPRODUCT((Inputs!$A$5:$A$180=$B43)*ISNUMBER(INDEX(Inputs!$K$5:$AJ$180,0,MATCH(Q$2,Inputs!$K$4:$AJ$4,0))))+SUMPRODUCT((Inputs!$C$5:$C$180=$B43)*ISNUMBER(INDEX(Inputs!$K$5:$AJ$180,0,MATCH(Q$2,Inputs!$K$4:$AJ$4,0))))+SUMPRODUCT((Inputs!$E$5:$E$180=$B43)*ISNUMBER(INDEX(Inputs!$K$5:$AJ$180,0,MATCH(Q$2,Inputs!$K$4:$AJ$4,0))))=0,NA(),SUMPRODUCT((Inputs!$A$5:$A$180=$B43)*Inputs!$B$5:$B$180*(((Inputs!$G$5:$G$180="moeda")+(Inputs!$G$5:$G$180="acoes"))*Inputs!$B$1+((Inputs!$G$5:$G$180&lt;&gt;"moeda")*(Inputs!$G$5:$G$180&lt;&gt;"acoes")))*INDEX(Inputs!$K$5:$AJ$180,0,MATCH(Q$2,Inputs!$K$4:$AJ$4,0)))+SUMPRODUCT((Inputs!$C$5:$C$180=$B43)*Inputs!$D$5:$D$180*(((Inputs!$G$5:$G$180="moeda")+(Inputs!$G$5:$G$180="acoes"))*Inputs!$B$1+((Inputs!$G$5:$G$180&lt;&gt;"moeda")*(Inputs!$G$5:$G$180&lt;&gt;"acoes")))*INDEX(Inputs!$K$5:$AJ$180,0,MATCH(Q$2,Inputs!$K$4:$AJ$4,0)))+SUMPRODUCT((Inputs!$E$5:$E$180=$B43)*Inputs!$F$5:$F$180*(((Inputs!$G$5:$G$180="moeda")+(Inputs!$G$5:$G$180="acoes"))*Inputs!$B$1+((Inputs!$G$5:$G$180&lt;&gt;"moeda")*(Inputs!$G$5:$G$180&lt;&gt;"acoes")))*INDEX(Inputs!$K$5:$AJ$180,0,MATCH(Q$2,Inputs!$K$4:$AJ$4,0)))))</f>
        <v>1105.381209</v>
      </c>
      <c r="R43" s="3">
        <f>Q43</f>
        <v>1105.381209</v>
      </c>
      <c r="S43" s="6">
        <f>IF(ISNA(MATCH(S$2,Inputs!$K$4:$AJ$4,0)),NA(),IF(SUMPRODUCT((Inputs!$A$5:$A$180=$B43)*ISNUMBER(INDEX(Inputs!$K$5:$AJ$180,0,MATCH(S$2,Inputs!$K$4:$AJ$4,0))))+SUMPRODUCT((Inputs!$C$5:$C$180=$B43)*ISNUMBER(INDEX(Inputs!$K$5:$AJ$180,0,MATCH(S$2,Inputs!$K$4:$AJ$4,0))))+SUMPRODUCT((Inputs!$E$5:$E$180=$B43)*ISNUMBER(INDEX(Inputs!$K$5:$AJ$180,0,MATCH(S$2,Inputs!$K$4:$AJ$4,0))))=0,NA(),SUMPRODUCT((Inputs!$A$5:$A$180=$B43)*Inputs!$B$5:$B$180*(((Inputs!$G$5:$G$180="moeda")+(Inputs!$G$5:$G$180="acoes"))*Inputs!$B$1+((Inputs!$G$5:$G$180&lt;&gt;"moeda")*(Inputs!$G$5:$G$180&lt;&gt;"acoes")))*INDEX(Inputs!$K$5:$AJ$180,0,MATCH(S$2,Inputs!$K$4:$AJ$4,0)))+SUMPRODUCT((Inputs!$C$5:$C$180=$B43)*Inputs!$D$5:$D$180*(((Inputs!$G$5:$G$180="moeda")+(Inputs!$G$5:$G$180="acoes"))*Inputs!$B$1+((Inputs!$G$5:$G$180&lt;&gt;"moeda")*(Inputs!$G$5:$G$180&lt;&gt;"acoes")))*INDEX(Inputs!$K$5:$AJ$180,0,MATCH(S$2,Inputs!$K$4:$AJ$4,0)))+SUMPRODUCT((Inputs!$E$5:$E$180=$B43)*Inputs!$F$5:$F$180*(((Inputs!$G$5:$G$180="moeda")+(Inputs!$G$5:$G$180="acoes"))*Inputs!$B$1+((Inputs!$G$5:$G$180&lt;&gt;"moeda")*(Inputs!$G$5:$G$180&lt;&gt;"acoes")))*INDEX(Inputs!$K$5:$AJ$180,0,MATCH(S$2,Inputs!$K$4:$AJ$4,0)))))</f>
        <v>1105.381209</v>
      </c>
      <c r="T43" s="6">
        <f>IF(ISNA(MATCH(T$2,Inputs!$K$4:$AJ$4,0)),NA(),IF(SUMPRODUCT((Inputs!$A$5:$A$180=$B43)*ISNUMBER(INDEX(Inputs!$K$5:$AJ$180,0,MATCH(T$2,Inputs!$K$4:$AJ$4,0))))+SUMPRODUCT((Inputs!$C$5:$C$180=$B43)*ISNUMBER(INDEX(Inputs!$K$5:$AJ$180,0,MATCH(T$2,Inputs!$K$4:$AJ$4,0))))+SUMPRODUCT((Inputs!$E$5:$E$180=$B43)*ISNUMBER(INDEX(Inputs!$K$5:$AJ$180,0,MATCH(T$2,Inputs!$K$4:$AJ$4,0))))=0,NA(),SUMPRODUCT((Inputs!$A$5:$A$180=$B43)*Inputs!$B$5:$B$180*(((Inputs!$G$5:$G$180="moeda")+(Inputs!$G$5:$G$180="acoes"))*Inputs!$B$1+((Inputs!$G$5:$G$180&lt;&gt;"moeda")*(Inputs!$G$5:$G$180&lt;&gt;"acoes")))*INDEX(Inputs!$K$5:$AJ$180,0,MATCH(T$2,Inputs!$K$4:$AJ$4,0)))+SUMPRODUCT((Inputs!$C$5:$C$180=$B43)*Inputs!$D$5:$D$180*(((Inputs!$G$5:$G$180="moeda")+(Inputs!$G$5:$G$180="acoes"))*Inputs!$B$1+((Inputs!$G$5:$G$180&lt;&gt;"moeda")*(Inputs!$G$5:$G$180&lt;&gt;"acoes")))*INDEX(Inputs!$K$5:$AJ$180,0,MATCH(T$2,Inputs!$K$4:$AJ$4,0)))+SUMPRODUCT((Inputs!$E$5:$E$180=$B43)*Inputs!$F$5:$F$180*(((Inputs!$G$5:$G$180="moeda")+(Inputs!$G$5:$G$180="acoes"))*Inputs!$B$1+((Inputs!$G$5:$G$180&lt;&gt;"moeda")*(Inputs!$G$5:$G$180&lt;&gt;"acoes")))*INDEX(Inputs!$K$5:$AJ$180,0,MATCH(T$2,Inputs!$K$4:$AJ$4,0)))))</f>
        <v>1105.381209</v>
      </c>
      <c r="U43" s="6">
        <f>IF(ISNA(MATCH(U$2,Inputs!$K$4:$AJ$4,0)),NA(),IF(SUMPRODUCT((Inputs!$A$5:$A$180=$B43)*ISNUMBER(INDEX(Inputs!$K$5:$AJ$180,0,MATCH(U$2,Inputs!$K$4:$AJ$4,0))))+SUMPRODUCT((Inputs!$C$5:$C$180=$B43)*ISNUMBER(INDEX(Inputs!$K$5:$AJ$180,0,MATCH(U$2,Inputs!$K$4:$AJ$4,0))))+SUMPRODUCT((Inputs!$E$5:$E$180=$B43)*ISNUMBER(INDEX(Inputs!$K$5:$AJ$180,0,MATCH(U$2,Inputs!$K$4:$AJ$4,0))))=0,NA(),SUMPRODUCT((Inputs!$A$5:$A$180=$B43)*Inputs!$B$5:$B$180*(((Inputs!$G$5:$G$180="moeda")+(Inputs!$G$5:$G$180="acoes"))*Inputs!$B$1+((Inputs!$G$5:$G$180&lt;&gt;"moeda")*(Inputs!$G$5:$G$180&lt;&gt;"acoes")))*INDEX(Inputs!$K$5:$AJ$180,0,MATCH(U$2,Inputs!$K$4:$AJ$4,0)))+SUMPRODUCT((Inputs!$C$5:$C$180=$B43)*Inputs!$D$5:$D$180*(((Inputs!$G$5:$G$180="moeda")+(Inputs!$G$5:$G$180="acoes"))*Inputs!$B$1+((Inputs!$G$5:$G$180&lt;&gt;"moeda")*(Inputs!$G$5:$G$180&lt;&gt;"acoes")))*INDEX(Inputs!$K$5:$AJ$180,0,MATCH(U$2,Inputs!$K$4:$AJ$4,0)))+SUMPRODUCT((Inputs!$E$5:$E$180=$B43)*Inputs!$F$5:$F$180*(((Inputs!$G$5:$G$180="moeda")+(Inputs!$G$5:$G$180="acoes"))*Inputs!$B$1+((Inputs!$G$5:$G$180&lt;&gt;"moeda")*(Inputs!$G$5:$G$180&lt;&gt;"acoes")))*INDEX(Inputs!$K$5:$AJ$180,0,MATCH(U$2,Inputs!$K$4:$AJ$4,0)))))</f>
        <v>1105.38120898</v>
      </c>
      <c r="V43" s="6">
        <f>IF(ISNA(MATCH(V$2,Inputs!$K$4:$AJ$4,0)),NA(),IF(SUMPRODUCT((Inputs!$A$5:$A$180=$B43)*ISNUMBER(INDEX(Inputs!$K$5:$AJ$180,0,MATCH(V$2,Inputs!$K$4:$AJ$4,0))))+SUMPRODUCT((Inputs!$C$5:$C$180=$B43)*ISNUMBER(INDEX(Inputs!$K$5:$AJ$180,0,MATCH(V$2,Inputs!$K$4:$AJ$4,0))))+SUMPRODUCT((Inputs!$E$5:$E$180=$B43)*ISNUMBER(INDEX(Inputs!$K$5:$AJ$180,0,MATCH(V$2,Inputs!$K$4:$AJ$4,0))))=0,NA(),SUMPRODUCT((Inputs!$A$5:$A$180=$B43)*Inputs!$B$5:$B$180*(((Inputs!$G$5:$G$180="moeda")+(Inputs!$G$5:$G$180="acoes"))*Inputs!$B$1+((Inputs!$G$5:$G$180&lt;&gt;"moeda")*(Inputs!$G$5:$G$180&lt;&gt;"acoes")))*INDEX(Inputs!$K$5:$AJ$180,0,MATCH(V$2,Inputs!$K$4:$AJ$4,0)))+SUMPRODUCT((Inputs!$C$5:$C$180=$B43)*Inputs!$D$5:$D$180*(((Inputs!$G$5:$G$180="moeda")+(Inputs!$G$5:$G$180="acoes"))*Inputs!$B$1+((Inputs!$G$5:$G$180&lt;&gt;"moeda")*(Inputs!$G$5:$G$180&lt;&gt;"acoes")))*INDEX(Inputs!$K$5:$AJ$180,0,MATCH(V$2,Inputs!$K$4:$AJ$4,0)))+SUMPRODUCT((Inputs!$E$5:$E$180=$B43)*Inputs!$F$5:$F$180*(((Inputs!$G$5:$G$180="moeda")+(Inputs!$G$5:$G$180="acoes"))*Inputs!$B$1+((Inputs!$G$5:$G$180&lt;&gt;"moeda")*(Inputs!$G$5:$G$180&lt;&gt;"acoes")))*INDEX(Inputs!$K$5:$AJ$180,0,MATCH(V$2,Inputs!$K$4:$AJ$4,0)))))</f>
        <v>1705.38120898</v>
      </c>
      <c r="W43" s="3">
        <f>V43</f>
        <v>1705.38120898</v>
      </c>
      <c r="X43" s="6">
        <f>IF(ISNA(MATCH(X$2,Inputs!$K$4:$AJ$4,0)),NA(),IF(SUMPRODUCT((Inputs!$A$5:$A$180=$B43)*ISNUMBER(INDEX(Inputs!$K$5:$AJ$180,0,MATCH(X$2,Inputs!$K$4:$AJ$4,0))))+SUMPRODUCT((Inputs!$C$5:$C$180=$B43)*ISNUMBER(INDEX(Inputs!$K$5:$AJ$180,0,MATCH(X$2,Inputs!$K$4:$AJ$4,0))))+SUMPRODUCT((Inputs!$E$5:$E$180=$B43)*ISNUMBER(INDEX(Inputs!$K$5:$AJ$180,0,MATCH(X$2,Inputs!$K$4:$AJ$4,0))))=0,NA(),SUMPRODUCT((Inputs!$A$5:$A$180=$B43)*Inputs!$B$5:$B$180*(((Inputs!$G$5:$G$180="moeda")+(Inputs!$G$5:$G$180="acoes"))*Inputs!$B$1+((Inputs!$G$5:$G$180&lt;&gt;"moeda")*(Inputs!$G$5:$G$180&lt;&gt;"acoes")))*INDEX(Inputs!$K$5:$AJ$180,0,MATCH(X$2,Inputs!$K$4:$AJ$4,0)))+SUMPRODUCT((Inputs!$C$5:$C$180=$B43)*Inputs!$D$5:$D$180*(((Inputs!$G$5:$G$180="moeda")+(Inputs!$G$5:$G$180="acoes"))*Inputs!$B$1+((Inputs!$G$5:$G$180&lt;&gt;"moeda")*(Inputs!$G$5:$G$180&lt;&gt;"acoes")))*INDEX(Inputs!$K$5:$AJ$180,0,MATCH(X$2,Inputs!$K$4:$AJ$4,0)))+SUMPRODUCT((Inputs!$E$5:$E$180=$B43)*Inputs!$F$5:$F$180*(((Inputs!$G$5:$G$180="moeda")+(Inputs!$G$5:$G$180="acoes"))*Inputs!$B$1+((Inputs!$G$5:$G$180&lt;&gt;"moeda")*(Inputs!$G$5:$G$180&lt;&gt;"acoes")))*INDEX(Inputs!$K$5:$AJ$180,0,MATCH(X$2,Inputs!$K$4:$AJ$4,0)))))</f>
        <v>1705.38120898</v>
      </c>
      <c r="Y43" s="6">
        <f>IF(ISNA(MATCH(Y$2,Inputs!$K$4:$AJ$4,0)),NA(),IF(SUMPRODUCT((Inputs!$A$5:$A$180=$B43)*ISNUMBER(INDEX(Inputs!$K$5:$AJ$180,0,MATCH(Y$2,Inputs!$K$4:$AJ$4,0))))+SUMPRODUCT((Inputs!$C$5:$C$180=$B43)*ISNUMBER(INDEX(Inputs!$K$5:$AJ$180,0,MATCH(Y$2,Inputs!$K$4:$AJ$4,0))))+SUMPRODUCT((Inputs!$E$5:$E$180=$B43)*ISNUMBER(INDEX(Inputs!$K$5:$AJ$180,0,MATCH(Y$2,Inputs!$K$4:$AJ$4,0))))=0,NA(),SUMPRODUCT((Inputs!$A$5:$A$180=$B43)*Inputs!$B$5:$B$180*(((Inputs!$G$5:$G$180="moeda")+(Inputs!$G$5:$G$180="acoes"))*Inputs!$B$1+((Inputs!$G$5:$G$180&lt;&gt;"moeda")*(Inputs!$G$5:$G$180&lt;&gt;"acoes")))*INDEX(Inputs!$K$5:$AJ$180,0,MATCH(Y$2,Inputs!$K$4:$AJ$4,0)))+SUMPRODUCT((Inputs!$C$5:$C$180=$B43)*Inputs!$D$5:$D$180*(((Inputs!$G$5:$G$180="moeda")+(Inputs!$G$5:$G$180="acoes"))*Inputs!$B$1+((Inputs!$G$5:$G$180&lt;&gt;"moeda")*(Inputs!$G$5:$G$180&lt;&gt;"acoes")))*INDEX(Inputs!$K$5:$AJ$180,0,MATCH(Y$2,Inputs!$K$4:$AJ$4,0)))+SUMPRODUCT((Inputs!$E$5:$E$180=$B43)*Inputs!$F$5:$F$180*(((Inputs!$G$5:$G$180="moeda")+(Inputs!$G$5:$G$180="acoes"))*Inputs!$B$1+((Inputs!$G$5:$G$180&lt;&gt;"moeda")*(Inputs!$G$5:$G$180&lt;&gt;"acoes")))*INDEX(Inputs!$K$5:$AJ$180,0,MATCH(Y$2,Inputs!$K$4:$AJ$4,0)))))</f>
        <v>1705.38120898</v>
      </c>
      <c r="Z43" s="6">
        <f>IF(ISNA(MATCH(Z$2,Inputs!$K$4:$AJ$4,0)),NA(),IF(SUMPRODUCT((Inputs!$A$5:$A$180=$B43)*ISNUMBER(INDEX(Inputs!$K$5:$AJ$180,0,MATCH(Z$2,Inputs!$K$4:$AJ$4,0))))+SUMPRODUCT((Inputs!$C$5:$C$180=$B43)*ISNUMBER(INDEX(Inputs!$K$5:$AJ$180,0,MATCH(Z$2,Inputs!$K$4:$AJ$4,0))))+SUMPRODUCT((Inputs!$E$5:$E$180=$B43)*ISNUMBER(INDEX(Inputs!$K$5:$AJ$180,0,MATCH(Z$2,Inputs!$K$4:$AJ$4,0))))=0,NA(),SUMPRODUCT((Inputs!$A$5:$A$180=$B43)*Inputs!$B$5:$B$180*(((Inputs!$G$5:$G$180="moeda")+(Inputs!$G$5:$G$180="acoes"))*Inputs!$B$1+((Inputs!$G$5:$G$180&lt;&gt;"moeda")*(Inputs!$G$5:$G$180&lt;&gt;"acoes")))*INDEX(Inputs!$K$5:$AJ$180,0,MATCH(Z$2,Inputs!$K$4:$AJ$4,0)))+SUMPRODUCT((Inputs!$C$5:$C$180=$B43)*Inputs!$D$5:$D$180*(((Inputs!$G$5:$G$180="moeda")+(Inputs!$G$5:$G$180="acoes"))*Inputs!$B$1+((Inputs!$G$5:$G$180&lt;&gt;"moeda")*(Inputs!$G$5:$G$180&lt;&gt;"acoes")))*INDEX(Inputs!$K$5:$AJ$180,0,MATCH(Z$2,Inputs!$K$4:$AJ$4,0)))+SUMPRODUCT((Inputs!$E$5:$E$180=$B43)*Inputs!$F$5:$F$180*(((Inputs!$G$5:$G$180="moeda")+(Inputs!$G$5:$G$180="acoes"))*Inputs!$B$1+((Inputs!$G$5:$G$180&lt;&gt;"moeda")*(Inputs!$G$5:$G$180&lt;&gt;"acoes")))*INDEX(Inputs!$K$5:$AJ$180,0,MATCH(Z$2,Inputs!$K$4:$AJ$4,0)))))</f>
        <v>1705.381</v>
      </c>
      <c r="AA43" s="6">
        <f>IF(ISNA(MATCH(AA$2,Inputs!$K$4:$AJ$4,0)),NA(),IF(SUMPRODUCT((Inputs!$A$5:$A$180=$B43)*ISNUMBER(INDEX(Inputs!$K$5:$AJ$180,0,MATCH(AA$2,Inputs!$K$4:$AJ$4,0))))+SUMPRODUCT((Inputs!$C$5:$C$180=$B43)*ISNUMBER(INDEX(Inputs!$K$5:$AJ$180,0,MATCH(AA$2,Inputs!$K$4:$AJ$4,0))))+SUMPRODUCT((Inputs!$E$5:$E$180=$B43)*ISNUMBER(INDEX(Inputs!$K$5:$AJ$180,0,MATCH(AA$2,Inputs!$K$4:$AJ$4,0))))=0,NA(),SUMPRODUCT((Inputs!$A$5:$A$180=$B43)*Inputs!$B$5:$B$180*(((Inputs!$G$5:$G$180="moeda")+(Inputs!$G$5:$G$180="acoes"))*Inputs!$B$1+((Inputs!$G$5:$G$180&lt;&gt;"moeda")*(Inputs!$G$5:$G$180&lt;&gt;"acoes")))*INDEX(Inputs!$K$5:$AJ$180,0,MATCH(AA$2,Inputs!$K$4:$AJ$4,0)))+SUMPRODUCT((Inputs!$C$5:$C$180=$B43)*Inputs!$D$5:$D$180*(((Inputs!$G$5:$G$180="moeda")+(Inputs!$G$5:$G$180="acoes"))*Inputs!$B$1+((Inputs!$G$5:$G$180&lt;&gt;"moeda")*(Inputs!$G$5:$G$180&lt;&gt;"acoes")))*INDEX(Inputs!$K$5:$AJ$180,0,MATCH(AA$2,Inputs!$K$4:$AJ$4,0)))+SUMPRODUCT((Inputs!$E$5:$E$180=$B43)*Inputs!$F$5:$F$180*(((Inputs!$G$5:$G$180="moeda")+(Inputs!$G$5:$G$180="acoes"))*Inputs!$B$1+((Inputs!$G$5:$G$180&lt;&gt;"moeda")*(Inputs!$G$5:$G$180&lt;&gt;"acoes")))*INDEX(Inputs!$K$5:$AJ$180,0,MATCH(AA$2,Inputs!$K$4:$AJ$4,0)))))</f>
        <v>2572.02534023</v>
      </c>
      <c r="AB43" s="3">
        <f>AA43</f>
        <v>2572.02534023</v>
      </c>
      <c r="AC43" s="6">
        <f>IF(ISNA(MATCH(AC$2,Inputs!$K$4:$AJ$4,0)),NA(),IF(SUMPRODUCT((Inputs!$A$5:$A$180=$B43)*ISNUMBER(INDEX(Inputs!$K$5:$AJ$180,0,MATCH(AC$2,Inputs!$K$4:$AJ$4,0))))+SUMPRODUCT((Inputs!$C$5:$C$180=$B43)*ISNUMBER(INDEX(Inputs!$K$5:$AJ$180,0,MATCH(AC$2,Inputs!$K$4:$AJ$4,0))))+SUMPRODUCT((Inputs!$E$5:$E$180=$B43)*ISNUMBER(INDEX(Inputs!$K$5:$AJ$180,0,MATCH(AC$2,Inputs!$K$4:$AJ$4,0))))=0,NA(),SUMPRODUCT((Inputs!$A$5:$A$180=$B43)*Inputs!$B$5:$B$180*(((Inputs!$G$5:$G$180="moeda")+(Inputs!$G$5:$G$180="acoes"))*Inputs!$B$1+((Inputs!$G$5:$G$180&lt;&gt;"moeda")*(Inputs!$G$5:$G$180&lt;&gt;"acoes")))*INDEX(Inputs!$K$5:$AJ$180,0,MATCH(AC$2,Inputs!$K$4:$AJ$4,0)))+SUMPRODUCT((Inputs!$C$5:$C$180=$B43)*Inputs!$D$5:$D$180*(((Inputs!$G$5:$G$180="moeda")+(Inputs!$G$5:$G$180="acoes"))*Inputs!$B$1+((Inputs!$G$5:$G$180&lt;&gt;"moeda")*(Inputs!$G$5:$G$180&lt;&gt;"acoes")))*INDEX(Inputs!$K$5:$AJ$180,0,MATCH(AC$2,Inputs!$K$4:$AJ$4,0)))+SUMPRODUCT((Inputs!$E$5:$E$180=$B43)*Inputs!$F$5:$F$180*(((Inputs!$G$5:$G$180="moeda")+(Inputs!$G$5:$G$180="acoes"))*Inputs!$B$1+((Inputs!$G$5:$G$180&lt;&gt;"moeda")*(Inputs!$G$5:$G$180&lt;&gt;"acoes")))*INDEX(Inputs!$K$5:$AJ$180,0,MATCH(AC$2,Inputs!$K$4:$AJ$4,0)))))</f>
        <v>2572.02534023</v>
      </c>
      <c r="AD43" s="6">
        <f>IF(ISNA(MATCH(AD$2,Inputs!$K$4:$AJ$4,0)),NA(),IF(SUMPRODUCT((Inputs!$A$5:$A$180=$B43)*ISNUMBER(INDEX(Inputs!$K$5:$AJ$180,0,MATCH(AD$2,Inputs!$K$4:$AJ$4,0))))+SUMPRODUCT((Inputs!$C$5:$C$180=$B43)*ISNUMBER(INDEX(Inputs!$K$5:$AJ$180,0,MATCH(AD$2,Inputs!$K$4:$AJ$4,0))))+SUMPRODUCT((Inputs!$E$5:$E$180=$B43)*ISNUMBER(INDEX(Inputs!$K$5:$AJ$180,0,MATCH(AD$2,Inputs!$K$4:$AJ$4,0))))=0,NA(),SUMPRODUCT((Inputs!$A$5:$A$180=$B43)*Inputs!$B$5:$B$180*(((Inputs!$G$5:$G$180="moeda")+(Inputs!$G$5:$G$180="acoes"))*Inputs!$B$1+((Inputs!$G$5:$G$180&lt;&gt;"moeda")*(Inputs!$G$5:$G$180&lt;&gt;"acoes")))*INDEX(Inputs!$K$5:$AJ$180,0,MATCH(AD$2,Inputs!$K$4:$AJ$4,0)))+SUMPRODUCT((Inputs!$C$5:$C$180=$B43)*Inputs!$D$5:$D$180*(((Inputs!$G$5:$G$180="moeda")+(Inputs!$G$5:$G$180="acoes"))*Inputs!$B$1+((Inputs!$G$5:$G$180&lt;&gt;"moeda")*(Inputs!$G$5:$G$180&lt;&gt;"acoes")))*INDEX(Inputs!$K$5:$AJ$180,0,MATCH(AD$2,Inputs!$K$4:$AJ$4,0)))+SUMPRODUCT((Inputs!$E$5:$E$180=$B43)*Inputs!$F$5:$F$180*(((Inputs!$G$5:$G$180="moeda")+(Inputs!$G$5:$G$180="acoes"))*Inputs!$B$1+((Inputs!$G$5:$G$180&lt;&gt;"moeda")*(Inputs!$G$5:$G$180&lt;&gt;"acoes")))*INDEX(Inputs!$K$5:$AJ$180,0,MATCH(AD$2,Inputs!$K$4:$AJ$4,0)))))</f>
        <v>2572.02534023</v>
      </c>
      <c r="AE43" s="6" t="e">
        <f>IF(ISNA(MATCH(AE$2,Inputs!$K$4:$AJ$4,0)),NA(),IF(SUMPRODUCT((Inputs!$A$5:$A$180=$B43)*ISNUMBER(INDEX(Inputs!$K$5:$AJ$180,0,MATCH(AE$2,Inputs!$K$4:$AJ$4,0))))+SUMPRODUCT((Inputs!$C$5:$C$180=$B43)*ISNUMBER(INDEX(Inputs!$K$5:$AJ$180,0,MATCH(AE$2,Inputs!$K$4:$AJ$4,0))))+SUMPRODUCT((Inputs!$E$5:$E$180=$B43)*ISNUMBER(INDEX(Inputs!$K$5:$AJ$180,0,MATCH(AE$2,Inputs!$K$4:$AJ$4,0))))=0,NA(),SUMPRODUCT((Inputs!$A$5:$A$180=$B43)*Inputs!$B$5:$B$180*(((Inputs!$G$5:$G$180="moeda")+(Inputs!$G$5:$G$180="acoes"))*Inputs!$B$1+((Inputs!$G$5:$G$180&lt;&gt;"moeda")*(Inputs!$G$5:$G$180&lt;&gt;"acoes")))*INDEX(Inputs!$K$5:$AJ$180,0,MATCH(AE$2,Inputs!$K$4:$AJ$4,0)))+SUMPRODUCT((Inputs!$C$5:$C$180=$B43)*Inputs!$D$5:$D$180*(((Inputs!$G$5:$G$180="moeda")+(Inputs!$G$5:$G$180="acoes"))*Inputs!$B$1+((Inputs!$G$5:$G$180&lt;&gt;"moeda")*(Inputs!$G$5:$G$180&lt;&gt;"acoes")))*INDEX(Inputs!$K$5:$AJ$180,0,MATCH(AE$2,Inputs!$K$4:$AJ$4,0)))+SUMPRODUCT((Inputs!$E$5:$E$180=$B43)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3" s="6" t="e">
        <f>IF(ISNA(MATCH(AF$2,Inputs!$K$4:$AJ$4,0)),NA(),IF(SUMPRODUCT((Inputs!$A$5:$A$180=$B43)*ISNUMBER(INDEX(Inputs!$K$5:$AJ$180,0,MATCH(AF$2,Inputs!$K$4:$AJ$4,0))))+SUMPRODUCT((Inputs!$C$5:$C$180=$B43)*ISNUMBER(INDEX(Inputs!$K$5:$AJ$180,0,MATCH(AF$2,Inputs!$K$4:$AJ$4,0))))+SUMPRODUCT((Inputs!$E$5:$E$180=$B43)*ISNUMBER(INDEX(Inputs!$K$5:$AJ$180,0,MATCH(AF$2,Inputs!$K$4:$AJ$4,0))))=0,NA(),SUMPRODUCT((Inputs!$A$5:$A$180=$B43)*Inputs!$B$5:$B$180*(((Inputs!$G$5:$G$180="moeda")+(Inputs!$G$5:$G$180="acoes"))*Inputs!$B$1+((Inputs!$G$5:$G$180&lt;&gt;"moeda")*(Inputs!$G$5:$G$180&lt;&gt;"acoes")))*INDEX(Inputs!$K$5:$AJ$180,0,MATCH(AF$2,Inputs!$K$4:$AJ$4,0)))+SUMPRODUCT((Inputs!$C$5:$C$180=$B43)*Inputs!$D$5:$D$180*(((Inputs!$G$5:$G$180="moeda")+(Inputs!$G$5:$G$180="acoes"))*Inputs!$B$1+((Inputs!$G$5:$G$180&lt;&gt;"moeda")*(Inputs!$G$5:$G$180&lt;&gt;"acoes")))*INDEX(Inputs!$K$5:$AJ$180,0,MATCH(AF$2,Inputs!$K$4:$AJ$4,0)))+SUMPRODUCT((Inputs!$E$5:$E$180=$B43)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3" s="3" t="e">
        <f>AF43</f>
        <v>#N/A</v>
      </c>
      <c r="AH43" s="6">
        <f>IF(ISNA(MATCH(AH$2,Inputs!$K$4:$AJ$4,0)),NA(),IF(SUMPRODUCT((Inputs!$A$5:$A$180=$B43)*ISNUMBER(INDEX(Inputs!$K$5:$AJ$180,0,MATCH(AH$2,Inputs!$K$4:$AJ$4,0))))+SUMPRODUCT((Inputs!$C$5:$C$180=$B43)*ISNUMBER(INDEX(Inputs!$K$5:$AJ$180,0,MATCH(AH$2,Inputs!$K$4:$AJ$4,0))))+SUMPRODUCT((Inputs!$E$5:$E$180=$B43)*ISNUMBER(INDEX(Inputs!$K$5:$AJ$180,0,MATCH(AH$2,Inputs!$K$4:$AJ$4,0))))=0,NA(),SUMPRODUCT((Inputs!$A$5:$A$180=$B43)*Inputs!$B$5:$B$180*(((Inputs!$G$5:$G$180="moeda")+(Inputs!$G$5:$G$180="acoes"))*Inputs!$B$1+((Inputs!$G$5:$G$180&lt;&gt;"moeda")*(Inputs!$G$5:$G$180&lt;&gt;"acoes")))*INDEX(Inputs!$K$5:$AJ$180,0,MATCH(AH$2,Inputs!$K$4:$AJ$4,0)))+SUMPRODUCT((Inputs!$C$5:$C$180=$B43)*Inputs!$D$5:$D$180*(((Inputs!$G$5:$G$180="moeda")+(Inputs!$G$5:$G$180="acoes"))*Inputs!$B$1+((Inputs!$G$5:$G$180&lt;&gt;"moeda")*(Inputs!$G$5:$G$180&lt;&gt;"acoes")))*INDEX(Inputs!$K$5:$AJ$180,0,MATCH(AH$2,Inputs!$K$4:$AJ$4,0)))+SUMPRODUCT((Inputs!$E$5:$E$180=$B43)*Inputs!$F$5:$F$180*(((Inputs!$G$5:$G$180="moeda")+(Inputs!$G$5:$G$180="acoes"))*Inputs!$B$1+((Inputs!$G$5:$G$180&lt;&gt;"moeda")*(Inputs!$G$5:$G$180&lt;&gt;"acoes")))*INDEX(Inputs!$K$5:$AJ$180,0,MATCH(AH$2,Inputs!$K$4:$AJ$4,0)))))</f>
        <v>1052.34</v>
      </c>
      <c r="AI43" s="6">
        <f>IF(ISNA(MATCH(AI$2,Inputs!$K$4:$AJ$4,0)),NA(),IF(SUMPRODUCT((Inputs!$A$5:$A$180=$B43)*ISNUMBER(INDEX(Inputs!$K$5:$AJ$180,0,MATCH(AI$2,Inputs!$K$4:$AJ$4,0))))+SUMPRODUCT((Inputs!$C$5:$C$180=$B43)*ISNUMBER(INDEX(Inputs!$K$5:$AJ$180,0,MATCH(AI$2,Inputs!$K$4:$AJ$4,0))))+SUMPRODUCT((Inputs!$E$5:$E$180=$B43)*ISNUMBER(INDEX(Inputs!$K$5:$AJ$180,0,MATCH(AI$2,Inputs!$K$4:$AJ$4,0))))=0,NA(),SUMPRODUCT((Inputs!$A$5:$A$180=$B43)*Inputs!$B$5:$B$180*(((Inputs!$G$5:$G$180="moeda")+(Inputs!$G$5:$G$180="acoes"))*Inputs!$B$1+((Inputs!$G$5:$G$180&lt;&gt;"moeda")*(Inputs!$G$5:$G$180&lt;&gt;"acoes")))*INDEX(Inputs!$K$5:$AJ$180,0,MATCH(AI$2,Inputs!$K$4:$AJ$4,0)))+SUMPRODUCT((Inputs!$C$5:$C$180=$B43)*Inputs!$D$5:$D$180*(((Inputs!$G$5:$G$180="moeda")+(Inputs!$G$5:$G$180="acoes"))*Inputs!$B$1+((Inputs!$G$5:$G$180&lt;&gt;"moeda")*(Inputs!$G$5:$G$180&lt;&gt;"acoes")))*INDEX(Inputs!$K$5:$AJ$180,0,MATCH(AI$2,Inputs!$K$4:$AJ$4,0)))+SUMPRODUCT((Inputs!$E$5:$E$180=$B43)*Inputs!$F$5:$F$180*(((Inputs!$G$5:$G$180="moeda")+(Inputs!$G$5:$G$180="acoes"))*Inputs!$B$1+((Inputs!$G$5:$G$180&lt;&gt;"moeda")*(Inputs!$G$5:$G$180&lt;&gt;"acoes")))*INDEX(Inputs!$K$5:$AJ$180,0,MATCH(AI$2,Inputs!$K$4:$AJ$4,0)))))</f>
        <v>1052.34008228</v>
      </c>
      <c r="AJ43" s="6">
        <f>IF(ISNA(MATCH(AJ$2,Inputs!$K$4:$AJ$4,0)),NA(),IF(SUMPRODUCT((Inputs!$A$5:$A$180=$B43)*ISNUMBER(INDEX(Inputs!$K$5:$AJ$180,0,MATCH(AJ$2,Inputs!$K$4:$AJ$4,0))))+SUMPRODUCT((Inputs!$C$5:$C$180=$B43)*ISNUMBER(INDEX(Inputs!$K$5:$AJ$180,0,MATCH(AJ$2,Inputs!$K$4:$AJ$4,0))))+SUMPRODUCT((Inputs!$E$5:$E$180=$B43)*ISNUMBER(INDEX(Inputs!$K$5:$AJ$180,0,MATCH(AJ$2,Inputs!$K$4:$AJ$4,0))))=0,NA(),SUMPRODUCT((Inputs!$A$5:$A$180=$B43)*Inputs!$B$5:$B$180*(((Inputs!$G$5:$G$180="moeda")+(Inputs!$G$5:$G$180="acoes"))*Inputs!$B$1+((Inputs!$G$5:$G$180&lt;&gt;"moeda")*(Inputs!$G$5:$G$180&lt;&gt;"acoes")))*INDEX(Inputs!$K$5:$AJ$180,0,MATCH(AJ$2,Inputs!$K$4:$AJ$4,0)))+SUMPRODUCT((Inputs!$C$5:$C$180=$B43)*Inputs!$D$5:$D$180*(((Inputs!$G$5:$G$180="moeda")+(Inputs!$G$5:$G$180="acoes"))*Inputs!$B$1+((Inputs!$G$5:$G$180&lt;&gt;"moeda")*(Inputs!$G$5:$G$180&lt;&gt;"acoes")))*INDEX(Inputs!$K$5:$AJ$180,0,MATCH(AJ$2,Inputs!$K$4:$AJ$4,0)))+SUMPRODUCT((Inputs!$E$5:$E$180=$B43)*Inputs!$F$5:$F$180*(((Inputs!$G$5:$G$180="moeda")+(Inputs!$G$5:$G$180="acoes"))*Inputs!$B$1+((Inputs!$G$5:$G$180&lt;&gt;"moeda")*(Inputs!$G$5:$G$180&lt;&gt;"acoes")))*INDEX(Inputs!$K$5:$AJ$180,0,MATCH(AJ$2,Inputs!$K$4:$AJ$4,0)))))</f>
        <v>1052.34008228</v>
      </c>
      <c r="AK43" s="6">
        <f>IF(ISNA(MATCH(AK$2,Inputs!$K$4:$AJ$4,0)),NA(),IF(SUMPRODUCT((Inputs!$A$5:$A$180=$B43)*ISNUMBER(INDEX(Inputs!$K$5:$AJ$180,0,MATCH(AK$2,Inputs!$K$4:$AJ$4,0))))+SUMPRODUCT((Inputs!$C$5:$C$180=$B43)*ISNUMBER(INDEX(Inputs!$K$5:$AJ$180,0,MATCH(AK$2,Inputs!$K$4:$AJ$4,0))))+SUMPRODUCT((Inputs!$E$5:$E$180=$B43)*ISNUMBER(INDEX(Inputs!$K$5:$AJ$180,0,MATCH(AK$2,Inputs!$K$4:$AJ$4,0))))=0,NA(),SUMPRODUCT((Inputs!$A$5:$A$180=$B43)*Inputs!$B$5:$B$180*(((Inputs!$G$5:$G$180="moeda")+(Inputs!$G$5:$G$180="acoes"))*Inputs!$B$1+((Inputs!$G$5:$G$180&lt;&gt;"moeda")*(Inputs!$G$5:$G$180&lt;&gt;"acoes")))*INDEX(Inputs!$K$5:$AJ$180,0,MATCH(AK$2,Inputs!$K$4:$AJ$4,0)))+SUMPRODUCT((Inputs!$C$5:$C$180=$B43)*Inputs!$D$5:$D$180*(((Inputs!$G$5:$G$180="moeda")+(Inputs!$G$5:$G$180="acoes"))*Inputs!$B$1+((Inputs!$G$5:$G$180&lt;&gt;"moeda")*(Inputs!$G$5:$G$180&lt;&gt;"acoes")))*INDEX(Inputs!$K$5:$AJ$180,0,MATCH(AK$2,Inputs!$K$4:$AJ$4,0)))+SUMPRODUCT((Inputs!$E$5:$E$180=$B43)*Inputs!$F$5:$F$180*(((Inputs!$G$5:$G$180="moeda")+(Inputs!$G$5:$G$180="acoes"))*Inputs!$B$1+((Inputs!$G$5:$G$180&lt;&gt;"moeda")*(Inputs!$G$5:$G$180&lt;&gt;"acoes")))*INDEX(Inputs!$K$5:$AJ$180,0,MATCH(AK$2,Inputs!$K$4:$AJ$4,0)))))</f>
        <v>1105.381209</v>
      </c>
      <c r="AL43" s="3">
        <f>AK43</f>
        <v>1105.381209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$180=$B44)*ISNUMBER(INDEX(Inputs!$K$5:$AJ$180,0,MATCH(D$2,Inputs!$K$4:$AJ$4,0))))+SUMPRODUCT((Inputs!$C$5:$C$180=$B44)*ISNUMBER(INDEX(Inputs!$K$5:$AJ$180,0,MATCH(D$2,Inputs!$K$4:$AJ$4,0))))+SUMPRODUCT((Inputs!$E$5:$E$180=$B44)*ISNUMBER(INDEX(Inputs!$K$5:$AJ$180,0,MATCH(D$2,Inputs!$K$4:$AJ$4,0))))=0,NA(),SUMPRODUCT((Inputs!$A$5:$A$180=$B44)*Inputs!$B$5:$B$180*(((Inputs!$G$5:$G$180="moeda")+(Inputs!$G$5:$G$180="acoes"))*Inputs!$B$1+((Inputs!$G$5:$G$180&lt;&gt;"moeda")*(Inputs!$G$5:$G$180&lt;&gt;"acoes")))*INDEX(Inputs!$K$5:$AJ$180,0,MATCH(D$2,Inputs!$K$4:$AJ$4,0)))+SUMPRODUCT((Inputs!$C$5:$C$180=$B44)*Inputs!$D$5:$D$180*(((Inputs!$G$5:$G$180="moeda")+(Inputs!$G$5:$G$180="acoes"))*Inputs!$B$1+((Inputs!$G$5:$G$180&lt;&gt;"moeda")*(Inputs!$G$5:$G$180&lt;&gt;"acoes")))*INDEX(Inputs!$K$5:$AJ$180,0,MATCH(D$2,Inputs!$K$4:$AJ$4,0)))+SUMPRODUCT((Inputs!$E$5:$E$180=$B44)*Inputs!$F$5:$F$180*(((Inputs!$G$5:$G$180="moeda")+(Inputs!$G$5:$G$180="acoes"))*Inputs!$B$1+((Inputs!$G$5:$G$180&lt;&gt;"moeda")*(Inputs!$G$5:$G$180&lt;&gt;"acoes")))*INDEX(Inputs!$K$5:$AJ$180,0,MATCH(D$2,Inputs!$K$4:$AJ$4,0)))))</f>
        <v>0</v>
      </c>
      <c r="E44" s="6">
        <f>IF(ISNA(MATCH(E$2,Inputs!$K$4:$AJ$4,0)),NA(),IF(SUMPRODUCT((Inputs!$A$5:$A$180=$B44)*ISNUMBER(INDEX(Inputs!$K$5:$AJ$180,0,MATCH(E$2,Inputs!$K$4:$AJ$4,0))))+SUMPRODUCT((Inputs!$C$5:$C$180=$B44)*ISNUMBER(INDEX(Inputs!$K$5:$AJ$180,0,MATCH(E$2,Inputs!$K$4:$AJ$4,0))))+SUMPRODUCT((Inputs!$E$5:$E$180=$B44)*ISNUMBER(INDEX(Inputs!$K$5:$AJ$180,0,MATCH(E$2,Inputs!$K$4:$AJ$4,0))))=0,NA(),SUMPRODUCT((Inputs!$A$5:$A$180=$B44)*Inputs!$B$5:$B$180*(((Inputs!$G$5:$G$180="moeda")+(Inputs!$G$5:$G$180="acoes"))*Inputs!$B$1+((Inputs!$G$5:$G$180&lt;&gt;"moeda")*(Inputs!$G$5:$G$180&lt;&gt;"acoes")))*INDEX(Inputs!$K$5:$AJ$180,0,MATCH(E$2,Inputs!$K$4:$AJ$4,0)))+SUMPRODUCT((Inputs!$C$5:$C$180=$B44)*Inputs!$D$5:$D$180*(((Inputs!$G$5:$G$180="moeda")+(Inputs!$G$5:$G$180="acoes"))*Inputs!$B$1+((Inputs!$G$5:$G$180&lt;&gt;"moeda")*(Inputs!$G$5:$G$180&lt;&gt;"acoes")))*INDEX(Inputs!$K$5:$AJ$180,0,MATCH(E$2,Inputs!$K$4:$AJ$4,0)))+SUMPRODUCT((Inputs!$E$5:$E$180=$B44)*Inputs!$F$5:$F$180*(((Inputs!$G$5:$G$180="moeda")+(Inputs!$G$5:$G$180="acoes"))*Inputs!$B$1+((Inputs!$G$5:$G$180&lt;&gt;"moeda")*(Inputs!$G$5:$G$180&lt;&gt;"acoes")))*INDEX(Inputs!$K$5:$AJ$180,0,MATCH(E$2,Inputs!$K$4:$AJ$4,0)))))</f>
        <v>0</v>
      </c>
      <c r="F44" s="6">
        <f>IF(ISNA(MATCH(F$2,Inputs!$K$4:$AJ$4,0)),NA(),IF(SUMPRODUCT((Inputs!$A$5:$A$180=$B44)*ISNUMBER(INDEX(Inputs!$K$5:$AJ$180,0,MATCH(F$2,Inputs!$K$4:$AJ$4,0))))+SUMPRODUCT((Inputs!$C$5:$C$180=$B44)*ISNUMBER(INDEX(Inputs!$K$5:$AJ$180,0,MATCH(F$2,Inputs!$K$4:$AJ$4,0))))+SUMPRODUCT((Inputs!$E$5:$E$180=$B44)*ISNUMBER(INDEX(Inputs!$K$5:$AJ$180,0,MATCH(F$2,Inputs!$K$4:$AJ$4,0))))=0,NA(),SUMPRODUCT((Inputs!$A$5:$A$180=$B44)*Inputs!$B$5:$B$180*(((Inputs!$G$5:$G$180="moeda")+(Inputs!$G$5:$G$180="acoes"))*Inputs!$B$1+((Inputs!$G$5:$G$180&lt;&gt;"moeda")*(Inputs!$G$5:$G$180&lt;&gt;"acoes")))*INDEX(Inputs!$K$5:$AJ$180,0,MATCH(F$2,Inputs!$K$4:$AJ$4,0)))+SUMPRODUCT((Inputs!$C$5:$C$180=$B44)*Inputs!$D$5:$D$180*(((Inputs!$G$5:$G$180="moeda")+(Inputs!$G$5:$G$180="acoes"))*Inputs!$B$1+((Inputs!$G$5:$G$180&lt;&gt;"moeda")*(Inputs!$G$5:$G$180&lt;&gt;"acoes")))*INDEX(Inputs!$K$5:$AJ$180,0,MATCH(F$2,Inputs!$K$4:$AJ$4,0)))+SUMPRODUCT((Inputs!$E$5:$E$180=$B44)*Inputs!$F$5:$F$180*(((Inputs!$G$5:$G$180="moeda")+(Inputs!$G$5:$G$180="acoes"))*Inputs!$B$1+((Inputs!$G$5:$G$180&lt;&gt;"moeda")*(Inputs!$G$5:$G$180&lt;&gt;"acoes")))*INDEX(Inputs!$K$5:$AJ$180,0,MATCH(F$2,Inputs!$K$4:$AJ$4,0)))))</f>
        <v>0</v>
      </c>
      <c r="G44" s="6">
        <f>IF(ISNA(MATCH(G$2,Inputs!$K$4:$AJ$4,0)),NA(),IF(SUMPRODUCT((Inputs!$A$5:$A$180=$B44)*ISNUMBER(INDEX(Inputs!$K$5:$AJ$180,0,MATCH(G$2,Inputs!$K$4:$AJ$4,0))))+SUMPRODUCT((Inputs!$C$5:$C$180=$B44)*ISNUMBER(INDEX(Inputs!$K$5:$AJ$180,0,MATCH(G$2,Inputs!$K$4:$AJ$4,0))))+SUMPRODUCT((Inputs!$E$5:$E$180=$B44)*ISNUMBER(INDEX(Inputs!$K$5:$AJ$180,0,MATCH(G$2,Inputs!$K$4:$AJ$4,0))))=0,NA(),SUMPRODUCT((Inputs!$A$5:$A$180=$B44)*Inputs!$B$5:$B$180*(((Inputs!$G$5:$G$180="moeda")+(Inputs!$G$5:$G$180="acoes"))*Inputs!$B$1+((Inputs!$G$5:$G$180&lt;&gt;"moeda")*(Inputs!$G$5:$G$180&lt;&gt;"acoes")))*INDEX(Inputs!$K$5:$AJ$180,0,MATCH(G$2,Inputs!$K$4:$AJ$4,0)))+SUMPRODUCT((Inputs!$C$5:$C$180=$B44)*Inputs!$D$5:$D$180*(((Inputs!$G$5:$G$180="moeda")+(Inputs!$G$5:$G$180="acoes"))*Inputs!$B$1+((Inputs!$G$5:$G$180&lt;&gt;"moeda")*(Inputs!$G$5:$G$180&lt;&gt;"acoes")))*INDEX(Inputs!$K$5:$AJ$180,0,MATCH(G$2,Inputs!$K$4:$AJ$4,0)))+SUMPRODUCT((Inputs!$E$5:$E$180=$B44)*Inputs!$F$5:$F$180*(((Inputs!$G$5:$G$180="moeda")+(Inputs!$G$5:$G$180="acoes"))*Inputs!$B$1+((Inputs!$G$5:$G$180&lt;&gt;"moeda")*(Inputs!$G$5:$G$180&lt;&gt;"acoes")))*INDEX(Inputs!$K$5:$AJ$180,0,MATCH(G$2,Inputs!$K$4:$AJ$4,0)))))</f>
        <v>0</v>
      </c>
      <c r="H44" s="3">
        <f>G44</f>
        <v>0</v>
      </c>
      <c r="I44" s="6">
        <f>IF(ISNA(MATCH(I$2,Inputs!$K$4:$AJ$4,0)),NA(),IF(SUMPRODUCT((Inputs!$A$5:$A$180=$B44)*ISNUMBER(INDEX(Inputs!$K$5:$AJ$180,0,MATCH(I$2,Inputs!$K$4:$AJ$4,0))))+SUMPRODUCT((Inputs!$C$5:$C$180=$B44)*ISNUMBER(INDEX(Inputs!$K$5:$AJ$180,0,MATCH(I$2,Inputs!$K$4:$AJ$4,0))))+SUMPRODUCT((Inputs!$E$5:$E$180=$B44)*ISNUMBER(INDEX(Inputs!$K$5:$AJ$180,0,MATCH(I$2,Inputs!$K$4:$AJ$4,0))))=0,NA(),SUMPRODUCT((Inputs!$A$5:$A$180=$B44)*Inputs!$B$5:$B$180*(((Inputs!$G$5:$G$180="moeda")+(Inputs!$G$5:$G$180="acoes"))*Inputs!$B$1+((Inputs!$G$5:$G$180&lt;&gt;"moeda")*(Inputs!$G$5:$G$180&lt;&gt;"acoes")))*INDEX(Inputs!$K$5:$AJ$180,0,MATCH(I$2,Inputs!$K$4:$AJ$4,0)))+SUMPRODUCT((Inputs!$C$5:$C$180=$B44)*Inputs!$D$5:$D$180*(((Inputs!$G$5:$G$180="moeda")+(Inputs!$G$5:$G$180="acoes"))*Inputs!$B$1+((Inputs!$G$5:$G$180&lt;&gt;"moeda")*(Inputs!$G$5:$G$180&lt;&gt;"acoes")))*INDEX(Inputs!$K$5:$AJ$180,0,MATCH(I$2,Inputs!$K$4:$AJ$4,0)))+SUMPRODUCT((Inputs!$E$5:$E$180=$B44)*Inputs!$F$5:$F$180*(((Inputs!$G$5:$G$180="moeda")+(Inputs!$G$5:$G$180="acoes"))*Inputs!$B$1+((Inputs!$G$5:$G$180&lt;&gt;"moeda")*(Inputs!$G$5:$G$180&lt;&gt;"acoes")))*INDEX(Inputs!$K$5:$AJ$180,0,MATCH(I$2,Inputs!$K$4:$AJ$4,0)))))</f>
        <v>-1.9076291</v>
      </c>
      <c r="J44" s="6">
        <f>IF(ISNA(MATCH(J$2,Inputs!$K$4:$AJ$4,0)),NA(),IF(SUMPRODUCT((Inputs!$A$5:$A$180=$B44)*ISNUMBER(INDEX(Inputs!$K$5:$AJ$180,0,MATCH(J$2,Inputs!$K$4:$AJ$4,0))))+SUMPRODUCT((Inputs!$C$5:$C$180=$B44)*ISNUMBER(INDEX(Inputs!$K$5:$AJ$180,0,MATCH(J$2,Inputs!$K$4:$AJ$4,0))))+SUMPRODUCT((Inputs!$E$5:$E$180=$B44)*ISNUMBER(INDEX(Inputs!$K$5:$AJ$180,0,MATCH(J$2,Inputs!$K$4:$AJ$4,0))))=0,NA(),SUMPRODUCT((Inputs!$A$5:$A$180=$B44)*Inputs!$B$5:$B$180*(((Inputs!$G$5:$G$180="moeda")+(Inputs!$G$5:$G$180="acoes"))*Inputs!$B$1+((Inputs!$G$5:$G$180&lt;&gt;"moeda")*(Inputs!$G$5:$G$180&lt;&gt;"acoes")))*INDEX(Inputs!$K$5:$AJ$180,0,MATCH(J$2,Inputs!$K$4:$AJ$4,0)))+SUMPRODUCT((Inputs!$C$5:$C$180=$B44)*Inputs!$D$5:$D$180*(((Inputs!$G$5:$G$180="moeda")+(Inputs!$G$5:$G$180="acoes"))*Inputs!$B$1+((Inputs!$G$5:$G$180&lt;&gt;"moeda")*(Inputs!$G$5:$G$180&lt;&gt;"acoes")))*INDEX(Inputs!$K$5:$AJ$180,0,MATCH(J$2,Inputs!$K$4:$AJ$4,0)))+SUMPRODUCT((Inputs!$E$5:$E$180=$B44)*Inputs!$F$5:$F$180*(((Inputs!$G$5:$G$180="moeda")+(Inputs!$G$5:$G$180="acoes"))*Inputs!$B$1+((Inputs!$G$5:$G$180&lt;&gt;"moeda")*(Inputs!$G$5:$G$180&lt;&gt;"acoes")))*INDEX(Inputs!$K$5:$AJ$180,0,MATCH(J$2,Inputs!$K$4:$AJ$4,0)))))</f>
        <v>-10.73082394</v>
      </c>
      <c r="K44" s="6">
        <f>IF(ISNA(MATCH(K$2,Inputs!$K$4:$AJ$4,0)),NA(),IF(SUMPRODUCT((Inputs!$A$5:$A$180=$B44)*ISNUMBER(INDEX(Inputs!$K$5:$AJ$180,0,MATCH(K$2,Inputs!$K$4:$AJ$4,0))))+SUMPRODUCT((Inputs!$C$5:$C$180=$B44)*ISNUMBER(INDEX(Inputs!$K$5:$AJ$180,0,MATCH(K$2,Inputs!$K$4:$AJ$4,0))))+SUMPRODUCT((Inputs!$E$5:$E$180=$B44)*ISNUMBER(INDEX(Inputs!$K$5:$AJ$180,0,MATCH(K$2,Inputs!$K$4:$AJ$4,0))))=0,NA(),SUMPRODUCT((Inputs!$A$5:$A$180=$B44)*Inputs!$B$5:$B$180*(((Inputs!$G$5:$G$180="moeda")+(Inputs!$G$5:$G$180="acoes"))*Inputs!$B$1+((Inputs!$G$5:$G$180&lt;&gt;"moeda")*(Inputs!$G$5:$G$180&lt;&gt;"acoes")))*INDEX(Inputs!$K$5:$AJ$180,0,MATCH(K$2,Inputs!$K$4:$AJ$4,0)))+SUMPRODUCT((Inputs!$C$5:$C$180=$B44)*Inputs!$D$5:$D$180*(((Inputs!$G$5:$G$180="moeda")+(Inputs!$G$5:$G$180="acoes"))*Inputs!$B$1+((Inputs!$G$5:$G$180&lt;&gt;"moeda")*(Inputs!$G$5:$G$180&lt;&gt;"acoes")))*INDEX(Inputs!$K$5:$AJ$180,0,MATCH(K$2,Inputs!$K$4:$AJ$4,0)))+SUMPRODUCT((Inputs!$E$5:$E$180=$B44)*Inputs!$F$5:$F$180*(((Inputs!$G$5:$G$180="moeda")+(Inputs!$G$5:$G$180="acoes"))*Inputs!$B$1+((Inputs!$G$5:$G$180&lt;&gt;"moeda")*(Inputs!$G$5:$G$180&lt;&gt;"acoes")))*INDEX(Inputs!$K$5:$AJ$180,0,MATCH(K$2,Inputs!$K$4:$AJ$4,0)))))</f>
        <v>-14.69394131</v>
      </c>
      <c r="L44" s="6">
        <f>IF(ISNA(MATCH(L$2,Inputs!$K$4:$AJ$4,0)),NA(),IF(SUMPRODUCT((Inputs!$A$5:$A$180=$B44)*ISNUMBER(INDEX(Inputs!$K$5:$AJ$180,0,MATCH(L$2,Inputs!$K$4:$AJ$4,0))))+SUMPRODUCT((Inputs!$C$5:$C$180=$B44)*ISNUMBER(INDEX(Inputs!$K$5:$AJ$180,0,MATCH(L$2,Inputs!$K$4:$AJ$4,0))))+SUMPRODUCT((Inputs!$E$5:$E$180=$B44)*ISNUMBER(INDEX(Inputs!$K$5:$AJ$180,0,MATCH(L$2,Inputs!$K$4:$AJ$4,0))))=0,NA(),SUMPRODUCT((Inputs!$A$5:$A$180=$B44)*Inputs!$B$5:$B$180*(((Inputs!$G$5:$G$180="moeda")+(Inputs!$G$5:$G$180="acoes"))*Inputs!$B$1+((Inputs!$G$5:$G$180&lt;&gt;"moeda")*(Inputs!$G$5:$G$180&lt;&gt;"acoes")))*INDEX(Inputs!$K$5:$AJ$180,0,MATCH(L$2,Inputs!$K$4:$AJ$4,0)))+SUMPRODUCT((Inputs!$C$5:$C$180=$B44)*Inputs!$D$5:$D$180*(((Inputs!$G$5:$G$180="moeda")+(Inputs!$G$5:$G$180="acoes"))*Inputs!$B$1+((Inputs!$G$5:$G$180&lt;&gt;"moeda")*(Inputs!$G$5:$G$180&lt;&gt;"acoes")))*INDEX(Inputs!$K$5:$AJ$180,0,MATCH(L$2,Inputs!$K$4:$AJ$4,0)))+SUMPRODUCT((Inputs!$E$5:$E$180=$B44)*Inputs!$F$5:$F$180*(((Inputs!$G$5:$G$180="moeda")+(Inputs!$G$5:$G$180="acoes"))*Inputs!$B$1+((Inputs!$G$5:$G$180&lt;&gt;"moeda")*(Inputs!$G$5:$G$180&lt;&gt;"acoes")))*INDEX(Inputs!$K$5:$AJ$180,0,MATCH(L$2,Inputs!$K$4:$AJ$4,0)))))</f>
        <v>-14.694</v>
      </c>
      <c r="M44" s="3">
        <f>L44</f>
        <v>-14.694</v>
      </c>
      <c r="N44" s="6">
        <f>IF(ISNA(MATCH(N$2,Inputs!$K$4:$AJ$4,0)),NA(),IF(SUMPRODUCT((Inputs!$A$5:$A$180=$B44)*ISNUMBER(INDEX(Inputs!$K$5:$AJ$180,0,MATCH(N$2,Inputs!$K$4:$AJ$4,0))))+SUMPRODUCT((Inputs!$C$5:$C$180=$B44)*ISNUMBER(INDEX(Inputs!$K$5:$AJ$180,0,MATCH(N$2,Inputs!$K$4:$AJ$4,0))))+SUMPRODUCT((Inputs!$E$5:$E$180=$B44)*ISNUMBER(INDEX(Inputs!$K$5:$AJ$180,0,MATCH(N$2,Inputs!$K$4:$AJ$4,0))))=0,NA(),SUMPRODUCT((Inputs!$A$5:$A$180=$B44)*Inputs!$B$5:$B$180*(((Inputs!$G$5:$G$180="moeda")+(Inputs!$G$5:$G$180="acoes"))*Inputs!$B$1+((Inputs!$G$5:$G$180&lt;&gt;"moeda")*(Inputs!$G$5:$G$180&lt;&gt;"acoes")))*INDEX(Inputs!$K$5:$AJ$180,0,MATCH(N$2,Inputs!$K$4:$AJ$4,0)))+SUMPRODUCT((Inputs!$C$5:$C$180=$B44)*Inputs!$D$5:$D$180*(((Inputs!$G$5:$G$180="moeda")+(Inputs!$G$5:$G$180="acoes"))*Inputs!$B$1+((Inputs!$G$5:$G$180&lt;&gt;"moeda")*(Inputs!$G$5:$G$180&lt;&gt;"acoes")))*INDEX(Inputs!$K$5:$AJ$180,0,MATCH(N$2,Inputs!$K$4:$AJ$4,0)))+SUMPRODUCT((Inputs!$E$5:$E$180=$B44)*Inputs!$F$5:$F$180*(((Inputs!$G$5:$G$180="moeda")+(Inputs!$G$5:$G$180="acoes"))*Inputs!$B$1+((Inputs!$G$5:$G$180&lt;&gt;"moeda")*(Inputs!$G$5:$G$180&lt;&gt;"acoes")))*INDEX(Inputs!$K$5:$AJ$180,0,MATCH(N$2,Inputs!$K$4:$AJ$4,0)))))</f>
        <v>-20.613</v>
      </c>
      <c r="O44" s="6">
        <f>IF(ISNA(MATCH(O$2,Inputs!$K$4:$AJ$4,0)),NA(),IF(SUMPRODUCT((Inputs!$A$5:$A$180=$B44)*ISNUMBER(INDEX(Inputs!$K$5:$AJ$180,0,MATCH(O$2,Inputs!$K$4:$AJ$4,0))))+SUMPRODUCT((Inputs!$C$5:$C$180=$B44)*ISNUMBER(INDEX(Inputs!$K$5:$AJ$180,0,MATCH(O$2,Inputs!$K$4:$AJ$4,0))))+SUMPRODUCT((Inputs!$E$5:$E$180=$B44)*ISNUMBER(INDEX(Inputs!$K$5:$AJ$180,0,MATCH(O$2,Inputs!$K$4:$AJ$4,0))))=0,NA(),SUMPRODUCT((Inputs!$A$5:$A$180=$B44)*Inputs!$B$5:$B$180*(((Inputs!$G$5:$G$180="moeda")+(Inputs!$G$5:$G$180="acoes"))*Inputs!$B$1+((Inputs!$G$5:$G$180&lt;&gt;"moeda")*(Inputs!$G$5:$G$180&lt;&gt;"acoes")))*INDEX(Inputs!$K$5:$AJ$180,0,MATCH(O$2,Inputs!$K$4:$AJ$4,0)))+SUMPRODUCT((Inputs!$C$5:$C$180=$B44)*Inputs!$D$5:$D$180*(((Inputs!$G$5:$G$180="moeda")+(Inputs!$G$5:$G$180="acoes"))*Inputs!$B$1+((Inputs!$G$5:$G$180&lt;&gt;"moeda")*(Inputs!$G$5:$G$180&lt;&gt;"acoes")))*INDEX(Inputs!$K$5:$AJ$180,0,MATCH(O$2,Inputs!$K$4:$AJ$4,0)))+SUMPRODUCT((Inputs!$E$5:$E$180=$B44)*Inputs!$F$5:$F$180*(((Inputs!$G$5:$G$180="moeda")+(Inputs!$G$5:$G$180="acoes"))*Inputs!$B$1+((Inputs!$G$5:$G$180&lt;&gt;"moeda")*(Inputs!$G$5:$G$180&lt;&gt;"acoes")))*INDEX(Inputs!$K$5:$AJ$180,0,MATCH(O$2,Inputs!$K$4:$AJ$4,0)))))</f>
        <v>-19.54993815</v>
      </c>
      <c r="P44" s="6">
        <f>IF(ISNA(MATCH(P$2,Inputs!$K$4:$AJ$4,0)),NA(),IF(SUMPRODUCT((Inputs!$A$5:$A$180=$B44)*ISNUMBER(INDEX(Inputs!$K$5:$AJ$180,0,MATCH(P$2,Inputs!$K$4:$AJ$4,0))))+SUMPRODUCT((Inputs!$C$5:$C$180=$B44)*ISNUMBER(INDEX(Inputs!$K$5:$AJ$180,0,MATCH(P$2,Inputs!$K$4:$AJ$4,0))))+SUMPRODUCT((Inputs!$E$5:$E$180=$B44)*ISNUMBER(INDEX(Inputs!$K$5:$AJ$180,0,MATCH(P$2,Inputs!$K$4:$AJ$4,0))))=0,NA(),SUMPRODUCT((Inputs!$A$5:$A$180=$B44)*Inputs!$B$5:$B$180*(((Inputs!$G$5:$G$180="moeda")+(Inputs!$G$5:$G$180="acoes"))*Inputs!$B$1+((Inputs!$G$5:$G$180&lt;&gt;"moeda")*(Inputs!$G$5:$G$180&lt;&gt;"acoes")))*INDEX(Inputs!$K$5:$AJ$180,0,MATCH(P$2,Inputs!$K$4:$AJ$4,0)))+SUMPRODUCT((Inputs!$C$5:$C$180=$B44)*Inputs!$D$5:$D$180*(((Inputs!$G$5:$G$180="moeda")+(Inputs!$G$5:$G$180="acoes"))*Inputs!$B$1+((Inputs!$G$5:$G$180&lt;&gt;"moeda")*(Inputs!$G$5:$G$180&lt;&gt;"acoes")))*INDEX(Inputs!$K$5:$AJ$180,0,MATCH(P$2,Inputs!$K$4:$AJ$4,0)))+SUMPRODUCT((Inputs!$E$5:$E$180=$B44)*Inputs!$F$5:$F$180*(((Inputs!$G$5:$G$180="moeda")+(Inputs!$G$5:$G$180="acoes"))*Inputs!$B$1+((Inputs!$G$5:$G$180&lt;&gt;"moeda")*(Inputs!$G$5:$G$180&lt;&gt;"acoes")))*INDEX(Inputs!$K$5:$AJ$180,0,MATCH(P$2,Inputs!$K$4:$AJ$4,0)))))</f>
        <v>-24.17604748</v>
      </c>
      <c r="Q44" s="6">
        <f>IF(ISNA(MATCH(Q$2,Inputs!$K$4:$AJ$4,0)),NA(),IF(SUMPRODUCT((Inputs!$A$5:$A$180=$B44)*ISNUMBER(INDEX(Inputs!$K$5:$AJ$180,0,MATCH(Q$2,Inputs!$K$4:$AJ$4,0))))+SUMPRODUCT((Inputs!$C$5:$C$180=$B44)*ISNUMBER(INDEX(Inputs!$K$5:$AJ$180,0,MATCH(Q$2,Inputs!$K$4:$AJ$4,0))))+SUMPRODUCT((Inputs!$E$5:$E$180=$B44)*ISNUMBER(INDEX(Inputs!$K$5:$AJ$180,0,MATCH(Q$2,Inputs!$K$4:$AJ$4,0))))=0,NA(),SUMPRODUCT((Inputs!$A$5:$A$180=$B44)*Inputs!$B$5:$B$180*(((Inputs!$G$5:$G$180="moeda")+(Inputs!$G$5:$G$180="acoes"))*Inputs!$B$1+((Inputs!$G$5:$G$180&lt;&gt;"moeda")*(Inputs!$G$5:$G$180&lt;&gt;"acoes")))*INDEX(Inputs!$K$5:$AJ$180,0,MATCH(Q$2,Inputs!$K$4:$AJ$4,0)))+SUMPRODUCT((Inputs!$C$5:$C$180=$B44)*Inputs!$D$5:$D$180*(((Inputs!$G$5:$G$180="moeda")+(Inputs!$G$5:$G$180="acoes"))*Inputs!$B$1+((Inputs!$G$5:$G$180&lt;&gt;"moeda")*(Inputs!$G$5:$G$180&lt;&gt;"acoes")))*INDEX(Inputs!$K$5:$AJ$180,0,MATCH(Q$2,Inputs!$K$4:$AJ$4,0)))+SUMPRODUCT((Inputs!$E$5:$E$180=$B44)*Inputs!$F$5:$F$180*(((Inputs!$G$5:$G$180="moeda")+(Inputs!$G$5:$G$180="acoes"))*Inputs!$B$1+((Inputs!$G$5:$G$180&lt;&gt;"moeda")*(Inputs!$G$5:$G$180&lt;&gt;"acoes")))*INDEX(Inputs!$K$5:$AJ$180,0,MATCH(Q$2,Inputs!$K$4:$AJ$4,0)))))</f>
        <v>-24.17604748</v>
      </c>
      <c r="R44" s="3">
        <f>Q44</f>
        <v>-24.17604748</v>
      </c>
      <c r="S44" s="6">
        <f>IF(ISNA(MATCH(S$2,Inputs!$K$4:$AJ$4,0)),NA(),IF(SUMPRODUCT((Inputs!$A$5:$A$180=$B44)*ISNUMBER(INDEX(Inputs!$K$5:$AJ$180,0,MATCH(S$2,Inputs!$K$4:$AJ$4,0))))+SUMPRODUCT((Inputs!$C$5:$C$180=$B44)*ISNUMBER(INDEX(Inputs!$K$5:$AJ$180,0,MATCH(S$2,Inputs!$K$4:$AJ$4,0))))+SUMPRODUCT((Inputs!$E$5:$E$180=$B44)*ISNUMBER(INDEX(Inputs!$K$5:$AJ$180,0,MATCH(S$2,Inputs!$K$4:$AJ$4,0))))=0,NA(),SUMPRODUCT((Inputs!$A$5:$A$180=$B44)*Inputs!$B$5:$B$180*(((Inputs!$G$5:$G$180="moeda")+(Inputs!$G$5:$G$180="acoes"))*Inputs!$B$1+((Inputs!$G$5:$G$180&lt;&gt;"moeda")*(Inputs!$G$5:$G$180&lt;&gt;"acoes")))*INDEX(Inputs!$K$5:$AJ$180,0,MATCH(S$2,Inputs!$K$4:$AJ$4,0)))+SUMPRODUCT((Inputs!$C$5:$C$180=$B44)*Inputs!$D$5:$D$180*(((Inputs!$G$5:$G$180="moeda")+(Inputs!$G$5:$G$180="acoes"))*Inputs!$B$1+((Inputs!$G$5:$G$180&lt;&gt;"moeda")*(Inputs!$G$5:$G$180&lt;&gt;"acoes")))*INDEX(Inputs!$K$5:$AJ$180,0,MATCH(S$2,Inputs!$K$4:$AJ$4,0)))+SUMPRODUCT((Inputs!$E$5:$E$180=$B44)*Inputs!$F$5:$F$180*(((Inputs!$G$5:$G$180="moeda")+(Inputs!$G$5:$G$180="acoes"))*Inputs!$B$1+((Inputs!$G$5:$G$180&lt;&gt;"moeda")*(Inputs!$G$5:$G$180&lt;&gt;"acoes")))*INDEX(Inputs!$K$5:$AJ$180,0,MATCH(S$2,Inputs!$K$4:$AJ$4,0)))))</f>
        <v>-23.86407123</v>
      </c>
      <c r="T44" s="6">
        <f>IF(ISNA(MATCH(T$2,Inputs!$K$4:$AJ$4,0)),NA(),IF(SUMPRODUCT((Inputs!$A$5:$A$180=$B44)*ISNUMBER(INDEX(Inputs!$K$5:$AJ$180,0,MATCH(T$2,Inputs!$K$4:$AJ$4,0))))+SUMPRODUCT((Inputs!$C$5:$C$180=$B44)*ISNUMBER(INDEX(Inputs!$K$5:$AJ$180,0,MATCH(T$2,Inputs!$K$4:$AJ$4,0))))+SUMPRODUCT((Inputs!$E$5:$E$180=$B44)*ISNUMBER(INDEX(Inputs!$K$5:$AJ$180,0,MATCH(T$2,Inputs!$K$4:$AJ$4,0))))=0,NA(),SUMPRODUCT((Inputs!$A$5:$A$180=$B44)*Inputs!$B$5:$B$180*(((Inputs!$G$5:$G$180="moeda")+(Inputs!$G$5:$G$180="acoes"))*Inputs!$B$1+((Inputs!$G$5:$G$180&lt;&gt;"moeda")*(Inputs!$G$5:$G$180&lt;&gt;"acoes")))*INDEX(Inputs!$K$5:$AJ$180,0,MATCH(T$2,Inputs!$K$4:$AJ$4,0)))+SUMPRODUCT((Inputs!$C$5:$C$180=$B44)*Inputs!$D$5:$D$180*(((Inputs!$G$5:$G$180="moeda")+(Inputs!$G$5:$G$180="acoes"))*Inputs!$B$1+((Inputs!$G$5:$G$180&lt;&gt;"moeda")*(Inputs!$G$5:$G$180&lt;&gt;"acoes")))*INDEX(Inputs!$K$5:$AJ$180,0,MATCH(T$2,Inputs!$K$4:$AJ$4,0)))+SUMPRODUCT((Inputs!$E$5:$E$180=$B44)*Inputs!$F$5:$F$180*(((Inputs!$G$5:$G$180="moeda")+(Inputs!$G$5:$G$180="acoes"))*Inputs!$B$1+((Inputs!$G$5:$G$180&lt;&gt;"moeda")*(Inputs!$G$5:$G$180&lt;&gt;"acoes")))*INDEX(Inputs!$K$5:$AJ$180,0,MATCH(T$2,Inputs!$K$4:$AJ$4,0)))))</f>
        <v>-28.92307011</v>
      </c>
      <c r="U44" s="6">
        <f>IF(ISNA(MATCH(U$2,Inputs!$K$4:$AJ$4,0)),NA(),IF(SUMPRODUCT((Inputs!$A$5:$A$180=$B44)*ISNUMBER(INDEX(Inputs!$K$5:$AJ$180,0,MATCH(U$2,Inputs!$K$4:$AJ$4,0))))+SUMPRODUCT((Inputs!$C$5:$C$180=$B44)*ISNUMBER(INDEX(Inputs!$K$5:$AJ$180,0,MATCH(U$2,Inputs!$K$4:$AJ$4,0))))+SUMPRODUCT((Inputs!$E$5:$E$180=$B44)*ISNUMBER(INDEX(Inputs!$K$5:$AJ$180,0,MATCH(U$2,Inputs!$K$4:$AJ$4,0))))=0,NA(),SUMPRODUCT((Inputs!$A$5:$A$180=$B44)*Inputs!$B$5:$B$180*(((Inputs!$G$5:$G$180="moeda")+(Inputs!$G$5:$G$180="acoes"))*Inputs!$B$1+((Inputs!$G$5:$G$180&lt;&gt;"moeda")*(Inputs!$G$5:$G$180&lt;&gt;"acoes")))*INDEX(Inputs!$K$5:$AJ$180,0,MATCH(U$2,Inputs!$K$4:$AJ$4,0)))+SUMPRODUCT((Inputs!$C$5:$C$180=$B44)*Inputs!$D$5:$D$180*(((Inputs!$G$5:$G$180="moeda")+(Inputs!$G$5:$G$180="acoes"))*Inputs!$B$1+((Inputs!$G$5:$G$180&lt;&gt;"moeda")*(Inputs!$G$5:$G$180&lt;&gt;"acoes")))*INDEX(Inputs!$K$5:$AJ$180,0,MATCH(U$2,Inputs!$K$4:$AJ$4,0)))+SUMPRODUCT((Inputs!$E$5:$E$180=$B44)*Inputs!$F$5:$F$180*(((Inputs!$G$5:$G$180="moeda")+(Inputs!$G$5:$G$180="acoes"))*Inputs!$B$1+((Inputs!$G$5:$G$180&lt;&gt;"moeda")*(Inputs!$G$5:$G$180&lt;&gt;"acoes")))*INDEX(Inputs!$K$5:$AJ$180,0,MATCH(U$2,Inputs!$K$4:$AJ$4,0)))))</f>
        <v>-28.90543934</v>
      </c>
      <c r="V44" s="6">
        <f>IF(ISNA(MATCH(V$2,Inputs!$K$4:$AJ$4,0)),NA(),IF(SUMPRODUCT((Inputs!$A$5:$A$180=$B44)*ISNUMBER(INDEX(Inputs!$K$5:$AJ$180,0,MATCH(V$2,Inputs!$K$4:$AJ$4,0))))+SUMPRODUCT((Inputs!$C$5:$C$180=$B44)*ISNUMBER(INDEX(Inputs!$K$5:$AJ$180,0,MATCH(V$2,Inputs!$K$4:$AJ$4,0))))+SUMPRODUCT((Inputs!$E$5:$E$180=$B44)*ISNUMBER(INDEX(Inputs!$K$5:$AJ$180,0,MATCH(V$2,Inputs!$K$4:$AJ$4,0))))=0,NA(),SUMPRODUCT((Inputs!$A$5:$A$180=$B44)*Inputs!$B$5:$B$180*(((Inputs!$G$5:$G$180="moeda")+(Inputs!$G$5:$G$180="acoes"))*Inputs!$B$1+((Inputs!$G$5:$G$180&lt;&gt;"moeda")*(Inputs!$G$5:$G$180&lt;&gt;"acoes")))*INDEX(Inputs!$K$5:$AJ$180,0,MATCH(V$2,Inputs!$K$4:$AJ$4,0)))+SUMPRODUCT((Inputs!$C$5:$C$180=$B44)*Inputs!$D$5:$D$180*(((Inputs!$G$5:$G$180="moeda")+(Inputs!$G$5:$G$180="acoes"))*Inputs!$B$1+((Inputs!$G$5:$G$180&lt;&gt;"moeda")*(Inputs!$G$5:$G$180&lt;&gt;"acoes")))*INDEX(Inputs!$K$5:$AJ$180,0,MATCH(V$2,Inputs!$K$4:$AJ$4,0)))+SUMPRODUCT((Inputs!$E$5:$E$180=$B44)*Inputs!$F$5:$F$180*(((Inputs!$G$5:$G$180="moeda")+(Inputs!$G$5:$G$180="acoes"))*Inputs!$B$1+((Inputs!$G$5:$G$180&lt;&gt;"moeda")*(Inputs!$G$5:$G$180&lt;&gt;"acoes")))*INDEX(Inputs!$K$5:$AJ$180,0,MATCH(V$2,Inputs!$K$4:$AJ$4,0)))))</f>
        <v>-26.85019691</v>
      </c>
      <c r="W44" s="3">
        <f>V44</f>
        <v>-26.85019691</v>
      </c>
      <c r="X44" s="6">
        <f>IF(ISNA(MATCH(X$2,Inputs!$K$4:$AJ$4,0)),NA(),IF(SUMPRODUCT((Inputs!$A$5:$A$180=$B44)*ISNUMBER(INDEX(Inputs!$K$5:$AJ$180,0,MATCH(X$2,Inputs!$K$4:$AJ$4,0))))+SUMPRODUCT((Inputs!$C$5:$C$180=$B44)*ISNUMBER(INDEX(Inputs!$K$5:$AJ$180,0,MATCH(X$2,Inputs!$K$4:$AJ$4,0))))+SUMPRODUCT((Inputs!$E$5:$E$180=$B44)*ISNUMBER(INDEX(Inputs!$K$5:$AJ$180,0,MATCH(X$2,Inputs!$K$4:$AJ$4,0))))=0,NA(),SUMPRODUCT((Inputs!$A$5:$A$180=$B44)*Inputs!$B$5:$B$180*(((Inputs!$G$5:$G$180="moeda")+(Inputs!$G$5:$G$180="acoes"))*Inputs!$B$1+((Inputs!$G$5:$G$180&lt;&gt;"moeda")*(Inputs!$G$5:$G$180&lt;&gt;"acoes")))*INDEX(Inputs!$K$5:$AJ$180,0,MATCH(X$2,Inputs!$K$4:$AJ$4,0)))+SUMPRODUCT((Inputs!$C$5:$C$180=$B44)*Inputs!$D$5:$D$180*(((Inputs!$G$5:$G$180="moeda")+(Inputs!$G$5:$G$180="acoes"))*Inputs!$B$1+((Inputs!$G$5:$G$180&lt;&gt;"moeda")*(Inputs!$G$5:$G$180&lt;&gt;"acoes")))*INDEX(Inputs!$K$5:$AJ$180,0,MATCH(X$2,Inputs!$K$4:$AJ$4,0)))+SUMPRODUCT((Inputs!$E$5:$E$180=$B44)*Inputs!$F$5:$F$180*(((Inputs!$G$5:$G$180="moeda")+(Inputs!$G$5:$G$180="acoes"))*Inputs!$B$1+((Inputs!$G$5:$G$180&lt;&gt;"moeda")*(Inputs!$G$5:$G$180&lt;&gt;"acoes")))*INDEX(Inputs!$K$5:$AJ$180,0,MATCH(X$2,Inputs!$K$4:$AJ$4,0)))))</f>
        <v>-26.81312969</v>
      </c>
      <c r="Y44" s="6">
        <f>IF(ISNA(MATCH(Y$2,Inputs!$K$4:$AJ$4,0)),NA(),IF(SUMPRODUCT((Inputs!$A$5:$A$180=$B44)*ISNUMBER(INDEX(Inputs!$K$5:$AJ$180,0,MATCH(Y$2,Inputs!$K$4:$AJ$4,0))))+SUMPRODUCT((Inputs!$C$5:$C$180=$B44)*ISNUMBER(INDEX(Inputs!$K$5:$AJ$180,0,MATCH(Y$2,Inputs!$K$4:$AJ$4,0))))+SUMPRODUCT((Inputs!$E$5:$E$180=$B44)*ISNUMBER(INDEX(Inputs!$K$5:$AJ$180,0,MATCH(Y$2,Inputs!$K$4:$AJ$4,0))))=0,NA(),SUMPRODUCT((Inputs!$A$5:$A$180=$B44)*Inputs!$B$5:$B$180*(((Inputs!$G$5:$G$180="moeda")+(Inputs!$G$5:$G$180="acoes"))*Inputs!$B$1+((Inputs!$G$5:$G$180&lt;&gt;"moeda")*(Inputs!$G$5:$G$180&lt;&gt;"acoes")))*INDEX(Inputs!$K$5:$AJ$180,0,MATCH(Y$2,Inputs!$K$4:$AJ$4,0)))+SUMPRODUCT((Inputs!$C$5:$C$180=$B44)*Inputs!$D$5:$D$180*(((Inputs!$G$5:$G$180="moeda")+(Inputs!$G$5:$G$180="acoes"))*Inputs!$B$1+((Inputs!$G$5:$G$180&lt;&gt;"moeda")*(Inputs!$G$5:$G$180&lt;&gt;"acoes")))*INDEX(Inputs!$K$5:$AJ$180,0,MATCH(Y$2,Inputs!$K$4:$AJ$4,0)))+SUMPRODUCT((Inputs!$E$5:$E$180=$B44)*Inputs!$F$5:$F$180*(((Inputs!$G$5:$G$180="moeda")+(Inputs!$G$5:$G$180="acoes"))*Inputs!$B$1+((Inputs!$G$5:$G$180&lt;&gt;"moeda")*(Inputs!$G$5:$G$180&lt;&gt;"acoes")))*INDEX(Inputs!$K$5:$AJ$180,0,MATCH(Y$2,Inputs!$K$4:$AJ$4,0)))))</f>
        <v>-25.36114088</v>
      </c>
      <c r="Z44" s="6">
        <f>IF(ISNA(MATCH(Z$2,Inputs!$K$4:$AJ$4,0)),NA(),IF(SUMPRODUCT((Inputs!$A$5:$A$180=$B44)*ISNUMBER(INDEX(Inputs!$K$5:$AJ$180,0,MATCH(Z$2,Inputs!$K$4:$AJ$4,0))))+SUMPRODUCT((Inputs!$C$5:$C$180=$B44)*ISNUMBER(INDEX(Inputs!$K$5:$AJ$180,0,MATCH(Z$2,Inputs!$K$4:$AJ$4,0))))+SUMPRODUCT((Inputs!$E$5:$E$180=$B44)*ISNUMBER(INDEX(Inputs!$K$5:$AJ$180,0,MATCH(Z$2,Inputs!$K$4:$AJ$4,0))))=0,NA(),SUMPRODUCT((Inputs!$A$5:$A$180=$B44)*Inputs!$B$5:$B$180*(((Inputs!$G$5:$G$180="moeda")+(Inputs!$G$5:$G$180="acoes"))*Inputs!$B$1+((Inputs!$G$5:$G$180&lt;&gt;"moeda")*(Inputs!$G$5:$G$180&lt;&gt;"acoes")))*INDEX(Inputs!$K$5:$AJ$180,0,MATCH(Z$2,Inputs!$K$4:$AJ$4,0)))+SUMPRODUCT((Inputs!$C$5:$C$180=$B44)*Inputs!$D$5:$D$180*(((Inputs!$G$5:$G$180="moeda")+(Inputs!$G$5:$G$180="acoes"))*Inputs!$B$1+((Inputs!$G$5:$G$180&lt;&gt;"moeda")*(Inputs!$G$5:$G$180&lt;&gt;"acoes")))*INDEX(Inputs!$K$5:$AJ$180,0,MATCH(Z$2,Inputs!$K$4:$AJ$4,0)))+SUMPRODUCT((Inputs!$E$5:$E$180=$B44)*Inputs!$F$5:$F$180*(((Inputs!$G$5:$G$180="moeda")+(Inputs!$G$5:$G$180="acoes"))*Inputs!$B$1+((Inputs!$G$5:$G$180&lt;&gt;"moeda")*(Inputs!$G$5:$G$180&lt;&gt;"acoes")))*INDEX(Inputs!$K$5:$AJ$180,0,MATCH(Z$2,Inputs!$K$4:$AJ$4,0)))))</f>
        <v>-26.818</v>
      </c>
      <c r="AA44" s="6">
        <f>IF(ISNA(MATCH(AA$2,Inputs!$K$4:$AJ$4,0)),NA(),IF(SUMPRODUCT((Inputs!$A$5:$A$180=$B44)*ISNUMBER(INDEX(Inputs!$K$5:$AJ$180,0,MATCH(AA$2,Inputs!$K$4:$AJ$4,0))))+SUMPRODUCT((Inputs!$C$5:$C$180=$B44)*ISNUMBER(INDEX(Inputs!$K$5:$AJ$180,0,MATCH(AA$2,Inputs!$K$4:$AJ$4,0))))+SUMPRODUCT((Inputs!$E$5:$E$180=$B44)*ISNUMBER(INDEX(Inputs!$K$5:$AJ$180,0,MATCH(AA$2,Inputs!$K$4:$AJ$4,0))))=0,NA(),SUMPRODUCT((Inputs!$A$5:$A$180=$B44)*Inputs!$B$5:$B$180*(((Inputs!$G$5:$G$180="moeda")+(Inputs!$G$5:$G$180="acoes"))*Inputs!$B$1+((Inputs!$G$5:$G$180&lt;&gt;"moeda")*(Inputs!$G$5:$G$180&lt;&gt;"acoes")))*INDEX(Inputs!$K$5:$AJ$180,0,MATCH(AA$2,Inputs!$K$4:$AJ$4,0)))+SUMPRODUCT((Inputs!$C$5:$C$180=$B44)*Inputs!$D$5:$D$180*(((Inputs!$G$5:$G$180="moeda")+(Inputs!$G$5:$G$180="acoes"))*Inputs!$B$1+((Inputs!$G$5:$G$180&lt;&gt;"moeda")*(Inputs!$G$5:$G$180&lt;&gt;"acoes")))*INDEX(Inputs!$K$5:$AJ$180,0,MATCH(AA$2,Inputs!$K$4:$AJ$4,0)))+SUMPRODUCT((Inputs!$E$5:$E$180=$B44)*Inputs!$F$5:$F$180*(((Inputs!$G$5:$G$180="moeda")+(Inputs!$G$5:$G$180="acoes"))*Inputs!$B$1+((Inputs!$G$5:$G$180&lt;&gt;"moeda")*(Inputs!$G$5:$G$180&lt;&gt;"acoes")))*INDEX(Inputs!$K$5:$AJ$180,0,MATCH(AA$2,Inputs!$K$4:$AJ$4,0)))))</f>
        <v>-26.81788695</v>
      </c>
      <c r="AB44" s="3">
        <f>AA44</f>
        <v>-26.81788695</v>
      </c>
      <c r="AC44" s="6">
        <f>IF(ISNA(MATCH(AC$2,Inputs!$K$4:$AJ$4,0)),NA(),IF(SUMPRODUCT((Inputs!$A$5:$A$180=$B44)*ISNUMBER(INDEX(Inputs!$K$5:$AJ$180,0,MATCH(AC$2,Inputs!$K$4:$AJ$4,0))))+SUMPRODUCT((Inputs!$C$5:$C$180=$B44)*ISNUMBER(INDEX(Inputs!$K$5:$AJ$180,0,MATCH(AC$2,Inputs!$K$4:$AJ$4,0))))+SUMPRODUCT((Inputs!$E$5:$E$180=$B44)*ISNUMBER(INDEX(Inputs!$K$5:$AJ$180,0,MATCH(AC$2,Inputs!$K$4:$AJ$4,0))))=0,NA(),SUMPRODUCT((Inputs!$A$5:$A$180=$B44)*Inputs!$B$5:$B$180*(((Inputs!$G$5:$G$180="moeda")+(Inputs!$G$5:$G$180="acoes"))*Inputs!$B$1+((Inputs!$G$5:$G$180&lt;&gt;"moeda")*(Inputs!$G$5:$G$180&lt;&gt;"acoes")))*INDEX(Inputs!$K$5:$AJ$180,0,MATCH(AC$2,Inputs!$K$4:$AJ$4,0)))+SUMPRODUCT((Inputs!$C$5:$C$180=$B44)*Inputs!$D$5:$D$180*(((Inputs!$G$5:$G$180="moeda")+(Inputs!$G$5:$G$180="acoes"))*Inputs!$B$1+((Inputs!$G$5:$G$180&lt;&gt;"moeda")*(Inputs!$G$5:$G$180&lt;&gt;"acoes")))*INDEX(Inputs!$K$5:$AJ$180,0,MATCH(AC$2,Inputs!$K$4:$AJ$4,0)))+SUMPRODUCT((Inputs!$E$5:$E$180=$B44)*Inputs!$F$5:$F$180*(((Inputs!$G$5:$G$180="moeda")+(Inputs!$G$5:$G$180="acoes"))*Inputs!$B$1+((Inputs!$G$5:$G$180&lt;&gt;"moeda")*(Inputs!$G$5:$G$180&lt;&gt;"acoes")))*INDEX(Inputs!$K$5:$AJ$180,0,MATCH(AC$2,Inputs!$K$4:$AJ$4,0)))))</f>
        <v>-26.81788695</v>
      </c>
      <c r="AD44" s="6">
        <f>IF(ISNA(MATCH(AD$2,Inputs!$K$4:$AJ$4,0)),NA(),IF(SUMPRODUCT((Inputs!$A$5:$A$180=$B44)*ISNUMBER(INDEX(Inputs!$K$5:$AJ$180,0,MATCH(AD$2,Inputs!$K$4:$AJ$4,0))))+SUMPRODUCT((Inputs!$C$5:$C$180=$B44)*ISNUMBER(INDEX(Inputs!$K$5:$AJ$180,0,MATCH(AD$2,Inputs!$K$4:$AJ$4,0))))+SUMPRODUCT((Inputs!$E$5:$E$180=$B44)*ISNUMBER(INDEX(Inputs!$K$5:$AJ$180,0,MATCH(AD$2,Inputs!$K$4:$AJ$4,0))))=0,NA(),SUMPRODUCT((Inputs!$A$5:$A$180=$B44)*Inputs!$B$5:$B$180*(((Inputs!$G$5:$G$180="moeda")+(Inputs!$G$5:$G$180="acoes"))*Inputs!$B$1+((Inputs!$G$5:$G$180&lt;&gt;"moeda")*(Inputs!$G$5:$G$180&lt;&gt;"acoes")))*INDEX(Inputs!$K$5:$AJ$180,0,MATCH(AD$2,Inputs!$K$4:$AJ$4,0)))+SUMPRODUCT((Inputs!$C$5:$C$180=$B44)*Inputs!$D$5:$D$180*(((Inputs!$G$5:$G$180="moeda")+(Inputs!$G$5:$G$180="acoes"))*Inputs!$B$1+((Inputs!$G$5:$G$180&lt;&gt;"moeda")*(Inputs!$G$5:$G$180&lt;&gt;"acoes")))*INDEX(Inputs!$K$5:$AJ$180,0,MATCH(AD$2,Inputs!$K$4:$AJ$4,0)))+SUMPRODUCT((Inputs!$E$5:$E$180=$B44)*Inputs!$F$5:$F$180*(((Inputs!$G$5:$G$180="moeda")+(Inputs!$G$5:$G$180="acoes"))*Inputs!$B$1+((Inputs!$G$5:$G$180&lt;&gt;"moeda")*(Inputs!$G$5:$G$180&lt;&gt;"acoes")))*INDEX(Inputs!$K$5:$AJ$180,0,MATCH(AD$2,Inputs!$K$4:$AJ$4,0)))))</f>
        <v>-25.14936718</v>
      </c>
      <c r="AE44" s="6" t="e">
        <f>IF(ISNA(MATCH(AE$2,Inputs!$K$4:$AJ$4,0)),NA(),IF(SUMPRODUCT((Inputs!$A$5:$A$180=$B44)*ISNUMBER(INDEX(Inputs!$K$5:$AJ$180,0,MATCH(AE$2,Inputs!$K$4:$AJ$4,0))))+SUMPRODUCT((Inputs!$C$5:$C$180=$B44)*ISNUMBER(INDEX(Inputs!$K$5:$AJ$180,0,MATCH(AE$2,Inputs!$K$4:$AJ$4,0))))+SUMPRODUCT((Inputs!$E$5:$E$180=$B44)*ISNUMBER(INDEX(Inputs!$K$5:$AJ$180,0,MATCH(AE$2,Inputs!$K$4:$AJ$4,0))))=0,NA(),SUMPRODUCT((Inputs!$A$5:$A$180=$B44)*Inputs!$B$5:$B$180*(((Inputs!$G$5:$G$180="moeda")+(Inputs!$G$5:$G$180="acoes"))*Inputs!$B$1+((Inputs!$G$5:$G$180&lt;&gt;"moeda")*(Inputs!$G$5:$G$180&lt;&gt;"acoes")))*INDEX(Inputs!$K$5:$AJ$180,0,MATCH(AE$2,Inputs!$K$4:$AJ$4,0)))+SUMPRODUCT((Inputs!$C$5:$C$180=$B44)*Inputs!$D$5:$D$180*(((Inputs!$G$5:$G$180="moeda")+(Inputs!$G$5:$G$180="acoes"))*Inputs!$B$1+((Inputs!$G$5:$G$180&lt;&gt;"moeda")*(Inputs!$G$5:$G$180&lt;&gt;"acoes")))*INDEX(Inputs!$K$5:$AJ$180,0,MATCH(AE$2,Inputs!$K$4:$AJ$4,0)))+SUMPRODUCT((Inputs!$E$5:$E$180=$B44)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4" s="6" t="e">
        <f>IF(ISNA(MATCH(AF$2,Inputs!$K$4:$AJ$4,0)),NA(),IF(SUMPRODUCT((Inputs!$A$5:$A$180=$B44)*ISNUMBER(INDEX(Inputs!$K$5:$AJ$180,0,MATCH(AF$2,Inputs!$K$4:$AJ$4,0))))+SUMPRODUCT((Inputs!$C$5:$C$180=$B44)*ISNUMBER(INDEX(Inputs!$K$5:$AJ$180,0,MATCH(AF$2,Inputs!$K$4:$AJ$4,0))))+SUMPRODUCT((Inputs!$E$5:$E$180=$B44)*ISNUMBER(INDEX(Inputs!$K$5:$AJ$180,0,MATCH(AF$2,Inputs!$K$4:$AJ$4,0))))=0,NA(),SUMPRODUCT((Inputs!$A$5:$A$180=$B44)*Inputs!$B$5:$B$180*(((Inputs!$G$5:$G$180="moeda")+(Inputs!$G$5:$G$180="acoes"))*Inputs!$B$1+((Inputs!$G$5:$G$180&lt;&gt;"moeda")*(Inputs!$G$5:$G$180&lt;&gt;"acoes")))*INDEX(Inputs!$K$5:$AJ$180,0,MATCH(AF$2,Inputs!$K$4:$AJ$4,0)))+SUMPRODUCT((Inputs!$C$5:$C$180=$B44)*Inputs!$D$5:$D$180*(((Inputs!$G$5:$G$180="moeda")+(Inputs!$G$5:$G$180="acoes"))*Inputs!$B$1+((Inputs!$G$5:$G$180&lt;&gt;"moeda")*(Inputs!$G$5:$G$180&lt;&gt;"acoes")))*INDEX(Inputs!$K$5:$AJ$180,0,MATCH(AF$2,Inputs!$K$4:$AJ$4,0)))+SUMPRODUCT((Inputs!$E$5:$E$180=$B44)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4" s="3" t="e">
        <f>AF44</f>
        <v>#N/A</v>
      </c>
      <c r="AH44" s="6">
        <f>IF(ISNA(MATCH(AH$2,Inputs!$K$4:$AJ$4,0)),NA(),IF(SUMPRODUCT((Inputs!$A$5:$A$180=$B44)*ISNUMBER(INDEX(Inputs!$K$5:$AJ$180,0,MATCH(AH$2,Inputs!$K$4:$AJ$4,0))))+SUMPRODUCT((Inputs!$C$5:$C$180=$B44)*ISNUMBER(INDEX(Inputs!$K$5:$AJ$180,0,MATCH(AH$2,Inputs!$K$4:$AJ$4,0))))+SUMPRODUCT((Inputs!$E$5:$E$180=$B44)*ISNUMBER(INDEX(Inputs!$K$5:$AJ$180,0,MATCH(AH$2,Inputs!$K$4:$AJ$4,0))))=0,NA(),SUMPRODUCT((Inputs!$A$5:$A$180=$B44)*Inputs!$B$5:$B$180*(((Inputs!$G$5:$G$180="moeda")+(Inputs!$G$5:$G$180="acoes"))*Inputs!$B$1+((Inputs!$G$5:$G$180&lt;&gt;"moeda")*(Inputs!$G$5:$G$180&lt;&gt;"acoes")))*INDEX(Inputs!$K$5:$AJ$180,0,MATCH(AH$2,Inputs!$K$4:$AJ$4,0)))+SUMPRODUCT((Inputs!$C$5:$C$180=$B44)*Inputs!$D$5:$D$180*(((Inputs!$G$5:$G$180="moeda")+(Inputs!$G$5:$G$180="acoes"))*Inputs!$B$1+((Inputs!$G$5:$G$180&lt;&gt;"moeda")*(Inputs!$G$5:$G$180&lt;&gt;"acoes")))*INDEX(Inputs!$K$5:$AJ$180,0,MATCH(AH$2,Inputs!$K$4:$AJ$4,0)))+SUMPRODUCT((Inputs!$E$5:$E$180=$B44)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4" s="6">
        <f>IF(ISNA(MATCH(AI$2,Inputs!$K$4:$AJ$4,0)),NA(),IF(SUMPRODUCT((Inputs!$A$5:$A$180=$B44)*ISNUMBER(INDEX(Inputs!$K$5:$AJ$180,0,MATCH(AI$2,Inputs!$K$4:$AJ$4,0))))+SUMPRODUCT((Inputs!$C$5:$C$180=$B44)*ISNUMBER(INDEX(Inputs!$K$5:$AJ$180,0,MATCH(AI$2,Inputs!$K$4:$AJ$4,0))))+SUMPRODUCT((Inputs!$E$5:$E$180=$B44)*ISNUMBER(INDEX(Inputs!$K$5:$AJ$180,0,MATCH(AI$2,Inputs!$K$4:$AJ$4,0))))=0,NA(),SUMPRODUCT((Inputs!$A$5:$A$180=$B44)*Inputs!$B$5:$B$180*(((Inputs!$G$5:$G$180="moeda")+(Inputs!$G$5:$G$180="acoes"))*Inputs!$B$1+((Inputs!$G$5:$G$180&lt;&gt;"moeda")*(Inputs!$G$5:$G$180&lt;&gt;"acoes")))*INDEX(Inputs!$K$5:$AJ$180,0,MATCH(AI$2,Inputs!$K$4:$AJ$4,0)))+SUMPRODUCT((Inputs!$C$5:$C$180=$B44)*Inputs!$D$5:$D$180*(((Inputs!$G$5:$G$180="moeda")+(Inputs!$G$5:$G$180="acoes"))*Inputs!$B$1+((Inputs!$G$5:$G$180&lt;&gt;"moeda")*(Inputs!$G$5:$G$180&lt;&gt;"acoes")))*INDEX(Inputs!$K$5:$AJ$180,0,MATCH(AI$2,Inputs!$K$4:$AJ$4,0)))+SUMPRODUCT((Inputs!$E$5:$E$180=$B44)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4" s="6">
        <f>IF(ISNA(MATCH(AJ$2,Inputs!$K$4:$AJ$4,0)),NA(),IF(SUMPRODUCT((Inputs!$A$5:$A$180=$B44)*ISNUMBER(INDEX(Inputs!$K$5:$AJ$180,0,MATCH(AJ$2,Inputs!$K$4:$AJ$4,0))))+SUMPRODUCT((Inputs!$C$5:$C$180=$B44)*ISNUMBER(INDEX(Inputs!$K$5:$AJ$180,0,MATCH(AJ$2,Inputs!$K$4:$AJ$4,0))))+SUMPRODUCT((Inputs!$E$5:$E$180=$B44)*ISNUMBER(INDEX(Inputs!$K$5:$AJ$180,0,MATCH(AJ$2,Inputs!$K$4:$AJ$4,0))))=0,NA(),SUMPRODUCT((Inputs!$A$5:$A$180=$B44)*Inputs!$B$5:$B$180*(((Inputs!$G$5:$G$180="moeda")+(Inputs!$G$5:$G$180="acoes"))*Inputs!$B$1+((Inputs!$G$5:$G$180&lt;&gt;"moeda")*(Inputs!$G$5:$G$180&lt;&gt;"acoes")))*INDEX(Inputs!$K$5:$AJ$180,0,MATCH(AJ$2,Inputs!$K$4:$AJ$4,0)))+SUMPRODUCT((Inputs!$C$5:$C$180=$B44)*Inputs!$D$5:$D$180*(((Inputs!$G$5:$G$180="moeda")+(Inputs!$G$5:$G$180="acoes"))*Inputs!$B$1+((Inputs!$G$5:$G$180&lt;&gt;"moeda")*(Inputs!$G$5:$G$180&lt;&gt;"acoes")))*INDEX(Inputs!$K$5:$AJ$180,0,MATCH(AJ$2,Inputs!$K$4:$AJ$4,0)))+SUMPRODUCT((Inputs!$E$5:$E$180=$B44)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4" s="6">
        <f>IF(ISNA(MATCH(AK$2,Inputs!$K$4:$AJ$4,0)),NA(),IF(SUMPRODUCT((Inputs!$A$5:$A$180=$B44)*ISNUMBER(INDEX(Inputs!$K$5:$AJ$180,0,MATCH(AK$2,Inputs!$K$4:$AJ$4,0))))+SUMPRODUCT((Inputs!$C$5:$C$180=$B44)*ISNUMBER(INDEX(Inputs!$K$5:$AJ$180,0,MATCH(AK$2,Inputs!$K$4:$AJ$4,0))))+SUMPRODUCT((Inputs!$E$5:$E$180=$B44)*ISNUMBER(INDEX(Inputs!$K$5:$AJ$180,0,MATCH(AK$2,Inputs!$K$4:$AJ$4,0))))=0,NA(),SUMPRODUCT((Inputs!$A$5:$A$180=$B44)*Inputs!$B$5:$B$180*(((Inputs!$G$5:$G$180="moeda")+(Inputs!$G$5:$G$180="acoes"))*Inputs!$B$1+((Inputs!$G$5:$G$180&lt;&gt;"moeda")*(Inputs!$G$5:$G$180&lt;&gt;"acoes")))*INDEX(Inputs!$K$5:$AJ$180,0,MATCH(AK$2,Inputs!$K$4:$AJ$4,0)))+SUMPRODUCT((Inputs!$C$5:$C$180=$B44)*Inputs!$D$5:$D$180*(((Inputs!$G$5:$G$180="moeda")+(Inputs!$G$5:$G$180="acoes"))*Inputs!$B$1+((Inputs!$G$5:$G$180&lt;&gt;"moeda")*(Inputs!$G$5:$G$180&lt;&gt;"acoes")))*INDEX(Inputs!$K$5:$AJ$180,0,MATCH(AK$2,Inputs!$K$4:$AJ$4,0)))+SUMPRODUCT((Inputs!$E$5:$E$180=$B44)*Inputs!$F$5:$F$180*(((Inputs!$G$5:$G$180="moeda")+(Inputs!$G$5:$G$180="acoes"))*Inputs!$B$1+((Inputs!$G$5:$G$180&lt;&gt;"moeda")*(Inputs!$G$5:$G$180&lt;&gt;"acoes")))*INDEX(Inputs!$K$5:$AJ$180,0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$180=$B45)*ISNUMBER(INDEX(Inputs!$K$5:$AJ$180,0,MATCH(D$2,Inputs!$K$4:$AJ$4,0))))+SUMPRODUCT((Inputs!$C$5:$C$180=$B45)*ISNUMBER(INDEX(Inputs!$K$5:$AJ$180,0,MATCH(D$2,Inputs!$K$4:$AJ$4,0))))+SUMPRODUCT((Inputs!$E$5:$E$180=$B45)*ISNUMBER(INDEX(Inputs!$K$5:$AJ$180,0,MATCH(D$2,Inputs!$K$4:$AJ$4,0))))=0,NA(),SUMPRODUCT((Inputs!$A$5:$A$180=$B45)*Inputs!$B$5:$B$180*(((Inputs!$G$5:$G$180="moeda")+(Inputs!$G$5:$G$180="acoes"))*Inputs!$B$1+((Inputs!$G$5:$G$180&lt;&gt;"moeda")*(Inputs!$G$5:$G$180&lt;&gt;"acoes")))*INDEX(Inputs!$K$5:$AJ$180,0,MATCH(D$2,Inputs!$K$4:$AJ$4,0)))+SUMPRODUCT((Inputs!$C$5:$C$180=$B45)*Inputs!$D$5:$D$180*(((Inputs!$G$5:$G$180="moeda")+(Inputs!$G$5:$G$180="acoes"))*Inputs!$B$1+((Inputs!$G$5:$G$180&lt;&gt;"moeda")*(Inputs!$G$5:$G$180&lt;&gt;"acoes")))*INDEX(Inputs!$K$5:$AJ$180,0,MATCH(D$2,Inputs!$K$4:$AJ$4,0)))+SUMPRODUCT((Inputs!$E$5:$E$180=$B45)*Inputs!$F$5:$F$180*(((Inputs!$G$5:$G$180="moeda")+(Inputs!$G$5:$G$180="acoes"))*Inputs!$B$1+((Inputs!$G$5:$G$180&lt;&gt;"moeda")*(Inputs!$G$5:$G$180&lt;&gt;"acoes")))*INDEX(Inputs!$K$5:$AJ$180,0,MATCH(D$2,Inputs!$K$4:$AJ$4,0)))))</f>
        <v>0</v>
      </c>
      <c r="E45" s="6">
        <f>IF(ISNA(MATCH(E$2,Inputs!$K$4:$AJ$4,0)),NA(),IF(SUMPRODUCT((Inputs!$A$5:$A$180=$B45)*ISNUMBER(INDEX(Inputs!$K$5:$AJ$180,0,MATCH(E$2,Inputs!$K$4:$AJ$4,0))))+SUMPRODUCT((Inputs!$C$5:$C$180=$B45)*ISNUMBER(INDEX(Inputs!$K$5:$AJ$180,0,MATCH(E$2,Inputs!$K$4:$AJ$4,0))))+SUMPRODUCT((Inputs!$E$5:$E$180=$B45)*ISNUMBER(INDEX(Inputs!$K$5:$AJ$180,0,MATCH(E$2,Inputs!$K$4:$AJ$4,0))))=0,NA(),SUMPRODUCT((Inputs!$A$5:$A$180=$B45)*Inputs!$B$5:$B$180*(((Inputs!$G$5:$G$180="moeda")+(Inputs!$G$5:$G$180="acoes"))*Inputs!$B$1+((Inputs!$G$5:$G$180&lt;&gt;"moeda")*(Inputs!$G$5:$G$180&lt;&gt;"acoes")))*INDEX(Inputs!$K$5:$AJ$180,0,MATCH(E$2,Inputs!$K$4:$AJ$4,0)))+SUMPRODUCT((Inputs!$C$5:$C$180=$B45)*Inputs!$D$5:$D$180*(((Inputs!$G$5:$G$180="moeda")+(Inputs!$G$5:$G$180="acoes"))*Inputs!$B$1+((Inputs!$G$5:$G$180&lt;&gt;"moeda")*(Inputs!$G$5:$G$180&lt;&gt;"acoes")))*INDEX(Inputs!$K$5:$AJ$180,0,MATCH(E$2,Inputs!$K$4:$AJ$4,0)))+SUMPRODUCT((Inputs!$E$5:$E$180=$B45)*Inputs!$F$5:$F$180*(((Inputs!$G$5:$G$180="moeda")+(Inputs!$G$5:$G$180="acoes"))*Inputs!$B$1+((Inputs!$G$5:$G$180&lt;&gt;"moeda")*(Inputs!$G$5:$G$180&lt;&gt;"acoes")))*INDEX(Inputs!$K$5:$AJ$180,0,MATCH(E$2,Inputs!$K$4:$AJ$4,0)))))</f>
        <v>0</v>
      </c>
      <c r="F45" s="6">
        <f>IF(ISNA(MATCH(F$2,Inputs!$K$4:$AJ$4,0)),NA(),IF(SUMPRODUCT((Inputs!$A$5:$A$180=$B45)*ISNUMBER(INDEX(Inputs!$K$5:$AJ$180,0,MATCH(F$2,Inputs!$K$4:$AJ$4,0))))+SUMPRODUCT((Inputs!$C$5:$C$180=$B45)*ISNUMBER(INDEX(Inputs!$K$5:$AJ$180,0,MATCH(F$2,Inputs!$K$4:$AJ$4,0))))+SUMPRODUCT((Inputs!$E$5:$E$180=$B45)*ISNUMBER(INDEX(Inputs!$K$5:$AJ$180,0,MATCH(F$2,Inputs!$K$4:$AJ$4,0))))=0,NA(),SUMPRODUCT((Inputs!$A$5:$A$180=$B45)*Inputs!$B$5:$B$180*(((Inputs!$G$5:$G$180="moeda")+(Inputs!$G$5:$G$180="acoes"))*Inputs!$B$1+((Inputs!$G$5:$G$180&lt;&gt;"moeda")*(Inputs!$G$5:$G$180&lt;&gt;"acoes")))*INDEX(Inputs!$K$5:$AJ$180,0,MATCH(F$2,Inputs!$K$4:$AJ$4,0)))+SUMPRODUCT((Inputs!$C$5:$C$180=$B45)*Inputs!$D$5:$D$180*(((Inputs!$G$5:$G$180="moeda")+(Inputs!$G$5:$G$180="acoes"))*Inputs!$B$1+((Inputs!$G$5:$G$180&lt;&gt;"moeda")*(Inputs!$G$5:$G$180&lt;&gt;"acoes")))*INDEX(Inputs!$K$5:$AJ$180,0,MATCH(F$2,Inputs!$K$4:$AJ$4,0)))+SUMPRODUCT((Inputs!$E$5:$E$180=$B45)*Inputs!$F$5:$F$180*(((Inputs!$G$5:$G$180="moeda")+(Inputs!$G$5:$G$180="acoes"))*Inputs!$B$1+((Inputs!$G$5:$G$180&lt;&gt;"moeda")*(Inputs!$G$5:$G$180&lt;&gt;"acoes")))*INDEX(Inputs!$K$5:$AJ$180,0,MATCH(F$2,Inputs!$K$4:$AJ$4,0)))))</f>
        <v>0</v>
      </c>
      <c r="G45" s="6">
        <f>IF(ISNA(MATCH(G$2,Inputs!$K$4:$AJ$4,0)),NA(),IF(SUMPRODUCT((Inputs!$A$5:$A$180=$B45)*ISNUMBER(INDEX(Inputs!$K$5:$AJ$180,0,MATCH(G$2,Inputs!$K$4:$AJ$4,0))))+SUMPRODUCT((Inputs!$C$5:$C$180=$B45)*ISNUMBER(INDEX(Inputs!$K$5:$AJ$180,0,MATCH(G$2,Inputs!$K$4:$AJ$4,0))))+SUMPRODUCT((Inputs!$E$5:$E$180=$B45)*ISNUMBER(INDEX(Inputs!$K$5:$AJ$180,0,MATCH(G$2,Inputs!$K$4:$AJ$4,0))))=0,NA(),SUMPRODUCT((Inputs!$A$5:$A$180=$B45)*Inputs!$B$5:$B$180*(((Inputs!$G$5:$G$180="moeda")+(Inputs!$G$5:$G$180="acoes"))*Inputs!$B$1+((Inputs!$G$5:$G$180&lt;&gt;"moeda")*(Inputs!$G$5:$G$180&lt;&gt;"acoes")))*INDEX(Inputs!$K$5:$AJ$180,0,MATCH(G$2,Inputs!$K$4:$AJ$4,0)))+SUMPRODUCT((Inputs!$C$5:$C$180=$B45)*Inputs!$D$5:$D$180*(((Inputs!$G$5:$G$180="moeda")+(Inputs!$G$5:$G$180="acoes"))*Inputs!$B$1+((Inputs!$G$5:$G$180&lt;&gt;"moeda")*(Inputs!$G$5:$G$180&lt;&gt;"acoes")))*INDEX(Inputs!$K$5:$AJ$180,0,MATCH(G$2,Inputs!$K$4:$AJ$4,0)))+SUMPRODUCT((Inputs!$E$5:$E$180=$B45)*Inputs!$F$5:$F$180*(((Inputs!$G$5:$G$180="moeda")+(Inputs!$G$5:$G$180="acoes"))*Inputs!$B$1+((Inputs!$G$5:$G$180&lt;&gt;"moeda")*(Inputs!$G$5:$G$180&lt;&gt;"acoes")))*INDEX(Inputs!$K$5:$AJ$180,0,MATCH(G$2,Inputs!$K$4:$AJ$4,0)))))</f>
        <v>0</v>
      </c>
      <c r="H45" s="3">
        <f>G45</f>
        <v>0</v>
      </c>
      <c r="I45" s="6">
        <f>IF(ISNA(MATCH(I$2,Inputs!$K$4:$AJ$4,0)),NA(),IF(SUMPRODUCT((Inputs!$A$5:$A$180=$B45)*ISNUMBER(INDEX(Inputs!$K$5:$AJ$180,0,MATCH(I$2,Inputs!$K$4:$AJ$4,0))))+SUMPRODUCT((Inputs!$C$5:$C$180=$B45)*ISNUMBER(INDEX(Inputs!$K$5:$AJ$180,0,MATCH(I$2,Inputs!$K$4:$AJ$4,0))))+SUMPRODUCT((Inputs!$E$5:$E$180=$B45)*ISNUMBER(INDEX(Inputs!$K$5:$AJ$180,0,MATCH(I$2,Inputs!$K$4:$AJ$4,0))))=0,NA(),SUMPRODUCT((Inputs!$A$5:$A$180=$B45)*Inputs!$B$5:$B$180*(((Inputs!$G$5:$G$180="moeda")+(Inputs!$G$5:$G$180="acoes"))*Inputs!$B$1+((Inputs!$G$5:$G$180&lt;&gt;"moeda")*(Inputs!$G$5:$G$180&lt;&gt;"acoes")))*INDEX(Inputs!$K$5:$AJ$180,0,MATCH(I$2,Inputs!$K$4:$AJ$4,0)))+SUMPRODUCT((Inputs!$C$5:$C$180=$B45)*Inputs!$D$5:$D$180*(((Inputs!$G$5:$G$180="moeda")+(Inputs!$G$5:$G$180="acoes"))*Inputs!$B$1+((Inputs!$G$5:$G$180&lt;&gt;"moeda")*(Inputs!$G$5:$G$180&lt;&gt;"acoes")))*INDEX(Inputs!$K$5:$AJ$180,0,MATCH(I$2,Inputs!$K$4:$AJ$4,0)))+SUMPRODUCT((Inputs!$E$5:$E$180=$B45)*Inputs!$F$5:$F$180*(((Inputs!$G$5:$G$180="moeda")+(Inputs!$G$5:$G$180="acoes"))*Inputs!$B$1+((Inputs!$G$5:$G$180&lt;&gt;"moeda")*(Inputs!$G$5:$G$180&lt;&gt;"acoes")))*INDEX(Inputs!$K$5:$AJ$180,0,MATCH(I$2,Inputs!$K$4:$AJ$4,0)))))</f>
        <v>0</v>
      </c>
      <c r="J45" s="6">
        <f>IF(ISNA(MATCH(J$2,Inputs!$K$4:$AJ$4,0)),NA(),IF(SUMPRODUCT((Inputs!$A$5:$A$180=$B45)*ISNUMBER(INDEX(Inputs!$K$5:$AJ$180,0,MATCH(J$2,Inputs!$K$4:$AJ$4,0))))+SUMPRODUCT((Inputs!$C$5:$C$180=$B45)*ISNUMBER(INDEX(Inputs!$K$5:$AJ$180,0,MATCH(J$2,Inputs!$K$4:$AJ$4,0))))+SUMPRODUCT((Inputs!$E$5:$E$180=$B45)*ISNUMBER(INDEX(Inputs!$K$5:$AJ$180,0,MATCH(J$2,Inputs!$K$4:$AJ$4,0))))=0,NA(),SUMPRODUCT((Inputs!$A$5:$A$180=$B45)*Inputs!$B$5:$B$180*(((Inputs!$G$5:$G$180="moeda")+(Inputs!$G$5:$G$180="acoes"))*Inputs!$B$1+((Inputs!$G$5:$G$180&lt;&gt;"moeda")*(Inputs!$G$5:$G$180&lt;&gt;"acoes")))*INDEX(Inputs!$K$5:$AJ$180,0,MATCH(J$2,Inputs!$K$4:$AJ$4,0)))+SUMPRODUCT((Inputs!$C$5:$C$180=$B45)*Inputs!$D$5:$D$180*(((Inputs!$G$5:$G$180="moeda")+(Inputs!$G$5:$G$180="acoes"))*Inputs!$B$1+((Inputs!$G$5:$G$180&lt;&gt;"moeda")*(Inputs!$G$5:$G$180&lt;&gt;"acoes")))*INDEX(Inputs!$K$5:$AJ$180,0,MATCH(J$2,Inputs!$K$4:$AJ$4,0)))+SUMPRODUCT((Inputs!$E$5:$E$180=$B45)*Inputs!$F$5:$F$180*(((Inputs!$G$5:$G$180="moeda")+(Inputs!$G$5:$G$180="acoes"))*Inputs!$B$1+((Inputs!$G$5:$G$180&lt;&gt;"moeda")*(Inputs!$G$5:$G$180&lt;&gt;"acoes")))*INDEX(Inputs!$K$5:$AJ$180,0,MATCH(J$2,Inputs!$K$4:$AJ$4,0)))))</f>
        <v>0</v>
      </c>
      <c r="K45" s="6">
        <f>IF(ISNA(MATCH(K$2,Inputs!$K$4:$AJ$4,0)),NA(),IF(SUMPRODUCT((Inputs!$A$5:$A$180=$B45)*ISNUMBER(INDEX(Inputs!$K$5:$AJ$180,0,MATCH(K$2,Inputs!$K$4:$AJ$4,0))))+SUMPRODUCT((Inputs!$C$5:$C$180=$B45)*ISNUMBER(INDEX(Inputs!$K$5:$AJ$180,0,MATCH(K$2,Inputs!$K$4:$AJ$4,0))))+SUMPRODUCT((Inputs!$E$5:$E$180=$B45)*ISNUMBER(INDEX(Inputs!$K$5:$AJ$180,0,MATCH(K$2,Inputs!$K$4:$AJ$4,0))))=0,NA(),SUMPRODUCT((Inputs!$A$5:$A$180=$B45)*Inputs!$B$5:$B$180*(((Inputs!$G$5:$G$180="moeda")+(Inputs!$G$5:$G$180="acoes"))*Inputs!$B$1+((Inputs!$G$5:$G$180&lt;&gt;"moeda")*(Inputs!$G$5:$G$180&lt;&gt;"acoes")))*INDEX(Inputs!$K$5:$AJ$180,0,MATCH(K$2,Inputs!$K$4:$AJ$4,0)))+SUMPRODUCT((Inputs!$C$5:$C$180=$B45)*Inputs!$D$5:$D$180*(((Inputs!$G$5:$G$180="moeda")+(Inputs!$G$5:$G$180="acoes"))*Inputs!$B$1+((Inputs!$G$5:$G$180&lt;&gt;"moeda")*(Inputs!$G$5:$G$180&lt;&gt;"acoes")))*INDEX(Inputs!$K$5:$AJ$180,0,MATCH(K$2,Inputs!$K$4:$AJ$4,0)))+SUMPRODUCT((Inputs!$E$5:$E$180=$B45)*Inputs!$F$5:$F$180*(((Inputs!$G$5:$G$180="moeda")+(Inputs!$G$5:$G$180="acoes"))*Inputs!$B$1+((Inputs!$G$5:$G$180&lt;&gt;"moeda")*(Inputs!$G$5:$G$180&lt;&gt;"acoes")))*INDEX(Inputs!$K$5:$AJ$180,0,MATCH(K$2,Inputs!$K$4:$AJ$4,0)))))</f>
        <v>0</v>
      </c>
      <c r="L45" s="6">
        <f>IF(ISNA(MATCH(L$2,Inputs!$K$4:$AJ$4,0)),NA(),IF(SUMPRODUCT((Inputs!$A$5:$A$180=$B45)*ISNUMBER(INDEX(Inputs!$K$5:$AJ$180,0,MATCH(L$2,Inputs!$K$4:$AJ$4,0))))+SUMPRODUCT((Inputs!$C$5:$C$180=$B45)*ISNUMBER(INDEX(Inputs!$K$5:$AJ$180,0,MATCH(L$2,Inputs!$K$4:$AJ$4,0))))+SUMPRODUCT((Inputs!$E$5:$E$180=$B45)*ISNUMBER(INDEX(Inputs!$K$5:$AJ$180,0,MATCH(L$2,Inputs!$K$4:$AJ$4,0))))=0,NA(),SUMPRODUCT((Inputs!$A$5:$A$180=$B45)*Inputs!$B$5:$B$180*(((Inputs!$G$5:$G$180="moeda")+(Inputs!$G$5:$G$180="acoes"))*Inputs!$B$1+((Inputs!$G$5:$G$180&lt;&gt;"moeda")*(Inputs!$G$5:$G$180&lt;&gt;"acoes")))*INDEX(Inputs!$K$5:$AJ$180,0,MATCH(L$2,Inputs!$K$4:$AJ$4,0)))+SUMPRODUCT((Inputs!$C$5:$C$180=$B45)*Inputs!$D$5:$D$180*(((Inputs!$G$5:$G$180="moeda")+(Inputs!$G$5:$G$180="acoes"))*Inputs!$B$1+((Inputs!$G$5:$G$180&lt;&gt;"moeda")*(Inputs!$G$5:$G$180&lt;&gt;"acoes")))*INDEX(Inputs!$K$5:$AJ$180,0,MATCH(L$2,Inputs!$K$4:$AJ$4,0)))+SUMPRODUCT((Inputs!$E$5:$E$180=$B45)*Inputs!$F$5:$F$180*(((Inputs!$G$5:$G$180="moeda")+(Inputs!$G$5:$G$180="acoes"))*Inputs!$B$1+((Inputs!$G$5:$G$180&lt;&gt;"moeda")*(Inputs!$G$5:$G$180&lt;&gt;"acoes")))*INDEX(Inputs!$K$5:$AJ$180,0,MATCH(L$2,Inputs!$K$4:$AJ$4,0)))))</f>
        <v>0</v>
      </c>
      <c r="M45" s="3">
        <f>L45</f>
        <v>0</v>
      </c>
      <c r="N45" s="6">
        <f>IF(ISNA(MATCH(N$2,Inputs!$K$4:$AJ$4,0)),NA(),IF(SUMPRODUCT((Inputs!$A$5:$A$180=$B45)*ISNUMBER(INDEX(Inputs!$K$5:$AJ$180,0,MATCH(N$2,Inputs!$K$4:$AJ$4,0))))+SUMPRODUCT((Inputs!$C$5:$C$180=$B45)*ISNUMBER(INDEX(Inputs!$K$5:$AJ$180,0,MATCH(N$2,Inputs!$K$4:$AJ$4,0))))+SUMPRODUCT((Inputs!$E$5:$E$180=$B45)*ISNUMBER(INDEX(Inputs!$K$5:$AJ$180,0,MATCH(N$2,Inputs!$K$4:$AJ$4,0))))=0,NA(),SUMPRODUCT((Inputs!$A$5:$A$180=$B45)*Inputs!$B$5:$B$180*(((Inputs!$G$5:$G$180="moeda")+(Inputs!$G$5:$G$180="acoes"))*Inputs!$B$1+((Inputs!$G$5:$G$180&lt;&gt;"moeda")*(Inputs!$G$5:$G$180&lt;&gt;"acoes")))*INDEX(Inputs!$K$5:$AJ$180,0,MATCH(N$2,Inputs!$K$4:$AJ$4,0)))+SUMPRODUCT((Inputs!$C$5:$C$180=$B45)*Inputs!$D$5:$D$180*(((Inputs!$G$5:$G$180="moeda")+(Inputs!$G$5:$G$180="acoes"))*Inputs!$B$1+((Inputs!$G$5:$G$180&lt;&gt;"moeda")*(Inputs!$G$5:$G$180&lt;&gt;"acoes")))*INDEX(Inputs!$K$5:$AJ$180,0,MATCH(N$2,Inputs!$K$4:$AJ$4,0)))+SUMPRODUCT((Inputs!$E$5:$E$180=$B45)*Inputs!$F$5:$F$180*(((Inputs!$G$5:$G$180="moeda")+(Inputs!$G$5:$G$180="acoes"))*Inputs!$B$1+((Inputs!$G$5:$G$180&lt;&gt;"moeda")*(Inputs!$G$5:$G$180&lt;&gt;"acoes")))*INDEX(Inputs!$K$5:$AJ$180,0,MATCH(N$2,Inputs!$K$4:$AJ$4,0)))))</f>
        <v>0</v>
      </c>
      <c r="O45" s="6">
        <f>IF(ISNA(MATCH(O$2,Inputs!$K$4:$AJ$4,0)),NA(),IF(SUMPRODUCT((Inputs!$A$5:$A$180=$B45)*ISNUMBER(INDEX(Inputs!$K$5:$AJ$180,0,MATCH(O$2,Inputs!$K$4:$AJ$4,0))))+SUMPRODUCT((Inputs!$C$5:$C$180=$B45)*ISNUMBER(INDEX(Inputs!$K$5:$AJ$180,0,MATCH(O$2,Inputs!$K$4:$AJ$4,0))))+SUMPRODUCT((Inputs!$E$5:$E$180=$B45)*ISNUMBER(INDEX(Inputs!$K$5:$AJ$180,0,MATCH(O$2,Inputs!$K$4:$AJ$4,0))))=0,NA(),SUMPRODUCT((Inputs!$A$5:$A$180=$B45)*Inputs!$B$5:$B$180*(((Inputs!$G$5:$G$180="moeda")+(Inputs!$G$5:$G$180="acoes"))*Inputs!$B$1+((Inputs!$G$5:$G$180&lt;&gt;"moeda")*(Inputs!$G$5:$G$180&lt;&gt;"acoes")))*INDEX(Inputs!$K$5:$AJ$180,0,MATCH(O$2,Inputs!$K$4:$AJ$4,0)))+SUMPRODUCT((Inputs!$C$5:$C$180=$B45)*Inputs!$D$5:$D$180*(((Inputs!$G$5:$G$180="moeda")+(Inputs!$G$5:$G$180="acoes"))*Inputs!$B$1+((Inputs!$G$5:$G$180&lt;&gt;"moeda")*(Inputs!$G$5:$G$180&lt;&gt;"acoes")))*INDEX(Inputs!$K$5:$AJ$180,0,MATCH(O$2,Inputs!$K$4:$AJ$4,0)))+SUMPRODUCT((Inputs!$E$5:$E$180=$B45)*Inputs!$F$5:$F$180*(((Inputs!$G$5:$G$180="moeda")+(Inputs!$G$5:$G$180="acoes"))*Inputs!$B$1+((Inputs!$G$5:$G$180&lt;&gt;"moeda")*(Inputs!$G$5:$G$180&lt;&gt;"acoes")))*INDEX(Inputs!$K$5:$AJ$180,0,MATCH(O$2,Inputs!$K$4:$AJ$4,0)))))</f>
        <v>0</v>
      </c>
      <c r="P45" s="6">
        <f>IF(ISNA(MATCH(P$2,Inputs!$K$4:$AJ$4,0)),NA(),IF(SUMPRODUCT((Inputs!$A$5:$A$180=$B45)*ISNUMBER(INDEX(Inputs!$K$5:$AJ$180,0,MATCH(P$2,Inputs!$K$4:$AJ$4,0))))+SUMPRODUCT((Inputs!$C$5:$C$180=$B45)*ISNUMBER(INDEX(Inputs!$K$5:$AJ$180,0,MATCH(P$2,Inputs!$K$4:$AJ$4,0))))+SUMPRODUCT((Inputs!$E$5:$E$180=$B45)*ISNUMBER(INDEX(Inputs!$K$5:$AJ$180,0,MATCH(P$2,Inputs!$K$4:$AJ$4,0))))=0,NA(),SUMPRODUCT((Inputs!$A$5:$A$180=$B45)*Inputs!$B$5:$B$180*(((Inputs!$G$5:$G$180="moeda")+(Inputs!$G$5:$G$180="acoes"))*Inputs!$B$1+((Inputs!$G$5:$G$180&lt;&gt;"moeda")*(Inputs!$G$5:$G$180&lt;&gt;"acoes")))*INDEX(Inputs!$K$5:$AJ$180,0,MATCH(P$2,Inputs!$K$4:$AJ$4,0)))+SUMPRODUCT((Inputs!$C$5:$C$180=$B45)*Inputs!$D$5:$D$180*(((Inputs!$G$5:$G$180="moeda")+(Inputs!$G$5:$G$180="acoes"))*Inputs!$B$1+((Inputs!$G$5:$G$180&lt;&gt;"moeda")*(Inputs!$G$5:$G$180&lt;&gt;"acoes")))*INDEX(Inputs!$K$5:$AJ$180,0,MATCH(P$2,Inputs!$K$4:$AJ$4,0)))+SUMPRODUCT((Inputs!$E$5:$E$180=$B45)*Inputs!$F$5:$F$180*(((Inputs!$G$5:$G$180="moeda")+(Inputs!$G$5:$G$180="acoes"))*Inputs!$B$1+((Inputs!$G$5:$G$180&lt;&gt;"moeda")*(Inputs!$G$5:$G$180&lt;&gt;"acoes")))*INDEX(Inputs!$K$5:$AJ$180,0,MATCH(P$2,Inputs!$K$4:$AJ$4,0)))))</f>
        <v>0</v>
      </c>
      <c r="Q45" s="6">
        <f>IF(ISNA(MATCH(Q$2,Inputs!$K$4:$AJ$4,0)),NA(),IF(SUMPRODUCT((Inputs!$A$5:$A$180=$B45)*ISNUMBER(INDEX(Inputs!$K$5:$AJ$180,0,MATCH(Q$2,Inputs!$K$4:$AJ$4,0))))+SUMPRODUCT((Inputs!$C$5:$C$180=$B45)*ISNUMBER(INDEX(Inputs!$K$5:$AJ$180,0,MATCH(Q$2,Inputs!$K$4:$AJ$4,0))))+SUMPRODUCT((Inputs!$E$5:$E$180=$B45)*ISNUMBER(INDEX(Inputs!$K$5:$AJ$180,0,MATCH(Q$2,Inputs!$K$4:$AJ$4,0))))=0,NA(),SUMPRODUCT((Inputs!$A$5:$A$180=$B45)*Inputs!$B$5:$B$180*(((Inputs!$G$5:$G$180="moeda")+(Inputs!$G$5:$G$180="acoes"))*Inputs!$B$1+((Inputs!$G$5:$G$180&lt;&gt;"moeda")*(Inputs!$G$5:$G$180&lt;&gt;"acoes")))*INDEX(Inputs!$K$5:$AJ$180,0,MATCH(Q$2,Inputs!$K$4:$AJ$4,0)))+SUMPRODUCT((Inputs!$C$5:$C$180=$B45)*Inputs!$D$5:$D$180*(((Inputs!$G$5:$G$180="moeda")+(Inputs!$G$5:$G$180="acoes"))*Inputs!$B$1+((Inputs!$G$5:$G$180&lt;&gt;"moeda")*(Inputs!$G$5:$G$180&lt;&gt;"acoes")))*INDEX(Inputs!$K$5:$AJ$180,0,MATCH(Q$2,Inputs!$K$4:$AJ$4,0)))+SUMPRODUCT((Inputs!$E$5:$E$180=$B45)*Inputs!$F$5:$F$180*(((Inputs!$G$5:$G$180="moeda")+(Inputs!$G$5:$G$180="acoes"))*Inputs!$B$1+((Inputs!$G$5:$G$180&lt;&gt;"moeda")*(Inputs!$G$5:$G$180&lt;&gt;"acoes")))*INDEX(Inputs!$K$5:$AJ$180,0,MATCH(Q$2,Inputs!$K$4:$AJ$4,0)))))</f>
        <v>0</v>
      </c>
      <c r="R45" s="3">
        <f>Q45</f>
        <v>0</v>
      </c>
      <c r="S45" s="6">
        <f>IF(ISNA(MATCH(S$2,Inputs!$K$4:$AJ$4,0)),NA(),IF(SUMPRODUCT((Inputs!$A$5:$A$180=$B45)*ISNUMBER(INDEX(Inputs!$K$5:$AJ$180,0,MATCH(S$2,Inputs!$K$4:$AJ$4,0))))+SUMPRODUCT((Inputs!$C$5:$C$180=$B45)*ISNUMBER(INDEX(Inputs!$K$5:$AJ$180,0,MATCH(S$2,Inputs!$K$4:$AJ$4,0))))+SUMPRODUCT((Inputs!$E$5:$E$180=$B45)*ISNUMBER(INDEX(Inputs!$K$5:$AJ$180,0,MATCH(S$2,Inputs!$K$4:$AJ$4,0))))=0,NA(),SUMPRODUCT((Inputs!$A$5:$A$180=$B45)*Inputs!$B$5:$B$180*(((Inputs!$G$5:$G$180="moeda")+(Inputs!$G$5:$G$180="acoes"))*Inputs!$B$1+((Inputs!$G$5:$G$180&lt;&gt;"moeda")*(Inputs!$G$5:$G$180&lt;&gt;"acoes")))*INDEX(Inputs!$K$5:$AJ$180,0,MATCH(S$2,Inputs!$K$4:$AJ$4,0)))+SUMPRODUCT((Inputs!$C$5:$C$180=$B45)*Inputs!$D$5:$D$180*(((Inputs!$G$5:$G$180="moeda")+(Inputs!$G$5:$G$180="acoes"))*Inputs!$B$1+((Inputs!$G$5:$G$180&lt;&gt;"moeda")*(Inputs!$G$5:$G$180&lt;&gt;"acoes")))*INDEX(Inputs!$K$5:$AJ$180,0,MATCH(S$2,Inputs!$K$4:$AJ$4,0)))+SUMPRODUCT((Inputs!$E$5:$E$180=$B45)*Inputs!$F$5:$F$180*(((Inputs!$G$5:$G$180="moeda")+(Inputs!$G$5:$G$180="acoes"))*Inputs!$B$1+((Inputs!$G$5:$G$180&lt;&gt;"moeda")*(Inputs!$G$5:$G$180&lt;&gt;"acoes")))*INDEX(Inputs!$K$5:$AJ$180,0,MATCH(S$2,Inputs!$K$4:$AJ$4,0)))))</f>
        <v>0</v>
      </c>
      <c r="T45" s="6">
        <f>IF(ISNA(MATCH(T$2,Inputs!$K$4:$AJ$4,0)),NA(),IF(SUMPRODUCT((Inputs!$A$5:$A$180=$B45)*ISNUMBER(INDEX(Inputs!$K$5:$AJ$180,0,MATCH(T$2,Inputs!$K$4:$AJ$4,0))))+SUMPRODUCT((Inputs!$C$5:$C$180=$B45)*ISNUMBER(INDEX(Inputs!$K$5:$AJ$180,0,MATCH(T$2,Inputs!$K$4:$AJ$4,0))))+SUMPRODUCT((Inputs!$E$5:$E$180=$B45)*ISNUMBER(INDEX(Inputs!$K$5:$AJ$180,0,MATCH(T$2,Inputs!$K$4:$AJ$4,0))))=0,NA(),SUMPRODUCT((Inputs!$A$5:$A$180=$B45)*Inputs!$B$5:$B$180*(((Inputs!$G$5:$G$180="moeda")+(Inputs!$G$5:$G$180="acoes"))*Inputs!$B$1+((Inputs!$G$5:$G$180&lt;&gt;"moeda")*(Inputs!$G$5:$G$180&lt;&gt;"acoes")))*INDEX(Inputs!$K$5:$AJ$180,0,MATCH(T$2,Inputs!$K$4:$AJ$4,0)))+SUMPRODUCT((Inputs!$C$5:$C$180=$B45)*Inputs!$D$5:$D$180*(((Inputs!$G$5:$G$180="moeda")+(Inputs!$G$5:$G$180="acoes"))*Inputs!$B$1+((Inputs!$G$5:$G$180&lt;&gt;"moeda")*(Inputs!$G$5:$G$180&lt;&gt;"acoes")))*INDEX(Inputs!$K$5:$AJ$180,0,MATCH(T$2,Inputs!$K$4:$AJ$4,0)))+SUMPRODUCT((Inputs!$E$5:$E$180=$B45)*Inputs!$F$5:$F$180*(((Inputs!$G$5:$G$180="moeda")+(Inputs!$G$5:$G$180="acoes"))*Inputs!$B$1+((Inputs!$G$5:$G$180&lt;&gt;"moeda")*(Inputs!$G$5:$G$180&lt;&gt;"acoes")))*INDEX(Inputs!$K$5:$AJ$180,0,MATCH(T$2,Inputs!$K$4:$AJ$4,0)))))</f>
        <v>0</v>
      </c>
      <c r="U45" s="6">
        <f>IF(ISNA(MATCH(U$2,Inputs!$K$4:$AJ$4,0)),NA(),IF(SUMPRODUCT((Inputs!$A$5:$A$180=$B45)*ISNUMBER(INDEX(Inputs!$K$5:$AJ$180,0,MATCH(U$2,Inputs!$K$4:$AJ$4,0))))+SUMPRODUCT((Inputs!$C$5:$C$180=$B45)*ISNUMBER(INDEX(Inputs!$K$5:$AJ$180,0,MATCH(U$2,Inputs!$K$4:$AJ$4,0))))+SUMPRODUCT((Inputs!$E$5:$E$180=$B45)*ISNUMBER(INDEX(Inputs!$K$5:$AJ$180,0,MATCH(U$2,Inputs!$K$4:$AJ$4,0))))=0,NA(),SUMPRODUCT((Inputs!$A$5:$A$180=$B45)*Inputs!$B$5:$B$180*(((Inputs!$G$5:$G$180="moeda")+(Inputs!$G$5:$G$180="acoes"))*Inputs!$B$1+((Inputs!$G$5:$G$180&lt;&gt;"moeda")*(Inputs!$G$5:$G$180&lt;&gt;"acoes")))*INDEX(Inputs!$K$5:$AJ$180,0,MATCH(U$2,Inputs!$K$4:$AJ$4,0)))+SUMPRODUCT((Inputs!$C$5:$C$180=$B45)*Inputs!$D$5:$D$180*(((Inputs!$G$5:$G$180="moeda")+(Inputs!$G$5:$G$180="acoes"))*Inputs!$B$1+((Inputs!$G$5:$G$180&lt;&gt;"moeda")*(Inputs!$G$5:$G$180&lt;&gt;"acoes")))*INDEX(Inputs!$K$5:$AJ$180,0,MATCH(U$2,Inputs!$K$4:$AJ$4,0)))+SUMPRODUCT((Inputs!$E$5:$E$180=$B45)*Inputs!$F$5:$F$180*(((Inputs!$G$5:$G$180="moeda")+(Inputs!$G$5:$G$180="acoes"))*Inputs!$B$1+((Inputs!$G$5:$G$180&lt;&gt;"moeda")*(Inputs!$G$5:$G$180&lt;&gt;"acoes")))*INDEX(Inputs!$K$5:$AJ$180,0,MATCH(U$2,Inputs!$K$4:$AJ$4,0)))))</f>
        <v>-0.0270072</v>
      </c>
      <c r="V45" s="6">
        <f>IF(ISNA(MATCH(V$2,Inputs!$K$4:$AJ$4,0)),NA(),IF(SUMPRODUCT((Inputs!$A$5:$A$180=$B45)*ISNUMBER(INDEX(Inputs!$K$5:$AJ$180,0,MATCH(V$2,Inputs!$K$4:$AJ$4,0))))+SUMPRODUCT((Inputs!$C$5:$C$180=$B45)*ISNUMBER(INDEX(Inputs!$K$5:$AJ$180,0,MATCH(V$2,Inputs!$K$4:$AJ$4,0))))+SUMPRODUCT((Inputs!$E$5:$E$180=$B45)*ISNUMBER(INDEX(Inputs!$K$5:$AJ$180,0,MATCH(V$2,Inputs!$K$4:$AJ$4,0))))=0,NA(),SUMPRODUCT((Inputs!$A$5:$A$180=$B45)*Inputs!$B$5:$B$180*(((Inputs!$G$5:$G$180="moeda")+(Inputs!$G$5:$G$180="acoes"))*Inputs!$B$1+((Inputs!$G$5:$G$180&lt;&gt;"moeda")*(Inputs!$G$5:$G$180&lt;&gt;"acoes")))*INDEX(Inputs!$K$5:$AJ$180,0,MATCH(V$2,Inputs!$K$4:$AJ$4,0)))+SUMPRODUCT((Inputs!$C$5:$C$180=$B45)*Inputs!$D$5:$D$180*(((Inputs!$G$5:$G$180="moeda")+(Inputs!$G$5:$G$180="acoes"))*Inputs!$B$1+((Inputs!$G$5:$G$180&lt;&gt;"moeda")*(Inputs!$G$5:$G$180&lt;&gt;"acoes")))*INDEX(Inputs!$K$5:$AJ$180,0,MATCH(V$2,Inputs!$K$4:$AJ$4,0)))+SUMPRODUCT((Inputs!$E$5:$E$180=$B45)*Inputs!$F$5:$F$180*(((Inputs!$G$5:$G$180="moeda")+(Inputs!$G$5:$G$180="acoes"))*Inputs!$B$1+((Inputs!$G$5:$G$180&lt;&gt;"moeda")*(Inputs!$G$5:$G$180&lt;&gt;"acoes")))*INDEX(Inputs!$K$5:$AJ$180,0,MATCH(V$2,Inputs!$K$4:$AJ$4,0)))))</f>
        <v>0.46574497</v>
      </c>
      <c r="W45" s="3">
        <f>V45</f>
        <v>0.46574497</v>
      </c>
      <c r="X45" s="6">
        <f>IF(ISNA(MATCH(X$2,Inputs!$K$4:$AJ$4,0)),NA(),IF(SUMPRODUCT((Inputs!$A$5:$A$180=$B45)*ISNUMBER(INDEX(Inputs!$K$5:$AJ$180,0,MATCH(X$2,Inputs!$K$4:$AJ$4,0))))+SUMPRODUCT((Inputs!$C$5:$C$180=$B45)*ISNUMBER(INDEX(Inputs!$K$5:$AJ$180,0,MATCH(X$2,Inputs!$K$4:$AJ$4,0))))+SUMPRODUCT((Inputs!$E$5:$E$180=$B45)*ISNUMBER(INDEX(Inputs!$K$5:$AJ$180,0,MATCH(X$2,Inputs!$K$4:$AJ$4,0))))=0,NA(),SUMPRODUCT((Inputs!$A$5:$A$180=$B45)*Inputs!$B$5:$B$180*(((Inputs!$G$5:$G$180="moeda")+(Inputs!$G$5:$G$180="acoes"))*Inputs!$B$1+((Inputs!$G$5:$G$180&lt;&gt;"moeda")*(Inputs!$G$5:$G$180&lt;&gt;"acoes")))*INDEX(Inputs!$K$5:$AJ$180,0,MATCH(X$2,Inputs!$K$4:$AJ$4,0)))+SUMPRODUCT((Inputs!$C$5:$C$180=$B45)*Inputs!$D$5:$D$180*(((Inputs!$G$5:$G$180="moeda")+(Inputs!$G$5:$G$180="acoes"))*Inputs!$B$1+((Inputs!$G$5:$G$180&lt;&gt;"moeda")*(Inputs!$G$5:$G$180&lt;&gt;"acoes")))*INDEX(Inputs!$K$5:$AJ$180,0,MATCH(X$2,Inputs!$K$4:$AJ$4,0)))+SUMPRODUCT((Inputs!$E$5:$E$180=$B45)*Inputs!$F$5:$F$180*(((Inputs!$G$5:$G$180="moeda")+(Inputs!$G$5:$G$180="acoes"))*Inputs!$B$1+((Inputs!$G$5:$G$180&lt;&gt;"moeda")*(Inputs!$G$5:$G$180&lt;&gt;"acoes")))*INDEX(Inputs!$K$5:$AJ$180,0,MATCH(X$2,Inputs!$K$4:$AJ$4,0)))))</f>
        <v>0.10417595</v>
      </c>
      <c r="Y45" s="6">
        <f>IF(ISNA(MATCH(Y$2,Inputs!$K$4:$AJ$4,0)),NA(),IF(SUMPRODUCT((Inputs!$A$5:$A$180=$B45)*ISNUMBER(INDEX(Inputs!$K$5:$AJ$180,0,MATCH(Y$2,Inputs!$K$4:$AJ$4,0))))+SUMPRODUCT((Inputs!$C$5:$C$180=$B45)*ISNUMBER(INDEX(Inputs!$K$5:$AJ$180,0,MATCH(Y$2,Inputs!$K$4:$AJ$4,0))))+SUMPRODUCT((Inputs!$E$5:$E$180=$B45)*ISNUMBER(INDEX(Inputs!$K$5:$AJ$180,0,MATCH(Y$2,Inputs!$K$4:$AJ$4,0))))=0,NA(),SUMPRODUCT((Inputs!$A$5:$A$180=$B45)*Inputs!$B$5:$B$180*(((Inputs!$G$5:$G$180="moeda")+(Inputs!$G$5:$G$180="acoes"))*Inputs!$B$1+((Inputs!$G$5:$G$180&lt;&gt;"moeda")*(Inputs!$G$5:$G$180&lt;&gt;"acoes")))*INDEX(Inputs!$K$5:$AJ$180,0,MATCH(Y$2,Inputs!$K$4:$AJ$4,0)))+SUMPRODUCT((Inputs!$C$5:$C$180=$B45)*Inputs!$D$5:$D$180*(((Inputs!$G$5:$G$180="moeda")+(Inputs!$G$5:$G$180="acoes"))*Inputs!$B$1+((Inputs!$G$5:$G$180&lt;&gt;"moeda")*(Inputs!$G$5:$G$180&lt;&gt;"acoes")))*INDEX(Inputs!$K$5:$AJ$180,0,MATCH(Y$2,Inputs!$K$4:$AJ$4,0)))+SUMPRODUCT((Inputs!$E$5:$E$180=$B45)*Inputs!$F$5:$F$180*(((Inputs!$G$5:$G$180="moeda")+(Inputs!$G$5:$G$180="acoes"))*Inputs!$B$1+((Inputs!$G$5:$G$180&lt;&gt;"moeda")*(Inputs!$G$5:$G$180&lt;&gt;"acoes")))*INDEX(Inputs!$K$5:$AJ$180,0,MATCH(Y$2,Inputs!$K$4:$AJ$4,0)))))</f>
        <v>-0.09364495</v>
      </c>
      <c r="Z45" s="6">
        <f>IF(ISNA(MATCH(Z$2,Inputs!$K$4:$AJ$4,0)),NA(),IF(SUMPRODUCT((Inputs!$A$5:$A$180=$B45)*ISNUMBER(INDEX(Inputs!$K$5:$AJ$180,0,MATCH(Z$2,Inputs!$K$4:$AJ$4,0))))+SUMPRODUCT((Inputs!$C$5:$C$180=$B45)*ISNUMBER(INDEX(Inputs!$K$5:$AJ$180,0,MATCH(Z$2,Inputs!$K$4:$AJ$4,0))))+SUMPRODUCT((Inputs!$E$5:$E$180=$B45)*ISNUMBER(INDEX(Inputs!$K$5:$AJ$180,0,MATCH(Z$2,Inputs!$K$4:$AJ$4,0))))=0,NA(),SUMPRODUCT((Inputs!$A$5:$A$180=$B45)*Inputs!$B$5:$B$180*(((Inputs!$G$5:$G$180="moeda")+(Inputs!$G$5:$G$180="acoes"))*Inputs!$B$1+((Inputs!$G$5:$G$180&lt;&gt;"moeda")*(Inputs!$G$5:$G$180&lt;&gt;"acoes")))*INDEX(Inputs!$K$5:$AJ$180,0,MATCH(Z$2,Inputs!$K$4:$AJ$4,0)))+SUMPRODUCT((Inputs!$C$5:$C$180=$B45)*Inputs!$D$5:$D$180*(((Inputs!$G$5:$G$180="moeda")+(Inputs!$G$5:$G$180="acoes"))*Inputs!$B$1+((Inputs!$G$5:$G$180&lt;&gt;"moeda")*(Inputs!$G$5:$G$180&lt;&gt;"acoes")))*INDEX(Inputs!$K$5:$AJ$180,0,MATCH(Z$2,Inputs!$K$4:$AJ$4,0)))+SUMPRODUCT((Inputs!$E$5:$E$180=$B45)*Inputs!$F$5:$F$180*(((Inputs!$G$5:$G$180="moeda")+(Inputs!$G$5:$G$180="acoes"))*Inputs!$B$1+((Inputs!$G$5:$G$180&lt;&gt;"moeda")*(Inputs!$G$5:$G$180&lt;&gt;"acoes")))*INDEX(Inputs!$K$5:$AJ$180,0,MATCH(Z$2,Inputs!$K$4:$AJ$4,0)))))</f>
        <v>-0.182</v>
      </c>
      <c r="AA45" s="6">
        <f>IF(ISNA(MATCH(AA$2,Inputs!$K$4:$AJ$4,0)),NA(),IF(SUMPRODUCT((Inputs!$A$5:$A$180=$B45)*ISNUMBER(INDEX(Inputs!$K$5:$AJ$180,0,MATCH(AA$2,Inputs!$K$4:$AJ$4,0))))+SUMPRODUCT((Inputs!$C$5:$C$180=$B45)*ISNUMBER(INDEX(Inputs!$K$5:$AJ$180,0,MATCH(AA$2,Inputs!$K$4:$AJ$4,0))))+SUMPRODUCT((Inputs!$E$5:$E$180=$B45)*ISNUMBER(INDEX(Inputs!$K$5:$AJ$180,0,MATCH(AA$2,Inputs!$K$4:$AJ$4,0))))=0,NA(),SUMPRODUCT((Inputs!$A$5:$A$180=$B45)*Inputs!$B$5:$B$180*(((Inputs!$G$5:$G$180="moeda")+(Inputs!$G$5:$G$180="acoes"))*Inputs!$B$1+((Inputs!$G$5:$G$180&lt;&gt;"moeda")*(Inputs!$G$5:$G$180&lt;&gt;"acoes")))*INDEX(Inputs!$K$5:$AJ$180,0,MATCH(AA$2,Inputs!$K$4:$AJ$4,0)))+SUMPRODUCT((Inputs!$C$5:$C$180=$B45)*Inputs!$D$5:$D$180*(((Inputs!$G$5:$G$180="moeda")+(Inputs!$G$5:$G$180="acoes"))*Inputs!$B$1+((Inputs!$G$5:$G$180&lt;&gt;"moeda")*(Inputs!$G$5:$G$180&lt;&gt;"acoes")))*INDEX(Inputs!$K$5:$AJ$180,0,MATCH(AA$2,Inputs!$K$4:$AJ$4,0)))+SUMPRODUCT((Inputs!$E$5:$E$180=$B45)*Inputs!$F$5:$F$180*(((Inputs!$G$5:$G$180="moeda")+(Inputs!$G$5:$G$180="acoes"))*Inputs!$B$1+((Inputs!$G$5:$G$180&lt;&gt;"moeda")*(Inputs!$G$5:$G$180&lt;&gt;"acoes")))*INDEX(Inputs!$K$5:$AJ$180,0,MATCH(AA$2,Inputs!$K$4:$AJ$4,0)))))</f>
        <v>-0.07808096</v>
      </c>
      <c r="AB45" s="3">
        <f>AA45</f>
        <v>-0.07808096</v>
      </c>
      <c r="AC45" s="6">
        <f>IF(ISNA(MATCH(AC$2,Inputs!$K$4:$AJ$4,0)),NA(),IF(SUMPRODUCT((Inputs!$A$5:$A$180=$B45)*ISNUMBER(INDEX(Inputs!$K$5:$AJ$180,0,MATCH(AC$2,Inputs!$K$4:$AJ$4,0))))+SUMPRODUCT((Inputs!$C$5:$C$180=$B45)*ISNUMBER(INDEX(Inputs!$K$5:$AJ$180,0,MATCH(AC$2,Inputs!$K$4:$AJ$4,0))))+SUMPRODUCT((Inputs!$E$5:$E$180=$B45)*ISNUMBER(INDEX(Inputs!$K$5:$AJ$180,0,MATCH(AC$2,Inputs!$K$4:$AJ$4,0))))=0,NA(),SUMPRODUCT((Inputs!$A$5:$A$180=$B45)*Inputs!$B$5:$B$180*(((Inputs!$G$5:$G$180="moeda")+(Inputs!$G$5:$G$180="acoes"))*Inputs!$B$1+((Inputs!$G$5:$G$180&lt;&gt;"moeda")*(Inputs!$G$5:$G$180&lt;&gt;"acoes")))*INDEX(Inputs!$K$5:$AJ$180,0,MATCH(AC$2,Inputs!$K$4:$AJ$4,0)))+SUMPRODUCT((Inputs!$C$5:$C$180=$B45)*Inputs!$D$5:$D$180*(((Inputs!$G$5:$G$180="moeda")+(Inputs!$G$5:$G$180="acoes"))*Inputs!$B$1+((Inputs!$G$5:$G$180&lt;&gt;"moeda")*(Inputs!$G$5:$G$180&lt;&gt;"acoes")))*INDEX(Inputs!$K$5:$AJ$180,0,MATCH(AC$2,Inputs!$K$4:$AJ$4,0)))+SUMPRODUCT((Inputs!$E$5:$E$180=$B45)*Inputs!$F$5:$F$180*(((Inputs!$G$5:$G$180="moeda")+(Inputs!$G$5:$G$180="acoes"))*Inputs!$B$1+((Inputs!$G$5:$G$180&lt;&gt;"moeda")*(Inputs!$G$5:$G$180&lt;&gt;"acoes")))*INDEX(Inputs!$K$5:$AJ$180,0,MATCH(AC$2,Inputs!$K$4:$AJ$4,0)))))</f>
        <v>-0.23292959</v>
      </c>
      <c r="AD45" s="6">
        <f>IF(ISNA(MATCH(AD$2,Inputs!$K$4:$AJ$4,0)),NA(),IF(SUMPRODUCT((Inputs!$A$5:$A$180=$B45)*ISNUMBER(INDEX(Inputs!$K$5:$AJ$180,0,MATCH(AD$2,Inputs!$K$4:$AJ$4,0))))+SUMPRODUCT((Inputs!$C$5:$C$180=$B45)*ISNUMBER(INDEX(Inputs!$K$5:$AJ$180,0,MATCH(AD$2,Inputs!$K$4:$AJ$4,0))))+SUMPRODUCT((Inputs!$E$5:$E$180=$B45)*ISNUMBER(INDEX(Inputs!$K$5:$AJ$180,0,MATCH(AD$2,Inputs!$K$4:$AJ$4,0))))=0,NA(),SUMPRODUCT((Inputs!$A$5:$A$180=$B45)*Inputs!$B$5:$B$180*(((Inputs!$G$5:$G$180="moeda")+(Inputs!$G$5:$G$180="acoes"))*Inputs!$B$1+((Inputs!$G$5:$G$180&lt;&gt;"moeda")*(Inputs!$G$5:$G$180&lt;&gt;"acoes")))*INDEX(Inputs!$K$5:$AJ$180,0,MATCH(AD$2,Inputs!$K$4:$AJ$4,0)))+SUMPRODUCT((Inputs!$C$5:$C$180=$B45)*Inputs!$D$5:$D$180*(((Inputs!$G$5:$G$180="moeda")+(Inputs!$G$5:$G$180="acoes"))*Inputs!$B$1+((Inputs!$G$5:$G$180&lt;&gt;"moeda")*(Inputs!$G$5:$G$180&lt;&gt;"acoes")))*INDEX(Inputs!$K$5:$AJ$180,0,MATCH(AD$2,Inputs!$K$4:$AJ$4,0)))+SUMPRODUCT((Inputs!$E$5:$E$180=$B45)*Inputs!$F$5:$F$180*(((Inputs!$G$5:$G$180="moeda")+(Inputs!$G$5:$G$180="acoes"))*Inputs!$B$1+((Inputs!$G$5:$G$180&lt;&gt;"moeda")*(Inputs!$G$5:$G$180&lt;&gt;"acoes")))*INDEX(Inputs!$K$5:$AJ$180,0,MATCH(AD$2,Inputs!$K$4:$AJ$4,0)))))</f>
        <v>-0.2638663</v>
      </c>
      <c r="AE45" s="6" t="e">
        <f>IF(ISNA(MATCH(AE$2,Inputs!$K$4:$AJ$4,0)),NA(),IF(SUMPRODUCT((Inputs!$A$5:$A$180=$B45)*ISNUMBER(INDEX(Inputs!$K$5:$AJ$180,0,MATCH(AE$2,Inputs!$K$4:$AJ$4,0))))+SUMPRODUCT((Inputs!$C$5:$C$180=$B45)*ISNUMBER(INDEX(Inputs!$K$5:$AJ$180,0,MATCH(AE$2,Inputs!$K$4:$AJ$4,0))))+SUMPRODUCT((Inputs!$E$5:$E$180=$B45)*ISNUMBER(INDEX(Inputs!$K$5:$AJ$180,0,MATCH(AE$2,Inputs!$K$4:$AJ$4,0))))=0,NA(),SUMPRODUCT((Inputs!$A$5:$A$180=$B45)*Inputs!$B$5:$B$180*(((Inputs!$G$5:$G$180="moeda")+(Inputs!$G$5:$G$180="acoes"))*Inputs!$B$1+((Inputs!$G$5:$G$180&lt;&gt;"moeda")*(Inputs!$G$5:$G$180&lt;&gt;"acoes")))*INDEX(Inputs!$K$5:$AJ$180,0,MATCH(AE$2,Inputs!$K$4:$AJ$4,0)))+SUMPRODUCT((Inputs!$C$5:$C$180=$B45)*Inputs!$D$5:$D$180*(((Inputs!$G$5:$G$180="moeda")+(Inputs!$G$5:$G$180="acoes"))*Inputs!$B$1+((Inputs!$G$5:$G$180&lt;&gt;"moeda")*(Inputs!$G$5:$G$180&lt;&gt;"acoes")))*INDEX(Inputs!$K$5:$AJ$180,0,MATCH(AE$2,Inputs!$K$4:$AJ$4,0)))+SUMPRODUCT((Inputs!$E$5:$E$180=$B45)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5" s="6" t="e">
        <f>IF(ISNA(MATCH(AF$2,Inputs!$K$4:$AJ$4,0)),NA(),IF(SUMPRODUCT((Inputs!$A$5:$A$180=$B45)*ISNUMBER(INDEX(Inputs!$K$5:$AJ$180,0,MATCH(AF$2,Inputs!$K$4:$AJ$4,0))))+SUMPRODUCT((Inputs!$C$5:$C$180=$B45)*ISNUMBER(INDEX(Inputs!$K$5:$AJ$180,0,MATCH(AF$2,Inputs!$K$4:$AJ$4,0))))+SUMPRODUCT((Inputs!$E$5:$E$180=$B45)*ISNUMBER(INDEX(Inputs!$K$5:$AJ$180,0,MATCH(AF$2,Inputs!$K$4:$AJ$4,0))))=0,NA(),SUMPRODUCT((Inputs!$A$5:$A$180=$B45)*Inputs!$B$5:$B$180*(((Inputs!$G$5:$G$180="moeda")+(Inputs!$G$5:$G$180="acoes"))*Inputs!$B$1+((Inputs!$G$5:$G$180&lt;&gt;"moeda")*(Inputs!$G$5:$G$180&lt;&gt;"acoes")))*INDEX(Inputs!$K$5:$AJ$180,0,MATCH(AF$2,Inputs!$K$4:$AJ$4,0)))+SUMPRODUCT((Inputs!$C$5:$C$180=$B45)*Inputs!$D$5:$D$180*(((Inputs!$G$5:$G$180="moeda")+(Inputs!$G$5:$G$180="acoes"))*Inputs!$B$1+((Inputs!$G$5:$G$180&lt;&gt;"moeda")*(Inputs!$G$5:$G$180&lt;&gt;"acoes")))*INDEX(Inputs!$K$5:$AJ$180,0,MATCH(AF$2,Inputs!$K$4:$AJ$4,0)))+SUMPRODUCT((Inputs!$E$5:$E$180=$B45)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5" s="3" t="e">
        <f>AF45</f>
        <v>#N/A</v>
      </c>
      <c r="AH45" s="6">
        <f>IF(ISNA(MATCH(AH$2,Inputs!$K$4:$AJ$4,0)),NA(),IF(SUMPRODUCT((Inputs!$A$5:$A$180=$B45)*ISNUMBER(INDEX(Inputs!$K$5:$AJ$180,0,MATCH(AH$2,Inputs!$K$4:$AJ$4,0))))+SUMPRODUCT((Inputs!$C$5:$C$180=$B45)*ISNUMBER(INDEX(Inputs!$K$5:$AJ$180,0,MATCH(AH$2,Inputs!$K$4:$AJ$4,0))))+SUMPRODUCT((Inputs!$E$5:$E$180=$B45)*ISNUMBER(INDEX(Inputs!$K$5:$AJ$180,0,MATCH(AH$2,Inputs!$K$4:$AJ$4,0))))=0,NA(),SUMPRODUCT((Inputs!$A$5:$A$180=$B45)*Inputs!$B$5:$B$180*(((Inputs!$G$5:$G$180="moeda")+(Inputs!$G$5:$G$180="acoes"))*Inputs!$B$1+((Inputs!$G$5:$G$180&lt;&gt;"moeda")*(Inputs!$G$5:$G$180&lt;&gt;"acoes")))*INDEX(Inputs!$K$5:$AJ$180,0,MATCH(AH$2,Inputs!$K$4:$AJ$4,0)))+SUMPRODUCT((Inputs!$C$5:$C$180=$B45)*Inputs!$D$5:$D$180*(((Inputs!$G$5:$G$180="moeda")+(Inputs!$G$5:$G$180="acoes"))*Inputs!$B$1+((Inputs!$G$5:$G$180&lt;&gt;"moeda")*(Inputs!$G$5:$G$180&lt;&gt;"acoes")))*INDEX(Inputs!$K$5:$AJ$180,0,MATCH(AH$2,Inputs!$K$4:$AJ$4,0)))+SUMPRODUCT((Inputs!$E$5:$E$180=$B45)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5" s="6">
        <f>IF(ISNA(MATCH(AI$2,Inputs!$K$4:$AJ$4,0)),NA(),IF(SUMPRODUCT((Inputs!$A$5:$A$180=$B45)*ISNUMBER(INDEX(Inputs!$K$5:$AJ$180,0,MATCH(AI$2,Inputs!$K$4:$AJ$4,0))))+SUMPRODUCT((Inputs!$C$5:$C$180=$B45)*ISNUMBER(INDEX(Inputs!$K$5:$AJ$180,0,MATCH(AI$2,Inputs!$K$4:$AJ$4,0))))+SUMPRODUCT((Inputs!$E$5:$E$180=$B45)*ISNUMBER(INDEX(Inputs!$K$5:$AJ$180,0,MATCH(AI$2,Inputs!$K$4:$AJ$4,0))))=0,NA(),SUMPRODUCT((Inputs!$A$5:$A$180=$B45)*Inputs!$B$5:$B$180*(((Inputs!$G$5:$G$180="moeda")+(Inputs!$G$5:$G$180="acoes"))*Inputs!$B$1+((Inputs!$G$5:$G$180&lt;&gt;"moeda")*(Inputs!$G$5:$G$180&lt;&gt;"acoes")))*INDEX(Inputs!$K$5:$AJ$180,0,MATCH(AI$2,Inputs!$K$4:$AJ$4,0)))+SUMPRODUCT((Inputs!$C$5:$C$180=$B45)*Inputs!$D$5:$D$180*(((Inputs!$G$5:$G$180="moeda")+(Inputs!$G$5:$G$180="acoes"))*Inputs!$B$1+((Inputs!$G$5:$G$180&lt;&gt;"moeda")*(Inputs!$G$5:$G$180&lt;&gt;"acoes")))*INDEX(Inputs!$K$5:$AJ$180,0,MATCH(AI$2,Inputs!$K$4:$AJ$4,0)))+SUMPRODUCT((Inputs!$E$5:$E$180=$B45)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5" s="6">
        <f>IF(ISNA(MATCH(AJ$2,Inputs!$K$4:$AJ$4,0)),NA(),IF(SUMPRODUCT((Inputs!$A$5:$A$180=$B45)*ISNUMBER(INDEX(Inputs!$K$5:$AJ$180,0,MATCH(AJ$2,Inputs!$K$4:$AJ$4,0))))+SUMPRODUCT((Inputs!$C$5:$C$180=$B45)*ISNUMBER(INDEX(Inputs!$K$5:$AJ$180,0,MATCH(AJ$2,Inputs!$K$4:$AJ$4,0))))+SUMPRODUCT((Inputs!$E$5:$E$180=$B45)*ISNUMBER(INDEX(Inputs!$K$5:$AJ$180,0,MATCH(AJ$2,Inputs!$K$4:$AJ$4,0))))=0,NA(),SUMPRODUCT((Inputs!$A$5:$A$180=$B45)*Inputs!$B$5:$B$180*(((Inputs!$G$5:$G$180="moeda")+(Inputs!$G$5:$G$180="acoes"))*Inputs!$B$1+((Inputs!$G$5:$G$180&lt;&gt;"moeda")*(Inputs!$G$5:$G$180&lt;&gt;"acoes")))*INDEX(Inputs!$K$5:$AJ$180,0,MATCH(AJ$2,Inputs!$K$4:$AJ$4,0)))+SUMPRODUCT((Inputs!$C$5:$C$180=$B45)*Inputs!$D$5:$D$180*(((Inputs!$G$5:$G$180="moeda")+(Inputs!$G$5:$G$180="acoes"))*Inputs!$B$1+((Inputs!$G$5:$G$180&lt;&gt;"moeda")*(Inputs!$G$5:$G$180&lt;&gt;"acoes")))*INDEX(Inputs!$K$5:$AJ$180,0,MATCH(AJ$2,Inputs!$K$4:$AJ$4,0)))+SUMPRODUCT((Inputs!$E$5:$E$180=$B45)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5" s="6">
        <f>IF(ISNA(MATCH(AK$2,Inputs!$K$4:$AJ$4,0)),NA(),IF(SUMPRODUCT((Inputs!$A$5:$A$180=$B45)*ISNUMBER(INDEX(Inputs!$K$5:$AJ$180,0,MATCH(AK$2,Inputs!$K$4:$AJ$4,0))))+SUMPRODUCT((Inputs!$C$5:$C$180=$B45)*ISNUMBER(INDEX(Inputs!$K$5:$AJ$180,0,MATCH(AK$2,Inputs!$K$4:$AJ$4,0))))+SUMPRODUCT((Inputs!$E$5:$E$180=$B45)*ISNUMBER(INDEX(Inputs!$K$5:$AJ$180,0,MATCH(AK$2,Inputs!$K$4:$AJ$4,0))))=0,NA(),SUMPRODUCT((Inputs!$A$5:$A$180=$B45)*Inputs!$B$5:$B$180*(((Inputs!$G$5:$G$180="moeda")+(Inputs!$G$5:$G$180="acoes"))*Inputs!$B$1+((Inputs!$G$5:$G$180&lt;&gt;"moeda")*(Inputs!$G$5:$G$180&lt;&gt;"acoes")))*INDEX(Inputs!$K$5:$AJ$180,0,MATCH(AK$2,Inputs!$K$4:$AJ$4,0)))+SUMPRODUCT((Inputs!$C$5:$C$180=$B45)*Inputs!$D$5:$D$180*(((Inputs!$G$5:$G$180="moeda")+(Inputs!$G$5:$G$180="acoes"))*Inputs!$B$1+((Inputs!$G$5:$G$180&lt;&gt;"moeda")*(Inputs!$G$5:$G$180&lt;&gt;"acoes")))*INDEX(Inputs!$K$5:$AJ$180,0,MATCH(AK$2,Inputs!$K$4:$AJ$4,0)))+SUMPRODUCT((Inputs!$E$5:$E$180=$B45)*Inputs!$F$5:$F$180*(((Inputs!$G$5:$G$180="moeda")+(Inputs!$G$5:$G$180="acoes"))*Inputs!$B$1+((Inputs!$G$5:$G$180&lt;&gt;"moeda")*(Inputs!$G$5:$G$180&lt;&gt;"acoes")))*INDEX(Inputs!$K$5:$AJ$180,0,MATCH(AK$2,Inputs!$K$4:$AJ$4,0)))))</f>
        <v>0</v>
      </c>
      <c r="AL45" s="3">
        <f>AK45</f>
        <v>0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$180=$B46)*ISNUMBER(INDEX(Inputs!$K$5:$AJ$180,0,MATCH(D$2,Inputs!$K$4:$AJ$4,0))))+SUMPRODUCT((Inputs!$C$5:$C$180=$B46)*ISNUMBER(INDEX(Inputs!$K$5:$AJ$180,0,MATCH(D$2,Inputs!$K$4:$AJ$4,0))))+SUMPRODUCT((Inputs!$E$5:$E$180=$B46)*ISNUMBER(INDEX(Inputs!$K$5:$AJ$180,0,MATCH(D$2,Inputs!$K$4:$AJ$4,0))))=0,NA(),SUMPRODUCT((Inputs!$A$5:$A$180=$B46)*Inputs!$B$5:$B$180*(((Inputs!$G$5:$G$180="moeda")+(Inputs!$G$5:$G$180="acoes"))*Inputs!$B$1+((Inputs!$G$5:$G$180&lt;&gt;"moeda")*(Inputs!$G$5:$G$180&lt;&gt;"acoes")))*INDEX(Inputs!$K$5:$AJ$180,0,MATCH(D$2,Inputs!$K$4:$AJ$4,0)))+SUMPRODUCT((Inputs!$C$5:$C$180=$B46)*Inputs!$D$5:$D$180*(((Inputs!$G$5:$G$180="moeda")+(Inputs!$G$5:$G$180="acoes"))*Inputs!$B$1+((Inputs!$G$5:$G$180&lt;&gt;"moeda")*(Inputs!$G$5:$G$180&lt;&gt;"acoes")))*INDEX(Inputs!$K$5:$AJ$180,0,MATCH(D$2,Inputs!$K$4:$AJ$4,0)))+SUMPRODUCT((Inputs!$E$5:$E$180=$B46)*Inputs!$F$5:$F$180*(((Inputs!$G$5:$G$180="moeda")+(Inputs!$G$5:$G$180="acoes"))*Inputs!$B$1+((Inputs!$G$5:$G$180&lt;&gt;"moeda")*(Inputs!$G$5:$G$180&lt;&gt;"acoes")))*INDEX(Inputs!$K$5:$AJ$180,0,MATCH(D$2,Inputs!$K$4:$AJ$4,0)))))</f>
        <v>-53.04112672</v>
      </c>
      <c r="E46" s="6">
        <f>IF(ISNA(MATCH(E$2,Inputs!$K$4:$AJ$4,0)),NA(),IF(SUMPRODUCT((Inputs!$A$5:$A$180=$B46)*ISNUMBER(INDEX(Inputs!$K$5:$AJ$180,0,MATCH(E$2,Inputs!$K$4:$AJ$4,0))))+SUMPRODUCT((Inputs!$C$5:$C$180=$B46)*ISNUMBER(INDEX(Inputs!$K$5:$AJ$180,0,MATCH(E$2,Inputs!$K$4:$AJ$4,0))))+SUMPRODUCT((Inputs!$E$5:$E$180=$B46)*ISNUMBER(INDEX(Inputs!$K$5:$AJ$180,0,MATCH(E$2,Inputs!$K$4:$AJ$4,0))))=0,NA(),SUMPRODUCT((Inputs!$A$5:$A$180=$B46)*Inputs!$B$5:$B$180*(((Inputs!$G$5:$G$180="moeda")+(Inputs!$G$5:$G$180="acoes"))*Inputs!$B$1+((Inputs!$G$5:$G$180&lt;&gt;"moeda")*(Inputs!$G$5:$G$180&lt;&gt;"acoes")))*INDEX(Inputs!$K$5:$AJ$180,0,MATCH(E$2,Inputs!$K$4:$AJ$4,0)))+SUMPRODUCT((Inputs!$C$5:$C$180=$B46)*Inputs!$D$5:$D$180*(((Inputs!$G$5:$G$180="moeda")+(Inputs!$G$5:$G$180="acoes"))*Inputs!$B$1+((Inputs!$G$5:$G$180&lt;&gt;"moeda")*(Inputs!$G$5:$G$180&lt;&gt;"acoes")))*INDEX(Inputs!$K$5:$AJ$180,0,MATCH(E$2,Inputs!$K$4:$AJ$4,0)))+SUMPRODUCT((Inputs!$E$5:$E$180=$B46)*Inputs!$F$5:$F$180*(((Inputs!$G$5:$G$180="moeda")+(Inputs!$G$5:$G$180="acoes"))*Inputs!$B$1+((Inputs!$G$5:$G$180&lt;&gt;"moeda")*(Inputs!$G$5:$G$180&lt;&gt;"acoes")))*INDEX(Inputs!$K$5:$AJ$180,0,MATCH(E$2,Inputs!$K$4:$AJ$4,0)))))</f>
        <v>-53.04112672</v>
      </c>
      <c r="F46" s="6">
        <f>IF(ISNA(MATCH(F$2,Inputs!$K$4:$AJ$4,0)),NA(),IF(SUMPRODUCT((Inputs!$A$5:$A$180=$B46)*ISNUMBER(INDEX(Inputs!$K$5:$AJ$180,0,MATCH(F$2,Inputs!$K$4:$AJ$4,0))))+SUMPRODUCT((Inputs!$C$5:$C$180=$B46)*ISNUMBER(INDEX(Inputs!$K$5:$AJ$180,0,MATCH(F$2,Inputs!$K$4:$AJ$4,0))))+SUMPRODUCT((Inputs!$E$5:$E$180=$B46)*ISNUMBER(INDEX(Inputs!$K$5:$AJ$180,0,MATCH(F$2,Inputs!$K$4:$AJ$4,0))))=0,NA(),SUMPRODUCT((Inputs!$A$5:$A$180=$B46)*Inputs!$B$5:$B$180*(((Inputs!$G$5:$G$180="moeda")+(Inputs!$G$5:$G$180="acoes"))*Inputs!$B$1+((Inputs!$G$5:$G$180&lt;&gt;"moeda")*(Inputs!$G$5:$G$180&lt;&gt;"acoes")))*INDEX(Inputs!$K$5:$AJ$180,0,MATCH(F$2,Inputs!$K$4:$AJ$4,0)))+SUMPRODUCT((Inputs!$C$5:$C$180=$B46)*Inputs!$D$5:$D$180*(((Inputs!$G$5:$G$180="moeda")+(Inputs!$G$5:$G$180="acoes"))*Inputs!$B$1+((Inputs!$G$5:$G$180&lt;&gt;"moeda")*(Inputs!$G$5:$G$180&lt;&gt;"acoes")))*INDEX(Inputs!$K$5:$AJ$180,0,MATCH(F$2,Inputs!$K$4:$AJ$4,0)))+SUMPRODUCT((Inputs!$E$5:$E$180=$B46)*Inputs!$F$5:$F$180*(((Inputs!$G$5:$G$180="moeda")+(Inputs!$G$5:$G$180="acoes"))*Inputs!$B$1+((Inputs!$G$5:$G$180&lt;&gt;"moeda")*(Inputs!$G$5:$G$180&lt;&gt;"acoes")))*INDEX(Inputs!$K$5:$AJ$180,0,MATCH(F$2,Inputs!$K$4:$AJ$4,0)))))</f>
        <v>-53.04112672</v>
      </c>
      <c r="G46" s="6">
        <f>IF(ISNA(MATCH(G$2,Inputs!$K$4:$AJ$4,0)),NA(),IF(SUMPRODUCT((Inputs!$A$5:$A$180=$B46)*ISNUMBER(INDEX(Inputs!$K$5:$AJ$180,0,MATCH(G$2,Inputs!$K$4:$AJ$4,0))))+SUMPRODUCT((Inputs!$C$5:$C$180=$B46)*ISNUMBER(INDEX(Inputs!$K$5:$AJ$180,0,MATCH(G$2,Inputs!$K$4:$AJ$4,0))))+SUMPRODUCT((Inputs!$E$5:$E$180=$B46)*ISNUMBER(INDEX(Inputs!$K$5:$AJ$180,0,MATCH(G$2,Inputs!$K$4:$AJ$4,0))))=0,NA(),SUMPRODUCT((Inputs!$A$5:$A$180=$B46)*Inputs!$B$5:$B$180*(((Inputs!$G$5:$G$180="moeda")+(Inputs!$G$5:$G$180="acoes"))*Inputs!$B$1+((Inputs!$G$5:$G$180&lt;&gt;"moeda")*(Inputs!$G$5:$G$180&lt;&gt;"acoes")))*INDEX(Inputs!$K$5:$AJ$180,0,MATCH(G$2,Inputs!$K$4:$AJ$4,0)))+SUMPRODUCT((Inputs!$C$5:$C$180=$B46)*Inputs!$D$5:$D$180*(((Inputs!$G$5:$G$180="moeda")+(Inputs!$G$5:$G$180="acoes"))*Inputs!$B$1+((Inputs!$G$5:$G$180&lt;&gt;"moeda")*(Inputs!$G$5:$G$180&lt;&gt;"acoes")))*INDEX(Inputs!$K$5:$AJ$180,0,MATCH(G$2,Inputs!$K$4:$AJ$4,0)))+SUMPRODUCT((Inputs!$E$5:$E$180=$B46)*Inputs!$F$5:$F$180*(((Inputs!$G$5:$G$180="moeda")+(Inputs!$G$5:$G$180="acoes"))*Inputs!$B$1+((Inputs!$G$5:$G$180&lt;&gt;"moeda")*(Inputs!$G$5:$G$180&lt;&gt;"acoes")))*INDEX(Inputs!$K$5:$AJ$180,0,MATCH(G$2,Inputs!$K$4:$AJ$4,0)))))</f>
        <v>-52.56763496</v>
      </c>
      <c r="H46" s="3">
        <f>G46</f>
        <v>-52.56763496</v>
      </c>
      <c r="I46" s="6">
        <f>IF(ISNA(MATCH(I$2,Inputs!$K$4:$AJ$4,0)),NA(),IF(SUMPRODUCT((Inputs!$A$5:$A$180=$B46)*ISNUMBER(INDEX(Inputs!$K$5:$AJ$180,0,MATCH(I$2,Inputs!$K$4:$AJ$4,0))))+SUMPRODUCT((Inputs!$C$5:$C$180=$B46)*ISNUMBER(INDEX(Inputs!$K$5:$AJ$180,0,MATCH(I$2,Inputs!$K$4:$AJ$4,0))))+SUMPRODUCT((Inputs!$E$5:$E$180=$B46)*ISNUMBER(INDEX(Inputs!$K$5:$AJ$180,0,MATCH(I$2,Inputs!$K$4:$AJ$4,0))))=0,NA(),SUMPRODUCT((Inputs!$A$5:$A$180=$B46)*Inputs!$B$5:$B$180*(((Inputs!$G$5:$G$180="moeda")+(Inputs!$G$5:$G$180="acoes"))*Inputs!$B$1+((Inputs!$G$5:$G$180&lt;&gt;"moeda")*(Inputs!$G$5:$G$180&lt;&gt;"acoes")))*INDEX(Inputs!$K$5:$AJ$180,0,MATCH(I$2,Inputs!$K$4:$AJ$4,0)))+SUMPRODUCT((Inputs!$C$5:$C$180=$B46)*Inputs!$D$5:$D$180*(((Inputs!$G$5:$G$180="moeda")+(Inputs!$G$5:$G$180="acoes"))*Inputs!$B$1+((Inputs!$G$5:$G$180&lt;&gt;"moeda")*(Inputs!$G$5:$G$180&lt;&gt;"acoes")))*INDEX(Inputs!$K$5:$AJ$180,0,MATCH(I$2,Inputs!$K$4:$AJ$4,0)))+SUMPRODUCT((Inputs!$E$5:$E$180=$B46)*Inputs!$F$5:$F$180*(((Inputs!$G$5:$G$180="moeda")+(Inputs!$G$5:$G$180="acoes"))*Inputs!$B$1+((Inputs!$G$5:$G$180&lt;&gt;"moeda")*(Inputs!$G$5:$G$180&lt;&gt;"acoes")))*INDEX(Inputs!$K$5:$AJ$180,0,MATCH(I$2,Inputs!$K$4:$AJ$4,0)))))</f>
        <v>-52.06344951</v>
      </c>
      <c r="J46" s="6">
        <f>IF(ISNA(MATCH(J$2,Inputs!$K$4:$AJ$4,0)),NA(),IF(SUMPRODUCT((Inputs!$A$5:$A$180=$B46)*ISNUMBER(INDEX(Inputs!$K$5:$AJ$180,0,MATCH(J$2,Inputs!$K$4:$AJ$4,0))))+SUMPRODUCT((Inputs!$C$5:$C$180=$B46)*ISNUMBER(INDEX(Inputs!$K$5:$AJ$180,0,MATCH(J$2,Inputs!$K$4:$AJ$4,0))))+SUMPRODUCT((Inputs!$E$5:$E$180=$B46)*ISNUMBER(INDEX(Inputs!$K$5:$AJ$180,0,MATCH(J$2,Inputs!$K$4:$AJ$4,0))))=0,NA(),SUMPRODUCT((Inputs!$A$5:$A$180=$B46)*Inputs!$B$5:$B$180*(((Inputs!$G$5:$G$180="moeda")+(Inputs!$G$5:$G$180="acoes"))*Inputs!$B$1+((Inputs!$G$5:$G$180&lt;&gt;"moeda")*(Inputs!$G$5:$G$180&lt;&gt;"acoes")))*INDEX(Inputs!$K$5:$AJ$180,0,MATCH(J$2,Inputs!$K$4:$AJ$4,0)))+SUMPRODUCT((Inputs!$C$5:$C$180=$B46)*Inputs!$D$5:$D$180*(((Inputs!$G$5:$G$180="moeda")+(Inputs!$G$5:$G$180="acoes"))*Inputs!$B$1+((Inputs!$G$5:$G$180&lt;&gt;"moeda")*(Inputs!$G$5:$G$180&lt;&gt;"acoes")))*INDEX(Inputs!$K$5:$AJ$180,0,MATCH(J$2,Inputs!$K$4:$AJ$4,0)))+SUMPRODUCT((Inputs!$E$5:$E$180=$B46)*Inputs!$F$5:$F$180*(((Inputs!$G$5:$G$180="moeda")+(Inputs!$G$5:$G$180="acoes"))*Inputs!$B$1+((Inputs!$G$5:$G$180&lt;&gt;"moeda")*(Inputs!$G$5:$G$180&lt;&gt;"acoes")))*INDEX(Inputs!$K$5:$AJ$180,0,MATCH(J$2,Inputs!$K$4:$AJ$4,0)))))</f>
        <v>-50.69996703</v>
      </c>
      <c r="K46" s="6">
        <f>IF(ISNA(MATCH(K$2,Inputs!$K$4:$AJ$4,0)),NA(),IF(SUMPRODUCT((Inputs!$A$5:$A$180=$B46)*ISNUMBER(INDEX(Inputs!$K$5:$AJ$180,0,MATCH(K$2,Inputs!$K$4:$AJ$4,0))))+SUMPRODUCT((Inputs!$C$5:$C$180=$B46)*ISNUMBER(INDEX(Inputs!$K$5:$AJ$180,0,MATCH(K$2,Inputs!$K$4:$AJ$4,0))))+SUMPRODUCT((Inputs!$E$5:$E$180=$B46)*ISNUMBER(INDEX(Inputs!$K$5:$AJ$180,0,MATCH(K$2,Inputs!$K$4:$AJ$4,0))))=0,NA(),SUMPRODUCT((Inputs!$A$5:$A$180=$B46)*Inputs!$B$5:$B$180*(((Inputs!$G$5:$G$180="moeda")+(Inputs!$G$5:$G$180="acoes"))*Inputs!$B$1+((Inputs!$G$5:$G$180&lt;&gt;"moeda")*(Inputs!$G$5:$G$180&lt;&gt;"acoes")))*INDEX(Inputs!$K$5:$AJ$180,0,MATCH(K$2,Inputs!$K$4:$AJ$4,0)))+SUMPRODUCT((Inputs!$C$5:$C$180=$B46)*Inputs!$D$5:$D$180*(((Inputs!$G$5:$G$180="moeda")+(Inputs!$G$5:$G$180="acoes"))*Inputs!$B$1+((Inputs!$G$5:$G$180&lt;&gt;"moeda")*(Inputs!$G$5:$G$180&lt;&gt;"acoes")))*INDEX(Inputs!$K$5:$AJ$180,0,MATCH(K$2,Inputs!$K$4:$AJ$4,0)))+SUMPRODUCT((Inputs!$E$5:$E$180=$B46)*Inputs!$F$5:$F$180*(((Inputs!$G$5:$G$180="moeda")+(Inputs!$G$5:$G$180="acoes"))*Inputs!$B$1+((Inputs!$G$5:$G$180&lt;&gt;"moeda")*(Inputs!$G$5:$G$180&lt;&gt;"acoes")))*INDEX(Inputs!$K$5:$AJ$180,0,MATCH(K$2,Inputs!$K$4:$AJ$4,0)))))</f>
        <v>-49.33648455</v>
      </c>
      <c r="L46" s="6">
        <f>IF(ISNA(MATCH(L$2,Inputs!$K$4:$AJ$4,0)),NA(),IF(SUMPRODUCT((Inputs!$A$5:$A$180=$B46)*ISNUMBER(INDEX(Inputs!$K$5:$AJ$180,0,MATCH(L$2,Inputs!$K$4:$AJ$4,0))))+SUMPRODUCT((Inputs!$C$5:$C$180=$B46)*ISNUMBER(INDEX(Inputs!$K$5:$AJ$180,0,MATCH(L$2,Inputs!$K$4:$AJ$4,0))))+SUMPRODUCT((Inputs!$E$5:$E$180=$B46)*ISNUMBER(INDEX(Inputs!$K$5:$AJ$180,0,MATCH(L$2,Inputs!$K$4:$AJ$4,0))))=0,NA(),SUMPRODUCT((Inputs!$A$5:$A$180=$B46)*Inputs!$B$5:$B$180*(((Inputs!$G$5:$G$180="moeda")+(Inputs!$G$5:$G$180="acoes"))*Inputs!$B$1+((Inputs!$G$5:$G$180&lt;&gt;"moeda")*(Inputs!$G$5:$G$180&lt;&gt;"acoes")))*INDEX(Inputs!$K$5:$AJ$180,0,MATCH(L$2,Inputs!$K$4:$AJ$4,0)))+SUMPRODUCT((Inputs!$C$5:$C$180=$B46)*Inputs!$D$5:$D$180*(((Inputs!$G$5:$G$180="moeda")+(Inputs!$G$5:$G$180="acoes"))*Inputs!$B$1+((Inputs!$G$5:$G$180&lt;&gt;"moeda")*(Inputs!$G$5:$G$180&lt;&gt;"acoes")))*INDEX(Inputs!$K$5:$AJ$180,0,MATCH(L$2,Inputs!$K$4:$AJ$4,0)))+SUMPRODUCT((Inputs!$E$5:$E$180=$B46)*Inputs!$F$5:$F$180*(((Inputs!$G$5:$G$180="moeda")+(Inputs!$G$5:$G$180="acoes"))*Inputs!$B$1+((Inputs!$G$5:$G$180&lt;&gt;"moeda")*(Inputs!$G$5:$G$180&lt;&gt;"acoes")))*INDEX(Inputs!$K$5:$AJ$180,0,MATCH(L$2,Inputs!$K$4:$AJ$4,0)))))</f>
        <v>-47.803</v>
      </c>
      <c r="M46" s="3">
        <f>L46</f>
        <v>-47.803</v>
      </c>
      <c r="N46" s="6">
        <f>IF(ISNA(MATCH(N$2,Inputs!$K$4:$AJ$4,0)),NA(),IF(SUMPRODUCT((Inputs!$A$5:$A$180=$B46)*ISNUMBER(INDEX(Inputs!$K$5:$AJ$180,0,MATCH(N$2,Inputs!$K$4:$AJ$4,0))))+SUMPRODUCT((Inputs!$C$5:$C$180=$B46)*ISNUMBER(INDEX(Inputs!$K$5:$AJ$180,0,MATCH(N$2,Inputs!$K$4:$AJ$4,0))))+SUMPRODUCT((Inputs!$E$5:$E$180=$B46)*ISNUMBER(INDEX(Inputs!$K$5:$AJ$180,0,MATCH(N$2,Inputs!$K$4:$AJ$4,0))))=0,NA(),SUMPRODUCT((Inputs!$A$5:$A$180=$B46)*Inputs!$B$5:$B$180*(((Inputs!$G$5:$G$180="moeda")+(Inputs!$G$5:$G$180="acoes"))*Inputs!$B$1+((Inputs!$G$5:$G$180&lt;&gt;"moeda")*(Inputs!$G$5:$G$180&lt;&gt;"acoes")))*INDEX(Inputs!$K$5:$AJ$180,0,MATCH(N$2,Inputs!$K$4:$AJ$4,0)))+SUMPRODUCT((Inputs!$C$5:$C$180=$B46)*Inputs!$D$5:$D$180*(((Inputs!$G$5:$G$180="moeda")+(Inputs!$G$5:$G$180="acoes"))*Inputs!$B$1+((Inputs!$G$5:$G$180&lt;&gt;"moeda")*(Inputs!$G$5:$G$180&lt;&gt;"acoes")))*INDEX(Inputs!$K$5:$AJ$180,0,MATCH(N$2,Inputs!$K$4:$AJ$4,0)))+SUMPRODUCT((Inputs!$E$5:$E$180=$B46)*Inputs!$F$5:$F$180*(((Inputs!$G$5:$G$180="moeda")+(Inputs!$G$5:$G$180="acoes"))*Inputs!$B$1+((Inputs!$G$5:$G$180&lt;&gt;"moeda")*(Inputs!$G$5:$G$180&lt;&gt;"acoes")))*INDEX(Inputs!$K$5:$AJ$180,0,MATCH(N$2,Inputs!$K$4:$AJ$4,0)))))</f>
        <v>-46.319</v>
      </c>
      <c r="O46" s="6">
        <f>IF(ISNA(MATCH(O$2,Inputs!$K$4:$AJ$4,0)),NA(),IF(SUMPRODUCT((Inputs!$A$5:$A$180=$B46)*ISNUMBER(INDEX(Inputs!$K$5:$AJ$180,0,MATCH(O$2,Inputs!$K$4:$AJ$4,0))))+SUMPRODUCT((Inputs!$C$5:$C$180=$B46)*ISNUMBER(INDEX(Inputs!$K$5:$AJ$180,0,MATCH(O$2,Inputs!$K$4:$AJ$4,0))))+SUMPRODUCT((Inputs!$E$5:$E$180=$B46)*ISNUMBER(INDEX(Inputs!$K$5:$AJ$180,0,MATCH(O$2,Inputs!$K$4:$AJ$4,0))))=0,NA(),SUMPRODUCT((Inputs!$A$5:$A$180=$B46)*Inputs!$B$5:$B$180*(((Inputs!$G$5:$G$180="moeda")+(Inputs!$G$5:$G$180="acoes"))*Inputs!$B$1+((Inputs!$G$5:$G$180&lt;&gt;"moeda")*(Inputs!$G$5:$G$180&lt;&gt;"acoes")))*INDEX(Inputs!$K$5:$AJ$180,0,MATCH(O$2,Inputs!$K$4:$AJ$4,0)))+SUMPRODUCT((Inputs!$C$5:$C$180=$B46)*Inputs!$D$5:$D$180*(((Inputs!$G$5:$G$180="moeda")+(Inputs!$G$5:$G$180="acoes"))*Inputs!$B$1+((Inputs!$G$5:$G$180&lt;&gt;"moeda")*(Inputs!$G$5:$G$180&lt;&gt;"acoes")))*INDEX(Inputs!$K$5:$AJ$180,0,MATCH(O$2,Inputs!$K$4:$AJ$4,0)))+SUMPRODUCT((Inputs!$E$5:$E$180=$B46)*Inputs!$F$5:$F$180*(((Inputs!$G$5:$G$180="moeda")+(Inputs!$G$5:$G$180="acoes"))*Inputs!$B$1+((Inputs!$G$5:$G$180&lt;&gt;"moeda")*(Inputs!$G$5:$G$180&lt;&gt;"acoes")))*INDEX(Inputs!$K$5:$AJ$180,0,MATCH(O$2,Inputs!$K$4:$AJ$4,0)))))</f>
        <v>-46.04015508</v>
      </c>
      <c r="P46" s="6">
        <f>IF(ISNA(MATCH(P$2,Inputs!$K$4:$AJ$4,0)),NA(),IF(SUMPRODUCT((Inputs!$A$5:$A$180=$B46)*ISNUMBER(INDEX(Inputs!$K$5:$AJ$180,0,MATCH(P$2,Inputs!$K$4:$AJ$4,0))))+SUMPRODUCT((Inputs!$C$5:$C$180=$B46)*ISNUMBER(INDEX(Inputs!$K$5:$AJ$180,0,MATCH(P$2,Inputs!$K$4:$AJ$4,0))))+SUMPRODUCT((Inputs!$E$5:$E$180=$B46)*ISNUMBER(INDEX(Inputs!$K$5:$AJ$180,0,MATCH(P$2,Inputs!$K$4:$AJ$4,0))))=0,NA(),SUMPRODUCT((Inputs!$A$5:$A$180=$B46)*Inputs!$B$5:$B$180*(((Inputs!$G$5:$G$180="moeda")+(Inputs!$G$5:$G$180="acoes"))*Inputs!$B$1+((Inputs!$G$5:$G$180&lt;&gt;"moeda")*(Inputs!$G$5:$G$180&lt;&gt;"acoes")))*INDEX(Inputs!$K$5:$AJ$180,0,MATCH(P$2,Inputs!$K$4:$AJ$4,0)))+SUMPRODUCT((Inputs!$C$5:$C$180=$B46)*Inputs!$D$5:$D$180*(((Inputs!$G$5:$G$180="moeda")+(Inputs!$G$5:$G$180="acoes"))*Inputs!$B$1+((Inputs!$G$5:$G$180&lt;&gt;"moeda")*(Inputs!$G$5:$G$180&lt;&gt;"acoes")))*INDEX(Inputs!$K$5:$AJ$180,0,MATCH(P$2,Inputs!$K$4:$AJ$4,0)))+SUMPRODUCT((Inputs!$E$5:$E$180=$B46)*Inputs!$F$5:$F$180*(((Inputs!$G$5:$G$180="moeda")+(Inputs!$G$5:$G$180="acoes"))*Inputs!$B$1+((Inputs!$G$5:$G$180&lt;&gt;"moeda")*(Inputs!$G$5:$G$180&lt;&gt;"acoes")))*INDEX(Inputs!$K$5:$AJ$180,0,MATCH(P$2,Inputs!$K$4:$AJ$4,0)))))</f>
        <v>-44.76872652</v>
      </c>
      <c r="Q46" s="6">
        <f>IF(ISNA(MATCH(Q$2,Inputs!$K$4:$AJ$4,0)),NA(),IF(SUMPRODUCT((Inputs!$A$5:$A$180=$B46)*ISNUMBER(INDEX(Inputs!$K$5:$AJ$180,0,MATCH(Q$2,Inputs!$K$4:$AJ$4,0))))+SUMPRODUCT((Inputs!$C$5:$C$180=$B46)*ISNUMBER(INDEX(Inputs!$K$5:$AJ$180,0,MATCH(Q$2,Inputs!$K$4:$AJ$4,0))))+SUMPRODUCT((Inputs!$E$5:$E$180=$B46)*ISNUMBER(INDEX(Inputs!$K$5:$AJ$180,0,MATCH(Q$2,Inputs!$K$4:$AJ$4,0))))=0,NA(),SUMPRODUCT((Inputs!$A$5:$A$180=$B46)*Inputs!$B$5:$B$180*(((Inputs!$G$5:$G$180="moeda")+(Inputs!$G$5:$G$180="acoes"))*Inputs!$B$1+((Inputs!$G$5:$G$180&lt;&gt;"moeda")*(Inputs!$G$5:$G$180&lt;&gt;"acoes")))*INDEX(Inputs!$K$5:$AJ$180,0,MATCH(Q$2,Inputs!$K$4:$AJ$4,0)))+SUMPRODUCT((Inputs!$C$5:$C$180=$B46)*Inputs!$D$5:$D$180*(((Inputs!$G$5:$G$180="moeda")+(Inputs!$G$5:$G$180="acoes"))*Inputs!$B$1+((Inputs!$G$5:$G$180&lt;&gt;"moeda")*(Inputs!$G$5:$G$180&lt;&gt;"acoes")))*INDEX(Inputs!$K$5:$AJ$180,0,MATCH(Q$2,Inputs!$K$4:$AJ$4,0)))+SUMPRODUCT((Inputs!$E$5:$E$180=$B46)*Inputs!$F$5:$F$180*(((Inputs!$G$5:$G$180="moeda")+(Inputs!$G$5:$G$180="acoes"))*Inputs!$B$1+((Inputs!$G$5:$G$180&lt;&gt;"moeda")*(Inputs!$G$5:$G$180&lt;&gt;"acoes")))*INDEX(Inputs!$K$5:$AJ$180,0,MATCH(Q$2,Inputs!$K$4:$AJ$4,0)))))</f>
        <v>-44.1013354</v>
      </c>
      <c r="R46" s="3">
        <f>Q46</f>
        <v>-44.1013354</v>
      </c>
      <c r="S46" s="6">
        <f>IF(ISNA(MATCH(S$2,Inputs!$K$4:$AJ$4,0)),NA(),IF(SUMPRODUCT((Inputs!$A$5:$A$180=$B46)*ISNUMBER(INDEX(Inputs!$K$5:$AJ$180,0,MATCH(S$2,Inputs!$K$4:$AJ$4,0))))+SUMPRODUCT((Inputs!$C$5:$C$180=$B46)*ISNUMBER(INDEX(Inputs!$K$5:$AJ$180,0,MATCH(S$2,Inputs!$K$4:$AJ$4,0))))+SUMPRODUCT((Inputs!$E$5:$E$180=$B46)*ISNUMBER(INDEX(Inputs!$K$5:$AJ$180,0,MATCH(S$2,Inputs!$K$4:$AJ$4,0))))=0,NA(),SUMPRODUCT((Inputs!$A$5:$A$180=$B46)*Inputs!$B$5:$B$180*(((Inputs!$G$5:$G$180="moeda")+(Inputs!$G$5:$G$180="acoes"))*Inputs!$B$1+((Inputs!$G$5:$G$180&lt;&gt;"moeda")*(Inputs!$G$5:$G$180&lt;&gt;"acoes")))*INDEX(Inputs!$K$5:$AJ$180,0,MATCH(S$2,Inputs!$K$4:$AJ$4,0)))+SUMPRODUCT((Inputs!$C$5:$C$180=$B46)*Inputs!$D$5:$D$180*(((Inputs!$G$5:$G$180="moeda")+(Inputs!$G$5:$G$180="acoes"))*Inputs!$B$1+((Inputs!$G$5:$G$180&lt;&gt;"moeda")*(Inputs!$G$5:$G$180&lt;&gt;"acoes")))*INDEX(Inputs!$K$5:$AJ$180,0,MATCH(S$2,Inputs!$K$4:$AJ$4,0)))+SUMPRODUCT((Inputs!$E$5:$E$180=$B46)*Inputs!$F$5:$F$180*(((Inputs!$G$5:$G$180="moeda")+(Inputs!$G$5:$G$180="acoes"))*Inputs!$B$1+((Inputs!$G$5:$G$180&lt;&gt;"moeda")*(Inputs!$G$5:$G$180&lt;&gt;"acoes")))*INDEX(Inputs!$K$5:$AJ$180,0,MATCH(S$2,Inputs!$K$4:$AJ$4,0)))))</f>
        <v>-43.99996247</v>
      </c>
      <c r="T46" s="6">
        <f>IF(ISNA(MATCH(T$2,Inputs!$K$4:$AJ$4,0)),NA(),IF(SUMPRODUCT((Inputs!$A$5:$A$180=$B46)*ISNUMBER(INDEX(Inputs!$K$5:$AJ$180,0,MATCH(T$2,Inputs!$K$4:$AJ$4,0))))+SUMPRODUCT((Inputs!$C$5:$C$180=$B46)*ISNUMBER(INDEX(Inputs!$K$5:$AJ$180,0,MATCH(T$2,Inputs!$K$4:$AJ$4,0))))+SUMPRODUCT((Inputs!$E$5:$E$180=$B46)*ISNUMBER(INDEX(Inputs!$K$5:$AJ$180,0,MATCH(T$2,Inputs!$K$4:$AJ$4,0))))=0,NA(),SUMPRODUCT((Inputs!$A$5:$A$180=$B46)*Inputs!$B$5:$B$180*(((Inputs!$G$5:$G$180="moeda")+(Inputs!$G$5:$G$180="acoes"))*Inputs!$B$1+((Inputs!$G$5:$G$180&lt;&gt;"moeda")*(Inputs!$G$5:$G$180&lt;&gt;"acoes")))*INDEX(Inputs!$K$5:$AJ$180,0,MATCH(T$2,Inputs!$K$4:$AJ$4,0)))+SUMPRODUCT((Inputs!$C$5:$C$180=$B46)*Inputs!$D$5:$D$180*(((Inputs!$G$5:$G$180="moeda")+(Inputs!$G$5:$G$180="acoes"))*Inputs!$B$1+((Inputs!$G$5:$G$180&lt;&gt;"moeda")*(Inputs!$G$5:$G$180&lt;&gt;"acoes")))*INDEX(Inputs!$K$5:$AJ$180,0,MATCH(T$2,Inputs!$K$4:$AJ$4,0)))+SUMPRODUCT((Inputs!$E$5:$E$180=$B46)*Inputs!$F$5:$F$180*(((Inputs!$G$5:$G$180="moeda")+(Inputs!$G$5:$G$180="acoes"))*Inputs!$B$1+((Inputs!$G$5:$G$180&lt;&gt;"moeda")*(Inputs!$G$5:$G$180&lt;&gt;"acoes")))*INDEX(Inputs!$K$5:$AJ$180,0,MATCH(T$2,Inputs!$K$4:$AJ$4,0)))))</f>
        <v>-45.838342191083</v>
      </c>
      <c r="U46" s="6">
        <f>IF(ISNA(MATCH(U$2,Inputs!$K$4:$AJ$4,0)),NA(),IF(SUMPRODUCT((Inputs!$A$5:$A$180=$B46)*ISNUMBER(INDEX(Inputs!$K$5:$AJ$180,0,MATCH(U$2,Inputs!$K$4:$AJ$4,0))))+SUMPRODUCT((Inputs!$C$5:$C$180=$B46)*ISNUMBER(INDEX(Inputs!$K$5:$AJ$180,0,MATCH(U$2,Inputs!$K$4:$AJ$4,0))))+SUMPRODUCT((Inputs!$E$5:$E$180=$B46)*ISNUMBER(INDEX(Inputs!$K$5:$AJ$180,0,MATCH(U$2,Inputs!$K$4:$AJ$4,0))))=0,NA(),SUMPRODUCT((Inputs!$A$5:$A$180=$B46)*Inputs!$B$5:$B$180*(((Inputs!$G$5:$G$180="moeda")+(Inputs!$G$5:$G$180="acoes"))*Inputs!$B$1+((Inputs!$G$5:$G$180&lt;&gt;"moeda")*(Inputs!$G$5:$G$180&lt;&gt;"acoes")))*INDEX(Inputs!$K$5:$AJ$180,0,MATCH(U$2,Inputs!$K$4:$AJ$4,0)))+SUMPRODUCT((Inputs!$C$5:$C$180=$B46)*Inputs!$D$5:$D$180*(((Inputs!$G$5:$G$180="moeda")+(Inputs!$G$5:$G$180="acoes"))*Inputs!$B$1+((Inputs!$G$5:$G$180&lt;&gt;"moeda")*(Inputs!$G$5:$G$180&lt;&gt;"acoes")))*INDEX(Inputs!$K$5:$AJ$180,0,MATCH(U$2,Inputs!$K$4:$AJ$4,0)))+SUMPRODUCT((Inputs!$E$5:$E$180=$B46)*Inputs!$F$5:$F$180*(((Inputs!$G$5:$G$180="moeda")+(Inputs!$G$5:$G$180="acoes"))*Inputs!$B$1+((Inputs!$G$5:$G$180&lt;&gt;"moeda")*(Inputs!$G$5:$G$180&lt;&gt;"acoes")))*INDEX(Inputs!$K$5:$AJ$180,0,MATCH(U$2,Inputs!$K$4:$AJ$4,0)))))</f>
        <v>-44.82061272</v>
      </c>
      <c r="V46" s="6">
        <f>IF(ISNA(MATCH(V$2,Inputs!$K$4:$AJ$4,0)),NA(),IF(SUMPRODUCT((Inputs!$A$5:$A$180=$B46)*ISNUMBER(INDEX(Inputs!$K$5:$AJ$180,0,MATCH(V$2,Inputs!$K$4:$AJ$4,0))))+SUMPRODUCT((Inputs!$C$5:$C$180=$B46)*ISNUMBER(INDEX(Inputs!$K$5:$AJ$180,0,MATCH(V$2,Inputs!$K$4:$AJ$4,0))))+SUMPRODUCT((Inputs!$E$5:$E$180=$B46)*ISNUMBER(INDEX(Inputs!$K$5:$AJ$180,0,MATCH(V$2,Inputs!$K$4:$AJ$4,0))))=0,NA(),SUMPRODUCT((Inputs!$A$5:$A$180=$B46)*Inputs!$B$5:$B$180*(((Inputs!$G$5:$G$180="moeda")+(Inputs!$G$5:$G$180="acoes"))*Inputs!$B$1+((Inputs!$G$5:$G$180&lt;&gt;"moeda")*(Inputs!$G$5:$G$180&lt;&gt;"acoes")))*INDEX(Inputs!$K$5:$AJ$180,0,MATCH(V$2,Inputs!$K$4:$AJ$4,0)))+SUMPRODUCT((Inputs!$C$5:$C$180=$B46)*Inputs!$D$5:$D$180*(((Inputs!$G$5:$G$180="moeda")+(Inputs!$G$5:$G$180="acoes"))*Inputs!$B$1+((Inputs!$G$5:$G$180&lt;&gt;"moeda")*(Inputs!$G$5:$G$180&lt;&gt;"acoes")))*INDEX(Inputs!$K$5:$AJ$180,0,MATCH(V$2,Inputs!$K$4:$AJ$4,0)))+SUMPRODUCT((Inputs!$E$5:$E$180=$B46)*Inputs!$F$5:$F$180*(((Inputs!$G$5:$G$180="moeda")+(Inputs!$G$5:$G$180="acoes"))*Inputs!$B$1+((Inputs!$G$5:$G$180&lt;&gt;"moeda")*(Inputs!$G$5:$G$180&lt;&gt;"acoes")))*INDEX(Inputs!$K$5:$AJ$180,0,MATCH(V$2,Inputs!$K$4:$AJ$4,0)))))</f>
        <v>-48.69477972</v>
      </c>
      <c r="W46" s="3">
        <f>V46</f>
        <v>-48.69477972</v>
      </c>
      <c r="X46" s="6">
        <f>IF(ISNA(MATCH(X$2,Inputs!$K$4:$AJ$4,0)),NA(),IF(SUMPRODUCT((Inputs!$A$5:$A$180=$B46)*ISNUMBER(INDEX(Inputs!$K$5:$AJ$180,0,MATCH(X$2,Inputs!$K$4:$AJ$4,0))))+SUMPRODUCT((Inputs!$C$5:$C$180=$B46)*ISNUMBER(INDEX(Inputs!$K$5:$AJ$180,0,MATCH(X$2,Inputs!$K$4:$AJ$4,0))))+SUMPRODUCT((Inputs!$E$5:$E$180=$B46)*ISNUMBER(INDEX(Inputs!$K$5:$AJ$180,0,MATCH(X$2,Inputs!$K$4:$AJ$4,0))))=0,NA(),SUMPRODUCT((Inputs!$A$5:$A$180=$B46)*Inputs!$B$5:$B$180*(((Inputs!$G$5:$G$180="moeda")+(Inputs!$G$5:$G$180="acoes"))*Inputs!$B$1+((Inputs!$G$5:$G$180&lt;&gt;"moeda")*(Inputs!$G$5:$G$180&lt;&gt;"acoes")))*INDEX(Inputs!$K$5:$AJ$180,0,MATCH(X$2,Inputs!$K$4:$AJ$4,0)))+SUMPRODUCT((Inputs!$C$5:$C$180=$B46)*Inputs!$D$5:$D$180*(((Inputs!$G$5:$G$180="moeda")+(Inputs!$G$5:$G$180="acoes"))*Inputs!$B$1+((Inputs!$G$5:$G$180&lt;&gt;"moeda")*(Inputs!$G$5:$G$180&lt;&gt;"acoes")))*INDEX(Inputs!$K$5:$AJ$180,0,MATCH(X$2,Inputs!$K$4:$AJ$4,0)))+SUMPRODUCT((Inputs!$E$5:$E$180=$B46)*Inputs!$F$5:$F$180*(((Inputs!$G$5:$G$180="moeda")+(Inputs!$G$5:$G$180="acoes"))*Inputs!$B$1+((Inputs!$G$5:$G$180&lt;&gt;"moeda")*(Inputs!$G$5:$G$180&lt;&gt;"acoes")))*INDEX(Inputs!$K$5:$AJ$180,0,MATCH(X$2,Inputs!$K$4:$AJ$4,0)))))</f>
        <v>-48.41227459</v>
      </c>
      <c r="Y46" s="6">
        <f>IF(ISNA(MATCH(Y$2,Inputs!$K$4:$AJ$4,0)),NA(),IF(SUMPRODUCT((Inputs!$A$5:$A$180=$B46)*ISNUMBER(INDEX(Inputs!$K$5:$AJ$180,0,MATCH(Y$2,Inputs!$K$4:$AJ$4,0))))+SUMPRODUCT((Inputs!$C$5:$C$180=$B46)*ISNUMBER(INDEX(Inputs!$K$5:$AJ$180,0,MATCH(Y$2,Inputs!$K$4:$AJ$4,0))))+SUMPRODUCT((Inputs!$E$5:$E$180=$B46)*ISNUMBER(INDEX(Inputs!$K$5:$AJ$180,0,MATCH(Y$2,Inputs!$K$4:$AJ$4,0))))=0,NA(),SUMPRODUCT((Inputs!$A$5:$A$180=$B46)*Inputs!$B$5:$B$180*(((Inputs!$G$5:$G$180="moeda")+(Inputs!$G$5:$G$180="acoes"))*Inputs!$B$1+((Inputs!$G$5:$G$180&lt;&gt;"moeda")*(Inputs!$G$5:$G$180&lt;&gt;"acoes")))*INDEX(Inputs!$K$5:$AJ$180,0,MATCH(Y$2,Inputs!$K$4:$AJ$4,0)))+SUMPRODUCT((Inputs!$C$5:$C$180=$B46)*Inputs!$D$5:$D$180*(((Inputs!$G$5:$G$180="moeda")+(Inputs!$G$5:$G$180="acoes"))*Inputs!$B$1+((Inputs!$G$5:$G$180&lt;&gt;"moeda")*(Inputs!$G$5:$G$180&lt;&gt;"acoes")))*INDEX(Inputs!$K$5:$AJ$180,0,MATCH(Y$2,Inputs!$K$4:$AJ$4,0)))+SUMPRODUCT((Inputs!$E$5:$E$180=$B46)*Inputs!$F$5:$F$180*(((Inputs!$G$5:$G$180="moeda")+(Inputs!$G$5:$G$180="acoes"))*Inputs!$B$1+((Inputs!$G$5:$G$180&lt;&gt;"moeda")*(Inputs!$G$5:$G$180&lt;&gt;"acoes")))*INDEX(Inputs!$K$5:$AJ$180,0,MATCH(Y$2,Inputs!$K$4:$AJ$4,0)))))</f>
        <v>-50.18721921</v>
      </c>
      <c r="Z46" s="6">
        <f>IF(ISNA(MATCH(Z$2,Inputs!$K$4:$AJ$4,0)),NA(),IF(SUMPRODUCT((Inputs!$A$5:$A$180=$B46)*ISNUMBER(INDEX(Inputs!$K$5:$AJ$180,0,MATCH(Z$2,Inputs!$K$4:$AJ$4,0))))+SUMPRODUCT((Inputs!$C$5:$C$180=$B46)*ISNUMBER(INDEX(Inputs!$K$5:$AJ$180,0,MATCH(Z$2,Inputs!$K$4:$AJ$4,0))))+SUMPRODUCT((Inputs!$E$5:$E$180=$B46)*ISNUMBER(INDEX(Inputs!$K$5:$AJ$180,0,MATCH(Z$2,Inputs!$K$4:$AJ$4,0))))=0,NA(),SUMPRODUCT((Inputs!$A$5:$A$180=$B46)*Inputs!$B$5:$B$180*(((Inputs!$G$5:$G$180="moeda")+(Inputs!$G$5:$G$180="acoes"))*Inputs!$B$1+((Inputs!$G$5:$G$180&lt;&gt;"moeda")*(Inputs!$G$5:$G$180&lt;&gt;"acoes")))*INDEX(Inputs!$K$5:$AJ$180,0,MATCH(Z$2,Inputs!$K$4:$AJ$4,0)))+SUMPRODUCT((Inputs!$C$5:$C$180=$B46)*Inputs!$D$5:$D$180*(((Inputs!$G$5:$G$180="moeda")+(Inputs!$G$5:$G$180="acoes"))*Inputs!$B$1+((Inputs!$G$5:$G$180&lt;&gt;"moeda")*(Inputs!$G$5:$G$180&lt;&gt;"acoes")))*INDEX(Inputs!$K$5:$AJ$180,0,MATCH(Z$2,Inputs!$K$4:$AJ$4,0)))+SUMPRODUCT((Inputs!$E$5:$E$180=$B46)*Inputs!$F$5:$F$180*(((Inputs!$G$5:$G$180="moeda")+(Inputs!$G$5:$G$180="acoes"))*Inputs!$B$1+((Inputs!$G$5:$G$180&lt;&gt;"moeda")*(Inputs!$G$5:$G$180&lt;&gt;"acoes")))*INDEX(Inputs!$K$5:$AJ$180,0,MATCH(Z$2,Inputs!$K$4:$AJ$4,0)))))</f>
        <v>-51.147</v>
      </c>
      <c r="AA46" s="6">
        <f>IF(ISNA(MATCH(AA$2,Inputs!$K$4:$AJ$4,0)),NA(),IF(SUMPRODUCT((Inputs!$A$5:$A$180=$B46)*ISNUMBER(INDEX(Inputs!$K$5:$AJ$180,0,MATCH(AA$2,Inputs!$K$4:$AJ$4,0))))+SUMPRODUCT((Inputs!$C$5:$C$180=$B46)*ISNUMBER(INDEX(Inputs!$K$5:$AJ$180,0,MATCH(AA$2,Inputs!$K$4:$AJ$4,0))))+SUMPRODUCT((Inputs!$E$5:$E$180=$B46)*ISNUMBER(INDEX(Inputs!$K$5:$AJ$180,0,MATCH(AA$2,Inputs!$K$4:$AJ$4,0))))=0,NA(),SUMPRODUCT((Inputs!$A$5:$A$180=$B46)*Inputs!$B$5:$B$180*(((Inputs!$G$5:$G$180="moeda")+(Inputs!$G$5:$G$180="acoes"))*Inputs!$B$1+((Inputs!$G$5:$G$180&lt;&gt;"moeda")*(Inputs!$G$5:$G$180&lt;&gt;"acoes")))*INDEX(Inputs!$K$5:$AJ$180,0,MATCH(AA$2,Inputs!$K$4:$AJ$4,0)))+SUMPRODUCT((Inputs!$C$5:$C$180=$B46)*Inputs!$D$5:$D$180*(((Inputs!$G$5:$G$180="moeda")+(Inputs!$G$5:$G$180="acoes"))*Inputs!$B$1+((Inputs!$G$5:$G$180&lt;&gt;"moeda")*(Inputs!$G$5:$G$180&lt;&gt;"acoes")))*INDEX(Inputs!$K$5:$AJ$180,0,MATCH(AA$2,Inputs!$K$4:$AJ$4,0)))+SUMPRODUCT((Inputs!$E$5:$E$180=$B46)*Inputs!$F$5:$F$180*(((Inputs!$G$5:$G$180="moeda")+(Inputs!$G$5:$G$180="acoes"))*Inputs!$B$1+((Inputs!$G$5:$G$180&lt;&gt;"moeda")*(Inputs!$G$5:$G$180&lt;&gt;"acoes")))*INDEX(Inputs!$K$5:$AJ$180,0,MATCH(AA$2,Inputs!$K$4:$AJ$4,0)))))</f>
        <v>-51.06482981</v>
      </c>
      <c r="AB46" s="3">
        <f>AA46</f>
        <v>-51.06482981</v>
      </c>
      <c r="AC46" s="6">
        <f>IF(ISNA(MATCH(AC$2,Inputs!$K$4:$AJ$4,0)),NA(),IF(SUMPRODUCT((Inputs!$A$5:$A$180=$B46)*ISNUMBER(INDEX(Inputs!$K$5:$AJ$180,0,MATCH(AC$2,Inputs!$K$4:$AJ$4,0))))+SUMPRODUCT((Inputs!$C$5:$C$180=$B46)*ISNUMBER(INDEX(Inputs!$K$5:$AJ$180,0,MATCH(AC$2,Inputs!$K$4:$AJ$4,0))))+SUMPRODUCT((Inputs!$E$5:$E$180=$B46)*ISNUMBER(INDEX(Inputs!$K$5:$AJ$180,0,MATCH(AC$2,Inputs!$K$4:$AJ$4,0))))=0,NA(),SUMPRODUCT((Inputs!$A$5:$A$180=$B46)*Inputs!$B$5:$B$180*(((Inputs!$G$5:$G$180="moeda")+(Inputs!$G$5:$G$180="acoes"))*Inputs!$B$1+((Inputs!$G$5:$G$180&lt;&gt;"moeda")*(Inputs!$G$5:$G$180&lt;&gt;"acoes")))*INDEX(Inputs!$K$5:$AJ$180,0,MATCH(AC$2,Inputs!$K$4:$AJ$4,0)))+SUMPRODUCT((Inputs!$C$5:$C$180=$B46)*Inputs!$D$5:$D$180*(((Inputs!$G$5:$G$180="moeda")+(Inputs!$G$5:$G$180="acoes"))*Inputs!$B$1+((Inputs!$G$5:$G$180&lt;&gt;"moeda")*(Inputs!$G$5:$G$180&lt;&gt;"acoes")))*INDEX(Inputs!$K$5:$AJ$180,0,MATCH(AC$2,Inputs!$K$4:$AJ$4,0)))+SUMPRODUCT((Inputs!$E$5:$E$180=$B46)*Inputs!$F$5:$F$180*(((Inputs!$G$5:$G$180="moeda")+(Inputs!$G$5:$G$180="acoes"))*Inputs!$B$1+((Inputs!$G$5:$G$180&lt;&gt;"moeda")*(Inputs!$G$5:$G$180&lt;&gt;"acoes")))*INDEX(Inputs!$K$5:$AJ$180,0,MATCH(AC$2,Inputs!$K$4:$AJ$4,0)))))</f>
        <v>-50.98306011</v>
      </c>
      <c r="AD46" s="6">
        <f>IF(ISNA(MATCH(AD$2,Inputs!$K$4:$AJ$4,0)),NA(),IF(SUMPRODUCT((Inputs!$A$5:$A$180=$B46)*ISNUMBER(INDEX(Inputs!$K$5:$AJ$180,0,MATCH(AD$2,Inputs!$K$4:$AJ$4,0))))+SUMPRODUCT((Inputs!$C$5:$C$180=$B46)*ISNUMBER(INDEX(Inputs!$K$5:$AJ$180,0,MATCH(AD$2,Inputs!$K$4:$AJ$4,0))))+SUMPRODUCT((Inputs!$E$5:$E$180=$B46)*ISNUMBER(INDEX(Inputs!$K$5:$AJ$180,0,MATCH(AD$2,Inputs!$K$4:$AJ$4,0))))=0,NA(),SUMPRODUCT((Inputs!$A$5:$A$180=$B46)*Inputs!$B$5:$B$180*(((Inputs!$G$5:$G$180="moeda")+(Inputs!$G$5:$G$180="acoes"))*Inputs!$B$1+((Inputs!$G$5:$G$180&lt;&gt;"moeda")*(Inputs!$G$5:$G$180&lt;&gt;"acoes")))*INDEX(Inputs!$K$5:$AJ$180,0,MATCH(AD$2,Inputs!$K$4:$AJ$4,0)))+SUMPRODUCT((Inputs!$C$5:$C$180=$B46)*Inputs!$D$5:$D$180*(((Inputs!$G$5:$G$180="moeda")+(Inputs!$G$5:$G$180="acoes"))*Inputs!$B$1+((Inputs!$G$5:$G$180&lt;&gt;"moeda")*(Inputs!$G$5:$G$180&lt;&gt;"acoes")))*INDEX(Inputs!$K$5:$AJ$180,0,MATCH(AD$2,Inputs!$K$4:$AJ$4,0)))+SUMPRODUCT((Inputs!$E$5:$E$180=$B46)*Inputs!$F$5:$F$180*(((Inputs!$G$5:$G$180="moeda")+(Inputs!$G$5:$G$180="acoes"))*Inputs!$B$1+((Inputs!$G$5:$G$180&lt;&gt;"moeda")*(Inputs!$G$5:$G$180&lt;&gt;"acoes")))*INDEX(Inputs!$K$5:$AJ$180,0,MATCH(AD$2,Inputs!$K$4:$AJ$4,0)))))</f>
        <v>-50.28960873</v>
      </c>
      <c r="AE46" s="6" t="e">
        <f>IF(ISNA(MATCH(AE$2,Inputs!$K$4:$AJ$4,0)),NA(),IF(SUMPRODUCT((Inputs!$A$5:$A$180=$B46)*ISNUMBER(INDEX(Inputs!$K$5:$AJ$180,0,MATCH(AE$2,Inputs!$K$4:$AJ$4,0))))+SUMPRODUCT((Inputs!$C$5:$C$180=$B46)*ISNUMBER(INDEX(Inputs!$K$5:$AJ$180,0,MATCH(AE$2,Inputs!$K$4:$AJ$4,0))))+SUMPRODUCT((Inputs!$E$5:$E$180=$B46)*ISNUMBER(INDEX(Inputs!$K$5:$AJ$180,0,MATCH(AE$2,Inputs!$K$4:$AJ$4,0))))=0,NA(),SUMPRODUCT((Inputs!$A$5:$A$180=$B46)*Inputs!$B$5:$B$180*(((Inputs!$G$5:$G$180="moeda")+(Inputs!$G$5:$G$180="acoes"))*Inputs!$B$1+((Inputs!$G$5:$G$180&lt;&gt;"moeda")*(Inputs!$G$5:$G$180&lt;&gt;"acoes")))*INDEX(Inputs!$K$5:$AJ$180,0,MATCH(AE$2,Inputs!$K$4:$AJ$4,0)))+SUMPRODUCT((Inputs!$C$5:$C$180=$B46)*Inputs!$D$5:$D$180*(((Inputs!$G$5:$G$180="moeda")+(Inputs!$G$5:$G$180="acoes"))*Inputs!$B$1+((Inputs!$G$5:$G$180&lt;&gt;"moeda")*(Inputs!$G$5:$G$180&lt;&gt;"acoes")))*INDEX(Inputs!$K$5:$AJ$180,0,MATCH(AE$2,Inputs!$K$4:$AJ$4,0)))+SUMPRODUCT((Inputs!$E$5:$E$180=$B46)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6" s="6" t="e">
        <f>IF(ISNA(MATCH(AF$2,Inputs!$K$4:$AJ$4,0)),NA(),IF(SUMPRODUCT((Inputs!$A$5:$A$180=$B46)*ISNUMBER(INDEX(Inputs!$K$5:$AJ$180,0,MATCH(AF$2,Inputs!$K$4:$AJ$4,0))))+SUMPRODUCT((Inputs!$C$5:$C$180=$B46)*ISNUMBER(INDEX(Inputs!$K$5:$AJ$180,0,MATCH(AF$2,Inputs!$K$4:$AJ$4,0))))+SUMPRODUCT((Inputs!$E$5:$E$180=$B46)*ISNUMBER(INDEX(Inputs!$K$5:$AJ$180,0,MATCH(AF$2,Inputs!$K$4:$AJ$4,0))))=0,NA(),SUMPRODUCT((Inputs!$A$5:$A$180=$B46)*Inputs!$B$5:$B$180*(((Inputs!$G$5:$G$180="moeda")+(Inputs!$G$5:$G$180="acoes"))*Inputs!$B$1+((Inputs!$G$5:$G$180&lt;&gt;"moeda")*(Inputs!$G$5:$G$180&lt;&gt;"acoes")))*INDEX(Inputs!$K$5:$AJ$180,0,MATCH(AF$2,Inputs!$K$4:$AJ$4,0)))+SUMPRODUCT((Inputs!$C$5:$C$180=$B46)*Inputs!$D$5:$D$180*(((Inputs!$G$5:$G$180="moeda")+(Inputs!$G$5:$G$180="acoes"))*Inputs!$B$1+((Inputs!$G$5:$G$180&lt;&gt;"moeda")*(Inputs!$G$5:$G$180&lt;&gt;"acoes")))*INDEX(Inputs!$K$5:$AJ$180,0,MATCH(AF$2,Inputs!$K$4:$AJ$4,0)))+SUMPRODUCT((Inputs!$E$5:$E$180=$B46)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6" s="3" t="e">
        <f>AF46</f>
        <v>#N/A</v>
      </c>
      <c r="AH46" s="6">
        <f>IF(ISNA(MATCH(AH$2,Inputs!$K$4:$AJ$4,0)),NA(),IF(SUMPRODUCT((Inputs!$A$5:$A$180=$B46)*ISNUMBER(INDEX(Inputs!$K$5:$AJ$180,0,MATCH(AH$2,Inputs!$K$4:$AJ$4,0))))+SUMPRODUCT((Inputs!$C$5:$C$180=$B46)*ISNUMBER(INDEX(Inputs!$K$5:$AJ$180,0,MATCH(AH$2,Inputs!$K$4:$AJ$4,0))))+SUMPRODUCT((Inputs!$E$5:$E$180=$B46)*ISNUMBER(INDEX(Inputs!$K$5:$AJ$180,0,MATCH(AH$2,Inputs!$K$4:$AJ$4,0))))=0,NA(),SUMPRODUCT((Inputs!$A$5:$A$180=$B46)*Inputs!$B$5:$B$180*(((Inputs!$G$5:$G$180="moeda")+(Inputs!$G$5:$G$180="acoes"))*Inputs!$B$1+((Inputs!$G$5:$G$180&lt;&gt;"moeda")*(Inputs!$G$5:$G$180&lt;&gt;"acoes")))*INDEX(Inputs!$K$5:$AJ$180,0,MATCH(AH$2,Inputs!$K$4:$AJ$4,0)))+SUMPRODUCT((Inputs!$C$5:$C$180=$B46)*Inputs!$D$5:$D$180*(((Inputs!$G$5:$G$180="moeda")+(Inputs!$G$5:$G$180="acoes"))*Inputs!$B$1+((Inputs!$G$5:$G$180&lt;&gt;"moeda")*(Inputs!$G$5:$G$180&lt;&gt;"acoes")))*INDEX(Inputs!$K$5:$AJ$180,0,MATCH(AH$2,Inputs!$K$4:$AJ$4,0)))+SUMPRODUCT((Inputs!$E$5:$E$180=$B46)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6" s="6">
        <f>IF(ISNA(MATCH(AI$2,Inputs!$K$4:$AJ$4,0)),NA(),IF(SUMPRODUCT((Inputs!$A$5:$A$180=$B46)*ISNUMBER(INDEX(Inputs!$K$5:$AJ$180,0,MATCH(AI$2,Inputs!$K$4:$AJ$4,0))))+SUMPRODUCT((Inputs!$C$5:$C$180=$B46)*ISNUMBER(INDEX(Inputs!$K$5:$AJ$180,0,MATCH(AI$2,Inputs!$K$4:$AJ$4,0))))+SUMPRODUCT((Inputs!$E$5:$E$180=$B46)*ISNUMBER(INDEX(Inputs!$K$5:$AJ$180,0,MATCH(AI$2,Inputs!$K$4:$AJ$4,0))))=0,NA(),SUMPRODUCT((Inputs!$A$5:$A$180=$B46)*Inputs!$B$5:$B$180*(((Inputs!$G$5:$G$180="moeda")+(Inputs!$G$5:$G$180="acoes"))*Inputs!$B$1+((Inputs!$G$5:$G$180&lt;&gt;"moeda")*(Inputs!$G$5:$G$180&lt;&gt;"acoes")))*INDEX(Inputs!$K$5:$AJ$180,0,MATCH(AI$2,Inputs!$K$4:$AJ$4,0)))+SUMPRODUCT((Inputs!$C$5:$C$180=$B46)*Inputs!$D$5:$D$180*(((Inputs!$G$5:$G$180="moeda")+(Inputs!$G$5:$G$180="acoes"))*Inputs!$B$1+((Inputs!$G$5:$G$180&lt;&gt;"moeda")*(Inputs!$G$5:$G$180&lt;&gt;"acoes")))*INDEX(Inputs!$K$5:$AJ$180,0,MATCH(AI$2,Inputs!$K$4:$AJ$4,0)))+SUMPRODUCT((Inputs!$E$5:$E$180=$B46)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6" s="6">
        <f>IF(ISNA(MATCH(AJ$2,Inputs!$K$4:$AJ$4,0)),NA(),IF(SUMPRODUCT((Inputs!$A$5:$A$180=$B46)*ISNUMBER(INDEX(Inputs!$K$5:$AJ$180,0,MATCH(AJ$2,Inputs!$K$4:$AJ$4,0))))+SUMPRODUCT((Inputs!$C$5:$C$180=$B46)*ISNUMBER(INDEX(Inputs!$K$5:$AJ$180,0,MATCH(AJ$2,Inputs!$K$4:$AJ$4,0))))+SUMPRODUCT((Inputs!$E$5:$E$180=$B46)*ISNUMBER(INDEX(Inputs!$K$5:$AJ$180,0,MATCH(AJ$2,Inputs!$K$4:$AJ$4,0))))=0,NA(),SUMPRODUCT((Inputs!$A$5:$A$180=$B46)*Inputs!$B$5:$B$180*(((Inputs!$G$5:$G$180="moeda")+(Inputs!$G$5:$G$180="acoes"))*Inputs!$B$1+((Inputs!$G$5:$G$180&lt;&gt;"moeda")*(Inputs!$G$5:$G$180&lt;&gt;"acoes")))*INDEX(Inputs!$K$5:$AJ$180,0,MATCH(AJ$2,Inputs!$K$4:$AJ$4,0)))+SUMPRODUCT((Inputs!$C$5:$C$180=$B46)*Inputs!$D$5:$D$180*(((Inputs!$G$5:$G$180="moeda")+(Inputs!$G$5:$G$180="acoes"))*Inputs!$B$1+((Inputs!$G$5:$G$180&lt;&gt;"moeda")*(Inputs!$G$5:$G$180&lt;&gt;"acoes")))*INDEX(Inputs!$K$5:$AJ$180,0,MATCH(AJ$2,Inputs!$K$4:$AJ$4,0)))+SUMPRODUCT((Inputs!$E$5:$E$180=$B46)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6" s="6">
        <f>IF(ISNA(MATCH(AK$2,Inputs!$K$4:$AJ$4,0)),NA(),IF(SUMPRODUCT((Inputs!$A$5:$A$180=$B46)*ISNUMBER(INDEX(Inputs!$K$5:$AJ$180,0,MATCH(AK$2,Inputs!$K$4:$AJ$4,0))))+SUMPRODUCT((Inputs!$C$5:$C$180=$B46)*ISNUMBER(INDEX(Inputs!$K$5:$AJ$180,0,MATCH(AK$2,Inputs!$K$4:$AJ$4,0))))+SUMPRODUCT((Inputs!$E$5:$E$180=$B46)*ISNUMBER(INDEX(Inputs!$K$5:$AJ$180,0,MATCH(AK$2,Inputs!$K$4:$AJ$4,0))))=0,NA(),SUMPRODUCT((Inputs!$A$5:$A$180=$B46)*Inputs!$B$5:$B$180*(((Inputs!$G$5:$G$180="moeda")+(Inputs!$G$5:$G$180="acoes"))*Inputs!$B$1+((Inputs!$G$5:$G$180&lt;&gt;"moeda")*(Inputs!$G$5:$G$180&lt;&gt;"acoes")))*INDEX(Inputs!$K$5:$AJ$180,0,MATCH(AK$2,Inputs!$K$4:$AJ$4,0)))+SUMPRODUCT((Inputs!$C$5:$C$180=$B46)*Inputs!$D$5:$D$180*(((Inputs!$G$5:$G$180="moeda")+(Inputs!$G$5:$G$180="acoes"))*Inputs!$B$1+((Inputs!$G$5:$G$180&lt;&gt;"moeda")*(Inputs!$G$5:$G$180&lt;&gt;"acoes")))*INDEX(Inputs!$K$5:$AJ$180,0,MATCH(AK$2,Inputs!$K$4:$AJ$4,0)))+SUMPRODUCT((Inputs!$E$5:$E$180=$B46)*Inputs!$F$5:$F$180*(((Inputs!$G$5:$G$180="moeda")+(Inputs!$G$5:$G$180="acoes"))*Inputs!$B$1+((Inputs!$G$5:$G$180&lt;&gt;"moeda")*(Inputs!$G$5:$G$180&lt;&gt;"acoes")))*INDEX(Inputs!$K$5:$AJ$180,0,MATCH(AK$2,Inputs!$K$4:$AJ$4,0)))))</f>
        <v>-53.04112672</v>
      </c>
      <c r="AL46" s="3">
        <f>AK46</f>
        <v>-53.04112672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$180=$B47)*ISNUMBER(INDEX(Inputs!$K$5:$AJ$180,0,MATCH(D$2,Inputs!$K$4:$AJ$4,0))))+SUMPRODUCT((Inputs!$C$5:$C$180=$B47)*ISNUMBER(INDEX(Inputs!$K$5:$AJ$180,0,MATCH(D$2,Inputs!$K$4:$AJ$4,0))))+SUMPRODUCT((Inputs!$E$5:$E$180=$B47)*ISNUMBER(INDEX(Inputs!$K$5:$AJ$180,0,MATCH(D$2,Inputs!$K$4:$AJ$4,0))))=0,NA(),SUMPRODUCT((Inputs!$A$5:$A$180=$B47)*Inputs!$B$5:$B$180*(((Inputs!$G$5:$G$180="moeda")+(Inputs!$G$5:$G$180="acoes"))*Inputs!$B$1+((Inputs!$G$5:$G$180&lt;&gt;"moeda")*(Inputs!$G$5:$G$180&lt;&gt;"acoes")))*INDEX(Inputs!$K$5:$AJ$180,0,MATCH(D$2,Inputs!$K$4:$AJ$4,0)))+SUMPRODUCT((Inputs!$C$5:$C$180=$B47)*Inputs!$D$5:$D$180*(((Inputs!$G$5:$G$180="moeda")+(Inputs!$G$5:$G$180="acoes"))*Inputs!$B$1+((Inputs!$G$5:$G$180&lt;&gt;"moeda")*(Inputs!$G$5:$G$180&lt;&gt;"acoes")))*INDEX(Inputs!$K$5:$AJ$180,0,MATCH(D$2,Inputs!$K$4:$AJ$4,0)))+SUMPRODUCT((Inputs!$E$5:$E$180=$B47)*Inputs!$F$5:$F$180*(((Inputs!$G$5:$G$180="moeda")+(Inputs!$G$5:$G$180="acoes"))*Inputs!$B$1+((Inputs!$G$5:$G$180&lt;&gt;"moeda")*(Inputs!$G$5:$G$180&lt;&gt;"acoes")))*INDEX(Inputs!$K$5:$AJ$180,0,MATCH(D$2,Inputs!$K$4:$AJ$4,0)))))</f>
        <v>123.048387270749</v>
      </c>
      <c r="E47" s="6">
        <f>IF(ISNA(MATCH(E$2,Inputs!$K$4:$AJ$4,0)),NA(),IF(SUMPRODUCT((Inputs!$A$5:$A$180=$B47)*ISNUMBER(INDEX(Inputs!$K$5:$AJ$180,0,MATCH(E$2,Inputs!$K$4:$AJ$4,0))))+SUMPRODUCT((Inputs!$C$5:$C$180=$B47)*ISNUMBER(INDEX(Inputs!$K$5:$AJ$180,0,MATCH(E$2,Inputs!$K$4:$AJ$4,0))))+SUMPRODUCT((Inputs!$E$5:$E$180=$B47)*ISNUMBER(INDEX(Inputs!$K$5:$AJ$180,0,MATCH(E$2,Inputs!$K$4:$AJ$4,0))))=0,NA(),SUMPRODUCT((Inputs!$A$5:$A$180=$B47)*Inputs!$B$5:$B$180*(((Inputs!$G$5:$G$180="moeda")+(Inputs!$G$5:$G$180="acoes"))*Inputs!$B$1+((Inputs!$G$5:$G$180&lt;&gt;"moeda")*(Inputs!$G$5:$G$180&lt;&gt;"acoes")))*INDEX(Inputs!$K$5:$AJ$180,0,MATCH(E$2,Inputs!$K$4:$AJ$4,0)))+SUMPRODUCT((Inputs!$C$5:$C$180=$B47)*Inputs!$D$5:$D$180*(((Inputs!$G$5:$G$180="moeda")+(Inputs!$G$5:$G$180="acoes"))*Inputs!$B$1+((Inputs!$G$5:$G$180&lt;&gt;"moeda")*(Inputs!$G$5:$G$180&lt;&gt;"acoes")))*INDEX(Inputs!$K$5:$AJ$180,0,MATCH(E$2,Inputs!$K$4:$AJ$4,0)))+SUMPRODUCT((Inputs!$E$5:$E$180=$B47)*Inputs!$F$5:$F$180*(((Inputs!$G$5:$G$180="moeda")+(Inputs!$G$5:$G$180="acoes"))*Inputs!$B$1+((Inputs!$G$5:$G$180&lt;&gt;"moeda")*(Inputs!$G$5:$G$180&lt;&gt;"acoes")))*INDEX(Inputs!$K$5:$AJ$180,0,MATCH(E$2,Inputs!$K$4:$AJ$4,0)))))</f>
        <v>204.705895440226</v>
      </c>
      <c r="F47" s="6">
        <f>IF(ISNA(MATCH(F$2,Inputs!$K$4:$AJ$4,0)),NA(),IF(SUMPRODUCT((Inputs!$A$5:$A$180=$B47)*ISNUMBER(INDEX(Inputs!$K$5:$AJ$180,0,MATCH(F$2,Inputs!$K$4:$AJ$4,0))))+SUMPRODUCT((Inputs!$C$5:$C$180=$B47)*ISNUMBER(INDEX(Inputs!$K$5:$AJ$180,0,MATCH(F$2,Inputs!$K$4:$AJ$4,0))))+SUMPRODUCT((Inputs!$E$5:$E$180=$B47)*ISNUMBER(INDEX(Inputs!$K$5:$AJ$180,0,MATCH(F$2,Inputs!$K$4:$AJ$4,0))))=0,NA(),SUMPRODUCT((Inputs!$A$5:$A$180=$B47)*Inputs!$B$5:$B$180*(((Inputs!$G$5:$G$180="moeda")+(Inputs!$G$5:$G$180="acoes"))*Inputs!$B$1+((Inputs!$G$5:$G$180&lt;&gt;"moeda")*(Inputs!$G$5:$G$180&lt;&gt;"acoes")))*INDEX(Inputs!$K$5:$AJ$180,0,MATCH(F$2,Inputs!$K$4:$AJ$4,0)))+SUMPRODUCT((Inputs!$C$5:$C$180=$B47)*Inputs!$D$5:$D$180*(((Inputs!$G$5:$G$180="moeda")+(Inputs!$G$5:$G$180="acoes"))*Inputs!$B$1+((Inputs!$G$5:$G$180&lt;&gt;"moeda")*(Inputs!$G$5:$G$180&lt;&gt;"acoes")))*INDEX(Inputs!$K$5:$AJ$180,0,MATCH(F$2,Inputs!$K$4:$AJ$4,0)))+SUMPRODUCT((Inputs!$E$5:$E$180=$B47)*Inputs!$F$5:$F$180*(((Inputs!$G$5:$G$180="moeda")+(Inputs!$G$5:$G$180="acoes"))*Inputs!$B$1+((Inputs!$G$5:$G$180&lt;&gt;"moeda")*(Inputs!$G$5:$G$180&lt;&gt;"acoes")))*INDEX(Inputs!$K$5:$AJ$180,0,MATCH(F$2,Inputs!$K$4:$AJ$4,0)))))</f>
        <v>290.497937192305</v>
      </c>
      <c r="G47" s="6">
        <f>IF(ISNA(MATCH(G$2,Inputs!$K$4:$AJ$4,0)),NA(),IF(SUMPRODUCT((Inputs!$A$5:$A$180=$B47)*ISNUMBER(INDEX(Inputs!$K$5:$AJ$180,0,MATCH(G$2,Inputs!$K$4:$AJ$4,0))))+SUMPRODUCT((Inputs!$C$5:$C$180=$B47)*ISNUMBER(INDEX(Inputs!$K$5:$AJ$180,0,MATCH(G$2,Inputs!$K$4:$AJ$4,0))))+SUMPRODUCT((Inputs!$E$5:$E$180=$B47)*ISNUMBER(INDEX(Inputs!$K$5:$AJ$180,0,MATCH(G$2,Inputs!$K$4:$AJ$4,0))))=0,NA(),SUMPRODUCT((Inputs!$A$5:$A$180=$B47)*Inputs!$B$5:$B$180*(((Inputs!$G$5:$G$180="moeda")+(Inputs!$G$5:$G$180="acoes"))*Inputs!$B$1+((Inputs!$G$5:$G$180&lt;&gt;"moeda")*(Inputs!$G$5:$G$180&lt;&gt;"acoes")))*INDEX(Inputs!$K$5:$AJ$180,0,MATCH(G$2,Inputs!$K$4:$AJ$4,0)))+SUMPRODUCT((Inputs!$C$5:$C$180=$B47)*Inputs!$D$5:$D$180*(((Inputs!$G$5:$G$180="moeda")+(Inputs!$G$5:$G$180="acoes"))*Inputs!$B$1+((Inputs!$G$5:$G$180&lt;&gt;"moeda")*(Inputs!$G$5:$G$180&lt;&gt;"acoes")))*INDEX(Inputs!$K$5:$AJ$180,0,MATCH(G$2,Inputs!$K$4:$AJ$4,0)))+SUMPRODUCT((Inputs!$E$5:$E$180=$B47)*Inputs!$F$5:$F$180*(((Inputs!$G$5:$G$180="moeda")+(Inputs!$G$5:$G$180="acoes"))*Inputs!$B$1+((Inputs!$G$5:$G$180&lt;&gt;"moeda")*(Inputs!$G$5:$G$180&lt;&gt;"acoes")))*INDEX(Inputs!$K$5:$AJ$180,0,MATCH(G$2,Inputs!$K$4:$AJ$4,0)))))</f>
        <v>339.917789614905</v>
      </c>
      <c r="H47" s="3">
        <f>G47</f>
        <v>339.917789614905</v>
      </c>
      <c r="I47" s="6">
        <f>IF(ISNA(MATCH(I$2,Inputs!$K$4:$AJ$4,0)),NA(),IF(SUMPRODUCT((Inputs!$A$5:$A$180=$B47)*ISNUMBER(INDEX(Inputs!$K$5:$AJ$180,0,MATCH(I$2,Inputs!$K$4:$AJ$4,0))))+SUMPRODUCT((Inputs!$C$5:$C$180=$B47)*ISNUMBER(INDEX(Inputs!$K$5:$AJ$180,0,MATCH(I$2,Inputs!$K$4:$AJ$4,0))))+SUMPRODUCT((Inputs!$E$5:$E$180=$B47)*ISNUMBER(INDEX(Inputs!$K$5:$AJ$180,0,MATCH(I$2,Inputs!$K$4:$AJ$4,0))))=0,NA(),SUMPRODUCT((Inputs!$A$5:$A$180=$B47)*Inputs!$B$5:$B$180*(((Inputs!$G$5:$G$180="moeda")+(Inputs!$G$5:$G$180="acoes"))*Inputs!$B$1+((Inputs!$G$5:$G$180&lt;&gt;"moeda")*(Inputs!$G$5:$G$180&lt;&gt;"acoes")))*INDEX(Inputs!$K$5:$AJ$180,0,MATCH(I$2,Inputs!$K$4:$AJ$4,0)))+SUMPRODUCT((Inputs!$C$5:$C$180=$B47)*Inputs!$D$5:$D$180*(((Inputs!$G$5:$G$180="moeda")+(Inputs!$G$5:$G$180="acoes"))*Inputs!$B$1+((Inputs!$G$5:$G$180&lt;&gt;"moeda")*(Inputs!$G$5:$G$180&lt;&gt;"acoes")))*INDEX(Inputs!$K$5:$AJ$180,0,MATCH(I$2,Inputs!$K$4:$AJ$4,0)))+SUMPRODUCT((Inputs!$E$5:$E$180=$B47)*Inputs!$F$5:$F$180*(((Inputs!$G$5:$G$180="moeda")+(Inputs!$G$5:$G$180="acoes"))*Inputs!$B$1+((Inputs!$G$5:$G$180&lt;&gt;"moeda")*(Inputs!$G$5:$G$180&lt;&gt;"acoes")))*INDEX(Inputs!$K$5:$AJ$180,0,MATCH(I$2,Inputs!$K$4:$AJ$4,0)))))</f>
        <v>385.839449300669</v>
      </c>
      <c r="J47" s="6">
        <f>IF(ISNA(MATCH(J$2,Inputs!$K$4:$AJ$4,0)),NA(),IF(SUMPRODUCT((Inputs!$A$5:$A$180=$B47)*ISNUMBER(INDEX(Inputs!$K$5:$AJ$180,0,MATCH(J$2,Inputs!$K$4:$AJ$4,0))))+SUMPRODUCT((Inputs!$C$5:$C$180=$B47)*ISNUMBER(INDEX(Inputs!$K$5:$AJ$180,0,MATCH(J$2,Inputs!$K$4:$AJ$4,0))))+SUMPRODUCT((Inputs!$E$5:$E$180=$B47)*ISNUMBER(INDEX(Inputs!$K$5:$AJ$180,0,MATCH(J$2,Inputs!$K$4:$AJ$4,0))))=0,NA(),SUMPRODUCT((Inputs!$A$5:$A$180=$B47)*Inputs!$B$5:$B$180*(((Inputs!$G$5:$G$180="moeda")+(Inputs!$G$5:$G$180="acoes"))*Inputs!$B$1+((Inputs!$G$5:$G$180&lt;&gt;"moeda")*(Inputs!$G$5:$G$180&lt;&gt;"acoes")))*INDEX(Inputs!$K$5:$AJ$180,0,MATCH(J$2,Inputs!$K$4:$AJ$4,0)))+SUMPRODUCT((Inputs!$C$5:$C$180=$B47)*Inputs!$D$5:$D$180*(((Inputs!$G$5:$G$180="moeda")+(Inputs!$G$5:$G$180="acoes"))*Inputs!$B$1+((Inputs!$G$5:$G$180&lt;&gt;"moeda")*(Inputs!$G$5:$G$180&lt;&gt;"acoes")))*INDEX(Inputs!$K$5:$AJ$180,0,MATCH(J$2,Inputs!$K$4:$AJ$4,0)))+SUMPRODUCT((Inputs!$E$5:$E$180=$B47)*Inputs!$F$5:$F$180*(((Inputs!$G$5:$G$180="moeda")+(Inputs!$G$5:$G$180="acoes"))*Inputs!$B$1+((Inputs!$G$5:$G$180&lt;&gt;"moeda")*(Inputs!$G$5:$G$180&lt;&gt;"acoes")))*INDEX(Inputs!$K$5:$AJ$180,0,MATCH(J$2,Inputs!$K$4:$AJ$4,0)))))</f>
        <v>474.891482467547</v>
      </c>
      <c r="K47" s="6">
        <f>IF(ISNA(MATCH(K$2,Inputs!$K$4:$AJ$4,0)),NA(),IF(SUMPRODUCT((Inputs!$A$5:$A$180=$B47)*ISNUMBER(INDEX(Inputs!$K$5:$AJ$180,0,MATCH(K$2,Inputs!$K$4:$AJ$4,0))))+SUMPRODUCT((Inputs!$C$5:$C$180=$B47)*ISNUMBER(INDEX(Inputs!$K$5:$AJ$180,0,MATCH(K$2,Inputs!$K$4:$AJ$4,0))))+SUMPRODUCT((Inputs!$E$5:$E$180=$B47)*ISNUMBER(INDEX(Inputs!$K$5:$AJ$180,0,MATCH(K$2,Inputs!$K$4:$AJ$4,0))))=0,NA(),SUMPRODUCT((Inputs!$A$5:$A$180=$B47)*Inputs!$B$5:$B$180*(((Inputs!$G$5:$G$180="moeda")+(Inputs!$G$5:$G$180="acoes"))*Inputs!$B$1+((Inputs!$G$5:$G$180&lt;&gt;"moeda")*(Inputs!$G$5:$G$180&lt;&gt;"acoes")))*INDEX(Inputs!$K$5:$AJ$180,0,MATCH(K$2,Inputs!$K$4:$AJ$4,0)))+SUMPRODUCT((Inputs!$C$5:$C$180=$B47)*Inputs!$D$5:$D$180*(((Inputs!$G$5:$G$180="moeda")+(Inputs!$G$5:$G$180="acoes"))*Inputs!$B$1+((Inputs!$G$5:$G$180&lt;&gt;"moeda")*(Inputs!$G$5:$G$180&lt;&gt;"acoes")))*INDEX(Inputs!$K$5:$AJ$180,0,MATCH(K$2,Inputs!$K$4:$AJ$4,0)))+SUMPRODUCT((Inputs!$E$5:$E$180=$B47)*Inputs!$F$5:$F$180*(((Inputs!$G$5:$G$180="moeda")+(Inputs!$G$5:$G$180="acoes"))*Inputs!$B$1+((Inputs!$G$5:$G$180&lt;&gt;"moeda")*(Inputs!$G$5:$G$180&lt;&gt;"acoes")))*INDEX(Inputs!$K$5:$AJ$180,0,MATCH(K$2,Inputs!$K$4:$AJ$4,0)))))</f>
        <v>543.018875405581</v>
      </c>
      <c r="L47" s="6">
        <f>IF(ISNA(MATCH(L$2,Inputs!$K$4:$AJ$4,0)),NA(),IF(SUMPRODUCT((Inputs!$A$5:$A$180=$B47)*ISNUMBER(INDEX(Inputs!$K$5:$AJ$180,0,MATCH(L$2,Inputs!$K$4:$AJ$4,0))))+SUMPRODUCT((Inputs!$C$5:$C$180=$B47)*ISNUMBER(INDEX(Inputs!$K$5:$AJ$180,0,MATCH(L$2,Inputs!$K$4:$AJ$4,0))))+SUMPRODUCT((Inputs!$E$5:$E$180=$B47)*ISNUMBER(INDEX(Inputs!$K$5:$AJ$180,0,MATCH(L$2,Inputs!$K$4:$AJ$4,0))))=0,NA(),SUMPRODUCT((Inputs!$A$5:$A$180=$B47)*Inputs!$B$5:$B$180*(((Inputs!$G$5:$G$180="moeda")+(Inputs!$G$5:$G$180="acoes"))*Inputs!$B$1+((Inputs!$G$5:$G$180&lt;&gt;"moeda")*(Inputs!$G$5:$G$180&lt;&gt;"acoes")))*INDEX(Inputs!$K$5:$AJ$180,0,MATCH(L$2,Inputs!$K$4:$AJ$4,0)))+SUMPRODUCT((Inputs!$C$5:$C$180=$B47)*Inputs!$D$5:$D$180*(((Inputs!$G$5:$G$180="moeda")+(Inputs!$G$5:$G$180="acoes"))*Inputs!$B$1+((Inputs!$G$5:$G$180&lt;&gt;"moeda")*(Inputs!$G$5:$G$180&lt;&gt;"acoes")))*INDEX(Inputs!$K$5:$AJ$180,0,MATCH(L$2,Inputs!$K$4:$AJ$4,0)))+SUMPRODUCT((Inputs!$E$5:$E$180=$B47)*Inputs!$F$5:$F$180*(((Inputs!$G$5:$G$180="moeda")+(Inputs!$G$5:$G$180="acoes"))*Inputs!$B$1+((Inputs!$G$5:$G$180&lt;&gt;"moeda")*(Inputs!$G$5:$G$180&lt;&gt;"acoes")))*INDEX(Inputs!$K$5:$AJ$180,0,MATCH(L$2,Inputs!$K$4:$AJ$4,0)))))</f>
        <v>615.068</v>
      </c>
      <c r="M47" s="3">
        <f>L47</f>
        <v>615.068</v>
      </c>
      <c r="N47" s="6">
        <f>IF(ISNA(MATCH(N$2,Inputs!$K$4:$AJ$4,0)),NA(),IF(SUMPRODUCT((Inputs!$A$5:$A$180=$B47)*ISNUMBER(INDEX(Inputs!$K$5:$AJ$180,0,MATCH(N$2,Inputs!$K$4:$AJ$4,0))))+SUMPRODUCT((Inputs!$C$5:$C$180=$B47)*ISNUMBER(INDEX(Inputs!$K$5:$AJ$180,0,MATCH(N$2,Inputs!$K$4:$AJ$4,0))))+SUMPRODUCT((Inputs!$E$5:$E$180=$B47)*ISNUMBER(INDEX(Inputs!$K$5:$AJ$180,0,MATCH(N$2,Inputs!$K$4:$AJ$4,0))))=0,NA(),SUMPRODUCT((Inputs!$A$5:$A$180=$B47)*Inputs!$B$5:$B$180*(((Inputs!$G$5:$G$180="moeda")+(Inputs!$G$5:$G$180="acoes"))*Inputs!$B$1+((Inputs!$G$5:$G$180&lt;&gt;"moeda")*(Inputs!$G$5:$G$180&lt;&gt;"acoes")))*INDEX(Inputs!$K$5:$AJ$180,0,MATCH(N$2,Inputs!$K$4:$AJ$4,0)))+SUMPRODUCT((Inputs!$C$5:$C$180=$B47)*Inputs!$D$5:$D$180*(((Inputs!$G$5:$G$180="moeda")+(Inputs!$G$5:$G$180="acoes"))*Inputs!$B$1+((Inputs!$G$5:$G$180&lt;&gt;"moeda")*(Inputs!$G$5:$G$180&lt;&gt;"acoes")))*INDEX(Inputs!$K$5:$AJ$180,0,MATCH(N$2,Inputs!$K$4:$AJ$4,0)))+SUMPRODUCT((Inputs!$E$5:$E$180=$B47)*Inputs!$F$5:$F$180*(((Inputs!$G$5:$G$180="moeda")+(Inputs!$G$5:$G$180="acoes"))*Inputs!$B$1+((Inputs!$G$5:$G$180&lt;&gt;"moeda")*(Inputs!$G$5:$G$180&lt;&gt;"acoes")))*INDEX(Inputs!$K$5:$AJ$180,0,MATCH(N$2,Inputs!$K$4:$AJ$4,0)))))</f>
        <v>653.64</v>
      </c>
      <c r="O47" s="6">
        <f>IF(ISNA(MATCH(O$2,Inputs!$K$4:$AJ$4,0)),NA(),IF(SUMPRODUCT((Inputs!$A$5:$A$180=$B47)*ISNUMBER(INDEX(Inputs!$K$5:$AJ$180,0,MATCH(O$2,Inputs!$K$4:$AJ$4,0))))+SUMPRODUCT((Inputs!$C$5:$C$180=$B47)*ISNUMBER(INDEX(Inputs!$K$5:$AJ$180,0,MATCH(O$2,Inputs!$K$4:$AJ$4,0))))+SUMPRODUCT((Inputs!$E$5:$E$180=$B47)*ISNUMBER(INDEX(Inputs!$K$5:$AJ$180,0,MATCH(O$2,Inputs!$K$4:$AJ$4,0))))=0,NA(),SUMPRODUCT((Inputs!$A$5:$A$180=$B47)*Inputs!$B$5:$B$180*(((Inputs!$G$5:$G$180="moeda")+(Inputs!$G$5:$G$180="acoes"))*Inputs!$B$1+((Inputs!$G$5:$G$180&lt;&gt;"moeda")*(Inputs!$G$5:$G$180&lt;&gt;"acoes")))*INDEX(Inputs!$K$5:$AJ$180,0,MATCH(O$2,Inputs!$K$4:$AJ$4,0)))+SUMPRODUCT((Inputs!$C$5:$C$180=$B47)*Inputs!$D$5:$D$180*(((Inputs!$G$5:$G$180="moeda")+(Inputs!$G$5:$G$180="acoes"))*Inputs!$B$1+((Inputs!$G$5:$G$180&lt;&gt;"moeda")*(Inputs!$G$5:$G$180&lt;&gt;"acoes")))*INDEX(Inputs!$K$5:$AJ$180,0,MATCH(O$2,Inputs!$K$4:$AJ$4,0)))+SUMPRODUCT((Inputs!$E$5:$E$180=$B47)*Inputs!$F$5:$F$180*(((Inputs!$G$5:$G$180="moeda")+(Inputs!$G$5:$G$180="acoes"))*Inputs!$B$1+((Inputs!$G$5:$G$180&lt;&gt;"moeda")*(Inputs!$G$5:$G$180&lt;&gt;"acoes")))*INDEX(Inputs!$K$5:$AJ$180,0,MATCH(O$2,Inputs!$K$4:$AJ$4,0)))))</f>
        <v>763.624756169715</v>
      </c>
      <c r="P47" s="6">
        <f>IF(ISNA(MATCH(P$2,Inputs!$K$4:$AJ$4,0)),NA(),IF(SUMPRODUCT((Inputs!$A$5:$A$180=$B47)*ISNUMBER(INDEX(Inputs!$K$5:$AJ$180,0,MATCH(P$2,Inputs!$K$4:$AJ$4,0))))+SUMPRODUCT((Inputs!$C$5:$C$180=$B47)*ISNUMBER(INDEX(Inputs!$K$5:$AJ$180,0,MATCH(P$2,Inputs!$K$4:$AJ$4,0))))+SUMPRODUCT((Inputs!$E$5:$E$180=$B47)*ISNUMBER(INDEX(Inputs!$K$5:$AJ$180,0,MATCH(P$2,Inputs!$K$4:$AJ$4,0))))=0,NA(),SUMPRODUCT((Inputs!$A$5:$A$180=$B47)*Inputs!$B$5:$B$180*(((Inputs!$G$5:$G$180="moeda")+(Inputs!$G$5:$G$180="acoes"))*Inputs!$B$1+((Inputs!$G$5:$G$180&lt;&gt;"moeda")*(Inputs!$G$5:$G$180&lt;&gt;"acoes")))*INDEX(Inputs!$K$5:$AJ$180,0,MATCH(P$2,Inputs!$K$4:$AJ$4,0)))+SUMPRODUCT((Inputs!$C$5:$C$180=$B47)*Inputs!$D$5:$D$180*(((Inputs!$G$5:$G$180="moeda")+(Inputs!$G$5:$G$180="acoes"))*Inputs!$B$1+((Inputs!$G$5:$G$180&lt;&gt;"moeda")*(Inputs!$G$5:$G$180&lt;&gt;"acoes")))*INDEX(Inputs!$K$5:$AJ$180,0,MATCH(P$2,Inputs!$K$4:$AJ$4,0)))+SUMPRODUCT((Inputs!$E$5:$E$180=$B47)*Inputs!$F$5:$F$180*(((Inputs!$G$5:$G$180="moeda")+(Inputs!$G$5:$G$180="acoes"))*Inputs!$B$1+((Inputs!$G$5:$G$180&lt;&gt;"moeda")*(Inputs!$G$5:$G$180&lt;&gt;"acoes")))*INDEX(Inputs!$K$5:$AJ$180,0,MATCH(P$2,Inputs!$K$4:$AJ$4,0)))))</f>
        <v>840.163603671164</v>
      </c>
      <c r="Q47" s="6">
        <f>IF(ISNA(MATCH(Q$2,Inputs!$K$4:$AJ$4,0)),NA(),IF(SUMPRODUCT((Inputs!$A$5:$A$180=$B47)*ISNUMBER(INDEX(Inputs!$K$5:$AJ$180,0,MATCH(Q$2,Inputs!$K$4:$AJ$4,0))))+SUMPRODUCT((Inputs!$C$5:$C$180=$B47)*ISNUMBER(INDEX(Inputs!$K$5:$AJ$180,0,MATCH(Q$2,Inputs!$K$4:$AJ$4,0))))+SUMPRODUCT((Inputs!$E$5:$E$180=$B47)*ISNUMBER(INDEX(Inputs!$K$5:$AJ$180,0,MATCH(Q$2,Inputs!$K$4:$AJ$4,0))))=0,NA(),SUMPRODUCT((Inputs!$A$5:$A$180=$B47)*Inputs!$B$5:$B$180*(((Inputs!$G$5:$G$180="moeda")+(Inputs!$G$5:$G$180="acoes"))*Inputs!$B$1+((Inputs!$G$5:$G$180&lt;&gt;"moeda")*(Inputs!$G$5:$G$180&lt;&gt;"acoes")))*INDEX(Inputs!$K$5:$AJ$180,0,MATCH(Q$2,Inputs!$K$4:$AJ$4,0)))+SUMPRODUCT((Inputs!$C$5:$C$180=$B47)*Inputs!$D$5:$D$180*(((Inputs!$G$5:$G$180="moeda")+(Inputs!$G$5:$G$180="acoes"))*Inputs!$B$1+((Inputs!$G$5:$G$180&lt;&gt;"moeda")*(Inputs!$G$5:$G$180&lt;&gt;"acoes")))*INDEX(Inputs!$K$5:$AJ$180,0,MATCH(Q$2,Inputs!$K$4:$AJ$4,0)))+SUMPRODUCT((Inputs!$E$5:$E$180=$B47)*Inputs!$F$5:$F$180*(((Inputs!$G$5:$G$180="moeda")+(Inputs!$G$5:$G$180="acoes"))*Inputs!$B$1+((Inputs!$G$5:$G$180&lt;&gt;"moeda")*(Inputs!$G$5:$G$180&lt;&gt;"acoes")))*INDEX(Inputs!$K$5:$AJ$180,0,MATCH(Q$2,Inputs!$K$4:$AJ$4,0)))))</f>
        <v>968.425660383276</v>
      </c>
      <c r="R47" s="3">
        <f>Q47</f>
        <v>968.425660383276</v>
      </c>
      <c r="S47" s="6">
        <f>IF(ISNA(MATCH(S$2,Inputs!$K$4:$AJ$4,0)),NA(),IF(SUMPRODUCT((Inputs!$A$5:$A$180=$B47)*ISNUMBER(INDEX(Inputs!$K$5:$AJ$180,0,MATCH(S$2,Inputs!$K$4:$AJ$4,0))))+SUMPRODUCT((Inputs!$C$5:$C$180=$B47)*ISNUMBER(INDEX(Inputs!$K$5:$AJ$180,0,MATCH(S$2,Inputs!$K$4:$AJ$4,0))))+SUMPRODUCT((Inputs!$E$5:$E$180=$B47)*ISNUMBER(INDEX(Inputs!$K$5:$AJ$180,0,MATCH(S$2,Inputs!$K$4:$AJ$4,0))))=0,NA(),SUMPRODUCT((Inputs!$A$5:$A$180=$B47)*Inputs!$B$5:$B$180*(((Inputs!$G$5:$G$180="moeda")+(Inputs!$G$5:$G$180="acoes"))*Inputs!$B$1+((Inputs!$G$5:$G$180&lt;&gt;"moeda")*(Inputs!$G$5:$G$180&lt;&gt;"acoes")))*INDEX(Inputs!$K$5:$AJ$180,0,MATCH(S$2,Inputs!$K$4:$AJ$4,0)))+SUMPRODUCT((Inputs!$C$5:$C$180=$B47)*Inputs!$D$5:$D$180*(((Inputs!$G$5:$G$180="moeda")+(Inputs!$G$5:$G$180="acoes"))*Inputs!$B$1+((Inputs!$G$5:$G$180&lt;&gt;"moeda")*(Inputs!$G$5:$G$180&lt;&gt;"acoes")))*INDEX(Inputs!$K$5:$AJ$180,0,MATCH(S$2,Inputs!$K$4:$AJ$4,0)))+SUMPRODUCT((Inputs!$E$5:$E$180=$B47)*Inputs!$F$5:$F$180*(((Inputs!$G$5:$G$180="moeda")+(Inputs!$G$5:$G$180="acoes"))*Inputs!$B$1+((Inputs!$G$5:$G$180&lt;&gt;"moeda")*(Inputs!$G$5:$G$180&lt;&gt;"acoes")))*INDEX(Inputs!$K$5:$AJ$180,0,MATCH(S$2,Inputs!$K$4:$AJ$4,0)))))</f>
        <v>932.42603956274</v>
      </c>
      <c r="T47" s="6">
        <f>IF(ISNA(MATCH(T$2,Inputs!$K$4:$AJ$4,0)),NA(),IF(SUMPRODUCT((Inputs!$A$5:$A$180=$B47)*ISNUMBER(INDEX(Inputs!$K$5:$AJ$180,0,MATCH(T$2,Inputs!$K$4:$AJ$4,0))))+SUMPRODUCT((Inputs!$C$5:$C$180=$B47)*ISNUMBER(INDEX(Inputs!$K$5:$AJ$180,0,MATCH(T$2,Inputs!$K$4:$AJ$4,0))))+SUMPRODUCT((Inputs!$E$5:$E$180=$B47)*ISNUMBER(INDEX(Inputs!$K$5:$AJ$180,0,MATCH(T$2,Inputs!$K$4:$AJ$4,0))))=0,NA(),SUMPRODUCT((Inputs!$A$5:$A$180=$B47)*Inputs!$B$5:$B$180*(((Inputs!$G$5:$G$180="moeda")+(Inputs!$G$5:$G$180="acoes"))*Inputs!$B$1+((Inputs!$G$5:$G$180&lt;&gt;"moeda")*(Inputs!$G$5:$G$180&lt;&gt;"acoes")))*INDEX(Inputs!$K$5:$AJ$180,0,MATCH(T$2,Inputs!$K$4:$AJ$4,0)))+SUMPRODUCT((Inputs!$C$5:$C$180=$B47)*Inputs!$D$5:$D$180*(((Inputs!$G$5:$G$180="moeda")+(Inputs!$G$5:$G$180="acoes"))*Inputs!$B$1+((Inputs!$G$5:$G$180&lt;&gt;"moeda")*(Inputs!$G$5:$G$180&lt;&gt;"acoes")))*INDEX(Inputs!$K$5:$AJ$180,0,MATCH(T$2,Inputs!$K$4:$AJ$4,0)))+SUMPRODUCT((Inputs!$E$5:$E$180=$B47)*Inputs!$F$5:$F$180*(((Inputs!$G$5:$G$180="moeda")+(Inputs!$G$5:$G$180="acoes"))*Inputs!$B$1+((Inputs!$G$5:$G$180&lt;&gt;"moeda")*(Inputs!$G$5:$G$180&lt;&gt;"acoes")))*INDEX(Inputs!$K$5:$AJ$180,0,MATCH(T$2,Inputs!$K$4:$AJ$4,0)))))</f>
        <v>1143.39040042004</v>
      </c>
      <c r="U47" s="6">
        <f>IF(ISNA(MATCH(U$2,Inputs!$K$4:$AJ$4,0)),NA(),IF(SUMPRODUCT((Inputs!$A$5:$A$180=$B47)*ISNUMBER(INDEX(Inputs!$K$5:$AJ$180,0,MATCH(U$2,Inputs!$K$4:$AJ$4,0))))+SUMPRODUCT((Inputs!$C$5:$C$180=$B47)*ISNUMBER(INDEX(Inputs!$K$5:$AJ$180,0,MATCH(U$2,Inputs!$K$4:$AJ$4,0))))+SUMPRODUCT((Inputs!$E$5:$E$180=$B47)*ISNUMBER(INDEX(Inputs!$K$5:$AJ$180,0,MATCH(U$2,Inputs!$K$4:$AJ$4,0))))=0,NA(),SUMPRODUCT((Inputs!$A$5:$A$180=$B47)*Inputs!$B$5:$B$180*(((Inputs!$G$5:$G$180="moeda")+(Inputs!$G$5:$G$180="acoes"))*Inputs!$B$1+((Inputs!$G$5:$G$180&lt;&gt;"moeda")*(Inputs!$G$5:$G$180&lt;&gt;"acoes")))*INDEX(Inputs!$K$5:$AJ$180,0,MATCH(U$2,Inputs!$K$4:$AJ$4,0)))+SUMPRODUCT((Inputs!$C$5:$C$180=$B47)*Inputs!$D$5:$D$180*(((Inputs!$G$5:$G$180="moeda")+(Inputs!$G$5:$G$180="acoes"))*Inputs!$B$1+((Inputs!$G$5:$G$180&lt;&gt;"moeda")*(Inputs!$G$5:$G$180&lt;&gt;"acoes")))*INDEX(Inputs!$K$5:$AJ$180,0,MATCH(U$2,Inputs!$K$4:$AJ$4,0)))+SUMPRODUCT((Inputs!$E$5:$E$180=$B47)*Inputs!$F$5:$F$180*(((Inputs!$G$5:$G$180="moeda")+(Inputs!$G$5:$G$180="acoes"))*Inputs!$B$1+((Inputs!$G$5:$G$180&lt;&gt;"moeda")*(Inputs!$G$5:$G$180&lt;&gt;"acoes")))*INDEX(Inputs!$K$5:$AJ$180,0,MATCH(U$2,Inputs!$K$4:$AJ$4,0)))))</f>
        <v>1250.554</v>
      </c>
      <c r="V47" s="6">
        <f>IF(ISNA(MATCH(V$2,Inputs!$K$4:$AJ$4,0)),NA(),IF(SUMPRODUCT((Inputs!$A$5:$A$180=$B47)*ISNUMBER(INDEX(Inputs!$K$5:$AJ$180,0,MATCH(V$2,Inputs!$K$4:$AJ$4,0))))+SUMPRODUCT((Inputs!$C$5:$C$180=$B47)*ISNUMBER(INDEX(Inputs!$K$5:$AJ$180,0,MATCH(V$2,Inputs!$K$4:$AJ$4,0))))+SUMPRODUCT((Inputs!$E$5:$E$180=$B47)*ISNUMBER(INDEX(Inputs!$K$5:$AJ$180,0,MATCH(V$2,Inputs!$K$4:$AJ$4,0))))=0,NA(),SUMPRODUCT((Inputs!$A$5:$A$180=$B47)*Inputs!$B$5:$B$180*(((Inputs!$G$5:$G$180="moeda")+(Inputs!$G$5:$G$180="acoes"))*Inputs!$B$1+((Inputs!$G$5:$G$180&lt;&gt;"moeda")*(Inputs!$G$5:$G$180&lt;&gt;"acoes")))*INDEX(Inputs!$K$5:$AJ$180,0,MATCH(V$2,Inputs!$K$4:$AJ$4,0)))+SUMPRODUCT((Inputs!$C$5:$C$180=$B47)*Inputs!$D$5:$D$180*(((Inputs!$G$5:$G$180="moeda")+(Inputs!$G$5:$G$180="acoes"))*Inputs!$B$1+((Inputs!$G$5:$G$180&lt;&gt;"moeda")*(Inputs!$G$5:$G$180&lt;&gt;"acoes")))*INDEX(Inputs!$K$5:$AJ$180,0,MATCH(V$2,Inputs!$K$4:$AJ$4,0)))+SUMPRODUCT((Inputs!$E$5:$E$180=$B47)*Inputs!$F$5:$F$180*(((Inputs!$G$5:$G$180="moeda")+(Inputs!$G$5:$G$180="acoes"))*Inputs!$B$1+((Inputs!$G$5:$G$180&lt;&gt;"moeda")*(Inputs!$G$5:$G$180&lt;&gt;"acoes")))*INDEX(Inputs!$K$5:$AJ$180,0,MATCH(V$2,Inputs!$K$4:$AJ$4,0)))))</f>
        <v>866.640010357878</v>
      </c>
      <c r="W47" s="3">
        <f>V47</f>
        <v>866.640010357878</v>
      </c>
      <c r="X47" s="6">
        <f>IF(ISNA(MATCH(X$2,Inputs!$K$4:$AJ$4,0)),NA(),IF(SUMPRODUCT((Inputs!$A$5:$A$180=$B47)*ISNUMBER(INDEX(Inputs!$K$5:$AJ$180,0,MATCH(X$2,Inputs!$K$4:$AJ$4,0))))+SUMPRODUCT((Inputs!$C$5:$C$180=$B47)*ISNUMBER(INDEX(Inputs!$K$5:$AJ$180,0,MATCH(X$2,Inputs!$K$4:$AJ$4,0))))+SUMPRODUCT((Inputs!$E$5:$E$180=$B47)*ISNUMBER(INDEX(Inputs!$K$5:$AJ$180,0,MATCH(X$2,Inputs!$K$4:$AJ$4,0))))=0,NA(),SUMPRODUCT((Inputs!$A$5:$A$180=$B47)*Inputs!$B$5:$B$180*(((Inputs!$G$5:$G$180="moeda")+(Inputs!$G$5:$G$180="acoes"))*Inputs!$B$1+((Inputs!$G$5:$G$180&lt;&gt;"moeda")*(Inputs!$G$5:$G$180&lt;&gt;"acoes")))*INDEX(Inputs!$K$5:$AJ$180,0,MATCH(X$2,Inputs!$K$4:$AJ$4,0)))+SUMPRODUCT((Inputs!$C$5:$C$180=$B47)*Inputs!$D$5:$D$180*(((Inputs!$G$5:$G$180="moeda")+(Inputs!$G$5:$G$180="acoes"))*Inputs!$B$1+((Inputs!$G$5:$G$180&lt;&gt;"moeda")*(Inputs!$G$5:$G$180&lt;&gt;"acoes")))*INDEX(Inputs!$K$5:$AJ$180,0,MATCH(X$2,Inputs!$K$4:$AJ$4,0)))+SUMPRODUCT((Inputs!$E$5:$E$180=$B47)*Inputs!$F$5:$F$180*(((Inputs!$G$5:$G$180="moeda")+(Inputs!$G$5:$G$180="acoes"))*Inputs!$B$1+((Inputs!$G$5:$G$180&lt;&gt;"moeda")*(Inputs!$G$5:$G$180&lt;&gt;"acoes")))*INDEX(Inputs!$K$5:$AJ$180,0,MATCH(X$2,Inputs!$K$4:$AJ$4,0)))))</f>
        <v>981.68007653</v>
      </c>
      <c r="Y47" s="6">
        <f>IF(ISNA(MATCH(Y$2,Inputs!$K$4:$AJ$4,0)),NA(),IF(SUMPRODUCT((Inputs!$A$5:$A$180=$B47)*ISNUMBER(INDEX(Inputs!$K$5:$AJ$180,0,MATCH(Y$2,Inputs!$K$4:$AJ$4,0))))+SUMPRODUCT((Inputs!$C$5:$C$180=$B47)*ISNUMBER(INDEX(Inputs!$K$5:$AJ$180,0,MATCH(Y$2,Inputs!$K$4:$AJ$4,0))))+SUMPRODUCT((Inputs!$E$5:$E$180=$B47)*ISNUMBER(INDEX(Inputs!$K$5:$AJ$180,0,MATCH(Y$2,Inputs!$K$4:$AJ$4,0))))=0,NA(),SUMPRODUCT((Inputs!$A$5:$A$180=$B47)*Inputs!$B$5:$B$180*(((Inputs!$G$5:$G$180="moeda")+(Inputs!$G$5:$G$180="acoes"))*Inputs!$B$1+((Inputs!$G$5:$G$180&lt;&gt;"moeda")*(Inputs!$G$5:$G$180&lt;&gt;"acoes")))*INDEX(Inputs!$K$5:$AJ$180,0,MATCH(Y$2,Inputs!$K$4:$AJ$4,0)))+SUMPRODUCT((Inputs!$C$5:$C$180=$B47)*Inputs!$D$5:$D$180*(((Inputs!$G$5:$G$180="moeda")+(Inputs!$G$5:$G$180="acoes"))*Inputs!$B$1+((Inputs!$G$5:$G$180&lt;&gt;"moeda")*(Inputs!$G$5:$G$180&lt;&gt;"acoes")))*INDEX(Inputs!$K$5:$AJ$180,0,MATCH(Y$2,Inputs!$K$4:$AJ$4,0)))+SUMPRODUCT((Inputs!$E$5:$E$180=$B47)*Inputs!$F$5:$F$180*(((Inputs!$G$5:$G$180="moeda")+(Inputs!$G$5:$G$180="acoes"))*Inputs!$B$1+((Inputs!$G$5:$G$180&lt;&gt;"moeda")*(Inputs!$G$5:$G$180&lt;&gt;"acoes")))*INDEX(Inputs!$K$5:$AJ$180,0,MATCH(Y$2,Inputs!$K$4:$AJ$4,0)))))</f>
        <v>1132.76991963</v>
      </c>
      <c r="Z47" s="6">
        <f>IF(ISNA(MATCH(Z$2,Inputs!$K$4:$AJ$4,0)),NA(),IF(SUMPRODUCT((Inputs!$A$5:$A$180=$B47)*ISNUMBER(INDEX(Inputs!$K$5:$AJ$180,0,MATCH(Z$2,Inputs!$K$4:$AJ$4,0))))+SUMPRODUCT((Inputs!$C$5:$C$180=$B47)*ISNUMBER(INDEX(Inputs!$K$5:$AJ$180,0,MATCH(Z$2,Inputs!$K$4:$AJ$4,0))))+SUMPRODUCT((Inputs!$E$5:$E$180=$B47)*ISNUMBER(INDEX(Inputs!$K$5:$AJ$180,0,MATCH(Z$2,Inputs!$K$4:$AJ$4,0))))=0,NA(),SUMPRODUCT((Inputs!$A$5:$A$180=$B47)*Inputs!$B$5:$B$180*(((Inputs!$G$5:$G$180="moeda")+(Inputs!$G$5:$G$180="acoes"))*Inputs!$B$1+((Inputs!$G$5:$G$180&lt;&gt;"moeda")*(Inputs!$G$5:$G$180&lt;&gt;"acoes")))*INDEX(Inputs!$K$5:$AJ$180,0,MATCH(Z$2,Inputs!$K$4:$AJ$4,0)))+SUMPRODUCT((Inputs!$C$5:$C$180=$B47)*Inputs!$D$5:$D$180*(((Inputs!$G$5:$G$180="moeda")+(Inputs!$G$5:$G$180="acoes"))*Inputs!$B$1+((Inputs!$G$5:$G$180&lt;&gt;"moeda")*(Inputs!$G$5:$G$180&lt;&gt;"acoes")))*INDEX(Inputs!$K$5:$AJ$180,0,MATCH(Z$2,Inputs!$K$4:$AJ$4,0)))+SUMPRODUCT((Inputs!$E$5:$E$180=$B47)*Inputs!$F$5:$F$180*(((Inputs!$G$5:$G$180="moeda")+(Inputs!$G$5:$G$180="acoes"))*Inputs!$B$1+((Inputs!$G$5:$G$180&lt;&gt;"moeda")*(Inputs!$G$5:$G$180&lt;&gt;"acoes")))*INDEX(Inputs!$K$5:$AJ$180,0,MATCH(Z$2,Inputs!$K$4:$AJ$4,0)))))</f>
        <v>1308.617</v>
      </c>
      <c r="AA47" s="6">
        <f>IF(ISNA(MATCH(AA$2,Inputs!$K$4:$AJ$4,0)),NA(),IF(SUMPRODUCT((Inputs!$A$5:$A$180=$B47)*ISNUMBER(INDEX(Inputs!$K$5:$AJ$180,0,MATCH(AA$2,Inputs!$K$4:$AJ$4,0))))+SUMPRODUCT((Inputs!$C$5:$C$180=$B47)*ISNUMBER(INDEX(Inputs!$K$5:$AJ$180,0,MATCH(AA$2,Inputs!$K$4:$AJ$4,0))))+SUMPRODUCT((Inputs!$E$5:$E$180=$B47)*ISNUMBER(INDEX(Inputs!$K$5:$AJ$180,0,MATCH(AA$2,Inputs!$K$4:$AJ$4,0))))=0,NA(),SUMPRODUCT((Inputs!$A$5:$A$180=$B47)*Inputs!$B$5:$B$180*(((Inputs!$G$5:$G$180="moeda")+(Inputs!$G$5:$G$180="acoes"))*Inputs!$B$1+((Inputs!$G$5:$G$180&lt;&gt;"moeda")*(Inputs!$G$5:$G$180&lt;&gt;"acoes")))*INDEX(Inputs!$K$5:$AJ$180,0,MATCH(AA$2,Inputs!$K$4:$AJ$4,0)))+SUMPRODUCT((Inputs!$C$5:$C$180=$B47)*Inputs!$D$5:$D$180*(((Inputs!$G$5:$G$180="moeda")+(Inputs!$G$5:$G$180="acoes"))*Inputs!$B$1+((Inputs!$G$5:$G$180&lt;&gt;"moeda")*(Inputs!$G$5:$G$180&lt;&gt;"acoes")))*INDEX(Inputs!$K$5:$AJ$180,0,MATCH(AA$2,Inputs!$K$4:$AJ$4,0)))+SUMPRODUCT((Inputs!$E$5:$E$180=$B47)*Inputs!$F$5:$F$180*(((Inputs!$G$5:$G$180="moeda")+(Inputs!$G$5:$G$180="acoes"))*Inputs!$B$1+((Inputs!$G$5:$G$180&lt;&gt;"moeda")*(Inputs!$G$5:$G$180&lt;&gt;"acoes")))*INDEX(Inputs!$K$5:$AJ$180,0,MATCH(AA$2,Inputs!$K$4:$AJ$4,0)))))</f>
        <v>455.502298929997</v>
      </c>
      <c r="AB47" s="3">
        <f>AA47</f>
        <v>455.502298929997</v>
      </c>
      <c r="AC47" s="6">
        <f>IF(ISNA(MATCH(AC$2,Inputs!$K$4:$AJ$4,0)),NA(),IF(SUMPRODUCT((Inputs!$A$5:$A$180=$B47)*ISNUMBER(INDEX(Inputs!$K$5:$AJ$180,0,MATCH(AC$2,Inputs!$K$4:$AJ$4,0))))+SUMPRODUCT((Inputs!$C$5:$C$180=$B47)*ISNUMBER(INDEX(Inputs!$K$5:$AJ$180,0,MATCH(AC$2,Inputs!$K$4:$AJ$4,0))))+SUMPRODUCT((Inputs!$E$5:$E$180=$B47)*ISNUMBER(INDEX(Inputs!$K$5:$AJ$180,0,MATCH(AC$2,Inputs!$K$4:$AJ$4,0))))=0,NA(),SUMPRODUCT((Inputs!$A$5:$A$180=$B47)*Inputs!$B$5:$B$180*(((Inputs!$G$5:$G$180="moeda")+(Inputs!$G$5:$G$180="acoes"))*Inputs!$B$1+((Inputs!$G$5:$G$180&lt;&gt;"moeda")*(Inputs!$G$5:$G$180&lt;&gt;"acoes")))*INDEX(Inputs!$K$5:$AJ$180,0,MATCH(AC$2,Inputs!$K$4:$AJ$4,0)))+SUMPRODUCT((Inputs!$C$5:$C$180=$B47)*Inputs!$D$5:$D$180*(((Inputs!$G$5:$G$180="moeda")+(Inputs!$G$5:$G$180="acoes"))*Inputs!$B$1+((Inputs!$G$5:$G$180&lt;&gt;"moeda")*(Inputs!$G$5:$G$180&lt;&gt;"acoes")))*INDEX(Inputs!$K$5:$AJ$180,0,MATCH(AC$2,Inputs!$K$4:$AJ$4,0)))+SUMPRODUCT((Inputs!$E$5:$E$180=$B47)*Inputs!$F$5:$F$180*(((Inputs!$G$5:$G$180="moeda")+(Inputs!$G$5:$G$180="acoes"))*Inputs!$B$1+((Inputs!$G$5:$G$180&lt;&gt;"moeda")*(Inputs!$G$5:$G$180&lt;&gt;"acoes")))*INDEX(Inputs!$K$5:$AJ$180,0,MATCH(AC$2,Inputs!$K$4:$AJ$4,0)))))</f>
        <v>536.298440719999</v>
      </c>
      <c r="AD47" s="6">
        <f>IF(ISNA(MATCH(AD$2,Inputs!$K$4:$AJ$4,0)),NA(),IF(SUMPRODUCT((Inputs!$A$5:$A$180=$B47)*ISNUMBER(INDEX(Inputs!$K$5:$AJ$180,0,MATCH(AD$2,Inputs!$K$4:$AJ$4,0))))+SUMPRODUCT((Inputs!$C$5:$C$180=$B47)*ISNUMBER(INDEX(Inputs!$K$5:$AJ$180,0,MATCH(AD$2,Inputs!$K$4:$AJ$4,0))))+SUMPRODUCT((Inputs!$E$5:$E$180=$B47)*ISNUMBER(INDEX(Inputs!$K$5:$AJ$180,0,MATCH(AD$2,Inputs!$K$4:$AJ$4,0))))=0,NA(),SUMPRODUCT((Inputs!$A$5:$A$180=$B47)*Inputs!$B$5:$B$180*(((Inputs!$G$5:$G$180="moeda")+(Inputs!$G$5:$G$180="acoes"))*Inputs!$B$1+((Inputs!$G$5:$G$180&lt;&gt;"moeda")*(Inputs!$G$5:$G$180&lt;&gt;"acoes")))*INDEX(Inputs!$K$5:$AJ$180,0,MATCH(AD$2,Inputs!$K$4:$AJ$4,0)))+SUMPRODUCT((Inputs!$C$5:$C$180=$B47)*Inputs!$D$5:$D$180*(((Inputs!$G$5:$G$180="moeda")+(Inputs!$G$5:$G$180="acoes"))*Inputs!$B$1+((Inputs!$G$5:$G$180&lt;&gt;"moeda")*(Inputs!$G$5:$G$180&lt;&gt;"acoes")))*INDEX(Inputs!$K$5:$AJ$180,0,MATCH(AD$2,Inputs!$K$4:$AJ$4,0)))+SUMPRODUCT((Inputs!$E$5:$E$180=$B47)*Inputs!$F$5:$F$180*(((Inputs!$G$5:$G$180="moeda")+(Inputs!$G$5:$G$180="acoes"))*Inputs!$B$1+((Inputs!$G$5:$G$180&lt;&gt;"moeda")*(Inputs!$G$5:$G$180&lt;&gt;"acoes")))*INDEX(Inputs!$K$5:$AJ$180,0,MATCH(AD$2,Inputs!$K$4:$AJ$4,0)))))</f>
        <v>687.962405830001</v>
      </c>
      <c r="AE47" s="6" t="e">
        <f>IF(ISNA(MATCH(AE$2,Inputs!$K$4:$AJ$4,0)),NA(),IF(SUMPRODUCT((Inputs!$A$5:$A$180=$B47)*ISNUMBER(INDEX(Inputs!$K$5:$AJ$180,0,MATCH(AE$2,Inputs!$K$4:$AJ$4,0))))+SUMPRODUCT((Inputs!$C$5:$C$180=$B47)*ISNUMBER(INDEX(Inputs!$K$5:$AJ$180,0,MATCH(AE$2,Inputs!$K$4:$AJ$4,0))))+SUMPRODUCT((Inputs!$E$5:$E$180=$B47)*ISNUMBER(INDEX(Inputs!$K$5:$AJ$180,0,MATCH(AE$2,Inputs!$K$4:$AJ$4,0))))=0,NA(),SUMPRODUCT((Inputs!$A$5:$A$180=$B47)*Inputs!$B$5:$B$180*(((Inputs!$G$5:$G$180="moeda")+(Inputs!$G$5:$G$180="acoes"))*Inputs!$B$1+((Inputs!$G$5:$G$180&lt;&gt;"moeda")*(Inputs!$G$5:$G$180&lt;&gt;"acoes")))*INDEX(Inputs!$K$5:$AJ$180,0,MATCH(AE$2,Inputs!$K$4:$AJ$4,0)))+SUMPRODUCT((Inputs!$C$5:$C$180=$B47)*Inputs!$D$5:$D$180*(((Inputs!$G$5:$G$180="moeda")+(Inputs!$G$5:$G$180="acoes"))*Inputs!$B$1+((Inputs!$G$5:$G$180&lt;&gt;"moeda")*(Inputs!$G$5:$G$180&lt;&gt;"acoes")))*INDEX(Inputs!$K$5:$AJ$180,0,MATCH(AE$2,Inputs!$K$4:$AJ$4,0)))+SUMPRODUCT((Inputs!$E$5:$E$180=$B47)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7" s="6" t="e">
        <f>IF(ISNA(MATCH(AF$2,Inputs!$K$4:$AJ$4,0)),NA(),IF(SUMPRODUCT((Inputs!$A$5:$A$180=$B47)*ISNUMBER(INDEX(Inputs!$K$5:$AJ$180,0,MATCH(AF$2,Inputs!$K$4:$AJ$4,0))))+SUMPRODUCT((Inputs!$C$5:$C$180=$B47)*ISNUMBER(INDEX(Inputs!$K$5:$AJ$180,0,MATCH(AF$2,Inputs!$K$4:$AJ$4,0))))+SUMPRODUCT((Inputs!$E$5:$E$180=$B47)*ISNUMBER(INDEX(Inputs!$K$5:$AJ$180,0,MATCH(AF$2,Inputs!$K$4:$AJ$4,0))))=0,NA(),SUMPRODUCT((Inputs!$A$5:$A$180=$B47)*Inputs!$B$5:$B$180*(((Inputs!$G$5:$G$180="moeda")+(Inputs!$G$5:$G$180="acoes"))*Inputs!$B$1+((Inputs!$G$5:$G$180&lt;&gt;"moeda")*(Inputs!$G$5:$G$180&lt;&gt;"acoes")))*INDEX(Inputs!$K$5:$AJ$180,0,MATCH(AF$2,Inputs!$K$4:$AJ$4,0)))+SUMPRODUCT((Inputs!$C$5:$C$180=$B47)*Inputs!$D$5:$D$180*(((Inputs!$G$5:$G$180="moeda")+(Inputs!$G$5:$G$180="acoes"))*Inputs!$B$1+((Inputs!$G$5:$G$180&lt;&gt;"moeda")*(Inputs!$G$5:$G$180&lt;&gt;"acoes")))*INDEX(Inputs!$K$5:$AJ$180,0,MATCH(AF$2,Inputs!$K$4:$AJ$4,0)))+SUMPRODUCT((Inputs!$E$5:$E$180=$B47)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7" s="3" t="e">
        <f>AF47</f>
        <v>#N/A</v>
      </c>
      <c r="AH47" s="6">
        <f>IF(ISNA(MATCH(AH$2,Inputs!$K$4:$AJ$4,0)),NA(),IF(SUMPRODUCT((Inputs!$A$5:$A$180=$B47)*ISNUMBER(INDEX(Inputs!$K$5:$AJ$180,0,MATCH(AH$2,Inputs!$K$4:$AJ$4,0))))+SUMPRODUCT((Inputs!$C$5:$C$180=$B47)*ISNUMBER(INDEX(Inputs!$K$5:$AJ$180,0,MATCH(AH$2,Inputs!$K$4:$AJ$4,0))))+SUMPRODUCT((Inputs!$E$5:$E$180=$B47)*ISNUMBER(INDEX(Inputs!$K$5:$AJ$180,0,MATCH(AH$2,Inputs!$K$4:$AJ$4,0))))=0,NA(),SUMPRODUCT((Inputs!$A$5:$A$180=$B47)*Inputs!$B$5:$B$180*(((Inputs!$G$5:$G$180="moeda")+(Inputs!$G$5:$G$180="acoes"))*Inputs!$B$1+((Inputs!$G$5:$G$180&lt;&gt;"moeda")*(Inputs!$G$5:$G$180&lt;&gt;"acoes")))*INDEX(Inputs!$K$5:$AJ$180,0,MATCH(AH$2,Inputs!$K$4:$AJ$4,0)))+SUMPRODUCT((Inputs!$C$5:$C$180=$B47)*Inputs!$D$5:$D$180*(((Inputs!$G$5:$G$180="moeda")+(Inputs!$G$5:$G$180="acoes"))*Inputs!$B$1+((Inputs!$G$5:$G$180&lt;&gt;"moeda")*(Inputs!$G$5:$G$180&lt;&gt;"acoes")))*INDEX(Inputs!$K$5:$AJ$180,0,MATCH(AH$2,Inputs!$K$4:$AJ$4,0)))+SUMPRODUCT((Inputs!$E$5:$E$180=$B47)*Inputs!$F$5:$F$180*(((Inputs!$G$5:$G$180="moeda")+(Inputs!$G$5:$G$180="acoes"))*Inputs!$B$1+((Inputs!$G$5:$G$180&lt;&gt;"moeda")*(Inputs!$G$5:$G$180&lt;&gt;"acoes")))*INDEX(Inputs!$K$5:$AJ$180,0,MATCH(AH$2,Inputs!$K$4:$AJ$4,0)))))</f>
        <v>56.395</v>
      </c>
      <c r="AI47" s="6">
        <f>IF(ISNA(MATCH(AI$2,Inputs!$K$4:$AJ$4,0)),NA(),IF(SUMPRODUCT((Inputs!$A$5:$A$180=$B47)*ISNUMBER(INDEX(Inputs!$K$5:$AJ$180,0,MATCH(AI$2,Inputs!$K$4:$AJ$4,0))))+SUMPRODUCT((Inputs!$C$5:$C$180=$B47)*ISNUMBER(INDEX(Inputs!$K$5:$AJ$180,0,MATCH(AI$2,Inputs!$K$4:$AJ$4,0))))+SUMPRODUCT((Inputs!$E$5:$E$180=$B47)*ISNUMBER(INDEX(Inputs!$K$5:$AJ$180,0,MATCH(AI$2,Inputs!$K$4:$AJ$4,0))))=0,NA(),SUMPRODUCT((Inputs!$A$5:$A$180=$B47)*Inputs!$B$5:$B$180*(((Inputs!$G$5:$G$180="moeda")+(Inputs!$G$5:$G$180="acoes"))*Inputs!$B$1+((Inputs!$G$5:$G$180&lt;&gt;"moeda")*(Inputs!$G$5:$G$180&lt;&gt;"acoes")))*INDEX(Inputs!$K$5:$AJ$180,0,MATCH(AI$2,Inputs!$K$4:$AJ$4,0)))+SUMPRODUCT((Inputs!$C$5:$C$180=$B47)*Inputs!$D$5:$D$180*(((Inputs!$G$5:$G$180="moeda")+(Inputs!$G$5:$G$180="acoes"))*Inputs!$B$1+((Inputs!$G$5:$G$180&lt;&gt;"moeda")*(Inputs!$G$5:$G$180&lt;&gt;"acoes")))*INDEX(Inputs!$K$5:$AJ$180,0,MATCH(AI$2,Inputs!$K$4:$AJ$4,0)))+SUMPRODUCT((Inputs!$E$5:$E$180=$B47)*Inputs!$F$5:$F$180*(((Inputs!$G$5:$G$180="moeda")+(Inputs!$G$5:$G$180="acoes"))*Inputs!$B$1+((Inputs!$G$5:$G$180&lt;&gt;"moeda")*(Inputs!$G$5:$G$180&lt;&gt;"acoes")))*INDEX(Inputs!$K$5:$AJ$180,0,MATCH(AI$2,Inputs!$K$4:$AJ$4,0)))))</f>
        <v>27.2885387298121</v>
      </c>
      <c r="AJ47" s="6">
        <f>IF(ISNA(MATCH(AJ$2,Inputs!$K$4:$AJ$4,0)),NA(),IF(SUMPRODUCT((Inputs!$A$5:$A$180=$B47)*ISNUMBER(INDEX(Inputs!$K$5:$AJ$180,0,MATCH(AJ$2,Inputs!$K$4:$AJ$4,0))))+SUMPRODUCT((Inputs!$C$5:$C$180=$B47)*ISNUMBER(INDEX(Inputs!$K$5:$AJ$180,0,MATCH(AJ$2,Inputs!$K$4:$AJ$4,0))))+SUMPRODUCT((Inputs!$E$5:$E$180=$B47)*ISNUMBER(INDEX(Inputs!$K$5:$AJ$180,0,MATCH(AJ$2,Inputs!$K$4:$AJ$4,0))))=0,NA(),SUMPRODUCT((Inputs!$A$5:$A$180=$B47)*Inputs!$B$5:$B$180*(((Inputs!$G$5:$G$180="moeda")+(Inputs!$G$5:$G$180="acoes"))*Inputs!$B$1+((Inputs!$G$5:$G$180&lt;&gt;"moeda")*(Inputs!$G$5:$G$180&lt;&gt;"acoes")))*INDEX(Inputs!$K$5:$AJ$180,0,MATCH(AJ$2,Inputs!$K$4:$AJ$4,0)))+SUMPRODUCT((Inputs!$C$5:$C$180=$B47)*Inputs!$D$5:$D$180*(((Inputs!$G$5:$G$180="moeda")+(Inputs!$G$5:$G$180="acoes"))*Inputs!$B$1+((Inputs!$G$5:$G$180&lt;&gt;"moeda")*(Inputs!$G$5:$G$180&lt;&gt;"acoes")))*INDEX(Inputs!$K$5:$AJ$180,0,MATCH(AJ$2,Inputs!$K$4:$AJ$4,0)))+SUMPRODUCT((Inputs!$E$5:$E$180=$B47)*Inputs!$F$5:$F$180*(((Inputs!$G$5:$G$180="moeda")+(Inputs!$G$5:$G$180="acoes"))*Inputs!$B$1+((Inputs!$G$5:$G$180&lt;&gt;"moeda")*(Inputs!$G$5:$G$180&lt;&gt;"acoes")))*INDEX(Inputs!$K$5:$AJ$180,0,MATCH(AJ$2,Inputs!$K$4:$AJ$4,0)))))</f>
        <v>63.4352366640857</v>
      </c>
      <c r="AK47" s="6">
        <f>IF(ISNA(MATCH(AK$2,Inputs!$K$4:$AJ$4,0)),NA(),IF(SUMPRODUCT((Inputs!$A$5:$A$180=$B47)*ISNUMBER(INDEX(Inputs!$K$5:$AJ$180,0,MATCH(AK$2,Inputs!$K$4:$AJ$4,0))))+SUMPRODUCT((Inputs!$C$5:$C$180=$B47)*ISNUMBER(INDEX(Inputs!$K$5:$AJ$180,0,MATCH(AK$2,Inputs!$K$4:$AJ$4,0))))+SUMPRODUCT((Inputs!$E$5:$E$180=$B47)*ISNUMBER(INDEX(Inputs!$K$5:$AJ$180,0,MATCH(AK$2,Inputs!$K$4:$AJ$4,0))))=0,NA(),SUMPRODUCT((Inputs!$A$5:$A$180=$B47)*Inputs!$B$5:$B$180*(((Inputs!$G$5:$G$180="moeda")+(Inputs!$G$5:$G$180="acoes"))*Inputs!$B$1+((Inputs!$G$5:$G$180&lt;&gt;"moeda")*(Inputs!$G$5:$G$180&lt;&gt;"acoes")))*INDEX(Inputs!$K$5:$AJ$180,0,MATCH(AK$2,Inputs!$K$4:$AJ$4,0)))+SUMPRODUCT((Inputs!$C$5:$C$180=$B47)*Inputs!$D$5:$D$180*(((Inputs!$G$5:$G$180="moeda")+(Inputs!$G$5:$G$180="acoes"))*Inputs!$B$1+((Inputs!$G$5:$G$180&lt;&gt;"moeda")*(Inputs!$G$5:$G$180&lt;&gt;"acoes")))*INDEX(Inputs!$K$5:$AJ$180,0,MATCH(AK$2,Inputs!$K$4:$AJ$4,0)))+SUMPRODUCT((Inputs!$E$5:$E$180=$B47)*Inputs!$F$5:$F$180*(((Inputs!$G$5:$G$180="moeda")+(Inputs!$G$5:$G$180="acoes"))*Inputs!$B$1+((Inputs!$G$5:$G$180&lt;&gt;"moeda")*(Inputs!$G$5:$G$180&lt;&gt;"acoes")))*INDEX(Inputs!$K$5:$AJ$180,0,MATCH(AK$2,Inputs!$K$4:$AJ$4,0)))))</f>
        <v>119.13573116389</v>
      </c>
      <c r="AL47" s="3">
        <f>AK47</f>
        <v>119.13573116389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$180=$B50)*ISNUMBER(INDEX(Inputs!$K$5:$AJ$180,0,MATCH(D$2,Inputs!$K$4:$AJ$4,0))))+SUMPRODUCT((Inputs!$C$5:$C$180=$B50)*ISNUMBER(INDEX(Inputs!$K$5:$AJ$180,0,MATCH(D$2,Inputs!$K$4:$AJ$4,0))))+SUMPRODUCT((Inputs!$E$5:$E$180=$B50)*ISNUMBER(INDEX(Inputs!$K$5:$AJ$180,0,MATCH(D$2,Inputs!$K$4:$AJ$4,0))))=0,NA(),SUMPRODUCT((Inputs!$A$5:$A$180=$B50)*Inputs!$B$5:$B$180*(((Inputs!$G$5:$G$180="moeda")+(Inputs!$G$5:$G$180="acoes"))*Inputs!$B$1+((Inputs!$G$5:$G$180&lt;&gt;"moeda")*(Inputs!$G$5:$G$180&lt;&gt;"acoes")))*INDEX(Inputs!$K$5:$AJ$180,0,MATCH(D$2,Inputs!$K$4:$AJ$4,0)))+SUMPRODUCT((Inputs!$C$5:$C$180=$B50)*Inputs!$D$5:$D$180*(((Inputs!$G$5:$G$180="moeda")+(Inputs!$G$5:$G$180="acoes"))*Inputs!$B$1+((Inputs!$G$5:$G$180&lt;&gt;"moeda")*(Inputs!$G$5:$G$180&lt;&gt;"acoes")))*INDEX(Inputs!$K$5:$AJ$180,0,MATCH(D$2,Inputs!$K$4:$AJ$4,0)))+SUMPRODUCT((Inputs!$E$5:$E$180=$B50)*Inputs!$F$5:$F$180*(((Inputs!$G$5:$G$180="moeda")+(Inputs!$G$5:$G$180="acoes"))*Inputs!$B$1+((Inputs!$G$5:$G$180&lt;&gt;"moeda")*(Inputs!$G$5:$G$180&lt;&gt;"acoes")))*INDEX(Inputs!$K$5:$AJ$180,0,MATCH(D$2,Inputs!$K$4:$AJ$4,0)))))</f>
        <v>3.9128614084295</v>
      </c>
      <c r="E50" s="6">
        <f>IF(ISNA(MATCH(E$2,Inputs!$K$4:$AJ$4,0)),NA(),IF(SUMPRODUCT((Inputs!$A$5:$A$180=$B50)*ISNUMBER(INDEX(Inputs!$K$5:$AJ$180,0,MATCH(E$2,Inputs!$K$4:$AJ$4,0))))+SUMPRODUCT((Inputs!$C$5:$C$180=$B50)*ISNUMBER(INDEX(Inputs!$K$5:$AJ$180,0,MATCH(E$2,Inputs!$K$4:$AJ$4,0))))+SUMPRODUCT((Inputs!$E$5:$E$180=$B50)*ISNUMBER(INDEX(Inputs!$K$5:$AJ$180,0,MATCH(E$2,Inputs!$K$4:$AJ$4,0))))=0,NA(),SUMPRODUCT((Inputs!$A$5:$A$180=$B50)*Inputs!$B$5:$B$180*(((Inputs!$G$5:$G$180="moeda")+(Inputs!$G$5:$G$180="acoes"))*Inputs!$B$1+((Inputs!$G$5:$G$180&lt;&gt;"moeda")*(Inputs!$G$5:$G$180&lt;&gt;"acoes")))*INDEX(Inputs!$K$5:$AJ$180,0,MATCH(E$2,Inputs!$K$4:$AJ$4,0)))+SUMPRODUCT((Inputs!$C$5:$C$180=$B50)*Inputs!$D$5:$D$180*(((Inputs!$G$5:$G$180="moeda")+(Inputs!$G$5:$G$180="acoes"))*Inputs!$B$1+((Inputs!$G$5:$G$180&lt;&gt;"moeda")*(Inputs!$G$5:$G$180&lt;&gt;"acoes")))*INDEX(Inputs!$K$5:$AJ$180,0,MATCH(E$2,Inputs!$K$4:$AJ$4,0)))+SUMPRODUCT((Inputs!$E$5:$E$180=$B50)*Inputs!$F$5:$F$180*(((Inputs!$G$5:$G$180="moeda")+(Inputs!$G$5:$G$180="acoes"))*Inputs!$B$1+((Inputs!$G$5:$G$180&lt;&gt;"moeda")*(Inputs!$G$5:$G$180&lt;&gt;"acoes")))*INDEX(Inputs!$K$5:$AJ$180,0,MATCH(E$2,Inputs!$K$4:$AJ$4,0)))))</f>
        <v>81.6568276879068</v>
      </c>
      <c r="F50" s="6">
        <f>IF(ISNA(MATCH(F$2,Inputs!$K$4:$AJ$4,0)),NA(),IF(SUMPRODUCT((Inputs!$A$5:$A$180=$B50)*ISNUMBER(INDEX(Inputs!$K$5:$AJ$180,0,MATCH(F$2,Inputs!$K$4:$AJ$4,0))))+SUMPRODUCT((Inputs!$C$5:$C$180=$B50)*ISNUMBER(INDEX(Inputs!$K$5:$AJ$180,0,MATCH(F$2,Inputs!$K$4:$AJ$4,0))))+SUMPRODUCT((Inputs!$E$5:$E$180=$B50)*ISNUMBER(INDEX(Inputs!$K$5:$AJ$180,0,MATCH(F$2,Inputs!$K$4:$AJ$4,0))))=0,NA(),SUMPRODUCT((Inputs!$A$5:$A$180=$B50)*Inputs!$B$5:$B$180*(((Inputs!$G$5:$G$180="moeda")+(Inputs!$G$5:$G$180="acoes"))*Inputs!$B$1+((Inputs!$G$5:$G$180&lt;&gt;"moeda")*(Inputs!$G$5:$G$180&lt;&gt;"acoes")))*INDEX(Inputs!$K$5:$AJ$180,0,MATCH(F$2,Inputs!$K$4:$AJ$4,0)))+SUMPRODUCT((Inputs!$C$5:$C$180=$B50)*Inputs!$D$5:$D$180*(((Inputs!$G$5:$G$180="moeda")+(Inputs!$G$5:$G$180="acoes"))*Inputs!$B$1+((Inputs!$G$5:$G$180&lt;&gt;"moeda")*(Inputs!$G$5:$G$180&lt;&gt;"acoes")))*INDEX(Inputs!$K$5:$AJ$180,0,MATCH(F$2,Inputs!$K$4:$AJ$4,0)))+SUMPRODUCT((Inputs!$E$5:$E$180=$B50)*Inputs!$F$5:$F$180*(((Inputs!$G$5:$G$180="moeda")+(Inputs!$G$5:$G$180="acoes"))*Inputs!$B$1+((Inputs!$G$5:$G$180&lt;&gt;"moeda")*(Inputs!$G$5:$G$180&lt;&gt;"acoes")))*INDEX(Inputs!$K$5:$AJ$180,0,MATCH(F$2,Inputs!$K$4:$AJ$4,0)))))</f>
        <v>86.2581944392106</v>
      </c>
      <c r="G50" s="6">
        <f>IF(ISNA(MATCH(G$2,Inputs!$K$4:$AJ$4,0)),NA(),IF(SUMPRODUCT((Inputs!$A$5:$A$180=$B50)*ISNUMBER(INDEX(Inputs!$K$5:$AJ$180,0,MATCH(G$2,Inputs!$K$4:$AJ$4,0))))+SUMPRODUCT((Inputs!$C$5:$C$180=$B50)*ISNUMBER(INDEX(Inputs!$K$5:$AJ$180,0,MATCH(G$2,Inputs!$K$4:$AJ$4,0))))+SUMPRODUCT((Inputs!$E$5:$E$180=$B50)*ISNUMBER(INDEX(Inputs!$K$5:$AJ$180,0,MATCH(G$2,Inputs!$K$4:$AJ$4,0))))=0,NA(),SUMPRODUCT((Inputs!$A$5:$A$180=$B50)*Inputs!$B$5:$B$180*(((Inputs!$G$5:$G$180="moeda")+(Inputs!$G$5:$G$180="acoes"))*Inputs!$B$1+((Inputs!$G$5:$G$180&lt;&gt;"moeda")*(Inputs!$G$5:$G$180&lt;&gt;"acoes")))*INDEX(Inputs!$K$5:$AJ$180,0,MATCH(G$2,Inputs!$K$4:$AJ$4,0)))+SUMPRODUCT((Inputs!$C$5:$C$180=$B50)*Inputs!$D$5:$D$180*(((Inputs!$G$5:$G$180="moeda")+(Inputs!$G$5:$G$180="acoes"))*Inputs!$B$1+((Inputs!$G$5:$G$180&lt;&gt;"moeda")*(Inputs!$G$5:$G$180&lt;&gt;"acoes")))*INDEX(Inputs!$K$5:$AJ$180,0,MATCH(G$2,Inputs!$K$4:$AJ$4,0)))+SUMPRODUCT((Inputs!$E$5:$E$180=$B50)*Inputs!$F$5:$F$180*(((Inputs!$G$5:$G$180="moeda")+(Inputs!$G$5:$G$180="acoes"))*Inputs!$B$1+((Inputs!$G$5:$G$180&lt;&gt;"moeda")*(Inputs!$G$5:$G$180&lt;&gt;"acoes")))*INDEX(Inputs!$K$5:$AJ$180,0,MATCH(G$2,Inputs!$K$4:$AJ$4,0)))))</f>
        <v>127.128748102601</v>
      </c>
      <c r="H50" s="3">
        <f>SUM(D50:G50)</f>
        <v>298.956631638147</v>
      </c>
      <c r="I50" s="6">
        <f>IF(ISNA(MATCH(I$2,Inputs!$K$4:$AJ$4,0)),NA(),IF(SUMPRODUCT((Inputs!$A$5:$A$180=$B50)*ISNUMBER(INDEX(Inputs!$K$5:$AJ$180,0,MATCH(I$2,Inputs!$K$4:$AJ$4,0))))+SUMPRODUCT((Inputs!$C$5:$C$180=$B50)*ISNUMBER(INDEX(Inputs!$K$5:$AJ$180,0,MATCH(I$2,Inputs!$K$4:$AJ$4,0))))+SUMPRODUCT((Inputs!$E$5:$E$180=$B50)*ISNUMBER(INDEX(Inputs!$K$5:$AJ$180,0,MATCH(I$2,Inputs!$K$4:$AJ$4,0))))=0,NA(),SUMPRODUCT((Inputs!$A$5:$A$180=$B50)*Inputs!$B$5:$B$180*(((Inputs!$G$5:$G$180="moeda")+(Inputs!$G$5:$G$180="acoes"))*Inputs!$B$1+((Inputs!$G$5:$G$180&lt;&gt;"moeda")*(Inputs!$G$5:$G$180&lt;&gt;"acoes")))*INDEX(Inputs!$K$5:$AJ$180,0,MATCH(I$2,Inputs!$K$4:$AJ$4,0)))+SUMPRODUCT((Inputs!$C$5:$C$180=$B50)*Inputs!$D$5:$D$180*(((Inputs!$G$5:$G$180="moeda")+(Inputs!$G$5:$G$180="acoes"))*Inputs!$B$1+((Inputs!$G$5:$G$180&lt;&gt;"moeda")*(Inputs!$G$5:$G$180&lt;&gt;"acoes")))*INDEX(Inputs!$K$5:$AJ$180,0,MATCH(I$2,Inputs!$K$4:$AJ$4,0)))+SUMPRODUCT((Inputs!$E$5:$E$180=$B50)*Inputs!$F$5:$F$180*(((Inputs!$G$5:$G$180="moeda")+(Inputs!$G$5:$G$180="acoes"))*Inputs!$B$1+((Inputs!$G$5:$G$180&lt;&gt;"moeda")*(Inputs!$G$5:$G$180&lt;&gt;"acoes")))*INDEX(Inputs!$K$5:$AJ$180,0,MATCH(I$2,Inputs!$K$4:$AJ$4,0)))))</f>
        <v>45.9216596857643</v>
      </c>
      <c r="J50" s="6">
        <f>IF(ISNA(MATCH(J$2,Inputs!$K$4:$AJ$4,0)),NA(),IF(SUMPRODUCT((Inputs!$A$5:$A$180=$B50)*ISNUMBER(INDEX(Inputs!$K$5:$AJ$180,0,MATCH(J$2,Inputs!$K$4:$AJ$4,0))))+SUMPRODUCT((Inputs!$C$5:$C$180=$B50)*ISNUMBER(INDEX(Inputs!$K$5:$AJ$180,0,MATCH(J$2,Inputs!$K$4:$AJ$4,0))))+SUMPRODUCT((Inputs!$E$5:$E$180=$B50)*ISNUMBER(INDEX(Inputs!$K$5:$AJ$180,0,MATCH(J$2,Inputs!$K$4:$AJ$4,0))))=0,NA(),SUMPRODUCT((Inputs!$A$5:$A$180=$B50)*Inputs!$B$5:$B$180*(((Inputs!$G$5:$G$180="moeda")+(Inputs!$G$5:$G$180="acoes"))*Inputs!$B$1+((Inputs!$G$5:$G$180&lt;&gt;"moeda")*(Inputs!$G$5:$G$180&lt;&gt;"acoes")))*INDEX(Inputs!$K$5:$AJ$180,0,MATCH(J$2,Inputs!$K$4:$AJ$4,0)))+SUMPRODUCT((Inputs!$C$5:$C$180=$B50)*Inputs!$D$5:$D$180*(((Inputs!$G$5:$G$180="moeda")+(Inputs!$G$5:$G$180="acoes"))*Inputs!$B$1+((Inputs!$G$5:$G$180&lt;&gt;"moeda")*(Inputs!$G$5:$G$180&lt;&gt;"acoes")))*INDEX(Inputs!$K$5:$AJ$180,0,MATCH(J$2,Inputs!$K$4:$AJ$4,0)))+SUMPRODUCT((Inputs!$E$5:$E$180=$B50)*Inputs!$F$5:$F$180*(((Inputs!$G$5:$G$180="moeda")+(Inputs!$G$5:$G$180="acoes"))*Inputs!$B$1+((Inputs!$G$5:$G$180&lt;&gt;"moeda")*(Inputs!$G$5:$G$180&lt;&gt;"acoes")))*INDEX(Inputs!$K$5:$AJ$180,0,MATCH(J$2,Inputs!$K$4:$AJ$4,0)))))</f>
        <v>89.052033181783</v>
      </c>
      <c r="K50" s="6">
        <f>IF(ISNA(MATCH(K$2,Inputs!$K$4:$AJ$4,0)),NA(),IF(SUMPRODUCT((Inputs!$A$5:$A$180=$B50)*ISNUMBER(INDEX(Inputs!$K$5:$AJ$180,0,MATCH(K$2,Inputs!$K$4:$AJ$4,0))))+SUMPRODUCT((Inputs!$C$5:$C$180=$B50)*ISNUMBER(INDEX(Inputs!$K$5:$AJ$180,0,MATCH(K$2,Inputs!$K$4:$AJ$4,0))))+SUMPRODUCT((Inputs!$E$5:$E$180=$B50)*ISNUMBER(INDEX(Inputs!$K$5:$AJ$180,0,MATCH(K$2,Inputs!$K$4:$AJ$4,0))))=0,NA(),SUMPRODUCT((Inputs!$A$5:$A$180=$B50)*Inputs!$B$5:$B$180*(((Inputs!$G$5:$G$180="moeda")+(Inputs!$G$5:$G$180="acoes"))*Inputs!$B$1+((Inputs!$G$5:$G$180&lt;&gt;"moeda")*(Inputs!$G$5:$G$180&lt;&gt;"acoes")))*INDEX(Inputs!$K$5:$AJ$180,0,MATCH(K$2,Inputs!$K$4:$AJ$4,0)))+SUMPRODUCT((Inputs!$C$5:$C$180=$B50)*Inputs!$D$5:$D$180*(((Inputs!$G$5:$G$180="moeda")+(Inputs!$G$5:$G$180="acoes"))*Inputs!$B$1+((Inputs!$G$5:$G$180&lt;&gt;"moeda")*(Inputs!$G$5:$G$180&lt;&gt;"acoes")))*INDEX(Inputs!$K$5:$AJ$180,0,MATCH(K$2,Inputs!$K$4:$AJ$4,0)))+SUMPRODUCT((Inputs!$E$5:$E$180=$B50)*Inputs!$F$5:$F$180*(((Inputs!$G$5:$G$180="moeda")+(Inputs!$G$5:$G$180="acoes"))*Inputs!$B$1+((Inputs!$G$5:$G$180&lt;&gt;"moeda")*(Inputs!$G$5:$G$180&lt;&gt;"acoes")))*INDEX(Inputs!$K$5:$AJ$180,0,MATCH(K$2,Inputs!$K$4:$AJ$4,0)))))</f>
        <v>68.1273929231279</v>
      </c>
      <c r="L50" s="6">
        <f>IF(ISNA(MATCH(L$2,Inputs!$K$4:$AJ$4,0)),NA(),IF(SUMPRODUCT((Inputs!$A$5:$A$180=$B50)*ISNUMBER(INDEX(Inputs!$K$5:$AJ$180,0,MATCH(L$2,Inputs!$K$4:$AJ$4,0))))+SUMPRODUCT((Inputs!$C$5:$C$180=$B50)*ISNUMBER(INDEX(Inputs!$K$5:$AJ$180,0,MATCH(L$2,Inputs!$K$4:$AJ$4,0))))+SUMPRODUCT((Inputs!$E$5:$E$180=$B50)*ISNUMBER(INDEX(Inputs!$K$5:$AJ$180,0,MATCH(L$2,Inputs!$K$4:$AJ$4,0))))=0,NA(),SUMPRODUCT((Inputs!$A$5:$A$180=$B50)*Inputs!$B$5:$B$180*(((Inputs!$G$5:$G$180="moeda")+(Inputs!$G$5:$G$180="acoes"))*Inputs!$B$1+((Inputs!$G$5:$G$180&lt;&gt;"moeda")*(Inputs!$G$5:$G$180&lt;&gt;"acoes")))*INDEX(Inputs!$K$5:$AJ$180,0,MATCH(L$2,Inputs!$K$4:$AJ$4,0)))+SUMPRODUCT((Inputs!$C$5:$C$180=$B50)*Inputs!$D$5:$D$180*(((Inputs!$G$5:$G$180="moeda")+(Inputs!$G$5:$G$180="acoes"))*Inputs!$B$1+((Inputs!$G$5:$G$180&lt;&gt;"moeda")*(Inputs!$G$5:$G$180&lt;&gt;"acoes")))*INDEX(Inputs!$K$5:$AJ$180,0,MATCH(L$2,Inputs!$K$4:$AJ$4,0)))+SUMPRODUCT((Inputs!$E$5:$E$180=$B50)*Inputs!$F$5:$F$180*(((Inputs!$G$5:$G$180="moeda")+(Inputs!$G$5:$G$180="acoes"))*Inputs!$B$1+((Inputs!$G$5:$G$180&lt;&gt;"moeda")*(Inputs!$G$5:$G$180&lt;&gt;"acoes")))*INDEX(Inputs!$K$5:$AJ$180,0,MATCH(L$2,Inputs!$K$4:$AJ$4,0)))))</f>
        <v>157.753331755024</v>
      </c>
      <c r="M50" s="3">
        <f>SUM(I50:L50)</f>
        <v>360.854417545699</v>
      </c>
      <c r="N50" s="6">
        <f>IF(ISNA(MATCH(N$2,Inputs!$K$4:$AJ$4,0)),NA(),IF(SUMPRODUCT((Inputs!$A$5:$A$180=$B50)*ISNUMBER(INDEX(Inputs!$K$5:$AJ$180,0,MATCH(N$2,Inputs!$K$4:$AJ$4,0))))+SUMPRODUCT((Inputs!$C$5:$C$180=$B50)*ISNUMBER(INDEX(Inputs!$K$5:$AJ$180,0,MATCH(N$2,Inputs!$K$4:$AJ$4,0))))+SUMPRODUCT((Inputs!$E$5:$E$180=$B50)*ISNUMBER(INDEX(Inputs!$K$5:$AJ$180,0,MATCH(N$2,Inputs!$K$4:$AJ$4,0))))=0,NA(),SUMPRODUCT((Inputs!$A$5:$A$180=$B50)*Inputs!$B$5:$B$180*(((Inputs!$G$5:$G$180="moeda")+(Inputs!$G$5:$G$180="acoes"))*Inputs!$B$1+((Inputs!$G$5:$G$180&lt;&gt;"moeda")*(Inputs!$G$5:$G$180&lt;&gt;"acoes")))*INDEX(Inputs!$K$5:$AJ$180,0,MATCH(N$2,Inputs!$K$4:$AJ$4,0)))+SUMPRODUCT((Inputs!$C$5:$C$180=$B50)*Inputs!$D$5:$D$180*(((Inputs!$G$5:$G$180="moeda")+(Inputs!$G$5:$G$180="acoes"))*Inputs!$B$1+((Inputs!$G$5:$G$180&lt;&gt;"moeda")*(Inputs!$G$5:$G$180&lt;&gt;"acoes")))*INDEX(Inputs!$K$5:$AJ$180,0,MATCH(N$2,Inputs!$K$4:$AJ$4,0)))+SUMPRODUCT((Inputs!$E$5:$E$180=$B50)*Inputs!$F$5:$F$180*(((Inputs!$G$5:$G$180="moeda")+(Inputs!$G$5:$G$180="acoes"))*Inputs!$B$1+((Inputs!$G$5:$G$180&lt;&gt;"moeda")*(Inputs!$G$5:$G$180&lt;&gt;"acoes")))*INDEX(Inputs!$K$5:$AJ$180,0,MATCH(N$2,Inputs!$K$4:$AJ$4,0)))))</f>
        <v>38.5711670349691</v>
      </c>
      <c r="O50" s="6">
        <f>IF(ISNA(MATCH(O$2,Inputs!$K$4:$AJ$4,0)),NA(),IF(SUMPRODUCT((Inputs!$A$5:$A$180=$B50)*ISNUMBER(INDEX(Inputs!$K$5:$AJ$180,0,MATCH(O$2,Inputs!$K$4:$AJ$4,0))))+SUMPRODUCT((Inputs!$C$5:$C$180=$B50)*ISNUMBER(INDEX(Inputs!$K$5:$AJ$180,0,MATCH(O$2,Inputs!$K$4:$AJ$4,0))))+SUMPRODUCT((Inputs!$E$5:$E$180=$B50)*ISNUMBER(INDEX(Inputs!$K$5:$AJ$180,0,MATCH(O$2,Inputs!$K$4:$AJ$4,0))))=0,NA(),SUMPRODUCT((Inputs!$A$5:$A$180=$B50)*Inputs!$B$5:$B$180*(((Inputs!$G$5:$G$180="moeda")+(Inputs!$G$5:$G$180="acoes"))*Inputs!$B$1+((Inputs!$G$5:$G$180&lt;&gt;"moeda")*(Inputs!$G$5:$G$180&lt;&gt;"acoes")))*INDEX(Inputs!$K$5:$AJ$180,0,MATCH(O$2,Inputs!$K$4:$AJ$4,0)))+SUMPRODUCT((Inputs!$C$5:$C$180=$B50)*Inputs!$D$5:$D$180*(((Inputs!$G$5:$G$180="moeda")+(Inputs!$G$5:$G$180="acoes"))*Inputs!$B$1+((Inputs!$G$5:$G$180&lt;&gt;"moeda")*(Inputs!$G$5:$G$180&lt;&gt;"acoes")))*INDEX(Inputs!$K$5:$AJ$180,0,MATCH(O$2,Inputs!$K$4:$AJ$4,0)))+SUMPRODUCT((Inputs!$E$5:$E$180=$B50)*Inputs!$F$5:$F$180*(((Inputs!$G$5:$G$180="moeda")+(Inputs!$G$5:$G$180="acoes"))*Inputs!$B$1+((Inputs!$G$5:$G$180&lt;&gt;"moeda")*(Inputs!$G$5:$G$180&lt;&gt;"acoes")))*INDEX(Inputs!$K$5:$AJ$180,0,MATCH(O$2,Inputs!$K$4:$AJ$4,0)))))</f>
        <v>109.984306142333</v>
      </c>
      <c r="P50" s="6">
        <f>IF(ISNA(MATCH(P$2,Inputs!$K$4:$AJ$4,0)),NA(),IF(SUMPRODUCT((Inputs!$A$5:$A$180=$B50)*ISNUMBER(INDEX(Inputs!$K$5:$AJ$180,0,MATCH(P$2,Inputs!$K$4:$AJ$4,0))))+SUMPRODUCT((Inputs!$C$5:$C$180=$B50)*ISNUMBER(INDEX(Inputs!$K$5:$AJ$180,0,MATCH(P$2,Inputs!$K$4:$AJ$4,0))))+SUMPRODUCT((Inputs!$E$5:$E$180=$B50)*ISNUMBER(INDEX(Inputs!$K$5:$AJ$180,0,MATCH(P$2,Inputs!$K$4:$AJ$4,0))))=0,NA(),SUMPRODUCT((Inputs!$A$5:$A$180=$B50)*Inputs!$B$5:$B$180*(((Inputs!$G$5:$G$180="moeda")+(Inputs!$G$5:$G$180="acoes"))*Inputs!$B$1+((Inputs!$G$5:$G$180&lt;&gt;"moeda")*(Inputs!$G$5:$G$180&lt;&gt;"acoes")))*INDEX(Inputs!$K$5:$AJ$180,0,MATCH(P$2,Inputs!$K$4:$AJ$4,0)))+SUMPRODUCT((Inputs!$C$5:$C$180=$B50)*Inputs!$D$5:$D$180*(((Inputs!$G$5:$G$180="moeda")+(Inputs!$G$5:$G$180="acoes"))*Inputs!$B$1+((Inputs!$G$5:$G$180&lt;&gt;"moeda")*(Inputs!$G$5:$G$180&lt;&gt;"acoes")))*INDEX(Inputs!$K$5:$AJ$180,0,MATCH(P$2,Inputs!$K$4:$AJ$4,0)))+SUMPRODUCT((Inputs!$E$5:$E$180=$B50)*Inputs!$F$5:$F$180*(((Inputs!$G$5:$G$180="moeda")+(Inputs!$G$5:$G$180="acoes"))*Inputs!$B$1+((Inputs!$G$5:$G$180&lt;&gt;"moeda")*(Inputs!$G$5:$G$180&lt;&gt;"acoes")))*INDEX(Inputs!$K$5:$AJ$180,0,MATCH(P$2,Inputs!$K$4:$AJ$4,0)))))</f>
        <v>76.5388475014494</v>
      </c>
      <c r="Q50" s="6">
        <f>IF(ISNA(MATCH(Q$2,Inputs!$K$4:$AJ$4,0)),NA(),IF(SUMPRODUCT((Inputs!$A$5:$A$180=$B50)*ISNUMBER(INDEX(Inputs!$K$5:$AJ$180,0,MATCH(Q$2,Inputs!$K$4:$AJ$4,0))))+SUMPRODUCT((Inputs!$C$5:$C$180=$B50)*ISNUMBER(INDEX(Inputs!$K$5:$AJ$180,0,MATCH(Q$2,Inputs!$K$4:$AJ$4,0))))+SUMPRODUCT((Inputs!$E$5:$E$180=$B50)*ISNUMBER(INDEX(Inputs!$K$5:$AJ$180,0,MATCH(Q$2,Inputs!$K$4:$AJ$4,0))))=0,NA(),SUMPRODUCT((Inputs!$A$5:$A$180=$B50)*Inputs!$B$5:$B$180*(((Inputs!$G$5:$G$180="moeda")+(Inputs!$G$5:$G$180="acoes"))*Inputs!$B$1+((Inputs!$G$5:$G$180&lt;&gt;"moeda")*(Inputs!$G$5:$G$180&lt;&gt;"acoes")))*INDEX(Inputs!$K$5:$AJ$180,0,MATCH(Q$2,Inputs!$K$4:$AJ$4,0)))+SUMPRODUCT((Inputs!$C$5:$C$180=$B50)*Inputs!$D$5:$D$180*(((Inputs!$G$5:$G$180="moeda")+(Inputs!$G$5:$G$180="acoes"))*Inputs!$B$1+((Inputs!$G$5:$G$180&lt;&gt;"moeda")*(Inputs!$G$5:$G$180&lt;&gt;"acoes")))*INDEX(Inputs!$K$5:$AJ$180,0,MATCH(Q$2,Inputs!$K$4:$AJ$4,0)))+SUMPRODUCT((Inputs!$E$5:$E$180=$B50)*Inputs!$F$5:$F$180*(((Inputs!$G$5:$G$180="moeda")+(Inputs!$G$5:$G$180="acoes"))*Inputs!$B$1+((Inputs!$G$5:$G$180&lt;&gt;"moeda")*(Inputs!$G$5:$G$180&lt;&gt;"acoes")))*INDEX(Inputs!$K$5:$AJ$180,0,MATCH(Q$2,Inputs!$K$4:$AJ$4,0)))))</f>
        <v>156.026281622112</v>
      </c>
      <c r="R50" s="3">
        <f>SUM(N50:Q50)</f>
        <v>381.120602300864</v>
      </c>
      <c r="S50" s="6">
        <f>IF(ISNA(MATCH(S$2,Inputs!$K$4:$AJ$4,0)),NA(),IF(SUMPRODUCT((Inputs!$A$5:$A$180=$B50)*ISNUMBER(INDEX(Inputs!$K$5:$AJ$180,0,MATCH(S$2,Inputs!$K$4:$AJ$4,0))))+SUMPRODUCT((Inputs!$C$5:$C$180=$B50)*ISNUMBER(INDEX(Inputs!$K$5:$AJ$180,0,MATCH(S$2,Inputs!$K$4:$AJ$4,0))))+SUMPRODUCT((Inputs!$E$5:$E$180=$B50)*ISNUMBER(INDEX(Inputs!$K$5:$AJ$180,0,MATCH(S$2,Inputs!$K$4:$AJ$4,0))))=0,NA(),SUMPRODUCT((Inputs!$A$5:$A$180=$B50)*Inputs!$B$5:$B$180*(((Inputs!$G$5:$G$180="moeda")+(Inputs!$G$5:$G$180="acoes"))*Inputs!$B$1+((Inputs!$G$5:$G$180&lt;&gt;"moeda")*(Inputs!$G$5:$G$180&lt;&gt;"acoes")))*INDEX(Inputs!$K$5:$AJ$180,0,MATCH(S$2,Inputs!$K$4:$AJ$4,0)))+SUMPRODUCT((Inputs!$C$5:$C$180=$B50)*Inputs!$D$5:$D$180*(((Inputs!$G$5:$G$180="moeda")+(Inputs!$G$5:$G$180="acoes"))*Inputs!$B$1+((Inputs!$G$5:$G$180&lt;&gt;"moeda")*(Inputs!$G$5:$G$180&lt;&gt;"acoes")))*INDEX(Inputs!$K$5:$AJ$180,0,MATCH(S$2,Inputs!$K$4:$AJ$4,0)))+SUMPRODUCT((Inputs!$E$5:$E$180=$B50)*Inputs!$F$5:$F$180*(((Inputs!$G$5:$G$180="moeda")+(Inputs!$G$5:$G$180="acoes"))*Inputs!$B$1+((Inputs!$G$5:$G$180&lt;&gt;"moeda")*(Inputs!$G$5:$G$180&lt;&gt;"acoes")))*INDEX(Inputs!$K$5:$AJ$180,0,MATCH(S$2,Inputs!$K$4:$AJ$4,0)))))</f>
        <v>35.8091849906908</v>
      </c>
      <c r="T50" s="6">
        <f>IF(ISNA(MATCH(T$2,Inputs!$K$4:$AJ$4,0)),NA(),IF(SUMPRODUCT((Inputs!$A$5:$A$180=$B50)*ISNUMBER(INDEX(Inputs!$K$5:$AJ$180,0,MATCH(T$2,Inputs!$K$4:$AJ$4,0))))+SUMPRODUCT((Inputs!$C$5:$C$180=$B50)*ISNUMBER(INDEX(Inputs!$K$5:$AJ$180,0,MATCH(T$2,Inputs!$K$4:$AJ$4,0))))+SUMPRODUCT((Inputs!$E$5:$E$180=$B50)*ISNUMBER(INDEX(Inputs!$K$5:$AJ$180,0,MATCH(T$2,Inputs!$K$4:$AJ$4,0))))=0,NA(),SUMPRODUCT((Inputs!$A$5:$A$180=$B50)*Inputs!$B$5:$B$180*(((Inputs!$G$5:$G$180="moeda")+(Inputs!$G$5:$G$180="acoes"))*Inputs!$B$1+((Inputs!$G$5:$G$180&lt;&gt;"moeda")*(Inputs!$G$5:$G$180&lt;&gt;"acoes")))*INDEX(Inputs!$K$5:$AJ$180,0,MATCH(T$2,Inputs!$K$4:$AJ$4,0)))+SUMPRODUCT((Inputs!$C$5:$C$180=$B50)*Inputs!$D$5:$D$180*(((Inputs!$G$5:$G$180="moeda")+(Inputs!$G$5:$G$180="acoes"))*Inputs!$B$1+((Inputs!$G$5:$G$180&lt;&gt;"moeda")*(Inputs!$G$5:$G$180&lt;&gt;"acoes")))*INDEX(Inputs!$K$5:$AJ$180,0,MATCH(T$2,Inputs!$K$4:$AJ$4,0)))+SUMPRODUCT((Inputs!$E$5:$E$180=$B50)*Inputs!$F$5:$F$180*(((Inputs!$G$5:$G$180="moeda")+(Inputs!$G$5:$G$180="acoes"))*Inputs!$B$1+((Inputs!$G$5:$G$180&lt;&gt;"moeda")*(Inputs!$G$5:$G$180&lt;&gt;"acoes")))*INDEX(Inputs!$K$5:$AJ$180,0,MATCH(T$2,Inputs!$K$4:$AJ$4,0)))))</f>
        <v>210.960851415523</v>
      </c>
      <c r="U50" s="6">
        <f>IF(ISNA(MATCH(U$2,Inputs!$K$4:$AJ$4,0)),NA(),IF(SUMPRODUCT((Inputs!$A$5:$A$180=$B50)*ISNUMBER(INDEX(Inputs!$K$5:$AJ$180,0,MATCH(U$2,Inputs!$K$4:$AJ$4,0))))+SUMPRODUCT((Inputs!$C$5:$C$180=$B50)*ISNUMBER(INDEX(Inputs!$K$5:$AJ$180,0,MATCH(U$2,Inputs!$K$4:$AJ$4,0))))+SUMPRODUCT((Inputs!$E$5:$E$180=$B50)*ISNUMBER(INDEX(Inputs!$K$5:$AJ$180,0,MATCH(U$2,Inputs!$K$4:$AJ$4,0))))=0,NA(),SUMPRODUCT((Inputs!$A$5:$A$180=$B50)*Inputs!$B$5:$B$180*(((Inputs!$G$5:$G$180="moeda")+(Inputs!$G$5:$G$180="acoes"))*Inputs!$B$1+((Inputs!$G$5:$G$180&lt;&gt;"moeda")*(Inputs!$G$5:$G$180&lt;&gt;"acoes")))*INDEX(Inputs!$K$5:$AJ$180,0,MATCH(U$2,Inputs!$K$4:$AJ$4,0)))+SUMPRODUCT((Inputs!$C$5:$C$180=$B50)*Inputs!$D$5:$D$180*(((Inputs!$G$5:$G$180="moeda")+(Inputs!$G$5:$G$180="acoes"))*Inputs!$B$1+((Inputs!$G$5:$G$180&lt;&gt;"moeda")*(Inputs!$G$5:$G$180&lt;&gt;"acoes")))*INDEX(Inputs!$K$5:$AJ$180,0,MATCH(U$2,Inputs!$K$4:$AJ$4,0)))+SUMPRODUCT((Inputs!$E$5:$E$180=$B50)*Inputs!$F$5:$F$180*(((Inputs!$G$5:$G$180="moeda")+(Inputs!$G$5:$G$180="acoes"))*Inputs!$B$1+((Inputs!$G$5:$G$180&lt;&gt;"moeda")*(Inputs!$G$5:$G$180&lt;&gt;"acoes")))*INDEX(Inputs!$K$5:$AJ$180,0,MATCH(U$2,Inputs!$K$4:$AJ$4,0)))))</f>
        <v>107.164987843101</v>
      </c>
      <c r="V50" s="6">
        <f>IF(ISNA(MATCH(V$2,Inputs!$K$4:$AJ$4,0)),NA(),IF(SUMPRODUCT((Inputs!$A$5:$A$180=$B50)*ISNUMBER(INDEX(Inputs!$K$5:$AJ$180,0,MATCH(V$2,Inputs!$K$4:$AJ$4,0))))+SUMPRODUCT((Inputs!$C$5:$C$180=$B50)*ISNUMBER(INDEX(Inputs!$K$5:$AJ$180,0,MATCH(V$2,Inputs!$K$4:$AJ$4,0))))+SUMPRODUCT((Inputs!$E$5:$E$180=$B50)*ISNUMBER(INDEX(Inputs!$K$5:$AJ$180,0,MATCH(V$2,Inputs!$K$4:$AJ$4,0))))=0,NA(),SUMPRODUCT((Inputs!$A$5:$A$180=$B50)*Inputs!$B$5:$B$180*(((Inputs!$G$5:$G$180="moeda")+(Inputs!$G$5:$G$180="acoes"))*Inputs!$B$1+((Inputs!$G$5:$G$180&lt;&gt;"moeda")*(Inputs!$G$5:$G$180&lt;&gt;"acoes")))*INDEX(Inputs!$K$5:$AJ$180,0,MATCH(V$2,Inputs!$K$4:$AJ$4,0)))+SUMPRODUCT((Inputs!$C$5:$C$180=$B50)*Inputs!$D$5:$D$180*(((Inputs!$G$5:$G$180="moeda")+(Inputs!$G$5:$G$180="acoes"))*Inputs!$B$1+((Inputs!$G$5:$G$180&lt;&gt;"moeda")*(Inputs!$G$5:$G$180&lt;&gt;"acoes")))*INDEX(Inputs!$K$5:$AJ$180,0,MATCH(V$2,Inputs!$K$4:$AJ$4,0)))+SUMPRODUCT((Inputs!$E$5:$E$180=$B50)*Inputs!$F$5:$F$180*(((Inputs!$G$5:$G$180="moeda")+(Inputs!$G$5:$G$180="acoes"))*Inputs!$B$1+((Inputs!$G$5:$G$180&lt;&gt;"moeda")*(Inputs!$G$5:$G$180&lt;&gt;"acoes")))*INDEX(Inputs!$K$5:$AJ$180,0,MATCH(V$2,Inputs!$K$4:$AJ$4,0)))))</f>
        <v>299.458820700213</v>
      </c>
      <c r="W50" s="3">
        <f>SUM(S50:V50)</f>
        <v>653.393844949527</v>
      </c>
      <c r="X50" s="6">
        <f>IF(ISNA(MATCH(X$2,Inputs!$K$4:$AJ$4,0)),NA(),IF(SUMPRODUCT((Inputs!$A$5:$A$180=$B50)*ISNUMBER(INDEX(Inputs!$K$5:$AJ$180,0,MATCH(X$2,Inputs!$K$4:$AJ$4,0))))+SUMPRODUCT((Inputs!$C$5:$C$180=$B50)*ISNUMBER(INDEX(Inputs!$K$5:$AJ$180,0,MATCH(X$2,Inputs!$K$4:$AJ$4,0))))+SUMPRODUCT((Inputs!$E$5:$E$180=$B50)*ISNUMBER(INDEX(Inputs!$K$5:$AJ$180,0,MATCH(X$2,Inputs!$K$4:$AJ$4,0))))=0,NA(),SUMPRODUCT((Inputs!$A$5:$A$180=$B50)*Inputs!$B$5:$B$180*(((Inputs!$G$5:$G$180="moeda")+(Inputs!$G$5:$G$180="acoes"))*Inputs!$B$1+((Inputs!$G$5:$G$180&lt;&gt;"moeda")*(Inputs!$G$5:$G$180&lt;&gt;"acoes")))*INDEX(Inputs!$K$5:$AJ$180,0,MATCH(X$2,Inputs!$K$4:$AJ$4,0)))+SUMPRODUCT((Inputs!$C$5:$C$180=$B50)*Inputs!$D$5:$D$180*(((Inputs!$G$5:$G$180="moeda")+(Inputs!$G$5:$G$180="acoes"))*Inputs!$B$1+((Inputs!$G$5:$G$180&lt;&gt;"moeda")*(Inputs!$G$5:$G$180&lt;&gt;"acoes")))*INDEX(Inputs!$K$5:$AJ$180,0,MATCH(X$2,Inputs!$K$4:$AJ$4,0)))+SUMPRODUCT((Inputs!$E$5:$E$180=$B50)*Inputs!$F$5:$F$180*(((Inputs!$G$5:$G$180="moeda")+(Inputs!$G$5:$G$180="acoes"))*Inputs!$B$1+((Inputs!$G$5:$G$180&lt;&gt;"moeda")*(Inputs!$G$5:$G$180&lt;&gt;"acoes")))*INDEX(Inputs!$K$5:$AJ$180,0,MATCH(X$2,Inputs!$K$4:$AJ$4,0)))))</f>
        <v>115.03815882</v>
      </c>
      <c r="Y50" s="6">
        <f>IF(ISNA(MATCH(Y$2,Inputs!$K$4:$AJ$4,0)),NA(),IF(SUMPRODUCT((Inputs!$A$5:$A$180=$B50)*ISNUMBER(INDEX(Inputs!$K$5:$AJ$180,0,MATCH(Y$2,Inputs!$K$4:$AJ$4,0))))+SUMPRODUCT((Inputs!$C$5:$C$180=$B50)*ISNUMBER(INDEX(Inputs!$K$5:$AJ$180,0,MATCH(Y$2,Inputs!$K$4:$AJ$4,0))))+SUMPRODUCT((Inputs!$E$5:$E$180=$B50)*ISNUMBER(INDEX(Inputs!$K$5:$AJ$180,0,MATCH(Y$2,Inputs!$K$4:$AJ$4,0))))=0,NA(),SUMPRODUCT((Inputs!$A$5:$A$180=$B50)*Inputs!$B$5:$B$180*(((Inputs!$G$5:$G$180="moeda")+(Inputs!$G$5:$G$180="acoes"))*Inputs!$B$1+((Inputs!$G$5:$G$180&lt;&gt;"moeda")*(Inputs!$G$5:$G$180&lt;&gt;"acoes")))*INDEX(Inputs!$K$5:$AJ$180,0,MATCH(Y$2,Inputs!$K$4:$AJ$4,0)))+SUMPRODUCT((Inputs!$C$5:$C$180=$B50)*Inputs!$D$5:$D$180*(((Inputs!$G$5:$G$180="moeda")+(Inputs!$G$5:$G$180="acoes"))*Inputs!$B$1+((Inputs!$G$5:$G$180&lt;&gt;"moeda")*(Inputs!$G$5:$G$180&lt;&gt;"acoes")))*INDEX(Inputs!$K$5:$AJ$180,0,MATCH(Y$2,Inputs!$K$4:$AJ$4,0)))+SUMPRODUCT((Inputs!$E$5:$E$180=$B50)*Inputs!$F$5:$F$180*(((Inputs!$G$5:$G$180="moeda")+(Inputs!$G$5:$G$180="acoes"))*Inputs!$B$1+((Inputs!$G$5:$G$180&lt;&gt;"moeda")*(Inputs!$G$5:$G$180&lt;&gt;"acoes")))*INDEX(Inputs!$K$5:$AJ$180,0,MATCH(Y$2,Inputs!$K$4:$AJ$4,0)))))</f>
        <v>151.089324859999</v>
      </c>
      <c r="Z50" s="6">
        <f>IF(ISNA(MATCH(Z$2,Inputs!$K$4:$AJ$4,0)),NA(),IF(SUMPRODUCT((Inputs!$A$5:$A$180=$B50)*ISNUMBER(INDEX(Inputs!$K$5:$AJ$180,0,MATCH(Z$2,Inputs!$K$4:$AJ$4,0))))+SUMPRODUCT((Inputs!$C$5:$C$180=$B50)*ISNUMBER(INDEX(Inputs!$K$5:$AJ$180,0,MATCH(Z$2,Inputs!$K$4:$AJ$4,0))))+SUMPRODUCT((Inputs!$E$5:$E$180=$B50)*ISNUMBER(INDEX(Inputs!$K$5:$AJ$180,0,MATCH(Z$2,Inputs!$K$4:$AJ$4,0))))=0,NA(),SUMPRODUCT((Inputs!$A$5:$A$180=$B50)*Inputs!$B$5:$B$180*(((Inputs!$G$5:$G$180="moeda")+(Inputs!$G$5:$G$180="acoes"))*Inputs!$B$1+((Inputs!$G$5:$G$180&lt;&gt;"moeda")*(Inputs!$G$5:$G$180&lt;&gt;"acoes")))*INDEX(Inputs!$K$5:$AJ$180,0,MATCH(Z$2,Inputs!$K$4:$AJ$4,0)))+SUMPRODUCT((Inputs!$C$5:$C$180=$B50)*Inputs!$D$5:$D$180*(((Inputs!$G$5:$G$180="moeda")+(Inputs!$G$5:$G$180="acoes"))*Inputs!$B$1+((Inputs!$G$5:$G$180&lt;&gt;"moeda")*(Inputs!$G$5:$G$180&lt;&gt;"acoes")))*INDEX(Inputs!$K$5:$AJ$180,0,MATCH(Z$2,Inputs!$K$4:$AJ$4,0)))+SUMPRODUCT((Inputs!$E$5:$E$180=$B50)*Inputs!$F$5:$F$180*(((Inputs!$G$5:$G$180="moeda")+(Inputs!$G$5:$G$180="acoes"))*Inputs!$B$1+((Inputs!$G$5:$G$180&lt;&gt;"moeda")*(Inputs!$G$5:$G$180&lt;&gt;"acoes")))*INDEX(Inputs!$K$5:$AJ$180,0,MATCH(Z$2,Inputs!$K$4:$AJ$4,0)))))</f>
        <v>175.84953767</v>
      </c>
      <c r="AA50" s="6">
        <f>IF(ISNA(MATCH(AA$2,Inputs!$K$4:$AJ$4,0)),NA(),IF(SUMPRODUCT((Inputs!$A$5:$A$180=$B50)*ISNUMBER(INDEX(Inputs!$K$5:$AJ$180,0,MATCH(AA$2,Inputs!$K$4:$AJ$4,0))))+SUMPRODUCT((Inputs!$C$5:$C$180=$B50)*ISNUMBER(INDEX(Inputs!$K$5:$AJ$180,0,MATCH(AA$2,Inputs!$K$4:$AJ$4,0))))+SUMPRODUCT((Inputs!$E$5:$E$180=$B50)*ISNUMBER(INDEX(Inputs!$K$5:$AJ$180,0,MATCH(AA$2,Inputs!$K$4:$AJ$4,0))))=0,NA(),SUMPRODUCT((Inputs!$A$5:$A$180=$B50)*Inputs!$B$5:$B$180*(((Inputs!$G$5:$G$180="moeda")+(Inputs!$G$5:$G$180="acoes"))*Inputs!$B$1+((Inputs!$G$5:$G$180&lt;&gt;"moeda")*(Inputs!$G$5:$G$180&lt;&gt;"acoes")))*INDEX(Inputs!$K$5:$AJ$180,0,MATCH(AA$2,Inputs!$K$4:$AJ$4,0)))+SUMPRODUCT((Inputs!$C$5:$C$180=$B50)*Inputs!$D$5:$D$180*(((Inputs!$G$5:$G$180="moeda")+(Inputs!$G$5:$G$180="acoes"))*Inputs!$B$1+((Inputs!$G$5:$G$180&lt;&gt;"moeda")*(Inputs!$G$5:$G$180&lt;&gt;"acoes")))*INDEX(Inputs!$K$5:$AJ$180,0,MATCH(AA$2,Inputs!$K$4:$AJ$4,0)))+SUMPRODUCT((Inputs!$E$5:$E$180=$B50)*Inputs!$F$5:$F$180*(((Inputs!$G$5:$G$180="moeda")+(Inputs!$G$5:$G$180="acoes"))*Inputs!$B$1+((Inputs!$G$5:$G$180&lt;&gt;"moeda")*(Inputs!$G$5:$G$180&lt;&gt;"acoes")))*INDEX(Inputs!$K$5:$AJ$180,0,MATCH(AA$2,Inputs!$K$4:$AJ$4,0)))))</f>
        <v>177.52823769</v>
      </c>
      <c r="AB50" s="3">
        <f>SUM(X50:AA50)</f>
        <v>619.505259039999</v>
      </c>
      <c r="AC50" s="6">
        <f>IF(ISNA(MATCH(AC$2,Inputs!$K$4:$AJ$4,0)),NA(),IF(SUMPRODUCT((Inputs!$A$5:$A$180=$B50)*ISNUMBER(INDEX(Inputs!$K$5:$AJ$180,0,MATCH(AC$2,Inputs!$K$4:$AJ$4,0))))+SUMPRODUCT((Inputs!$C$5:$C$180=$B50)*ISNUMBER(INDEX(Inputs!$K$5:$AJ$180,0,MATCH(AC$2,Inputs!$K$4:$AJ$4,0))))+SUMPRODUCT((Inputs!$E$5:$E$180=$B50)*ISNUMBER(INDEX(Inputs!$K$5:$AJ$180,0,MATCH(AC$2,Inputs!$K$4:$AJ$4,0))))=0,NA(),SUMPRODUCT((Inputs!$A$5:$A$180=$B50)*Inputs!$B$5:$B$180*(((Inputs!$G$5:$G$180="moeda")+(Inputs!$G$5:$G$180="acoes"))*Inputs!$B$1+((Inputs!$G$5:$G$180&lt;&gt;"moeda")*(Inputs!$G$5:$G$180&lt;&gt;"acoes")))*INDEX(Inputs!$K$5:$AJ$180,0,MATCH(AC$2,Inputs!$K$4:$AJ$4,0)))+SUMPRODUCT((Inputs!$C$5:$C$180=$B50)*Inputs!$D$5:$D$180*(((Inputs!$G$5:$G$180="moeda")+(Inputs!$G$5:$G$180="acoes"))*Inputs!$B$1+((Inputs!$G$5:$G$180&lt;&gt;"moeda")*(Inputs!$G$5:$G$180&lt;&gt;"acoes")))*INDEX(Inputs!$K$5:$AJ$180,0,MATCH(AC$2,Inputs!$K$4:$AJ$4,0)))+SUMPRODUCT((Inputs!$E$5:$E$180=$B50)*Inputs!$F$5:$F$180*(((Inputs!$G$5:$G$180="moeda")+(Inputs!$G$5:$G$180="acoes"))*Inputs!$B$1+((Inputs!$G$5:$G$180&lt;&gt;"moeda")*(Inputs!$G$5:$G$180&lt;&gt;"acoes")))*INDEX(Inputs!$K$5:$AJ$180,0,MATCH(AC$2,Inputs!$K$4:$AJ$4,0)))))</f>
        <v>80.79514342</v>
      </c>
      <c r="AD50" s="6">
        <f>IF(ISNA(MATCH(AD$2,Inputs!$K$4:$AJ$4,0)),NA(),IF(SUMPRODUCT((Inputs!$A$5:$A$180=$B50)*ISNUMBER(INDEX(Inputs!$K$5:$AJ$180,0,MATCH(AD$2,Inputs!$K$4:$AJ$4,0))))+SUMPRODUCT((Inputs!$C$5:$C$180=$B50)*ISNUMBER(INDEX(Inputs!$K$5:$AJ$180,0,MATCH(AD$2,Inputs!$K$4:$AJ$4,0))))+SUMPRODUCT((Inputs!$E$5:$E$180=$B50)*ISNUMBER(INDEX(Inputs!$K$5:$AJ$180,0,MATCH(AD$2,Inputs!$K$4:$AJ$4,0))))=0,NA(),SUMPRODUCT((Inputs!$A$5:$A$180=$B50)*Inputs!$B$5:$B$180*(((Inputs!$G$5:$G$180="moeda")+(Inputs!$G$5:$G$180="acoes"))*Inputs!$B$1+((Inputs!$G$5:$G$180&lt;&gt;"moeda")*(Inputs!$G$5:$G$180&lt;&gt;"acoes")))*INDEX(Inputs!$K$5:$AJ$180,0,MATCH(AD$2,Inputs!$K$4:$AJ$4,0)))+SUMPRODUCT((Inputs!$C$5:$C$180=$B50)*Inputs!$D$5:$D$180*(((Inputs!$G$5:$G$180="moeda")+(Inputs!$G$5:$G$180="acoes"))*Inputs!$B$1+((Inputs!$G$5:$G$180&lt;&gt;"moeda")*(Inputs!$G$5:$G$180&lt;&gt;"acoes")))*INDEX(Inputs!$K$5:$AJ$180,0,MATCH(AD$2,Inputs!$K$4:$AJ$4,0)))+SUMPRODUCT((Inputs!$E$5:$E$180=$B50)*Inputs!$F$5:$F$180*(((Inputs!$G$5:$G$180="moeda")+(Inputs!$G$5:$G$180="acoes"))*Inputs!$B$1+((Inputs!$G$5:$G$180&lt;&gt;"moeda")*(Inputs!$G$5:$G$180&lt;&gt;"acoes")))*INDEX(Inputs!$K$5:$AJ$180,0,MATCH(AD$2,Inputs!$K$4:$AJ$4,0)))))</f>
        <v>151.664851220001</v>
      </c>
      <c r="AE50" s="6" t="e">
        <f>IF(ISNA(MATCH(AE$2,Inputs!$K$4:$AJ$4,0)),NA(),IF(SUMPRODUCT((Inputs!$A$5:$A$180=$B50)*ISNUMBER(INDEX(Inputs!$K$5:$AJ$180,0,MATCH(AE$2,Inputs!$K$4:$AJ$4,0))))+SUMPRODUCT((Inputs!$C$5:$C$180=$B50)*ISNUMBER(INDEX(Inputs!$K$5:$AJ$180,0,MATCH(AE$2,Inputs!$K$4:$AJ$4,0))))+SUMPRODUCT((Inputs!$E$5:$E$180=$B50)*ISNUMBER(INDEX(Inputs!$K$5:$AJ$180,0,MATCH(AE$2,Inputs!$K$4:$AJ$4,0))))=0,NA(),SUMPRODUCT((Inputs!$A$5:$A$180=$B50)*Inputs!$B$5:$B$180*(((Inputs!$G$5:$G$180="moeda")+(Inputs!$G$5:$G$180="acoes"))*Inputs!$B$1+((Inputs!$G$5:$G$180&lt;&gt;"moeda")*(Inputs!$G$5:$G$180&lt;&gt;"acoes")))*INDEX(Inputs!$K$5:$AJ$180,0,MATCH(AE$2,Inputs!$K$4:$AJ$4,0)))+SUMPRODUCT((Inputs!$C$5:$C$180=$B50)*Inputs!$D$5:$D$180*(((Inputs!$G$5:$G$180="moeda")+(Inputs!$G$5:$G$180="acoes"))*Inputs!$B$1+((Inputs!$G$5:$G$180&lt;&gt;"moeda")*(Inputs!$G$5:$G$180&lt;&gt;"acoes")))*INDEX(Inputs!$K$5:$AJ$180,0,MATCH(AE$2,Inputs!$K$4:$AJ$4,0)))+SUMPRODUCT((Inputs!$E$5:$E$180=$B50)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0" s="6" t="e">
        <f>IF(ISNA(MATCH(AF$2,Inputs!$K$4:$AJ$4,0)),NA(),IF(SUMPRODUCT((Inputs!$A$5:$A$180=$B50)*ISNUMBER(INDEX(Inputs!$K$5:$AJ$180,0,MATCH(AF$2,Inputs!$K$4:$AJ$4,0))))+SUMPRODUCT((Inputs!$C$5:$C$180=$B50)*ISNUMBER(INDEX(Inputs!$K$5:$AJ$180,0,MATCH(AF$2,Inputs!$K$4:$AJ$4,0))))+SUMPRODUCT((Inputs!$E$5:$E$180=$B50)*ISNUMBER(INDEX(Inputs!$K$5:$AJ$180,0,MATCH(AF$2,Inputs!$K$4:$AJ$4,0))))=0,NA(),SUMPRODUCT((Inputs!$A$5:$A$180=$B50)*Inputs!$B$5:$B$180*(((Inputs!$G$5:$G$180="moeda")+(Inputs!$G$5:$G$180="acoes"))*Inputs!$B$1+((Inputs!$G$5:$G$180&lt;&gt;"moeda")*(Inputs!$G$5:$G$180&lt;&gt;"acoes")))*INDEX(Inputs!$K$5:$AJ$180,0,MATCH(AF$2,Inputs!$K$4:$AJ$4,0)))+SUMPRODUCT((Inputs!$C$5:$C$180=$B50)*Inputs!$D$5:$D$180*(((Inputs!$G$5:$G$180="moeda")+(Inputs!$G$5:$G$180="acoes"))*Inputs!$B$1+((Inputs!$G$5:$G$180&lt;&gt;"moeda")*(Inputs!$G$5:$G$180&lt;&gt;"acoes")))*INDEX(Inputs!$K$5:$AJ$180,0,MATCH(AF$2,Inputs!$K$4:$AJ$4,0)))+SUMPRODUCT((Inputs!$E$5:$E$180=$B50)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0" s="3" t="e">
        <f>SUM(AC50:AF50)</f>
        <v>#N/A</v>
      </c>
      <c r="AH50">
        <f>IF(ISNA(MATCH(AH$2,Inputs!$K$4:$AJ$4,0)),NA(),IF(SUMPRODUCT((Inputs!$A$5:$A$180=$B50)*ISNUMBER(INDEX(Inputs!$K$5:$AJ$180,0,MATCH(AH$2,Inputs!$K$4:$AJ$4,0))))+SUMPRODUCT((Inputs!$C$5:$C$180=$B50)*ISNUMBER(INDEX(Inputs!$K$5:$AJ$180,0,MATCH(AH$2,Inputs!$K$4:$AJ$4,0))))+SUMPRODUCT((Inputs!$E$5:$E$180=$B50)*ISNUMBER(INDEX(Inputs!$K$5:$AJ$180,0,MATCH(AH$2,Inputs!$K$4:$AJ$4,0))))=0,NA(),SUMPRODUCT((Inputs!$A$5:$A$180=$B50)*Inputs!$B$5:$B$180*(((Inputs!$G$5:$G$180="moeda")+(Inputs!$G$5:$G$180="acoes"))*Inputs!$B$1+((Inputs!$G$5:$G$180&lt;&gt;"moeda")*(Inputs!$G$5:$G$180&lt;&gt;"acoes")))*INDEX(Inputs!$K$5:$AJ$180,0,MATCH(AH$2,Inputs!$K$4:$AJ$4,0)))+SUMPRODUCT((Inputs!$C$5:$C$180=$B50)*Inputs!$D$5:$D$180*(((Inputs!$G$5:$G$180="moeda")+(Inputs!$G$5:$G$180="acoes"))*Inputs!$B$1+((Inputs!$G$5:$G$180&lt;&gt;"moeda")*(Inputs!$G$5:$G$180&lt;&gt;"acoes")))*INDEX(Inputs!$K$5:$AJ$180,0,MATCH(AH$2,Inputs!$K$4:$AJ$4,0)))+SUMPRODUCT((Inputs!$E$5:$E$180=$B50)*Inputs!$F$5:$F$180*(((Inputs!$G$5:$G$180="moeda")+(Inputs!$G$5:$G$180="acoes"))*Inputs!$B$1+((Inputs!$G$5:$G$180&lt;&gt;"moeda")*(Inputs!$G$5:$G$180&lt;&gt;"acoes")))*INDEX(Inputs!$K$5:$AJ$180,0,MATCH(AH$2,Inputs!$K$4:$AJ$4,0)))))</f>
        <v>11.9905088674</v>
      </c>
      <c r="AI50">
        <f>IF(ISNA(MATCH(AI$2,Inputs!$K$4:$AJ$4,0)),NA(),IF(SUMPRODUCT((Inputs!$A$5:$A$180=$B50)*ISNUMBER(INDEX(Inputs!$K$5:$AJ$180,0,MATCH(AI$2,Inputs!$K$4:$AJ$4,0))))+SUMPRODUCT((Inputs!$C$5:$C$180=$B50)*ISNUMBER(INDEX(Inputs!$K$5:$AJ$180,0,MATCH(AI$2,Inputs!$K$4:$AJ$4,0))))+SUMPRODUCT((Inputs!$E$5:$E$180=$B50)*ISNUMBER(INDEX(Inputs!$K$5:$AJ$180,0,MATCH(AI$2,Inputs!$K$4:$AJ$4,0))))=0,NA(),SUMPRODUCT((Inputs!$A$5:$A$180=$B50)*Inputs!$B$5:$B$180*(((Inputs!$G$5:$G$180="moeda")+(Inputs!$G$5:$G$180="acoes"))*Inputs!$B$1+((Inputs!$G$5:$G$180&lt;&gt;"moeda")*(Inputs!$G$5:$G$180&lt;&gt;"acoes")))*INDEX(Inputs!$K$5:$AJ$180,0,MATCH(AI$2,Inputs!$K$4:$AJ$4,0)))+SUMPRODUCT((Inputs!$C$5:$C$180=$B50)*Inputs!$D$5:$D$180*(((Inputs!$G$5:$G$180="moeda")+(Inputs!$G$5:$G$180="acoes"))*Inputs!$B$1+((Inputs!$G$5:$G$180&lt;&gt;"moeda")*(Inputs!$G$5:$G$180&lt;&gt;"acoes")))*INDEX(Inputs!$K$5:$AJ$180,0,MATCH(AI$2,Inputs!$K$4:$AJ$4,0)))+SUMPRODUCT((Inputs!$E$5:$E$180=$B50)*Inputs!$F$5:$F$180*(((Inputs!$G$5:$G$180="moeda")+(Inputs!$G$5:$G$180="acoes"))*Inputs!$B$1+((Inputs!$G$5:$G$180&lt;&gt;"moeda")*(Inputs!$G$5:$G$180&lt;&gt;"acoes")))*INDEX(Inputs!$K$5:$AJ$180,0,MATCH(AI$2,Inputs!$K$4:$AJ$4,0)))))</f>
        <v>-4.45416581774918</v>
      </c>
      <c r="AJ50">
        <f>IF(ISNA(MATCH(AJ$2,Inputs!$K$4:$AJ$4,0)),NA(),IF(SUMPRODUCT((Inputs!$A$5:$A$180=$B50)*ISNUMBER(INDEX(Inputs!$K$5:$AJ$180,0,MATCH(AJ$2,Inputs!$K$4:$AJ$4,0))))+SUMPRODUCT((Inputs!$C$5:$C$180=$B50)*ISNUMBER(INDEX(Inputs!$K$5:$AJ$180,0,MATCH(AJ$2,Inputs!$K$4:$AJ$4,0))))+SUMPRODUCT((Inputs!$E$5:$E$180=$B50)*ISNUMBER(INDEX(Inputs!$K$5:$AJ$180,0,MATCH(AJ$2,Inputs!$K$4:$AJ$4,0))))=0,NA(),SUMPRODUCT((Inputs!$A$5:$A$180=$B50)*Inputs!$B$5:$B$180*(((Inputs!$G$5:$G$180="moeda")+(Inputs!$G$5:$G$180="acoes"))*Inputs!$B$1+((Inputs!$G$5:$G$180&lt;&gt;"moeda")*(Inputs!$G$5:$G$180&lt;&gt;"acoes")))*INDEX(Inputs!$K$5:$AJ$180,0,MATCH(AJ$2,Inputs!$K$4:$AJ$4,0)))+SUMPRODUCT((Inputs!$C$5:$C$180=$B50)*Inputs!$D$5:$D$180*(((Inputs!$G$5:$G$180="moeda")+(Inputs!$G$5:$G$180="acoes"))*Inputs!$B$1+((Inputs!$G$5:$G$180&lt;&gt;"moeda")*(Inputs!$G$5:$G$180&lt;&gt;"acoes")))*INDEX(Inputs!$K$5:$AJ$180,0,MATCH(AJ$2,Inputs!$K$4:$AJ$4,0)))+SUMPRODUCT((Inputs!$E$5:$E$180=$B50)*Inputs!$F$5:$F$180*(((Inputs!$G$5:$G$180="moeda")+(Inputs!$G$5:$G$180="acoes"))*Inputs!$B$1+((Inputs!$G$5:$G$180&lt;&gt;"moeda")*(Inputs!$G$5:$G$180&lt;&gt;"acoes")))*INDEX(Inputs!$K$5:$AJ$180,0,MATCH(AJ$2,Inputs!$K$4:$AJ$4,0)))))</f>
        <v>30.5871922130518</v>
      </c>
      <c r="AK50">
        <f>IF(ISNA(MATCH(AK$2,Inputs!$K$4:$AJ$4,0)),NA(),IF(SUMPRODUCT((Inputs!$A$5:$A$180=$B50)*ISNUMBER(INDEX(Inputs!$K$5:$AJ$180,0,MATCH(AK$2,Inputs!$K$4:$AJ$4,0))))+SUMPRODUCT((Inputs!$C$5:$C$180=$B50)*ISNUMBER(INDEX(Inputs!$K$5:$AJ$180,0,MATCH(AK$2,Inputs!$K$4:$AJ$4,0))))+SUMPRODUCT((Inputs!$E$5:$E$180=$B50)*ISNUMBER(INDEX(Inputs!$K$5:$AJ$180,0,MATCH(AK$2,Inputs!$K$4:$AJ$4,0))))=0,NA(),SUMPRODUCT((Inputs!$A$5:$A$180=$B50)*Inputs!$B$5:$B$180*(((Inputs!$G$5:$G$180="moeda")+(Inputs!$G$5:$G$180="acoes"))*Inputs!$B$1+((Inputs!$G$5:$G$180&lt;&gt;"moeda")*(Inputs!$G$5:$G$180&lt;&gt;"acoes")))*INDEX(Inputs!$K$5:$AJ$180,0,MATCH(AK$2,Inputs!$K$4:$AJ$4,0)))+SUMPRODUCT((Inputs!$C$5:$C$180=$B50)*Inputs!$D$5:$D$180*(((Inputs!$G$5:$G$180="moeda")+(Inputs!$G$5:$G$180="acoes"))*Inputs!$B$1+((Inputs!$G$5:$G$180&lt;&gt;"moeda")*(Inputs!$G$5:$G$180&lt;&gt;"acoes")))*INDEX(Inputs!$K$5:$AJ$180,0,MATCH(AK$2,Inputs!$K$4:$AJ$4,0)))+SUMPRODUCT((Inputs!$E$5:$E$180=$B50)*Inputs!$F$5:$F$180*(((Inputs!$G$5:$G$180="moeda")+(Inputs!$G$5:$G$180="acoes"))*Inputs!$B$1+((Inputs!$G$5:$G$180&lt;&gt;"moeda")*(Inputs!$G$5:$G$180&lt;&gt;"acoes")))*INDEX(Inputs!$K$5:$AJ$180,0,MATCH(AK$2,Inputs!$K$4:$AJ$4,0)))))</f>
        <v>85.510419781403</v>
      </c>
      <c r="AL50">
        <f>SUM(AH50:AK50)</f>
        <v>123.633955044106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bruta liq. de devolucoes - Lojas Vivara (R$ mil; DadosOperacionais l.17)</t>
        </is>
      </c>
      <c r="D53" s="264">
        <f>IF(ISNA(MATCH(D$2,Inputs!$K$4:$AJ$4,0)),NA(),IF(SUMPRODUCT((Inputs!$A$5:$A$180=$B53)*ISNUMBER(INDEX(Inputs!$K$5:$AJ$180,0,MATCH(D$2,Inputs!$K$4:$AJ$4,0))))+SUMPRODUCT((Inputs!$C$5:$C$180=$B53)*ISNUMBER(INDEX(Inputs!$K$5:$AJ$180,0,MATCH(D$2,Inputs!$K$4:$AJ$4,0))))+SUMPRODUCT((Inputs!$E$5:$E$180=$B53)*ISNUMBER(INDEX(Inputs!$K$5:$AJ$180,0,MATCH(D$2,Inputs!$K$4:$AJ$4,0))))=0,NA(),SUMPRODUCT((Inputs!$A$5:$A$180=$B53)*Inputs!$B$5:$B$180*(((Inputs!$G$5:$G$180="moeda")+(Inputs!$G$5:$G$180="acoes"))*Inputs!$B$1+((Inputs!$G$5:$G$180&lt;&gt;"moeda")*(Inputs!$G$5:$G$180&lt;&gt;"acoes")))*INDEX(Inputs!$K$5:$AJ$180,0,MATCH(D$2,Inputs!$K$4:$AJ$4,0)))+SUMPRODUCT((Inputs!$C$5:$C$180=$B53)*Inputs!$D$5:$D$180*(((Inputs!$G$5:$G$180="moeda")+(Inputs!$G$5:$G$180="acoes"))*Inputs!$B$1+((Inputs!$G$5:$G$180&lt;&gt;"moeda")*(Inputs!$G$5:$G$180&lt;&gt;"acoes")))*INDEX(Inputs!$K$5:$AJ$180,0,MATCH(D$2,Inputs!$K$4:$AJ$4,0)))+SUMPRODUCT((Inputs!$E$5:$E$180=$B53)*Inputs!$F$5:$F$180*(((Inputs!$G$5:$G$180="moeda")+(Inputs!$G$5:$G$180="acoes"))*Inputs!$B$1+((Inputs!$G$5:$G$180&lt;&gt;"moeda")*(Inputs!$G$5:$G$180&lt;&gt;"acoes")))*INDEX(Inputs!$K$5:$AJ$180,0,MATCH(D$2,Inputs!$K$4:$AJ$4,0)))))</f>
        <v>187.118450330243</v>
      </c>
      <c r="E53" s="264">
        <f>IF(ISNA(MATCH(E$2,Inputs!$K$4:$AJ$4,0)),NA(),IF(SUMPRODUCT((Inputs!$A$5:$A$180=$B53)*ISNUMBER(INDEX(Inputs!$K$5:$AJ$180,0,MATCH(E$2,Inputs!$K$4:$AJ$4,0))))+SUMPRODUCT((Inputs!$C$5:$C$180=$B53)*ISNUMBER(INDEX(Inputs!$K$5:$AJ$180,0,MATCH(E$2,Inputs!$K$4:$AJ$4,0))))+SUMPRODUCT((Inputs!$E$5:$E$180=$B53)*ISNUMBER(INDEX(Inputs!$K$5:$AJ$180,0,MATCH(E$2,Inputs!$K$4:$AJ$4,0))))=0,NA(),SUMPRODUCT((Inputs!$A$5:$A$180=$B53)*Inputs!$B$5:$B$180*(((Inputs!$G$5:$G$180="moeda")+(Inputs!$G$5:$G$180="acoes"))*Inputs!$B$1+((Inputs!$G$5:$G$180&lt;&gt;"moeda")*(Inputs!$G$5:$G$180&lt;&gt;"acoes")))*INDEX(Inputs!$K$5:$AJ$180,0,MATCH(E$2,Inputs!$K$4:$AJ$4,0)))+SUMPRODUCT((Inputs!$C$5:$C$180=$B53)*Inputs!$D$5:$D$180*(((Inputs!$G$5:$G$180="moeda")+(Inputs!$G$5:$G$180="acoes"))*Inputs!$B$1+((Inputs!$G$5:$G$180&lt;&gt;"moeda")*(Inputs!$G$5:$G$180&lt;&gt;"acoes")))*INDEX(Inputs!$K$5:$AJ$180,0,MATCH(E$2,Inputs!$K$4:$AJ$4,0)))+SUMPRODUCT((Inputs!$E$5:$E$180=$B53)*Inputs!$F$5:$F$180*(((Inputs!$G$5:$G$180="moeda")+(Inputs!$G$5:$G$180="acoes"))*Inputs!$B$1+((Inputs!$G$5:$G$180&lt;&gt;"moeda")*(Inputs!$G$5:$G$180&lt;&gt;"acoes")))*INDEX(Inputs!$K$5:$AJ$180,0,MATCH(E$2,Inputs!$K$4:$AJ$4,0)))))</f>
        <v>353.42678799</v>
      </c>
      <c r="F53" s="264">
        <f>IF(ISNA(MATCH(F$2,Inputs!$K$4:$AJ$4,0)),NA(),IF(SUMPRODUCT((Inputs!$A$5:$A$180=$B53)*ISNUMBER(INDEX(Inputs!$K$5:$AJ$180,0,MATCH(F$2,Inputs!$K$4:$AJ$4,0))))+SUMPRODUCT((Inputs!$C$5:$C$180=$B53)*ISNUMBER(INDEX(Inputs!$K$5:$AJ$180,0,MATCH(F$2,Inputs!$K$4:$AJ$4,0))))+SUMPRODUCT((Inputs!$E$5:$E$180=$B53)*ISNUMBER(INDEX(Inputs!$K$5:$AJ$180,0,MATCH(F$2,Inputs!$K$4:$AJ$4,0))))=0,NA(),SUMPRODUCT((Inputs!$A$5:$A$180=$B53)*Inputs!$B$5:$B$180*(((Inputs!$G$5:$G$180="moeda")+(Inputs!$G$5:$G$180="acoes"))*Inputs!$B$1+((Inputs!$G$5:$G$180&lt;&gt;"moeda")*(Inputs!$G$5:$G$180&lt;&gt;"acoes")))*INDEX(Inputs!$K$5:$AJ$180,0,MATCH(F$2,Inputs!$K$4:$AJ$4,0)))+SUMPRODUCT((Inputs!$C$5:$C$180=$B53)*Inputs!$D$5:$D$180*(((Inputs!$G$5:$G$180="moeda")+(Inputs!$G$5:$G$180="acoes"))*Inputs!$B$1+((Inputs!$G$5:$G$180&lt;&gt;"moeda")*(Inputs!$G$5:$G$180&lt;&gt;"acoes")))*INDEX(Inputs!$K$5:$AJ$180,0,MATCH(F$2,Inputs!$K$4:$AJ$4,0)))+SUMPRODUCT((Inputs!$E$5:$E$180=$B53)*Inputs!$F$5:$F$180*(((Inputs!$G$5:$G$180="moeda")+(Inputs!$G$5:$G$180="acoes"))*Inputs!$B$1+((Inputs!$G$5:$G$180&lt;&gt;"moeda")*(Inputs!$G$5:$G$180&lt;&gt;"acoes")))*INDEX(Inputs!$K$5:$AJ$180,0,MATCH(F$2,Inputs!$K$4:$AJ$4,0)))))</f>
        <v>325.3623586</v>
      </c>
      <c r="G53" s="264">
        <f>IF(ISNA(MATCH(G$2,Inputs!$K$4:$AJ$4,0)),NA(),IF(SUMPRODUCT((Inputs!$A$5:$A$180=$B53)*ISNUMBER(INDEX(Inputs!$K$5:$AJ$180,0,MATCH(G$2,Inputs!$K$4:$AJ$4,0))))+SUMPRODUCT((Inputs!$C$5:$C$180=$B53)*ISNUMBER(INDEX(Inputs!$K$5:$AJ$180,0,MATCH(G$2,Inputs!$K$4:$AJ$4,0))))+SUMPRODUCT((Inputs!$E$5:$E$180=$B53)*ISNUMBER(INDEX(Inputs!$K$5:$AJ$180,0,MATCH(G$2,Inputs!$K$4:$AJ$4,0))))=0,NA(),SUMPRODUCT((Inputs!$A$5:$A$180=$B53)*Inputs!$B$5:$B$180*(((Inputs!$G$5:$G$180="moeda")+(Inputs!$G$5:$G$180="acoes"))*Inputs!$B$1+((Inputs!$G$5:$G$180&lt;&gt;"moeda")*(Inputs!$G$5:$G$180&lt;&gt;"acoes")))*INDEX(Inputs!$K$5:$AJ$180,0,MATCH(G$2,Inputs!$K$4:$AJ$4,0)))+SUMPRODUCT((Inputs!$C$5:$C$180=$B53)*Inputs!$D$5:$D$180*(((Inputs!$G$5:$G$180="moeda")+(Inputs!$G$5:$G$180="acoes"))*Inputs!$B$1+((Inputs!$G$5:$G$180&lt;&gt;"moeda")*(Inputs!$G$5:$G$180&lt;&gt;"acoes")))*INDEX(Inputs!$K$5:$AJ$180,0,MATCH(G$2,Inputs!$K$4:$AJ$4,0)))+SUMPRODUCT((Inputs!$E$5:$E$180=$B53)*Inputs!$F$5:$F$180*(((Inputs!$G$5:$G$180="moeda")+(Inputs!$G$5:$G$180="acoes"))*Inputs!$B$1+((Inputs!$G$5:$G$180&lt;&gt;"moeda")*(Inputs!$G$5:$G$180&lt;&gt;"acoes")))*INDEX(Inputs!$K$5:$AJ$180,0,MATCH(G$2,Inputs!$K$4:$AJ$4,0)))))</f>
        <v>535.80190985</v>
      </c>
      <c r="H53" s="265">
        <f>SUM(D53:G53)</f>
        <v>1401.70950677024</v>
      </c>
      <c r="I53" s="264">
        <f>IF(ISNA(MATCH(I$2,Inputs!$K$4:$AJ$4,0)),NA(),IF(SUMPRODUCT((Inputs!$A$5:$A$180=$B53)*ISNUMBER(INDEX(Inputs!$K$5:$AJ$180,0,MATCH(I$2,Inputs!$K$4:$AJ$4,0))))+SUMPRODUCT((Inputs!$C$5:$C$180=$B53)*ISNUMBER(INDEX(Inputs!$K$5:$AJ$180,0,MATCH(I$2,Inputs!$K$4:$AJ$4,0))))+SUMPRODUCT((Inputs!$E$5:$E$180=$B53)*ISNUMBER(INDEX(Inputs!$K$5:$AJ$180,0,MATCH(I$2,Inputs!$K$4:$AJ$4,0))))=0,NA(),SUMPRODUCT((Inputs!$A$5:$A$180=$B53)*Inputs!$B$5:$B$180*(((Inputs!$G$5:$G$180="moeda")+(Inputs!$G$5:$G$180="acoes"))*Inputs!$B$1+((Inputs!$G$5:$G$180&lt;&gt;"moeda")*(Inputs!$G$5:$G$180&lt;&gt;"acoes")))*INDEX(Inputs!$K$5:$AJ$180,0,MATCH(I$2,Inputs!$K$4:$AJ$4,0)))+SUMPRODUCT((Inputs!$C$5:$C$180=$B53)*Inputs!$D$5:$D$180*(((Inputs!$G$5:$G$180="moeda")+(Inputs!$G$5:$G$180="acoes"))*Inputs!$B$1+((Inputs!$G$5:$G$180&lt;&gt;"moeda")*(Inputs!$G$5:$G$180&lt;&gt;"acoes")))*INDEX(Inputs!$K$5:$AJ$180,0,MATCH(I$2,Inputs!$K$4:$AJ$4,0)))+SUMPRODUCT((Inputs!$E$5:$E$180=$B53)*Inputs!$F$5:$F$180*(((Inputs!$G$5:$G$180="moeda")+(Inputs!$G$5:$G$180="acoes"))*Inputs!$B$1+((Inputs!$G$5:$G$180&lt;&gt;"moeda")*(Inputs!$G$5:$G$180&lt;&gt;"acoes")))*INDEX(Inputs!$K$5:$AJ$180,0,MATCH(I$2,Inputs!$K$4:$AJ$4,0)))))</f>
        <v>322.54966517</v>
      </c>
      <c r="J53" s="264">
        <f>IF(ISNA(MATCH(J$2,Inputs!$K$4:$AJ$4,0)),NA(),IF(SUMPRODUCT((Inputs!$A$5:$A$180=$B53)*ISNUMBER(INDEX(Inputs!$K$5:$AJ$180,0,MATCH(J$2,Inputs!$K$4:$AJ$4,0))))+SUMPRODUCT((Inputs!$C$5:$C$180=$B53)*ISNUMBER(INDEX(Inputs!$K$5:$AJ$180,0,MATCH(J$2,Inputs!$K$4:$AJ$4,0))))+SUMPRODUCT((Inputs!$E$5:$E$180=$B53)*ISNUMBER(INDEX(Inputs!$K$5:$AJ$180,0,MATCH(J$2,Inputs!$K$4:$AJ$4,0))))=0,NA(),SUMPRODUCT((Inputs!$A$5:$A$180=$B53)*Inputs!$B$5:$B$180*(((Inputs!$G$5:$G$180="moeda")+(Inputs!$G$5:$G$180="acoes"))*Inputs!$B$1+((Inputs!$G$5:$G$180&lt;&gt;"moeda")*(Inputs!$G$5:$G$180&lt;&gt;"acoes")))*INDEX(Inputs!$K$5:$AJ$180,0,MATCH(J$2,Inputs!$K$4:$AJ$4,0)))+SUMPRODUCT((Inputs!$C$5:$C$180=$B53)*Inputs!$D$5:$D$180*(((Inputs!$G$5:$G$180="moeda")+(Inputs!$G$5:$G$180="acoes"))*Inputs!$B$1+((Inputs!$G$5:$G$180&lt;&gt;"moeda")*(Inputs!$G$5:$G$180&lt;&gt;"acoes")))*INDEX(Inputs!$K$5:$AJ$180,0,MATCH(J$2,Inputs!$K$4:$AJ$4,0)))+SUMPRODUCT((Inputs!$E$5:$E$180=$B53)*Inputs!$F$5:$F$180*(((Inputs!$G$5:$G$180="moeda")+(Inputs!$G$5:$G$180="acoes"))*Inputs!$B$1+((Inputs!$G$5:$G$180&lt;&gt;"moeda")*(Inputs!$G$5:$G$180&lt;&gt;"acoes")))*INDEX(Inputs!$K$5:$AJ$180,0,MATCH(J$2,Inputs!$K$4:$AJ$4,0)))))</f>
        <v>465.144</v>
      </c>
      <c r="K53" s="264">
        <f>IF(ISNA(MATCH(K$2,Inputs!$K$4:$AJ$4,0)),NA(),IF(SUMPRODUCT((Inputs!$A$5:$A$180=$B53)*ISNUMBER(INDEX(Inputs!$K$5:$AJ$180,0,MATCH(K$2,Inputs!$K$4:$AJ$4,0))))+SUMPRODUCT((Inputs!$C$5:$C$180=$B53)*ISNUMBER(INDEX(Inputs!$K$5:$AJ$180,0,MATCH(K$2,Inputs!$K$4:$AJ$4,0))))+SUMPRODUCT((Inputs!$E$5:$E$180=$B53)*ISNUMBER(INDEX(Inputs!$K$5:$AJ$180,0,MATCH(K$2,Inputs!$K$4:$AJ$4,0))))=0,NA(),SUMPRODUCT((Inputs!$A$5:$A$180=$B53)*Inputs!$B$5:$B$180*(((Inputs!$G$5:$G$180="moeda")+(Inputs!$G$5:$G$180="acoes"))*Inputs!$B$1+((Inputs!$G$5:$G$180&lt;&gt;"moeda")*(Inputs!$G$5:$G$180&lt;&gt;"acoes")))*INDEX(Inputs!$K$5:$AJ$180,0,MATCH(K$2,Inputs!$K$4:$AJ$4,0)))+SUMPRODUCT((Inputs!$C$5:$C$180=$B53)*Inputs!$D$5:$D$180*(((Inputs!$G$5:$G$180="moeda")+(Inputs!$G$5:$G$180="acoes"))*Inputs!$B$1+((Inputs!$G$5:$G$180&lt;&gt;"moeda")*(Inputs!$G$5:$G$180&lt;&gt;"acoes")))*INDEX(Inputs!$K$5:$AJ$180,0,MATCH(K$2,Inputs!$K$4:$AJ$4,0)))+SUMPRODUCT((Inputs!$E$5:$E$180=$B53)*Inputs!$F$5:$F$180*(((Inputs!$G$5:$G$180="moeda")+(Inputs!$G$5:$G$180="acoes"))*Inputs!$B$1+((Inputs!$G$5:$G$180&lt;&gt;"moeda")*(Inputs!$G$5:$G$180&lt;&gt;"acoes")))*INDEX(Inputs!$K$5:$AJ$180,0,MATCH(K$2,Inputs!$K$4:$AJ$4,0)))))</f>
        <v>374.791</v>
      </c>
      <c r="L53" s="264">
        <f>IF(ISNA(MATCH(L$2,Inputs!$K$4:$AJ$4,0)),NA(),IF(SUMPRODUCT((Inputs!$A$5:$A$180=$B53)*ISNUMBER(INDEX(Inputs!$K$5:$AJ$180,0,MATCH(L$2,Inputs!$K$4:$AJ$4,0))))+SUMPRODUCT((Inputs!$C$5:$C$180=$B53)*ISNUMBER(INDEX(Inputs!$K$5:$AJ$180,0,MATCH(L$2,Inputs!$K$4:$AJ$4,0))))+SUMPRODUCT((Inputs!$E$5:$E$180=$B53)*ISNUMBER(INDEX(Inputs!$K$5:$AJ$180,0,MATCH(L$2,Inputs!$K$4:$AJ$4,0))))=0,NA(),SUMPRODUCT((Inputs!$A$5:$A$180=$B53)*Inputs!$B$5:$B$180*(((Inputs!$G$5:$G$180="moeda")+(Inputs!$G$5:$G$180="acoes"))*Inputs!$B$1+((Inputs!$G$5:$G$180&lt;&gt;"moeda")*(Inputs!$G$5:$G$180&lt;&gt;"acoes")))*INDEX(Inputs!$K$5:$AJ$180,0,MATCH(L$2,Inputs!$K$4:$AJ$4,0)))+SUMPRODUCT((Inputs!$C$5:$C$180=$B53)*Inputs!$D$5:$D$180*(((Inputs!$G$5:$G$180="moeda")+(Inputs!$G$5:$G$180="acoes"))*Inputs!$B$1+((Inputs!$G$5:$G$180&lt;&gt;"moeda")*(Inputs!$G$5:$G$180&lt;&gt;"acoes")))*INDEX(Inputs!$K$5:$AJ$180,0,MATCH(L$2,Inputs!$K$4:$AJ$4,0)))+SUMPRODUCT((Inputs!$E$5:$E$180=$B53)*Inputs!$F$5:$F$180*(((Inputs!$G$5:$G$180="moeda")+(Inputs!$G$5:$G$180="acoes"))*Inputs!$B$1+((Inputs!$G$5:$G$180&lt;&gt;"moeda")*(Inputs!$G$5:$G$180&lt;&gt;"acoes")))*INDEX(Inputs!$K$5:$AJ$180,0,MATCH(L$2,Inputs!$K$4:$AJ$4,0)))))</f>
        <v>565.85</v>
      </c>
      <c r="M53" s="265">
        <f>SUM(I53:L53)</f>
        <v>1728.33466517</v>
      </c>
      <c r="N53" s="264">
        <f>IF(ISNA(MATCH(N$2,Inputs!$K$4:$AJ$4,0)),NA(),IF(SUMPRODUCT((Inputs!$A$5:$A$180=$B53)*ISNUMBER(INDEX(Inputs!$K$5:$AJ$180,0,MATCH(N$2,Inputs!$K$4:$AJ$4,0))))+SUMPRODUCT((Inputs!$C$5:$C$180=$B53)*ISNUMBER(INDEX(Inputs!$K$5:$AJ$180,0,MATCH(N$2,Inputs!$K$4:$AJ$4,0))))+SUMPRODUCT((Inputs!$E$5:$E$180=$B53)*ISNUMBER(INDEX(Inputs!$K$5:$AJ$180,0,MATCH(N$2,Inputs!$K$4:$AJ$4,0))))=0,NA(),SUMPRODUCT((Inputs!$A$5:$A$180=$B53)*Inputs!$B$5:$B$180*(((Inputs!$G$5:$G$180="moeda")+(Inputs!$G$5:$G$180="acoes"))*Inputs!$B$1+((Inputs!$G$5:$G$180&lt;&gt;"moeda")*(Inputs!$G$5:$G$180&lt;&gt;"acoes")))*INDEX(Inputs!$K$5:$AJ$180,0,MATCH(N$2,Inputs!$K$4:$AJ$4,0)))+SUMPRODUCT((Inputs!$C$5:$C$180=$B53)*Inputs!$D$5:$D$180*(((Inputs!$G$5:$G$180="moeda")+(Inputs!$G$5:$G$180="acoes"))*Inputs!$B$1+((Inputs!$G$5:$G$180&lt;&gt;"moeda")*(Inputs!$G$5:$G$180&lt;&gt;"acoes")))*INDEX(Inputs!$K$5:$AJ$180,0,MATCH(N$2,Inputs!$K$4:$AJ$4,0)))+SUMPRODUCT((Inputs!$E$5:$E$180=$B53)*Inputs!$F$5:$F$180*(((Inputs!$G$5:$G$180="moeda")+(Inputs!$G$5:$G$180="acoes"))*Inputs!$B$1+((Inputs!$G$5:$G$180&lt;&gt;"moeda")*(Inputs!$G$5:$G$180&lt;&gt;"acoes")))*INDEX(Inputs!$K$5:$AJ$180,0,MATCH(N$2,Inputs!$K$4:$AJ$4,0)))))</f>
        <v>342.2511923</v>
      </c>
      <c r="O53" s="264">
        <f>IF(ISNA(MATCH(O$2,Inputs!$K$4:$AJ$4,0)),NA(),IF(SUMPRODUCT((Inputs!$A$5:$A$180=$B53)*ISNUMBER(INDEX(Inputs!$K$5:$AJ$180,0,MATCH(O$2,Inputs!$K$4:$AJ$4,0))))+SUMPRODUCT((Inputs!$C$5:$C$180=$B53)*ISNUMBER(INDEX(Inputs!$K$5:$AJ$180,0,MATCH(O$2,Inputs!$K$4:$AJ$4,0))))+SUMPRODUCT((Inputs!$E$5:$E$180=$B53)*ISNUMBER(INDEX(Inputs!$K$5:$AJ$180,0,MATCH(O$2,Inputs!$K$4:$AJ$4,0))))=0,NA(),SUMPRODUCT((Inputs!$A$5:$A$180=$B53)*Inputs!$B$5:$B$180*(((Inputs!$G$5:$G$180="moeda")+(Inputs!$G$5:$G$180="acoes"))*Inputs!$B$1+((Inputs!$G$5:$G$180&lt;&gt;"moeda")*(Inputs!$G$5:$G$180&lt;&gt;"acoes")))*INDEX(Inputs!$K$5:$AJ$180,0,MATCH(O$2,Inputs!$K$4:$AJ$4,0)))+SUMPRODUCT((Inputs!$C$5:$C$180=$B53)*Inputs!$D$5:$D$180*(((Inputs!$G$5:$G$180="moeda")+(Inputs!$G$5:$G$180="acoes"))*Inputs!$B$1+((Inputs!$G$5:$G$180&lt;&gt;"moeda")*(Inputs!$G$5:$G$180&lt;&gt;"acoes")))*INDEX(Inputs!$K$5:$AJ$180,0,MATCH(O$2,Inputs!$K$4:$AJ$4,0)))+SUMPRODUCT((Inputs!$E$5:$E$180=$B53)*Inputs!$F$5:$F$180*(((Inputs!$G$5:$G$180="moeda")+(Inputs!$G$5:$G$180="acoes"))*Inputs!$B$1+((Inputs!$G$5:$G$180&lt;&gt;"moeda")*(Inputs!$G$5:$G$180&lt;&gt;"acoes")))*INDEX(Inputs!$K$5:$AJ$180,0,MATCH(O$2,Inputs!$K$4:$AJ$4,0)))))</f>
        <v>482.43042787</v>
      </c>
      <c r="P53" s="264">
        <f>IF(ISNA(MATCH(P$2,Inputs!$K$4:$AJ$4,0)),NA(),IF(SUMPRODUCT((Inputs!$A$5:$A$180=$B53)*ISNUMBER(INDEX(Inputs!$K$5:$AJ$180,0,MATCH(P$2,Inputs!$K$4:$AJ$4,0))))+SUMPRODUCT((Inputs!$C$5:$C$180=$B53)*ISNUMBER(INDEX(Inputs!$K$5:$AJ$180,0,MATCH(P$2,Inputs!$K$4:$AJ$4,0))))+SUMPRODUCT((Inputs!$E$5:$E$180=$B53)*ISNUMBER(INDEX(Inputs!$K$5:$AJ$180,0,MATCH(P$2,Inputs!$K$4:$AJ$4,0))))=0,NA(),SUMPRODUCT((Inputs!$A$5:$A$180=$B53)*Inputs!$B$5:$B$180*(((Inputs!$G$5:$G$180="moeda")+(Inputs!$G$5:$G$180="acoes"))*Inputs!$B$1+((Inputs!$G$5:$G$180&lt;&gt;"moeda")*(Inputs!$G$5:$G$180&lt;&gt;"acoes")))*INDEX(Inputs!$K$5:$AJ$180,0,MATCH(P$2,Inputs!$K$4:$AJ$4,0)))+SUMPRODUCT((Inputs!$C$5:$C$180=$B53)*Inputs!$D$5:$D$180*(((Inputs!$G$5:$G$180="moeda")+(Inputs!$G$5:$G$180="acoes"))*Inputs!$B$1+((Inputs!$G$5:$G$180&lt;&gt;"moeda")*(Inputs!$G$5:$G$180&lt;&gt;"acoes")))*INDEX(Inputs!$K$5:$AJ$180,0,MATCH(P$2,Inputs!$K$4:$AJ$4,0)))+SUMPRODUCT((Inputs!$E$5:$E$180=$B53)*Inputs!$F$5:$F$180*(((Inputs!$G$5:$G$180="moeda")+(Inputs!$G$5:$G$180="acoes"))*Inputs!$B$1+((Inputs!$G$5:$G$180&lt;&gt;"moeda")*(Inputs!$G$5:$G$180&lt;&gt;"acoes")))*INDEX(Inputs!$K$5:$AJ$180,0,MATCH(P$2,Inputs!$K$4:$AJ$4,0)))))</f>
        <v>399.13501026</v>
      </c>
      <c r="Q53" s="264">
        <f>IF(ISNA(MATCH(Q$2,Inputs!$K$4:$AJ$4,0)),NA(),IF(SUMPRODUCT((Inputs!$A$5:$A$180=$B53)*ISNUMBER(INDEX(Inputs!$K$5:$AJ$180,0,MATCH(Q$2,Inputs!$K$4:$AJ$4,0))))+SUMPRODUCT((Inputs!$C$5:$C$180=$B53)*ISNUMBER(INDEX(Inputs!$K$5:$AJ$180,0,MATCH(Q$2,Inputs!$K$4:$AJ$4,0))))+SUMPRODUCT((Inputs!$E$5:$E$180=$B53)*ISNUMBER(INDEX(Inputs!$K$5:$AJ$180,0,MATCH(Q$2,Inputs!$K$4:$AJ$4,0))))=0,NA(),SUMPRODUCT((Inputs!$A$5:$A$180=$B53)*Inputs!$B$5:$B$180*(((Inputs!$G$5:$G$180="moeda")+(Inputs!$G$5:$G$180="acoes"))*Inputs!$B$1+((Inputs!$G$5:$G$180&lt;&gt;"moeda")*(Inputs!$G$5:$G$180&lt;&gt;"acoes")))*INDEX(Inputs!$K$5:$AJ$180,0,MATCH(Q$2,Inputs!$K$4:$AJ$4,0)))+SUMPRODUCT((Inputs!$C$5:$C$180=$B53)*Inputs!$D$5:$D$180*(((Inputs!$G$5:$G$180="moeda")+(Inputs!$G$5:$G$180="acoes"))*Inputs!$B$1+((Inputs!$G$5:$G$180&lt;&gt;"moeda")*(Inputs!$G$5:$G$180&lt;&gt;"acoes")))*INDEX(Inputs!$K$5:$AJ$180,0,MATCH(Q$2,Inputs!$K$4:$AJ$4,0)))+SUMPRODUCT((Inputs!$E$5:$E$180=$B53)*Inputs!$F$5:$F$180*(((Inputs!$G$5:$G$180="moeda")+(Inputs!$G$5:$G$180="acoes"))*Inputs!$B$1+((Inputs!$G$5:$G$180&lt;&gt;"moeda")*(Inputs!$G$5:$G$180&lt;&gt;"acoes")))*INDEX(Inputs!$K$5:$AJ$180,0,MATCH(Q$2,Inputs!$K$4:$AJ$4,0)))))</f>
        <v>641.06806873</v>
      </c>
      <c r="R53" s="265">
        <f>SUM(N53:Q53)</f>
        <v>1864.88469916</v>
      </c>
      <c r="S53" s="264">
        <f>IF(ISNA(MATCH(S$2,Inputs!$K$4:$AJ$4,0)),NA(),IF(SUMPRODUCT((Inputs!$A$5:$A$180=$B53)*ISNUMBER(INDEX(Inputs!$K$5:$AJ$180,0,MATCH(S$2,Inputs!$K$4:$AJ$4,0))))+SUMPRODUCT((Inputs!$C$5:$C$180=$B53)*ISNUMBER(INDEX(Inputs!$K$5:$AJ$180,0,MATCH(S$2,Inputs!$K$4:$AJ$4,0))))+SUMPRODUCT((Inputs!$E$5:$E$180=$B53)*ISNUMBER(INDEX(Inputs!$K$5:$AJ$180,0,MATCH(S$2,Inputs!$K$4:$AJ$4,0))))=0,NA(),SUMPRODUCT((Inputs!$A$5:$A$180=$B53)*Inputs!$B$5:$B$180*(((Inputs!$G$5:$G$180="moeda")+(Inputs!$G$5:$G$180="acoes"))*Inputs!$B$1+((Inputs!$G$5:$G$180&lt;&gt;"moeda")*(Inputs!$G$5:$G$180&lt;&gt;"acoes")))*INDEX(Inputs!$K$5:$AJ$180,0,MATCH(S$2,Inputs!$K$4:$AJ$4,0)))+SUMPRODUCT((Inputs!$C$5:$C$180=$B53)*Inputs!$D$5:$D$180*(((Inputs!$G$5:$G$180="moeda")+(Inputs!$G$5:$G$180="acoes"))*Inputs!$B$1+((Inputs!$G$5:$G$180&lt;&gt;"moeda")*(Inputs!$G$5:$G$180&lt;&gt;"acoes")))*INDEX(Inputs!$K$5:$AJ$180,0,MATCH(S$2,Inputs!$K$4:$AJ$4,0)))+SUMPRODUCT((Inputs!$E$5:$E$180=$B53)*Inputs!$F$5:$F$180*(((Inputs!$G$5:$G$180="moeda")+(Inputs!$G$5:$G$180="acoes"))*Inputs!$B$1+((Inputs!$G$5:$G$180&lt;&gt;"moeda")*(Inputs!$G$5:$G$180&lt;&gt;"acoes")))*INDEX(Inputs!$K$5:$AJ$180,0,MATCH(S$2,Inputs!$K$4:$AJ$4,0)))))</f>
        <v>385.21363967</v>
      </c>
      <c r="T53" s="264">
        <f>IF(ISNA(MATCH(T$2,Inputs!$K$4:$AJ$4,0)),NA(),IF(SUMPRODUCT((Inputs!$A$5:$A$180=$B53)*ISNUMBER(INDEX(Inputs!$K$5:$AJ$180,0,MATCH(T$2,Inputs!$K$4:$AJ$4,0))))+SUMPRODUCT((Inputs!$C$5:$C$180=$B53)*ISNUMBER(INDEX(Inputs!$K$5:$AJ$180,0,MATCH(T$2,Inputs!$K$4:$AJ$4,0))))+SUMPRODUCT((Inputs!$E$5:$E$180=$B53)*ISNUMBER(INDEX(Inputs!$K$5:$AJ$180,0,MATCH(T$2,Inputs!$K$4:$AJ$4,0))))=0,NA(),SUMPRODUCT((Inputs!$A$5:$A$180=$B53)*Inputs!$B$5:$B$180*(((Inputs!$G$5:$G$180="moeda")+(Inputs!$G$5:$G$180="acoes"))*Inputs!$B$1+((Inputs!$G$5:$G$180&lt;&gt;"moeda")*(Inputs!$G$5:$G$180&lt;&gt;"acoes")))*INDEX(Inputs!$K$5:$AJ$180,0,MATCH(T$2,Inputs!$K$4:$AJ$4,0)))+SUMPRODUCT((Inputs!$C$5:$C$180=$B53)*Inputs!$D$5:$D$180*(((Inputs!$G$5:$G$180="moeda")+(Inputs!$G$5:$G$180="acoes"))*Inputs!$B$1+((Inputs!$G$5:$G$180&lt;&gt;"moeda")*(Inputs!$G$5:$G$180&lt;&gt;"acoes")))*INDEX(Inputs!$K$5:$AJ$180,0,MATCH(T$2,Inputs!$K$4:$AJ$4,0)))+SUMPRODUCT((Inputs!$E$5:$E$180=$B53)*Inputs!$F$5:$F$180*(((Inputs!$G$5:$G$180="moeda")+(Inputs!$G$5:$G$180="acoes"))*Inputs!$B$1+((Inputs!$G$5:$G$180&lt;&gt;"moeda")*(Inputs!$G$5:$G$180&lt;&gt;"acoes")))*INDEX(Inputs!$K$5:$AJ$180,0,MATCH(T$2,Inputs!$K$4:$AJ$4,0)))))</f>
        <v>555.059609259999</v>
      </c>
      <c r="U53" s="264">
        <f>IF(ISNA(MATCH(U$2,Inputs!$K$4:$AJ$4,0)),NA(),IF(SUMPRODUCT((Inputs!$A$5:$A$180=$B53)*ISNUMBER(INDEX(Inputs!$K$5:$AJ$180,0,MATCH(U$2,Inputs!$K$4:$AJ$4,0))))+SUMPRODUCT((Inputs!$C$5:$C$180=$B53)*ISNUMBER(INDEX(Inputs!$K$5:$AJ$180,0,MATCH(U$2,Inputs!$K$4:$AJ$4,0))))+SUMPRODUCT((Inputs!$E$5:$E$180=$B53)*ISNUMBER(INDEX(Inputs!$K$5:$AJ$180,0,MATCH(U$2,Inputs!$K$4:$AJ$4,0))))=0,NA(),SUMPRODUCT((Inputs!$A$5:$A$180=$B53)*Inputs!$B$5:$B$180*(((Inputs!$G$5:$G$180="moeda")+(Inputs!$G$5:$G$180="acoes"))*Inputs!$B$1+((Inputs!$G$5:$G$180&lt;&gt;"moeda")*(Inputs!$G$5:$G$180&lt;&gt;"acoes")))*INDEX(Inputs!$K$5:$AJ$180,0,MATCH(U$2,Inputs!$K$4:$AJ$4,0)))+SUMPRODUCT((Inputs!$C$5:$C$180=$B53)*Inputs!$D$5:$D$180*(((Inputs!$G$5:$G$180="moeda")+(Inputs!$G$5:$G$180="acoes"))*Inputs!$B$1+((Inputs!$G$5:$G$180&lt;&gt;"moeda")*(Inputs!$G$5:$G$180&lt;&gt;"acoes")))*INDEX(Inputs!$K$5:$AJ$180,0,MATCH(U$2,Inputs!$K$4:$AJ$4,0)))+SUMPRODUCT((Inputs!$E$5:$E$180=$B53)*Inputs!$F$5:$F$180*(((Inputs!$G$5:$G$180="moeda")+(Inputs!$G$5:$G$180="acoes"))*Inputs!$B$1+((Inputs!$G$5:$G$180&lt;&gt;"moeda")*(Inputs!$G$5:$G$180&lt;&gt;"acoes")))*INDEX(Inputs!$K$5:$AJ$180,0,MATCH(U$2,Inputs!$K$4:$AJ$4,0)))))</f>
        <v>461.59889341</v>
      </c>
      <c r="V53" s="264">
        <f>IF(ISNA(MATCH(V$2,Inputs!$K$4:$AJ$4,0)),NA(),IF(SUMPRODUCT((Inputs!$A$5:$A$180=$B53)*ISNUMBER(INDEX(Inputs!$K$5:$AJ$180,0,MATCH(V$2,Inputs!$K$4:$AJ$4,0))))+SUMPRODUCT((Inputs!$C$5:$C$180=$B53)*ISNUMBER(INDEX(Inputs!$K$5:$AJ$180,0,MATCH(V$2,Inputs!$K$4:$AJ$4,0))))+SUMPRODUCT((Inputs!$E$5:$E$180=$B53)*ISNUMBER(INDEX(Inputs!$K$5:$AJ$180,0,MATCH(V$2,Inputs!$K$4:$AJ$4,0))))=0,NA(),SUMPRODUCT((Inputs!$A$5:$A$180=$B53)*Inputs!$B$5:$B$180*(((Inputs!$G$5:$G$180="moeda")+(Inputs!$G$5:$G$180="acoes"))*Inputs!$B$1+((Inputs!$G$5:$G$180&lt;&gt;"moeda")*(Inputs!$G$5:$G$180&lt;&gt;"acoes")))*INDEX(Inputs!$K$5:$AJ$180,0,MATCH(V$2,Inputs!$K$4:$AJ$4,0)))+SUMPRODUCT((Inputs!$C$5:$C$180=$B53)*Inputs!$D$5:$D$180*(((Inputs!$G$5:$G$180="moeda")+(Inputs!$G$5:$G$180="acoes"))*Inputs!$B$1+((Inputs!$G$5:$G$180&lt;&gt;"moeda")*(Inputs!$G$5:$G$180&lt;&gt;"acoes")))*INDEX(Inputs!$K$5:$AJ$180,0,MATCH(V$2,Inputs!$K$4:$AJ$4,0)))+SUMPRODUCT((Inputs!$E$5:$E$180=$B53)*Inputs!$F$5:$F$180*(((Inputs!$G$5:$G$180="moeda")+(Inputs!$G$5:$G$180="acoes"))*Inputs!$B$1+((Inputs!$G$5:$G$180&lt;&gt;"moeda")*(Inputs!$G$5:$G$180&lt;&gt;"acoes")))*INDEX(Inputs!$K$5:$AJ$180,0,MATCH(V$2,Inputs!$K$4:$AJ$4,0)))))</f>
        <v>716.46409578215</v>
      </c>
      <c r="W53" s="265">
        <f>SUM(S53:V53)</f>
        <v>2118.33623812215</v>
      </c>
      <c r="X53" s="264">
        <f>IF(ISNA(MATCH(X$2,Inputs!$K$4:$AJ$4,0)),NA(),IF(SUMPRODUCT((Inputs!$A$5:$A$180=$B53)*ISNUMBER(INDEX(Inputs!$K$5:$AJ$180,0,MATCH(X$2,Inputs!$K$4:$AJ$4,0))))+SUMPRODUCT((Inputs!$C$5:$C$180=$B53)*ISNUMBER(INDEX(Inputs!$K$5:$AJ$180,0,MATCH(X$2,Inputs!$K$4:$AJ$4,0))))+SUMPRODUCT((Inputs!$E$5:$E$180=$B53)*ISNUMBER(INDEX(Inputs!$K$5:$AJ$180,0,MATCH(X$2,Inputs!$K$4:$AJ$4,0))))=0,NA(),SUMPRODUCT((Inputs!$A$5:$A$180=$B53)*Inputs!$B$5:$B$180*(((Inputs!$G$5:$G$180="moeda")+(Inputs!$G$5:$G$180="acoes"))*Inputs!$B$1+((Inputs!$G$5:$G$180&lt;&gt;"moeda")*(Inputs!$G$5:$G$180&lt;&gt;"acoes")))*INDEX(Inputs!$K$5:$AJ$180,0,MATCH(X$2,Inputs!$K$4:$AJ$4,0)))+SUMPRODUCT((Inputs!$C$5:$C$180=$B53)*Inputs!$D$5:$D$180*(((Inputs!$G$5:$G$180="moeda")+(Inputs!$G$5:$G$180="acoes"))*Inputs!$B$1+((Inputs!$G$5:$G$180&lt;&gt;"moeda")*(Inputs!$G$5:$G$180&lt;&gt;"acoes")))*INDEX(Inputs!$K$5:$AJ$180,0,MATCH(X$2,Inputs!$K$4:$AJ$4,0)))+SUMPRODUCT((Inputs!$E$5:$E$180=$B53)*Inputs!$F$5:$F$180*(((Inputs!$G$5:$G$180="moeda")+(Inputs!$G$5:$G$180="acoes"))*Inputs!$B$1+((Inputs!$G$5:$G$180&lt;&gt;"moeda")*(Inputs!$G$5:$G$180&lt;&gt;"acoes")))*INDEX(Inputs!$K$5:$AJ$180,0,MATCH(X$2,Inputs!$K$4:$AJ$4,0)))))</f>
        <v>435.36529718</v>
      </c>
      <c r="Y53" s="264">
        <f>IF(ISNA(MATCH(Y$2,Inputs!$K$4:$AJ$4,0)),NA(),IF(SUMPRODUCT((Inputs!$A$5:$A$180=$B53)*ISNUMBER(INDEX(Inputs!$K$5:$AJ$180,0,MATCH(Y$2,Inputs!$K$4:$AJ$4,0))))+SUMPRODUCT((Inputs!$C$5:$C$180=$B53)*ISNUMBER(INDEX(Inputs!$K$5:$AJ$180,0,MATCH(Y$2,Inputs!$K$4:$AJ$4,0))))+SUMPRODUCT((Inputs!$E$5:$E$180=$B53)*ISNUMBER(INDEX(Inputs!$K$5:$AJ$180,0,MATCH(Y$2,Inputs!$K$4:$AJ$4,0))))=0,NA(),SUMPRODUCT((Inputs!$A$5:$A$180=$B53)*Inputs!$B$5:$B$180*(((Inputs!$G$5:$G$180="moeda")+(Inputs!$G$5:$G$180="acoes"))*Inputs!$B$1+((Inputs!$G$5:$G$180&lt;&gt;"moeda")*(Inputs!$G$5:$G$180&lt;&gt;"acoes")))*INDEX(Inputs!$K$5:$AJ$180,0,MATCH(Y$2,Inputs!$K$4:$AJ$4,0)))+SUMPRODUCT((Inputs!$C$5:$C$180=$B53)*Inputs!$D$5:$D$180*(((Inputs!$G$5:$G$180="moeda")+(Inputs!$G$5:$G$180="acoes"))*Inputs!$B$1+((Inputs!$G$5:$G$180&lt;&gt;"moeda")*(Inputs!$G$5:$G$180&lt;&gt;"acoes")))*INDEX(Inputs!$K$5:$AJ$180,0,MATCH(Y$2,Inputs!$K$4:$AJ$4,0)))+SUMPRODUCT((Inputs!$E$5:$E$180=$B53)*Inputs!$F$5:$F$180*(((Inputs!$G$5:$G$180="moeda")+(Inputs!$G$5:$G$180="acoes"))*Inputs!$B$1+((Inputs!$G$5:$G$180&lt;&gt;"moeda")*(Inputs!$G$5:$G$180&lt;&gt;"acoes")))*INDEX(Inputs!$K$5:$AJ$180,0,MATCH(Y$2,Inputs!$K$4:$AJ$4,0)))))</f>
        <v>625.788</v>
      </c>
      <c r="Z53" s="264">
        <f>IF(ISNA(MATCH(Z$2,Inputs!$K$4:$AJ$4,0)),NA(),IF(SUMPRODUCT((Inputs!$A$5:$A$180=$B53)*ISNUMBER(INDEX(Inputs!$K$5:$AJ$180,0,MATCH(Z$2,Inputs!$K$4:$AJ$4,0))))+SUMPRODUCT((Inputs!$C$5:$C$180=$B53)*ISNUMBER(INDEX(Inputs!$K$5:$AJ$180,0,MATCH(Z$2,Inputs!$K$4:$AJ$4,0))))+SUMPRODUCT((Inputs!$E$5:$E$180=$B53)*ISNUMBER(INDEX(Inputs!$K$5:$AJ$180,0,MATCH(Z$2,Inputs!$K$4:$AJ$4,0))))=0,NA(),SUMPRODUCT((Inputs!$A$5:$A$180=$B53)*Inputs!$B$5:$B$180*(((Inputs!$G$5:$G$180="moeda")+(Inputs!$G$5:$G$180="acoes"))*Inputs!$B$1+((Inputs!$G$5:$G$180&lt;&gt;"moeda")*(Inputs!$G$5:$G$180&lt;&gt;"acoes")))*INDEX(Inputs!$K$5:$AJ$180,0,MATCH(Z$2,Inputs!$K$4:$AJ$4,0)))+SUMPRODUCT((Inputs!$C$5:$C$180=$B53)*Inputs!$D$5:$D$180*(((Inputs!$G$5:$G$180="moeda")+(Inputs!$G$5:$G$180="acoes"))*Inputs!$B$1+((Inputs!$G$5:$G$180&lt;&gt;"moeda")*(Inputs!$G$5:$G$180&lt;&gt;"acoes")))*INDEX(Inputs!$K$5:$AJ$180,0,MATCH(Z$2,Inputs!$K$4:$AJ$4,0)))+SUMPRODUCT((Inputs!$E$5:$E$180=$B53)*Inputs!$F$5:$F$180*(((Inputs!$G$5:$G$180="moeda")+(Inputs!$G$5:$G$180="acoes"))*Inputs!$B$1+((Inputs!$G$5:$G$180&lt;&gt;"moeda")*(Inputs!$G$5:$G$180&lt;&gt;"acoes")))*INDEX(Inputs!$K$5:$AJ$180,0,MATCH(Z$2,Inputs!$K$4:$AJ$4,0)))))</f>
        <v>532.00286124</v>
      </c>
      <c r="AA53" s="264">
        <f>IF(ISNA(MATCH(AA$2,Inputs!$K$4:$AJ$4,0)),NA(),IF(SUMPRODUCT((Inputs!$A$5:$A$180=$B53)*ISNUMBER(INDEX(Inputs!$K$5:$AJ$180,0,MATCH(AA$2,Inputs!$K$4:$AJ$4,0))))+SUMPRODUCT((Inputs!$C$5:$C$180=$B53)*ISNUMBER(INDEX(Inputs!$K$5:$AJ$180,0,MATCH(AA$2,Inputs!$K$4:$AJ$4,0))))+SUMPRODUCT((Inputs!$E$5:$E$180=$B53)*ISNUMBER(INDEX(Inputs!$K$5:$AJ$180,0,MATCH(AA$2,Inputs!$K$4:$AJ$4,0))))=0,NA(),SUMPRODUCT((Inputs!$A$5:$A$180=$B53)*Inputs!$B$5:$B$180*(((Inputs!$G$5:$G$180="moeda")+(Inputs!$G$5:$G$180="acoes"))*Inputs!$B$1+((Inputs!$G$5:$G$180&lt;&gt;"moeda")*(Inputs!$G$5:$G$180&lt;&gt;"acoes")))*INDEX(Inputs!$K$5:$AJ$180,0,MATCH(AA$2,Inputs!$K$4:$AJ$4,0)))+SUMPRODUCT((Inputs!$C$5:$C$180=$B53)*Inputs!$D$5:$D$180*(((Inputs!$G$5:$G$180="moeda")+(Inputs!$G$5:$G$180="acoes"))*Inputs!$B$1+((Inputs!$G$5:$G$180&lt;&gt;"moeda")*(Inputs!$G$5:$G$180&lt;&gt;"acoes")))*INDEX(Inputs!$K$5:$AJ$180,0,MATCH(AA$2,Inputs!$K$4:$AJ$4,0)))+SUMPRODUCT((Inputs!$E$5:$E$180=$B53)*Inputs!$F$5:$F$180*(((Inputs!$G$5:$G$180="moeda")+(Inputs!$G$5:$G$180="acoes"))*Inputs!$B$1+((Inputs!$G$5:$G$180&lt;&gt;"moeda")*(Inputs!$G$5:$G$180&lt;&gt;"acoes")))*INDEX(Inputs!$K$5:$AJ$180,0,MATCH(AA$2,Inputs!$K$4:$AJ$4,0)))))</f>
        <v>805.885</v>
      </c>
      <c r="AB53" s="265">
        <f>SUM(X53:AA53)</f>
        <v>2399.04115842</v>
      </c>
      <c r="AC53" s="264">
        <f>IF(ISNA(MATCH(AC$2,Inputs!$K$4:$AJ$4,0)),NA(),IF(SUMPRODUCT((Inputs!$A$5:$A$180=$B53)*ISNUMBER(INDEX(Inputs!$K$5:$AJ$180,0,MATCH(AC$2,Inputs!$K$4:$AJ$4,0))))+SUMPRODUCT((Inputs!$C$5:$C$180=$B53)*ISNUMBER(INDEX(Inputs!$K$5:$AJ$180,0,MATCH(AC$2,Inputs!$K$4:$AJ$4,0))))+SUMPRODUCT((Inputs!$E$5:$E$180=$B53)*ISNUMBER(INDEX(Inputs!$K$5:$AJ$180,0,MATCH(AC$2,Inputs!$K$4:$AJ$4,0))))=0,NA(),SUMPRODUCT((Inputs!$A$5:$A$180=$B53)*Inputs!$B$5:$B$180*(((Inputs!$G$5:$G$180="moeda")+(Inputs!$G$5:$G$180="acoes"))*Inputs!$B$1+((Inputs!$G$5:$G$180&lt;&gt;"moeda")*(Inputs!$G$5:$G$180&lt;&gt;"acoes")))*INDEX(Inputs!$K$5:$AJ$180,0,MATCH(AC$2,Inputs!$K$4:$AJ$4,0)))+SUMPRODUCT((Inputs!$C$5:$C$180=$B53)*Inputs!$D$5:$D$180*(((Inputs!$G$5:$G$180="moeda")+(Inputs!$G$5:$G$180="acoes"))*Inputs!$B$1+((Inputs!$G$5:$G$180&lt;&gt;"moeda")*(Inputs!$G$5:$G$180&lt;&gt;"acoes")))*INDEX(Inputs!$K$5:$AJ$180,0,MATCH(AC$2,Inputs!$K$4:$AJ$4,0)))+SUMPRODUCT((Inputs!$E$5:$E$180=$B53)*Inputs!$F$5:$F$180*(((Inputs!$G$5:$G$180="moeda")+(Inputs!$G$5:$G$180="acoes"))*Inputs!$B$1+((Inputs!$G$5:$G$180&lt;&gt;"moeda")*(Inputs!$G$5:$G$180&lt;&gt;"acoes")))*INDEX(Inputs!$K$5:$AJ$180,0,MATCH(AC$2,Inputs!$K$4:$AJ$4,0)))))</f>
        <v>483.18292912</v>
      </c>
      <c r="AD53" s="264">
        <f>IF(ISNA(MATCH(AD$2,Inputs!$K$4:$AJ$4,0)),NA(),IF(SUMPRODUCT((Inputs!$A$5:$A$180=$B53)*ISNUMBER(INDEX(Inputs!$K$5:$AJ$180,0,MATCH(AD$2,Inputs!$K$4:$AJ$4,0))))+SUMPRODUCT((Inputs!$C$5:$C$180=$B53)*ISNUMBER(INDEX(Inputs!$K$5:$AJ$180,0,MATCH(AD$2,Inputs!$K$4:$AJ$4,0))))+SUMPRODUCT((Inputs!$E$5:$E$180=$B53)*ISNUMBER(INDEX(Inputs!$K$5:$AJ$180,0,MATCH(AD$2,Inputs!$K$4:$AJ$4,0))))=0,NA(),SUMPRODUCT((Inputs!$A$5:$A$180=$B53)*Inputs!$B$5:$B$180*(((Inputs!$G$5:$G$180="moeda")+(Inputs!$G$5:$G$180="acoes"))*Inputs!$B$1+((Inputs!$G$5:$G$180&lt;&gt;"moeda")*(Inputs!$G$5:$G$180&lt;&gt;"acoes")))*INDEX(Inputs!$K$5:$AJ$180,0,MATCH(AD$2,Inputs!$K$4:$AJ$4,0)))+SUMPRODUCT((Inputs!$C$5:$C$180=$B53)*Inputs!$D$5:$D$180*(((Inputs!$G$5:$G$180="moeda")+(Inputs!$G$5:$G$180="acoes"))*Inputs!$B$1+((Inputs!$G$5:$G$180&lt;&gt;"moeda")*(Inputs!$G$5:$G$180&lt;&gt;"acoes")))*INDEX(Inputs!$K$5:$AJ$180,0,MATCH(AD$2,Inputs!$K$4:$AJ$4,0)))+SUMPRODUCT((Inputs!$E$5:$E$180=$B53)*Inputs!$F$5:$F$180*(((Inputs!$G$5:$G$180="moeda")+(Inputs!$G$5:$G$180="acoes"))*Inputs!$B$1+((Inputs!$G$5:$G$180&lt;&gt;"moeda")*(Inputs!$G$5:$G$180&lt;&gt;"acoes")))*INDEX(Inputs!$K$5:$AJ$180,0,MATCH(AD$2,Inputs!$K$4:$AJ$4,0)))))</f>
        <v>668.91142494</v>
      </c>
      <c r="AE53" s="264" t="e">
        <f>IF(ISNA(MATCH(AE$2,Inputs!$K$4:$AJ$4,0)),NA(),IF(SUMPRODUCT((Inputs!$A$5:$A$180=$B53)*ISNUMBER(INDEX(Inputs!$K$5:$AJ$180,0,MATCH(AE$2,Inputs!$K$4:$AJ$4,0))))+SUMPRODUCT((Inputs!$C$5:$C$180=$B53)*ISNUMBER(INDEX(Inputs!$K$5:$AJ$180,0,MATCH(AE$2,Inputs!$K$4:$AJ$4,0))))+SUMPRODUCT((Inputs!$E$5:$E$180=$B53)*ISNUMBER(INDEX(Inputs!$K$5:$AJ$180,0,MATCH(AE$2,Inputs!$K$4:$AJ$4,0))))=0,NA(),SUMPRODUCT((Inputs!$A$5:$A$180=$B53)*Inputs!$B$5:$B$180*(((Inputs!$G$5:$G$180="moeda")+(Inputs!$G$5:$G$180="acoes"))*Inputs!$B$1+((Inputs!$G$5:$G$180&lt;&gt;"moeda")*(Inputs!$G$5:$G$180&lt;&gt;"acoes")))*INDEX(Inputs!$K$5:$AJ$180,0,MATCH(AE$2,Inputs!$K$4:$AJ$4,0)))+SUMPRODUCT((Inputs!$C$5:$C$180=$B53)*Inputs!$D$5:$D$180*(((Inputs!$G$5:$G$180="moeda")+(Inputs!$G$5:$G$180="acoes"))*Inputs!$B$1+((Inputs!$G$5:$G$180&lt;&gt;"moeda")*(Inputs!$G$5:$G$180&lt;&gt;"acoes")))*INDEX(Inputs!$K$5:$AJ$180,0,MATCH(AE$2,Inputs!$K$4:$AJ$4,0)))+SUMPRODUCT((Inputs!$E$5:$E$180=$B53)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3" s="264" t="e">
        <f>IF(ISNA(MATCH(AF$2,Inputs!$K$4:$AJ$4,0)),NA(),IF(SUMPRODUCT((Inputs!$A$5:$A$180=$B53)*ISNUMBER(INDEX(Inputs!$K$5:$AJ$180,0,MATCH(AF$2,Inputs!$K$4:$AJ$4,0))))+SUMPRODUCT((Inputs!$C$5:$C$180=$B53)*ISNUMBER(INDEX(Inputs!$K$5:$AJ$180,0,MATCH(AF$2,Inputs!$K$4:$AJ$4,0))))+SUMPRODUCT((Inputs!$E$5:$E$180=$B53)*ISNUMBER(INDEX(Inputs!$K$5:$AJ$180,0,MATCH(AF$2,Inputs!$K$4:$AJ$4,0))))=0,NA(),SUMPRODUCT((Inputs!$A$5:$A$180=$B53)*Inputs!$B$5:$B$180*(((Inputs!$G$5:$G$180="moeda")+(Inputs!$G$5:$G$180="acoes"))*Inputs!$B$1+((Inputs!$G$5:$G$180&lt;&gt;"moeda")*(Inputs!$G$5:$G$180&lt;&gt;"acoes")))*INDEX(Inputs!$K$5:$AJ$180,0,MATCH(AF$2,Inputs!$K$4:$AJ$4,0)))+SUMPRODUCT((Inputs!$C$5:$C$180=$B53)*Inputs!$D$5:$D$180*(((Inputs!$G$5:$G$180="moeda")+(Inputs!$G$5:$G$180="acoes"))*Inputs!$B$1+((Inputs!$G$5:$G$180&lt;&gt;"moeda")*(Inputs!$G$5:$G$180&lt;&gt;"acoes")))*INDEX(Inputs!$K$5:$AJ$180,0,MATCH(AF$2,Inputs!$K$4:$AJ$4,0)))+SUMPRODUCT((Inputs!$E$5:$E$180=$B53)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3" s="265" t="e">
        <f>SUM(AC53:AF53)</f>
        <v>#N/A</v>
      </c>
      <c r="AH53" s="264">
        <f>IF(ISNA(MATCH(AH$2,Inputs!$K$4:$AJ$4,0)),NA(),IF(SUMPRODUCT((Inputs!$A$5:$A$180=$B53)*ISNUMBER(INDEX(Inputs!$K$5:$AJ$180,0,MATCH(AH$2,Inputs!$K$4:$AJ$4,0))))+SUMPRODUCT((Inputs!$C$5:$C$180=$B53)*ISNUMBER(INDEX(Inputs!$K$5:$AJ$180,0,MATCH(AH$2,Inputs!$K$4:$AJ$4,0))))+SUMPRODUCT((Inputs!$E$5:$E$180=$B53)*ISNUMBER(INDEX(Inputs!$K$5:$AJ$180,0,MATCH(AH$2,Inputs!$K$4:$AJ$4,0))))=0,NA(),SUMPRODUCT((Inputs!$A$5:$A$180=$B53)*Inputs!$B$5:$B$180*(((Inputs!$G$5:$G$180="moeda")+(Inputs!$G$5:$G$180="acoes"))*Inputs!$B$1+((Inputs!$G$5:$G$180&lt;&gt;"moeda")*(Inputs!$G$5:$G$180&lt;&gt;"acoes")))*INDEX(Inputs!$K$5:$AJ$180,0,MATCH(AH$2,Inputs!$K$4:$AJ$4,0)))+SUMPRODUCT((Inputs!$C$5:$C$180=$B53)*Inputs!$D$5:$D$180*(((Inputs!$G$5:$G$180="moeda")+(Inputs!$G$5:$G$180="acoes"))*Inputs!$B$1+((Inputs!$G$5:$G$180&lt;&gt;"moeda")*(Inputs!$G$5:$G$180&lt;&gt;"acoes")))*INDEX(Inputs!$K$5:$AJ$180,0,MATCH(AH$2,Inputs!$K$4:$AJ$4,0)))+SUMPRODUCT((Inputs!$E$5:$E$180=$B53)*Inputs!$F$5:$F$180*(((Inputs!$G$5:$G$180="moeda")+(Inputs!$G$5:$G$180="acoes"))*Inputs!$B$1+((Inputs!$G$5:$G$180&lt;&gt;"moeda")*(Inputs!$G$5:$G$180&lt;&gt;"acoes")))*INDEX(Inputs!$K$5:$AJ$180,0,MATCH(AH$2,Inputs!$K$4:$AJ$4,0)))))</f>
        <v>223.06909155</v>
      </c>
      <c r="AI53" s="264">
        <f>IF(ISNA(MATCH(AI$2,Inputs!$K$4:$AJ$4,0)),NA(),IF(SUMPRODUCT((Inputs!$A$5:$A$180=$B53)*ISNUMBER(INDEX(Inputs!$K$5:$AJ$180,0,MATCH(AI$2,Inputs!$K$4:$AJ$4,0))))+SUMPRODUCT((Inputs!$C$5:$C$180=$B53)*ISNUMBER(INDEX(Inputs!$K$5:$AJ$180,0,MATCH(AI$2,Inputs!$K$4:$AJ$4,0))))+SUMPRODUCT((Inputs!$E$5:$E$180=$B53)*ISNUMBER(INDEX(Inputs!$K$5:$AJ$180,0,MATCH(AI$2,Inputs!$K$4:$AJ$4,0))))=0,NA(),SUMPRODUCT((Inputs!$A$5:$A$180=$B53)*Inputs!$B$5:$B$180*(((Inputs!$G$5:$G$180="moeda")+(Inputs!$G$5:$G$180="acoes"))*Inputs!$B$1+((Inputs!$G$5:$G$180&lt;&gt;"moeda")*(Inputs!$G$5:$G$180&lt;&gt;"acoes")))*INDEX(Inputs!$K$5:$AJ$180,0,MATCH(AI$2,Inputs!$K$4:$AJ$4,0)))+SUMPRODUCT((Inputs!$C$5:$C$180=$B53)*Inputs!$D$5:$D$180*(((Inputs!$G$5:$G$180="moeda")+(Inputs!$G$5:$G$180="acoes"))*Inputs!$B$1+((Inputs!$G$5:$G$180&lt;&gt;"moeda")*(Inputs!$G$5:$G$180&lt;&gt;"acoes")))*INDEX(Inputs!$K$5:$AJ$180,0,MATCH(AI$2,Inputs!$K$4:$AJ$4,0)))+SUMPRODUCT((Inputs!$E$5:$E$180=$B53)*Inputs!$F$5:$F$180*(((Inputs!$G$5:$G$180="moeda")+(Inputs!$G$5:$G$180="acoes"))*Inputs!$B$1+((Inputs!$G$5:$G$180&lt;&gt;"moeda")*(Inputs!$G$5:$G$180&lt;&gt;"acoes")))*INDEX(Inputs!$K$5:$AJ$180,0,MATCH(AI$2,Inputs!$K$4:$AJ$4,0)))))</f>
        <v>57.82600894</v>
      </c>
      <c r="AJ53" s="264">
        <f>IF(ISNA(MATCH(AJ$2,Inputs!$K$4:$AJ$4,0)),NA(),IF(SUMPRODUCT((Inputs!$A$5:$A$180=$B53)*ISNUMBER(INDEX(Inputs!$K$5:$AJ$180,0,MATCH(AJ$2,Inputs!$K$4:$AJ$4,0))))+SUMPRODUCT((Inputs!$C$5:$C$180=$B53)*ISNUMBER(INDEX(Inputs!$K$5:$AJ$180,0,MATCH(AJ$2,Inputs!$K$4:$AJ$4,0))))+SUMPRODUCT((Inputs!$E$5:$E$180=$B53)*ISNUMBER(INDEX(Inputs!$K$5:$AJ$180,0,MATCH(AJ$2,Inputs!$K$4:$AJ$4,0))))=0,NA(),SUMPRODUCT((Inputs!$A$5:$A$180=$B53)*Inputs!$B$5:$B$180*(((Inputs!$G$5:$G$180="moeda")+(Inputs!$G$5:$G$180="acoes"))*Inputs!$B$1+((Inputs!$G$5:$G$180&lt;&gt;"moeda")*(Inputs!$G$5:$G$180&lt;&gt;"acoes")))*INDEX(Inputs!$K$5:$AJ$180,0,MATCH(AJ$2,Inputs!$K$4:$AJ$4,0)))+SUMPRODUCT((Inputs!$C$5:$C$180=$B53)*Inputs!$D$5:$D$180*(((Inputs!$G$5:$G$180="moeda")+(Inputs!$G$5:$G$180="acoes"))*Inputs!$B$1+((Inputs!$G$5:$G$180&lt;&gt;"moeda")*(Inputs!$G$5:$G$180&lt;&gt;"acoes")))*INDEX(Inputs!$K$5:$AJ$180,0,MATCH(AJ$2,Inputs!$K$4:$AJ$4,0)))+SUMPRODUCT((Inputs!$E$5:$E$180=$B53)*Inputs!$F$5:$F$180*(((Inputs!$G$5:$G$180="moeda")+(Inputs!$G$5:$G$180="acoes"))*Inputs!$B$1+((Inputs!$G$5:$G$180&lt;&gt;"moeda")*(Inputs!$G$5:$G$180&lt;&gt;"acoes")))*INDEX(Inputs!$K$5:$AJ$180,0,MATCH(AJ$2,Inputs!$K$4:$AJ$4,0)))))</f>
        <v>221.34164567</v>
      </c>
      <c r="AK53" s="264">
        <f>IF(ISNA(MATCH(AK$2,Inputs!$K$4:$AJ$4,0)),NA(),IF(SUMPRODUCT((Inputs!$A$5:$A$180=$B53)*ISNUMBER(INDEX(Inputs!$K$5:$AJ$180,0,MATCH(AK$2,Inputs!$K$4:$AJ$4,0))))+SUMPRODUCT((Inputs!$C$5:$C$180=$B53)*ISNUMBER(INDEX(Inputs!$K$5:$AJ$180,0,MATCH(AK$2,Inputs!$K$4:$AJ$4,0))))+SUMPRODUCT((Inputs!$E$5:$E$180=$B53)*ISNUMBER(INDEX(Inputs!$K$5:$AJ$180,0,MATCH(AK$2,Inputs!$K$4:$AJ$4,0))))=0,NA(),SUMPRODUCT((Inputs!$A$5:$A$180=$B53)*Inputs!$B$5:$B$180*(((Inputs!$G$5:$G$180="moeda")+(Inputs!$G$5:$G$180="acoes"))*Inputs!$B$1+((Inputs!$G$5:$G$180&lt;&gt;"moeda")*(Inputs!$G$5:$G$180&lt;&gt;"acoes")))*INDEX(Inputs!$K$5:$AJ$180,0,MATCH(AK$2,Inputs!$K$4:$AJ$4,0)))+SUMPRODUCT((Inputs!$C$5:$C$180=$B53)*Inputs!$D$5:$D$180*(((Inputs!$G$5:$G$180="moeda")+(Inputs!$G$5:$G$180="acoes"))*Inputs!$B$1+((Inputs!$G$5:$G$180&lt;&gt;"moeda")*(Inputs!$G$5:$G$180&lt;&gt;"acoes")))*INDEX(Inputs!$K$5:$AJ$180,0,MATCH(AK$2,Inputs!$K$4:$AJ$4,0)))+SUMPRODUCT((Inputs!$E$5:$E$180=$B53)*Inputs!$F$5:$F$180*(((Inputs!$G$5:$G$180="moeda")+(Inputs!$G$5:$G$180="acoes"))*Inputs!$B$1+((Inputs!$G$5:$G$180&lt;&gt;"moeda")*(Inputs!$G$5:$G$180&lt;&gt;"acoes")))*INDEX(Inputs!$K$5:$AJ$180,0,MATCH(AK$2,Inputs!$K$4:$AJ$4,0)))))</f>
        <v>449.40151951</v>
      </c>
      <c r="AL53" s="265">
        <f>SUM(AH53:AK53)</f>
        <v>951.63826567</v>
      </c>
    </row>
    <row r="54">
      <c r="B54" s="46" t="n">
        <v>46</v>
      </c>
      <c r="C54" s="29" t="inlineStr">
        <is>
          <t>Receita bruta liq. de devolucoes - Lojas Life (l.18)</t>
        </is>
      </c>
      <c r="D54" s="264">
        <f>IF(ISNA(MATCH(D$2,Inputs!$K$4:$AJ$4,0)),NA(),IF(SUMPRODUCT((Inputs!$A$5:$A$180=$B54)*ISNUMBER(INDEX(Inputs!$K$5:$AJ$180,0,MATCH(D$2,Inputs!$K$4:$AJ$4,0))))+SUMPRODUCT((Inputs!$C$5:$C$180=$B54)*ISNUMBER(INDEX(Inputs!$K$5:$AJ$180,0,MATCH(D$2,Inputs!$K$4:$AJ$4,0))))+SUMPRODUCT((Inputs!$E$5:$E$180=$B54)*ISNUMBER(INDEX(Inputs!$K$5:$AJ$180,0,MATCH(D$2,Inputs!$K$4:$AJ$4,0))))=0,NA(),SUMPRODUCT((Inputs!$A$5:$A$180=$B54)*Inputs!$B$5:$B$180*(((Inputs!$G$5:$G$180="moeda")+(Inputs!$G$5:$G$180="acoes"))*Inputs!$B$1+((Inputs!$G$5:$G$180&lt;&gt;"moeda")*(Inputs!$G$5:$G$180&lt;&gt;"acoes")))*INDEX(Inputs!$K$5:$AJ$180,0,MATCH(D$2,Inputs!$K$4:$AJ$4,0)))+SUMPRODUCT((Inputs!$C$5:$C$180=$B54)*Inputs!$D$5:$D$180*(((Inputs!$G$5:$G$180="moeda")+(Inputs!$G$5:$G$180="acoes"))*Inputs!$B$1+((Inputs!$G$5:$G$180&lt;&gt;"moeda")*(Inputs!$G$5:$G$180&lt;&gt;"acoes")))*INDEX(Inputs!$K$5:$AJ$180,0,MATCH(D$2,Inputs!$K$4:$AJ$4,0)))+SUMPRODUCT((Inputs!$E$5:$E$180=$B54)*Inputs!$F$5:$F$180*(((Inputs!$G$5:$G$180="moeda")+(Inputs!$G$5:$G$180="acoes"))*Inputs!$B$1+((Inputs!$G$5:$G$180&lt;&gt;"moeda")*(Inputs!$G$5:$G$180&lt;&gt;"acoes")))*INDEX(Inputs!$K$5:$AJ$180,0,MATCH(D$2,Inputs!$K$4:$AJ$4,0)))))</f>
        <v>4.72258566</v>
      </c>
      <c r="E54" s="264">
        <f>IF(ISNA(MATCH(E$2,Inputs!$K$4:$AJ$4,0)),NA(),IF(SUMPRODUCT((Inputs!$A$5:$A$180=$B54)*ISNUMBER(INDEX(Inputs!$K$5:$AJ$180,0,MATCH(E$2,Inputs!$K$4:$AJ$4,0))))+SUMPRODUCT((Inputs!$C$5:$C$180=$B54)*ISNUMBER(INDEX(Inputs!$K$5:$AJ$180,0,MATCH(E$2,Inputs!$K$4:$AJ$4,0))))+SUMPRODUCT((Inputs!$E$5:$E$180=$B54)*ISNUMBER(INDEX(Inputs!$K$5:$AJ$180,0,MATCH(E$2,Inputs!$K$4:$AJ$4,0))))=0,NA(),SUMPRODUCT((Inputs!$A$5:$A$180=$B54)*Inputs!$B$5:$B$180*(((Inputs!$G$5:$G$180="moeda")+(Inputs!$G$5:$G$180="acoes"))*Inputs!$B$1+((Inputs!$G$5:$G$180&lt;&gt;"moeda")*(Inputs!$G$5:$G$180&lt;&gt;"acoes")))*INDEX(Inputs!$K$5:$AJ$180,0,MATCH(E$2,Inputs!$K$4:$AJ$4,0)))+SUMPRODUCT((Inputs!$C$5:$C$180=$B54)*Inputs!$D$5:$D$180*(((Inputs!$G$5:$G$180="moeda")+(Inputs!$G$5:$G$180="acoes"))*Inputs!$B$1+((Inputs!$G$5:$G$180&lt;&gt;"moeda")*(Inputs!$G$5:$G$180&lt;&gt;"acoes")))*INDEX(Inputs!$K$5:$AJ$180,0,MATCH(E$2,Inputs!$K$4:$AJ$4,0)))+SUMPRODUCT((Inputs!$E$5:$E$180=$B54)*Inputs!$F$5:$F$180*(((Inputs!$G$5:$G$180="moeda")+(Inputs!$G$5:$G$180="acoes"))*Inputs!$B$1+((Inputs!$G$5:$G$180&lt;&gt;"moeda")*(Inputs!$G$5:$G$180&lt;&gt;"acoes")))*INDEX(Inputs!$K$5:$AJ$180,0,MATCH(E$2,Inputs!$K$4:$AJ$4,0)))))</f>
        <v>9.40398645</v>
      </c>
      <c r="F54" s="264">
        <f>IF(ISNA(MATCH(F$2,Inputs!$K$4:$AJ$4,0)),NA(),IF(SUMPRODUCT((Inputs!$A$5:$A$180=$B54)*ISNUMBER(INDEX(Inputs!$K$5:$AJ$180,0,MATCH(F$2,Inputs!$K$4:$AJ$4,0))))+SUMPRODUCT((Inputs!$C$5:$C$180=$B54)*ISNUMBER(INDEX(Inputs!$K$5:$AJ$180,0,MATCH(F$2,Inputs!$K$4:$AJ$4,0))))+SUMPRODUCT((Inputs!$E$5:$E$180=$B54)*ISNUMBER(INDEX(Inputs!$K$5:$AJ$180,0,MATCH(F$2,Inputs!$K$4:$AJ$4,0))))=0,NA(),SUMPRODUCT((Inputs!$A$5:$A$180=$B54)*Inputs!$B$5:$B$180*(((Inputs!$G$5:$G$180="moeda")+(Inputs!$G$5:$G$180="acoes"))*Inputs!$B$1+((Inputs!$G$5:$G$180&lt;&gt;"moeda")*(Inputs!$G$5:$G$180&lt;&gt;"acoes")))*INDEX(Inputs!$K$5:$AJ$180,0,MATCH(F$2,Inputs!$K$4:$AJ$4,0)))+SUMPRODUCT((Inputs!$C$5:$C$180=$B54)*Inputs!$D$5:$D$180*(((Inputs!$G$5:$G$180="moeda")+(Inputs!$G$5:$G$180="acoes"))*Inputs!$B$1+((Inputs!$G$5:$G$180&lt;&gt;"moeda")*(Inputs!$G$5:$G$180&lt;&gt;"acoes")))*INDEX(Inputs!$K$5:$AJ$180,0,MATCH(F$2,Inputs!$K$4:$AJ$4,0)))+SUMPRODUCT((Inputs!$E$5:$E$180=$B54)*Inputs!$F$5:$F$180*(((Inputs!$G$5:$G$180="moeda")+(Inputs!$G$5:$G$180="acoes"))*Inputs!$B$1+((Inputs!$G$5:$G$180&lt;&gt;"moeda")*(Inputs!$G$5:$G$180&lt;&gt;"acoes")))*INDEX(Inputs!$K$5:$AJ$180,0,MATCH(F$2,Inputs!$K$4:$AJ$4,0)))))</f>
        <v>12.01583986</v>
      </c>
      <c r="G54" s="264">
        <f>IF(ISNA(MATCH(G$2,Inputs!$K$4:$AJ$4,0)),NA(),IF(SUMPRODUCT((Inputs!$A$5:$A$180=$B54)*ISNUMBER(INDEX(Inputs!$K$5:$AJ$180,0,MATCH(G$2,Inputs!$K$4:$AJ$4,0))))+SUMPRODUCT((Inputs!$C$5:$C$180=$B54)*ISNUMBER(INDEX(Inputs!$K$5:$AJ$180,0,MATCH(G$2,Inputs!$K$4:$AJ$4,0))))+SUMPRODUCT((Inputs!$E$5:$E$180=$B54)*ISNUMBER(INDEX(Inputs!$K$5:$AJ$180,0,MATCH(G$2,Inputs!$K$4:$AJ$4,0))))=0,NA(),SUMPRODUCT((Inputs!$A$5:$A$180=$B54)*Inputs!$B$5:$B$180*(((Inputs!$G$5:$G$180="moeda")+(Inputs!$G$5:$G$180="acoes"))*Inputs!$B$1+((Inputs!$G$5:$G$180&lt;&gt;"moeda")*(Inputs!$G$5:$G$180&lt;&gt;"acoes")))*INDEX(Inputs!$K$5:$AJ$180,0,MATCH(G$2,Inputs!$K$4:$AJ$4,0)))+SUMPRODUCT((Inputs!$C$5:$C$180=$B54)*Inputs!$D$5:$D$180*(((Inputs!$G$5:$G$180="moeda")+(Inputs!$G$5:$G$180="acoes"))*Inputs!$B$1+((Inputs!$G$5:$G$180&lt;&gt;"moeda")*(Inputs!$G$5:$G$180&lt;&gt;"acoes")))*INDEX(Inputs!$K$5:$AJ$180,0,MATCH(G$2,Inputs!$K$4:$AJ$4,0)))+SUMPRODUCT((Inputs!$E$5:$E$180=$B54)*Inputs!$F$5:$F$180*(((Inputs!$G$5:$G$180="moeda")+(Inputs!$G$5:$G$180="acoes"))*Inputs!$B$1+((Inputs!$G$5:$G$180&lt;&gt;"moeda")*(Inputs!$G$5:$G$180&lt;&gt;"acoes")))*INDEX(Inputs!$K$5:$AJ$180,0,MATCH(G$2,Inputs!$K$4:$AJ$4,0)))))</f>
        <v>36.7767259509999</v>
      </c>
      <c r="H54" s="265">
        <f>SUM(D54:G54)</f>
        <v>62.9191379209999</v>
      </c>
      <c r="I54" s="264">
        <f>IF(ISNA(MATCH(I$2,Inputs!$K$4:$AJ$4,0)),NA(),IF(SUMPRODUCT((Inputs!$A$5:$A$180=$B54)*ISNUMBER(INDEX(Inputs!$K$5:$AJ$180,0,MATCH(I$2,Inputs!$K$4:$AJ$4,0))))+SUMPRODUCT((Inputs!$C$5:$C$180=$B54)*ISNUMBER(INDEX(Inputs!$K$5:$AJ$180,0,MATCH(I$2,Inputs!$K$4:$AJ$4,0))))+SUMPRODUCT((Inputs!$E$5:$E$180=$B54)*ISNUMBER(INDEX(Inputs!$K$5:$AJ$180,0,MATCH(I$2,Inputs!$K$4:$AJ$4,0))))=0,NA(),SUMPRODUCT((Inputs!$A$5:$A$180=$B54)*Inputs!$B$5:$B$180*(((Inputs!$G$5:$G$180="moeda")+(Inputs!$G$5:$G$180="acoes"))*Inputs!$B$1+((Inputs!$G$5:$G$180&lt;&gt;"moeda")*(Inputs!$G$5:$G$180&lt;&gt;"acoes")))*INDEX(Inputs!$K$5:$AJ$180,0,MATCH(I$2,Inputs!$K$4:$AJ$4,0)))+SUMPRODUCT((Inputs!$C$5:$C$180=$B54)*Inputs!$D$5:$D$180*(((Inputs!$G$5:$G$180="moeda")+(Inputs!$G$5:$G$180="acoes"))*Inputs!$B$1+((Inputs!$G$5:$G$180&lt;&gt;"moeda")*(Inputs!$G$5:$G$180&lt;&gt;"acoes")))*INDEX(Inputs!$K$5:$AJ$180,0,MATCH(I$2,Inputs!$K$4:$AJ$4,0)))+SUMPRODUCT((Inputs!$E$5:$E$180=$B54)*Inputs!$F$5:$F$180*(((Inputs!$G$5:$G$180="moeda")+(Inputs!$G$5:$G$180="acoes"))*Inputs!$B$1+((Inputs!$G$5:$G$180&lt;&gt;"moeda")*(Inputs!$G$5:$G$180&lt;&gt;"acoes")))*INDEX(Inputs!$K$5:$AJ$180,0,MATCH(I$2,Inputs!$K$4:$AJ$4,0)))))</f>
        <v>25.87319314</v>
      </c>
      <c r="J54" s="264">
        <f>IF(ISNA(MATCH(J$2,Inputs!$K$4:$AJ$4,0)),NA(),IF(SUMPRODUCT((Inputs!$A$5:$A$180=$B54)*ISNUMBER(INDEX(Inputs!$K$5:$AJ$180,0,MATCH(J$2,Inputs!$K$4:$AJ$4,0))))+SUMPRODUCT((Inputs!$C$5:$C$180=$B54)*ISNUMBER(INDEX(Inputs!$K$5:$AJ$180,0,MATCH(J$2,Inputs!$K$4:$AJ$4,0))))+SUMPRODUCT((Inputs!$E$5:$E$180=$B54)*ISNUMBER(INDEX(Inputs!$K$5:$AJ$180,0,MATCH(J$2,Inputs!$K$4:$AJ$4,0))))=0,NA(),SUMPRODUCT((Inputs!$A$5:$A$180=$B54)*Inputs!$B$5:$B$180*(((Inputs!$G$5:$G$180="moeda")+(Inputs!$G$5:$G$180="acoes"))*Inputs!$B$1+((Inputs!$G$5:$G$180&lt;&gt;"moeda")*(Inputs!$G$5:$G$180&lt;&gt;"acoes")))*INDEX(Inputs!$K$5:$AJ$180,0,MATCH(J$2,Inputs!$K$4:$AJ$4,0)))+SUMPRODUCT((Inputs!$C$5:$C$180=$B54)*Inputs!$D$5:$D$180*(((Inputs!$G$5:$G$180="moeda")+(Inputs!$G$5:$G$180="acoes"))*Inputs!$B$1+((Inputs!$G$5:$G$180&lt;&gt;"moeda")*(Inputs!$G$5:$G$180&lt;&gt;"acoes")))*INDEX(Inputs!$K$5:$AJ$180,0,MATCH(J$2,Inputs!$K$4:$AJ$4,0)))+SUMPRODUCT((Inputs!$E$5:$E$180=$B54)*Inputs!$F$5:$F$180*(((Inputs!$G$5:$G$180="moeda")+(Inputs!$G$5:$G$180="acoes"))*Inputs!$B$1+((Inputs!$G$5:$G$180&lt;&gt;"moeda")*(Inputs!$G$5:$G$180&lt;&gt;"acoes")))*INDEX(Inputs!$K$5:$AJ$180,0,MATCH(J$2,Inputs!$K$4:$AJ$4,0)))))</f>
        <v>41.033</v>
      </c>
      <c r="K54" s="264">
        <f>IF(ISNA(MATCH(K$2,Inputs!$K$4:$AJ$4,0)),NA(),IF(SUMPRODUCT((Inputs!$A$5:$A$180=$B54)*ISNUMBER(INDEX(Inputs!$K$5:$AJ$180,0,MATCH(K$2,Inputs!$K$4:$AJ$4,0))))+SUMPRODUCT((Inputs!$C$5:$C$180=$B54)*ISNUMBER(INDEX(Inputs!$K$5:$AJ$180,0,MATCH(K$2,Inputs!$K$4:$AJ$4,0))))+SUMPRODUCT((Inputs!$E$5:$E$180=$B54)*ISNUMBER(INDEX(Inputs!$K$5:$AJ$180,0,MATCH(K$2,Inputs!$K$4:$AJ$4,0))))=0,NA(),SUMPRODUCT((Inputs!$A$5:$A$180=$B54)*Inputs!$B$5:$B$180*(((Inputs!$G$5:$G$180="moeda")+(Inputs!$G$5:$G$180="acoes"))*Inputs!$B$1+((Inputs!$G$5:$G$180&lt;&gt;"moeda")*(Inputs!$G$5:$G$180&lt;&gt;"acoes")))*INDEX(Inputs!$K$5:$AJ$180,0,MATCH(K$2,Inputs!$K$4:$AJ$4,0)))+SUMPRODUCT((Inputs!$C$5:$C$180=$B54)*Inputs!$D$5:$D$180*(((Inputs!$G$5:$G$180="moeda")+(Inputs!$G$5:$G$180="acoes"))*Inputs!$B$1+((Inputs!$G$5:$G$180&lt;&gt;"moeda")*(Inputs!$G$5:$G$180&lt;&gt;"acoes")))*INDEX(Inputs!$K$5:$AJ$180,0,MATCH(K$2,Inputs!$K$4:$AJ$4,0)))+SUMPRODUCT((Inputs!$E$5:$E$180=$B54)*Inputs!$F$5:$F$180*(((Inputs!$G$5:$G$180="moeda")+(Inputs!$G$5:$G$180="acoes"))*Inputs!$B$1+((Inputs!$G$5:$G$180&lt;&gt;"moeda")*(Inputs!$G$5:$G$180&lt;&gt;"acoes")))*INDEX(Inputs!$K$5:$AJ$180,0,MATCH(K$2,Inputs!$K$4:$AJ$4,0)))))</f>
        <v>41.302</v>
      </c>
      <c r="L54" s="264">
        <f>IF(ISNA(MATCH(L$2,Inputs!$K$4:$AJ$4,0)),NA(),IF(SUMPRODUCT((Inputs!$A$5:$A$180=$B54)*ISNUMBER(INDEX(Inputs!$K$5:$AJ$180,0,MATCH(L$2,Inputs!$K$4:$AJ$4,0))))+SUMPRODUCT((Inputs!$C$5:$C$180=$B54)*ISNUMBER(INDEX(Inputs!$K$5:$AJ$180,0,MATCH(L$2,Inputs!$K$4:$AJ$4,0))))+SUMPRODUCT((Inputs!$E$5:$E$180=$B54)*ISNUMBER(INDEX(Inputs!$K$5:$AJ$180,0,MATCH(L$2,Inputs!$K$4:$AJ$4,0))))=0,NA(),SUMPRODUCT((Inputs!$A$5:$A$180=$B54)*Inputs!$B$5:$B$180*(((Inputs!$G$5:$G$180="moeda")+(Inputs!$G$5:$G$180="acoes"))*Inputs!$B$1+((Inputs!$G$5:$G$180&lt;&gt;"moeda")*(Inputs!$G$5:$G$180&lt;&gt;"acoes")))*INDEX(Inputs!$K$5:$AJ$180,0,MATCH(L$2,Inputs!$K$4:$AJ$4,0)))+SUMPRODUCT((Inputs!$C$5:$C$180=$B54)*Inputs!$D$5:$D$180*(((Inputs!$G$5:$G$180="moeda")+(Inputs!$G$5:$G$180="acoes"))*Inputs!$B$1+((Inputs!$G$5:$G$180&lt;&gt;"moeda")*(Inputs!$G$5:$G$180&lt;&gt;"acoes")))*INDEX(Inputs!$K$5:$AJ$180,0,MATCH(L$2,Inputs!$K$4:$AJ$4,0)))+SUMPRODUCT((Inputs!$E$5:$E$180=$B54)*Inputs!$F$5:$F$180*(((Inputs!$G$5:$G$180="moeda")+(Inputs!$G$5:$G$180="acoes"))*Inputs!$B$1+((Inputs!$G$5:$G$180&lt;&gt;"moeda")*(Inputs!$G$5:$G$180&lt;&gt;"acoes")))*INDEX(Inputs!$K$5:$AJ$180,0,MATCH(L$2,Inputs!$K$4:$AJ$4,0)))))</f>
        <v>104.05223572001</v>
      </c>
      <c r="M54" s="265">
        <f>SUM(I54:L54)</f>
        <v>212.26042886001</v>
      </c>
      <c r="N54" s="264">
        <f>IF(ISNA(MATCH(N$2,Inputs!$K$4:$AJ$4,0)),NA(),IF(SUMPRODUCT((Inputs!$A$5:$A$180=$B54)*ISNUMBER(INDEX(Inputs!$K$5:$AJ$180,0,MATCH(N$2,Inputs!$K$4:$AJ$4,0))))+SUMPRODUCT((Inputs!$C$5:$C$180=$B54)*ISNUMBER(INDEX(Inputs!$K$5:$AJ$180,0,MATCH(N$2,Inputs!$K$4:$AJ$4,0))))+SUMPRODUCT((Inputs!$E$5:$E$180=$B54)*ISNUMBER(INDEX(Inputs!$K$5:$AJ$180,0,MATCH(N$2,Inputs!$K$4:$AJ$4,0))))=0,NA(),SUMPRODUCT((Inputs!$A$5:$A$180=$B54)*Inputs!$B$5:$B$180*(((Inputs!$G$5:$G$180="moeda")+(Inputs!$G$5:$G$180="acoes"))*Inputs!$B$1+((Inputs!$G$5:$G$180&lt;&gt;"moeda")*(Inputs!$G$5:$G$180&lt;&gt;"acoes")))*INDEX(Inputs!$K$5:$AJ$180,0,MATCH(N$2,Inputs!$K$4:$AJ$4,0)))+SUMPRODUCT((Inputs!$C$5:$C$180=$B54)*Inputs!$D$5:$D$180*(((Inputs!$G$5:$G$180="moeda")+(Inputs!$G$5:$G$180="acoes"))*Inputs!$B$1+((Inputs!$G$5:$G$180&lt;&gt;"moeda")*(Inputs!$G$5:$G$180&lt;&gt;"acoes")))*INDEX(Inputs!$K$5:$AJ$180,0,MATCH(N$2,Inputs!$K$4:$AJ$4,0)))+SUMPRODUCT((Inputs!$E$5:$E$180=$B54)*Inputs!$F$5:$F$180*(((Inputs!$G$5:$G$180="moeda")+(Inputs!$G$5:$G$180="acoes"))*Inputs!$B$1+((Inputs!$G$5:$G$180&lt;&gt;"moeda")*(Inputs!$G$5:$G$180&lt;&gt;"acoes")))*INDEX(Inputs!$K$5:$AJ$180,0,MATCH(N$2,Inputs!$K$4:$AJ$4,0)))))</f>
        <v>64.65034708</v>
      </c>
      <c r="O54" s="264">
        <f>IF(ISNA(MATCH(O$2,Inputs!$K$4:$AJ$4,0)),NA(),IF(SUMPRODUCT((Inputs!$A$5:$A$180=$B54)*ISNUMBER(INDEX(Inputs!$K$5:$AJ$180,0,MATCH(O$2,Inputs!$K$4:$AJ$4,0))))+SUMPRODUCT((Inputs!$C$5:$C$180=$B54)*ISNUMBER(INDEX(Inputs!$K$5:$AJ$180,0,MATCH(O$2,Inputs!$K$4:$AJ$4,0))))+SUMPRODUCT((Inputs!$E$5:$E$180=$B54)*ISNUMBER(INDEX(Inputs!$K$5:$AJ$180,0,MATCH(O$2,Inputs!$K$4:$AJ$4,0))))=0,NA(),SUMPRODUCT((Inputs!$A$5:$A$180=$B54)*Inputs!$B$5:$B$180*(((Inputs!$G$5:$G$180="moeda")+(Inputs!$G$5:$G$180="acoes"))*Inputs!$B$1+((Inputs!$G$5:$G$180&lt;&gt;"moeda")*(Inputs!$G$5:$G$180&lt;&gt;"acoes")))*INDEX(Inputs!$K$5:$AJ$180,0,MATCH(O$2,Inputs!$K$4:$AJ$4,0)))+SUMPRODUCT((Inputs!$C$5:$C$180=$B54)*Inputs!$D$5:$D$180*(((Inputs!$G$5:$G$180="moeda")+(Inputs!$G$5:$G$180="acoes"))*Inputs!$B$1+((Inputs!$G$5:$G$180&lt;&gt;"moeda")*(Inputs!$G$5:$G$180&lt;&gt;"acoes")))*INDEX(Inputs!$K$5:$AJ$180,0,MATCH(O$2,Inputs!$K$4:$AJ$4,0)))+SUMPRODUCT((Inputs!$E$5:$E$180=$B54)*Inputs!$F$5:$F$180*(((Inputs!$G$5:$G$180="moeda")+(Inputs!$G$5:$G$180="acoes"))*Inputs!$B$1+((Inputs!$G$5:$G$180&lt;&gt;"moeda")*(Inputs!$G$5:$G$180&lt;&gt;"acoes")))*INDEX(Inputs!$K$5:$AJ$180,0,MATCH(O$2,Inputs!$K$4:$AJ$4,0)))))</f>
        <v>99.93837228</v>
      </c>
      <c r="P54" s="264">
        <f>IF(ISNA(MATCH(P$2,Inputs!$K$4:$AJ$4,0)),NA(),IF(SUMPRODUCT((Inputs!$A$5:$A$180=$B54)*ISNUMBER(INDEX(Inputs!$K$5:$AJ$180,0,MATCH(P$2,Inputs!$K$4:$AJ$4,0))))+SUMPRODUCT((Inputs!$C$5:$C$180=$B54)*ISNUMBER(INDEX(Inputs!$K$5:$AJ$180,0,MATCH(P$2,Inputs!$K$4:$AJ$4,0))))+SUMPRODUCT((Inputs!$E$5:$E$180=$B54)*ISNUMBER(INDEX(Inputs!$K$5:$AJ$180,0,MATCH(P$2,Inputs!$K$4:$AJ$4,0))))=0,NA(),SUMPRODUCT((Inputs!$A$5:$A$180=$B54)*Inputs!$B$5:$B$180*(((Inputs!$G$5:$G$180="moeda")+(Inputs!$G$5:$G$180="acoes"))*Inputs!$B$1+((Inputs!$G$5:$G$180&lt;&gt;"moeda")*(Inputs!$G$5:$G$180&lt;&gt;"acoes")))*INDEX(Inputs!$K$5:$AJ$180,0,MATCH(P$2,Inputs!$K$4:$AJ$4,0)))+SUMPRODUCT((Inputs!$C$5:$C$180=$B54)*Inputs!$D$5:$D$180*(((Inputs!$G$5:$G$180="moeda")+(Inputs!$G$5:$G$180="acoes"))*Inputs!$B$1+((Inputs!$G$5:$G$180&lt;&gt;"moeda")*(Inputs!$G$5:$G$180&lt;&gt;"acoes")))*INDEX(Inputs!$K$5:$AJ$180,0,MATCH(P$2,Inputs!$K$4:$AJ$4,0)))+SUMPRODUCT((Inputs!$E$5:$E$180=$B54)*Inputs!$F$5:$F$180*(((Inputs!$G$5:$G$180="moeda")+(Inputs!$G$5:$G$180="acoes"))*Inputs!$B$1+((Inputs!$G$5:$G$180&lt;&gt;"moeda")*(Inputs!$G$5:$G$180&lt;&gt;"acoes")))*INDEX(Inputs!$K$5:$AJ$180,0,MATCH(P$2,Inputs!$K$4:$AJ$4,0)))))</f>
        <v>83.24023996</v>
      </c>
      <c r="Q54" s="264">
        <f>IF(ISNA(MATCH(Q$2,Inputs!$K$4:$AJ$4,0)),NA(),IF(SUMPRODUCT((Inputs!$A$5:$A$180=$B54)*ISNUMBER(INDEX(Inputs!$K$5:$AJ$180,0,MATCH(Q$2,Inputs!$K$4:$AJ$4,0))))+SUMPRODUCT((Inputs!$C$5:$C$180=$B54)*ISNUMBER(INDEX(Inputs!$K$5:$AJ$180,0,MATCH(Q$2,Inputs!$K$4:$AJ$4,0))))+SUMPRODUCT((Inputs!$E$5:$E$180=$B54)*ISNUMBER(INDEX(Inputs!$K$5:$AJ$180,0,MATCH(Q$2,Inputs!$K$4:$AJ$4,0))))=0,NA(),SUMPRODUCT((Inputs!$A$5:$A$180=$B54)*Inputs!$B$5:$B$180*(((Inputs!$G$5:$G$180="moeda")+(Inputs!$G$5:$G$180="acoes"))*Inputs!$B$1+((Inputs!$G$5:$G$180&lt;&gt;"moeda")*(Inputs!$G$5:$G$180&lt;&gt;"acoes")))*INDEX(Inputs!$K$5:$AJ$180,0,MATCH(Q$2,Inputs!$K$4:$AJ$4,0)))+SUMPRODUCT((Inputs!$C$5:$C$180=$B54)*Inputs!$D$5:$D$180*(((Inputs!$G$5:$G$180="moeda")+(Inputs!$G$5:$G$180="acoes"))*Inputs!$B$1+((Inputs!$G$5:$G$180&lt;&gt;"moeda")*(Inputs!$G$5:$G$180&lt;&gt;"acoes")))*INDEX(Inputs!$K$5:$AJ$180,0,MATCH(Q$2,Inputs!$K$4:$AJ$4,0)))+SUMPRODUCT((Inputs!$E$5:$E$180=$B54)*Inputs!$F$5:$F$180*(((Inputs!$G$5:$G$180="moeda")+(Inputs!$G$5:$G$180="acoes"))*Inputs!$B$1+((Inputs!$G$5:$G$180&lt;&gt;"moeda")*(Inputs!$G$5:$G$180&lt;&gt;"acoes")))*INDEX(Inputs!$K$5:$AJ$180,0,MATCH(Q$2,Inputs!$K$4:$AJ$4,0)))))</f>
        <v>184.01025066</v>
      </c>
      <c r="R54" s="265">
        <f>SUM(N54:Q54)</f>
        <v>431.83920998</v>
      </c>
      <c r="S54" s="264">
        <f>IF(ISNA(MATCH(S$2,Inputs!$K$4:$AJ$4,0)),NA(),IF(SUMPRODUCT((Inputs!$A$5:$A$180=$B54)*ISNUMBER(INDEX(Inputs!$K$5:$AJ$180,0,MATCH(S$2,Inputs!$K$4:$AJ$4,0))))+SUMPRODUCT((Inputs!$C$5:$C$180=$B54)*ISNUMBER(INDEX(Inputs!$K$5:$AJ$180,0,MATCH(S$2,Inputs!$K$4:$AJ$4,0))))+SUMPRODUCT((Inputs!$E$5:$E$180=$B54)*ISNUMBER(INDEX(Inputs!$K$5:$AJ$180,0,MATCH(S$2,Inputs!$K$4:$AJ$4,0))))=0,NA(),SUMPRODUCT((Inputs!$A$5:$A$180=$B54)*Inputs!$B$5:$B$180*(((Inputs!$G$5:$G$180="moeda")+(Inputs!$G$5:$G$180="acoes"))*Inputs!$B$1+((Inputs!$G$5:$G$180&lt;&gt;"moeda")*(Inputs!$G$5:$G$180&lt;&gt;"acoes")))*INDEX(Inputs!$K$5:$AJ$180,0,MATCH(S$2,Inputs!$K$4:$AJ$4,0)))+SUMPRODUCT((Inputs!$C$5:$C$180=$B54)*Inputs!$D$5:$D$180*(((Inputs!$G$5:$G$180="moeda")+(Inputs!$G$5:$G$180="acoes"))*Inputs!$B$1+((Inputs!$G$5:$G$180&lt;&gt;"moeda")*(Inputs!$G$5:$G$180&lt;&gt;"acoes")))*INDEX(Inputs!$K$5:$AJ$180,0,MATCH(S$2,Inputs!$K$4:$AJ$4,0)))+SUMPRODUCT((Inputs!$E$5:$E$180=$B54)*Inputs!$F$5:$F$180*(((Inputs!$G$5:$G$180="moeda")+(Inputs!$G$5:$G$180="acoes"))*Inputs!$B$1+((Inputs!$G$5:$G$180&lt;&gt;"moeda")*(Inputs!$G$5:$G$180&lt;&gt;"acoes")))*INDEX(Inputs!$K$5:$AJ$180,0,MATCH(S$2,Inputs!$K$4:$AJ$4,0)))))</f>
        <v>103.10447695</v>
      </c>
      <c r="T54" s="264">
        <f>IF(ISNA(MATCH(T$2,Inputs!$K$4:$AJ$4,0)),NA(),IF(SUMPRODUCT((Inputs!$A$5:$A$180=$B54)*ISNUMBER(INDEX(Inputs!$K$5:$AJ$180,0,MATCH(T$2,Inputs!$K$4:$AJ$4,0))))+SUMPRODUCT((Inputs!$C$5:$C$180=$B54)*ISNUMBER(INDEX(Inputs!$K$5:$AJ$180,0,MATCH(T$2,Inputs!$K$4:$AJ$4,0))))+SUMPRODUCT((Inputs!$E$5:$E$180=$B54)*ISNUMBER(INDEX(Inputs!$K$5:$AJ$180,0,MATCH(T$2,Inputs!$K$4:$AJ$4,0))))=0,NA(),SUMPRODUCT((Inputs!$A$5:$A$180=$B54)*Inputs!$B$5:$B$180*(((Inputs!$G$5:$G$180="moeda")+(Inputs!$G$5:$G$180="acoes"))*Inputs!$B$1+((Inputs!$G$5:$G$180&lt;&gt;"moeda")*(Inputs!$G$5:$G$180&lt;&gt;"acoes")))*INDEX(Inputs!$K$5:$AJ$180,0,MATCH(T$2,Inputs!$K$4:$AJ$4,0)))+SUMPRODUCT((Inputs!$C$5:$C$180=$B54)*Inputs!$D$5:$D$180*(((Inputs!$G$5:$G$180="moeda")+(Inputs!$G$5:$G$180="acoes"))*Inputs!$B$1+((Inputs!$G$5:$G$180&lt;&gt;"moeda")*(Inputs!$G$5:$G$180&lt;&gt;"acoes")))*INDEX(Inputs!$K$5:$AJ$180,0,MATCH(T$2,Inputs!$K$4:$AJ$4,0)))+SUMPRODUCT((Inputs!$E$5:$E$180=$B54)*Inputs!$F$5:$F$180*(((Inputs!$G$5:$G$180="moeda")+(Inputs!$G$5:$G$180="acoes"))*Inputs!$B$1+((Inputs!$G$5:$G$180&lt;&gt;"moeda")*(Inputs!$G$5:$G$180&lt;&gt;"acoes")))*INDEX(Inputs!$K$5:$AJ$180,0,MATCH(T$2,Inputs!$K$4:$AJ$4,0)))))</f>
        <v>161.77919674</v>
      </c>
      <c r="U54" s="264">
        <f>IF(ISNA(MATCH(U$2,Inputs!$K$4:$AJ$4,0)),NA(),IF(SUMPRODUCT((Inputs!$A$5:$A$180=$B54)*ISNUMBER(INDEX(Inputs!$K$5:$AJ$180,0,MATCH(U$2,Inputs!$K$4:$AJ$4,0))))+SUMPRODUCT((Inputs!$C$5:$C$180=$B54)*ISNUMBER(INDEX(Inputs!$K$5:$AJ$180,0,MATCH(U$2,Inputs!$K$4:$AJ$4,0))))+SUMPRODUCT((Inputs!$E$5:$E$180=$B54)*ISNUMBER(INDEX(Inputs!$K$5:$AJ$180,0,MATCH(U$2,Inputs!$K$4:$AJ$4,0))))=0,NA(),SUMPRODUCT((Inputs!$A$5:$A$180=$B54)*Inputs!$B$5:$B$180*(((Inputs!$G$5:$G$180="moeda")+(Inputs!$G$5:$G$180="acoes"))*Inputs!$B$1+((Inputs!$G$5:$G$180&lt;&gt;"moeda")*(Inputs!$G$5:$G$180&lt;&gt;"acoes")))*INDEX(Inputs!$K$5:$AJ$180,0,MATCH(U$2,Inputs!$K$4:$AJ$4,0)))+SUMPRODUCT((Inputs!$C$5:$C$180=$B54)*Inputs!$D$5:$D$180*(((Inputs!$G$5:$G$180="moeda")+(Inputs!$G$5:$G$180="acoes"))*Inputs!$B$1+((Inputs!$G$5:$G$180&lt;&gt;"moeda")*(Inputs!$G$5:$G$180&lt;&gt;"acoes")))*INDEX(Inputs!$K$5:$AJ$180,0,MATCH(U$2,Inputs!$K$4:$AJ$4,0)))+SUMPRODUCT((Inputs!$E$5:$E$180=$B54)*Inputs!$F$5:$F$180*(((Inputs!$G$5:$G$180="moeda")+(Inputs!$G$5:$G$180="acoes"))*Inputs!$B$1+((Inputs!$G$5:$G$180&lt;&gt;"moeda")*(Inputs!$G$5:$G$180&lt;&gt;"acoes")))*INDEX(Inputs!$K$5:$AJ$180,0,MATCH(U$2,Inputs!$K$4:$AJ$4,0)))))</f>
        <v>127.17626305</v>
      </c>
      <c r="V54" s="264">
        <f>IF(ISNA(MATCH(V$2,Inputs!$K$4:$AJ$4,0)),NA(),IF(SUMPRODUCT((Inputs!$A$5:$A$180=$B54)*ISNUMBER(INDEX(Inputs!$K$5:$AJ$180,0,MATCH(V$2,Inputs!$K$4:$AJ$4,0))))+SUMPRODUCT((Inputs!$C$5:$C$180=$B54)*ISNUMBER(INDEX(Inputs!$K$5:$AJ$180,0,MATCH(V$2,Inputs!$K$4:$AJ$4,0))))+SUMPRODUCT((Inputs!$E$5:$E$180=$B54)*ISNUMBER(INDEX(Inputs!$K$5:$AJ$180,0,MATCH(V$2,Inputs!$K$4:$AJ$4,0))))=0,NA(),SUMPRODUCT((Inputs!$A$5:$A$180=$B54)*Inputs!$B$5:$B$180*(((Inputs!$G$5:$G$180="moeda")+(Inputs!$G$5:$G$180="acoes"))*Inputs!$B$1+((Inputs!$G$5:$G$180&lt;&gt;"moeda")*(Inputs!$G$5:$G$180&lt;&gt;"acoes")))*INDEX(Inputs!$K$5:$AJ$180,0,MATCH(V$2,Inputs!$K$4:$AJ$4,0)))+SUMPRODUCT((Inputs!$C$5:$C$180=$B54)*Inputs!$D$5:$D$180*(((Inputs!$G$5:$G$180="moeda")+(Inputs!$G$5:$G$180="acoes"))*Inputs!$B$1+((Inputs!$G$5:$G$180&lt;&gt;"moeda")*(Inputs!$G$5:$G$180&lt;&gt;"acoes")))*INDEX(Inputs!$K$5:$AJ$180,0,MATCH(V$2,Inputs!$K$4:$AJ$4,0)))+SUMPRODUCT((Inputs!$E$5:$E$180=$B54)*Inputs!$F$5:$F$180*(((Inputs!$G$5:$G$180="moeda")+(Inputs!$G$5:$G$180="acoes"))*Inputs!$B$1+((Inputs!$G$5:$G$180&lt;&gt;"moeda")*(Inputs!$G$5:$G$180&lt;&gt;"acoes")))*INDEX(Inputs!$K$5:$AJ$180,0,MATCH(V$2,Inputs!$K$4:$AJ$4,0)))))</f>
        <v>254.53404656</v>
      </c>
      <c r="W54" s="265">
        <f>SUM(S54:V54)</f>
        <v>646.5939833</v>
      </c>
      <c r="X54" s="264">
        <f>IF(ISNA(MATCH(X$2,Inputs!$K$4:$AJ$4,0)),NA(),IF(SUMPRODUCT((Inputs!$A$5:$A$180=$B54)*ISNUMBER(INDEX(Inputs!$K$5:$AJ$180,0,MATCH(X$2,Inputs!$K$4:$AJ$4,0))))+SUMPRODUCT((Inputs!$C$5:$C$180=$B54)*ISNUMBER(INDEX(Inputs!$K$5:$AJ$180,0,MATCH(X$2,Inputs!$K$4:$AJ$4,0))))+SUMPRODUCT((Inputs!$E$5:$E$180=$B54)*ISNUMBER(INDEX(Inputs!$K$5:$AJ$180,0,MATCH(X$2,Inputs!$K$4:$AJ$4,0))))=0,NA(),SUMPRODUCT((Inputs!$A$5:$A$180=$B54)*Inputs!$B$5:$B$180*(((Inputs!$G$5:$G$180="moeda")+(Inputs!$G$5:$G$180="acoes"))*Inputs!$B$1+((Inputs!$G$5:$G$180&lt;&gt;"moeda")*(Inputs!$G$5:$G$180&lt;&gt;"acoes")))*INDEX(Inputs!$K$5:$AJ$180,0,MATCH(X$2,Inputs!$K$4:$AJ$4,0)))+SUMPRODUCT((Inputs!$C$5:$C$180=$B54)*Inputs!$D$5:$D$180*(((Inputs!$G$5:$G$180="moeda")+(Inputs!$G$5:$G$180="acoes"))*Inputs!$B$1+((Inputs!$G$5:$G$180&lt;&gt;"moeda")*(Inputs!$G$5:$G$180&lt;&gt;"acoes")))*INDEX(Inputs!$K$5:$AJ$180,0,MATCH(X$2,Inputs!$K$4:$AJ$4,0)))+SUMPRODUCT((Inputs!$E$5:$E$180=$B54)*Inputs!$F$5:$F$180*(((Inputs!$G$5:$G$180="moeda")+(Inputs!$G$5:$G$180="acoes"))*Inputs!$B$1+((Inputs!$G$5:$G$180&lt;&gt;"moeda")*(Inputs!$G$5:$G$180&lt;&gt;"acoes")))*INDEX(Inputs!$K$5:$AJ$180,0,MATCH(X$2,Inputs!$K$4:$AJ$4,0)))))</f>
        <v>135.14915652</v>
      </c>
      <c r="Y54" s="264">
        <f>IF(ISNA(MATCH(Y$2,Inputs!$K$4:$AJ$4,0)),NA(),IF(SUMPRODUCT((Inputs!$A$5:$A$180=$B54)*ISNUMBER(INDEX(Inputs!$K$5:$AJ$180,0,MATCH(Y$2,Inputs!$K$4:$AJ$4,0))))+SUMPRODUCT((Inputs!$C$5:$C$180=$B54)*ISNUMBER(INDEX(Inputs!$K$5:$AJ$180,0,MATCH(Y$2,Inputs!$K$4:$AJ$4,0))))+SUMPRODUCT((Inputs!$E$5:$E$180=$B54)*ISNUMBER(INDEX(Inputs!$K$5:$AJ$180,0,MATCH(Y$2,Inputs!$K$4:$AJ$4,0))))=0,NA(),SUMPRODUCT((Inputs!$A$5:$A$180=$B54)*Inputs!$B$5:$B$180*(((Inputs!$G$5:$G$180="moeda")+(Inputs!$G$5:$G$180="acoes"))*Inputs!$B$1+((Inputs!$G$5:$G$180&lt;&gt;"moeda")*(Inputs!$G$5:$G$180&lt;&gt;"acoes")))*INDEX(Inputs!$K$5:$AJ$180,0,MATCH(Y$2,Inputs!$K$4:$AJ$4,0)))+SUMPRODUCT((Inputs!$C$5:$C$180=$B54)*Inputs!$D$5:$D$180*(((Inputs!$G$5:$G$180="moeda")+(Inputs!$G$5:$G$180="acoes"))*Inputs!$B$1+((Inputs!$G$5:$G$180&lt;&gt;"moeda")*(Inputs!$G$5:$G$180&lt;&gt;"acoes")))*INDEX(Inputs!$K$5:$AJ$180,0,MATCH(Y$2,Inputs!$K$4:$AJ$4,0)))+SUMPRODUCT((Inputs!$E$5:$E$180=$B54)*Inputs!$F$5:$F$180*(((Inputs!$G$5:$G$180="moeda")+(Inputs!$G$5:$G$180="acoes"))*Inputs!$B$1+((Inputs!$G$5:$G$180&lt;&gt;"moeda")*(Inputs!$G$5:$G$180&lt;&gt;"acoes")))*INDEX(Inputs!$K$5:$AJ$180,0,MATCH(Y$2,Inputs!$K$4:$AJ$4,0)))))</f>
        <v>208.96094435</v>
      </c>
      <c r="Z54" s="264">
        <f>IF(ISNA(MATCH(Z$2,Inputs!$K$4:$AJ$4,0)),NA(),IF(SUMPRODUCT((Inputs!$A$5:$A$180=$B54)*ISNUMBER(INDEX(Inputs!$K$5:$AJ$180,0,MATCH(Z$2,Inputs!$K$4:$AJ$4,0))))+SUMPRODUCT((Inputs!$C$5:$C$180=$B54)*ISNUMBER(INDEX(Inputs!$K$5:$AJ$180,0,MATCH(Z$2,Inputs!$K$4:$AJ$4,0))))+SUMPRODUCT((Inputs!$E$5:$E$180=$B54)*ISNUMBER(INDEX(Inputs!$K$5:$AJ$180,0,MATCH(Z$2,Inputs!$K$4:$AJ$4,0))))=0,NA(),SUMPRODUCT((Inputs!$A$5:$A$180=$B54)*Inputs!$B$5:$B$180*(((Inputs!$G$5:$G$180="moeda")+(Inputs!$G$5:$G$180="acoes"))*Inputs!$B$1+((Inputs!$G$5:$G$180&lt;&gt;"moeda")*(Inputs!$G$5:$G$180&lt;&gt;"acoes")))*INDEX(Inputs!$K$5:$AJ$180,0,MATCH(Z$2,Inputs!$K$4:$AJ$4,0)))+SUMPRODUCT((Inputs!$C$5:$C$180=$B54)*Inputs!$D$5:$D$180*(((Inputs!$G$5:$G$180="moeda")+(Inputs!$G$5:$G$180="acoes"))*Inputs!$B$1+((Inputs!$G$5:$G$180&lt;&gt;"moeda")*(Inputs!$G$5:$G$180&lt;&gt;"acoes")))*INDEX(Inputs!$K$5:$AJ$180,0,MATCH(Z$2,Inputs!$K$4:$AJ$4,0)))+SUMPRODUCT((Inputs!$E$5:$E$180=$B54)*Inputs!$F$5:$F$180*(((Inputs!$G$5:$G$180="moeda")+(Inputs!$G$5:$G$180="acoes"))*Inputs!$B$1+((Inputs!$G$5:$G$180&lt;&gt;"moeda")*(Inputs!$G$5:$G$180&lt;&gt;"acoes")))*INDEX(Inputs!$K$5:$AJ$180,0,MATCH(Z$2,Inputs!$K$4:$AJ$4,0)))))</f>
        <v>154.27287383</v>
      </c>
      <c r="AA54" s="264">
        <f>IF(ISNA(MATCH(AA$2,Inputs!$K$4:$AJ$4,0)),NA(),IF(SUMPRODUCT((Inputs!$A$5:$A$180=$B54)*ISNUMBER(INDEX(Inputs!$K$5:$AJ$180,0,MATCH(AA$2,Inputs!$K$4:$AJ$4,0))))+SUMPRODUCT((Inputs!$C$5:$C$180=$B54)*ISNUMBER(INDEX(Inputs!$K$5:$AJ$180,0,MATCH(AA$2,Inputs!$K$4:$AJ$4,0))))+SUMPRODUCT((Inputs!$E$5:$E$180=$B54)*ISNUMBER(INDEX(Inputs!$K$5:$AJ$180,0,MATCH(AA$2,Inputs!$K$4:$AJ$4,0))))=0,NA(),SUMPRODUCT((Inputs!$A$5:$A$180=$B54)*Inputs!$B$5:$B$180*(((Inputs!$G$5:$G$180="moeda")+(Inputs!$G$5:$G$180="acoes"))*Inputs!$B$1+((Inputs!$G$5:$G$180&lt;&gt;"moeda")*(Inputs!$G$5:$G$180&lt;&gt;"acoes")))*INDEX(Inputs!$K$5:$AJ$180,0,MATCH(AA$2,Inputs!$K$4:$AJ$4,0)))+SUMPRODUCT((Inputs!$C$5:$C$180=$B54)*Inputs!$D$5:$D$180*(((Inputs!$G$5:$G$180="moeda")+(Inputs!$G$5:$G$180="acoes"))*Inputs!$B$1+((Inputs!$G$5:$G$180&lt;&gt;"moeda")*(Inputs!$G$5:$G$180&lt;&gt;"acoes")))*INDEX(Inputs!$K$5:$AJ$180,0,MATCH(AA$2,Inputs!$K$4:$AJ$4,0)))+SUMPRODUCT((Inputs!$E$5:$E$180=$B54)*Inputs!$F$5:$F$180*(((Inputs!$G$5:$G$180="moeda")+(Inputs!$G$5:$G$180="acoes"))*Inputs!$B$1+((Inputs!$G$5:$G$180&lt;&gt;"moeda")*(Inputs!$G$5:$G$180&lt;&gt;"acoes")))*INDEX(Inputs!$K$5:$AJ$180,0,MATCH(AA$2,Inputs!$K$4:$AJ$4,0)))))</f>
        <v>306.498</v>
      </c>
      <c r="AB54" s="265">
        <f>SUM(X54:AA54)</f>
        <v>804.8809747</v>
      </c>
      <c r="AC54" s="264">
        <f>IF(ISNA(MATCH(AC$2,Inputs!$K$4:$AJ$4,0)),NA(),IF(SUMPRODUCT((Inputs!$A$5:$A$180=$B54)*ISNUMBER(INDEX(Inputs!$K$5:$AJ$180,0,MATCH(AC$2,Inputs!$K$4:$AJ$4,0))))+SUMPRODUCT((Inputs!$C$5:$C$180=$B54)*ISNUMBER(INDEX(Inputs!$K$5:$AJ$180,0,MATCH(AC$2,Inputs!$K$4:$AJ$4,0))))+SUMPRODUCT((Inputs!$E$5:$E$180=$B54)*ISNUMBER(INDEX(Inputs!$K$5:$AJ$180,0,MATCH(AC$2,Inputs!$K$4:$AJ$4,0))))=0,NA(),SUMPRODUCT((Inputs!$A$5:$A$180=$B54)*Inputs!$B$5:$B$180*(((Inputs!$G$5:$G$180="moeda")+(Inputs!$G$5:$G$180="acoes"))*Inputs!$B$1+((Inputs!$G$5:$G$180&lt;&gt;"moeda")*(Inputs!$G$5:$G$180&lt;&gt;"acoes")))*INDEX(Inputs!$K$5:$AJ$180,0,MATCH(AC$2,Inputs!$K$4:$AJ$4,0)))+SUMPRODUCT((Inputs!$C$5:$C$180=$B54)*Inputs!$D$5:$D$180*(((Inputs!$G$5:$G$180="moeda")+(Inputs!$G$5:$G$180="acoes"))*Inputs!$B$1+((Inputs!$G$5:$G$180&lt;&gt;"moeda")*(Inputs!$G$5:$G$180&lt;&gt;"acoes")))*INDEX(Inputs!$K$5:$AJ$180,0,MATCH(AC$2,Inputs!$K$4:$AJ$4,0)))+SUMPRODUCT((Inputs!$E$5:$E$180=$B54)*Inputs!$F$5:$F$180*(((Inputs!$G$5:$G$180="moeda")+(Inputs!$G$5:$G$180="acoes"))*Inputs!$B$1+((Inputs!$G$5:$G$180&lt;&gt;"moeda")*(Inputs!$G$5:$G$180&lt;&gt;"acoes")))*INDEX(Inputs!$K$5:$AJ$180,0,MATCH(AC$2,Inputs!$K$4:$AJ$4,0)))))</f>
        <v>160.76419116</v>
      </c>
      <c r="AD54" s="264">
        <f>IF(ISNA(MATCH(AD$2,Inputs!$K$4:$AJ$4,0)),NA(),IF(SUMPRODUCT((Inputs!$A$5:$A$180=$B54)*ISNUMBER(INDEX(Inputs!$K$5:$AJ$180,0,MATCH(AD$2,Inputs!$K$4:$AJ$4,0))))+SUMPRODUCT((Inputs!$C$5:$C$180=$B54)*ISNUMBER(INDEX(Inputs!$K$5:$AJ$180,0,MATCH(AD$2,Inputs!$K$4:$AJ$4,0))))+SUMPRODUCT((Inputs!$E$5:$E$180=$B54)*ISNUMBER(INDEX(Inputs!$K$5:$AJ$180,0,MATCH(AD$2,Inputs!$K$4:$AJ$4,0))))=0,NA(),SUMPRODUCT((Inputs!$A$5:$A$180=$B54)*Inputs!$B$5:$B$180*(((Inputs!$G$5:$G$180="moeda")+(Inputs!$G$5:$G$180="acoes"))*Inputs!$B$1+((Inputs!$G$5:$G$180&lt;&gt;"moeda")*(Inputs!$G$5:$G$180&lt;&gt;"acoes")))*INDEX(Inputs!$K$5:$AJ$180,0,MATCH(AD$2,Inputs!$K$4:$AJ$4,0)))+SUMPRODUCT((Inputs!$C$5:$C$180=$B54)*Inputs!$D$5:$D$180*(((Inputs!$G$5:$G$180="moeda")+(Inputs!$G$5:$G$180="acoes"))*Inputs!$B$1+((Inputs!$G$5:$G$180&lt;&gt;"moeda")*(Inputs!$G$5:$G$180&lt;&gt;"acoes")))*INDEX(Inputs!$K$5:$AJ$180,0,MATCH(AD$2,Inputs!$K$4:$AJ$4,0)))+SUMPRODUCT((Inputs!$E$5:$E$180=$B54)*Inputs!$F$5:$F$180*(((Inputs!$G$5:$G$180="moeda")+(Inputs!$G$5:$G$180="acoes"))*Inputs!$B$1+((Inputs!$G$5:$G$180&lt;&gt;"moeda")*(Inputs!$G$5:$G$180&lt;&gt;"acoes")))*INDEX(Inputs!$K$5:$AJ$180,0,MATCH(AD$2,Inputs!$K$4:$AJ$4,0)))))</f>
        <v>242.00414045</v>
      </c>
      <c r="AE54" s="264" t="e">
        <f>IF(ISNA(MATCH(AE$2,Inputs!$K$4:$AJ$4,0)),NA(),IF(SUMPRODUCT((Inputs!$A$5:$A$180=$B54)*ISNUMBER(INDEX(Inputs!$K$5:$AJ$180,0,MATCH(AE$2,Inputs!$K$4:$AJ$4,0))))+SUMPRODUCT((Inputs!$C$5:$C$180=$B54)*ISNUMBER(INDEX(Inputs!$K$5:$AJ$180,0,MATCH(AE$2,Inputs!$K$4:$AJ$4,0))))+SUMPRODUCT((Inputs!$E$5:$E$180=$B54)*ISNUMBER(INDEX(Inputs!$K$5:$AJ$180,0,MATCH(AE$2,Inputs!$K$4:$AJ$4,0))))=0,NA(),SUMPRODUCT((Inputs!$A$5:$A$180=$B54)*Inputs!$B$5:$B$180*(((Inputs!$G$5:$G$180="moeda")+(Inputs!$G$5:$G$180="acoes"))*Inputs!$B$1+((Inputs!$G$5:$G$180&lt;&gt;"moeda")*(Inputs!$G$5:$G$180&lt;&gt;"acoes")))*INDEX(Inputs!$K$5:$AJ$180,0,MATCH(AE$2,Inputs!$K$4:$AJ$4,0)))+SUMPRODUCT((Inputs!$C$5:$C$180=$B54)*Inputs!$D$5:$D$180*(((Inputs!$G$5:$G$180="moeda")+(Inputs!$G$5:$G$180="acoes"))*Inputs!$B$1+((Inputs!$G$5:$G$180&lt;&gt;"moeda")*(Inputs!$G$5:$G$180&lt;&gt;"acoes")))*INDEX(Inputs!$K$5:$AJ$180,0,MATCH(AE$2,Inputs!$K$4:$AJ$4,0)))+SUMPRODUCT((Inputs!$E$5:$E$180=$B54)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4" s="264" t="e">
        <f>IF(ISNA(MATCH(AF$2,Inputs!$K$4:$AJ$4,0)),NA(),IF(SUMPRODUCT((Inputs!$A$5:$A$180=$B54)*ISNUMBER(INDEX(Inputs!$K$5:$AJ$180,0,MATCH(AF$2,Inputs!$K$4:$AJ$4,0))))+SUMPRODUCT((Inputs!$C$5:$C$180=$B54)*ISNUMBER(INDEX(Inputs!$K$5:$AJ$180,0,MATCH(AF$2,Inputs!$K$4:$AJ$4,0))))+SUMPRODUCT((Inputs!$E$5:$E$180=$B54)*ISNUMBER(INDEX(Inputs!$K$5:$AJ$180,0,MATCH(AF$2,Inputs!$K$4:$AJ$4,0))))=0,NA(),SUMPRODUCT((Inputs!$A$5:$A$180=$B54)*Inputs!$B$5:$B$180*(((Inputs!$G$5:$G$180="moeda")+(Inputs!$G$5:$G$180="acoes"))*Inputs!$B$1+((Inputs!$G$5:$G$180&lt;&gt;"moeda")*(Inputs!$G$5:$G$180&lt;&gt;"acoes")))*INDEX(Inputs!$K$5:$AJ$180,0,MATCH(AF$2,Inputs!$K$4:$AJ$4,0)))+SUMPRODUCT((Inputs!$C$5:$C$180=$B54)*Inputs!$D$5:$D$180*(((Inputs!$G$5:$G$180="moeda")+(Inputs!$G$5:$G$180="acoes"))*Inputs!$B$1+((Inputs!$G$5:$G$180&lt;&gt;"moeda")*(Inputs!$G$5:$G$180&lt;&gt;"acoes")))*INDEX(Inputs!$K$5:$AJ$180,0,MATCH(AF$2,Inputs!$K$4:$AJ$4,0)))+SUMPRODUCT((Inputs!$E$5:$E$180=$B54)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4" s="265" t="e">
        <f>SUM(AC54:AF54)</f>
        <v>#N/A</v>
      </c>
      <c r="AH54" s="264">
        <f>IF(ISNA(MATCH(AH$2,Inputs!$K$4:$AJ$4,0)),NA(),IF(SUMPRODUCT((Inputs!$A$5:$A$180=$B54)*ISNUMBER(INDEX(Inputs!$K$5:$AJ$180,0,MATCH(AH$2,Inputs!$K$4:$AJ$4,0))))+SUMPRODUCT((Inputs!$C$5:$C$180=$B54)*ISNUMBER(INDEX(Inputs!$K$5:$AJ$180,0,MATCH(AH$2,Inputs!$K$4:$AJ$4,0))))+SUMPRODUCT((Inputs!$E$5:$E$180=$B54)*ISNUMBER(INDEX(Inputs!$K$5:$AJ$180,0,MATCH(AH$2,Inputs!$K$4:$AJ$4,0))))=0,NA(),SUMPRODUCT((Inputs!$A$5:$A$180=$B54)*Inputs!$B$5:$B$180*(((Inputs!$G$5:$G$180="moeda")+(Inputs!$G$5:$G$180="acoes"))*Inputs!$B$1+((Inputs!$G$5:$G$180&lt;&gt;"moeda")*(Inputs!$G$5:$G$180&lt;&gt;"acoes")))*INDEX(Inputs!$K$5:$AJ$180,0,MATCH(AH$2,Inputs!$K$4:$AJ$4,0)))+SUMPRODUCT((Inputs!$C$5:$C$180=$B54)*Inputs!$D$5:$D$180*(((Inputs!$G$5:$G$180="moeda")+(Inputs!$G$5:$G$180="acoes"))*Inputs!$B$1+((Inputs!$G$5:$G$180&lt;&gt;"moeda")*(Inputs!$G$5:$G$180&lt;&gt;"acoes")))*INDEX(Inputs!$K$5:$AJ$180,0,MATCH(AH$2,Inputs!$K$4:$AJ$4,0)))+SUMPRODUCT((Inputs!$E$5:$E$180=$B54)*Inputs!$F$5:$F$180*(((Inputs!$G$5:$G$180="moeda")+(Inputs!$G$5:$G$180="acoes"))*Inputs!$B$1+((Inputs!$G$5:$G$180&lt;&gt;"moeda")*(Inputs!$G$5:$G$180&lt;&gt;"acoes")))*INDEX(Inputs!$K$5:$AJ$180,0,MATCH(AH$2,Inputs!$K$4:$AJ$4,0)))))</f>
        <v>2.7694004</v>
      </c>
      <c r="AI54" s="264">
        <f>IF(ISNA(MATCH(AI$2,Inputs!$K$4:$AJ$4,0)),NA(),IF(SUMPRODUCT((Inputs!$A$5:$A$180=$B54)*ISNUMBER(INDEX(Inputs!$K$5:$AJ$180,0,MATCH(AI$2,Inputs!$K$4:$AJ$4,0))))+SUMPRODUCT((Inputs!$C$5:$C$180=$B54)*ISNUMBER(INDEX(Inputs!$K$5:$AJ$180,0,MATCH(AI$2,Inputs!$K$4:$AJ$4,0))))+SUMPRODUCT((Inputs!$E$5:$E$180=$B54)*ISNUMBER(INDEX(Inputs!$K$5:$AJ$180,0,MATCH(AI$2,Inputs!$K$4:$AJ$4,0))))=0,NA(),SUMPRODUCT((Inputs!$A$5:$A$180=$B54)*Inputs!$B$5:$B$180*(((Inputs!$G$5:$G$180="moeda")+(Inputs!$G$5:$G$180="acoes"))*Inputs!$B$1+((Inputs!$G$5:$G$180&lt;&gt;"moeda")*(Inputs!$G$5:$G$180&lt;&gt;"acoes")))*INDEX(Inputs!$K$5:$AJ$180,0,MATCH(AI$2,Inputs!$K$4:$AJ$4,0)))+SUMPRODUCT((Inputs!$C$5:$C$180=$B54)*Inputs!$D$5:$D$180*(((Inputs!$G$5:$G$180="moeda")+(Inputs!$G$5:$G$180="acoes"))*Inputs!$B$1+((Inputs!$G$5:$G$180&lt;&gt;"moeda")*(Inputs!$G$5:$G$180&lt;&gt;"acoes")))*INDEX(Inputs!$K$5:$AJ$180,0,MATCH(AI$2,Inputs!$K$4:$AJ$4,0)))+SUMPRODUCT((Inputs!$E$5:$E$180=$B54)*Inputs!$F$5:$F$180*(((Inputs!$G$5:$G$180="moeda")+(Inputs!$G$5:$G$180="acoes"))*Inputs!$B$1+((Inputs!$G$5:$G$180&lt;&gt;"moeda")*(Inputs!$G$5:$G$180&lt;&gt;"acoes")))*INDEX(Inputs!$K$5:$AJ$180,0,MATCH(AI$2,Inputs!$K$4:$AJ$4,0)))))</f>
        <v>0.33351658</v>
      </c>
      <c r="AJ54" s="264">
        <f>IF(ISNA(MATCH(AJ$2,Inputs!$K$4:$AJ$4,0)),NA(),IF(SUMPRODUCT((Inputs!$A$5:$A$180=$B54)*ISNUMBER(INDEX(Inputs!$K$5:$AJ$180,0,MATCH(AJ$2,Inputs!$K$4:$AJ$4,0))))+SUMPRODUCT((Inputs!$C$5:$C$180=$B54)*ISNUMBER(INDEX(Inputs!$K$5:$AJ$180,0,MATCH(AJ$2,Inputs!$K$4:$AJ$4,0))))+SUMPRODUCT((Inputs!$E$5:$E$180=$B54)*ISNUMBER(INDEX(Inputs!$K$5:$AJ$180,0,MATCH(AJ$2,Inputs!$K$4:$AJ$4,0))))=0,NA(),SUMPRODUCT((Inputs!$A$5:$A$180=$B54)*Inputs!$B$5:$B$180*(((Inputs!$G$5:$G$180="moeda")+(Inputs!$G$5:$G$180="acoes"))*Inputs!$B$1+((Inputs!$G$5:$G$180&lt;&gt;"moeda")*(Inputs!$G$5:$G$180&lt;&gt;"acoes")))*INDEX(Inputs!$K$5:$AJ$180,0,MATCH(AJ$2,Inputs!$K$4:$AJ$4,0)))+SUMPRODUCT((Inputs!$C$5:$C$180=$B54)*Inputs!$D$5:$D$180*(((Inputs!$G$5:$G$180="moeda")+(Inputs!$G$5:$G$180="acoes"))*Inputs!$B$1+((Inputs!$G$5:$G$180&lt;&gt;"moeda")*(Inputs!$G$5:$G$180&lt;&gt;"acoes")))*INDEX(Inputs!$K$5:$AJ$180,0,MATCH(AJ$2,Inputs!$K$4:$AJ$4,0)))+SUMPRODUCT((Inputs!$E$5:$E$180=$B54)*Inputs!$F$5:$F$180*(((Inputs!$G$5:$G$180="moeda")+(Inputs!$G$5:$G$180="acoes"))*Inputs!$B$1+((Inputs!$G$5:$G$180&lt;&gt;"moeda")*(Inputs!$G$5:$G$180&lt;&gt;"acoes")))*INDEX(Inputs!$K$5:$AJ$180,0,MATCH(AJ$2,Inputs!$K$4:$AJ$4,0)))))</f>
        <v>3.50287592</v>
      </c>
      <c r="AK54" s="264">
        <f>IF(ISNA(MATCH(AK$2,Inputs!$K$4:$AJ$4,0)),NA(),IF(SUMPRODUCT((Inputs!$A$5:$A$180=$B54)*ISNUMBER(INDEX(Inputs!$K$5:$AJ$180,0,MATCH(AK$2,Inputs!$K$4:$AJ$4,0))))+SUMPRODUCT((Inputs!$C$5:$C$180=$B54)*ISNUMBER(INDEX(Inputs!$K$5:$AJ$180,0,MATCH(AK$2,Inputs!$K$4:$AJ$4,0))))+SUMPRODUCT((Inputs!$E$5:$E$180=$B54)*ISNUMBER(INDEX(Inputs!$K$5:$AJ$180,0,MATCH(AK$2,Inputs!$K$4:$AJ$4,0))))=0,NA(),SUMPRODUCT((Inputs!$A$5:$A$180=$B54)*Inputs!$B$5:$B$180*(((Inputs!$G$5:$G$180="moeda")+(Inputs!$G$5:$G$180="acoes"))*Inputs!$B$1+((Inputs!$G$5:$G$180&lt;&gt;"moeda")*(Inputs!$G$5:$G$180&lt;&gt;"acoes")))*INDEX(Inputs!$K$5:$AJ$180,0,MATCH(AK$2,Inputs!$K$4:$AJ$4,0)))+SUMPRODUCT((Inputs!$C$5:$C$180=$B54)*Inputs!$D$5:$D$180*(((Inputs!$G$5:$G$180="moeda")+(Inputs!$G$5:$G$180="acoes"))*Inputs!$B$1+((Inputs!$G$5:$G$180&lt;&gt;"moeda")*(Inputs!$G$5:$G$180&lt;&gt;"acoes")))*INDEX(Inputs!$K$5:$AJ$180,0,MATCH(AK$2,Inputs!$K$4:$AJ$4,0)))+SUMPRODUCT((Inputs!$E$5:$E$180=$B54)*Inputs!$F$5:$F$180*(((Inputs!$G$5:$G$180="moeda")+(Inputs!$G$5:$G$180="acoes"))*Inputs!$B$1+((Inputs!$G$5:$G$180&lt;&gt;"moeda")*(Inputs!$G$5:$G$180&lt;&gt;"acoes")))*INDEX(Inputs!$K$5:$AJ$180,0,MATCH(AK$2,Inputs!$K$4:$AJ$4,0)))))</f>
        <v>11.83537802</v>
      </c>
      <c r="AL54" s="265">
        <f>SUM(AH54:AK54)</f>
        <v>18.44117092</v>
      </c>
    </row>
    <row r="55">
      <c r="B55" s="46" t="n">
        <v>47</v>
      </c>
      <c r="C55" s="29" t="inlineStr">
        <is>
          <t>Receita bruta liq. de devolucoes - Quiosques (l.19)</t>
        </is>
      </c>
      <c r="D55" s="264">
        <f>IF(ISNA(MATCH(D$2,Inputs!$K$4:$AJ$4,0)),NA(),IF(SUMPRODUCT((Inputs!$A$5:$A$180=$B55)*ISNUMBER(INDEX(Inputs!$K$5:$AJ$180,0,MATCH(D$2,Inputs!$K$4:$AJ$4,0))))+SUMPRODUCT((Inputs!$C$5:$C$180=$B55)*ISNUMBER(INDEX(Inputs!$K$5:$AJ$180,0,MATCH(D$2,Inputs!$K$4:$AJ$4,0))))+SUMPRODUCT((Inputs!$E$5:$E$180=$B55)*ISNUMBER(INDEX(Inputs!$K$5:$AJ$180,0,MATCH(D$2,Inputs!$K$4:$AJ$4,0))))=0,NA(),SUMPRODUCT((Inputs!$A$5:$A$180=$B55)*Inputs!$B$5:$B$180*(((Inputs!$G$5:$G$180="moeda")+(Inputs!$G$5:$G$180="acoes"))*Inputs!$B$1+((Inputs!$G$5:$G$180&lt;&gt;"moeda")*(Inputs!$G$5:$G$180&lt;&gt;"acoes")))*INDEX(Inputs!$K$5:$AJ$180,0,MATCH(D$2,Inputs!$K$4:$AJ$4,0)))+SUMPRODUCT((Inputs!$C$5:$C$180=$B55)*Inputs!$D$5:$D$180*(((Inputs!$G$5:$G$180="moeda")+(Inputs!$G$5:$G$180="acoes"))*Inputs!$B$1+((Inputs!$G$5:$G$180&lt;&gt;"moeda")*(Inputs!$G$5:$G$180&lt;&gt;"acoes")))*INDEX(Inputs!$K$5:$AJ$180,0,MATCH(D$2,Inputs!$K$4:$AJ$4,0)))+SUMPRODUCT((Inputs!$E$5:$E$180=$B55)*Inputs!$F$5:$F$180*(((Inputs!$G$5:$G$180="moeda")+(Inputs!$G$5:$G$180="acoes"))*Inputs!$B$1+((Inputs!$G$5:$G$180&lt;&gt;"moeda")*(Inputs!$G$5:$G$180&lt;&gt;"acoes")))*INDEX(Inputs!$K$5:$AJ$180,0,MATCH(D$2,Inputs!$K$4:$AJ$4,0)))))</f>
        <v>7.36386911</v>
      </c>
      <c r="E55" s="264">
        <f>IF(ISNA(MATCH(E$2,Inputs!$K$4:$AJ$4,0)),NA(),IF(SUMPRODUCT((Inputs!$A$5:$A$180=$B55)*ISNUMBER(INDEX(Inputs!$K$5:$AJ$180,0,MATCH(E$2,Inputs!$K$4:$AJ$4,0))))+SUMPRODUCT((Inputs!$C$5:$C$180=$B55)*ISNUMBER(INDEX(Inputs!$K$5:$AJ$180,0,MATCH(E$2,Inputs!$K$4:$AJ$4,0))))+SUMPRODUCT((Inputs!$E$5:$E$180=$B55)*ISNUMBER(INDEX(Inputs!$K$5:$AJ$180,0,MATCH(E$2,Inputs!$K$4:$AJ$4,0))))=0,NA(),SUMPRODUCT((Inputs!$A$5:$A$180=$B55)*Inputs!$B$5:$B$180*(((Inputs!$G$5:$G$180="moeda")+(Inputs!$G$5:$G$180="acoes"))*Inputs!$B$1+((Inputs!$G$5:$G$180&lt;&gt;"moeda")*(Inputs!$G$5:$G$180&lt;&gt;"acoes")))*INDEX(Inputs!$K$5:$AJ$180,0,MATCH(E$2,Inputs!$K$4:$AJ$4,0)))+SUMPRODUCT((Inputs!$C$5:$C$180=$B55)*Inputs!$D$5:$D$180*(((Inputs!$G$5:$G$180="moeda")+(Inputs!$G$5:$G$180="acoes"))*Inputs!$B$1+((Inputs!$G$5:$G$180&lt;&gt;"moeda")*(Inputs!$G$5:$G$180&lt;&gt;"acoes")))*INDEX(Inputs!$K$5:$AJ$180,0,MATCH(E$2,Inputs!$K$4:$AJ$4,0)))+SUMPRODUCT((Inputs!$E$5:$E$180=$B55)*Inputs!$F$5:$F$180*(((Inputs!$G$5:$G$180="moeda")+(Inputs!$G$5:$G$180="acoes"))*Inputs!$B$1+((Inputs!$G$5:$G$180&lt;&gt;"moeda")*(Inputs!$G$5:$G$180&lt;&gt;"acoes")))*INDEX(Inputs!$K$5:$AJ$180,0,MATCH(E$2,Inputs!$K$4:$AJ$4,0)))))</f>
        <v>12.06934786</v>
      </c>
      <c r="F55" s="264">
        <f>IF(ISNA(MATCH(F$2,Inputs!$K$4:$AJ$4,0)),NA(),IF(SUMPRODUCT((Inputs!$A$5:$A$180=$B55)*ISNUMBER(INDEX(Inputs!$K$5:$AJ$180,0,MATCH(F$2,Inputs!$K$4:$AJ$4,0))))+SUMPRODUCT((Inputs!$C$5:$C$180=$B55)*ISNUMBER(INDEX(Inputs!$K$5:$AJ$180,0,MATCH(F$2,Inputs!$K$4:$AJ$4,0))))+SUMPRODUCT((Inputs!$E$5:$E$180=$B55)*ISNUMBER(INDEX(Inputs!$K$5:$AJ$180,0,MATCH(F$2,Inputs!$K$4:$AJ$4,0))))=0,NA(),SUMPRODUCT((Inputs!$A$5:$A$180=$B55)*Inputs!$B$5:$B$180*(((Inputs!$G$5:$G$180="moeda")+(Inputs!$G$5:$G$180="acoes"))*Inputs!$B$1+((Inputs!$G$5:$G$180&lt;&gt;"moeda")*(Inputs!$G$5:$G$180&lt;&gt;"acoes")))*INDEX(Inputs!$K$5:$AJ$180,0,MATCH(F$2,Inputs!$K$4:$AJ$4,0)))+SUMPRODUCT((Inputs!$C$5:$C$180=$B55)*Inputs!$D$5:$D$180*(((Inputs!$G$5:$G$180="moeda")+(Inputs!$G$5:$G$180="acoes"))*Inputs!$B$1+((Inputs!$G$5:$G$180&lt;&gt;"moeda")*(Inputs!$G$5:$G$180&lt;&gt;"acoes")))*INDEX(Inputs!$K$5:$AJ$180,0,MATCH(F$2,Inputs!$K$4:$AJ$4,0)))+SUMPRODUCT((Inputs!$E$5:$E$180=$B55)*Inputs!$F$5:$F$180*(((Inputs!$G$5:$G$180="moeda")+(Inputs!$G$5:$G$180="acoes"))*Inputs!$B$1+((Inputs!$G$5:$G$180&lt;&gt;"moeda")*(Inputs!$G$5:$G$180&lt;&gt;"acoes")))*INDEX(Inputs!$K$5:$AJ$180,0,MATCH(F$2,Inputs!$K$4:$AJ$4,0)))))</f>
        <v>10.18484569</v>
      </c>
      <c r="G55" s="264">
        <f>IF(ISNA(MATCH(G$2,Inputs!$K$4:$AJ$4,0)),NA(),IF(SUMPRODUCT((Inputs!$A$5:$A$180=$B55)*ISNUMBER(INDEX(Inputs!$K$5:$AJ$180,0,MATCH(G$2,Inputs!$K$4:$AJ$4,0))))+SUMPRODUCT((Inputs!$C$5:$C$180=$B55)*ISNUMBER(INDEX(Inputs!$K$5:$AJ$180,0,MATCH(G$2,Inputs!$K$4:$AJ$4,0))))+SUMPRODUCT((Inputs!$E$5:$E$180=$B55)*ISNUMBER(INDEX(Inputs!$K$5:$AJ$180,0,MATCH(G$2,Inputs!$K$4:$AJ$4,0))))=0,NA(),SUMPRODUCT((Inputs!$A$5:$A$180=$B55)*Inputs!$B$5:$B$180*(((Inputs!$G$5:$G$180="moeda")+(Inputs!$G$5:$G$180="acoes"))*Inputs!$B$1+((Inputs!$G$5:$G$180&lt;&gt;"moeda")*(Inputs!$G$5:$G$180&lt;&gt;"acoes")))*INDEX(Inputs!$K$5:$AJ$180,0,MATCH(G$2,Inputs!$K$4:$AJ$4,0)))+SUMPRODUCT((Inputs!$C$5:$C$180=$B55)*Inputs!$D$5:$D$180*(((Inputs!$G$5:$G$180="moeda")+(Inputs!$G$5:$G$180="acoes"))*Inputs!$B$1+((Inputs!$G$5:$G$180&lt;&gt;"moeda")*(Inputs!$G$5:$G$180&lt;&gt;"acoes")))*INDEX(Inputs!$K$5:$AJ$180,0,MATCH(G$2,Inputs!$K$4:$AJ$4,0)))+SUMPRODUCT((Inputs!$E$5:$E$180=$B55)*Inputs!$F$5:$F$180*(((Inputs!$G$5:$G$180="moeda")+(Inputs!$G$5:$G$180="acoes"))*Inputs!$B$1+((Inputs!$G$5:$G$180&lt;&gt;"moeda")*(Inputs!$G$5:$G$180&lt;&gt;"acoes")))*INDEX(Inputs!$K$5:$AJ$180,0,MATCH(G$2,Inputs!$K$4:$AJ$4,0)))))</f>
        <v>15.097556669</v>
      </c>
      <c r="H55" s="265">
        <f>SUM(D55:G55)</f>
        <v>44.715619329</v>
      </c>
      <c r="I55" s="264">
        <f>IF(ISNA(MATCH(I$2,Inputs!$K$4:$AJ$4,0)),NA(),IF(SUMPRODUCT((Inputs!$A$5:$A$180=$B55)*ISNUMBER(INDEX(Inputs!$K$5:$AJ$180,0,MATCH(I$2,Inputs!$K$4:$AJ$4,0))))+SUMPRODUCT((Inputs!$C$5:$C$180=$B55)*ISNUMBER(INDEX(Inputs!$K$5:$AJ$180,0,MATCH(I$2,Inputs!$K$4:$AJ$4,0))))+SUMPRODUCT((Inputs!$E$5:$E$180=$B55)*ISNUMBER(INDEX(Inputs!$K$5:$AJ$180,0,MATCH(I$2,Inputs!$K$4:$AJ$4,0))))=0,NA(),SUMPRODUCT((Inputs!$A$5:$A$180=$B55)*Inputs!$B$5:$B$180*(((Inputs!$G$5:$G$180="moeda")+(Inputs!$G$5:$G$180="acoes"))*Inputs!$B$1+((Inputs!$G$5:$G$180&lt;&gt;"moeda")*(Inputs!$G$5:$G$180&lt;&gt;"acoes")))*INDEX(Inputs!$K$5:$AJ$180,0,MATCH(I$2,Inputs!$K$4:$AJ$4,0)))+SUMPRODUCT((Inputs!$C$5:$C$180=$B55)*Inputs!$D$5:$D$180*(((Inputs!$G$5:$G$180="moeda")+(Inputs!$G$5:$G$180="acoes"))*Inputs!$B$1+((Inputs!$G$5:$G$180&lt;&gt;"moeda")*(Inputs!$G$5:$G$180&lt;&gt;"acoes")))*INDEX(Inputs!$K$5:$AJ$180,0,MATCH(I$2,Inputs!$K$4:$AJ$4,0)))+SUMPRODUCT((Inputs!$E$5:$E$180=$B55)*Inputs!$F$5:$F$180*(((Inputs!$G$5:$G$180="moeda")+(Inputs!$G$5:$G$180="acoes"))*Inputs!$B$1+((Inputs!$G$5:$G$180&lt;&gt;"moeda")*(Inputs!$G$5:$G$180&lt;&gt;"acoes")))*INDEX(Inputs!$K$5:$AJ$180,0,MATCH(I$2,Inputs!$K$4:$AJ$4,0)))))</f>
        <v>7.60750405</v>
      </c>
      <c r="J55" s="264">
        <f>IF(ISNA(MATCH(J$2,Inputs!$K$4:$AJ$4,0)),NA(),IF(SUMPRODUCT((Inputs!$A$5:$A$180=$B55)*ISNUMBER(INDEX(Inputs!$K$5:$AJ$180,0,MATCH(J$2,Inputs!$K$4:$AJ$4,0))))+SUMPRODUCT((Inputs!$C$5:$C$180=$B55)*ISNUMBER(INDEX(Inputs!$K$5:$AJ$180,0,MATCH(J$2,Inputs!$K$4:$AJ$4,0))))+SUMPRODUCT((Inputs!$E$5:$E$180=$B55)*ISNUMBER(INDEX(Inputs!$K$5:$AJ$180,0,MATCH(J$2,Inputs!$K$4:$AJ$4,0))))=0,NA(),SUMPRODUCT((Inputs!$A$5:$A$180=$B55)*Inputs!$B$5:$B$180*(((Inputs!$G$5:$G$180="moeda")+(Inputs!$G$5:$G$180="acoes"))*Inputs!$B$1+((Inputs!$G$5:$G$180&lt;&gt;"moeda")*(Inputs!$G$5:$G$180&lt;&gt;"acoes")))*INDEX(Inputs!$K$5:$AJ$180,0,MATCH(J$2,Inputs!$K$4:$AJ$4,0)))+SUMPRODUCT((Inputs!$C$5:$C$180=$B55)*Inputs!$D$5:$D$180*(((Inputs!$G$5:$G$180="moeda")+(Inputs!$G$5:$G$180="acoes"))*Inputs!$B$1+((Inputs!$G$5:$G$180&lt;&gt;"moeda")*(Inputs!$G$5:$G$180&lt;&gt;"acoes")))*INDEX(Inputs!$K$5:$AJ$180,0,MATCH(J$2,Inputs!$K$4:$AJ$4,0)))+SUMPRODUCT((Inputs!$E$5:$E$180=$B55)*Inputs!$F$5:$F$180*(((Inputs!$G$5:$G$180="moeda")+(Inputs!$G$5:$G$180="acoes"))*Inputs!$B$1+((Inputs!$G$5:$G$180&lt;&gt;"moeda")*(Inputs!$G$5:$G$180&lt;&gt;"acoes")))*INDEX(Inputs!$K$5:$AJ$180,0,MATCH(J$2,Inputs!$K$4:$AJ$4,0)))))</f>
        <v>9.76114013001</v>
      </c>
      <c r="K55" s="264">
        <f>IF(ISNA(MATCH(K$2,Inputs!$K$4:$AJ$4,0)),NA(),IF(SUMPRODUCT((Inputs!$A$5:$A$180=$B55)*ISNUMBER(INDEX(Inputs!$K$5:$AJ$180,0,MATCH(K$2,Inputs!$K$4:$AJ$4,0))))+SUMPRODUCT((Inputs!$C$5:$C$180=$B55)*ISNUMBER(INDEX(Inputs!$K$5:$AJ$180,0,MATCH(K$2,Inputs!$K$4:$AJ$4,0))))+SUMPRODUCT((Inputs!$E$5:$E$180=$B55)*ISNUMBER(INDEX(Inputs!$K$5:$AJ$180,0,MATCH(K$2,Inputs!$K$4:$AJ$4,0))))=0,NA(),SUMPRODUCT((Inputs!$A$5:$A$180=$B55)*Inputs!$B$5:$B$180*(((Inputs!$G$5:$G$180="moeda")+(Inputs!$G$5:$G$180="acoes"))*Inputs!$B$1+((Inputs!$G$5:$G$180&lt;&gt;"moeda")*(Inputs!$G$5:$G$180&lt;&gt;"acoes")))*INDEX(Inputs!$K$5:$AJ$180,0,MATCH(K$2,Inputs!$K$4:$AJ$4,0)))+SUMPRODUCT((Inputs!$C$5:$C$180=$B55)*Inputs!$D$5:$D$180*(((Inputs!$G$5:$G$180="moeda")+(Inputs!$G$5:$G$180="acoes"))*Inputs!$B$1+((Inputs!$G$5:$G$180&lt;&gt;"moeda")*(Inputs!$G$5:$G$180&lt;&gt;"acoes")))*INDEX(Inputs!$K$5:$AJ$180,0,MATCH(K$2,Inputs!$K$4:$AJ$4,0)))+SUMPRODUCT((Inputs!$E$5:$E$180=$B55)*Inputs!$F$5:$F$180*(((Inputs!$G$5:$G$180="moeda")+(Inputs!$G$5:$G$180="acoes"))*Inputs!$B$1+((Inputs!$G$5:$G$180&lt;&gt;"moeda")*(Inputs!$G$5:$G$180&lt;&gt;"acoes")))*INDEX(Inputs!$K$5:$AJ$180,0,MATCH(K$2,Inputs!$K$4:$AJ$4,0)))))</f>
        <v>7.74006396</v>
      </c>
      <c r="L55" s="264">
        <f>IF(ISNA(MATCH(L$2,Inputs!$K$4:$AJ$4,0)),NA(),IF(SUMPRODUCT((Inputs!$A$5:$A$180=$B55)*ISNUMBER(INDEX(Inputs!$K$5:$AJ$180,0,MATCH(L$2,Inputs!$K$4:$AJ$4,0))))+SUMPRODUCT((Inputs!$C$5:$C$180=$B55)*ISNUMBER(INDEX(Inputs!$K$5:$AJ$180,0,MATCH(L$2,Inputs!$K$4:$AJ$4,0))))+SUMPRODUCT((Inputs!$E$5:$E$180=$B55)*ISNUMBER(INDEX(Inputs!$K$5:$AJ$180,0,MATCH(L$2,Inputs!$K$4:$AJ$4,0))))=0,NA(),SUMPRODUCT((Inputs!$A$5:$A$180=$B55)*Inputs!$B$5:$B$180*(((Inputs!$G$5:$G$180="moeda")+(Inputs!$G$5:$G$180="acoes"))*Inputs!$B$1+((Inputs!$G$5:$G$180&lt;&gt;"moeda")*(Inputs!$G$5:$G$180&lt;&gt;"acoes")))*INDEX(Inputs!$K$5:$AJ$180,0,MATCH(L$2,Inputs!$K$4:$AJ$4,0)))+SUMPRODUCT((Inputs!$C$5:$C$180=$B55)*Inputs!$D$5:$D$180*(((Inputs!$G$5:$G$180="moeda")+(Inputs!$G$5:$G$180="acoes"))*Inputs!$B$1+((Inputs!$G$5:$G$180&lt;&gt;"moeda")*(Inputs!$G$5:$G$180&lt;&gt;"acoes")))*INDEX(Inputs!$K$5:$AJ$180,0,MATCH(L$2,Inputs!$K$4:$AJ$4,0)))+SUMPRODUCT((Inputs!$E$5:$E$180=$B55)*Inputs!$F$5:$F$180*(((Inputs!$G$5:$G$180="moeda")+(Inputs!$G$5:$G$180="acoes"))*Inputs!$B$1+((Inputs!$G$5:$G$180&lt;&gt;"moeda")*(Inputs!$G$5:$G$180&lt;&gt;"acoes")))*INDEX(Inputs!$K$5:$AJ$180,0,MATCH(L$2,Inputs!$K$4:$AJ$4,0)))))</f>
        <v>12.595443110011</v>
      </c>
      <c r="M55" s="265">
        <f>SUM(I55:L55)</f>
        <v>37.704151250021</v>
      </c>
      <c r="N55" s="264">
        <f>IF(ISNA(MATCH(N$2,Inputs!$K$4:$AJ$4,0)),NA(),IF(SUMPRODUCT((Inputs!$A$5:$A$180=$B55)*ISNUMBER(INDEX(Inputs!$K$5:$AJ$180,0,MATCH(N$2,Inputs!$K$4:$AJ$4,0))))+SUMPRODUCT((Inputs!$C$5:$C$180=$B55)*ISNUMBER(INDEX(Inputs!$K$5:$AJ$180,0,MATCH(N$2,Inputs!$K$4:$AJ$4,0))))+SUMPRODUCT((Inputs!$E$5:$E$180=$B55)*ISNUMBER(INDEX(Inputs!$K$5:$AJ$180,0,MATCH(N$2,Inputs!$K$4:$AJ$4,0))))=0,NA(),SUMPRODUCT((Inputs!$A$5:$A$180=$B55)*Inputs!$B$5:$B$180*(((Inputs!$G$5:$G$180="moeda")+(Inputs!$G$5:$G$180="acoes"))*Inputs!$B$1+((Inputs!$G$5:$G$180&lt;&gt;"moeda")*(Inputs!$G$5:$G$180&lt;&gt;"acoes")))*INDEX(Inputs!$K$5:$AJ$180,0,MATCH(N$2,Inputs!$K$4:$AJ$4,0)))+SUMPRODUCT((Inputs!$C$5:$C$180=$B55)*Inputs!$D$5:$D$180*(((Inputs!$G$5:$G$180="moeda")+(Inputs!$G$5:$G$180="acoes"))*Inputs!$B$1+((Inputs!$G$5:$G$180&lt;&gt;"moeda")*(Inputs!$G$5:$G$180&lt;&gt;"acoes")))*INDEX(Inputs!$K$5:$AJ$180,0,MATCH(N$2,Inputs!$K$4:$AJ$4,0)))+SUMPRODUCT((Inputs!$E$5:$E$180=$B55)*Inputs!$F$5:$F$180*(((Inputs!$G$5:$G$180="moeda")+(Inputs!$G$5:$G$180="acoes"))*Inputs!$B$1+((Inputs!$G$5:$G$180&lt;&gt;"moeda")*(Inputs!$G$5:$G$180&lt;&gt;"acoes")))*INDEX(Inputs!$K$5:$AJ$180,0,MATCH(N$2,Inputs!$K$4:$AJ$4,0)))))</f>
        <v>6.83362633</v>
      </c>
      <c r="O55" s="264">
        <f>IF(ISNA(MATCH(O$2,Inputs!$K$4:$AJ$4,0)),NA(),IF(SUMPRODUCT((Inputs!$A$5:$A$180=$B55)*ISNUMBER(INDEX(Inputs!$K$5:$AJ$180,0,MATCH(O$2,Inputs!$K$4:$AJ$4,0))))+SUMPRODUCT((Inputs!$C$5:$C$180=$B55)*ISNUMBER(INDEX(Inputs!$K$5:$AJ$180,0,MATCH(O$2,Inputs!$K$4:$AJ$4,0))))+SUMPRODUCT((Inputs!$E$5:$E$180=$B55)*ISNUMBER(INDEX(Inputs!$K$5:$AJ$180,0,MATCH(O$2,Inputs!$K$4:$AJ$4,0))))=0,NA(),SUMPRODUCT((Inputs!$A$5:$A$180=$B55)*Inputs!$B$5:$B$180*(((Inputs!$G$5:$G$180="moeda")+(Inputs!$G$5:$G$180="acoes"))*Inputs!$B$1+((Inputs!$G$5:$G$180&lt;&gt;"moeda")*(Inputs!$G$5:$G$180&lt;&gt;"acoes")))*INDEX(Inputs!$K$5:$AJ$180,0,MATCH(O$2,Inputs!$K$4:$AJ$4,0)))+SUMPRODUCT((Inputs!$C$5:$C$180=$B55)*Inputs!$D$5:$D$180*(((Inputs!$G$5:$G$180="moeda")+(Inputs!$G$5:$G$180="acoes"))*Inputs!$B$1+((Inputs!$G$5:$G$180&lt;&gt;"moeda")*(Inputs!$G$5:$G$180&lt;&gt;"acoes")))*INDEX(Inputs!$K$5:$AJ$180,0,MATCH(O$2,Inputs!$K$4:$AJ$4,0)))+SUMPRODUCT((Inputs!$E$5:$E$180=$B55)*Inputs!$F$5:$F$180*(((Inputs!$G$5:$G$180="moeda")+(Inputs!$G$5:$G$180="acoes"))*Inputs!$B$1+((Inputs!$G$5:$G$180&lt;&gt;"moeda")*(Inputs!$G$5:$G$180&lt;&gt;"acoes")))*INDEX(Inputs!$K$5:$AJ$180,0,MATCH(O$2,Inputs!$K$4:$AJ$4,0)))))</f>
        <v>9.96636367</v>
      </c>
      <c r="P55" s="264">
        <f>IF(ISNA(MATCH(P$2,Inputs!$K$4:$AJ$4,0)),NA(),IF(SUMPRODUCT((Inputs!$A$5:$A$180=$B55)*ISNUMBER(INDEX(Inputs!$K$5:$AJ$180,0,MATCH(P$2,Inputs!$K$4:$AJ$4,0))))+SUMPRODUCT((Inputs!$C$5:$C$180=$B55)*ISNUMBER(INDEX(Inputs!$K$5:$AJ$180,0,MATCH(P$2,Inputs!$K$4:$AJ$4,0))))+SUMPRODUCT((Inputs!$E$5:$E$180=$B55)*ISNUMBER(INDEX(Inputs!$K$5:$AJ$180,0,MATCH(P$2,Inputs!$K$4:$AJ$4,0))))=0,NA(),SUMPRODUCT((Inputs!$A$5:$A$180=$B55)*Inputs!$B$5:$B$180*(((Inputs!$G$5:$G$180="moeda")+(Inputs!$G$5:$G$180="acoes"))*Inputs!$B$1+((Inputs!$G$5:$G$180&lt;&gt;"moeda")*(Inputs!$G$5:$G$180&lt;&gt;"acoes")))*INDEX(Inputs!$K$5:$AJ$180,0,MATCH(P$2,Inputs!$K$4:$AJ$4,0)))+SUMPRODUCT((Inputs!$C$5:$C$180=$B55)*Inputs!$D$5:$D$180*(((Inputs!$G$5:$G$180="moeda")+(Inputs!$G$5:$G$180="acoes"))*Inputs!$B$1+((Inputs!$G$5:$G$180&lt;&gt;"moeda")*(Inputs!$G$5:$G$180&lt;&gt;"acoes")))*INDEX(Inputs!$K$5:$AJ$180,0,MATCH(P$2,Inputs!$K$4:$AJ$4,0)))+SUMPRODUCT((Inputs!$E$5:$E$180=$B55)*Inputs!$F$5:$F$180*(((Inputs!$G$5:$G$180="moeda")+(Inputs!$G$5:$G$180="acoes"))*Inputs!$B$1+((Inputs!$G$5:$G$180&lt;&gt;"moeda")*(Inputs!$G$5:$G$180&lt;&gt;"acoes")))*INDEX(Inputs!$K$5:$AJ$180,0,MATCH(P$2,Inputs!$K$4:$AJ$4,0)))))</f>
        <v>8.13688579</v>
      </c>
      <c r="Q55" s="264">
        <f>IF(ISNA(MATCH(Q$2,Inputs!$K$4:$AJ$4,0)),NA(),IF(SUMPRODUCT((Inputs!$A$5:$A$180=$B55)*ISNUMBER(INDEX(Inputs!$K$5:$AJ$180,0,MATCH(Q$2,Inputs!$K$4:$AJ$4,0))))+SUMPRODUCT((Inputs!$C$5:$C$180=$B55)*ISNUMBER(INDEX(Inputs!$K$5:$AJ$180,0,MATCH(Q$2,Inputs!$K$4:$AJ$4,0))))+SUMPRODUCT((Inputs!$E$5:$E$180=$B55)*ISNUMBER(INDEX(Inputs!$K$5:$AJ$180,0,MATCH(Q$2,Inputs!$K$4:$AJ$4,0))))=0,NA(),SUMPRODUCT((Inputs!$A$5:$A$180=$B55)*Inputs!$B$5:$B$180*(((Inputs!$G$5:$G$180="moeda")+(Inputs!$G$5:$G$180="acoes"))*Inputs!$B$1+((Inputs!$G$5:$G$180&lt;&gt;"moeda")*(Inputs!$G$5:$G$180&lt;&gt;"acoes")))*INDEX(Inputs!$K$5:$AJ$180,0,MATCH(Q$2,Inputs!$K$4:$AJ$4,0)))+SUMPRODUCT((Inputs!$C$5:$C$180=$B55)*Inputs!$D$5:$D$180*(((Inputs!$G$5:$G$180="moeda")+(Inputs!$G$5:$G$180="acoes"))*Inputs!$B$1+((Inputs!$G$5:$G$180&lt;&gt;"moeda")*(Inputs!$G$5:$G$180&lt;&gt;"acoes")))*INDEX(Inputs!$K$5:$AJ$180,0,MATCH(Q$2,Inputs!$K$4:$AJ$4,0)))+SUMPRODUCT((Inputs!$E$5:$E$180=$B55)*Inputs!$F$5:$F$180*(((Inputs!$G$5:$G$180="moeda")+(Inputs!$G$5:$G$180="acoes"))*Inputs!$B$1+((Inputs!$G$5:$G$180&lt;&gt;"moeda")*(Inputs!$G$5:$G$180&lt;&gt;"acoes")))*INDEX(Inputs!$K$5:$AJ$180,0,MATCH(Q$2,Inputs!$K$4:$AJ$4,0)))))</f>
        <v>11.0619556</v>
      </c>
      <c r="R55" s="265">
        <f>SUM(N55:Q55)</f>
        <v>35.99883139</v>
      </c>
      <c r="S55" s="264">
        <f>IF(ISNA(MATCH(S$2,Inputs!$K$4:$AJ$4,0)),NA(),IF(SUMPRODUCT((Inputs!$A$5:$A$180=$B55)*ISNUMBER(INDEX(Inputs!$K$5:$AJ$180,0,MATCH(S$2,Inputs!$K$4:$AJ$4,0))))+SUMPRODUCT((Inputs!$C$5:$C$180=$B55)*ISNUMBER(INDEX(Inputs!$K$5:$AJ$180,0,MATCH(S$2,Inputs!$K$4:$AJ$4,0))))+SUMPRODUCT((Inputs!$E$5:$E$180=$B55)*ISNUMBER(INDEX(Inputs!$K$5:$AJ$180,0,MATCH(S$2,Inputs!$K$4:$AJ$4,0))))=0,NA(),SUMPRODUCT((Inputs!$A$5:$A$180=$B55)*Inputs!$B$5:$B$180*(((Inputs!$G$5:$G$180="moeda")+(Inputs!$G$5:$G$180="acoes"))*Inputs!$B$1+((Inputs!$G$5:$G$180&lt;&gt;"moeda")*(Inputs!$G$5:$G$180&lt;&gt;"acoes")))*INDEX(Inputs!$K$5:$AJ$180,0,MATCH(S$2,Inputs!$K$4:$AJ$4,0)))+SUMPRODUCT((Inputs!$C$5:$C$180=$B55)*Inputs!$D$5:$D$180*(((Inputs!$G$5:$G$180="moeda")+(Inputs!$G$5:$G$180="acoes"))*Inputs!$B$1+((Inputs!$G$5:$G$180&lt;&gt;"moeda")*(Inputs!$G$5:$G$180&lt;&gt;"acoes")))*INDEX(Inputs!$K$5:$AJ$180,0,MATCH(S$2,Inputs!$K$4:$AJ$4,0)))+SUMPRODUCT((Inputs!$E$5:$E$180=$B55)*Inputs!$F$5:$F$180*(((Inputs!$G$5:$G$180="moeda")+(Inputs!$G$5:$G$180="acoes"))*Inputs!$B$1+((Inputs!$G$5:$G$180&lt;&gt;"moeda")*(Inputs!$G$5:$G$180&lt;&gt;"acoes")))*INDEX(Inputs!$K$5:$AJ$180,0,MATCH(S$2,Inputs!$K$4:$AJ$4,0)))))</f>
        <v>4.75551023</v>
      </c>
      <c r="T55" s="264">
        <f>IF(ISNA(MATCH(T$2,Inputs!$K$4:$AJ$4,0)),NA(),IF(SUMPRODUCT((Inputs!$A$5:$A$180=$B55)*ISNUMBER(INDEX(Inputs!$K$5:$AJ$180,0,MATCH(T$2,Inputs!$K$4:$AJ$4,0))))+SUMPRODUCT((Inputs!$C$5:$C$180=$B55)*ISNUMBER(INDEX(Inputs!$K$5:$AJ$180,0,MATCH(T$2,Inputs!$K$4:$AJ$4,0))))+SUMPRODUCT((Inputs!$E$5:$E$180=$B55)*ISNUMBER(INDEX(Inputs!$K$5:$AJ$180,0,MATCH(T$2,Inputs!$K$4:$AJ$4,0))))=0,NA(),SUMPRODUCT((Inputs!$A$5:$A$180=$B55)*Inputs!$B$5:$B$180*(((Inputs!$G$5:$G$180="moeda")+(Inputs!$G$5:$G$180="acoes"))*Inputs!$B$1+((Inputs!$G$5:$G$180&lt;&gt;"moeda")*(Inputs!$G$5:$G$180&lt;&gt;"acoes")))*INDEX(Inputs!$K$5:$AJ$180,0,MATCH(T$2,Inputs!$K$4:$AJ$4,0)))+SUMPRODUCT((Inputs!$C$5:$C$180=$B55)*Inputs!$D$5:$D$180*(((Inputs!$G$5:$G$180="moeda")+(Inputs!$G$5:$G$180="acoes"))*Inputs!$B$1+((Inputs!$G$5:$G$180&lt;&gt;"moeda")*(Inputs!$G$5:$G$180&lt;&gt;"acoes")))*INDEX(Inputs!$K$5:$AJ$180,0,MATCH(T$2,Inputs!$K$4:$AJ$4,0)))+SUMPRODUCT((Inputs!$E$5:$E$180=$B55)*Inputs!$F$5:$F$180*(((Inputs!$G$5:$G$180="moeda")+(Inputs!$G$5:$G$180="acoes"))*Inputs!$B$1+((Inputs!$G$5:$G$180&lt;&gt;"moeda")*(Inputs!$G$5:$G$180&lt;&gt;"acoes")))*INDEX(Inputs!$K$5:$AJ$180,0,MATCH(T$2,Inputs!$K$4:$AJ$4,0)))))</f>
        <v>6.70803007</v>
      </c>
      <c r="U55" s="264">
        <f>IF(ISNA(MATCH(U$2,Inputs!$K$4:$AJ$4,0)),NA(),IF(SUMPRODUCT((Inputs!$A$5:$A$180=$B55)*ISNUMBER(INDEX(Inputs!$K$5:$AJ$180,0,MATCH(U$2,Inputs!$K$4:$AJ$4,0))))+SUMPRODUCT((Inputs!$C$5:$C$180=$B55)*ISNUMBER(INDEX(Inputs!$K$5:$AJ$180,0,MATCH(U$2,Inputs!$K$4:$AJ$4,0))))+SUMPRODUCT((Inputs!$E$5:$E$180=$B55)*ISNUMBER(INDEX(Inputs!$K$5:$AJ$180,0,MATCH(U$2,Inputs!$K$4:$AJ$4,0))))=0,NA(),SUMPRODUCT((Inputs!$A$5:$A$180=$B55)*Inputs!$B$5:$B$180*(((Inputs!$G$5:$G$180="moeda")+(Inputs!$G$5:$G$180="acoes"))*Inputs!$B$1+((Inputs!$G$5:$G$180&lt;&gt;"moeda")*(Inputs!$G$5:$G$180&lt;&gt;"acoes")))*INDEX(Inputs!$K$5:$AJ$180,0,MATCH(U$2,Inputs!$K$4:$AJ$4,0)))+SUMPRODUCT((Inputs!$C$5:$C$180=$B55)*Inputs!$D$5:$D$180*(((Inputs!$G$5:$G$180="moeda")+(Inputs!$G$5:$G$180="acoes"))*Inputs!$B$1+((Inputs!$G$5:$G$180&lt;&gt;"moeda")*(Inputs!$G$5:$G$180&lt;&gt;"acoes")))*INDEX(Inputs!$K$5:$AJ$180,0,MATCH(U$2,Inputs!$K$4:$AJ$4,0)))+SUMPRODUCT((Inputs!$E$5:$E$180=$B55)*Inputs!$F$5:$F$180*(((Inputs!$G$5:$G$180="moeda")+(Inputs!$G$5:$G$180="acoes"))*Inputs!$B$1+((Inputs!$G$5:$G$180&lt;&gt;"moeda")*(Inputs!$G$5:$G$180&lt;&gt;"acoes")))*INDEX(Inputs!$K$5:$AJ$180,0,MATCH(U$2,Inputs!$K$4:$AJ$4,0)))))</f>
        <v>5.07261546</v>
      </c>
      <c r="V55" s="264">
        <f>IF(ISNA(MATCH(V$2,Inputs!$K$4:$AJ$4,0)),NA(),IF(SUMPRODUCT((Inputs!$A$5:$A$180=$B55)*ISNUMBER(INDEX(Inputs!$K$5:$AJ$180,0,MATCH(V$2,Inputs!$K$4:$AJ$4,0))))+SUMPRODUCT((Inputs!$C$5:$C$180=$B55)*ISNUMBER(INDEX(Inputs!$K$5:$AJ$180,0,MATCH(V$2,Inputs!$K$4:$AJ$4,0))))+SUMPRODUCT((Inputs!$E$5:$E$180=$B55)*ISNUMBER(INDEX(Inputs!$K$5:$AJ$180,0,MATCH(V$2,Inputs!$K$4:$AJ$4,0))))=0,NA(),SUMPRODUCT((Inputs!$A$5:$A$180=$B55)*Inputs!$B$5:$B$180*(((Inputs!$G$5:$G$180="moeda")+(Inputs!$G$5:$G$180="acoes"))*Inputs!$B$1+((Inputs!$G$5:$G$180&lt;&gt;"moeda")*(Inputs!$G$5:$G$180&lt;&gt;"acoes")))*INDEX(Inputs!$K$5:$AJ$180,0,MATCH(V$2,Inputs!$K$4:$AJ$4,0)))+SUMPRODUCT((Inputs!$C$5:$C$180=$B55)*Inputs!$D$5:$D$180*(((Inputs!$G$5:$G$180="moeda")+(Inputs!$G$5:$G$180="acoes"))*Inputs!$B$1+((Inputs!$G$5:$G$180&lt;&gt;"moeda")*(Inputs!$G$5:$G$180&lt;&gt;"acoes")))*INDEX(Inputs!$K$5:$AJ$180,0,MATCH(V$2,Inputs!$K$4:$AJ$4,0)))+SUMPRODUCT((Inputs!$E$5:$E$180=$B55)*Inputs!$F$5:$F$180*(((Inputs!$G$5:$G$180="moeda")+(Inputs!$G$5:$G$180="acoes"))*Inputs!$B$1+((Inputs!$G$5:$G$180&lt;&gt;"moeda")*(Inputs!$G$5:$G$180&lt;&gt;"acoes")))*INDEX(Inputs!$K$5:$AJ$180,0,MATCH(V$2,Inputs!$K$4:$AJ$4,0)))))</f>
        <v>6.7285</v>
      </c>
      <c r="W55" s="265">
        <f>SUM(S55:V55)</f>
        <v>23.26465576</v>
      </c>
      <c r="X55" s="264">
        <f>IF(ISNA(MATCH(X$2,Inputs!$K$4:$AJ$4,0)),NA(),IF(SUMPRODUCT((Inputs!$A$5:$A$180=$B55)*ISNUMBER(INDEX(Inputs!$K$5:$AJ$180,0,MATCH(X$2,Inputs!$K$4:$AJ$4,0))))+SUMPRODUCT((Inputs!$C$5:$C$180=$B55)*ISNUMBER(INDEX(Inputs!$K$5:$AJ$180,0,MATCH(X$2,Inputs!$K$4:$AJ$4,0))))+SUMPRODUCT((Inputs!$E$5:$E$180=$B55)*ISNUMBER(INDEX(Inputs!$K$5:$AJ$180,0,MATCH(X$2,Inputs!$K$4:$AJ$4,0))))=0,NA(),SUMPRODUCT((Inputs!$A$5:$A$180=$B55)*Inputs!$B$5:$B$180*(((Inputs!$G$5:$G$180="moeda")+(Inputs!$G$5:$G$180="acoes"))*Inputs!$B$1+((Inputs!$G$5:$G$180&lt;&gt;"moeda")*(Inputs!$G$5:$G$180&lt;&gt;"acoes")))*INDEX(Inputs!$K$5:$AJ$180,0,MATCH(X$2,Inputs!$K$4:$AJ$4,0)))+SUMPRODUCT((Inputs!$C$5:$C$180=$B55)*Inputs!$D$5:$D$180*(((Inputs!$G$5:$G$180="moeda")+(Inputs!$G$5:$G$180="acoes"))*Inputs!$B$1+((Inputs!$G$5:$G$180&lt;&gt;"moeda")*(Inputs!$G$5:$G$180&lt;&gt;"acoes")))*INDEX(Inputs!$K$5:$AJ$180,0,MATCH(X$2,Inputs!$K$4:$AJ$4,0)))+SUMPRODUCT((Inputs!$E$5:$E$180=$B55)*Inputs!$F$5:$F$180*(((Inputs!$G$5:$G$180="moeda")+(Inputs!$G$5:$G$180="acoes"))*Inputs!$B$1+((Inputs!$G$5:$G$180&lt;&gt;"moeda")*(Inputs!$G$5:$G$180&lt;&gt;"acoes")))*INDEX(Inputs!$K$5:$AJ$180,0,MATCH(X$2,Inputs!$K$4:$AJ$4,0)))))</f>
        <v>3.28875073</v>
      </c>
      <c r="Y55" s="264">
        <f>IF(ISNA(MATCH(Y$2,Inputs!$K$4:$AJ$4,0)),NA(),IF(SUMPRODUCT((Inputs!$A$5:$A$180=$B55)*ISNUMBER(INDEX(Inputs!$K$5:$AJ$180,0,MATCH(Y$2,Inputs!$K$4:$AJ$4,0))))+SUMPRODUCT((Inputs!$C$5:$C$180=$B55)*ISNUMBER(INDEX(Inputs!$K$5:$AJ$180,0,MATCH(Y$2,Inputs!$K$4:$AJ$4,0))))+SUMPRODUCT((Inputs!$E$5:$E$180=$B55)*ISNUMBER(INDEX(Inputs!$K$5:$AJ$180,0,MATCH(Y$2,Inputs!$K$4:$AJ$4,0))))=0,NA(),SUMPRODUCT((Inputs!$A$5:$A$180=$B55)*Inputs!$B$5:$B$180*(((Inputs!$G$5:$G$180="moeda")+(Inputs!$G$5:$G$180="acoes"))*Inputs!$B$1+((Inputs!$G$5:$G$180&lt;&gt;"moeda")*(Inputs!$G$5:$G$180&lt;&gt;"acoes")))*INDEX(Inputs!$K$5:$AJ$180,0,MATCH(Y$2,Inputs!$K$4:$AJ$4,0)))+SUMPRODUCT((Inputs!$C$5:$C$180=$B55)*Inputs!$D$5:$D$180*(((Inputs!$G$5:$G$180="moeda")+(Inputs!$G$5:$G$180="acoes"))*Inputs!$B$1+((Inputs!$G$5:$G$180&lt;&gt;"moeda")*(Inputs!$G$5:$G$180&lt;&gt;"acoes")))*INDEX(Inputs!$K$5:$AJ$180,0,MATCH(Y$2,Inputs!$K$4:$AJ$4,0)))+SUMPRODUCT((Inputs!$E$5:$E$180=$B55)*Inputs!$F$5:$F$180*(((Inputs!$G$5:$G$180="moeda")+(Inputs!$G$5:$G$180="acoes"))*Inputs!$B$1+((Inputs!$G$5:$G$180&lt;&gt;"moeda")*(Inputs!$G$5:$G$180&lt;&gt;"acoes")))*INDEX(Inputs!$K$5:$AJ$180,0,MATCH(Y$2,Inputs!$K$4:$AJ$4,0)))))</f>
        <v>4.93945264</v>
      </c>
      <c r="Z55" s="264">
        <f>IF(ISNA(MATCH(Z$2,Inputs!$K$4:$AJ$4,0)),NA(),IF(SUMPRODUCT((Inputs!$A$5:$A$180=$B55)*ISNUMBER(INDEX(Inputs!$K$5:$AJ$180,0,MATCH(Z$2,Inputs!$K$4:$AJ$4,0))))+SUMPRODUCT((Inputs!$C$5:$C$180=$B55)*ISNUMBER(INDEX(Inputs!$K$5:$AJ$180,0,MATCH(Z$2,Inputs!$K$4:$AJ$4,0))))+SUMPRODUCT((Inputs!$E$5:$E$180=$B55)*ISNUMBER(INDEX(Inputs!$K$5:$AJ$180,0,MATCH(Z$2,Inputs!$K$4:$AJ$4,0))))=0,NA(),SUMPRODUCT((Inputs!$A$5:$A$180=$B55)*Inputs!$B$5:$B$180*(((Inputs!$G$5:$G$180="moeda")+(Inputs!$G$5:$G$180="acoes"))*Inputs!$B$1+((Inputs!$G$5:$G$180&lt;&gt;"moeda")*(Inputs!$G$5:$G$180&lt;&gt;"acoes")))*INDEX(Inputs!$K$5:$AJ$180,0,MATCH(Z$2,Inputs!$K$4:$AJ$4,0)))+SUMPRODUCT((Inputs!$C$5:$C$180=$B55)*Inputs!$D$5:$D$180*(((Inputs!$G$5:$G$180="moeda")+(Inputs!$G$5:$G$180="acoes"))*Inputs!$B$1+((Inputs!$G$5:$G$180&lt;&gt;"moeda")*(Inputs!$G$5:$G$180&lt;&gt;"acoes")))*INDEX(Inputs!$K$5:$AJ$180,0,MATCH(Z$2,Inputs!$K$4:$AJ$4,0)))+SUMPRODUCT((Inputs!$E$5:$E$180=$B55)*Inputs!$F$5:$F$180*(((Inputs!$G$5:$G$180="moeda")+(Inputs!$G$5:$G$180="acoes"))*Inputs!$B$1+((Inputs!$G$5:$G$180&lt;&gt;"moeda")*(Inputs!$G$5:$G$180&lt;&gt;"acoes")))*INDEX(Inputs!$K$5:$AJ$180,0,MATCH(Z$2,Inputs!$K$4:$AJ$4,0)))))</f>
        <v>4.41280385</v>
      </c>
      <c r="AA55" s="264">
        <f>IF(ISNA(MATCH(AA$2,Inputs!$K$4:$AJ$4,0)),NA(),IF(SUMPRODUCT((Inputs!$A$5:$A$180=$B55)*ISNUMBER(INDEX(Inputs!$K$5:$AJ$180,0,MATCH(AA$2,Inputs!$K$4:$AJ$4,0))))+SUMPRODUCT((Inputs!$C$5:$C$180=$B55)*ISNUMBER(INDEX(Inputs!$K$5:$AJ$180,0,MATCH(AA$2,Inputs!$K$4:$AJ$4,0))))+SUMPRODUCT((Inputs!$E$5:$E$180=$B55)*ISNUMBER(INDEX(Inputs!$K$5:$AJ$180,0,MATCH(AA$2,Inputs!$K$4:$AJ$4,0))))=0,NA(),SUMPRODUCT((Inputs!$A$5:$A$180=$B55)*Inputs!$B$5:$B$180*(((Inputs!$G$5:$G$180="moeda")+(Inputs!$G$5:$G$180="acoes"))*Inputs!$B$1+((Inputs!$G$5:$G$180&lt;&gt;"moeda")*(Inputs!$G$5:$G$180&lt;&gt;"acoes")))*INDEX(Inputs!$K$5:$AJ$180,0,MATCH(AA$2,Inputs!$K$4:$AJ$4,0)))+SUMPRODUCT((Inputs!$C$5:$C$180=$B55)*Inputs!$D$5:$D$180*(((Inputs!$G$5:$G$180="moeda")+(Inputs!$G$5:$G$180="acoes"))*Inputs!$B$1+((Inputs!$G$5:$G$180&lt;&gt;"moeda")*(Inputs!$G$5:$G$180&lt;&gt;"acoes")))*INDEX(Inputs!$K$5:$AJ$180,0,MATCH(AA$2,Inputs!$K$4:$AJ$4,0)))+SUMPRODUCT((Inputs!$E$5:$E$180=$B55)*Inputs!$F$5:$F$180*(((Inputs!$G$5:$G$180="moeda")+(Inputs!$G$5:$G$180="acoes"))*Inputs!$B$1+((Inputs!$G$5:$G$180&lt;&gt;"moeda")*(Inputs!$G$5:$G$180&lt;&gt;"acoes")))*INDEX(Inputs!$K$5:$AJ$180,0,MATCH(AA$2,Inputs!$K$4:$AJ$4,0)))))</f>
        <v>6.985</v>
      </c>
      <c r="AB55" s="265">
        <f>SUM(X55:AA55)</f>
        <v>19.62600722</v>
      </c>
      <c r="AC55" s="264">
        <f>IF(ISNA(MATCH(AC$2,Inputs!$K$4:$AJ$4,0)),NA(),IF(SUMPRODUCT((Inputs!$A$5:$A$180=$B55)*ISNUMBER(INDEX(Inputs!$K$5:$AJ$180,0,MATCH(AC$2,Inputs!$K$4:$AJ$4,0))))+SUMPRODUCT((Inputs!$C$5:$C$180=$B55)*ISNUMBER(INDEX(Inputs!$K$5:$AJ$180,0,MATCH(AC$2,Inputs!$K$4:$AJ$4,0))))+SUMPRODUCT((Inputs!$E$5:$E$180=$B55)*ISNUMBER(INDEX(Inputs!$K$5:$AJ$180,0,MATCH(AC$2,Inputs!$K$4:$AJ$4,0))))=0,NA(),SUMPRODUCT((Inputs!$A$5:$A$180=$B55)*Inputs!$B$5:$B$180*(((Inputs!$G$5:$G$180="moeda")+(Inputs!$G$5:$G$180="acoes"))*Inputs!$B$1+((Inputs!$G$5:$G$180&lt;&gt;"moeda")*(Inputs!$G$5:$G$180&lt;&gt;"acoes")))*INDEX(Inputs!$K$5:$AJ$180,0,MATCH(AC$2,Inputs!$K$4:$AJ$4,0)))+SUMPRODUCT((Inputs!$C$5:$C$180=$B55)*Inputs!$D$5:$D$180*(((Inputs!$G$5:$G$180="moeda")+(Inputs!$G$5:$G$180="acoes"))*Inputs!$B$1+((Inputs!$G$5:$G$180&lt;&gt;"moeda")*(Inputs!$G$5:$G$180&lt;&gt;"acoes")))*INDEX(Inputs!$K$5:$AJ$180,0,MATCH(AC$2,Inputs!$K$4:$AJ$4,0)))+SUMPRODUCT((Inputs!$E$5:$E$180=$B55)*Inputs!$F$5:$F$180*(((Inputs!$G$5:$G$180="moeda")+(Inputs!$G$5:$G$180="acoes"))*Inputs!$B$1+((Inputs!$G$5:$G$180&lt;&gt;"moeda")*(Inputs!$G$5:$G$180&lt;&gt;"acoes")))*INDEX(Inputs!$K$5:$AJ$180,0,MATCH(AC$2,Inputs!$K$4:$AJ$4,0)))))</f>
        <v>3.92527966</v>
      </c>
      <c r="AD55" s="264">
        <f>IF(ISNA(MATCH(AD$2,Inputs!$K$4:$AJ$4,0)),NA(),IF(SUMPRODUCT((Inputs!$A$5:$A$180=$B55)*ISNUMBER(INDEX(Inputs!$K$5:$AJ$180,0,MATCH(AD$2,Inputs!$K$4:$AJ$4,0))))+SUMPRODUCT((Inputs!$C$5:$C$180=$B55)*ISNUMBER(INDEX(Inputs!$K$5:$AJ$180,0,MATCH(AD$2,Inputs!$K$4:$AJ$4,0))))+SUMPRODUCT((Inputs!$E$5:$E$180=$B55)*ISNUMBER(INDEX(Inputs!$K$5:$AJ$180,0,MATCH(AD$2,Inputs!$K$4:$AJ$4,0))))=0,NA(),SUMPRODUCT((Inputs!$A$5:$A$180=$B55)*Inputs!$B$5:$B$180*(((Inputs!$G$5:$G$180="moeda")+(Inputs!$G$5:$G$180="acoes"))*Inputs!$B$1+((Inputs!$G$5:$G$180&lt;&gt;"moeda")*(Inputs!$G$5:$G$180&lt;&gt;"acoes")))*INDEX(Inputs!$K$5:$AJ$180,0,MATCH(AD$2,Inputs!$K$4:$AJ$4,0)))+SUMPRODUCT((Inputs!$C$5:$C$180=$B55)*Inputs!$D$5:$D$180*(((Inputs!$G$5:$G$180="moeda")+(Inputs!$G$5:$G$180="acoes"))*Inputs!$B$1+((Inputs!$G$5:$G$180&lt;&gt;"moeda")*(Inputs!$G$5:$G$180&lt;&gt;"acoes")))*INDEX(Inputs!$K$5:$AJ$180,0,MATCH(AD$2,Inputs!$K$4:$AJ$4,0)))+SUMPRODUCT((Inputs!$E$5:$E$180=$B55)*Inputs!$F$5:$F$180*(((Inputs!$G$5:$G$180="moeda")+(Inputs!$G$5:$G$180="acoes"))*Inputs!$B$1+((Inputs!$G$5:$G$180&lt;&gt;"moeda")*(Inputs!$G$5:$G$180&lt;&gt;"acoes")))*INDEX(Inputs!$K$5:$AJ$180,0,MATCH(AD$2,Inputs!$K$4:$AJ$4,0)))))</f>
        <v>5.31990564</v>
      </c>
      <c r="AE55" s="264" t="e">
        <f>IF(ISNA(MATCH(AE$2,Inputs!$K$4:$AJ$4,0)),NA(),IF(SUMPRODUCT((Inputs!$A$5:$A$180=$B55)*ISNUMBER(INDEX(Inputs!$K$5:$AJ$180,0,MATCH(AE$2,Inputs!$K$4:$AJ$4,0))))+SUMPRODUCT((Inputs!$C$5:$C$180=$B55)*ISNUMBER(INDEX(Inputs!$K$5:$AJ$180,0,MATCH(AE$2,Inputs!$K$4:$AJ$4,0))))+SUMPRODUCT((Inputs!$E$5:$E$180=$B55)*ISNUMBER(INDEX(Inputs!$K$5:$AJ$180,0,MATCH(AE$2,Inputs!$K$4:$AJ$4,0))))=0,NA(),SUMPRODUCT((Inputs!$A$5:$A$180=$B55)*Inputs!$B$5:$B$180*(((Inputs!$G$5:$G$180="moeda")+(Inputs!$G$5:$G$180="acoes"))*Inputs!$B$1+((Inputs!$G$5:$G$180&lt;&gt;"moeda")*(Inputs!$G$5:$G$180&lt;&gt;"acoes")))*INDEX(Inputs!$K$5:$AJ$180,0,MATCH(AE$2,Inputs!$K$4:$AJ$4,0)))+SUMPRODUCT((Inputs!$C$5:$C$180=$B55)*Inputs!$D$5:$D$180*(((Inputs!$G$5:$G$180="moeda")+(Inputs!$G$5:$G$180="acoes"))*Inputs!$B$1+((Inputs!$G$5:$G$180&lt;&gt;"moeda")*(Inputs!$G$5:$G$180&lt;&gt;"acoes")))*INDEX(Inputs!$K$5:$AJ$180,0,MATCH(AE$2,Inputs!$K$4:$AJ$4,0)))+SUMPRODUCT((Inputs!$E$5:$E$180=$B55)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5" s="264" t="e">
        <f>IF(ISNA(MATCH(AF$2,Inputs!$K$4:$AJ$4,0)),NA(),IF(SUMPRODUCT((Inputs!$A$5:$A$180=$B55)*ISNUMBER(INDEX(Inputs!$K$5:$AJ$180,0,MATCH(AF$2,Inputs!$K$4:$AJ$4,0))))+SUMPRODUCT((Inputs!$C$5:$C$180=$B55)*ISNUMBER(INDEX(Inputs!$K$5:$AJ$180,0,MATCH(AF$2,Inputs!$K$4:$AJ$4,0))))+SUMPRODUCT((Inputs!$E$5:$E$180=$B55)*ISNUMBER(INDEX(Inputs!$K$5:$AJ$180,0,MATCH(AF$2,Inputs!$K$4:$AJ$4,0))))=0,NA(),SUMPRODUCT((Inputs!$A$5:$A$180=$B55)*Inputs!$B$5:$B$180*(((Inputs!$G$5:$G$180="moeda")+(Inputs!$G$5:$G$180="acoes"))*Inputs!$B$1+((Inputs!$G$5:$G$180&lt;&gt;"moeda")*(Inputs!$G$5:$G$180&lt;&gt;"acoes")))*INDEX(Inputs!$K$5:$AJ$180,0,MATCH(AF$2,Inputs!$K$4:$AJ$4,0)))+SUMPRODUCT((Inputs!$C$5:$C$180=$B55)*Inputs!$D$5:$D$180*(((Inputs!$G$5:$G$180="moeda")+(Inputs!$G$5:$G$180="acoes"))*Inputs!$B$1+((Inputs!$G$5:$G$180&lt;&gt;"moeda")*(Inputs!$G$5:$G$180&lt;&gt;"acoes")))*INDEX(Inputs!$K$5:$AJ$180,0,MATCH(AF$2,Inputs!$K$4:$AJ$4,0)))+SUMPRODUCT((Inputs!$E$5:$E$180=$B55)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5" s="265" t="e">
        <f>SUM(AC55:AF55)</f>
        <v>#N/A</v>
      </c>
      <c r="AH55" s="264">
        <f>IF(ISNA(MATCH(AH$2,Inputs!$K$4:$AJ$4,0)),NA(),IF(SUMPRODUCT((Inputs!$A$5:$A$180=$B55)*ISNUMBER(INDEX(Inputs!$K$5:$AJ$180,0,MATCH(AH$2,Inputs!$K$4:$AJ$4,0))))+SUMPRODUCT((Inputs!$C$5:$C$180=$B55)*ISNUMBER(INDEX(Inputs!$K$5:$AJ$180,0,MATCH(AH$2,Inputs!$K$4:$AJ$4,0))))+SUMPRODUCT((Inputs!$E$5:$E$180=$B55)*ISNUMBER(INDEX(Inputs!$K$5:$AJ$180,0,MATCH(AH$2,Inputs!$K$4:$AJ$4,0))))=0,NA(),SUMPRODUCT((Inputs!$A$5:$A$180=$B55)*Inputs!$B$5:$B$180*(((Inputs!$G$5:$G$180="moeda")+(Inputs!$G$5:$G$180="acoes"))*Inputs!$B$1+((Inputs!$G$5:$G$180&lt;&gt;"moeda")*(Inputs!$G$5:$G$180&lt;&gt;"acoes")))*INDEX(Inputs!$K$5:$AJ$180,0,MATCH(AH$2,Inputs!$K$4:$AJ$4,0)))+SUMPRODUCT((Inputs!$C$5:$C$180=$B55)*Inputs!$D$5:$D$180*(((Inputs!$G$5:$G$180="moeda")+(Inputs!$G$5:$G$180="acoes"))*Inputs!$B$1+((Inputs!$G$5:$G$180&lt;&gt;"moeda")*(Inputs!$G$5:$G$180&lt;&gt;"acoes")))*INDEX(Inputs!$K$5:$AJ$180,0,MATCH(AH$2,Inputs!$K$4:$AJ$4,0)))+SUMPRODUCT((Inputs!$E$5:$E$180=$B55)*Inputs!$F$5:$F$180*(((Inputs!$G$5:$G$180="moeda")+(Inputs!$G$5:$G$180="acoes"))*Inputs!$B$1+((Inputs!$G$5:$G$180&lt;&gt;"moeda")*(Inputs!$G$5:$G$180&lt;&gt;"acoes")))*INDEX(Inputs!$K$5:$AJ$180,0,MATCH(AH$2,Inputs!$K$4:$AJ$4,0)))))</f>
        <v>12.41026759</v>
      </c>
      <c r="AI55" s="264">
        <f>IF(ISNA(MATCH(AI$2,Inputs!$K$4:$AJ$4,0)),NA(),IF(SUMPRODUCT((Inputs!$A$5:$A$180=$B55)*ISNUMBER(INDEX(Inputs!$K$5:$AJ$180,0,MATCH(AI$2,Inputs!$K$4:$AJ$4,0))))+SUMPRODUCT((Inputs!$C$5:$C$180=$B55)*ISNUMBER(INDEX(Inputs!$K$5:$AJ$180,0,MATCH(AI$2,Inputs!$K$4:$AJ$4,0))))+SUMPRODUCT((Inputs!$E$5:$E$180=$B55)*ISNUMBER(INDEX(Inputs!$K$5:$AJ$180,0,MATCH(AI$2,Inputs!$K$4:$AJ$4,0))))=0,NA(),SUMPRODUCT((Inputs!$A$5:$A$180=$B55)*Inputs!$B$5:$B$180*(((Inputs!$G$5:$G$180="moeda")+(Inputs!$G$5:$G$180="acoes"))*Inputs!$B$1+((Inputs!$G$5:$G$180&lt;&gt;"moeda")*(Inputs!$G$5:$G$180&lt;&gt;"acoes")))*INDEX(Inputs!$K$5:$AJ$180,0,MATCH(AI$2,Inputs!$K$4:$AJ$4,0)))+SUMPRODUCT((Inputs!$C$5:$C$180=$B55)*Inputs!$D$5:$D$180*(((Inputs!$G$5:$G$180="moeda")+(Inputs!$G$5:$G$180="acoes"))*Inputs!$B$1+((Inputs!$G$5:$G$180&lt;&gt;"moeda")*(Inputs!$G$5:$G$180&lt;&gt;"acoes")))*INDEX(Inputs!$K$5:$AJ$180,0,MATCH(AI$2,Inputs!$K$4:$AJ$4,0)))+SUMPRODUCT((Inputs!$E$5:$E$180=$B55)*Inputs!$F$5:$F$180*(((Inputs!$G$5:$G$180="moeda")+(Inputs!$G$5:$G$180="acoes"))*Inputs!$B$1+((Inputs!$G$5:$G$180&lt;&gt;"moeda")*(Inputs!$G$5:$G$180&lt;&gt;"acoes")))*INDEX(Inputs!$K$5:$AJ$180,0,MATCH(AI$2,Inputs!$K$4:$AJ$4,0)))))</f>
        <v>1.29665423</v>
      </c>
      <c r="AJ55" s="264">
        <f>IF(ISNA(MATCH(AJ$2,Inputs!$K$4:$AJ$4,0)),NA(),IF(SUMPRODUCT((Inputs!$A$5:$A$180=$B55)*ISNUMBER(INDEX(Inputs!$K$5:$AJ$180,0,MATCH(AJ$2,Inputs!$K$4:$AJ$4,0))))+SUMPRODUCT((Inputs!$C$5:$C$180=$B55)*ISNUMBER(INDEX(Inputs!$K$5:$AJ$180,0,MATCH(AJ$2,Inputs!$K$4:$AJ$4,0))))+SUMPRODUCT((Inputs!$E$5:$E$180=$B55)*ISNUMBER(INDEX(Inputs!$K$5:$AJ$180,0,MATCH(AJ$2,Inputs!$K$4:$AJ$4,0))))=0,NA(),SUMPRODUCT((Inputs!$A$5:$A$180=$B55)*Inputs!$B$5:$B$180*(((Inputs!$G$5:$G$180="moeda")+(Inputs!$G$5:$G$180="acoes"))*Inputs!$B$1+((Inputs!$G$5:$G$180&lt;&gt;"moeda")*(Inputs!$G$5:$G$180&lt;&gt;"acoes")))*INDEX(Inputs!$K$5:$AJ$180,0,MATCH(AJ$2,Inputs!$K$4:$AJ$4,0)))+SUMPRODUCT((Inputs!$C$5:$C$180=$B55)*Inputs!$D$5:$D$180*(((Inputs!$G$5:$G$180="moeda")+(Inputs!$G$5:$G$180="acoes"))*Inputs!$B$1+((Inputs!$G$5:$G$180&lt;&gt;"moeda")*(Inputs!$G$5:$G$180&lt;&gt;"acoes")))*INDEX(Inputs!$K$5:$AJ$180,0,MATCH(AJ$2,Inputs!$K$4:$AJ$4,0)))+SUMPRODUCT((Inputs!$E$5:$E$180=$B55)*Inputs!$F$5:$F$180*(((Inputs!$G$5:$G$180="moeda")+(Inputs!$G$5:$G$180="acoes"))*Inputs!$B$1+((Inputs!$G$5:$G$180&lt;&gt;"moeda")*(Inputs!$G$5:$G$180&lt;&gt;"acoes")))*INDEX(Inputs!$K$5:$AJ$180,0,MATCH(AJ$2,Inputs!$K$4:$AJ$4,0)))))</f>
        <v>9.41599006</v>
      </c>
      <c r="AK55" s="264">
        <f>IF(ISNA(MATCH(AK$2,Inputs!$K$4:$AJ$4,0)),NA(),IF(SUMPRODUCT((Inputs!$A$5:$A$180=$B55)*ISNUMBER(INDEX(Inputs!$K$5:$AJ$180,0,MATCH(AK$2,Inputs!$K$4:$AJ$4,0))))+SUMPRODUCT((Inputs!$C$5:$C$180=$B55)*ISNUMBER(INDEX(Inputs!$K$5:$AJ$180,0,MATCH(AK$2,Inputs!$K$4:$AJ$4,0))))+SUMPRODUCT((Inputs!$E$5:$E$180=$B55)*ISNUMBER(INDEX(Inputs!$K$5:$AJ$180,0,MATCH(AK$2,Inputs!$K$4:$AJ$4,0))))=0,NA(),SUMPRODUCT((Inputs!$A$5:$A$180=$B55)*Inputs!$B$5:$B$180*(((Inputs!$G$5:$G$180="moeda")+(Inputs!$G$5:$G$180="acoes"))*Inputs!$B$1+((Inputs!$G$5:$G$180&lt;&gt;"moeda")*(Inputs!$G$5:$G$180&lt;&gt;"acoes")))*INDEX(Inputs!$K$5:$AJ$180,0,MATCH(AK$2,Inputs!$K$4:$AJ$4,0)))+SUMPRODUCT((Inputs!$C$5:$C$180=$B55)*Inputs!$D$5:$D$180*(((Inputs!$G$5:$G$180="moeda")+(Inputs!$G$5:$G$180="acoes"))*Inputs!$B$1+((Inputs!$G$5:$G$180&lt;&gt;"moeda")*(Inputs!$G$5:$G$180&lt;&gt;"acoes")))*INDEX(Inputs!$K$5:$AJ$180,0,MATCH(AK$2,Inputs!$K$4:$AJ$4,0)))+SUMPRODUCT((Inputs!$E$5:$E$180=$B55)*Inputs!$F$5:$F$180*(((Inputs!$G$5:$G$180="moeda")+(Inputs!$G$5:$G$180="acoes"))*Inputs!$B$1+((Inputs!$G$5:$G$180&lt;&gt;"moeda")*(Inputs!$G$5:$G$180&lt;&gt;"acoes")))*INDEX(Inputs!$K$5:$AJ$180,0,MATCH(AK$2,Inputs!$K$4:$AJ$4,0)))))</f>
        <v>22.91751429</v>
      </c>
      <c r="AL55" s="265">
        <f>SUM(AH55:AK55)</f>
        <v>46.04042617</v>
      </c>
    </row>
    <row r="56">
      <c r="B56" s="46" t="n">
        <v>48</v>
      </c>
      <c r="C56" s="29" t="inlineStr">
        <is>
          <t>Receita bruta liq. de devolucoes - Plataforma digital (l.20)</t>
        </is>
      </c>
      <c r="D56" s="264">
        <f>IF(ISNA(MATCH(D$2,Inputs!$K$4:$AJ$4,0)),NA(),IF(SUMPRODUCT((Inputs!$A$5:$A$180=$B56)*ISNUMBER(INDEX(Inputs!$K$5:$AJ$180,0,MATCH(D$2,Inputs!$K$4:$AJ$4,0))))+SUMPRODUCT((Inputs!$C$5:$C$180=$B56)*ISNUMBER(INDEX(Inputs!$K$5:$AJ$180,0,MATCH(D$2,Inputs!$K$4:$AJ$4,0))))+SUMPRODUCT((Inputs!$E$5:$E$180=$B56)*ISNUMBER(INDEX(Inputs!$K$5:$AJ$180,0,MATCH(D$2,Inputs!$K$4:$AJ$4,0))))=0,NA(),SUMPRODUCT((Inputs!$A$5:$A$180=$B56)*Inputs!$B$5:$B$180*(((Inputs!$G$5:$G$180="moeda")+(Inputs!$G$5:$G$180="acoes"))*Inputs!$B$1+((Inputs!$G$5:$G$180&lt;&gt;"moeda")*(Inputs!$G$5:$G$180&lt;&gt;"acoes")))*INDEX(Inputs!$K$5:$AJ$180,0,MATCH(D$2,Inputs!$K$4:$AJ$4,0)))+SUMPRODUCT((Inputs!$C$5:$C$180=$B56)*Inputs!$D$5:$D$180*(((Inputs!$G$5:$G$180="moeda")+(Inputs!$G$5:$G$180="acoes"))*Inputs!$B$1+((Inputs!$G$5:$G$180&lt;&gt;"moeda")*(Inputs!$G$5:$G$180&lt;&gt;"acoes")))*INDEX(Inputs!$K$5:$AJ$180,0,MATCH(D$2,Inputs!$K$4:$AJ$4,0)))+SUMPRODUCT((Inputs!$E$5:$E$180=$B56)*Inputs!$F$5:$F$180*(((Inputs!$G$5:$G$180="moeda")+(Inputs!$G$5:$G$180="acoes"))*Inputs!$B$1+((Inputs!$G$5:$G$180&lt;&gt;"moeda")*(Inputs!$G$5:$G$180&lt;&gt;"acoes")))*INDEX(Inputs!$K$5:$AJ$180,0,MATCH(D$2,Inputs!$K$4:$AJ$4,0)))))</f>
        <v>57.93</v>
      </c>
      <c r="E56" s="264">
        <f>IF(ISNA(MATCH(E$2,Inputs!$K$4:$AJ$4,0)),NA(),IF(SUMPRODUCT((Inputs!$A$5:$A$180=$B56)*ISNUMBER(INDEX(Inputs!$K$5:$AJ$180,0,MATCH(E$2,Inputs!$K$4:$AJ$4,0))))+SUMPRODUCT((Inputs!$C$5:$C$180=$B56)*ISNUMBER(INDEX(Inputs!$K$5:$AJ$180,0,MATCH(E$2,Inputs!$K$4:$AJ$4,0))))+SUMPRODUCT((Inputs!$E$5:$E$180=$B56)*ISNUMBER(INDEX(Inputs!$K$5:$AJ$180,0,MATCH(E$2,Inputs!$K$4:$AJ$4,0))))=0,NA(),SUMPRODUCT((Inputs!$A$5:$A$180=$B56)*Inputs!$B$5:$B$180*(((Inputs!$G$5:$G$180="moeda")+(Inputs!$G$5:$G$180="acoes"))*Inputs!$B$1+((Inputs!$G$5:$G$180&lt;&gt;"moeda")*(Inputs!$G$5:$G$180&lt;&gt;"acoes")))*INDEX(Inputs!$K$5:$AJ$180,0,MATCH(E$2,Inputs!$K$4:$AJ$4,0)))+SUMPRODUCT((Inputs!$C$5:$C$180=$B56)*Inputs!$D$5:$D$180*(((Inputs!$G$5:$G$180="moeda")+(Inputs!$G$5:$G$180="acoes"))*Inputs!$B$1+((Inputs!$G$5:$G$180&lt;&gt;"moeda")*(Inputs!$G$5:$G$180&lt;&gt;"acoes")))*INDEX(Inputs!$K$5:$AJ$180,0,MATCH(E$2,Inputs!$K$4:$AJ$4,0)))+SUMPRODUCT((Inputs!$E$5:$E$180=$B56)*Inputs!$F$5:$F$180*(((Inputs!$G$5:$G$180="moeda")+(Inputs!$G$5:$G$180="acoes"))*Inputs!$B$1+((Inputs!$G$5:$G$180&lt;&gt;"moeda")*(Inputs!$G$5:$G$180&lt;&gt;"acoes")))*INDEX(Inputs!$K$5:$AJ$180,0,MATCH(E$2,Inputs!$K$4:$AJ$4,0)))))</f>
        <v>78.8645</v>
      </c>
      <c r="F56" s="264">
        <f>IF(ISNA(MATCH(F$2,Inputs!$K$4:$AJ$4,0)),NA(),IF(SUMPRODUCT((Inputs!$A$5:$A$180=$B56)*ISNUMBER(INDEX(Inputs!$K$5:$AJ$180,0,MATCH(F$2,Inputs!$K$4:$AJ$4,0))))+SUMPRODUCT((Inputs!$C$5:$C$180=$B56)*ISNUMBER(INDEX(Inputs!$K$5:$AJ$180,0,MATCH(F$2,Inputs!$K$4:$AJ$4,0))))+SUMPRODUCT((Inputs!$E$5:$E$180=$B56)*ISNUMBER(INDEX(Inputs!$K$5:$AJ$180,0,MATCH(F$2,Inputs!$K$4:$AJ$4,0))))=0,NA(),SUMPRODUCT((Inputs!$A$5:$A$180=$B56)*Inputs!$B$5:$B$180*(((Inputs!$G$5:$G$180="moeda")+(Inputs!$G$5:$G$180="acoes"))*Inputs!$B$1+((Inputs!$G$5:$G$180&lt;&gt;"moeda")*(Inputs!$G$5:$G$180&lt;&gt;"acoes")))*INDEX(Inputs!$K$5:$AJ$180,0,MATCH(F$2,Inputs!$K$4:$AJ$4,0)))+SUMPRODUCT((Inputs!$C$5:$C$180=$B56)*Inputs!$D$5:$D$180*(((Inputs!$G$5:$G$180="moeda")+(Inputs!$G$5:$G$180="acoes"))*Inputs!$B$1+((Inputs!$G$5:$G$180&lt;&gt;"moeda")*(Inputs!$G$5:$G$180&lt;&gt;"acoes")))*INDEX(Inputs!$K$5:$AJ$180,0,MATCH(F$2,Inputs!$K$4:$AJ$4,0)))+SUMPRODUCT((Inputs!$E$5:$E$180=$B56)*Inputs!$F$5:$F$180*(((Inputs!$G$5:$G$180="moeda")+(Inputs!$G$5:$G$180="acoes"))*Inputs!$B$1+((Inputs!$G$5:$G$180&lt;&gt;"moeda")*(Inputs!$G$5:$G$180&lt;&gt;"acoes")))*INDEX(Inputs!$K$5:$AJ$180,0,MATCH(F$2,Inputs!$K$4:$AJ$4,0)))))</f>
        <v>59.79244</v>
      </c>
      <c r="G56" s="264">
        <f>IF(ISNA(MATCH(G$2,Inputs!$K$4:$AJ$4,0)),NA(),IF(SUMPRODUCT((Inputs!$A$5:$A$180=$B56)*ISNUMBER(INDEX(Inputs!$K$5:$AJ$180,0,MATCH(G$2,Inputs!$K$4:$AJ$4,0))))+SUMPRODUCT((Inputs!$C$5:$C$180=$B56)*ISNUMBER(INDEX(Inputs!$K$5:$AJ$180,0,MATCH(G$2,Inputs!$K$4:$AJ$4,0))))+SUMPRODUCT((Inputs!$E$5:$E$180=$B56)*ISNUMBER(INDEX(Inputs!$K$5:$AJ$180,0,MATCH(G$2,Inputs!$K$4:$AJ$4,0))))=0,NA(),SUMPRODUCT((Inputs!$A$5:$A$180=$B56)*Inputs!$B$5:$B$180*(((Inputs!$G$5:$G$180="moeda")+(Inputs!$G$5:$G$180="acoes"))*Inputs!$B$1+((Inputs!$G$5:$G$180&lt;&gt;"moeda")*(Inputs!$G$5:$G$180&lt;&gt;"acoes")))*INDEX(Inputs!$K$5:$AJ$180,0,MATCH(G$2,Inputs!$K$4:$AJ$4,0)))+SUMPRODUCT((Inputs!$C$5:$C$180=$B56)*Inputs!$D$5:$D$180*(((Inputs!$G$5:$G$180="moeda")+(Inputs!$G$5:$G$180="acoes"))*Inputs!$B$1+((Inputs!$G$5:$G$180&lt;&gt;"moeda")*(Inputs!$G$5:$G$180&lt;&gt;"acoes")))*INDEX(Inputs!$K$5:$AJ$180,0,MATCH(G$2,Inputs!$K$4:$AJ$4,0)))+SUMPRODUCT((Inputs!$E$5:$E$180=$B56)*Inputs!$F$5:$F$180*(((Inputs!$G$5:$G$180="moeda")+(Inputs!$G$5:$G$180="acoes"))*Inputs!$B$1+((Inputs!$G$5:$G$180&lt;&gt;"moeda")*(Inputs!$G$5:$G$180&lt;&gt;"acoes")))*INDEX(Inputs!$K$5:$AJ$180,0,MATCH(G$2,Inputs!$K$4:$AJ$4,0)))))</f>
        <v>109.684</v>
      </c>
      <c r="H56" s="265">
        <f>SUM(D56:G56)</f>
        <v>306.27094</v>
      </c>
      <c r="I56" s="264">
        <f>IF(ISNA(MATCH(I$2,Inputs!$K$4:$AJ$4,0)),NA(),IF(SUMPRODUCT((Inputs!$A$5:$A$180=$B56)*ISNUMBER(INDEX(Inputs!$K$5:$AJ$180,0,MATCH(I$2,Inputs!$K$4:$AJ$4,0))))+SUMPRODUCT((Inputs!$C$5:$C$180=$B56)*ISNUMBER(INDEX(Inputs!$K$5:$AJ$180,0,MATCH(I$2,Inputs!$K$4:$AJ$4,0))))+SUMPRODUCT((Inputs!$E$5:$E$180=$B56)*ISNUMBER(INDEX(Inputs!$K$5:$AJ$180,0,MATCH(I$2,Inputs!$K$4:$AJ$4,0))))=0,NA(),SUMPRODUCT((Inputs!$A$5:$A$180=$B56)*Inputs!$B$5:$B$180*(((Inputs!$G$5:$G$180="moeda")+(Inputs!$G$5:$G$180="acoes"))*Inputs!$B$1+((Inputs!$G$5:$G$180&lt;&gt;"moeda")*(Inputs!$G$5:$G$180&lt;&gt;"acoes")))*INDEX(Inputs!$K$5:$AJ$180,0,MATCH(I$2,Inputs!$K$4:$AJ$4,0)))+SUMPRODUCT((Inputs!$C$5:$C$180=$B56)*Inputs!$D$5:$D$180*(((Inputs!$G$5:$G$180="moeda")+(Inputs!$G$5:$G$180="acoes"))*Inputs!$B$1+((Inputs!$G$5:$G$180&lt;&gt;"moeda")*(Inputs!$G$5:$G$180&lt;&gt;"acoes")))*INDEX(Inputs!$K$5:$AJ$180,0,MATCH(I$2,Inputs!$K$4:$AJ$4,0)))+SUMPRODUCT((Inputs!$E$5:$E$180=$B56)*Inputs!$F$5:$F$180*(((Inputs!$G$5:$G$180="moeda")+(Inputs!$G$5:$G$180="acoes"))*Inputs!$B$1+((Inputs!$G$5:$G$180&lt;&gt;"moeda")*(Inputs!$G$5:$G$180&lt;&gt;"acoes")))*INDEX(Inputs!$K$5:$AJ$180,0,MATCH(I$2,Inputs!$K$4:$AJ$4,0)))))</f>
        <v>51.605</v>
      </c>
      <c r="J56" s="264">
        <f>IF(ISNA(MATCH(J$2,Inputs!$K$4:$AJ$4,0)),NA(),IF(SUMPRODUCT((Inputs!$A$5:$A$180=$B56)*ISNUMBER(INDEX(Inputs!$K$5:$AJ$180,0,MATCH(J$2,Inputs!$K$4:$AJ$4,0))))+SUMPRODUCT((Inputs!$C$5:$C$180=$B56)*ISNUMBER(INDEX(Inputs!$K$5:$AJ$180,0,MATCH(J$2,Inputs!$K$4:$AJ$4,0))))+SUMPRODUCT((Inputs!$E$5:$E$180=$B56)*ISNUMBER(INDEX(Inputs!$K$5:$AJ$180,0,MATCH(J$2,Inputs!$K$4:$AJ$4,0))))=0,NA(),SUMPRODUCT((Inputs!$A$5:$A$180=$B56)*Inputs!$B$5:$B$180*(((Inputs!$G$5:$G$180="moeda")+(Inputs!$G$5:$G$180="acoes"))*Inputs!$B$1+((Inputs!$G$5:$G$180&lt;&gt;"moeda")*(Inputs!$G$5:$G$180&lt;&gt;"acoes")))*INDEX(Inputs!$K$5:$AJ$180,0,MATCH(J$2,Inputs!$K$4:$AJ$4,0)))+SUMPRODUCT((Inputs!$C$5:$C$180=$B56)*Inputs!$D$5:$D$180*(((Inputs!$G$5:$G$180="moeda")+(Inputs!$G$5:$G$180="acoes"))*Inputs!$B$1+((Inputs!$G$5:$G$180&lt;&gt;"moeda")*(Inputs!$G$5:$G$180&lt;&gt;"acoes")))*INDEX(Inputs!$K$5:$AJ$180,0,MATCH(J$2,Inputs!$K$4:$AJ$4,0)))+SUMPRODUCT((Inputs!$E$5:$E$180=$B56)*Inputs!$F$5:$F$180*(((Inputs!$G$5:$G$180="moeda")+(Inputs!$G$5:$G$180="acoes"))*Inputs!$B$1+((Inputs!$G$5:$G$180&lt;&gt;"moeda")*(Inputs!$G$5:$G$180&lt;&gt;"acoes")))*INDEX(Inputs!$K$5:$AJ$180,0,MATCH(J$2,Inputs!$K$4:$AJ$4,0)))))</f>
        <v>68.028</v>
      </c>
      <c r="K56" s="264">
        <f>IF(ISNA(MATCH(K$2,Inputs!$K$4:$AJ$4,0)),NA(),IF(SUMPRODUCT((Inputs!$A$5:$A$180=$B56)*ISNUMBER(INDEX(Inputs!$K$5:$AJ$180,0,MATCH(K$2,Inputs!$K$4:$AJ$4,0))))+SUMPRODUCT((Inputs!$C$5:$C$180=$B56)*ISNUMBER(INDEX(Inputs!$K$5:$AJ$180,0,MATCH(K$2,Inputs!$K$4:$AJ$4,0))))+SUMPRODUCT((Inputs!$E$5:$E$180=$B56)*ISNUMBER(INDEX(Inputs!$K$5:$AJ$180,0,MATCH(K$2,Inputs!$K$4:$AJ$4,0))))=0,NA(),SUMPRODUCT((Inputs!$A$5:$A$180=$B56)*Inputs!$B$5:$B$180*(((Inputs!$G$5:$G$180="moeda")+(Inputs!$G$5:$G$180="acoes"))*Inputs!$B$1+((Inputs!$G$5:$G$180&lt;&gt;"moeda")*(Inputs!$G$5:$G$180&lt;&gt;"acoes")))*INDEX(Inputs!$K$5:$AJ$180,0,MATCH(K$2,Inputs!$K$4:$AJ$4,0)))+SUMPRODUCT((Inputs!$C$5:$C$180=$B56)*Inputs!$D$5:$D$180*(((Inputs!$G$5:$G$180="moeda")+(Inputs!$G$5:$G$180="acoes"))*Inputs!$B$1+((Inputs!$G$5:$G$180&lt;&gt;"moeda")*(Inputs!$G$5:$G$180&lt;&gt;"acoes")))*INDEX(Inputs!$K$5:$AJ$180,0,MATCH(K$2,Inputs!$K$4:$AJ$4,0)))+SUMPRODUCT((Inputs!$E$5:$E$180=$B56)*Inputs!$F$5:$F$180*(((Inputs!$G$5:$G$180="moeda")+(Inputs!$G$5:$G$180="acoes"))*Inputs!$B$1+((Inputs!$G$5:$G$180&lt;&gt;"moeda")*(Inputs!$G$5:$G$180&lt;&gt;"acoes")))*INDEX(Inputs!$K$5:$AJ$180,0,MATCH(K$2,Inputs!$K$4:$AJ$4,0)))))</f>
        <v>54.149</v>
      </c>
      <c r="L56" s="264">
        <f>IF(ISNA(MATCH(L$2,Inputs!$K$4:$AJ$4,0)),NA(),IF(SUMPRODUCT((Inputs!$A$5:$A$180=$B56)*ISNUMBER(INDEX(Inputs!$K$5:$AJ$180,0,MATCH(L$2,Inputs!$K$4:$AJ$4,0))))+SUMPRODUCT((Inputs!$C$5:$C$180=$B56)*ISNUMBER(INDEX(Inputs!$K$5:$AJ$180,0,MATCH(L$2,Inputs!$K$4:$AJ$4,0))))+SUMPRODUCT((Inputs!$E$5:$E$180=$B56)*ISNUMBER(INDEX(Inputs!$K$5:$AJ$180,0,MATCH(L$2,Inputs!$K$4:$AJ$4,0))))=0,NA(),SUMPRODUCT((Inputs!$A$5:$A$180=$B56)*Inputs!$B$5:$B$180*(((Inputs!$G$5:$G$180="moeda")+(Inputs!$G$5:$G$180="acoes"))*Inputs!$B$1+((Inputs!$G$5:$G$180&lt;&gt;"moeda")*(Inputs!$G$5:$G$180&lt;&gt;"acoes")))*INDEX(Inputs!$K$5:$AJ$180,0,MATCH(L$2,Inputs!$K$4:$AJ$4,0)))+SUMPRODUCT((Inputs!$C$5:$C$180=$B56)*Inputs!$D$5:$D$180*(((Inputs!$G$5:$G$180="moeda")+(Inputs!$G$5:$G$180="acoes"))*Inputs!$B$1+((Inputs!$G$5:$G$180&lt;&gt;"moeda")*(Inputs!$G$5:$G$180&lt;&gt;"acoes")))*INDEX(Inputs!$K$5:$AJ$180,0,MATCH(L$2,Inputs!$K$4:$AJ$4,0)))+SUMPRODUCT((Inputs!$E$5:$E$180=$B56)*Inputs!$F$5:$F$180*(((Inputs!$G$5:$G$180="moeda")+(Inputs!$G$5:$G$180="acoes"))*Inputs!$B$1+((Inputs!$G$5:$G$180&lt;&gt;"moeda")*(Inputs!$G$5:$G$180&lt;&gt;"acoes")))*INDEX(Inputs!$K$5:$AJ$180,0,MATCH(L$2,Inputs!$K$4:$AJ$4,0)))))</f>
        <v>132.25407364</v>
      </c>
      <c r="M56" s="265">
        <f>SUM(I56:L56)</f>
        <v>306.03607364</v>
      </c>
      <c r="N56" s="264">
        <f>IF(ISNA(MATCH(N$2,Inputs!$K$4:$AJ$4,0)),NA(),IF(SUMPRODUCT((Inputs!$A$5:$A$180=$B56)*ISNUMBER(INDEX(Inputs!$K$5:$AJ$180,0,MATCH(N$2,Inputs!$K$4:$AJ$4,0))))+SUMPRODUCT((Inputs!$C$5:$C$180=$B56)*ISNUMBER(INDEX(Inputs!$K$5:$AJ$180,0,MATCH(N$2,Inputs!$K$4:$AJ$4,0))))+SUMPRODUCT((Inputs!$E$5:$E$180=$B56)*ISNUMBER(INDEX(Inputs!$K$5:$AJ$180,0,MATCH(N$2,Inputs!$K$4:$AJ$4,0))))=0,NA(),SUMPRODUCT((Inputs!$A$5:$A$180=$B56)*Inputs!$B$5:$B$180*(((Inputs!$G$5:$G$180="moeda")+(Inputs!$G$5:$G$180="acoes"))*Inputs!$B$1+((Inputs!$G$5:$G$180&lt;&gt;"moeda")*(Inputs!$G$5:$G$180&lt;&gt;"acoes")))*INDEX(Inputs!$K$5:$AJ$180,0,MATCH(N$2,Inputs!$K$4:$AJ$4,0)))+SUMPRODUCT((Inputs!$C$5:$C$180=$B56)*Inputs!$D$5:$D$180*(((Inputs!$G$5:$G$180="moeda")+(Inputs!$G$5:$G$180="acoes"))*Inputs!$B$1+((Inputs!$G$5:$G$180&lt;&gt;"moeda")*(Inputs!$G$5:$G$180&lt;&gt;"acoes")))*INDEX(Inputs!$K$5:$AJ$180,0,MATCH(N$2,Inputs!$K$4:$AJ$4,0)))+SUMPRODUCT((Inputs!$E$5:$E$180=$B56)*Inputs!$F$5:$F$180*(((Inputs!$G$5:$G$180="moeda")+(Inputs!$G$5:$G$180="acoes"))*Inputs!$B$1+((Inputs!$G$5:$G$180&lt;&gt;"moeda")*(Inputs!$G$5:$G$180&lt;&gt;"acoes")))*INDEX(Inputs!$K$5:$AJ$180,0,MATCH(N$2,Inputs!$K$4:$AJ$4,0)))))</f>
        <v>70.476</v>
      </c>
      <c r="O56" s="264">
        <f>IF(ISNA(MATCH(O$2,Inputs!$K$4:$AJ$4,0)),NA(),IF(SUMPRODUCT((Inputs!$A$5:$A$180=$B56)*ISNUMBER(INDEX(Inputs!$K$5:$AJ$180,0,MATCH(O$2,Inputs!$K$4:$AJ$4,0))))+SUMPRODUCT((Inputs!$C$5:$C$180=$B56)*ISNUMBER(INDEX(Inputs!$K$5:$AJ$180,0,MATCH(O$2,Inputs!$K$4:$AJ$4,0))))+SUMPRODUCT((Inputs!$E$5:$E$180=$B56)*ISNUMBER(INDEX(Inputs!$K$5:$AJ$180,0,MATCH(O$2,Inputs!$K$4:$AJ$4,0))))=0,NA(),SUMPRODUCT((Inputs!$A$5:$A$180=$B56)*Inputs!$B$5:$B$180*(((Inputs!$G$5:$G$180="moeda")+(Inputs!$G$5:$G$180="acoes"))*Inputs!$B$1+((Inputs!$G$5:$G$180&lt;&gt;"moeda")*(Inputs!$G$5:$G$180&lt;&gt;"acoes")))*INDEX(Inputs!$K$5:$AJ$180,0,MATCH(O$2,Inputs!$K$4:$AJ$4,0)))+SUMPRODUCT((Inputs!$C$5:$C$180=$B56)*Inputs!$D$5:$D$180*(((Inputs!$G$5:$G$180="moeda")+(Inputs!$G$5:$G$180="acoes"))*Inputs!$B$1+((Inputs!$G$5:$G$180&lt;&gt;"moeda")*(Inputs!$G$5:$G$180&lt;&gt;"acoes")))*INDEX(Inputs!$K$5:$AJ$180,0,MATCH(O$2,Inputs!$K$4:$AJ$4,0)))+SUMPRODUCT((Inputs!$E$5:$E$180=$B56)*Inputs!$F$5:$F$180*(((Inputs!$G$5:$G$180="moeda")+(Inputs!$G$5:$G$180="acoes"))*Inputs!$B$1+((Inputs!$G$5:$G$180&lt;&gt;"moeda")*(Inputs!$G$5:$G$180&lt;&gt;"acoes")))*INDEX(Inputs!$K$5:$AJ$180,0,MATCH(O$2,Inputs!$K$4:$AJ$4,0)))))</f>
        <v>104.59</v>
      </c>
      <c r="P56" s="264">
        <f>IF(ISNA(MATCH(P$2,Inputs!$K$4:$AJ$4,0)),NA(),IF(SUMPRODUCT((Inputs!$A$5:$A$180=$B56)*ISNUMBER(INDEX(Inputs!$K$5:$AJ$180,0,MATCH(P$2,Inputs!$K$4:$AJ$4,0))))+SUMPRODUCT((Inputs!$C$5:$C$180=$B56)*ISNUMBER(INDEX(Inputs!$K$5:$AJ$180,0,MATCH(P$2,Inputs!$K$4:$AJ$4,0))))+SUMPRODUCT((Inputs!$E$5:$E$180=$B56)*ISNUMBER(INDEX(Inputs!$K$5:$AJ$180,0,MATCH(P$2,Inputs!$K$4:$AJ$4,0))))=0,NA(),SUMPRODUCT((Inputs!$A$5:$A$180=$B56)*Inputs!$B$5:$B$180*(((Inputs!$G$5:$G$180="moeda")+(Inputs!$G$5:$G$180="acoes"))*Inputs!$B$1+((Inputs!$G$5:$G$180&lt;&gt;"moeda")*(Inputs!$G$5:$G$180&lt;&gt;"acoes")))*INDEX(Inputs!$K$5:$AJ$180,0,MATCH(P$2,Inputs!$K$4:$AJ$4,0)))+SUMPRODUCT((Inputs!$C$5:$C$180=$B56)*Inputs!$D$5:$D$180*(((Inputs!$G$5:$G$180="moeda")+(Inputs!$G$5:$G$180="acoes"))*Inputs!$B$1+((Inputs!$G$5:$G$180&lt;&gt;"moeda")*(Inputs!$G$5:$G$180&lt;&gt;"acoes")))*INDEX(Inputs!$K$5:$AJ$180,0,MATCH(P$2,Inputs!$K$4:$AJ$4,0)))+SUMPRODUCT((Inputs!$E$5:$E$180=$B56)*Inputs!$F$5:$F$180*(((Inputs!$G$5:$G$180="moeda")+(Inputs!$G$5:$G$180="acoes"))*Inputs!$B$1+((Inputs!$G$5:$G$180&lt;&gt;"moeda")*(Inputs!$G$5:$G$180&lt;&gt;"acoes")))*INDEX(Inputs!$K$5:$AJ$180,0,MATCH(P$2,Inputs!$K$4:$AJ$4,0)))))</f>
        <v>88.04</v>
      </c>
      <c r="Q56" s="264">
        <f>IF(ISNA(MATCH(Q$2,Inputs!$K$4:$AJ$4,0)),NA(),IF(SUMPRODUCT((Inputs!$A$5:$A$180=$B56)*ISNUMBER(INDEX(Inputs!$K$5:$AJ$180,0,MATCH(Q$2,Inputs!$K$4:$AJ$4,0))))+SUMPRODUCT((Inputs!$C$5:$C$180=$B56)*ISNUMBER(INDEX(Inputs!$K$5:$AJ$180,0,MATCH(Q$2,Inputs!$K$4:$AJ$4,0))))+SUMPRODUCT((Inputs!$E$5:$E$180=$B56)*ISNUMBER(INDEX(Inputs!$K$5:$AJ$180,0,MATCH(Q$2,Inputs!$K$4:$AJ$4,0))))=0,NA(),SUMPRODUCT((Inputs!$A$5:$A$180=$B56)*Inputs!$B$5:$B$180*(((Inputs!$G$5:$G$180="moeda")+(Inputs!$G$5:$G$180="acoes"))*Inputs!$B$1+((Inputs!$G$5:$G$180&lt;&gt;"moeda")*(Inputs!$G$5:$G$180&lt;&gt;"acoes")))*INDEX(Inputs!$K$5:$AJ$180,0,MATCH(Q$2,Inputs!$K$4:$AJ$4,0)))+SUMPRODUCT((Inputs!$C$5:$C$180=$B56)*Inputs!$D$5:$D$180*(((Inputs!$G$5:$G$180="moeda")+(Inputs!$G$5:$G$180="acoes"))*Inputs!$B$1+((Inputs!$G$5:$G$180&lt;&gt;"moeda")*(Inputs!$G$5:$G$180&lt;&gt;"acoes")))*INDEX(Inputs!$K$5:$AJ$180,0,MATCH(Q$2,Inputs!$K$4:$AJ$4,0)))+SUMPRODUCT((Inputs!$E$5:$E$180=$B56)*Inputs!$F$5:$F$180*(((Inputs!$G$5:$G$180="moeda")+(Inputs!$G$5:$G$180="acoes"))*Inputs!$B$1+((Inputs!$G$5:$G$180&lt;&gt;"moeda")*(Inputs!$G$5:$G$180&lt;&gt;"acoes")))*INDEX(Inputs!$K$5:$AJ$180,0,MATCH(Q$2,Inputs!$K$4:$AJ$4,0)))))</f>
        <v>175.52510803</v>
      </c>
      <c r="R56" s="265">
        <f>SUM(N56:Q56)</f>
        <v>438.63110803</v>
      </c>
      <c r="S56" s="264">
        <f>IF(ISNA(MATCH(S$2,Inputs!$K$4:$AJ$4,0)),NA(),IF(SUMPRODUCT((Inputs!$A$5:$A$180=$B56)*ISNUMBER(INDEX(Inputs!$K$5:$AJ$180,0,MATCH(S$2,Inputs!$K$4:$AJ$4,0))))+SUMPRODUCT((Inputs!$C$5:$C$180=$B56)*ISNUMBER(INDEX(Inputs!$K$5:$AJ$180,0,MATCH(S$2,Inputs!$K$4:$AJ$4,0))))+SUMPRODUCT((Inputs!$E$5:$E$180=$B56)*ISNUMBER(INDEX(Inputs!$K$5:$AJ$180,0,MATCH(S$2,Inputs!$K$4:$AJ$4,0))))=0,NA(),SUMPRODUCT((Inputs!$A$5:$A$180=$B56)*Inputs!$B$5:$B$180*(((Inputs!$G$5:$G$180="moeda")+(Inputs!$G$5:$G$180="acoes"))*Inputs!$B$1+((Inputs!$G$5:$G$180&lt;&gt;"moeda")*(Inputs!$G$5:$G$180&lt;&gt;"acoes")))*INDEX(Inputs!$K$5:$AJ$180,0,MATCH(S$2,Inputs!$K$4:$AJ$4,0)))+SUMPRODUCT((Inputs!$C$5:$C$180=$B56)*Inputs!$D$5:$D$180*(((Inputs!$G$5:$G$180="moeda")+(Inputs!$G$5:$G$180="acoes"))*Inputs!$B$1+((Inputs!$G$5:$G$180&lt;&gt;"moeda")*(Inputs!$G$5:$G$180&lt;&gt;"acoes")))*INDEX(Inputs!$K$5:$AJ$180,0,MATCH(S$2,Inputs!$K$4:$AJ$4,0)))+SUMPRODUCT((Inputs!$E$5:$E$180=$B56)*Inputs!$F$5:$F$180*(((Inputs!$G$5:$G$180="moeda")+(Inputs!$G$5:$G$180="acoes"))*Inputs!$B$1+((Inputs!$G$5:$G$180&lt;&gt;"moeda")*(Inputs!$G$5:$G$180&lt;&gt;"acoes")))*INDEX(Inputs!$K$5:$AJ$180,0,MATCH(S$2,Inputs!$K$4:$AJ$4,0)))))</f>
        <v>77.57068822</v>
      </c>
      <c r="T56" s="264">
        <f>IF(ISNA(MATCH(T$2,Inputs!$K$4:$AJ$4,0)),NA(),IF(SUMPRODUCT((Inputs!$A$5:$A$180=$B56)*ISNUMBER(INDEX(Inputs!$K$5:$AJ$180,0,MATCH(T$2,Inputs!$K$4:$AJ$4,0))))+SUMPRODUCT((Inputs!$C$5:$C$180=$B56)*ISNUMBER(INDEX(Inputs!$K$5:$AJ$180,0,MATCH(T$2,Inputs!$K$4:$AJ$4,0))))+SUMPRODUCT((Inputs!$E$5:$E$180=$B56)*ISNUMBER(INDEX(Inputs!$K$5:$AJ$180,0,MATCH(T$2,Inputs!$K$4:$AJ$4,0))))=0,NA(),SUMPRODUCT((Inputs!$A$5:$A$180=$B56)*Inputs!$B$5:$B$180*(((Inputs!$G$5:$G$180="moeda")+(Inputs!$G$5:$G$180="acoes"))*Inputs!$B$1+((Inputs!$G$5:$G$180&lt;&gt;"moeda")*(Inputs!$G$5:$G$180&lt;&gt;"acoes")))*INDEX(Inputs!$K$5:$AJ$180,0,MATCH(T$2,Inputs!$K$4:$AJ$4,0)))+SUMPRODUCT((Inputs!$C$5:$C$180=$B56)*Inputs!$D$5:$D$180*(((Inputs!$G$5:$G$180="moeda")+(Inputs!$G$5:$G$180="acoes"))*Inputs!$B$1+((Inputs!$G$5:$G$180&lt;&gt;"moeda")*(Inputs!$G$5:$G$180&lt;&gt;"acoes")))*INDEX(Inputs!$K$5:$AJ$180,0,MATCH(T$2,Inputs!$K$4:$AJ$4,0)))+SUMPRODUCT((Inputs!$E$5:$E$180=$B56)*Inputs!$F$5:$F$180*(((Inputs!$G$5:$G$180="moeda")+(Inputs!$G$5:$G$180="acoes"))*Inputs!$B$1+((Inputs!$G$5:$G$180&lt;&gt;"moeda")*(Inputs!$G$5:$G$180&lt;&gt;"acoes")))*INDEX(Inputs!$K$5:$AJ$180,0,MATCH(T$2,Inputs!$K$4:$AJ$4,0)))))</f>
        <v>110.06907318</v>
      </c>
      <c r="U56" s="264">
        <f>IF(ISNA(MATCH(U$2,Inputs!$K$4:$AJ$4,0)),NA(),IF(SUMPRODUCT((Inputs!$A$5:$A$180=$B56)*ISNUMBER(INDEX(Inputs!$K$5:$AJ$180,0,MATCH(U$2,Inputs!$K$4:$AJ$4,0))))+SUMPRODUCT((Inputs!$C$5:$C$180=$B56)*ISNUMBER(INDEX(Inputs!$K$5:$AJ$180,0,MATCH(U$2,Inputs!$K$4:$AJ$4,0))))+SUMPRODUCT((Inputs!$E$5:$E$180=$B56)*ISNUMBER(INDEX(Inputs!$K$5:$AJ$180,0,MATCH(U$2,Inputs!$K$4:$AJ$4,0))))=0,NA(),SUMPRODUCT((Inputs!$A$5:$A$180=$B56)*Inputs!$B$5:$B$180*(((Inputs!$G$5:$G$180="moeda")+(Inputs!$G$5:$G$180="acoes"))*Inputs!$B$1+((Inputs!$G$5:$G$180&lt;&gt;"moeda")*(Inputs!$G$5:$G$180&lt;&gt;"acoes")))*INDEX(Inputs!$K$5:$AJ$180,0,MATCH(U$2,Inputs!$K$4:$AJ$4,0)))+SUMPRODUCT((Inputs!$C$5:$C$180=$B56)*Inputs!$D$5:$D$180*(((Inputs!$G$5:$G$180="moeda")+(Inputs!$G$5:$G$180="acoes"))*Inputs!$B$1+((Inputs!$G$5:$G$180&lt;&gt;"moeda")*(Inputs!$G$5:$G$180&lt;&gt;"acoes")))*INDEX(Inputs!$K$5:$AJ$180,0,MATCH(U$2,Inputs!$K$4:$AJ$4,0)))+SUMPRODUCT((Inputs!$E$5:$E$180=$B56)*Inputs!$F$5:$F$180*(((Inputs!$G$5:$G$180="moeda")+(Inputs!$G$5:$G$180="acoes"))*Inputs!$B$1+((Inputs!$G$5:$G$180&lt;&gt;"moeda")*(Inputs!$G$5:$G$180&lt;&gt;"acoes")))*INDEX(Inputs!$K$5:$AJ$180,0,MATCH(U$2,Inputs!$K$4:$AJ$4,0)))))</f>
        <v>100.595320940001</v>
      </c>
      <c r="V56" s="264">
        <f>IF(ISNA(MATCH(V$2,Inputs!$K$4:$AJ$4,0)),NA(),IF(SUMPRODUCT((Inputs!$A$5:$A$180=$B56)*ISNUMBER(INDEX(Inputs!$K$5:$AJ$180,0,MATCH(V$2,Inputs!$K$4:$AJ$4,0))))+SUMPRODUCT((Inputs!$C$5:$C$180=$B56)*ISNUMBER(INDEX(Inputs!$K$5:$AJ$180,0,MATCH(V$2,Inputs!$K$4:$AJ$4,0))))+SUMPRODUCT((Inputs!$E$5:$E$180=$B56)*ISNUMBER(INDEX(Inputs!$K$5:$AJ$180,0,MATCH(V$2,Inputs!$K$4:$AJ$4,0))))=0,NA(),SUMPRODUCT((Inputs!$A$5:$A$180=$B56)*Inputs!$B$5:$B$180*(((Inputs!$G$5:$G$180="moeda")+(Inputs!$G$5:$G$180="acoes"))*Inputs!$B$1+((Inputs!$G$5:$G$180&lt;&gt;"moeda")*(Inputs!$G$5:$G$180&lt;&gt;"acoes")))*INDEX(Inputs!$K$5:$AJ$180,0,MATCH(V$2,Inputs!$K$4:$AJ$4,0)))+SUMPRODUCT((Inputs!$C$5:$C$180=$B56)*Inputs!$D$5:$D$180*(((Inputs!$G$5:$G$180="moeda")+(Inputs!$G$5:$G$180="acoes"))*Inputs!$B$1+((Inputs!$G$5:$G$180&lt;&gt;"moeda")*(Inputs!$G$5:$G$180&lt;&gt;"acoes")))*INDEX(Inputs!$K$5:$AJ$180,0,MATCH(V$2,Inputs!$K$4:$AJ$4,0)))+SUMPRODUCT((Inputs!$E$5:$E$180=$B56)*Inputs!$F$5:$F$180*(((Inputs!$G$5:$G$180="moeda")+(Inputs!$G$5:$G$180="acoes"))*Inputs!$B$1+((Inputs!$G$5:$G$180&lt;&gt;"moeda")*(Inputs!$G$5:$G$180&lt;&gt;"acoes")))*INDEX(Inputs!$K$5:$AJ$180,0,MATCH(V$2,Inputs!$K$4:$AJ$4,0)))))</f>
        <v>181.5935</v>
      </c>
      <c r="W56" s="265">
        <f>SUM(S56:V56)</f>
        <v>469.828582340001</v>
      </c>
      <c r="X56" s="264">
        <f>IF(ISNA(MATCH(X$2,Inputs!$K$4:$AJ$4,0)),NA(),IF(SUMPRODUCT((Inputs!$A$5:$A$180=$B56)*ISNUMBER(INDEX(Inputs!$K$5:$AJ$180,0,MATCH(X$2,Inputs!$K$4:$AJ$4,0))))+SUMPRODUCT((Inputs!$C$5:$C$180=$B56)*ISNUMBER(INDEX(Inputs!$K$5:$AJ$180,0,MATCH(X$2,Inputs!$K$4:$AJ$4,0))))+SUMPRODUCT((Inputs!$E$5:$E$180=$B56)*ISNUMBER(INDEX(Inputs!$K$5:$AJ$180,0,MATCH(X$2,Inputs!$K$4:$AJ$4,0))))=0,NA(),SUMPRODUCT((Inputs!$A$5:$A$180=$B56)*Inputs!$B$5:$B$180*(((Inputs!$G$5:$G$180="moeda")+(Inputs!$G$5:$G$180="acoes"))*Inputs!$B$1+((Inputs!$G$5:$G$180&lt;&gt;"moeda")*(Inputs!$G$5:$G$180&lt;&gt;"acoes")))*INDEX(Inputs!$K$5:$AJ$180,0,MATCH(X$2,Inputs!$K$4:$AJ$4,0)))+SUMPRODUCT((Inputs!$C$5:$C$180=$B56)*Inputs!$D$5:$D$180*(((Inputs!$G$5:$G$180="moeda")+(Inputs!$G$5:$G$180="acoes"))*Inputs!$B$1+((Inputs!$G$5:$G$180&lt;&gt;"moeda")*(Inputs!$G$5:$G$180&lt;&gt;"acoes")))*INDEX(Inputs!$K$5:$AJ$180,0,MATCH(X$2,Inputs!$K$4:$AJ$4,0)))+SUMPRODUCT((Inputs!$E$5:$E$180=$B56)*Inputs!$F$5:$F$180*(((Inputs!$G$5:$G$180="moeda")+(Inputs!$G$5:$G$180="acoes"))*Inputs!$B$1+((Inputs!$G$5:$G$180&lt;&gt;"moeda")*(Inputs!$G$5:$G$180&lt;&gt;"acoes")))*INDEX(Inputs!$K$5:$AJ$180,0,MATCH(X$2,Inputs!$K$4:$AJ$4,0)))))</f>
        <v>84.23958183</v>
      </c>
      <c r="Y56" s="264">
        <f>IF(ISNA(MATCH(Y$2,Inputs!$K$4:$AJ$4,0)),NA(),IF(SUMPRODUCT((Inputs!$A$5:$A$180=$B56)*ISNUMBER(INDEX(Inputs!$K$5:$AJ$180,0,MATCH(Y$2,Inputs!$K$4:$AJ$4,0))))+SUMPRODUCT((Inputs!$C$5:$C$180=$B56)*ISNUMBER(INDEX(Inputs!$K$5:$AJ$180,0,MATCH(Y$2,Inputs!$K$4:$AJ$4,0))))+SUMPRODUCT((Inputs!$E$5:$E$180=$B56)*ISNUMBER(INDEX(Inputs!$K$5:$AJ$180,0,MATCH(Y$2,Inputs!$K$4:$AJ$4,0))))=0,NA(),SUMPRODUCT((Inputs!$A$5:$A$180=$B56)*Inputs!$B$5:$B$180*(((Inputs!$G$5:$G$180="moeda")+(Inputs!$G$5:$G$180="acoes"))*Inputs!$B$1+((Inputs!$G$5:$G$180&lt;&gt;"moeda")*(Inputs!$G$5:$G$180&lt;&gt;"acoes")))*INDEX(Inputs!$K$5:$AJ$180,0,MATCH(Y$2,Inputs!$K$4:$AJ$4,0)))+SUMPRODUCT((Inputs!$C$5:$C$180=$B56)*Inputs!$D$5:$D$180*(((Inputs!$G$5:$G$180="moeda")+(Inputs!$G$5:$G$180="acoes"))*Inputs!$B$1+((Inputs!$G$5:$G$180&lt;&gt;"moeda")*(Inputs!$G$5:$G$180&lt;&gt;"acoes")))*INDEX(Inputs!$K$5:$AJ$180,0,MATCH(Y$2,Inputs!$K$4:$AJ$4,0)))+SUMPRODUCT((Inputs!$E$5:$E$180=$B56)*Inputs!$F$5:$F$180*(((Inputs!$G$5:$G$180="moeda")+(Inputs!$G$5:$G$180="acoes"))*Inputs!$B$1+((Inputs!$G$5:$G$180&lt;&gt;"moeda")*(Inputs!$G$5:$G$180&lt;&gt;"acoes")))*INDEX(Inputs!$K$5:$AJ$180,0,MATCH(Y$2,Inputs!$K$4:$AJ$4,0)))))</f>
        <v>126.641</v>
      </c>
      <c r="Z56" s="264">
        <f>IF(ISNA(MATCH(Z$2,Inputs!$K$4:$AJ$4,0)),NA(),IF(SUMPRODUCT((Inputs!$A$5:$A$180=$B56)*ISNUMBER(INDEX(Inputs!$K$5:$AJ$180,0,MATCH(Z$2,Inputs!$K$4:$AJ$4,0))))+SUMPRODUCT((Inputs!$C$5:$C$180=$B56)*ISNUMBER(INDEX(Inputs!$K$5:$AJ$180,0,MATCH(Z$2,Inputs!$K$4:$AJ$4,0))))+SUMPRODUCT((Inputs!$E$5:$E$180=$B56)*ISNUMBER(INDEX(Inputs!$K$5:$AJ$180,0,MATCH(Z$2,Inputs!$K$4:$AJ$4,0))))=0,NA(),SUMPRODUCT((Inputs!$A$5:$A$180=$B56)*Inputs!$B$5:$B$180*(((Inputs!$G$5:$G$180="moeda")+(Inputs!$G$5:$G$180="acoes"))*Inputs!$B$1+((Inputs!$G$5:$G$180&lt;&gt;"moeda")*(Inputs!$G$5:$G$180&lt;&gt;"acoes")))*INDEX(Inputs!$K$5:$AJ$180,0,MATCH(Z$2,Inputs!$K$4:$AJ$4,0)))+SUMPRODUCT((Inputs!$C$5:$C$180=$B56)*Inputs!$D$5:$D$180*(((Inputs!$G$5:$G$180="moeda")+(Inputs!$G$5:$G$180="acoes"))*Inputs!$B$1+((Inputs!$G$5:$G$180&lt;&gt;"moeda")*(Inputs!$G$5:$G$180&lt;&gt;"acoes")))*INDEX(Inputs!$K$5:$AJ$180,0,MATCH(Z$2,Inputs!$K$4:$AJ$4,0)))+SUMPRODUCT((Inputs!$E$5:$E$180=$B56)*Inputs!$F$5:$F$180*(((Inputs!$G$5:$G$180="moeda")+(Inputs!$G$5:$G$180="acoes"))*Inputs!$B$1+((Inputs!$G$5:$G$180&lt;&gt;"moeda")*(Inputs!$G$5:$G$180&lt;&gt;"acoes")))*INDEX(Inputs!$K$5:$AJ$180,0,MATCH(Z$2,Inputs!$K$4:$AJ$4,0)))))</f>
        <v>112.30392869</v>
      </c>
      <c r="AA56" s="264">
        <f>IF(ISNA(MATCH(AA$2,Inputs!$K$4:$AJ$4,0)),NA(),IF(SUMPRODUCT((Inputs!$A$5:$A$180=$B56)*ISNUMBER(INDEX(Inputs!$K$5:$AJ$180,0,MATCH(AA$2,Inputs!$K$4:$AJ$4,0))))+SUMPRODUCT((Inputs!$C$5:$C$180=$B56)*ISNUMBER(INDEX(Inputs!$K$5:$AJ$180,0,MATCH(AA$2,Inputs!$K$4:$AJ$4,0))))+SUMPRODUCT((Inputs!$E$5:$E$180=$B56)*ISNUMBER(INDEX(Inputs!$K$5:$AJ$180,0,MATCH(AA$2,Inputs!$K$4:$AJ$4,0))))=0,NA(),SUMPRODUCT((Inputs!$A$5:$A$180=$B56)*Inputs!$B$5:$B$180*(((Inputs!$G$5:$G$180="moeda")+(Inputs!$G$5:$G$180="acoes"))*Inputs!$B$1+((Inputs!$G$5:$G$180&lt;&gt;"moeda")*(Inputs!$G$5:$G$180&lt;&gt;"acoes")))*INDEX(Inputs!$K$5:$AJ$180,0,MATCH(AA$2,Inputs!$K$4:$AJ$4,0)))+SUMPRODUCT((Inputs!$C$5:$C$180=$B56)*Inputs!$D$5:$D$180*(((Inputs!$G$5:$G$180="moeda")+(Inputs!$G$5:$G$180="acoes"))*Inputs!$B$1+((Inputs!$G$5:$G$180&lt;&gt;"moeda")*(Inputs!$G$5:$G$180&lt;&gt;"acoes")))*INDEX(Inputs!$K$5:$AJ$180,0,MATCH(AA$2,Inputs!$K$4:$AJ$4,0)))+SUMPRODUCT((Inputs!$E$5:$E$180=$B56)*Inputs!$F$5:$F$180*(((Inputs!$G$5:$G$180="moeda")+(Inputs!$G$5:$G$180="acoes"))*Inputs!$B$1+((Inputs!$G$5:$G$180&lt;&gt;"moeda")*(Inputs!$G$5:$G$180&lt;&gt;"acoes")))*INDEX(Inputs!$K$5:$AJ$180,0,MATCH(AA$2,Inputs!$K$4:$AJ$4,0)))))</f>
        <v>238.782</v>
      </c>
      <c r="AB56" s="265">
        <f>SUM(X56:AA56)</f>
        <v>561.96651052</v>
      </c>
      <c r="AC56" s="264">
        <f>IF(ISNA(MATCH(AC$2,Inputs!$K$4:$AJ$4,0)),NA(),IF(SUMPRODUCT((Inputs!$A$5:$A$180=$B56)*ISNUMBER(INDEX(Inputs!$K$5:$AJ$180,0,MATCH(AC$2,Inputs!$K$4:$AJ$4,0))))+SUMPRODUCT((Inputs!$C$5:$C$180=$B56)*ISNUMBER(INDEX(Inputs!$K$5:$AJ$180,0,MATCH(AC$2,Inputs!$K$4:$AJ$4,0))))+SUMPRODUCT((Inputs!$E$5:$E$180=$B56)*ISNUMBER(INDEX(Inputs!$K$5:$AJ$180,0,MATCH(AC$2,Inputs!$K$4:$AJ$4,0))))=0,NA(),SUMPRODUCT((Inputs!$A$5:$A$180=$B56)*Inputs!$B$5:$B$180*(((Inputs!$G$5:$G$180="moeda")+(Inputs!$G$5:$G$180="acoes"))*Inputs!$B$1+((Inputs!$G$5:$G$180&lt;&gt;"moeda")*(Inputs!$G$5:$G$180&lt;&gt;"acoes")))*INDEX(Inputs!$K$5:$AJ$180,0,MATCH(AC$2,Inputs!$K$4:$AJ$4,0)))+SUMPRODUCT((Inputs!$C$5:$C$180=$B56)*Inputs!$D$5:$D$180*(((Inputs!$G$5:$G$180="moeda")+(Inputs!$G$5:$G$180="acoes"))*Inputs!$B$1+((Inputs!$G$5:$G$180&lt;&gt;"moeda")*(Inputs!$G$5:$G$180&lt;&gt;"acoes")))*INDEX(Inputs!$K$5:$AJ$180,0,MATCH(AC$2,Inputs!$K$4:$AJ$4,0)))+SUMPRODUCT((Inputs!$E$5:$E$180=$B56)*Inputs!$F$5:$F$180*(((Inputs!$G$5:$G$180="moeda")+(Inputs!$G$5:$G$180="acoes"))*Inputs!$B$1+((Inputs!$G$5:$G$180&lt;&gt;"moeda")*(Inputs!$G$5:$G$180&lt;&gt;"acoes")))*INDEX(Inputs!$K$5:$AJ$180,0,MATCH(AC$2,Inputs!$K$4:$AJ$4,0)))))</f>
        <v>97.90025518</v>
      </c>
      <c r="AD56" s="264">
        <f>IF(ISNA(MATCH(AD$2,Inputs!$K$4:$AJ$4,0)),NA(),IF(SUMPRODUCT((Inputs!$A$5:$A$180=$B56)*ISNUMBER(INDEX(Inputs!$K$5:$AJ$180,0,MATCH(AD$2,Inputs!$K$4:$AJ$4,0))))+SUMPRODUCT((Inputs!$C$5:$C$180=$B56)*ISNUMBER(INDEX(Inputs!$K$5:$AJ$180,0,MATCH(AD$2,Inputs!$K$4:$AJ$4,0))))+SUMPRODUCT((Inputs!$E$5:$E$180=$B56)*ISNUMBER(INDEX(Inputs!$K$5:$AJ$180,0,MATCH(AD$2,Inputs!$K$4:$AJ$4,0))))=0,NA(),SUMPRODUCT((Inputs!$A$5:$A$180=$B56)*Inputs!$B$5:$B$180*(((Inputs!$G$5:$G$180="moeda")+(Inputs!$G$5:$G$180="acoes"))*Inputs!$B$1+((Inputs!$G$5:$G$180&lt;&gt;"moeda")*(Inputs!$G$5:$G$180&lt;&gt;"acoes")))*INDEX(Inputs!$K$5:$AJ$180,0,MATCH(AD$2,Inputs!$K$4:$AJ$4,0)))+SUMPRODUCT((Inputs!$C$5:$C$180=$B56)*Inputs!$D$5:$D$180*(((Inputs!$G$5:$G$180="moeda")+(Inputs!$G$5:$G$180="acoes"))*Inputs!$B$1+((Inputs!$G$5:$G$180&lt;&gt;"moeda")*(Inputs!$G$5:$G$180&lt;&gt;"acoes")))*INDEX(Inputs!$K$5:$AJ$180,0,MATCH(AD$2,Inputs!$K$4:$AJ$4,0)))+SUMPRODUCT((Inputs!$E$5:$E$180=$B56)*Inputs!$F$5:$F$180*(((Inputs!$G$5:$G$180="moeda")+(Inputs!$G$5:$G$180="acoes"))*Inputs!$B$1+((Inputs!$G$5:$G$180&lt;&gt;"moeda")*(Inputs!$G$5:$G$180&lt;&gt;"acoes")))*INDEX(Inputs!$K$5:$AJ$180,0,MATCH(AD$2,Inputs!$K$4:$AJ$4,0)))))</f>
        <v>153.52857446</v>
      </c>
      <c r="AE56" s="264" t="e">
        <f>IF(ISNA(MATCH(AE$2,Inputs!$K$4:$AJ$4,0)),NA(),IF(SUMPRODUCT((Inputs!$A$5:$A$180=$B56)*ISNUMBER(INDEX(Inputs!$K$5:$AJ$180,0,MATCH(AE$2,Inputs!$K$4:$AJ$4,0))))+SUMPRODUCT((Inputs!$C$5:$C$180=$B56)*ISNUMBER(INDEX(Inputs!$K$5:$AJ$180,0,MATCH(AE$2,Inputs!$K$4:$AJ$4,0))))+SUMPRODUCT((Inputs!$E$5:$E$180=$B56)*ISNUMBER(INDEX(Inputs!$K$5:$AJ$180,0,MATCH(AE$2,Inputs!$K$4:$AJ$4,0))))=0,NA(),SUMPRODUCT((Inputs!$A$5:$A$180=$B56)*Inputs!$B$5:$B$180*(((Inputs!$G$5:$G$180="moeda")+(Inputs!$G$5:$G$180="acoes"))*Inputs!$B$1+((Inputs!$G$5:$G$180&lt;&gt;"moeda")*(Inputs!$G$5:$G$180&lt;&gt;"acoes")))*INDEX(Inputs!$K$5:$AJ$180,0,MATCH(AE$2,Inputs!$K$4:$AJ$4,0)))+SUMPRODUCT((Inputs!$C$5:$C$180=$B56)*Inputs!$D$5:$D$180*(((Inputs!$G$5:$G$180="moeda")+(Inputs!$G$5:$G$180="acoes"))*Inputs!$B$1+((Inputs!$G$5:$G$180&lt;&gt;"moeda")*(Inputs!$G$5:$G$180&lt;&gt;"acoes")))*INDEX(Inputs!$K$5:$AJ$180,0,MATCH(AE$2,Inputs!$K$4:$AJ$4,0)))+SUMPRODUCT((Inputs!$E$5:$E$180=$B56)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6" s="264" t="e">
        <f>IF(ISNA(MATCH(AF$2,Inputs!$K$4:$AJ$4,0)),NA(),IF(SUMPRODUCT((Inputs!$A$5:$A$180=$B56)*ISNUMBER(INDEX(Inputs!$K$5:$AJ$180,0,MATCH(AF$2,Inputs!$K$4:$AJ$4,0))))+SUMPRODUCT((Inputs!$C$5:$C$180=$B56)*ISNUMBER(INDEX(Inputs!$K$5:$AJ$180,0,MATCH(AF$2,Inputs!$K$4:$AJ$4,0))))+SUMPRODUCT((Inputs!$E$5:$E$180=$B56)*ISNUMBER(INDEX(Inputs!$K$5:$AJ$180,0,MATCH(AF$2,Inputs!$K$4:$AJ$4,0))))=0,NA(),SUMPRODUCT((Inputs!$A$5:$A$180=$B56)*Inputs!$B$5:$B$180*(((Inputs!$G$5:$G$180="moeda")+(Inputs!$G$5:$G$180="acoes"))*Inputs!$B$1+((Inputs!$G$5:$G$180&lt;&gt;"moeda")*(Inputs!$G$5:$G$180&lt;&gt;"acoes")))*INDEX(Inputs!$K$5:$AJ$180,0,MATCH(AF$2,Inputs!$K$4:$AJ$4,0)))+SUMPRODUCT((Inputs!$C$5:$C$180=$B56)*Inputs!$D$5:$D$180*(((Inputs!$G$5:$G$180="moeda")+(Inputs!$G$5:$G$180="acoes"))*Inputs!$B$1+((Inputs!$G$5:$G$180&lt;&gt;"moeda")*(Inputs!$G$5:$G$180&lt;&gt;"acoes")))*INDEX(Inputs!$K$5:$AJ$180,0,MATCH(AF$2,Inputs!$K$4:$AJ$4,0)))+SUMPRODUCT((Inputs!$E$5:$E$180=$B56)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$180=$B56)*ISNUMBER(INDEX(Inputs!$K$5:$AJ$180,0,MATCH(AH$2,Inputs!$K$4:$AJ$4,0))))+SUMPRODUCT((Inputs!$C$5:$C$180=$B56)*ISNUMBER(INDEX(Inputs!$K$5:$AJ$180,0,MATCH(AH$2,Inputs!$K$4:$AJ$4,0))))+SUMPRODUCT((Inputs!$E$5:$E$180=$B56)*ISNUMBER(INDEX(Inputs!$K$5:$AJ$180,0,MATCH(AH$2,Inputs!$K$4:$AJ$4,0))))=0,NA(),SUMPRODUCT((Inputs!$A$5:$A$180=$B56)*Inputs!$B$5:$B$180*(((Inputs!$G$5:$G$180="moeda")+(Inputs!$G$5:$G$180="acoes"))*Inputs!$B$1+((Inputs!$G$5:$G$180&lt;&gt;"moeda")*(Inputs!$G$5:$G$180&lt;&gt;"acoes")))*INDEX(Inputs!$K$5:$AJ$180,0,MATCH(AH$2,Inputs!$K$4:$AJ$4,0)))+SUMPRODUCT((Inputs!$C$5:$C$180=$B56)*Inputs!$D$5:$D$180*(((Inputs!$G$5:$G$180="moeda")+(Inputs!$G$5:$G$180="acoes"))*Inputs!$B$1+((Inputs!$G$5:$G$180&lt;&gt;"moeda")*(Inputs!$G$5:$G$180&lt;&gt;"acoes")))*INDEX(Inputs!$K$5:$AJ$180,0,MATCH(AH$2,Inputs!$K$4:$AJ$4,0)))+SUMPRODUCT((Inputs!$E$5:$E$180=$B56)*Inputs!$F$5:$F$180*(((Inputs!$G$5:$G$180="moeda")+(Inputs!$G$5:$G$180="acoes"))*Inputs!$B$1+((Inputs!$G$5:$G$180&lt;&gt;"moeda")*(Inputs!$G$5:$G$180&lt;&gt;"acoes")))*INDEX(Inputs!$K$5:$AJ$180,0,MATCH(AH$2,Inputs!$K$4:$AJ$4,0)))))</f>
        <v>22.26</v>
      </c>
      <c r="AI56" s="264">
        <f>IF(ISNA(MATCH(AI$2,Inputs!$K$4:$AJ$4,0)),NA(),IF(SUMPRODUCT((Inputs!$A$5:$A$180=$B56)*ISNUMBER(INDEX(Inputs!$K$5:$AJ$180,0,MATCH(AI$2,Inputs!$K$4:$AJ$4,0))))+SUMPRODUCT((Inputs!$C$5:$C$180=$B56)*ISNUMBER(INDEX(Inputs!$K$5:$AJ$180,0,MATCH(AI$2,Inputs!$K$4:$AJ$4,0))))+SUMPRODUCT((Inputs!$E$5:$E$180=$B56)*ISNUMBER(INDEX(Inputs!$K$5:$AJ$180,0,MATCH(AI$2,Inputs!$K$4:$AJ$4,0))))=0,NA(),SUMPRODUCT((Inputs!$A$5:$A$180=$B56)*Inputs!$B$5:$B$180*(((Inputs!$G$5:$G$180="moeda")+(Inputs!$G$5:$G$180="acoes"))*Inputs!$B$1+((Inputs!$G$5:$G$180&lt;&gt;"moeda")*(Inputs!$G$5:$G$180&lt;&gt;"acoes")))*INDEX(Inputs!$K$5:$AJ$180,0,MATCH(AI$2,Inputs!$K$4:$AJ$4,0)))+SUMPRODUCT((Inputs!$C$5:$C$180=$B56)*Inputs!$D$5:$D$180*(((Inputs!$G$5:$G$180="moeda")+(Inputs!$G$5:$G$180="acoes"))*Inputs!$B$1+((Inputs!$G$5:$G$180&lt;&gt;"moeda")*(Inputs!$G$5:$G$180&lt;&gt;"acoes")))*INDEX(Inputs!$K$5:$AJ$180,0,MATCH(AI$2,Inputs!$K$4:$AJ$4,0)))+SUMPRODUCT((Inputs!$E$5:$E$180=$B56)*Inputs!$F$5:$F$180*(((Inputs!$G$5:$G$180="moeda")+(Inputs!$G$5:$G$180="acoes"))*Inputs!$B$1+((Inputs!$G$5:$G$180&lt;&gt;"moeda")*(Inputs!$G$5:$G$180&lt;&gt;"acoes")))*INDEX(Inputs!$K$5:$AJ$180,0,MATCH(AI$2,Inputs!$K$4:$AJ$4,0)))))</f>
        <v>108.414</v>
      </c>
      <c r="AJ56" s="264">
        <f>IF(ISNA(MATCH(AJ$2,Inputs!$K$4:$AJ$4,0)),NA(),IF(SUMPRODUCT((Inputs!$A$5:$A$180=$B56)*ISNUMBER(INDEX(Inputs!$K$5:$AJ$180,0,MATCH(AJ$2,Inputs!$K$4:$AJ$4,0))))+SUMPRODUCT((Inputs!$C$5:$C$180=$B56)*ISNUMBER(INDEX(Inputs!$K$5:$AJ$180,0,MATCH(AJ$2,Inputs!$K$4:$AJ$4,0))))+SUMPRODUCT((Inputs!$E$5:$E$180=$B56)*ISNUMBER(INDEX(Inputs!$K$5:$AJ$180,0,MATCH(AJ$2,Inputs!$K$4:$AJ$4,0))))=0,NA(),SUMPRODUCT((Inputs!$A$5:$A$180=$B56)*Inputs!$B$5:$B$180*(((Inputs!$G$5:$G$180="moeda")+(Inputs!$G$5:$G$180="acoes"))*Inputs!$B$1+((Inputs!$G$5:$G$180&lt;&gt;"moeda")*(Inputs!$G$5:$G$180&lt;&gt;"acoes")))*INDEX(Inputs!$K$5:$AJ$180,0,MATCH(AJ$2,Inputs!$K$4:$AJ$4,0)))+SUMPRODUCT((Inputs!$C$5:$C$180=$B56)*Inputs!$D$5:$D$180*(((Inputs!$G$5:$G$180="moeda")+(Inputs!$G$5:$G$180="acoes"))*Inputs!$B$1+((Inputs!$G$5:$G$180&lt;&gt;"moeda")*(Inputs!$G$5:$G$180&lt;&gt;"acoes")))*INDEX(Inputs!$K$5:$AJ$180,0,MATCH(AJ$2,Inputs!$K$4:$AJ$4,0)))+SUMPRODUCT((Inputs!$E$5:$E$180=$B56)*Inputs!$F$5:$F$180*(((Inputs!$G$5:$G$180="moeda")+(Inputs!$G$5:$G$180="acoes"))*Inputs!$B$1+((Inputs!$G$5:$G$180&lt;&gt;"moeda")*(Inputs!$G$5:$G$180&lt;&gt;"acoes")))*INDEX(Inputs!$K$5:$AJ$180,0,MATCH(AJ$2,Inputs!$K$4:$AJ$4,0)))))</f>
        <v>70.619</v>
      </c>
      <c r="AK56" s="264">
        <f>IF(ISNA(MATCH(AK$2,Inputs!$K$4:$AJ$4,0)),NA(),IF(SUMPRODUCT((Inputs!$A$5:$A$180=$B56)*ISNUMBER(INDEX(Inputs!$K$5:$AJ$180,0,MATCH(AK$2,Inputs!$K$4:$AJ$4,0))))+SUMPRODUCT((Inputs!$C$5:$C$180=$B56)*ISNUMBER(INDEX(Inputs!$K$5:$AJ$180,0,MATCH(AK$2,Inputs!$K$4:$AJ$4,0))))+SUMPRODUCT((Inputs!$E$5:$E$180=$B56)*ISNUMBER(INDEX(Inputs!$K$5:$AJ$180,0,MATCH(AK$2,Inputs!$K$4:$AJ$4,0))))=0,NA(),SUMPRODUCT((Inputs!$A$5:$A$180=$B56)*Inputs!$B$5:$B$180*(((Inputs!$G$5:$G$180="moeda")+(Inputs!$G$5:$G$180="acoes"))*Inputs!$B$1+((Inputs!$G$5:$G$180&lt;&gt;"moeda")*(Inputs!$G$5:$G$180&lt;&gt;"acoes")))*INDEX(Inputs!$K$5:$AJ$180,0,MATCH(AK$2,Inputs!$K$4:$AJ$4,0)))+SUMPRODUCT((Inputs!$C$5:$C$180=$B56)*Inputs!$D$5:$D$180*(((Inputs!$G$5:$G$180="moeda")+(Inputs!$G$5:$G$180="acoes"))*Inputs!$B$1+((Inputs!$G$5:$G$180&lt;&gt;"moeda")*(Inputs!$G$5:$G$180&lt;&gt;"acoes")))*INDEX(Inputs!$K$5:$AJ$180,0,MATCH(AK$2,Inputs!$K$4:$AJ$4,0)))+SUMPRODUCT((Inputs!$E$5:$E$180=$B56)*Inputs!$F$5:$F$180*(((Inputs!$G$5:$G$180="moeda")+(Inputs!$G$5:$G$180="acoes"))*Inputs!$B$1+((Inputs!$G$5:$G$180&lt;&gt;"moeda")*(Inputs!$G$5:$G$180&lt;&gt;"acoes")))*INDEX(Inputs!$K$5:$AJ$180,0,MATCH(AK$2,Inputs!$K$4:$AJ$4,0)))))</f>
        <v>108.22</v>
      </c>
      <c r="AL56" s="265">
        <f>SUM(AH56:AK56)</f>
        <v>309.513</v>
      </c>
    </row>
    <row r="57">
      <c r="B57" s="46" t="n">
        <v>49</v>
      </c>
      <c r="C57" s="29" t="inlineStr">
        <is>
          <t>Receita bruta liq. de devolucoes - Outras (B2B e assistencia tecnica; l.21)</t>
        </is>
      </c>
      <c r="D57" s="264">
        <f>IF(ISNA(MATCH(D$2,Inputs!$K$4:$AJ$4,0)),NA(),IF(SUMPRODUCT((Inputs!$A$5:$A$180=$B57)*ISNUMBER(INDEX(Inputs!$K$5:$AJ$180,0,MATCH(D$2,Inputs!$K$4:$AJ$4,0))))+SUMPRODUCT((Inputs!$C$5:$C$180=$B57)*ISNUMBER(INDEX(Inputs!$K$5:$AJ$180,0,MATCH(D$2,Inputs!$K$4:$AJ$4,0))))+SUMPRODUCT((Inputs!$E$5:$E$180=$B57)*ISNUMBER(INDEX(Inputs!$K$5:$AJ$180,0,MATCH(D$2,Inputs!$K$4:$AJ$4,0))))=0,NA(),SUMPRODUCT((Inputs!$A$5:$A$180=$B57)*Inputs!$B$5:$B$180*(((Inputs!$G$5:$G$180="moeda")+(Inputs!$G$5:$G$180="acoes"))*Inputs!$B$1+((Inputs!$G$5:$G$180&lt;&gt;"moeda")*(Inputs!$G$5:$G$180&lt;&gt;"acoes")))*INDEX(Inputs!$K$5:$AJ$180,0,MATCH(D$2,Inputs!$K$4:$AJ$4,0)))+SUMPRODUCT((Inputs!$C$5:$C$180=$B57)*Inputs!$D$5:$D$180*(((Inputs!$G$5:$G$180="moeda")+(Inputs!$G$5:$G$180="acoes"))*Inputs!$B$1+((Inputs!$G$5:$G$180&lt;&gt;"moeda")*(Inputs!$G$5:$G$180&lt;&gt;"acoes")))*INDEX(Inputs!$K$5:$AJ$180,0,MATCH(D$2,Inputs!$K$4:$AJ$4,0)))+SUMPRODUCT((Inputs!$E$5:$E$180=$B57)*Inputs!$F$5:$F$180*(((Inputs!$G$5:$G$180="moeda")+(Inputs!$G$5:$G$180="acoes"))*Inputs!$B$1+((Inputs!$G$5:$G$180&lt;&gt;"moeda")*(Inputs!$G$5:$G$180&lt;&gt;"acoes")))*INDEX(Inputs!$K$5:$AJ$180,0,MATCH(D$2,Inputs!$K$4:$AJ$4,0)))))</f>
        <v>2.392</v>
      </c>
      <c r="E57" s="264">
        <f>IF(ISNA(MATCH(E$2,Inputs!$K$4:$AJ$4,0)),NA(),IF(SUMPRODUCT((Inputs!$A$5:$A$180=$B57)*ISNUMBER(INDEX(Inputs!$K$5:$AJ$180,0,MATCH(E$2,Inputs!$K$4:$AJ$4,0))))+SUMPRODUCT((Inputs!$C$5:$C$180=$B57)*ISNUMBER(INDEX(Inputs!$K$5:$AJ$180,0,MATCH(E$2,Inputs!$K$4:$AJ$4,0))))+SUMPRODUCT((Inputs!$E$5:$E$180=$B57)*ISNUMBER(INDEX(Inputs!$K$5:$AJ$180,0,MATCH(E$2,Inputs!$K$4:$AJ$4,0))))=0,NA(),SUMPRODUCT((Inputs!$A$5:$A$180=$B57)*Inputs!$B$5:$B$180*(((Inputs!$G$5:$G$180="moeda")+(Inputs!$G$5:$G$180="acoes"))*Inputs!$B$1+((Inputs!$G$5:$G$180&lt;&gt;"moeda")*(Inputs!$G$5:$G$180&lt;&gt;"acoes")))*INDEX(Inputs!$K$5:$AJ$180,0,MATCH(E$2,Inputs!$K$4:$AJ$4,0)))+SUMPRODUCT((Inputs!$C$5:$C$180=$B57)*Inputs!$D$5:$D$180*(((Inputs!$G$5:$G$180="moeda")+(Inputs!$G$5:$G$180="acoes"))*Inputs!$B$1+((Inputs!$G$5:$G$180&lt;&gt;"moeda")*(Inputs!$G$5:$G$180&lt;&gt;"acoes")))*INDEX(Inputs!$K$5:$AJ$180,0,MATCH(E$2,Inputs!$K$4:$AJ$4,0)))+SUMPRODUCT((Inputs!$E$5:$E$180=$B57)*Inputs!$F$5:$F$180*(((Inputs!$G$5:$G$180="moeda")+(Inputs!$G$5:$G$180="acoes"))*Inputs!$B$1+((Inputs!$G$5:$G$180&lt;&gt;"moeda")*(Inputs!$G$5:$G$180&lt;&gt;"acoes")))*INDEX(Inputs!$K$5:$AJ$180,0,MATCH(E$2,Inputs!$K$4:$AJ$4,0)))))</f>
        <v>3.0445</v>
      </c>
      <c r="F57" s="264">
        <f>IF(ISNA(MATCH(F$2,Inputs!$K$4:$AJ$4,0)),NA(),IF(SUMPRODUCT((Inputs!$A$5:$A$180=$B57)*ISNUMBER(INDEX(Inputs!$K$5:$AJ$180,0,MATCH(F$2,Inputs!$K$4:$AJ$4,0))))+SUMPRODUCT((Inputs!$C$5:$C$180=$B57)*ISNUMBER(INDEX(Inputs!$K$5:$AJ$180,0,MATCH(F$2,Inputs!$K$4:$AJ$4,0))))+SUMPRODUCT((Inputs!$E$5:$E$180=$B57)*ISNUMBER(INDEX(Inputs!$K$5:$AJ$180,0,MATCH(F$2,Inputs!$K$4:$AJ$4,0))))=0,NA(),SUMPRODUCT((Inputs!$A$5:$A$180=$B57)*Inputs!$B$5:$B$180*(((Inputs!$G$5:$G$180="moeda")+(Inputs!$G$5:$G$180="acoes"))*Inputs!$B$1+((Inputs!$G$5:$G$180&lt;&gt;"moeda")*(Inputs!$G$5:$G$180&lt;&gt;"acoes")))*INDEX(Inputs!$K$5:$AJ$180,0,MATCH(F$2,Inputs!$K$4:$AJ$4,0)))+SUMPRODUCT((Inputs!$C$5:$C$180=$B57)*Inputs!$D$5:$D$180*(((Inputs!$G$5:$G$180="moeda")+(Inputs!$G$5:$G$180="acoes"))*Inputs!$B$1+((Inputs!$G$5:$G$180&lt;&gt;"moeda")*(Inputs!$G$5:$G$180&lt;&gt;"acoes")))*INDEX(Inputs!$K$5:$AJ$180,0,MATCH(F$2,Inputs!$K$4:$AJ$4,0)))+SUMPRODUCT((Inputs!$E$5:$E$180=$B57)*Inputs!$F$5:$F$180*(((Inputs!$G$5:$G$180="moeda")+(Inputs!$G$5:$G$180="acoes"))*Inputs!$B$1+((Inputs!$G$5:$G$180&lt;&gt;"moeda")*(Inputs!$G$5:$G$180&lt;&gt;"acoes")))*INDEX(Inputs!$K$5:$AJ$180,0,MATCH(F$2,Inputs!$K$4:$AJ$4,0)))))</f>
        <v>3.24744</v>
      </c>
      <c r="G57" s="264">
        <f>IF(ISNA(MATCH(G$2,Inputs!$K$4:$AJ$4,0)),NA(),IF(SUMPRODUCT((Inputs!$A$5:$A$180=$B57)*ISNUMBER(INDEX(Inputs!$K$5:$AJ$180,0,MATCH(G$2,Inputs!$K$4:$AJ$4,0))))+SUMPRODUCT((Inputs!$C$5:$C$180=$B57)*ISNUMBER(INDEX(Inputs!$K$5:$AJ$180,0,MATCH(G$2,Inputs!$K$4:$AJ$4,0))))+SUMPRODUCT((Inputs!$E$5:$E$180=$B57)*ISNUMBER(INDEX(Inputs!$K$5:$AJ$180,0,MATCH(G$2,Inputs!$K$4:$AJ$4,0))))=0,NA(),SUMPRODUCT((Inputs!$A$5:$A$180=$B57)*Inputs!$B$5:$B$180*(((Inputs!$G$5:$G$180="moeda")+(Inputs!$G$5:$G$180="acoes"))*Inputs!$B$1+((Inputs!$G$5:$G$180&lt;&gt;"moeda")*(Inputs!$G$5:$G$180&lt;&gt;"acoes")))*INDEX(Inputs!$K$5:$AJ$180,0,MATCH(G$2,Inputs!$K$4:$AJ$4,0)))+SUMPRODUCT((Inputs!$C$5:$C$180=$B57)*Inputs!$D$5:$D$180*(((Inputs!$G$5:$G$180="moeda")+(Inputs!$G$5:$G$180="acoes"))*Inputs!$B$1+((Inputs!$G$5:$G$180&lt;&gt;"moeda")*(Inputs!$G$5:$G$180&lt;&gt;"acoes")))*INDEX(Inputs!$K$5:$AJ$180,0,MATCH(G$2,Inputs!$K$4:$AJ$4,0)))+SUMPRODUCT((Inputs!$E$5:$E$180=$B57)*Inputs!$F$5:$F$180*(((Inputs!$G$5:$G$180="moeda")+(Inputs!$G$5:$G$180="acoes"))*Inputs!$B$1+((Inputs!$G$5:$G$180&lt;&gt;"moeda")*(Inputs!$G$5:$G$180&lt;&gt;"acoes")))*INDEX(Inputs!$K$5:$AJ$180,0,MATCH(G$2,Inputs!$K$4:$AJ$4,0)))))</f>
        <v>4.354</v>
      </c>
      <c r="H57" s="265">
        <f>SUM(D57:G57)</f>
        <v>13.03794</v>
      </c>
      <c r="I57" s="264">
        <f>IF(ISNA(MATCH(I$2,Inputs!$K$4:$AJ$4,0)),NA(),IF(SUMPRODUCT((Inputs!$A$5:$A$180=$B57)*ISNUMBER(INDEX(Inputs!$K$5:$AJ$180,0,MATCH(I$2,Inputs!$K$4:$AJ$4,0))))+SUMPRODUCT((Inputs!$C$5:$C$180=$B57)*ISNUMBER(INDEX(Inputs!$K$5:$AJ$180,0,MATCH(I$2,Inputs!$K$4:$AJ$4,0))))+SUMPRODUCT((Inputs!$E$5:$E$180=$B57)*ISNUMBER(INDEX(Inputs!$K$5:$AJ$180,0,MATCH(I$2,Inputs!$K$4:$AJ$4,0))))=0,NA(),SUMPRODUCT((Inputs!$A$5:$A$180=$B57)*Inputs!$B$5:$B$180*(((Inputs!$G$5:$G$180="moeda")+(Inputs!$G$5:$G$180="acoes"))*Inputs!$B$1+((Inputs!$G$5:$G$180&lt;&gt;"moeda")*(Inputs!$G$5:$G$180&lt;&gt;"acoes")))*INDEX(Inputs!$K$5:$AJ$180,0,MATCH(I$2,Inputs!$K$4:$AJ$4,0)))+SUMPRODUCT((Inputs!$C$5:$C$180=$B57)*Inputs!$D$5:$D$180*(((Inputs!$G$5:$G$180="moeda")+(Inputs!$G$5:$G$180="acoes"))*Inputs!$B$1+((Inputs!$G$5:$G$180&lt;&gt;"moeda")*(Inputs!$G$5:$G$180&lt;&gt;"acoes")))*INDEX(Inputs!$K$5:$AJ$180,0,MATCH(I$2,Inputs!$K$4:$AJ$4,0)))+SUMPRODUCT((Inputs!$E$5:$E$180=$B57)*Inputs!$F$5:$F$180*(((Inputs!$G$5:$G$180="moeda")+(Inputs!$G$5:$G$180="acoes"))*Inputs!$B$1+((Inputs!$G$5:$G$180&lt;&gt;"moeda")*(Inputs!$G$5:$G$180&lt;&gt;"acoes")))*INDEX(Inputs!$K$5:$AJ$180,0,MATCH(I$2,Inputs!$K$4:$AJ$4,0)))))</f>
        <v>3.22444</v>
      </c>
      <c r="J57" s="264">
        <f>IF(ISNA(MATCH(J$2,Inputs!$K$4:$AJ$4,0)),NA(),IF(SUMPRODUCT((Inputs!$A$5:$A$180=$B57)*ISNUMBER(INDEX(Inputs!$K$5:$AJ$180,0,MATCH(J$2,Inputs!$K$4:$AJ$4,0))))+SUMPRODUCT((Inputs!$C$5:$C$180=$B57)*ISNUMBER(INDEX(Inputs!$K$5:$AJ$180,0,MATCH(J$2,Inputs!$K$4:$AJ$4,0))))+SUMPRODUCT((Inputs!$E$5:$E$180=$B57)*ISNUMBER(INDEX(Inputs!$K$5:$AJ$180,0,MATCH(J$2,Inputs!$K$4:$AJ$4,0))))=0,NA(),SUMPRODUCT((Inputs!$A$5:$A$180=$B57)*Inputs!$B$5:$B$180*(((Inputs!$G$5:$G$180="moeda")+(Inputs!$G$5:$G$180="acoes"))*Inputs!$B$1+((Inputs!$G$5:$G$180&lt;&gt;"moeda")*(Inputs!$G$5:$G$180&lt;&gt;"acoes")))*INDEX(Inputs!$K$5:$AJ$180,0,MATCH(J$2,Inputs!$K$4:$AJ$4,0)))+SUMPRODUCT((Inputs!$C$5:$C$180=$B57)*Inputs!$D$5:$D$180*(((Inputs!$G$5:$G$180="moeda")+(Inputs!$G$5:$G$180="acoes"))*Inputs!$B$1+((Inputs!$G$5:$G$180&lt;&gt;"moeda")*(Inputs!$G$5:$G$180&lt;&gt;"acoes")))*INDEX(Inputs!$K$5:$AJ$180,0,MATCH(J$2,Inputs!$K$4:$AJ$4,0)))+SUMPRODUCT((Inputs!$E$5:$E$180=$B57)*Inputs!$F$5:$F$180*(((Inputs!$G$5:$G$180="moeda")+(Inputs!$G$5:$G$180="acoes"))*Inputs!$B$1+((Inputs!$G$5:$G$180&lt;&gt;"moeda")*(Inputs!$G$5:$G$180&lt;&gt;"acoes")))*INDEX(Inputs!$K$5:$AJ$180,0,MATCH(J$2,Inputs!$K$4:$AJ$4,0)))))</f>
        <v>3.316</v>
      </c>
      <c r="K57" s="264">
        <f>IF(ISNA(MATCH(K$2,Inputs!$K$4:$AJ$4,0)),NA(),IF(SUMPRODUCT((Inputs!$A$5:$A$180=$B57)*ISNUMBER(INDEX(Inputs!$K$5:$AJ$180,0,MATCH(K$2,Inputs!$K$4:$AJ$4,0))))+SUMPRODUCT((Inputs!$C$5:$C$180=$B57)*ISNUMBER(INDEX(Inputs!$K$5:$AJ$180,0,MATCH(K$2,Inputs!$K$4:$AJ$4,0))))+SUMPRODUCT((Inputs!$E$5:$E$180=$B57)*ISNUMBER(INDEX(Inputs!$K$5:$AJ$180,0,MATCH(K$2,Inputs!$K$4:$AJ$4,0))))=0,NA(),SUMPRODUCT((Inputs!$A$5:$A$180=$B57)*Inputs!$B$5:$B$180*(((Inputs!$G$5:$G$180="moeda")+(Inputs!$G$5:$G$180="acoes"))*Inputs!$B$1+((Inputs!$G$5:$G$180&lt;&gt;"moeda")*(Inputs!$G$5:$G$180&lt;&gt;"acoes")))*INDEX(Inputs!$K$5:$AJ$180,0,MATCH(K$2,Inputs!$K$4:$AJ$4,0)))+SUMPRODUCT((Inputs!$C$5:$C$180=$B57)*Inputs!$D$5:$D$180*(((Inputs!$G$5:$G$180="moeda")+(Inputs!$G$5:$G$180="acoes"))*Inputs!$B$1+((Inputs!$G$5:$G$180&lt;&gt;"moeda")*(Inputs!$G$5:$G$180&lt;&gt;"acoes")))*INDEX(Inputs!$K$5:$AJ$180,0,MATCH(K$2,Inputs!$K$4:$AJ$4,0)))+SUMPRODUCT((Inputs!$E$5:$E$180=$B57)*Inputs!$F$5:$F$180*(((Inputs!$G$5:$G$180="moeda")+(Inputs!$G$5:$G$180="acoes"))*Inputs!$B$1+((Inputs!$G$5:$G$180&lt;&gt;"moeda")*(Inputs!$G$5:$G$180&lt;&gt;"acoes")))*INDEX(Inputs!$K$5:$AJ$180,0,MATCH(K$2,Inputs!$K$4:$AJ$4,0)))))</f>
        <v>3.393444</v>
      </c>
      <c r="L57" s="264">
        <f>IF(ISNA(MATCH(L$2,Inputs!$K$4:$AJ$4,0)),NA(),IF(SUMPRODUCT((Inputs!$A$5:$A$180=$B57)*ISNUMBER(INDEX(Inputs!$K$5:$AJ$180,0,MATCH(L$2,Inputs!$K$4:$AJ$4,0))))+SUMPRODUCT((Inputs!$C$5:$C$180=$B57)*ISNUMBER(INDEX(Inputs!$K$5:$AJ$180,0,MATCH(L$2,Inputs!$K$4:$AJ$4,0))))+SUMPRODUCT((Inputs!$E$5:$E$180=$B57)*ISNUMBER(INDEX(Inputs!$K$5:$AJ$180,0,MATCH(L$2,Inputs!$K$4:$AJ$4,0))))=0,NA(),SUMPRODUCT((Inputs!$A$5:$A$180=$B57)*Inputs!$B$5:$B$180*(((Inputs!$G$5:$G$180="moeda")+(Inputs!$G$5:$G$180="acoes"))*Inputs!$B$1+((Inputs!$G$5:$G$180&lt;&gt;"moeda")*(Inputs!$G$5:$G$180&lt;&gt;"acoes")))*INDEX(Inputs!$K$5:$AJ$180,0,MATCH(L$2,Inputs!$K$4:$AJ$4,0)))+SUMPRODUCT((Inputs!$C$5:$C$180=$B57)*Inputs!$D$5:$D$180*(((Inputs!$G$5:$G$180="moeda")+(Inputs!$G$5:$G$180="acoes"))*Inputs!$B$1+((Inputs!$G$5:$G$180&lt;&gt;"moeda")*(Inputs!$G$5:$G$180&lt;&gt;"acoes")))*INDEX(Inputs!$K$5:$AJ$180,0,MATCH(L$2,Inputs!$K$4:$AJ$4,0)))+SUMPRODUCT((Inputs!$E$5:$E$180=$B57)*Inputs!$F$5:$F$180*(((Inputs!$G$5:$G$180="moeda")+(Inputs!$G$5:$G$180="acoes"))*Inputs!$B$1+((Inputs!$G$5:$G$180&lt;&gt;"moeda")*(Inputs!$G$5:$G$180&lt;&gt;"acoes")))*INDEX(Inputs!$K$5:$AJ$180,0,MATCH(L$2,Inputs!$K$4:$AJ$4,0)))))</f>
        <v>5.65664265997997</v>
      </c>
      <c r="M57" s="265">
        <f>SUM(I57:L57)</f>
        <v>15.59052665998</v>
      </c>
      <c r="N57" s="264">
        <f>IF(ISNA(MATCH(N$2,Inputs!$K$4:$AJ$4,0)),NA(),IF(SUMPRODUCT((Inputs!$A$5:$A$180=$B57)*ISNUMBER(INDEX(Inputs!$K$5:$AJ$180,0,MATCH(N$2,Inputs!$K$4:$AJ$4,0))))+SUMPRODUCT((Inputs!$C$5:$C$180=$B57)*ISNUMBER(INDEX(Inputs!$K$5:$AJ$180,0,MATCH(N$2,Inputs!$K$4:$AJ$4,0))))+SUMPRODUCT((Inputs!$E$5:$E$180=$B57)*ISNUMBER(INDEX(Inputs!$K$5:$AJ$180,0,MATCH(N$2,Inputs!$K$4:$AJ$4,0))))=0,NA(),SUMPRODUCT((Inputs!$A$5:$A$180=$B57)*Inputs!$B$5:$B$180*(((Inputs!$G$5:$G$180="moeda")+(Inputs!$G$5:$G$180="acoes"))*Inputs!$B$1+((Inputs!$G$5:$G$180&lt;&gt;"moeda")*(Inputs!$G$5:$G$180&lt;&gt;"acoes")))*INDEX(Inputs!$K$5:$AJ$180,0,MATCH(N$2,Inputs!$K$4:$AJ$4,0)))+SUMPRODUCT((Inputs!$C$5:$C$180=$B57)*Inputs!$D$5:$D$180*(((Inputs!$G$5:$G$180="moeda")+(Inputs!$G$5:$G$180="acoes"))*Inputs!$B$1+((Inputs!$G$5:$G$180&lt;&gt;"moeda")*(Inputs!$G$5:$G$180&lt;&gt;"acoes")))*INDEX(Inputs!$K$5:$AJ$180,0,MATCH(N$2,Inputs!$K$4:$AJ$4,0)))+SUMPRODUCT((Inputs!$E$5:$E$180=$B57)*Inputs!$F$5:$F$180*(((Inputs!$G$5:$G$180="moeda")+(Inputs!$G$5:$G$180="acoes"))*Inputs!$B$1+((Inputs!$G$5:$G$180&lt;&gt;"moeda")*(Inputs!$G$5:$G$180&lt;&gt;"acoes")))*INDEX(Inputs!$K$5:$AJ$180,0,MATCH(N$2,Inputs!$K$4:$AJ$4,0)))))</f>
        <v>3.289</v>
      </c>
      <c r="O57" s="264">
        <f>IF(ISNA(MATCH(O$2,Inputs!$K$4:$AJ$4,0)),NA(),IF(SUMPRODUCT((Inputs!$A$5:$A$180=$B57)*ISNUMBER(INDEX(Inputs!$K$5:$AJ$180,0,MATCH(O$2,Inputs!$K$4:$AJ$4,0))))+SUMPRODUCT((Inputs!$C$5:$C$180=$B57)*ISNUMBER(INDEX(Inputs!$K$5:$AJ$180,0,MATCH(O$2,Inputs!$K$4:$AJ$4,0))))+SUMPRODUCT((Inputs!$E$5:$E$180=$B57)*ISNUMBER(INDEX(Inputs!$K$5:$AJ$180,0,MATCH(O$2,Inputs!$K$4:$AJ$4,0))))=0,NA(),SUMPRODUCT((Inputs!$A$5:$A$180=$B57)*Inputs!$B$5:$B$180*(((Inputs!$G$5:$G$180="moeda")+(Inputs!$G$5:$G$180="acoes"))*Inputs!$B$1+((Inputs!$G$5:$G$180&lt;&gt;"moeda")*(Inputs!$G$5:$G$180&lt;&gt;"acoes")))*INDEX(Inputs!$K$5:$AJ$180,0,MATCH(O$2,Inputs!$K$4:$AJ$4,0)))+SUMPRODUCT((Inputs!$C$5:$C$180=$B57)*Inputs!$D$5:$D$180*(((Inputs!$G$5:$G$180="moeda")+(Inputs!$G$5:$G$180="acoes"))*Inputs!$B$1+((Inputs!$G$5:$G$180&lt;&gt;"moeda")*(Inputs!$G$5:$G$180&lt;&gt;"acoes")))*INDEX(Inputs!$K$5:$AJ$180,0,MATCH(O$2,Inputs!$K$4:$AJ$4,0)))+SUMPRODUCT((Inputs!$E$5:$E$180=$B57)*Inputs!$F$5:$F$180*(((Inputs!$G$5:$G$180="moeda")+(Inputs!$G$5:$G$180="acoes"))*Inputs!$B$1+((Inputs!$G$5:$G$180&lt;&gt;"moeda")*(Inputs!$G$5:$G$180&lt;&gt;"acoes")))*INDEX(Inputs!$K$5:$AJ$180,0,MATCH(O$2,Inputs!$K$4:$AJ$4,0)))))</f>
        <v>5.16944</v>
      </c>
      <c r="P57" s="264">
        <f>IF(ISNA(MATCH(P$2,Inputs!$K$4:$AJ$4,0)),NA(),IF(SUMPRODUCT((Inputs!$A$5:$A$180=$B57)*ISNUMBER(INDEX(Inputs!$K$5:$AJ$180,0,MATCH(P$2,Inputs!$K$4:$AJ$4,0))))+SUMPRODUCT((Inputs!$C$5:$C$180=$B57)*ISNUMBER(INDEX(Inputs!$K$5:$AJ$180,0,MATCH(P$2,Inputs!$K$4:$AJ$4,0))))+SUMPRODUCT((Inputs!$E$5:$E$180=$B57)*ISNUMBER(INDEX(Inputs!$K$5:$AJ$180,0,MATCH(P$2,Inputs!$K$4:$AJ$4,0))))=0,NA(),SUMPRODUCT((Inputs!$A$5:$A$180=$B57)*Inputs!$B$5:$B$180*(((Inputs!$G$5:$G$180="moeda")+(Inputs!$G$5:$G$180="acoes"))*Inputs!$B$1+((Inputs!$G$5:$G$180&lt;&gt;"moeda")*(Inputs!$G$5:$G$180&lt;&gt;"acoes")))*INDEX(Inputs!$K$5:$AJ$180,0,MATCH(P$2,Inputs!$K$4:$AJ$4,0)))+SUMPRODUCT((Inputs!$C$5:$C$180=$B57)*Inputs!$D$5:$D$180*(((Inputs!$G$5:$G$180="moeda")+(Inputs!$G$5:$G$180="acoes"))*Inputs!$B$1+((Inputs!$G$5:$G$180&lt;&gt;"moeda")*(Inputs!$G$5:$G$180&lt;&gt;"acoes")))*INDEX(Inputs!$K$5:$AJ$180,0,MATCH(P$2,Inputs!$K$4:$AJ$4,0)))+SUMPRODUCT((Inputs!$E$5:$E$180=$B57)*Inputs!$F$5:$F$180*(((Inputs!$G$5:$G$180="moeda")+(Inputs!$G$5:$G$180="acoes"))*Inputs!$B$1+((Inputs!$G$5:$G$180&lt;&gt;"moeda")*(Inputs!$G$5:$G$180&lt;&gt;"acoes")))*INDEX(Inputs!$K$5:$AJ$180,0,MATCH(P$2,Inputs!$K$4:$AJ$4,0)))))</f>
        <v>2.689</v>
      </c>
      <c r="Q57" s="264">
        <f>IF(ISNA(MATCH(Q$2,Inputs!$K$4:$AJ$4,0)),NA(),IF(SUMPRODUCT((Inputs!$A$5:$A$180=$B57)*ISNUMBER(INDEX(Inputs!$K$5:$AJ$180,0,MATCH(Q$2,Inputs!$K$4:$AJ$4,0))))+SUMPRODUCT((Inputs!$C$5:$C$180=$B57)*ISNUMBER(INDEX(Inputs!$K$5:$AJ$180,0,MATCH(Q$2,Inputs!$K$4:$AJ$4,0))))+SUMPRODUCT((Inputs!$E$5:$E$180=$B57)*ISNUMBER(INDEX(Inputs!$K$5:$AJ$180,0,MATCH(Q$2,Inputs!$K$4:$AJ$4,0))))=0,NA(),SUMPRODUCT((Inputs!$A$5:$A$180=$B57)*Inputs!$B$5:$B$180*(((Inputs!$G$5:$G$180="moeda")+(Inputs!$G$5:$G$180="acoes"))*Inputs!$B$1+((Inputs!$G$5:$G$180&lt;&gt;"moeda")*(Inputs!$G$5:$G$180&lt;&gt;"acoes")))*INDEX(Inputs!$K$5:$AJ$180,0,MATCH(Q$2,Inputs!$K$4:$AJ$4,0)))+SUMPRODUCT((Inputs!$C$5:$C$180=$B57)*Inputs!$D$5:$D$180*(((Inputs!$G$5:$G$180="moeda")+(Inputs!$G$5:$G$180="acoes"))*Inputs!$B$1+((Inputs!$G$5:$G$180&lt;&gt;"moeda")*(Inputs!$G$5:$G$180&lt;&gt;"acoes")))*INDEX(Inputs!$K$5:$AJ$180,0,MATCH(Q$2,Inputs!$K$4:$AJ$4,0)))+SUMPRODUCT((Inputs!$E$5:$E$180=$B57)*Inputs!$F$5:$F$180*(((Inputs!$G$5:$G$180="moeda")+(Inputs!$G$5:$G$180="acoes"))*Inputs!$B$1+((Inputs!$G$5:$G$180&lt;&gt;"moeda")*(Inputs!$G$5:$G$180&lt;&gt;"acoes")))*INDEX(Inputs!$K$5:$AJ$180,0,MATCH(Q$2,Inputs!$K$4:$AJ$4,0)))))</f>
        <v>5.51542945000085</v>
      </c>
      <c r="R57" s="265">
        <f>SUM(N57:Q57)</f>
        <v>16.6628694500009</v>
      </c>
      <c r="S57" s="264">
        <f>IF(ISNA(MATCH(S$2,Inputs!$K$4:$AJ$4,0)),NA(),IF(SUMPRODUCT((Inputs!$A$5:$A$180=$B57)*ISNUMBER(INDEX(Inputs!$K$5:$AJ$180,0,MATCH(S$2,Inputs!$K$4:$AJ$4,0))))+SUMPRODUCT((Inputs!$C$5:$C$180=$B57)*ISNUMBER(INDEX(Inputs!$K$5:$AJ$180,0,MATCH(S$2,Inputs!$K$4:$AJ$4,0))))+SUMPRODUCT((Inputs!$E$5:$E$180=$B57)*ISNUMBER(INDEX(Inputs!$K$5:$AJ$180,0,MATCH(S$2,Inputs!$K$4:$AJ$4,0))))=0,NA(),SUMPRODUCT((Inputs!$A$5:$A$180=$B57)*Inputs!$B$5:$B$180*(((Inputs!$G$5:$G$180="moeda")+(Inputs!$G$5:$G$180="acoes"))*Inputs!$B$1+((Inputs!$G$5:$G$180&lt;&gt;"moeda")*(Inputs!$G$5:$G$180&lt;&gt;"acoes")))*INDEX(Inputs!$K$5:$AJ$180,0,MATCH(S$2,Inputs!$K$4:$AJ$4,0)))+SUMPRODUCT((Inputs!$C$5:$C$180=$B57)*Inputs!$D$5:$D$180*(((Inputs!$G$5:$G$180="moeda")+(Inputs!$G$5:$G$180="acoes"))*Inputs!$B$1+((Inputs!$G$5:$G$180&lt;&gt;"moeda")*(Inputs!$G$5:$G$180&lt;&gt;"acoes")))*INDEX(Inputs!$K$5:$AJ$180,0,MATCH(S$2,Inputs!$K$4:$AJ$4,0)))+SUMPRODUCT((Inputs!$E$5:$E$180=$B57)*Inputs!$F$5:$F$180*(((Inputs!$G$5:$G$180="moeda")+(Inputs!$G$5:$G$180="acoes"))*Inputs!$B$1+((Inputs!$G$5:$G$180&lt;&gt;"moeda")*(Inputs!$G$5:$G$180&lt;&gt;"acoes")))*INDEX(Inputs!$K$5:$AJ$180,0,MATCH(S$2,Inputs!$K$4:$AJ$4,0)))))</f>
        <v>4.21450028000012</v>
      </c>
      <c r="T57" s="264">
        <f>IF(ISNA(MATCH(T$2,Inputs!$K$4:$AJ$4,0)),NA(),IF(SUMPRODUCT((Inputs!$A$5:$A$180=$B57)*ISNUMBER(INDEX(Inputs!$K$5:$AJ$180,0,MATCH(T$2,Inputs!$K$4:$AJ$4,0))))+SUMPRODUCT((Inputs!$C$5:$C$180=$B57)*ISNUMBER(INDEX(Inputs!$K$5:$AJ$180,0,MATCH(T$2,Inputs!$K$4:$AJ$4,0))))+SUMPRODUCT((Inputs!$E$5:$E$180=$B57)*ISNUMBER(INDEX(Inputs!$K$5:$AJ$180,0,MATCH(T$2,Inputs!$K$4:$AJ$4,0))))=0,NA(),SUMPRODUCT((Inputs!$A$5:$A$180=$B57)*Inputs!$B$5:$B$180*(((Inputs!$G$5:$G$180="moeda")+(Inputs!$G$5:$G$180="acoes"))*Inputs!$B$1+((Inputs!$G$5:$G$180&lt;&gt;"moeda")*(Inputs!$G$5:$G$180&lt;&gt;"acoes")))*INDEX(Inputs!$K$5:$AJ$180,0,MATCH(T$2,Inputs!$K$4:$AJ$4,0)))+SUMPRODUCT((Inputs!$C$5:$C$180=$B57)*Inputs!$D$5:$D$180*(((Inputs!$G$5:$G$180="moeda")+(Inputs!$G$5:$G$180="acoes"))*Inputs!$B$1+((Inputs!$G$5:$G$180&lt;&gt;"moeda")*(Inputs!$G$5:$G$180&lt;&gt;"acoes")))*INDEX(Inputs!$K$5:$AJ$180,0,MATCH(T$2,Inputs!$K$4:$AJ$4,0)))+SUMPRODUCT((Inputs!$E$5:$E$180=$B57)*Inputs!$F$5:$F$180*(((Inputs!$G$5:$G$180="moeda")+(Inputs!$G$5:$G$180="acoes"))*Inputs!$B$1+((Inputs!$G$5:$G$180&lt;&gt;"moeda")*(Inputs!$G$5:$G$180&lt;&gt;"acoes")))*INDEX(Inputs!$K$5:$AJ$180,0,MATCH(T$2,Inputs!$K$4:$AJ$4,0)))))</f>
        <v>2.97849679000013</v>
      </c>
      <c r="U57" s="264">
        <f>IF(ISNA(MATCH(U$2,Inputs!$K$4:$AJ$4,0)),NA(),IF(SUMPRODUCT((Inputs!$A$5:$A$180=$B57)*ISNUMBER(INDEX(Inputs!$K$5:$AJ$180,0,MATCH(U$2,Inputs!$K$4:$AJ$4,0))))+SUMPRODUCT((Inputs!$C$5:$C$180=$B57)*ISNUMBER(INDEX(Inputs!$K$5:$AJ$180,0,MATCH(U$2,Inputs!$K$4:$AJ$4,0))))+SUMPRODUCT((Inputs!$E$5:$E$180=$B57)*ISNUMBER(INDEX(Inputs!$K$5:$AJ$180,0,MATCH(U$2,Inputs!$K$4:$AJ$4,0))))=0,NA(),SUMPRODUCT((Inputs!$A$5:$A$180=$B57)*Inputs!$B$5:$B$180*(((Inputs!$G$5:$G$180="moeda")+(Inputs!$G$5:$G$180="acoes"))*Inputs!$B$1+((Inputs!$G$5:$G$180&lt;&gt;"moeda")*(Inputs!$G$5:$G$180&lt;&gt;"acoes")))*INDEX(Inputs!$K$5:$AJ$180,0,MATCH(U$2,Inputs!$K$4:$AJ$4,0)))+SUMPRODUCT((Inputs!$C$5:$C$180=$B57)*Inputs!$D$5:$D$180*(((Inputs!$G$5:$G$180="moeda")+(Inputs!$G$5:$G$180="acoes"))*Inputs!$B$1+((Inputs!$G$5:$G$180&lt;&gt;"moeda")*(Inputs!$G$5:$G$180&lt;&gt;"acoes")))*INDEX(Inputs!$K$5:$AJ$180,0,MATCH(U$2,Inputs!$K$4:$AJ$4,0)))+SUMPRODUCT((Inputs!$E$5:$E$180=$B57)*Inputs!$F$5:$F$180*(((Inputs!$G$5:$G$180="moeda")+(Inputs!$G$5:$G$180="acoes"))*Inputs!$B$1+((Inputs!$G$5:$G$180&lt;&gt;"moeda")*(Inputs!$G$5:$G$180&lt;&gt;"acoes")))*INDEX(Inputs!$K$5:$AJ$180,0,MATCH(U$2,Inputs!$K$4:$AJ$4,0)))))</f>
        <v>2.9619593999998</v>
      </c>
      <c r="V57" s="264">
        <f>IF(ISNA(MATCH(V$2,Inputs!$K$4:$AJ$4,0)),NA(),IF(SUMPRODUCT((Inputs!$A$5:$A$180=$B57)*ISNUMBER(INDEX(Inputs!$K$5:$AJ$180,0,MATCH(V$2,Inputs!$K$4:$AJ$4,0))))+SUMPRODUCT((Inputs!$C$5:$C$180=$B57)*ISNUMBER(INDEX(Inputs!$K$5:$AJ$180,0,MATCH(V$2,Inputs!$K$4:$AJ$4,0))))+SUMPRODUCT((Inputs!$E$5:$E$180=$B57)*ISNUMBER(INDEX(Inputs!$K$5:$AJ$180,0,MATCH(V$2,Inputs!$K$4:$AJ$4,0))))=0,NA(),SUMPRODUCT((Inputs!$A$5:$A$180=$B57)*Inputs!$B$5:$B$180*(((Inputs!$G$5:$G$180="moeda")+(Inputs!$G$5:$G$180="acoes"))*Inputs!$B$1+((Inputs!$G$5:$G$180&lt;&gt;"moeda")*(Inputs!$G$5:$G$180&lt;&gt;"acoes")))*INDEX(Inputs!$K$5:$AJ$180,0,MATCH(V$2,Inputs!$K$4:$AJ$4,0)))+SUMPRODUCT((Inputs!$C$5:$C$180=$B57)*Inputs!$D$5:$D$180*(((Inputs!$G$5:$G$180="moeda")+(Inputs!$G$5:$G$180="acoes"))*Inputs!$B$1+((Inputs!$G$5:$G$180&lt;&gt;"moeda")*(Inputs!$G$5:$G$180&lt;&gt;"acoes")))*INDEX(Inputs!$K$5:$AJ$180,0,MATCH(V$2,Inputs!$K$4:$AJ$4,0)))+SUMPRODUCT((Inputs!$E$5:$E$180=$B57)*Inputs!$F$5:$F$180*(((Inputs!$G$5:$G$180="moeda")+(Inputs!$G$5:$G$180="acoes"))*Inputs!$B$1+((Inputs!$G$5:$G$180&lt;&gt;"moeda")*(Inputs!$G$5:$G$180&lt;&gt;"acoes")))*INDEX(Inputs!$K$5:$AJ$180,0,MATCH(V$2,Inputs!$K$4:$AJ$4,0)))))</f>
        <v>3.068</v>
      </c>
      <c r="W57" s="265">
        <f>SUM(S57:V57)</f>
        <v>13.22295647</v>
      </c>
      <c r="X57" s="264">
        <f>IF(ISNA(MATCH(X$2,Inputs!$K$4:$AJ$4,0)),NA(),IF(SUMPRODUCT((Inputs!$A$5:$A$180=$B57)*ISNUMBER(INDEX(Inputs!$K$5:$AJ$180,0,MATCH(X$2,Inputs!$K$4:$AJ$4,0))))+SUMPRODUCT((Inputs!$C$5:$C$180=$B57)*ISNUMBER(INDEX(Inputs!$K$5:$AJ$180,0,MATCH(X$2,Inputs!$K$4:$AJ$4,0))))+SUMPRODUCT((Inputs!$E$5:$E$180=$B57)*ISNUMBER(INDEX(Inputs!$K$5:$AJ$180,0,MATCH(X$2,Inputs!$K$4:$AJ$4,0))))=0,NA(),SUMPRODUCT((Inputs!$A$5:$A$180=$B57)*Inputs!$B$5:$B$180*(((Inputs!$G$5:$G$180="moeda")+(Inputs!$G$5:$G$180="acoes"))*Inputs!$B$1+((Inputs!$G$5:$G$180&lt;&gt;"moeda")*(Inputs!$G$5:$G$180&lt;&gt;"acoes")))*INDEX(Inputs!$K$5:$AJ$180,0,MATCH(X$2,Inputs!$K$4:$AJ$4,0)))+SUMPRODUCT((Inputs!$C$5:$C$180=$B57)*Inputs!$D$5:$D$180*(((Inputs!$G$5:$G$180="moeda")+(Inputs!$G$5:$G$180="acoes"))*Inputs!$B$1+((Inputs!$G$5:$G$180&lt;&gt;"moeda")*(Inputs!$G$5:$G$180&lt;&gt;"acoes")))*INDEX(Inputs!$K$5:$AJ$180,0,MATCH(X$2,Inputs!$K$4:$AJ$4,0)))+SUMPRODUCT((Inputs!$E$5:$E$180=$B57)*Inputs!$F$5:$F$180*(((Inputs!$G$5:$G$180="moeda")+(Inputs!$G$5:$G$180="acoes"))*Inputs!$B$1+((Inputs!$G$5:$G$180&lt;&gt;"moeda")*(Inputs!$G$5:$G$180&lt;&gt;"acoes")))*INDEX(Inputs!$K$5:$AJ$180,0,MATCH(X$2,Inputs!$K$4:$AJ$4,0)))))</f>
        <v>2.44888293999955</v>
      </c>
      <c r="Y57" s="264">
        <f>IF(ISNA(MATCH(Y$2,Inputs!$K$4:$AJ$4,0)),NA(),IF(SUMPRODUCT((Inputs!$A$5:$A$180=$B57)*ISNUMBER(INDEX(Inputs!$K$5:$AJ$180,0,MATCH(Y$2,Inputs!$K$4:$AJ$4,0))))+SUMPRODUCT((Inputs!$C$5:$C$180=$B57)*ISNUMBER(INDEX(Inputs!$K$5:$AJ$180,0,MATCH(Y$2,Inputs!$K$4:$AJ$4,0))))+SUMPRODUCT((Inputs!$E$5:$E$180=$B57)*ISNUMBER(INDEX(Inputs!$K$5:$AJ$180,0,MATCH(Y$2,Inputs!$K$4:$AJ$4,0))))=0,NA(),SUMPRODUCT((Inputs!$A$5:$A$180=$B57)*Inputs!$B$5:$B$180*(((Inputs!$G$5:$G$180="moeda")+(Inputs!$G$5:$G$180="acoes"))*Inputs!$B$1+((Inputs!$G$5:$G$180&lt;&gt;"moeda")*(Inputs!$G$5:$G$180&lt;&gt;"acoes")))*INDEX(Inputs!$K$5:$AJ$180,0,MATCH(Y$2,Inputs!$K$4:$AJ$4,0)))+SUMPRODUCT((Inputs!$C$5:$C$180=$B57)*Inputs!$D$5:$D$180*(((Inputs!$G$5:$G$180="moeda")+(Inputs!$G$5:$G$180="acoes"))*Inputs!$B$1+((Inputs!$G$5:$G$180&lt;&gt;"moeda")*(Inputs!$G$5:$G$180&lt;&gt;"acoes")))*INDEX(Inputs!$K$5:$AJ$180,0,MATCH(Y$2,Inputs!$K$4:$AJ$4,0)))+SUMPRODUCT((Inputs!$E$5:$E$180=$B57)*Inputs!$F$5:$F$180*(((Inputs!$G$5:$G$180="moeda")+(Inputs!$G$5:$G$180="acoes"))*Inputs!$B$1+((Inputs!$G$5:$G$180&lt;&gt;"moeda")*(Inputs!$G$5:$G$180&lt;&gt;"acoes")))*INDEX(Inputs!$K$5:$AJ$180,0,MATCH(Y$2,Inputs!$K$4:$AJ$4,0)))))</f>
        <v>3.38</v>
      </c>
      <c r="Z57" s="264">
        <f>IF(ISNA(MATCH(Z$2,Inputs!$K$4:$AJ$4,0)),NA(),IF(SUMPRODUCT((Inputs!$A$5:$A$180=$B57)*ISNUMBER(INDEX(Inputs!$K$5:$AJ$180,0,MATCH(Z$2,Inputs!$K$4:$AJ$4,0))))+SUMPRODUCT((Inputs!$C$5:$C$180=$B57)*ISNUMBER(INDEX(Inputs!$K$5:$AJ$180,0,MATCH(Z$2,Inputs!$K$4:$AJ$4,0))))+SUMPRODUCT((Inputs!$E$5:$E$180=$B57)*ISNUMBER(INDEX(Inputs!$K$5:$AJ$180,0,MATCH(Z$2,Inputs!$K$4:$AJ$4,0))))=0,NA(),SUMPRODUCT((Inputs!$A$5:$A$180=$B57)*Inputs!$B$5:$B$180*(((Inputs!$G$5:$G$180="moeda")+(Inputs!$G$5:$G$180="acoes"))*Inputs!$B$1+((Inputs!$G$5:$G$180&lt;&gt;"moeda")*(Inputs!$G$5:$G$180&lt;&gt;"acoes")))*INDEX(Inputs!$K$5:$AJ$180,0,MATCH(Z$2,Inputs!$K$4:$AJ$4,0)))+SUMPRODUCT((Inputs!$C$5:$C$180=$B57)*Inputs!$D$5:$D$180*(((Inputs!$G$5:$G$180="moeda")+(Inputs!$G$5:$G$180="acoes"))*Inputs!$B$1+((Inputs!$G$5:$G$180&lt;&gt;"moeda")*(Inputs!$G$5:$G$180&lt;&gt;"acoes")))*INDEX(Inputs!$K$5:$AJ$180,0,MATCH(Z$2,Inputs!$K$4:$AJ$4,0)))+SUMPRODUCT((Inputs!$E$5:$E$180=$B57)*Inputs!$F$5:$F$180*(((Inputs!$G$5:$G$180="moeda")+(Inputs!$G$5:$G$180="acoes"))*Inputs!$B$1+((Inputs!$G$5:$G$180&lt;&gt;"moeda")*(Inputs!$G$5:$G$180&lt;&gt;"acoes")))*INDEX(Inputs!$K$5:$AJ$180,0,MATCH(Z$2,Inputs!$K$4:$AJ$4,0)))))</f>
        <v>2.44083333000058</v>
      </c>
      <c r="AA57" s="264">
        <f>IF(ISNA(MATCH(AA$2,Inputs!$K$4:$AJ$4,0)),NA(),IF(SUMPRODUCT((Inputs!$A$5:$A$180=$B57)*ISNUMBER(INDEX(Inputs!$K$5:$AJ$180,0,MATCH(AA$2,Inputs!$K$4:$AJ$4,0))))+SUMPRODUCT((Inputs!$C$5:$C$180=$B57)*ISNUMBER(INDEX(Inputs!$K$5:$AJ$180,0,MATCH(AA$2,Inputs!$K$4:$AJ$4,0))))+SUMPRODUCT((Inputs!$E$5:$E$180=$B57)*ISNUMBER(INDEX(Inputs!$K$5:$AJ$180,0,MATCH(AA$2,Inputs!$K$4:$AJ$4,0))))=0,NA(),SUMPRODUCT((Inputs!$A$5:$A$180=$B57)*Inputs!$B$5:$B$180*(((Inputs!$G$5:$G$180="moeda")+(Inputs!$G$5:$G$180="acoes"))*Inputs!$B$1+((Inputs!$G$5:$G$180&lt;&gt;"moeda")*(Inputs!$G$5:$G$180&lt;&gt;"acoes")))*INDEX(Inputs!$K$5:$AJ$180,0,MATCH(AA$2,Inputs!$K$4:$AJ$4,0)))+SUMPRODUCT((Inputs!$C$5:$C$180=$B57)*Inputs!$D$5:$D$180*(((Inputs!$G$5:$G$180="moeda")+(Inputs!$G$5:$G$180="acoes"))*Inputs!$B$1+((Inputs!$G$5:$G$180&lt;&gt;"moeda")*(Inputs!$G$5:$G$180&lt;&gt;"acoes")))*INDEX(Inputs!$K$5:$AJ$180,0,MATCH(AA$2,Inputs!$K$4:$AJ$4,0)))+SUMPRODUCT((Inputs!$E$5:$E$180=$B57)*Inputs!$F$5:$F$180*(((Inputs!$G$5:$G$180="moeda")+(Inputs!$G$5:$G$180="acoes"))*Inputs!$B$1+((Inputs!$G$5:$G$180&lt;&gt;"moeda")*(Inputs!$G$5:$G$180&lt;&gt;"acoes")))*INDEX(Inputs!$K$5:$AJ$180,0,MATCH(AA$2,Inputs!$K$4:$AJ$4,0)))))</f>
        <v>7.518</v>
      </c>
      <c r="AB57" s="265">
        <f>SUM(X57:AA57)</f>
        <v>15.7877162700001</v>
      </c>
      <c r="AC57" s="264">
        <f>IF(ISNA(MATCH(AC$2,Inputs!$K$4:$AJ$4,0)),NA(),IF(SUMPRODUCT((Inputs!$A$5:$A$180=$B57)*ISNUMBER(INDEX(Inputs!$K$5:$AJ$180,0,MATCH(AC$2,Inputs!$K$4:$AJ$4,0))))+SUMPRODUCT((Inputs!$C$5:$C$180=$B57)*ISNUMBER(INDEX(Inputs!$K$5:$AJ$180,0,MATCH(AC$2,Inputs!$K$4:$AJ$4,0))))+SUMPRODUCT((Inputs!$E$5:$E$180=$B57)*ISNUMBER(INDEX(Inputs!$K$5:$AJ$180,0,MATCH(AC$2,Inputs!$K$4:$AJ$4,0))))=0,NA(),SUMPRODUCT((Inputs!$A$5:$A$180=$B57)*Inputs!$B$5:$B$180*(((Inputs!$G$5:$G$180="moeda")+(Inputs!$G$5:$G$180="acoes"))*Inputs!$B$1+((Inputs!$G$5:$G$180&lt;&gt;"moeda")*(Inputs!$G$5:$G$180&lt;&gt;"acoes")))*INDEX(Inputs!$K$5:$AJ$180,0,MATCH(AC$2,Inputs!$K$4:$AJ$4,0)))+SUMPRODUCT((Inputs!$C$5:$C$180=$B57)*Inputs!$D$5:$D$180*(((Inputs!$G$5:$G$180="moeda")+(Inputs!$G$5:$G$180="acoes"))*Inputs!$B$1+((Inputs!$G$5:$G$180&lt;&gt;"moeda")*(Inputs!$G$5:$G$180&lt;&gt;"acoes")))*INDEX(Inputs!$K$5:$AJ$180,0,MATCH(AC$2,Inputs!$K$4:$AJ$4,0)))+SUMPRODUCT((Inputs!$E$5:$E$180=$B57)*Inputs!$F$5:$F$180*(((Inputs!$G$5:$G$180="moeda")+(Inputs!$G$5:$G$180="acoes"))*Inputs!$B$1+((Inputs!$G$5:$G$180&lt;&gt;"moeda")*(Inputs!$G$5:$G$180&lt;&gt;"acoes")))*INDEX(Inputs!$K$5:$AJ$180,0,MATCH(AC$2,Inputs!$K$4:$AJ$4,0)))))</f>
        <v>5.98046605000123</v>
      </c>
      <c r="AD57" s="264">
        <f>IF(ISNA(MATCH(AD$2,Inputs!$K$4:$AJ$4,0)),NA(),IF(SUMPRODUCT((Inputs!$A$5:$A$180=$B57)*ISNUMBER(INDEX(Inputs!$K$5:$AJ$180,0,MATCH(AD$2,Inputs!$K$4:$AJ$4,0))))+SUMPRODUCT((Inputs!$C$5:$C$180=$B57)*ISNUMBER(INDEX(Inputs!$K$5:$AJ$180,0,MATCH(AD$2,Inputs!$K$4:$AJ$4,0))))+SUMPRODUCT((Inputs!$E$5:$E$180=$B57)*ISNUMBER(INDEX(Inputs!$K$5:$AJ$180,0,MATCH(AD$2,Inputs!$K$4:$AJ$4,0))))=0,NA(),SUMPRODUCT((Inputs!$A$5:$A$180=$B57)*Inputs!$B$5:$B$180*(((Inputs!$G$5:$G$180="moeda")+(Inputs!$G$5:$G$180="acoes"))*Inputs!$B$1+((Inputs!$G$5:$G$180&lt;&gt;"moeda")*(Inputs!$G$5:$G$180&lt;&gt;"acoes")))*INDEX(Inputs!$K$5:$AJ$180,0,MATCH(AD$2,Inputs!$K$4:$AJ$4,0)))+SUMPRODUCT((Inputs!$C$5:$C$180=$B57)*Inputs!$D$5:$D$180*(((Inputs!$G$5:$G$180="moeda")+(Inputs!$G$5:$G$180="acoes"))*Inputs!$B$1+((Inputs!$G$5:$G$180&lt;&gt;"moeda")*(Inputs!$G$5:$G$180&lt;&gt;"acoes")))*INDEX(Inputs!$K$5:$AJ$180,0,MATCH(AD$2,Inputs!$K$4:$AJ$4,0)))+SUMPRODUCT((Inputs!$E$5:$E$180=$B57)*Inputs!$F$5:$F$180*(((Inputs!$G$5:$G$180="moeda")+(Inputs!$G$5:$G$180="acoes"))*Inputs!$B$1+((Inputs!$G$5:$G$180&lt;&gt;"moeda")*(Inputs!$G$5:$G$180&lt;&gt;"acoes")))*INDEX(Inputs!$K$5:$AJ$180,0,MATCH(AD$2,Inputs!$K$4:$AJ$4,0)))))</f>
        <v>1.68754991000187</v>
      </c>
      <c r="AE57" s="264" t="e">
        <f>IF(ISNA(MATCH(AE$2,Inputs!$K$4:$AJ$4,0)),NA(),IF(SUMPRODUCT((Inputs!$A$5:$A$180=$B57)*ISNUMBER(INDEX(Inputs!$K$5:$AJ$180,0,MATCH(AE$2,Inputs!$K$4:$AJ$4,0))))+SUMPRODUCT((Inputs!$C$5:$C$180=$B57)*ISNUMBER(INDEX(Inputs!$K$5:$AJ$180,0,MATCH(AE$2,Inputs!$K$4:$AJ$4,0))))+SUMPRODUCT((Inputs!$E$5:$E$180=$B57)*ISNUMBER(INDEX(Inputs!$K$5:$AJ$180,0,MATCH(AE$2,Inputs!$K$4:$AJ$4,0))))=0,NA(),SUMPRODUCT((Inputs!$A$5:$A$180=$B57)*Inputs!$B$5:$B$180*(((Inputs!$G$5:$G$180="moeda")+(Inputs!$G$5:$G$180="acoes"))*Inputs!$B$1+((Inputs!$G$5:$G$180&lt;&gt;"moeda")*(Inputs!$G$5:$G$180&lt;&gt;"acoes")))*INDEX(Inputs!$K$5:$AJ$180,0,MATCH(AE$2,Inputs!$K$4:$AJ$4,0)))+SUMPRODUCT((Inputs!$C$5:$C$180=$B57)*Inputs!$D$5:$D$180*(((Inputs!$G$5:$G$180="moeda")+(Inputs!$G$5:$G$180="acoes"))*Inputs!$B$1+((Inputs!$G$5:$G$180&lt;&gt;"moeda")*(Inputs!$G$5:$G$180&lt;&gt;"acoes")))*INDEX(Inputs!$K$5:$AJ$180,0,MATCH(AE$2,Inputs!$K$4:$AJ$4,0)))+SUMPRODUCT((Inputs!$E$5:$E$180=$B57)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7" s="264" t="e">
        <f>IF(ISNA(MATCH(AF$2,Inputs!$K$4:$AJ$4,0)),NA(),IF(SUMPRODUCT((Inputs!$A$5:$A$180=$B57)*ISNUMBER(INDEX(Inputs!$K$5:$AJ$180,0,MATCH(AF$2,Inputs!$K$4:$AJ$4,0))))+SUMPRODUCT((Inputs!$C$5:$C$180=$B57)*ISNUMBER(INDEX(Inputs!$K$5:$AJ$180,0,MATCH(AF$2,Inputs!$K$4:$AJ$4,0))))+SUMPRODUCT((Inputs!$E$5:$E$180=$B57)*ISNUMBER(INDEX(Inputs!$K$5:$AJ$180,0,MATCH(AF$2,Inputs!$K$4:$AJ$4,0))))=0,NA(),SUMPRODUCT((Inputs!$A$5:$A$180=$B57)*Inputs!$B$5:$B$180*(((Inputs!$G$5:$G$180="moeda")+(Inputs!$G$5:$G$180="acoes"))*Inputs!$B$1+((Inputs!$G$5:$G$180&lt;&gt;"moeda")*(Inputs!$G$5:$G$180&lt;&gt;"acoes")))*INDEX(Inputs!$K$5:$AJ$180,0,MATCH(AF$2,Inputs!$K$4:$AJ$4,0)))+SUMPRODUCT((Inputs!$C$5:$C$180=$B57)*Inputs!$D$5:$D$180*(((Inputs!$G$5:$G$180="moeda")+(Inputs!$G$5:$G$180="acoes"))*Inputs!$B$1+((Inputs!$G$5:$G$180&lt;&gt;"moeda")*(Inputs!$G$5:$G$180&lt;&gt;"acoes")))*INDEX(Inputs!$K$5:$AJ$180,0,MATCH(AF$2,Inputs!$K$4:$AJ$4,0)))+SUMPRODUCT((Inputs!$E$5:$E$180=$B57)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$180=$B57)*ISNUMBER(INDEX(Inputs!$K$5:$AJ$180,0,MATCH(AH$2,Inputs!$K$4:$AJ$4,0))))+SUMPRODUCT((Inputs!$C$5:$C$180=$B57)*ISNUMBER(INDEX(Inputs!$K$5:$AJ$180,0,MATCH(AH$2,Inputs!$K$4:$AJ$4,0))))+SUMPRODUCT((Inputs!$E$5:$E$180=$B57)*ISNUMBER(INDEX(Inputs!$K$5:$AJ$180,0,MATCH(AH$2,Inputs!$K$4:$AJ$4,0))))=0,NA(),SUMPRODUCT((Inputs!$A$5:$A$180=$B57)*Inputs!$B$5:$B$180*(((Inputs!$G$5:$G$180="moeda")+(Inputs!$G$5:$G$180="acoes"))*Inputs!$B$1+((Inputs!$G$5:$G$180&lt;&gt;"moeda")*(Inputs!$G$5:$G$180&lt;&gt;"acoes")))*INDEX(Inputs!$K$5:$AJ$180,0,MATCH(AH$2,Inputs!$K$4:$AJ$4,0)))+SUMPRODUCT((Inputs!$C$5:$C$180=$B57)*Inputs!$D$5:$D$180*(((Inputs!$G$5:$G$180="moeda")+(Inputs!$G$5:$G$180="acoes"))*Inputs!$B$1+((Inputs!$G$5:$G$180&lt;&gt;"moeda")*(Inputs!$G$5:$G$180&lt;&gt;"acoes")))*INDEX(Inputs!$K$5:$AJ$180,0,MATCH(AH$2,Inputs!$K$4:$AJ$4,0)))+SUMPRODUCT((Inputs!$E$5:$E$180=$B57)*Inputs!$F$5:$F$180*(((Inputs!$G$5:$G$180="moeda")+(Inputs!$G$5:$G$180="acoes"))*Inputs!$B$1+((Inputs!$G$5:$G$180&lt;&gt;"moeda")*(Inputs!$G$5:$G$180&lt;&gt;"acoes")))*INDEX(Inputs!$K$5:$AJ$180,0,MATCH(AH$2,Inputs!$K$4:$AJ$4,0)))))</f>
        <v>3.3205</v>
      </c>
      <c r="AI57" s="264">
        <f>IF(ISNA(MATCH(AI$2,Inputs!$K$4:$AJ$4,0)),NA(),IF(SUMPRODUCT((Inputs!$A$5:$A$180=$B57)*ISNUMBER(INDEX(Inputs!$K$5:$AJ$180,0,MATCH(AI$2,Inputs!$K$4:$AJ$4,0))))+SUMPRODUCT((Inputs!$C$5:$C$180=$B57)*ISNUMBER(INDEX(Inputs!$K$5:$AJ$180,0,MATCH(AI$2,Inputs!$K$4:$AJ$4,0))))+SUMPRODUCT((Inputs!$E$5:$E$180=$B57)*ISNUMBER(INDEX(Inputs!$K$5:$AJ$180,0,MATCH(AI$2,Inputs!$K$4:$AJ$4,0))))=0,NA(),SUMPRODUCT((Inputs!$A$5:$A$180=$B57)*Inputs!$B$5:$B$180*(((Inputs!$G$5:$G$180="moeda")+(Inputs!$G$5:$G$180="acoes"))*Inputs!$B$1+((Inputs!$G$5:$G$180&lt;&gt;"moeda")*(Inputs!$G$5:$G$180&lt;&gt;"acoes")))*INDEX(Inputs!$K$5:$AJ$180,0,MATCH(AI$2,Inputs!$K$4:$AJ$4,0)))+SUMPRODUCT((Inputs!$C$5:$C$180=$B57)*Inputs!$D$5:$D$180*(((Inputs!$G$5:$G$180="moeda")+(Inputs!$G$5:$G$180="acoes"))*Inputs!$B$1+((Inputs!$G$5:$G$180&lt;&gt;"moeda")*(Inputs!$G$5:$G$180&lt;&gt;"acoes")))*INDEX(Inputs!$K$5:$AJ$180,0,MATCH(AI$2,Inputs!$K$4:$AJ$4,0)))+SUMPRODUCT((Inputs!$E$5:$E$180=$B57)*Inputs!$F$5:$F$180*(((Inputs!$G$5:$G$180="moeda")+(Inputs!$G$5:$G$180="acoes"))*Inputs!$B$1+((Inputs!$G$5:$G$180&lt;&gt;"moeda")*(Inputs!$G$5:$G$180&lt;&gt;"acoes")))*INDEX(Inputs!$K$5:$AJ$180,0,MATCH(AI$2,Inputs!$K$4:$AJ$4,0)))))</f>
        <v>1.833</v>
      </c>
      <c r="AJ57" s="264">
        <f>IF(ISNA(MATCH(AJ$2,Inputs!$K$4:$AJ$4,0)),NA(),IF(SUMPRODUCT((Inputs!$A$5:$A$180=$B57)*ISNUMBER(INDEX(Inputs!$K$5:$AJ$180,0,MATCH(AJ$2,Inputs!$K$4:$AJ$4,0))))+SUMPRODUCT((Inputs!$C$5:$C$180=$B57)*ISNUMBER(INDEX(Inputs!$K$5:$AJ$180,0,MATCH(AJ$2,Inputs!$K$4:$AJ$4,0))))+SUMPRODUCT((Inputs!$E$5:$E$180=$B57)*ISNUMBER(INDEX(Inputs!$K$5:$AJ$180,0,MATCH(AJ$2,Inputs!$K$4:$AJ$4,0))))=0,NA(),SUMPRODUCT((Inputs!$A$5:$A$180=$B57)*Inputs!$B$5:$B$180*(((Inputs!$G$5:$G$180="moeda")+(Inputs!$G$5:$G$180="acoes"))*Inputs!$B$1+((Inputs!$G$5:$G$180&lt;&gt;"moeda")*(Inputs!$G$5:$G$180&lt;&gt;"acoes")))*INDEX(Inputs!$K$5:$AJ$180,0,MATCH(AJ$2,Inputs!$K$4:$AJ$4,0)))+SUMPRODUCT((Inputs!$C$5:$C$180=$B57)*Inputs!$D$5:$D$180*(((Inputs!$G$5:$G$180="moeda")+(Inputs!$G$5:$G$180="acoes"))*Inputs!$B$1+((Inputs!$G$5:$G$180&lt;&gt;"moeda")*(Inputs!$G$5:$G$180&lt;&gt;"acoes")))*INDEX(Inputs!$K$5:$AJ$180,0,MATCH(AJ$2,Inputs!$K$4:$AJ$4,0)))+SUMPRODUCT((Inputs!$E$5:$E$180=$B57)*Inputs!$F$5:$F$180*(((Inputs!$G$5:$G$180="moeda")+(Inputs!$G$5:$G$180="acoes"))*Inputs!$B$1+((Inputs!$G$5:$G$180&lt;&gt;"moeda")*(Inputs!$G$5:$G$180&lt;&gt;"acoes")))*INDEX(Inputs!$K$5:$AJ$180,0,MATCH(AJ$2,Inputs!$K$4:$AJ$4,0)))))</f>
        <v>3.1765</v>
      </c>
      <c r="AK57" s="264">
        <f>IF(ISNA(MATCH(AK$2,Inputs!$K$4:$AJ$4,0)),NA(),IF(SUMPRODUCT((Inputs!$A$5:$A$180=$B57)*ISNUMBER(INDEX(Inputs!$K$5:$AJ$180,0,MATCH(AK$2,Inputs!$K$4:$AJ$4,0))))+SUMPRODUCT((Inputs!$C$5:$C$180=$B57)*ISNUMBER(INDEX(Inputs!$K$5:$AJ$180,0,MATCH(AK$2,Inputs!$K$4:$AJ$4,0))))+SUMPRODUCT((Inputs!$E$5:$E$180=$B57)*ISNUMBER(INDEX(Inputs!$K$5:$AJ$180,0,MATCH(AK$2,Inputs!$K$4:$AJ$4,0))))=0,NA(),SUMPRODUCT((Inputs!$A$5:$A$180=$B57)*Inputs!$B$5:$B$180*(((Inputs!$G$5:$G$180="moeda")+(Inputs!$G$5:$G$180="acoes"))*Inputs!$B$1+((Inputs!$G$5:$G$180&lt;&gt;"moeda")*(Inputs!$G$5:$G$180&lt;&gt;"acoes")))*INDEX(Inputs!$K$5:$AJ$180,0,MATCH(AK$2,Inputs!$K$4:$AJ$4,0)))+SUMPRODUCT((Inputs!$C$5:$C$180=$B57)*Inputs!$D$5:$D$180*(((Inputs!$G$5:$G$180="moeda")+(Inputs!$G$5:$G$180="acoes"))*Inputs!$B$1+((Inputs!$G$5:$G$180&lt;&gt;"moeda")*(Inputs!$G$5:$G$180&lt;&gt;"acoes")))*INDEX(Inputs!$K$5:$AJ$180,0,MATCH(AK$2,Inputs!$K$4:$AJ$4,0)))+SUMPRODUCT((Inputs!$E$5:$E$180=$B57)*Inputs!$F$5:$F$180*(((Inputs!$G$5:$G$180="moeda")+(Inputs!$G$5:$G$180="acoes"))*Inputs!$B$1+((Inputs!$G$5:$G$180&lt;&gt;"moeda")*(Inputs!$G$5:$G$180&lt;&gt;"acoes")))*INDEX(Inputs!$K$5:$AJ$180,0,MATCH(AK$2,Inputs!$K$4:$AJ$4,0)))))</f>
        <v>4.17944</v>
      </c>
      <c r="AL57" s="265">
        <f>SUM(AH57:AK57)</f>
        <v>12.50944</v>
      </c>
    </row>
    <row r="58">
      <c r="B58" s="46" t="n">
        <v>50</v>
      </c>
      <c r="C58" s="29" t="inlineStr">
        <is>
          <t>Receita bruta liq. de devolucoes na DRE (DRE l.5 + l.6 + l.7)</t>
        </is>
      </c>
      <c r="D58" s="264">
        <f>IF(ISNA(MATCH(D$2,Inputs!$K$4:$AJ$4,0)),NA(),IF(SUMPRODUCT((Inputs!$A$5:$A$180=$B58)*ISNUMBER(INDEX(Inputs!$K$5:$AJ$180,0,MATCH(D$2,Inputs!$K$4:$AJ$4,0))))+SUMPRODUCT((Inputs!$C$5:$C$180=$B58)*ISNUMBER(INDEX(Inputs!$K$5:$AJ$180,0,MATCH(D$2,Inputs!$K$4:$AJ$4,0))))+SUMPRODUCT((Inputs!$E$5:$E$180=$B58)*ISNUMBER(INDEX(Inputs!$K$5:$AJ$180,0,MATCH(D$2,Inputs!$K$4:$AJ$4,0))))=0,NA(),SUMPRODUCT((Inputs!$A$5:$A$180=$B58)*Inputs!$B$5:$B$180*(((Inputs!$G$5:$G$180="moeda")+(Inputs!$G$5:$G$180="acoes"))*Inputs!$B$1+((Inputs!$G$5:$G$180&lt;&gt;"moeda")*(Inputs!$G$5:$G$180&lt;&gt;"acoes")))*INDEX(Inputs!$K$5:$AJ$180,0,MATCH(D$2,Inputs!$K$4:$AJ$4,0)))+SUMPRODUCT((Inputs!$C$5:$C$180=$B58)*Inputs!$D$5:$D$180*(((Inputs!$G$5:$G$180="moeda")+(Inputs!$G$5:$G$180="acoes"))*Inputs!$B$1+((Inputs!$G$5:$G$180&lt;&gt;"moeda")*(Inputs!$G$5:$G$180&lt;&gt;"acoes")))*INDEX(Inputs!$K$5:$AJ$180,0,MATCH(D$2,Inputs!$K$4:$AJ$4,0)))+SUMPRODUCT((Inputs!$E$5:$E$180=$B58)*Inputs!$F$5:$F$180*(((Inputs!$G$5:$G$180="moeda")+(Inputs!$G$5:$G$180="acoes"))*Inputs!$B$1+((Inputs!$G$5:$G$180&lt;&gt;"moeda")*(Inputs!$G$5:$G$180&lt;&gt;"acoes")))*INDEX(Inputs!$K$5:$AJ$180,0,MATCH(D$2,Inputs!$K$4:$AJ$4,0)))))</f>
        <v>273.32798579</v>
      </c>
      <c r="E58" s="264">
        <f>IF(ISNA(MATCH(E$2,Inputs!$K$4:$AJ$4,0)),NA(),IF(SUMPRODUCT((Inputs!$A$5:$A$180=$B58)*ISNUMBER(INDEX(Inputs!$K$5:$AJ$180,0,MATCH(E$2,Inputs!$K$4:$AJ$4,0))))+SUMPRODUCT((Inputs!$C$5:$C$180=$B58)*ISNUMBER(INDEX(Inputs!$K$5:$AJ$180,0,MATCH(E$2,Inputs!$K$4:$AJ$4,0))))+SUMPRODUCT((Inputs!$E$5:$E$180=$B58)*ISNUMBER(INDEX(Inputs!$K$5:$AJ$180,0,MATCH(E$2,Inputs!$K$4:$AJ$4,0))))=0,NA(),SUMPRODUCT((Inputs!$A$5:$A$180=$B58)*Inputs!$B$5:$B$180*(((Inputs!$G$5:$G$180="moeda")+(Inputs!$G$5:$G$180="acoes"))*Inputs!$B$1+((Inputs!$G$5:$G$180&lt;&gt;"moeda")*(Inputs!$G$5:$G$180&lt;&gt;"acoes")))*INDEX(Inputs!$K$5:$AJ$180,0,MATCH(E$2,Inputs!$K$4:$AJ$4,0)))+SUMPRODUCT((Inputs!$C$5:$C$180=$B58)*Inputs!$D$5:$D$180*(((Inputs!$G$5:$G$180="moeda")+(Inputs!$G$5:$G$180="acoes"))*Inputs!$B$1+((Inputs!$G$5:$G$180&lt;&gt;"moeda")*(Inputs!$G$5:$G$180&lt;&gt;"acoes")))*INDEX(Inputs!$K$5:$AJ$180,0,MATCH(E$2,Inputs!$K$4:$AJ$4,0)))+SUMPRODUCT((Inputs!$E$5:$E$180=$B58)*Inputs!$F$5:$F$180*(((Inputs!$G$5:$G$180="moeda")+(Inputs!$G$5:$G$180="acoes"))*Inputs!$B$1+((Inputs!$G$5:$G$180&lt;&gt;"moeda")*(Inputs!$G$5:$G$180&lt;&gt;"acoes")))*INDEX(Inputs!$K$5:$AJ$180,0,MATCH(E$2,Inputs!$K$4:$AJ$4,0)))))</f>
        <v>456.80940074</v>
      </c>
      <c r="F58" s="264">
        <f>IF(ISNA(MATCH(F$2,Inputs!$K$4:$AJ$4,0)),NA(),IF(SUMPRODUCT((Inputs!$A$5:$A$180=$B58)*ISNUMBER(INDEX(Inputs!$K$5:$AJ$180,0,MATCH(F$2,Inputs!$K$4:$AJ$4,0))))+SUMPRODUCT((Inputs!$C$5:$C$180=$B58)*ISNUMBER(INDEX(Inputs!$K$5:$AJ$180,0,MATCH(F$2,Inputs!$K$4:$AJ$4,0))))+SUMPRODUCT((Inputs!$E$5:$E$180=$B58)*ISNUMBER(INDEX(Inputs!$K$5:$AJ$180,0,MATCH(F$2,Inputs!$K$4:$AJ$4,0))))=0,NA(),SUMPRODUCT((Inputs!$A$5:$A$180=$B58)*Inputs!$B$5:$B$180*(((Inputs!$G$5:$G$180="moeda")+(Inputs!$G$5:$G$180="acoes"))*Inputs!$B$1+((Inputs!$G$5:$G$180&lt;&gt;"moeda")*(Inputs!$G$5:$G$180&lt;&gt;"acoes")))*INDEX(Inputs!$K$5:$AJ$180,0,MATCH(F$2,Inputs!$K$4:$AJ$4,0)))+SUMPRODUCT((Inputs!$C$5:$C$180=$B58)*Inputs!$D$5:$D$180*(((Inputs!$G$5:$G$180="moeda")+(Inputs!$G$5:$G$180="acoes"))*Inputs!$B$1+((Inputs!$G$5:$G$180&lt;&gt;"moeda")*(Inputs!$G$5:$G$180&lt;&gt;"acoes")))*INDEX(Inputs!$K$5:$AJ$180,0,MATCH(F$2,Inputs!$K$4:$AJ$4,0)))+SUMPRODUCT((Inputs!$E$5:$E$180=$B58)*Inputs!$F$5:$F$180*(((Inputs!$G$5:$G$180="moeda")+(Inputs!$G$5:$G$180="acoes"))*Inputs!$B$1+((Inputs!$G$5:$G$180&lt;&gt;"moeda")*(Inputs!$G$5:$G$180&lt;&gt;"acoes")))*INDEX(Inputs!$K$5:$AJ$180,0,MATCH(F$2,Inputs!$K$4:$AJ$4,0)))))</f>
        <v>410.60272401</v>
      </c>
      <c r="G58" s="264">
        <f>IF(ISNA(MATCH(G$2,Inputs!$K$4:$AJ$4,0)),NA(),IF(SUMPRODUCT((Inputs!$A$5:$A$180=$B58)*ISNUMBER(INDEX(Inputs!$K$5:$AJ$180,0,MATCH(G$2,Inputs!$K$4:$AJ$4,0))))+SUMPRODUCT((Inputs!$C$5:$C$180=$B58)*ISNUMBER(INDEX(Inputs!$K$5:$AJ$180,0,MATCH(G$2,Inputs!$K$4:$AJ$4,0))))+SUMPRODUCT((Inputs!$E$5:$E$180=$B58)*ISNUMBER(INDEX(Inputs!$K$5:$AJ$180,0,MATCH(G$2,Inputs!$K$4:$AJ$4,0))))=0,NA(),SUMPRODUCT((Inputs!$A$5:$A$180=$B58)*Inputs!$B$5:$B$180*(((Inputs!$G$5:$G$180="moeda")+(Inputs!$G$5:$G$180="acoes"))*Inputs!$B$1+((Inputs!$G$5:$G$180&lt;&gt;"moeda")*(Inputs!$G$5:$G$180&lt;&gt;"acoes")))*INDEX(Inputs!$K$5:$AJ$180,0,MATCH(G$2,Inputs!$K$4:$AJ$4,0)))+SUMPRODUCT((Inputs!$C$5:$C$180=$B58)*Inputs!$D$5:$D$180*(((Inputs!$G$5:$G$180="moeda")+(Inputs!$G$5:$G$180="acoes"))*Inputs!$B$1+((Inputs!$G$5:$G$180&lt;&gt;"moeda")*(Inputs!$G$5:$G$180&lt;&gt;"acoes")))*INDEX(Inputs!$K$5:$AJ$180,0,MATCH(G$2,Inputs!$K$4:$AJ$4,0)))+SUMPRODUCT((Inputs!$E$5:$E$180=$B58)*Inputs!$F$5:$F$180*(((Inputs!$G$5:$G$180="moeda")+(Inputs!$G$5:$G$180="acoes"))*Inputs!$B$1+((Inputs!$G$5:$G$180&lt;&gt;"moeda")*(Inputs!$G$5:$G$180&lt;&gt;"acoes")))*INDEX(Inputs!$K$5:$AJ$180,0,MATCH(G$2,Inputs!$K$4:$AJ$4,0)))))</f>
        <v>701.7144637</v>
      </c>
      <c r="H58" s="265">
        <f>SUM(D58:G58)</f>
        <v>1842.45457424</v>
      </c>
      <c r="I58" s="264">
        <f>IF(ISNA(MATCH(I$2,Inputs!$K$4:$AJ$4,0)),NA(),IF(SUMPRODUCT((Inputs!$A$5:$A$180=$B58)*ISNUMBER(INDEX(Inputs!$K$5:$AJ$180,0,MATCH(I$2,Inputs!$K$4:$AJ$4,0))))+SUMPRODUCT((Inputs!$C$5:$C$180=$B58)*ISNUMBER(INDEX(Inputs!$K$5:$AJ$180,0,MATCH(I$2,Inputs!$K$4:$AJ$4,0))))+SUMPRODUCT((Inputs!$E$5:$E$180=$B58)*ISNUMBER(INDEX(Inputs!$K$5:$AJ$180,0,MATCH(I$2,Inputs!$K$4:$AJ$4,0))))=0,NA(),SUMPRODUCT((Inputs!$A$5:$A$180=$B58)*Inputs!$B$5:$B$180*(((Inputs!$G$5:$G$180="moeda")+(Inputs!$G$5:$G$180="acoes"))*Inputs!$B$1+((Inputs!$G$5:$G$180&lt;&gt;"moeda")*(Inputs!$G$5:$G$180&lt;&gt;"acoes")))*INDEX(Inputs!$K$5:$AJ$180,0,MATCH(I$2,Inputs!$K$4:$AJ$4,0)))+SUMPRODUCT((Inputs!$C$5:$C$180=$B58)*Inputs!$D$5:$D$180*(((Inputs!$G$5:$G$180="moeda")+(Inputs!$G$5:$G$180="acoes"))*Inputs!$B$1+((Inputs!$G$5:$G$180&lt;&gt;"moeda")*(Inputs!$G$5:$G$180&lt;&gt;"acoes")))*INDEX(Inputs!$K$5:$AJ$180,0,MATCH(I$2,Inputs!$K$4:$AJ$4,0)))+SUMPRODUCT((Inputs!$E$5:$E$180=$B58)*Inputs!$F$5:$F$180*(((Inputs!$G$5:$G$180="moeda")+(Inputs!$G$5:$G$180="acoes"))*Inputs!$B$1+((Inputs!$G$5:$G$180&lt;&gt;"moeda")*(Inputs!$G$5:$G$180&lt;&gt;"acoes")))*INDEX(Inputs!$K$5:$AJ$180,0,MATCH(I$2,Inputs!$K$4:$AJ$4,0)))))</f>
        <v>410.86038413</v>
      </c>
      <c r="J58" s="264">
        <f>IF(ISNA(MATCH(J$2,Inputs!$K$4:$AJ$4,0)),NA(),IF(SUMPRODUCT((Inputs!$A$5:$A$180=$B58)*ISNUMBER(INDEX(Inputs!$K$5:$AJ$180,0,MATCH(J$2,Inputs!$K$4:$AJ$4,0))))+SUMPRODUCT((Inputs!$C$5:$C$180=$B58)*ISNUMBER(INDEX(Inputs!$K$5:$AJ$180,0,MATCH(J$2,Inputs!$K$4:$AJ$4,0))))+SUMPRODUCT((Inputs!$E$5:$E$180=$B58)*ISNUMBER(INDEX(Inputs!$K$5:$AJ$180,0,MATCH(J$2,Inputs!$K$4:$AJ$4,0))))=0,NA(),SUMPRODUCT((Inputs!$A$5:$A$180=$B58)*Inputs!$B$5:$B$180*(((Inputs!$G$5:$G$180="moeda")+(Inputs!$G$5:$G$180="acoes"))*Inputs!$B$1+((Inputs!$G$5:$G$180&lt;&gt;"moeda")*(Inputs!$G$5:$G$180&lt;&gt;"acoes")))*INDEX(Inputs!$K$5:$AJ$180,0,MATCH(J$2,Inputs!$K$4:$AJ$4,0)))+SUMPRODUCT((Inputs!$C$5:$C$180=$B58)*Inputs!$D$5:$D$180*(((Inputs!$G$5:$G$180="moeda")+(Inputs!$G$5:$G$180="acoes"))*Inputs!$B$1+((Inputs!$G$5:$G$180&lt;&gt;"moeda")*(Inputs!$G$5:$G$180&lt;&gt;"acoes")))*INDEX(Inputs!$K$5:$AJ$180,0,MATCH(J$2,Inputs!$K$4:$AJ$4,0)))+SUMPRODUCT((Inputs!$E$5:$E$180=$B58)*Inputs!$F$5:$F$180*(((Inputs!$G$5:$G$180="moeda")+(Inputs!$G$5:$G$180="acoes"))*Inputs!$B$1+((Inputs!$G$5:$G$180&lt;&gt;"moeda")*(Inputs!$G$5:$G$180&lt;&gt;"acoes")))*INDEX(Inputs!$K$5:$AJ$180,0,MATCH(J$2,Inputs!$K$4:$AJ$4,0)))))</f>
        <v>587.28170055</v>
      </c>
      <c r="K58" s="264">
        <f>IF(ISNA(MATCH(K$2,Inputs!$K$4:$AJ$4,0)),NA(),IF(SUMPRODUCT((Inputs!$A$5:$A$180=$B58)*ISNUMBER(INDEX(Inputs!$K$5:$AJ$180,0,MATCH(K$2,Inputs!$K$4:$AJ$4,0))))+SUMPRODUCT((Inputs!$C$5:$C$180=$B58)*ISNUMBER(INDEX(Inputs!$K$5:$AJ$180,0,MATCH(K$2,Inputs!$K$4:$AJ$4,0))))+SUMPRODUCT((Inputs!$E$5:$E$180=$B58)*ISNUMBER(INDEX(Inputs!$K$5:$AJ$180,0,MATCH(K$2,Inputs!$K$4:$AJ$4,0))))=0,NA(),SUMPRODUCT((Inputs!$A$5:$A$180=$B58)*Inputs!$B$5:$B$180*(((Inputs!$G$5:$G$180="moeda")+(Inputs!$G$5:$G$180="acoes"))*Inputs!$B$1+((Inputs!$G$5:$G$180&lt;&gt;"moeda")*(Inputs!$G$5:$G$180&lt;&gt;"acoes")))*INDEX(Inputs!$K$5:$AJ$180,0,MATCH(K$2,Inputs!$K$4:$AJ$4,0)))+SUMPRODUCT((Inputs!$C$5:$C$180=$B58)*Inputs!$D$5:$D$180*(((Inputs!$G$5:$G$180="moeda")+(Inputs!$G$5:$G$180="acoes"))*Inputs!$B$1+((Inputs!$G$5:$G$180&lt;&gt;"moeda")*(Inputs!$G$5:$G$180&lt;&gt;"acoes")))*INDEX(Inputs!$K$5:$AJ$180,0,MATCH(K$2,Inputs!$K$4:$AJ$4,0)))+SUMPRODUCT((Inputs!$E$5:$E$180=$B58)*Inputs!$F$5:$F$180*(((Inputs!$G$5:$G$180="moeda")+(Inputs!$G$5:$G$180="acoes"))*Inputs!$B$1+((Inputs!$G$5:$G$180&lt;&gt;"moeda")*(Inputs!$G$5:$G$180&lt;&gt;"acoes")))*INDEX(Inputs!$K$5:$AJ$180,0,MATCH(K$2,Inputs!$K$4:$AJ$4,0)))))</f>
        <v>481.37550679</v>
      </c>
      <c r="L58" s="264">
        <f>IF(ISNA(MATCH(L$2,Inputs!$K$4:$AJ$4,0)),NA(),IF(SUMPRODUCT((Inputs!$A$5:$A$180=$B58)*ISNUMBER(INDEX(Inputs!$K$5:$AJ$180,0,MATCH(L$2,Inputs!$K$4:$AJ$4,0))))+SUMPRODUCT((Inputs!$C$5:$C$180=$B58)*ISNUMBER(INDEX(Inputs!$K$5:$AJ$180,0,MATCH(L$2,Inputs!$K$4:$AJ$4,0))))+SUMPRODUCT((Inputs!$E$5:$E$180=$B58)*ISNUMBER(INDEX(Inputs!$K$5:$AJ$180,0,MATCH(L$2,Inputs!$K$4:$AJ$4,0))))=0,NA(),SUMPRODUCT((Inputs!$A$5:$A$180=$B58)*Inputs!$B$5:$B$180*(((Inputs!$G$5:$G$180="moeda")+(Inputs!$G$5:$G$180="acoes"))*Inputs!$B$1+((Inputs!$G$5:$G$180&lt;&gt;"moeda")*(Inputs!$G$5:$G$180&lt;&gt;"acoes")))*INDEX(Inputs!$K$5:$AJ$180,0,MATCH(L$2,Inputs!$K$4:$AJ$4,0)))+SUMPRODUCT((Inputs!$C$5:$C$180=$B58)*Inputs!$D$5:$D$180*(((Inputs!$G$5:$G$180="moeda")+(Inputs!$G$5:$G$180="acoes"))*Inputs!$B$1+((Inputs!$G$5:$G$180&lt;&gt;"moeda")*(Inputs!$G$5:$G$180&lt;&gt;"acoes")))*INDEX(Inputs!$K$5:$AJ$180,0,MATCH(L$2,Inputs!$K$4:$AJ$4,0)))+SUMPRODUCT((Inputs!$E$5:$E$180=$B58)*Inputs!$F$5:$F$180*(((Inputs!$G$5:$G$180="moeda")+(Inputs!$G$5:$G$180="acoes"))*Inputs!$B$1+((Inputs!$G$5:$G$180&lt;&gt;"moeda")*(Inputs!$G$5:$G$180&lt;&gt;"acoes")))*INDEX(Inputs!$K$5:$AJ$180,0,MATCH(L$2,Inputs!$K$4:$AJ$4,0)))))</f>
        <v>820.401917420001</v>
      </c>
      <c r="M58" s="265">
        <f>SUM(I58:L58)</f>
        <v>2299.91950889</v>
      </c>
      <c r="N58" s="264">
        <f>IF(ISNA(MATCH(N$2,Inputs!$K$4:$AJ$4,0)),NA(),IF(SUMPRODUCT((Inputs!$A$5:$A$180=$B58)*ISNUMBER(INDEX(Inputs!$K$5:$AJ$180,0,MATCH(N$2,Inputs!$K$4:$AJ$4,0))))+SUMPRODUCT((Inputs!$C$5:$C$180=$B58)*ISNUMBER(INDEX(Inputs!$K$5:$AJ$180,0,MATCH(N$2,Inputs!$K$4:$AJ$4,0))))+SUMPRODUCT((Inputs!$E$5:$E$180=$B58)*ISNUMBER(INDEX(Inputs!$K$5:$AJ$180,0,MATCH(N$2,Inputs!$K$4:$AJ$4,0))))=0,NA(),SUMPRODUCT((Inputs!$A$5:$A$180=$B58)*Inputs!$B$5:$B$180*(((Inputs!$G$5:$G$180="moeda")+(Inputs!$G$5:$G$180="acoes"))*Inputs!$B$1+((Inputs!$G$5:$G$180&lt;&gt;"moeda")*(Inputs!$G$5:$G$180&lt;&gt;"acoes")))*INDEX(Inputs!$K$5:$AJ$180,0,MATCH(N$2,Inputs!$K$4:$AJ$4,0)))+SUMPRODUCT((Inputs!$C$5:$C$180=$B58)*Inputs!$D$5:$D$180*(((Inputs!$G$5:$G$180="moeda")+(Inputs!$G$5:$G$180="acoes"))*Inputs!$B$1+((Inputs!$G$5:$G$180&lt;&gt;"moeda")*(Inputs!$G$5:$G$180&lt;&gt;"acoes")))*INDEX(Inputs!$K$5:$AJ$180,0,MATCH(N$2,Inputs!$K$4:$AJ$4,0)))+SUMPRODUCT((Inputs!$E$5:$E$180=$B58)*Inputs!$F$5:$F$180*(((Inputs!$G$5:$G$180="moeda")+(Inputs!$G$5:$G$180="acoes"))*Inputs!$B$1+((Inputs!$G$5:$G$180&lt;&gt;"moeda")*(Inputs!$G$5:$G$180&lt;&gt;"acoes")))*INDEX(Inputs!$K$5:$AJ$180,0,MATCH(N$2,Inputs!$K$4:$AJ$4,0)))))</f>
        <v>487.49974094</v>
      </c>
      <c r="O58" s="264">
        <f>IF(ISNA(MATCH(O$2,Inputs!$K$4:$AJ$4,0)),NA(),IF(SUMPRODUCT((Inputs!$A$5:$A$180=$B58)*ISNUMBER(INDEX(Inputs!$K$5:$AJ$180,0,MATCH(O$2,Inputs!$K$4:$AJ$4,0))))+SUMPRODUCT((Inputs!$C$5:$C$180=$B58)*ISNUMBER(INDEX(Inputs!$K$5:$AJ$180,0,MATCH(O$2,Inputs!$K$4:$AJ$4,0))))+SUMPRODUCT((Inputs!$E$5:$E$180=$B58)*ISNUMBER(INDEX(Inputs!$K$5:$AJ$180,0,MATCH(O$2,Inputs!$K$4:$AJ$4,0))))=0,NA(),SUMPRODUCT((Inputs!$A$5:$A$180=$B58)*Inputs!$B$5:$B$180*(((Inputs!$G$5:$G$180="moeda")+(Inputs!$G$5:$G$180="acoes"))*Inputs!$B$1+((Inputs!$G$5:$G$180&lt;&gt;"moeda")*(Inputs!$G$5:$G$180&lt;&gt;"acoes")))*INDEX(Inputs!$K$5:$AJ$180,0,MATCH(O$2,Inputs!$K$4:$AJ$4,0)))+SUMPRODUCT((Inputs!$C$5:$C$180=$B58)*Inputs!$D$5:$D$180*(((Inputs!$G$5:$G$180="moeda")+(Inputs!$G$5:$G$180="acoes"))*Inputs!$B$1+((Inputs!$G$5:$G$180&lt;&gt;"moeda")*(Inputs!$G$5:$G$180&lt;&gt;"acoes")))*INDEX(Inputs!$K$5:$AJ$180,0,MATCH(O$2,Inputs!$K$4:$AJ$4,0)))+SUMPRODUCT((Inputs!$E$5:$E$180=$B58)*Inputs!$F$5:$F$180*(((Inputs!$G$5:$G$180="moeda")+(Inputs!$G$5:$G$180="acoes"))*Inputs!$B$1+((Inputs!$G$5:$G$180&lt;&gt;"moeda")*(Inputs!$G$5:$G$180&lt;&gt;"acoes")))*INDEX(Inputs!$K$5:$AJ$180,0,MATCH(O$2,Inputs!$K$4:$AJ$4,0)))))</f>
        <v>702.09455267</v>
      </c>
      <c r="P58" s="264">
        <f>IF(ISNA(MATCH(P$2,Inputs!$K$4:$AJ$4,0)),NA(),IF(SUMPRODUCT((Inputs!$A$5:$A$180=$B58)*ISNUMBER(INDEX(Inputs!$K$5:$AJ$180,0,MATCH(P$2,Inputs!$K$4:$AJ$4,0))))+SUMPRODUCT((Inputs!$C$5:$C$180=$B58)*ISNUMBER(INDEX(Inputs!$K$5:$AJ$180,0,MATCH(P$2,Inputs!$K$4:$AJ$4,0))))+SUMPRODUCT((Inputs!$E$5:$E$180=$B58)*ISNUMBER(INDEX(Inputs!$K$5:$AJ$180,0,MATCH(P$2,Inputs!$K$4:$AJ$4,0))))=0,NA(),SUMPRODUCT((Inputs!$A$5:$A$180=$B58)*Inputs!$B$5:$B$180*(((Inputs!$G$5:$G$180="moeda")+(Inputs!$G$5:$G$180="acoes"))*Inputs!$B$1+((Inputs!$G$5:$G$180&lt;&gt;"moeda")*(Inputs!$G$5:$G$180&lt;&gt;"acoes")))*INDEX(Inputs!$K$5:$AJ$180,0,MATCH(P$2,Inputs!$K$4:$AJ$4,0)))+SUMPRODUCT((Inputs!$C$5:$C$180=$B58)*Inputs!$D$5:$D$180*(((Inputs!$G$5:$G$180="moeda")+(Inputs!$G$5:$G$180="acoes"))*Inputs!$B$1+((Inputs!$G$5:$G$180&lt;&gt;"moeda")*(Inputs!$G$5:$G$180&lt;&gt;"acoes")))*INDEX(Inputs!$K$5:$AJ$180,0,MATCH(P$2,Inputs!$K$4:$AJ$4,0)))+SUMPRODUCT((Inputs!$E$5:$E$180=$B58)*Inputs!$F$5:$F$180*(((Inputs!$G$5:$G$180="moeda")+(Inputs!$G$5:$G$180="acoes"))*Inputs!$B$1+((Inputs!$G$5:$G$180&lt;&gt;"moeda")*(Inputs!$G$5:$G$180&lt;&gt;"acoes")))*INDEX(Inputs!$K$5:$AJ$180,0,MATCH(P$2,Inputs!$K$4:$AJ$4,0)))))</f>
        <v>581.24094281</v>
      </c>
      <c r="Q58" s="264">
        <f>IF(ISNA(MATCH(Q$2,Inputs!$K$4:$AJ$4,0)),NA(),IF(SUMPRODUCT((Inputs!$A$5:$A$180=$B58)*ISNUMBER(INDEX(Inputs!$K$5:$AJ$180,0,MATCH(Q$2,Inputs!$K$4:$AJ$4,0))))+SUMPRODUCT((Inputs!$C$5:$C$180=$B58)*ISNUMBER(INDEX(Inputs!$K$5:$AJ$180,0,MATCH(Q$2,Inputs!$K$4:$AJ$4,0))))+SUMPRODUCT((Inputs!$E$5:$E$180=$B58)*ISNUMBER(INDEX(Inputs!$K$5:$AJ$180,0,MATCH(Q$2,Inputs!$K$4:$AJ$4,0))))=0,NA(),SUMPRODUCT((Inputs!$A$5:$A$180=$B58)*Inputs!$B$5:$B$180*(((Inputs!$G$5:$G$180="moeda")+(Inputs!$G$5:$G$180="acoes"))*Inputs!$B$1+((Inputs!$G$5:$G$180&lt;&gt;"moeda")*(Inputs!$G$5:$G$180&lt;&gt;"acoes")))*INDEX(Inputs!$K$5:$AJ$180,0,MATCH(Q$2,Inputs!$K$4:$AJ$4,0)))+SUMPRODUCT((Inputs!$C$5:$C$180=$B58)*Inputs!$D$5:$D$180*(((Inputs!$G$5:$G$180="moeda")+(Inputs!$G$5:$G$180="acoes"))*Inputs!$B$1+((Inputs!$G$5:$G$180&lt;&gt;"moeda")*(Inputs!$G$5:$G$180&lt;&gt;"acoes")))*INDEX(Inputs!$K$5:$AJ$180,0,MATCH(Q$2,Inputs!$K$4:$AJ$4,0)))+SUMPRODUCT((Inputs!$E$5:$E$180=$B58)*Inputs!$F$5:$F$180*(((Inputs!$G$5:$G$180="moeda")+(Inputs!$G$5:$G$180="acoes"))*Inputs!$B$1+((Inputs!$G$5:$G$180&lt;&gt;"moeda")*(Inputs!$G$5:$G$180&lt;&gt;"acoes")))*INDEX(Inputs!$K$5:$AJ$180,0,MATCH(Q$2,Inputs!$K$4:$AJ$4,0)))))</f>
        <v>1017.18081247</v>
      </c>
      <c r="R58" s="265">
        <f>SUM(N58:Q58)</f>
        <v>2788.01604889</v>
      </c>
      <c r="S58" s="264">
        <f>IF(ISNA(MATCH(S$2,Inputs!$K$4:$AJ$4,0)),NA(),IF(SUMPRODUCT((Inputs!$A$5:$A$180=$B58)*ISNUMBER(INDEX(Inputs!$K$5:$AJ$180,0,MATCH(S$2,Inputs!$K$4:$AJ$4,0))))+SUMPRODUCT((Inputs!$C$5:$C$180=$B58)*ISNUMBER(INDEX(Inputs!$K$5:$AJ$180,0,MATCH(S$2,Inputs!$K$4:$AJ$4,0))))+SUMPRODUCT((Inputs!$E$5:$E$180=$B58)*ISNUMBER(INDEX(Inputs!$K$5:$AJ$180,0,MATCH(S$2,Inputs!$K$4:$AJ$4,0))))=0,NA(),SUMPRODUCT((Inputs!$A$5:$A$180=$B58)*Inputs!$B$5:$B$180*(((Inputs!$G$5:$G$180="moeda")+(Inputs!$G$5:$G$180="acoes"))*Inputs!$B$1+((Inputs!$G$5:$G$180&lt;&gt;"moeda")*(Inputs!$G$5:$G$180&lt;&gt;"acoes")))*INDEX(Inputs!$K$5:$AJ$180,0,MATCH(S$2,Inputs!$K$4:$AJ$4,0)))+SUMPRODUCT((Inputs!$C$5:$C$180=$B58)*Inputs!$D$5:$D$180*(((Inputs!$G$5:$G$180="moeda")+(Inputs!$G$5:$G$180="acoes"))*Inputs!$B$1+((Inputs!$G$5:$G$180&lt;&gt;"moeda")*(Inputs!$G$5:$G$180&lt;&gt;"acoes")))*INDEX(Inputs!$K$5:$AJ$180,0,MATCH(S$2,Inputs!$K$4:$AJ$4,0)))+SUMPRODUCT((Inputs!$E$5:$E$180=$B58)*Inputs!$F$5:$F$180*(((Inputs!$G$5:$G$180="moeda")+(Inputs!$G$5:$G$180="acoes"))*Inputs!$B$1+((Inputs!$G$5:$G$180&lt;&gt;"moeda")*(Inputs!$G$5:$G$180&lt;&gt;"acoes")))*INDEX(Inputs!$K$5:$AJ$180,0,MATCH(S$2,Inputs!$K$4:$AJ$4,0)))))</f>
        <v>574.85881535</v>
      </c>
      <c r="T58" s="264">
        <f>IF(ISNA(MATCH(T$2,Inputs!$K$4:$AJ$4,0)),NA(),IF(SUMPRODUCT((Inputs!$A$5:$A$180=$B58)*ISNUMBER(INDEX(Inputs!$K$5:$AJ$180,0,MATCH(T$2,Inputs!$K$4:$AJ$4,0))))+SUMPRODUCT((Inputs!$C$5:$C$180=$B58)*ISNUMBER(INDEX(Inputs!$K$5:$AJ$180,0,MATCH(T$2,Inputs!$K$4:$AJ$4,0))))+SUMPRODUCT((Inputs!$E$5:$E$180=$B58)*ISNUMBER(INDEX(Inputs!$K$5:$AJ$180,0,MATCH(T$2,Inputs!$K$4:$AJ$4,0))))=0,NA(),SUMPRODUCT((Inputs!$A$5:$A$180=$B58)*Inputs!$B$5:$B$180*(((Inputs!$G$5:$G$180="moeda")+(Inputs!$G$5:$G$180="acoes"))*Inputs!$B$1+((Inputs!$G$5:$G$180&lt;&gt;"moeda")*(Inputs!$G$5:$G$180&lt;&gt;"acoes")))*INDEX(Inputs!$K$5:$AJ$180,0,MATCH(T$2,Inputs!$K$4:$AJ$4,0)))+SUMPRODUCT((Inputs!$C$5:$C$180=$B58)*Inputs!$D$5:$D$180*(((Inputs!$G$5:$G$180="moeda")+(Inputs!$G$5:$G$180="acoes"))*Inputs!$B$1+((Inputs!$G$5:$G$180&lt;&gt;"moeda")*(Inputs!$G$5:$G$180&lt;&gt;"acoes")))*INDEX(Inputs!$K$5:$AJ$180,0,MATCH(T$2,Inputs!$K$4:$AJ$4,0)))+SUMPRODUCT((Inputs!$E$5:$E$180=$B58)*Inputs!$F$5:$F$180*(((Inputs!$G$5:$G$180="moeda")+(Inputs!$G$5:$G$180="acoes"))*Inputs!$B$1+((Inputs!$G$5:$G$180&lt;&gt;"moeda")*(Inputs!$G$5:$G$180&lt;&gt;"acoes")))*INDEX(Inputs!$K$5:$AJ$180,0,MATCH(T$2,Inputs!$K$4:$AJ$4,0)))))</f>
        <v>836.59440604</v>
      </c>
      <c r="U58" s="264">
        <f>IF(ISNA(MATCH(U$2,Inputs!$K$4:$AJ$4,0)),NA(),IF(SUMPRODUCT((Inputs!$A$5:$A$180=$B58)*ISNUMBER(INDEX(Inputs!$K$5:$AJ$180,0,MATCH(U$2,Inputs!$K$4:$AJ$4,0))))+SUMPRODUCT((Inputs!$C$5:$C$180=$B58)*ISNUMBER(INDEX(Inputs!$K$5:$AJ$180,0,MATCH(U$2,Inputs!$K$4:$AJ$4,0))))+SUMPRODUCT((Inputs!$E$5:$E$180=$B58)*ISNUMBER(INDEX(Inputs!$K$5:$AJ$180,0,MATCH(U$2,Inputs!$K$4:$AJ$4,0))))=0,NA(),SUMPRODUCT((Inputs!$A$5:$A$180=$B58)*Inputs!$B$5:$B$180*(((Inputs!$G$5:$G$180="moeda")+(Inputs!$G$5:$G$180="acoes"))*Inputs!$B$1+((Inputs!$G$5:$G$180&lt;&gt;"moeda")*(Inputs!$G$5:$G$180&lt;&gt;"acoes")))*INDEX(Inputs!$K$5:$AJ$180,0,MATCH(U$2,Inputs!$K$4:$AJ$4,0)))+SUMPRODUCT((Inputs!$C$5:$C$180=$B58)*Inputs!$D$5:$D$180*(((Inputs!$G$5:$G$180="moeda")+(Inputs!$G$5:$G$180="acoes"))*Inputs!$B$1+((Inputs!$G$5:$G$180&lt;&gt;"moeda")*(Inputs!$G$5:$G$180&lt;&gt;"acoes")))*INDEX(Inputs!$K$5:$AJ$180,0,MATCH(U$2,Inputs!$K$4:$AJ$4,0)))+SUMPRODUCT((Inputs!$E$5:$E$180=$B58)*Inputs!$F$5:$F$180*(((Inputs!$G$5:$G$180="moeda")+(Inputs!$G$5:$G$180="acoes"))*Inputs!$B$1+((Inputs!$G$5:$G$180&lt;&gt;"moeda")*(Inputs!$G$5:$G$180&lt;&gt;"acoes")))*INDEX(Inputs!$K$5:$AJ$180,0,MATCH(U$2,Inputs!$K$4:$AJ$4,0)))))</f>
        <v>697.40475226</v>
      </c>
      <c r="V58" s="264">
        <f>IF(ISNA(MATCH(V$2,Inputs!$K$4:$AJ$4,0)),NA(),IF(SUMPRODUCT((Inputs!$A$5:$A$180=$B58)*ISNUMBER(INDEX(Inputs!$K$5:$AJ$180,0,MATCH(V$2,Inputs!$K$4:$AJ$4,0))))+SUMPRODUCT((Inputs!$C$5:$C$180=$B58)*ISNUMBER(INDEX(Inputs!$K$5:$AJ$180,0,MATCH(V$2,Inputs!$K$4:$AJ$4,0))))+SUMPRODUCT((Inputs!$E$5:$E$180=$B58)*ISNUMBER(INDEX(Inputs!$K$5:$AJ$180,0,MATCH(V$2,Inputs!$K$4:$AJ$4,0))))=0,NA(),SUMPRODUCT((Inputs!$A$5:$A$180=$B58)*Inputs!$B$5:$B$180*(((Inputs!$G$5:$G$180="moeda")+(Inputs!$G$5:$G$180="acoes"))*Inputs!$B$1+((Inputs!$G$5:$G$180&lt;&gt;"moeda")*(Inputs!$G$5:$G$180&lt;&gt;"acoes")))*INDEX(Inputs!$K$5:$AJ$180,0,MATCH(V$2,Inputs!$K$4:$AJ$4,0)))+SUMPRODUCT((Inputs!$C$5:$C$180=$B58)*Inputs!$D$5:$D$180*(((Inputs!$G$5:$G$180="moeda")+(Inputs!$G$5:$G$180="acoes"))*Inputs!$B$1+((Inputs!$G$5:$G$180&lt;&gt;"moeda")*(Inputs!$G$5:$G$180&lt;&gt;"acoes")))*INDEX(Inputs!$K$5:$AJ$180,0,MATCH(V$2,Inputs!$K$4:$AJ$4,0)))+SUMPRODUCT((Inputs!$E$5:$E$180=$B58)*Inputs!$F$5:$F$180*(((Inputs!$G$5:$G$180="moeda")+(Inputs!$G$5:$G$180="acoes"))*Inputs!$B$1+((Inputs!$G$5:$G$180&lt;&gt;"moeda")*(Inputs!$G$5:$G$180&lt;&gt;"acoes")))*INDEX(Inputs!$K$5:$AJ$180,0,MATCH(V$2,Inputs!$K$4:$AJ$4,0)))))</f>
        <v>1162.38842508</v>
      </c>
      <c r="W58" s="265">
        <f>SUM(S58:V58)</f>
        <v>3271.24639873</v>
      </c>
      <c r="X58" s="264">
        <f>IF(ISNA(MATCH(X$2,Inputs!$K$4:$AJ$4,0)),NA(),IF(SUMPRODUCT((Inputs!$A$5:$A$180=$B58)*ISNUMBER(INDEX(Inputs!$K$5:$AJ$180,0,MATCH(X$2,Inputs!$K$4:$AJ$4,0))))+SUMPRODUCT((Inputs!$C$5:$C$180=$B58)*ISNUMBER(INDEX(Inputs!$K$5:$AJ$180,0,MATCH(X$2,Inputs!$K$4:$AJ$4,0))))+SUMPRODUCT((Inputs!$E$5:$E$180=$B58)*ISNUMBER(INDEX(Inputs!$K$5:$AJ$180,0,MATCH(X$2,Inputs!$K$4:$AJ$4,0))))=0,NA(),SUMPRODUCT((Inputs!$A$5:$A$180=$B58)*Inputs!$B$5:$B$180*(((Inputs!$G$5:$G$180="moeda")+(Inputs!$G$5:$G$180="acoes"))*Inputs!$B$1+((Inputs!$G$5:$G$180&lt;&gt;"moeda")*(Inputs!$G$5:$G$180&lt;&gt;"acoes")))*INDEX(Inputs!$K$5:$AJ$180,0,MATCH(X$2,Inputs!$K$4:$AJ$4,0)))+SUMPRODUCT((Inputs!$C$5:$C$180=$B58)*Inputs!$D$5:$D$180*(((Inputs!$G$5:$G$180="moeda")+(Inputs!$G$5:$G$180="acoes"))*Inputs!$B$1+((Inputs!$G$5:$G$180&lt;&gt;"moeda")*(Inputs!$G$5:$G$180&lt;&gt;"acoes")))*INDEX(Inputs!$K$5:$AJ$180,0,MATCH(X$2,Inputs!$K$4:$AJ$4,0)))+SUMPRODUCT((Inputs!$E$5:$E$180=$B58)*Inputs!$F$5:$F$180*(((Inputs!$G$5:$G$180="moeda")+(Inputs!$G$5:$G$180="acoes"))*Inputs!$B$1+((Inputs!$G$5:$G$180&lt;&gt;"moeda")*(Inputs!$G$5:$G$180&lt;&gt;"acoes")))*INDEX(Inputs!$K$5:$AJ$180,0,MATCH(X$2,Inputs!$K$4:$AJ$4,0)))))</f>
        <v>660.49176677</v>
      </c>
      <c r="Y58" s="264">
        <f>IF(ISNA(MATCH(Y$2,Inputs!$K$4:$AJ$4,0)),NA(),IF(SUMPRODUCT((Inputs!$A$5:$A$180=$B58)*ISNUMBER(INDEX(Inputs!$K$5:$AJ$180,0,MATCH(Y$2,Inputs!$K$4:$AJ$4,0))))+SUMPRODUCT((Inputs!$C$5:$C$180=$B58)*ISNUMBER(INDEX(Inputs!$K$5:$AJ$180,0,MATCH(Y$2,Inputs!$K$4:$AJ$4,0))))+SUMPRODUCT((Inputs!$E$5:$E$180=$B58)*ISNUMBER(INDEX(Inputs!$K$5:$AJ$180,0,MATCH(Y$2,Inputs!$K$4:$AJ$4,0))))=0,NA(),SUMPRODUCT((Inputs!$A$5:$A$180=$B58)*Inputs!$B$5:$B$180*(((Inputs!$G$5:$G$180="moeda")+(Inputs!$G$5:$G$180="acoes"))*Inputs!$B$1+((Inputs!$G$5:$G$180&lt;&gt;"moeda")*(Inputs!$G$5:$G$180&lt;&gt;"acoes")))*INDEX(Inputs!$K$5:$AJ$180,0,MATCH(Y$2,Inputs!$K$4:$AJ$4,0)))+SUMPRODUCT((Inputs!$C$5:$C$180=$B58)*Inputs!$D$5:$D$180*(((Inputs!$G$5:$G$180="moeda")+(Inputs!$G$5:$G$180="acoes"))*Inputs!$B$1+((Inputs!$G$5:$G$180&lt;&gt;"moeda")*(Inputs!$G$5:$G$180&lt;&gt;"acoes")))*INDEX(Inputs!$K$5:$AJ$180,0,MATCH(Y$2,Inputs!$K$4:$AJ$4,0)))+SUMPRODUCT((Inputs!$E$5:$E$180=$B58)*Inputs!$F$5:$F$180*(((Inputs!$G$5:$G$180="moeda")+(Inputs!$G$5:$G$180="acoes"))*Inputs!$B$1+((Inputs!$G$5:$G$180&lt;&gt;"moeda")*(Inputs!$G$5:$G$180&lt;&gt;"acoes")))*INDEX(Inputs!$K$5:$AJ$180,0,MATCH(Y$2,Inputs!$K$4:$AJ$4,0)))))</f>
        <v>969.7079</v>
      </c>
      <c r="Z58" s="264">
        <f>IF(ISNA(MATCH(Z$2,Inputs!$K$4:$AJ$4,0)),NA(),IF(SUMPRODUCT((Inputs!$A$5:$A$180=$B58)*ISNUMBER(INDEX(Inputs!$K$5:$AJ$180,0,MATCH(Z$2,Inputs!$K$4:$AJ$4,0))))+SUMPRODUCT((Inputs!$C$5:$C$180=$B58)*ISNUMBER(INDEX(Inputs!$K$5:$AJ$180,0,MATCH(Z$2,Inputs!$K$4:$AJ$4,0))))+SUMPRODUCT((Inputs!$E$5:$E$180=$B58)*ISNUMBER(INDEX(Inputs!$K$5:$AJ$180,0,MATCH(Z$2,Inputs!$K$4:$AJ$4,0))))=0,NA(),SUMPRODUCT((Inputs!$A$5:$A$180=$B58)*Inputs!$B$5:$B$180*(((Inputs!$G$5:$G$180="moeda")+(Inputs!$G$5:$G$180="acoes"))*Inputs!$B$1+((Inputs!$G$5:$G$180&lt;&gt;"moeda")*(Inputs!$G$5:$G$180&lt;&gt;"acoes")))*INDEX(Inputs!$K$5:$AJ$180,0,MATCH(Z$2,Inputs!$K$4:$AJ$4,0)))+SUMPRODUCT((Inputs!$C$5:$C$180=$B58)*Inputs!$D$5:$D$180*(((Inputs!$G$5:$G$180="moeda")+(Inputs!$G$5:$G$180="acoes"))*Inputs!$B$1+((Inputs!$G$5:$G$180&lt;&gt;"moeda")*(Inputs!$G$5:$G$180&lt;&gt;"acoes")))*INDEX(Inputs!$K$5:$AJ$180,0,MATCH(Z$2,Inputs!$K$4:$AJ$4,0)))+SUMPRODUCT((Inputs!$E$5:$E$180=$B58)*Inputs!$F$5:$F$180*(((Inputs!$G$5:$G$180="moeda")+(Inputs!$G$5:$G$180="acoes"))*Inputs!$B$1+((Inputs!$G$5:$G$180&lt;&gt;"moeda")*(Inputs!$G$5:$G$180&lt;&gt;"acoes")))*INDEX(Inputs!$K$5:$AJ$180,0,MATCH(Z$2,Inputs!$K$4:$AJ$4,0)))))</f>
        <v>805.433</v>
      </c>
      <c r="AA58" s="264">
        <f>IF(ISNA(MATCH(AA$2,Inputs!$K$4:$AJ$4,0)),NA(),IF(SUMPRODUCT((Inputs!$A$5:$A$180=$B58)*ISNUMBER(INDEX(Inputs!$K$5:$AJ$180,0,MATCH(AA$2,Inputs!$K$4:$AJ$4,0))))+SUMPRODUCT((Inputs!$C$5:$C$180=$B58)*ISNUMBER(INDEX(Inputs!$K$5:$AJ$180,0,MATCH(AA$2,Inputs!$K$4:$AJ$4,0))))+SUMPRODUCT((Inputs!$E$5:$E$180=$B58)*ISNUMBER(INDEX(Inputs!$K$5:$AJ$180,0,MATCH(AA$2,Inputs!$K$4:$AJ$4,0))))=0,NA(),SUMPRODUCT((Inputs!$A$5:$A$180=$B58)*Inputs!$B$5:$B$180*(((Inputs!$G$5:$G$180="moeda")+(Inputs!$G$5:$G$180="acoes"))*Inputs!$B$1+((Inputs!$G$5:$G$180&lt;&gt;"moeda")*(Inputs!$G$5:$G$180&lt;&gt;"acoes")))*INDEX(Inputs!$K$5:$AJ$180,0,MATCH(AA$2,Inputs!$K$4:$AJ$4,0)))+SUMPRODUCT((Inputs!$C$5:$C$180=$B58)*Inputs!$D$5:$D$180*(((Inputs!$G$5:$G$180="moeda")+(Inputs!$G$5:$G$180="acoes"))*Inputs!$B$1+((Inputs!$G$5:$G$180&lt;&gt;"moeda")*(Inputs!$G$5:$G$180&lt;&gt;"acoes")))*INDEX(Inputs!$K$5:$AJ$180,0,MATCH(AA$2,Inputs!$K$4:$AJ$4,0)))+SUMPRODUCT((Inputs!$E$5:$E$180=$B58)*Inputs!$F$5:$F$180*(((Inputs!$G$5:$G$180="moeda")+(Inputs!$G$5:$G$180="acoes"))*Inputs!$B$1+((Inputs!$G$5:$G$180&lt;&gt;"moeda")*(Inputs!$G$5:$G$180&lt;&gt;"acoes")))*INDEX(Inputs!$K$5:$AJ$180,0,MATCH(AA$2,Inputs!$K$4:$AJ$4,0)))))</f>
        <v>1365.668</v>
      </c>
      <c r="AB58" s="265">
        <f>SUM(X58:AA58)</f>
        <v>3801.30066677</v>
      </c>
      <c r="AC58" s="264">
        <f>IF(ISNA(MATCH(AC$2,Inputs!$K$4:$AJ$4,0)),NA(),IF(SUMPRODUCT((Inputs!$A$5:$A$180=$B58)*ISNUMBER(INDEX(Inputs!$K$5:$AJ$180,0,MATCH(AC$2,Inputs!$K$4:$AJ$4,0))))+SUMPRODUCT((Inputs!$C$5:$C$180=$B58)*ISNUMBER(INDEX(Inputs!$K$5:$AJ$180,0,MATCH(AC$2,Inputs!$K$4:$AJ$4,0))))+SUMPRODUCT((Inputs!$E$5:$E$180=$B58)*ISNUMBER(INDEX(Inputs!$K$5:$AJ$180,0,MATCH(AC$2,Inputs!$K$4:$AJ$4,0))))=0,NA(),SUMPRODUCT((Inputs!$A$5:$A$180=$B58)*Inputs!$B$5:$B$180*(((Inputs!$G$5:$G$180="moeda")+(Inputs!$G$5:$G$180="acoes"))*Inputs!$B$1+((Inputs!$G$5:$G$180&lt;&gt;"moeda")*(Inputs!$G$5:$G$180&lt;&gt;"acoes")))*INDEX(Inputs!$K$5:$AJ$180,0,MATCH(AC$2,Inputs!$K$4:$AJ$4,0)))+SUMPRODUCT((Inputs!$C$5:$C$180=$B58)*Inputs!$D$5:$D$180*(((Inputs!$G$5:$G$180="moeda")+(Inputs!$G$5:$G$180="acoes"))*Inputs!$B$1+((Inputs!$G$5:$G$180&lt;&gt;"moeda")*(Inputs!$G$5:$G$180&lt;&gt;"acoes")))*INDEX(Inputs!$K$5:$AJ$180,0,MATCH(AC$2,Inputs!$K$4:$AJ$4,0)))+SUMPRODUCT((Inputs!$E$5:$E$180=$B58)*Inputs!$F$5:$F$180*(((Inputs!$G$5:$G$180="moeda")+(Inputs!$G$5:$G$180="acoes"))*Inputs!$B$1+((Inputs!$G$5:$G$180&lt;&gt;"moeda")*(Inputs!$G$5:$G$180&lt;&gt;"acoes")))*INDEX(Inputs!$K$5:$AJ$180,0,MATCH(AC$2,Inputs!$K$4:$AJ$4,0)))))</f>
        <v>751.753</v>
      </c>
      <c r="AD58" s="264">
        <f>IF(ISNA(MATCH(AD$2,Inputs!$K$4:$AJ$4,0)),NA(),IF(SUMPRODUCT((Inputs!$A$5:$A$180=$B58)*ISNUMBER(INDEX(Inputs!$K$5:$AJ$180,0,MATCH(AD$2,Inputs!$K$4:$AJ$4,0))))+SUMPRODUCT((Inputs!$C$5:$C$180=$B58)*ISNUMBER(INDEX(Inputs!$K$5:$AJ$180,0,MATCH(AD$2,Inputs!$K$4:$AJ$4,0))))+SUMPRODUCT((Inputs!$E$5:$E$180=$B58)*ISNUMBER(INDEX(Inputs!$K$5:$AJ$180,0,MATCH(AD$2,Inputs!$K$4:$AJ$4,0))))=0,NA(),SUMPRODUCT((Inputs!$A$5:$A$180=$B58)*Inputs!$B$5:$B$180*(((Inputs!$G$5:$G$180="moeda")+(Inputs!$G$5:$G$180="acoes"))*Inputs!$B$1+((Inputs!$G$5:$G$180&lt;&gt;"moeda")*(Inputs!$G$5:$G$180&lt;&gt;"acoes")))*INDEX(Inputs!$K$5:$AJ$180,0,MATCH(AD$2,Inputs!$K$4:$AJ$4,0)))+SUMPRODUCT((Inputs!$C$5:$C$180=$B58)*Inputs!$D$5:$D$180*(((Inputs!$G$5:$G$180="moeda")+(Inputs!$G$5:$G$180="acoes"))*Inputs!$B$1+((Inputs!$G$5:$G$180&lt;&gt;"moeda")*(Inputs!$G$5:$G$180&lt;&gt;"acoes")))*INDEX(Inputs!$K$5:$AJ$180,0,MATCH(AD$2,Inputs!$K$4:$AJ$4,0)))+SUMPRODUCT((Inputs!$E$5:$E$180=$B58)*Inputs!$F$5:$F$180*(((Inputs!$G$5:$G$180="moeda")+(Inputs!$G$5:$G$180="acoes"))*Inputs!$B$1+((Inputs!$G$5:$G$180&lt;&gt;"moeda")*(Inputs!$G$5:$G$180&lt;&gt;"acoes")))*INDEX(Inputs!$K$5:$AJ$180,0,MATCH(AD$2,Inputs!$K$4:$AJ$4,0)))))</f>
        <v>1071.4515954</v>
      </c>
      <c r="AE58" s="264" t="e">
        <f>IF(ISNA(MATCH(AE$2,Inputs!$K$4:$AJ$4,0)),NA(),IF(SUMPRODUCT((Inputs!$A$5:$A$180=$B58)*ISNUMBER(INDEX(Inputs!$K$5:$AJ$180,0,MATCH(AE$2,Inputs!$K$4:$AJ$4,0))))+SUMPRODUCT((Inputs!$C$5:$C$180=$B58)*ISNUMBER(INDEX(Inputs!$K$5:$AJ$180,0,MATCH(AE$2,Inputs!$K$4:$AJ$4,0))))+SUMPRODUCT((Inputs!$E$5:$E$180=$B58)*ISNUMBER(INDEX(Inputs!$K$5:$AJ$180,0,MATCH(AE$2,Inputs!$K$4:$AJ$4,0))))=0,NA(),SUMPRODUCT((Inputs!$A$5:$A$180=$B58)*Inputs!$B$5:$B$180*(((Inputs!$G$5:$G$180="moeda")+(Inputs!$G$5:$G$180="acoes"))*Inputs!$B$1+((Inputs!$G$5:$G$180&lt;&gt;"moeda")*(Inputs!$G$5:$G$180&lt;&gt;"acoes")))*INDEX(Inputs!$K$5:$AJ$180,0,MATCH(AE$2,Inputs!$K$4:$AJ$4,0)))+SUMPRODUCT((Inputs!$C$5:$C$180=$B58)*Inputs!$D$5:$D$180*(((Inputs!$G$5:$G$180="moeda")+(Inputs!$G$5:$G$180="acoes"))*Inputs!$B$1+((Inputs!$G$5:$G$180&lt;&gt;"moeda")*(Inputs!$G$5:$G$180&lt;&gt;"acoes")))*INDEX(Inputs!$K$5:$AJ$180,0,MATCH(AE$2,Inputs!$K$4:$AJ$4,0)))+SUMPRODUCT((Inputs!$E$5:$E$180=$B58)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8" s="264" t="e">
        <f>IF(ISNA(MATCH(AF$2,Inputs!$K$4:$AJ$4,0)),NA(),IF(SUMPRODUCT((Inputs!$A$5:$A$180=$B58)*ISNUMBER(INDEX(Inputs!$K$5:$AJ$180,0,MATCH(AF$2,Inputs!$K$4:$AJ$4,0))))+SUMPRODUCT((Inputs!$C$5:$C$180=$B58)*ISNUMBER(INDEX(Inputs!$K$5:$AJ$180,0,MATCH(AF$2,Inputs!$K$4:$AJ$4,0))))+SUMPRODUCT((Inputs!$E$5:$E$180=$B58)*ISNUMBER(INDEX(Inputs!$K$5:$AJ$180,0,MATCH(AF$2,Inputs!$K$4:$AJ$4,0))))=0,NA(),SUMPRODUCT((Inputs!$A$5:$A$180=$B58)*Inputs!$B$5:$B$180*(((Inputs!$G$5:$G$180="moeda")+(Inputs!$G$5:$G$180="acoes"))*Inputs!$B$1+((Inputs!$G$5:$G$180&lt;&gt;"moeda")*(Inputs!$G$5:$G$180&lt;&gt;"acoes")))*INDEX(Inputs!$K$5:$AJ$180,0,MATCH(AF$2,Inputs!$K$4:$AJ$4,0)))+SUMPRODUCT((Inputs!$C$5:$C$180=$B58)*Inputs!$D$5:$D$180*(((Inputs!$G$5:$G$180="moeda")+(Inputs!$G$5:$G$180="acoes"))*Inputs!$B$1+((Inputs!$G$5:$G$180&lt;&gt;"moeda")*(Inputs!$G$5:$G$180&lt;&gt;"acoes")))*INDEX(Inputs!$K$5:$AJ$180,0,MATCH(AF$2,Inputs!$K$4:$AJ$4,0)))+SUMPRODUCT((Inputs!$E$5:$E$180=$B58)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8" s="265" t="e">
        <f>SUM(AC58:AF58)</f>
        <v>#N/A</v>
      </c>
      <c r="AH58" s="264">
        <f>IF(ISNA(MATCH(AH$2,Inputs!$K$4:$AJ$4,0)),NA(),IF(SUMPRODUCT((Inputs!$A$5:$A$180=$B58)*ISNUMBER(INDEX(Inputs!$K$5:$AJ$180,0,MATCH(AH$2,Inputs!$K$4:$AJ$4,0))))+SUMPRODUCT((Inputs!$C$5:$C$180=$B58)*ISNUMBER(INDEX(Inputs!$K$5:$AJ$180,0,MATCH(AH$2,Inputs!$K$4:$AJ$4,0))))+SUMPRODUCT((Inputs!$E$5:$E$180=$B58)*ISNUMBER(INDEX(Inputs!$K$5:$AJ$180,0,MATCH(AH$2,Inputs!$K$4:$AJ$4,0))))=0,NA(),SUMPRODUCT((Inputs!$A$5:$A$180=$B58)*Inputs!$B$5:$B$180*(((Inputs!$G$5:$G$180="moeda")+(Inputs!$G$5:$G$180="acoes"))*Inputs!$B$1+((Inputs!$G$5:$G$180&lt;&gt;"moeda")*(Inputs!$G$5:$G$180&lt;&gt;"acoes")))*INDEX(Inputs!$K$5:$AJ$180,0,MATCH(AH$2,Inputs!$K$4:$AJ$4,0)))+SUMPRODUCT((Inputs!$C$5:$C$180=$B58)*Inputs!$D$5:$D$180*(((Inputs!$G$5:$G$180="moeda")+(Inputs!$G$5:$G$180="acoes"))*Inputs!$B$1+((Inputs!$G$5:$G$180&lt;&gt;"moeda")*(Inputs!$G$5:$G$180&lt;&gt;"acoes")))*INDEX(Inputs!$K$5:$AJ$180,0,MATCH(AH$2,Inputs!$K$4:$AJ$4,0)))+SUMPRODUCT((Inputs!$E$5:$E$180=$B58)*Inputs!$F$5:$F$180*(((Inputs!$G$5:$G$180="moeda")+(Inputs!$G$5:$G$180="acoes"))*Inputs!$B$1+((Inputs!$G$5:$G$180&lt;&gt;"moeda")*(Inputs!$G$5:$G$180&lt;&gt;"acoes")))*INDEX(Inputs!$K$5:$AJ$180,0,MATCH(AH$2,Inputs!$K$4:$AJ$4,0)))))</f>
        <v>263.82924028</v>
      </c>
      <c r="AI58" s="264">
        <f>IF(ISNA(MATCH(AI$2,Inputs!$K$4:$AJ$4,0)),NA(),IF(SUMPRODUCT((Inputs!$A$5:$A$180=$B58)*ISNUMBER(INDEX(Inputs!$K$5:$AJ$180,0,MATCH(AI$2,Inputs!$K$4:$AJ$4,0))))+SUMPRODUCT((Inputs!$C$5:$C$180=$B58)*ISNUMBER(INDEX(Inputs!$K$5:$AJ$180,0,MATCH(AI$2,Inputs!$K$4:$AJ$4,0))))+SUMPRODUCT((Inputs!$E$5:$E$180=$B58)*ISNUMBER(INDEX(Inputs!$K$5:$AJ$180,0,MATCH(AI$2,Inputs!$K$4:$AJ$4,0))))=0,NA(),SUMPRODUCT((Inputs!$A$5:$A$180=$B58)*Inputs!$B$5:$B$180*(((Inputs!$G$5:$G$180="moeda")+(Inputs!$G$5:$G$180="acoes"))*Inputs!$B$1+((Inputs!$G$5:$G$180&lt;&gt;"moeda")*(Inputs!$G$5:$G$180&lt;&gt;"acoes")))*INDEX(Inputs!$K$5:$AJ$180,0,MATCH(AI$2,Inputs!$K$4:$AJ$4,0)))+SUMPRODUCT((Inputs!$C$5:$C$180=$B58)*Inputs!$D$5:$D$180*(((Inputs!$G$5:$G$180="moeda")+(Inputs!$G$5:$G$180="acoes"))*Inputs!$B$1+((Inputs!$G$5:$G$180&lt;&gt;"moeda")*(Inputs!$G$5:$G$180&lt;&gt;"acoes")))*INDEX(Inputs!$K$5:$AJ$180,0,MATCH(AI$2,Inputs!$K$4:$AJ$4,0)))+SUMPRODUCT((Inputs!$E$5:$E$180=$B58)*Inputs!$F$5:$F$180*(((Inputs!$G$5:$G$180="moeda")+(Inputs!$G$5:$G$180="acoes"))*Inputs!$B$1+((Inputs!$G$5:$G$180&lt;&gt;"moeda")*(Inputs!$G$5:$G$180&lt;&gt;"acoes")))*INDEX(Inputs!$K$5:$AJ$180,0,MATCH(AI$2,Inputs!$K$4:$AJ$4,0)))))</f>
        <v>169.7026742</v>
      </c>
      <c r="AJ58" s="264">
        <f>IF(ISNA(MATCH(AJ$2,Inputs!$K$4:$AJ$4,0)),NA(),IF(SUMPRODUCT((Inputs!$A$5:$A$180=$B58)*ISNUMBER(INDEX(Inputs!$K$5:$AJ$180,0,MATCH(AJ$2,Inputs!$K$4:$AJ$4,0))))+SUMPRODUCT((Inputs!$C$5:$C$180=$B58)*ISNUMBER(INDEX(Inputs!$K$5:$AJ$180,0,MATCH(AJ$2,Inputs!$K$4:$AJ$4,0))))+SUMPRODUCT((Inputs!$E$5:$E$180=$B58)*ISNUMBER(INDEX(Inputs!$K$5:$AJ$180,0,MATCH(AJ$2,Inputs!$K$4:$AJ$4,0))))=0,NA(),SUMPRODUCT((Inputs!$A$5:$A$180=$B58)*Inputs!$B$5:$B$180*(((Inputs!$G$5:$G$180="moeda")+(Inputs!$G$5:$G$180="acoes"))*Inputs!$B$1+((Inputs!$G$5:$G$180&lt;&gt;"moeda")*(Inputs!$G$5:$G$180&lt;&gt;"acoes")))*INDEX(Inputs!$K$5:$AJ$180,0,MATCH(AJ$2,Inputs!$K$4:$AJ$4,0)))+SUMPRODUCT((Inputs!$C$5:$C$180=$B58)*Inputs!$D$5:$D$180*(((Inputs!$G$5:$G$180="moeda")+(Inputs!$G$5:$G$180="acoes"))*Inputs!$B$1+((Inputs!$G$5:$G$180&lt;&gt;"moeda")*(Inputs!$G$5:$G$180&lt;&gt;"acoes")))*INDEX(Inputs!$K$5:$AJ$180,0,MATCH(AJ$2,Inputs!$K$4:$AJ$4,0)))+SUMPRODUCT((Inputs!$E$5:$E$180=$B58)*Inputs!$F$5:$F$180*(((Inputs!$G$5:$G$180="moeda")+(Inputs!$G$5:$G$180="acoes"))*Inputs!$B$1+((Inputs!$G$5:$G$180&lt;&gt;"moeda")*(Inputs!$G$5:$G$180&lt;&gt;"acoes")))*INDEX(Inputs!$K$5:$AJ$180,0,MATCH(AJ$2,Inputs!$K$4:$AJ$4,0)))))</f>
        <v>308.05608072</v>
      </c>
      <c r="AK58" s="264">
        <f>IF(ISNA(MATCH(AK$2,Inputs!$K$4:$AJ$4,0)),NA(),IF(SUMPRODUCT((Inputs!$A$5:$A$180=$B58)*ISNUMBER(INDEX(Inputs!$K$5:$AJ$180,0,MATCH(AK$2,Inputs!$K$4:$AJ$4,0))))+SUMPRODUCT((Inputs!$C$5:$C$180=$B58)*ISNUMBER(INDEX(Inputs!$K$5:$AJ$180,0,MATCH(AK$2,Inputs!$K$4:$AJ$4,0))))+SUMPRODUCT((Inputs!$E$5:$E$180=$B58)*ISNUMBER(INDEX(Inputs!$K$5:$AJ$180,0,MATCH(AK$2,Inputs!$K$4:$AJ$4,0))))=0,NA(),SUMPRODUCT((Inputs!$A$5:$A$180=$B58)*Inputs!$B$5:$B$180*(((Inputs!$G$5:$G$180="moeda")+(Inputs!$G$5:$G$180="acoes"))*Inputs!$B$1+((Inputs!$G$5:$G$180&lt;&gt;"moeda")*(Inputs!$G$5:$G$180&lt;&gt;"acoes")))*INDEX(Inputs!$K$5:$AJ$180,0,MATCH(AK$2,Inputs!$K$4:$AJ$4,0)))+SUMPRODUCT((Inputs!$C$5:$C$180=$B58)*Inputs!$D$5:$D$180*(((Inputs!$G$5:$G$180="moeda")+(Inputs!$G$5:$G$180="acoes"))*Inputs!$B$1+((Inputs!$G$5:$G$180&lt;&gt;"moeda")*(Inputs!$G$5:$G$180&lt;&gt;"acoes")))*INDEX(Inputs!$K$5:$AJ$180,0,MATCH(AK$2,Inputs!$K$4:$AJ$4,0)))+SUMPRODUCT((Inputs!$E$5:$E$180=$B58)*Inputs!$F$5:$F$180*(((Inputs!$G$5:$G$180="moeda")+(Inputs!$G$5:$G$180="acoes"))*Inputs!$B$1+((Inputs!$G$5:$G$180&lt;&gt;"moeda")*(Inputs!$G$5:$G$180&lt;&gt;"acoes")))*INDEX(Inputs!$K$5:$AJ$180,0,MATCH(AK$2,Inputs!$K$4:$AJ$4,0)))))</f>
        <v>596.55387021</v>
      </c>
      <c r="AL58" s="265">
        <f>SUM(AH58:AK58)</f>
        <v>1338.14186541</v>
      </c>
    </row>
    <row r="59">
      <c r="B59" s="46" t="n">
        <v>51</v>
      </c>
      <c r="C59" s="29" t="inlineStr">
        <is>
          <t>Deducoes da receita bruta (impostos, liquidas de subvencao; DRE l.8)</t>
        </is>
      </c>
      <c r="D59" s="264">
        <f>IF(ISNA(MATCH(D$2,Inputs!$K$4:$AJ$4,0)),NA(),IF(SUMPRODUCT((Inputs!$A$5:$A$180=$B59)*ISNUMBER(INDEX(Inputs!$K$5:$AJ$180,0,MATCH(D$2,Inputs!$K$4:$AJ$4,0))))+SUMPRODUCT((Inputs!$C$5:$C$180=$B59)*ISNUMBER(INDEX(Inputs!$K$5:$AJ$180,0,MATCH(D$2,Inputs!$K$4:$AJ$4,0))))+SUMPRODUCT((Inputs!$E$5:$E$180=$B59)*ISNUMBER(INDEX(Inputs!$K$5:$AJ$180,0,MATCH(D$2,Inputs!$K$4:$AJ$4,0))))=0,NA(),SUMPRODUCT((Inputs!$A$5:$A$180=$B59)*Inputs!$B$5:$B$180*(((Inputs!$G$5:$G$180="moeda")+(Inputs!$G$5:$G$180="acoes"))*Inputs!$B$1+((Inputs!$G$5:$G$180&lt;&gt;"moeda")*(Inputs!$G$5:$G$180&lt;&gt;"acoes")))*INDEX(Inputs!$K$5:$AJ$180,0,MATCH(D$2,Inputs!$K$4:$AJ$4,0)))+SUMPRODUCT((Inputs!$C$5:$C$180=$B59)*Inputs!$D$5:$D$180*(((Inputs!$G$5:$G$180="moeda")+(Inputs!$G$5:$G$180="acoes"))*Inputs!$B$1+((Inputs!$G$5:$G$180&lt;&gt;"moeda")*(Inputs!$G$5:$G$180&lt;&gt;"acoes")))*INDEX(Inputs!$K$5:$AJ$180,0,MATCH(D$2,Inputs!$K$4:$AJ$4,0)))+SUMPRODUCT((Inputs!$E$5:$E$180=$B59)*Inputs!$F$5:$F$180*(((Inputs!$G$5:$G$180="moeda")+(Inputs!$G$5:$G$180="acoes"))*Inputs!$B$1+((Inputs!$G$5:$G$180&lt;&gt;"moeda")*(Inputs!$G$5:$G$180&lt;&gt;"acoes")))*INDEX(Inputs!$K$5:$AJ$180,0,MATCH(D$2,Inputs!$K$4:$AJ$4,0)))))</f>
        <v>-55.59795308</v>
      </c>
      <c r="E59" s="264">
        <f>IF(ISNA(MATCH(E$2,Inputs!$K$4:$AJ$4,0)),NA(),IF(SUMPRODUCT((Inputs!$A$5:$A$180=$B59)*ISNUMBER(INDEX(Inputs!$K$5:$AJ$180,0,MATCH(E$2,Inputs!$K$4:$AJ$4,0))))+SUMPRODUCT((Inputs!$C$5:$C$180=$B59)*ISNUMBER(INDEX(Inputs!$K$5:$AJ$180,0,MATCH(E$2,Inputs!$K$4:$AJ$4,0))))+SUMPRODUCT((Inputs!$E$5:$E$180=$B59)*ISNUMBER(INDEX(Inputs!$K$5:$AJ$180,0,MATCH(E$2,Inputs!$K$4:$AJ$4,0))))=0,NA(),SUMPRODUCT((Inputs!$A$5:$A$180=$B59)*Inputs!$B$5:$B$180*(((Inputs!$G$5:$G$180="moeda")+(Inputs!$G$5:$G$180="acoes"))*Inputs!$B$1+((Inputs!$G$5:$G$180&lt;&gt;"moeda")*(Inputs!$G$5:$G$180&lt;&gt;"acoes")))*INDEX(Inputs!$K$5:$AJ$180,0,MATCH(E$2,Inputs!$K$4:$AJ$4,0)))+SUMPRODUCT((Inputs!$C$5:$C$180=$B59)*Inputs!$D$5:$D$180*(((Inputs!$G$5:$G$180="moeda")+(Inputs!$G$5:$G$180="acoes"))*Inputs!$B$1+((Inputs!$G$5:$G$180&lt;&gt;"moeda")*(Inputs!$G$5:$G$180&lt;&gt;"acoes")))*INDEX(Inputs!$K$5:$AJ$180,0,MATCH(E$2,Inputs!$K$4:$AJ$4,0)))+SUMPRODUCT((Inputs!$E$5:$E$180=$B59)*Inputs!$F$5:$F$180*(((Inputs!$G$5:$G$180="moeda")+(Inputs!$G$5:$G$180="acoes"))*Inputs!$B$1+((Inputs!$G$5:$G$180&lt;&gt;"moeda")*(Inputs!$G$5:$G$180&lt;&gt;"acoes")))*INDEX(Inputs!$K$5:$AJ$180,0,MATCH(E$2,Inputs!$K$4:$AJ$4,0)))))</f>
        <v>-94.81432103</v>
      </c>
      <c r="F59" s="264">
        <f>IF(ISNA(MATCH(F$2,Inputs!$K$4:$AJ$4,0)),NA(),IF(SUMPRODUCT((Inputs!$A$5:$A$180=$B59)*ISNUMBER(INDEX(Inputs!$K$5:$AJ$180,0,MATCH(F$2,Inputs!$K$4:$AJ$4,0))))+SUMPRODUCT((Inputs!$C$5:$C$180=$B59)*ISNUMBER(INDEX(Inputs!$K$5:$AJ$180,0,MATCH(F$2,Inputs!$K$4:$AJ$4,0))))+SUMPRODUCT((Inputs!$E$5:$E$180=$B59)*ISNUMBER(INDEX(Inputs!$K$5:$AJ$180,0,MATCH(F$2,Inputs!$K$4:$AJ$4,0))))=0,NA(),SUMPRODUCT((Inputs!$A$5:$A$180=$B59)*Inputs!$B$5:$B$180*(((Inputs!$G$5:$G$180="moeda")+(Inputs!$G$5:$G$180="acoes"))*Inputs!$B$1+((Inputs!$G$5:$G$180&lt;&gt;"moeda")*(Inputs!$G$5:$G$180&lt;&gt;"acoes")))*INDEX(Inputs!$K$5:$AJ$180,0,MATCH(F$2,Inputs!$K$4:$AJ$4,0)))+SUMPRODUCT((Inputs!$C$5:$C$180=$B59)*Inputs!$D$5:$D$180*(((Inputs!$G$5:$G$180="moeda")+(Inputs!$G$5:$G$180="acoes"))*Inputs!$B$1+((Inputs!$G$5:$G$180&lt;&gt;"moeda")*(Inputs!$G$5:$G$180&lt;&gt;"acoes")))*INDEX(Inputs!$K$5:$AJ$180,0,MATCH(F$2,Inputs!$K$4:$AJ$4,0)))+SUMPRODUCT((Inputs!$E$5:$E$180=$B59)*Inputs!$F$5:$F$180*(((Inputs!$G$5:$G$180="moeda")+(Inputs!$G$5:$G$180="acoes"))*Inputs!$B$1+((Inputs!$G$5:$G$180&lt;&gt;"moeda")*(Inputs!$G$5:$G$180&lt;&gt;"acoes")))*INDEX(Inputs!$K$5:$AJ$180,0,MATCH(F$2,Inputs!$K$4:$AJ$4,0)))))</f>
        <v>-73.38774477</v>
      </c>
      <c r="G59" s="264">
        <f>IF(ISNA(MATCH(G$2,Inputs!$K$4:$AJ$4,0)),NA(),IF(SUMPRODUCT((Inputs!$A$5:$A$180=$B59)*ISNUMBER(INDEX(Inputs!$K$5:$AJ$180,0,MATCH(G$2,Inputs!$K$4:$AJ$4,0))))+SUMPRODUCT((Inputs!$C$5:$C$180=$B59)*ISNUMBER(INDEX(Inputs!$K$5:$AJ$180,0,MATCH(G$2,Inputs!$K$4:$AJ$4,0))))+SUMPRODUCT((Inputs!$E$5:$E$180=$B59)*ISNUMBER(INDEX(Inputs!$K$5:$AJ$180,0,MATCH(G$2,Inputs!$K$4:$AJ$4,0))))=0,NA(),SUMPRODUCT((Inputs!$A$5:$A$180=$B59)*Inputs!$B$5:$B$180*(((Inputs!$G$5:$G$180="moeda")+(Inputs!$G$5:$G$180="acoes"))*Inputs!$B$1+((Inputs!$G$5:$G$180&lt;&gt;"moeda")*(Inputs!$G$5:$G$180&lt;&gt;"acoes")))*INDEX(Inputs!$K$5:$AJ$180,0,MATCH(G$2,Inputs!$K$4:$AJ$4,0)))+SUMPRODUCT((Inputs!$C$5:$C$180=$B59)*Inputs!$D$5:$D$180*(((Inputs!$G$5:$G$180="moeda")+(Inputs!$G$5:$G$180="acoes"))*Inputs!$B$1+((Inputs!$G$5:$G$180&lt;&gt;"moeda")*(Inputs!$G$5:$G$180&lt;&gt;"acoes")))*INDEX(Inputs!$K$5:$AJ$180,0,MATCH(G$2,Inputs!$K$4:$AJ$4,0)))+SUMPRODUCT((Inputs!$E$5:$E$180=$B59)*Inputs!$F$5:$F$180*(((Inputs!$G$5:$G$180="moeda")+(Inputs!$G$5:$G$180="acoes"))*Inputs!$B$1+((Inputs!$G$5:$G$180&lt;&gt;"moeda")*(Inputs!$G$5:$G$180&lt;&gt;"acoes")))*INDEX(Inputs!$K$5:$AJ$180,0,MATCH(G$2,Inputs!$K$4:$AJ$4,0)))))</f>
        <v>-152.26767077</v>
      </c>
      <c r="H59" s="265">
        <f>SUM(D59:G59)</f>
        <v>-376.06768965</v>
      </c>
      <c r="I59" s="264">
        <f>IF(ISNA(MATCH(I$2,Inputs!$K$4:$AJ$4,0)),NA(),IF(SUMPRODUCT((Inputs!$A$5:$A$180=$B59)*ISNUMBER(INDEX(Inputs!$K$5:$AJ$180,0,MATCH(I$2,Inputs!$K$4:$AJ$4,0))))+SUMPRODUCT((Inputs!$C$5:$C$180=$B59)*ISNUMBER(INDEX(Inputs!$K$5:$AJ$180,0,MATCH(I$2,Inputs!$K$4:$AJ$4,0))))+SUMPRODUCT((Inputs!$E$5:$E$180=$B59)*ISNUMBER(INDEX(Inputs!$K$5:$AJ$180,0,MATCH(I$2,Inputs!$K$4:$AJ$4,0))))=0,NA(),SUMPRODUCT((Inputs!$A$5:$A$180=$B59)*Inputs!$B$5:$B$180*(((Inputs!$G$5:$G$180="moeda")+(Inputs!$G$5:$G$180="acoes"))*Inputs!$B$1+((Inputs!$G$5:$G$180&lt;&gt;"moeda")*(Inputs!$G$5:$G$180&lt;&gt;"acoes")))*INDEX(Inputs!$K$5:$AJ$180,0,MATCH(I$2,Inputs!$K$4:$AJ$4,0)))+SUMPRODUCT((Inputs!$C$5:$C$180=$B59)*Inputs!$D$5:$D$180*(((Inputs!$G$5:$G$180="moeda")+(Inputs!$G$5:$G$180="acoes"))*Inputs!$B$1+((Inputs!$G$5:$G$180&lt;&gt;"moeda")*(Inputs!$G$5:$G$180&lt;&gt;"acoes")))*INDEX(Inputs!$K$5:$AJ$180,0,MATCH(I$2,Inputs!$K$4:$AJ$4,0)))+SUMPRODUCT((Inputs!$E$5:$E$180=$B59)*Inputs!$F$5:$F$180*(((Inputs!$G$5:$G$180="moeda")+(Inputs!$G$5:$G$180="acoes"))*Inputs!$B$1+((Inputs!$G$5:$G$180&lt;&gt;"moeda")*(Inputs!$G$5:$G$180&lt;&gt;"acoes")))*INDEX(Inputs!$K$5:$AJ$180,0,MATCH(I$2,Inputs!$K$4:$AJ$4,0)))))</f>
        <v>-73.43663815</v>
      </c>
      <c r="J59" s="264">
        <f>IF(ISNA(MATCH(J$2,Inputs!$K$4:$AJ$4,0)),NA(),IF(SUMPRODUCT((Inputs!$A$5:$A$180=$B59)*ISNUMBER(INDEX(Inputs!$K$5:$AJ$180,0,MATCH(J$2,Inputs!$K$4:$AJ$4,0))))+SUMPRODUCT((Inputs!$C$5:$C$180=$B59)*ISNUMBER(INDEX(Inputs!$K$5:$AJ$180,0,MATCH(J$2,Inputs!$K$4:$AJ$4,0))))+SUMPRODUCT((Inputs!$E$5:$E$180=$B59)*ISNUMBER(INDEX(Inputs!$K$5:$AJ$180,0,MATCH(J$2,Inputs!$K$4:$AJ$4,0))))=0,NA(),SUMPRODUCT((Inputs!$A$5:$A$180=$B59)*Inputs!$B$5:$B$180*(((Inputs!$G$5:$G$180="moeda")+(Inputs!$G$5:$G$180="acoes"))*Inputs!$B$1+((Inputs!$G$5:$G$180&lt;&gt;"moeda")*(Inputs!$G$5:$G$180&lt;&gt;"acoes")))*INDEX(Inputs!$K$5:$AJ$180,0,MATCH(J$2,Inputs!$K$4:$AJ$4,0)))+SUMPRODUCT((Inputs!$C$5:$C$180=$B59)*Inputs!$D$5:$D$180*(((Inputs!$G$5:$G$180="moeda")+(Inputs!$G$5:$G$180="acoes"))*Inputs!$B$1+((Inputs!$G$5:$G$180&lt;&gt;"moeda")*(Inputs!$G$5:$G$180&lt;&gt;"acoes")))*INDEX(Inputs!$K$5:$AJ$180,0,MATCH(J$2,Inputs!$K$4:$AJ$4,0)))+SUMPRODUCT((Inputs!$E$5:$E$180=$B59)*Inputs!$F$5:$F$180*(((Inputs!$G$5:$G$180="moeda")+(Inputs!$G$5:$G$180="acoes"))*Inputs!$B$1+((Inputs!$G$5:$G$180&lt;&gt;"moeda")*(Inputs!$G$5:$G$180&lt;&gt;"acoes")))*INDEX(Inputs!$K$5:$AJ$180,0,MATCH(J$2,Inputs!$K$4:$AJ$4,0)))))</f>
        <v>-117.89149545</v>
      </c>
      <c r="K59" s="264">
        <f>IF(ISNA(MATCH(K$2,Inputs!$K$4:$AJ$4,0)),NA(),IF(SUMPRODUCT((Inputs!$A$5:$A$180=$B59)*ISNUMBER(INDEX(Inputs!$K$5:$AJ$180,0,MATCH(K$2,Inputs!$K$4:$AJ$4,0))))+SUMPRODUCT((Inputs!$C$5:$C$180=$B59)*ISNUMBER(INDEX(Inputs!$K$5:$AJ$180,0,MATCH(K$2,Inputs!$K$4:$AJ$4,0))))+SUMPRODUCT((Inputs!$E$5:$E$180=$B59)*ISNUMBER(INDEX(Inputs!$K$5:$AJ$180,0,MATCH(K$2,Inputs!$K$4:$AJ$4,0))))=0,NA(),SUMPRODUCT((Inputs!$A$5:$A$180=$B59)*Inputs!$B$5:$B$180*(((Inputs!$G$5:$G$180="moeda")+(Inputs!$G$5:$G$180="acoes"))*Inputs!$B$1+((Inputs!$G$5:$G$180&lt;&gt;"moeda")*(Inputs!$G$5:$G$180&lt;&gt;"acoes")))*INDEX(Inputs!$K$5:$AJ$180,0,MATCH(K$2,Inputs!$K$4:$AJ$4,0)))+SUMPRODUCT((Inputs!$C$5:$C$180=$B59)*Inputs!$D$5:$D$180*(((Inputs!$G$5:$G$180="moeda")+(Inputs!$G$5:$G$180="acoes"))*Inputs!$B$1+((Inputs!$G$5:$G$180&lt;&gt;"moeda")*(Inputs!$G$5:$G$180&lt;&gt;"acoes")))*INDEX(Inputs!$K$5:$AJ$180,0,MATCH(K$2,Inputs!$K$4:$AJ$4,0)))+SUMPRODUCT((Inputs!$E$5:$E$180=$B59)*Inputs!$F$5:$F$180*(((Inputs!$G$5:$G$180="moeda")+(Inputs!$G$5:$G$180="acoes"))*Inputs!$B$1+((Inputs!$G$5:$G$180&lt;&gt;"moeda")*(Inputs!$G$5:$G$180&lt;&gt;"acoes")))*INDEX(Inputs!$K$5:$AJ$180,0,MATCH(K$2,Inputs!$K$4:$AJ$4,0)))))</f>
        <v>-88.4996185600001</v>
      </c>
      <c r="L59" s="264">
        <f>IF(ISNA(MATCH(L$2,Inputs!$K$4:$AJ$4,0)),NA(),IF(SUMPRODUCT((Inputs!$A$5:$A$180=$B59)*ISNUMBER(INDEX(Inputs!$K$5:$AJ$180,0,MATCH(L$2,Inputs!$K$4:$AJ$4,0))))+SUMPRODUCT((Inputs!$C$5:$C$180=$B59)*ISNUMBER(INDEX(Inputs!$K$5:$AJ$180,0,MATCH(L$2,Inputs!$K$4:$AJ$4,0))))+SUMPRODUCT((Inputs!$E$5:$E$180=$B59)*ISNUMBER(INDEX(Inputs!$K$5:$AJ$180,0,MATCH(L$2,Inputs!$K$4:$AJ$4,0))))=0,NA(),SUMPRODUCT((Inputs!$A$5:$A$180=$B59)*Inputs!$B$5:$B$180*(((Inputs!$G$5:$G$180="moeda")+(Inputs!$G$5:$G$180="acoes"))*Inputs!$B$1+((Inputs!$G$5:$G$180&lt;&gt;"moeda")*(Inputs!$G$5:$G$180&lt;&gt;"acoes")))*INDEX(Inputs!$K$5:$AJ$180,0,MATCH(L$2,Inputs!$K$4:$AJ$4,0)))+SUMPRODUCT((Inputs!$C$5:$C$180=$B59)*Inputs!$D$5:$D$180*(((Inputs!$G$5:$G$180="moeda")+(Inputs!$G$5:$G$180="acoes"))*Inputs!$B$1+((Inputs!$G$5:$G$180&lt;&gt;"moeda")*(Inputs!$G$5:$G$180&lt;&gt;"acoes")))*INDEX(Inputs!$K$5:$AJ$180,0,MATCH(L$2,Inputs!$K$4:$AJ$4,0)))+SUMPRODUCT((Inputs!$E$5:$E$180=$B59)*Inputs!$F$5:$F$180*(((Inputs!$G$5:$G$180="moeda")+(Inputs!$G$5:$G$180="acoes"))*Inputs!$B$1+((Inputs!$G$5:$G$180&lt;&gt;"moeda")*(Inputs!$G$5:$G$180&lt;&gt;"acoes")))*INDEX(Inputs!$K$5:$AJ$180,0,MATCH(L$2,Inputs!$K$4:$AJ$4,0)))))</f>
        <v>-176.35666805</v>
      </c>
      <c r="M59" s="265">
        <f>SUM(I59:L59)</f>
        <v>-456.18442021</v>
      </c>
      <c r="N59" s="264">
        <f>IF(ISNA(MATCH(N$2,Inputs!$K$4:$AJ$4,0)),NA(),IF(SUMPRODUCT((Inputs!$A$5:$A$180=$B59)*ISNUMBER(INDEX(Inputs!$K$5:$AJ$180,0,MATCH(N$2,Inputs!$K$4:$AJ$4,0))))+SUMPRODUCT((Inputs!$C$5:$C$180=$B59)*ISNUMBER(INDEX(Inputs!$K$5:$AJ$180,0,MATCH(N$2,Inputs!$K$4:$AJ$4,0))))+SUMPRODUCT((Inputs!$E$5:$E$180=$B59)*ISNUMBER(INDEX(Inputs!$K$5:$AJ$180,0,MATCH(N$2,Inputs!$K$4:$AJ$4,0))))=0,NA(),SUMPRODUCT((Inputs!$A$5:$A$180=$B59)*Inputs!$B$5:$B$180*(((Inputs!$G$5:$G$180="moeda")+(Inputs!$G$5:$G$180="acoes"))*Inputs!$B$1+((Inputs!$G$5:$G$180&lt;&gt;"moeda")*(Inputs!$G$5:$G$180&lt;&gt;"acoes")))*INDEX(Inputs!$K$5:$AJ$180,0,MATCH(N$2,Inputs!$K$4:$AJ$4,0)))+SUMPRODUCT((Inputs!$C$5:$C$180=$B59)*Inputs!$D$5:$D$180*(((Inputs!$G$5:$G$180="moeda")+(Inputs!$G$5:$G$180="acoes"))*Inputs!$B$1+((Inputs!$G$5:$G$180&lt;&gt;"moeda")*(Inputs!$G$5:$G$180&lt;&gt;"acoes")))*INDEX(Inputs!$K$5:$AJ$180,0,MATCH(N$2,Inputs!$K$4:$AJ$4,0)))+SUMPRODUCT((Inputs!$E$5:$E$180=$B59)*Inputs!$F$5:$F$180*(((Inputs!$G$5:$G$180="moeda")+(Inputs!$G$5:$G$180="acoes"))*Inputs!$B$1+((Inputs!$G$5:$G$180&lt;&gt;"moeda")*(Inputs!$G$5:$G$180&lt;&gt;"acoes")))*INDEX(Inputs!$K$5:$AJ$180,0,MATCH(N$2,Inputs!$K$4:$AJ$4,0)))))</f>
        <v>-95.87214527</v>
      </c>
      <c r="O59" s="264">
        <f>IF(ISNA(MATCH(O$2,Inputs!$K$4:$AJ$4,0)),NA(),IF(SUMPRODUCT((Inputs!$A$5:$A$180=$B59)*ISNUMBER(INDEX(Inputs!$K$5:$AJ$180,0,MATCH(O$2,Inputs!$K$4:$AJ$4,0))))+SUMPRODUCT((Inputs!$C$5:$C$180=$B59)*ISNUMBER(INDEX(Inputs!$K$5:$AJ$180,0,MATCH(O$2,Inputs!$K$4:$AJ$4,0))))+SUMPRODUCT((Inputs!$E$5:$E$180=$B59)*ISNUMBER(INDEX(Inputs!$K$5:$AJ$180,0,MATCH(O$2,Inputs!$K$4:$AJ$4,0))))=0,NA(),SUMPRODUCT((Inputs!$A$5:$A$180=$B59)*Inputs!$B$5:$B$180*(((Inputs!$G$5:$G$180="moeda")+(Inputs!$G$5:$G$180="acoes"))*Inputs!$B$1+((Inputs!$G$5:$G$180&lt;&gt;"moeda")*(Inputs!$G$5:$G$180&lt;&gt;"acoes")))*INDEX(Inputs!$K$5:$AJ$180,0,MATCH(O$2,Inputs!$K$4:$AJ$4,0)))+SUMPRODUCT((Inputs!$C$5:$C$180=$B59)*Inputs!$D$5:$D$180*(((Inputs!$G$5:$G$180="moeda")+(Inputs!$G$5:$G$180="acoes"))*Inputs!$B$1+((Inputs!$G$5:$G$180&lt;&gt;"moeda")*(Inputs!$G$5:$G$180&lt;&gt;"acoes")))*INDEX(Inputs!$K$5:$AJ$180,0,MATCH(O$2,Inputs!$K$4:$AJ$4,0)))+SUMPRODUCT((Inputs!$E$5:$E$180=$B59)*Inputs!$F$5:$F$180*(((Inputs!$G$5:$G$180="moeda")+(Inputs!$G$5:$G$180="acoes"))*Inputs!$B$1+((Inputs!$G$5:$G$180&lt;&gt;"moeda")*(Inputs!$G$5:$G$180&lt;&gt;"acoes")))*INDEX(Inputs!$K$5:$AJ$180,0,MATCH(O$2,Inputs!$K$4:$AJ$4,0)))))</f>
        <v>-142.18530496</v>
      </c>
      <c r="P59" s="264">
        <f>IF(ISNA(MATCH(P$2,Inputs!$K$4:$AJ$4,0)),NA(),IF(SUMPRODUCT((Inputs!$A$5:$A$180=$B59)*ISNUMBER(INDEX(Inputs!$K$5:$AJ$180,0,MATCH(P$2,Inputs!$K$4:$AJ$4,0))))+SUMPRODUCT((Inputs!$C$5:$C$180=$B59)*ISNUMBER(INDEX(Inputs!$K$5:$AJ$180,0,MATCH(P$2,Inputs!$K$4:$AJ$4,0))))+SUMPRODUCT((Inputs!$E$5:$E$180=$B59)*ISNUMBER(INDEX(Inputs!$K$5:$AJ$180,0,MATCH(P$2,Inputs!$K$4:$AJ$4,0))))=0,NA(),SUMPRODUCT((Inputs!$A$5:$A$180=$B59)*Inputs!$B$5:$B$180*(((Inputs!$G$5:$G$180="moeda")+(Inputs!$G$5:$G$180="acoes"))*Inputs!$B$1+((Inputs!$G$5:$G$180&lt;&gt;"moeda")*(Inputs!$G$5:$G$180&lt;&gt;"acoes")))*INDEX(Inputs!$K$5:$AJ$180,0,MATCH(P$2,Inputs!$K$4:$AJ$4,0)))+SUMPRODUCT((Inputs!$C$5:$C$180=$B59)*Inputs!$D$5:$D$180*(((Inputs!$G$5:$G$180="moeda")+(Inputs!$G$5:$G$180="acoes"))*Inputs!$B$1+((Inputs!$G$5:$G$180&lt;&gt;"moeda")*(Inputs!$G$5:$G$180&lt;&gt;"acoes")))*INDEX(Inputs!$K$5:$AJ$180,0,MATCH(P$2,Inputs!$K$4:$AJ$4,0)))+SUMPRODUCT((Inputs!$E$5:$E$180=$B59)*Inputs!$F$5:$F$180*(((Inputs!$G$5:$G$180="moeda")+(Inputs!$G$5:$G$180="acoes"))*Inputs!$B$1+((Inputs!$G$5:$G$180&lt;&gt;"moeda")*(Inputs!$G$5:$G$180&lt;&gt;"acoes")))*INDEX(Inputs!$K$5:$AJ$180,0,MATCH(P$2,Inputs!$K$4:$AJ$4,0)))))</f>
        <v>-123.9303035</v>
      </c>
      <c r="Q59" s="264">
        <f>IF(ISNA(MATCH(Q$2,Inputs!$K$4:$AJ$4,0)),NA(),IF(SUMPRODUCT((Inputs!$A$5:$A$180=$B59)*ISNUMBER(INDEX(Inputs!$K$5:$AJ$180,0,MATCH(Q$2,Inputs!$K$4:$AJ$4,0))))+SUMPRODUCT((Inputs!$C$5:$C$180=$B59)*ISNUMBER(INDEX(Inputs!$K$5:$AJ$180,0,MATCH(Q$2,Inputs!$K$4:$AJ$4,0))))+SUMPRODUCT((Inputs!$E$5:$E$180=$B59)*ISNUMBER(INDEX(Inputs!$K$5:$AJ$180,0,MATCH(Q$2,Inputs!$K$4:$AJ$4,0))))=0,NA(),SUMPRODUCT((Inputs!$A$5:$A$180=$B59)*Inputs!$B$5:$B$180*(((Inputs!$G$5:$G$180="moeda")+(Inputs!$G$5:$G$180="acoes"))*Inputs!$B$1+((Inputs!$G$5:$G$180&lt;&gt;"moeda")*(Inputs!$G$5:$G$180&lt;&gt;"acoes")))*INDEX(Inputs!$K$5:$AJ$180,0,MATCH(Q$2,Inputs!$K$4:$AJ$4,0)))+SUMPRODUCT((Inputs!$C$5:$C$180=$B59)*Inputs!$D$5:$D$180*(((Inputs!$G$5:$G$180="moeda")+(Inputs!$G$5:$G$180="acoes"))*Inputs!$B$1+((Inputs!$G$5:$G$180&lt;&gt;"moeda")*(Inputs!$G$5:$G$180&lt;&gt;"acoes")))*INDEX(Inputs!$K$5:$AJ$180,0,MATCH(Q$2,Inputs!$K$4:$AJ$4,0)))+SUMPRODUCT((Inputs!$E$5:$E$180=$B59)*Inputs!$F$5:$F$180*(((Inputs!$G$5:$G$180="moeda")+(Inputs!$G$5:$G$180="acoes"))*Inputs!$B$1+((Inputs!$G$5:$G$180&lt;&gt;"moeda")*(Inputs!$G$5:$G$180&lt;&gt;"acoes")))*INDEX(Inputs!$K$5:$AJ$180,0,MATCH(Q$2,Inputs!$K$4:$AJ$4,0)))))</f>
        <v>-239.05358589</v>
      </c>
      <c r="R59" s="265">
        <f>SUM(N59:Q59)</f>
        <v>-601.04133962</v>
      </c>
      <c r="S59" s="264">
        <f>IF(ISNA(MATCH(S$2,Inputs!$K$4:$AJ$4,0)),NA(),IF(SUMPRODUCT((Inputs!$A$5:$A$180=$B59)*ISNUMBER(INDEX(Inputs!$K$5:$AJ$180,0,MATCH(S$2,Inputs!$K$4:$AJ$4,0))))+SUMPRODUCT((Inputs!$C$5:$C$180=$B59)*ISNUMBER(INDEX(Inputs!$K$5:$AJ$180,0,MATCH(S$2,Inputs!$K$4:$AJ$4,0))))+SUMPRODUCT((Inputs!$E$5:$E$180=$B59)*ISNUMBER(INDEX(Inputs!$K$5:$AJ$180,0,MATCH(S$2,Inputs!$K$4:$AJ$4,0))))=0,NA(),SUMPRODUCT((Inputs!$A$5:$A$180=$B59)*Inputs!$B$5:$B$180*(((Inputs!$G$5:$G$180="moeda")+(Inputs!$G$5:$G$180="acoes"))*Inputs!$B$1+((Inputs!$G$5:$G$180&lt;&gt;"moeda")*(Inputs!$G$5:$G$180&lt;&gt;"acoes")))*INDEX(Inputs!$K$5:$AJ$180,0,MATCH(S$2,Inputs!$K$4:$AJ$4,0)))+SUMPRODUCT((Inputs!$C$5:$C$180=$B59)*Inputs!$D$5:$D$180*(((Inputs!$G$5:$G$180="moeda")+(Inputs!$G$5:$G$180="acoes"))*Inputs!$B$1+((Inputs!$G$5:$G$180&lt;&gt;"moeda")*(Inputs!$G$5:$G$180&lt;&gt;"acoes")))*INDEX(Inputs!$K$5:$AJ$180,0,MATCH(S$2,Inputs!$K$4:$AJ$4,0)))+SUMPRODUCT((Inputs!$E$5:$E$180=$B59)*Inputs!$F$5:$F$180*(((Inputs!$G$5:$G$180="moeda")+(Inputs!$G$5:$G$180="acoes"))*Inputs!$B$1+((Inputs!$G$5:$G$180&lt;&gt;"moeda")*(Inputs!$G$5:$G$180&lt;&gt;"acoes")))*INDEX(Inputs!$K$5:$AJ$180,0,MATCH(S$2,Inputs!$K$4:$AJ$4,0)))))</f>
        <v>-130.26834855</v>
      </c>
      <c r="T59" s="264">
        <f>IF(ISNA(MATCH(T$2,Inputs!$K$4:$AJ$4,0)),NA(),IF(SUMPRODUCT((Inputs!$A$5:$A$180=$B59)*ISNUMBER(INDEX(Inputs!$K$5:$AJ$180,0,MATCH(T$2,Inputs!$K$4:$AJ$4,0))))+SUMPRODUCT((Inputs!$C$5:$C$180=$B59)*ISNUMBER(INDEX(Inputs!$K$5:$AJ$180,0,MATCH(T$2,Inputs!$K$4:$AJ$4,0))))+SUMPRODUCT((Inputs!$E$5:$E$180=$B59)*ISNUMBER(INDEX(Inputs!$K$5:$AJ$180,0,MATCH(T$2,Inputs!$K$4:$AJ$4,0))))=0,NA(),SUMPRODUCT((Inputs!$A$5:$A$180=$B59)*Inputs!$B$5:$B$180*(((Inputs!$G$5:$G$180="moeda")+(Inputs!$G$5:$G$180="acoes"))*Inputs!$B$1+((Inputs!$G$5:$G$180&lt;&gt;"moeda")*(Inputs!$G$5:$G$180&lt;&gt;"acoes")))*INDEX(Inputs!$K$5:$AJ$180,0,MATCH(T$2,Inputs!$K$4:$AJ$4,0)))+SUMPRODUCT((Inputs!$C$5:$C$180=$B59)*Inputs!$D$5:$D$180*(((Inputs!$G$5:$G$180="moeda")+(Inputs!$G$5:$G$180="acoes"))*Inputs!$B$1+((Inputs!$G$5:$G$180&lt;&gt;"moeda")*(Inputs!$G$5:$G$180&lt;&gt;"acoes")))*INDEX(Inputs!$K$5:$AJ$180,0,MATCH(T$2,Inputs!$K$4:$AJ$4,0)))+SUMPRODUCT((Inputs!$E$5:$E$180=$B59)*Inputs!$F$5:$F$180*(((Inputs!$G$5:$G$180="moeda")+(Inputs!$G$5:$G$180="acoes"))*Inputs!$B$1+((Inputs!$G$5:$G$180&lt;&gt;"moeda")*(Inputs!$G$5:$G$180&lt;&gt;"acoes")))*INDEX(Inputs!$K$5:$AJ$180,0,MATCH(T$2,Inputs!$K$4:$AJ$4,0)))))</f>
        <v>-180.27237093</v>
      </c>
      <c r="U59" s="264">
        <f>IF(ISNA(MATCH(U$2,Inputs!$K$4:$AJ$4,0)),NA(),IF(SUMPRODUCT((Inputs!$A$5:$A$180=$B59)*ISNUMBER(INDEX(Inputs!$K$5:$AJ$180,0,MATCH(U$2,Inputs!$K$4:$AJ$4,0))))+SUMPRODUCT((Inputs!$C$5:$C$180=$B59)*ISNUMBER(INDEX(Inputs!$K$5:$AJ$180,0,MATCH(U$2,Inputs!$K$4:$AJ$4,0))))+SUMPRODUCT((Inputs!$E$5:$E$180=$B59)*ISNUMBER(INDEX(Inputs!$K$5:$AJ$180,0,MATCH(U$2,Inputs!$K$4:$AJ$4,0))))=0,NA(),SUMPRODUCT((Inputs!$A$5:$A$180=$B59)*Inputs!$B$5:$B$180*(((Inputs!$G$5:$G$180="moeda")+(Inputs!$G$5:$G$180="acoes"))*Inputs!$B$1+((Inputs!$G$5:$G$180&lt;&gt;"moeda")*(Inputs!$G$5:$G$180&lt;&gt;"acoes")))*INDEX(Inputs!$K$5:$AJ$180,0,MATCH(U$2,Inputs!$K$4:$AJ$4,0)))+SUMPRODUCT((Inputs!$C$5:$C$180=$B59)*Inputs!$D$5:$D$180*(((Inputs!$G$5:$G$180="moeda")+(Inputs!$G$5:$G$180="acoes"))*Inputs!$B$1+((Inputs!$G$5:$G$180&lt;&gt;"moeda")*(Inputs!$G$5:$G$180&lt;&gt;"acoes")))*INDEX(Inputs!$K$5:$AJ$180,0,MATCH(U$2,Inputs!$K$4:$AJ$4,0)))+SUMPRODUCT((Inputs!$E$5:$E$180=$B59)*Inputs!$F$5:$F$180*(((Inputs!$G$5:$G$180="moeda")+(Inputs!$G$5:$G$180="acoes"))*Inputs!$B$1+((Inputs!$G$5:$G$180&lt;&gt;"moeda")*(Inputs!$G$5:$G$180&lt;&gt;"acoes")))*INDEX(Inputs!$K$5:$AJ$180,0,MATCH(U$2,Inputs!$K$4:$AJ$4,0)))))</f>
        <v>-134.50524184</v>
      </c>
      <c r="V59" s="264">
        <f>IF(ISNA(MATCH(V$2,Inputs!$K$4:$AJ$4,0)),NA(),IF(SUMPRODUCT((Inputs!$A$5:$A$180=$B59)*ISNUMBER(INDEX(Inputs!$K$5:$AJ$180,0,MATCH(V$2,Inputs!$K$4:$AJ$4,0))))+SUMPRODUCT((Inputs!$C$5:$C$180=$B59)*ISNUMBER(INDEX(Inputs!$K$5:$AJ$180,0,MATCH(V$2,Inputs!$K$4:$AJ$4,0))))+SUMPRODUCT((Inputs!$E$5:$E$180=$B59)*ISNUMBER(INDEX(Inputs!$K$5:$AJ$180,0,MATCH(V$2,Inputs!$K$4:$AJ$4,0))))=0,NA(),SUMPRODUCT((Inputs!$A$5:$A$180=$B59)*Inputs!$B$5:$B$180*(((Inputs!$G$5:$G$180="moeda")+(Inputs!$G$5:$G$180="acoes"))*Inputs!$B$1+((Inputs!$G$5:$G$180&lt;&gt;"moeda")*(Inputs!$G$5:$G$180&lt;&gt;"acoes")))*INDEX(Inputs!$K$5:$AJ$180,0,MATCH(V$2,Inputs!$K$4:$AJ$4,0)))+SUMPRODUCT((Inputs!$C$5:$C$180=$B59)*Inputs!$D$5:$D$180*(((Inputs!$G$5:$G$180="moeda")+(Inputs!$G$5:$G$180="acoes"))*Inputs!$B$1+((Inputs!$G$5:$G$180&lt;&gt;"moeda")*(Inputs!$G$5:$G$180&lt;&gt;"acoes")))*INDEX(Inputs!$K$5:$AJ$180,0,MATCH(V$2,Inputs!$K$4:$AJ$4,0)))+SUMPRODUCT((Inputs!$E$5:$E$180=$B59)*Inputs!$F$5:$F$180*(((Inputs!$G$5:$G$180="moeda")+(Inputs!$G$5:$G$180="acoes"))*Inputs!$B$1+((Inputs!$G$5:$G$180&lt;&gt;"moeda")*(Inputs!$G$5:$G$180&lt;&gt;"acoes")))*INDEX(Inputs!$K$5:$AJ$180,0,MATCH(V$2,Inputs!$K$4:$AJ$4,0)))))</f>
        <v>-249.08732005</v>
      </c>
      <c r="W59" s="265">
        <f>SUM(S59:V59)</f>
        <v>-694.13328137</v>
      </c>
      <c r="X59" s="264">
        <f>IF(ISNA(MATCH(X$2,Inputs!$K$4:$AJ$4,0)),NA(),IF(SUMPRODUCT((Inputs!$A$5:$A$180=$B59)*ISNUMBER(INDEX(Inputs!$K$5:$AJ$180,0,MATCH(X$2,Inputs!$K$4:$AJ$4,0))))+SUMPRODUCT((Inputs!$C$5:$C$180=$B59)*ISNUMBER(INDEX(Inputs!$K$5:$AJ$180,0,MATCH(X$2,Inputs!$K$4:$AJ$4,0))))+SUMPRODUCT((Inputs!$E$5:$E$180=$B59)*ISNUMBER(INDEX(Inputs!$K$5:$AJ$180,0,MATCH(X$2,Inputs!$K$4:$AJ$4,0))))=0,NA(),SUMPRODUCT((Inputs!$A$5:$A$180=$B59)*Inputs!$B$5:$B$180*(((Inputs!$G$5:$G$180="moeda")+(Inputs!$G$5:$G$180="acoes"))*Inputs!$B$1+((Inputs!$G$5:$G$180&lt;&gt;"moeda")*(Inputs!$G$5:$G$180&lt;&gt;"acoes")))*INDEX(Inputs!$K$5:$AJ$180,0,MATCH(X$2,Inputs!$K$4:$AJ$4,0)))+SUMPRODUCT((Inputs!$C$5:$C$180=$B59)*Inputs!$D$5:$D$180*(((Inputs!$G$5:$G$180="moeda")+(Inputs!$G$5:$G$180="acoes"))*Inputs!$B$1+((Inputs!$G$5:$G$180&lt;&gt;"moeda")*(Inputs!$G$5:$G$180&lt;&gt;"acoes")))*INDEX(Inputs!$K$5:$AJ$180,0,MATCH(X$2,Inputs!$K$4:$AJ$4,0)))+SUMPRODUCT((Inputs!$E$5:$E$180=$B59)*Inputs!$F$5:$F$180*(((Inputs!$G$5:$G$180="moeda")+(Inputs!$G$5:$G$180="acoes"))*Inputs!$B$1+((Inputs!$G$5:$G$180&lt;&gt;"moeda")*(Inputs!$G$5:$G$180&lt;&gt;"acoes")))*INDEX(Inputs!$K$5:$AJ$180,0,MATCH(X$2,Inputs!$K$4:$AJ$4,0)))))</f>
        <v>-123.41105658</v>
      </c>
      <c r="Y59" s="264">
        <f>IF(ISNA(MATCH(Y$2,Inputs!$K$4:$AJ$4,0)),NA(),IF(SUMPRODUCT((Inputs!$A$5:$A$180=$B59)*ISNUMBER(INDEX(Inputs!$K$5:$AJ$180,0,MATCH(Y$2,Inputs!$K$4:$AJ$4,0))))+SUMPRODUCT((Inputs!$C$5:$C$180=$B59)*ISNUMBER(INDEX(Inputs!$K$5:$AJ$180,0,MATCH(Y$2,Inputs!$K$4:$AJ$4,0))))+SUMPRODUCT((Inputs!$E$5:$E$180=$B59)*ISNUMBER(INDEX(Inputs!$K$5:$AJ$180,0,MATCH(Y$2,Inputs!$K$4:$AJ$4,0))))=0,NA(),SUMPRODUCT((Inputs!$A$5:$A$180=$B59)*Inputs!$B$5:$B$180*(((Inputs!$G$5:$G$180="moeda")+(Inputs!$G$5:$G$180="acoes"))*Inputs!$B$1+((Inputs!$G$5:$G$180&lt;&gt;"moeda")*(Inputs!$G$5:$G$180&lt;&gt;"acoes")))*INDEX(Inputs!$K$5:$AJ$180,0,MATCH(Y$2,Inputs!$K$4:$AJ$4,0)))+SUMPRODUCT((Inputs!$C$5:$C$180=$B59)*Inputs!$D$5:$D$180*(((Inputs!$G$5:$G$180="moeda")+(Inputs!$G$5:$G$180="acoes"))*Inputs!$B$1+((Inputs!$G$5:$G$180&lt;&gt;"moeda")*(Inputs!$G$5:$G$180&lt;&gt;"acoes")))*INDEX(Inputs!$K$5:$AJ$180,0,MATCH(Y$2,Inputs!$K$4:$AJ$4,0)))+SUMPRODUCT((Inputs!$E$5:$E$180=$B59)*Inputs!$F$5:$F$180*(((Inputs!$G$5:$G$180="moeda")+(Inputs!$G$5:$G$180="acoes"))*Inputs!$B$1+((Inputs!$G$5:$G$180&lt;&gt;"moeda")*(Inputs!$G$5:$G$180&lt;&gt;"acoes")))*INDEX(Inputs!$K$5:$AJ$180,0,MATCH(Y$2,Inputs!$K$4:$AJ$4,0)))))</f>
        <v>-208.6865</v>
      </c>
      <c r="Z59" s="264">
        <f>IF(ISNA(MATCH(Z$2,Inputs!$K$4:$AJ$4,0)),NA(),IF(SUMPRODUCT((Inputs!$A$5:$A$180=$B59)*ISNUMBER(INDEX(Inputs!$K$5:$AJ$180,0,MATCH(Z$2,Inputs!$K$4:$AJ$4,0))))+SUMPRODUCT((Inputs!$C$5:$C$180=$B59)*ISNUMBER(INDEX(Inputs!$K$5:$AJ$180,0,MATCH(Z$2,Inputs!$K$4:$AJ$4,0))))+SUMPRODUCT((Inputs!$E$5:$E$180=$B59)*ISNUMBER(INDEX(Inputs!$K$5:$AJ$180,0,MATCH(Z$2,Inputs!$K$4:$AJ$4,0))))=0,NA(),SUMPRODUCT((Inputs!$A$5:$A$180=$B59)*Inputs!$B$5:$B$180*(((Inputs!$G$5:$G$180="moeda")+(Inputs!$G$5:$G$180="acoes"))*Inputs!$B$1+((Inputs!$G$5:$G$180&lt;&gt;"moeda")*(Inputs!$G$5:$G$180&lt;&gt;"acoes")))*INDEX(Inputs!$K$5:$AJ$180,0,MATCH(Z$2,Inputs!$K$4:$AJ$4,0)))+SUMPRODUCT((Inputs!$C$5:$C$180=$B59)*Inputs!$D$5:$D$180*(((Inputs!$G$5:$G$180="moeda")+(Inputs!$G$5:$G$180="acoes"))*Inputs!$B$1+((Inputs!$G$5:$G$180&lt;&gt;"moeda")*(Inputs!$G$5:$G$180&lt;&gt;"acoes")))*INDEX(Inputs!$K$5:$AJ$180,0,MATCH(Z$2,Inputs!$K$4:$AJ$4,0)))+SUMPRODUCT((Inputs!$E$5:$E$180=$B59)*Inputs!$F$5:$F$180*(((Inputs!$G$5:$G$180="moeda")+(Inputs!$G$5:$G$180="acoes"))*Inputs!$B$1+((Inputs!$G$5:$G$180&lt;&gt;"moeda")*(Inputs!$G$5:$G$180&lt;&gt;"acoes")))*INDEX(Inputs!$K$5:$AJ$180,0,MATCH(Z$2,Inputs!$K$4:$AJ$4,0)))))</f>
        <v>-140.93047238</v>
      </c>
      <c r="AA59" s="264">
        <f>IF(ISNA(MATCH(AA$2,Inputs!$K$4:$AJ$4,0)),NA(),IF(SUMPRODUCT((Inputs!$A$5:$A$180=$B59)*ISNUMBER(INDEX(Inputs!$K$5:$AJ$180,0,MATCH(AA$2,Inputs!$K$4:$AJ$4,0))))+SUMPRODUCT((Inputs!$C$5:$C$180=$B59)*ISNUMBER(INDEX(Inputs!$K$5:$AJ$180,0,MATCH(AA$2,Inputs!$K$4:$AJ$4,0))))+SUMPRODUCT((Inputs!$E$5:$E$180=$B59)*ISNUMBER(INDEX(Inputs!$K$5:$AJ$180,0,MATCH(AA$2,Inputs!$K$4:$AJ$4,0))))=0,NA(),SUMPRODUCT((Inputs!$A$5:$A$180=$B59)*Inputs!$B$5:$B$180*(((Inputs!$G$5:$G$180="moeda")+(Inputs!$G$5:$G$180="acoes"))*Inputs!$B$1+((Inputs!$G$5:$G$180&lt;&gt;"moeda")*(Inputs!$G$5:$G$180&lt;&gt;"acoes")))*INDEX(Inputs!$K$5:$AJ$180,0,MATCH(AA$2,Inputs!$K$4:$AJ$4,0)))+SUMPRODUCT((Inputs!$C$5:$C$180=$B59)*Inputs!$D$5:$D$180*(((Inputs!$G$5:$G$180="moeda")+(Inputs!$G$5:$G$180="acoes"))*Inputs!$B$1+((Inputs!$G$5:$G$180&lt;&gt;"moeda")*(Inputs!$G$5:$G$180&lt;&gt;"acoes")))*INDEX(Inputs!$K$5:$AJ$180,0,MATCH(AA$2,Inputs!$K$4:$AJ$4,0)))+SUMPRODUCT((Inputs!$E$5:$E$180=$B59)*Inputs!$F$5:$F$180*(((Inputs!$G$5:$G$180="moeda")+(Inputs!$G$5:$G$180="acoes"))*Inputs!$B$1+((Inputs!$G$5:$G$180&lt;&gt;"moeda")*(Inputs!$G$5:$G$180&lt;&gt;"acoes")))*INDEX(Inputs!$K$5:$AJ$180,0,MATCH(AA$2,Inputs!$K$4:$AJ$4,0)))))</f>
        <v>-301.690674</v>
      </c>
      <c r="AB59" s="265">
        <f>SUM(X59:AA59)</f>
        <v>-774.71870296</v>
      </c>
      <c r="AC59" s="264">
        <f>IF(ISNA(MATCH(AC$2,Inputs!$K$4:$AJ$4,0)),NA(),IF(SUMPRODUCT((Inputs!$A$5:$A$180=$B59)*ISNUMBER(INDEX(Inputs!$K$5:$AJ$180,0,MATCH(AC$2,Inputs!$K$4:$AJ$4,0))))+SUMPRODUCT((Inputs!$C$5:$C$180=$B59)*ISNUMBER(INDEX(Inputs!$K$5:$AJ$180,0,MATCH(AC$2,Inputs!$K$4:$AJ$4,0))))+SUMPRODUCT((Inputs!$E$5:$E$180=$B59)*ISNUMBER(INDEX(Inputs!$K$5:$AJ$180,0,MATCH(AC$2,Inputs!$K$4:$AJ$4,0))))=0,NA(),SUMPRODUCT((Inputs!$A$5:$A$180=$B59)*Inputs!$B$5:$B$180*(((Inputs!$G$5:$G$180="moeda")+(Inputs!$G$5:$G$180="acoes"))*Inputs!$B$1+((Inputs!$G$5:$G$180&lt;&gt;"moeda")*(Inputs!$G$5:$G$180&lt;&gt;"acoes")))*INDEX(Inputs!$K$5:$AJ$180,0,MATCH(AC$2,Inputs!$K$4:$AJ$4,0)))+SUMPRODUCT((Inputs!$C$5:$C$180=$B59)*Inputs!$D$5:$D$180*(((Inputs!$G$5:$G$180="moeda")+(Inputs!$G$5:$G$180="acoes"))*Inputs!$B$1+((Inputs!$G$5:$G$180&lt;&gt;"moeda")*(Inputs!$G$5:$G$180&lt;&gt;"acoes")))*INDEX(Inputs!$K$5:$AJ$180,0,MATCH(AC$2,Inputs!$K$4:$AJ$4,0)))+SUMPRODUCT((Inputs!$E$5:$E$180=$B59)*Inputs!$F$5:$F$180*(((Inputs!$G$5:$G$180="moeda")+(Inputs!$G$5:$G$180="acoes"))*Inputs!$B$1+((Inputs!$G$5:$G$180&lt;&gt;"moeda")*(Inputs!$G$5:$G$180&lt;&gt;"acoes")))*INDEX(Inputs!$K$5:$AJ$180,0,MATCH(AC$2,Inputs!$K$4:$AJ$4,0)))))</f>
        <v>-156.24075604</v>
      </c>
      <c r="AD59" s="264">
        <f>IF(ISNA(MATCH(AD$2,Inputs!$K$4:$AJ$4,0)),NA(),IF(SUMPRODUCT((Inputs!$A$5:$A$180=$B59)*ISNUMBER(INDEX(Inputs!$K$5:$AJ$180,0,MATCH(AD$2,Inputs!$K$4:$AJ$4,0))))+SUMPRODUCT((Inputs!$C$5:$C$180=$B59)*ISNUMBER(INDEX(Inputs!$K$5:$AJ$180,0,MATCH(AD$2,Inputs!$K$4:$AJ$4,0))))+SUMPRODUCT((Inputs!$E$5:$E$180=$B59)*ISNUMBER(INDEX(Inputs!$K$5:$AJ$180,0,MATCH(AD$2,Inputs!$K$4:$AJ$4,0))))=0,NA(),SUMPRODUCT((Inputs!$A$5:$A$180=$B59)*Inputs!$B$5:$B$180*(((Inputs!$G$5:$G$180="moeda")+(Inputs!$G$5:$G$180="acoes"))*Inputs!$B$1+((Inputs!$G$5:$G$180&lt;&gt;"moeda")*(Inputs!$G$5:$G$180&lt;&gt;"acoes")))*INDEX(Inputs!$K$5:$AJ$180,0,MATCH(AD$2,Inputs!$K$4:$AJ$4,0)))+SUMPRODUCT((Inputs!$C$5:$C$180=$B59)*Inputs!$D$5:$D$180*(((Inputs!$G$5:$G$180="moeda")+(Inputs!$G$5:$G$180="acoes"))*Inputs!$B$1+((Inputs!$G$5:$G$180&lt;&gt;"moeda")*(Inputs!$G$5:$G$180&lt;&gt;"acoes")))*INDEX(Inputs!$K$5:$AJ$180,0,MATCH(AD$2,Inputs!$K$4:$AJ$4,0)))+SUMPRODUCT((Inputs!$E$5:$E$180=$B59)*Inputs!$F$5:$F$180*(((Inputs!$G$5:$G$180="moeda")+(Inputs!$G$5:$G$180="acoes"))*Inputs!$B$1+((Inputs!$G$5:$G$180&lt;&gt;"moeda")*(Inputs!$G$5:$G$180&lt;&gt;"acoes")))*INDEX(Inputs!$K$5:$AJ$180,0,MATCH(AD$2,Inputs!$K$4:$AJ$4,0)))))</f>
        <v>-238.32055088</v>
      </c>
      <c r="AE59" s="264" t="e">
        <f>IF(ISNA(MATCH(AE$2,Inputs!$K$4:$AJ$4,0)),NA(),IF(SUMPRODUCT((Inputs!$A$5:$A$180=$B59)*ISNUMBER(INDEX(Inputs!$K$5:$AJ$180,0,MATCH(AE$2,Inputs!$K$4:$AJ$4,0))))+SUMPRODUCT((Inputs!$C$5:$C$180=$B59)*ISNUMBER(INDEX(Inputs!$K$5:$AJ$180,0,MATCH(AE$2,Inputs!$K$4:$AJ$4,0))))+SUMPRODUCT((Inputs!$E$5:$E$180=$B59)*ISNUMBER(INDEX(Inputs!$K$5:$AJ$180,0,MATCH(AE$2,Inputs!$K$4:$AJ$4,0))))=0,NA(),SUMPRODUCT((Inputs!$A$5:$A$180=$B59)*Inputs!$B$5:$B$180*(((Inputs!$G$5:$G$180="moeda")+(Inputs!$G$5:$G$180="acoes"))*Inputs!$B$1+((Inputs!$G$5:$G$180&lt;&gt;"moeda")*(Inputs!$G$5:$G$180&lt;&gt;"acoes")))*INDEX(Inputs!$K$5:$AJ$180,0,MATCH(AE$2,Inputs!$K$4:$AJ$4,0)))+SUMPRODUCT((Inputs!$C$5:$C$180=$B59)*Inputs!$D$5:$D$180*(((Inputs!$G$5:$G$180="moeda")+(Inputs!$G$5:$G$180="acoes"))*Inputs!$B$1+((Inputs!$G$5:$G$180&lt;&gt;"moeda")*(Inputs!$G$5:$G$180&lt;&gt;"acoes")))*INDEX(Inputs!$K$5:$AJ$180,0,MATCH(AE$2,Inputs!$K$4:$AJ$4,0)))+SUMPRODUCT((Inputs!$E$5:$E$180=$B59)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9" s="264" t="e">
        <f>IF(ISNA(MATCH(AF$2,Inputs!$K$4:$AJ$4,0)),NA(),IF(SUMPRODUCT((Inputs!$A$5:$A$180=$B59)*ISNUMBER(INDEX(Inputs!$K$5:$AJ$180,0,MATCH(AF$2,Inputs!$K$4:$AJ$4,0))))+SUMPRODUCT((Inputs!$C$5:$C$180=$B59)*ISNUMBER(INDEX(Inputs!$K$5:$AJ$180,0,MATCH(AF$2,Inputs!$K$4:$AJ$4,0))))+SUMPRODUCT((Inputs!$E$5:$E$180=$B59)*ISNUMBER(INDEX(Inputs!$K$5:$AJ$180,0,MATCH(AF$2,Inputs!$K$4:$AJ$4,0))))=0,NA(),SUMPRODUCT((Inputs!$A$5:$A$180=$B59)*Inputs!$B$5:$B$180*(((Inputs!$G$5:$G$180="moeda")+(Inputs!$G$5:$G$180="acoes"))*Inputs!$B$1+((Inputs!$G$5:$G$180&lt;&gt;"moeda")*(Inputs!$G$5:$G$180&lt;&gt;"acoes")))*INDEX(Inputs!$K$5:$AJ$180,0,MATCH(AF$2,Inputs!$K$4:$AJ$4,0)))+SUMPRODUCT((Inputs!$C$5:$C$180=$B59)*Inputs!$D$5:$D$180*(((Inputs!$G$5:$G$180="moeda")+(Inputs!$G$5:$G$180="acoes"))*Inputs!$B$1+((Inputs!$G$5:$G$180&lt;&gt;"moeda")*(Inputs!$G$5:$G$180&lt;&gt;"acoes")))*INDEX(Inputs!$K$5:$AJ$180,0,MATCH(AF$2,Inputs!$K$4:$AJ$4,0)))+SUMPRODUCT((Inputs!$E$5:$E$180=$B59)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9" s="265" t="e">
        <f>SUM(AC59:AF59)</f>
        <v>#N/A</v>
      </c>
      <c r="AH59" s="264">
        <f>IF(ISNA(MATCH(AH$2,Inputs!$K$4:$AJ$4,0)),NA(),IF(SUMPRODUCT((Inputs!$A$5:$A$180=$B59)*ISNUMBER(INDEX(Inputs!$K$5:$AJ$180,0,MATCH(AH$2,Inputs!$K$4:$AJ$4,0))))+SUMPRODUCT((Inputs!$C$5:$C$180=$B59)*ISNUMBER(INDEX(Inputs!$K$5:$AJ$180,0,MATCH(AH$2,Inputs!$K$4:$AJ$4,0))))+SUMPRODUCT((Inputs!$E$5:$E$180=$B59)*ISNUMBER(INDEX(Inputs!$K$5:$AJ$180,0,MATCH(AH$2,Inputs!$K$4:$AJ$4,0))))=0,NA(),SUMPRODUCT((Inputs!$A$5:$A$180=$B59)*Inputs!$B$5:$B$180*(((Inputs!$G$5:$G$180="moeda")+(Inputs!$G$5:$G$180="acoes"))*Inputs!$B$1+((Inputs!$G$5:$G$180&lt;&gt;"moeda")*(Inputs!$G$5:$G$180&lt;&gt;"acoes")))*INDEX(Inputs!$K$5:$AJ$180,0,MATCH(AH$2,Inputs!$K$4:$AJ$4,0)))+SUMPRODUCT((Inputs!$C$5:$C$180=$B59)*Inputs!$D$5:$D$180*(((Inputs!$G$5:$G$180="moeda")+(Inputs!$G$5:$G$180="acoes"))*Inputs!$B$1+((Inputs!$G$5:$G$180&lt;&gt;"moeda")*(Inputs!$G$5:$G$180&lt;&gt;"acoes")))*INDEX(Inputs!$K$5:$AJ$180,0,MATCH(AH$2,Inputs!$K$4:$AJ$4,0)))+SUMPRODUCT((Inputs!$E$5:$E$180=$B59)*Inputs!$F$5:$F$180*(((Inputs!$G$5:$G$180="moeda")+(Inputs!$G$5:$G$180="acoes"))*Inputs!$B$1+((Inputs!$G$5:$G$180&lt;&gt;"moeda")*(Inputs!$G$5:$G$180&lt;&gt;"acoes")))*INDEX(Inputs!$K$5:$AJ$180,0,MATCH(AH$2,Inputs!$K$4:$AJ$4,0)))))</f>
        <v>-57.59788445</v>
      </c>
      <c r="AI59" s="264">
        <f>IF(ISNA(MATCH(AI$2,Inputs!$K$4:$AJ$4,0)),NA(),IF(SUMPRODUCT((Inputs!$A$5:$A$180=$B59)*ISNUMBER(INDEX(Inputs!$K$5:$AJ$180,0,MATCH(AI$2,Inputs!$K$4:$AJ$4,0))))+SUMPRODUCT((Inputs!$C$5:$C$180=$B59)*ISNUMBER(INDEX(Inputs!$K$5:$AJ$180,0,MATCH(AI$2,Inputs!$K$4:$AJ$4,0))))+SUMPRODUCT((Inputs!$E$5:$E$180=$B59)*ISNUMBER(INDEX(Inputs!$K$5:$AJ$180,0,MATCH(AI$2,Inputs!$K$4:$AJ$4,0))))=0,NA(),SUMPRODUCT((Inputs!$A$5:$A$180=$B59)*Inputs!$B$5:$B$180*(((Inputs!$G$5:$G$180="moeda")+(Inputs!$G$5:$G$180="acoes"))*Inputs!$B$1+((Inputs!$G$5:$G$180&lt;&gt;"moeda")*(Inputs!$G$5:$G$180&lt;&gt;"acoes")))*INDEX(Inputs!$K$5:$AJ$180,0,MATCH(AI$2,Inputs!$K$4:$AJ$4,0)))+SUMPRODUCT((Inputs!$C$5:$C$180=$B59)*Inputs!$D$5:$D$180*(((Inputs!$G$5:$G$180="moeda")+(Inputs!$G$5:$G$180="acoes"))*Inputs!$B$1+((Inputs!$G$5:$G$180&lt;&gt;"moeda")*(Inputs!$G$5:$G$180&lt;&gt;"acoes")))*INDEX(Inputs!$K$5:$AJ$180,0,MATCH(AI$2,Inputs!$K$4:$AJ$4,0)))+SUMPRODUCT((Inputs!$E$5:$E$180=$B59)*Inputs!$F$5:$F$180*(((Inputs!$G$5:$G$180="moeda")+(Inputs!$G$5:$G$180="acoes"))*Inputs!$B$1+((Inputs!$G$5:$G$180&lt;&gt;"moeda")*(Inputs!$G$5:$G$180&lt;&gt;"acoes")))*INDEX(Inputs!$K$5:$AJ$180,0,MATCH(AI$2,Inputs!$K$4:$AJ$4,0)))))</f>
        <v>-32.04986741</v>
      </c>
      <c r="AJ59" s="264">
        <f>IF(ISNA(MATCH(AJ$2,Inputs!$K$4:$AJ$4,0)),NA(),IF(SUMPRODUCT((Inputs!$A$5:$A$180=$B59)*ISNUMBER(INDEX(Inputs!$K$5:$AJ$180,0,MATCH(AJ$2,Inputs!$K$4:$AJ$4,0))))+SUMPRODUCT((Inputs!$C$5:$C$180=$B59)*ISNUMBER(INDEX(Inputs!$K$5:$AJ$180,0,MATCH(AJ$2,Inputs!$K$4:$AJ$4,0))))+SUMPRODUCT((Inputs!$E$5:$E$180=$B59)*ISNUMBER(INDEX(Inputs!$K$5:$AJ$180,0,MATCH(AJ$2,Inputs!$K$4:$AJ$4,0))))=0,NA(),SUMPRODUCT((Inputs!$A$5:$A$180=$B59)*Inputs!$B$5:$B$180*(((Inputs!$G$5:$G$180="moeda")+(Inputs!$G$5:$G$180="acoes"))*Inputs!$B$1+((Inputs!$G$5:$G$180&lt;&gt;"moeda")*(Inputs!$G$5:$G$180&lt;&gt;"acoes")))*INDEX(Inputs!$K$5:$AJ$180,0,MATCH(AJ$2,Inputs!$K$4:$AJ$4,0)))+SUMPRODUCT((Inputs!$C$5:$C$180=$B59)*Inputs!$D$5:$D$180*(((Inputs!$G$5:$G$180="moeda")+(Inputs!$G$5:$G$180="acoes"))*Inputs!$B$1+((Inputs!$G$5:$G$180&lt;&gt;"moeda")*(Inputs!$G$5:$G$180&lt;&gt;"acoes")))*INDEX(Inputs!$K$5:$AJ$180,0,MATCH(AJ$2,Inputs!$K$4:$AJ$4,0)))+SUMPRODUCT((Inputs!$E$5:$E$180=$B59)*Inputs!$F$5:$F$180*(((Inputs!$G$5:$G$180="moeda")+(Inputs!$G$5:$G$180="acoes"))*Inputs!$B$1+((Inputs!$G$5:$G$180&lt;&gt;"moeda")*(Inputs!$G$5:$G$180&lt;&gt;"acoes")))*INDEX(Inputs!$K$5:$AJ$180,0,MATCH(AJ$2,Inputs!$K$4:$AJ$4,0)))))</f>
        <v>-65.43003305</v>
      </c>
      <c r="AK59" s="264">
        <f>IF(ISNA(MATCH(AK$2,Inputs!$K$4:$AJ$4,0)),NA(),IF(SUMPRODUCT((Inputs!$A$5:$A$180=$B59)*ISNUMBER(INDEX(Inputs!$K$5:$AJ$180,0,MATCH(AK$2,Inputs!$K$4:$AJ$4,0))))+SUMPRODUCT((Inputs!$C$5:$C$180=$B59)*ISNUMBER(INDEX(Inputs!$K$5:$AJ$180,0,MATCH(AK$2,Inputs!$K$4:$AJ$4,0))))+SUMPRODUCT((Inputs!$E$5:$E$180=$B59)*ISNUMBER(INDEX(Inputs!$K$5:$AJ$180,0,MATCH(AK$2,Inputs!$K$4:$AJ$4,0))))=0,NA(),SUMPRODUCT((Inputs!$A$5:$A$180=$B59)*Inputs!$B$5:$B$180*(((Inputs!$G$5:$G$180="moeda")+(Inputs!$G$5:$G$180="acoes"))*Inputs!$B$1+((Inputs!$G$5:$G$180&lt;&gt;"moeda")*(Inputs!$G$5:$G$180&lt;&gt;"acoes")))*INDEX(Inputs!$K$5:$AJ$180,0,MATCH(AK$2,Inputs!$K$4:$AJ$4,0)))+SUMPRODUCT((Inputs!$C$5:$C$180=$B59)*Inputs!$D$5:$D$180*(((Inputs!$G$5:$G$180="moeda")+(Inputs!$G$5:$G$180="acoes"))*Inputs!$B$1+((Inputs!$G$5:$G$180&lt;&gt;"moeda")*(Inputs!$G$5:$G$180&lt;&gt;"acoes")))*INDEX(Inputs!$K$5:$AJ$180,0,MATCH(AK$2,Inputs!$K$4:$AJ$4,0)))+SUMPRODUCT((Inputs!$E$5:$E$180=$B59)*Inputs!$F$5:$F$180*(((Inputs!$G$5:$G$180="moeda")+(Inputs!$G$5:$G$180="acoes"))*Inputs!$B$1+((Inputs!$G$5:$G$180&lt;&gt;"moeda")*(Inputs!$G$5:$G$180&lt;&gt;"acoes")))*INDEX(Inputs!$K$5:$AJ$180,0,MATCH(AK$2,Inputs!$K$4:$AJ$4,0)))))</f>
        <v>-135.51703939</v>
      </c>
      <c r="AL59" s="265">
        <f>SUM(AH59:AK59)</f>
        <v>-290.5948243</v>
      </c>
    </row>
    <row r="60">
      <c r="B60" s="46" t="n">
        <v>52</v>
      </c>
      <c r="C60" s="29" t="inlineStr">
        <is>
          <t>Numero de lojas Vivara - fim do periodo (l.10)</t>
        </is>
      </c>
      <c r="D60" s="266">
        <f>IF(ISNA(MATCH(D$2,Inputs!$K$4:$AJ$4,0)),NA(),IF(SUMPRODUCT((Inputs!$A$5:$A$180=$B60)*ISNUMBER(INDEX(Inputs!$K$5:$AJ$180,0,MATCH(D$2,Inputs!$K$4:$AJ$4,0))))+SUMPRODUCT((Inputs!$C$5:$C$180=$B60)*ISNUMBER(INDEX(Inputs!$K$5:$AJ$180,0,MATCH(D$2,Inputs!$K$4:$AJ$4,0))))+SUMPRODUCT((Inputs!$E$5:$E$180=$B60)*ISNUMBER(INDEX(Inputs!$K$5:$AJ$180,0,MATCH(D$2,Inputs!$K$4:$AJ$4,0))))=0,NA(),SUMPRODUCT((Inputs!$A$5:$A$180=$B60)*Inputs!$B$5:$B$180*(((Inputs!$G$5:$G$180="moeda")+(Inputs!$G$5:$G$180="acoes"))*Inputs!$B$1+((Inputs!$G$5:$G$180&lt;&gt;"moeda")*(Inputs!$G$5:$G$180&lt;&gt;"acoes")))*INDEX(Inputs!$K$5:$AJ$180,0,MATCH(D$2,Inputs!$K$4:$AJ$4,0)))+SUMPRODUCT((Inputs!$C$5:$C$180=$B60)*Inputs!$D$5:$D$180*(((Inputs!$G$5:$G$180="moeda")+(Inputs!$G$5:$G$180="acoes"))*Inputs!$B$1+((Inputs!$G$5:$G$180&lt;&gt;"moeda")*(Inputs!$G$5:$G$180&lt;&gt;"acoes")))*INDEX(Inputs!$K$5:$AJ$180,0,MATCH(D$2,Inputs!$K$4:$AJ$4,0)))+SUMPRODUCT((Inputs!$E$5:$E$180=$B60)*Inputs!$F$5:$F$180*(((Inputs!$G$5:$G$180="moeda")+(Inputs!$G$5:$G$180="acoes"))*Inputs!$B$1+((Inputs!$G$5:$G$180&lt;&gt;"moeda")*(Inputs!$G$5:$G$180&lt;&gt;"acoes")))*INDEX(Inputs!$K$5:$AJ$180,0,MATCH(D$2,Inputs!$K$4:$AJ$4,0)))))</f>
        <v>208</v>
      </c>
      <c r="E60" s="266">
        <f>IF(ISNA(MATCH(E$2,Inputs!$K$4:$AJ$4,0)),NA(),IF(SUMPRODUCT((Inputs!$A$5:$A$180=$B60)*ISNUMBER(INDEX(Inputs!$K$5:$AJ$180,0,MATCH(E$2,Inputs!$K$4:$AJ$4,0))))+SUMPRODUCT((Inputs!$C$5:$C$180=$B60)*ISNUMBER(INDEX(Inputs!$K$5:$AJ$180,0,MATCH(E$2,Inputs!$K$4:$AJ$4,0))))+SUMPRODUCT((Inputs!$E$5:$E$180=$B60)*ISNUMBER(INDEX(Inputs!$K$5:$AJ$180,0,MATCH(E$2,Inputs!$K$4:$AJ$4,0))))=0,NA(),SUMPRODUCT((Inputs!$A$5:$A$180=$B60)*Inputs!$B$5:$B$180*(((Inputs!$G$5:$G$180="moeda")+(Inputs!$G$5:$G$180="acoes"))*Inputs!$B$1+((Inputs!$G$5:$G$180&lt;&gt;"moeda")*(Inputs!$G$5:$G$180&lt;&gt;"acoes")))*INDEX(Inputs!$K$5:$AJ$180,0,MATCH(E$2,Inputs!$K$4:$AJ$4,0)))+SUMPRODUCT((Inputs!$C$5:$C$180=$B60)*Inputs!$D$5:$D$180*(((Inputs!$G$5:$G$180="moeda")+(Inputs!$G$5:$G$180="acoes"))*Inputs!$B$1+((Inputs!$G$5:$G$180&lt;&gt;"moeda")*(Inputs!$G$5:$G$180&lt;&gt;"acoes")))*INDEX(Inputs!$K$5:$AJ$180,0,MATCH(E$2,Inputs!$K$4:$AJ$4,0)))+SUMPRODUCT((Inputs!$E$5:$E$180=$B60)*Inputs!$F$5:$F$180*(((Inputs!$G$5:$G$180="moeda")+(Inputs!$G$5:$G$180="acoes"))*Inputs!$B$1+((Inputs!$G$5:$G$180&lt;&gt;"moeda")*(Inputs!$G$5:$G$180&lt;&gt;"acoes")))*INDEX(Inputs!$K$5:$AJ$180,0,MATCH(E$2,Inputs!$K$4:$AJ$4,0)))))</f>
        <v>221</v>
      </c>
      <c r="F60" s="266">
        <f>IF(ISNA(MATCH(F$2,Inputs!$K$4:$AJ$4,0)),NA(),IF(SUMPRODUCT((Inputs!$A$5:$A$180=$B60)*ISNUMBER(INDEX(Inputs!$K$5:$AJ$180,0,MATCH(F$2,Inputs!$K$4:$AJ$4,0))))+SUMPRODUCT((Inputs!$C$5:$C$180=$B60)*ISNUMBER(INDEX(Inputs!$K$5:$AJ$180,0,MATCH(F$2,Inputs!$K$4:$AJ$4,0))))+SUMPRODUCT((Inputs!$E$5:$E$180=$B60)*ISNUMBER(INDEX(Inputs!$K$5:$AJ$180,0,MATCH(F$2,Inputs!$K$4:$AJ$4,0))))=0,NA(),SUMPRODUCT((Inputs!$A$5:$A$180=$B60)*Inputs!$B$5:$B$180*(((Inputs!$G$5:$G$180="moeda")+(Inputs!$G$5:$G$180="acoes"))*Inputs!$B$1+((Inputs!$G$5:$G$180&lt;&gt;"moeda")*(Inputs!$G$5:$G$180&lt;&gt;"acoes")))*INDEX(Inputs!$K$5:$AJ$180,0,MATCH(F$2,Inputs!$K$4:$AJ$4,0)))+SUMPRODUCT((Inputs!$C$5:$C$180=$B60)*Inputs!$D$5:$D$180*(((Inputs!$G$5:$G$180="moeda")+(Inputs!$G$5:$G$180="acoes"))*Inputs!$B$1+((Inputs!$G$5:$G$180&lt;&gt;"moeda")*(Inputs!$G$5:$G$180&lt;&gt;"acoes")))*INDEX(Inputs!$K$5:$AJ$180,0,MATCH(F$2,Inputs!$K$4:$AJ$4,0)))+SUMPRODUCT((Inputs!$E$5:$E$180=$B60)*Inputs!$F$5:$F$180*(((Inputs!$G$5:$G$180="moeda")+(Inputs!$G$5:$G$180="acoes"))*Inputs!$B$1+((Inputs!$G$5:$G$180&lt;&gt;"moeda")*(Inputs!$G$5:$G$180&lt;&gt;"acoes")))*INDEX(Inputs!$K$5:$AJ$180,0,MATCH(F$2,Inputs!$K$4:$AJ$4,0)))))</f>
        <v>227</v>
      </c>
      <c r="G60" s="266">
        <f>IF(ISNA(MATCH(G$2,Inputs!$K$4:$AJ$4,0)),NA(),IF(SUMPRODUCT((Inputs!$A$5:$A$180=$B60)*ISNUMBER(INDEX(Inputs!$K$5:$AJ$180,0,MATCH(G$2,Inputs!$K$4:$AJ$4,0))))+SUMPRODUCT((Inputs!$C$5:$C$180=$B60)*ISNUMBER(INDEX(Inputs!$K$5:$AJ$180,0,MATCH(G$2,Inputs!$K$4:$AJ$4,0))))+SUMPRODUCT((Inputs!$E$5:$E$180=$B60)*ISNUMBER(INDEX(Inputs!$K$5:$AJ$180,0,MATCH(G$2,Inputs!$K$4:$AJ$4,0))))=0,NA(),SUMPRODUCT((Inputs!$A$5:$A$180=$B60)*Inputs!$B$5:$B$180*(((Inputs!$G$5:$G$180="moeda")+(Inputs!$G$5:$G$180="acoes"))*Inputs!$B$1+((Inputs!$G$5:$G$180&lt;&gt;"moeda")*(Inputs!$G$5:$G$180&lt;&gt;"acoes")))*INDEX(Inputs!$K$5:$AJ$180,0,MATCH(G$2,Inputs!$K$4:$AJ$4,0)))+SUMPRODUCT((Inputs!$C$5:$C$180=$B60)*Inputs!$D$5:$D$180*(((Inputs!$G$5:$G$180="moeda")+(Inputs!$G$5:$G$180="acoes"))*Inputs!$B$1+((Inputs!$G$5:$G$180&lt;&gt;"moeda")*(Inputs!$G$5:$G$180&lt;&gt;"acoes")))*INDEX(Inputs!$K$5:$AJ$180,0,MATCH(G$2,Inputs!$K$4:$AJ$4,0)))+SUMPRODUCT((Inputs!$E$5:$E$180=$B60)*Inputs!$F$5:$F$180*(((Inputs!$G$5:$G$180="moeda")+(Inputs!$G$5:$G$180="acoes"))*Inputs!$B$1+((Inputs!$G$5:$G$180&lt;&gt;"moeda")*(Inputs!$G$5:$G$180&lt;&gt;"acoes")))*INDEX(Inputs!$K$5:$AJ$180,0,MATCH(G$2,Inputs!$K$4:$AJ$4,0)))))</f>
        <v>229</v>
      </c>
      <c r="H60" s="267">
        <f>G60</f>
        <v>229</v>
      </c>
      <c r="I60" s="266">
        <f>IF(ISNA(MATCH(I$2,Inputs!$K$4:$AJ$4,0)),NA(),IF(SUMPRODUCT((Inputs!$A$5:$A$180=$B60)*ISNUMBER(INDEX(Inputs!$K$5:$AJ$180,0,MATCH(I$2,Inputs!$K$4:$AJ$4,0))))+SUMPRODUCT((Inputs!$C$5:$C$180=$B60)*ISNUMBER(INDEX(Inputs!$K$5:$AJ$180,0,MATCH(I$2,Inputs!$K$4:$AJ$4,0))))+SUMPRODUCT((Inputs!$E$5:$E$180=$B60)*ISNUMBER(INDEX(Inputs!$K$5:$AJ$180,0,MATCH(I$2,Inputs!$K$4:$AJ$4,0))))=0,NA(),SUMPRODUCT((Inputs!$A$5:$A$180=$B60)*Inputs!$B$5:$B$180*(((Inputs!$G$5:$G$180="moeda")+(Inputs!$G$5:$G$180="acoes"))*Inputs!$B$1+((Inputs!$G$5:$G$180&lt;&gt;"moeda")*(Inputs!$G$5:$G$180&lt;&gt;"acoes")))*INDEX(Inputs!$K$5:$AJ$180,0,MATCH(I$2,Inputs!$K$4:$AJ$4,0)))+SUMPRODUCT((Inputs!$C$5:$C$180=$B60)*Inputs!$D$5:$D$180*(((Inputs!$G$5:$G$180="moeda")+(Inputs!$G$5:$G$180="acoes"))*Inputs!$B$1+((Inputs!$G$5:$G$180&lt;&gt;"moeda")*(Inputs!$G$5:$G$180&lt;&gt;"acoes")))*INDEX(Inputs!$K$5:$AJ$180,0,MATCH(I$2,Inputs!$K$4:$AJ$4,0)))+SUMPRODUCT((Inputs!$E$5:$E$180=$B60)*Inputs!$F$5:$F$180*(((Inputs!$G$5:$G$180="moeda")+(Inputs!$G$5:$G$180="acoes"))*Inputs!$B$1+((Inputs!$G$5:$G$180&lt;&gt;"moeda")*(Inputs!$G$5:$G$180&lt;&gt;"acoes")))*INDEX(Inputs!$K$5:$AJ$180,0,MATCH(I$2,Inputs!$K$4:$AJ$4,0)))))</f>
        <v>231</v>
      </c>
      <c r="J60" s="266">
        <f>IF(ISNA(MATCH(J$2,Inputs!$K$4:$AJ$4,0)),NA(),IF(SUMPRODUCT((Inputs!$A$5:$A$180=$B60)*ISNUMBER(INDEX(Inputs!$K$5:$AJ$180,0,MATCH(J$2,Inputs!$K$4:$AJ$4,0))))+SUMPRODUCT((Inputs!$C$5:$C$180=$B60)*ISNUMBER(INDEX(Inputs!$K$5:$AJ$180,0,MATCH(J$2,Inputs!$K$4:$AJ$4,0))))+SUMPRODUCT((Inputs!$E$5:$E$180=$B60)*ISNUMBER(INDEX(Inputs!$K$5:$AJ$180,0,MATCH(J$2,Inputs!$K$4:$AJ$4,0))))=0,NA(),SUMPRODUCT((Inputs!$A$5:$A$180=$B60)*Inputs!$B$5:$B$180*(((Inputs!$G$5:$G$180="moeda")+(Inputs!$G$5:$G$180="acoes"))*Inputs!$B$1+((Inputs!$G$5:$G$180&lt;&gt;"moeda")*(Inputs!$G$5:$G$180&lt;&gt;"acoes")))*INDEX(Inputs!$K$5:$AJ$180,0,MATCH(J$2,Inputs!$K$4:$AJ$4,0)))+SUMPRODUCT((Inputs!$C$5:$C$180=$B60)*Inputs!$D$5:$D$180*(((Inputs!$G$5:$G$180="moeda")+(Inputs!$G$5:$G$180="acoes"))*Inputs!$B$1+((Inputs!$G$5:$G$180&lt;&gt;"moeda")*(Inputs!$G$5:$G$180&lt;&gt;"acoes")))*INDEX(Inputs!$K$5:$AJ$180,0,MATCH(J$2,Inputs!$K$4:$AJ$4,0)))+SUMPRODUCT((Inputs!$E$5:$E$180=$B60)*Inputs!$F$5:$F$180*(((Inputs!$G$5:$G$180="moeda")+(Inputs!$G$5:$G$180="acoes"))*Inputs!$B$1+((Inputs!$G$5:$G$180&lt;&gt;"moeda")*(Inputs!$G$5:$G$180&lt;&gt;"acoes")))*INDEX(Inputs!$K$5:$AJ$180,0,MATCH(J$2,Inputs!$K$4:$AJ$4,0)))))</f>
        <v>232</v>
      </c>
      <c r="K60" s="266">
        <f>IF(ISNA(MATCH(K$2,Inputs!$K$4:$AJ$4,0)),NA(),IF(SUMPRODUCT((Inputs!$A$5:$A$180=$B60)*ISNUMBER(INDEX(Inputs!$K$5:$AJ$180,0,MATCH(K$2,Inputs!$K$4:$AJ$4,0))))+SUMPRODUCT((Inputs!$C$5:$C$180=$B60)*ISNUMBER(INDEX(Inputs!$K$5:$AJ$180,0,MATCH(K$2,Inputs!$K$4:$AJ$4,0))))+SUMPRODUCT((Inputs!$E$5:$E$180=$B60)*ISNUMBER(INDEX(Inputs!$K$5:$AJ$180,0,MATCH(K$2,Inputs!$K$4:$AJ$4,0))))=0,NA(),SUMPRODUCT((Inputs!$A$5:$A$180=$B60)*Inputs!$B$5:$B$180*(((Inputs!$G$5:$G$180="moeda")+(Inputs!$G$5:$G$180="acoes"))*Inputs!$B$1+((Inputs!$G$5:$G$180&lt;&gt;"moeda")*(Inputs!$G$5:$G$180&lt;&gt;"acoes")))*INDEX(Inputs!$K$5:$AJ$180,0,MATCH(K$2,Inputs!$K$4:$AJ$4,0)))+SUMPRODUCT((Inputs!$C$5:$C$180=$B60)*Inputs!$D$5:$D$180*(((Inputs!$G$5:$G$180="moeda")+(Inputs!$G$5:$G$180="acoes"))*Inputs!$B$1+((Inputs!$G$5:$G$180&lt;&gt;"moeda")*(Inputs!$G$5:$G$180&lt;&gt;"acoes")))*INDEX(Inputs!$K$5:$AJ$180,0,MATCH(K$2,Inputs!$K$4:$AJ$4,0)))+SUMPRODUCT((Inputs!$E$5:$E$180=$B60)*Inputs!$F$5:$F$180*(((Inputs!$G$5:$G$180="moeda")+(Inputs!$G$5:$G$180="acoes"))*Inputs!$B$1+((Inputs!$G$5:$G$180&lt;&gt;"moeda")*(Inputs!$G$5:$G$180&lt;&gt;"acoes")))*INDEX(Inputs!$K$5:$AJ$180,0,MATCH(K$2,Inputs!$K$4:$AJ$4,0)))))</f>
        <v>237</v>
      </c>
      <c r="L60" s="266">
        <f>IF(ISNA(MATCH(L$2,Inputs!$K$4:$AJ$4,0)),NA(),IF(SUMPRODUCT((Inputs!$A$5:$A$180=$B60)*ISNUMBER(INDEX(Inputs!$K$5:$AJ$180,0,MATCH(L$2,Inputs!$K$4:$AJ$4,0))))+SUMPRODUCT((Inputs!$C$5:$C$180=$B60)*ISNUMBER(INDEX(Inputs!$K$5:$AJ$180,0,MATCH(L$2,Inputs!$K$4:$AJ$4,0))))+SUMPRODUCT((Inputs!$E$5:$E$180=$B60)*ISNUMBER(INDEX(Inputs!$K$5:$AJ$180,0,MATCH(L$2,Inputs!$K$4:$AJ$4,0))))=0,NA(),SUMPRODUCT((Inputs!$A$5:$A$180=$B60)*Inputs!$B$5:$B$180*(((Inputs!$G$5:$G$180="moeda")+(Inputs!$G$5:$G$180="acoes"))*Inputs!$B$1+((Inputs!$G$5:$G$180&lt;&gt;"moeda")*(Inputs!$G$5:$G$180&lt;&gt;"acoes")))*INDEX(Inputs!$K$5:$AJ$180,0,MATCH(L$2,Inputs!$K$4:$AJ$4,0)))+SUMPRODUCT((Inputs!$C$5:$C$180=$B60)*Inputs!$D$5:$D$180*(((Inputs!$G$5:$G$180="moeda")+(Inputs!$G$5:$G$180="acoes"))*Inputs!$B$1+((Inputs!$G$5:$G$180&lt;&gt;"moeda")*(Inputs!$G$5:$G$180&lt;&gt;"acoes")))*INDEX(Inputs!$K$5:$AJ$180,0,MATCH(L$2,Inputs!$K$4:$AJ$4,0)))+SUMPRODUCT((Inputs!$E$5:$E$180=$B60)*Inputs!$F$5:$F$180*(((Inputs!$G$5:$G$180="moeda")+(Inputs!$G$5:$G$180="acoes"))*Inputs!$B$1+((Inputs!$G$5:$G$180&lt;&gt;"moeda")*(Inputs!$G$5:$G$180&lt;&gt;"acoes")))*INDEX(Inputs!$K$5:$AJ$180,0,MATCH(L$2,Inputs!$K$4:$AJ$4,0)))))</f>
        <v>243</v>
      </c>
      <c r="M60" s="267">
        <f>L60</f>
        <v>243</v>
      </c>
      <c r="N60" s="266">
        <f>IF(ISNA(MATCH(N$2,Inputs!$K$4:$AJ$4,0)),NA(),IF(SUMPRODUCT((Inputs!$A$5:$A$180=$B60)*ISNUMBER(INDEX(Inputs!$K$5:$AJ$180,0,MATCH(N$2,Inputs!$K$4:$AJ$4,0))))+SUMPRODUCT((Inputs!$C$5:$C$180=$B60)*ISNUMBER(INDEX(Inputs!$K$5:$AJ$180,0,MATCH(N$2,Inputs!$K$4:$AJ$4,0))))+SUMPRODUCT((Inputs!$E$5:$E$180=$B60)*ISNUMBER(INDEX(Inputs!$K$5:$AJ$180,0,MATCH(N$2,Inputs!$K$4:$AJ$4,0))))=0,NA(),SUMPRODUCT((Inputs!$A$5:$A$180=$B60)*Inputs!$B$5:$B$180*(((Inputs!$G$5:$G$180="moeda")+(Inputs!$G$5:$G$180="acoes"))*Inputs!$B$1+((Inputs!$G$5:$G$180&lt;&gt;"moeda")*(Inputs!$G$5:$G$180&lt;&gt;"acoes")))*INDEX(Inputs!$K$5:$AJ$180,0,MATCH(N$2,Inputs!$K$4:$AJ$4,0)))+SUMPRODUCT((Inputs!$C$5:$C$180=$B60)*Inputs!$D$5:$D$180*(((Inputs!$G$5:$G$180="moeda")+(Inputs!$G$5:$G$180="acoes"))*Inputs!$B$1+((Inputs!$G$5:$G$180&lt;&gt;"moeda")*(Inputs!$G$5:$G$180&lt;&gt;"acoes")))*INDEX(Inputs!$K$5:$AJ$180,0,MATCH(N$2,Inputs!$K$4:$AJ$4,0)))+SUMPRODUCT((Inputs!$E$5:$E$180=$B60)*Inputs!$F$5:$F$180*(((Inputs!$G$5:$G$180="moeda")+(Inputs!$G$5:$G$180="acoes"))*Inputs!$B$1+((Inputs!$G$5:$G$180&lt;&gt;"moeda")*(Inputs!$G$5:$G$180&lt;&gt;"acoes")))*INDEX(Inputs!$K$5:$AJ$180,0,MATCH(N$2,Inputs!$K$4:$AJ$4,0)))))</f>
        <v>245</v>
      </c>
      <c r="O60" s="266">
        <f>IF(ISNA(MATCH(O$2,Inputs!$K$4:$AJ$4,0)),NA(),IF(SUMPRODUCT((Inputs!$A$5:$A$180=$B60)*ISNUMBER(INDEX(Inputs!$K$5:$AJ$180,0,MATCH(O$2,Inputs!$K$4:$AJ$4,0))))+SUMPRODUCT((Inputs!$C$5:$C$180=$B60)*ISNUMBER(INDEX(Inputs!$K$5:$AJ$180,0,MATCH(O$2,Inputs!$K$4:$AJ$4,0))))+SUMPRODUCT((Inputs!$E$5:$E$180=$B60)*ISNUMBER(INDEX(Inputs!$K$5:$AJ$180,0,MATCH(O$2,Inputs!$K$4:$AJ$4,0))))=0,NA(),SUMPRODUCT((Inputs!$A$5:$A$180=$B60)*Inputs!$B$5:$B$180*(((Inputs!$G$5:$G$180="moeda")+(Inputs!$G$5:$G$180="acoes"))*Inputs!$B$1+((Inputs!$G$5:$G$180&lt;&gt;"moeda")*(Inputs!$G$5:$G$180&lt;&gt;"acoes")))*INDEX(Inputs!$K$5:$AJ$180,0,MATCH(O$2,Inputs!$K$4:$AJ$4,0)))+SUMPRODUCT((Inputs!$C$5:$C$180=$B60)*Inputs!$D$5:$D$180*(((Inputs!$G$5:$G$180="moeda")+(Inputs!$G$5:$G$180="acoes"))*Inputs!$B$1+((Inputs!$G$5:$G$180&lt;&gt;"moeda")*(Inputs!$G$5:$G$180&lt;&gt;"acoes")))*INDEX(Inputs!$K$5:$AJ$180,0,MATCH(O$2,Inputs!$K$4:$AJ$4,0)))+SUMPRODUCT((Inputs!$E$5:$E$180=$B60)*Inputs!$F$5:$F$180*(((Inputs!$G$5:$G$180="moeda")+(Inputs!$G$5:$G$180="acoes"))*Inputs!$B$1+((Inputs!$G$5:$G$180&lt;&gt;"moeda")*(Inputs!$G$5:$G$180&lt;&gt;"acoes")))*INDEX(Inputs!$K$5:$AJ$180,0,MATCH(O$2,Inputs!$K$4:$AJ$4,0)))))</f>
        <v>252</v>
      </c>
      <c r="P60" s="266">
        <f>IF(ISNA(MATCH(P$2,Inputs!$K$4:$AJ$4,0)),NA(),IF(SUMPRODUCT((Inputs!$A$5:$A$180=$B60)*ISNUMBER(INDEX(Inputs!$K$5:$AJ$180,0,MATCH(P$2,Inputs!$K$4:$AJ$4,0))))+SUMPRODUCT((Inputs!$C$5:$C$180=$B60)*ISNUMBER(INDEX(Inputs!$K$5:$AJ$180,0,MATCH(P$2,Inputs!$K$4:$AJ$4,0))))+SUMPRODUCT((Inputs!$E$5:$E$180=$B60)*ISNUMBER(INDEX(Inputs!$K$5:$AJ$180,0,MATCH(P$2,Inputs!$K$4:$AJ$4,0))))=0,NA(),SUMPRODUCT((Inputs!$A$5:$A$180=$B60)*Inputs!$B$5:$B$180*(((Inputs!$G$5:$G$180="moeda")+(Inputs!$G$5:$G$180="acoes"))*Inputs!$B$1+((Inputs!$G$5:$G$180&lt;&gt;"moeda")*(Inputs!$G$5:$G$180&lt;&gt;"acoes")))*INDEX(Inputs!$K$5:$AJ$180,0,MATCH(P$2,Inputs!$K$4:$AJ$4,0)))+SUMPRODUCT((Inputs!$C$5:$C$180=$B60)*Inputs!$D$5:$D$180*(((Inputs!$G$5:$G$180="moeda")+(Inputs!$G$5:$G$180="acoes"))*Inputs!$B$1+((Inputs!$G$5:$G$180&lt;&gt;"moeda")*(Inputs!$G$5:$G$180&lt;&gt;"acoes")))*INDEX(Inputs!$K$5:$AJ$180,0,MATCH(P$2,Inputs!$K$4:$AJ$4,0)))+SUMPRODUCT((Inputs!$E$5:$E$180=$B60)*Inputs!$F$5:$F$180*(((Inputs!$G$5:$G$180="moeda")+(Inputs!$G$5:$G$180="acoes"))*Inputs!$B$1+((Inputs!$G$5:$G$180&lt;&gt;"moeda")*(Inputs!$G$5:$G$180&lt;&gt;"acoes")))*INDEX(Inputs!$K$5:$AJ$180,0,MATCH(P$2,Inputs!$K$4:$AJ$4,0)))))</f>
        <v>254</v>
      </c>
      <c r="Q60" s="266">
        <f>IF(ISNA(MATCH(Q$2,Inputs!$K$4:$AJ$4,0)),NA(),IF(SUMPRODUCT((Inputs!$A$5:$A$180=$B60)*ISNUMBER(INDEX(Inputs!$K$5:$AJ$180,0,MATCH(Q$2,Inputs!$K$4:$AJ$4,0))))+SUMPRODUCT((Inputs!$C$5:$C$180=$B60)*ISNUMBER(INDEX(Inputs!$K$5:$AJ$180,0,MATCH(Q$2,Inputs!$K$4:$AJ$4,0))))+SUMPRODUCT((Inputs!$E$5:$E$180=$B60)*ISNUMBER(INDEX(Inputs!$K$5:$AJ$180,0,MATCH(Q$2,Inputs!$K$4:$AJ$4,0))))=0,NA(),SUMPRODUCT((Inputs!$A$5:$A$180=$B60)*Inputs!$B$5:$B$180*(((Inputs!$G$5:$G$180="moeda")+(Inputs!$G$5:$G$180="acoes"))*Inputs!$B$1+((Inputs!$G$5:$G$180&lt;&gt;"moeda")*(Inputs!$G$5:$G$180&lt;&gt;"acoes")))*INDEX(Inputs!$K$5:$AJ$180,0,MATCH(Q$2,Inputs!$K$4:$AJ$4,0)))+SUMPRODUCT((Inputs!$C$5:$C$180=$B60)*Inputs!$D$5:$D$180*(((Inputs!$G$5:$G$180="moeda")+(Inputs!$G$5:$G$180="acoes"))*Inputs!$B$1+((Inputs!$G$5:$G$180&lt;&gt;"moeda")*(Inputs!$G$5:$G$180&lt;&gt;"acoes")))*INDEX(Inputs!$K$5:$AJ$180,0,MATCH(Q$2,Inputs!$K$4:$AJ$4,0)))+SUMPRODUCT((Inputs!$E$5:$E$180=$B60)*Inputs!$F$5:$F$180*(((Inputs!$G$5:$G$180="moeda")+(Inputs!$G$5:$G$180="acoes"))*Inputs!$B$1+((Inputs!$G$5:$G$180&lt;&gt;"moeda")*(Inputs!$G$5:$G$180&lt;&gt;"acoes")))*INDEX(Inputs!$K$5:$AJ$180,0,MATCH(Q$2,Inputs!$K$4:$AJ$4,0)))))</f>
        <v>257</v>
      </c>
      <c r="R60" s="267">
        <f>Q60</f>
        <v>257</v>
      </c>
      <c r="S60" s="266">
        <f>IF(ISNA(MATCH(S$2,Inputs!$K$4:$AJ$4,0)),NA(),IF(SUMPRODUCT((Inputs!$A$5:$A$180=$B60)*ISNUMBER(INDEX(Inputs!$K$5:$AJ$180,0,MATCH(S$2,Inputs!$K$4:$AJ$4,0))))+SUMPRODUCT((Inputs!$C$5:$C$180=$B60)*ISNUMBER(INDEX(Inputs!$K$5:$AJ$180,0,MATCH(S$2,Inputs!$K$4:$AJ$4,0))))+SUMPRODUCT((Inputs!$E$5:$E$180=$B60)*ISNUMBER(INDEX(Inputs!$K$5:$AJ$180,0,MATCH(S$2,Inputs!$K$4:$AJ$4,0))))=0,NA(),SUMPRODUCT((Inputs!$A$5:$A$180=$B60)*Inputs!$B$5:$B$180*(((Inputs!$G$5:$G$180="moeda")+(Inputs!$G$5:$G$180="acoes"))*Inputs!$B$1+((Inputs!$G$5:$G$180&lt;&gt;"moeda")*(Inputs!$G$5:$G$180&lt;&gt;"acoes")))*INDEX(Inputs!$K$5:$AJ$180,0,MATCH(S$2,Inputs!$K$4:$AJ$4,0)))+SUMPRODUCT((Inputs!$C$5:$C$180=$B60)*Inputs!$D$5:$D$180*(((Inputs!$G$5:$G$180="moeda")+(Inputs!$G$5:$G$180="acoes"))*Inputs!$B$1+((Inputs!$G$5:$G$180&lt;&gt;"moeda")*(Inputs!$G$5:$G$180&lt;&gt;"acoes")))*INDEX(Inputs!$K$5:$AJ$180,0,MATCH(S$2,Inputs!$K$4:$AJ$4,0)))+SUMPRODUCT((Inputs!$E$5:$E$180=$B60)*Inputs!$F$5:$F$180*(((Inputs!$G$5:$G$180="moeda")+(Inputs!$G$5:$G$180="acoes"))*Inputs!$B$1+((Inputs!$G$5:$G$180&lt;&gt;"moeda")*(Inputs!$G$5:$G$180&lt;&gt;"acoes")))*INDEX(Inputs!$K$5:$AJ$180,0,MATCH(S$2,Inputs!$K$4:$AJ$4,0)))))</f>
        <v>261</v>
      </c>
      <c r="T60" s="266">
        <f>IF(ISNA(MATCH(T$2,Inputs!$K$4:$AJ$4,0)),NA(),IF(SUMPRODUCT((Inputs!$A$5:$A$180=$B60)*ISNUMBER(INDEX(Inputs!$K$5:$AJ$180,0,MATCH(T$2,Inputs!$K$4:$AJ$4,0))))+SUMPRODUCT((Inputs!$C$5:$C$180=$B60)*ISNUMBER(INDEX(Inputs!$K$5:$AJ$180,0,MATCH(T$2,Inputs!$K$4:$AJ$4,0))))+SUMPRODUCT((Inputs!$E$5:$E$180=$B60)*ISNUMBER(INDEX(Inputs!$K$5:$AJ$180,0,MATCH(T$2,Inputs!$K$4:$AJ$4,0))))=0,NA(),SUMPRODUCT((Inputs!$A$5:$A$180=$B60)*Inputs!$B$5:$B$180*(((Inputs!$G$5:$G$180="moeda")+(Inputs!$G$5:$G$180="acoes"))*Inputs!$B$1+((Inputs!$G$5:$G$180&lt;&gt;"moeda")*(Inputs!$G$5:$G$180&lt;&gt;"acoes")))*INDEX(Inputs!$K$5:$AJ$180,0,MATCH(T$2,Inputs!$K$4:$AJ$4,0)))+SUMPRODUCT((Inputs!$C$5:$C$180=$B60)*Inputs!$D$5:$D$180*(((Inputs!$G$5:$G$180="moeda")+(Inputs!$G$5:$G$180="acoes"))*Inputs!$B$1+((Inputs!$G$5:$G$180&lt;&gt;"moeda")*(Inputs!$G$5:$G$180&lt;&gt;"acoes")))*INDEX(Inputs!$K$5:$AJ$180,0,MATCH(T$2,Inputs!$K$4:$AJ$4,0)))+SUMPRODUCT((Inputs!$E$5:$E$180=$B60)*Inputs!$F$5:$F$180*(((Inputs!$G$5:$G$180="moeda")+(Inputs!$G$5:$G$180="acoes"))*Inputs!$B$1+((Inputs!$G$5:$G$180&lt;&gt;"moeda")*(Inputs!$G$5:$G$180&lt;&gt;"acoes")))*INDEX(Inputs!$K$5:$AJ$180,0,MATCH(T$2,Inputs!$K$4:$AJ$4,0)))))</f>
        <v>263</v>
      </c>
      <c r="U60" s="266">
        <f>IF(ISNA(MATCH(U$2,Inputs!$K$4:$AJ$4,0)),NA(),IF(SUMPRODUCT((Inputs!$A$5:$A$180=$B60)*ISNUMBER(INDEX(Inputs!$K$5:$AJ$180,0,MATCH(U$2,Inputs!$K$4:$AJ$4,0))))+SUMPRODUCT((Inputs!$C$5:$C$180=$B60)*ISNUMBER(INDEX(Inputs!$K$5:$AJ$180,0,MATCH(U$2,Inputs!$K$4:$AJ$4,0))))+SUMPRODUCT((Inputs!$E$5:$E$180=$B60)*ISNUMBER(INDEX(Inputs!$K$5:$AJ$180,0,MATCH(U$2,Inputs!$K$4:$AJ$4,0))))=0,NA(),SUMPRODUCT((Inputs!$A$5:$A$180=$B60)*Inputs!$B$5:$B$180*(((Inputs!$G$5:$G$180="moeda")+(Inputs!$G$5:$G$180="acoes"))*Inputs!$B$1+((Inputs!$G$5:$G$180&lt;&gt;"moeda")*(Inputs!$G$5:$G$180&lt;&gt;"acoes")))*INDEX(Inputs!$K$5:$AJ$180,0,MATCH(U$2,Inputs!$K$4:$AJ$4,0)))+SUMPRODUCT((Inputs!$C$5:$C$180=$B60)*Inputs!$D$5:$D$180*(((Inputs!$G$5:$G$180="moeda")+(Inputs!$G$5:$G$180="acoes"))*Inputs!$B$1+((Inputs!$G$5:$G$180&lt;&gt;"moeda")*(Inputs!$G$5:$G$180&lt;&gt;"acoes")))*INDEX(Inputs!$K$5:$AJ$180,0,MATCH(U$2,Inputs!$K$4:$AJ$4,0)))+SUMPRODUCT((Inputs!$E$5:$E$180=$B60)*Inputs!$F$5:$F$180*(((Inputs!$G$5:$G$180="moeda")+(Inputs!$G$5:$G$180="acoes"))*Inputs!$B$1+((Inputs!$G$5:$G$180&lt;&gt;"moeda")*(Inputs!$G$5:$G$180&lt;&gt;"acoes")))*INDEX(Inputs!$K$5:$AJ$180,0,MATCH(U$2,Inputs!$K$4:$AJ$4,0)))))</f>
        <v>264</v>
      </c>
      <c r="V60" s="266">
        <f>IF(ISNA(MATCH(V$2,Inputs!$K$4:$AJ$4,0)),NA(),IF(SUMPRODUCT((Inputs!$A$5:$A$180=$B60)*ISNUMBER(INDEX(Inputs!$K$5:$AJ$180,0,MATCH(V$2,Inputs!$K$4:$AJ$4,0))))+SUMPRODUCT((Inputs!$C$5:$C$180=$B60)*ISNUMBER(INDEX(Inputs!$K$5:$AJ$180,0,MATCH(V$2,Inputs!$K$4:$AJ$4,0))))+SUMPRODUCT((Inputs!$E$5:$E$180=$B60)*ISNUMBER(INDEX(Inputs!$K$5:$AJ$180,0,MATCH(V$2,Inputs!$K$4:$AJ$4,0))))=0,NA(),SUMPRODUCT((Inputs!$A$5:$A$180=$B60)*Inputs!$B$5:$B$180*(((Inputs!$G$5:$G$180="moeda")+(Inputs!$G$5:$G$180="acoes"))*Inputs!$B$1+((Inputs!$G$5:$G$180&lt;&gt;"moeda")*(Inputs!$G$5:$G$180&lt;&gt;"acoes")))*INDEX(Inputs!$K$5:$AJ$180,0,MATCH(V$2,Inputs!$K$4:$AJ$4,0)))+SUMPRODUCT((Inputs!$C$5:$C$180=$B60)*Inputs!$D$5:$D$180*(((Inputs!$G$5:$G$180="moeda")+(Inputs!$G$5:$G$180="acoes"))*Inputs!$B$1+((Inputs!$G$5:$G$180&lt;&gt;"moeda")*(Inputs!$G$5:$G$180&lt;&gt;"acoes")))*INDEX(Inputs!$K$5:$AJ$180,0,MATCH(V$2,Inputs!$K$4:$AJ$4,0)))+SUMPRODUCT((Inputs!$E$5:$E$180=$B60)*Inputs!$F$5:$F$180*(((Inputs!$G$5:$G$180="moeda")+(Inputs!$G$5:$G$180="acoes"))*Inputs!$B$1+((Inputs!$G$5:$G$180&lt;&gt;"moeda")*(Inputs!$G$5:$G$180&lt;&gt;"acoes")))*INDEX(Inputs!$K$5:$AJ$180,0,MATCH(V$2,Inputs!$K$4:$AJ$4,0)))))</f>
        <v>266</v>
      </c>
      <c r="W60" s="267">
        <f>V60</f>
        <v>266</v>
      </c>
      <c r="X60" s="266">
        <f>IF(ISNA(MATCH(X$2,Inputs!$K$4:$AJ$4,0)),NA(),IF(SUMPRODUCT((Inputs!$A$5:$A$180=$B60)*ISNUMBER(INDEX(Inputs!$K$5:$AJ$180,0,MATCH(X$2,Inputs!$K$4:$AJ$4,0))))+SUMPRODUCT((Inputs!$C$5:$C$180=$B60)*ISNUMBER(INDEX(Inputs!$K$5:$AJ$180,0,MATCH(X$2,Inputs!$K$4:$AJ$4,0))))+SUMPRODUCT((Inputs!$E$5:$E$180=$B60)*ISNUMBER(INDEX(Inputs!$K$5:$AJ$180,0,MATCH(X$2,Inputs!$K$4:$AJ$4,0))))=0,NA(),SUMPRODUCT((Inputs!$A$5:$A$180=$B60)*Inputs!$B$5:$B$180*(((Inputs!$G$5:$G$180="moeda")+(Inputs!$G$5:$G$180="acoes"))*Inputs!$B$1+((Inputs!$G$5:$G$180&lt;&gt;"moeda")*(Inputs!$G$5:$G$180&lt;&gt;"acoes")))*INDEX(Inputs!$K$5:$AJ$180,0,MATCH(X$2,Inputs!$K$4:$AJ$4,0)))+SUMPRODUCT((Inputs!$C$5:$C$180=$B60)*Inputs!$D$5:$D$180*(((Inputs!$G$5:$G$180="moeda")+(Inputs!$G$5:$G$180="acoes"))*Inputs!$B$1+((Inputs!$G$5:$G$180&lt;&gt;"moeda")*(Inputs!$G$5:$G$180&lt;&gt;"acoes")))*INDEX(Inputs!$K$5:$AJ$180,0,MATCH(X$2,Inputs!$K$4:$AJ$4,0)))+SUMPRODUCT((Inputs!$E$5:$E$180=$B60)*Inputs!$F$5:$F$180*(((Inputs!$G$5:$G$180="moeda")+(Inputs!$G$5:$G$180="acoes"))*Inputs!$B$1+((Inputs!$G$5:$G$180&lt;&gt;"moeda")*(Inputs!$G$5:$G$180&lt;&gt;"acoes")))*INDEX(Inputs!$K$5:$AJ$180,0,MATCH(X$2,Inputs!$K$4:$AJ$4,0)))))</f>
        <v>266</v>
      </c>
      <c r="Y60" s="266">
        <f>IF(ISNA(MATCH(Y$2,Inputs!$K$4:$AJ$4,0)),NA(),IF(SUMPRODUCT((Inputs!$A$5:$A$180=$B60)*ISNUMBER(INDEX(Inputs!$K$5:$AJ$180,0,MATCH(Y$2,Inputs!$K$4:$AJ$4,0))))+SUMPRODUCT((Inputs!$C$5:$C$180=$B60)*ISNUMBER(INDEX(Inputs!$K$5:$AJ$180,0,MATCH(Y$2,Inputs!$K$4:$AJ$4,0))))+SUMPRODUCT((Inputs!$E$5:$E$180=$B60)*ISNUMBER(INDEX(Inputs!$K$5:$AJ$180,0,MATCH(Y$2,Inputs!$K$4:$AJ$4,0))))=0,NA(),SUMPRODUCT((Inputs!$A$5:$A$180=$B60)*Inputs!$B$5:$B$180*(((Inputs!$G$5:$G$180="moeda")+(Inputs!$G$5:$G$180="acoes"))*Inputs!$B$1+((Inputs!$G$5:$G$180&lt;&gt;"moeda")*(Inputs!$G$5:$G$180&lt;&gt;"acoes")))*INDEX(Inputs!$K$5:$AJ$180,0,MATCH(Y$2,Inputs!$K$4:$AJ$4,0)))+SUMPRODUCT((Inputs!$C$5:$C$180=$B60)*Inputs!$D$5:$D$180*(((Inputs!$G$5:$G$180="moeda")+(Inputs!$G$5:$G$180="acoes"))*Inputs!$B$1+((Inputs!$G$5:$G$180&lt;&gt;"moeda")*(Inputs!$G$5:$G$180&lt;&gt;"acoes")))*INDEX(Inputs!$K$5:$AJ$180,0,MATCH(Y$2,Inputs!$K$4:$AJ$4,0)))+SUMPRODUCT((Inputs!$E$5:$E$180=$B60)*Inputs!$F$5:$F$180*(((Inputs!$G$5:$G$180="moeda")+(Inputs!$G$5:$G$180="acoes"))*Inputs!$B$1+((Inputs!$G$5:$G$180&lt;&gt;"moeda")*(Inputs!$G$5:$G$180&lt;&gt;"acoes")))*INDEX(Inputs!$K$5:$AJ$180,0,MATCH(Y$2,Inputs!$K$4:$AJ$4,0)))))</f>
        <v>266</v>
      </c>
      <c r="Z60" s="266">
        <f>IF(ISNA(MATCH(Z$2,Inputs!$K$4:$AJ$4,0)),NA(),IF(SUMPRODUCT((Inputs!$A$5:$A$180=$B60)*ISNUMBER(INDEX(Inputs!$K$5:$AJ$180,0,MATCH(Z$2,Inputs!$K$4:$AJ$4,0))))+SUMPRODUCT((Inputs!$C$5:$C$180=$B60)*ISNUMBER(INDEX(Inputs!$K$5:$AJ$180,0,MATCH(Z$2,Inputs!$K$4:$AJ$4,0))))+SUMPRODUCT((Inputs!$E$5:$E$180=$B60)*ISNUMBER(INDEX(Inputs!$K$5:$AJ$180,0,MATCH(Z$2,Inputs!$K$4:$AJ$4,0))))=0,NA(),SUMPRODUCT((Inputs!$A$5:$A$180=$B60)*Inputs!$B$5:$B$180*(((Inputs!$G$5:$G$180="moeda")+(Inputs!$G$5:$G$180="acoes"))*Inputs!$B$1+((Inputs!$G$5:$G$180&lt;&gt;"moeda")*(Inputs!$G$5:$G$180&lt;&gt;"acoes")))*INDEX(Inputs!$K$5:$AJ$180,0,MATCH(Z$2,Inputs!$K$4:$AJ$4,0)))+SUMPRODUCT((Inputs!$C$5:$C$180=$B60)*Inputs!$D$5:$D$180*(((Inputs!$G$5:$G$180="moeda")+(Inputs!$G$5:$G$180="acoes"))*Inputs!$B$1+((Inputs!$G$5:$G$180&lt;&gt;"moeda")*(Inputs!$G$5:$G$180&lt;&gt;"acoes")))*INDEX(Inputs!$K$5:$AJ$180,0,MATCH(Z$2,Inputs!$K$4:$AJ$4,0)))+SUMPRODUCT((Inputs!$E$5:$E$180=$B60)*Inputs!$F$5:$F$180*(((Inputs!$G$5:$G$180="moeda")+(Inputs!$G$5:$G$180="acoes"))*Inputs!$B$1+((Inputs!$G$5:$G$180&lt;&gt;"moeda")*(Inputs!$G$5:$G$180&lt;&gt;"acoes")))*INDEX(Inputs!$K$5:$AJ$180,0,MATCH(Z$2,Inputs!$K$4:$AJ$4,0)))))</f>
        <v>266</v>
      </c>
      <c r="AA60" s="266">
        <f>IF(ISNA(MATCH(AA$2,Inputs!$K$4:$AJ$4,0)),NA(),IF(SUMPRODUCT((Inputs!$A$5:$A$180=$B60)*ISNUMBER(INDEX(Inputs!$K$5:$AJ$180,0,MATCH(AA$2,Inputs!$K$4:$AJ$4,0))))+SUMPRODUCT((Inputs!$C$5:$C$180=$B60)*ISNUMBER(INDEX(Inputs!$K$5:$AJ$180,0,MATCH(AA$2,Inputs!$K$4:$AJ$4,0))))+SUMPRODUCT((Inputs!$E$5:$E$180=$B60)*ISNUMBER(INDEX(Inputs!$K$5:$AJ$180,0,MATCH(AA$2,Inputs!$K$4:$AJ$4,0))))=0,NA(),SUMPRODUCT((Inputs!$A$5:$A$180=$B60)*Inputs!$B$5:$B$180*(((Inputs!$G$5:$G$180="moeda")+(Inputs!$G$5:$G$180="acoes"))*Inputs!$B$1+((Inputs!$G$5:$G$180&lt;&gt;"moeda")*(Inputs!$G$5:$G$180&lt;&gt;"acoes")))*INDEX(Inputs!$K$5:$AJ$180,0,MATCH(AA$2,Inputs!$K$4:$AJ$4,0)))+SUMPRODUCT((Inputs!$C$5:$C$180=$B60)*Inputs!$D$5:$D$180*(((Inputs!$G$5:$G$180="moeda")+(Inputs!$G$5:$G$180="acoes"))*Inputs!$B$1+((Inputs!$G$5:$G$180&lt;&gt;"moeda")*(Inputs!$G$5:$G$180&lt;&gt;"acoes")))*INDEX(Inputs!$K$5:$AJ$180,0,MATCH(AA$2,Inputs!$K$4:$AJ$4,0)))+SUMPRODUCT((Inputs!$E$5:$E$180=$B60)*Inputs!$F$5:$F$180*(((Inputs!$G$5:$G$180="moeda")+(Inputs!$G$5:$G$180="acoes"))*Inputs!$B$1+((Inputs!$G$5:$G$180&lt;&gt;"moeda")*(Inputs!$G$5:$G$180&lt;&gt;"acoes")))*INDEX(Inputs!$K$5:$AJ$180,0,MATCH(AA$2,Inputs!$K$4:$AJ$4,0)))))</f>
        <v>268</v>
      </c>
      <c r="AB60" s="267">
        <f>AA60</f>
        <v>268</v>
      </c>
      <c r="AC60" s="266">
        <f>IF(ISNA(MATCH(AC$2,Inputs!$K$4:$AJ$4,0)),NA(),IF(SUMPRODUCT((Inputs!$A$5:$A$180=$B60)*ISNUMBER(INDEX(Inputs!$K$5:$AJ$180,0,MATCH(AC$2,Inputs!$K$4:$AJ$4,0))))+SUMPRODUCT((Inputs!$C$5:$C$180=$B60)*ISNUMBER(INDEX(Inputs!$K$5:$AJ$180,0,MATCH(AC$2,Inputs!$K$4:$AJ$4,0))))+SUMPRODUCT((Inputs!$E$5:$E$180=$B60)*ISNUMBER(INDEX(Inputs!$K$5:$AJ$180,0,MATCH(AC$2,Inputs!$K$4:$AJ$4,0))))=0,NA(),SUMPRODUCT((Inputs!$A$5:$A$180=$B60)*Inputs!$B$5:$B$180*(((Inputs!$G$5:$G$180="moeda")+(Inputs!$G$5:$G$180="acoes"))*Inputs!$B$1+((Inputs!$G$5:$G$180&lt;&gt;"moeda")*(Inputs!$G$5:$G$180&lt;&gt;"acoes")))*INDEX(Inputs!$K$5:$AJ$180,0,MATCH(AC$2,Inputs!$K$4:$AJ$4,0)))+SUMPRODUCT((Inputs!$C$5:$C$180=$B60)*Inputs!$D$5:$D$180*(((Inputs!$G$5:$G$180="moeda")+(Inputs!$G$5:$G$180="acoes"))*Inputs!$B$1+((Inputs!$G$5:$G$180&lt;&gt;"moeda")*(Inputs!$G$5:$G$180&lt;&gt;"acoes")))*INDEX(Inputs!$K$5:$AJ$180,0,MATCH(AC$2,Inputs!$K$4:$AJ$4,0)))+SUMPRODUCT((Inputs!$E$5:$E$180=$B60)*Inputs!$F$5:$F$180*(((Inputs!$G$5:$G$180="moeda")+(Inputs!$G$5:$G$180="acoes"))*Inputs!$B$1+((Inputs!$G$5:$G$180&lt;&gt;"moeda")*(Inputs!$G$5:$G$180&lt;&gt;"acoes")))*INDEX(Inputs!$K$5:$AJ$180,0,MATCH(AC$2,Inputs!$K$4:$AJ$4,0)))))</f>
        <v>268</v>
      </c>
      <c r="AD60" s="266">
        <f>IF(ISNA(MATCH(AD$2,Inputs!$K$4:$AJ$4,0)),NA(),IF(SUMPRODUCT((Inputs!$A$5:$A$180=$B60)*ISNUMBER(INDEX(Inputs!$K$5:$AJ$180,0,MATCH(AD$2,Inputs!$K$4:$AJ$4,0))))+SUMPRODUCT((Inputs!$C$5:$C$180=$B60)*ISNUMBER(INDEX(Inputs!$K$5:$AJ$180,0,MATCH(AD$2,Inputs!$K$4:$AJ$4,0))))+SUMPRODUCT((Inputs!$E$5:$E$180=$B60)*ISNUMBER(INDEX(Inputs!$K$5:$AJ$180,0,MATCH(AD$2,Inputs!$K$4:$AJ$4,0))))=0,NA(),SUMPRODUCT((Inputs!$A$5:$A$180=$B60)*Inputs!$B$5:$B$180*(((Inputs!$G$5:$G$180="moeda")+(Inputs!$G$5:$G$180="acoes"))*Inputs!$B$1+((Inputs!$G$5:$G$180&lt;&gt;"moeda")*(Inputs!$G$5:$G$180&lt;&gt;"acoes")))*INDEX(Inputs!$K$5:$AJ$180,0,MATCH(AD$2,Inputs!$K$4:$AJ$4,0)))+SUMPRODUCT((Inputs!$C$5:$C$180=$B60)*Inputs!$D$5:$D$180*(((Inputs!$G$5:$G$180="moeda")+(Inputs!$G$5:$G$180="acoes"))*Inputs!$B$1+((Inputs!$G$5:$G$180&lt;&gt;"moeda")*(Inputs!$G$5:$G$180&lt;&gt;"acoes")))*INDEX(Inputs!$K$5:$AJ$180,0,MATCH(AD$2,Inputs!$K$4:$AJ$4,0)))+SUMPRODUCT((Inputs!$E$5:$E$180=$B60)*Inputs!$F$5:$F$180*(((Inputs!$G$5:$G$180="moeda")+(Inputs!$G$5:$G$180="acoes"))*Inputs!$B$1+((Inputs!$G$5:$G$180&lt;&gt;"moeda")*(Inputs!$G$5:$G$180&lt;&gt;"acoes")))*INDEX(Inputs!$K$5:$AJ$180,0,MATCH(AD$2,Inputs!$K$4:$AJ$4,0)))))</f>
        <v>272</v>
      </c>
      <c r="AE60" s="266" t="e">
        <f>IF(ISNA(MATCH(AE$2,Inputs!$K$4:$AJ$4,0)),NA(),IF(SUMPRODUCT((Inputs!$A$5:$A$180=$B60)*ISNUMBER(INDEX(Inputs!$K$5:$AJ$180,0,MATCH(AE$2,Inputs!$K$4:$AJ$4,0))))+SUMPRODUCT((Inputs!$C$5:$C$180=$B60)*ISNUMBER(INDEX(Inputs!$K$5:$AJ$180,0,MATCH(AE$2,Inputs!$K$4:$AJ$4,0))))+SUMPRODUCT((Inputs!$E$5:$E$180=$B60)*ISNUMBER(INDEX(Inputs!$K$5:$AJ$180,0,MATCH(AE$2,Inputs!$K$4:$AJ$4,0))))=0,NA(),SUMPRODUCT((Inputs!$A$5:$A$180=$B60)*Inputs!$B$5:$B$180*(((Inputs!$G$5:$G$180="moeda")+(Inputs!$G$5:$G$180="acoes"))*Inputs!$B$1+((Inputs!$G$5:$G$180&lt;&gt;"moeda")*(Inputs!$G$5:$G$180&lt;&gt;"acoes")))*INDEX(Inputs!$K$5:$AJ$180,0,MATCH(AE$2,Inputs!$K$4:$AJ$4,0)))+SUMPRODUCT((Inputs!$C$5:$C$180=$B60)*Inputs!$D$5:$D$180*(((Inputs!$G$5:$G$180="moeda")+(Inputs!$G$5:$G$180="acoes"))*Inputs!$B$1+((Inputs!$G$5:$G$180&lt;&gt;"moeda")*(Inputs!$G$5:$G$180&lt;&gt;"acoes")))*INDEX(Inputs!$K$5:$AJ$180,0,MATCH(AE$2,Inputs!$K$4:$AJ$4,0)))+SUMPRODUCT((Inputs!$E$5:$E$180=$B60)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0" s="266" t="e">
        <f>IF(ISNA(MATCH(AF$2,Inputs!$K$4:$AJ$4,0)),NA(),IF(SUMPRODUCT((Inputs!$A$5:$A$180=$B60)*ISNUMBER(INDEX(Inputs!$K$5:$AJ$180,0,MATCH(AF$2,Inputs!$K$4:$AJ$4,0))))+SUMPRODUCT((Inputs!$C$5:$C$180=$B60)*ISNUMBER(INDEX(Inputs!$K$5:$AJ$180,0,MATCH(AF$2,Inputs!$K$4:$AJ$4,0))))+SUMPRODUCT((Inputs!$E$5:$E$180=$B60)*ISNUMBER(INDEX(Inputs!$K$5:$AJ$180,0,MATCH(AF$2,Inputs!$K$4:$AJ$4,0))))=0,NA(),SUMPRODUCT((Inputs!$A$5:$A$180=$B60)*Inputs!$B$5:$B$180*(((Inputs!$G$5:$G$180="moeda")+(Inputs!$G$5:$G$180="acoes"))*Inputs!$B$1+((Inputs!$G$5:$G$180&lt;&gt;"moeda")*(Inputs!$G$5:$G$180&lt;&gt;"acoes")))*INDEX(Inputs!$K$5:$AJ$180,0,MATCH(AF$2,Inputs!$K$4:$AJ$4,0)))+SUMPRODUCT((Inputs!$C$5:$C$180=$B60)*Inputs!$D$5:$D$180*(((Inputs!$G$5:$G$180="moeda")+(Inputs!$G$5:$G$180="acoes"))*Inputs!$B$1+((Inputs!$G$5:$G$180&lt;&gt;"moeda")*(Inputs!$G$5:$G$180&lt;&gt;"acoes")))*INDEX(Inputs!$K$5:$AJ$180,0,MATCH(AF$2,Inputs!$K$4:$AJ$4,0)))+SUMPRODUCT((Inputs!$E$5:$E$180=$B60)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0" s="267" t="e">
        <f>AF60</f>
        <v>#N/A</v>
      </c>
      <c r="AH60" s="266">
        <f>IF(ISNA(MATCH(AH$2,Inputs!$K$4:$AJ$4,0)),NA(),IF(SUMPRODUCT((Inputs!$A$5:$A$180=$B60)*ISNUMBER(INDEX(Inputs!$K$5:$AJ$180,0,MATCH(AH$2,Inputs!$K$4:$AJ$4,0))))+SUMPRODUCT((Inputs!$C$5:$C$180=$B60)*ISNUMBER(INDEX(Inputs!$K$5:$AJ$180,0,MATCH(AH$2,Inputs!$K$4:$AJ$4,0))))+SUMPRODUCT((Inputs!$E$5:$E$180=$B60)*ISNUMBER(INDEX(Inputs!$K$5:$AJ$180,0,MATCH(AH$2,Inputs!$K$4:$AJ$4,0))))=0,NA(),SUMPRODUCT((Inputs!$A$5:$A$180=$B60)*Inputs!$B$5:$B$180*(((Inputs!$G$5:$G$180="moeda")+(Inputs!$G$5:$G$180="acoes"))*Inputs!$B$1+((Inputs!$G$5:$G$180&lt;&gt;"moeda")*(Inputs!$G$5:$G$180&lt;&gt;"acoes")))*INDEX(Inputs!$K$5:$AJ$180,0,MATCH(AH$2,Inputs!$K$4:$AJ$4,0)))+SUMPRODUCT((Inputs!$C$5:$C$180=$B60)*Inputs!$D$5:$D$180*(((Inputs!$G$5:$G$180="moeda")+(Inputs!$G$5:$G$180="acoes"))*Inputs!$B$1+((Inputs!$G$5:$G$180&lt;&gt;"moeda")*(Inputs!$G$5:$G$180&lt;&gt;"acoes")))*INDEX(Inputs!$K$5:$AJ$180,0,MATCH(AH$2,Inputs!$K$4:$AJ$4,0)))+SUMPRODUCT((Inputs!$E$5:$E$180=$B60)*Inputs!$F$5:$F$180*(((Inputs!$G$5:$G$180="moeda")+(Inputs!$G$5:$G$180="acoes"))*Inputs!$B$1+((Inputs!$G$5:$G$180&lt;&gt;"moeda")*(Inputs!$G$5:$G$180&lt;&gt;"acoes")))*INDEX(Inputs!$K$5:$AJ$180,0,MATCH(AH$2,Inputs!$K$4:$AJ$4,0)))))</f>
        <v>201</v>
      </c>
      <c r="AI60" s="266">
        <f>IF(ISNA(MATCH(AI$2,Inputs!$K$4:$AJ$4,0)),NA(),IF(SUMPRODUCT((Inputs!$A$5:$A$180=$B60)*ISNUMBER(INDEX(Inputs!$K$5:$AJ$180,0,MATCH(AI$2,Inputs!$K$4:$AJ$4,0))))+SUMPRODUCT((Inputs!$C$5:$C$180=$B60)*ISNUMBER(INDEX(Inputs!$K$5:$AJ$180,0,MATCH(AI$2,Inputs!$K$4:$AJ$4,0))))+SUMPRODUCT((Inputs!$E$5:$E$180=$B60)*ISNUMBER(INDEX(Inputs!$K$5:$AJ$180,0,MATCH(AI$2,Inputs!$K$4:$AJ$4,0))))=0,NA(),SUMPRODUCT((Inputs!$A$5:$A$180=$B60)*Inputs!$B$5:$B$180*(((Inputs!$G$5:$G$180="moeda")+(Inputs!$G$5:$G$180="acoes"))*Inputs!$B$1+((Inputs!$G$5:$G$180&lt;&gt;"moeda")*(Inputs!$G$5:$G$180&lt;&gt;"acoes")))*INDEX(Inputs!$K$5:$AJ$180,0,MATCH(AI$2,Inputs!$K$4:$AJ$4,0)))+SUMPRODUCT((Inputs!$C$5:$C$180=$B60)*Inputs!$D$5:$D$180*(((Inputs!$G$5:$G$180="moeda")+(Inputs!$G$5:$G$180="acoes"))*Inputs!$B$1+((Inputs!$G$5:$G$180&lt;&gt;"moeda")*(Inputs!$G$5:$G$180&lt;&gt;"acoes")))*INDEX(Inputs!$K$5:$AJ$180,0,MATCH(AI$2,Inputs!$K$4:$AJ$4,0)))+SUMPRODUCT((Inputs!$E$5:$E$180=$B60)*Inputs!$F$5:$F$180*(((Inputs!$G$5:$G$180="moeda")+(Inputs!$G$5:$G$180="acoes"))*Inputs!$B$1+((Inputs!$G$5:$G$180&lt;&gt;"moeda")*(Inputs!$G$5:$G$180&lt;&gt;"acoes")))*INDEX(Inputs!$K$5:$AJ$180,0,MATCH(AI$2,Inputs!$K$4:$AJ$4,0)))))</f>
        <v>205</v>
      </c>
      <c r="AJ60" s="266">
        <f>IF(ISNA(MATCH(AJ$2,Inputs!$K$4:$AJ$4,0)),NA(),IF(SUMPRODUCT((Inputs!$A$5:$A$180=$B60)*ISNUMBER(INDEX(Inputs!$K$5:$AJ$180,0,MATCH(AJ$2,Inputs!$K$4:$AJ$4,0))))+SUMPRODUCT((Inputs!$C$5:$C$180=$B60)*ISNUMBER(INDEX(Inputs!$K$5:$AJ$180,0,MATCH(AJ$2,Inputs!$K$4:$AJ$4,0))))+SUMPRODUCT((Inputs!$E$5:$E$180=$B60)*ISNUMBER(INDEX(Inputs!$K$5:$AJ$180,0,MATCH(AJ$2,Inputs!$K$4:$AJ$4,0))))=0,NA(),SUMPRODUCT((Inputs!$A$5:$A$180=$B60)*Inputs!$B$5:$B$180*(((Inputs!$G$5:$G$180="moeda")+(Inputs!$G$5:$G$180="acoes"))*Inputs!$B$1+((Inputs!$G$5:$G$180&lt;&gt;"moeda")*(Inputs!$G$5:$G$180&lt;&gt;"acoes")))*INDEX(Inputs!$K$5:$AJ$180,0,MATCH(AJ$2,Inputs!$K$4:$AJ$4,0)))+SUMPRODUCT((Inputs!$C$5:$C$180=$B60)*Inputs!$D$5:$D$180*(((Inputs!$G$5:$G$180="moeda")+(Inputs!$G$5:$G$180="acoes"))*Inputs!$B$1+((Inputs!$G$5:$G$180&lt;&gt;"moeda")*(Inputs!$G$5:$G$180&lt;&gt;"acoes")))*INDEX(Inputs!$K$5:$AJ$180,0,MATCH(AJ$2,Inputs!$K$4:$AJ$4,0)))+SUMPRODUCT((Inputs!$E$5:$E$180=$B60)*Inputs!$F$5:$F$180*(((Inputs!$G$5:$G$180="moeda")+(Inputs!$G$5:$G$180="acoes"))*Inputs!$B$1+((Inputs!$G$5:$G$180&lt;&gt;"moeda")*(Inputs!$G$5:$G$180&lt;&gt;"acoes")))*INDEX(Inputs!$K$5:$AJ$180,0,MATCH(AJ$2,Inputs!$K$4:$AJ$4,0)))))</f>
        <v>207</v>
      </c>
      <c r="AK60" s="266">
        <f>IF(ISNA(MATCH(AK$2,Inputs!$K$4:$AJ$4,0)),NA(),IF(SUMPRODUCT((Inputs!$A$5:$A$180=$B60)*ISNUMBER(INDEX(Inputs!$K$5:$AJ$180,0,MATCH(AK$2,Inputs!$K$4:$AJ$4,0))))+SUMPRODUCT((Inputs!$C$5:$C$180=$B60)*ISNUMBER(INDEX(Inputs!$K$5:$AJ$180,0,MATCH(AK$2,Inputs!$K$4:$AJ$4,0))))+SUMPRODUCT((Inputs!$E$5:$E$180=$B60)*ISNUMBER(INDEX(Inputs!$K$5:$AJ$180,0,MATCH(AK$2,Inputs!$K$4:$AJ$4,0))))=0,NA(),SUMPRODUCT((Inputs!$A$5:$A$180=$B60)*Inputs!$B$5:$B$180*(((Inputs!$G$5:$G$180="moeda")+(Inputs!$G$5:$G$180="acoes"))*Inputs!$B$1+((Inputs!$G$5:$G$180&lt;&gt;"moeda")*(Inputs!$G$5:$G$180&lt;&gt;"acoes")))*INDEX(Inputs!$K$5:$AJ$180,0,MATCH(AK$2,Inputs!$K$4:$AJ$4,0)))+SUMPRODUCT((Inputs!$C$5:$C$180=$B60)*Inputs!$D$5:$D$180*(((Inputs!$G$5:$G$180="moeda")+(Inputs!$G$5:$G$180="acoes"))*Inputs!$B$1+((Inputs!$G$5:$G$180&lt;&gt;"moeda")*(Inputs!$G$5:$G$180&lt;&gt;"acoes")))*INDEX(Inputs!$K$5:$AJ$180,0,MATCH(AK$2,Inputs!$K$4:$AJ$4,0)))+SUMPRODUCT((Inputs!$E$5:$E$180=$B60)*Inputs!$F$5:$F$180*(((Inputs!$G$5:$G$180="moeda")+(Inputs!$G$5:$G$180="acoes"))*Inputs!$B$1+((Inputs!$G$5:$G$180&lt;&gt;"moeda")*(Inputs!$G$5:$G$180&lt;&gt;"acoes")))*INDEX(Inputs!$K$5:$AJ$180,0,MATCH(AK$2,Inputs!$K$4:$AJ$4,0)))))</f>
        <v>208</v>
      </c>
      <c r="AL60" s="267">
        <f>AK60</f>
        <v>208</v>
      </c>
    </row>
    <row r="61">
      <c r="B61" s="46" t="n">
        <v>53</v>
      </c>
      <c r="C61" s="29" t="inlineStr">
        <is>
          <t>Numero de lojas Life - fim do periodo (l.11)</t>
        </is>
      </c>
      <c r="D61" s="266">
        <f>IF(ISNA(MATCH(D$2,Inputs!$K$4:$AJ$4,0)),NA(),IF(SUMPRODUCT((Inputs!$A$5:$A$180=$B61)*ISNUMBER(INDEX(Inputs!$K$5:$AJ$180,0,MATCH(D$2,Inputs!$K$4:$AJ$4,0))))+SUMPRODUCT((Inputs!$C$5:$C$180=$B61)*ISNUMBER(INDEX(Inputs!$K$5:$AJ$180,0,MATCH(D$2,Inputs!$K$4:$AJ$4,0))))+SUMPRODUCT((Inputs!$E$5:$E$180=$B61)*ISNUMBER(INDEX(Inputs!$K$5:$AJ$180,0,MATCH(D$2,Inputs!$K$4:$AJ$4,0))))=0,NA(),SUMPRODUCT((Inputs!$A$5:$A$180=$B61)*Inputs!$B$5:$B$180*(((Inputs!$G$5:$G$180="moeda")+(Inputs!$G$5:$G$180="acoes"))*Inputs!$B$1+((Inputs!$G$5:$G$180&lt;&gt;"moeda")*(Inputs!$G$5:$G$180&lt;&gt;"acoes")))*INDEX(Inputs!$K$5:$AJ$180,0,MATCH(D$2,Inputs!$K$4:$AJ$4,0)))+SUMPRODUCT((Inputs!$C$5:$C$180=$B61)*Inputs!$D$5:$D$180*(((Inputs!$G$5:$G$180="moeda")+(Inputs!$G$5:$G$180="acoes"))*Inputs!$B$1+((Inputs!$G$5:$G$180&lt;&gt;"moeda")*(Inputs!$G$5:$G$180&lt;&gt;"acoes")))*INDEX(Inputs!$K$5:$AJ$180,0,MATCH(D$2,Inputs!$K$4:$AJ$4,0)))+SUMPRODUCT((Inputs!$E$5:$E$180=$B61)*Inputs!$F$5:$F$180*(((Inputs!$G$5:$G$180="moeda")+(Inputs!$G$5:$G$180="acoes"))*Inputs!$B$1+((Inputs!$G$5:$G$180&lt;&gt;"moeda")*(Inputs!$G$5:$G$180&lt;&gt;"acoes")))*INDEX(Inputs!$K$5:$AJ$180,0,MATCH(D$2,Inputs!$K$4:$AJ$4,0)))))</f>
        <v>13</v>
      </c>
      <c r="E61" s="266">
        <f>IF(ISNA(MATCH(E$2,Inputs!$K$4:$AJ$4,0)),NA(),IF(SUMPRODUCT((Inputs!$A$5:$A$180=$B61)*ISNUMBER(INDEX(Inputs!$K$5:$AJ$180,0,MATCH(E$2,Inputs!$K$4:$AJ$4,0))))+SUMPRODUCT((Inputs!$C$5:$C$180=$B61)*ISNUMBER(INDEX(Inputs!$K$5:$AJ$180,0,MATCH(E$2,Inputs!$K$4:$AJ$4,0))))+SUMPRODUCT((Inputs!$E$5:$E$180=$B61)*ISNUMBER(INDEX(Inputs!$K$5:$AJ$180,0,MATCH(E$2,Inputs!$K$4:$AJ$4,0))))=0,NA(),SUMPRODUCT((Inputs!$A$5:$A$180=$B61)*Inputs!$B$5:$B$180*(((Inputs!$G$5:$G$180="moeda")+(Inputs!$G$5:$G$180="acoes"))*Inputs!$B$1+((Inputs!$G$5:$G$180&lt;&gt;"moeda")*(Inputs!$G$5:$G$180&lt;&gt;"acoes")))*INDEX(Inputs!$K$5:$AJ$180,0,MATCH(E$2,Inputs!$K$4:$AJ$4,0)))+SUMPRODUCT((Inputs!$C$5:$C$180=$B61)*Inputs!$D$5:$D$180*(((Inputs!$G$5:$G$180="moeda")+(Inputs!$G$5:$G$180="acoes"))*Inputs!$B$1+((Inputs!$G$5:$G$180&lt;&gt;"moeda")*(Inputs!$G$5:$G$180&lt;&gt;"acoes")))*INDEX(Inputs!$K$5:$AJ$180,0,MATCH(E$2,Inputs!$K$4:$AJ$4,0)))+SUMPRODUCT((Inputs!$E$5:$E$180=$B61)*Inputs!$F$5:$F$180*(((Inputs!$G$5:$G$180="moeda")+(Inputs!$G$5:$G$180="acoes"))*Inputs!$B$1+((Inputs!$G$5:$G$180&lt;&gt;"moeda")*(Inputs!$G$5:$G$180&lt;&gt;"acoes")))*INDEX(Inputs!$K$5:$AJ$180,0,MATCH(E$2,Inputs!$K$4:$AJ$4,0)))))</f>
        <v>14</v>
      </c>
      <c r="F61" s="266">
        <f>IF(ISNA(MATCH(F$2,Inputs!$K$4:$AJ$4,0)),NA(),IF(SUMPRODUCT((Inputs!$A$5:$A$180=$B61)*ISNUMBER(INDEX(Inputs!$K$5:$AJ$180,0,MATCH(F$2,Inputs!$K$4:$AJ$4,0))))+SUMPRODUCT((Inputs!$C$5:$C$180=$B61)*ISNUMBER(INDEX(Inputs!$K$5:$AJ$180,0,MATCH(F$2,Inputs!$K$4:$AJ$4,0))))+SUMPRODUCT((Inputs!$E$5:$E$180=$B61)*ISNUMBER(INDEX(Inputs!$K$5:$AJ$180,0,MATCH(F$2,Inputs!$K$4:$AJ$4,0))))=0,NA(),SUMPRODUCT((Inputs!$A$5:$A$180=$B61)*Inputs!$B$5:$B$180*(((Inputs!$G$5:$G$180="moeda")+(Inputs!$G$5:$G$180="acoes"))*Inputs!$B$1+((Inputs!$G$5:$G$180&lt;&gt;"moeda")*(Inputs!$G$5:$G$180&lt;&gt;"acoes")))*INDEX(Inputs!$K$5:$AJ$180,0,MATCH(F$2,Inputs!$K$4:$AJ$4,0)))+SUMPRODUCT((Inputs!$C$5:$C$180=$B61)*Inputs!$D$5:$D$180*(((Inputs!$G$5:$G$180="moeda")+(Inputs!$G$5:$G$180="acoes"))*Inputs!$B$1+((Inputs!$G$5:$G$180&lt;&gt;"moeda")*(Inputs!$G$5:$G$180&lt;&gt;"acoes")))*INDEX(Inputs!$K$5:$AJ$180,0,MATCH(F$2,Inputs!$K$4:$AJ$4,0)))+SUMPRODUCT((Inputs!$E$5:$E$180=$B61)*Inputs!$F$5:$F$180*(((Inputs!$G$5:$G$180="moeda")+(Inputs!$G$5:$G$180="acoes"))*Inputs!$B$1+((Inputs!$G$5:$G$180&lt;&gt;"moeda")*(Inputs!$G$5:$G$180&lt;&gt;"acoes")))*INDEX(Inputs!$K$5:$AJ$180,0,MATCH(F$2,Inputs!$K$4:$AJ$4,0)))))</f>
        <v>19</v>
      </c>
      <c r="G61" s="266">
        <f>IF(ISNA(MATCH(G$2,Inputs!$K$4:$AJ$4,0)),NA(),IF(SUMPRODUCT((Inputs!$A$5:$A$180=$B61)*ISNUMBER(INDEX(Inputs!$K$5:$AJ$180,0,MATCH(G$2,Inputs!$K$4:$AJ$4,0))))+SUMPRODUCT((Inputs!$C$5:$C$180=$B61)*ISNUMBER(INDEX(Inputs!$K$5:$AJ$180,0,MATCH(G$2,Inputs!$K$4:$AJ$4,0))))+SUMPRODUCT((Inputs!$E$5:$E$180=$B61)*ISNUMBER(INDEX(Inputs!$K$5:$AJ$180,0,MATCH(G$2,Inputs!$K$4:$AJ$4,0))))=0,NA(),SUMPRODUCT((Inputs!$A$5:$A$180=$B61)*Inputs!$B$5:$B$180*(((Inputs!$G$5:$G$180="moeda")+(Inputs!$G$5:$G$180="acoes"))*Inputs!$B$1+((Inputs!$G$5:$G$180&lt;&gt;"moeda")*(Inputs!$G$5:$G$180&lt;&gt;"acoes")))*INDEX(Inputs!$K$5:$AJ$180,0,MATCH(G$2,Inputs!$K$4:$AJ$4,0)))+SUMPRODUCT((Inputs!$C$5:$C$180=$B61)*Inputs!$D$5:$D$180*(((Inputs!$G$5:$G$180="moeda")+(Inputs!$G$5:$G$180="acoes"))*Inputs!$B$1+((Inputs!$G$5:$G$180&lt;&gt;"moeda")*(Inputs!$G$5:$G$180&lt;&gt;"acoes")))*INDEX(Inputs!$K$5:$AJ$180,0,MATCH(G$2,Inputs!$K$4:$AJ$4,0)))+SUMPRODUCT((Inputs!$E$5:$E$180=$B61)*Inputs!$F$5:$F$180*(((Inputs!$G$5:$G$180="moeda")+(Inputs!$G$5:$G$180="acoes"))*Inputs!$B$1+((Inputs!$G$5:$G$180&lt;&gt;"moeda")*(Inputs!$G$5:$G$180&lt;&gt;"acoes")))*INDEX(Inputs!$K$5:$AJ$180,0,MATCH(G$2,Inputs!$K$4:$AJ$4,0)))))</f>
        <v>33</v>
      </c>
      <c r="H61" s="267">
        <f>G61</f>
        <v>33</v>
      </c>
      <c r="I61" s="266">
        <f>IF(ISNA(MATCH(I$2,Inputs!$K$4:$AJ$4,0)),NA(),IF(SUMPRODUCT((Inputs!$A$5:$A$180=$B61)*ISNUMBER(INDEX(Inputs!$K$5:$AJ$180,0,MATCH(I$2,Inputs!$K$4:$AJ$4,0))))+SUMPRODUCT((Inputs!$C$5:$C$180=$B61)*ISNUMBER(INDEX(Inputs!$K$5:$AJ$180,0,MATCH(I$2,Inputs!$K$4:$AJ$4,0))))+SUMPRODUCT((Inputs!$E$5:$E$180=$B61)*ISNUMBER(INDEX(Inputs!$K$5:$AJ$180,0,MATCH(I$2,Inputs!$K$4:$AJ$4,0))))=0,NA(),SUMPRODUCT((Inputs!$A$5:$A$180=$B61)*Inputs!$B$5:$B$180*(((Inputs!$G$5:$G$180="moeda")+(Inputs!$G$5:$G$180="acoes"))*Inputs!$B$1+((Inputs!$G$5:$G$180&lt;&gt;"moeda")*(Inputs!$G$5:$G$180&lt;&gt;"acoes")))*INDEX(Inputs!$K$5:$AJ$180,0,MATCH(I$2,Inputs!$K$4:$AJ$4,0)))+SUMPRODUCT((Inputs!$C$5:$C$180=$B61)*Inputs!$D$5:$D$180*(((Inputs!$G$5:$G$180="moeda")+(Inputs!$G$5:$G$180="acoes"))*Inputs!$B$1+((Inputs!$G$5:$G$180&lt;&gt;"moeda")*(Inputs!$G$5:$G$180&lt;&gt;"acoes")))*INDEX(Inputs!$K$5:$AJ$180,0,MATCH(I$2,Inputs!$K$4:$AJ$4,0)))+SUMPRODUCT((Inputs!$E$5:$E$180=$B61)*Inputs!$F$5:$F$180*(((Inputs!$G$5:$G$180="moeda")+(Inputs!$G$5:$G$180="acoes"))*Inputs!$B$1+((Inputs!$G$5:$G$180&lt;&gt;"moeda")*(Inputs!$G$5:$G$180&lt;&gt;"acoes")))*INDEX(Inputs!$K$5:$AJ$180,0,MATCH(I$2,Inputs!$K$4:$AJ$4,0)))))</f>
        <v>35</v>
      </c>
      <c r="J61" s="266">
        <f>IF(ISNA(MATCH(J$2,Inputs!$K$4:$AJ$4,0)),NA(),IF(SUMPRODUCT((Inputs!$A$5:$A$180=$B61)*ISNUMBER(INDEX(Inputs!$K$5:$AJ$180,0,MATCH(J$2,Inputs!$K$4:$AJ$4,0))))+SUMPRODUCT((Inputs!$C$5:$C$180=$B61)*ISNUMBER(INDEX(Inputs!$K$5:$AJ$180,0,MATCH(J$2,Inputs!$K$4:$AJ$4,0))))+SUMPRODUCT((Inputs!$E$5:$E$180=$B61)*ISNUMBER(INDEX(Inputs!$K$5:$AJ$180,0,MATCH(J$2,Inputs!$K$4:$AJ$4,0))))=0,NA(),SUMPRODUCT((Inputs!$A$5:$A$180=$B61)*Inputs!$B$5:$B$180*(((Inputs!$G$5:$G$180="moeda")+(Inputs!$G$5:$G$180="acoes"))*Inputs!$B$1+((Inputs!$G$5:$G$180&lt;&gt;"moeda")*(Inputs!$G$5:$G$180&lt;&gt;"acoes")))*INDEX(Inputs!$K$5:$AJ$180,0,MATCH(J$2,Inputs!$K$4:$AJ$4,0)))+SUMPRODUCT((Inputs!$C$5:$C$180=$B61)*Inputs!$D$5:$D$180*(((Inputs!$G$5:$G$180="moeda")+(Inputs!$G$5:$G$180="acoes"))*Inputs!$B$1+((Inputs!$G$5:$G$180&lt;&gt;"moeda")*(Inputs!$G$5:$G$180&lt;&gt;"acoes")))*INDEX(Inputs!$K$5:$AJ$180,0,MATCH(J$2,Inputs!$K$4:$AJ$4,0)))+SUMPRODUCT((Inputs!$E$5:$E$180=$B61)*Inputs!$F$5:$F$180*(((Inputs!$G$5:$G$180="moeda")+(Inputs!$G$5:$G$180="acoes"))*Inputs!$B$1+((Inputs!$G$5:$G$180&lt;&gt;"moeda")*(Inputs!$G$5:$G$180&lt;&gt;"acoes")))*INDEX(Inputs!$K$5:$AJ$180,0,MATCH(J$2,Inputs!$K$4:$AJ$4,0)))))</f>
        <v>43</v>
      </c>
      <c r="K61" s="266">
        <f>IF(ISNA(MATCH(K$2,Inputs!$K$4:$AJ$4,0)),NA(),IF(SUMPRODUCT((Inputs!$A$5:$A$180=$B61)*ISNUMBER(INDEX(Inputs!$K$5:$AJ$180,0,MATCH(K$2,Inputs!$K$4:$AJ$4,0))))+SUMPRODUCT((Inputs!$C$5:$C$180=$B61)*ISNUMBER(INDEX(Inputs!$K$5:$AJ$180,0,MATCH(K$2,Inputs!$K$4:$AJ$4,0))))+SUMPRODUCT((Inputs!$E$5:$E$180=$B61)*ISNUMBER(INDEX(Inputs!$K$5:$AJ$180,0,MATCH(K$2,Inputs!$K$4:$AJ$4,0))))=0,NA(),SUMPRODUCT((Inputs!$A$5:$A$180=$B61)*Inputs!$B$5:$B$180*(((Inputs!$G$5:$G$180="moeda")+(Inputs!$G$5:$G$180="acoes"))*Inputs!$B$1+((Inputs!$G$5:$G$180&lt;&gt;"moeda")*(Inputs!$G$5:$G$180&lt;&gt;"acoes")))*INDEX(Inputs!$K$5:$AJ$180,0,MATCH(K$2,Inputs!$K$4:$AJ$4,0)))+SUMPRODUCT((Inputs!$C$5:$C$180=$B61)*Inputs!$D$5:$D$180*(((Inputs!$G$5:$G$180="moeda")+(Inputs!$G$5:$G$180="acoes"))*Inputs!$B$1+((Inputs!$G$5:$G$180&lt;&gt;"moeda")*(Inputs!$G$5:$G$180&lt;&gt;"acoes")))*INDEX(Inputs!$K$5:$AJ$180,0,MATCH(K$2,Inputs!$K$4:$AJ$4,0)))+SUMPRODUCT((Inputs!$E$5:$E$180=$B61)*Inputs!$F$5:$F$180*(((Inputs!$G$5:$G$180="moeda")+(Inputs!$G$5:$G$180="acoes"))*Inputs!$B$1+((Inputs!$G$5:$G$180&lt;&gt;"moeda")*(Inputs!$G$5:$G$180&lt;&gt;"acoes")))*INDEX(Inputs!$K$5:$AJ$180,0,MATCH(K$2,Inputs!$K$4:$AJ$4,0)))))</f>
        <v>56</v>
      </c>
      <c r="L61" s="266">
        <f>IF(ISNA(MATCH(L$2,Inputs!$K$4:$AJ$4,0)),NA(),IF(SUMPRODUCT((Inputs!$A$5:$A$180=$B61)*ISNUMBER(INDEX(Inputs!$K$5:$AJ$180,0,MATCH(L$2,Inputs!$K$4:$AJ$4,0))))+SUMPRODUCT((Inputs!$C$5:$C$180=$B61)*ISNUMBER(INDEX(Inputs!$K$5:$AJ$180,0,MATCH(L$2,Inputs!$K$4:$AJ$4,0))))+SUMPRODUCT((Inputs!$E$5:$E$180=$B61)*ISNUMBER(INDEX(Inputs!$K$5:$AJ$180,0,MATCH(L$2,Inputs!$K$4:$AJ$4,0))))=0,NA(),SUMPRODUCT((Inputs!$A$5:$A$180=$B61)*Inputs!$B$5:$B$180*(((Inputs!$G$5:$G$180="moeda")+(Inputs!$G$5:$G$180="acoes"))*Inputs!$B$1+((Inputs!$G$5:$G$180&lt;&gt;"moeda")*(Inputs!$G$5:$G$180&lt;&gt;"acoes")))*INDEX(Inputs!$K$5:$AJ$180,0,MATCH(L$2,Inputs!$K$4:$AJ$4,0)))+SUMPRODUCT((Inputs!$C$5:$C$180=$B61)*Inputs!$D$5:$D$180*(((Inputs!$G$5:$G$180="moeda")+(Inputs!$G$5:$G$180="acoes"))*Inputs!$B$1+((Inputs!$G$5:$G$180&lt;&gt;"moeda")*(Inputs!$G$5:$G$180&lt;&gt;"acoes")))*INDEX(Inputs!$K$5:$AJ$180,0,MATCH(L$2,Inputs!$K$4:$AJ$4,0)))+SUMPRODUCT((Inputs!$E$5:$E$180=$B61)*Inputs!$F$5:$F$180*(((Inputs!$G$5:$G$180="moeda")+(Inputs!$G$5:$G$180="acoes"))*Inputs!$B$1+((Inputs!$G$5:$G$180&lt;&gt;"moeda")*(Inputs!$G$5:$G$180&lt;&gt;"acoes")))*INDEX(Inputs!$K$5:$AJ$180,0,MATCH(L$2,Inputs!$K$4:$AJ$4,0)))))</f>
        <v>72</v>
      </c>
      <c r="M61" s="267">
        <f>L61</f>
        <v>72</v>
      </c>
      <c r="N61" s="266">
        <f>IF(ISNA(MATCH(N$2,Inputs!$K$4:$AJ$4,0)),NA(),IF(SUMPRODUCT((Inputs!$A$5:$A$180=$B61)*ISNUMBER(INDEX(Inputs!$K$5:$AJ$180,0,MATCH(N$2,Inputs!$K$4:$AJ$4,0))))+SUMPRODUCT((Inputs!$C$5:$C$180=$B61)*ISNUMBER(INDEX(Inputs!$K$5:$AJ$180,0,MATCH(N$2,Inputs!$K$4:$AJ$4,0))))+SUMPRODUCT((Inputs!$E$5:$E$180=$B61)*ISNUMBER(INDEX(Inputs!$K$5:$AJ$180,0,MATCH(N$2,Inputs!$K$4:$AJ$4,0))))=0,NA(),SUMPRODUCT((Inputs!$A$5:$A$180=$B61)*Inputs!$B$5:$B$180*(((Inputs!$G$5:$G$180="moeda")+(Inputs!$G$5:$G$180="acoes"))*Inputs!$B$1+((Inputs!$G$5:$G$180&lt;&gt;"moeda")*(Inputs!$G$5:$G$180&lt;&gt;"acoes")))*INDEX(Inputs!$K$5:$AJ$180,0,MATCH(N$2,Inputs!$K$4:$AJ$4,0)))+SUMPRODUCT((Inputs!$C$5:$C$180=$B61)*Inputs!$D$5:$D$180*(((Inputs!$G$5:$G$180="moeda")+(Inputs!$G$5:$G$180="acoes"))*Inputs!$B$1+((Inputs!$G$5:$G$180&lt;&gt;"moeda")*(Inputs!$G$5:$G$180&lt;&gt;"acoes")))*INDEX(Inputs!$K$5:$AJ$180,0,MATCH(N$2,Inputs!$K$4:$AJ$4,0)))+SUMPRODUCT((Inputs!$E$5:$E$180=$B61)*Inputs!$F$5:$F$180*(((Inputs!$G$5:$G$180="moeda")+(Inputs!$G$5:$G$180="acoes"))*Inputs!$B$1+((Inputs!$G$5:$G$180&lt;&gt;"moeda")*(Inputs!$G$5:$G$180&lt;&gt;"acoes")))*INDEX(Inputs!$K$5:$AJ$180,0,MATCH(N$2,Inputs!$K$4:$AJ$4,0)))))</f>
        <v>77</v>
      </c>
      <c r="O61" s="266">
        <f>IF(ISNA(MATCH(O$2,Inputs!$K$4:$AJ$4,0)),NA(),IF(SUMPRODUCT((Inputs!$A$5:$A$180=$B61)*ISNUMBER(INDEX(Inputs!$K$5:$AJ$180,0,MATCH(O$2,Inputs!$K$4:$AJ$4,0))))+SUMPRODUCT((Inputs!$C$5:$C$180=$B61)*ISNUMBER(INDEX(Inputs!$K$5:$AJ$180,0,MATCH(O$2,Inputs!$K$4:$AJ$4,0))))+SUMPRODUCT((Inputs!$E$5:$E$180=$B61)*ISNUMBER(INDEX(Inputs!$K$5:$AJ$180,0,MATCH(O$2,Inputs!$K$4:$AJ$4,0))))=0,NA(),SUMPRODUCT((Inputs!$A$5:$A$180=$B61)*Inputs!$B$5:$B$180*(((Inputs!$G$5:$G$180="moeda")+(Inputs!$G$5:$G$180="acoes"))*Inputs!$B$1+((Inputs!$G$5:$G$180&lt;&gt;"moeda")*(Inputs!$G$5:$G$180&lt;&gt;"acoes")))*INDEX(Inputs!$K$5:$AJ$180,0,MATCH(O$2,Inputs!$K$4:$AJ$4,0)))+SUMPRODUCT((Inputs!$C$5:$C$180=$B61)*Inputs!$D$5:$D$180*(((Inputs!$G$5:$G$180="moeda")+(Inputs!$G$5:$G$180="acoes"))*Inputs!$B$1+((Inputs!$G$5:$G$180&lt;&gt;"moeda")*(Inputs!$G$5:$G$180&lt;&gt;"acoes")))*INDEX(Inputs!$K$5:$AJ$180,0,MATCH(O$2,Inputs!$K$4:$AJ$4,0)))+SUMPRODUCT((Inputs!$E$5:$E$180=$B61)*Inputs!$F$5:$F$180*(((Inputs!$G$5:$G$180="moeda")+(Inputs!$G$5:$G$180="acoes"))*Inputs!$B$1+((Inputs!$G$5:$G$180&lt;&gt;"moeda")*(Inputs!$G$5:$G$180&lt;&gt;"acoes")))*INDEX(Inputs!$K$5:$AJ$180,0,MATCH(O$2,Inputs!$K$4:$AJ$4,0)))))</f>
        <v>84</v>
      </c>
      <c r="P61" s="266">
        <f>IF(ISNA(MATCH(P$2,Inputs!$K$4:$AJ$4,0)),NA(),IF(SUMPRODUCT((Inputs!$A$5:$A$180=$B61)*ISNUMBER(INDEX(Inputs!$K$5:$AJ$180,0,MATCH(P$2,Inputs!$K$4:$AJ$4,0))))+SUMPRODUCT((Inputs!$C$5:$C$180=$B61)*ISNUMBER(INDEX(Inputs!$K$5:$AJ$180,0,MATCH(P$2,Inputs!$K$4:$AJ$4,0))))+SUMPRODUCT((Inputs!$E$5:$E$180=$B61)*ISNUMBER(INDEX(Inputs!$K$5:$AJ$180,0,MATCH(P$2,Inputs!$K$4:$AJ$4,0))))=0,NA(),SUMPRODUCT((Inputs!$A$5:$A$180=$B61)*Inputs!$B$5:$B$180*(((Inputs!$G$5:$G$180="moeda")+(Inputs!$G$5:$G$180="acoes"))*Inputs!$B$1+((Inputs!$G$5:$G$180&lt;&gt;"moeda")*(Inputs!$G$5:$G$180&lt;&gt;"acoes")))*INDEX(Inputs!$K$5:$AJ$180,0,MATCH(P$2,Inputs!$K$4:$AJ$4,0)))+SUMPRODUCT((Inputs!$C$5:$C$180=$B61)*Inputs!$D$5:$D$180*(((Inputs!$G$5:$G$180="moeda")+(Inputs!$G$5:$G$180="acoes"))*Inputs!$B$1+((Inputs!$G$5:$G$180&lt;&gt;"moeda")*(Inputs!$G$5:$G$180&lt;&gt;"acoes")))*INDEX(Inputs!$K$5:$AJ$180,0,MATCH(P$2,Inputs!$K$4:$AJ$4,0)))+SUMPRODUCT((Inputs!$E$5:$E$180=$B61)*Inputs!$F$5:$F$180*(((Inputs!$G$5:$G$180="moeda")+(Inputs!$G$5:$G$180="acoes"))*Inputs!$B$1+((Inputs!$G$5:$G$180&lt;&gt;"moeda")*(Inputs!$G$5:$G$180&lt;&gt;"acoes")))*INDEX(Inputs!$K$5:$AJ$180,0,MATCH(P$2,Inputs!$K$4:$AJ$4,0)))))</f>
        <v>98</v>
      </c>
      <c r="Q61" s="266">
        <f>IF(ISNA(MATCH(Q$2,Inputs!$K$4:$AJ$4,0)),NA(),IF(SUMPRODUCT((Inputs!$A$5:$A$180=$B61)*ISNUMBER(INDEX(Inputs!$K$5:$AJ$180,0,MATCH(Q$2,Inputs!$K$4:$AJ$4,0))))+SUMPRODUCT((Inputs!$C$5:$C$180=$B61)*ISNUMBER(INDEX(Inputs!$K$5:$AJ$180,0,MATCH(Q$2,Inputs!$K$4:$AJ$4,0))))+SUMPRODUCT((Inputs!$E$5:$E$180=$B61)*ISNUMBER(INDEX(Inputs!$K$5:$AJ$180,0,MATCH(Q$2,Inputs!$K$4:$AJ$4,0))))=0,NA(),SUMPRODUCT((Inputs!$A$5:$A$180=$B61)*Inputs!$B$5:$B$180*(((Inputs!$G$5:$G$180="moeda")+(Inputs!$G$5:$G$180="acoes"))*Inputs!$B$1+((Inputs!$G$5:$G$180&lt;&gt;"moeda")*(Inputs!$G$5:$G$180&lt;&gt;"acoes")))*INDEX(Inputs!$K$5:$AJ$180,0,MATCH(Q$2,Inputs!$K$4:$AJ$4,0)))+SUMPRODUCT((Inputs!$C$5:$C$180=$B61)*Inputs!$D$5:$D$180*(((Inputs!$G$5:$G$180="moeda")+(Inputs!$G$5:$G$180="acoes"))*Inputs!$B$1+((Inputs!$G$5:$G$180&lt;&gt;"moeda")*(Inputs!$G$5:$G$180&lt;&gt;"acoes")))*INDEX(Inputs!$K$5:$AJ$180,0,MATCH(Q$2,Inputs!$K$4:$AJ$4,0)))+SUMPRODUCT((Inputs!$E$5:$E$180=$B61)*Inputs!$F$5:$F$180*(((Inputs!$G$5:$G$180="moeda")+(Inputs!$G$5:$G$180="acoes"))*Inputs!$B$1+((Inputs!$G$5:$G$180&lt;&gt;"moeda")*(Inputs!$G$5:$G$180&lt;&gt;"acoes")))*INDEX(Inputs!$K$5:$AJ$180,0,MATCH(Q$2,Inputs!$K$4:$AJ$4,0)))))</f>
        <v>117</v>
      </c>
      <c r="R61" s="267">
        <f>Q61</f>
        <v>117</v>
      </c>
      <c r="S61" s="266">
        <f>IF(ISNA(MATCH(S$2,Inputs!$K$4:$AJ$4,0)),NA(),IF(SUMPRODUCT((Inputs!$A$5:$A$180=$B61)*ISNUMBER(INDEX(Inputs!$K$5:$AJ$180,0,MATCH(S$2,Inputs!$K$4:$AJ$4,0))))+SUMPRODUCT((Inputs!$C$5:$C$180=$B61)*ISNUMBER(INDEX(Inputs!$K$5:$AJ$180,0,MATCH(S$2,Inputs!$K$4:$AJ$4,0))))+SUMPRODUCT((Inputs!$E$5:$E$180=$B61)*ISNUMBER(INDEX(Inputs!$K$5:$AJ$180,0,MATCH(S$2,Inputs!$K$4:$AJ$4,0))))=0,NA(),SUMPRODUCT((Inputs!$A$5:$A$180=$B61)*Inputs!$B$5:$B$180*(((Inputs!$G$5:$G$180="moeda")+(Inputs!$G$5:$G$180="acoes"))*Inputs!$B$1+((Inputs!$G$5:$G$180&lt;&gt;"moeda")*(Inputs!$G$5:$G$180&lt;&gt;"acoes")))*INDEX(Inputs!$K$5:$AJ$180,0,MATCH(S$2,Inputs!$K$4:$AJ$4,0)))+SUMPRODUCT((Inputs!$C$5:$C$180=$B61)*Inputs!$D$5:$D$180*(((Inputs!$G$5:$G$180="moeda")+(Inputs!$G$5:$G$180="acoes"))*Inputs!$B$1+((Inputs!$G$5:$G$180&lt;&gt;"moeda")*(Inputs!$G$5:$G$180&lt;&gt;"acoes")))*INDEX(Inputs!$K$5:$AJ$180,0,MATCH(S$2,Inputs!$K$4:$AJ$4,0)))+SUMPRODUCT((Inputs!$E$5:$E$180=$B61)*Inputs!$F$5:$F$180*(((Inputs!$G$5:$G$180="moeda")+(Inputs!$G$5:$G$180="acoes"))*Inputs!$B$1+((Inputs!$G$5:$G$180&lt;&gt;"moeda")*(Inputs!$G$5:$G$180&lt;&gt;"acoes")))*INDEX(Inputs!$K$5:$AJ$180,0,MATCH(S$2,Inputs!$K$4:$AJ$4,0)))))</f>
        <v>131</v>
      </c>
      <c r="T61" s="266">
        <f>IF(ISNA(MATCH(T$2,Inputs!$K$4:$AJ$4,0)),NA(),IF(SUMPRODUCT((Inputs!$A$5:$A$180=$B61)*ISNUMBER(INDEX(Inputs!$K$5:$AJ$180,0,MATCH(T$2,Inputs!$K$4:$AJ$4,0))))+SUMPRODUCT((Inputs!$C$5:$C$180=$B61)*ISNUMBER(INDEX(Inputs!$K$5:$AJ$180,0,MATCH(T$2,Inputs!$K$4:$AJ$4,0))))+SUMPRODUCT((Inputs!$E$5:$E$180=$B61)*ISNUMBER(INDEX(Inputs!$K$5:$AJ$180,0,MATCH(T$2,Inputs!$K$4:$AJ$4,0))))=0,NA(),SUMPRODUCT((Inputs!$A$5:$A$180=$B61)*Inputs!$B$5:$B$180*(((Inputs!$G$5:$G$180="moeda")+(Inputs!$G$5:$G$180="acoes"))*Inputs!$B$1+((Inputs!$G$5:$G$180&lt;&gt;"moeda")*(Inputs!$G$5:$G$180&lt;&gt;"acoes")))*INDEX(Inputs!$K$5:$AJ$180,0,MATCH(T$2,Inputs!$K$4:$AJ$4,0)))+SUMPRODUCT((Inputs!$C$5:$C$180=$B61)*Inputs!$D$5:$D$180*(((Inputs!$G$5:$G$180="moeda")+(Inputs!$G$5:$G$180="acoes"))*Inputs!$B$1+((Inputs!$G$5:$G$180&lt;&gt;"moeda")*(Inputs!$G$5:$G$180&lt;&gt;"acoes")))*INDEX(Inputs!$K$5:$AJ$180,0,MATCH(T$2,Inputs!$K$4:$AJ$4,0)))+SUMPRODUCT((Inputs!$E$5:$E$180=$B61)*Inputs!$F$5:$F$180*(((Inputs!$G$5:$G$180="moeda")+(Inputs!$G$5:$G$180="acoes"))*Inputs!$B$1+((Inputs!$G$5:$G$180&lt;&gt;"moeda")*(Inputs!$G$5:$G$180&lt;&gt;"acoes")))*INDEX(Inputs!$K$5:$AJ$180,0,MATCH(T$2,Inputs!$K$4:$AJ$4,0)))))</f>
        <v>149</v>
      </c>
      <c r="U61" s="266">
        <f>IF(ISNA(MATCH(U$2,Inputs!$K$4:$AJ$4,0)),NA(),IF(SUMPRODUCT((Inputs!$A$5:$A$180=$B61)*ISNUMBER(INDEX(Inputs!$K$5:$AJ$180,0,MATCH(U$2,Inputs!$K$4:$AJ$4,0))))+SUMPRODUCT((Inputs!$C$5:$C$180=$B61)*ISNUMBER(INDEX(Inputs!$K$5:$AJ$180,0,MATCH(U$2,Inputs!$K$4:$AJ$4,0))))+SUMPRODUCT((Inputs!$E$5:$E$180=$B61)*ISNUMBER(INDEX(Inputs!$K$5:$AJ$180,0,MATCH(U$2,Inputs!$K$4:$AJ$4,0))))=0,NA(),SUMPRODUCT((Inputs!$A$5:$A$180=$B61)*Inputs!$B$5:$B$180*(((Inputs!$G$5:$G$180="moeda")+(Inputs!$G$5:$G$180="acoes"))*Inputs!$B$1+((Inputs!$G$5:$G$180&lt;&gt;"moeda")*(Inputs!$G$5:$G$180&lt;&gt;"acoes")))*INDEX(Inputs!$K$5:$AJ$180,0,MATCH(U$2,Inputs!$K$4:$AJ$4,0)))+SUMPRODUCT((Inputs!$C$5:$C$180=$B61)*Inputs!$D$5:$D$180*(((Inputs!$G$5:$G$180="moeda")+(Inputs!$G$5:$G$180="acoes"))*Inputs!$B$1+((Inputs!$G$5:$G$180&lt;&gt;"moeda")*(Inputs!$G$5:$G$180&lt;&gt;"acoes")))*INDEX(Inputs!$K$5:$AJ$180,0,MATCH(U$2,Inputs!$K$4:$AJ$4,0)))+SUMPRODUCT((Inputs!$E$5:$E$180=$B61)*Inputs!$F$5:$F$180*(((Inputs!$G$5:$G$180="moeda")+(Inputs!$G$5:$G$180="acoes"))*Inputs!$B$1+((Inputs!$G$5:$G$180&lt;&gt;"moeda")*(Inputs!$G$5:$G$180&lt;&gt;"acoes")))*INDEX(Inputs!$K$5:$AJ$180,0,MATCH(U$2,Inputs!$K$4:$AJ$4,0)))))</f>
        <v>159</v>
      </c>
      <c r="V61" s="266">
        <f>IF(ISNA(MATCH(V$2,Inputs!$K$4:$AJ$4,0)),NA(),IF(SUMPRODUCT((Inputs!$A$5:$A$180=$B61)*ISNUMBER(INDEX(Inputs!$K$5:$AJ$180,0,MATCH(V$2,Inputs!$K$4:$AJ$4,0))))+SUMPRODUCT((Inputs!$C$5:$C$180=$B61)*ISNUMBER(INDEX(Inputs!$K$5:$AJ$180,0,MATCH(V$2,Inputs!$K$4:$AJ$4,0))))+SUMPRODUCT((Inputs!$E$5:$E$180=$B61)*ISNUMBER(INDEX(Inputs!$K$5:$AJ$180,0,MATCH(V$2,Inputs!$K$4:$AJ$4,0))))=0,NA(),SUMPRODUCT((Inputs!$A$5:$A$180=$B61)*Inputs!$B$5:$B$180*(((Inputs!$G$5:$G$180="moeda")+(Inputs!$G$5:$G$180="acoes"))*Inputs!$B$1+((Inputs!$G$5:$G$180&lt;&gt;"moeda")*(Inputs!$G$5:$G$180&lt;&gt;"acoes")))*INDEX(Inputs!$K$5:$AJ$180,0,MATCH(V$2,Inputs!$K$4:$AJ$4,0)))+SUMPRODUCT((Inputs!$C$5:$C$180=$B61)*Inputs!$D$5:$D$180*(((Inputs!$G$5:$G$180="moeda")+(Inputs!$G$5:$G$180="acoes"))*Inputs!$B$1+((Inputs!$G$5:$G$180&lt;&gt;"moeda")*(Inputs!$G$5:$G$180&lt;&gt;"acoes")))*INDEX(Inputs!$K$5:$AJ$180,0,MATCH(V$2,Inputs!$K$4:$AJ$4,0)))+SUMPRODUCT((Inputs!$E$5:$E$180=$B61)*Inputs!$F$5:$F$180*(((Inputs!$G$5:$G$180="moeda")+(Inputs!$G$5:$G$180="acoes"))*Inputs!$B$1+((Inputs!$G$5:$G$180&lt;&gt;"moeda")*(Inputs!$G$5:$G$180&lt;&gt;"acoes")))*INDEX(Inputs!$K$5:$AJ$180,0,MATCH(V$2,Inputs!$K$4:$AJ$4,0)))))</f>
        <v>180</v>
      </c>
      <c r="W61" s="267">
        <f>V61</f>
        <v>180</v>
      </c>
      <c r="X61" s="266">
        <f>IF(ISNA(MATCH(X$2,Inputs!$K$4:$AJ$4,0)),NA(),IF(SUMPRODUCT((Inputs!$A$5:$A$180=$B61)*ISNUMBER(INDEX(Inputs!$K$5:$AJ$180,0,MATCH(X$2,Inputs!$K$4:$AJ$4,0))))+SUMPRODUCT((Inputs!$C$5:$C$180=$B61)*ISNUMBER(INDEX(Inputs!$K$5:$AJ$180,0,MATCH(X$2,Inputs!$K$4:$AJ$4,0))))+SUMPRODUCT((Inputs!$E$5:$E$180=$B61)*ISNUMBER(INDEX(Inputs!$K$5:$AJ$180,0,MATCH(X$2,Inputs!$K$4:$AJ$4,0))))=0,NA(),SUMPRODUCT((Inputs!$A$5:$A$180=$B61)*Inputs!$B$5:$B$180*(((Inputs!$G$5:$G$180="moeda")+(Inputs!$G$5:$G$180="acoes"))*Inputs!$B$1+((Inputs!$G$5:$G$180&lt;&gt;"moeda")*(Inputs!$G$5:$G$180&lt;&gt;"acoes")))*INDEX(Inputs!$K$5:$AJ$180,0,MATCH(X$2,Inputs!$K$4:$AJ$4,0)))+SUMPRODUCT((Inputs!$C$5:$C$180=$B61)*Inputs!$D$5:$D$180*(((Inputs!$G$5:$G$180="moeda")+(Inputs!$G$5:$G$180="acoes"))*Inputs!$B$1+((Inputs!$G$5:$G$180&lt;&gt;"moeda")*(Inputs!$G$5:$G$180&lt;&gt;"acoes")))*INDEX(Inputs!$K$5:$AJ$180,0,MATCH(X$2,Inputs!$K$4:$AJ$4,0)))+SUMPRODUCT((Inputs!$E$5:$E$180=$B61)*Inputs!$F$5:$F$180*(((Inputs!$G$5:$G$180="moeda")+(Inputs!$G$5:$G$180="acoes"))*Inputs!$B$1+((Inputs!$G$5:$G$180&lt;&gt;"moeda")*(Inputs!$G$5:$G$180&lt;&gt;"acoes")))*INDEX(Inputs!$K$5:$AJ$180,0,MATCH(X$2,Inputs!$K$4:$AJ$4,0)))))</f>
        <v>184</v>
      </c>
      <c r="Y61" s="266">
        <f>IF(ISNA(MATCH(Y$2,Inputs!$K$4:$AJ$4,0)),NA(),IF(SUMPRODUCT((Inputs!$A$5:$A$180=$B61)*ISNUMBER(INDEX(Inputs!$K$5:$AJ$180,0,MATCH(Y$2,Inputs!$K$4:$AJ$4,0))))+SUMPRODUCT((Inputs!$C$5:$C$180=$B61)*ISNUMBER(INDEX(Inputs!$K$5:$AJ$180,0,MATCH(Y$2,Inputs!$K$4:$AJ$4,0))))+SUMPRODUCT((Inputs!$E$5:$E$180=$B61)*ISNUMBER(INDEX(Inputs!$K$5:$AJ$180,0,MATCH(Y$2,Inputs!$K$4:$AJ$4,0))))=0,NA(),SUMPRODUCT((Inputs!$A$5:$A$180=$B61)*Inputs!$B$5:$B$180*(((Inputs!$G$5:$G$180="moeda")+(Inputs!$G$5:$G$180="acoes"))*Inputs!$B$1+((Inputs!$G$5:$G$180&lt;&gt;"moeda")*(Inputs!$G$5:$G$180&lt;&gt;"acoes")))*INDEX(Inputs!$K$5:$AJ$180,0,MATCH(Y$2,Inputs!$K$4:$AJ$4,0)))+SUMPRODUCT((Inputs!$C$5:$C$180=$B61)*Inputs!$D$5:$D$180*(((Inputs!$G$5:$G$180="moeda")+(Inputs!$G$5:$G$180="acoes"))*Inputs!$B$1+((Inputs!$G$5:$G$180&lt;&gt;"moeda")*(Inputs!$G$5:$G$180&lt;&gt;"acoes")))*INDEX(Inputs!$K$5:$AJ$180,0,MATCH(Y$2,Inputs!$K$4:$AJ$4,0)))+SUMPRODUCT((Inputs!$E$5:$E$180=$B61)*Inputs!$F$5:$F$180*(((Inputs!$G$5:$G$180="moeda")+(Inputs!$G$5:$G$180="acoes"))*Inputs!$B$1+((Inputs!$G$5:$G$180&lt;&gt;"moeda")*(Inputs!$G$5:$G$180&lt;&gt;"acoes")))*INDEX(Inputs!$K$5:$AJ$180,0,MATCH(Y$2,Inputs!$K$4:$AJ$4,0)))))</f>
        <v>192</v>
      </c>
      <c r="Z61" s="266">
        <f>IF(ISNA(MATCH(Z$2,Inputs!$K$4:$AJ$4,0)),NA(),IF(SUMPRODUCT((Inputs!$A$5:$A$180=$B61)*ISNUMBER(INDEX(Inputs!$K$5:$AJ$180,0,MATCH(Z$2,Inputs!$K$4:$AJ$4,0))))+SUMPRODUCT((Inputs!$C$5:$C$180=$B61)*ISNUMBER(INDEX(Inputs!$K$5:$AJ$180,0,MATCH(Z$2,Inputs!$K$4:$AJ$4,0))))+SUMPRODUCT((Inputs!$E$5:$E$180=$B61)*ISNUMBER(INDEX(Inputs!$K$5:$AJ$180,0,MATCH(Z$2,Inputs!$K$4:$AJ$4,0))))=0,NA(),SUMPRODUCT((Inputs!$A$5:$A$180=$B61)*Inputs!$B$5:$B$180*(((Inputs!$G$5:$G$180="moeda")+(Inputs!$G$5:$G$180="acoes"))*Inputs!$B$1+((Inputs!$G$5:$G$180&lt;&gt;"moeda")*(Inputs!$G$5:$G$180&lt;&gt;"acoes")))*INDEX(Inputs!$K$5:$AJ$180,0,MATCH(Z$2,Inputs!$K$4:$AJ$4,0)))+SUMPRODUCT((Inputs!$C$5:$C$180=$B61)*Inputs!$D$5:$D$180*(((Inputs!$G$5:$G$180="moeda")+(Inputs!$G$5:$G$180="acoes"))*Inputs!$B$1+((Inputs!$G$5:$G$180&lt;&gt;"moeda")*(Inputs!$G$5:$G$180&lt;&gt;"acoes")))*INDEX(Inputs!$K$5:$AJ$180,0,MATCH(Z$2,Inputs!$K$4:$AJ$4,0)))+SUMPRODUCT((Inputs!$E$5:$E$180=$B61)*Inputs!$F$5:$F$180*(((Inputs!$G$5:$G$180="moeda")+(Inputs!$G$5:$G$180="acoes"))*Inputs!$B$1+((Inputs!$G$5:$G$180&lt;&gt;"moeda")*(Inputs!$G$5:$G$180&lt;&gt;"acoes")))*INDEX(Inputs!$K$5:$AJ$180,0,MATCH(Z$2,Inputs!$K$4:$AJ$4,0)))))</f>
        <v>197</v>
      </c>
      <c r="AA61" s="266">
        <f>IF(ISNA(MATCH(AA$2,Inputs!$K$4:$AJ$4,0)),NA(),IF(SUMPRODUCT((Inputs!$A$5:$A$180=$B61)*ISNUMBER(INDEX(Inputs!$K$5:$AJ$180,0,MATCH(AA$2,Inputs!$K$4:$AJ$4,0))))+SUMPRODUCT((Inputs!$C$5:$C$180=$B61)*ISNUMBER(INDEX(Inputs!$K$5:$AJ$180,0,MATCH(AA$2,Inputs!$K$4:$AJ$4,0))))+SUMPRODUCT((Inputs!$E$5:$E$180=$B61)*ISNUMBER(INDEX(Inputs!$K$5:$AJ$180,0,MATCH(AA$2,Inputs!$K$4:$AJ$4,0))))=0,NA(),SUMPRODUCT((Inputs!$A$5:$A$180=$B61)*Inputs!$B$5:$B$180*(((Inputs!$G$5:$G$180="moeda")+(Inputs!$G$5:$G$180="acoes"))*Inputs!$B$1+((Inputs!$G$5:$G$180&lt;&gt;"moeda")*(Inputs!$G$5:$G$180&lt;&gt;"acoes")))*INDEX(Inputs!$K$5:$AJ$180,0,MATCH(AA$2,Inputs!$K$4:$AJ$4,0)))+SUMPRODUCT((Inputs!$C$5:$C$180=$B61)*Inputs!$D$5:$D$180*(((Inputs!$G$5:$G$180="moeda")+(Inputs!$G$5:$G$180="acoes"))*Inputs!$B$1+((Inputs!$G$5:$G$180&lt;&gt;"moeda")*(Inputs!$G$5:$G$180&lt;&gt;"acoes")))*INDEX(Inputs!$K$5:$AJ$180,0,MATCH(AA$2,Inputs!$K$4:$AJ$4,0)))+SUMPRODUCT((Inputs!$E$5:$E$180=$B61)*Inputs!$F$5:$F$180*(((Inputs!$G$5:$G$180="moeda")+(Inputs!$G$5:$G$180="acoes"))*Inputs!$B$1+((Inputs!$G$5:$G$180&lt;&gt;"moeda")*(Inputs!$G$5:$G$180&lt;&gt;"acoes")))*INDEX(Inputs!$K$5:$AJ$180,0,MATCH(AA$2,Inputs!$K$4:$AJ$4,0)))))</f>
        <v>219</v>
      </c>
      <c r="AB61" s="267">
        <f>AA61</f>
        <v>219</v>
      </c>
      <c r="AC61" s="266">
        <f>IF(ISNA(MATCH(AC$2,Inputs!$K$4:$AJ$4,0)),NA(),IF(SUMPRODUCT((Inputs!$A$5:$A$180=$B61)*ISNUMBER(INDEX(Inputs!$K$5:$AJ$180,0,MATCH(AC$2,Inputs!$K$4:$AJ$4,0))))+SUMPRODUCT((Inputs!$C$5:$C$180=$B61)*ISNUMBER(INDEX(Inputs!$K$5:$AJ$180,0,MATCH(AC$2,Inputs!$K$4:$AJ$4,0))))+SUMPRODUCT((Inputs!$E$5:$E$180=$B61)*ISNUMBER(INDEX(Inputs!$K$5:$AJ$180,0,MATCH(AC$2,Inputs!$K$4:$AJ$4,0))))=0,NA(),SUMPRODUCT((Inputs!$A$5:$A$180=$B61)*Inputs!$B$5:$B$180*(((Inputs!$G$5:$G$180="moeda")+(Inputs!$G$5:$G$180="acoes"))*Inputs!$B$1+((Inputs!$G$5:$G$180&lt;&gt;"moeda")*(Inputs!$G$5:$G$180&lt;&gt;"acoes")))*INDEX(Inputs!$K$5:$AJ$180,0,MATCH(AC$2,Inputs!$K$4:$AJ$4,0)))+SUMPRODUCT((Inputs!$C$5:$C$180=$B61)*Inputs!$D$5:$D$180*(((Inputs!$G$5:$G$180="moeda")+(Inputs!$G$5:$G$180="acoes"))*Inputs!$B$1+((Inputs!$G$5:$G$180&lt;&gt;"moeda")*(Inputs!$G$5:$G$180&lt;&gt;"acoes")))*INDEX(Inputs!$K$5:$AJ$180,0,MATCH(AC$2,Inputs!$K$4:$AJ$4,0)))+SUMPRODUCT((Inputs!$E$5:$E$180=$B61)*Inputs!$F$5:$F$180*(((Inputs!$G$5:$G$180="moeda")+(Inputs!$G$5:$G$180="acoes"))*Inputs!$B$1+((Inputs!$G$5:$G$180&lt;&gt;"moeda")*(Inputs!$G$5:$G$180&lt;&gt;"acoes")))*INDEX(Inputs!$K$5:$AJ$180,0,MATCH(AC$2,Inputs!$K$4:$AJ$4,0)))))</f>
        <v>224</v>
      </c>
      <c r="AD61" s="266">
        <f>IF(ISNA(MATCH(AD$2,Inputs!$K$4:$AJ$4,0)),NA(),IF(SUMPRODUCT((Inputs!$A$5:$A$180=$B61)*ISNUMBER(INDEX(Inputs!$K$5:$AJ$180,0,MATCH(AD$2,Inputs!$K$4:$AJ$4,0))))+SUMPRODUCT((Inputs!$C$5:$C$180=$B61)*ISNUMBER(INDEX(Inputs!$K$5:$AJ$180,0,MATCH(AD$2,Inputs!$K$4:$AJ$4,0))))+SUMPRODUCT((Inputs!$E$5:$E$180=$B61)*ISNUMBER(INDEX(Inputs!$K$5:$AJ$180,0,MATCH(AD$2,Inputs!$K$4:$AJ$4,0))))=0,NA(),SUMPRODUCT((Inputs!$A$5:$A$180=$B61)*Inputs!$B$5:$B$180*(((Inputs!$G$5:$G$180="moeda")+(Inputs!$G$5:$G$180="acoes"))*Inputs!$B$1+((Inputs!$G$5:$G$180&lt;&gt;"moeda")*(Inputs!$G$5:$G$180&lt;&gt;"acoes")))*INDEX(Inputs!$K$5:$AJ$180,0,MATCH(AD$2,Inputs!$K$4:$AJ$4,0)))+SUMPRODUCT((Inputs!$C$5:$C$180=$B61)*Inputs!$D$5:$D$180*(((Inputs!$G$5:$G$180="moeda")+(Inputs!$G$5:$G$180="acoes"))*Inputs!$B$1+((Inputs!$G$5:$G$180&lt;&gt;"moeda")*(Inputs!$G$5:$G$180&lt;&gt;"acoes")))*INDEX(Inputs!$K$5:$AJ$180,0,MATCH(AD$2,Inputs!$K$4:$AJ$4,0)))+SUMPRODUCT((Inputs!$E$5:$E$180=$B61)*Inputs!$F$5:$F$180*(((Inputs!$G$5:$G$180="moeda")+(Inputs!$G$5:$G$180="acoes"))*Inputs!$B$1+((Inputs!$G$5:$G$180&lt;&gt;"moeda")*(Inputs!$G$5:$G$180&lt;&gt;"acoes")))*INDEX(Inputs!$K$5:$AJ$180,0,MATCH(AD$2,Inputs!$K$4:$AJ$4,0)))))</f>
        <v>237</v>
      </c>
      <c r="AE61" s="266" t="e">
        <f>IF(ISNA(MATCH(AE$2,Inputs!$K$4:$AJ$4,0)),NA(),IF(SUMPRODUCT((Inputs!$A$5:$A$180=$B61)*ISNUMBER(INDEX(Inputs!$K$5:$AJ$180,0,MATCH(AE$2,Inputs!$K$4:$AJ$4,0))))+SUMPRODUCT((Inputs!$C$5:$C$180=$B61)*ISNUMBER(INDEX(Inputs!$K$5:$AJ$180,0,MATCH(AE$2,Inputs!$K$4:$AJ$4,0))))+SUMPRODUCT((Inputs!$E$5:$E$180=$B61)*ISNUMBER(INDEX(Inputs!$K$5:$AJ$180,0,MATCH(AE$2,Inputs!$K$4:$AJ$4,0))))=0,NA(),SUMPRODUCT((Inputs!$A$5:$A$180=$B61)*Inputs!$B$5:$B$180*(((Inputs!$G$5:$G$180="moeda")+(Inputs!$G$5:$G$180="acoes"))*Inputs!$B$1+((Inputs!$G$5:$G$180&lt;&gt;"moeda")*(Inputs!$G$5:$G$180&lt;&gt;"acoes")))*INDEX(Inputs!$K$5:$AJ$180,0,MATCH(AE$2,Inputs!$K$4:$AJ$4,0)))+SUMPRODUCT((Inputs!$C$5:$C$180=$B61)*Inputs!$D$5:$D$180*(((Inputs!$G$5:$G$180="moeda")+(Inputs!$G$5:$G$180="acoes"))*Inputs!$B$1+((Inputs!$G$5:$G$180&lt;&gt;"moeda")*(Inputs!$G$5:$G$180&lt;&gt;"acoes")))*INDEX(Inputs!$K$5:$AJ$180,0,MATCH(AE$2,Inputs!$K$4:$AJ$4,0)))+SUMPRODUCT((Inputs!$E$5:$E$180=$B61)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1" s="266" t="e">
        <f>IF(ISNA(MATCH(AF$2,Inputs!$K$4:$AJ$4,0)),NA(),IF(SUMPRODUCT((Inputs!$A$5:$A$180=$B61)*ISNUMBER(INDEX(Inputs!$K$5:$AJ$180,0,MATCH(AF$2,Inputs!$K$4:$AJ$4,0))))+SUMPRODUCT((Inputs!$C$5:$C$180=$B61)*ISNUMBER(INDEX(Inputs!$K$5:$AJ$180,0,MATCH(AF$2,Inputs!$K$4:$AJ$4,0))))+SUMPRODUCT((Inputs!$E$5:$E$180=$B61)*ISNUMBER(INDEX(Inputs!$K$5:$AJ$180,0,MATCH(AF$2,Inputs!$K$4:$AJ$4,0))))=0,NA(),SUMPRODUCT((Inputs!$A$5:$A$180=$B61)*Inputs!$B$5:$B$180*(((Inputs!$G$5:$G$180="moeda")+(Inputs!$G$5:$G$180="acoes"))*Inputs!$B$1+((Inputs!$G$5:$G$180&lt;&gt;"moeda")*(Inputs!$G$5:$G$180&lt;&gt;"acoes")))*INDEX(Inputs!$K$5:$AJ$180,0,MATCH(AF$2,Inputs!$K$4:$AJ$4,0)))+SUMPRODUCT((Inputs!$C$5:$C$180=$B61)*Inputs!$D$5:$D$180*(((Inputs!$G$5:$G$180="moeda")+(Inputs!$G$5:$G$180="acoes"))*Inputs!$B$1+((Inputs!$G$5:$G$180&lt;&gt;"moeda")*(Inputs!$G$5:$G$180&lt;&gt;"acoes")))*INDEX(Inputs!$K$5:$AJ$180,0,MATCH(AF$2,Inputs!$K$4:$AJ$4,0)))+SUMPRODUCT((Inputs!$E$5:$E$180=$B61)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1" s="267" t="e">
        <f>AF61</f>
        <v>#N/A</v>
      </c>
      <c r="AH61" s="266">
        <f>IF(ISNA(MATCH(AH$2,Inputs!$K$4:$AJ$4,0)),NA(),IF(SUMPRODUCT((Inputs!$A$5:$A$180=$B61)*ISNUMBER(INDEX(Inputs!$K$5:$AJ$180,0,MATCH(AH$2,Inputs!$K$4:$AJ$4,0))))+SUMPRODUCT((Inputs!$C$5:$C$180=$B61)*ISNUMBER(INDEX(Inputs!$K$5:$AJ$180,0,MATCH(AH$2,Inputs!$K$4:$AJ$4,0))))+SUMPRODUCT((Inputs!$E$5:$E$180=$B61)*ISNUMBER(INDEX(Inputs!$K$5:$AJ$180,0,MATCH(AH$2,Inputs!$K$4:$AJ$4,0))))=0,NA(),SUMPRODUCT((Inputs!$A$5:$A$180=$B61)*Inputs!$B$5:$B$180*(((Inputs!$G$5:$G$180="moeda")+(Inputs!$G$5:$G$180="acoes"))*Inputs!$B$1+((Inputs!$G$5:$G$180&lt;&gt;"moeda")*(Inputs!$G$5:$G$180&lt;&gt;"acoes")))*INDEX(Inputs!$K$5:$AJ$180,0,MATCH(AH$2,Inputs!$K$4:$AJ$4,0)))+SUMPRODUCT((Inputs!$C$5:$C$180=$B61)*Inputs!$D$5:$D$180*(((Inputs!$G$5:$G$180="moeda")+(Inputs!$G$5:$G$180="acoes"))*Inputs!$B$1+((Inputs!$G$5:$G$180&lt;&gt;"moeda")*(Inputs!$G$5:$G$180&lt;&gt;"acoes")))*INDEX(Inputs!$K$5:$AJ$180,0,MATCH(AH$2,Inputs!$K$4:$AJ$4,0)))+SUMPRODUCT((Inputs!$E$5:$E$180=$B61)*Inputs!$F$5:$F$180*(((Inputs!$G$5:$G$180="moeda")+(Inputs!$G$5:$G$180="acoes"))*Inputs!$B$1+((Inputs!$G$5:$G$180&lt;&gt;"moeda")*(Inputs!$G$5:$G$180&lt;&gt;"acoes")))*INDEX(Inputs!$K$5:$AJ$180,0,MATCH(AH$2,Inputs!$K$4:$AJ$4,0)))))</f>
        <v>8</v>
      </c>
      <c r="AI61" s="266">
        <f>IF(ISNA(MATCH(AI$2,Inputs!$K$4:$AJ$4,0)),NA(),IF(SUMPRODUCT((Inputs!$A$5:$A$180=$B61)*ISNUMBER(INDEX(Inputs!$K$5:$AJ$180,0,MATCH(AI$2,Inputs!$K$4:$AJ$4,0))))+SUMPRODUCT((Inputs!$C$5:$C$180=$B61)*ISNUMBER(INDEX(Inputs!$K$5:$AJ$180,0,MATCH(AI$2,Inputs!$K$4:$AJ$4,0))))+SUMPRODUCT((Inputs!$E$5:$E$180=$B61)*ISNUMBER(INDEX(Inputs!$K$5:$AJ$180,0,MATCH(AI$2,Inputs!$K$4:$AJ$4,0))))=0,NA(),SUMPRODUCT((Inputs!$A$5:$A$180=$B61)*Inputs!$B$5:$B$180*(((Inputs!$G$5:$G$180="moeda")+(Inputs!$G$5:$G$180="acoes"))*Inputs!$B$1+((Inputs!$G$5:$G$180&lt;&gt;"moeda")*(Inputs!$G$5:$G$180&lt;&gt;"acoes")))*INDEX(Inputs!$K$5:$AJ$180,0,MATCH(AI$2,Inputs!$K$4:$AJ$4,0)))+SUMPRODUCT((Inputs!$C$5:$C$180=$B61)*Inputs!$D$5:$D$180*(((Inputs!$G$5:$G$180="moeda")+(Inputs!$G$5:$G$180="acoes"))*Inputs!$B$1+((Inputs!$G$5:$G$180&lt;&gt;"moeda")*(Inputs!$G$5:$G$180&lt;&gt;"acoes")))*INDEX(Inputs!$K$5:$AJ$180,0,MATCH(AI$2,Inputs!$K$4:$AJ$4,0)))+SUMPRODUCT((Inputs!$E$5:$E$180=$B61)*Inputs!$F$5:$F$180*(((Inputs!$G$5:$G$180="moeda")+(Inputs!$G$5:$G$180="acoes"))*Inputs!$B$1+((Inputs!$G$5:$G$180&lt;&gt;"moeda")*(Inputs!$G$5:$G$180&lt;&gt;"acoes")))*INDEX(Inputs!$K$5:$AJ$180,0,MATCH(AI$2,Inputs!$K$4:$AJ$4,0)))))</f>
        <v>9</v>
      </c>
      <c r="AJ61" s="266">
        <f>IF(ISNA(MATCH(AJ$2,Inputs!$K$4:$AJ$4,0)),NA(),IF(SUMPRODUCT((Inputs!$A$5:$A$180=$B61)*ISNUMBER(INDEX(Inputs!$K$5:$AJ$180,0,MATCH(AJ$2,Inputs!$K$4:$AJ$4,0))))+SUMPRODUCT((Inputs!$C$5:$C$180=$B61)*ISNUMBER(INDEX(Inputs!$K$5:$AJ$180,0,MATCH(AJ$2,Inputs!$K$4:$AJ$4,0))))+SUMPRODUCT((Inputs!$E$5:$E$180=$B61)*ISNUMBER(INDEX(Inputs!$K$5:$AJ$180,0,MATCH(AJ$2,Inputs!$K$4:$AJ$4,0))))=0,NA(),SUMPRODUCT((Inputs!$A$5:$A$180=$B61)*Inputs!$B$5:$B$180*(((Inputs!$G$5:$G$180="moeda")+(Inputs!$G$5:$G$180="acoes"))*Inputs!$B$1+((Inputs!$G$5:$G$180&lt;&gt;"moeda")*(Inputs!$G$5:$G$180&lt;&gt;"acoes")))*INDEX(Inputs!$K$5:$AJ$180,0,MATCH(AJ$2,Inputs!$K$4:$AJ$4,0)))+SUMPRODUCT((Inputs!$C$5:$C$180=$B61)*Inputs!$D$5:$D$180*(((Inputs!$G$5:$G$180="moeda")+(Inputs!$G$5:$G$180="acoes"))*Inputs!$B$1+((Inputs!$G$5:$G$180&lt;&gt;"moeda")*(Inputs!$G$5:$G$180&lt;&gt;"acoes")))*INDEX(Inputs!$K$5:$AJ$180,0,MATCH(AJ$2,Inputs!$K$4:$AJ$4,0)))+SUMPRODUCT((Inputs!$E$5:$E$180=$B61)*Inputs!$F$5:$F$180*(((Inputs!$G$5:$G$180="moeda")+(Inputs!$G$5:$G$180="acoes"))*Inputs!$B$1+((Inputs!$G$5:$G$180&lt;&gt;"moeda")*(Inputs!$G$5:$G$180&lt;&gt;"acoes")))*INDEX(Inputs!$K$5:$AJ$180,0,MATCH(AJ$2,Inputs!$K$4:$AJ$4,0)))))</f>
        <v>11</v>
      </c>
      <c r="AK61" s="266">
        <f>IF(ISNA(MATCH(AK$2,Inputs!$K$4:$AJ$4,0)),NA(),IF(SUMPRODUCT((Inputs!$A$5:$A$180=$B61)*ISNUMBER(INDEX(Inputs!$K$5:$AJ$180,0,MATCH(AK$2,Inputs!$K$4:$AJ$4,0))))+SUMPRODUCT((Inputs!$C$5:$C$180=$B61)*ISNUMBER(INDEX(Inputs!$K$5:$AJ$180,0,MATCH(AK$2,Inputs!$K$4:$AJ$4,0))))+SUMPRODUCT((Inputs!$E$5:$E$180=$B61)*ISNUMBER(INDEX(Inputs!$K$5:$AJ$180,0,MATCH(AK$2,Inputs!$K$4:$AJ$4,0))))=0,NA(),SUMPRODUCT((Inputs!$A$5:$A$180=$B61)*Inputs!$B$5:$B$180*(((Inputs!$G$5:$G$180="moeda")+(Inputs!$G$5:$G$180="acoes"))*Inputs!$B$1+((Inputs!$G$5:$G$180&lt;&gt;"moeda")*(Inputs!$G$5:$G$180&lt;&gt;"acoes")))*INDEX(Inputs!$K$5:$AJ$180,0,MATCH(AK$2,Inputs!$K$4:$AJ$4,0)))+SUMPRODUCT((Inputs!$C$5:$C$180=$B61)*Inputs!$D$5:$D$180*(((Inputs!$G$5:$G$180="moeda")+(Inputs!$G$5:$G$180="acoes"))*Inputs!$B$1+((Inputs!$G$5:$G$180&lt;&gt;"moeda")*(Inputs!$G$5:$G$180&lt;&gt;"acoes")))*INDEX(Inputs!$K$5:$AJ$180,0,MATCH(AK$2,Inputs!$K$4:$AJ$4,0)))+SUMPRODUCT((Inputs!$E$5:$E$180=$B61)*Inputs!$F$5:$F$180*(((Inputs!$G$5:$G$180="moeda")+(Inputs!$G$5:$G$180="acoes"))*Inputs!$B$1+((Inputs!$G$5:$G$180&lt;&gt;"moeda")*(Inputs!$G$5:$G$180&lt;&gt;"acoes")))*INDEX(Inputs!$K$5:$AJ$180,0,MATCH(AK$2,Inputs!$K$4:$AJ$4,0)))))</f>
        <v>13</v>
      </c>
      <c r="AL61" s="267">
        <f>AK61</f>
        <v>13</v>
      </c>
    </row>
    <row r="62">
      <c r="B62" s="46" t="n">
        <v>54</v>
      </c>
      <c r="C62" s="29" t="inlineStr">
        <is>
          <t>Numero de quiosques - fim do periodo (l.12)</t>
        </is>
      </c>
      <c r="D62" s="266">
        <f>IF(ISNA(MATCH(D$2,Inputs!$K$4:$AJ$4,0)),NA(),IF(SUMPRODUCT((Inputs!$A$5:$A$180=$B62)*ISNUMBER(INDEX(Inputs!$K$5:$AJ$180,0,MATCH(D$2,Inputs!$K$4:$AJ$4,0))))+SUMPRODUCT((Inputs!$C$5:$C$180=$B62)*ISNUMBER(INDEX(Inputs!$K$5:$AJ$180,0,MATCH(D$2,Inputs!$K$4:$AJ$4,0))))+SUMPRODUCT((Inputs!$E$5:$E$180=$B62)*ISNUMBER(INDEX(Inputs!$K$5:$AJ$180,0,MATCH(D$2,Inputs!$K$4:$AJ$4,0))))=0,NA(),SUMPRODUCT((Inputs!$A$5:$A$180=$B62)*Inputs!$B$5:$B$180*(((Inputs!$G$5:$G$180="moeda")+(Inputs!$G$5:$G$180="acoes"))*Inputs!$B$1+((Inputs!$G$5:$G$180&lt;&gt;"moeda")*(Inputs!$G$5:$G$180&lt;&gt;"acoes")))*INDEX(Inputs!$K$5:$AJ$180,0,MATCH(D$2,Inputs!$K$4:$AJ$4,0)))+SUMPRODUCT((Inputs!$C$5:$C$180=$B62)*Inputs!$D$5:$D$180*(((Inputs!$G$5:$G$180="moeda")+(Inputs!$G$5:$G$180="acoes"))*Inputs!$B$1+((Inputs!$G$5:$G$180&lt;&gt;"moeda")*(Inputs!$G$5:$G$180&lt;&gt;"acoes")))*INDEX(Inputs!$K$5:$AJ$180,0,MATCH(D$2,Inputs!$K$4:$AJ$4,0)))+SUMPRODUCT((Inputs!$E$5:$E$180=$B62)*Inputs!$F$5:$F$180*(((Inputs!$G$5:$G$180="moeda")+(Inputs!$G$5:$G$180="acoes"))*Inputs!$B$1+((Inputs!$G$5:$G$180&lt;&gt;"moeda")*(Inputs!$G$5:$G$180&lt;&gt;"acoes")))*INDEX(Inputs!$K$5:$AJ$180,0,MATCH(D$2,Inputs!$K$4:$AJ$4,0)))))</f>
        <v>38</v>
      </c>
      <c r="E62" s="266">
        <f>IF(ISNA(MATCH(E$2,Inputs!$K$4:$AJ$4,0)),NA(),IF(SUMPRODUCT((Inputs!$A$5:$A$180=$B62)*ISNUMBER(INDEX(Inputs!$K$5:$AJ$180,0,MATCH(E$2,Inputs!$K$4:$AJ$4,0))))+SUMPRODUCT((Inputs!$C$5:$C$180=$B62)*ISNUMBER(INDEX(Inputs!$K$5:$AJ$180,0,MATCH(E$2,Inputs!$K$4:$AJ$4,0))))+SUMPRODUCT((Inputs!$E$5:$E$180=$B62)*ISNUMBER(INDEX(Inputs!$K$5:$AJ$180,0,MATCH(E$2,Inputs!$K$4:$AJ$4,0))))=0,NA(),SUMPRODUCT((Inputs!$A$5:$A$180=$B62)*Inputs!$B$5:$B$180*(((Inputs!$G$5:$G$180="moeda")+(Inputs!$G$5:$G$180="acoes"))*Inputs!$B$1+((Inputs!$G$5:$G$180&lt;&gt;"moeda")*(Inputs!$G$5:$G$180&lt;&gt;"acoes")))*INDEX(Inputs!$K$5:$AJ$180,0,MATCH(E$2,Inputs!$K$4:$AJ$4,0)))+SUMPRODUCT((Inputs!$C$5:$C$180=$B62)*Inputs!$D$5:$D$180*(((Inputs!$G$5:$G$180="moeda")+(Inputs!$G$5:$G$180="acoes"))*Inputs!$B$1+((Inputs!$G$5:$G$180&lt;&gt;"moeda")*(Inputs!$G$5:$G$180&lt;&gt;"acoes")))*INDEX(Inputs!$K$5:$AJ$180,0,MATCH(E$2,Inputs!$K$4:$AJ$4,0)))+SUMPRODUCT((Inputs!$E$5:$E$180=$B62)*Inputs!$F$5:$F$180*(((Inputs!$G$5:$G$180="moeda")+(Inputs!$G$5:$G$180="acoes"))*Inputs!$B$1+((Inputs!$G$5:$G$180&lt;&gt;"moeda")*(Inputs!$G$5:$G$180&lt;&gt;"acoes")))*INDEX(Inputs!$K$5:$AJ$180,0,MATCH(E$2,Inputs!$K$4:$AJ$4,0)))))</f>
        <v>30</v>
      </c>
      <c r="F62" s="266">
        <f>IF(ISNA(MATCH(F$2,Inputs!$K$4:$AJ$4,0)),NA(),IF(SUMPRODUCT((Inputs!$A$5:$A$180=$B62)*ISNUMBER(INDEX(Inputs!$K$5:$AJ$180,0,MATCH(F$2,Inputs!$K$4:$AJ$4,0))))+SUMPRODUCT((Inputs!$C$5:$C$180=$B62)*ISNUMBER(INDEX(Inputs!$K$5:$AJ$180,0,MATCH(F$2,Inputs!$K$4:$AJ$4,0))))+SUMPRODUCT((Inputs!$E$5:$E$180=$B62)*ISNUMBER(INDEX(Inputs!$K$5:$AJ$180,0,MATCH(F$2,Inputs!$K$4:$AJ$4,0))))=0,NA(),SUMPRODUCT((Inputs!$A$5:$A$180=$B62)*Inputs!$B$5:$B$180*(((Inputs!$G$5:$G$180="moeda")+(Inputs!$G$5:$G$180="acoes"))*Inputs!$B$1+((Inputs!$G$5:$G$180&lt;&gt;"moeda")*(Inputs!$G$5:$G$180&lt;&gt;"acoes")))*INDEX(Inputs!$K$5:$AJ$180,0,MATCH(F$2,Inputs!$K$4:$AJ$4,0)))+SUMPRODUCT((Inputs!$C$5:$C$180=$B62)*Inputs!$D$5:$D$180*(((Inputs!$G$5:$G$180="moeda")+(Inputs!$G$5:$G$180="acoes"))*Inputs!$B$1+((Inputs!$G$5:$G$180&lt;&gt;"moeda")*(Inputs!$G$5:$G$180&lt;&gt;"acoes")))*INDEX(Inputs!$K$5:$AJ$180,0,MATCH(F$2,Inputs!$K$4:$AJ$4,0)))+SUMPRODUCT((Inputs!$E$5:$E$180=$B62)*Inputs!$F$5:$F$180*(((Inputs!$G$5:$G$180="moeda")+(Inputs!$G$5:$G$180="acoes"))*Inputs!$B$1+((Inputs!$G$5:$G$180&lt;&gt;"moeda")*(Inputs!$G$5:$G$180&lt;&gt;"acoes")))*INDEX(Inputs!$K$5:$AJ$180,0,MATCH(F$2,Inputs!$K$4:$AJ$4,0)))))</f>
        <v>29</v>
      </c>
      <c r="G62" s="266">
        <f>IF(ISNA(MATCH(G$2,Inputs!$K$4:$AJ$4,0)),NA(),IF(SUMPRODUCT((Inputs!$A$5:$A$180=$B62)*ISNUMBER(INDEX(Inputs!$K$5:$AJ$180,0,MATCH(G$2,Inputs!$K$4:$AJ$4,0))))+SUMPRODUCT((Inputs!$C$5:$C$180=$B62)*ISNUMBER(INDEX(Inputs!$K$5:$AJ$180,0,MATCH(G$2,Inputs!$K$4:$AJ$4,0))))+SUMPRODUCT((Inputs!$E$5:$E$180=$B62)*ISNUMBER(INDEX(Inputs!$K$5:$AJ$180,0,MATCH(G$2,Inputs!$K$4:$AJ$4,0))))=0,NA(),SUMPRODUCT((Inputs!$A$5:$A$180=$B62)*Inputs!$B$5:$B$180*(((Inputs!$G$5:$G$180="moeda")+(Inputs!$G$5:$G$180="acoes"))*Inputs!$B$1+((Inputs!$G$5:$G$180&lt;&gt;"moeda")*(Inputs!$G$5:$G$180&lt;&gt;"acoes")))*INDEX(Inputs!$K$5:$AJ$180,0,MATCH(G$2,Inputs!$K$4:$AJ$4,0)))+SUMPRODUCT((Inputs!$C$5:$C$180=$B62)*Inputs!$D$5:$D$180*(((Inputs!$G$5:$G$180="moeda")+(Inputs!$G$5:$G$180="acoes"))*Inputs!$B$1+((Inputs!$G$5:$G$180&lt;&gt;"moeda")*(Inputs!$G$5:$G$180&lt;&gt;"acoes")))*INDEX(Inputs!$K$5:$AJ$180,0,MATCH(G$2,Inputs!$K$4:$AJ$4,0)))+SUMPRODUCT((Inputs!$E$5:$E$180=$B62)*Inputs!$F$5:$F$180*(((Inputs!$G$5:$G$180="moeda")+(Inputs!$G$5:$G$180="acoes"))*Inputs!$B$1+((Inputs!$G$5:$G$180&lt;&gt;"moeda")*(Inputs!$G$5:$G$180&lt;&gt;"acoes")))*INDEX(Inputs!$K$5:$AJ$180,0,MATCH(G$2,Inputs!$K$4:$AJ$4,0)))))</f>
        <v>26</v>
      </c>
      <c r="H62" s="267">
        <f>G62</f>
        <v>26</v>
      </c>
      <c r="I62" s="266">
        <f>IF(ISNA(MATCH(I$2,Inputs!$K$4:$AJ$4,0)),NA(),IF(SUMPRODUCT((Inputs!$A$5:$A$180=$B62)*ISNUMBER(INDEX(Inputs!$K$5:$AJ$180,0,MATCH(I$2,Inputs!$K$4:$AJ$4,0))))+SUMPRODUCT((Inputs!$C$5:$C$180=$B62)*ISNUMBER(INDEX(Inputs!$K$5:$AJ$180,0,MATCH(I$2,Inputs!$K$4:$AJ$4,0))))+SUMPRODUCT((Inputs!$E$5:$E$180=$B62)*ISNUMBER(INDEX(Inputs!$K$5:$AJ$180,0,MATCH(I$2,Inputs!$K$4:$AJ$4,0))))=0,NA(),SUMPRODUCT((Inputs!$A$5:$A$180=$B62)*Inputs!$B$5:$B$180*(((Inputs!$G$5:$G$180="moeda")+(Inputs!$G$5:$G$180="acoes"))*Inputs!$B$1+((Inputs!$G$5:$G$180&lt;&gt;"moeda")*(Inputs!$G$5:$G$180&lt;&gt;"acoes")))*INDEX(Inputs!$K$5:$AJ$180,0,MATCH(I$2,Inputs!$K$4:$AJ$4,0)))+SUMPRODUCT((Inputs!$C$5:$C$180=$B62)*Inputs!$D$5:$D$180*(((Inputs!$G$5:$G$180="moeda")+(Inputs!$G$5:$G$180="acoes"))*Inputs!$B$1+((Inputs!$G$5:$G$180&lt;&gt;"moeda")*(Inputs!$G$5:$G$180&lt;&gt;"acoes")))*INDEX(Inputs!$K$5:$AJ$180,0,MATCH(I$2,Inputs!$K$4:$AJ$4,0)))+SUMPRODUCT((Inputs!$E$5:$E$180=$B62)*Inputs!$F$5:$F$180*(((Inputs!$G$5:$G$180="moeda")+(Inputs!$G$5:$G$180="acoes"))*Inputs!$B$1+((Inputs!$G$5:$G$180&lt;&gt;"moeda")*(Inputs!$G$5:$G$180&lt;&gt;"acoes")))*INDEX(Inputs!$K$5:$AJ$180,0,MATCH(I$2,Inputs!$K$4:$AJ$4,0)))))</f>
        <v>24</v>
      </c>
      <c r="J62" s="266">
        <f>IF(ISNA(MATCH(J$2,Inputs!$K$4:$AJ$4,0)),NA(),IF(SUMPRODUCT((Inputs!$A$5:$A$180=$B62)*ISNUMBER(INDEX(Inputs!$K$5:$AJ$180,0,MATCH(J$2,Inputs!$K$4:$AJ$4,0))))+SUMPRODUCT((Inputs!$C$5:$C$180=$B62)*ISNUMBER(INDEX(Inputs!$K$5:$AJ$180,0,MATCH(J$2,Inputs!$K$4:$AJ$4,0))))+SUMPRODUCT((Inputs!$E$5:$E$180=$B62)*ISNUMBER(INDEX(Inputs!$K$5:$AJ$180,0,MATCH(J$2,Inputs!$K$4:$AJ$4,0))))=0,NA(),SUMPRODUCT((Inputs!$A$5:$A$180=$B62)*Inputs!$B$5:$B$180*(((Inputs!$G$5:$G$180="moeda")+(Inputs!$G$5:$G$180="acoes"))*Inputs!$B$1+((Inputs!$G$5:$G$180&lt;&gt;"moeda")*(Inputs!$G$5:$G$180&lt;&gt;"acoes")))*INDEX(Inputs!$K$5:$AJ$180,0,MATCH(J$2,Inputs!$K$4:$AJ$4,0)))+SUMPRODUCT((Inputs!$C$5:$C$180=$B62)*Inputs!$D$5:$D$180*(((Inputs!$G$5:$G$180="moeda")+(Inputs!$G$5:$G$180="acoes"))*Inputs!$B$1+((Inputs!$G$5:$G$180&lt;&gt;"moeda")*(Inputs!$G$5:$G$180&lt;&gt;"acoes")))*INDEX(Inputs!$K$5:$AJ$180,0,MATCH(J$2,Inputs!$K$4:$AJ$4,0)))+SUMPRODUCT((Inputs!$E$5:$E$180=$B62)*Inputs!$F$5:$F$180*(((Inputs!$G$5:$G$180="moeda")+(Inputs!$G$5:$G$180="acoes"))*Inputs!$B$1+((Inputs!$G$5:$G$180&lt;&gt;"moeda")*(Inputs!$G$5:$G$180&lt;&gt;"acoes")))*INDEX(Inputs!$K$5:$AJ$180,0,MATCH(J$2,Inputs!$K$4:$AJ$4,0)))))</f>
        <v>23</v>
      </c>
      <c r="K62" s="266">
        <f>IF(ISNA(MATCH(K$2,Inputs!$K$4:$AJ$4,0)),NA(),IF(SUMPRODUCT((Inputs!$A$5:$A$180=$B62)*ISNUMBER(INDEX(Inputs!$K$5:$AJ$180,0,MATCH(K$2,Inputs!$K$4:$AJ$4,0))))+SUMPRODUCT((Inputs!$C$5:$C$180=$B62)*ISNUMBER(INDEX(Inputs!$K$5:$AJ$180,0,MATCH(K$2,Inputs!$K$4:$AJ$4,0))))+SUMPRODUCT((Inputs!$E$5:$E$180=$B62)*ISNUMBER(INDEX(Inputs!$K$5:$AJ$180,0,MATCH(K$2,Inputs!$K$4:$AJ$4,0))))=0,NA(),SUMPRODUCT((Inputs!$A$5:$A$180=$B62)*Inputs!$B$5:$B$180*(((Inputs!$G$5:$G$180="moeda")+(Inputs!$G$5:$G$180="acoes"))*Inputs!$B$1+((Inputs!$G$5:$G$180&lt;&gt;"moeda")*(Inputs!$G$5:$G$180&lt;&gt;"acoes")))*INDEX(Inputs!$K$5:$AJ$180,0,MATCH(K$2,Inputs!$K$4:$AJ$4,0)))+SUMPRODUCT((Inputs!$C$5:$C$180=$B62)*Inputs!$D$5:$D$180*(((Inputs!$G$5:$G$180="moeda")+(Inputs!$G$5:$G$180="acoes"))*Inputs!$B$1+((Inputs!$G$5:$G$180&lt;&gt;"moeda")*(Inputs!$G$5:$G$180&lt;&gt;"acoes")))*INDEX(Inputs!$K$5:$AJ$180,0,MATCH(K$2,Inputs!$K$4:$AJ$4,0)))+SUMPRODUCT((Inputs!$E$5:$E$180=$B62)*Inputs!$F$5:$F$180*(((Inputs!$G$5:$G$180="moeda")+(Inputs!$G$5:$G$180="acoes"))*Inputs!$B$1+((Inputs!$G$5:$G$180&lt;&gt;"moeda")*(Inputs!$G$5:$G$180&lt;&gt;"acoes")))*INDEX(Inputs!$K$5:$AJ$180,0,MATCH(K$2,Inputs!$K$4:$AJ$4,0)))))</f>
        <v>22</v>
      </c>
      <c r="L62" s="266">
        <f>IF(ISNA(MATCH(L$2,Inputs!$K$4:$AJ$4,0)),NA(),IF(SUMPRODUCT((Inputs!$A$5:$A$180=$B62)*ISNUMBER(INDEX(Inputs!$K$5:$AJ$180,0,MATCH(L$2,Inputs!$K$4:$AJ$4,0))))+SUMPRODUCT((Inputs!$C$5:$C$180=$B62)*ISNUMBER(INDEX(Inputs!$K$5:$AJ$180,0,MATCH(L$2,Inputs!$K$4:$AJ$4,0))))+SUMPRODUCT((Inputs!$E$5:$E$180=$B62)*ISNUMBER(INDEX(Inputs!$K$5:$AJ$180,0,MATCH(L$2,Inputs!$K$4:$AJ$4,0))))=0,NA(),SUMPRODUCT((Inputs!$A$5:$A$180=$B62)*Inputs!$B$5:$B$180*(((Inputs!$G$5:$G$180="moeda")+(Inputs!$G$5:$G$180="acoes"))*Inputs!$B$1+((Inputs!$G$5:$G$180&lt;&gt;"moeda")*(Inputs!$G$5:$G$180&lt;&gt;"acoes")))*INDEX(Inputs!$K$5:$AJ$180,0,MATCH(L$2,Inputs!$K$4:$AJ$4,0)))+SUMPRODUCT((Inputs!$C$5:$C$180=$B62)*Inputs!$D$5:$D$180*(((Inputs!$G$5:$G$180="moeda")+(Inputs!$G$5:$G$180="acoes"))*Inputs!$B$1+((Inputs!$G$5:$G$180&lt;&gt;"moeda")*(Inputs!$G$5:$G$180&lt;&gt;"acoes")))*INDEX(Inputs!$K$5:$AJ$180,0,MATCH(L$2,Inputs!$K$4:$AJ$4,0)))+SUMPRODUCT((Inputs!$E$5:$E$180=$B62)*Inputs!$F$5:$F$180*(((Inputs!$G$5:$G$180="moeda")+(Inputs!$G$5:$G$180="acoes"))*Inputs!$B$1+((Inputs!$G$5:$G$180&lt;&gt;"moeda")*(Inputs!$G$5:$G$180&lt;&gt;"acoes")))*INDEX(Inputs!$K$5:$AJ$180,0,MATCH(L$2,Inputs!$K$4:$AJ$4,0)))))</f>
        <v>21</v>
      </c>
      <c r="M62" s="267">
        <f>L62</f>
        <v>21</v>
      </c>
      <c r="N62" s="266">
        <f>IF(ISNA(MATCH(N$2,Inputs!$K$4:$AJ$4,0)),NA(),IF(SUMPRODUCT((Inputs!$A$5:$A$180=$B62)*ISNUMBER(INDEX(Inputs!$K$5:$AJ$180,0,MATCH(N$2,Inputs!$K$4:$AJ$4,0))))+SUMPRODUCT((Inputs!$C$5:$C$180=$B62)*ISNUMBER(INDEX(Inputs!$K$5:$AJ$180,0,MATCH(N$2,Inputs!$K$4:$AJ$4,0))))+SUMPRODUCT((Inputs!$E$5:$E$180=$B62)*ISNUMBER(INDEX(Inputs!$K$5:$AJ$180,0,MATCH(N$2,Inputs!$K$4:$AJ$4,0))))=0,NA(),SUMPRODUCT((Inputs!$A$5:$A$180=$B62)*Inputs!$B$5:$B$180*(((Inputs!$G$5:$G$180="moeda")+(Inputs!$G$5:$G$180="acoes"))*Inputs!$B$1+((Inputs!$G$5:$G$180&lt;&gt;"moeda")*(Inputs!$G$5:$G$180&lt;&gt;"acoes")))*INDEX(Inputs!$K$5:$AJ$180,0,MATCH(N$2,Inputs!$K$4:$AJ$4,0)))+SUMPRODUCT((Inputs!$C$5:$C$180=$B62)*Inputs!$D$5:$D$180*(((Inputs!$G$5:$G$180="moeda")+(Inputs!$G$5:$G$180="acoes"))*Inputs!$B$1+((Inputs!$G$5:$G$180&lt;&gt;"moeda")*(Inputs!$G$5:$G$180&lt;&gt;"acoes")))*INDEX(Inputs!$K$5:$AJ$180,0,MATCH(N$2,Inputs!$K$4:$AJ$4,0)))+SUMPRODUCT((Inputs!$E$5:$E$180=$B62)*Inputs!$F$5:$F$180*(((Inputs!$G$5:$G$180="moeda")+(Inputs!$G$5:$G$180="acoes"))*Inputs!$B$1+((Inputs!$G$5:$G$180&lt;&gt;"moeda")*(Inputs!$G$5:$G$180&lt;&gt;"acoes")))*INDEX(Inputs!$K$5:$AJ$180,0,MATCH(N$2,Inputs!$K$4:$AJ$4,0)))))</f>
        <v>21</v>
      </c>
      <c r="O62" s="266">
        <f>IF(ISNA(MATCH(O$2,Inputs!$K$4:$AJ$4,0)),NA(),IF(SUMPRODUCT((Inputs!$A$5:$A$180=$B62)*ISNUMBER(INDEX(Inputs!$K$5:$AJ$180,0,MATCH(O$2,Inputs!$K$4:$AJ$4,0))))+SUMPRODUCT((Inputs!$C$5:$C$180=$B62)*ISNUMBER(INDEX(Inputs!$K$5:$AJ$180,0,MATCH(O$2,Inputs!$K$4:$AJ$4,0))))+SUMPRODUCT((Inputs!$E$5:$E$180=$B62)*ISNUMBER(INDEX(Inputs!$K$5:$AJ$180,0,MATCH(O$2,Inputs!$K$4:$AJ$4,0))))=0,NA(),SUMPRODUCT((Inputs!$A$5:$A$180=$B62)*Inputs!$B$5:$B$180*(((Inputs!$G$5:$G$180="moeda")+(Inputs!$G$5:$G$180="acoes"))*Inputs!$B$1+((Inputs!$G$5:$G$180&lt;&gt;"moeda")*(Inputs!$G$5:$G$180&lt;&gt;"acoes")))*INDEX(Inputs!$K$5:$AJ$180,0,MATCH(O$2,Inputs!$K$4:$AJ$4,0)))+SUMPRODUCT((Inputs!$C$5:$C$180=$B62)*Inputs!$D$5:$D$180*(((Inputs!$G$5:$G$180="moeda")+(Inputs!$G$5:$G$180="acoes"))*Inputs!$B$1+((Inputs!$G$5:$G$180&lt;&gt;"moeda")*(Inputs!$G$5:$G$180&lt;&gt;"acoes")))*INDEX(Inputs!$K$5:$AJ$180,0,MATCH(O$2,Inputs!$K$4:$AJ$4,0)))+SUMPRODUCT((Inputs!$E$5:$E$180=$B62)*Inputs!$F$5:$F$180*(((Inputs!$G$5:$G$180="moeda")+(Inputs!$G$5:$G$180="acoes"))*Inputs!$B$1+((Inputs!$G$5:$G$180&lt;&gt;"moeda")*(Inputs!$G$5:$G$180&lt;&gt;"acoes")))*INDEX(Inputs!$K$5:$AJ$180,0,MATCH(O$2,Inputs!$K$4:$AJ$4,0)))))</f>
        <v>21</v>
      </c>
      <c r="P62" s="266">
        <f>IF(ISNA(MATCH(P$2,Inputs!$K$4:$AJ$4,0)),NA(),IF(SUMPRODUCT((Inputs!$A$5:$A$180=$B62)*ISNUMBER(INDEX(Inputs!$K$5:$AJ$180,0,MATCH(P$2,Inputs!$K$4:$AJ$4,0))))+SUMPRODUCT((Inputs!$C$5:$C$180=$B62)*ISNUMBER(INDEX(Inputs!$K$5:$AJ$180,0,MATCH(P$2,Inputs!$K$4:$AJ$4,0))))+SUMPRODUCT((Inputs!$E$5:$E$180=$B62)*ISNUMBER(INDEX(Inputs!$K$5:$AJ$180,0,MATCH(P$2,Inputs!$K$4:$AJ$4,0))))=0,NA(),SUMPRODUCT((Inputs!$A$5:$A$180=$B62)*Inputs!$B$5:$B$180*(((Inputs!$G$5:$G$180="moeda")+(Inputs!$G$5:$G$180="acoes"))*Inputs!$B$1+((Inputs!$G$5:$G$180&lt;&gt;"moeda")*(Inputs!$G$5:$G$180&lt;&gt;"acoes")))*INDEX(Inputs!$K$5:$AJ$180,0,MATCH(P$2,Inputs!$K$4:$AJ$4,0)))+SUMPRODUCT((Inputs!$C$5:$C$180=$B62)*Inputs!$D$5:$D$180*(((Inputs!$G$5:$G$180="moeda")+(Inputs!$G$5:$G$180="acoes"))*Inputs!$B$1+((Inputs!$G$5:$G$180&lt;&gt;"moeda")*(Inputs!$G$5:$G$180&lt;&gt;"acoes")))*INDEX(Inputs!$K$5:$AJ$180,0,MATCH(P$2,Inputs!$K$4:$AJ$4,0)))+SUMPRODUCT((Inputs!$E$5:$E$180=$B62)*Inputs!$F$5:$F$180*(((Inputs!$G$5:$G$180="moeda")+(Inputs!$G$5:$G$180="acoes"))*Inputs!$B$1+((Inputs!$G$5:$G$180&lt;&gt;"moeda")*(Inputs!$G$5:$G$180&lt;&gt;"acoes")))*INDEX(Inputs!$K$5:$AJ$180,0,MATCH(P$2,Inputs!$K$4:$AJ$4,0)))))</f>
        <v>20</v>
      </c>
      <c r="Q62" s="266">
        <f>IF(ISNA(MATCH(Q$2,Inputs!$K$4:$AJ$4,0)),NA(),IF(SUMPRODUCT((Inputs!$A$5:$A$180=$B62)*ISNUMBER(INDEX(Inputs!$K$5:$AJ$180,0,MATCH(Q$2,Inputs!$K$4:$AJ$4,0))))+SUMPRODUCT((Inputs!$C$5:$C$180=$B62)*ISNUMBER(INDEX(Inputs!$K$5:$AJ$180,0,MATCH(Q$2,Inputs!$K$4:$AJ$4,0))))+SUMPRODUCT((Inputs!$E$5:$E$180=$B62)*ISNUMBER(INDEX(Inputs!$K$5:$AJ$180,0,MATCH(Q$2,Inputs!$K$4:$AJ$4,0))))=0,NA(),SUMPRODUCT((Inputs!$A$5:$A$180=$B62)*Inputs!$B$5:$B$180*(((Inputs!$G$5:$G$180="moeda")+(Inputs!$G$5:$G$180="acoes"))*Inputs!$B$1+((Inputs!$G$5:$G$180&lt;&gt;"moeda")*(Inputs!$G$5:$G$180&lt;&gt;"acoes")))*INDEX(Inputs!$K$5:$AJ$180,0,MATCH(Q$2,Inputs!$K$4:$AJ$4,0)))+SUMPRODUCT((Inputs!$C$5:$C$180=$B62)*Inputs!$D$5:$D$180*(((Inputs!$G$5:$G$180="moeda")+(Inputs!$G$5:$G$180="acoes"))*Inputs!$B$1+((Inputs!$G$5:$G$180&lt;&gt;"moeda")*(Inputs!$G$5:$G$180&lt;&gt;"acoes")))*INDEX(Inputs!$K$5:$AJ$180,0,MATCH(Q$2,Inputs!$K$4:$AJ$4,0)))+SUMPRODUCT((Inputs!$E$5:$E$180=$B62)*Inputs!$F$5:$F$180*(((Inputs!$G$5:$G$180="moeda")+(Inputs!$G$5:$G$180="acoes"))*Inputs!$B$1+((Inputs!$G$5:$G$180&lt;&gt;"moeda")*(Inputs!$G$5:$G$180&lt;&gt;"acoes")))*INDEX(Inputs!$K$5:$AJ$180,0,MATCH(Q$2,Inputs!$K$4:$AJ$4,0)))))</f>
        <v>16</v>
      </c>
      <c r="R62" s="267">
        <f>Q62</f>
        <v>16</v>
      </c>
      <c r="S62" s="266">
        <f>IF(ISNA(MATCH(S$2,Inputs!$K$4:$AJ$4,0)),NA(),IF(SUMPRODUCT((Inputs!$A$5:$A$180=$B62)*ISNUMBER(INDEX(Inputs!$K$5:$AJ$180,0,MATCH(S$2,Inputs!$K$4:$AJ$4,0))))+SUMPRODUCT((Inputs!$C$5:$C$180=$B62)*ISNUMBER(INDEX(Inputs!$K$5:$AJ$180,0,MATCH(S$2,Inputs!$K$4:$AJ$4,0))))+SUMPRODUCT((Inputs!$E$5:$E$180=$B62)*ISNUMBER(INDEX(Inputs!$K$5:$AJ$180,0,MATCH(S$2,Inputs!$K$4:$AJ$4,0))))=0,NA(),SUMPRODUCT((Inputs!$A$5:$A$180=$B62)*Inputs!$B$5:$B$180*(((Inputs!$G$5:$G$180="moeda")+(Inputs!$G$5:$G$180="acoes"))*Inputs!$B$1+((Inputs!$G$5:$G$180&lt;&gt;"moeda")*(Inputs!$G$5:$G$180&lt;&gt;"acoes")))*INDEX(Inputs!$K$5:$AJ$180,0,MATCH(S$2,Inputs!$K$4:$AJ$4,0)))+SUMPRODUCT((Inputs!$C$5:$C$180=$B62)*Inputs!$D$5:$D$180*(((Inputs!$G$5:$G$180="moeda")+(Inputs!$G$5:$G$180="acoes"))*Inputs!$B$1+((Inputs!$G$5:$G$180&lt;&gt;"moeda")*(Inputs!$G$5:$G$180&lt;&gt;"acoes")))*INDEX(Inputs!$K$5:$AJ$180,0,MATCH(S$2,Inputs!$K$4:$AJ$4,0)))+SUMPRODUCT((Inputs!$E$5:$E$180=$B62)*Inputs!$F$5:$F$180*(((Inputs!$G$5:$G$180="moeda")+(Inputs!$G$5:$G$180="acoes"))*Inputs!$B$1+((Inputs!$G$5:$G$180&lt;&gt;"moeda")*(Inputs!$G$5:$G$180&lt;&gt;"acoes")))*INDEX(Inputs!$K$5:$AJ$180,0,MATCH(S$2,Inputs!$K$4:$AJ$4,0)))))</f>
        <v>14</v>
      </c>
      <c r="T62" s="266">
        <f>IF(ISNA(MATCH(T$2,Inputs!$K$4:$AJ$4,0)),NA(),IF(SUMPRODUCT((Inputs!$A$5:$A$180=$B62)*ISNUMBER(INDEX(Inputs!$K$5:$AJ$180,0,MATCH(T$2,Inputs!$K$4:$AJ$4,0))))+SUMPRODUCT((Inputs!$C$5:$C$180=$B62)*ISNUMBER(INDEX(Inputs!$K$5:$AJ$180,0,MATCH(T$2,Inputs!$K$4:$AJ$4,0))))+SUMPRODUCT((Inputs!$E$5:$E$180=$B62)*ISNUMBER(INDEX(Inputs!$K$5:$AJ$180,0,MATCH(T$2,Inputs!$K$4:$AJ$4,0))))=0,NA(),SUMPRODUCT((Inputs!$A$5:$A$180=$B62)*Inputs!$B$5:$B$180*(((Inputs!$G$5:$G$180="moeda")+(Inputs!$G$5:$G$180="acoes"))*Inputs!$B$1+((Inputs!$G$5:$G$180&lt;&gt;"moeda")*(Inputs!$G$5:$G$180&lt;&gt;"acoes")))*INDEX(Inputs!$K$5:$AJ$180,0,MATCH(T$2,Inputs!$K$4:$AJ$4,0)))+SUMPRODUCT((Inputs!$C$5:$C$180=$B62)*Inputs!$D$5:$D$180*(((Inputs!$G$5:$G$180="moeda")+(Inputs!$G$5:$G$180="acoes"))*Inputs!$B$1+((Inputs!$G$5:$G$180&lt;&gt;"moeda")*(Inputs!$G$5:$G$180&lt;&gt;"acoes")))*INDEX(Inputs!$K$5:$AJ$180,0,MATCH(T$2,Inputs!$K$4:$AJ$4,0)))+SUMPRODUCT((Inputs!$E$5:$E$180=$B62)*Inputs!$F$5:$F$180*(((Inputs!$G$5:$G$180="moeda")+(Inputs!$G$5:$G$180="acoes"))*Inputs!$B$1+((Inputs!$G$5:$G$180&lt;&gt;"moeda")*(Inputs!$G$5:$G$180&lt;&gt;"acoes")))*INDEX(Inputs!$K$5:$AJ$180,0,MATCH(T$2,Inputs!$K$4:$AJ$4,0)))))</f>
        <v>14</v>
      </c>
      <c r="U62" s="266">
        <f>IF(ISNA(MATCH(U$2,Inputs!$K$4:$AJ$4,0)),NA(),IF(SUMPRODUCT((Inputs!$A$5:$A$180=$B62)*ISNUMBER(INDEX(Inputs!$K$5:$AJ$180,0,MATCH(U$2,Inputs!$K$4:$AJ$4,0))))+SUMPRODUCT((Inputs!$C$5:$C$180=$B62)*ISNUMBER(INDEX(Inputs!$K$5:$AJ$180,0,MATCH(U$2,Inputs!$K$4:$AJ$4,0))))+SUMPRODUCT((Inputs!$E$5:$E$180=$B62)*ISNUMBER(INDEX(Inputs!$K$5:$AJ$180,0,MATCH(U$2,Inputs!$K$4:$AJ$4,0))))=0,NA(),SUMPRODUCT((Inputs!$A$5:$A$180=$B62)*Inputs!$B$5:$B$180*(((Inputs!$G$5:$G$180="moeda")+(Inputs!$G$5:$G$180="acoes"))*Inputs!$B$1+((Inputs!$G$5:$G$180&lt;&gt;"moeda")*(Inputs!$G$5:$G$180&lt;&gt;"acoes")))*INDEX(Inputs!$K$5:$AJ$180,0,MATCH(U$2,Inputs!$K$4:$AJ$4,0)))+SUMPRODUCT((Inputs!$C$5:$C$180=$B62)*Inputs!$D$5:$D$180*(((Inputs!$G$5:$G$180="moeda")+(Inputs!$G$5:$G$180="acoes"))*Inputs!$B$1+((Inputs!$G$5:$G$180&lt;&gt;"moeda")*(Inputs!$G$5:$G$180&lt;&gt;"acoes")))*INDEX(Inputs!$K$5:$AJ$180,0,MATCH(U$2,Inputs!$K$4:$AJ$4,0)))+SUMPRODUCT((Inputs!$E$5:$E$180=$B62)*Inputs!$F$5:$F$180*(((Inputs!$G$5:$G$180="moeda")+(Inputs!$G$5:$G$180="acoes"))*Inputs!$B$1+((Inputs!$G$5:$G$180&lt;&gt;"moeda")*(Inputs!$G$5:$G$180&lt;&gt;"acoes")))*INDEX(Inputs!$K$5:$AJ$180,0,MATCH(U$2,Inputs!$K$4:$AJ$4,0)))))</f>
        <v>12</v>
      </c>
      <c r="V62" s="266">
        <f>IF(ISNA(MATCH(V$2,Inputs!$K$4:$AJ$4,0)),NA(),IF(SUMPRODUCT((Inputs!$A$5:$A$180=$B62)*ISNUMBER(INDEX(Inputs!$K$5:$AJ$180,0,MATCH(V$2,Inputs!$K$4:$AJ$4,0))))+SUMPRODUCT((Inputs!$C$5:$C$180=$B62)*ISNUMBER(INDEX(Inputs!$K$5:$AJ$180,0,MATCH(V$2,Inputs!$K$4:$AJ$4,0))))+SUMPRODUCT((Inputs!$E$5:$E$180=$B62)*ISNUMBER(INDEX(Inputs!$K$5:$AJ$180,0,MATCH(V$2,Inputs!$K$4:$AJ$4,0))))=0,NA(),SUMPRODUCT((Inputs!$A$5:$A$180=$B62)*Inputs!$B$5:$B$180*(((Inputs!$G$5:$G$180="moeda")+(Inputs!$G$5:$G$180="acoes"))*Inputs!$B$1+((Inputs!$G$5:$G$180&lt;&gt;"moeda")*(Inputs!$G$5:$G$180&lt;&gt;"acoes")))*INDEX(Inputs!$K$5:$AJ$180,0,MATCH(V$2,Inputs!$K$4:$AJ$4,0)))+SUMPRODUCT((Inputs!$C$5:$C$180=$B62)*Inputs!$D$5:$D$180*(((Inputs!$G$5:$G$180="moeda")+(Inputs!$G$5:$G$180="acoes"))*Inputs!$B$1+((Inputs!$G$5:$G$180&lt;&gt;"moeda")*(Inputs!$G$5:$G$180&lt;&gt;"acoes")))*INDEX(Inputs!$K$5:$AJ$180,0,MATCH(V$2,Inputs!$K$4:$AJ$4,0)))+SUMPRODUCT((Inputs!$E$5:$E$180=$B62)*Inputs!$F$5:$F$180*(((Inputs!$G$5:$G$180="moeda")+(Inputs!$G$5:$G$180="acoes"))*Inputs!$B$1+((Inputs!$G$5:$G$180&lt;&gt;"moeda")*(Inputs!$G$5:$G$180&lt;&gt;"acoes")))*INDEX(Inputs!$K$5:$AJ$180,0,MATCH(V$2,Inputs!$K$4:$AJ$4,0)))))</f>
        <v>11</v>
      </c>
      <c r="W62" s="267">
        <f>V62</f>
        <v>11</v>
      </c>
      <c r="X62" s="266">
        <f>IF(ISNA(MATCH(X$2,Inputs!$K$4:$AJ$4,0)),NA(),IF(SUMPRODUCT((Inputs!$A$5:$A$180=$B62)*ISNUMBER(INDEX(Inputs!$K$5:$AJ$180,0,MATCH(X$2,Inputs!$K$4:$AJ$4,0))))+SUMPRODUCT((Inputs!$C$5:$C$180=$B62)*ISNUMBER(INDEX(Inputs!$K$5:$AJ$180,0,MATCH(X$2,Inputs!$K$4:$AJ$4,0))))+SUMPRODUCT((Inputs!$E$5:$E$180=$B62)*ISNUMBER(INDEX(Inputs!$K$5:$AJ$180,0,MATCH(X$2,Inputs!$K$4:$AJ$4,0))))=0,NA(),SUMPRODUCT((Inputs!$A$5:$A$180=$B62)*Inputs!$B$5:$B$180*(((Inputs!$G$5:$G$180="moeda")+(Inputs!$G$5:$G$180="acoes"))*Inputs!$B$1+((Inputs!$G$5:$G$180&lt;&gt;"moeda")*(Inputs!$G$5:$G$180&lt;&gt;"acoes")))*INDEX(Inputs!$K$5:$AJ$180,0,MATCH(X$2,Inputs!$K$4:$AJ$4,0)))+SUMPRODUCT((Inputs!$C$5:$C$180=$B62)*Inputs!$D$5:$D$180*(((Inputs!$G$5:$G$180="moeda")+(Inputs!$G$5:$G$180="acoes"))*Inputs!$B$1+((Inputs!$G$5:$G$180&lt;&gt;"moeda")*(Inputs!$G$5:$G$180&lt;&gt;"acoes")))*INDEX(Inputs!$K$5:$AJ$180,0,MATCH(X$2,Inputs!$K$4:$AJ$4,0)))+SUMPRODUCT((Inputs!$E$5:$E$180=$B62)*Inputs!$F$5:$F$180*(((Inputs!$G$5:$G$180="moeda")+(Inputs!$G$5:$G$180="acoes"))*Inputs!$B$1+((Inputs!$G$5:$G$180&lt;&gt;"moeda")*(Inputs!$G$5:$G$180&lt;&gt;"acoes")))*INDEX(Inputs!$K$5:$AJ$180,0,MATCH(X$2,Inputs!$K$4:$AJ$4,0)))))</f>
        <v>11</v>
      </c>
      <c r="Y62" s="266">
        <f>IF(ISNA(MATCH(Y$2,Inputs!$K$4:$AJ$4,0)),NA(),IF(SUMPRODUCT((Inputs!$A$5:$A$180=$B62)*ISNUMBER(INDEX(Inputs!$K$5:$AJ$180,0,MATCH(Y$2,Inputs!$K$4:$AJ$4,0))))+SUMPRODUCT((Inputs!$C$5:$C$180=$B62)*ISNUMBER(INDEX(Inputs!$K$5:$AJ$180,0,MATCH(Y$2,Inputs!$K$4:$AJ$4,0))))+SUMPRODUCT((Inputs!$E$5:$E$180=$B62)*ISNUMBER(INDEX(Inputs!$K$5:$AJ$180,0,MATCH(Y$2,Inputs!$K$4:$AJ$4,0))))=0,NA(),SUMPRODUCT((Inputs!$A$5:$A$180=$B62)*Inputs!$B$5:$B$180*(((Inputs!$G$5:$G$180="moeda")+(Inputs!$G$5:$G$180="acoes"))*Inputs!$B$1+((Inputs!$G$5:$G$180&lt;&gt;"moeda")*(Inputs!$G$5:$G$180&lt;&gt;"acoes")))*INDEX(Inputs!$K$5:$AJ$180,0,MATCH(Y$2,Inputs!$K$4:$AJ$4,0)))+SUMPRODUCT((Inputs!$C$5:$C$180=$B62)*Inputs!$D$5:$D$180*(((Inputs!$G$5:$G$180="moeda")+(Inputs!$G$5:$G$180="acoes"))*Inputs!$B$1+((Inputs!$G$5:$G$180&lt;&gt;"moeda")*(Inputs!$G$5:$G$180&lt;&gt;"acoes")))*INDEX(Inputs!$K$5:$AJ$180,0,MATCH(Y$2,Inputs!$K$4:$AJ$4,0)))+SUMPRODUCT((Inputs!$E$5:$E$180=$B62)*Inputs!$F$5:$F$180*(((Inputs!$G$5:$G$180="moeda")+(Inputs!$G$5:$G$180="acoes"))*Inputs!$B$1+((Inputs!$G$5:$G$180&lt;&gt;"moeda")*(Inputs!$G$5:$G$180&lt;&gt;"acoes")))*INDEX(Inputs!$K$5:$AJ$180,0,MATCH(Y$2,Inputs!$K$4:$AJ$4,0)))))</f>
        <v>11</v>
      </c>
      <c r="Z62" s="266">
        <f>IF(ISNA(MATCH(Z$2,Inputs!$K$4:$AJ$4,0)),NA(),IF(SUMPRODUCT((Inputs!$A$5:$A$180=$B62)*ISNUMBER(INDEX(Inputs!$K$5:$AJ$180,0,MATCH(Z$2,Inputs!$K$4:$AJ$4,0))))+SUMPRODUCT((Inputs!$C$5:$C$180=$B62)*ISNUMBER(INDEX(Inputs!$K$5:$AJ$180,0,MATCH(Z$2,Inputs!$K$4:$AJ$4,0))))+SUMPRODUCT((Inputs!$E$5:$E$180=$B62)*ISNUMBER(INDEX(Inputs!$K$5:$AJ$180,0,MATCH(Z$2,Inputs!$K$4:$AJ$4,0))))=0,NA(),SUMPRODUCT((Inputs!$A$5:$A$180=$B62)*Inputs!$B$5:$B$180*(((Inputs!$G$5:$G$180="moeda")+(Inputs!$G$5:$G$180="acoes"))*Inputs!$B$1+((Inputs!$G$5:$G$180&lt;&gt;"moeda")*(Inputs!$G$5:$G$180&lt;&gt;"acoes")))*INDEX(Inputs!$K$5:$AJ$180,0,MATCH(Z$2,Inputs!$K$4:$AJ$4,0)))+SUMPRODUCT((Inputs!$C$5:$C$180=$B62)*Inputs!$D$5:$D$180*(((Inputs!$G$5:$G$180="moeda")+(Inputs!$G$5:$G$180="acoes"))*Inputs!$B$1+((Inputs!$G$5:$G$180&lt;&gt;"moeda")*(Inputs!$G$5:$G$180&lt;&gt;"acoes")))*INDEX(Inputs!$K$5:$AJ$180,0,MATCH(Z$2,Inputs!$K$4:$AJ$4,0)))+SUMPRODUCT((Inputs!$E$5:$E$180=$B62)*Inputs!$F$5:$F$180*(((Inputs!$G$5:$G$180="moeda")+(Inputs!$G$5:$G$180="acoes"))*Inputs!$B$1+((Inputs!$G$5:$G$180&lt;&gt;"moeda")*(Inputs!$G$5:$G$180&lt;&gt;"acoes")))*INDEX(Inputs!$K$5:$AJ$180,0,MATCH(Z$2,Inputs!$K$4:$AJ$4,0)))))</f>
        <v>11</v>
      </c>
      <c r="AA62" s="266">
        <f>IF(ISNA(MATCH(AA$2,Inputs!$K$4:$AJ$4,0)),NA(),IF(SUMPRODUCT((Inputs!$A$5:$A$180=$B62)*ISNUMBER(INDEX(Inputs!$K$5:$AJ$180,0,MATCH(AA$2,Inputs!$K$4:$AJ$4,0))))+SUMPRODUCT((Inputs!$C$5:$C$180=$B62)*ISNUMBER(INDEX(Inputs!$K$5:$AJ$180,0,MATCH(AA$2,Inputs!$K$4:$AJ$4,0))))+SUMPRODUCT((Inputs!$E$5:$E$180=$B62)*ISNUMBER(INDEX(Inputs!$K$5:$AJ$180,0,MATCH(AA$2,Inputs!$K$4:$AJ$4,0))))=0,NA(),SUMPRODUCT((Inputs!$A$5:$A$180=$B62)*Inputs!$B$5:$B$180*(((Inputs!$G$5:$G$180="moeda")+(Inputs!$G$5:$G$180="acoes"))*Inputs!$B$1+((Inputs!$G$5:$G$180&lt;&gt;"moeda")*(Inputs!$G$5:$G$180&lt;&gt;"acoes")))*INDEX(Inputs!$K$5:$AJ$180,0,MATCH(AA$2,Inputs!$K$4:$AJ$4,0)))+SUMPRODUCT((Inputs!$C$5:$C$180=$B62)*Inputs!$D$5:$D$180*(((Inputs!$G$5:$G$180="moeda")+(Inputs!$G$5:$G$180="acoes"))*Inputs!$B$1+((Inputs!$G$5:$G$180&lt;&gt;"moeda")*(Inputs!$G$5:$G$180&lt;&gt;"acoes")))*INDEX(Inputs!$K$5:$AJ$180,0,MATCH(AA$2,Inputs!$K$4:$AJ$4,0)))+SUMPRODUCT((Inputs!$E$5:$E$180=$B62)*Inputs!$F$5:$F$180*(((Inputs!$G$5:$G$180="moeda")+(Inputs!$G$5:$G$180="acoes"))*Inputs!$B$1+((Inputs!$G$5:$G$180&lt;&gt;"moeda")*(Inputs!$G$5:$G$180&lt;&gt;"acoes")))*INDEX(Inputs!$K$5:$AJ$180,0,MATCH(AA$2,Inputs!$K$4:$AJ$4,0)))))</f>
        <v>11</v>
      </c>
      <c r="AB62" s="267">
        <f>AA62</f>
        <v>11</v>
      </c>
      <c r="AC62" s="266">
        <f>IF(ISNA(MATCH(AC$2,Inputs!$K$4:$AJ$4,0)),NA(),IF(SUMPRODUCT((Inputs!$A$5:$A$180=$B62)*ISNUMBER(INDEX(Inputs!$K$5:$AJ$180,0,MATCH(AC$2,Inputs!$K$4:$AJ$4,0))))+SUMPRODUCT((Inputs!$C$5:$C$180=$B62)*ISNUMBER(INDEX(Inputs!$K$5:$AJ$180,0,MATCH(AC$2,Inputs!$K$4:$AJ$4,0))))+SUMPRODUCT((Inputs!$E$5:$E$180=$B62)*ISNUMBER(INDEX(Inputs!$K$5:$AJ$180,0,MATCH(AC$2,Inputs!$K$4:$AJ$4,0))))=0,NA(),SUMPRODUCT((Inputs!$A$5:$A$180=$B62)*Inputs!$B$5:$B$180*(((Inputs!$G$5:$G$180="moeda")+(Inputs!$G$5:$G$180="acoes"))*Inputs!$B$1+((Inputs!$G$5:$G$180&lt;&gt;"moeda")*(Inputs!$G$5:$G$180&lt;&gt;"acoes")))*INDEX(Inputs!$K$5:$AJ$180,0,MATCH(AC$2,Inputs!$K$4:$AJ$4,0)))+SUMPRODUCT((Inputs!$C$5:$C$180=$B62)*Inputs!$D$5:$D$180*(((Inputs!$G$5:$G$180="moeda")+(Inputs!$G$5:$G$180="acoes"))*Inputs!$B$1+((Inputs!$G$5:$G$180&lt;&gt;"moeda")*(Inputs!$G$5:$G$180&lt;&gt;"acoes")))*INDEX(Inputs!$K$5:$AJ$180,0,MATCH(AC$2,Inputs!$K$4:$AJ$4,0)))+SUMPRODUCT((Inputs!$E$5:$E$180=$B62)*Inputs!$F$5:$F$180*(((Inputs!$G$5:$G$180="moeda")+(Inputs!$G$5:$G$180="acoes"))*Inputs!$B$1+((Inputs!$G$5:$G$180&lt;&gt;"moeda")*(Inputs!$G$5:$G$180&lt;&gt;"acoes")))*INDEX(Inputs!$K$5:$AJ$180,0,MATCH(AC$2,Inputs!$K$4:$AJ$4,0)))))</f>
        <v>11</v>
      </c>
      <c r="AD62" s="266">
        <f>IF(ISNA(MATCH(AD$2,Inputs!$K$4:$AJ$4,0)),NA(),IF(SUMPRODUCT((Inputs!$A$5:$A$180=$B62)*ISNUMBER(INDEX(Inputs!$K$5:$AJ$180,0,MATCH(AD$2,Inputs!$K$4:$AJ$4,0))))+SUMPRODUCT((Inputs!$C$5:$C$180=$B62)*ISNUMBER(INDEX(Inputs!$K$5:$AJ$180,0,MATCH(AD$2,Inputs!$K$4:$AJ$4,0))))+SUMPRODUCT((Inputs!$E$5:$E$180=$B62)*ISNUMBER(INDEX(Inputs!$K$5:$AJ$180,0,MATCH(AD$2,Inputs!$K$4:$AJ$4,0))))=0,NA(),SUMPRODUCT((Inputs!$A$5:$A$180=$B62)*Inputs!$B$5:$B$180*(((Inputs!$G$5:$G$180="moeda")+(Inputs!$G$5:$G$180="acoes"))*Inputs!$B$1+((Inputs!$G$5:$G$180&lt;&gt;"moeda")*(Inputs!$G$5:$G$180&lt;&gt;"acoes")))*INDEX(Inputs!$K$5:$AJ$180,0,MATCH(AD$2,Inputs!$K$4:$AJ$4,0)))+SUMPRODUCT((Inputs!$C$5:$C$180=$B62)*Inputs!$D$5:$D$180*(((Inputs!$G$5:$G$180="moeda")+(Inputs!$G$5:$G$180="acoes"))*Inputs!$B$1+((Inputs!$G$5:$G$180&lt;&gt;"moeda")*(Inputs!$G$5:$G$180&lt;&gt;"acoes")))*INDEX(Inputs!$K$5:$AJ$180,0,MATCH(AD$2,Inputs!$K$4:$AJ$4,0)))+SUMPRODUCT((Inputs!$E$5:$E$180=$B62)*Inputs!$F$5:$F$180*(((Inputs!$G$5:$G$180="moeda")+(Inputs!$G$5:$G$180="acoes"))*Inputs!$B$1+((Inputs!$G$5:$G$180&lt;&gt;"moeda")*(Inputs!$G$5:$G$180&lt;&gt;"acoes")))*INDEX(Inputs!$K$5:$AJ$180,0,MATCH(AD$2,Inputs!$K$4:$AJ$4,0)))))</f>
        <v>11</v>
      </c>
      <c r="AE62" s="266" t="e">
        <f>IF(ISNA(MATCH(AE$2,Inputs!$K$4:$AJ$4,0)),NA(),IF(SUMPRODUCT((Inputs!$A$5:$A$180=$B62)*ISNUMBER(INDEX(Inputs!$K$5:$AJ$180,0,MATCH(AE$2,Inputs!$K$4:$AJ$4,0))))+SUMPRODUCT((Inputs!$C$5:$C$180=$B62)*ISNUMBER(INDEX(Inputs!$K$5:$AJ$180,0,MATCH(AE$2,Inputs!$K$4:$AJ$4,0))))+SUMPRODUCT((Inputs!$E$5:$E$180=$B62)*ISNUMBER(INDEX(Inputs!$K$5:$AJ$180,0,MATCH(AE$2,Inputs!$K$4:$AJ$4,0))))=0,NA(),SUMPRODUCT((Inputs!$A$5:$A$180=$B62)*Inputs!$B$5:$B$180*(((Inputs!$G$5:$G$180="moeda")+(Inputs!$G$5:$G$180="acoes"))*Inputs!$B$1+((Inputs!$G$5:$G$180&lt;&gt;"moeda")*(Inputs!$G$5:$G$180&lt;&gt;"acoes")))*INDEX(Inputs!$K$5:$AJ$180,0,MATCH(AE$2,Inputs!$K$4:$AJ$4,0)))+SUMPRODUCT((Inputs!$C$5:$C$180=$B62)*Inputs!$D$5:$D$180*(((Inputs!$G$5:$G$180="moeda")+(Inputs!$G$5:$G$180="acoes"))*Inputs!$B$1+((Inputs!$G$5:$G$180&lt;&gt;"moeda")*(Inputs!$G$5:$G$180&lt;&gt;"acoes")))*INDEX(Inputs!$K$5:$AJ$180,0,MATCH(AE$2,Inputs!$K$4:$AJ$4,0)))+SUMPRODUCT((Inputs!$E$5:$E$180=$B62)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2" s="266" t="e">
        <f>IF(ISNA(MATCH(AF$2,Inputs!$K$4:$AJ$4,0)),NA(),IF(SUMPRODUCT((Inputs!$A$5:$A$180=$B62)*ISNUMBER(INDEX(Inputs!$K$5:$AJ$180,0,MATCH(AF$2,Inputs!$K$4:$AJ$4,0))))+SUMPRODUCT((Inputs!$C$5:$C$180=$B62)*ISNUMBER(INDEX(Inputs!$K$5:$AJ$180,0,MATCH(AF$2,Inputs!$K$4:$AJ$4,0))))+SUMPRODUCT((Inputs!$E$5:$E$180=$B62)*ISNUMBER(INDEX(Inputs!$K$5:$AJ$180,0,MATCH(AF$2,Inputs!$K$4:$AJ$4,0))))=0,NA(),SUMPRODUCT((Inputs!$A$5:$A$180=$B62)*Inputs!$B$5:$B$180*(((Inputs!$G$5:$G$180="moeda")+(Inputs!$G$5:$G$180="acoes"))*Inputs!$B$1+((Inputs!$G$5:$G$180&lt;&gt;"moeda")*(Inputs!$G$5:$G$180&lt;&gt;"acoes")))*INDEX(Inputs!$K$5:$AJ$180,0,MATCH(AF$2,Inputs!$K$4:$AJ$4,0)))+SUMPRODUCT((Inputs!$C$5:$C$180=$B62)*Inputs!$D$5:$D$180*(((Inputs!$G$5:$G$180="moeda")+(Inputs!$G$5:$G$180="acoes"))*Inputs!$B$1+((Inputs!$G$5:$G$180&lt;&gt;"moeda")*(Inputs!$G$5:$G$180&lt;&gt;"acoes")))*INDEX(Inputs!$K$5:$AJ$180,0,MATCH(AF$2,Inputs!$K$4:$AJ$4,0)))+SUMPRODUCT((Inputs!$E$5:$E$180=$B62)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2" s="267" t="e">
        <f>AF62</f>
        <v>#N/A</v>
      </c>
      <c r="AH62" s="266">
        <f>IF(ISNA(MATCH(AH$2,Inputs!$K$4:$AJ$4,0)),NA(),IF(SUMPRODUCT((Inputs!$A$5:$A$180=$B62)*ISNUMBER(INDEX(Inputs!$K$5:$AJ$180,0,MATCH(AH$2,Inputs!$K$4:$AJ$4,0))))+SUMPRODUCT((Inputs!$C$5:$C$180=$B62)*ISNUMBER(INDEX(Inputs!$K$5:$AJ$180,0,MATCH(AH$2,Inputs!$K$4:$AJ$4,0))))+SUMPRODUCT((Inputs!$E$5:$E$180=$B62)*ISNUMBER(INDEX(Inputs!$K$5:$AJ$180,0,MATCH(AH$2,Inputs!$K$4:$AJ$4,0))))=0,NA(),SUMPRODUCT((Inputs!$A$5:$A$180=$B62)*Inputs!$B$5:$B$180*(((Inputs!$G$5:$G$180="moeda")+(Inputs!$G$5:$G$180="acoes"))*Inputs!$B$1+((Inputs!$G$5:$G$180&lt;&gt;"moeda")*(Inputs!$G$5:$G$180&lt;&gt;"acoes")))*INDEX(Inputs!$K$5:$AJ$180,0,MATCH(AH$2,Inputs!$K$4:$AJ$4,0)))+SUMPRODUCT((Inputs!$C$5:$C$180=$B62)*Inputs!$D$5:$D$180*(((Inputs!$G$5:$G$180="moeda")+(Inputs!$G$5:$G$180="acoes"))*Inputs!$B$1+((Inputs!$G$5:$G$180&lt;&gt;"moeda")*(Inputs!$G$5:$G$180&lt;&gt;"acoes")))*INDEX(Inputs!$K$5:$AJ$180,0,MATCH(AH$2,Inputs!$K$4:$AJ$4,0)))+SUMPRODUCT((Inputs!$E$5:$E$180=$B62)*Inputs!$F$5:$F$180*(((Inputs!$G$5:$G$180="moeda")+(Inputs!$G$5:$G$180="acoes"))*Inputs!$B$1+((Inputs!$G$5:$G$180&lt;&gt;"moeda")*(Inputs!$G$5:$G$180&lt;&gt;"acoes")))*INDEX(Inputs!$K$5:$AJ$180,0,MATCH(AH$2,Inputs!$K$4:$AJ$4,0)))))</f>
        <v>50</v>
      </c>
      <c r="AI62" s="266">
        <f>IF(ISNA(MATCH(AI$2,Inputs!$K$4:$AJ$4,0)),NA(),IF(SUMPRODUCT((Inputs!$A$5:$A$180=$B62)*ISNUMBER(INDEX(Inputs!$K$5:$AJ$180,0,MATCH(AI$2,Inputs!$K$4:$AJ$4,0))))+SUMPRODUCT((Inputs!$C$5:$C$180=$B62)*ISNUMBER(INDEX(Inputs!$K$5:$AJ$180,0,MATCH(AI$2,Inputs!$K$4:$AJ$4,0))))+SUMPRODUCT((Inputs!$E$5:$E$180=$B62)*ISNUMBER(INDEX(Inputs!$K$5:$AJ$180,0,MATCH(AI$2,Inputs!$K$4:$AJ$4,0))))=0,NA(),SUMPRODUCT((Inputs!$A$5:$A$180=$B62)*Inputs!$B$5:$B$180*(((Inputs!$G$5:$G$180="moeda")+(Inputs!$G$5:$G$180="acoes"))*Inputs!$B$1+((Inputs!$G$5:$G$180&lt;&gt;"moeda")*(Inputs!$G$5:$G$180&lt;&gt;"acoes")))*INDEX(Inputs!$K$5:$AJ$180,0,MATCH(AI$2,Inputs!$K$4:$AJ$4,0)))+SUMPRODUCT((Inputs!$C$5:$C$180=$B62)*Inputs!$D$5:$D$180*(((Inputs!$G$5:$G$180="moeda")+(Inputs!$G$5:$G$180="acoes"))*Inputs!$B$1+((Inputs!$G$5:$G$180&lt;&gt;"moeda")*(Inputs!$G$5:$G$180&lt;&gt;"acoes")))*INDEX(Inputs!$K$5:$AJ$180,0,MATCH(AI$2,Inputs!$K$4:$AJ$4,0)))+SUMPRODUCT((Inputs!$E$5:$E$180=$B62)*Inputs!$F$5:$F$180*(((Inputs!$G$5:$G$180="moeda")+(Inputs!$G$5:$G$180="acoes"))*Inputs!$B$1+((Inputs!$G$5:$G$180&lt;&gt;"moeda")*(Inputs!$G$5:$G$180&lt;&gt;"acoes")))*INDEX(Inputs!$K$5:$AJ$180,0,MATCH(AI$2,Inputs!$K$4:$AJ$4,0)))))</f>
        <v>45</v>
      </c>
      <c r="AJ62" s="266">
        <f>IF(ISNA(MATCH(AJ$2,Inputs!$K$4:$AJ$4,0)),NA(),IF(SUMPRODUCT((Inputs!$A$5:$A$180=$B62)*ISNUMBER(INDEX(Inputs!$K$5:$AJ$180,0,MATCH(AJ$2,Inputs!$K$4:$AJ$4,0))))+SUMPRODUCT((Inputs!$C$5:$C$180=$B62)*ISNUMBER(INDEX(Inputs!$K$5:$AJ$180,0,MATCH(AJ$2,Inputs!$K$4:$AJ$4,0))))+SUMPRODUCT((Inputs!$E$5:$E$180=$B62)*ISNUMBER(INDEX(Inputs!$K$5:$AJ$180,0,MATCH(AJ$2,Inputs!$K$4:$AJ$4,0))))=0,NA(),SUMPRODUCT((Inputs!$A$5:$A$180=$B62)*Inputs!$B$5:$B$180*(((Inputs!$G$5:$G$180="moeda")+(Inputs!$G$5:$G$180="acoes"))*Inputs!$B$1+((Inputs!$G$5:$G$180&lt;&gt;"moeda")*(Inputs!$G$5:$G$180&lt;&gt;"acoes")))*INDEX(Inputs!$K$5:$AJ$180,0,MATCH(AJ$2,Inputs!$K$4:$AJ$4,0)))+SUMPRODUCT((Inputs!$C$5:$C$180=$B62)*Inputs!$D$5:$D$180*(((Inputs!$G$5:$G$180="moeda")+(Inputs!$G$5:$G$180="acoes"))*Inputs!$B$1+((Inputs!$G$5:$G$180&lt;&gt;"moeda")*(Inputs!$G$5:$G$180&lt;&gt;"acoes")))*INDEX(Inputs!$K$5:$AJ$180,0,MATCH(AJ$2,Inputs!$K$4:$AJ$4,0)))+SUMPRODUCT((Inputs!$E$5:$E$180=$B62)*Inputs!$F$5:$F$180*(((Inputs!$G$5:$G$180="moeda")+(Inputs!$G$5:$G$180="acoes"))*Inputs!$B$1+((Inputs!$G$5:$G$180&lt;&gt;"moeda")*(Inputs!$G$5:$G$180&lt;&gt;"acoes")))*INDEX(Inputs!$K$5:$AJ$180,0,MATCH(AJ$2,Inputs!$K$4:$AJ$4,0)))))</f>
        <v>45</v>
      </c>
      <c r="AK62" s="266">
        <f>IF(ISNA(MATCH(AK$2,Inputs!$K$4:$AJ$4,0)),NA(),IF(SUMPRODUCT((Inputs!$A$5:$A$180=$B62)*ISNUMBER(INDEX(Inputs!$K$5:$AJ$180,0,MATCH(AK$2,Inputs!$K$4:$AJ$4,0))))+SUMPRODUCT((Inputs!$C$5:$C$180=$B62)*ISNUMBER(INDEX(Inputs!$K$5:$AJ$180,0,MATCH(AK$2,Inputs!$K$4:$AJ$4,0))))+SUMPRODUCT((Inputs!$E$5:$E$180=$B62)*ISNUMBER(INDEX(Inputs!$K$5:$AJ$180,0,MATCH(AK$2,Inputs!$K$4:$AJ$4,0))))=0,NA(),SUMPRODUCT((Inputs!$A$5:$A$180=$B62)*Inputs!$B$5:$B$180*(((Inputs!$G$5:$G$180="moeda")+(Inputs!$G$5:$G$180="acoes"))*Inputs!$B$1+((Inputs!$G$5:$G$180&lt;&gt;"moeda")*(Inputs!$G$5:$G$180&lt;&gt;"acoes")))*INDEX(Inputs!$K$5:$AJ$180,0,MATCH(AK$2,Inputs!$K$4:$AJ$4,0)))+SUMPRODUCT((Inputs!$C$5:$C$180=$B62)*Inputs!$D$5:$D$180*(((Inputs!$G$5:$G$180="moeda")+(Inputs!$G$5:$G$180="acoes"))*Inputs!$B$1+((Inputs!$G$5:$G$180&lt;&gt;"moeda")*(Inputs!$G$5:$G$180&lt;&gt;"acoes")))*INDEX(Inputs!$K$5:$AJ$180,0,MATCH(AK$2,Inputs!$K$4:$AJ$4,0)))+SUMPRODUCT((Inputs!$E$5:$E$180=$B62)*Inputs!$F$5:$F$180*(((Inputs!$G$5:$G$180="moeda")+(Inputs!$G$5:$G$180="acoes"))*Inputs!$B$1+((Inputs!$G$5:$G$180&lt;&gt;"moeda")*(Inputs!$G$5:$G$180&lt;&gt;"acoes")))*INDEX(Inputs!$K$5:$AJ$180,0,MATCH(AK$2,Inputs!$K$4:$AJ$4,0)))))</f>
        <v>46</v>
      </c>
      <c r="AL62" s="267">
        <f>AK62</f>
        <v>46</v>
      </c>
    </row>
    <row r="63">
      <c r="B63" s="46" t="n">
        <v>55</v>
      </c>
      <c r="C63" s="29" t="inlineStr">
        <is>
          <t>Area de vendas Vivara (m2; l.6)</t>
        </is>
      </c>
      <c r="D63" s="266">
        <f>IF(ISNA(MATCH(D$2,Inputs!$K$4:$AJ$4,0)),NA(),IF(SUMPRODUCT((Inputs!$A$5:$A$180=$B63)*ISNUMBER(INDEX(Inputs!$K$5:$AJ$180,0,MATCH(D$2,Inputs!$K$4:$AJ$4,0))))+SUMPRODUCT((Inputs!$C$5:$C$180=$B63)*ISNUMBER(INDEX(Inputs!$K$5:$AJ$180,0,MATCH(D$2,Inputs!$K$4:$AJ$4,0))))+SUMPRODUCT((Inputs!$E$5:$E$180=$B63)*ISNUMBER(INDEX(Inputs!$K$5:$AJ$180,0,MATCH(D$2,Inputs!$K$4:$AJ$4,0))))=0,NA(),SUMPRODUCT((Inputs!$A$5:$A$180=$B63)*Inputs!$B$5:$B$180*(((Inputs!$G$5:$G$180="moeda")+(Inputs!$G$5:$G$180="acoes"))*Inputs!$B$1+((Inputs!$G$5:$G$180&lt;&gt;"moeda")*(Inputs!$G$5:$G$180&lt;&gt;"acoes")))*INDEX(Inputs!$K$5:$AJ$180,0,MATCH(D$2,Inputs!$K$4:$AJ$4,0)))+SUMPRODUCT((Inputs!$C$5:$C$180=$B63)*Inputs!$D$5:$D$180*(((Inputs!$G$5:$G$180="moeda")+(Inputs!$G$5:$G$180="acoes"))*Inputs!$B$1+((Inputs!$G$5:$G$180&lt;&gt;"moeda")*(Inputs!$G$5:$G$180&lt;&gt;"acoes")))*INDEX(Inputs!$K$5:$AJ$180,0,MATCH(D$2,Inputs!$K$4:$AJ$4,0)))+SUMPRODUCT((Inputs!$E$5:$E$180=$B63)*Inputs!$F$5:$F$180*(((Inputs!$G$5:$G$180="moeda")+(Inputs!$G$5:$G$180="acoes"))*Inputs!$B$1+((Inputs!$G$5:$G$180&lt;&gt;"moeda")*(Inputs!$G$5:$G$180&lt;&gt;"acoes")))*INDEX(Inputs!$K$5:$AJ$180,0,MATCH(D$2,Inputs!$K$4:$AJ$4,0)))))</f>
        <v>18982.5</v>
      </c>
      <c r="E63" s="266">
        <f>IF(ISNA(MATCH(E$2,Inputs!$K$4:$AJ$4,0)),NA(),IF(SUMPRODUCT((Inputs!$A$5:$A$180=$B63)*ISNUMBER(INDEX(Inputs!$K$5:$AJ$180,0,MATCH(E$2,Inputs!$K$4:$AJ$4,0))))+SUMPRODUCT((Inputs!$C$5:$C$180=$B63)*ISNUMBER(INDEX(Inputs!$K$5:$AJ$180,0,MATCH(E$2,Inputs!$K$4:$AJ$4,0))))+SUMPRODUCT((Inputs!$E$5:$E$180=$B63)*ISNUMBER(INDEX(Inputs!$K$5:$AJ$180,0,MATCH(E$2,Inputs!$K$4:$AJ$4,0))))=0,NA(),SUMPRODUCT((Inputs!$A$5:$A$180=$B63)*Inputs!$B$5:$B$180*(((Inputs!$G$5:$G$180="moeda")+(Inputs!$G$5:$G$180="acoes"))*Inputs!$B$1+((Inputs!$G$5:$G$180&lt;&gt;"moeda")*(Inputs!$G$5:$G$180&lt;&gt;"acoes")))*INDEX(Inputs!$K$5:$AJ$180,0,MATCH(E$2,Inputs!$K$4:$AJ$4,0)))+SUMPRODUCT((Inputs!$C$5:$C$180=$B63)*Inputs!$D$5:$D$180*(((Inputs!$G$5:$G$180="moeda")+(Inputs!$G$5:$G$180="acoes"))*Inputs!$B$1+((Inputs!$G$5:$G$180&lt;&gt;"moeda")*(Inputs!$G$5:$G$180&lt;&gt;"acoes")))*INDEX(Inputs!$K$5:$AJ$180,0,MATCH(E$2,Inputs!$K$4:$AJ$4,0)))+SUMPRODUCT((Inputs!$E$5:$E$180=$B63)*Inputs!$F$5:$F$180*(((Inputs!$G$5:$G$180="moeda")+(Inputs!$G$5:$G$180="acoes"))*Inputs!$B$1+((Inputs!$G$5:$G$180&lt;&gt;"moeda")*(Inputs!$G$5:$G$180&lt;&gt;"acoes")))*INDEX(Inputs!$K$5:$AJ$180,0,MATCH(E$2,Inputs!$K$4:$AJ$4,0)))))</f>
        <v>20102</v>
      </c>
      <c r="F63" s="266">
        <f>IF(ISNA(MATCH(F$2,Inputs!$K$4:$AJ$4,0)),NA(),IF(SUMPRODUCT((Inputs!$A$5:$A$180=$B63)*ISNUMBER(INDEX(Inputs!$K$5:$AJ$180,0,MATCH(F$2,Inputs!$K$4:$AJ$4,0))))+SUMPRODUCT((Inputs!$C$5:$C$180=$B63)*ISNUMBER(INDEX(Inputs!$K$5:$AJ$180,0,MATCH(F$2,Inputs!$K$4:$AJ$4,0))))+SUMPRODUCT((Inputs!$E$5:$E$180=$B63)*ISNUMBER(INDEX(Inputs!$K$5:$AJ$180,0,MATCH(F$2,Inputs!$K$4:$AJ$4,0))))=0,NA(),SUMPRODUCT((Inputs!$A$5:$A$180=$B63)*Inputs!$B$5:$B$180*(((Inputs!$G$5:$G$180="moeda")+(Inputs!$G$5:$G$180="acoes"))*Inputs!$B$1+((Inputs!$G$5:$G$180&lt;&gt;"moeda")*(Inputs!$G$5:$G$180&lt;&gt;"acoes")))*INDEX(Inputs!$K$5:$AJ$180,0,MATCH(F$2,Inputs!$K$4:$AJ$4,0)))+SUMPRODUCT((Inputs!$C$5:$C$180=$B63)*Inputs!$D$5:$D$180*(((Inputs!$G$5:$G$180="moeda")+(Inputs!$G$5:$G$180="acoes"))*Inputs!$B$1+((Inputs!$G$5:$G$180&lt;&gt;"moeda")*(Inputs!$G$5:$G$180&lt;&gt;"acoes")))*INDEX(Inputs!$K$5:$AJ$180,0,MATCH(F$2,Inputs!$K$4:$AJ$4,0)))+SUMPRODUCT((Inputs!$E$5:$E$180=$B63)*Inputs!$F$5:$F$180*(((Inputs!$G$5:$G$180="moeda")+(Inputs!$G$5:$G$180="acoes"))*Inputs!$B$1+((Inputs!$G$5:$G$180&lt;&gt;"moeda")*(Inputs!$G$5:$G$180&lt;&gt;"acoes")))*INDEX(Inputs!$K$5:$AJ$180,0,MATCH(F$2,Inputs!$K$4:$AJ$4,0)))))</f>
        <v>20646</v>
      </c>
      <c r="G63" s="266">
        <f>IF(ISNA(MATCH(G$2,Inputs!$K$4:$AJ$4,0)),NA(),IF(SUMPRODUCT((Inputs!$A$5:$A$180=$B63)*ISNUMBER(INDEX(Inputs!$K$5:$AJ$180,0,MATCH(G$2,Inputs!$K$4:$AJ$4,0))))+SUMPRODUCT((Inputs!$C$5:$C$180=$B63)*ISNUMBER(INDEX(Inputs!$K$5:$AJ$180,0,MATCH(G$2,Inputs!$K$4:$AJ$4,0))))+SUMPRODUCT((Inputs!$E$5:$E$180=$B63)*ISNUMBER(INDEX(Inputs!$K$5:$AJ$180,0,MATCH(G$2,Inputs!$K$4:$AJ$4,0))))=0,NA(),SUMPRODUCT((Inputs!$A$5:$A$180=$B63)*Inputs!$B$5:$B$180*(((Inputs!$G$5:$G$180="moeda")+(Inputs!$G$5:$G$180="acoes"))*Inputs!$B$1+((Inputs!$G$5:$G$180&lt;&gt;"moeda")*(Inputs!$G$5:$G$180&lt;&gt;"acoes")))*INDEX(Inputs!$K$5:$AJ$180,0,MATCH(G$2,Inputs!$K$4:$AJ$4,0)))+SUMPRODUCT((Inputs!$C$5:$C$180=$B63)*Inputs!$D$5:$D$180*(((Inputs!$G$5:$G$180="moeda")+(Inputs!$G$5:$G$180="acoes"))*Inputs!$B$1+((Inputs!$G$5:$G$180&lt;&gt;"moeda")*(Inputs!$G$5:$G$180&lt;&gt;"acoes")))*INDEX(Inputs!$K$5:$AJ$180,0,MATCH(G$2,Inputs!$K$4:$AJ$4,0)))+SUMPRODUCT((Inputs!$E$5:$E$180=$B63)*Inputs!$F$5:$F$180*(((Inputs!$G$5:$G$180="moeda")+(Inputs!$G$5:$G$180="acoes"))*Inputs!$B$1+((Inputs!$G$5:$G$180&lt;&gt;"moeda")*(Inputs!$G$5:$G$180&lt;&gt;"acoes")))*INDEX(Inputs!$K$5:$AJ$180,0,MATCH(G$2,Inputs!$K$4:$AJ$4,0)))))</f>
        <v>20841</v>
      </c>
      <c r="H63" s="267">
        <f>G63</f>
        <v>20841</v>
      </c>
      <c r="I63" s="266">
        <f>IF(ISNA(MATCH(I$2,Inputs!$K$4:$AJ$4,0)),NA(),IF(SUMPRODUCT((Inputs!$A$5:$A$180=$B63)*ISNUMBER(INDEX(Inputs!$K$5:$AJ$180,0,MATCH(I$2,Inputs!$K$4:$AJ$4,0))))+SUMPRODUCT((Inputs!$C$5:$C$180=$B63)*ISNUMBER(INDEX(Inputs!$K$5:$AJ$180,0,MATCH(I$2,Inputs!$K$4:$AJ$4,0))))+SUMPRODUCT((Inputs!$E$5:$E$180=$B63)*ISNUMBER(INDEX(Inputs!$K$5:$AJ$180,0,MATCH(I$2,Inputs!$K$4:$AJ$4,0))))=0,NA(),SUMPRODUCT((Inputs!$A$5:$A$180=$B63)*Inputs!$B$5:$B$180*(((Inputs!$G$5:$G$180="moeda")+(Inputs!$G$5:$G$180="acoes"))*Inputs!$B$1+((Inputs!$G$5:$G$180&lt;&gt;"moeda")*(Inputs!$G$5:$G$180&lt;&gt;"acoes")))*INDEX(Inputs!$K$5:$AJ$180,0,MATCH(I$2,Inputs!$K$4:$AJ$4,0)))+SUMPRODUCT((Inputs!$C$5:$C$180=$B63)*Inputs!$D$5:$D$180*(((Inputs!$G$5:$G$180="moeda")+(Inputs!$G$5:$G$180="acoes"))*Inputs!$B$1+((Inputs!$G$5:$G$180&lt;&gt;"moeda")*(Inputs!$G$5:$G$180&lt;&gt;"acoes")))*INDEX(Inputs!$K$5:$AJ$180,0,MATCH(I$2,Inputs!$K$4:$AJ$4,0)))+SUMPRODUCT((Inputs!$E$5:$E$180=$B63)*Inputs!$F$5:$F$180*(((Inputs!$G$5:$G$180="moeda")+(Inputs!$G$5:$G$180="acoes"))*Inputs!$B$1+((Inputs!$G$5:$G$180&lt;&gt;"moeda")*(Inputs!$G$5:$G$180&lt;&gt;"acoes")))*INDEX(Inputs!$K$5:$AJ$180,0,MATCH(I$2,Inputs!$K$4:$AJ$4,0)))))</f>
        <v>21098</v>
      </c>
      <c r="J63" s="266">
        <f>IF(ISNA(MATCH(J$2,Inputs!$K$4:$AJ$4,0)),NA(),IF(SUMPRODUCT((Inputs!$A$5:$A$180=$B63)*ISNUMBER(INDEX(Inputs!$K$5:$AJ$180,0,MATCH(J$2,Inputs!$K$4:$AJ$4,0))))+SUMPRODUCT((Inputs!$C$5:$C$180=$B63)*ISNUMBER(INDEX(Inputs!$K$5:$AJ$180,0,MATCH(J$2,Inputs!$K$4:$AJ$4,0))))+SUMPRODUCT((Inputs!$E$5:$E$180=$B63)*ISNUMBER(INDEX(Inputs!$K$5:$AJ$180,0,MATCH(J$2,Inputs!$K$4:$AJ$4,0))))=0,NA(),SUMPRODUCT((Inputs!$A$5:$A$180=$B63)*Inputs!$B$5:$B$180*(((Inputs!$G$5:$G$180="moeda")+(Inputs!$G$5:$G$180="acoes"))*Inputs!$B$1+((Inputs!$G$5:$G$180&lt;&gt;"moeda")*(Inputs!$G$5:$G$180&lt;&gt;"acoes")))*INDEX(Inputs!$K$5:$AJ$180,0,MATCH(J$2,Inputs!$K$4:$AJ$4,0)))+SUMPRODUCT((Inputs!$C$5:$C$180=$B63)*Inputs!$D$5:$D$180*(((Inputs!$G$5:$G$180="moeda")+(Inputs!$G$5:$G$180="acoes"))*Inputs!$B$1+((Inputs!$G$5:$G$180&lt;&gt;"moeda")*(Inputs!$G$5:$G$180&lt;&gt;"acoes")))*INDEX(Inputs!$K$5:$AJ$180,0,MATCH(J$2,Inputs!$K$4:$AJ$4,0)))+SUMPRODUCT((Inputs!$E$5:$E$180=$B63)*Inputs!$F$5:$F$180*(((Inputs!$G$5:$G$180="moeda")+(Inputs!$G$5:$G$180="acoes"))*Inputs!$B$1+((Inputs!$G$5:$G$180&lt;&gt;"moeda")*(Inputs!$G$5:$G$180&lt;&gt;"acoes")))*INDEX(Inputs!$K$5:$AJ$180,0,MATCH(J$2,Inputs!$K$4:$AJ$4,0)))))</f>
        <v>21098</v>
      </c>
      <c r="K63" s="266">
        <f>IF(ISNA(MATCH(K$2,Inputs!$K$4:$AJ$4,0)),NA(),IF(SUMPRODUCT((Inputs!$A$5:$A$180=$B63)*ISNUMBER(INDEX(Inputs!$K$5:$AJ$180,0,MATCH(K$2,Inputs!$K$4:$AJ$4,0))))+SUMPRODUCT((Inputs!$C$5:$C$180=$B63)*ISNUMBER(INDEX(Inputs!$K$5:$AJ$180,0,MATCH(K$2,Inputs!$K$4:$AJ$4,0))))+SUMPRODUCT((Inputs!$E$5:$E$180=$B63)*ISNUMBER(INDEX(Inputs!$K$5:$AJ$180,0,MATCH(K$2,Inputs!$K$4:$AJ$4,0))))=0,NA(),SUMPRODUCT((Inputs!$A$5:$A$180=$B63)*Inputs!$B$5:$B$180*(((Inputs!$G$5:$G$180="moeda")+(Inputs!$G$5:$G$180="acoes"))*Inputs!$B$1+((Inputs!$G$5:$G$180&lt;&gt;"moeda")*(Inputs!$G$5:$G$180&lt;&gt;"acoes")))*INDEX(Inputs!$K$5:$AJ$180,0,MATCH(K$2,Inputs!$K$4:$AJ$4,0)))+SUMPRODUCT((Inputs!$C$5:$C$180=$B63)*Inputs!$D$5:$D$180*(((Inputs!$G$5:$G$180="moeda")+(Inputs!$G$5:$G$180="acoes"))*Inputs!$B$1+((Inputs!$G$5:$G$180&lt;&gt;"moeda")*(Inputs!$G$5:$G$180&lt;&gt;"acoes")))*INDEX(Inputs!$K$5:$AJ$180,0,MATCH(K$2,Inputs!$K$4:$AJ$4,0)))+SUMPRODUCT((Inputs!$E$5:$E$180=$B63)*Inputs!$F$5:$F$180*(((Inputs!$G$5:$G$180="moeda")+(Inputs!$G$5:$G$180="acoes"))*Inputs!$B$1+((Inputs!$G$5:$G$180&lt;&gt;"moeda")*(Inputs!$G$5:$G$180&lt;&gt;"acoes")))*INDEX(Inputs!$K$5:$AJ$180,0,MATCH(K$2,Inputs!$K$4:$AJ$4,0)))))</f>
        <v>21558</v>
      </c>
      <c r="L63" s="266">
        <f>IF(ISNA(MATCH(L$2,Inputs!$K$4:$AJ$4,0)),NA(),IF(SUMPRODUCT((Inputs!$A$5:$A$180=$B63)*ISNUMBER(INDEX(Inputs!$K$5:$AJ$180,0,MATCH(L$2,Inputs!$K$4:$AJ$4,0))))+SUMPRODUCT((Inputs!$C$5:$C$180=$B63)*ISNUMBER(INDEX(Inputs!$K$5:$AJ$180,0,MATCH(L$2,Inputs!$K$4:$AJ$4,0))))+SUMPRODUCT((Inputs!$E$5:$E$180=$B63)*ISNUMBER(INDEX(Inputs!$K$5:$AJ$180,0,MATCH(L$2,Inputs!$K$4:$AJ$4,0))))=0,NA(),SUMPRODUCT((Inputs!$A$5:$A$180=$B63)*Inputs!$B$5:$B$180*(((Inputs!$G$5:$G$180="moeda")+(Inputs!$G$5:$G$180="acoes"))*Inputs!$B$1+((Inputs!$G$5:$G$180&lt;&gt;"moeda")*(Inputs!$G$5:$G$180&lt;&gt;"acoes")))*INDEX(Inputs!$K$5:$AJ$180,0,MATCH(L$2,Inputs!$K$4:$AJ$4,0)))+SUMPRODUCT((Inputs!$C$5:$C$180=$B63)*Inputs!$D$5:$D$180*(((Inputs!$G$5:$G$180="moeda")+(Inputs!$G$5:$G$180="acoes"))*Inputs!$B$1+((Inputs!$G$5:$G$180&lt;&gt;"moeda")*(Inputs!$G$5:$G$180&lt;&gt;"acoes")))*INDEX(Inputs!$K$5:$AJ$180,0,MATCH(L$2,Inputs!$K$4:$AJ$4,0)))+SUMPRODUCT((Inputs!$E$5:$E$180=$B63)*Inputs!$F$5:$F$180*(((Inputs!$G$5:$G$180="moeda")+(Inputs!$G$5:$G$180="acoes"))*Inputs!$B$1+((Inputs!$G$5:$G$180&lt;&gt;"moeda")*(Inputs!$G$5:$G$180&lt;&gt;"acoes")))*INDEX(Inputs!$K$5:$AJ$180,0,MATCH(L$2,Inputs!$K$4:$AJ$4,0)))))</f>
        <v>22091.32</v>
      </c>
      <c r="M63" s="267">
        <f>L63</f>
        <v>22091.32</v>
      </c>
      <c r="N63" s="266">
        <f>IF(ISNA(MATCH(N$2,Inputs!$K$4:$AJ$4,0)),NA(),IF(SUMPRODUCT((Inputs!$A$5:$A$180=$B63)*ISNUMBER(INDEX(Inputs!$K$5:$AJ$180,0,MATCH(N$2,Inputs!$K$4:$AJ$4,0))))+SUMPRODUCT((Inputs!$C$5:$C$180=$B63)*ISNUMBER(INDEX(Inputs!$K$5:$AJ$180,0,MATCH(N$2,Inputs!$K$4:$AJ$4,0))))+SUMPRODUCT((Inputs!$E$5:$E$180=$B63)*ISNUMBER(INDEX(Inputs!$K$5:$AJ$180,0,MATCH(N$2,Inputs!$K$4:$AJ$4,0))))=0,NA(),SUMPRODUCT((Inputs!$A$5:$A$180=$B63)*Inputs!$B$5:$B$180*(((Inputs!$G$5:$G$180="moeda")+(Inputs!$G$5:$G$180="acoes"))*Inputs!$B$1+((Inputs!$G$5:$G$180&lt;&gt;"moeda")*(Inputs!$G$5:$G$180&lt;&gt;"acoes")))*INDEX(Inputs!$K$5:$AJ$180,0,MATCH(N$2,Inputs!$K$4:$AJ$4,0)))+SUMPRODUCT((Inputs!$C$5:$C$180=$B63)*Inputs!$D$5:$D$180*(((Inputs!$G$5:$G$180="moeda")+(Inputs!$G$5:$G$180="acoes"))*Inputs!$B$1+((Inputs!$G$5:$G$180&lt;&gt;"moeda")*(Inputs!$G$5:$G$180&lt;&gt;"acoes")))*INDEX(Inputs!$K$5:$AJ$180,0,MATCH(N$2,Inputs!$K$4:$AJ$4,0)))+SUMPRODUCT((Inputs!$E$5:$E$180=$B63)*Inputs!$F$5:$F$180*(((Inputs!$G$5:$G$180="moeda")+(Inputs!$G$5:$G$180="acoes"))*Inputs!$B$1+((Inputs!$G$5:$G$180&lt;&gt;"moeda")*(Inputs!$G$5:$G$180&lt;&gt;"acoes")))*INDEX(Inputs!$K$5:$AJ$180,0,MATCH(N$2,Inputs!$K$4:$AJ$4,0)))))</f>
        <v>22384.88</v>
      </c>
      <c r="O63" s="266">
        <f>IF(ISNA(MATCH(O$2,Inputs!$K$4:$AJ$4,0)),NA(),IF(SUMPRODUCT((Inputs!$A$5:$A$180=$B63)*ISNUMBER(INDEX(Inputs!$K$5:$AJ$180,0,MATCH(O$2,Inputs!$K$4:$AJ$4,0))))+SUMPRODUCT((Inputs!$C$5:$C$180=$B63)*ISNUMBER(INDEX(Inputs!$K$5:$AJ$180,0,MATCH(O$2,Inputs!$K$4:$AJ$4,0))))+SUMPRODUCT((Inputs!$E$5:$E$180=$B63)*ISNUMBER(INDEX(Inputs!$K$5:$AJ$180,0,MATCH(O$2,Inputs!$K$4:$AJ$4,0))))=0,NA(),SUMPRODUCT((Inputs!$A$5:$A$180=$B63)*Inputs!$B$5:$B$180*(((Inputs!$G$5:$G$180="moeda")+(Inputs!$G$5:$G$180="acoes"))*Inputs!$B$1+((Inputs!$G$5:$G$180&lt;&gt;"moeda")*(Inputs!$G$5:$G$180&lt;&gt;"acoes")))*INDEX(Inputs!$K$5:$AJ$180,0,MATCH(O$2,Inputs!$K$4:$AJ$4,0)))+SUMPRODUCT((Inputs!$C$5:$C$180=$B63)*Inputs!$D$5:$D$180*(((Inputs!$G$5:$G$180="moeda")+(Inputs!$G$5:$G$180="acoes"))*Inputs!$B$1+((Inputs!$G$5:$G$180&lt;&gt;"moeda")*(Inputs!$G$5:$G$180&lt;&gt;"acoes")))*INDEX(Inputs!$K$5:$AJ$180,0,MATCH(O$2,Inputs!$K$4:$AJ$4,0)))+SUMPRODUCT((Inputs!$E$5:$E$180=$B63)*Inputs!$F$5:$F$180*(((Inputs!$G$5:$G$180="moeda")+(Inputs!$G$5:$G$180="acoes"))*Inputs!$B$1+((Inputs!$G$5:$G$180&lt;&gt;"moeda")*(Inputs!$G$5:$G$180&lt;&gt;"acoes")))*INDEX(Inputs!$K$5:$AJ$180,0,MATCH(O$2,Inputs!$K$4:$AJ$4,0)))))</f>
        <v>23042.77</v>
      </c>
      <c r="P63" s="266">
        <f>IF(ISNA(MATCH(P$2,Inputs!$K$4:$AJ$4,0)),NA(),IF(SUMPRODUCT((Inputs!$A$5:$A$180=$B63)*ISNUMBER(INDEX(Inputs!$K$5:$AJ$180,0,MATCH(P$2,Inputs!$K$4:$AJ$4,0))))+SUMPRODUCT((Inputs!$C$5:$C$180=$B63)*ISNUMBER(INDEX(Inputs!$K$5:$AJ$180,0,MATCH(P$2,Inputs!$K$4:$AJ$4,0))))+SUMPRODUCT((Inputs!$E$5:$E$180=$B63)*ISNUMBER(INDEX(Inputs!$K$5:$AJ$180,0,MATCH(P$2,Inputs!$K$4:$AJ$4,0))))=0,NA(),SUMPRODUCT((Inputs!$A$5:$A$180=$B63)*Inputs!$B$5:$B$180*(((Inputs!$G$5:$G$180="moeda")+(Inputs!$G$5:$G$180="acoes"))*Inputs!$B$1+((Inputs!$G$5:$G$180&lt;&gt;"moeda")*(Inputs!$G$5:$G$180&lt;&gt;"acoes")))*INDEX(Inputs!$K$5:$AJ$180,0,MATCH(P$2,Inputs!$K$4:$AJ$4,0)))+SUMPRODUCT((Inputs!$C$5:$C$180=$B63)*Inputs!$D$5:$D$180*(((Inputs!$G$5:$G$180="moeda")+(Inputs!$G$5:$G$180="acoes"))*Inputs!$B$1+((Inputs!$G$5:$G$180&lt;&gt;"moeda")*(Inputs!$G$5:$G$180&lt;&gt;"acoes")))*INDEX(Inputs!$K$5:$AJ$180,0,MATCH(P$2,Inputs!$K$4:$AJ$4,0)))+SUMPRODUCT((Inputs!$E$5:$E$180=$B63)*Inputs!$F$5:$F$180*(((Inputs!$G$5:$G$180="moeda")+(Inputs!$G$5:$G$180="acoes"))*Inputs!$B$1+((Inputs!$G$5:$G$180&lt;&gt;"moeda")*(Inputs!$G$5:$G$180&lt;&gt;"acoes")))*INDEX(Inputs!$K$5:$AJ$180,0,MATCH(P$2,Inputs!$K$4:$AJ$4,0)))))</f>
        <v>23410.04</v>
      </c>
      <c r="Q63" s="266">
        <f>IF(ISNA(MATCH(Q$2,Inputs!$K$4:$AJ$4,0)),NA(),IF(SUMPRODUCT((Inputs!$A$5:$A$180=$B63)*ISNUMBER(INDEX(Inputs!$K$5:$AJ$180,0,MATCH(Q$2,Inputs!$K$4:$AJ$4,0))))+SUMPRODUCT((Inputs!$C$5:$C$180=$B63)*ISNUMBER(INDEX(Inputs!$K$5:$AJ$180,0,MATCH(Q$2,Inputs!$K$4:$AJ$4,0))))+SUMPRODUCT((Inputs!$E$5:$E$180=$B63)*ISNUMBER(INDEX(Inputs!$K$5:$AJ$180,0,MATCH(Q$2,Inputs!$K$4:$AJ$4,0))))=0,NA(),SUMPRODUCT((Inputs!$A$5:$A$180=$B63)*Inputs!$B$5:$B$180*(((Inputs!$G$5:$G$180="moeda")+(Inputs!$G$5:$G$180="acoes"))*Inputs!$B$1+((Inputs!$G$5:$G$180&lt;&gt;"moeda")*(Inputs!$G$5:$G$180&lt;&gt;"acoes")))*INDEX(Inputs!$K$5:$AJ$180,0,MATCH(Q$2,Inputs!$K$4:$AJ$4,0)))+SUMPRODUCT((Inputs!$C$5:$C$180=$B63)*Inputs!$D$5:$D$180*(((Inputs!$G$5:$G$180="moeda")+(Inputs!$G$5:$G$180="acoes"))*Inputs!$B$1+((Inputs!$G$5:$G$180&lt;&gt;"moeda")*(Inputs!$G$5:$G$180&lt;&gt;"acoes")))*INDEX(Inputs!$K$5:$AJ$180,0,MATCH(Q$2,Inputs!$K$4:$AJ$4,0)))+SUMPRODUCT((Inputs!$E$5:$E$180=$B63)*Inputs!$F$5:$F$180*(((Inputs!$G$5:$G$180="moeda")+(Inputs!$G$5:$G$180="acoes"))*Inputs!$B$1+((Inputs!$G$5:$G$180&lt;&gt;"moeda")*(Inputs!$G$5:$G$180&lt;&gt;"acoes")))*INDEX(Inputs!$K$5:$AJ$180,0,MATCH(Q$2,Inputs!$K$4:$AJ$4,0)))))</f>
        <v>23719</v>
      </c>
      <c r="R63" s="267">
        <f>Q63</f>
        <v>23719</v>
      </c>
      <c r="S63" s="266">
        <f>IF(ISNA(MATCH(S$2,Inputs!$K$4:$AJ$4,0)),NA(),IF(SUMPRODUCT((Inputs!$A$5:$A$180=$B63)*ISNUMBER(INDEX(Inputs!$K$5:$AJ$180,0,MATCH(S$2,Inputs!$K$4:$AJ$4,0))))+SUMPRODUCT((Inputs!$C$5:$C$180=$B63)*ISNUMBER(INDEX(Inputs!$K$5:$AJ$180,0,MATCH(S$2,Inputs!$K$4:$AJ$4,0))))+SUMPRODUCT((Inputs!$E$5:$E$180=$B63)*ISNUMBER(INDEX(Inputs!$K$5:$AJ$180,0,MATCH(S$2,Inputs!$K$4:$AJ$4,0))))=0,NA(),SUMPRODUCT((Inputs!$A$5:$A$180=$B63)*Inputs!$B$5:$B$180*(((Inputs!$G$5:$G$180="moeda")+(Inputs!$G$5:$G$180="acoes"))*Inputs!$B$1+((Inputs!$G$5:$G$180&lt;&gt;"moeda")*(Inputs!$G$5:$G$180&lt;&gt;"acoes")))*INDEX(Inputs!$K$5:$AJ$180,0,MATCH(S$2,Inputs!$K$4:$AJ$4,0)))+SUMPRODUCT((Inputs!$C$5:$C$180=$B63)*Inputs!$D$5:$D$180*(((Inputs!$G$5:$G$180="moeda")+(Inputs!$G$5:$G$180="acoes"))*Inputs!$B$1+((Inputs!$G$5:$G$180&lt;&gt;"moeda")*(Inputs!$G$5:$G$180&lt;&gt;"acoes")))*INDEX(Inputs!$K$5:$AJ$180,0,MATCH(S$2,Inputs!$K$4:$AJ$4,0)))+SUMPRODUCT((Inputs!$E$5:$E$180=$B63)*Inputs!$F$5:$F$180*(((Inputs!$G$5:$G$180="moeda")+(Inputs!$G$5:$G$180="acoes"))*Inputs!$B$1+((Inputs!$G$5:$G$180&lt;&gt;"moeda")*(Inputs!$G$5:$G$180&lt;&gt;"acoes")))*INDEX(Inputs!$K$5:$AJ$180,0,MATCH(S$2,Inputs!$K$4:$AJ$4,0)))))</f>
        <v>24108.3</v>
      </c>
      <c r="T63" s="266">
        <f>IF(ISNA(MATCH(T$2,Inputs!$K$4:$AJ$4,0)),NA(),IF(SUMPRODUCT((Inputs!$A$5:$A$180=$B63)*ISNUMBER(INDEX(Inputs!$K$5:$AJ$180,0,MATCH(T$2,Inputs!$K$4:$AJ$4,0))))+SUMPRODUCT((Inputs!$C$5:$C$180=$B63)*ISNUMBER(INDEX(Inputs!$K$5:$AJ$180,0,MATCH(T$2,Inputs!$K$4:$AJ$4,0))))+SUMPRODUCT((Inputs!$E$5:$E$180=$B63)*ISNUMBER(INDEX(Inputs!$K$5:$AJ$180,0,MATCH(T$2,Inputs!$K$4:$AJ$4,0))))=0,NA(),SUMPRODUCT((Inputs!$A$5:$A$180=$B63)*Inputs!$B$5:$B$180*(((Inputs!$G$5:$G$180="moeda")+(Inputs!$G$5:$G$180="acoes"))*Inputs!$B$1+((Inputs!$G$5:$G$180&lt;&gt;"moeda")*(Inputs!$G$5:$G$180&lt;&gt;"acoes")))*INDEX(Inputs!$K$5:$AJ$180,0,MATCH(T$2,Inputs!$K$4:$AJ$4,0)))+SUMPRODUCT((Inputs!$C$5:$C$180=$B63)*Inputs!$D$5:$D$180*(((Inputs!$G$5:$G$180="moeda")+(Inputs!$G$5:$G$180="acoes"))*Inputs!$B$1+((Inputs!$G$5:$G$180&lt;&gt;"moeda")*(Inputs!$G$5:$G$180&lt;&gt;"acoes")))*INDEX(Inputs!$K$5:$AJ$180,0,MATCH(T$2,Inputs!$K$4:$AJ$4,0)))+SUMPRODUCT((Inputs!$E$5:$E$180=$B63)*Inputs!$F$5:$F$180*(((Inputs!$G$5:$G$180="moeda")+(Inputs!$G$5:$G$180="acoes"))*Inputs!$B$1+((Inputs!$G$5:$G$180&lt;&gt;"moeda")*(Inputs!$G$5:$G$180&lt;&gt;"acoes")))*INDEX(Inputs!$K$5:$AJ$180,0,MATCH(T$2,Inputs!$K$4:$AJ$4,0)))))</f>
        <v>24385.03</v>
      </c>
      <c r="U63" s="266">
        <f>IF(ISNA(MATCH(U$2,Inputs!$K$4:$AJ$4,0)),NA(),IF(SUMPRODUCT((Inputs!$A$5:$A$180=$B63)*ISNUMBER(INDEX(Inputs!$K$5:$AJ$180,0,MATCH(U$2,Inputs!$K$4:$AJ$4,0))))+SUMPRODUCT((Inputs!$C$5:$C$180=$B63)*ISNUMBER(INDEX(Inputs!$K$5:$AJ$180,0,MATCH(U$2,Inputs!$K$4:$AJ$4,0))))+SUMPRODUCT((Inputs!$E$5:$E$180=$B63)*ISNUMBER(INDEX(Inputs!$K$5:$AJ$180,0,MATCH(U$2,Inputs!$K$4:$AJ$4,0))))=0,NA(),SUMPRODUCT((Inputs!$A$5:$A$180=$B63)*Inputs!$B$5:$B$180*(((Inputs!$G$5:$G$180="moeda")+(Inputs!$G$5:$G$180="acoes"))*Inputs!$B$1+((Inputs!$G$5:$G$180&lt;&gt;"moeda")*(Inputs!$G$5:$G$180&lt;&gt;"acoes")))*INDEX(Inputs!$K$5:$AJ$180,0,MATCH(U$2,Inputs!$K$4:$AJ$4,0)))+SUMPRODUCT((Inputs!$C$5:$C$180=$B63)*Inputs!$D$5:$D$180*(((Inputs!$G$5:$G$180="moeda")+(Inputs!$G$5:$G$180="acoes"))*Inputs!$B$1+((Inputs!$G$5:$G$180&lt;&gt;"moeda")*(Inputs!$G$5:$G$180&lt;&gt;"acoes")))*INDEX(Inputs!$K$5:$AJ$180,0,MATCH(U$2,Inputs!$K$4:$AJ$4,0)))+SUMPRODUCT((Inputs!$E$5:$E$180=$B63)*Inputs!$F$5:$F$180*(((Inputs!$G$5:$G$180="moeda")+(Inputs!$G$5:$G$180="acoes"))*Inputs!$B$1+((Inputs!$G$5:$G$180&lt;&gt;"moeda")*(Inputs!$G$5:$G$180&lt;&gt;"acoes")))*INDEX(Inputs!$K$5:$AJ$180,0,MATCH(U$2,Inputs!$K$4:$AJ$4,0)))))</f>
        <v>24467.3</v>
      </c>
      <c r="V63" s="266">
        <f>IF(ISNA(MATCH(V$2,Inputs!$K$4:$AJ$4,0)),NA(),IF(SUMPRODUCT((Inputs!$A$5:$A$180=$B63)*ISNUMBER(INDEX(Inputs!$K$5:$AJ$180,0,MATCH(V$2,Inputs!$K$4:$AJ$4,0))))+SUMPRODUCT((Inputs!$C$5:$C$180=$B63)*ISNUMBER(INDEX(Inputs!$K$5:$AJ$180,0,MATCH(V$2,Inputs!$K$4:$AJ$4,0))))+SUMPRODUCT((Inputs!$E$5:$E$180=$B63)*ISNUMBER(INDEX(Inputs!$K$5:$AJ$180,0,MATCH(V$2,Inputs!$K$4:$AJ$4,0))))=0,NA(),SUMPRODUCT((Inputs!$A$5:$A$180=$B63)*Inputs!$B$5:$B$180*(((Inputs!$G$5:$G$180="moeda")+(Inputs!$G$5:$G$180="acoes"))*Inputs!$B$1+((Inputs!$G$5:$G$180&lt;&gt;"moeda")*(Inputs!$G$5:$G$180&lt;&gt;"acoes")))*INDEX(Inputs!$K$5:$AJ$180,0,MATCH(V$2,Inputs!$K$4:$AJ$4,0)))+SUMPRODUCT((Inputs!$C$5:$C$180=$B63)*Inputs!$D$5:$D$180*(((Inputs!$G$5:$G$180="moeda")+(Inputs!$G$5:$G$180="acoes"))*Inputs!$B$1+((Inputs!$G$5:$G$180&lt;&gt;"moeda")*(Inputs!$G$5:$G$180&lt;&gt;"acoes")))*INDEX(Inputs!$K$5:$AJ$180,0,MATCH(V$2,Inputs!$K$4:$AJ$4,0)))+SUMPRODUCT((Inputs!$E$5:$E$180=$B63)*Inputs!$F$5:$F$180*(((Inputs!$G$5:$G$180="moeda")+(Inputs!$G$5:$G$180="acoes"))*Inputs!$B$1+((Inputs!$G$5:$G$180&lt;&gt;"moeda")*(Inputs!$G$5:$G$180&lt;&gt;"acoes")))*INDEX(Inputs!$K$5:$AJ$180,0,MATCH(V$2,Inputs!$K$4:$AJ$4,0)))))</f>
        <v>24753</v>
      </c>
      <c r="W63" s="267">
        <f>V63</f>
        <v>24753</v>
      </c>
      <c r="X63" s="266">
        <f>IF(ISNA(MATCH(X$2,Inputs!$K$4:$AJ$4,0)),NA(),IF(SUMPRODUCT((Inputs!$A$5:$A$180=$B63)*ISNUMBER(INDEX(Inputs!$K$5:$AJ$180,0,MATCH(X$2,Inputs!$K$4:$AJ$4,0))))+SUMPRODUCT((Inputs!$C$5:$C$180=$B63)*ISNUMBER(INDEX(Inputs!$K$5:$AJ$180,0,MATCH(X$2,Inputs!$K$4:$AJ$4,0))))+SUMPRODUCT((Inputs!$E$5:$E$180=$B63)*ISNUMBER(INDEX(Inputs!$K$5:$AJ$180,0,MATCH(X$2,Inputs!$K$4:$AJ$4,0))))=0,NA(),SUMPRODUCT((Inputs!$A$5:$A$180=$B63)*Inputs!$B$5:$B$180*(((Inputs!$G$5:$G$180="moeda")+(Inputs!$G$5:$G$180="acoes"))*Inputs!$B$1+((Inputs!$G$5:$G$180&lt;&gt;"moeda")*(Inputs!$G$5:$G$180&lt;&gt;"acoes")))*INDEX(Inputs!$K$5:$AJ$180,0,MATCH(X$2,Inputs!$K$4:$AJ$4,0)))+SUMPRODUCT((Inputs!$C$5:$C$180=$B63)*Inputs!$D$5:$D$180*(((Inputs!$G$5:$G$180="moeda")+(Inputs!$G$5:$G$180="acoes"))*Inputs!$B$1+((Inputs!$G$5:$G$180&lt;&gt;"moeda")*(Inputs!$G$5:$G$180&lt;&gt;"acoes")))*INDEX(Inputs!$K$5:$AJ$180,0,MATCH(X$2,Inputs!$K$4:$AJ$4,0)))+SUMPRODUCT((Inputs!$E$5:$E$180=$B63)*Inputs!$F$5:$F$180*(((Inputs!$G$5:$G$180="moeda")+(Inputs!$G$5:$G$180="acoes"))*Inputs!$B$1+((Inputs!$G$5:$G$180&lt;&gt;"moeda")*(Inputs!$G$5:$G$180&lt;&gt;"acoes")))*INDEX(Inputs!$K$5:$AJ$180,0,MATCH(X$2,Inputs!$K$4:$AJ$4,0)))))</f>
        <v>24753</v>
      </c>
      <c r="Y63" s="266">
        <f>IF(ISNA(MATCH(Y$2,Inputs!$K$4:$AJ$4,0)),NA(),IF(SUMPRODUCT((Inputs!$A$5:$A$180=$B63)*ISNUMBER(INDEX(Inputs!$K$5:$AJ$180,0,MATCH(Y$2,Inputs!$K$4:$AJ$4,0))))+SUMPRODUCT((Inputs!$C$5:$C$180=$B63)*ISNUMBER(INDEX(Inputs!$K$5:$AJ$180,0,MATCH(Y$2,Inputs!$K$4:$AJ$4,0))))+SUMPRODUCT((Inputs!$E$5:$E$180=$B63)*ISNUMBER(INDEX(Inputs!$K$5:$AJ$180,0,MATCH(Y$2,Inputs!$K$4:$AJ$4,0))))=0,NA(),SUMPRODUCT((Inputs!$A$5:$A$180=$B63)*Inputs!$B$5:$B$180*(((Inputs!$G$5:$G$180="moeda")+(Inputs!$G$5:$G$180="acoes"))*Inputs!$B$1+((Inputs!$G$5:$G$180&lt;&gt;"moeda")*(Inputs!$G$5:$G$180&lt;&gt;"acoes")))*INDEX(Inputs!$K$5:$AJ$180,0,MATCH(Y$2,Inputs!$K$4:$AJ$4,0)))+SUMPRODUCT((Inputs!$C$5:$C$180=$B63)*Inputs!$D$5:$D$180*(((Inputs!$G$5:$G$180="moeda")+(Inputs!$G$5:$G$180="acoes"))*Inputs!$B$1+((Inputs!$G$5:$G$180&lt;&gt;"moeda")*(Inputs!$G$5:$G$180&lt;&gt;"acoes")))*INDEX(Inputs!$K$5:$AJ$180,0,MATCH(Y$2,Inputs!$K$4:$AJ$4,0)))+SUMPRODUCT((Inputs!$E$5:$E$180=$B63)*Inputs!$F$5:$F$180*(((Inputs!$G$5:$G$180="moeda")+(Inputs!$G$5:$G$180="acoes"))*Inputs!$B$1+((Inputs!$G$5:$G$180&lt;&gt;"moeda")*(Inputs!$G$5:$G$180&lt;&gt;"acoes")))*INDEX(Inputs!$K$5:$AJ$180,0,MATCH(Y$2,Inputs!$K$4:$AJ$4,0)))))</f>
        <v>24766.9</v>
      </c>
      <c r="Z63" s="266">
        <f>IF(ISNA(MATCH(Z$2,Inputs!$K$4:$AJ$4,0)),NA(),IF(SUMPRODUCT((Inputs!$A$5:$A$180=$B63)*ISNUMBER(INDEX(Inputs!$K$5:$AJ$180,0,MATCH(Z$2,Inputs!$K$4:$AJ$4,0))))+SUMPRODUCT((Inputs!$C$5:$C$180=$B63)*ISNUMBER(INDEX(Inputs!$K$5:$AJ$180,0,MATCH(Z$2,Inputs!$K$4:$AJ$4,0))))+SUMPRODUCT((Inputs!$E$5:$E$180=$B63)*ISNUMBER(INDEX(Inputs!$K$5:$AJ$180,0,MATCH(Z$2,Inputs!$K$4:$AJ$4,0))))=0,NA(),SUMPRODUCT((Inputs!$A$5:$A$180=$B63)*Inputs!$B$5:$B$180*(((Inputs!$G$5:$G$180="moeda")+(Inputs!$G$5:$G$180="acoes"))*Inputs!$B$1+((Inputs!$G$5:$G$180&lt;&gt;"moeda")*(Inputs!$G$5:$G$180&lt;&gt;"acoes")))*INDEX(Inputs!$K$5:$AJ$180,0,MATCH(Z$2,Inputs!$K$4:$AJ$4,0)))+SUMPRODUCT((Inputs!$C$5:$C$180=$B63)*Inputs!$D$5:$D$180*(((Inputs!$G$5:$G$180="moeda")+(Inputs!$G$5:$G$180="acoes"))*Inputs!$B$1+((Inputs!$G$5:$G$180&lt;&gt;"moeda")*(Inputs!$G$5:$G$180&lt;&gt;"acoes")))*INDEX(Inputs!$K$5:$AJ$180,0,MATCH(Z$2,Inputs!$K$4:$AJ$4,0)))+SUMPRODUCT((Inputs!$E$5:$E$180=$B63)*Inputs!$F$5:$F$180*(((Inputs!$G$5:$G$180="moeda")+(Inputs!$G$5:$G$180="acoes"))*Inputs!$B$1+((Inputs!$G$5:$G$180&lt;&gt;"moeda")*(Inputs!$G$5:$G$180&lt;&gt;"acoes")))*INDEX(Inputs!$K$5:$AJ$180,0,MATCH(Z$2,Inputs!$K$4:$AJ$4,0)))))</f>
        <v>24561</v>
      </c>
      <c r="AA63" s="266">
        <f>IF(ISNA(MATCH(AA$2,Inputs!$K$4:$AJ$4,0)),NA(),IF(SUMPRODUCT((Inputs!$A$5:$A$180=$B63)*ISNUMBER(INDEX(Inputs!$K$5:$AJ$180,0,MATCH(AA$2,Inputs!$K$4:$AJ$4,0))))+SUMPRODUCT((Inputs!$C$5:$C$180=$B63)*ISNUMBER(INDEX(Inputs!$K$5:$AJ$180,0,MATCH(AA$2,Inputs!$K$4:$AJ$4,0))))+SUMPRODUCT((Inputs!$E$5:$E$180=$B63)*ISNUMBER(INDEX(Inputs!$K$5:$AJ$180,0,MATCH(AA$2,Inputs!$K$4:$AJ$4,0))))=0,NA(),SUMPRODUCT((Inputs!$A$5:$A$180=$B63)*Inputs!$B$5:$B$180*(((Inputs!$G$5:$G$180="moeda")+(Inputs!$G$5:$G$180="acoes"))*Inputs!$B$1+((Inputs!$G$5:$G$180&lt;&gt;"moeda")*(Inputs!$G$5:$G$180&lt;&gt;"acoes")))*INDEX(Inputs!$K$5:$AJ$180,0,MATCH(AA$2,Inputs!$K$4:$AJ$4,0)))+SUMPRODUCT((Inputs!$C$5:$C$180=$B63)*Inputs!$D$5:$D$180*(((Inputs!$G$5:$G$180="moeda")+(Inputs!$G$5:$G$180="acoes"))*Inputs!$B$1+((Inputs!$G$5:$G$180&lt;&gt;"moeda")*(Inputs!$G$5:$G$180&lt;&gt;"acoes")))*INDEX(Inputs!$K$5:$AJ$180,0,MATCH(AA$2,Inputs!$K$4:$AJ$4,0)))+SUMPRODUCT((Inputs!$E$5:$E$180=$B63)*Inputs!$F$5:$F$180*(((Inputs!$G$5:$G$180="moeda")+(Inputs!$G$5:$G$180="acoes"))*Inputs!$B$1+((Inputs!$G$5:$G$180&lt;&gt;"moeda")*(Inputs!$G$5:$G$180&lt;&gt;"acoes")))*INDEX(Inputs!$K$5:$AJ$180,0,MATCH(AA$2,Inputs!$K$4:$AJ$4,0)))))</f>
        <v>24936.85</v>
      </c>
      <c r="AB63" s="267">
        <f>AA63</f>
        <v>24936.85</v>
      </c>
      <c r="AC63" s="266">
        <f>IF(ISNA(MATCH(AC$2,Inputs!$K$4:$AJ$4,0)),NA(),IF(SUMPRODUCT((Inputs!$A$5:$A$180=$B63)*ISNUMBER(INDEX(Inputs!$K$5:$AJ$180,0,MATCH(AC$2,Inputs!$K$4:$AJ$4,0))))+SUMPRODUCT((Inputs!$C$5:$C$180=$B63)*ISNUMBER(INDEX(Inputs!$K$5:$AJ$180,0,MATCH(AC$2,Inputs!$K$4:$AJ$4,0))))+SUMPRODUCT((Inputs!$E$5:$E$180=$B63)*ISNUMBER(INDEX(Inputs!$K$5:$AJ$180,0,MATCH(AC$2,Inputs!$K$4:$AJ$4,0))))=0,NA(),SUMPRODUCT((Inputs!$A$5:$A$180=$B63)*Inputs!$B$5:$B$180*(((Inputs!$G$5:$G$180="moeda")+(Inputs!$G$5:$G$180="acoes"))*Inputs!$B$1+((Inputs!$G$5:$G$180&lt;&gt;"moeda")*(Inputs!$G$5:$G$180&lt;&gt;"acoes")))*INDEX(Inputs!$K$5:$AJ$180,0,MATCH(AC$2,Inputs!$K$4:$AJ$4,0)))+SUMPRODUCT((Inputs!$C$5:$C$180=$B63)*Inputs!$D$5:$D$180*(((Inputs!$G$5:$G$180="moeda")+(Inputs!$G$5:$G$180="acoes"))*Inputs!$B$1+((Inputs!$G$5:$G$180&lt;&gt;"moeda")*(Inputs!$G$5:$G$180&lt;&gt;"acoes")))*INDEX(Inputs!$K$5:$AJ$180,0,MATCH(AC$2,Inputs!$K$4:$AJ$4,0)))+SUMPRODUCT((Inputs!$E$5:$E$180=$B63)*Inputs!$F$5:$F$180*(((Inputs!$G$5:$G$180="moeda")+(Inputs!$G$5:$G$180="acoes"))*Inputs!$B$1+((Inputs!$G$5:$G$180&lt;&gt;"moeda")*(Inputs!$G$5:$G$180&lt;&gt;"acoes")))*INDEX(Inputs!$K$5:$AJ$180,0,MATCH(AC$2,Inputs!$K$4:$AJ$4,0)))))</f>
        <v>24936.85</v>
      </c>
      <c r="AD63" s="266">
        <f>IF(ISNA(MATCH(AD$2,Inputs!$K$4:$AJ$4,0)),NA(),IF(SUMPRODUCT((Inputs!$A$5:$A$180=$B63)*ISNUMBER(INDEX(Inputs!$K$5:$AJ$180,0,MATCH(AD$2,Inputs!$K$4:$AJ$4,0))))+SUMPRODUCT((Inputs!$C$5:$C$180=$B63)*ISNUMBER(INDEX(Inputs!$K$5:$AJ$180,0,MATCH(AD$2,Inputs!$K$4:$AJ$4,0))))+SUMPRODUCT((Inputs!$E$5:$E$180=$B63)*ISNUMBER(INDEX(Inputs!$K$5:$AJ$180,0,MATCH(AD$2,Inputs!$K$4:$AJ$4,0))))=0,NA(),SUMPRODUCT((Inputs!$A$5:$A$180=$B63)*Inputs!$B$5:$B$180*(((Inputs!$G$5:$G$180="moeda")+(Inputs!$G$5:$G$180="acoes"))*Inputs!$B$1+((Inputs!$G$5:$G$180&lt;&gt;"moeda")*(Inputs!$G$5:$G$180&lt;&gt;"acoes")))*INDEX(Inputs!$K$5:$AJ$180,0,MATCH(AD$2,Inputs!$K$4:$AJ$4,0)))+SUMPRODUCT((Inputs!$C$5:$C$180=$B63)*Inputs!$D$5:$D$180*(((Inputs!$G$5:$G$180="moeda")+(Inputs!$G$5:$G$180="acoes"))*Inputs!$B$1+((Inputs!$G$5:$G$180&lt;&gt;"moeda")*(Inputs!$G$5:$G$180&lt;&gt;"acoes")))*INDEX(Inputs!$K$5:$AJ$180,0,MATCH(AD$2,Inputs!$K$4:$AJ$4,0)))+SUMPRODUCT((Inputs!$E$5:$E$180=$B63)*Inputs!$F$5:$F$180*(((Inputs!$G$5:$G$180="moeda")+(Inputs!$G$5:$G$180="acoes"))*Inputs!$B$1+((Inputs!$G$5:$G$180&lt;&gt;"moeda")*(Inputs!$G$5:$G$180&lt;&gt;"acoes")))*INDEX(Inputs!$K$5:$AJ$180,0,MATCH(AD$2,Inputs!$K$4:$AJ$4,0)))))</f>
        <v>25307.77</v>
      </c>
      <c r="AE63" s="266" t="e">
        <f>IF(ISNA(MATCH(AE$2,Inputs!$K$4:$AJ$4,0)),NA(),IF(SUMPRODUCT((Inputs!$A$5:$A$180=$B63)*ISNUMBER(INDEX(Inputs!$K$5:$AJ$180,0,MATCH(AE$2,Inputs!$K$4:$AJ$4,0))))+SUMPRODUCT((Inputs!$C$5:$C$180=$B63)*ISNUMBER(INDEX(Inputs!$K$5:$AJ$180,0,MATCH(AE$2,Inputs!$K$4:$AJ$4,0))))+SUMPRODUCT((Inputs!$E$5:$E$180=$B63)*ISNUMBER(INDEX(Inputs!$K$5:$AJ$180,0,MATCH(AE$2,Inputs!$K$4:$AJ$4,0))))=0,NA(),SUMPRODUCT((Inputs!$A$5:$A$180=$B63)*Inputs!$B$5:$B$180*(((Inputs!$G$5:$G$180="moeda")+(Inputs!$G$5:$G$180="acoes"))*Inputs!$B$1+((Inputs!$G$5:$G$180&lt;&gt;"moeda")*(Inputs!$G$5:$G$180&lt;&gt;"acoes")))*INDEX(Inputs!$K$5:$AJ$180,0,MATCH(AE$2,Inputs!$K$4:$AJ$4,0)))+SUMPRODUCT((Inputs!$C$5:$C$180=$B63)*Inputs!$D$5:$D$180*(((Inputs!$G$5:$G$180="moeda")+(Inputs!$G$5:$G$180="acoes"))*Inputs!$B$1+((Inputs!$G$5:$G$180&lt;&gt;"moeda")*(Inputs!$G$5:$G$180&lt;&gt;"acoes")))*INDEX(Inputs!$K$5:$AJ$180,0,MATCH(AE$2,Inputs!$K$4:$AJ$4,0)))+SUMPRODUCT((Inputs!$E$5:$E$180=$B63)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3" s="266" t="e">
        <f>IF(ISNA(MATCH(AF$2,Inputs!$K$4:$AJ$4,0)),NA(),IF(SUMPRODUCT((Inputs!$A$5:$A$180=$B63)*ISNUMBER(INDEX(Inputs!$K$5:$AJ$180,0,MATCH(AF$2,Inputs!$K$4:$AJ$4,0))))+SUMPRODUCT((Inputs!$C$5:$C$180=$B63)*ISNUMBER(INDEX(Inputs!$K$5:$AJ$180,0,MATCH(AF$2,Inputs!$K$4:$AJ$4,0))))+SUMPRODUCT((Inputs!$E$5:$E$180=$B63)*ISNUMBER(INDEX(Inputs!$K$5:$AJ$180,0,MATCH(AF$2,Inputs!$K$4:$AJ$4,0))))=0,NA(),SUMPRODUCT((Inputs!$A$5:$A$180=$B63)*Inputs!$B$5:$B$180*(((Inputs!$G$5:$G$180="moeda")+(Inputs!$G$5:$G$180="acoes"))*Inputs!$B$1+((Inputs!$G$5:$G$180&lt;&gt;"moeda")*(Inputs!$G$5:$G$180&lt;&gt;"acoes")))*INDEX(Inputs!$K$5:$AJ$180,0,MATCH(AF$2,Inputs!$K$4:$AJ$4,0)))+SUMPRODUCT((Inputs!$C$5:$C$180=$B63)*Inputs!$D$5:$D$180*(((Inputs!$G$5:$G$180="moeda")+(Inputs!$G$5:$G$180="acoes"))*Inputs!$B$1+((Inputs!$G$5:$G$180&lt;&gt;"moeda")*(Inputs!$G$5:$G$180&lt;&gt;"acoes")))*INDEX(Inputs!$K$5:$AJ$180,0,MATCH(AF$2,Inputs!$K$4:$AJ$4,0)))+SUMPRODUCT((Inputs!$E$5:$E$180=$B63)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3" s="267" t="e">
        <f>AF63</f>
        <v>#N/A</v>
      </c>
      <c r="AH63" s="266">
        <f>IF(ISNA(MATCH(AH$2,Inputs!$K$4:$AJ$4,0)),NA(),IF(SUMPRODUCT((Inputs!$A$5:$A$180=$B63)*ISNUMBER(INDEX(Inputs!$K$5:$AJ$180,0,MATCH(AH$2,Inputs!$K$4:$AJ$4,0))))+SUMPRODUCT((Inputs!$C$5:$C$180=$B63)*ISNUMBER(INDEX(Inputs!$K$5:$AJ$180,0,MATCH(AH$2,Inputs!$K$4:$AJ$4,0))))+SUMPRODUCT((Inputs!$E$5:$E$180=$B63)*ISNUMBER(INDEX(Inputs!$K$5:$AJ$180,0,MATCH(AH$2,Inputs!$K$4:$AJ$4,0))))=0,NA(),SUMPRODUCT((Inputs!$A$5:$A$180=$B63)*Inputs!$B$5:$B$180*(((Inputs!$G$5:$G$180="moeda")+(Inputs!$G$5:$G$180="acoes"))*Inputs!$B$1+((Inputs!$G$5:$G$180&lt;&gt;"moeda")*(Inputs!$G$5:$G$180&lt;&gt;"acoes")))*INDEX(Inputs!$K$5:$AJ$180,0,MATCH(AH$2,Inputs!$K$4:$AJ$4,0)))+SUMPRODUCT((Inputs!$C$5:$C$180=$B63)*Inputs!$D$5:$D$180*(((Inputs!$G$5:$G$180="moeda")+(Inputs!$G$5:$G$180="acoes"))*Inputs!$B$1+((Inputs!$G$5:$G$180&lt;&gt;"moeda")*(Inputs!$G$5:$G$180&lt;&gt;"acoes")))*INDEX(Inputs!$K$5:$AJ$180,0,MATCH(AH$2,Inputs!$K$4:$AJ$4,0)))+SUMPRODUCT((Inputs!$E$5:$E$180=$B63)*Inputs!$F$5:$F$180*(((Inputs!$G$5:$G$180="moeda")+(Inputs!$G$5:$G$180="acoes"))*Inputs!$B$1+((Inputs!$G$5:$G$180&lt;&gt;"moeda")*(Inputs!$G$5:$G$180&lt;&gt;"acoes")))*INDEX(Inputs!$K$5:$AJ$180,0,MATCH(AH$2,Inputs!$K$4:$AJ$4,0)))))</f>
        <v>18232.1</v>
      </c>
      <c r="AI63" s="266">
        <f>IF(ISNA(MATCH(AI$2,Inputs!$K$4:$AJ$4,0)),NA(),IF(SUMPRODUCT((Inputs!$A$5:$A$180=$B63)*ISNUMBER(INDEX(Inputs!$K$5:$AJ$180,0,MATCH(AI$2,Inputs!$K$4:$AJ$4,0))))+SUMPRODUCT((Inputs!$C$5:$C$180=$B63)*ISNUMBER(INDEX(Inputs!$K$5:$AJ$180,0,MATCH(AI$2,Inputs!$K$4:$AJ$4,0))))+SUMPRODUCT((Inputs!$E$5:$E$180=$B63)*ISNUMBER(INDEX(Inputs!$K$5:$AJ$180,0,MATCH(AI$2,Inputs!$K$4:$AJ$4,0))))=0,NA(),SUMPRODUCT((Inputs!$A$5:$A$180=$B63)*Inputs!$B$5:$B$180*(((Inputs!$G$5:$G$180="moeda")+(Inputs!$G$5:$G$180="acoes"))*Inputs!$B$1+((Inputs!$G$5:$G$180&lt;&gt;"moeda")*(Inputs!$G$5:$G$180&lt;&gt;"acoes")))*INDEX(Inputs!$K$5:$AJ$180,0,MATCH(AI$2,Inputs!$K$4:$AJ$4,0)))+SUMPRODUCT((Inputs!$C$5:$C$180=$B63)*Inputs!$D$5:$D$180*(((Inputs!$G$5:$G$180="moeda")+(Inputs!$G$5:$G$180="acoes"))*Inputs!$B$1+((Inputs!$G$5:$G$180&lt;&gt;"moeda")*(Inputs!$G$5:$G$180&lt;&gt;"acoes")))*INDEX(Inputs!$K$5:$AJ$180,0,MATCH(AI$2,Inputs!$K$4:$AJ$4,0)))+SUMPRODUCT((Inputs!$E$5:$E$180=$B63)*Inputs!$F$5:$F$180*(((Inputs!$G$5:$G$180="moeda")+(Inputs!$G$5:$G$180="acoes"))*Inputs!$B$1+((Inputs!$G$5:$G$180&lt;&gt;"moeda")*(Inputs!$G$5:$G$180&lt;&gt;"acoes")))*INDEX(Inputs!$K$5:$AJ$180,0,MATCH(AI$2,Inputs!$K$4:$AJ$4,0)))))</f>
        <v>18592.4</v>
      </c>
      <c r="AJ63" s="266">
        <f>IF(ISNA(MATCH(AJ$2,Inputs!$K$4:$AJ$4,0)),NA(),IF(SUMPRODUCT((Inputs!$A$5:$A$180=$B63)*ISNUMBER(INDEX(Inputs!$K$5:$AJ$180,0,MATCH(AJ$2,Inputs!$K$4:$AJ$4,0))))+SUMPRODUCT((Inputs!$C$5:$C$180=$B63)*ISNUMBER(INDEX(Inputs!$K$5:$AJ$180,0,MATCH(AJ$2,Inputs!$K$4:$AJ$4,0))))+SUMPRODUCT((Inputs!$E$5:$E$180=$B63)*ISNUMBER(INDEX(Inputs!$K$5:$AJ$180,0,MATCH(AJ$2,Inputs!$K$4:$AJ$4,0))))=0,NA(),SUMPRODUCT((Inputs!$A$5:$A$180=$B63)*Inputs!$B$5:$B$180*(((Inputs!$G$5:$G$180="moeda")+(Inputs!$G$5:$G$180="acoes"))*Inputs!$B$1+((Inputs!$G$5:$G$180&lt;&gt;"moeda")*(Inputs!$G$5:$G$180&lt;&gt;"acoes")))*INDEX(Inputs!$K$5:$AJ$180,0,MATCH(AJ$2,Inputs!$K$4:$AJ$4,0)))+SUMPRODUCT((Inputs!$C$5:$C$180=$B63)*Inputs!$D$5:$D$180*(((Inputs!$G$5:$G$180="moeda")+(Inputs!$G$5:$G$180="acoes"))*Inputs!$B$1+((Inputs!$G$5:$G$180&lt;&gt;"moeda")*(Inputs!$G$5:$G$180&lt;&gt;"acoes")))*INDEX(Inputs!$K$5:$AJ$180,0,MATCH(AJ$2,Inputs!$K$4:$AJ$4,0)))+SUMPRODUCT((Inputs!$E$5:$E$180=$B63)*Inputs!$F$5:$F$180*(((Inputs!$G$5:$G$180="moeda")+(Inputs!$G$5:$G$180="acoes"))*Inputs!$B$1+((Inputs!$G$5:$G$180&lt;&gt;"moeda")*(Inputs!$G$5:$G$180&lt;&gt;"acoes")))*INDEX(Inputs!$K$5:$AJ$180,0,MATCH(AJ$2,Inputs!$K$4:$AJ$4,0)))))</f>
        <v>18799.4</v>
      </c>
      <c r="AK63" s="266">
        <f>IF(ISNA(MATCH(AK$2,Inputs!$K$4:$AJ$4,0)),NA(),IF(SUMPRODUCT((Inputs!$A$5:$A$180=$B63)*ISNUMBER(INDEX(Inputs!$K$5:$AJ$180,0,MATCH(AK$2,Inputs!$K$4:$AJ$4,0))))+SUMPRODUCT((Inputs!$C$5:$C$180=$B63)*ISNUMBER(INDEX(Inputs!$K$5:$AJ$180,0,MATCH(AK$2,Inputs!$K$4:$AJ$4,0))))+SUMPRODUCT((Inputs!$E$5:$E$180=$B63)*ISNUMBER(INDEX(Inputs!$K$5:$AJ$180,0,MATCH(AK$2,Inputs!$K$4:$AJ$4,0))))=0,NA(),SUMPRODUCT((Inputs!$A$5:$A$180=$B63)*Inputs!$B$5:$B$180*(((Inputs!$G$5:$G$180="moeda")+(Inputs!$G$5:$G$180="acoes"))*Inputs!$B$1+((Inputs!$G$5:$G$180&lt;&gt;"moeda")*(Inputs!$G$5:$G$180&lt;&gt;"acoes")))*INDEX(Inputs!$K$5:$AJ$180,0,MATCH(AK$2,Inputs!$K$4:$AJ$4,0)))+SUMPRODUCT((Inputs!$C$5:$C$180=$B63)*Inputs!$D$5:$D$180*(((Inputs!$G$5:$G$180="moeda")+(Inputs!$G$5:$G$180="acoes"))*Inputs!$B$1+((Inputs!$G$5:$G$180&lt;&gt;"moeda")*(Inputs!$G$5:$G$180&lt;&gt;"acoes")))*INDEX(Inputs!$K$5:$AJ$180,0,MATCH(AK$2,Inputs!$K$4:$AJ$4,0)))+SUMPRODUCT((Inputs!$E$5:$E$180=$B63)*Inputs!$F$5:$F$180*(((Inputs!$G$5:$G$180="moeda")+(Inputs!$G$5:$G$180="acoes"))*Inputs!$B$1+((Inputs!$G$5:$G$180&lt;&gt;"moeda")*(Inputs!$G$5:$G$180&lt;&gt;"acoes")))*INDEX(Inputs!$K$5:$AJ$180,0,MATCH(AK$2,Inputs!$K$4:$AJ$4,0)))))</f>
        <v>18982.5</v>
      </c>
      <c r="AL63" s="267">
        <f>AK63</f>
        <v>18982.5</v>
      </c>
    </row>
    <row r="64">
      <c r="B64" s="46" t="n">
        <v>56</v>
      </c>
      <c r="C64" s="29" t="inlineStr">
        <is>
          <t>Area de vendas Life (m2; l.7)</t>
        </is>
      </c>
      <c r="D64" s="266">
        <f>IF(ISNA(MATCH(D$2,Inputs!$K$4:$AJ$4,0)),NA(),IF(SUMPRODUCT((Inputs!$A$5:$A$180=$B64)*ISNUMBER(INDEX(Inputs!$K$5:$AJ$180,0,MATCH(D$2,Inputs!$K$4:$AJ$4,0))))+SUMPRODUCT((Inputs!$C$5:$C$180=$B64)*ISNUMBER(INDEX(Inputs!$K$5:$AJ$180,0,MATCH(D$2,Inputs!$K$4:$AJ$4,0))))+SUMPRODUCT((Inputs!$E$5:$E$180=$B64)*ISNUMBER(INDEX(Inputs!$K$5:$AJ$180,0,MATCH(D$2,Inputs!$K$4:$AJ$4,0))))=0,NA(),SUMPRODUCT((Inputs!$A$5:$A$180=$B64)*Inputs!$B$5:$B$180*(((Inputs!$G$5:$G$180="moeda")+(Inputs!$G$5:$G$180="acoes"))*Inputs!$B$1+((Inputs!$G$5:$G$180&lt;&gt;"moeda")*(Inputs!$G$5:$G$180&lt;&gt;"acoes")))*INDEX(Inputs!$K$5:$AJ$180,0,MATCH(D$2,Inputs!$K$4:$AJ$4,0)))+SUMPRODUCT((Inputs!$C$5:$C$180=$B64)*Inputs!$D$5:$D$180*(((Inputs!$G$5:$G$180="moeda")+(Inputs!$G$5:$G$180="acoes"))*Inputs!$B$1+((Inputs!$G$5:$G$180&lt;&gt;"moeda")*(Inputs!$G$5:$G$180&lt;&gt;"acoes")))*INDEX(Inputs!$K$5:$AJ$180,0,MATCH(D$2,Inputs!$K$4:$AJ$4,0)))+SUMPRODUCT((Inputs!$E$5:$E$180=$B64)*Inputs!$F$5:$F$180*(((Inputs!$G$5:$G$180="moeda")+(Inputs!$G$5:$G$180="acoes"))*Inputs!$B$1+((Inputs!$G$5:$G$180&lt;&gt;"moeda")*(Inputs!$G$5:$G$180&lt;&gt;"acoes")))*INDEX(Inputs!$K$5:$AJ$180,0,MATCH(D$2,Inputs!$K$4:$AJ$4,0)))))</f>
        <v>640.3</v>
      </c>
      <c r="E64" s="266">
        <f>IF(ISNA(MATCH(E$2,Inputs!$K$4:$AJ$4,0)),NA(),IF(SUMPRODUCT((Inputs!$A$5:$A$180=$B64)*ISNUMBER(INDEX(Inputs!$K$5:$AJ$180,0,MATCH(E$2,Inputs!$K$4:$AJ$4,0))))+SUMPRODUCT((Inputs!$C$5:$C$180=$B64)*ISNUMBER(INDEX(Inputs!$K$5:$AJ$180,0,MATCH(E$2,Inputs!$K$4:$AJ$4,0))))+SUMPRODUCT((Inputs!$E$5:$E$180=$B64)*ISNUMBER(INDEX(Inputs!$K$5:$AJ$180,0,MATCH(E$2,Inputs!$K$4:$AJ$4,0))))=0,NA(),SUMPRODUCT((Inputs!$A$5:$A$180=$B64)*Inputs!$B$5:$B$180*(((Inputs!$G$5:$G$180="moeda")+(Inputs!$G$5:$G$180="acoes"))*Inputs!$B$1+((Inputs!$G$5:$G$180&lt;&gt;"moeda")*(Inputs!$G$5:$G$180&lt;&gt;"acoes")))*INDEX(Inputs!$K$5:$AJ$180,0,MATCH(E$2,Inputs!$K$4:$AJ$4,0)))+SUMPRODUCT((Inputs!$C$5:$C$180=$B64)*Inputs!$D$5:$D$180*(((Inputs!$G$5:$G$180="moeda")+(Inputs!$G$5:$G$180="acoes"))*Inputs!$B$1+((Inputs!$G$5:$G$180&lt;&gt;"moeda")*(Inputs!$G$5:$G$180&lt;&gt;"acoes")))*INDEX(Inputs!$K$5:$AJ$180,0,MATCH(E$2,Inputs!$K$4:$AJ$4,0)))+SUMPRODUCT((Inputs!$E$5:$E$180=$B64)*Inputs!$F$5:$F$180*(((Inputs!$G$5:$G$180="moeda")+(Inputs!$G$5:$G$180="acoes"))*Inputs!$B$1+((Inputs!$G$5:$G$180&lt;&gt;"moeda")*(Inputs!$G$5:$G$180&lt;&gt;"acoes")))*INDEX(Inputs!$K$5:$AJ$180,0,MATCH(E$2,Inputs!$K$4:$AJ$4,0)))))</f>
        <v>727.7</v>
      </c>
      <c r="F64" s="266">
        <f>IF(ISNA(MATCH(F$2,Inputs!$K$4:$AJ$4,0)),NA(),IF(SUMPRODUCT((Inputs!$A$5:$A$180=$B64)*ISNUMBER(INDEX(Inputs!$K$5:$AJ$180,0,MATCH(F$2,Inputs!$K$4:$AJ$4,0))))+SUMPRODUCT((Inputs!$C$5:$C$180=$B64)*ISNUMBER(INDEX(Inputs!$K$5:$AJ$180,0,MATCH(F$2,Inputs!$K$4:$AJ$4,0))))+SUMPRODUCT((Inputs!$E$5:$E$180=$B64)*ISNUMBER(INDEX(Inputs!$K$5:$AJ$180,0,MATCH(F$2,Inputs!$K$4:$AJ$4,0))))=0,NA(),SUMPRODUCT((Inputs!$A$5:$A$180=$B64)*Inputs!$B$5:$B$180*(((Inputs!$G$5:$G$180="moeda")+(Inputs!$G$5:$G$180="acoes"))*Inputs!$B$1+((Inputs!$G$5:$G$180&lt;&gt;"moeda")*(Inputs!$G$5:$G$180&lt;&gt;"acoes")))*INDEX(Inputs!$K$5:$AJ$180,0,MATCH(F$2,Inputs!$K$4:$AJ$4,0)))+SUMPRODUCT((Inputs!$C$5:$C$180=$B64)*Inputs!$D$5:$D$180*(((Inputs!$G$5:$G$180="moeda")+(Inputs!$G$5:$G$180="acoes"))*Inputs!$B$1+((Inputs!$G$5:$G$180&lt;&gt;"moeda")*(Inputs!$G$5:$G$180&lt;&gt;"acoes")))*INDEX(Inputs!$K$5:$AJ$180,0,MATCH(F$2,Inputs!$K$4:$AJ$4,0)))+SUMPRODUCT((Inputs!$E$5:$E$180=$B64)*Inputs!$F$5:$F$180*(((Inputs!$G$5:$G$180="moeda")+(Inputs!$G$5:$G$180="acoes"))*Inputs!$B$1+((Inputs!$G$5:$G$180&lt;&gt;"moeda")*(Inputs!$G$5:$G$180&lt;&gt;"acoes")))*INDEX(Inputs!$K$5:$AJ$180,0,MATCH(F$2,Inputs!$K$4:$AJ$4,0)))))</f>
        <v>1101.9</v>
      </c>
      <c r="G64" s="266">
        <f>IF(ISNA(MATCH(G$2,Inputs!$K$4:$AJ$4,0)),NA(),IF(SUMPRODUCT((Inputs!$A$5:$A$180=$B64)*ISNUMBER(INDEX(Inputs!$K$5:$AJ$180,0,MATCH(G$2,Inputs!$K$4:$AJ$4,0))))+SUMPRODUCT((Inputs!$C$5:$C$180=$B64)*ISNUMBER(INDEX(Inputs!$K$5:$AJ$180,0,MATCH(G$2,Inputs!$K$4:$AJ$4,0))))+SUMPRODUCT((Inputs!$E$5:$E$180=$B64)*ISNUMBER(INDEX(Inputs!$K$5:$AJ$180,0,MATCH(G$2,Inputs!$K$4:$AJ$4,0))))=0,NA(),SUMPRODUCT((Inputs!$A$5:$A$180=$B64)*Inputs!$B$5:$B$180*(((Inputs!$G$5:$G$180="moeda")+(Inputs!$G$5:$G$180="acoes"))*Inputs!$B$1+((Inputs!$G$5:$G$180&lt;&gt;"moeda")*(Inputs!$G$5:$G$180&lt;&gt;"acoes")))*INDEX(Inputs!$K$5:$AJ$180,0,MATCH(G$2,Inputs!$K$4:$AJ$4,0)))+SUMPRODUCT((Inputs!$C$5:$C$180=$B64)*Inputs!$D$5:$D$180*(((Inputs!$G$5:$G$180="moeda")+(Inputs!$G$5:$G$180="acoes"))*Inputs!$B$1+((Inputs!$G$5:$G$180&lt;&gt;"moeda")*(Inputs!$G$5:$G$180&lt;&gt;"acoes")))*INDEX(Inputs!$K$5:$AJ$180,0,MATCH(G$2,Inputs!$K$4:$AJ$4,0)))+SUMPRODUCT((Inputs!$E$5:$E$180=$B64)*Inputs!$F$5:$F$180*(((Inputs!$G$5:$G$180="moeda")+(Inputs!$G$5:$G$180="acoes"))*Inputs!$B$1+((Inputs!$G$5:$G$180&lt;&gt;"moeda")*(Inputs!$G$5:$G$180&lt;&gt;"acoes")))*INDEX(Inputs!$K$5:$AJ$180,0,MATCH(G$2,Inputs!$K$4:$AJ$4,0)))))</f>
        <v>2196.1</v>
      </c>
      <c r="H64" s="267">
        <f>G64</f>
        <v>2196.1</v>
      </c>
      <c r="I64" s="266">
        <f>IF(ISNA(MATCH(I$2,Inputs!$K$4:$AJ$4,0)),NA(),IF(SUMPRODUCT((Inputs!$A$5:$A$180=$B64)*ISNUMBER(INDEX(Inputs!$K$5:$AJ$180,0,MATCH(I$2,Inputs!$K$4:$AJ$4,0))))+SUMPRODUCT((Inputs!$C$5:$C$180=$B64)*ISNUMBER(INDEX(Inputs!$K$5:$AJ$180,0,MATCH(I$2,Inputs!$K$4:$AJ$4,0))))+SUMPRODUCT((Inputs!$E$5:$E$180=$B64)*ISNUMBER(INDEX(Inputs!$K$5:$AJ$180,0,MATCH(I$2,Inputs!$K$4:$AJ$4,0))))=0,NA(),SUMPRODUCT((Inputs!$A$5:$A$180=$B64)*Inputs!$B$5:$B$180*(((Inputs!$G$5:$G$180="moeda")+(Inputs!$G$5:$G$180="acoes"))*Inputs!$B$1+((Inputs!$G$5:$G$180&lt;&gt;"moeda")*(Inputs!$G$5:$G$180&lt;&gt;"acoes")))*INDEX(Inputs!$K$5:$AJ$180,0,MATCH(I$2,Inputs!$K$4:$AJ$4,0)))+SUMPRODUCT((Inputs!$C$5:$C$180=$B64)*Inputs!$D$5:$D$180*(((Inputs!$G$5:$G$180="moeda")+(Inputs!$G$5:$G$180="acoes"))*Inputs!$B$1+((Inputs!$G$5:$G$180&lt;&gt;"moeda")*(Inputs!$G$5:$G$180&lt;&gt;"acoes")))*INDEX(Inputs!$K$5:$AJ$180,0,MATCH(I$2,Inputs!$K$4:$AJ$4,0)))+SUMPRODUCT((Inputs!$E$5:$E$180=$B64)*Inputs!$F$5:$F$180*(((Inputs!$G$5:$G$180="moeda")+(Inputs!$G$5:$G$180="acoes"))*Inputs!$B$1+((Inputs!$G$5:$G$180&lt;&gt;"moeda")*(Inputs!$G$5:$G$180&lt;&gt;"acoes")))*INDEX(Inputs!$K$5:$AJ$180,0,MATCH(I$2,Inputs!$K$4:$AJ$4,0)))))</f>
        <v>2479</v>
      </c>
      <c r="J64" s="266">
        <f>IF(ISNA(MATCH(J$2,Inputs!$K$4:$AJ$4,0)),NA(),IF(SUMPRODUCT((Inputs!$A$5:$A$180=$B64)*ISNUMBER(INDEX(Inputs!$K$5:$AJ$180,0,MATCH(J$2,Inputs!$K$4:$AJ$4,0))))+SUMPRODUCT((Inputs!$C$5:$C$180=$B64)*ISNUMBER(INDEX(Inputs!$K$5:$AJ$180,0,MATCH(J$2,Inputs!$K$4:$AJ$4,0))))+SUMPRODUCT((Inputs!$E$5:$E$180=$B64)*ISNUMBER(INDEX(Inputs!$K$5:$AJ$180,0,MATCH(J$2,Inputs!$K$4:$AJ$4,0))))=0,NA(),SUMPRODUCT((Inputs!$A$5:$A$180=$B64)*Inputs!$B$5:$B$180*(((Inputs!$G$5:$G$180="moeda")+(Inputs!$G$5:$G$180="acoes"))*Inputs!$B$1+((Inputs!$G$5:$G$180&lt;&gt;"moeda")*(Inputs!$G$5:$G$180&lt;&gt;"acoes")))*INDEX(Inputs!$K$5:$AJ$180,0,MATCH(J$2,Inputs!$K$4:$AJ$4,0)))+SUMPRODUCT((Inputs!$C$5:$C$180=$B64)*Inputs!$D$5:$D$180*(((Inputs!$G$5:$G$180="moeda")+(Inputs!$G$5:$G$180="acoes"))*Inputs!$B$1+((Inputs!$G$5:$G$180&lt;&gt;"moeda")*(Inputs!$G$5:$G$180&lt;&gt;"acoes")))*INDEX(Inputs!$K$5:$AJ$180,0,MATCH(J$2,Inputs!$K$4:$AJ$4,0)))+SUMPRODUCT((Inputs!$E$5:$E$180=$B64)*Inputs!$F$5:$F$180*(((Inputs!$G$5:$G$180="moeda")+(Inputs!$G$5:$G$180="acoes"))*Inputs!$B$1+((Inputs!$G$5:$G$180&lt;&gt;"moeda")*(Inputs!$G$5:$G$180&lt;&gt;"acoes")))*INDEX(Inputs!$K$5:$AJ$180,0,MATCH(J$2,Inputs!$K$4:$AJ$4,0)))))</f>
        <v>2902</v>
      </c>
      <c r="K64" s="266">
        <f>IF(ISNA(MATCH(K$2,Inputs!$K$4:$AJ$4,0)),NA(),IF(SUMPRODUCT((Inputs!$A$5:$A$180=$B64)*ISNUMBER(INDEX(Inputs!$K$5:$AJ$180,0,MATCH(K$2,Inputs!$K$4:$AJ$4,0))))+SUMPRODUCT((Inputs!$C$5:$C$180=$B64)*ISNUMBER(INDEX(Inputs!$K$5:$AJ$180,0,MATCH(K$2,Inputs!$K$4:$AJ$4,0))))+SUMPRODUCT((Inputs!$E$5:$E$180=$B64)*ISNUMBER(INDEX(Inputs!$K$5:$AJ$180,0,MATCH(K$2,Inputs!$K$4:$AJ$4,0))))=0,NA(),SUMPRODUCT((Inputs!$A$5:$A$180=$B64)*Inputs!$B$5:$B$180*(((Inputs!$G$5:$G$180="moeda")+(Inputs!$G$5:$G$180="acoes"))*Inputs!$B$1+((Inputs!$G$5:$G$180&lt;&gt;"moeda")*(Inputs!$G$5:$G$180&lt;&gt;"acoes")))*INDEX(Inputs!$K$5:$AJ$180,0,MATCH(K$2,Inputs!$K$4:$AJ$4,0)))+SUMPRODUCT((Inputs!$C$5:$C$180=$B64)*Inputs!$D$5:$D$180*(((Inputs!$G$5:$G$180="moeda")+(Inputs!$G$5:$G$180="acoes"))*Inputs!$B$1+((Inputs!$G$5:$G$180&lt;&gt;"moeda")*(Inputs!$G$5:$G$180&lt;&gt;"acoes")))*INDEX(Inputs!$K$5:$AJ$180,0,MATCH(K$2,Inputs!$K$4:$AJ$4,0)))+SUMPRODUCT((Inputs!$E$5:$E$180=$B64)*Inputs!$F$5:$F$180*(((Inputs!$G$5:$G$180="moeda")+(Inputs!$G$5:$G$180="acoes"))*Inputs!$B$1+((Inputs!$G$5:$G$180&lt;&gt;"moeda")*(Inputs!$G$5:$G$180&lt;&gt;"acoes")))*INDEX(Inputs!$K$5:$AJ$180,0,MATCH(K$2,Inputs!$K$4:$AJ$4,0)))))</f>
        <v>3847</v>
      </c>
      <c r="L64" s="266">
        <f>IF(ISNA(MATCH(L$2,Inputs!$K$4:$AJ$4,0)),NA(),IF(SUMPRODUCT((Inputs!$A$5:$A$180=$B64)*ISNUMBER(INDEX(Inputs!$K$5:$AJ$180,0,MATCH(L$2,Inputs!$K$4:$AJ$4,0))))+SUMPRODUCT((Inputs!$C$5:$C$180=$B64)*ISNUMBER(INDEX(Inputs!$K$5:$AJ$180,0,MATCH(L$2,Inputs!$K$4:$AJ$4,0))))+SUMPRODUCT((Inputs!$E$5:$E$180=$B64)*ISNUMBER(INDEX(Inputs!$K$5:$AJ$180,0,MATCH(L$2,Inputs!$K$4:$AJ$4,0))))=0,NA(),SUMPRODUCT((Inputs!$A$5:$A$180=$B64)*Inputs!$B$5:$B$180*(((Inputs!$G$5:$G$180="moeda")+(Inputs!$G$5:$G$180="acoes"))*Inputs!$B$1+((Inputs!$G$5:$G$180&lt;&gt;"moeda")*(Inputs!$G$5:$G$180&lt;&gt;"acoes")))*INDEX(Inputs!$K$5:$AJ$180,0,MATCH(L$2,Inputs!$K$4:$AJ$4,0)))+SUMPRODUCT((Inputs!$C$5:$C$180=$B64)*Inputs!$D$5:$D$180*(((Inputs!$G$5:$G$180="moeda")+(Inputs!$G$5:$G$180="acoes"))*Inputs!$B$1+((Inputs!$G$5:$G$180&lt;&gt;"moeda")*(Inputs!$G$5:$G$180&lt;&gt;"acoes")))*INDEX(Inputs!$K$5:$AJ$180,0,MATCH(L$2,Inputs!$K$4:$AJ$4,0)))+SUMPRODUCT((Inputs!$E$5:$E$180=$B64)*Inputs!$F$5:$F$180*(((Inputs!$G$5:$G$180="moeda")+(Inputs!$G$5:$G$180="acoes"))*Inputs!$B$1+((Inputs!$G$5:$G$180&lt;&gt;"moeda")*(Inputs!$G$5:$G$180&lt;&gt;"acoes")))*INDEX(Inputs!$K$5:$AJ$180,0,MATCH(L$2,Inputs!$K$4:$AJ$4,0)))))</f>
        <v>5228.36</v>
      </c>
      <c r="M64" s="267">
        <f>L64</f>
        <v>5228.36</v>
      </c>
      <c r="N64" s="266">
        <f>IF(ISNA(MATCH(N$2,Inputs!$K$4:$AJ$4,0)),NA(),IF(SUMPRODUCT((Inputs!$A$5:$A$180=$B64)*ISNUMBER(INDEX(Inputs!$K$5:$AJ$180,0,MATCH(N$2,Inputs!$K$4:$AJ$4,0))))+SUMPRODUCT((Inputs!$C$5:$C$180=$B64)*ISNUMBER(INDEX(Inputs!$K$5:$AJ$180,0,MATCH(N$2,Inputs!$K$4:$AJ$4,0))))+SUMPRODUCT((Inputs!$E$5:$E$180=$B64)*ISNUMBER(INDEX(Inputs!$K$5:$AJ$180,0,MATCH(N$2,Inputs!$K$4:$AJ$4,0))))=0,NA(),SUMPRODUCT((Inputs!$A$5:$A$180=$B64)*Inputs!$B$5:$B$180*(((Inputs!$G$5:$G$180="moeda")+(Inputs!$G$5:$G$180="acoes"))*Inputs!$B$1+((Inputs!$G$5:$G$180&lt;&gt;"moeda")*(Inputs!$G$5:$G$180&lt;&gt;"acoes")))*INDEX(Inputs!$K$5:$AJ$180,0,MATCH(N$2,Inputs!$K$4:$AJ$4,0)))+SUMPRODUCT((Inputs!$C$5:$C$180=$B64)*Inputs!$D$5:$D$180*(((Inputs!$G$5:$G$180="moeda")+(Inputs!$G$5:$G$180="acoes"))*Inputs!$B$1+((Inputs!$G$5:$G$180&lt;&gt;"moeda")*(Inputs!$G$5:$G$180&lt;&gt;"acoes")))*INDEX(Inputs!$K$5:$AJ$180,0,MATCH(N$2,Inputs!$K$4:$AJ$4,0)))+SUMPRODUCT((Inputs!$E$5:$E$180=$B64)*Inputs!$F$5:$F$180*(((Inputs!$G$5:$G$180="moeda")+(Inputs!$G$5:$G$180="acoes"))*Inputs!$B$1+((Inputs!$G$5:$G$180&lt;&gt;"moeda")*(Inputs!$G$5:$G$180&lt;&gt;"acoes")))*INDEX(Inputs!$K$5:$AJ$180,0,MATCH(N$2,Inputs!$K$4:$AJ$4,0)))))</f>
        <v>5822.54</v>
      </c>
      <c r="O64" s="266">
        <f>IF(ISNA(MATCH(O$2,Inputs!$K$4:$AJ$4,0)),NA(),IF(SUMPRODUCT((Inputs!$A$5:$A$180=$B64)*ISNUMBER(INDEX(Inputs!$K$5:$AJ$180,0,MATCH(O$2,Inputs!$K$4:$AJ$4,0))))+SUMPRODUCT((Inputs!$C$5:$C$180=$B64)*ISNUMBER(INDEX(Inputs!$K$5:$AJ$180,0,MATCH(O$2,Inputs!$K$4:$AJ$4,0))))+SUMPRODUCT((Inputs!$E$5:$E$180=$B64)*ISNUMBER(INDEX(Inputs!$K$5:$AJ$180,0,MATCH(O$2,Inputs!$K$4:$AJ$4,0))))=0,NA(),SUMPRODUCT((Inputs!$A$5:$A$180=$B64)*Inputs!$B$5:$B$180*(((Inputs!$G$5:$G$180="moeda")+(Inputs!$G$5:$G$180="acoes"))*Inputs!$B$1+((Inputs!$G$5:$G$180&lt;&gt;"moeda")*(Inputs!$G$5:$G$180&lt;&gt;"acoes")))*INDEX(Inputs!$K$5:$AJ$180,0,MATCH(O$2,Inputs!$K$4:$AJ$4,0)))+SUMPRODUCT((Inputs!$C$5:$C$180=$B64)*Inputs!$D$5:$D$180*(((Inputs!$G$5:$G$180="moeda")+(Inputs!$G$5:$G$180="acoes"))*Inputs!$B$1+((Inputs!$G$5:$G$180&lt;&gt;"moeda")*(Inputs!$G$5:$G$180&lt;&gt;"acoes")))*INDEX(Inputs!$K$5:$AJ$180,0,MATCH(O$2,Inputs!$K$4:$AJ$4,0)))+SUMPRODUCT((Inputs!$E$5:$E$180=$B64)*Inputs!$F$5:$F$180*(((Inputs!$G$5:$G$180="moeda")+(Inputs!$G$5:$G$180="acoes"))*Inputs!$B$1+((Inputs!$G$5:$G$180&lt;&gt;"moeda")*(Inputs!$G$5:$G$180&lt;&gt;"acoes")))*INDEX(Inputs!$K$5:$AJ$180,0,MATCH(O$2,Inputs!$K$4:$AJ$4,0)))))</f>
        <v>6291.3</v>
      </c>
      <c r="P64" s="266">
        <f>IF(ISNA(MATCH(P$2,Inputs!$K$4:$AJ$4,0)),NA(),IF(SUMPRODUCT((Inputs!$A$5:$A$180=$B64)*ISNUMBER(INDEX(Inputs!$K$5:$AJ$180,0,MATCH(P$2,Inputs!$K$4:$AJ$4,0))))+SUMPRODUCT((Inputs!$C$5:$C$180=$B64)*ISNUMBER(INDEX(Inputs!$K$5:$AJ$180,0,MATCH(P$2,Inputs!$K$4:$AJ$4,0))))+SUMPRODUCT((Inputs!$E$5:$E$180=$B64)*ISNUMBER(INDEX(Inputs!$K$5:$AJ$180,0,MATCH(P$2,Inputs!$K$4:$AJ$4,0))))=0,NA(),SUMPRODUCT((Inputs!$A$5:$A$180=$B64)*Inputs!$B$5:$B$180*(((Inputs!$G$5:$G$180="moeda")+(Inputs!$G$5:$G$180="acoes"))*Inputs!$B$1+((Inputs!$G$5:$G$180&lt;&gt;"moeda")*(Inputs!$G$5:$G$180&lt;&gt;"acoes")))*INDEX(Inputs!$K$5:$AJ$180,0,MATCH(P$2,Inputs!$K$4:$AJ$4,0)))+SUMPRODUCT((Inputs!$C$5:$C$180=$B64)*Inputs!$D$5:$D$180*(((Inputs!$G$5:$G$180="moeda")+(Inputs!$G$5:$G$180="acoes"))*Inputs!$B$1+((Inputs!$G$5:$G$180&lt;&gt;"moeda")*(Inputs!$G$5:$G$180&lt;&gt;"acoes")))*INDEX(Inputs!$K$5:$AJ$180,0,MATCH(P$2,Inputs!$K$4:$AJ$4,0)))+SUMPRODUCT((Inputs!$E$5:$E$180=$B64)*Inputs!$F$5:$F$180*(((Inputs!$G$5:$G$180="moeda")+(Inputs!$G$5:$G$180="acoes"))*Inputs!$B$1+((Inputs!$G$5:$G$180&lt;&gt;"moeda")*(Inputs!$G$5:$G$180&lt;&gt;"acoes")))*INDEX(Inputs!$K$5:$AJ$180,0,MATCH(P$2,Inputs!$K$4:$AJ$4,0)))))</f>
        <v>7207.62</v>
      </c>
      <c r="Q64" s="266">
        <f>IF(ISNA(MATCH(Q$2,Inputs!$K$4:$AJ$4,0)),NA(),IF(SUMPRODUCT((Inputs!$A$5:$A$180=$B64)*ISNUMBER(INDEX(Inputs!$K$5:$AJ$180,0,MATCH(Q$2,Inputs!$K$4:$AJ$4,0))))+SUMPRODUCT((Inputs!$C$5:$C$180=$B64)*ISNUMBER(INDEX(Inputs!$K$5:$AJ$180,0,MATCH(Q$2,Inputs!$K$4:$AJ$4,0))))+SUMPRODUCT((Inputs!$E$5:$E$180=$B64)*ISNUMBER(INDEX(Inputs!$K$5:$AJ$180,0,MATCH(Q$2,Inputs!$K$4:$AJ$4,0))))=0,NA(),SUMPRODUCT((Inputs!$A$5:$A$180=$B64)*Inputs!$B$5:$B$180*(((Inputs!$G$5:$G$180="moeda")+(Inputs!$G$5:$G$180="acoes"))*Inputs!$B$1+((Inputs!$G$5:$G$180&lt;&gt;"moeda")*(Inputs!$G$5:$G$180&lt;&gt;"acoes")))*INDEX(Inputs!$K$5:$AJ$180,0,MATCH(Q$2,Inputs!$K$4:$AJ$4,0)))+SUMPRODUCT((Inputs!$C$5:$C$180=$B64)*Inputs!$D$5:$D$180*(((Inputs!$G$5:$G$180="moeda")+(Inputs!$G$5:$G$180="acoes"))*Inputs!$B$1+((Inputs!$G$5:$G$180&lt;&gt;"moeda")*(Inputs!$G$5:$G$180&lt;&gt;"acoes")))*INDEX(Inputs!$K$5:$AJ$180,0,MATCH(Q$2,Inputs!$K$4:$AJ$4,0)))+SUMPRODUCT((Inputs!$E$5:$E$180=$B64)*Inputs!$F$5:$F$180*(((Inputs!$G$5:$G$180="moeda")+(Inputs!$G$5:$G$180="acoes"))*Inputs!$B$1+((Inputs!$G$5:$G$180&lt;&gt;"moeda")*(Inputs!$G$5:$G$180&lt;&gt;"acoes")))*INDEX(Inputs!$K$5:$AJ$180,0,MATCH(Q$2,Inputs!$K$4:$AJ$4,0)))))</f>
        <v>8586</v>
      </c>
      <c r="R64" s="267">
        <f>Q64</f>
        <v>8586</v>
      </c>
      <c r="S64" s="266">
        <f>IF(ISNA(MATCH(S$2,Inputs!$K$4:$AJ$4,0)),NA(),IF(SUMPRODUCT((Inputs!$A$5:$A$180=$B64)*ISNUMBER(INDEX(Inputs!$K$5:$AJ$180,0,MATCH(S$2,Inputs!$K$4:$AJ$4,0))))+SUMPRODUCT((Inputs!$C$5:$C$180=$B64)*ISNUMBER(INDEX(Inputs!$K$5:$AJ$180,0,MATCH(S$2,Inputs!$K$4:$AJ$4,0))))+SUMPRODUCT((Inputs!$E$5:$E$180=$B64)*ISNUMBER(INDEX(Inputs!$K$5:$AJ$180,0,MATCH(S$2,Inputs!$K$4:$AJ$4,0))))=0,NA(),SUMPRODUCT((Inputs!$A$5:$A$180=$B64)*Inputs!$B$5:$B$180*(((Inputs!$G$5:$G$180="moeda")+(Inputs!$G$5:$G$180="acoes"))*Inputs!$B$1+((Inputs!$G$5:$G$180&lt;&gt;"moeda")*(Inputs!$G$5:$G$180&lt;&gt;"acoes")))*INDEX(Inputs!$K$5:$AJ$180,0,MATCH(S$2,Inputs!$K$4:$AJ$4,0)))+SUMPRODUCT((Inputs!$C$5:$C$180=$B64)*Inputs!$D$5:$D$180*(((Inputs!$G$5:$G$180="moeda")+(Inputs!$G$5:$G$180="acoes"))*Inputs!$B$1+((Inputs!$G$5:$G$180&lt;&gt;"moeda")*(Inputs!$G$5:$G$180&lt;&gt;"acoes")))*INDEX(Inputs!$K$5:$AJ$180,0,MATCH(S$2,Inputs!$K$4:$AJ$4,0)))+SUMPRODUCT((Inputs!$E$5:$E$180=$B64)*Inputs!$F$5:$F$180*(((Inputs!$G$5:$G$180="moeda")+(Inputs!$G$5:$G$180="acoes"))*Inputs!$B$1+((Inputs!$G$5:$G$180&lt;&gt;"moeda")*(Inputs!$G$5:$G$180&lt;&gt;"acoes")))*INDEX(Inputs!$K$5:$AJ$180,0,MATCH(S$2,Inputs!$K$4:$AJ$4,0)))))</f>
        <v>9623.82</v>
      </c>
      <c r="T64" s="266">
        <f>IF(ISNA(MATCH(T$2,Inputs!$K$4:$AJ$4,0)),NA(),IF(SUMPRODUCT((Inputs!$A$5:$A$180=$B64)*ISNUMBER(INDEX(Inputs!$K$5:$AJ$180,0,MATCH(T$2,Inputs!$K$4:$AJ$4,0))))+SUMPRODUCT((Inputs!$C$5:$C$180=$B64)*ISNUMBER(INDEX(Inputs!$K$5:$AJ$180,0,MATCH(T$2,Inputs!$K$4:$AJ$4,0))))+SUMPRODUCT((Inputs!$E$5:$E$180=$B64)*ISNUMBER(INDEX(Inputs!$K$5:$AJ$180,0,MATCH(T$2,Inputs!$K$4:$AJ$4,0))))=0,NA(),SUMPRODUCT((Inputs!$A$5:$A$180=$B64)*Inputs!$B$5:$B$180*(((Inputs!$G$5:$G$180="moeda")+(Inputs!$G$5:$G$180="acoes"))*Inputs!$B$1+((Inputs!$G$5:$G$180&lt;&gt;"moeda")*(Inputs!$G$5:$G$180&lt;&gt;"acoes")))*INDEX(Inputs!$K$5:$AJ$180,0,MATCH(T$2,Inputs!$K$4:$AJ$4,0)))+SUMPRODUCT((Inputs!$C$5:$C$180=$B64)*Inputs!$D$5:$D$180*(((Inputs!$G$5:$G$180="moeda")+(Inputs!$G$5:$G$180="acoes"))*Inputs!$B$1+((Inputs!$G$5:$G$180&lt;&gt;"moeda")*(Inputs!$G$5:$G$180&lt;&gt;"acoes")))*INDEX(Inputs!$K$5:$AJ$180,0,MATCH(T$2,Inputs!$K$4:$AJ$4,0)))+SUMPRODUCT((Inputs!$E$5:$E$180=$B64)*Inputs!$F$5:$F$180*(((Inputs!$G$5:$G$180="moeda")+(Inputs!$G$5:$G$180="acoes"))*Inputs!$B$1+((Inputs!$G$5:$G$180&lt;&gt;"moeda")*(Inputs!$G$5:$G$180&lt;&gt;"acoes")))*INDEX(Inputs!$K$5:$AJ$180,0,MATCH(T$2,Inputs!$K$4:$AJ$4,0)))))</f>
        <v>10872.71</v>
      </c>
      <c r="U64" s="266">
        <f>IF(ISNA(MATCH(U$2,Inputs!$K$4:$AJ$4,0)),NA(),IF(SUMPRODUCT((Inputs!$A$5:$A$180=$B64)*ISNUMBER(INDEX(Inputs!$K$5:$AJ$180,0,MATCH(U$2,Inputs!$K$4:$AJ$4,0))))+SUMPRODUCT((Inputs!$C$5:$C$180=$B64)*ISNUMBER(INDEX(Inputs!$K$5:$AJ$180,0,MATCH(U$2,Inputs!$K$4:$AJ$4,0))))+SUMPRODUCT((Inputs!$E$5:$E$180=$B64)*ISNUMBER(INDEX(Inputs!$K$5:$AJ$180,0,MATCH(U$2,Inputs!$K$4:$AJ$4,0))))=0,NA(),SUMPRODUCT((Inputs!$A$5:$A$180=$B64)*Inputs!$B$5:$B$180*(((Inputs!$G$5:$G$180="moeda")+(Inputs!$G$5:$G$180="acoes"))*Inputs!$B$1+((Inputs!$G$5:$G$180&lt;&gt;"moeda")*(Inputs!$G$5:$G$180&lt;&gt;"acoes")))*INDEX(Inputs!$K$5:$AJ$180,0,MATCH(U$2,Inputs!$K$4:$AJ$4,0)))+SUMPRODUCT((Inputs!$C$5:$C$180=$B64)*Inputs!$D$5:$D$180*(((Inputs!$G$5:$G$180="moeda")+(Inputs!$G$5:$G$180="acoes"))*Inputs!$B$1+((Inputs!$G$5:$G$180&lt;&gt;"moeda")*(Inputs!$G$5:$G$180&lt;&gt;"acoes")))*INDEX(Inputs!$K$5:$AJ$180,0,MATCH(U$2,Inputs!$K$4:$AJ$4,0)))+SUMPRODUCT((Inputs!$E$5:$E$180=$B64)*Inputs!$F$5:$F$180*(((Inputs!$G$5:$G$180="moeda")+(Inputs!$G$5:$G$180="acoes"))*Inputs!$B$1+((Inputs!$G$5:$G$180&lt;&gt;"moeda")*(Inputs!$G$5:$G$180&lt;&gt;"acoes")))*INDEX(Inputs!$K$5:$AJ$180,0,MATCH(U$2,Inputs!$K$4:$AJ$4,0)))))</f>
        <v>11878.9</v>
      </c>
      <c r="V64" s="266">
        <f>IF(ISNA(MATCH(V$2,Inputs!$K$4:$AJ$4,0)),NA(),IF(SUMPRODUCT((Inputs!$A$5:$A$180=$B64)*ISNUMBER(INDEX(Inputs!$K$5:$AJ$180,0,MATCH(V$2,Inputs!$K$4:$AJ$4,0))))+SUMPRODUCT((Inputs!$C$5:$C$180=$B64)*ISNUMBER(INDEX(Inputs!$K$5:$AJ$180,0,MATCH(V$2,Inputs!$K$4:$AJ$4,0))))+SUMPRODUCT((Inputs!$E$5:$E$180=$B64)*ISNUMBER(INDEX(Inputs!$K$5:$AJ$180,0,MATCH(V$2,Inputs!$K$4:$AJ$4,0))))=0,NA(),SUMPRODUCT((Inputs!$A$5:$A$180=$B64)*Inputs!$B$5:$B$180*(((Inputs!$G$5:$G$180="moeda")+(Inputs!$G$5:$G$180="acoes"))*Inputs!$B$1+((Inputs!$G$5:$G$180&lt;&gt;"moeda")*(Inputs!$G$5:$G$180&lt;&gt;"acoes")))*INDEX(Inputs!$K$5:$AJ$180,0,MATCH(V$2,Inputs!$K$4:$AJ$4,0)))+SUMPRODUCT((Inputs!$C$5:$C$180=$B64)*Inputs!$D$5:$D$180*(((Inputs!$G$5:$G$180="moeda")+(Inputs!$G$5:$G$180="acoes"))*Inputs!$B$1+((Inputs!$G$5:$G$180&lt;&gt;"moeda")*(Inputs!$G$5:$G$180&lt;&gt;"acoes")))*INDEX(Inputs!$K$5:$AJ$180,0,MATCH(V$2,Inputs!$K$4:$AJ$4,0)))+SUMPRODUCT((Inputs!$E$5:$E$180=$B64)*Inputs!$F$5:$F$180*(((Inputs!$G$5:$G$180="moeda")+(Inputs!$G$5:$G$180="acoes"))*Inputs!$B$1+((Inputs!$G$5:$G$180&lt;&gt;"moeda")*(Inputs!$G$5:$G$180&lt;&gt;"acoes")))*INDEX(Inputs!$K$5:$AJ$180,0,MATCH(V$2,Inputs!$K$4:$AJ$4,0)))))</f>
        <v>13475.19</v>
      </c>
      <c r="W64" s="267">
        <f>V64</f>
        <v>13475.19</v>
      </c>
      <c r="X64" s="266">
        <f>IF(ISNA(MATCH(X$2,Inputs!$K$4:$AJ$4,0)),NA(),IF(SUMPRODUCT((Inputs!$A$5:$A$180=$B64)*ISNUMBER(INDEX(Inputs!$K$5:$AJ$180,0,MATCH(X$2,Inputs!$K$4:$AJ$4,0))))+SUMPRODUCT((Inputs!$C$5:$C$180=$B64)*ISNUMBER(INDEX(Inputs!$K$5:$AJ$180,0,MATCH(X$2,Inputs!$K$4:$AJ$4,0))))+SUMPRODUCT((Inputs!$E$5:$E$180=$B64)*ISNUMBER(INDEX(Inputs!$K$5:$AJ$180,0,MATCH(X$2,Inputs!$K$4:$AJ$4,0))))=0,NA(),SUMPRODUCT((Inputs!$A$5:$A$180=$B64)*Inputs!$B$5:$B$180*(((Inputs!$G$5:$G$180="moeda")+(Inputs!$G$5:$G$180="acoes"))*Inputs!$B$1+((Inputs!$G$5:$G$180&lt;&gt;"moeda")*(Inputs!$G$5:$G$180&lt;&gt;"acoes")))*INDEX(Inputs!$K$5:$AJ$180,0,MATCH(X$2,Inputs!$K$4:$AJ$4,0)))+SUMPRODUCT((Inputs!$C$5:$C$180=$B64)*Inputs!$D$5:$D$180*(((Inputs!$G$5:$G$180="moeda")+(Inputs!$G$5:$G$180="acoes"))*Inputs!$B$1+((Inputs!$G$5:$G$180&lt;&gt;"moeda")*(Inputs!$G$5:$G$180&lt;&gt;"acoes")))*INDEX(Inputs!$K$5:$AJ$180,0,MATCH(X$2,Inputs!$K$4:$AJ$4,0)))+SUMPRODUCT((Inputs!$E$5:$E$180=$B64)*Inputs!$F$5:$F$180*(((Inputs!$G$5:$G$180="moeda")+(Inputs!$G$5:$G$180="acoes"))*Inputs!$B$1+((Inputs!$G$5:$G$180&lt;&gt;"moeda")*(Inputs!$G$5:$G$180&lt;&gt;"acoes")))*INDEX(Inputs!$K$5:$AJ$180,0,MATCH(X$2,Inputs!$K$4:$AJ$4,0)))))</f>
        <v>13820.63</v>
      </c>
      <c r="Y64" s="266">
        <f>IF(ISNA(MATCH(Y$2,Inputs!$K$4:$AJ$4,0)),NA(),IF(SUMPRODUCT((Inputs!$A$5:$A$180=$B64)*ISNUMBER(INDEX(Inputs!$K$5:$AJ$180,0,MATCH(Y$2,Inputs!$K$4:$AJ$4,0))))+SUMPRODUCT((Inputs!$C$5:$C$180=$B64)*ISNUMBER(INDEX(Inputs!$K$5:$AJ$180,0,MATCH(Y$2,Inputs!$K$4:$AJ$4,0))))+SUMPRODUCT((Inputs!$E$5:$E$180=$B64)*ISNUMBER(INDEX(Inputs!$K$5:$AJ$180,0,MATCH(Y$2,Inputs!$K$4:$AJ$4,0))))=0,NA(),SUMPRODUCT((Inputs!$A$5:$A$180=$B64)*Inputs!$B$5:$B$180*(((Inputs!$G$5:$G$180="moeda")+(Inputs!$G$5:$G$180="acoes"))*Inputs!$B$1+((Inputs!$G$5:$G$180&lt;&gt;"moeda")*(Inputs!$G$5:$G$180&lt;&gt;"acoes")))*INDEX(Inputs!$K$5:$AJ$180,0,MATCH(Y$2,Inputs!$K$4:$AJ$4,0)))+SUMPRODUCT((Inputs!$C$5:$C$180=$B64)*Inputs!$D$5:$D$180*(((Inputs!$G$5:$G$180="moeda")+(Inputs!$G$5:$G$180="acoes"))*Inputs!$B$1+((Inputs!$G$5:$G$180&lt;&gt;"moeda")*(Inputs!$G$5:$G$180&lt;&gt;"acoes")))*INDEX(Inputs!$K$5:$AJ$180,0,MATCH(Y$2,Inputs!$K$4:$AJ$4,0)))+SUMPRODUCT((Inputs!$E$5:$E$180=$B64)*Inputs!$F$5:$F$180*(((Inputs!$G$5:$G$180="moeda")+(Inputs!$G$5:$G$180="acoes"))*Inputs!$B$1+((Inputs!$G$5:$G$180&lt;&gt;"moeda")*(Inputs!$G$5:$G$180&lt;&gt;"acoes")))*INDEX(Inputs!$K$5:$AJ$180,0,MATCH(Y$2,Inputs!$K$4:$AJ$4,0)))))</f>
        <v>14548</v>
      </c>
      <c r="Z64" s="266">
        <f>IF(ISNA(MATCH(Z$2,Inputs!$K$4:$AJ$4,0)),NA(),IF(SUMPRODUCT((Inputs!$A$5:$A$180=$B64)*ISNUMBER(INDEX(Inputs!$K$5:$AJ$180,0,MATCH(Z$2,Inputs!$K$4:$AJ$4,0))))+SUMPRODUCT((Inputs!$C$5:$C$180=$B64)*ISNUMBER(INDEX(Inputs!$K$5:$AJ$180,0,MATCH(Z$2,Inputs!$K$4:$AJ$4,0))))+SUMPRODUCT((Inputs!$E$5:$E$180=$B64)*ISNUMBER(INDEX(Inputs!$K$5:$AJ$180,0,MATCH(Z$2,Inputs!$K$4:$AJ$4,0))))=0,NA(),SUMPRODUCT((Inputs!$A$5:$A$180=$B64)*Inputs!$B$5:$B$180*(((Inputs!$G$5:$G$180="moeda")+(Inputs!$G$5:$G$180="acoes"))*Inputs!$B$1+((Inputs!$G$5:$G$180&lt;&gt;"moeda")*(Inputs!$G$5:$G$180&lt;&gt;"acoes")))*INDEX(Inputs!$K$5:$AJ$180,0,MATCH(Z$2,Inputs!$K$4:$AJ$4,0)))+SUMPRODUCT((Inputs!$C$5:$C$180=$B64)*Inputs!$D$5:$D$180*(((Inputs!$G$5:$G$180="moeda")+(Inputs!$G$5:$G$180="acoes"))*Inputs!$B$1+((Inputs!$G$5:$G$180&lt;&gt;"moeda")*(Inputs!$G$5:$G$180&lt;&gt;"acoes")))*INDEX(Inputs!$K$5:$AJ$180,0,MATCH(Z$2,Inputs!$K$4:$AJ$4,0)))+SUMPRODUCT((Inputs!$E$5:$E$180=$B64)*Inputs!$F$5:$F$180*(((Inputs!$G$5:$G$180="moeda")+(Inputs!$G$5:$G$180="acoes"))*Inputs!$B$1+((Inputs!$G$5:$G$180&lt;&gt;"moeda")*(Inputs!$G$5:$G$180&lt;&gt;"acoes")))*INDEX(Inputs!$K$5:$AJ$180,0,MATCH(Z$2,Inputs!$K$4:$AJ$4,0)))))</f>
        <v>14952</v>
      </c>
      <c r="AA64" s="266">
        <f>IF(ISNA(MATCH(AA$2,Inputs!$K$4:$AJ$4,0)),NA(),IF(SUMPRODUCT((Inputs!$A$5:$A$180=$B64)*ISNUMBER(INDEX(Inputs!$K$5:$AJ$180,0,MATCH(AA$2,Inputs!$K$4:$AJ$4,0))))+SUMPRODUCT((Inputs!$C$5:$C$180=$B64)*ISNUMBER(INDEX(Inputs!$K$5:$AJ$180,0,MATCH(AA$2,Inputs!$K$4:$AJ$4,0))))+SUMPRODUCT((Inputs!$E$5:$E$180=$B64)*ISNUMBER(INDEX(Inputs!$K$5:$AJ$180,0,MATCH(AA$2,Inputs!$K$4:$AJ$4,0))))=0,NA(),SUMPRODUCT((Inputs!$A$5:$A$180=$B64)*Inputs!$B$5:$B$180*(((Inputs!$G$5:$G$180="moeda")+(Inputs!$G$5:$G$180="acoes"))*Inputs!$B$1+((Inputs!$G$5:$G$180&lt;&gt;"moeda")*(Inputs!$G$5:$G$180&lt;&gt;"acoes")))*INDEX(Inputs!$K$5:$AJ$180,0,MATCH(AA$2,Inputs!$K$4:$AJ$4,0)))+SUMPRODUCT((Inputs!$C$5:$C$180=$B64)*Inputs!$D$5:$D$180*(((Inputs!$G$5:$G$180="moeda")+(Inputs!$G$5:$G$180="acoes"))*Inputs!$B$1+((Inputs!$G$5:$G$180&lt;&gt;"moeda")*(Inputs!$G$5:$G$180&lt;&gt;"acoes")))*INDEX(Inputs!$K$5:$AJ$180,0,MATCH(AA$2,Inputs!$K$4:$AJ$4,0)))+SUMPRODUCT((Inputs!$E$5:$E$180=$B64)*Inputs!$F$5:$F$180*(((Inputs!$G$5:$G$180="moeda")+(Inputs!$G$5:$G$180="acoes"))*Inputs!$B$1+((Inputs!$G$5:$G$180&lt;&gt;"moeda")*(Inputs!$G$5:$G$180&lt;&gt;"acoes")))*INDEX(Inputs!$K$5:$AJ$180,0,MATCH(AA$2,Inputs!$K$4:$AJ$4,0)))))</f>
        <v>16559.99</v>
      </c>
      <c r="AB64" s="267">
        <f>AA64</f>
        <v>16559.99</v>
      </c>
      <c r="AC64" s="266">
        <f>IF(ISNA(MATCH(AC$2,Inputs!$K$4:$AJ$4,0)),NA(),IF(SUMPRODUCT((Inputs!$A$5:$A$180=$B64)*ISNUMBER(INDEX(Inputs!$K$5:$AJ$180,0,MATCH(AC$2,Inputs!$K$4:$AJ$4,0))))+SUMPRODUCT((Inputs!$C$5:$C$180=$B64)*ISNUMBER(INDEX(Inputs!$K$5:$AJ$180,0,MATCH(AC$2,Inputs!$K$4:$AJ$4,0))))+SUMPRODUCT((Inputs!$E$5:$E$180=$B64)*ISNUMBER(INDEX(Inputs!$K$5:$AJ$180,0,MATCH(AC$2,Inputs!$K$4:$AJ$4,0))))=0,NA(),SUMPRODUCT((Inputs!$A$5:$A$180=$B64)*Inputs!$B$5:$B$180*(((Inputs!$G$5:$G$180="moeda")+(Inputs!$G$5:$G$180="acoes"))*Inputs!$B$1+((Inputs!$G$5:$G$180&lt;&gt;"moeda")*(Inputs!$G$5:$G$180&lt;&gt;"acoes")))*INDEX(Inputs!$K$5:$AJ$180,0,MATCH(AC$2,Inputs!$K$4:$AJ$4,0)))+SUMPRODUCT((Inputs!$C$5:$C$180=$B64)*Inputs!$D$5:$D$180*(((Inputs!$G$5:$G$180="moeda")+(Inputs!$G$5:$G$180="acoes"))*Inputs!$B$1+((Inputs!$G$5:$G$180&lt;&gt;"moeda")*(Inputs!$G$5:$G$180&lt;&gt;"acoes")))*INDEX(Inputs!$K$5:$AJ$180,0,MATCH(AC$2,Inputs!$K$4:$AJ$4,0)))+SUMPRODUCT((Inputs!$E$5:$E$180=$B64)*Inputs!$F$5:$F$180*(((Inputs!$G$5:$G$180="moeda")+(Inputs!$G$5:$G$180="acoes"))*Inputs!$B$1+((Inputs!$G$5:$G$180&lt;&gt;"moeda")*(Inputs!$G$5:$G$180&lt;&gt;"acoes")))*INDEX(Inputs!$K$5:$AJ$180,0,MATCH(AC$2,Inputs!$K$4:$AJ$4,0)))))</f>
        <v>16950.86</v>
      </c>
      <c r="AD64" s="266">
        <f>IF(ISNA(MATCH(AD$2,Inputs!$K$4:$AJ$4,0)),NA(),IF(SUMPRODUCT((Inputs!$A$5:$A$180=$B64)*ISNUMBER(INDEX(Inputs!$K$5:$AJ$180,0,MATCH(AD$2,Inputs!$K$4:$AJ$4,0))))+SUMPRODUCT((Inputs!$C$5:$C$180=$B64)*ISNUMBER(INDEX(Inputs!$K$5:$AJ$180,0,MATCH(AD$2,Inputs!$K$4:$AJ$4,0))))+SUMPRODUCT((Inputs!$E$5:$E$180=$B64)*ISNUMBER(INDEX(Inputs!$K$5:$AJ$180,0,MATCH(AD$2,Inputs!$K$4:$AJ$4,0))))=0,NA(),SUMPRODUCT((Inputs!$A$5:$A$180=$B64)*Inputs!$B$5:$B$180*(((Inputs!$G$5:$G$180="moeda")+(Inputs!$G$5:$G$180="acoes"))*Inputs!$B$1+((Inputs!$G$5:$G$180&lt;&gt;"moeda")*(Inputs!$G$5:$G$180&lt;&gt;"acoes")))*INDEX(Inputs!$K$5:$AJ$180,0,MATCH(AD$2,Inputs!$K$4:$AJ$4,0)))+SUMPRODUCT((Inputs!$C$5:$C$180=$B64)*Inputs!$D$5:$D$180*(((Inputs!$G$5:$G$180="moeda")+(Inputs!$G$5:$G$180="acoes"))*Inputs!$B$1+((Inputs!$G$5:$G$180&lt;&gt;"moeda")*(Inputs!$G$5:$G$180&lt;&gt;"acoes")))*INDEX(Inputs!$K$5:$AJ$180,0,MATCH(AD$2,Inputs!$K$4:$AJ$4,0)))+SUMPRODUCT((Inputs!$E$5:$E$180=$B64)*Inputs!$F$5:$F$180*(((Inputs!$G$5:$G$180="moeda")+(Inputs!$G$5:$G$180="acoes"))*Inputs!$B$1+((Inputs!$G$5:$G$180&lt;&gt;"moeda")*(Inputs!$G$5:$G$180&lt;&gt;"acoes")))*INDEX(Inputs!$K$5:$AJ$180,0,MATCH(AD$2,Inputs!$K$4:$AJ$4,0)))))</f>
        <v>17890.9</v>
      </c>
      <c r="AE64" s="266" t="e">
        <f>IF(ISNA(MATCH(AE$2,Inputs!$K$4:$AJ$4,0)),NA(),IF(SUMPRODUCT((Inputs!$A$5:$A$180=$B64)*ISNUMBER(INDEX(Inputs!$K$5:$AJ$180,0,MATCH(AE$2,Inputs!$K$4:$AJ$4,0))))+SUMPRODUCT((Inputs!$C$5:$C$180=$B64)*ISNUMBER(INDEX(Inputs!$K$5:$AJ$180,0,MATCH(AE$2,Inputs!$K$4:$AJ$4,0))))+SUMPRODUCT((Inputs!$E$5:$E$180=$B64)*ISNUMBER(INDEX(Inputs!$K$5:$AJ$180,0,MATCH(AE$2,Inputs!$K$4:$AJ$4,0))))=0,NA(),SUMPRODUCT((Inputs!$A$5:$A$180=$B64)*Inputs!$B$5:$B$180*(((Inputs!$G$5:$G$180="moeda")+(Inputs!$G$5:$G$180="acoes"))*Inputs!$B$1+((Inputs!$G$5:$G$180&lt;&gt;"moeda")*(Inputs!$G$5:$G$180&lt;&gt;"acoes")))*INDEX(Inputs!$K$5:$AJ$180,0,MATCH(AE$2,Inputs!$K$4:$AJ$4,0)))+SUMPRODUCT((Inputs!$C$5:$C$180=$B64)*Inputs!$D$5:$D$180*(((Inputs!$G$5:$G$180="moeda")+(Inputs!$G$5:$G$180="acoes"))*Inputs!$B$1+((Inputs!$G$5:$G$180&lt;&gt;"moeda")*(Inputs!$G$5:$G$180&lt;&gt;"acoes")))*INDEX(Inputs!$K$5:$AJ$180,0,MATCH(AE$2,Inputs!$K$4:$AJ$4,0)))+SUMPRODUCT((Inputs!$E$5:$E$180=$B64)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4" s="266" t="e">
        <f>IF(ISNA(MATCH(AF$2,Inputs!$K$4:$AJ$4,0)),NA(),IF(SUMPRODUCT((Inputs!$A$5:$A$180=$B64)*ISNUMBER(INDEX(Inputs!$K$5:$AJ$180,0,MATCH(AF$2,Inputs!$K$4:$AJ$4,0))))+SUMPRODUCT((Inputs!$C$5:$C$180=$B64)*ISNUMBER(INDEX(Inputs!$K$5:$AJ$180,0,MATCH(AF$2,Inputs!$K$4:$AJ$4,0))))+SUMPRODUCT((Inputs!$E$5:$E$180=$B64)*ISNUMBER(INDEX(Inputs!$K$5:$AJ$180,0,MATCH(AF$2,Inputs!$K$4:$AJ$4,0))))=0,NA(),SUMPRODUCT((Inputs!$A$5:$A$180=$B64)*Inputs!$B$5:$B$180*(((Inputs!$G$5:$G$180="moeda")+(Inputs!$G$5:$G$180="acoes"))*Inputs!$B$1+((Inputs!$G$5:$G$180&lt;&gt;"moeda")*(Inputs!$G$5:$G$180&lt;&gt;"acoes")))*INDEX(Inputs!$K$5:$AJ$180,0,MATCH(AF$2,Inputs!$K$4:$AJ$4,0)))+SUMPRODUCT((Inputs!$C$5:$C$180=$B64)*Inputs!$D$5:$D$180*(((Inputs!$G$5:$G$180="moeda")+(Inputs!$G$5:$G$180="acoes"))*Inputs!$B$1+((Inputs!$G$5:$G$180&lt;&gt;"moeda")*(Inputs!$G$5:$G$180&lt;&gt;"acoes")))*INDEX(Inputs!$K$5:$AJ$180,0,MATCH(AF$2,Inputs!$K$4:$AJ$4,0)))+SUMPRODUCT((Inputs!$E$5:$E$180=$B64)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4" s="267" t="e">
        <f>AF64</f>
        <v>#N/A</v>
      </c>
      <c r="AH64" s="266">
        <f>IF(ISNA(MATCH(AH$2,Inputs!$K$4:$AJ$4,0)),NA(),IF(SUMPRODUCT((Inputs!$A$5:$A$180=$B64)*ISNUMBER(INDEX(Inputs!$K$5:$AJ$180,0,MATCH(AH$2,Inputs!$K$4:$AJ$4,0))))+SUMPRODUCT((Inputs!$C$5:$C$180=$B64)*ISNUMBER(INDEX(Inputs!$K$5:$AJ$180,0,MATCH(AH$2,Inputs!$K$4:$AJ$4,0))))+SUMPRODUCT((Inputs!$E$5:$E$180=$B64)*ISNUMBER(INDEX(Inputs!$K$5:$AJ$180,0,MATCH(AH$2,Inputs!$K$4:$AJ$4,0))))=0,NA(),SUMPRODUCT((Inputs!$A$5:$A$180=$B64)*Inputs!$B$5:$B$180*(((Inputs!$G$5:$G$180="moeda")+(Inputs!$G$5:$G$180="acoes"))*Inputs!$B$1+((Inputs!$G$5:$G$180&lt;&gt;"moeda")*(Inputs!$G$5:$G$180&lt;&gt;"acoes")))*INDEX(Inputs!$K$5:$AJ$180,0,MATCH(AH$2,Inputs!$K$4:$AJ$4,0)))+SUMPRODUCT((Inputs!$C$5:$C$180=$B64)*Inputs!$D$5:$D$180*(((Inputs!$G$5:$G$180="moeda")+(Inputs!$G$5:$G$180="acoes"))*Inputs!$B$1+((Inputs!$G$5:$G$180&lt;&gt;"moeda")*(Inputs!$G$5:$G$180&lt;&gt;"acoes")))*INDEX(Inputs!$K$5:$AJ$180,0,MATCH(AH$2,Inputs!$K$4:$AJ$4,0)))+SUMPRODUCT((Inputs!$E$5:$E$180=$B64)*Inputs!$F$5:$F$180*(((Inputs!$G$5:$G$180="moeda")+(Inputs!$G$5:$G$180="acoes"))*Inputs!$B$1+((Inputs!$G$5:$G$180&lt;&gt;"moeda")*(Inputs!$G$5:$G$180&lt;&gt;"acoes")))*INDEX(Inputs!$K$5:$AJ$180,0,MATCH(AH$2,Inputs!$K$4:$AJ$4,0)))))</f>
        <v>404.4</v>
      </c>
      <c r="AI64" s="266">
        <f>IF(ISNA(MATCH(AI$2,Inputs!$K$4:$AJ$4,0)),NA(),IF(SUMPRODUCT((Inputs!$A$5:$A$180=$B64)*ISNUMBER(INDEX(Inputs!$K$5:$AJ$180,0,MATCH(AI$2,Inputs!$K$4:$AJ$4,0))))+SUMPRODUCT((Inputs!$C$5:$C$180=$B64)*ISNUMBER(INDEX(Inputs!$K$5:$AJ$180,0,MATCH(AI$2,Inputs!$K$4:$AJ$4,0))))+SUMPRODUCT((Inputs!$E$5:$E$180=$B64)*ISNUMBER(INDEX(Inputs!$K$5:$AJ$180,0,MATCH(AI$2,Inputs!$K$4:$AJ$4,0))))=0,NA(),SUMPRODUCT((Inputs!$A$5:$A$180=$B64)*Inputs!$B$5:$B$180*(((Inputs!$G$5:$G$180="moeda")+(Inputs!$G$5:$G$180="acoes"))*Inputs!$B$1+((Inputs!$G$5:$G$180&lt;&gt;"moeda")*(Inputs!$G$5:$G$180&lt;&gt;"acoes")))*INDEX(Inputs!$K$5:$AJ$180,0,MATCH(AI$2,Inputs!$K$4:$AJ$4,0)))+SUMPRODUCT((Inputs!$C$5:$C$180=$B64)*Inputs!$D$5:$D$180*(((Inputs!$G$5:$G$180="moeda")+(Inputs!$G$5:$G$180="acoes"))*Inputs!$B$1+((Inputs!$G$5:$G$180&lt;&gt;"moeda")*(Inputs!$G$5:$G$180&lt;&gt;"acoes")))*INDEX(Inputs!$K$5:$AJ$180,0,MATCH(AI$2,Inputs!$K$4:$AJ$4,0)))+SUMPRODUCT((Inputs!$E$5:$E$180=$B64)*Inputs!$F$5:$F$180*(((Inputs!$G$5:$G$180="moeda")+(Inputs!$G$5:$G$180="acoes"))*Inputs!$B$1+((Inputs!$G$5:$G$180&lt;&gt;"moeda")*(Inputs!$G$5:$G$180&lt;&gt;"acoes")))*INDEX(Inputs!$K$5:$AJ$180,0,MATCH(AI$2,Inputs!$K$4:$AJ$4,0)))))</f>
        <v>436.4</v>
      </c>
      <c r="AJ64" s="266">
        <f>IF(ISNA(MATCH(AJ$2,Inputs!$K$4:$AJ$4,0)),NA(),IF(SUMPRODUCT((Inputs!$A$5:$A$180=$B64)*ISNUMBER(INDEX(Inputs!$K$5:$AJ$180,0,MATCH(AJ$2,Inputs!$K$4:$AJ$4,0))))+SUMPRODUCT((Inputs!$C$5:$C$180=$B64)*ISNUMBER(INDEX(Inputs!$K$5:$AJ$180,0,MATCH(AJ$2,Inputs!$K$4:$AJ$4,0))))+SUMPRODUCT((Inputs!$E$5:$E$180=$B64)*ISNUMBER(INDEX(Inputs!$K$5:$AJ$180,0,MATCH(AJ$2,Inputs!$K$4:$AJ$4,0))))=0,NA(),SUMPRODUCT((Inputs!$A$5:$A$180=$B64)*Inputs!$B$5:$B$180*(((Inputs!$G$5:$G$180="moeda")+(Inputs!$G$5:$G$180="acoes"))*Inputs!$B$1+((Inputs!$G$5:$G$180&lt;&gt;"moeda")*(Inputs!$G$5:$G$180&lt;&gt;"acoes")))*INDEX(Inputs!$K$5:$AJ$180,0,MATCH(AJ$2,Inputs!$K$4:$AJ$4,0)))+SUMPRODUCT((Inputs!$C$5:$C$180=$B64)*Inputs!$D$5:$D$180*(((Inputs!$G$5:$G$180="moeda")+(Inputs!$G$5:$G$180="acoes"))*Inputs!$B$1+((Inputs!$G$5:$G$180&lt;&gt;"moeda")*(Inputs!$G$5:$G$180&lt;&gt;"acoes")))*INDEX(Inputs!$K$5:$AJ$180,0,MATCH(AJ$2,Inputs!$K$4:$AJ$4,0)))+SUMPRODUCT((Inputs!$E$5:$E$180=$B64)*Inputs!$F$5:$F$180*(((Inputs!$G$5:$G$180="moeda")+(Inputs!$G$5:$G$180="acoes"))*Inputs!$B$1+((Inputs!$G$5:$G$180&lt;&gt;"moeda")*(Inputs!$G$5:$G$180&lt;&gt;"acoes")))*INDEX(Inputs!$K$5:$AJ$180,0,MATCH(AJ$2,Inputs!$K$4:$AJ$4,0)))))</f>
        <v>514.7</v>
      </c>
      <c r="AK64" s="266">
        <f>IF(ISNA(MATCH(AK$2,Inputs!$K$4:$AJ$4,0)),NA(),IF(SUMPRODUCT((Inputs!$A$5:$A$180=$B64)*ISNUMBER(INDEX(Inputs!$K$5:$AJ$180,0,MATCH(AK$2,Inputs!$K$4:$AJ$4,0))))+SUMPRODUCT((Inputs!$C$5:$C$180=$B64)*ISNUMBER(INDEX(Inputs!$K$5:$AJ$180,0,MATCH(AK$2,Inputs!$K$4:$AJ$4,0))))+SUMPRODUCT((Inputs!$E$5:$E$180=$B64)*ISNUMBER(INDEX(Inputs!$K$5:$AJ$180,0,MATCH(AK$2,Inputs!$K$4:$AJ$4,0))))=0,NA(),SUMPRODUCT((Inputs!$A$5:$A$180=$B64)*Inputs!$B$5:$B$180*(((Inputs!$G$5:$G$180="moeda")+(Inputs!$G$5:$G$180="acoes"))*Inputs!$B$1+((Inputs!$G$5:$G$180&lt;&gt;"moeda")*(Inputs!$G$5:$G$180&lt;&gt;"acoes")))*INDEX(Inputs!$K$5:$AJ$180,0,MATCH(AK$2,Inputs!$K$4:$AJ$4,0)))+SUMPRODUCT((Inputs!$C$5:$C$180=$B64)*Inputs!$D$5:$D$180*(((Inputs!$G$5:$G$180="moeda")+(Inputs!$G$5:$G$180="acoes"))*Inputs!$B$1+((Inputs!$G$5:$G$180&lt;&gt;"moeda")*(Inputs!$G$5:$G$180&lt;&gt;"acoes")))*INDEX(Inputs!$K$5:$AJ$180,0,MATCH(AK$2,Inputs!$K$4:$AJ$4,0)))+SUMPRODUCT((Inputs!$E$5:$E$180=$B64)*Inputs!$F$5:$F$180*(((Inputs!$G$5:$G$180="moeda")+(Inputs!$G$5:$G$180="acoes"))*Inputs!$B$1+((Inputs!$G$5:$G$180&lt;&gt;"moeda")*(Inputs!$G$5:$G$180&lt;&gt;"acoes")))*INDEX(Inputs!$K$5:$AJ$180,0,MATCH(AK$2,Inputs!$K$4:$AJ$4,0)))))</f>
        <v>640.3</v>
      </c>
      <c r="AL64" s="267">
        <f>AK64</f>
        <v>640.3</v>
      </c>
    </row>
    <row r="65">
      <c r="B65" s="46" t="n">
        <v>57</v>
      </c>
      <c r="C65" s="29" t="inlineStr">
        <is>
          <t>Area de vendas quiosques (m2; l.8)</t>
        </is>
      </c>
      <c r="D65" s="266">
        <f>IF(ISNA(MATCH(D$2,Inputs!$K$4:$AJ$4,0)),NA(),IF(SUMPRODUCT((Inputs!$A$5:$A$180=$B65)*ISNUMBER(INDEX(Inputs!$K$5:$AJ$180,0,MATCH(D$2,Inputs!$K$4:$AJ$4,0))))+SUMPRODUCT((Inputs!$C$5:$C$180=$B65)*ISNUMBER(INDEX(Inputs!$K$5:$AJ$180,0,MATCH(D$2,Inputs!$K$4:$AJ$4,0))))+SUMPRODUCT((Inputs!$E$5:$E$180=$B65)*ISNUMBER(INDEX(Inputs!$K$5:$AJ$180,0,MATCH(D$2,Inputs!$K$4:$AJ$4,0))))=0,NA(),SUMPRODUCT((Inputs!$A$5:$A$180=$B65)*Inputs!$B$5:$B$180*(((Inputs!$G$5:$G$180="moeda")+(Inputs!$G$5:$G$180="acoes"))*Inputs!$B$1+((Inputs!$G$5:$G$180&lt;&gt;"moeda")*(Inputs!$G$5:$G$180&lt;&gt;"acoes")))*INDEX(Inputs!$K$5:$AJ$180,0,MATCH(D$2,Inputs!$K$4:$AJ$4,0)))+SUMPRODUCT((Inputs!$C$5:$C$180=$B65)*Inputs!$D$5:$D$180*(((Inputs!$G$5:$G$180="moeda")+(Inputs!$G$5:$G$180="acoes"))*Inputs!$B$1+((Inputs!$G$5:$G$180&lt;&gt;"moeda")*(Inputs!$G$5:$G$180&lt;&gt;"acoes")))*INDEX(Inputs!$K$5:$AJ$180,0,MATCH(D$2,Inputs!$K$4:$AJ$4,0)))+SUMPRODUCT((Inputs!$E$5:$E$180=$B65)*Inputs!$F$5:$F$180*(((Inputs!$G$5:$G$180="moeda")+(Inputs!$G$5:$G$180="acoes"))*Inputs!$B$1+((Inputs!$G$5:$G$180&lt;&gt;"moeda")*(Inputs!$G$5:$G$180&lt;&gt;"acoes")))*INDEX(Inputs!$K$5:$AJ$180,0,MATCH(D$2,Inputs!$K$4:$AJ$4,0)))))</f>
        <v>245</v>
      </c>
      <c r="E65" s="266">
        <f>IF(ISNA(MATCH(E$2,Inputs!$K$4:$AJ$4,0)),NA(),IF(SUMPRODUCT((Inputs!$A$5:$A$180=$B65)*ISNUMBER(INDEX(Inputs!$K$5:$AJ$180,0,MATCH(E$2,Inputs!$K$4:$AJ$4,0))))+SUMPRODUCT((Inputs!$C$5:$C$180=$B65)*ISNUMBER(INDEX(Inputs!$K$5:$AJ$180,0,MATCH(E$2,Inputs!$K$4:$AJ$4,0))))+SUMPRODUCT((Inputs!$E$5:$E$180=$B65)*ISNUMBER(INDEX(Inputs!$K$5:$AJ$180,0,MATCH(E$2,Inputs!$K$4:$AJ$4,0))))=0,NA(),SUMPRODUCT((Inputs!$A$5:$A$180=$B65)*Inputs!$B$5:$B$180*(((Inputs!$G$5:$G$180="moeda")+(Inputs!$G$5:$G$180="acoes"))*Inputs!$B$1+((Inputs!$G$5:$G$180&lt;&gt;"moeda")*(Inputs!$G$5:$G$180&lt;&gt;"acoes")))*INDEX(Inputs!$K$5:$AJ$180,0,MATCH(E$2,Inputs!$K$4:$AJ$4,0)))+SUMPRODUCT((Inputs!$C$5:$C$180=$B65)*Inputs!$D$5:$D$180*(((Inputs!$G$5:$G$180="moeda")+(Inputs!$G$5:$G$180="acoes"))*Inputs!$B$1+((Inputs!$G$5:$G$180&lt;&gt;"moeda")*(Inputs!$G$5:$G$180&lt;&gt;"acoes")))*INDEX(Inputs!$K$5:$AJ$180,0,MATCH(E$2,Inputs!$K$4:$AJ$4,0)))+SUMPRODUCT((Inputs!$E$5:$E$180=$B65)*Inputs!$F$5:$F$180*(((Inputs!$G$5:$G$180="moeda")+(Inputs!$G$5:$G$180="acoes"))*Inputs!$B$1+((Inputs!$G$5:$G$180&lt;&gt;"moeda")*(Inputs!$G$5:$G$180&lt;&gt;"acoes")))*INDEX(Inputs!$K$5:$AJ$180,0,MATCH(E$2,Inputs!$K$4:$AJ$4,0)))))</f>
        <v>197</v>
      </c>
      <c r="F65" s="266">
        <f>IF(ISNA(MATCH(F$2,Inputs!$K$4:$AJ$4,0)),NA(),IF(SUMPRODUCT((Inputs!$A$5:$A$180=$B65)*ISNUMBER(INDEX(Inputs!$K$5:$AJ$180,0,MATCH(F$2,Inputs!$K$4:$AJ$4,0))))+SUMPRODUCT((Inputs!$C$5:$C$180=$B65)*ISNUMBER(INDEX(Inputs!$K$5:$AJ$180,0,MATCH(F$2,Inputs!$K$4:$AJ$4,0))))+SUMPRODUCT((Inputs!$E$5:$E$180=$B65)*ISNUMBER(INDEX(Inputs!$K$5:$AJ$180,0,MATCH(F$2,Inputs!$K$4:$AJ$4,0))))=0,NA(),SUMPRODUCT((Inputs!$A$5:$A$180=$B65)*Inputs!$B$5:$B$180*(((Inputs!$G$5:$G$180="moeda")+(Inputs!$G$5:$G$180="acoes"))*Inputs!$B$1+((Inputs!$G$5:$G$180&lt;&gt;"moeda")*(Inputs!$G$5:$G$180&lt;&gt;"acoes")))*INDEX(Inputs!$K$5:$AJ$180,0,MATCH(F$2,Inputs!$K$4:$AJ$4,0)))+SUMPRODUCT((Inputs!$C$5:$C$180=$B65)*Inputs!$D$5:$D$180*(((Inputs!$G$5:$G$180="moeda")+(Inputs!$G$5:$G$180="acoes"))*Inputs!$B$1+((Inputs!$G$5:$G$180&lt;&gt;"moeda")*(Inputs!$G$5:$G$180&lt;&gt;"acoes")))*INDEX(Inputs!$K$5:$AJ$180,0,MATCH(F$2,Inputs!$K$4:$AJ$4,0)))+SUMPRODUCT((Inputs!$E$5:$E$180=$B65)*Inputs!$F$5:$F$180*(((Inputs!$G$5:$G$180="moeda")+(Inputs!$G$5:$G$180="acoes"))*Inputs!$B$1+((Inputs!$G$5:$G$180&lt;&gt;"moeda")*(Inputs!$G$5:$G$180&lt;&gt;"acoes")))*INDEX(Inputs!$K$5:$AJ$180,0,MATCH(F$2,Inputs!$K$4:$AJ$4,0)))))</f>
        <v>191</v>
      </c>
      <c r="G65" s="266">
        <f>IF(ISNA(MATCH(G$2,Inputs!$K$4:$AJ$4,0)),NA(),IF(SUMPRODUCT((Inputs!$A$5:$A$180=$B65)*ISNUMBER(INDEX(Inputs!$K$5:$AJ$180,0,MATCH(G$2,Inputs!$K$4:$AJ$4,0))))+SUMPRODUCT((Inputs!$C$5:$C$180=$B65)*ISNUMBER(INDEX(Inputs!$K$5:$AJ$180,0,MATCH(G$2,Inputs!$K$4:$AJ$4,0))))+SUMPRODUCT((Inputs!$E$5:$E$180=$B65)*ISNUMBER(INDEX(Inputs!$K$5:$AJ$180,0,MATCH(G$2,Inputs!$K$4:$AJ$4,0))))=0,NA(),SUMPRODUCT((Inputs!$A$5:$A$180=$B65)*Inputs!$B$5:$B$180*(((Inputs!$G$5:$G$180="moeda")+(Inputs!$G$5:$G$180="acoes"))*Inputs!$B$1+((Inputs!$G$5:$G$180&lt;&gt;"moeda")*(Inputs!$G$5:$G$180&lt;&gt;"acoes")))*INDEX(Inputs!$K$5:$AJ$180,0,MATCH(G$2,Inputs!$K$4:$AJ$4,0)))+SUMPRODUCT((Inputs!$C$5:$C$180=$B65)*Inputs!$D$5:$D$180*(((Inputs!$G$5:$G$180="moeda")+(Inputs!$G$5:$G$180="acoes"))*Inputs!$B$1+((Inputs!$G$5:$G$180&lt;&gt;"moeda")*(Inputs!$G$5:$G$180&lt;&gt;"acoes")))*INDEX(Inputs!$K$5:$AJ$180,0,MATCH(G$2,Inputs!$K$4:$AJ$4,0)))+SUMPRODUCT((Inputs!$E$5:$E$180=$B65)*Inputs!$F$5:$F$180*(((Inputs!$G$5:$G$180="moeda")+(Inputs!$G$5:$G$180="acoes"))*Inputs!$B$1+((Inputs!$G$5:$G$180&lt;&gt;"moeda")*(Inputs!$G$5:$G$180&lt;&gt;"acoes")))*INDEX(Inputs!$K$5:$AJ$180,0,MATCH(G$2,Inputs!$K$4:$AJ$4,0)))))</f>
        <v>170</v>
      </c>
      <c r="H65" s="267">
        <f>G65</f>
        <v>170</v>
      </c>
      <c r="I65" s="266">
        <f>IF(ISNA(MATCH(I$2,Inputs!$K$4:$AJ$4,0)),NA(),IF(SUMPRODUCT((Inputs!$A$5:$A$180=$B65)*ISNUMBER(INDEX(Inputs!$K$5:$AJ$180,0,MATCH(I$2,Inputs!$K$4:$AJ$4,0))))+SUMPRODUCT((Inputs!$C$5:$C$180=$B65)*ISNUMBER(INDEX(Inputs!$K$5:$AJ$180,0,MATCH(I$2,Inputs!$K$4:$AJ$4,0))))+SUMPRODUCT((Inputs!$E$5:$E$180=$B65)*ISNUMBER(INDEX(Inputs!$K$5:$AJ$180,0,MATCH(I$2,Inputs!$K$4:$AJ$4,0))))=0,NA(),SUMPRODUCT((Inputs!$A$5:$A$180=$B65)*Inputs!$B$5:$B$180*(((Inputs!$G$5:$G$180="moeda")+(Inputs!$G$5:$G$180="acoes"))*Inputs!$B$1+((Inputs!$G$5:$G$180&lt;&gt;"moeda")*(Inputs!$G$5:$G$180&lt;&gt;"acoes")))*INDEX(Inputs!$K$5:$AJ$180,0,MATCH(I$2,Inputs!$K$4:$AJ$4,0)))+SUMPRODUCT((Inputs!$C$5:$C$180=$B65)*Inputs!$D$5:$D$180*(((Inputs!$G$5:$G$180="moeda")+(Inputs!$G$5:$G$180="acoes"))*Inputs!$B$1+((Inputs!$G$5:$G$180&lt;&gt;"moeda")*(Inputs!$G$5:$G$180&lt;&gt;"acoes")))*INDEX(Inputs!$K$5:$AJ$180,0,MATCH(I$2,Inputs!$K$4:$AJ$4,0)))+SUMPRODUCT((Inputs!$E$5:$E$180=$B65)*Inputs!$F$5:$F$180*(((Inputs!$G$5:$G$180="moeda")+(Inputs!$G$5:$G$180="acoes"))*Inputs!$B$1+((Inputs!$G$5:$G$180&lt;&gt;"moeda")*(Inputs!$G$5:$G$180&lt;&gt;"acoes")))*INDEX(Inputs!$K$5:$AJ$180,0,MATCH(I$2,Inputs!$K$4:$AJ$4,0)))))</f>
        <v>155</v>
      </c>
      <c r="J65" s="266">
        <f>IF(ISNA(MATCH(J$2,Inputs!$K$4:$AJ$4,0)),NA(),IF(SUMPRODUCT((Inputs!$A$5:$A$180=$B65)*ISNUMBER(INDEX(Inputs!$K$5:$AJ$180,0,MATCH(J$2,Inputs!$K$4:$AJ$4,0))))+SUMPRODUCT((Inputs!$C$5:$C$180=$B65)*ISNUMBER(INDEX(Inputs!$K$5:$AJ$180,0,MATCH(J$2,Inputs!$K$4:$AJ$4,0))))+SUMPRODUCT((Inputs!$E$5:$E$180=$B65)*ISNUMBER(INDEX(Inputs!$K$5:$AJ$180,0,MATCH(J$2,Inputs!$K$4:$AJ$4,0))))=0,NA(),SUMPRODUCT((Inputs!$A$5:$A$180=$B65)*Inputs!$B$5:$B$180*(((Inputs!$G$5:$G$180="moeda")+(Inputs!$G$5:$G$180="acoes"))*Inputs!$B$1+((Inputs!$G$5:$G$180&lt;&gt;"moeda")*(Inputs!$G$5:$G$180&lt;&gt;"acoes")))*INDEX(Inputs!$K$5:$AJ$180,0,MATCH(J$2,Inputs!$K$4:$AJ$4,0)))+SUMPRODUCT((Inputs!$C$5:$C$180=$B65)*Inputs!$D$5:$D$180*(((Inputs!$G$5:$G$180="moeda")+(Inputs!$G$5:$G$180="acoes"))*Inputs!$B$1+((Inputs!$G$5:$G$180&lt;&gt;"moeda")*(Inputs!$G$5:$G$180&lt;&gt;"acoes")))*INDEX(Inputs!$K$5:$AJ$180,0,MATCH(J$2,Inputs!$K$4:$AJ$4,0)))+SUMPRODUCT((Inputs!$E$5:$E$180=$B65)*Inputs!$F$5:$F$180*(((Inputs!$G$5:$G$180="moeda")+(Inputs!$G$5:$G$180="acoes"))*Inputs!$B$1+((Inputs!$G$5:$G$180&lt;&gt;"moeda")*(Inputs!$G$5:$G$180&lt;&gt;"acoes")))*INDEX(Inputs!$K$5:$AJ$180,0,MATCH(J$2,Inputs!$K$4:$AJ$4,0)))))</f>
        <v>149</v>
      </c>
      <c r="K65" s="266">
        <f>IF(ISNA(MATCH(K$2,Inputs!$K$4:$AJ$4,0)),NA(),IF(SUMPRODUCT((Inputs!$A$5:$A$180=$B65)*ISNUMBER(INDEX(Inputs!$K$5:$AJ$180,0,MATCH(K$2,Inputs!$K$4:$AJ$4,0))))+SUMPRODUCT((Inputs!$C$5:$C$180=$B65)*ISNUMBER(INDEX(Inputs!$K$5:$AJ$180,0,MATCH(K$2,Inputs!$K$4:$AJ$4,0))))+SUMPRODUCT((Inputs!$E$5:$E$180=$B65)*ISNUMBER(INDEX(Inputs!$K$5:$AJ$180,0,MATCH(K$2,Inputs!$K$4:$AJ$4,0))))=0,NA(),SUMPRODUCT((Inputs!$A$5:$A$180=$B65)*Inputs!$B$5:$B$180*(((Inputs!$G$5:$G$180="moeda")+(Inputs!$G$5:$G$180="acoes"))*Inputs!$B$1+((Inputs!$G$5:$G$180&lt;&gt;"moeda")*(Inputs!$G$5:$G$180&lt;&gt;"acoes")))*INDEX(Inputs!$K$5:$AJ$180,0,MATCH(K$2,Inputs!$K$4:$AJ$4,0)))+SUMPRODUCT((Inputs!$C$5:$C$180=$B65)*Inputs!$D$5:$D$180*(((Inputs!$G$5:$G$180="moeda")+(Inputs!$G$5:$G$180="acoes"))*Inputs!$B$1+((Inputs!$G$5:$G$180&lt;&gt;"moeda")*(Inputs!$G$5:$G$180&lt;&gt;"acoes")))*INDEX(Inputs!$K$5:$AJ$180,0,MATCH(K$2,Inputs!$K$4:$AJ$4,0)))+SUMPRODUCT((Inputs!$E$5:$E$180=$B65)*Inputs!$F$5:$F$180*(((Inputs!$G$5:$G$180="moeda")+(Inputs!$G$5:$G$180="acoes"))*Inputs!$B$1+((Inputs!$G$5:$G$180&lt;&gt;"moeda")*(Inputs!$G$5:$G$180&lt;&gt;"acoes")))*INDEX(Inputs!$K$5:$AJ$180,0,MATCH(K$2,Inputs!$K$4:$AJ$4,0)))))</f>
        <v>143</v>
      </c>
      <c r="L65" s="266">
        <f>IF(ISNA(MATCH(L$2,Inputs!$K$4:$AJ$4,0)),NA(),IF(SUMPRODUCT((Inputs!$A$5:$A$180=$B65)*ISNUMBER(INDEX(Inputs!$K$5:$AJ$180,0,MATCH(L$2,Inputs!$K$4:$AJ$4,0))))+SUMPRODUCT((Inputs!$C$5:$C$180=$B65)*ISNUMBER(INDEX(Inputs!$K$5:$AJ$180,0,MATCH(L$2,Inputs!$K$4:$AJ$4,0))))+SUMPRODUCT((Inputs!$E$5:$E$180=$B65)*ISNUMBER(INDEX(Inputs!$K$5:$AJ$180,0,MATCH(L$2,Inputs!$K$4:$AJ$4,0))))=0,NA(),SUMPRODUCT((Inputs!$A$5:$A$180=$B65)*Inputs!$B$5:$B$180*(((Inputs!$G$5:$G$180="moeda")+(Inputs!$G$5:$G$180="acoes"))*Inputs!$B$1+((Inputs!$G$5:$G$180&lt;&gt;"moeda")*(Inputs!$G$5:$G$180&lt;&gt;"acoes")))*INDEX(Inputs!$K$5:$AJ$180,0,MATCH(L$2,Inputs!$K$4:$AJ$4,0)))+SUMPRODUCT((Inputs!$C$5:$C$180=$B65)*Inputs!$D$5:$D$180*(((Inputs!$G$5:$G$180="moeda")+(Inputs!$G$5:$G$180="acoes"))*Inputs!$B$1+((Inputs!$G$5:$G$180&lt;&gt;"moeda")*(Inputs!$G$5:$G$180&lt;&gt;"acoes")))*INDEX(Inputs!$K$5:$AJ$180,0,MATCH(L$2,Inputs!$K$4:$AJ$4,0)))+SUMPRODUCT((Inputs!$E$5:$E$180=$B65)*Inputs!$F$5:$F$180*(((Inputs!$G$5:$G$180="moeda")+(Inputs!$G$5:$G$180="acoes"))*Inputs!$B$1+((Inputs!$G$5:$G$180&lt;&gt;"moeda")*(Inputs!$G$5:$G$180&lt;&gt;"acoes")))*INDEX(Inputs!$K$5:$AJ$180,0,MATCH(L$2,Inputs!$K$4:$AJ$4,0)))))</f>
        <v>134</v>
      </c>
      <c r="M65" s="267">
        <f>L65</f>
        <v>134</v>
      </c>
      <c r="N65" s="266">
        <f>IF(ISNA(MATCH(N$2,Inputs!$K$4:$AJ$4,0)),NA(),IF(SUMPRODUCT((Inputs!$A$5:$A$180=$B65)*ISNUMBER(INDEX(Inputs!$K$5:$AJ$180,0,MATCH(N$2,Inputs!$K$4:$AJ$4,0))))+SUMPRODUCT((Inputs!$C$5:$C$180=$B65)*ISNUMBER(INDEX(Inputs!$K$5:$AJ$180,0,MATCH(N$2,Inputs!$K$4:$AJ$4,0))))+SUMPRODUCT((Inputs!$E$5:$E$180=$B65)*ISNUMBER(INDEX(Inputs!$K$5:$AJ$180,0,MATCH(N$2,Inputs!$K$4:$AJ$4,0))))=0,NA(),SUMPRODUCT((Inputs!$A$5:$A$180=$B65)*Inputs!$B$5:$B$180*(((Inputs!$G$5:$G$180="moeda")+(Inputs!$G$5:$G$180="acoes"))*Inputs!$B$1+((Inputs!$G$5:$G$180&lt;&gt;"moeda")*(Inputs!$G$5:$G$180&lt;&gt;"acoes")))*INDEX(Inputs!$K$5:$AJ$180,0,MATCH(N$2,Inputs!$K$4:$AJ$4,0)))+SUMPRODUCT((Inputs!$C$5:$C$180=$B65)*Inputs!$D$5:$D$180*(((Inputs!$G$5:$G$180="moeda")+(Inputs!$G$5:$G$180="acoes"))*Inputs!$B$1+((Inputs!$G$5:$G$180&lt;&gt;"moeda")*(Inputs!$G$5:$G$180&lt;&gt;"acoes")))*INDEX(Inputs!$K$5:$AJ$180,0,MATCH(N$2,Inputs!$K$4:$AJ$4,0)))+SUMPRODUCT((Inputs!$E$5:$E$180=$B65)*Inputs!$F$5:$F$180*(((Inputs!$G$5:$G$180="moeda")+(Inputs!$G$5:$G$180="acoes"))*Inputs!$B$1+((Inputs!$G$5:$G$180&lt;&gt;"moeda")*(Inputs!$G$5:$G$180&lt;&gt;"acoes")))*INDEX(Inputs!$K$5:$AJ$180,0,MATCH(N$2,Inputs!$K$4:$AJ$4,0)))))</f>
        <v>137</v>
      </c>
      <c r="O65" s="266">
        <f>IF(ISNA(MATCH(O$2,Inputs!$K$4:$AJ$4,0)),NA(),IF(SUMPRODUCT((Inputs!$A$5:$A$180=$B65)*ISNUMBER(INDEX(Inputs!$K$5:$AJ$180,0,MATCH(O$2,Inputs!$K$4:$AJ$4,0))))+SUMPRODUCT((Inputs!$C$5:$C$180=$B65)*ISNUMBER(INDEX(Inputs!$K$5:$AJ$180,0,MATCH(O$2,Inputs!$K$4:$AJ$4,0))))+SUMPRODUCT((Inputs!$E$5:$E$180=$B65)*ISNUMBER(INDEX(Inputs!$K$5:$AJ$180,0,MATCH(O$2,Inputs!$K$4:$AJ$4,0))))=0,NA(),SUMPRODUCT((Inputs!$A$5:$A$180=$B65)*Inputs!$B$5:$B$180*(((Inputs!$G$5:$G$180="moeda")+(Inputs!$G$5:$G$180="acoes"))*Inputs!$B$1+((Inputs!$G$5:$G$180&lt;&gt;"moeda")*(Inputs!$G$5:$G$180&lt;&gt;"acoes")))*INDEX(Inputs!$K$5:$AJ$180,0,MATCH(O$2,Inputs!$K$4:$AJ$4,0)))+SUMPRODUCT((Inputs!$C$5:$C$180=$B65)*Inputs!$D$5:$D$180*(((Inputs!$G$5:$G$180="moeda")+(Inputs!$G$5:$G$180="acoes"))*Inputs!$B$1+((Inputs!$G$5:$G$180&lt;&gt;"moeda")*(Inputs!$G$5:$G$180&lt;&gt;"acoes")))*INDEX(Inputs!$K$5:$AJ$180,0,MATCH(O$2,Inputs!$K$4:$AJ$4,0)))+SUMPRODUCT((Inputs!$E$5:$E$180=$B65)*Inputs!$F$5:$F$180*(((Inputs!$G$5:$G$180="moeda")+(Inputs!$G$5:$G$180="acoes"))*Inputs!$B$1+((Inputs!$G$5:$G$180&lt;&gt;"moeda")*(Inputs!$G$5:$G$180&lt;&gt;"acoes")))*INDEX(Inputs!$K$5:$AJ$180,0,MATCH(O$2,Inputs!$K$4:$AJ$4,0)))))</f>
        <v>137</v>
      </c>
      <c r="P65" s="266">
        <f>IF(ISNA(MATCH(P$2,Inputs!$K$4:$AJ$4,0)),NA(),IF(SUMPRODUCT((Inputs!$A$5:$A$180=$B65)*ISNUMBER(INDEX(Inputs!$K$5:$AJ$180,0,MATCH(P$2,Inputs!$K$4:$AJ$4,0))))+SUMPRODUCT((Inputs!$C$5:$C$180=$B65)*ISNUMBER(INDEX(Inputs!$K$5:$AJ$180,0,MATCH(P$2,Inputs!$K$4:$AJ$4,0))))+SUMPRODUCT((Inputs!$E$5:$E$180=$B65)*ISNUMBER(INDEX(Inputs!$K$5:$AJ$180,0,MATCH(P$2,Inputs!$K$4:$AJ$4,0))))=0,NA(),SUMPRODUCT((Inputs!$A$5:$A$180=$B65)*Inputs!$B$5:$B$180*(((Inputs!$G$5:$G$180="moeda")+(Inputs!$G$5:$G$180="acoes"))*Inputs!$B$1+((Inputs!$G$5:$G$180&lt;&gt;"moeda")*(Inputs!$G$5:$G$180&lt;&gt;"acoes")))*INDEX(Inputs!$K$5:$AJ$180,0,MATCH(P$2,Inputs!$K$4:$AJ$4,0)))+SUMPRODUCT((Inputs!$C$5:$C$180=$B65)*Inputs!$D$5:$D$180*(((Inputs!$G$5:$G$180="moeda")+(Inputs!$G$5:$G$180="acoes"))*Inputs!$B$1+((Inputs!$G$5:$G$180&lt;&gt;"moeda")*(Inputs!$G$5:$G$180&lt;&gt;"acoes")))*INDEX(Inputs!$K$5:$AJ$180,0,MATCH(P$2,Inputs!$K$4:$AJ$4,0)))+SUMPRODUCT((Inputs!$E$5:$E$180=$B65)*Inputs!$F$5:$F$180*(((Inputs!$G$5:$G$180="moeda")+(Inputs!$G$5:$G$180="acoes"))*Inputs!$B$1+((Inputs!$G$5:$G$180&lt;&gt;"moeda")*(Inputs!$G$5:$G$180&lt;&gt;"acoes")))*INDEX(Inputs!$K$5:$AJ$180,0,MATCH(P$2,Inputs!$K$4:$AJ$4,0)))))</f>
        <v>131</v>
      </c>
      <c r="Q65" s="266">
        <f>IF(ISNA(MATCH(Q$2,Inputs!$K$4:$AJ$4,0)),NA(),IF(SUMPRODUCT((Inputs!$A$5:$A$180=$B65)*ISNUMBER(INDEX(Inputs!$K$5:$AJ$180,0,MATCH(Q$2,Inputs!$K$4:$AJ$4,0))))+SUMPRODUCT((Inputs!$C$5:$C$180=$B65)*ISNUMBER(INDEX(Inputs!$K$5:$AJ$180,0,MATCH(Q$2,Inputs!$K$4:$AJ$4,0))))+SUMPRODUCT((Inputs!$E$5:$E$180=$B65)*ISNUMBER(INDEX(Inputs!$K$5:$AJ$180,0,MATCH(Q$2,Inputs!$K$4:$AJ$4,0))))=0,NA(),SUMPRODUCT((Inputs!$A$5:$A$180=$B65)*Inputs!$B$5:$B$180*(((Inputs!$G$5:$G$180="moeda")+(Inputs!$G$5:$G$180="acoes"))*Inputs!$B$1+((Inputs!$G$5:$G$180&lt;&gt;"moeda")*(Inputs!$G$5:$G$180&lt;&gt;"acoes")))*INDEX(Inputs!$K$5:$AJ$180,0,MATCH(Q$2,Inputs!$K$4:$AJ$4,0)))+SUMPRODUCT((Inputs!$C$5:$C$180=$B65)*Inputs!$D$5:$D$180*(((Inputs!$G$5:$G$180="moeda")+(Inputs!$G$5:$G$180="acoes"))*Inputs!$B$1+((Inputs!$G$5:$G$180&lt;&gt;"moeda")*(Inputs!$G$5:$G$180&lt;&gt;"acoes")))*INDEX(Inputs!$K$5:$AJ$180,0,MATCH(Q$2,Inputs!$K$4:$AJ$4,0)))+SUMPRODUCT((Inputs!$E$5:$E$180=$B65)*Inputs!$F$5:$F$180*(((Inputs!$G$5:$G$180="moeda")+(Inputs!$G$5:$G$180="acoes"))*Inputs!$B$1+((Inputs!$G$5:$G$180&lt;&gt;"moeda")*(Inputs!$G$5:$G$180&lt;&gt;"acoes")))*INDEX(Inputs!$K$5:$AJ$180,0,MATCH(Q$2,Inputs!$K$4:$AJ$4,0)))))</f>
        <v>101</v>
      </c>
      <c r="R65" s="267">
        <f>Q65</f>
        <v>101</v>
      </c>
      <c r="S65" s="266">
        <f>IF(ISNA(MATCH(S$2,Inputs!$K$4:$AJ$4,0)),NA(),IF(SUMPRODUCT((Inputs!$A$5:$A$180=$B65)*ISNUMBER(INDEX(Inputs!$K$5:$AJ$180,0,MATCH(S$2,Inputs!$K$4:$AJ$4,0))))+SUMPRODUCT((Inputs!$C$5:$C$180=$B65)*ISNUMBER(INDEX(Inputs!$K$5:$AJ$180,0,MATCH(S$2,Inputs!$K$4:$AJ$4,0))))+SUMPRODUCT((Inputs!$E$5:$E$180=$B65)*ISNUMBER(INDEX(Inputs!$K$5:$AJ$180,0,MATCH(S$2,Inputs!$K$4:$AJ$4,0))))=0,NA(),SUMPRODUCT((Inputs!$A$5:$A$180=$B65)*Inputs!$B$5:$B$180*(((Inputs!$G$5:$G$180="moeda")+(Inputs!$G$5:$G$180="acoes"))*Inputs!$B$1+((Inputs!$G$5:$G$180&lt;&gt;"moeda")*(Inputs!$G$5:$G$180&lt;&gt;"acoes")))*INDEX(Inputs!$K$5:$AJ$180,0,MATCH(S$2,Inputs!$K$4:$AJ$4,0)))+SUMPRODUCT((Inputs!$C$5:$C$180=$B65)*Inputs!$D$5:$D$180*(((Inputs!$G$5:$G$180="moeda")+(Inputs!$G$5:$G$180="acoes"))*Inputs!$B$1+((Inputs!$G$5:$G$180&lt;&gt;"moeda")*(Inputs!$G$5:$G$180&lt;&gt;"acoes")))*INDEX(Inputs!$K$5:$AJ$180,0,MATCH(S$2,Inputs!$K$4:$AJ$4,0)))+SUMPRODUCT((Inputs!$E$5:$E$180=$B65)*Inputs!$F$5:$F$180*(((Inputs!$G$5:$G$180="moeda")+(Inputs!$G$5:$G$180="acoes"))*Inputs!$B$1+((Inputs!$G$5:$G$180&lt;&gt;"moeda")*(Inputs!$G$5:$G$180&lt;&gt;"acoes")))*INDEX(Inputs!$K$5:$AJ$180,0,MATCH(S$2,Inputs!$K$4:$AJ$4,0)))))</f>
        <v>86</v>
      </c>
      <c r="T65" s="266">
        <f>IF(ISNA(MATCH(T$2,Inputs!$K$4:$AJ$4,0)),NA(),IF(SUMPRODUCT((Inputs!$A$5:$A$180=$B65)*ISNUMBER(INDEX(Inputs!$K$5:$AJ$180,0,MATCH(T$2,Inputs!$K$4:$AJ$4,0))))+SUMPRODUCT((Inputs!$C$5:$C$180=$B65)*ISNUMBER(INDEX(Inputs!$K$5:$AJ$180,0,MATCH(T$2,Inputs!$K$4:$AJ$4,0))))+SUMPRODUCT((Inputs!$E$5:$E$180=$B65)*ISNUMBER(INDEX(Inputs!$K$5:$AJ$180,0,MATCH(T$2,Inputs!$K$4:$AJ$4,0))))=0,NA(),SUMPRODUCT((Inputs!$A$5:$A$180=$B65)*Inputs!$B$5:$B$180*(((Inputs!$G$5:$G$180="moeda")+(Inputs!$G$5:$G$180="acoes"))*Inputs!$B$1+((Inputs!$G$5:$G$180&lt;&gt;"moeda")*(Inputs!$G$5:$G$180&lt;&gt;"acoes")))*INDEX(Inputs!$K$5:$AJ$180,0,MATCH(T$2,Inputs!$K$4:$AJ$4,0)))+SUMPRODUCT((Inputs!$C$5:$C$180=$B65)*Inputs!$D$5:$D$180*(((Inputs!$G$5:$G$180="moeda")+(Inputs!$G$5:$G$180="acoes"))*Inputs!$B$1+((Inputs!$G$5:$G$180&lt;&gt;"moeda")*(Inputs!$G$5:$G$180&lt;&gt;"acoes")))*INDEX(Inputs!$K$5:$AJ$180,0,MATCH(T$2,Inputs!$K$4:$AJ$4,0)))+SUMPRODUCT((Inputs!$E$5:$E$180=$B65)*Inputs!$F$5:$F$180*(((Inputs!$G$5:$G$180="moeda")+(Inputs!$G$5:$G$180="acoes"))*Inputs!$B$1+((Inputs!$G$5:$G$180&lt;&gt;"moeda")*(Inputs!$G$5:$G$180&lt;&gt;"acoes")))*INDEX(Inputs!$K$5:$AJ$180,0,MATCH(T$2,Inputs!$K$4:$AJ$4,0)))))</f>
        <v>86</v>
      </c>
      <c r="U65" s="266">
        <f>IF(ISNA(MATCH(U$2,Inputs!$K$4:$AJ$4,0)),NA(),IF(SUMPRODUCT((Inputs!$A$5:$A$180=$B65)*ISNUMBER(INDEX(Inputs!$K$5:$AJ$180,0,MATCH(U$2,Inputs!$K$4:$AJ$4,0))))+SUMPRODUCT((Inputs!$C$5:$C$180=$B65)*ISNUMBER(INDEX(Inputs!$K$5:$AJ$180,0,MATCH(U$2,Inputs!$K$4:$AJ$4,0))))+SUMPRODUCT((Inputs!$E$5:$E$180=$B65)*ISNUMBER(INDEX(Inputs!$K$5:$AJ$180,0,MATCH(U$2,Inputs!$K$4:$AJ$4,0))))=0,NA(),SUMPRODUCT((Inputs!$A$5:$A$180=$B65)*Inputs!$B$5:$B$180*(((Inputs!$G$5:$G$180="moeda")+(Inputs!$G$5:$G$180="acoes"))*Inputs!$B$1+((Inputs!$G$5:$G$180&lt;&gt;"moeda")*(Inputs!$G$5:$G$180&lt;&gt;"acoes")))*INDEX(Inputs!$K$5:$AJ$180,0,MATCH(U$2,Inputs!$K$4:$AJ$4,0)))+SUMPRODUCT((Inputs!$C$5:$C$180=$B65)*Inputs!$D$5:$D$180*(((Inputs!$G$5:$G$180="moeda")+(Inputs!$G$5:$G$180="acoes"))*Inputs!$B$1+((Inputs!$G$5:$G$180&lt;&gt;"moeda")*(Inputs!$G$5:$G$180&lt;&gt;"acoes")))*INDEX(Inputs!$K$5:$AJ$180,0,MATCH(U$2,Inputs!$K$4:$AJ$4,0)))+SUMPRODUCT((Inputs!$E$5:$E$180=$B65)*Inputs!$F$5:$F$180*(((Inputs!$G$5:$G$180="moeda")+(Inputs!$G$5:$G$180="acoes"))*Inputs!$B$1+((Inputs!$G$5:$G$180&lt;&gt;"moeda")*(Inputs!$G$5:$G$180&lt;&gt;"acoes")))*INDEX(Inputs!$K$5:$AJ$180,0,MATCH(U$2,Inputs!$K$4:$AJ$4,0)))))</f>
        <v>74</v>
      </c>
      <c r="V65" s="266">
        <f>IF(ISNA(MATCH(V$2,Inputs!$K$4:$AJ$4,0)),NA(),IF(SUMPRODUCT((Inputs!$A$5:$A$180=$B65)*ISNUMBER(INDEX(Inputs!$K$5:$AJ$180,0,MATCH(V$2,Inputs!$K$4:$AJ$4,0))))+SUMPRODUCT((Inputs!$C$5:$C$180=$B65)*ISNUMBER(INDEX(Inputs!$K$5:$AJ$180,0,MATCH(V$2,Inputs!$K$4:$AJ$4,0))))+SUMPRODUCT((Inputs!$E$5:$E$180=$B65)*ISNUMBER(INDEX(Inputs!$K$5:$AJ$180,0,MATCH(V$2,Inputs!$K$4:$AJ$4,0))))=0,NA(),SUMPRODUCT((Inputs!$A$5:$A$180=$B65)*Inputs!$B$5:$B$180*(((Inputs!$G$5:$G$180="moeda")+(Inputs!$G$5:$G$180="acoes"))*Inputs!$B$1+((Inputs!$G$5:$G$180&lt;&gt;"moeda")*(Inputs!$G$5:$G$180&lt;&gt;"acoes")))*INDEX(Inputs!$K$5:$AJ$180,0,MATCH(V$2,Inputs!$K$4:$AJ$4,0)))+SUMPRODUCT((Inputs!$C$5:$C$180=$B65)*Inputs!$D$5:$D$180*(((Inputs!$G$5:$G$180="moeda")+(Inputs!$G$5:$G$180="acoes"))*Inputs!$B$1+((Inputs!$G$5:$G$180&lt;&gt;"moeda")*(Inputs!$G$5:$G$180&lt;&gt;"acoes")))*INDEX(Inputs!$K$5:$AJ$180,0,MATCH(V$2,Inputs!$K$4:$AJ$4,0)))+SUMPRODUCT((Inputs!$E$5:$E$180=$B65)*Inputs!$F$5:$F$180*(((Inputs!$G$5:$G$180="moeda")+(Inputs!$G$5:$G$180="acoes"))*Inputs!$B$1+((Inputs!$G$5:$G$180&lt;&gt;"moeda")*(Inputs!$G$5:$G$180&lt;&gt;"acoes")))*INDEX(Inputs!$K$5:$AJ$180,0,MATCH(V$2,Inputs!$K$4:$AJ$4,0)))))</f>
        <v>68</v>
      </c>
      <c r="W65" s="267">
        <f>V65</f>
        <v>68</v>
      </c>
      <c r="X65" s="266">
        <f>IF(ISNA(MATCH(X$2,Inputs!$K$4:$AJ$4,0)),NA(),IF(SUMPRODUCT((Inputs!$A$5:$A$180=$B65)*ISNUMBER(INDEX(Inputs!$K$5:$AJ$180,0,MATCH(X$2,Inputs!$K$4:$AJ$4,0))))+SUMPRODUCT((Inputs!$C$5:$C$180=$B65)*ISNUMBER(INDEX(Inputs!$K$5:$AJ$180,0,MATCH(X$2,Inputs!$K$4:$AJ$4,0))))+SUMPRODUCT((Inputs!$E$5:$E$180=$B65)*ISNUMBER(INDEX(Inputs!$K$5:$AJ$180,0,MATCH(X$2,Inputs!$K$4:$AJ$4,0))))=0,NA(),SUMPRODUCT((Inputs!$A$5:$A$180=$B65)*Inputs!$B$5:$B$180*(((Inputs!$G$5:$G$180="moeda")+(Inputs!$G$5:$G$180="acoes"))*Inputs!$B$1+((Inputs!$G$5:$G$180&lt;&gt;"moeda")*(Inputs!$G$5:$G$180&lt;&gt;"acoes")))*INDEX(Inputs!$K$5:$AJ$180,0,MATCH(X$2,Inputs!$K$4:$AJ$4,0)))+SUMPRODUCT((Inputs!$C$5:$C$180=$B65)*Inputs!$D$5:$D$180*(((Inputs!$G$5:$G$180="moeda")+(Inputs!$G$5:$G$180="acoes"))*Inputs!$B$1+((Inputs!$G$5:$G$180&lt;&gt;"moeda")*(Inputs!$G$5:$G$180&lt;&gt;"acoes")))*INDEX(Inputs!$K$5:$AJ$180,0,MATCH(X$2,Inputs!$K$4:$AJ$4,0)))+SUMPRODUCT((Inputs!$E$5:$E$180=$B65)*Inputs!$F$5:$F$180*(((Inputs!$G$5:$G$180="moeda")+(Inputs!$G$5:$G$180="acoes"))*Inputs!$B$1+((Inputs!$G$5:$G$180&lt;&gt;"moeda")*(Inputs!$G$5:$G$180&lt;&gt;"acoes")))*INDEX(Inputs!$K$5:$AJ$180,0,MATCH(X$2,Inputs!$K$4:$AJ$4,0)))))</f>
        <v>68</v>
      </c>
      <c r="Y65" s="266">
        <f>IF(ISNA(MATCH(Y$2,Inputs!$K$4:$AJ$4,0)),NA(),IF(SUMPRODUCT((Inputs!$A$5:$A$180=$B65)*ISNUMBER(INDEX(Inputs!$K$5:$AJ$180,0,MATCH(Y$2,Inputs!$K$4:$AJ$4,0))))+SUMPRODUCT((Inputs!$C$5:$C$180=$B65)*ISNUMBER(INDEX(Inputs!$K$5:$AJ$180,0,MATCH(Y$2,Inputs!$K$4:$AJ$4,0))))+SUMPRODUCT((Inputs!$E$5:$E$180=$B65)*ISNUMBER(INDEX(Inputs!$K$5:$AJ$180,0,MATCH(Y$2,Inputs!$K$4:$AJ$4,0))))=0,NA(),SUMPRODUCT((Inputs!$A$5:$A$180=$B65)*Inputs!$B$5:$B$180*(((Inputs!$G$5:$G$180="moeda")+(Inputs!$G$5:$G$180="acoes"))*Inputs!$B$1+((Inputs!$G$5:$G$180&lt;&gt;"moeda")*(Inputs!$G$5:$G$180&lt;&gt;"acoes")))*INDEX(Inputs!$K$5:$AJ$180,0,MATCH(Y$2,Inputs!$K$4:$AJ$4,0)))+SUMPRODUCT((Inputs!$C$5:$C$180=$B65)*Inputs!$D$5:$D$180*(((Inputs!$G$5:$G$180="moeda")+(Inputs!$G$5:$G$180="acoes"))*Inputs!$B$1+((Inputs!$G$5:$G$180&lt;&gt;"moeda")*(Inputs!$G$5:$G$180&lt;&gt;"acoes")))*INDEX(Inputs!$K$5:$AJ$180,0,MATCH(Y$2,Inputs!$K$4:$AJ$4,0)))+SUMPRODUCT((Inputs!$E$5:$E$180=$B65)*Inputs!$F$5:$F$180*(((Inputs!$G$5:$G$180="moeda")+(Inputs!$G$5:$G$180="acoes"))*Inputs!$B$1+((Inputs!$G$5:$G$180&lt;&gt;"moeda")*(Inputs!$G$5:$G$180&lt;&gt;"acoes")))*INDEX(Inputs!$K$5:$AJ$180,0,MATCH(Y$2,Inputs!$K$4:$AJ$4,0)))))</f>
        <v>68</v>
      </c>
      <c r="Z65" s="266">
        <f>IF(ISNA(MATCH(Z$2,Inputs!$K$4:$AJ$4,0)),NA(),IF(SUMPRODUCT((Inputs!$A$5:$A$180=$B65)*ISNUMBER(INDEX(Inputs!$K$5:$AJ$180,0,MATCH(Z$2,Inputs!$K$4:$AJ$4,0))))+SUMPRODUCT((Inputs!$C$5:$C$180=$B65)*ISNUMBER(INDEX(Inputs!$K$5:$AJ$180,0,MATCH(Z$2,Inputs!$K$4:$AJ$4,0))))+SUMPRODUCT((Inputs!$E$5:$E$180=$B65)*ISNUMBER(INDEX(Inputs!$K$5:$AJ$180,0,MATCH(Z$2,Inputs!$K$4:$AJ$4,0))))=0,NA(),SUMPRODUCT((Inputs!$A$5:$A$180=$B65)*Inputs!$B$5:$B$180*(((Inputs!$G$5:$G$180="moeda")+(Inputs!$G$5:$G$180="acoes"))*Inputs!$B$1+((Inputs!$G$5:$G$180&lt;&gt;"moeda")*(Inputs!$G$5:$G$180&lt;&gt;"acoes")))*INDEX(Inputs!$K$5:$AJ$180,0,MATCH(Z$2,Inputs!$K$4:$AJ$4,0)))+SUMPRODUCT((Inputs!$C$5:$C$180=$B65)*Inputs!$D$5:$D$180*(((Inputs!$G$5:$G$180="moeda")+(Inputs!$G$5:$G$180="acoes"))*Inputs!$B$1+((Inputs!$G$5:$G$180&lt;&gt;"moeda")*(Inputs!$G$5:$G$180&lt;&gt;"acoes")))*INDEX(Inputs!$K$5:$AJ$180,0,MATCH(Z$2,Inputs!$K$4:$AJ$4,0)))+SUMPRODUCT((Inputs!$E$5:$E$180=$B65)*Inputs!$F$5:$F$180*(((Inputs!$G$5:$G$180="moeda")+(Inputs!$G$5:$G$180="acoes"))*Inputs!$B$1+((Inputs!$G$5:$G$180&lt;&gt;"moeda")*(Inputs!$G$5:$G$180&lt;&gt;"acoes")))*INDEX(Inputs!$K$5:$AJ$180,0,MATCH(Z$2,Inputs!$K$4:$AJ$4,0)))))</f>
        <v>68</v>
      </c>
      <c r="AA65" s="266">
        <f>IF(ISNA(MATCH(AA$2,Inputs!$K$4:$AJ$4,0)),NA(),IF(SUMPRODUCT((Inputs!$A$5:$A$180=$B65)*ISNUMBER(INDEX(Inputs!$K$5:$AJ$180,0,MATCH(AA$2,Inputs!$K$4:$AJ$4,0))))+SUMPRODUCT((Inputs!$C$5:$C$180=$B65)*ISNUMBER(INDEX(Inputs!$K$5:$AJ$180,0,MATCH(AA$2,Inputs!$K$4:$AJ$4,0))))+SUMPRODUCT((Inputs!$E$5:$E$180=$B65)*ISNUMBER(INDEX(Inputs!$K$5:$AJ$180,0,MATCH(AA$2,Inputs!$K$4:$AJ$4,0))))=0,NA(),SUMPRODUCT((Inputs!$A$5:$A$180=$B65)*Inputs!$B$5:$B$180*(((Inputs!$G$5:$G$180="moeda")+(Inputs!$G$5:$G$180="acoes"))*Inputs!$B$1+((Inputs!$G$5:$G$180&lt;&gt;"moeda")*(Inputs!$G$5:$G$180&lt;&gt;"acoes")))*INDEX(Inputs!$K$5:$AJ$180,0,MATCH(AA$2,Inputs!$K$4:$AJ$4,0)))+SUMPRODUCT((Inputs!$C$5:$C$180=$B65)*Inputs!$D$5:$D$180*(((Inputs!$G$5:$G$180="moeda")+(Inputs!$G$5:$G$180="acoes"))*Inputs!$B$1+((Inputs!$G$5:$G$180&lt;&gt;"moeda")*(Inputs!$G$5:$G$180&lt;&gt;"acoes")))*INDEX(Inputs!$K$5:$AJ$180,0,MATCH(AA$2,Inputs!$K$4:$AJ$4,0)))+SUMPRODUCT((Inputs!$E$5:$E$180=$B65)*Inputs!$F$5:$F$180*(((Inputs!$G$5:$G$180="moeda")+(Inputs!$G$5:$G$180="acoes"))*Inputs!$B$1+((Inputs!$G$5:$G$180&lt;&gt;"moeda")*(Inputs!$G$5:$G$180&lt;&gt;"acoes")))*INDEX(Inputs!$K$5:$AJ$180,0,MATCH(AA$2,Inputs!$K$4:$AJ$4,0)))))</f>
        <v>68</v>
      </c>
      <c r="AB65" s="267">
        <f>AA65</f>
        <v>68</v>
      </c>
      <c r="AC65" s="266">
        <f>IF(ISNA(MATCH(AC$2,Inputs!$K$4:$AJ$4,0)),NA(),IF(SUMPRODUCT((Inputs!$A$5:$A$180=$B65)*ISNUMBER(INDEX(Inputs!$K$5:$AJ$180,0,MATCH(AC$2,Inputs!$K$4:$AJ$4,0))))+SUMPRODUCT((Inputs!$C$5:$C$180=$B65)*ISNUMBER(INDEX(Inputs!$K$5:$AJ$180,0,MATCH(AC$2,Inputs!$K$4:$AJ$4,0))))+SUMPRODUCT((Inputs!$E$5:$E$180=$B65)*ISNUMBER(INDEX(Inputs!$K$5:$AJ$180,0,MATCH(AC$2,Inputs!$K$4:$AJ$4,0))))=0,NA(),SUMPRODUCT((Inputs!$A$5:$A$180=$B65)*Inputs!$B$5:$B$180*(((Inputs!$G$5:$G$180="moeda")+(Inputs!$G$5:$G$180="acoes"))*Inputs!$B$1+((Inputs!$G$5:$G$180&lt;&gt;"moeda")*(Inputs!$G$5:$G$180&lt;&gt;"acoes")))*INDEX(Inputs!$K$5:$AJ$180,0,MATCH(AC$2,Inputs!$K$4:$AJ$4,0)))+SUMPRODUCT((Inputs!$C$5:$C$180=$B65)*Inputs!$D$5:$D$180*(((Inputs!$G$5:$G$180="moeda")+(Inputs!$G$5:$G$180="acoes"))*Inputs!$B$1+((Inputs!$G$5:$G$180&lt;&gt;"moeda")*(Inputs!$G$5:$G$180&lt;&gt;"acoes")))*INDEX(Inputs!$K$5:$AJ$180,0,MATCH(AC$2,Inputs!$K$4:$AJ$4,0)))+SUMPRODUCT((Inputs!$E$5:$E$180=$B65)*Inputs!$F$5:$F$180*(((Inputs!$G$5:$G$180="moeda")+(Inputs!$G$5:$G$180="acoes"))*Inputs!$B$1+((Inputs!$G$5:$G$180&lt;&gt;"moeda")*(Inputs!$G$5:$G$180&lt;&gt;"acoes")))*INDEX(Inputs!$K$5:$AJ$180,0,MATCH(AC$2,Inputs!$K$4:$AJ$4,0)))))</f>
        <v>74</v>
      </c>
      <c r="AD65" s="266">
        <f>IF(ISNA(MATCH(AD$2,Inputs!$K$4:$AJ$4,0)),NA(),IF(SUMPRODUCT((Inputs!$A$5:$A$180=$B65)*ISNUMBER(INDEX(Inputs!$K$5:$AJ$180,0,MATCH(AD$2,Inputs!$K$4:$AJ$4,0))))+SUMPRODUCT((Inputs!$C$5:$C$180=$B65)*ISNUMBER(INDEX(Inputs!$K$5:$AJ$180,0,MATCH(AD$2,Inputs!$K$4:$AJ$4,0))))+SUMPRODUCT((Inputs!$E$5:$E$180=$B65)*ISNUMBER(INDEX(Inputs!$K$5:$AJ$180,0,MATCH(AD$2,Inputs!$K$4:$AJ$4,0))))=0,NA(),SUMPRODUCT((Inputs!$A$5:$A$180=$B65)*Inputs!$B$5:$B$180*(((Inputs!$G$5:$G$180="moeda")+(Inputs!$G$5:$G$180="acoes"))*Inputs!$B$1+((Inputs!$G$5:$G$180&lt;&gt;"moeda")*(Inputs!$G$5:$G$180&lt;&gt;"acoes")))*INDEX(Inputs!$K$5:$AJ$180,0,MATCH(AD$2,Inputs!$K$4:$AJ$4,0)))+SUMPRODUCT((Inputs!$C$5:$C$180=$B65)*Inputs!$D$5:$D$180*(((Inputs!$G$5:$G$180="moeda")+(Inputs!$G$5:$G$180="acoes"))*Inputs!$B$1+((Inputs!$G$5:$G$180&lt;&gt;"moeda")*(Inputs!$G$5:$G$180&lt;&gt;"acoes")))*INDEX(Inputs!$K$5:$AJ$180,0,MATCH(AD$2,Inputs!$K$4:$AJ$4,0)))+SUMPRODUCT((Inputs!$E$5:$E$180=$B65)*Inputs!$F$5:$F$180*(((Inputs!$G$5:$G$180="moeda")+(Inputs!$G$5:$G$180="acoes"))*Inputs!$B$1+((Inputs!$G$5:$G$180&lt;&gt;"moeda")*(Inputs!$G$5:$G$180&lt;&gt;"acoes")))*INDEX(Inputs!$K$5:$AJ$180,0,MATCH(AD$2,Inputs!$K$4:$AJ$4,0)))))</f>
        <v>74</v>
      </c>
      <c r="AE65" s="266" t="e">
        <f>IF(ISNA(MATCH(AE$2,Inputs!$K$4:$AJ$4,0)),NA(),IF(SUMPRODUCT((Inputs!$A$5:$A$180=$B65)*ISNUMBER(INDEX(Inputs!$K$5:$AJ$180,0,MATCH(AE$2,Inputs!$K$4:$AJ$4,0))))+SUMPRODUCT((Inputs!$C$5:$C$180=$B65)*ISNUMBER(INDEX(Inputs!$K$5:$AJ$180,0,MATCH(AE$2,Inputs!$K$4:$AJ$4,0))))+SUMPRODUCT((Inputs!$E$5:$E$180=$B65)*ISNUMBER(INDEX(Inputs!$K$5:$AJ$180,0,MATCH(AE$2,Inputs!$K$4:$AJ$4,0))))=0,NA(),SUMPRODUCT((Inputs!$A$5:$A$180=$B65)*Inputs!$B$5:$B$180*(((Inputs!$G$5:$G$180="moeda")+(Inputs!$G$5:$G$180="acoes"))*Inputs!$B$1+((Inputs!$G$5:$G$180&lt;&gt;"moeda")*(Inputs!$G$5:$G$180&lt;&gt;"acoes")))*INDEX(Inputs!$K$5:$AJ$180,0,MATCH(AE$2,Inputs!$K$4:$AJ$4,0)))+SUMPRODUCT((Inputs!$C$5:$C$180=$B65)*Inputs!$D$5:$D$180*(((Inputs!$G$5:$G$180="moeda")+(Inputs!$G$5:$G$180="acoes"))*Inputs!$B$1+((Inputs!$G$5:$G$180&lt;&gt;"moeda")*(Inputs!$G$5:$G$180&lt;&gt;"acoes")))*INDEX(Inputs!$K$5:$AJ$180,0,MATCH(AE$2,Inputs!$K$4:$AJ$4,0)))+SUMPRODUCT((Inputs!$E$5:$E$180=$B65)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5" s="266" t="e">
        <f>IF(ISNA(MATCH(AF$2,Inputs!$K$4:$AJ$4,0)),NA(),IF(SUMPRODUCT((Inputs!$A$5:$A$180=$B65)*ISNUMBER(INDEX(Inputs!$K$5:$AJ$180,0,MATCH(AF$2,Inputs!$K$4:$AJ$4,0))))+SUMPRODUCT((Inputs!$C$5:$C$180=$B65)*ISNUMBER(INDEX(Inputs!$K$5:$AJ$180,0,MATCH(AF$2,Inputs!$K$4:$AJ$4,0))))+SUMPRODUCT((Inputs!$E$5:$E$180=$B65)*ISNUMBER(INDEX(Inputs!$K$5:$AJ$180,0,MATCH(AF$2,Inputs!$K$4:$AJ$4,0))))=0,NA(),SUMPRODUCT((Inputs!$A$5:$A$180=$B65)*Inputs!$B$5:$B$180*(((Inputs!$G$5:$G$180="moeda")+(Inputs!$G$5:$G$180="acoes"))*Inputs!$B$1+((Inputs!$G$5:$G$180&lt;&gt;"moeda")*(Inputs!$G$5:$G$180&lt;&gt;"acoes")))*INDEX(Inputs!$K$5:$AJ$180,0,MATCH(AF$2,Inputs!$K$4:$AJ$4,0)))+SUMPRODUCT((Inputs!$C$5:$C$180=$B65)*Inputs!$D$5:$D$180*(((Inputs!$G$5:$G$180="moeda")+(Inputs!$G$5:$G$180="acoes"))*Inputs!$B$1+((Inputs!$G$5:$G$180&lt;&gt;"moeda")*(Inputs!$G$5:$G$180&lt;&gt;"acoes")))*INDEX(Inputs!$K$5:$AJ$180,0,MATCH(AF$2,Inputs!$K$4:$AJ$4,0)))+SUMPRODUCT((Inputs!$E$5:$E$180=$B65)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5" s="267" t="e">
        <f>AF65</f>
        <v>#N/A</v>
      </c>
      <c r="AH65" s="266">
        <f>IF(ISNA(MATCH(AH$2,Inputs!$K$4:$AJ$4,0)),NA(),IF(SUMPRODUCT((Inputs!$A$5:$A$180=$B65)*ISNUMBER(INDEX(Inputs!$K$5:$AJ$180,0,MATCH(AH$2,Inputs!$K$4:$AJ$4,0))))+SUMPRODUCT((Inputs!$C$5:$C$180=$B65)*ISNUMBER(INDEX(Inputs!$K$5:$AJ$180,0,MATCH(AH$2,Inputs!$K$4:$AJ$4,0))))+SUMPRODUCT((Inputs!$E$5:$E$180=$B65)*ISNUMBER(INDEX(Inputs!$K$5:$AJ$180,0,MATCH(AH$2,Inputs!$K$4:$AJ$4,0))))=0,NA(),SUMPRODUCT((Inputs!$A$5:$A$180=$B65)*Inputs!$B$5:$B$180*(((Inputs!$G$5:$G$180="moeda")+(Inputs!$G$5:$G$180="acoes"))*Inputs!$B$1+((Inputs!$G$5:$G$180&lt;&gt;"moeda")*(Inputs!$G$5:$G$180&lt;&gt;"acoes")))*INDEX(Inputs!$K$5:$AJ$180,0,MATCH(AH$2,Inputs!$K$4:$AJ$4,0)))+SUMPRODUCT((Inputs!$C$5:$C$180=$B65)*Inputs!$D$5:$D$180*(((Inputs!$G$5:$G$180="moeda")+(Inputs!$G$5:$G$180="acoes"))*Inputs!$B$1+((Inputs!$G$5:$G$180&lt;&gt;"moeda")*(Inputs!$G$5:$G$180&lt;&gt;"acoes")))*INDEX(Inputs!$K$5:$AJ$180,0,MATCH(AH$2,Inputs!$K$4:$AJ$4,0)))+SUMPRODUCT((Inputs!$E$5:$E$180=$B65)*Inputs!$F$5:$F$180*(((Inputs!$G$5:$G$180="moeda")+(Inputs!$G$5:$G$180="acoes"))*Inputs!$B$1+((Inputs!$G$5:$G$180&lt;&gt;"moeda")*(Inputs!$G$5:$G$180&lt;&gt;"acoes")))*INDEX(Inputs!$K$5:$AJ$180,0,MATCH(AH$2,Inputs!$K$4:$AJ$4,0)))))</f>
        <v>317</v>
      </c>
      <c r="AI65" s="266">
        <f>IF(ISNA(MATCH(AI$2,Inputs!$K$4:$AJ$4,0)),NA(),IF(SUMPRODUCT((Inputs!$A$5:$A$180=$B65)*ISNUMBER(INDEX(Inputs!$K$5:$AJ$180,0,MATCH(AI$2,Inputs!$K$4:$AJ$4,0))))+SUMPRODUCT((Inputs!$C$5:$C$180=$B65)*ISNUMBER(INDEX(Inputs!$K$5:$AJ$180,0,MATCH(AI$2,Inputs!$K$4:$AJ$4,0))))+SUMPRODUCT((Inputs!$E$5:$E$180=$B65)*ISNUMBER(INDEX(Inputs!$K$5:$AJ$180,0,MATCH(AI$2,Inputs!$K$4:$AJ$4,0))))=0,NA(),SUMPRODUCT((Inputs!$A$5:$A$180=$B65)*Inputs!$B$5:$B$180*(((Inputs!$G$5:$G$180="moeda")+(Inputs!$G$5:$G$180="acoes"))*Inputs!$B$1+((Inputs!$G$5:$G$180&lt;&gt;"moeda")*(Inputs!$G$5:$G$180&lt;&gt;"acoes")))*INDEX(Inputs!$K$5:$AJ$180,0,MATCH(AI$2,Inputs!$K$4:$AJ$4,0)))+SUMPRODUCT((Inputs!$C$5:$C$180=$B65)*Inputs!$D$5:$D$180*(((Inputs!$G$5:$G$180="moeda")+(Inputs!$G$5:$G$180="acoes"))*Inputs!$B$1+((Inputs!$G$5:$G$180&lt;&gt;"moeda")*(Inputs!$G$5:$G$180&lt;&gt;"acoes")))*INDEX(Inputs!$K$5:$AJ$180,0,MATCH(AI$2,Inputs!$K$4:$AJ$4,0)))+SUMPRODUCT((Inputs!$E$5:$E$180=$B65)*Inputs!$F$5:$F$180*(((Inputs!$G$5:$G$180="moeda")+(Inputs!$G$5:$G$180="acoes"))*Inputs!$B$1+((Inputs!$G$5:$G$180&lt;&gt;"moeda")*(Inputs!$G$5:$G$180&lt;&gt;"acoes")))*INDEX(Inputs!$K$5:$AJ$180,0,MATCH(AI$2,Inputs!$K$4:$AJ$4,0)))))</f>
        <v>281</v>
      </c>
      <c r="AJ65" s="266">
        <f>IF(ISNA(MATCH(AJ$2,Inputs!$K$4:$AJ$4,0)),NA(),IF(SUMPRODUCT((Inputs!$A$5:$A$180=$B65)*ISNUMBER(INDEX(Inputs!$K$5:$AJ$180,0,MATCH(AJ$2,Inputs!$K$4:$AJ$4,0))))+SUMPRODUCT((Inputs!$C$5:$C$180=$B65)*ISNUMBER(INDEX(Inputs!$K$5:$AJ$180,0,MATCH(AJ$2,Inputs!$K$4:$AJ$4,0))))+SUMPRODUCT((Inputs!$E$5:$E$180=$B65)*ISNUMBER(INDEX(Inputs!$K$5:$AJ$180,0,MATCH(AJ$2,Inputs!$K$4:$AJ$4,0))))=0,NA(),SUMPRODUCT((Inputs!$A$5:$A$180=$B65)*Inputs!$B$5:$B$180*(((Inputs!$G$5:$G$180="moeda")+(Inputs!$G$5:$G$180="acoes"))*Inputs!$B$1+((Inputs!$G$5:$G$180&lt;&gt;"moeda")*(Inputs!$G$5:$G$180&lt;&gt;"acoes")))*INDEX(Inputs!$K$5:$AJ$180,0,MATCH(AJ$2,Inputs!$K$4:$AJ$4,0)))+SUMPRODUCT((Inputs!$C$5:$C$180=$B65)*Inputs!$D$5:$D$180*(((Inputs!$G$5:$G$180="moeda")+(Inputs!$G$5:$G$180="acoes"))*Inputs!$B$1+((Inputs!$G$5:$G$180&lt;&gt;"moeda")*(Inputs!$G$5:$G$180&lt;&gt;"acoes")))*INDEX(Inputs!$K$5:$AJ$180,0,MATCH(AJ$2,Inputs!$K$4:$AJ$4,0)))+SUMPRODUCT((Inputs!$E$5:$E$180=$B65)*Inputs!$F$5:$F$180*(((Inputs!$G$5:$G$180="moeda")+(Inputs!$G$5:$G$180="acoes"))*Inputs!$B$1+((Inputs!$G$5:$G$180&lt;&gt;"moeda")*(Inputs!$G$5:$G$180&lt;&gt;"acoes")))*INDEX(Inputs!$K$5:$AJ$180,0,MATCH(AJ$2,Inputs!$K$4:$AJ$4,0)))))</f>
        <v>290</v>
      </c>
      <c r="AK65" s="266">
        <f>IF(ISNA(MATCH(AK$2,Inputs!$K$4:$AJ$4,0)),NA(),IF(SUMPRODUCT((Inputs!$A$5:$A$180=$B65)*ISNUMBER(INDEX(Inputs!$K$5:$AJ$180,0,MATCH(AK$2,Inputs!$K$4:$AJ$4,0))))+SUMPRODUCT((Inputs!$C$5:$C$180=$B65)*ISNUMBER(INDEX(Inputs!$K$5:$AJ$180,0,MATCH(AK$2,Inputs!$K$4:$AJ$4,0))))+SUMPRODUCT((Inputs!$E$5:$E$180=$B65)*ISNUMBER(INDEX(Inputs!$K$5:$AJ$180,0,MATCH(AK$2,Inputs!$K$4:$AJ$4,0))))=0,NA(),SUMPRODUCT((Inputs!$A$5:$A$180=$B65)*Inputs!$B$5:$B$180*(((Inputs!$G$5:$G$180="moeda")+(Inputs!$G$5:$G$180="acoes"))*Inputs!$B$1+((Inputs!$G$5:$G$180&lt;&gt;"moeda")*(Inputs!$G$5:$G$180&lt;&gt;"acoes")))*INDEX(Inputs!$K$5:$AJ$180,0,MATCH(AK$2,Inputs!$K$4:$AJ$4,0)))+SUMPRODUCT((Inputs!$C$5:$C$180=$B65)*Inputs!$D$5:$D$180*(((Inputs!$G$5:$G$180="moeda")+(Inputs!$G$5:$G$180="acoes"))*Inputs!$B$1+((Inputs!$G$5:$G$180&lt;&gt;"moeda")*(Inputs!$G$5:$G$180&lt;&gt;"acoes")))*INDEX(Inputs!$K$5:$AJ$180,0,MATCH(AK$2,Inputs!$K$4:$AJ$4,0)))+SUMPRODUCT((Inputs!$E$5:$E$180=$B65)*Inputs!$F$5:$F$180*(((Inputs!$G$5:$G$180="moeda")+(Inputs!$G$5:$G$180="acoes"))*Inputs!$B$1+((Inputs!$G$5:$G$180&lt;&gt;"moeda")*(Inputs!$G$5:$G$180&lt;&gt;"acoes")))*INDEX(Inputs!$K$5:$AJ$180,0,MATCH(AK$2,Inputs!$K$4:$AJ$4,0)))))</f>
        <v>296</v>
      </c>
      <c r="AL65" s="267">
        <f>AK65</f>
        <v>296</v>
      </c>
    </row>
    <row r="66">
      <c r="B66" s="46" t="n">
        <v>58</v>
      </c>
      <c r="C66" s="29" t="inlineStr">
        <is>
          <t>SSS lojas fisicas (l.13)</t>
        </is>
      </c>
      <c r="D66" s="268">
        <f>IF(ISNA(MATCH(D$2,Inputs!$K$4:$AJ$4,0)),NA(),IF(SUMPRODUCT((Inputs!$A$5:$A$180=$B66)*ISNUMBER(INDEX(Inputs!$K$5:$AJ$180,0,MATCH(D$2,Inputs!$K$4:$AJ$4,0))))+SUMPRODUCT((Inputs!$C$5:$C$180=$B66)*ISNUMBER(INDEX(Inputs!$K$5:$AJ$180,0,MATCH(D$2,Inputs!$K$4:$AJ$4,0))))+SUMPRODUCT((Inputs!$E$5:$E$180=$B66)*ISNUMBER(INDEX(Inputs!$K$5:$AJ$180,0,MATCH(D$2,Inputs!$K$4:$AJ$4,0))))=0,NA(),SUMPRODUCT((Inputs!$A$5:$A$180=$B66)*Inputs!$B$5:$B$180*(((Inputs!$G$5:$G$180="moeda")+(Inputs!$G$5:$G$180="acoes"))*Inputs!$B$1+((Inputs!$G$5:$G$180&lt;&gt;"moeda")*(Inputs!$G$5:$G$180&lt;&gt;"acoes")))*INDEX(Inputs!$K$5:$AJ$180,0,MATCH(D$2,Inputs!$K$4:$AJ$4,0)))+SUMPRODUCT((Inputs!$C$5:$C$180=$B66)*Inputs!$D$5:$D$180*(((Inputs!$G$5:$G$180="moeda")+(Inputs!$G$5:$G$180="acoes"))*Inputs!$B$1+((Inputs!$G$5:$G$180&lt;&gt;"moeda")*(Inputs!$G$5:$G$180&lt;&gt;"acoes")))*INDEX(Inputs!$K$5:$AJ$180,0,MATCH(D$2,Inputs!$K$4:$AJ$4,0)))+SUMPRODUCT((Inputs!$E$5:$E$180=$B66)*Inputs!$F$5:$F$180*(((Inputs!$G$5:$G$180="moeda")+(Inputs!$G$5:$G$180="acoes"))*Inputs!$B$1+((Inputs!$G$5:$G$180&lt;&gt;"moeda")*(Inputs!$G$5:$G$180&lt;&gt;"acoes")))*INDEX(Inputs!$K$5:$AJ$180,0,MATCH(D$2,Inputs!$K$4:$AJ$4,0)))))</f>
        <v>-0.125466298143871</v>
      </c>
      <c r="E66" s="268">
        <f>IF(ISNA(MATCH(E$2,Inputs!$K$4:$AJ$4,0)),NA(),IF(SUMPRODUCT((Inputs!$A$5:$A$180=$B66)*ISNUMBER(INDEX(Inputs!$K$5:$AJ$180,0,MATCH(E$2,Inputs!$K$4:$AJ$4,0))))+SUMPRODUCT((Inputs!$C$5:$C$180=$B66)*ISNUMBER(INDEX(Inputs!$K$5:$AJ$180,0,MATCH(E$2,Inputs!$K$4:$AJ$4,0))))+SUMPRODUCT((Inputs!$E$5:$E$180=$B66)*ISNUMBER(INDEX(Inputs!$K$5:$AJ$180,0,MATCH(E$2,Inputs!$K$4:$AJ$4,0))))=0,NA(),SUMPRODUCT((Inputs!$A$5:$A$180=$B66)*Inputs!$B$5:$B$180*(((Inputs!$G$5:$G$180="moeda")+(Inputs!$G$5:$G$180="acoes"))*Inputs!$B$1+((Inputs!$G$5:$G$180&lt;&gt;"moeda")*(Inputs!$G$5:$G$180&lt;&gt;"acoes")))*INDEX(Inputs!$K$5:$AJ$180,0,MATCH(E$2,Inputs!$K$4:$AJ$4,0)))+SUMPRODUCT((Inputs!$C$5:$C$180=$B66)*Inputs!$D$5:$D$180*(((Inputs!$G$5:$G$180="moeda")+(Inputs!$G$5:$G$180="acoes"))*Inputs!$B$1+((Inputs!$G$5:$G$180&lt;&gt;"moeda")*(Inputs!$G$5:$G$180&lt;&gt;"acoes")))*INDEX(Inputs!$K$5:$AJ$180,0,MATCH(E$2,Inputs!$K$4:$AJ$4,0)))+SUMPRODUCT((Inputs!$E$5:$E$180=$B66)*Inputs!$F$5:$F$180*(((Inputs!$G$5:$G$180="moeda")+(Inputs!$G$5:$G$180="acoes"))*Inputs!$B$1+((Inputs!$G$5:$G$180&lt;&gt;"moeda")*(Inputs!$G$5:$G$180&lt;&gt;"acoes")))*INDEX(Inputs!$K$5:$AJ$180,0,MATCH(E$2,Inputs!$K$4:$AJ$4,0)))))</f>
        <v>5.045</v>
      </c>
      <c r="F66" s="268">
        <f>IF(ISNA(MATCH(F$2,Inputs!$K$4:$AJ$4,0)),NA(),IF(SUMPRODUCT((Inputs!$A$5:$A$180=$B66)*ISNUMBER(INDEX(Inputs!$K$5:$AJ$180,0,MATCH(F$2,Inputs!$K$4:$AJ$4,0))))+SUMPRODUCT((Inputs!$C$5:$C$180=$B66)*ISNUMBER(INDEX(Inputs!$K$5:$AJ$180,0,MATCH(F$2,Inputs!$K$4:$AJ$4,0))))+SUMPRODUCT((Inputs!$E$5:$E$180=$B66)*ISNUMBER(INDEX(Inputs!$K$5:$AJ$180,0,MATCH(F$2,Inputs!$K$4:$AJ$4,0))))=0,NA(),SUMPRODUCT((Inputs!$A$5:$A$180=$B66)*Inputs!$B$5:$B$180*(((Inputs!$G$5:$G$180="moeda")+(Inputs!$G$5:$G$180="acoes"))*Inputs!$B$1+((Inputs!$G$5:$G$180&lt;&gt;"moeda")*(Inputs!$G$5:$G$180&lt;&gt;"acoes")))*INDEX(Inputs!$K$5:$AJ$180,0,MATCH(F$2,Inputs!$K$4:$AJ$4,0)))+SUMPRODUCT((Inputs!$C$5:$C$180=$B66)*Inputs!$D$5:$D$180*(((Inputs!$G$5:$G$180="moeda")+(Inputs!$G$5:$G$180="acoes"))*Inputs!$B$1+((Inputs!$G$5:$G$180&lt;&gt;"moeda")*(Inputs!$G$5:$G$180&lt;&gt;"acoes")))*INDEX(Inputs!$K$5:$AJ$180,0,MATCH(F$2,Inputs!$K$4:$AJ$4,0)))+SUMPRODUCT((Inputs!$E$5:$E$180=$B66)*Inputs!$F$5:$F$180*(((Inputs!$G$5:$G$180="moeda")+(Inputs!$G$5:$G$180="acoes"))*Inputs!$B$1+((Inputs!$G$5:$G$180&lt;&gt;"moeda")*(Inputs!$G$5:$G$180&lt;&gt;"acoes")))*INDEX(Inputs!$K$5:$AJ$180,0,MATCH(F$2,Inputs!$K$4:$AJ$4,0)))))</f>
        <v>0.453119998671124</v>
      </c>
      <c r="G66" s="268">
        <f>IF(ISNA(MATCH(G$2,Inputs!$K$4:$AJ$4,0)),NA(),IF(SUMPRODUCT((Inputs!$A$5:$A$180=$B66)*ISNUMBER(INDEX(Inputs!$K$5:$AJ$180,0,MATCH(G$2,Inputs!$K$4:$AJ$4,0))))+SUMPRODUCT((Inputs!$C$5:$C$180=$B66)*ISNUMBER(INDEX(Inputs!$K$5:$AJ$180,0,MATCH(G$2,Inputs!$K$4:$AJ$4,0))))+SUMPRODUCT((Inputs!$E$5:$E$180=$B66)*ISNUMBER(INDEX(Inputs!$K$5:$AJ$180,0,MATCH(G$2,Inputs!$K$4:$AJ$4,0))))=0,NA(),SUMPRODUCT((Inputs!$A$5:$A$180=$B66)*Inputs!$B$5:$B$180*(((Inputs!$G$5:$G$180="moeda")+(Inputs!$G$5:$G$180="acoes"))*Inputs!$B$1+((Inputs!$G$5:$G$180&lt;&gt;"moeda")*(Inputs!$G$5:$G$180&lt;&gt;"acoes")))*INDEX(Inputs!$K$5:$AJ$180,0,MATCH(G$2,Inputs!$K$4:$AJ$4,0)))+SUMPRODUCT((Inputs!$C$5:$C$180=$B66)*Inputs!$D$5:$D$180*(((Inputs!$G$5:$G$180="moeda")+(Inputs!$G$5:$G$180="acoes"))*Inputs!$B$1+((Inputs!$G$5:$G$180&lt;&gt;"moeda")*(Inputs!$G$5:$G$180&lt;&gt;"acoes")))*INDEX(Inputs!$K$5:$AJ$180,0,MATCH(G$2,Inputs!$K$4:$AJ$4,0)))+SUMPRODUCT((Inputs!$E$5:$E$180=$B66)*Inputs!$F$5:$F$180*(((Inputs!$G$5:$G$180="moeda")+(Inputs!$G$5:$G$180="acoes"))*Inputs!$B$1+((Inputs!$G$5:$G$180&lt;&gt;"moeda")*(Inputs!$G$5:$G$180&lt;&gt;"acoes")))*INDEX(Inputs!$K$5:$AJ$180,0,MATCH(G$2,Inputs!$K$4:$AJ$4,0)))))</f>
        <v>0.153</v>
      </c>
      <c r="H66" s="40" t="n"/>
      <c r="I66" s="268">
        <f>IF(ISNA(MATCH(I$2,Inputs!$K$4:$AJ$4,0)),NA(),IF(SUMPRODUCT((Inputs!$A$5:$A$180=$B66)*ISNUMBER(INDEX(Inputs!$K$5:$AJ$180,0,MATCH(I$2,Inputs!$K$4:$AJ$4,0))))+SUMPRODUCT((Inputs!$C$5:$C$180=$B66)*ISNUMBER(INDEX(Inputs!$K$5:$AJ$180,0,MATCH(I$2,Inputs!$K$4:$AJ$4,0))))+SUMPRODUCT((Inputs!$E$5:$E$180=$B66)*ISNUMBER(INDEX(Inputs!$K$5:$AJ$180,0,MATCH(I$2,Inputs!$K$4:$AJ$4,0))))=0,NA(),SUMPRODUCT((Inputs!$A$5:$A$180=$B66)*Inputs!$B$5:$B$180*(((Inputs!$G$5:$G$180="moeda")+(Inputs!$G$5:$G$180="acoes"))*Inputs!$B$1+((Inputs!$G$5:$G$180&lt;&gt;"moeda")*(Inputs!$G$5:$G$180&lt;&gt;"acoes")))*INDEX(Inputs!$K$5:$AJ$180,0,MATCH(I$2,Inputs!$K$4:$AJ$4,0)))+SUMPRODUCT((Inputs!$C$5:$C$180=$B66)*Inputs!$D$5:$D$180*(((Inputs!$G$5:$G$180="moeda")+(Inputs!$G$5:$G$180="acoes"))*Inputs!$B$1+((Inputs!$G$5:$G$180&lt;&gt;"moeda")*(Inputs!$G$5:$G$180&lt;&gt;"acoes")))*INDEX(Inputs!$K$5:$AJ$180,0,MATCH(I$2,Inputs!$K$4:$AJ$4,0)))+SUMPRODUCT((Inputs!$E$5:$E$180=$B66)*Inputs!$F$5:$F$180*(((Inputs!$G$5:$G$180="moeda")+(Inputs!$G$5:$G$180="acoes"))*Inputs!$B$1+((Inputs!$G$5:$G$180&lt;&gt;"moeda")*(Inputs!$G$5:$G$180&lt;&gt;"acoes")))*INDEX(Inputs!$K$5:$AJ$180,0,MATCH(I$2,Inputs!$K$4:$AJ$4,0)))))</f>
        <v>0.615</v>
      </c>
      <c r="J66" s="268">
        <f>IF(ISNA(MATCH(J$2,Inputs!$K$4:$AJ$4,0)),NA(),IF(SUMPRODUCT((Inputs!$A$5:$A$180=$B66)*ISNUMBER(INDEX(Inputs!$K$5:$AJ$180,0,MATCH(J$2,Inputs!$K$4:$AJ$4,0))))+SUMPRODUCT((Inputs!$C$5:$C$180=$B66)*ISNUMBER(INDEX(Inputs!$K$5:$AJ$180,0,MATCH(J$2,Inputs!$K$4:$AJ$4,0))))+SUMPRODUCT((Inputs!$E$5:$E$180=$B66)*ISNUMBER(INDEX(Inputs!$K$5:$AJ$180,0,MATCH(J$2,Inputs!$K$4:$AJ$4,0))))=0,NA(),SUMPRODUCT((Inputs!$A$5:$A$180=$B66)*Inputs!$B$5:$B$180*(((Inputs!$G$5:$G$180="moeda")+(Inputs!$G$5:$G$180="acoes"))*Inputs!$B$1+((Inputs!$G$5:$G$180&lt;&gt;"moeda")*(Inputs!$G$5:$G$180&lt;&gt;"acoes")))*INDEX(Inputs!$K$5:$AJ$180,0,MATCH(J$2,Inputs!$K$4:$AJ$4,0)))+SUMPRODUCT((Inputs!$C$5:$C$180=$B66)*Inputs!$D$5:$D$180*(((Inputs!$G$5:$G$180="moeda")+(Inputs!$G$5:$G$180="acoes"))*Inputs!$B$1+((Inputs!$G$5:$G$180&lt;&gt;"moeda")*(Inputs!$G$5:$G$180&lt;&gt;"acoes")))*INDEX(Inputs!$K$5:$AJ$180,0,MATCH(J$2,Inputs!$K$4:$AJ$4,0)))+SUMPRODUCT((Inputs!$E$5:$E$180=$B66)*Inputs!$F$5:$F$180*(((Inputs!$G$5:$G$180="moeda")+(Inputs!$G$5:$G$180="acoes"))*Inputs!$B$1+((Inputs!$G$5:$G$180&lt;&gt;"moeda")*(Inputs!$G$5:$G$180&lt;&gt;"acoes")))*INDEX(Inputs!$K$5:$AJ$180,0,MATCH(J$2,Inputs!$K$4:$AJ$4,0)))))</f>
        <v>0.310230333870975</v>
      </c>
      <c r="K66" s="268">
        <f>IF(ISNA(MATCH(K$2,Inputs!$K$4:$AJ$4,0)),NA(),IF(SUMPRODUCT((Inputs!$A$5:$A$180=$B66)*ISNUMBER(INDEX(Inputs!$K$5:$AJ$180,0,MATCH(K$2,Inputs!$K$4:$AJ$4,0))))+SUMPRODUCT((Inputs!$C$5:$C$180=$B66)*ISNUMBER(INDEX(Inputs!$K$5:$AJ$180,0,MATCH(K$2,Inputs!$K$4:$AJ$4,0))))+SUMPRODUCT((Inputs!$E$5:$E$180=$B66)*ISNUMBER(INDEX(Inputs!$K$5:$AJ$180,0,MATCH(K$2,Inputs!$K$4:$AJ$4,0))))=0,NA(),SUMPRODUCT((Inputs!$A$5:$A$180=$B66)*Inputs!$B$5:$B$180*(((Inputs!$G$5:$G$180="moeda")+(Inputs!$G$5:$G$180="acoes"))*Inputs!$B$1+((Inputs!$G$5:$G$180&lt;&gt;"moeda")*(Inputs!$G$5:$G$180&lt;&gt;"acoes")))*INDEX(Inputs!$K$5:$AJ$180,0,MATCH(K$2,Inputs!$K$4:$AJ$4,0)))+SUMPRODUCT((Inputs!$C$5:$C$180=$B66)*Inputs!$D$5:$D$180*(((Inputs!$G$5:$G$180="moeda")+(Inputs!$G$5:$G$180="acoes"))*Inputs!$B$1+((Inputs!$G$5:$G$180&lt;&gt;"moeda")*(Inputs!$G$5:$G$180&lt;&gt;"acoes")))*INDEX(Inputs!$K$5:$AJ$180,0,MATCH(K$2,Inputs!$K$4:$AJ$4,0)))+SUMPRODUCT((Inputs!$E$5:$E$180=$B66)*Inputs!$F$5:$F$180*(((Inputs!$G$5:$G$180="moeda")+(Inputs!$G$5:$G$180="acoes"))*Inputs!$B$1+((Inputs!$G$5:$G$180&lt;&gt;"moeda")*(Inputs!$G$5:$G$180&lt;&gt;"acoes")))*INDEX(Inputs!$K$5:$AJ$180,0,MATCH(K$2,Inputs!$K$4:$AJ$4,0)))))</f>
        <v>0.142919974416132</v>
      </c>
      <c r="L66" s="268">
        <f>IF(ISNA(MATCH(L$2,Inputs!$K$4:$AJ$4,0)),NA(),IF(SUMPRODUCT((Inputs!$A$5:$A$180=$B66)*ISNUMBER(INDEX(Inputs!$K$5:$AJ$180,0,MATCH(L$2,Inputs!$K$4:$AJ$4,0))))+SUMPRODUCT((Inputs!$C$5:$C$180=$B66)*ISNUMBER(INDEX(Inputs!$K$5:$AJ$180,0,MATCH(L$2,Inputs!$K$4:$AJ$4,0))))+SUMPRODUCT((Inputs!$E$5:$E$180=$B66)*ISNUMBER(INDEX(Inputs!$K$5:$AJ$180,0,MATCH(L$2,Inputs!$K$4:$AJ$4,0))))=0,NA(),SUMPRODUCT((Inputs!$A$5:$A$180=$B66)*Inputs!$B$5:$B$180*(((Inputs!$G$5:$G$180="moeda")+(Inputs!$G$5:$G$180="acoes"))*Inputs!$B$1+((Inputs!$G$5:$G$180&lt;&gt;"moeda")*(Inputs!$G$5:$G$180&lt;&gt;"acoes")))*INDEX(Inputs!$K$5:$AJ$180,0,MATCH(L$2,Inputs!$K$4:$AJ$4,0)))+SUMPRODUCT((Inputs!$C$5:$C$180=$B66)*Inputs!$D$5:$D$180*(((Inputs!$G$5:$G$180="moeda")+(Inputs!$G$5:$G$180="acoes"))*Inputs!$B$1+((Inputs!$G$5:$G$180&lt;&gt;"moeda")*(Inputs!$G$5:$G$180&lt;&gt;"acoes")))*INDEX(Inputs!$K$5:$AJ$180,0,MATCH(L$2,Inputs!$K$4:$AJ$4,0)))+SUMPRODUCT((Inputs!$E$5:$E$180=$B66)*Inputs!$F$5:$F$180*(((Inputs!$G$5:$G$180="moeda")+(Inputs!$G$5:$G$180="acoes"))*Inputs!$B$1+((Inputs!$G$5:$G$180&lt;&gt;"moeda")*(Inputs!$G$5:$G$180&lt;&gt;"acoes")))*INDEX(Inputs!$K$5:$AJ$180,0,MATCH(L$2,Inputs!$K$4:$AJ$4,0)))))</f>
        <v>0.044228440495846</v>
      </c>
      <c r="M66" s="40" t="n"/>
      <c r="N66" s="268">
        <f>IF(ISNA(MATCH(N$2,Inputs!$K$4:$AJ$4,0)),NA(),IF(SUMPRODUCT((Inputs!$A$5:$A$180=$B66)*ISNUMBER(INDEX(Inputs!$K$5:$AJ$180,0,MATCH(N$2,Inputs!$K$4:$AJ$4,0))))+SUMPRODUCT((Inputs!$C$5:$C$180=$B66)*ISNUMBER(INDEX(Inputs!$K$5:$AJ$180,0,MATCH(N$2,Inputs!$K$4:$AJ$4,0))))+SUMPRODUCT((Inputs!$E$5:$E$180=$B66)*ISNUMBER(INDEX(Inputs!$K$5:$AJ$180,0,MATCH(N$2,Inputs!$K$4:$AJ$4,0))))=0,NA(),SUMPRODUCT((Inputs!$A$5:$A$180=$B66)*Inputs!$B$5:$B$180*(((Inputs!$G$5:$G$180="moeda")+(Inputs!$G$5:$G$180="acoes"))*Inputs!$B$1+((Inputs!$G$5:$G$180&lt;&gt;"moeda")*(Inputs!$G$5:$G$180&lt;&gt;"acoes")))*INDEX(Inputs!$K$5:$AJ$180,0,MATCH(N$2,Inputs!$K$4:$AJ$4,0)))+SUMPRODUCT((Inputs!$C$5:$C$180=$B66)*Inputs!$D$5:$D$180*(((Inputs!$G$5:$G$180="moeda")+(Inputs!$G$5:$G$180="acoes"))*Inputs!$B$1+((Inputs!$G$5:$G$180&lt;&gt;"moeda")*(Inputs!$G$5:$G$180&lt;&gt;"acoes")))*INDEX(Inputs!$K$5:$AJ$180,0,MATCH(N$2,Inputs!$K$4:$AJ$4,0)))+SUMPRODUCT((Inputs!$E$5:$E$180=$B66)*Inputs!$F$5:$F$180*(((Inputs!$G$5:$G$180="moeda")+(Inputs!$G$5:$G$180="acoes"))*Inputs!$B$1+((Inputs!$G$5:$G$180&lt;&gt;"moeda")*(Inputs!$G$5:$G$180&lt;&gt;"acoes")))*INDEX(Inputs!$K$5:$AJ$180,0,MATCH(N$2,Inputs!$K$4:$AJ$4,0)))))</f>
        <v>0.0737525678448734</v>
      </c>
      <c r="O66" s="268">
        <f>IF(ISNA(MATCH(O$2,Inputs!$K$4:$AJ$4,0)),NA(),IF(SUMPRODUCT((Inputs!$A$5:$A$180=$B66)*ISNUMBER(INDEX(Inputs!$K$5:$AJ$180,0,MATCH(O$2,Inputs!$K$4:$AJ$4,0))))+SUMPRODUCT((Inputs!$C$5:$C$180=$B66)*ISNUMBER(INDEX(Inputs!$K$5:$AJ$180,0,MATCH(O$2,Inputs!$K$4:$AJ$4,0))))+SUMPRODUCT((Inputs!$E$5:$E$180=$B66)*ISNUMBER(INDEX(Inputs!$K$5:$AJ$180,0,MATCH(O$2,Inputs!$K$4:$AJ$4,0))))=0,NA(),SUMPRODUCT((Inputs!$A$5:$A$180=$B66)*Inputs!$B$5:$B$180*(((Inputs!$G$5:$G$180="moeda")+(Inputs!$G$5:$G$180="acoes"))*Inputs!$B$1+((Inputs!$G$5:$G$180&lt;&gt;"moeda")*(Inputs!$G$5:$G$180&lt;&gt;"acoes")))*INDEX(Inputs!$K$5:$AJ$180,0,MATCH(O$2,Inputs!$K$4:$AJ$4,0)))+SUMPRODUCT((Inputs!$C$5:$C$180=$B66)*Inputs!$D$5:$D$180*(((Inputs!$G$5:$G$180="moeda")+(Inputs!$G$5:$G$180="acoes"))*Inputs!$B$1+((Inputs!$G$5:$G$180&lt;&gt;"moeda")*(Inputs!$G$5:$G$180&lt;&gt;"acoes")))*INDEX(Inputs!$K$5:$AJ$180,0,MATCH(O$2,Inputs!$K$4:$AJ$4,0)))+SUMPRODUCT((Inputs!$E$5:$E$180=$B66)*Inputs!$F$5:$F$180*(((Inputs!$G$5:$G$180="moeda")+(Inputs!$G$5:$G$180="acoes"))*Inputs!$B$1+((Inputs!$G$5:$G$180&lt;&gt;"moeda")*(Inputs!$G$5:$G$180&lt;&gt;"acoes")))*INDEX(Inputs!$K$5:$AJ$180,0,MATCH(O$2,Inputs!$K$4:$AJ$4,0)))))</f>
        <v>0.0488582297698719</v>
      </c>
      <c r="P66" s="268">
        <f>IF(ISNA(MATCH(P$2,Inputs!$K$4:$AJ$4,0)),NA(),IF(SUMPRODUCT((Inputs!$A$5:$A$180=$B66)*ISNUMBER(INDEX(Inputs!$K$5:$AJ$180,0,MATCH(P$2,Inputs!$K$4:$AJ$4,0))))+SUMPRODUCT((Inputs!$C$5:$C$180=$B66)*ISNUMBER(INDEX(Inputs!$K$5:$AJ$180,0,MATCH(P$2,Inputs!$K$4:$AJ$4,0))))+SUMPRODUCT((Inputs!$E$5:$E$180=$B66)*ISNUMBER(INDEX(Inputs!$K$5:$AJ$180,0,MATCH(P$2,Inputs!$K$4:$AJ$4,0))))=0,NA(),SUMPRODUCT((Inputs!$A$5:$A$180=$B66)*Inputs!$B$5:$B$180*(((Inputs!$G$5:$G$180="moeda")+(Inputs!$G$5:$G$180="acoes"))*Inputs!$B$1+((Inputs!$G$5:$G$180&lt;&gt;"moeda")*(Inputs!$G$5:$G$180&lt;&gt;"acoes")))*INDEX(Inputs!$K$5:$AJ$180,0,MATCH(P$2,Inputs!$K$4:$AJ$4,0)))+SUMPRODUCT((Inputs!$C$5:$C$180=$B66)*Inputs!$D$5:$D$180*(((Inputs!$G$5:$G$180="moeda")+(Inputs!$G$5:$G$180="acoes"))*Inputs!$B$1+((Inputs!$G$5:$G$180&lt;&gt;"moeda")*(Inputs!$G$5:$G$180&lt;&gt;"acoes")))*INDEX(Inputs!$K$5:$AJ$180,0,MATCH(P$2,Inputs!$K$4:$AJ$4,0)))+SUMPRODUCT((Inputs!$E$5:$E$180=$B66)*Inputs!$F$5:$F$180*(((Inputs!$G$5:$G$180="moeda")+(Inputs!$G$5:$G$180="acoes"))*Inputs!$B$1+((Inputs!$G$5:$G$180&lt;&gt;"moeda")*(Inputs!$G$5:$G$180&lt;&gt;"acoes")))*INDEX(Inputs!$K$5:$AJ$180,0,MATCH(P$2,Inputs!$K$4:$AJ$4,0)))))</f>
        <v>0.0607000150409311</v>
      </c>
      <c r="Q66" s="268">
        <f>IF(ISNA(MATCH(Q$2,Inputs!$K$4:$AJ$4,0)),NA(),IF(SUMPRODUCT((Inputs!$A$5:$A$180=$B66)*ISNUMBER(INDEX(Inputs!$K$5:$AJ$180,0,MATCH(Q$2,Inputs!$K$4:$AJ$4,0))))+SUMPRODUCT((Inputs!$C$5:$C$180=$B66)*ISNUMBER(INDEX(Inputs!$K$5:$AJ$180,0,MATCH(Q$2,Inputs!$K$4:$AJ$4,0))))+SUMPRODUCT((Inputs!$E$5:$E$180=$B66)*ISNUMBER(INDEX(Inputs!$K$5:$AJ$180,0,MATCH(Q$2,Inputs!$K$4:$AJ$4,0))))=0,NA(),SUMPRODUCT((Inputs!$A$5:$A$180=$B66)*Inputs!$B$5:$B$180*(((Inputs!$G$5:$G$180="moeda")+(Inputs!$G$5:$G$180="acoes"))*Inputs!$B$1+((Inputs!$G$5:$G$180&lt;&gt;"moeda")*(Inputs!$G$5:$G$180&lt;&gt;"acoes")))*INDEX(Inputs!$K$5:$AJ$180,0,MATCH(Q$2,Inputs!$K$4:$AJ$4,0)))+SUMPRODUCT((Inputs!$C$5:$C$180=$B66)*Inputs!$D$5:$D$180*(((Inputs!$G$5:$G$180="moeda")+(Inputs!$G$5:$G$180="acoes"))*Inputs!$B$1+((Inputs!$G$5:$G$180&lt;&gt;"moeda")*(Inputs!$G$5:$G$180&lt;&gt;"acoes")))*INDEX(Inputs!$K$5:$AJ$180,0,MATCH(Q$2,Inputs!$K$4:$AJ$4,0)))+SUMPRODUCT((Inputs!$E$5:$E$180=$B66)*Inputs!$F$5:$F$180*(((Inputs!$G$5:$G$180="moeda")+(Inputs!$G$5:$G$180="acoes"))*Inputs!$B$1+((Inputs!$G$5:$G$180&lt;&gt;"moeda")*(Inputs!$G$5:$G$180&lt;&gt;"acoes")))*INDEX(Inputs!$K$5:$AJ$180,0,MATCH(Q$2,Inputs!$K$4:$AJ$4,0)))))</f>
        <v>0.118139791809915</v>
      </c>
      <c r="R66" s="40" t="n"/>
      <c r="S66" s="268">
        <f>IF(ISNA(MATCH(S$2,Inputs!$K$4:$AJ$4,0)),NA(),IF(SUMPRODUCT((Inputs!$A$5:$A$180=$B66)*ISNUMBER(INDEX(Inputs!$K$5:$AJ$180,0,MATCH(S$2,Inputs!$K$4:$AJ$4,0))))+SUMPRODUCT((Inputs!$C$5:$C$180=$B66)*ISNUMBER(INDEX(Inputs!$K$5:$AJ$180,0,MATCH(S$2,Inputs!$K$4:$AJ$4,0))))+SUMPRODUCT((Inputs!$E$5:$E$180=$B66)*ISNUMBER(INDEX(Inputs!$K$5:$AJ$180,0,MATCH(S$2,Inputs!$K$4:$AJ$4,0))))=0,NA(),SUMPRODUCT((Inputs!$A$5:$A$180=$B66)*Inputs!$B$5:$B$180*(((Inputs!$G$5:$G$180="moeda")+(Inputs!$G$5:$G$180="acoes"))*Inputs!$B$1+((Inputs!$G$5:$G$180&lt;&gt;"moeda")*(Inputs!$G$5:$G$180&lt;&gt;"acoes")))*INDEX(Inputs!$K$5:$AJ$180,0,MATCH(S$2,Inputs!$K$4:$AJ$4,0)))+SUMPRODUCT((Inputs!$C$5:$C$180=$B66)*Inputs!$D$5:$D$180*(((Inputs!$G$5:$G$180="moeda")+(Inputs!$G$5:$G$180="acoes"))*Inputs!$B$1+((Inputs!$G$5:$G$180&lt;&gt;"moeda")*(Inputs!$G$5:$G$180&lt;&gt;"acoes")))*INDEX(Inputs!$K$5:$AJ$180,0,MATCH(S$2,Inputs!$K$4:$AJ$4,0)))+SUMPRODUCT((Inputs!$E$5:$E$180=$B66)*Inputs!$F$5:$F$180*(((Inputs!$G$5:$G$180="moeda")+(Inputs!$G$5:$G$180="acoes"))*Inputs!$B$1+((Inputs!$G$5:$G$180&lt;&gt;"moeda")*(Inputs!$G$5:$G$180&lt;&gt;"acoes")))*INDEX(Inputs!$K$5:$AJ$180,0,MATCH(S$2,Inputs!$K$4:$AJ$4,0)))))</f>
        <v>0.095727734876653</v>
      </c>
      <c r="T66" s="268">
        <f>IF(ISNA(MATCH(T$2,Inputs!$K$4:$AJ$4,0)),NA(),IF(SUMPRODUCT((Inputs!$A$5:$A$180=$B66)*ISNUMBER(INDEX(Inputs!$K$5:$AJ$180,0,MATCH(T$2,Inputs!$K$4:$AJ$4,0))))+SUMPRODUCT((Inputs!$C$5:$C$180=$B66)*ISNUMBER(INDEX(Inputs!$K$5:$AJ$180,0,MATCH(T$2,Inputs!$K$4:$AJ$4,0))))+SUMPRODUCT((Inputs!$E$5:$E$180=$B66)*ISNUMBER(INDEX(Inputs!$K$5:$AJ$180,0,MATCH(T$2,Inputs!$K$4:$AJ$4,0))))=0,NA(),SUMPRODUCT((Inputs!$A$5:$A$180=$B66)*Inputs!$B$5:$B$180*(((Inputs!$G$5:$G$180="moeda")+(Inputs!$G$5:$G$180="acoes"))*Inputs!$B$1+((Inputs!$G$5:$G$180&lt;&gt;"moeda")*(Inputs!$G$5:$G$180&lt;&gt;"acoes")))*INDEX(Inputs!$K$5:$AJ$180,0,MATCH(T$2,Inputs!$K$4:$AJ$4,0)))+SUMPRODUCT((Inputs!$C$5:$C$180=$B66)*Inputs!$D$5:$D$180*(((Inputs!$G$5:$G$180="moeda")+(Inputs!$G$5:$G$180="acoes"))*Inputs!$B$1+((Inputs!$G$5:$G$180&lt;&gt;"moeda")*(Inputs!$G$5:$G$180&lt;&gt;"acoes")))*INDEX(Inputs!$K$5:$AJ$180,0,MATCH(T$2,Inputs!$K$4:$AJ$4,0)))+SUMPRODUCT((Inputs!$E$5:$E$180=$B66)*Inputs!$F$5:$F$180*(((Inputs!$G$5:$G$180="moeda")+(Inputs!$G$5:$G$180="acoes"))*Inputs!$B$1+((Inputs!$G$5:$G$180&lt;&gt;"moeda")*(Inputs!$G$5:$G$180&lt;&gt;"acoes")))*INDEX(Inputs!$K$5:$AJ$180,0,MATCH(T$2,Inputs!$K$4:$AJ$4,0)))))</f>
        <v>0.129</v>
      </c>
      <c r="U66" s="268">
        <f>IF(ISNA(MATCH(U$2,Inputs!$K$4:$AJ$4,0)),NA(),IF(SUMPRODUCT((Inputs!$A$5:$A$180=$B66)*ISNUMBER(INDEX(Inputs!$K$5:$AJ$180,0,MATCH(U$2,Inputs!$K$4:$AJ$4,0))))+SUMPRODUCT((Inputs!$C$5:$C$180=$B66)*ISNUMBER(INDEX(Inputs!$K$5:$AJ$180,0,MATCH(U$2,Inputs!$K$4:$AJ$4,0))))+SUMPRODUCT((Inputs!$E$5:$E$180=$B66)*ISNUMBER(INDEX(Inputs!$K$5:$AJ$180,0,MATCH(U$2,Inputs!$K$4:$AJ$4,0))))=0,NA(),SUMPRODUCT((Inputs!$A$5:$A$180=$B66)*Inputs!$B$5:$B$180*(((Inputs!$G$5:$G$180="moeda")+(Inputs!$G$5:$G$180="acoes"))*Inputs!$B$1+((Inputs!$G$5:$G$180&lt;&gt;"moeda")*(Inputs!$G$5:$G$180&lt;&gt;"acoes")))*INDEX(Inputs!$K$5:$AJ$180,0,MATCH(U$2,Inputs!$K$4:$AJ$4,0)))+SUMPRODUCT((Inputs!$C$5:$C$180=$B66)*Inputs!$D$5:$D$180*(((Inputs!$G$5:$G$180="moeda")+(Inputs!$G$5:$G$180="acoes"))*Inputs!$B$1+((Inputs!$G$5:$G$180&lt;&gt;"moeda")*(Inputs!$G$5:$G$180&lt;&gt;"acoes")))*INDEX(Inputs!$K$5:$AJ$180,0,MATCH(U$2,Inputs!$K$4:$AJ$4,0)))+SUMPRODUCT((Inputs!$E$5:$E$180=$B66)*Inputs!$F$5:$F$180*(((Inputs!$G$5:$G$180="moeda")+(Inputs!$G$5:$G$180="acoes"))*Inputs!$B$1+((Inputs!$G$5:$G$180&lt;&gt;"moeda")*(Inputs!$G$5:$G$180&lt;&gt;"acoes")))*INDEX(Inputs!$K$5:$AJ$180,0,MATCH(U$2,Inputs!$K$4:$AJ$4,0)))))</f>
        <v>0.135</v>
      </c>
      <c r="V66" s="268">
        <f>IF(ISNA(MATCH(V$2,Inputs!$K$4:$AJ$4,0)),NA(),IF(SUMPRODUCT((Inputs!$A$5:$A$180=$B66)*ISNUMBER(INDEX(Inputs!$K$5:$AJ$180,0,MATCH(V$2,Inputs!$K$4:$AJ$4,0))))+SUMPRODUCT((Inputs!$C$5:$C$180=$B66)*ISNUMBER(INDEX(Inputs!$K$5:$AJ$180,0,MATCH(V$2,Inputs!$K$4:$AJ$4,0))))+SUMPRODUCT((Inputs!$E$5:$E$180=$B66)*ISNUMBER(INDEX(Inputs!$K$5:$AJ$180,0,MATCH(V$2,Inputs!$K$4:$AJ$4,0))))=0,NA(),SUMPRODUCT((Inputs!$A$5:$A$180=$B66)*Inputs!$B$5:$B$180*(((Inputs!$G$5:$G$180="moeda")+(Inputs!$G$5:$G$180="acoes"))*Inputs!$B$1+((Inputs!$G$5:$G$180&lt;&gt;"moeda")*(Inputs!$G$5:$G$180&lt;&gt;"acoes")))*INDEX(Inputs!$K$5:$AJ$180,0,MATCH(V$2,Inputs!$K$4:$AJ$4,0)))+SUMPRODUCT((Inputs!$C$5:$C$180=$B66)*Inputs!$D$5:$D$180*(((Inputs!$G$5:$G$180="moeda")+(Inputs!$G$5:$G$180="acoes"))*Inputs!$B$1+((Inputs!$G$5:$G$180&lt;&gt;"moeda")*(Inputs!$G$5:$G$180&lt;&gt;"acoes")))*INDEX(Inputs!$K$5:$AJ$180,0,MATCH(V$2,Inputs!$K$4:$AJ$4,0)))+SUMPRODUCT((Inputs!$E$5:$E$180=$B66)*Inputs!$F$5:$F$180*(((Inputs!$G$5:$G$180="moeda")+(Inputs!$G$5:$G$180="acoes"))*Inputs!$B$1+((Inputs!$G$5:$G$180&lt;&gt;"moeda")*(Inputs!$G$5:$G$180&lt;&gt;"acoes")))*INDEX(Inputs!$K$5:$AJ$180,0,MATCH(V$2,Inputs!$K$4:$AJ$4,0)))))</f>
        <v>0.103</v>
      </c>
      <c r="W66" s="40" t="n"/>
      <c r="X66" s="268">
        <f>IF(ISNA(MATCH(X$2,Inputs!$K$4:$AJ$4,0)),NA(),IF(SUMPRODUCT((Inputs!$A$5:$A$180=$B66)*ISNUMBER(INDEX(Inputs!$K$5:$AJ$180,0,MATCH(X$2,Inputs!$K$4:$AJ$4,0))))+SUMPRODUCT((Inputs!$C$5:$C$180=$B66)*ISNUMBER(INDEX(Inputs!$K$5:$AJ$180,0,MATCH(X$2,Inputs!$K$4:$AJ$4,0))))+SUMPRODUCT((Inputs!$E$5:$E$180=$B66)*ISNUMBER(INDEX(Inputs!$K$5:$AJ$180,0,MATCH(X$2,Inputs!$K$4:$AJ$4,0))))=0,NA(),SUMPRODUCT((Inputs!$A$5:$A$180=$B66)*Inputs!$B$5:$B$180*(((Inputs!$G$5:$G$180="moeda")+(Inputs!$G$5:$G$180="acoes"))*Inputs!$B$1+((Inputs!$G$5:$G$180&lt;&gt;"moeda")*(Inputs!$G$5:$G$180&lt;&gt;"acoes")))*INDEX(Inputs!$K$5:$AJ$180,0,MATCH(X$2,Inputs!$K$4:$AJ$4,0)))+SUMPRODUCT((Inputs!$C$5:$C$180=$B66)*Inputs!$D$5:$D$180*(((Inputs!$G$5:$G$180="moeda")+(Inputs!$G$5:$G$180="acoes"))*Inputs!$B$1+((Inputs!$G$5:$G$180&lt;&gt;"moeda")*(Inputs!$G$5:$G$180&lt;&gt;"acoes")))*INDEX(Inputs!$K$5:$AJ$180,0,MATCH(X$2,Inputs!$K$4:$AJ$4,0)))+SUMPRODUCT((Inputs!$E$5:$E$180=$B66)*Inputs!$F$5:$F$180*(((Inputs!$G$5:$G$180="moeda")+(Inputs!$G$5:$G$180="acoes"))*Inputs!$B$1+((Inputs!$G$5:$G$180&lt;&gt;"moeda")*(Inputs!$G$5:$G$180&lt;&gt;"acoes")))*INDEX(Inputs!$K$5:$AJ$180,0,MATCH(X$2,Inputs!$K$4:$AJ$4,0)))))</f>
        <v>0.101</v>
      </c>
      <c r="Y66" s="268">
        <f>IF(ISNA(MATCH(Y$2,Inputs!$K$4:$AJ$4,0)),NA(),IF(SUMPRODUCT((Inputs!$A$5:$A$180=$B66)*ISNUMBER(INDEX(Inputs!$K$5:$AJ$180,0,MATCH(Y$2,Inputs!$K$4:$AJ$4,0))))+SUMPRODUCT((Inputs!$C$5:$C$180=$B66)*ISNUMBER(INDEX(Inputs!$K$5:$AJ$180,0,MATCH(Y$2,Inputs!$K$4:$AJ$4,0))))+SUMPRODUCT((Inputs!$E$5:$E$180=$B66)*ISNUMBER(INDEX(Inputs!$K$5:$AJ$180,0,MATCH(Y$2,Inputs!$K$4:$AJ$4,0))))=0,NA(),SUMPRODUCT((Inputs!$A$5:$A$180=$B66)*Inputs!$B$5:$B$180*(((Inputs!$G$5:$G$180="moeda")+(Inputs!$G$5:$G$180="acoes"))*Inputs!$B$1+((Inputs!$G$5:$G$180&lt;&gt;"moeda")*(Inputs!$G$5:$G$180&lt;&gt;"acoes")))*INDEX(Inputs!$K$5:$AJ$180,0,MATCH(Y$2,Inputs!$K$4:$AJ$4,0)))+SUMPRODUCT((Inputs!$C$5:$C$180=$B66)*Inputs!$D$5:$D$180*(((Inputs!$G$5:$G$180="moeda")+(Inputs!$G$5:$G$180="acoes"))*Inputs!$B$1+((Inputs!$G$5:$G$180&lt;&gt;"moeda")*(Inputs!$G$5:$G$180&lt;&gt;"acoes")))*INDEX(Inputs!$K$5:$AJ$180,0,MATCH(Y$2,Inputs!$K$4:$AJ$4,0)))+SUMPRODUCT((Inputs!$E$5:$E$180=$B66)*Inputs!$F$5:$F$180*(((Inputs!$G$5:$G$180="moeda")+(Inputs!$G$5:$G$180="acoes"))*Inputs!$B$1+((Inputs!$G$5:$G$180&lt;&gt;"moeda")*(Inputs!$G$5:$G$180&lt;&gt;"acoes")))*INDEX(Inputs!$K$5:$AJ$180,0,MATCH(Y$2,Inputs!$K$4:$AJ$4,0)))))</f>
        <v>0.11</v>
      </c>
      <c r="Z66" s="268">
        <f>IF(ISNA(MATCH(Z$2,Inputs!$K$4:$AJ$4,0)),NA(),IF(SUMPRODUCT((Inputs!$A$5:$A$180=$B66)*ISNUMBER(INDEX(Inputs!$K$5:$AJ$180,0,MATCH(Z$2,Inputs!$K$4:$AJ$4,0))))+SUMPRODUCT((Inputs!$C$5:$C$180=$B66)*ISNUMBER(INDEX(Inputs!$K$5:$AJ$180,0,MATCH(Z$2,Inputs!$K$4:$AJ$4,0))))+SUMPRODUCT((Inputs!$E$5:$E$180=$B66)*ISNUMBER(INDEX(Inputs!$K$5:$AJ$180,0,MATCH(Z$2,Inputs!$K$4:$AJ$4,0))))=0,NA(),SUMPRODUCT((Inputs!$A$5:$A$180=$B66)*Inputs!$B$5:$B$180*(((Inputs!$G$5:$G$180="moeda")+(Inputs!$G$5:$G$180="acoes"))*Inputs!$B$1+((Inputs!$G$5:$G$180&lt;&gt;"moeda")*(Inputs!$G$5:$G$180&lt;&gt;"acoes")))*INDEX(Inputs!$K$5:$AJ$180,0,MATCH(Z$2,Inputs!$K$4:$AJ$4,0)))+SUMPRODUCT((Inputs!$C$5:$C$180=$B66)*Inputs!$D$5:$D$180*(((Inputs!$G$5:$G$180="moeda")+(Inputs!$G$5:$G$180="acoes"))*Inputs!$B$1+((Inputs!$G$5:$G$180&lt;&gt;"moeda")*(Inputs!$G$5:$G$180&lt;&gt;"acoes")))*INDEX(Inputs!$K$5:$AJ$180,0,MATCH(Z$2,Inputs!$K$4:$AJ$4,0)))+SUMPRODUCT((Inputs!$E$5:$E$180=$B66)*Inputs!$F$5:$F$180*(((Inputs!$G$5:$G$180="moeda")+(Inputs!$G$5:$G$180="acoes"))*Inputs!$B$1+((Inputs!$G$5:$G$180&lt;&gt;"moeda")*(Inputs!$G$5:$G$180&lt;&gt;"acoes")))*INDEX(Inputs!$K$5:$AJ$180,0,MATCH(Z$2,Inputs!$K$4:$AJ$4,0)))))</f>
        <v>0.104</v>
      </c>
      <c r="AA66" s="268">
        <f>IF(ISNA(MATCH(AA$2,Inputs!$K$4:$AJ$4,0)),NA(),IF(SUMPRODUCT((Inputs!$A$5:$A$180=$B66)*ISNUMBER(INDEX(Inputs!$K$5:$AJ$180,0,MATCH(AA$2,Inputs!$K$4:$AJ$4,0))))+SUMPRODUCT((Inputs!$C$5:$C$180=$B66)*ISNUMBER(INDEX(Inputs!$K$5:$AJ$180,0,MATCH(AA$2,Inputs!$K$4:$AJ$4,0))))+SUMPRODUCT((Inputs!$E$5:$E$180=$B66)*ISNUMBER(INDEX(Inputs!$K$5:$AJ$180,0,MATCH(AA$2,Inputs!$K$4:$AJ$4,0))))=0,NA(),SUMPRODUCT((Inputs!$A$5:$A$180=$B66)*Inputs!$B$5:$B$180*(((Inputs!$G$5:$G$180="moeda")+(Inputs!$G$5:$G$180="acoes"))*Inputs!$B$1+((Inputs!$G$5:$G$180&lt;&gt;"moeda")*(Inputs!$G$5:$G$180&lt;&gt;"acoes")))*INDEX(Inputs!$K$5:$AJ$180,0,MATCH(AA$2,Inputs!$K$4:$AJ$4,0)))+SUMPRODUCT((Inputs!$C$5:$C$180=$B66)*Inputs!$D$5:$D$180*(((Inputs!$G$5:$G$180="moeda")+(Inputs!$G$5:$G$180="acoes"))*Inputs!$B$1+((Inputs!$G$5:$G$180&lt;&gt;"moeda")*(Inputs!$G$5:$G$180&lt;&gt;"acoes")))*INDEX(Inputs!$K$5:$AJ$180,0,MATCH(AA$2,Inputs!$K$4:$AJ$4,0)))+SUMPRODUCT((Inputs!$E$5:$E$180=$B66)*Inputs!$F$5:$F$180*(((Inputs!$G$5:$G$180="moeda")+(Inputs!$G$5:$G$180="acoes"))*Inputs!$B$1+((Inputs!$G$5:$G$180&lt;&gt;"moeda")*(Inputs!$G$5:$G$180&lt;&gt;"acoes")))*INDEX(Inputs!$K$5:$AJ$180,0,MATCH(AA$2,Inputs!$K$4:$AJ$4,0)))))</f>
        <v>0.112</v>
      </c>
      <c r="AB66" s="40" t="n"/>
      <c r="AC66" s="268">
        <f>IF(ISNA(MATCH(AC$2,Inputs!$K$4:$AJ$4,0)),NA(),IF(SUMPRODUCT((Inputs!$A$5:$A$180=$B66)*ISNUMBER(INDEX(Inputs!$K$5:$AJ$180,0,MATCH(AC$2,Inputs!$K$4:$AJ$4,0))))+SUMPRODUCT((Inputs!$C$5:$C$180=$B66)*ISNUMBER(INDEX(Inputs!$K$5:$AJ$180,0,MATCH(AC$2,Inputs!$K$4:$AJ$4,0))))+SUMPRODUCT((Inputs!$E$5:$E$180=$B66)*ISNUMBER(INDEX(Inputs!$K$5:$AJ$180,0,MATCH(AC$2,Inputs!$K$4:$AJ$4,0))))=0,NA(),SUMPRODUCT((Inputs!$A$5:$A$180=$B66)*Inputs!$B$5:$B$180*(((Inputs!$G$5:$G$180="moeda")+(Inputs!$G$5:$G$180="acoes"))*Inputs!$B$1+((Inputs!$G$5:$G$180&lt;&gt;"moeda")*(Inputs!$G$5:$G$180&lt;&gt;"acoes")))*INDEX(Inputs!$K$5:$AJ$180,0,MATCH(AC$2,Inputs!$K$4:$AJ$4,0)))+SUMPRODUCT((Inputs!$C$5:$C$180=$B66)*Inputs!$D$5:$D$180*(((Inputs!$G$5:$G$180="moeda")+(Inputs!$G$5:$G$180="acoes"))*Inputs!$B$1+((Inputs!$G$5:$G$180&lt;&gt;"moeda")*(Inputs!$G$5:$G$180&lt;&gt;"acoes")))*INDEX(Inputs!$K$5:$AJ$180,0,MATCH(AC$2,Inputs!$K$4:$AJ$4,0)))+SUMPRODUCT((Inputs!$E$5:$E$180=$B66)*Inputs!$F$5:$F$180*(((Inputs!$G$5:$G$180="moeda")+(Inputs!$G$5:$G$180="acoes"))*Inputs!$B$1+((Inputs!$G$5:$G$180&lt;&gt;"moeda")*(Inputs!$G$5:$G$180&lt;&gt;"acoes")))*INDEX(Inputs!$K$5:$AJ$180,0,MATCH(AC$2,Inputs!$K$4:$AJ$4,0)))))</f>
        <v>0.097</v>
      </c>
      <c r="AD66" s="268">
        <f>IF(ISNA(MATCH(AD$2,Inputs!$K$4:$AJ$4,0)),NA(),IF(SUMPRODUCT((Inputs!$A$5:$A$180=$B66)*ISNUMBER(INDEX(Inputs!$K$5:$AJ$180,0,MATCH(AD$2,Inputs!$K$4:$AJ$4,0))))+SUMPRODUCT((Inputs!$C$5:$C$180=$B66)*ISNUMBER(INDEX(Inputs!$K$5:$AJ$180,0,MATCH(AD$2,Inputs!$K$4:$AJ$4,0))))+SUMPRODUCT((Inputs!$E$5:$E$180=$B66)*ISNUMBER(INDEX(Inputs!$K$5:$AJ$180,0,MATCH(AD$2,Inputs!$K$4:$AJ$4,0))))=0,NA(),SUMPRODUCT((Inputs!$A$5:$A$180=$B66)*Inputs!$B$5:$B$180*(((Inputs!$G$5:$G$180="moeda")+(Inputs!$G$5:$G$180="acoes"))*Inputs!$B$1+((Inputs!$G$5:$G$180&lt;&gt;"moeda")*(Inputs!$G$5:$G$180&lt;&gt;"acoes")))*INDEX(Inputs!$K$5:$AJ$180,0,MATCH(AD$2,Inputs!$K$4:$AJ$4,0)))+SUMPRODUCT((Inputs!$C$5:$C$180=$B66)*Inputs!$D$5:$D$180*(((Inputs!$G$5:$G$180="moeda")+(Inputs!$G$5:$G$180="acoes"))*Inputs!$B$1+((Inputs!$G$5:$G$180&lt;&gt;"moeda")*(Inputs!$G$5:$G$180&lt;&gt;"acoes")))*INDEX(Inputs!$K$5:$AJ$180,0,MATCH(AD$2,Inputs!$K$4:$AJ$4,0)))+SUMPRODUCT((Inputs!$E$5:$E$180=$B66)*Inputs!$F$5:$F$180*(((Inputs!$G$5:$G$180="moeda")+(Inputs!$G$5:$G$180="acoes"))*Inputs!$B$1+((Inputs!$G$5:$G$180&lt;&gt;"moeda")*(Inputs!$G$5:$G$180&lt;&gt;"acoes")))*INDEX(Inputs!$K$5:$AJ$180,0,MATCH(AD$2,Inputs!$K$4:$AJ$4,0)))))</f>
        <v>0.0593424377662906</v>
      </c>
      <c r="AE66" s="268" t="e">
        <f>IF(ISNA(MATCH(AE$2,Inputs!$K$4:$AJ$4,0)),NA(),IF(SUMPRODUCT((Inputs!$A$5:$A$180=$B66)*ISNUMBER(INDEX(Inputs!$K$5:$AJ$180,0,MATCH(AE$2,Inputs!$K$4:$AJ$4,0))))+SUMPRODUCT((Inputs!$C$5:$C$180=$B66)*ISNUMBER(INDEX(Inputs!$K$5:$AJ$180,0,MATCH(AE$2,Inputs!$K$4:$AJ$4,0))))+SUMPRODUCT((Inputs!$E$5:$E$180=$B66)*ISNUMBER(INDEX(Inputs!$K$5:$AJ$180,0,MATCH(AE$2,Inputs!$K$4:$AJ$4,0))))=0,NA(),SUMPRODUCT((Inputs!$A$5:$A$180=$B66)*Inputs!$B$5:$B$180*(((Inputs!$G$5:$G$180="moeda")+(Inputs!$G$5:$G$180="acoes"))*Inputs!$B$1+((Inputs!$G$5:$G$180&lt;&gt;"moeda")*(Inputs!$G$5:$G$180&lt;&gt;"acoes")))*INDEX(Inputs!$K$5:$AJ$180,0,MATCH(AE$2,Inputs!$K$4:$AJ$4,0)))+SUMPRODUCT((Inputs!$C$5:$C$180=$B66)*Inputs!$D$5:$D$180*(((Inputs!$G$5:$G$180="moeda")+(Inputs!$G$5:$G$180="acoes"))*Inputs!$B$1+((Inputs!$G$5:$G$180&lt;&gt;"moeda")*(Inputs!$G$5:$G$180&lt;&gt;"acoes")))*INDEX(Inputs!$K$5:$AJ$180,0,MATCH(AE$2,Inputs!$K$4:$AJ$4,0)))+SUMPRODUCT((Inputs!$E$5:$E$180=$B66)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6" s="268" t="e">
        <f>IF(ISNA(MATCH(AF$2,Inputs!$K$4:$AJ$4,0)),NA(),IF(SUMPRODUCT((Inputs!$A$5:$A$180=$B66)*ISNUMBER(INDEX(Inputs!$K$5:$AJ$180,0,MATCH(AF$2,Inputs!$K$4:$AJ$4,0))))+SUMPRODUCT((Inputs!$C$5:$C$180=$B66)*ISNUMBER(INDEX(Inputs!$K$5:$AJ$180,0,MATCH(AF$2,Inputs!$K$4:$AJ$4,0))))+SUMPRODUCT((Inputs!$E$5:$E$180=$B66)*ISNUMBER(INDEX(Inputs!$K$5:$AJ$180,0,MATCH(AF$2,Inputs!$K$4:$AJ$4,0))))=0,NA(),SUMPRODUCT((Inputs!$A$5:$A$180=$B66)*Inputs!$B$5:$B$180*(((Inputs!$G$5:$G$180="moeda")+(Inputs!$G$5:$G$180="acoes"))*Inputs!$B$1+((Inputs!$G$5:$G$180&lt;&gt;"moeda")*(Inputs!$G$5:$G$180&lt;&gt;"acoes")))*INDEX(Inputs!$K$5:$AJ$180,0,MATCH(AF$2,Inputs!$K$4:$AJ$4,0)))+SUMPRODUCT((Inputs!$C$5:$C$180=$B66)*Inputs!$D$5:$D$180*(((Inputs!$G$5:$G$180="moeda")+(Inputs!$G$5:$G$180="acoes"))*Inputs!$B$1+((Inputs!$G$5:$G$180&lt;&gt;"moeda")*(Inputs!$G$5:$G$180&lt;&gt;"acoes")))*INDEX(Inputs!$K$5:$AJ$180,0,MATCH(AF$2,Inputs!$K$4:$AJ$4,0)))+SUMPRODUCT((Inputs!$E$5:$E$180=$B66)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6" s="40" t="n"/>
      <c r="AH66" s="268">
        <f>IF(ISNA(MATCH(AH$2,Inputs!$K$4:$AJ$4,0)),NA(),IF(SUMPRODUCT((Inputs!$A$5:$A$180=$B66)*ISNUMBER(INDEX(Inputs!$K$5:$AJ$180,0,MATCH(AH$2,Inputs!$K$4:$AJ$4,0))))+SUMPRODUCT((Inputs!$C$5:$C$180=$B66)*ISNUMBER(INDEX(Inputs!$K$5:$AJ$180,0,MATCH(AH$2,Inputs!$K$4:$AJ$4,0))))+SUMPRODUCT((Inputs!$E$5:$E$180=$B66)*ISNUMBER(INDEX(Inputs!$K$5:$AJ$180,0,MATCH(AH$2,Inputs!$K$4:$AJ$4,0))))=0,NA(),SUMPRODUCT((Inputs!$A$5:$A$180=$B66)*Inputs!$B$5:$B$180*(((Inputs!$G$5:$G$180="moeda")+(Inputs!$G$5:$G$180="acoes"))*Inputs!$B$1+((Inputs!$G$5:$G$180&lt;&gt;"moeda")*(Inputs!$G$5:$G$180&lt;&gt;"acoes")))*INDEX(Inputs!$K$5:$AJ$180,0,MATCH(AH$2,Inputs!$K$4:$AJ$4,0)))+SUMPRODUCT((Inputs!$C$5:$C$180=$B66)*Inputs!$D$5:$D$180*(((Inputs!$G$5:$G$180="moeda")+(Inputs!$G$5:$G$180="acoes"))*Inputs!$B$1+((Inputs!$G$5:$G$180&lt;&gt;"moeda")*(Inputs!$G$5:$G$180&lt;&gt;"acoes")))*INDEX(Inputs!$K$5:$AJ$180,0,MATCH(AH$2,Inputs!$K$4:$AJ$4,0)))+SUMPRODUCT((Inputs!$E$5:$E$180=$B66)*Inputs!$F$5:$F$180*(((Inputs!$G$5:$G$180="moeda")+(Inputs!$G$5:$G$180="acoes"))*Inputs!$B$1+((Inputs!$G$5:$G$180&lt;&gt;"moeda")*(Inputs!$G$5:$G$180&lt;&gt;"acoes")))*INDEX(Inputs!$K$5:$AJ$180,0,MATCH(AH$2,Inputs!$K$4:$AJ$4,0)))))</f>
        <v>-0.1</v>
      </c>
      <c r="AI66" s="268">
        <f>IF(ISNA(MATCH(AI$2,Inputs!$K$4:$AJ$4,0)),NA(),IF(SUMPRODUCT((Inputs!$A$5:$A$180=$B66)*ISNUMBER(INDEX(Inputs!$K$5:$AJ$180,0,MATCH(AI$2,Inputs!$K$4:$AJ$4,0))))+SUMPRODUCT((Inputs!$C$5:$C$180=$B66)*ISNUMBER(INDEX(Inputs!$K$5:$AJ$180,0,MATCH(AI$2,Inputs!$K$4:$AJ$4,0))))+SUMPRODUCT((Inputs!$E$5:$E$180=$B66)*ISNUMBER(INDEX(Inputs!$K$5:$AJ$180,0,MATCH(AI$2,Inputs!$K$4:$AJ$4,0))))=0,NA(),SUMPRODUCT((Inputs!$A$5:$A$180=$B66)*Inputs!$B$5:$B$180*(((Inputs!$G$5:$G$180="moeda")+(Inputs!$G$5:$G$180="acoes"))*Inputs!$B$1+((Inputs!$G$5:$G$180&lt;&gt;"moeda")*(Inputs!$G$5:$G$180&lt;&gt;"acoes")))*INDEX(Inputs!$K$5:$AJ$180,0,MATCH(AI$2,Inputs!$K$4:$AJ$4,0)))+SUMPRODUCT((Inputs!$C$5:$C$180=$B66)*Inputs!$D$5:$D$180*(((Inputs!$G$5:$G$180="moeda")+(Inputs!$G$5:$G$180="acoes"))*Inputs!$B$1+((Inputs!$G$5:$G$180&lt;&gt;"moeda")*(Inputs!$G$5:$G$180&lt;&gt;"acoes")))*INDEX(Inputs!$K$5:$AJ$180,0,MATCH(AI$2,Inputs!$K$4:$AJ$4,0)))+SUMPRODUCT((Inputs!$E$5:$E$180=$B66)*Inputs!$F$5:$F$180*(((Inputs!$G$5:$G$180="moeda")+(Inputs!$G$5:$G$180="acoes"))*Inputs!$B$1+((Inputs!$G$5:$G$180&lt;&gt;"moeda")*(Inputs!$G$5:$G$180&lt;&gt;"acoes")))*INDEX(Inputs!$K$5:$AJ$180,0,MATCH(AI$2,Inputs!$K$4:$AJ$4,0)))))</f>
        <v>-0.835</v>
      </c>
      <c r="AJ66" s="268">
        <f>IF(ISNA(MATCH(AJ$2,Inputs!$K$4:$AJ$4,0)),NA(),IF(SUMPRODUCT((Inputs!$A$5:$A$180=$B66)*ISNUMBER(INDEX(Inputs!$K$5:$AJ$180,0,MATCH(AJ$2,Inputs!$K$4:$AJ$4,0))))+SUMPRODUCT((Inputs!$C$5:$C$180=$B66)*ISNUMBER(INDEX(Inputs!$K$5:$AJ$180,0,MATCH(AJ$2,Inputs!$K$4:$AJ$4,0))))+SUMPRODUCT((Inputs!$E$5:$E$180=$B66)*ISNUMBER(INDEX(Inputs!$K$5:$AJ$180,0,MATCH(AJ$2,Inputs!$K$4:$AJ$4,0))))=0,NA(),SUMPRODUCT((Inputs!$A$5:$A$180=$B66)*Inputs!$B$5:$B$180*(((Inputs!$G$5:$G$180="moeda")+(Inputs!$G$5:$G$180="acoes"))*Inputs!$B$1+((Inputs!$G$5:$G$180&lt;&gt;"moeda")*(Inputs!$G$5:$G$180&lt;&gt;"acoes")))*INDEX(Inputs!$K$5:$AJ$180,0,MATCH(AJ$2,Inputs!$K$4:$AJ$4,0)))+SUMPRODUCT((Inputs!$C$5:$C$180=$B66)*Inputs!$D$5:$D$180*(((Inputs!$G$5:$G$180="moeda")+(Inputs!$G$5:$G$180="acoes"))*Inputs!$B$1+((Inputs!$G$5:$G$180&lt;&gt;"moeda")*(Inputs!$G$5:$G$180&lt;&gt;"acoes")))*INDEX(Inputs!$K$5:$AJ$180,0,MATCH(AJ$2,Inputs!$K$4:$AJ$4,0)))+SUMPRODUCT((Inputs!$E$5:$E$180=$B66)*Inputs!$F$5:$F$180*(((Inputs!$G$5:$G$180="moeda")+(Inputs!$G$5:$G$180="acoes"))*Inputs!$B$1+((Inputs!$G$5:$G$180&lt;&gt;"moeda")*(Inputs!$G$5:$G$180&lt;&gt;"acoes")))*INDEX(Inputs!$K$5:$AJ$180,0,MATCH(AJ$2,Inputs!$K$4:$AJ$4,0)))))</f>
        <v>-0.219</v>
      </c>
      <c r="AK66" s="268">
        <f>IF(ISNA(MATCH(AK$2,Inputs!$K$4:$AJ$4,0)),NA(),IF(SUMPRODUCT((Inputs!$A$5:$A$180=$B66)*ISNUMBER(INDEX(Inputs!$K$5:$AJ$180,0,MATCH(AK$2,Inputs!$K$4:$AJ$4,0))))+SUMPRODUCT((Inputs!$C$5:$C$180=$B66)*ISNUMBER(INDEX(Inputs!$K$5:$AJ$180,0,MATCH(AK$2,Inputs!$K$4:$AJ$4,0))))+SUMPRODUCT((Inputs!$E$5:$E$180=$B66)*ISNUMBER(INDEX(Inputs!$K$5:$AJ$180,0,MATCH(AK$2,Inputs!$K$4:$AJ$4,0))))=0,NA(),SUMPRODUCT((Inputs!$A$5:$A$180=$B66)*Inputs!$B$5:$B$180*(((Inputs!$G$5:$G$180="moeda")+(Inputs!$G$5:$G$180="acoes"))*Inputs!$B$1+((Inputs!$G$5:$G$180&lt;&gt;"moeda")*(Inputs!$G$5:$G$180&lt;&gt;"acoes")))*INDEX(Inputs!$K$5:$AJ$180,0,MATCH(AK$2,Inputs!$K$4:$AJ$4,0)))+SUMPRODUCT((Inputs!$C$5:$C$180=$B66)*Inputs!$D$5:$D$180*(((Inputs!$G$5:$G$180="moeda")+(Inputs!$G$5:$G$180="acoes"))*Inputs!$B$1+((Inputs!$G$5:$G$180&lt;&gt;"moeda")*(Inputs!$G$5:$G$180&lt;&gt;"acoes")))*INDEX(Inputs!$K$5:$AJ$180,0,MATCH(AK$2,Inputs!$K$4:$AJ$4,0)))+SUMPRODUCT((Inputs!$E$5:$E$180=$B66)*Inputs!$F$5:$F$180*(((Inputs!$G$5:$G$180="moeda")+(Inputs!$G$5:$G$180="acoes"))*Inputs!$B$1+((Inputs!$G$5:$G$180&lt;&gt;"moeda")*(Inputs!$G$5:$G$180&lt;&gt;"acoes")))*INDEX(Inputs!$K$5:$AJ$180,0,MATCH(AK$2,Inputs!$K$4:$AJ$4,0)))))</f>
        <v>-0.02</v>
      </c>
      <c r="AL66" s="40" t="n"/>
    </row>
    <row r="67">
      <c r="B67" s="46" t="n">
        <v>59</v>
      </c>
      <c r="C67" s="29" t="inlineStr">
        <is>
          <t>SSS lojas Vivara (l.14)</t>
        </is>
      </c>
      <c r="D67" s="268">
        <f>IF(ISNA(MATCH(D$2,Inputs!$K$4:$AJ$4,0)),NA(),IF(SUMPRODUCT((Inputs!$A$5:$A$180=$B67)*ISNUMBER(INDEX(Inputs!$K$5:$AJ$180,0,MATCH(D$2,Inputs!$K$4:$AJ$4,0))))+SUMPRODUCT((Inputs!$C$5:$C$180=$B67)*ISNUMBER(INDEX(Inputs!$K$5:$AJ$180,0,MATCH(D$2,Inputs!$K$4:$AJ$4,0))))+SUMPRODUCT((Inputs!$E$5:$E$180=$B67)*ISNUMBER(INDEX(Inputs!$K$5:$AJ$180,0,MATCH(D$2,Inputs!$K$4:$AJ$4,0))))=0,NA(),SUMPRODUCT((Inputs!$A$5:$A$180=$B67)*Inputs!$B$5:$B$180*(((Inputs!$G$5:$G$180="moeda")+(Inputs!$G$5:$G$180="acoes"))*Inputs!$B$1+((Inputs!$G$5:$G$180&lt;&gt;"moeda")*(Inputs!$G$5:$G$180&lt;&gt;"acoes")))*INDEX(Inputs!$K$5:$AJ$180,0,MATCH(D$2,Inputs!$K$4:$AJ$4,0)))+SUMPRODUCT((Inputs!$C$5:$C$180=$B67)*Inputs!$D$5:$D$180*(((Inputs!$G$5:$G$180="moeda")+(Inputs!$G$5:$G$180="acoes"))*Inputs!$B$1+((Inputs!$G$5:$G$180&lt;&gt;"moeda")*(Inputs!$G$5:$G$180&lt;&gt;"acoes")))*INDEX(Inputs!$K$5:$AJ$180,0,MATCH(D$2,Inputs!$K$4:$AJ$4,0)))+SUMPRODUCT((Inputs!$E$5:$E$180=$B67)*Inputs!$F$5:$F$180*(((Inputs!$G$5:$G$180="moeda")+(Inputs!$G$5:$G$180="acoes"))*Inputs!$B$1+((Inputs!$G$5:$G$180&lt;&gt;"moeda")*(Inputs!$G$5:$G$180&lt;&gt;"acoes")))*INDEX(Inputs!$K$5:$AJ$180,0,MATCH(D$2,Inputs!$K$4:$AJ$4,0)))))</f>
        <v>-0.119835038274024</v>
      </c>
      <c r="E67" s="268">
        <f>IF(ISNA(MATCH(E$2,Inputs!$K$4:$AJ$4,0)),NA(),IF(SUMPRODUCT((Inputs!$A$5:$A$180=$B67)*ISNUMBER(INDEX(Inputs!$K$5:$AJ$180,0,MATCH(E$2,Inputs!$K$4:$AJ$4,0))))+SUMPRODUCT((Inputs!$C$5:$C$180=$B67)*ISNUMBER(INDEX(Inputs!$K$5:$AJ$180,0,MATCH(E$2,Inputs!$K$4:$AJ$4,0))))+SUMPRODUCT((Inputs!$E$5:$E$180=$B67)*ISNUMBER(INDEX(Inputs!$K$5:$AJ$180,0,MATCH(E$2,Inputs!$K$4:$AJ$4,0))))=0,NA(),SUMPRODUCT((Inputs!$A$5:$A$180=$B67)*Inputs!$B$5:$B$180*(((Inputs!$G$5:$G$180="moeda")+(Inputs!$G$5:$G$180="acoes"))*Inputs!$B$1+((Inputs!$G$5:$G$180&lt;&gt;"moeda")*(Inputs!$G$5:$G$180&lt;&gt;"acoes")))*INDEX(Inputs!$K$5:$AJ$180,0,MATCH(E$2,Inputs!$K$4:$AJ$4,0)))+SUMPRODUCT((Inputs!$C$5:$C$180=$B67)*Inputs!$D$5:$D$180*(((Inputs!$G$5:$G$180="moeda")+(Inputs!$G$5:$G$180="acoes"))*Inputs!$B$1+((Inputs!$G$5:$G$180&lt;&gt;"moeda")*(Inputs!$G$5:$G$180&lt;&gt;"acoes")))*INDEX(Inputs!$K$5:$AJ$180,0,MATCH(E$2,Inputs!$K$4:$AJ$4,0)))+SUMPRODUCT((Inputs!$E$5:$E$180=$B67)*Inputs!$F$5:$F$180*(((Inputs!$G$5:$G$180="moeda")+(Inputs!$G$5:$G$180="acoes"))*Inputs!$B$1+((Inputs!$G$5:$G$180&lt;&gt;"moeda")*(Inputs!$G$5:$G$180&lt;&gt;"acoes")))*INDEX(Inputs!$K$5:$AJ$180,0,MATCH(E$2,Inputs!$K$4:$AJ$4,0)))))</f>
        <v>4.92684276942364</v>
      </c>
      <c r="F67" s="268">
        <f>IF(ISNA(MATCH(F$2,Inputs!$K$4:$AJ$4,0)),NA(),IF(SUMPRODUCT((Inputs!$A$5:$A$180=$B67)*ISNUMBER(INDEX(Inputs!$K$5:$AJ$180,0,MATCH(F$2,Inputs!$K$4:$AJ$4,0))))+SUMPRODUCT((Inputs!$C$5:$C$180=$B67)*ISNUMBER(INDEX(Inputs!$K$5:$AJ$180,0,MATCH(F$2,Inputs!$K$4:$AJ$4,0))))+SUMPRODUCT((Inputs!$E$5:$E$180=$B67)*ISNUMBER(INDEX(Inputs!$K$5:$AJ$180,0,MATCH(F$2,Inputs!$K$4:$AJ$4,0))))=0,NA(),SUMPRODUCT((Inputs!$A$5:$A$180=$B67)*Inputs!$B$5:$B$180*(((Inputs!$G$5:$G$180="moeda")+(Inputs!$G$5:$G$180="acoes"))*Inputs!$B$1+((Inputs!$G$5:$G$180&lt;&gt;"moeda")*(Inputs!$G$5:$G$180&lt;&gt;"acoes")))*INDEX(Inputs!$K$5:$AJ$180,0,MATCH(F$2,Inputs!$K$4:$AJ$4,0)))+SUMPRODUCT((Inputs!$C$5:$C$180=$B67)*Inputs!$D$5:$D$180*(((Inputs!$G$5:$G$180="moeda")+(Inputs!$G$5:$G$180="acoes"))*Inputs!$B$1+((Inputs!$G$5:$G$180&lt;&gt;"moeda")*(Inputs!$G$5:$G$180&lt;&gt;"acoes")))*INDEX(Inputs!$K$5:$AJ$180,0,MATCH(F$2,Inputs!$K$4:$AJ$4,0)))+SUMPRODUCT((Inputs!$E$5:$E$180=$B67)*Inputs!$F$5:$F$180*(((Inputs!$G$5:$G$180="moeda")+(Inputs!$G$5:$G$180="acoes"))*Inputs!$B$1+((Inputs!$G$5:$G$180&lt;&gt;"moeda")*(Inputs!$G$5:$G$180&lt;&gt;"acoes")))*INDEX(Inputs!$K$5:$AJ$180,0,MATCH(F$2,Inputs!$K$4:$AJ$4,0)))))</f>
        <v>0.444960255934368</v>
      </c>
      <c r="G67" s="268">
        <f>IF(ISNA(MATCH(G$2,Inputs!$K$4:$AJ$4,0)),NA(),IF(SUMPRODUCT((Inputs!$A$5:$A$180=$B67)*ISNUMBER(INDEX(Inputs!$K$5:$AJ$180,0,MATCH(G$2,Inputs!$K$4:$AJ$4,0))))+SUMPRODUCT((Inputs!$C$5:$C$180=$B67)*ISNUMBER(INDEX(Inputs!$K$5:$AJ$180,0,MATCH(G$2,Inputs!$K$4:$AJ$4,0))))+SUMPRODUCT((Inputs!$E$5:$E$180=$B67)*ISNUMBER(INDEX(Inputs!$K$5:$AJ$180,0,MATCH(G$2,Inputs!$K$4:$AJ$4,0))))=0,NA(),SUMPRODUCT((Inputs!$A$5:$A$180=$B67)*Inputs!$B$5:$B$180*(((Inputs!$G$5:$G$180="moeda")+(Inputs!$G$5:$G$180="acoes"))*Inputs!$B$1+((Inputs!$G$5:$G$180&lt;&gt;"moeda")*(Inputs!$G$5:$G$180&lt;&gt;"acoes")))*INDEX(Inputs!$K$5:$AJ$180,0,MATCH(G$2,Inputs!$K$4:$AJ$4,0)))+SUMPRODUCT((Inputs!$C$5:$C$180=$B67)*Inputs!$D$5:$D$180*(((Inputs!$G$5:$G$180="moeda")+(Inputs!$G$5:$G$180="acoes"))*Inputs!$B$1+((Inputs!$G$5:$G$180&lt;&gt;"moeda")*(Inputs!$G$5:$G$180&lt;&gt;"acoes")))*INDEX(Inputs!$K$5:$AJ$180,0,MATCH(G$2,Inputs!$K$4:$AJ$4,0)))+SUMPRODUCT((Inputs!$E$5:$E$180=$B67)*Inputs!$F$5:$F$180*(((Inputs!$G$5:$G$180="moeda")+(Inputs!$G$5:$G$180="acoes"))*Inputs!$B$1+((Inputs!$G$5:$G$180&lt;&gt;"moeda")*(Inputs!$G$5:$G$180&lt;&gt;"acoes")))*INDEX(Inputs!$K$5:$AJ$180,0,MATCH(G$2,Inputs!$K$4:$AJ$4,0)))))</f>
        <v>0.153188146442629</v>
      </c>
      <c r="H67" s="40" t="n"/>
      <c r="I67" s="268">
        <f>IF(ISNA(MATCH(I$2,Inputs!$K$4:$AJ$4,0)),NA(),IF(SUMPRODUCT((Inputs!$A$5:$A$180=$B67)*ISNUMBER(INDEX(Inputs!$K$5:$AJ$180,0,MATCH(I$2,Inputs!$K$4:$AJ$4,0))))+SUMPRODUCT((Inputs!$C$5:$C$180=$B67)*ISNUMBER(INDEX(Inputs!$K$5:$AJ$180,0,MATCH(I$2,Inputs!$K$4:$AJ$4,0))))+SUMPRODUCT((Inputs!$E$5:$E$180=$B67)*ISNUMBER(INDEX(Inputs!$K$5:$AJ$180,0,MATCH(I$2,Inputs!$K$4:$AJ$4,0))))=0,NA(),SUMPRODUCT((Inputs!$A$5:$A$180=$B67)*Inputs!$B$5:$B$180*(((Inputs!$G$5:$G$180="moeda")+(Inputs!$G$5:$G$180="acoes"))*Inputs!$B$1+((Inputs!$G$5:$G$180&lt;&gt;"moeda")*(Inputs!$G$5:$G$180&lt;&gt;"acoes")))*INDEX(Inputs!$K$5:$AJ$180,0,MATCH(I$2,Inputs!$K$4:$AJ$4,0)))+SUMPRODUCT((Inputs!$C$5:$C$180=$B67)*Inputs!$D$5:$D$180*(((Inputs!$G$5:$G$180="moeda")+(Inputs!$G$5:$G$180="acoes"))*Inputs!$B$1+((Inputs!$G$5:$G$180&lt;&gt;"moeda")*(Inputs!$G$5:$G$180&lt;&gt;"acoes")))*INDEX(Inputs!$K$5:$AJ$180,0,MATCH(I$2,Inputs!$K$4:$AJ$4,0)))+SUMPRODUCT((Inputs!$E$5:$E$180=$B67)*Inputs!$F$5:$F$180*(((Inputs!$G$5:$G$180="moeda")+(Inputs!$G$5:$G$180="acoes"))*Inputs!$B$1+((Inputs!$G$5:$G$180&lt;&gt;"moeda")*(Inputs!$G$5:$G$180&lt;&gt;"acoes")))*INDEX(Inputs!$K$5:$AJ$180,0,MATCH(I$2,Inputs!$K$4:$AJ$4,0)))))</f>
        <v>0.60165365589349</v>
      </c>
      <c r="J67" s="268">
        <f>IF(ISNA(MATCH(J$2,Inputs!$K$4:$AJ$4,0)),NA(),IF(SUMPRODUCT((Inputs!$A$5:$A$180=$B67)*ISNUMBER(INDEX(Inputs!$K$5:$AJ$180,0,MATCH(J$2,Inputs!$K$4:$AJ$4,0))))+SUMPRODUCT((Inputs!$C$5:$C$180=$B67)*ISNUMBER(INDEX(Inputs!$K$5:$AJ$180,0,MATCH(J$2,Inputs!$K$4:$AJ$4,0))))+SUMPRODUCT((Inputs!$E$5:$E$180=$B67)*ISNUMBER(INDEX(Inputs!$K$5:$AJ$180,0,MATCH(J$2,Inputs!$K$4:$AJ$4,0))))=0,NA(),SUMPRODUCT((Inputs!$A$5:$A$180=$B67)*Inputs!$B$5:$B$180*(((Inputs!$G$5:$G$180="moeda")+(Inputs!$G$5:$G$180="acoes"))*Inputs!$B$1+((Inputs!$G$5:$G$180&lt;&gt;"moeda")*(Inputs!$G$5:$G$180&lt;&gt;"acoes")))*INDEX(Inputs!$K$5:$AJ$180,0,MATCH(J$2,Inputs!$K$4:$AJ$4,0)))+SUMPRODUCT((Inputs!$C$5:$C$180=$B67)*Inputs!$D$5:$D$180*(((Inputs!$G$5:$G$180="moeda")+(Inputs!$G$5:$G$180="acoes"))*Inputs!$B$1+((Inputs!$G$5:$G$180&lt;&gt;"moeda")*(Inputs!$G$5:$G$180&lt;&gt;"acoes")))*INDEX(Inputs!$K$5:$AJ$180,0,MATCH(J$2,Inputs!$K$4:$AJ$4,0)))+SUMPRODUCT((Inputs!$E$5:$E$180=$B67)*Inputs!$F$5:$F$180*(((Inputs!$G$5:$G$180="moeda")+(Inputs!$G$5:$G$180="acoes"))*Inputs!$B$1+((Inputs!$G$5:$G$180&lt;&gt;"moeda")*(Inputs!$G$5:$G$180&lt;&gt;"acoes")))*INDEX(Inputs!$K$5:$AJ$180,0,MATCH(J$2,Inputs!$K$4:$AJ$4,0)))))</f>
        <v>0.30534247130009</v>
      </c>
      <c r="K67" s="268">
        <f>IF(ISNA(MATCH(K$2,Inputs!$K$4:$AJ$4,0)),NA(),IF(SUMPRODUCT((Inputs!$A$5:$A$180=$B67)*ISNUMBER(INDEX(Inputs!$K$5:$AJ$180,0,MATCH(K$2,Inputs!$K$4:$AJ$4,0))))+SUMPRODUCT((Inputs!$C$5:$C$180=$B67)*ISNUMBER(INDEX(Inputs!$K$5:$AJ$180,0,MATCH(K$2,Inputs!$K$4:$AJ$4,0))))+SUMPRODUCT((Inputs!$E$5:$E$180=$B67)*ISNUMBER(INDEX(Inputs!$K$5:$AJ$180,0,MATCH(K$2,Inputs!$K$4:$AJ$4,0))))=0,NA(),SUMPRODUCT((Inputs!$A$5:$A$180=$B67)*Inputs!$B$5:$B$180*(((Inputs!$G$5:$G$180="moeda")+(Inputs!$G$5:$G$180="acoes"))*Inputs!$B$1+((Inputs!$G$5:$G$180&lt;&gt;"moeda")*(Inputs!$G$5:$G$180&lt;&gt;"acoes")))*INDEX(Inputs!$K$5:$AJ$180,0,MATCH(K$2,Inputs!$K$4:$AJ$4,0)))+SUMPRODUCT((Inputs!$C$5:$C$180=$B67)*Inputs!$D$5:$D$180*(((Inputs!$G$5:$G$180="moeda")+(Inputs!$G$5:$G$180="acoes"))*Inputs!$B$1+((Inputs!$G$5:$G$180&lt;&gt;"moeda")*(Inputs!$G$5:$G$180&lt;&gt;"acoes")))*INDEX(Inputs!$K$5:$AJ$180,0,MATCH(K$2,Inputs!$K$4:$AJ$4,0)))+SUMPRODUCT((Inputs!$E$5:$E$180=$B67)*Inputs!$F$5:$F$180*(((Inputs!$G$5:$G$180="moeda")+(Inputs!$G$5:$G$180="acoes"))*Inputs!$B$1+((Inputs!$G$5:$G$180&lt;&gt;"moeda")*(Inputs!$G$5:$G$180&lt;&gt;"acoes")))*INDEX(Inputs!$K$5:$AJ$180,0,MATCH(K$2,Inputs!$K$4:$AJ$4,0)))))</f>
        <v>0.145429547819626</v>
      </c>
      <c r="L67" s="268">
        <f>IF(ISNA(MATCH(L$2,Inputs!$K$4:$AJ$4,0)),NA(),IF(SUMPRODUCT((Inputs!$A$5:$A$180=$B67)*ISNUMBER(INDEX(Inputs!$K$5:$AJ$180,0,MATCH(L$2,Inputs!$K$4:$AJ$4,0))))+SUMPRODUCT((Inputs!$C$5:$C$180=$B67)*ISNUMBER(INDEX(Inputs!$K$5:$AJ$180,0,MATCH(L$2,Inputs!$K$4:$AJ$4,0))))+SUMPRODUCT((Inputs!$E$5:$E$180=$B67)*ISNUMBER(INDEX(Inputs!$K$5:$AJ$180,0,MATCH(L$2,Inputs!$K$4:$AJ$4,0))))=0,NA(),SUMPRODUCT((Inputs!$A$5:$A$180=$B67)*Inputs!$B$5:$B$180*(((Inputs!$G$5:$G$180="moeda")+(Inputs!$G$5:$G$180="acoes"))*Inputs!$B$1+((Inputs!$G$5:$G$180&lt;&gt;"moeda")*(Inputs!$G$5:$G$180&lt;&gt;"acoes")))*INDEX(Inputs!$K$5:$AJ$180,0,MATCH(L$2,Inputs!$K$4:$AJ$4,0)))+SUMPRODUCT((Inputs!$C$5:$C$180=$B67)*Inputs!$D$5:$D$180*(((Inputs!$G$5:$G$180="moeda")+(Inputs!$G$5:$G$180="acoes"))*Inputs!$B$1+((Inputs!$G$5:$G$180&lt;&gt;"moeda")*(Inputs!$G$5:$G$180&lt;&gt;"acoes")))*INDEX(Inputs!$K$5:$AJ$180,0,MATCH(L$2,Inputs!$K$4:$AJ$4,0)))+SUMPRODUCT((Inputs!$E$5:$E$180=$B67)*Inputs!$F$5:$F$180*(((Inputs!$G$5:$G$180="moeda")+(Inputs!$G$5:$G$180="acoes"))*Inputs!$B$1+((Inputs!$G$5:$G$180&lt;&gt;"moeda")*(Inputs!$G$5:$G$180&lt;&gt;"acoes")))*INDEX(Inputs!$K$5:$AJ$180,0,MATCH(L$2,Inputs!$K$4:$AJ$4,0)))))</f>
        <v>0.0497596678798922</v>
      </c>
      <c r="M67" s="40" t="n"/>
      <c r="N67" s="268">
        <f>IF(ISNA(MATCH(N$2,Inputs!$K$4:$AJ$4,0)),NA(),IF(SUMPRODUCT((Inputs!$A$5:$A$180=$B67)*ISNUMBER(INDEX(Inputs!$K$5:$AJ$180,0,MATCH(N$2,Inputs!$K$4:$AJ$4,0))))+SUMPRODUCT((Inputs!$C$5:$C$180=$B67)*ISNUMBER(INDEX(Inputs!$K$5:$AJ$180,0,MATCH(N$2,Inputs!$K$4:$AJ$4,0))))+SUMPRODUCT((Inputs!$E$5:$E$180=$B67)*ISNUMBER(INDEX(Inputs!$K$5:$AJ$180,0,MATCH(N$2,Inputs!$K$4:$AJ$4,0))))=0,NA(),SUMPRODUCT((Inputs!$A$5:$A$180=$B67)*Inputs!$B$5:$B$180*(((Inputs!$G$5:$G$180="moeda")+(Inputs!$G$5:$G$180="acoes"))*Inputs!$B$1+((Inputs!$G$5:$G$180&lt;&gt;"moeda")*(Inputs!$G$5:$G$180&lt;&gt;"acoes")))*INDEX(Inputs!$K$5:$AJ$180,0,MATCH(N$2,Inputs!$K$4:$AJ$4,0)))+SUMPRODUCT((Inputs!$C$5:$C$180=$B67)*Inputs!$D$5:$D$180*(((Inputs!$G$5:$G$180="moeda")+(Inputs!$G$5:$G$180="acoes"))*Inputs!$B$1+((Inputs!$G$5:$G$180&lt;&gt;"moeda")*(Inputs!$G$5:$G$180&lt;&gt;"acoes")))*INDEX(Inputs!$K$5:$AJ$180,0,MATCH(N$2,Inputs!$K$4:$AJ$4,0)))+SUMPRODUCT((Inputs!$E$5:$E$180=$B67)*Inputs!$F$5:$F$180*(((Inputs!$G$5:$G$180="moeda")+(Inputs!$G$5:$G$180="acoes"))*Inputs!$B$1+((Inputs!$G$5:$G$180&lt;&gt;"moeda")*(Inputs!$G$5:$G$180&lt;&gt;"acoes")))*INDEX(Inputs!$K$5:$AJ$180,0,MATCH(N$2,Inputs!$K$4:$AJ$4,0)))))</f>
        <v>0.0619193662370547</v>
      </c>
      <c r="O67" s="268">
        <f>IF(ISNA(MATCH(O$2,Inputs!$K$4:$AJ$4,0)),NA(),IF(SUMPRODUCT((Inputs!$A$5:$A$180=$B67)*ISNUMBER(INDEX(Inputs!$K$5:$AJ$180,0,MATCH(O$2,Inputs!$K$4:$AJ$4,0))))+SUMPRODUCT((Inputs!$C$5:$C$180=$B67)*ISNUMBER(INDEX(Inputs!$K$5:$AJ$180,0,MATCH(O$2,Inputs!$K$4:$AJ$4,0))))+SUMPRODUCT((Inputs!$E$5:$E$180=$B67)*ISNUMBER(INDEX(Inputs!$K$5:$AJ$180,0,MATCH(O$2,Inputs!$K$4:$AJ$4,0))))=0,NA(),SUMPRODUCT((Inputs!$A$5:$A$180=$B67)*Inputs!$B$5:$B$180*(((Inputs!$G$5:$G$180="moeda")+(Inputs!$G$5:$G$180="acoes"))*Inputs!$B$1+((Inputs!$G$5:$G$180&lt;&gt;"moeda")*(Inputs!$G$5:$G$180&lt;&gt;"acoes")))*INDEX(Inputs!$K$5:$AJ$180,0,MATCH(O$2,Inputs!$K$4:$AJ$4,0)))+SUMPRODUCT((Inputs!$C$5:$C$180=$B67)*Inputs!$D$5:$D$180*(((Inputs!$G$5:$G$180="moeda")+(Inputs!$G$5:$G$180="acoes"))*Inputs!$B$1+((Inputs!$G$5:$G$180&lt;&gt;"moeda")*(Inputs!$G$5:$G$180&lt;&gt;"acoes")))*INDEX(Inputs!$K$5:$AJ$180,0,MATCH(O$2,Inputs!$K$4:$AJ$4,0)))+SUMPRODUCT((Inputs!$E$5:$E$180=$B67)*Inputs!$F$5:$F$180*(((Inputs!$G$5:$G$180="moeda")+(Inputs!$G$5:$G$180="acoes"))*Inputs!$B$1+((Inputs!$G$5:$G$180&lt;&gt;"moeda")*(Inputs!$G$5:$G$180&lt;&gt;"acoes")))*INDEX(Inputs!$K$5:$AJ$180,0,MATCH(O$2,Inputs!$K$4:$AJ$4,0)))))</f>
        <v>0.0152467923543271</v>
      </c>
      <c r="P67" s="268">
        <f>IF(ISNA(MATCH(P$2,Inputs!$K$4:$AJ$4,0)),NA(),IF(SUMPRODUCT((Inputs!$A$5:$A$180=$B67)*ISNUMBER(INDEX(Inputs!$K$5:$AJ$180,0,MATCH(P$2,Inputs!$K$4:$AJ$4,0))))+SUMPRODUCT((Inputs!$C$5:$C$180=$B67)*ISNUMBER(INDEX(Inputs!$K$5:$AJ$180,0,MATCH(P$2,Inputs!$K$4:$AJ$4,0))))+SUMPRODUCT((Inputs!$E$5:$E$180=$B67)*ISNUMBER(INDEX(Inputs!$K$5:$AJ$180,0,MATCH(P$2,Inputs!$K$4:$AJ$4,0))))=0,NA(),SUMPRODUCT((Inputs!$A$5:$A$180=$B67)*Inputs!$B$5:$B$180*(((Inputs!$G$5:$G$180="moeda")+(Inputs!$G$5:$G$180="acoes"))*Inputs!$B$1+((Inputs!$G$5:$G$180&lt;&gt;"moeda")*(Inputs!$G$5:$G$180&lt;&gt;"acoes")))*INDEX(Inputs!$K$5:$AJ$180,0,MATCH(P$2,Inputs!$K$4:$AJ$4,0)))+SUMPRODUCT((Inputs!$C$5:$C$180=$B67)*Inputs!$D$5:$D$180*(((Inputs!$G$5:$G$180="moeda")+(Inputs!$G$5:$G$180="acoes"))*Inputs!$B$1+((Inputs!$G$5:$G$180&lt;&gt;"moeda")*(Inputs!$G$5:$G$180&lt;&gt;"acoes")))*INDEX(Inputs!$K$5:$AJ$180,0,MATCH(P$2,Inputs!$K$4:$AJ$4,0)))+SUMPRODUCT((Inputs!$E$5:$E$180=$B67)*Inputs!$F$5:$F$180*(((Inputs!$G$5:$G$180="moeda")+(Inputs!$G$5:$G$180="acoes"))*Inputs!$B$1+((Inputs!$G$5:$G$180&lt;&gt;"moeda")*(Inputs!$G$5:$G$180&lt;&gt;"acoes")))*INDEX(Inputs!$K$5:$AJ$180,0,MATCH(P$2,Inputs!$K$4:$AJ$4,0)))))</f>
        <v>0.0275052080954539</v>
      </c>
      <c r="Q67" s="268">
        <f>IF(ISNA(MATCH(Q$2,Inputs!$K$4:$AJ$4,0)),NA(),IF(SUMPRODUCT((Inputs!$A$5:$A$180=$B67)*ISNUMBER(INDEX(Inputs!$K$5:$AJ$180,0,MATCH(Q$2,Inputs!$K$4:$AJ$4,0))))+SUMPRODUCT((Inputs!$C$5:$C$180=$B67)*ISNUMBER(INDEX(Inputs!$K$5:$AJ$180,0,MATCH(Q$2,Inputs!$K$4:$AJ$4,0))))+SUMPRODUCT((Inputs!$E$5:$E$180=$B67)*ISNUMBER(INDEX(Inputs!$K$5:$AJ$180,0,MATCH(Q$2,Inputs!$K$4:$AJ$4,0))))=0,NA(),SUMPRODUCT((Inputs!$A$5:$A$180=$B67)*Inputs!$B$5:$B$180*(((Inputs!$G$5:$G$180="moeda")+(Inputs!$G$5:$G$180="acoes"))*Inputs!$B$1+((Inputs!$G$5:$G$180&lt;&gt;"moeda")*(Inputs!$G$5:$G$180&lt;&gt;"acoes")))*INDEX(Inputs!$K$5:$AJ$180,0,MATCH(Q$2,Inputs!$K$4:$AJ$4,0)))+SUMPRODUCT((Inputs!$C$5:$C$180=$B67)*Inputs!$D$5:$D$180*(((Inputs!$G$5:$G$180="moeda")+(Inputs!$G$5:$G$180="acoes"))*Inputs!$B$1+((Inputs!$G$5:$G$180&lt;&gt;"moeda")*(Inputs!$G$5:$G$180&lt;&gt;"acoes")))*INDEX(Inputs!$K$5:$AJ$180,0,MATCH(Q$2,Inputs!$K$4:$AJ$4,0)))+SUMPRODUCT((Inputs!$E$5:$E$180=$B67)*Inputs!$F$5:$F$180*(((Inputs!$G$5:$G$180="moeda")+(Inputs!$G$5:$G$180="acoes"))*Inputs!$B$1+((Inputs!$G$5:$G$180&lt;&gt;"moeda")*(Inputs!$G$5:$G$180&lt;&gt;"acoes")))*INDEX(Inputs!$K$5:$AJ$180,0,MATCH(Q$2,Inputs!$K$4:$AJ$4,0)))))</f>
        <v>0.0968379335867793</v>
      </c>
      <c r="R67" s="40" t="n"/>
      <c r="S67" s="268">
        <f>IF(ISNA(MATCH(S$2,Inputs!$K$4:$AJ$4,0)),NA(),IF(SUMPRODUCT((Inputs!$A$5:$A$180=$B67)*ISNUMBER(INDEX(Inputs!$K$5:$AJ$180,0,MATCH(S$2,Inputs!$K$4:$AJ$4,0))))+SUMPRODUCT((Inputs!$C$5:$C$180=$B67)*ISNUMBER(INDEX(Inputs!$K$5:$AJ$180,0,MATCH(S$2,Inputs!$K$4:$AJ$4,0))))+SUMPRODUCT((Inputs!$E$5:$E$180=$B67)*ISNUMBER(INDEX(Inputs!$K$5:$AJ$180,0,MATCH(S$2,Inputs!$K$4:$AJ$4,0))))=0,NA(),SUMPRODUCT((Inputs!$A$5:$A$180=$B67)*Inputs!$B$5:$B$180*(((Inputs!$G$5:$G$180="moeda")+(Inputs!$G$5:$G$180="acoes"))*Inputs!$B$1+((Inputs!$G$5:$G$180&lt;&gt;"moeda")*(Inputs!$G$5:$G$180&lt;&gt;"acoes")))*INDEX(Inputs!$K$5:$AJ$180,0,MATCH(S$2,Inputs!$K$4:$AJ$4,0)))+SUMPRODUCT((Inputs!$C$5:$C$180=$B67)*Inputs!$D$5:$D$180*(((Inputs!$G$5:$G$180="moeda")+(Inputs!$G$5:$G$180="acoes"))*Inputs!$B$1+((Inputs!$G$5:$G$180&lt;&gt;"moeda")*(Inputs!$G$5:$G$180&lt;&gt;"acoes")))*INDEX(Inputs!$K$5:$AJ$180,0,MATCH(S$2,Inputs!$K$4:$AJ$4,0)))+SUMPRODUCT((Inputs!$E$5:$E$180=$B67)*Inputs!$F$5:$F$180*(((Inputs!$G$5:$G$180="moeda")+(Inputs!$G$5:$G$180="acoes"))*Inputs!$B$1+((Inputs!$G$5:$G$180&lt;&gt;"moeda")*(Inputs!$G$5:$G$180&lt;&gt;"acoes")))*INDEX(Inputs!$K$5:$AJ$180,0,MATCH(S$2,Inputs!$K$4:$AJ$4,0)))))</f>
        <v>0.076919670218859</v>
      </c>
      <c r="T67" s="268">
        <f>IF(ISNA(MATCH(T$2,Inputs!$K$4:$AJ$4,0)),NA(),IF(SUMPRODUCT((Inputs!$A$5:$A$180=$B67)*ISNUMBER(INDEX(Inputs!$K$5:$AJ$180,0,MATCH(T$2,Inputs!$K$4:$AJ$4,0))))+SUMPRODUCT((Inputs!$C$5:$C$180=$B67)*ISNUMBER(INDEX(Inputs!$K$5:$AJ$180,0,MATCH(T$2,Inputs!$K$4:$AJ$4,0))))+SUMPRODUCT((Inputs!$E$5:$E$180=$B67)*ISNUMBER(INDEX(Inputs!$K$5:$AJ$180,0,MATCH(T$2,Inputs!$K$4:$AJ$4,0))))=0,NA(),SUMPRODUCT((Inputs!$A$5:$A$180=$B67)*Inputs!$B$5:$B$180*(((Inputs!$G$5:$G$180="moeda")+(Inputs!$G$5:$G$180="acoes"))*Inputs!$B$1+((Inputs!$G$5:$G$180&lt;&gt;"moeda")*(Inputs!$G$5:$G$180&lt;&gt;"acoes")))*INDEX(Inputs!$K$5:$AJ$180,0,MATCH(T$2,Inputs!$K$4:$AJ$4,0)))+SUMPRODUCT((Inputs!$C$5:$C$180=$B67)*Inputs!$D$5:$D$180*(((Inputs!$G$5:$G$180="moeda")+(Inputs!$G$5:$G$180="acoes"))*Inputs!$B$1+((Inputs!$G$5:$G$180&lt;&gt;"moeda")*(Inputs!$G$5:$G$180&lt;&gt;"acoes")))*INDEX(Inputs!$K$5:$AJ$180,0,MATCH(T$2,Inputs!$K$4:$AJ$4,0)))+SUMPRODUCT((Inputs!$E$5:$E$180=$B67)*Inputs!$F$5:$F$180*(((Inputs!$G$5:$G$180="moeda")+(Inputs!$G$5:$G$180="acoes"))*Inputs!$B$1+((Inputs!$G$5:$G$180&lt;&gt;"moeda")*(Inputs!$G$5:$G$180&lt;&gt;"acoes")))*INDEX(Inputs!$K$5:$AJ$180,0,MATCH(T$2,Inputs!$K$4:$AJ$4,0)))))</f>
        <v>0.126</v>
      </c>
      <c r="U67" s="268">
        <f>IF(ISNA(MATCH(U$2,Inputs!$K$4:$AJ$4,0)),NA(),IF(SUMPRODUCT((Inputs!$A$5:$A$180=$B67)*ISNUMBER(INDEX(Inputs!$K$5:$AJ$180,0,MATCH(U$2,Inputs!$K$4:$AJ$4,0))))+SUMPRODUCT((Inputs!$C$5:$C$180=$B67)*ISNUMBER(INDEX(Inputs!$K$5:$AJ$180,0,MATCH(U$2,Inputs!$K$4:$AJ$4,0))))+SUMPRODUCT((Inputs!$E$5:$E$180=$B67)*ISNUMBER(INDEX(Inputs!$K$5:$AJ$180,0,MATCH(U$2,Inputs!$K$4:$AJ$4,0))))=0,NA(),SUMPRODUCT((Inputs!$A$5:$A$180=$B67)*Inputs!$B$5:$B$180*(((Inputs!$G$5:$G$180="moeda")+(Inputs!$G$5:$G$180="acoes"))*Inputs!$B$1+((Inputs!$G$5:$G$180&lt;&gt;"moeda")*(Inputs!$G$5:$G$180&lt;&gt;"acoes")))*INDEX(Inputs!$K$5:$AJ$180,0,MATCH(U$2,Inputs!$K$4:$AJ$4,0)))+SUMPRODUCT((Inputs!$C$5:$C$180=$B67)*Inputs!$D$5:$D$180*(((Inputs!$G$5:$G$180="moeda")+(Inputs!$G$5:$G$180="acoes"))*Inputs!$B$1+((Inputs!$G$5:$G$180&lt;&gt;"moeda")*(Inputs!$G$5:$G$180&lt;&gt;"acoes")))*INDEX(Inputs!$K$5:$AJ$180,0,MATCH(U$2,Inputs!$K$4:$AJ$4,0)))+SUMPRODUCT((Inputs!$E$5:$E$180=$B67)*Inputs!$F$5:$F$180*(((Inputs!$G$5:$G$180="moeda")+(Inputs!$G$5:$G$180="acoes"))*Inputs!$B$1+((Inputs!$G$5:$G$180&lt;&gt;"moeda")*(Inputs!$G$5:$G$180&lt;&gt;"acoes")))*INDEX(Inputs!$K$5:$AJ$180,0,MATCH(U$2,Inputs!$K$4:$AJ$4,0)))))</f>
        <v>0.14</v>
      </c>
      <c r="V67" s="268">
        <f>IF(ISNA(MATCH(V$2,Inputs!$K$4:$AJ$4,0)),NA(),IF(SUMPRODUCT((Inputs!$A$5:$A$180=$B67)*ISNUMBER(INDEX(Inputs!$K$5:$AJ$180,0,MATCH(V$2,Inputs!$K$4:$AJ$4,0))))+SUMPRODUCT((Inputs!$C$5:$C$180=$B67)*ISNUMBER(INDEX(Inputs!$K$5:$AJ$180,0,MATCH(V$2,Inputs!$K$4:$AJ$4,0))))+SUMPRODUCT((Inputs!$E$5:$E$180=$B67)*ISNUMBER(INDEX(Inputs!$K$5:$AJ$180,0,MATCH(V$2,Inputs!$K$4:$AJ$4,0))))=0,NA(),SUMPRODUCT((Inputs!$A$5:$A$180=$B67)*Inputs!$B$5:$B$180*(((Inputs!$G$5:$G$180="moeda")+(Inputs!$G$5:$G$180="acoes"))*Inputs!$B$1+((Inputs!$G$5:$G$180&lt;&gt;"moeda")*(Inputs!$G$5:$G$180&lt;&gt;"acoes")))*INDEX(Inputs!$K$5:$AJ$180,0,MATCH(V$2,Inputs!$K$4:$AJ$4,0)))+SUMPRODUCT((Inputs!$C$5:$C$180=$B67)*Inputs!$D$5:$D$180*(((Inputs!$G$5:$G$180="moeda")+(Inputs!$G$5:$G$180="acoes"))*Inputs!$B$1+((Inputs!$G$5:$G$180&lt;&gt;"moeda")*(Inputs!$G$5:$G$180&lt;&gt;"acoes")))*INDEX(Inputs!$K$5:$AJ$180,0,MATCH(V$2,Inputs!$K$4:$AJ$4,0)))+SUMPRODUCT((Inputs!$E$5:$E$180=$B67)*Inputs!$F$5:$F$180*(((Inputs!$G$5:$G$180="moeda")+(Inputs!$G$5:$G$180="acoes"))*Inputs!$B$1+((Inputs!$G$5:$G$180&lt;&gt;"moeda")*(Inputs!$G$5:$G$180&lt;&gt;"acoes")))*INDEX(Inputs!$K$5:$AJ$180,0,MATCH(V$2,Inputs!$K$4:$AJ$4,0)))))</f>
        <v>0.1</v>
      </c>
      <c r="W67" s="40" t="n"/>
      <c r="X67" s="268">
        <f>IF(ISNA(MATCH(X$2,Inputs!$K$4:$AJ$4,0)),NA(),IF(SUMPRODUCT((Inputs!$A$5:$A$180=$B67)*ISNUMBER(INDEX(Inputs!$K$5:$AJ$180,0,MATCH(X$2,Inputs!$K$4:$AJ$4,0))))+SUMPRODUCT((Inputs!$C$5:$C$180=$B67)*ISNUMBER(INDEX(Inputs!$K$5:$AJ$180,0,MATCH(X$2,Inputs!$K$4:$AJ$4,0))))+SUMPRODUCT((Inputs!$E$5:$E$180=$B67)*ISNUMBER(INDEX(Inputs!$K$5:$AJ$180,0,MATCH(X$2,Inputs!$K$4:$AJ$4,0))))=0,NA(),SUMPRODUCT((Inputs!$A$5:$A$180=$B67)*Inputs!$B$5:$B$180*(((Inputs!$G$5:$G$180="moeda")+(Inputs!$G$5:$G$180="acoes"))*Inputs!$B$1+((Inputs!$G$5:$G$180&lt;&gt;"moeda")*(Inputs!$G$5:$G$180&lt;&gt;"acoes")))*INDEX(Inputs!$K$5:$AJ$180,0,MATCH(X$2,Inputs!$K$4:$AJ$4,0)))+SUMPRODUCT((Inputs!$C$5:$C$180=$B67)*Inputs!$D$5:$D$180*(((Inputs!$G$5:$G$180="moeda")+(Inputs!$G$5:$G$180="acoes"))*Inputs!$B$1+((Inputs!$G$5:$G$180&lt;&gt;"moeda")*(Inputs!$G$5:$G$180&lt;&gt;"acoes")))*INDEX(Inputs!$K$5:$AJ$180,0,MATCH(X$2,Inputs!$K$4:$AJ$4,0)))+SUMPRODUCT((Inputs!$E$5:$E$180=$B67)*Inputs!$F$5:$F$180*(((Inputs!$G$5:$G$180="moeda")+(Inputs!$G$5:$G$180="acoes"))*Inputs!$B$1+((Inputs!$G$5:$G$180&lt;&gt;"moeda")*(Inputs!$G$5:$G$180&lt;&gt;"acoes")))*INDEX(Inputs!$K$5:$AJ$180,0,MATCH(X$2,Inputs!$K$4:$AJ$4,0)))))</f>
        <v>0.113</v>
      </c>
      <c r="Y67" s="268">
        <f>IF(ISNA(MATCH(Y$2,Inputs!$K$4:$AJ$4,0)),NA(),IF(SUMPRODUCT((Inputs!$A$5:$A$180=$B67)*ISNUMBER(INDEX(Inputs!$K$5:$AJ$180,0,MATCH(Y$2,Inputs!$K$4:$AJ$4,0))))+SUMPRODUCT((Inputs!$C$5:$C$180=$B67)*ISNUMBER(INDEX(Inputs!$K$5:$AJ$180,0,MATCH(Y$2,Inputs!$K$4:$AJ$4,0))))+SUMPRODUCT((Inputs!$E$5:$E$180=$B67)*ISNUMBER(INDEX(Inputs!$K$5:$AJ$180,0,MATCH(Y$2,Inputs!$K$4:$AJ$4,0))))=0,NA(),SUMPRODUCT((Inputs!$A$5:$A$180=$B67)*Inputs!$B$5:$B$180*(((Inputs!$G$5:$G$180="moeda")+(Inputs!$G$5:$G$180="acoes"))*Inputs!$B$1+((Inputs!$G$5:$G$180&lt;&gt;"moeda")*(Inputs!$G$5:$G$180&lt;&gt;"acoes")))*INDEX(Inputs!$K$5:$AJ$180,0,MATCH(Y$2,Inputs!$K$4:$AJ$4,0)))+SUMPRODUCT((Inputs!$C$5:$C$180=$B67)*Inputs!$D$5:$D$180*(((Inputs!$G$5:$G$180="moeda")+(Inputs!$G$5:$G$180="acoes"))*Inputs!$B$1+((Inputs!$G$5:$G$180&lt;&gt;"moeda")*(Inputs!$G$5:$G$180&lt;&gt;"acoes")))*INDEX(Inputs!$K$5:$AJ$180,0,MATCH(Y$2,Inputs!$K$4:$AJ$4,0)))+SUMPRODUCT((Inputs!$E$5:$E$180=$B67)*Inputs!$F$5:$F$180*(((Inputs!$G$5:$G$180="moeda")+(Inputs!$G$5:$G$180="acoes"))*Inputs!$B$1+((Inputs!$G$5:$G$180&lt;&gt;"moeda")*(Inputs!$G$5:$G$180&lt;&gt;"acoes")))*INDEX(Inputs!$K$5:$AJ$180,0,MATCH(Y$2,Inputs!$K$4:$AJ$4,0)))))</f>
        <v>0.119</v>
      </c>
      <c r="Z67" s="268">
        <f>IF(ISNA(MATCH(Z$2,Inputs!$K$4:$AJ$4,0)),NA(),IF(SUMPRODUCT((Inputs!$A$5:$A$180=$B67)*ISNUMBER(INDEX(Inputs!$K$5:$AJ$180,0,MATCH(Z$2,Inputs!$K$4:$AJ$4,0))))+SUMPRODUCT((Inputs!$C$5:$C$180=$B67)*ISNUMBER(INDEX(Inputs!$K$5:$AJ$180,0,MATCH(Z$2,Inputs!$K$4:$AJ$4,0))))+SUMPRODUCT((Inputs!$E$5:$E$180=$B67)*ISNUMBER(INDEX(Inputs!$K$5:$AJ$180,0,MATCH(Z$2,Inputs!$K$4:$AJ$4,0))))=0,NA(),SUMPRODUCT((Inputs!$A$5:$A$180=$B67)*Inputs!$B$5:$B$180*(((Inputs!$G$5:$G$180="moeda")+(Inputs!$G$5:$G$180="acoes"))*Inputs!$B$1+((Inputs!$G$5:$G$180&lt;&gt;"moeda")*(Inputs!$G$5:$G$180&lt;&gt;"acoes")))*INDEX(Inputs!$K$5:$AJ$180,0,MATCH(Z$2,Inputs!$K$4:$AJ$4,0)))+SUMPRODUCT((Inputs!$C$5:$C$180=$B67)*Inputs!$D$5:$D$180*(((Inputs!$G$5:$G$180="moeda")+(Inputs!$G$5:$G$180="acoes"))*Inputs!$B$1+((Inputs!$G$5:$G$180&lt;&gt;"moeda")*(Inputs!$G$5:$G$180&lt;&gt;"acoes")))*INDEX(Inputs!$K$5:$AJ$180,0,MATCH(Z$2,Inputs!$K$4:$AJ$4,0)))+SUMPRODUCT((Inputs!$E$5:$E$180=$B67)*Inputs!$F$5:$F$180*(((Inputs!$G$5:$G$180="moeda")+(Inputs!$G$5:$G$180="acoes"))*Inputs!$B$1+((Inputs!$G$5:$G$180&lt;&gt;"moeda")*(Inputs!$G$5:$G$180&lt;&gt;"acoes")))*INDEX(Inputs!$K$5:$AJ$180,0,MATCH(Z$2,Inputs!$K$4:$AJ$4,0)))))</f>
        <v>0.147</v>
      </c>
      <c r="AA67" s="268">
        <f>IF(ISNA(MATCH(AA$2,Inputs!$K$4:$AJ$4,0)),NA(),IF(SUMPRODUCT((Inputs!$A$5:$A$180=$B67)*ISNUMBER(INDEX(Inputs!$K$5:$AJ$180,0,MATCH(AA$2,Inputs!$K$4:$AJ$4,0))))+SUMPRODUCT((Inputs!$C$5:$C$180=$B67)*ISNUMBER(INDEX(Inputs!$K$5:$AJ$180,0,MATCH(AA$2,Inputs!$K$4:$AJ$4,0))))+SUMPRODUCT((Inputs!$E$5:$E$180=$B67)*ISNUMBER(INDEX(Inputs!$K$5:$AJ$180,0,MATCH(AA$2,Inputs!$K$4:$AJ$4,0))))=0,NA(),SUMPRODUCT((Inputs!$A$5:$A$180=$B67)*Inputs!$B$5:$B$180*(((Inputs!$G$5:$G$180="moeda")+(Inputs!$G$5:$G$180="acoes"))*Inputs!$B$1+((Inputs!$G$5:$G$180&lt;&gt;"moeda")*(Inputs!$G$5:$G$180&lt;&gt;"acoes")))*INDEX(Inputs!$K$5:$AJ$180,0,MATCH(AA$2,Inputs!$K$4:$AJ$4,0)))+SUMPRODUCT((Inputs!$C$5:$C$180=$B67)*Inputs!$D$5:$D$180*(((Inputs!$G$5:$G$180="moeda")+(Inputs!$G$5:$G$180="acoes"))*Inputs!$B$1+((Inputs!$G$5:$G$180&lt;&gt;"moeda")*(Inputs!$G$5:$G$180&lt;&gt;"acoes")))*INDEX(Inputs!$K$5:$AJ$180,0,MATCH(AA$2,Inputs!$K$4:$AJ$4,0)))+SUMPRODUCT((Inputs!$E$5:$E$180=$B67)*Inputs!$F$5:$F$180*(((Inputs!$G$5:$G$180="moeda")+(Inputs!$G$5:$G$180="acoes"))*Inputs!$B$1+((Inputs!$G$5:$G$180&lt;&gt;"moeda")*(Inputs!$G$5:$G$180&lt;&gt;"acoes")))*INDEX(Inputs!$K$5:$AJ$180,0,MATCH(AA$2,Inputs!$K$4:$AJ$4,0)))))</f>
        <v>0.122</v>
      </c>
      <c r="AB67" s="40" t="n"/>
      <c r="AC67" s="268">
        <f>IF(ISNA(MATCH(AC$2,Inputs!$K$4:$AJ$4,0)),NA(),IF(SUMPRODUCT((Inputs!$A$5:$A$180=$B67)*ISNUMBER(INDEX(Inputs!$K$5:$AJ$180,0,MATCH(AC$2,Inputs!$K$4:$AJ$4,0))))+SUMPRODUCT((Inputs!$C$5:$C$180=$B67)*ISNUMBER(INDEX(Inputs!$K$5:$AJ$180,0,MATCH(AC$2,Inputs!$K$4:$AJ$4,0))))+SUMPRODUCT((Inputs!$E$5:$E$180=$B67)*ISNUMBER(INDEX(Inputs!$K$5:$AJ$180,0,MATCH(AC$2,Inputs!$K$4:$AJ$4,0))))=0,NA(),SUMPRODUCT((Inputs!$A$5:$A$180=$B67)*Inputs!$B$5:$B$180*(((Inputs!$G$5:$G$180="moeda")+(Inputs!$G$5:$G$180="acoes"))*Inputs!$B$1+((Inputs!$G$5:$G$180&lt;&gt;"moeda")*(Inputs!$G$5:$G$180&lt;&gt;"acoes")))*INDEX(Inputs!$K$5:$AJ$180,0,MATCH(AC$2,Inputs!$K$4:$AJ$4,0)))+SUMPRODUCT((Inputs!$C$5:$C$180=$B67)*Inputs!$D$5:$D$180*(((Inputs!$G$5:$G$180="moeda")+(Inputs!$G$5:$G$180="acoes"))*Inputs!$B$1+((Inputs!$G$5:$G$180&lt;&gt;"moeda")*(Inputs!$G$5:$G$180&lt;&gt;"acoes")))*INDEX(Inputs!$K$5:$AJ$180,0,MATCH(AC$2,Inputs!$K$4:$AJ$4,0)))+SUMPRODUCT((Inputs!$E$5:$E$180=$B67)*Inputs!$F$5:$F$180*(((Inputs!$G$5:$G$180="moeda")+(Inputs!$G$5:$G$180="acoes"))*Inputs!$B$1+((Inputs!$G$5:$G$180&lt;&gt;"moeda")*(Inputs!$G$5:$G$180&lt;&gt;"acoes")))*INDEX(Inputs!$K$5:$AJ$180,0,MATCH(AC$2,Inputs!$K$4:$AJ$4,0)))))</f>
        <v>0.108</v>
      </c>
      <c r="AD67" s="268">
        <f>IF(ISNA(MATCH(AD$2,Inputs!$K$4:$AJ$4,0)),NA(),IF(SUMPRODUCT((Inputs!$A$5:$A$180=$B67)*ISNUMBER(INDEX(Inputs!$K$5:$AJ$180,0,MATCH(AD$2,Inputs!$K$4:$AJ$4,0))))+SUMPRODUCT((Inputs!$C$5:$C$180=$B67)*ISNUMBER(INDEX(Inputs!$K$5:$AJ$180,0,MATCH(AD$2,Inputs!$K$4:$AJ$4,0))))+SUMPRODUCT((Inputs!$E$5:$E$180=$B67)*ISNUMBER(INDEX(Inputs!$K$5:$AJ$180,0,MATCH(AD$2,Inputs!$K$4:$AJ$4,0))))=0,NA(),SUMPRODUCT((Inputs!$A$5:$A$180=$B67)*Inputs!$B$5:$B$180*(((Inputs!$G$5:$G$180="moeda")+(Inputs!$G$5:$G$180="acoes"))*Inputs!$B$1+((Inputs!$G$5:$G$180&lt;&gt;"moeda")*(Inputs!$G$5:$G$180&lt;&gt;"acoes")))*INDEX(Inputs!$K$5:$AJ$180,0,MATCH(AD$2,Inputs!$K$4:$AJ$4,0)))+SUMPRODUCT((Inputs!$C$5:$C$180=$B67)*Inputs!$D$5:$D$180*(((Inputs!$G$5:$G$180="moeda")+(Inputs!$G$5:$G$180="acoes"))*Inputs!$B$1+((Inputs!$G$5:$G$180&lt;&gt;"moeda")*(Inputs!$G$5:$G$180&lt;&gt;"acoes")))*INDEX(Inputs!$K$5:$AJ$180,0,MATCH(AD$2,Inputs!$K$4:$AJ$4,0)))+SUMPRODUCT((Inputs!$E$5:$E$180=$B67)*Inputs!$F$5:$F$180*(((Inputs!$G$5:$G$180="moeda")+(Inputs!$G$5:$G$180="acoes"))*Inputs!$B$1+((Inputs!$G$5:$G$180&lt;&gt;"moeda")*(Inputs!$G$5:$G$180&lt;&gt;"acoes")))*INDEX(Inputs!$K$5:$AJ$180,0,MATCH(AD$2,Inputs!$K$4:$AJ$4,0)))))</f>
        <v>0.0653847414686888</v>
      </c>
      <c r="AE67" s="268" t="e">
        <f>IF(ISNA(MATCH(AE$2,Inputs!$K$4:$AJ$4,0)),NA(),IF(SUMPRODUCT((Inputs!$A$5:$A$180=$B67)*ISNUMBER(INDEX(Inputs!$K$5:$AJ$180,0,MATCH(AE$2,Inputs!$K$4:$AJ$4,0))))+SUMPRODUCT((Inputs!$C$5:$C$180=$B67)*ISNUMBER(INDEX(Inputs!$K$5:$AJ$180,0,MATCH(AE$2,Inputs!$K$4:$AJ$4,0))))+SUMPRODUCT((Inputs!$E$5:$E$180=$B67)*ISNUMBER(INDEX(Inputs!$K$5:$AJ$180,0,MATCH(AE$2,Inputs!$K$4:$AJ$4,0))))=0,NA(),SUMPRODUCT((Inputs!$A$5:$A$180=$B67)*Inputs!$B$5:$B$180*(((Inputs!$G$5:$G$180="moeda")+(Inputs!$G$5:$G$180="acoes"))*Inputs!$B$1+((Inputs!$G$5:$G$180&lt;&gt;"moeda")*(Inputs!$G$5:$G$180&lt;&gt;"acoes")))*INDEX(Inputs!$K$5:$AJ$180,0,MATCH(AE$2,Inputs!$K$4:$AJ$4,0)))+SUMPRODUCT((Inputs!$C$5:$C$180=$B67)*Inputs!$D$5:$D$180*(((Inputs!$G$5:$G$180="moeda")+(Inputs!$G$5:$G$180="acoes"))*Inputs!$B$1+((Inputs!$G$5:$G$180&lt;&gt;"moeda")*(Inputs!$G$5:$G$180&lt;&gt;"acoes")))*INDEX(Inputs!$K$5:$AJ$180,0,MATCH(AE$2,Inputs!$K$4:$AJ$4,0)))+SUMPRODUCT((Inputs!$E$5:$E$180=$B67)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7" s="268" t="e">
        <f>IF(ISNA(MATCH(AF$2,Inputs!$K$4:$AJ$4,0)),NA(),IF(SUMPRODUCT((Inputs!$A$5:$A$180=$B67)*ISNUMBER(INDEX(Inputs!$K$5:$AJ$180,0,MATCH(AF$2,Inputs!$K$4:$AJ$4,0))))+SUMPRODUCT((Inputs!$C$5:$C$180=$B67)*ISNUMBER(INDEX(Inputs!$K$5:$AJ$180,0,MATCH(AF$2,Inputs!$K$4:$AJ$4,0))))+SUMPRODUCT((Inputs!$E$5:$E$180=$B67)*ISNUMBER(INDEX(Inputs!$K$5:$AJ$180,0,MATCH(AF$2,Inputs!$K$4:$AJ$4,0))))=0,NA(),SUMPRODUCT((Inputs!$A$5:$A$180=$B67)*Inputs!$B$5:$B$180*(((Inputs!$G$5:$G$180="moeda")+(Inputs!$G$5:$G$180="acoes"))*Inputs!$B$1+((Inputs!$G$5:$G$180&lt;&gt;"moeda")*(Inputs!$G$5:$G$180&lt;&gt;"acoes")))*INDEX(Inputs!$K$5:$AJ$180,0,MATCH(AF$2,Inputs!$K$4:$AJ$4,0)))+SUMPRODUCT((Inputs!$C$5:$C$180=$B67)*Inputs!$D$5:$D$180*(((Inputs!$G$5:$G$180="moeda")+(Inputs!$G$5:$G$180="acoes"))*Inputs!$B$1+((Inputs!$G$5:$G$180&lt;&gt;"moeda")*(Inputs!$G$5:$G$180&lt;&gt;"acoes")))*INDEX(Inputs!$K$5:$AJ$180,0,MATCH(AF$2,Inputs!$K$4:$AJ$4,0)))+SUMPRODUCT((Inputs!$E$5:$E$180=$B67)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7" s="40" t="n"/>
      <c r="AH67" s="268">
        <f>IF(ISNA(MATCH(AH$2,Inputs!$K$4:$AJ$4,0)),NA(),IF(SUMPRODUCT((Inputs!$A$5:$A$180=$B67)*ISNUMBER(INDEX(Inputs!$K$5:$AJ$180,0,MATCH(AH$2,Inputs!$K$4:$AJ$4,0))))+SUMPRODUCT((Inputs!$C$5:$C$180=$B67)*ISNUMBER(INDEX(Inputs!$K$5:$AJ$180,0,MATCH(AH$2,Inputs!$K$4:$AJ$4,0))))+SUMPRODUCT((Inputs!$E$5:$E$180=$B67)*ISNUMBER(INDEX(Inputs!$K$5:$AJ$180,0,MATCH(AH$2,Inputs!$K$4:$AJ$4,0))))=0,NA(),SUMPRODUCT((Inputs!$A$5:$A$180=$B67)*Inputs!$B$5:$B$180*(((Inputs!$G$5:$G$180="moeda")+(Inputs!$G$5:$G$180="acoes"))*Inputs!$B$1+((Inputs!$G$5:$G$180&lt;&gt;"moeda")*(Inputs!$G$5:$G$180&lt;&gt;"acoes")))*INDEX(Inputs!$K$5:$AJ$180,0,MATCH(AH$2,Inputs!$K$4:$AJ$4,0)))+SUMPRODUCT((Inputs!$C$5:$C$180=$B67)*Inputs!$D$5:$D$180*(((Inputs!$G$5:$G$180="moeda")+(Inputs!$G$5:$G$180="acoes"))*Inputs!$B$1+((Inputs!$G$5:$G$180&lt;&gt;"moeda")*(Inputs!$G$5:$G$180&lt;&gt;"acoes")))*INDEX(Inputs!$K$5:$AJ$180,0,MATCH(AH$2,Inputs!$K$4:$AJ$4,0)))+SUMPRODUCT((Inputs!$E$5:$E$180=$B67)*Inputs!$F$5:$F$180*(((Inputs!$G$5:$G$180="moeda")+(Inputs!$G$5:$G$180="acoes"))*Inputs!$B$1+((Inputs!$G$5:$G$180&lt;&gt;"moeda")*(Inputs!$G$5:$G$180&lt;&gt;"acoes")))*INDEX(Inputs!$K$5:$AJ$180,0,MATCH(AH$2,Inputs!$K$4:$AJ$4,0)))))</f>
        <v>-0.0965073749255857</v>
      </c>
      <c r="AI67" s="268">
        <f>IF(ISNA(MATCH(AI$2,Inputs!$K$4:$AJ$4,0)),NA(),IF(SUMPRODUCT((Inputs!$A$5:$A$180=$B67)*ISNUMBER(INDEX(Inputs!$K$5:$AJ$180,0,MATCH(AI$2,Inputs!$K$4:$AJ$4,0))))+SUMPRODUCT((Inputs!$C$5:$C$180=$B67)*ISNUMBER(INDEX(Inputs!$K$5:$AJ$180,0,MATCH(AI$2,Inputs!$K$4:$AJ$4,0))))+SUMPRODUCT((Inputs!$E$5:$E$180=$B67)*ISNUMBER(INDEX(Inputs!$K$5:$AJ$180,0,MATCH(AI$2,Inputs!$K$4:$AJ$4,0))))=0,NA(),SUMPRODUCT((Inputs!$A$5:$A$180=$B67)*Inputs!$B$5:$B$180*(((Inputs!$G$5:$G$180="moeda")+(Inputs!$G$5:$G$180="acoes"))*Inputs!$B$1+((Inputs!$G$5:$G$180&lt;&gt;"moeda")*(Inputs!$G$5:$G$180&lt;&gt;"acoes")))*INDEX(Inputs!$K$5:$AJ$180,0,MATCH(AI$2,Inputs!$K$4:$AJ$4,0)))+SUMPRODUCT((Inputs!$C$5:$C$180=$B67)*Inputs!$D$5:$D$180*(((Inputs!$G$5:$G$180="moeda")+(Inputs!$G$5:$G$180="acoes"))*Inputs!$B$1+((Inputs!$G$5:$G$180&lt;&gt;"moeda")*(Inputs!$G$5:$G$180&lt;&gt;"acoes")))*INDEX(Inputs!$K$5:$AJ$180,0,MATCH(AI$2,Inputs!$K$4:$AJ$4,0)))+SUMPRODUCT((Inputs!$E$5:$E$180=$B67)*Inputs!$F$5:$F$180*(((Inputs!$G$5:$G$180="moeda")+(Inputs!$G$5:$G$180="acoes"))*Inputs!$B$1+((Inputs!$G$5:$G$180&lt;&gt;"moeda")*(Inputs!$G$5:$G$180&lt;&gt;"acoes")))*INDEX(Inputs!$K$5:$AJ$180,0,MATCH(AI$2,Inputs!$K$4:$AJ$4,0)))))</f>
        <v>-0.829223642581109</v>
      </c>
      <c r="AJ67" s="268">
        <f>IF(ISNA(MATCH(AJ$2,Inputs!$K$4:$AJ$4,0)),NA(),IF(SUMPRODUCT((Inputs!$A$5:$A$180=$B67)*ISNUMBER(INDEX(Inputs!$K$5:$AJ$180,0,MATCH(AJ$2,Inputs!$K$4:$AJ$4,0))))+SUMPRODUCT((Inputs!$C$5:$C$180=$B67)*ISNUMBER(INDEX(Inputs!$K$5:$AJ$180,0,MATCH(AJ$2,Inputs!$K$4:$AJ$4,0))))+SUMPRODUCT((Inputs!$E$5:$E$180=$B67)*ISNUMBER(INDEX(Inputs!$K$5:$AJ$180,0,MATCH(AJ$2,Inputs!$K$4:$AJ$4,0))))=0,NA(),SUMPRODUCT((Inputs!$A$5:$A$180=$B67)*Inputs!$B$5:$B$180*(((Inputs!$G$5:$G$180="moeda")+(Inputs!$G$5:$G$180="acoes"))*Inputs!$B$1+((Inputs!$G$5:$G$180&lt;&gt;"moeda")*(Inputs!$G$5:$G$180&lt;&gt;"acoes")))*INDEX(Inputs!$K$5:$AJ$180,0,MATCH(AJ$2,Inputs!$K$4:$AJ$4,0)))+SUMPRODUCT((Inputs!$C$5:$C$180=$B67)*Inputs!$D$5:$D$180*(((Inputs!$G$5:$G$180="moeda")+(Inputs!$G$5:$G$180="acoes"))*Inputs!$B$1+((Inputs!$G$5:$G$180&lt;&gt;"moeda")*(Inputs!$G$5:$G$180&lt;&gt;"acoes")))*INDEX(Inputs!$K$5:$AJ$180,0,MATCH(AJ$2,Inputs!$K$4:$AJ$4,0)))+SUMPRODUCT((Inputs!$E$5:$E$180=$B67)*Inputs!$F$5:$F$180*(((Inputs!$G$5:$G$180="moeda")+(Inputs!$G$5:$G$180="acoes"))*Inputs!$B$1+((Inputs!$G$5:$G$180&lt;&gt;"moeda")*(Inputs!$G$5:$G$180&lt;&gt;"acoes")))*INDEX(Inputs!$K$5:$AJ$180,0,MATCH(AJ$2,Inputs!$K$4:$AJ$4,0)))))</f>
        <v>-0.211252174347752</v>
      </c>
      <c r="AK67" s="268">
        <f>IF(ISNA(MATCH(AK$2,Inputs!$K$4:$AJ$4,0)),NA(),IF(SUMPRODUCT((Inputs!$A$5:$A$180=$B67)*ISNUMBER(INDEX(Inputs!$K$5:$AJ$180,0,MATCH(AK$2,Inputs!$K$4:$AJ$4,0))))+SUMPRODUCT((Inputs!$C$5:$C$180=$B67)*ISNUMBER(INDEX(Inputs!$K$5:$AJ$180,0,MATCH(AK$2,Inputs!$K$4:$AJ$4,0))))+SUMPRODUCT((Inputs!$E$5:$E$180=$B67)*ISNUMBER(INDEX(Inputs!$K$5:$AJ$180,0,MATCH(AK$2,Inputs!$K$4:$AJ$4,0))))=0,NA(),SUMPRODUCT((Inputs!$A$5:$A$180=$B67)*Inputs!$B$5:$B$180*(((Inputs!$G$5:$G$180="moeda")+(Inputs!$G$5:$G$180="acoes"))*Inputs!$B$1+((Inputs!$G$5:$G$180&lt;&gt;"moeda")*(Inputs!$G$5:$G$180&lt;&gt;"acoes")))*INDEX(Inputs!$K$5:$AJ$180,0,MATCH(AK$2,Inputs!$K$4:$AJ$4,0)))+SUMPRODUCT((Inputs!$C$5:$C$180=$B67)*Inputs!$D$5:$D$180*(((Inputs!$G$5:$G$180="moeda")+(Inputs!$G$5:$G$180="acoes"))*Inputs!$B$1+((Inputs!$G$5:$G$180&lt;&gt;"moeda")*(Inputs!$G$5:$G$180&lt;&gt;"acoes")))*INDEX(Inputs!$K$5:$AJ$180,0,MATCH(AK$2,Inputs!$K$4:$AJ$4,0)))+SUMPRODUCT((Inputs!$E$5:$E$180=$B67)*Inputs!$F$5:$F$180*(((Inputs!$G$5:$G$180="moeda")+(Inputs!$G$5:$G$180="acoes"))*Inputs!$B$1+((Inputs!$G$5:$G$180&lt;&gt;"moeda")*(Inputs!$G$5:$G$180&lt;&gt;"acoes")))*INDEX(Inputs!$K$5:$AJ$180,0,MATCH(AK$2,Inputs!$K$4:$AJ$4,0)))))</f>
        <v>-0.0186591332314393</v>
      </c>
      <c r="AL67" s="40" t="n"/>
    </row>
    <row r="68">
      <c r="B68" s="46" t="n">
        <v>60</v>
      </c>
      <c r="C68" s="29" t="inlineStr">
        <is>
          <t>SSS lojas Life (l.15)</t>
        </is>
      </c>
      <c r="D68" s="268">
        <f>IF(ISNA(MATCH(D$2,Inputs!$K$4:$AJ$4,0)),NA(),IF(SUMPRODUCT((Inputs!$A$5:$A$180=$B68)*ISNUMBER(INDEX(Inputs!$K$5:$AJ$180,0,MATCH(D$2,Inputs!$K$4:$AJ$4,0))))+SUMPRODUCT((Inputs!$C$5:$C$180=$B68)*ISNUMBER(INDEX(Inputs!$K$5:$AJ$180,0,MATCH(D$2,Inputs!$K$4:$AJ$4,0))))+SUMPRODUCT((Inputs!$E$5:$E$180=$B68)*ISNUMBER(INDEX(Inputs!$K$5:$AJ$180,0,MATCH(D$2,Inputs!$K$4:$AJ$4,0))))=0,NA(),SUMPRODUCT((Inputs!$A$5:$A$180=$B68)*Inputs!$B$5:$B$180*(((Inputs!$G$5:$G$180="moeda")+(Inputs!$G$5:$G$180="acoes"))*Inputs!$B$1+((Inputs!$G$5:$G$180&lt;&gt;"moeda")*(Inputs!$G$5:$G$180&lt;&gt;"acoes")))*INDEX(Inputs!$K$5:$AJ$180,0,MATCH(D$2,Inputs!$K$4:$AJ$4,0)))+SUMPRODUCT((Inputs!$C$5:$C$180=$B68)*Inputs!$D$5:$D$180*(((Inputs!$G$5:$G$180="moeda")+(Inputs!$G$5:$G$180="acoes"))*Inputs!$B$1+((Inputs!$G$5:$G$180&lt;&gt;"moeda")*(Inputs!$G$5:$G$180&lt;&gt;"acoes")))*INDEX(Inputs!$K$5:$AJ$180,0,MATCH(D$2,Inputs!$K$4:$AJ$4,0)))+SUMPRODUCT((Inputs!$E$5:$E$180=$B68)*Inputs!$F$5:$F$180*(((Inputs!$G$5:$G$180="moeda")+(Inputs!$G$5:$G$180="acoes"))*Inputs!$B$1+((Inputs!$G$5:$G$180&lt;&gt;"moeda")*(Inputs!$G$5:$G$180&lt;&gt;"acoes")))*INDEX(Inputs!$K$5:$AJ$180,0,MATCH(D$2,Inputs!$K$4:$AJ$4,0)))))</f>
        <v>-0.164187173845328</v>
      </c>
      <c r="E68" s="268">
        <f>IF(ISNA(MATCH(E$2,Inputs!$K$4:$AJ$4,0)),NA(),IF(SUMPRODUCT((Inputs!$A$5:$A$180=$B68)*ISNUMBER(INDEX(Inputs!$K$5:$AJ$180,0,MATCH(E$2,Inputs!$K$4:$AJ$4,0))))+SUMPRODUCT((Inputs!$C$5:$C$180=$B68)*ISNUMBER(INDEX(Inputs!$K$5:$AJ$180,0,MATCH(E$2,Inputs!$K$4:$AJ$4,0))))+SUMPRODUCT((Inputs!$E$5:$E$180=$B68)*ISNUMBER(INDEX(Inputs!$K$5:$AJ$180,0,MATCH(E$2,Inputs!$K$4:$AJ$4,0))))=0,NA(),SUMPRODUCT((Inputs!$A$5:$A$180=$B68)*Inputs!$B$5:$B$180*(((Inputs!$G$5:$G$180="moeda")+(Inputs!$G$5:$G$180="acoes"))*Inputs!$B$1+((Inputs!$G$5:$G$180&lt;&gt;"moeda")*(Inputs!$G$5:$G$180&lt;&gt;"acoes")))*INDEX(Inputs!$K$5:$AJ$180,0,MATCH(E$2,Inputs!$K$4:$AJ$4,0)))+SUMPRODUCT((Inputs!$C$5:$C$180=$B68)*Inputs!$D$5:$D$180*(((Inputs!$G$5:$G$180="moeda")+(Inputs!$G$5:$G$180="acoes"))*Inputs!$B$1+((Inputs!$G$5:$G$180&lt;&gt;"moeda")*(Inputs!$G$5:$G$180&lt;&gt;"acoes")))*INDEX(Inputs!$K$5:$AJ$180,0,MATCH(E$2,Inputs!$K$4:$AJ$4,0)))+SUMPRODUCT((Inputs!$E$5:$E$180=$B68)*Inputs!$F$5:$F$180*(((Inputs!$G$5:$G$180="moeda")+(Inputs!$G$5:$G$180="acoes"))*Inputs!$B$1+((Inputs!$G$5:$G$180&lt;&gt;"moeda")*(Inputs!$G$5:$G$180&lt;&gt;"acoes")))*INDEX(Inputs!$K$5:$AJ$180,0,MATCH(E$2,Inputs!$K$4:$AJ$4,0)))))</f>
        <v>16.5692296822868</v>
      </c>
      <c r="F68" s="268">
        <f>IF(ISNA(MATCH(F$2,Inputs!$K$4:$AJ$4,0)),NA(),IF(SUMPRODUCT((Inputs!$A$5:$A$180=$B68)*ISNUMBER(INDEX(Inputs!$K$5:$AJ$180,0,MATCH(F$2,Inputs!$K$4:$AJ$4,0))))+SUMPRODUCT((Inputs!$C$5:$C$180=$B68)*ISNUMBER(INDEX(Inputs!$K$5:$AJ$180,0,MATCH(F$2,Inputs!$K$4:$AJ$4,0))))+SUMPRODUCT((Inputs!$E$5:$E$180=$B68)*ISNUMBER(INDEX(Inputs!$K$5:$AJ$180,0,MATCH(F$2,Inputs!$K$4:$AJ$4,0))))=0,NA(),SUMPRODUCT((Inputs!$A$5:$A$180=$B68)*Inputs!$B$5:$B$180*(((Inputs!$G$5:$G$180="moeda")+(Inputs!$G$5:$G$180="acoes"))*Inputs!$B$1+((Inputs!$G$5:$G$180&lt;&gt;"moeda")*(Inputs!$G$5:$G$180&lt;&gt;"acoes")))*INDEX(Inputs!$K$5:$AJ$180,0,MATCH(F$2,Inputs!$K$4:$AJ$4,0)))+SUMPRODUCT((Inputs!$C$5:$C$180=$B68)*Inputs!$D$5:$D$180*(((Inputs!$G$5:$G$180="moeda")+(Inputs!$G$5:$G$180="acoes"))*Inputs!$B$1+((Inputs!$G$5:$G$180&lt;&gt;"moeda")*(Inputs!$G$5:$G$180&lt;&gt;"acoes")))*INDEX(Inputs!$K$5:$AJ$180,0,MATCH(F$2,Inputs!$K$4:$AJ$4,0)))+SUMPRODUCT((Inputs!$E$5:$E$180=$B68)*Inputs!$F$5:$F$180*(((Inputs!$G$5:$G$180="moeda")+(Inputs!$G$5:$G$180="acoes"))*Inputs!$B$1+((Inputs!$G$5:$G$180&lt;&gt;"moeda")*(Inputs!$G$5:$G$180&lt;&gt;"acoes")))*INDEX(Inputs!$K$5:$AJ$180,0,MATCH(F$2,Inputs!$K$4:$AJ$4,0)))))</f>
        <v>0.877211674029981</v>
      </c>
      <c r="G68" s="268">
        <f>IF(ISNA(MATCH(G$2,Inputs!$K$4:$AJ$4,0)),NA(),IF(SUMPRODUCT((Inputs!$A$5:$A$180=$B68)*ISNUMBER(INDEX(Inputs!$K$5:$AJ$180,0,MATCH(G$2,Inputs!$K$4:$AJ$4,0))))+SUMPRODUCT((Inputs!$C$5:$C$180=$B68)*ISNUMBER(INDEX(Inputs!$K$5:$AJ$180,0,MATCH(G$2,Inputs!$K$4:$AJ$4,0))))+SUMPRODUCT((Inputs!$E$5:$E$180=$B68)*ISNUMBER(INDEX(Inputs!$K$5:$AJ$180,0,MATCH(G$2,Inputs!$K$4:$AJ$4,0))))=0,NA(),SUMPRODUCT((Inputs!$A$5:$A$180=$B68)*Inputs!$B$5:$B$180*(((Inputs!$G$5:$G$180="moeda")+(Inputs!$G$5:$G$180="acoes"))*Inputs!$B$1+((Inputs!$G$5:$G$180&lt;&gt;"moeda")*(Inputs!$G$5:$G$180&lt;&gt;"acoes")))*INDEX(Inputs!$K$5:$AJ$180,0,MATCH(G$2,Inputs!$K$4:$AJ$4,0)))+SUMPRODUCT((Inputs!$C$5:$C$180=$B68)*Inputs!$D$5:$D$180*(((Inputs!$G$5:$G$180="moeda")+(Inputs!$G$5:$G$180="acoes"))*Inputs!$B$1+((Inputs!$G$5:$G$180&lt;&gt;"moeda")*(Inputs!$G$5:$G$180&lt;&gt;"acoes")))*INDEX(Inputs!$K$5:$AJ$180,0,MATCH(G$2,Inputs!$K$4:$AJ$4,0)))+SUMPRODUCT((Inputs!$E$5:$E$180=$B68)*Inputs!$F$5:$F$180*(((Inputs!$G$5:$G$180="moeda")+(Inputs!$G$5:$G$180="acoes"))*Inputs!$B$1+((Inputs!$G$5:$G$180&lt;&gt;"moeda")*(Inputs!$G$5:$G$180&lt;&gt;"acoes")))*INDEX(Inputs!$K$5:$AJ$180,0,MATCH(G$2,Inputs!$K$4:$AJ$4,0)))))</f>
        <v>0.305700224715897</v>
      </c>
      <c r="H68" s="40" t="n"/>
      <c r="I68" s="268">
        <f>IF(ISNA(MATCH(I$2,Inputs!$K$4:$AJ$4,0)),NA(),IF(SUMPRODUCT((Inputs!$A$5:$A$180=$B68)*ISNUMBER(INDEX(Inputs!$K$5:$AJ$180,0,MATCH(I$2,Inputs!$K$4:$AJ$4,0))))+SUMPRODUCT((Inputs!$C$5:$C$180=$B68)*ISNUMBER(INDEX(Inputs!$K$5:$AJ$180,0,MATCH(I$2,Inputs!$K$4:$AJ$4,0))))+SUMPRODUCT((Inputs!$E$5:$E$180=$B68)*ISNUMBER(INDEX(Inputs!$K$5:$AJ$180,0,MATCH(I$2,Inputs!$K$4:$AJ$4,0))))=0,NA(),SUMPRODUCT((Inputs!$A$5:$A$180=$B68)*Inputs!$B$5:$B$180*(((Inputs!$G$5:$G$180="moeda")+(Inputs!$G$5:$G$180="acoes"))*Inputs!$B$1+((Inputs!$G$5:$G$180&lt;&gt;"moeda")*(Inputs!$G$5:$G$180&lt;&gt;"acoes")))*INDEX(Inputs!$K$5:$AJ$180,0,MATCH(I$2,Inputs!$K$4:$AJ$4,0)))+SUMPRODUCT((Inputs!$C$5:$C$180=$B68)*Inputs!$D$5:$D$180*(((Inputs!$G$5:$G$180="moeda")+(Inputs!$G$5:$G$180="acoes"))*Inputs!$B$1+((Inputs!$G$5:$G$180&lt;&gt;"moeda")*(Inputs!$G$5:$G$180&lt;&gt;"acoes")))*INDEX(Inputs!$K$5:$AJ$180,0,MATCH(I$2,Inputs!$K$4:$AJ$4,0)))+SUMPRODUCT((Inputs!$E$5:$E$180=$B68)*Inputs!$F$5:$F$180*(((Inputs!$G$5:$G$180="moeda")+(Inputs!$G$5:$G$180="acoes"))*Inputs!$B$1+((Inputs!$G$5:$G$180&lt;&gt;"moeda")*(Inputs!$G$5:$G$180&lt;&gt;"acoes")))*INDEX(Inputs!$K$5:$AJ$180,0,MATCH(I$2,Inputs!$K$4:$AJ$4,0)))))</f>
        <v>1.06680254575013</v>
      </c>
      <c r="J68" s="268">
        <f>IF(ISNA(MATCH(J$2,Inputs!$K$4:$AJ$4,0)),NA(),IF(SUMPRODUCT((Inputs!$A$5:$A$180=$B68)*ISNUMBER(INDEX(Inputs!$K$5:$AJ$180,0,MATCH(J$2,Inputs!$K$4:$AJ$4,0))))+SUMPRODUCT((Inputs!$C$5:$C$180=$B68)*ISNUMBER(INDEX(Inputs!$K$5:$AJ$180,0,MATCH(J$2,Inputs!$K$4:$AJ$4,0))))+SUMPRODUCT((Inputs!$E$5:$E$180=$B68)*ISNUMBER(INDEX(Inputs!$K$5:$AJ$180,0,MATCH(J$2,Inputs!$K$4:$AJ$4,0))))=0,NA(),SUMPRODUCT((Inputs!$A$5:$A$180=$B68)*Inputs!$B$5:$B$180*(((Inputs!$G$5:$G$180="moeda")+(Inputs!$G$5:$G$180="acoes"))*Inputs!$B$1+((Inputs!$G$5:$G$180&lt;&gt;"moeda")*(Inputs!$G$5:$G$180&lt;&gt;"acoes")))*INDEX(Inputs!$K$5:$AJ$180,0,MATCH(J$2,Inputs!$K$4:$AJ$4,0)))+SUMPRODUCT((Inputs!$C$5:$C$180=$B68)*Inputs!$D$5:$D$180*(((Inputs!$G$5:$G$180="moeda")+(Inputs!$G$5:$G$180="acoes"))*Inputs!$B$1+((Inputs!$G$5:$G$180&lt;&gt;"moeda")*(Inputs!$G$5:$G$180&lt;&gt;"acoes")))*INDEX(Inputs!$K$5:$AJ$180,0,MATCH(J$2,Inputs!$K$4:$AJ$4,0)))+SUMPRODUCT((Inputs!$E$5:$E$180=$B68)*Inputs!$F$5:$F$180*(((Inputs!$G$5:$G$180="moeda")+(Inputs!$G$5:$G$180="acoes"))*Inputs!$B$1+((Inputs!$G$5:$G$180&lt;&gt;"moeda")*(Inputs!$G$5:$G$180&lt;&gt;"acoes")))*INDEX(Inputs!$K$5:$AJ$180,0,MATCH(J$2,Inputs!$K$4:$AJ$4,0)))))</f>
        <v>0.735271966995502</v>
      </c>
      <c r="K68" s="268">
        <f>IF(ISNA(MATCH(K$2,Inputs!$K$4:$AJ$4,0)),NA(),IF(SUMPRODUCT((Inputs!$A$5:$A$180=$B68)*ISNUMBER(INDEX(Inputs!$K$5:$AJ$180,0,MATCH(K$2,Inputs!$K$4:$AJ$4,0))))+SUMPRODUCT((Inputs!$C$5:$C$180=$B68)*ISNUMBER(INDEX(Inputs!$K$5:$AJ$180,0,MATCH(K$2,Inputs!$K$4:$AJ$4,0))))+SUMPRODUCT((Inputs!$E$5:$E$180=$B68)*ISNUMBER(INDEX(Inputs!$K$5:$AJ$180,0,MATCH(K$2,Inputs!$K$4:$AJ$4,0))))=0,NA(),SUMPRODUCT((Inputs!$A$5:$A$180=$B68)*Inputs!$B$5:$B$180*(((Inputs!$G$5:$G$180="moeda")+(Inputs!$G$5:$G$180="acoes"))*Inputs!$B$1+((Inputs!$G$5:$G$180&lt;&gt;"moeda")*(Inputs!$G$5:$G$180&lt;&gt;"acoes")))*INDEX(Inputs!$K$5:$AJ$180,0,MATCH(K$2,Inputs!$K$4:$AJ$4,0)))+SUMPRODUCT((Inputs!$C$5:$C$180=$B68)*Inputs!$D$5:$D$180*(((Inputs!$G$5:$G$180="moeda")+(Inputs!$G$5:$G$180="acoes"))*Inputs!$B$1+((Inputs!$G$5:$G$180&lt;&gt;"moeda")*(Inputs!$G$5:$G$180&lt;&gt;"acoes")))*INDEX(Inputs!$K$5:$AJ$180,0,MATCH(K$2,Inputs!$K$4:$AJ$4,0)))+SUMPRODUCT((Inputs!$E$5:$E$180=$B68)*Inputs!$F$5:$F$180*(((Inputs!$G$5:$G$180="moeda")+(Inputs!$G$5:$G$180="acoes"))*Inputs!$B$1+((Inputs!$G$5:$G$180&lt;&gt;"moeda")*(Inputs!$G$5:$G$180&lt;&gt;"acoes")))*INDEX(Inputs!$K$5:$AJ$180,0,MATCH(K$2,Inputs!$K$4:$AJ$4,0)))))</f>
        <v>0.545969826668193</v>
      </c>
      <c r="L68" s="268">
        <f>IF(ISNA(MATCH(L$2,Inputs!$K$4:$AJ$4,0)),NA(),IF(SUMPRODUCT((Inputs!$A$5:$A$180=$B68)*ISNUMBER(INDEX(Inputs!$K$5:$AJ$180,0,MATCH(L$2,Inputs!$K$4:$AJ$4,0))))+SUMPRODUCT((Inputs!$C$5:$C$180=$B68)*ISNUMBER(INDEX(Inputs!$K$5:$AJ$180,0,MATCH(L$2,Inputs!$K$4:$AJ$4,0))))+SUMPRODUCT((Inputs!$E$5:$E$180=$B68)*ISNUMBER(INDEX(Inputs!$K$5:$AJ$180,0,MATCH(L$2,Inputs!$K$4:$AJ$4,0))))=0,NA(),SUMPRODUCT((Inputs!$A$5:$A$180=$B68)*Inputs!$B$5:$B$180*(((Inputs!$G$5:$G$180="moeda")+(Inputs!$G$5:$G$180="acoes"))*Inputs!$B$1+((Inputs!$G$5:$G$180&lt;&gt;"moeda")*(Inputs!$G$5:$G$180&lt;&gt;"acoes")))*INDEX(Inputs!$K$5:$AJ$180,0,MATCH(L$2,Inputs!$K$4:$AJ$4,0)))+SUMPRODUCT((Inputs!$C$5:$C$180=$B68)*Inputs!$D$5:$D$180*(((Inputs!$G$5:$G$180="moeda")+(Inputs!$G$5:$G$180="acoes"))*Inputs!$B$1+((Inputs!$G$5:$G$180&lt;&gt;"moeda")*(Inputs!$G$5:$G$180&lt;&gt;"acoes")))*INDEX(Inputs!$K$5:$AJ$180,0,MATCH(L$2,Inputs!$K$4:$AJ$4,0)))+SUMPRODUCT((Inputs!$E$5:$E$180=$B68)*Inputs!$F$5:$F$180*(((Inputs!$G$5:$G$180="moeda")+(Inputs!$G$5:$G$180="acoes"))*Inputs!$B$1+((Inputs!$G$5:$G$180&lt;&gt;"moeda")*(Inputs!$G$5:$G$180&lt;&gt;"acoes")))*INDEX(Inputs!$K$5:$AJ$180,0,MATCH(L$2,Inputs!$K$4:$AJ$4,0)))))</f>
        <v>0.313625640931945</v>
      </c>
      <c r="M68" s="40" t="n"/>
      <c r="N68" s="268">
        <f>IF(ISNA(MATCH(N$2,Inputs!$K$4:$AJ$4,0)),NA(),IF(SUMPRODUCT((Inputs!$A$5:$A$180=$B68)*ISNUMBER(INDEX(Inputs!$K$5:$AJ$180,0,MATCH(N$2,Inputs!$K$4:$AJ$4,0))))+SUMPRODUCT((Inputs!$C$5:$C$180=$B68)*ISNUMBER(INDEX(Inputs!$K$5:$AJ$180,0,MATCH(N$2,Inputs!$K$4:$AJ$4,0))))+SUMPRODUCT((Inputs!$E$5:$E$180=$B68)*ISNUMBER(INDEX(Inputs!$K$5:$AJ$180,0,MATCH(N$2,Inputs!$K$4:$AJ$4,0))))=0,NA(),SUMPRODUCT((Inputs!$A$5:$A$180=$B68)*Inputs!$B$5:$B$180*(((Inputs!$G$5:$G$180="moeda")+(Inputs!$G$5:$G$180="acoes"))*Inputs!$B$1+((Inputs!$G$5:$G$180&lt;&gt;"moeda")*(Inputs!$G$5:$G$180&lt;&gt;"acoes")))*INDEX(Inputs!$K$5:$AJ$180,0,MATCH(N$2,Inputs!$K$4:$AJ$4,0)))+SUMPRODUCT((Inputs!$C$5:$C$180=$B68)*Inputs!$D$5:$D$180*(((Inputs!$G$5:$G$180="moeda")+(Inputs!$G$5:$G$180="acoes"))*Inputs!$B$1+((Inputs!$G$5:$G$180&lt;&gt;"moeda")*(Inputs!$G$5:$G$180&lt;&gt;"acoes")))*INDEX(Inputs!$K$5:$AJ$180,0,MATCH(N$2,Inputs!$K$4:$AJ$4,0)))+SUMPRODUCT((Inputs!$E$5:$E$180=$B68)*Inputs!$F$5:$F$180*(((Inputs!$G$5:$G$180="moeda")+(Inputs!$G$5:$G$180="acoes"))*Inputs!$B$1+((Inputs!$G$5:$G$180&lt;&gt;"moeda")*(Inputs!$G$5:$G$180&lt;&gt;"acoes")))*INDEX(Inputs!$K$5:$AJ$180,0,MATCH(N$2,Inputs!$K$4:$AJ$4,0)))))</f>
        <v>0.344381174772973</v>
      </c>
      <c r="O68" s="268">
        <f>IF(ISNA(MATCH(O$2,Inputs!$K$4:$AJ$4,0)),NA(),IF(SUMPRODUCT((Inputs!$A$5:$A$180=$B68)*ISNUMBER(INDEX(Inputs!$K$5:$AJ$180,0,MATCH(O$2,Inputs!$K$4:$AJ$4,0))))+SUMPRODUCT((Inputs!$C$5:$C$180=$B68)*ISNUMBER(INDEX(Inputs!$K$5:$AJ$180,0,MATCH(O$2,Inputs!$K$4:$AJ$4,0))))+SUMPRODUCT((Inputs!$E$5:$E$180=$B68)*ISNUMBER(INDEX(Inputs!$K$5:$AJ$180,0,MATCH(O$2,Inputs!$K$4:$AJ$4,0))))=0,NA(),SUMPRODUCT((Inputs!$A$5:$A$180=$B68)*Inputs!$B$5:$B$180*(((Inputs!$G$5:$G$180="moeda")+(Inputs!$G$5:$G$180="acoes"))*Inputs!$B$1+((Inputs!$G$5:$G$180&lt;&gt;"moeda")*(Inputs!$G$5:$G$180&lt;&gt;"acoes")))*INDEX(Inputs!$K$5:$AJ$180,0,MATCH(O$2,Inputs!$K$4:$AJ$4,0)))+SUMPRODUCT((Inputs!$C$5:$C$180=$B68)*Inputs!$D$5:$D$180*(((Inputs!$G$5:$G$180="moeda")+(Inputs!$G$5:$G$180="acoes"))*Inputs!$B$1+((Inputs!$G$5:$G$180&lt;&gt;"moeda")*(Inputs!$G$5:$G$180&lt;&gt;"acoes")))*INDEX(Inputs!$K$5:$AJ$180,0,MATCH(O$2,Inputs!$K$4:$AJ$4,0)))+SUMPRODUCT((Inputs!$E$5:$E$180=$B68)*Inputs!$F$5:$F$180*(((Inputs!$G$5:$G$180="moeda")+(Inputs!$G$5:$G$180="acoes"))*Inputs!$B$1+((Inputs!$G$5:$G$180&lt;&gt;"moeda")*(Inputs!$G$5:$G$180&lt;&gt;"acoes")))*INDEX(Inputs!$K$5:$AJ$180,0,MATCH(O$2,Inputs!$K$4:$AJ$4,0)))))</f>
        <v>0.376092684564252</v>
      </c>
      <c r="P68" s="268">
        <f>IF(ISNA(MATCH(P$2,Inputs!$K$4:$AJ$4,0)),NA(),IF(SUMPRODUCT((Inputs!$A$5:$A$180=$B68)*ISNUMBER(INDEX(Inputs!$K$5:$AJ$180,0,MATCH(P$2,Inputs!$K$4:$AJ$4,0))))+SUMPRODUCT((Inputs!$C$5:$C$180=$B68)*ISNUMBER(INDEX(Inputs!$K$5:$AJ$180,0,MATCH(P$2,Inputs!$K$4:$AJ$4,0))))+SUMPRODUCT((Inputs!$E$5:$E$180=$B68)*ISNUMBER(INDEX(Inputs!$K$5:$AJ$180,0,MATCH(P$2,Inputs!$K$4:$AJ$4,0))))=0,NA(),SUMPRODUCT((Inputs!$A$5:$A$180=$B68)*Inputs!$B$5:$B$180*(((Inputs!$G$5:$G$180="moeda")+(Inputs!$G$5:$G$180="acoes"))*Inputs!$B$1+((Inputs!$G$5:$G$180&lt;&gt;"moeda")*(Inputs!$G$5:$G$180&lt;&gt;"acoes")))*INDEX(Inputs!$K$5:$AJ$180,0,MATCH(P$2,Inputs!$K$4:$AJ$4,0)))+SUMPRODUCT((Inputs!$C$5:$C$180=$B68)*Inputs!$D$5:$D$180*(((Inputs!$G$5:$G$180="moeda")+(Inputs!$G$5:$G$180="acoes"))*Inputs!$B$1+((Inputs!$G$5:$G$180&lt;&gt;"moeda")*(Inputs!$G$5:$G$180&lt;&gt;"acoes")))*INDEX(Inputs!$K$5:$AJ$180,0,MATCH(P$2,Inputs!$K$4:$AJ$4,0)))+SUMPRODUCT((Inputs!$E$5:$E$180=$B68)*Inputs!$F$5:$F$180*(((Inputs!$G$5:$G$180="moeda")+(Inputs!$G$5:$G$180="acoes"))*Inputs!$B$1+((Inputs!$G$5:$G$180&lt;&gt;"moeda")*(Inputs!$G$5:$G$180&lt;&gt;"acoes")))*INDEX(Inputs!$K$5:$AJ$180,0,MATCH(P$2,Inputs!$K$4:$AJ$4,0)))))</f>
        <v>0.381385178312657</v>
      </c>
      <c r="Q68" s="268">
        <f>IF(ISNA(MATCH(Q$2,Inputs!$K$4:$AJ$4,0)),NA(),IF(SUMPRODUCT((Inputs!$A$5:$A$180=$B68)*ISNUMBER(INDEX(Inputs!$K$5:$AJ$180,0,MATCH(Q$2,Inputs!$K$4:$AJ$4,0))))+SUMPRODUCT((Inputs!$C$5:$C$180=$B68)*ISNUMBER(INDEX(Inputs!$K$5:$AJ$180,0,MATCH(Q$2,Inputs!$K$4:$AJ$4,0))))+SUMPRODUCT((Inputs!$E$5:$E$180=$B68)*ISNUMBER(INDEX(Inputs!$K$5:$AJ$180,0,MATCH(Q$2,Inputs!$K$4:$AJ$4,0))))=0,NA(),SUMPRODUCT((Inputs!$A$5:$A$180=$B68)*Inputs!$B$5:$B$180*(((Inputs!$G$5:$G$180="moeda")+(Inputs!$G$5:$G$180="acoes"))*Inputs!$B$1+((Inputs!$G$5:$G$180&lt;&gt;"moeda")*(Inputs!$G$5:$G$180&lt;&gt;"acoes")))*INDEX(Inputs!$K$5:$AJ$180,0,MATCH(Q$2,Inputs!$K$4:$AJ$4,0)))+SUMPRODUCT((Inputs!$C$5:$C$180=$B68)*Inputs!$D$5:$D$180*(((Inputs!$G$5:$G$180="moeda")+(Inputs!$G$5:$G$180="acoes"))*Inputs!$B$1+((Inputs!$G$5:$G$180&lt;&gt;"moeda")*(Inputs!$G$5:$G$180&lt;&gt;"acoes")))*INDEX(Inputs!$K$5:$AJ$180,0,MATCH(Q$2,Inputs!$K$4:$AJ$4,0)))+SUMPRODUCT((Inputs!$E$5:$E$180=$B68)*Inputs!$F$5:$F$180*(((Inputs!$G$5:$G$180="moeda")+(Inputs!$G$5:$G$180="acoes"))*Inputs!$B$1+((Inputs!$G$5:$G$180&lt;&gt;"moeda")*(Inputs!$G$5:$G$180&lt;&gt;"acoes")))*INDEX(Inputs!$K$5:$AJ$180,0,MATCH(Q$2,Inputs!$K$4:$AJ$4,0)))))</f>
        <v>0.24670332828833</v>
      </c>
      <c r="R68" s="40" t="n"/>
      <c r="S68" s="268">
        <f>IF(ISNA(MATCH(S$2,Inputs!$K$4:$AJ$4,0)),NA(),IF(SUMPRODUCT((Inputs!$A$5:$A$180=$B68)*ISNUMBER(INDEX(Inputs!$K$5:$AJ$180,0,MATCH(S$2,Inputs!$K$4:$AJ$4,0))))+SUMPRODUCT((Inputs!$C$5:$C$180=$B68)*ISNUMBER(INDEX(Inputs!$K$5:$AJ$180,0,MATCH(S$2,Inputs!$K$4:$AJ$4,0))))+SUMPRODUCT((Inputs!$E$5:$E$180=$B68)*ISNUMBER(INDEX(Inputs!$K$5:$AJ$180,0,MATCH(S$2,Inputs!$K$4:$AJ$4,0))))=0,NA(),SUMPRODUCT((Inputs!$A$5:$A$180=$B68)*Inputs!$B$5:$B$180*(((Inputs!$G$5:$G$180="moeda")+(Inputs!$G$5:$G$180="acoes"))*Inputs!$B$1+((Inputs!$G$5:$G$180&lt;&gt;"moeda")*(Inputs!$G$5:$G$180&lt;&gt;"acoes")))*INDEX(Inputs!$K$5:$AJ$180,0,MATCH(S$2,Inputs!$K$4:$AJ$4,0)))+SUMPRODUCT((Inputs!$C$5:$C$180=$B68)*Inputs!$D$5:$D$180*(((Inputs!$G$5:$G$180="moeda")+(Inputs!$G$5:$G$180="acoes"))*Inputs!$B$1+((Inputs!$G$5:$G$180&lt;&gt;"moeda")*(Inputs!$G$5:$G$180&lt;&gt;"acoes")))*INDEX(Inputs!$K$5:$AJ$180,0,MATCH(S$2,Inputs!$K$4:$AJ$4,0)))+SUMPRODUCT((Inputs!$E$5:$E$180=$B68)*Inputs!$F$5:$F$180*(((Inputs!$G$5:$G$180="moeda")+(Inputs!$G$5:$G$180="acoes"))*Inputs!$B$1+((Inputs!$G$5:$G$180&lt;&gt;"moeda")*(Inputs!$G$5:$G$180&lt;&gt;"acoes")))*INDEX(Inputs!$K$5:$AJ$180,0,MATCH(S$2,Inputs!$K$4:$AJ$4,0)))))</f>
        <v>0.164629413278384</v>
      </c>
      <c r="T68" s="268">
        <f>IF(ISNA(MATCH(T$2,Inputs!$K$4:$AJ$4,0)),NA(),IF(SUMPRODUCT((Inputs!$A$5:$A$180=$B68)*ISNUMBER(INDEX(Inputs!$K$5:$AJ$180,0,MATCH(T$2,Inputs!$K$4:$AJ$4,0))))+SUMPRODUCT((Inputs!$C$5:$C$180=$B68)*ISNUMBER(INDEX(Inputs!$K$5:$AJ$180,0,MATCH(T$2,Inputs!$K$4:$AJ$4,0))))+SUMPRODUCT((Inputs!$E$5:$E$180=$B68)*ISNUMBER(INDEX(Inputs!$K$5:$AJ$180,0,MATCH(T$2,Inputs!$K$4:$AJ$4,0))))=0,NA(),SUMPRODUCT((Inputs!$A$5:$A$180=$B68)*Inputs!$B$5:$B$180*(((Inputs!$G$5:$G$180="moeda")+(Inputs!$G$5:$G$180="acoes"))*Inputs!$B$1+((Inputs!$G$5:$G$180&lt;&gt;"moeda")*(Inputs!$G$5:$G$180&lt;&gt;"acoes")))*INDEX(Inputs!$K$5:$AJ$180,0,MATCH(T$2,Inputs!$K$4:$AJ$4,0)))+SUMPRODUCT((Inputs!$C$5:$C$180=$B68)*Inputs!$D$5:$D$180*(((Inputs!$G$5:$G$180="moeda")+(Inputs!$G$5:$G$180="acoes"))*Inputs!$B$1+((Inputs!$G$5:$G$180&lt;&gt;"moeda")*(Inputs!$G$5:$G$180&lt;&gt;"acoes")))*INDEX(Inputs!$K$5:$AJ$180,0,MATCH(T$2,Inputs!$K$4:$AJ$4,0)))+SUMPRODUCT((Inputs!$E$5:$E$180=$B68)*Inputs!$F$5:$F$180*(((Inputs!$G$5:$G$180="moeda")+(Inputs!$G$5:$G$180="acoes"))*Inputs!$B$1+((Inputs!$G$5:$G$180&lt;&gt;"moeda")*(Inputs!$G$5:$G$180&lt;&gt;"acoes")))*INDEX(Inputs!$K$5:$AJ$180,0,MATCH(T$2,Inputs!$K$4:$AJ$4,0)))))</f>
        <v>0.167</v>
      </c>
      <c r="U68" s="268">
        <f>IF(ISNA(MATCH(U$2,Inputs!$K$4:$AJ$4,0)),NA(),IF(SUMPRODUCT((Inputs!$A$5:$A$180=$B68)*ISNUMBER(INDEX(Inputs!$K$5:$AJ$180,0,MATCH(U$2,Inputs!$K$4:$AJ$4,0))))+SUMPRODUCT((Inputs!$C$5:$C$180=$B68)*ISNUMBER(INDEX(Inputs!$K$5:$AJ$180,0,MATCH(U$2,Inputs!$K$4:$AJ$4,0))))+SUMPRODUCT((Inputs!$E$5:$E$180=$B68)*ISNUMBER(INDEX(Inputs!$K$5:$AJ$180,0,MATCH(U$2,Inputs!$K$4:$AJ$4,0))))=0,NA(),SUMPRODUCT((Inputs!$A$5:$A$180=$B68)*Inputs!$B$5:$B$180*(((Inputs!$G$5:$G$180="moeda")+(Inputs!$G$5:$G$180="acoes"))*Inputs!$B$1+((Inputs!$G$5:$G$180&lt;&gt;"moeda")*(Inputs!$G$5:$G$180&lt;&gt;"acoes")))*INDEX(Inputs!$K$5:$AJ$180,0,MATCH(U$2,Inputs!$K$4:$AJ$4,0)))+SUMPRODUCT((Inputs!$C$5:$C$180=$B68)*Inputs!$D$5:$D$180*(((Inputs!$G$5:$G$180="moeda")+(Inputs!$G$5:$G$180="acoes"))*Inputs!$B$1+((Inputs!$G$5:$G$180&lt;&gt;"moeda")*(Inputs!$G$5:$G$180&lt;&gt;"acoes")))*INDEX(Inputs!$K$5:$AJ$180,0,MATCH(U$2,Inputs!$K$4:$AJ$4,0)))+SUMPRODUCT((Inputs!$E$5:$E$180=$B68)*Inputs!$F$5:$F$180*(((Inputs!$G$5:$G$180="moeda")+(Inputs!$G$5:$G$180="acoes"))*Inputs!$B$1+((Inputs!$G$5:$G$180&lt;&gt;"moeda")*(Inputs!$G$5:$G$180&lt;&gt;"acoes")))*INDEX(Inputs!$K$5:$AJ$180,0,MATCH(U$2,Inputs!$K$4:$AJ$4,0)))))</f>
        <v>0.139</v>
      </c>
      <c r="V68" s="268">
        <f>IF(ISNA(MATCH(V$2,Inputs!$K$4:$AJ$4,0)),NA(),IF(SUMPRODUCT((Inputs!$A$5:$A$180=$B68)*ISNUMBER(INDEX(Inputs!$K$5:$AJ$180,0,MATCH(V$2,Inputs!$K$4:$AJ$4,0))))+SUMPRODUCT((Inputs!$C$5:$C$180=$B68)*ISNUMBER(INDEX(Inputs!$K$5:$AJ$180,0,MATCH(V$2,Inputs!$K$4:$AJ$4,0))))+SUMPRODUCT((Inputs!$E$5:$E$180=$B68)*ISNUMBER(INDEX(Inputs!$K$5:$AJ$180,0,MATCH(V$2,Inputs!$K$4:$AJ$4,0))))=0,NA(),SUMPRODUCT((Inputs!$A$5:$A$180=$B68)*Inputs!$B$5:$B$180*(((Inputs!$G$5:$G$180="moeda")+(Inputs!$G$5:$G$180="acoes"))*Inputs!$B$1+((Inputs!$G$5:$G$180&lt;&gt;"moeda")*(Inputs!$G$5:$G$180&lt;&gt;"acoes")))*INDEX(Inputs!$K$5:$AJ$180,0,MATCH(V$2,Inputs!$K$4:$AJ$4,0)))+SUMPRODUCT((Inputs!$C$5:$C$180=$B68)*Inputs!$D$5:$D$180*(((Inputs!$G$5:$G$180="moeda")+(Inputs!$G$5:$G$180="acoes"))*Inputs!$B$1+((Inputs!$G$5:$G$180&lt;&gt;"moeda")*(Inputs!$G$5:$G$180&lt;&gt;"acoes")))*INDEX(Inputs!$K$5:$AJ$180,0,MATCH(V$2,Inputs!$K$4:$AJ$4,0)))+SUMPRODUCT((Inputs!$E$5:$E$180=$B68)*Inputs!$F$5:$F$180*(((Inputs!$G$5:$G$180="moeda")+(Inputs!$G$5:$G$180="acoes"))*Inputs!$B$1+((Inputs!$G$5:$G$180&lt;&gt;"moeda")*(Inputs!$G$5:$G$180&lt;&gt;"acoes")))*INDEX(Inputs!$K$5:$AJ$180,0,MATCH(V$2,Inputs!$K$4:$AJ$4,0)))))</f>
        <v>0.117</v>
      </c>
      <c r="W68" s="40" t="n"/>
      <c r="X68" s="268">
        <f>IF(ISNA(MATCH(X$2,Inputs!$K$4:$AJ$4,0)),NA(),IF(SUMPRODUCT((Inputs!$A$5:$A$180=$B68)*ISNUMBER(INDEX(Inputs!$K$5:$AJ$180,0,MATCH(X$2,Inputs!$K$4:$AJ$4,0))))+SUMPRODUCT((Inputs!$C$5:$C$180=$B68)*ISNUMBER(INDEX(Inputs!$K$5:$AJ$180,0,MATCH(X$2,Inputs!$K$4:$AJ$4,0))))+SUMPRODUCT((Inputs!$E$5:$E$180=$B68)*ISNUMBER(INDEX(Inputs!$K$5:$AJ$180,0,MATCH(X$2,Inputs!$K$4:$AJ$4,0))))=0,NA(),SUMPRODUCT((Inputs!$A$5:$A$180=$B68)*Inputs!$B$5:$B$180*(((Inputs!$G$5:$G$180="moeda")+(Inputs!$G$5:$G$180="acoes"))*Inputs!$B$1+((Inputs!$G$5:$G$180&lt;&gt;"moeda")*(Inputs!$G$5:$G$180&lt;&gt;"acoes")))*INDEX(Inputs!$K$5:$AJ$180,0,MATCH(X$2,Inputs!$K$4:$AJ$4,0)))+SUMPRODUCT((Inputs!$C$5:$C$180=$B68)*Inputs!$D$5:$D$180*(((Inputs!$G$5:$G$180="moeda")+(Inputs!$G$5:$G$180="acoes"))*Inputs!$B$1+((Inputs!$G$5:$G$180&lt;&gt;"moeda")*(Inputs!$G$5:$G$180&lt;&gt;"acoes")))*INDEX(Inputs!$K$5:$AJ$180,0,MATCH(X$2,Inputs!$K$4:$AJ$4,0)))+SUMPRODUCT((Inputs!$E$5:$E$180=$B68)*Inputs!$F$5:$F$180*(((Inputs!$G$5:$G$180="moeda")+(Inputs!$G$5:$G$180="acoes"))*Inputs!$B$1+((Inputs!$G$5:$G$180&lt;&gt;"moeda")*(Inputs!$G$5:$G$180&lt;&gt;"acoes")))*INDEX(Inputs!$K$5:$AJ$180,0,MATCH(X$2,Inputs!$K$4:$AJ$4,0)))))</f>
        <v>0.063</v>
      </c>
      <c r="Y68" s="268">
        <f>IF(ISNA(MATCH(Y$2,Inputs!$K$4:$AJ$4,0)),NA(),IF(SUMPRODUCT((Inputs!$A$5:$A$180=$B68)*ISNUMBER(INDEX(Inputs!$K$5:$AJ$180,0,MATCH(Y$2,Inputs!$K$4:$AJ$4,0))))+SUMPRODUCT((Inputs!$C$5:$C$180=$B68)*ISNUMBER(INDEX(Inputs!$K$5:$AJ$180,0,MATCH(Y$2,Inputs!$K$4:$AJ$4,0))))+SUMPRODUCT((Inputs!$E$5:$E$180=$B68)*ISNUMBER(INDEX(Inputs!$K$5:$AJ$180,0,MATCH(Y$2,Inputs!$K$4:$AJ$4,0))))=0,NA(),SUMPRODUCT((Inputs!$A$5:$A$180=$B68)*Inputs!$B$5:$B$180*(((Inputs!$G$5:$G$180="moeda")+(Inputs!$G$5:$G$180="acoes"))*Inputs!$B$1+((Inputs!$G$5:$G$180&lt;&gt;"moeda")*(Inputs!$G$5:$G$180&lt;&gt;"acoes")))*INDEX(Inputs!$K$5:$AJ$180,0,MATCH(Y$2,Inputs!$K$4:$AJ$4,0)))+SUMPRODUCT((Inputs!$C$5:$C$180=$B68)*Inputs!$D$5:$D$180*(((Inputs!$G$5:$G$180="moeda")+(Inputs!$G$5:$G$180="acoes"))*Inputs!$B$1+((Inputs!$G$5:$G$180&lt;&gt;"moeda")*(Inputs!$G$5:$G$180&lt;&gt;"acoes")))*INDEX(Inputs!$K$5:$AJ$180,0,MATCH(Y$2,Inputs!$K$4:$AJ$4,0)))+SUMPRODUCT((Inputs!$E$5:$E$180=$B68)*Inputs!$F$5:$F$180*(((Inputs!$G$5:$G$180="moeda")+(Inputs!$G$5:$G$180="acoes"))*Inputs!$B$1+((Inputs!$G$5:$G$180&lt;&gt;"moeda")*(Inputs!$G$5:$G$180&lt;&gt;"acoes")))*INDEX(Inputs!$K$5:$AJ$180,0,MATCH(Y$2,Inputs!$K$4:$AJ$4,0)))))</f>
        <v>0.091</v>
      </c>
      <c r="Z68" s="268">
        <f>IF(ISNA(MATCH(Z$2,Inputs!$K$4:$AJ$4,0)),NA(),IF(SUMPRODUCT((Inputs!$A$5:$A$180=$B68)*ISNUMBER(INDEX(Inputs!$K$5:$AJ$180,0,MATCH(Z$2,Inputs!$K$4:$AJ$4,0))))+SUMPRODUCT((Inputs!$C$5:$C$180=$B68)*ISNUMBER(INDEX(Inputs!$K$5:$AJ$180,0,MATCH(Z$2,Inputs!$K$4:$AJ$4,0))))+SUMPRODUCT((Inputs!$E$5:$E$180=$B68)*ISNUMBER(INDEX(Inputs!$K$5:$AJ$180,0,MATCH(Z$2,Inputs!$K$4:$AJ$4,0))))=0,NA(),SUMPRODUCT((Inputs!$A$5:$A$180=$B68)*Inputs!$B$5:$B$180*(((Inputs!$G$5:$G$180="moeda")+(Inputs!$G$5:$G$180="acoes"))*Inputs!$B$1+((Inputs!$G$5:$G$180&lt;&gt;"moeda")*(Inputs!$G$5:$G$180&lt;&gt;"acoes")))*INDEX(Inputs!$K$5:$AJ$180,0,MATCH(Z$2,Inputs!$K$4:$AJ$4,0)))+SUMPRODUCT((Inputs!$C$5:$C$180=$B68)*Inputs!$D$5:$D$180*(((Inputs!$G$5:$G$180="moeda")+(Inputs!$G$5:$G$180="acoes"))*Inputs!$B$1+((Inputs!$G$5:$G$180&lt;&gt;"moeda")*(Inputs!$G$5:$G$180&lt;&gt;"acoes")))*INDEX(Inputs!$K$5:$AJ$180,0,MATCH(Z$2,Inputs!$K$4:$AJ$4,0)))+SUMPRODUCT((Inputs!$E$5:$E$180=$B68)*Inputs!$F$5:$F$180*(((Inputs!$G$5:$G$180="moeda")+(Inputs!$G$5:$G$180="acoes"))*Inputs!$B$1+((Inputs!$G$5:$G$180&lt;&gt;"moeda")*(Inputs!$G$5:$G$180&lt;&gt;"acoes")))*INDEX(Inputs!$K$5:$AJ$180,0,MATCH(Z$2,Inputs!$K$4:$AJ$4,0)))))</f>
        <v>0.076</v>
      </c>
      <c r="AA68" s="268">
        <f>IF(ISNA(MATCH(AA$2,Inputs!$K$4:$AJ$4,0)),NA(),IF(SUMPRODUCT((Inputs!$A$5:$A$180=$B68)*ISNUMBER(INDEX(Inputs!$K$5:$AJ$180,0,MATCH(AA$2,Inputs!$K$4:$AJ$4,0))))+SUMPRODUCT((Inputs!$C$5:$C$180=$B68)*ISNUMBER(INDEX(Inputs!$K$5:$AJ$180,0,MATCH(AA$2,Inputs!$K$4:$AJ$4,0))))+SUMPRODUCT((Inputs!$E$5:$E$180=$B68)*ISNUMBER(INDEX(Inputs!$K$5:$AJ$180,0,MATCH(AA$2,Inputs!$K$4:$AJ$4,0))))=0,NA(),SUMPRODUCT((Inputs!$A$5:$A$180=$B68)*Inputs!$B$5:$B$180*(((Inputs!$G$5:$G$180="moeda")+(Inputs!$G$5:$G$180="acoes"))*Inputs!$B$1+((Inputs!$G$5:$G$180&lt;&gt;"moeda")*(Inputs!$G$5:$G$180&lt;&gt;"acoes")))*INDEX(Inputs!$K$5:$AJ$180,0,MATCH(AA$2,Inputs!$K$4:$AJ$4,0)))+SUMPRODUCT((Inputs!$C$5:$C$180=$B68)*Inputs!$D$5:$D$180*(((Inputs!$G$5:$G$180="moeda")+(Inputs!$G$5:$G$180="acoes"))*Inputs!$B$1+((Inputs!$G$5:$G$180&lt;&gt;"moeda")*(Inputs!$G$5:$G$180&lt;&gt;"acoes")))*INDEX(Inputs!$K$5:$AJ$180,0,MATCH(AA$2,Inputs!$K$4:$AJ$4,0)))+SUMPRODUCT((Inputs!$E$5:$E$180=$B68)*Inputs!$F$5:$F$180*(((Inputs!$G$5:$G$180="moeda")+(Inputs!$G$5:$G$180="acoes"))*Inputs!$B$1+((Inputs!$G$5:$G$180&lt;&gt;"moeda")*(Inputs!$G$5:$G$180&lt;&gt;"acoes")))*INDEX(Inputs!$K$5:$AJ$180,0,MATCH(AA$2,Inputs!$K$4:$AJ$4,0)))))</f>
        <v>0.084</v>
      </c>
      <c r="AB68" s="40" t="n"/>
      <c r="AC68" s="268">
        <f>IF(ISNA(MATCH(AC$2,Inputs!$K$4:$AJ$4,0)),NA(),IF(SUMPRODUCT((Inputs!$A$5:$A$180=$B68)*ISNUMBER(INDEX(Inputs!$K$5:$AJ$180,0,MATCH(AC$2,Inputs!$K$4:$AJ$4,0))))+SUMPRODUCT((Inputs!$C$5:$C$180=$B68)*ISNUMBER(INDEX(Inputs!$K$5:$AJ$180,0,MATCH(AC$2,Inputs!$K$4:$AJ$4,0))))+SUMPRODUCT((Inputs!$E$5:$E$180=$B68)*ISNUMBER(INDEX(Inputs!$K$5:$AJ$180,0,MATCH(AC$2,Inputs!$K$4:$AJ$4,0))))=0,NA(),SUMPRODUCT((Inputs!$A$5:$A$180=$B68)*Inputs!$B$5:$B$180*(((Inputs!$G$5:$G$180="moeda")+(Inputs!$G$5:$G$180="acoes"))*Inputs!$B$1+((Inputs!$G$5:$G$180&lt;&gt;"moeda")*(Inputs!$G$5:$G$180&lt;&gt;"acoes")))*INDEX(Inputs!$K$5:$AJ$180,0,MATCH(AC$2,Inputs!$K$4:$AJ$4,0)))+SUMPRODUCT((Inputs!$C$5:$C$180=$B68)*Inputs!$D$5:$D$180*(((Inputs!$G$5:$G$180="moeda")+(Inputs!$G$5:$G$180="acoes"))*Inputs!$B$1+((Inputs!$G$5:$G$180&lt;&gt;"moeda")*(Inputs!$G$5:$G$180&lt;&gt;"acoes")))*INDEX(Inputs!$K$5:$AJ$180,0,MATCH(AC$2,Inputs!$K$4:$AJ$4,0)))+SUMPRODUCT((Inputs!$E$5:$E$180=$B68)*Inputs!$F$5:$F$180*(((Inputs!$G$5:$G$180="moeda")+(Inputs!$G$5:$G$180="acoes"))*Inputs!$B$1+((Inputs!$G$5:$G$180&lt;&gt;"moeda")*(Inputs!$G$5:$G$180&lt;&gt;"acoes")))*INDEX(Inputs!$K$5:$AJ$180,0,MATCH(AC$2,Inputs!$K$4:$AJ$4,0)))))</f>
        <v>0.062</v>
      </c>
      <c r="AD68" s="268">
        <f>IF(ISNA(MATCH(AD$2,Inputs!$K$4:$AJ$4,0)),NA(),IF(SUMPRODUCT((Inputs!$A$5:$A$180=$B68)*ISNUMBER(INDEX(Inputs!$K$5:$AJ$180,0,MATCH(AD$2,Inputs!$K$4:$AJ$4,0))))+SUMPRODUCT((Inputs!$C$5:$C$180=$B68)*ISNUMBER(INDEX(Inputs!$K$5:$AJ$180,0,MATCH(AD$2,Inputs!$K$4:$AJ$4,0))))+SUMPRODUCT((Inputs!$E$5:$E$180=$B68)*ISNUMBER(INDEX(Inputs!$K$5:$AJ$180,0,MATCH(AD$2,Inputs!$K$4:$AJ$4,0))))=0,NA(),SUMPRODUCT((Inputs!$A$5:$A$180=$B68)*Inputs!$B$5:$B$180*(((Inputs!$G$5:$G$180="moeda")+(Inputs!$G$5:$G$180="acoes"))*Inputs!$B$1+((Inputs!$G$5:$G$180&lt;&gt;"moeda")*(Inputs!$G$5:$G$180&lt;&gt;"acoes")))*INDEX(Inputs!$K$5:$AJ$180,0,MATCH(AD$2,Inputs!$K$4:$AJ$4,0)))+SUMPRODUCT((Inputs!$C$5:$C$180=$B68)*Inputs!$D$5:$D$180*(((Inputs!$G$5:$G$180="moeda")+(Inputs!$G$5:$G$180="acoes"))*Inputs!$B$1+((Inputs!$G$5:$G$180&lt;&gt;"moeda")*(Inputs!$G$5:$G$180&lt;&gt;"acoes")))*INDEX(Inputs!$K$5:$AJ$180,0,MATCH(AD$2,Inputs!$K$4:$AJ$4,0)))+SUMPRODUCT((Inputs!$E$5:$E$180=$B68)*Inputs!$F$5:$F$180*(((Inputs!$G$5:$G$180="moeda")+(Inputs!$G$5:$G$180="acoes"))*Inputs!$B$1+((Inputs!$G$5:$G$180&lt;&gt;"moeda")*(Inputs!$G$5:$G$180&lt;&gt;"acoes")))*INDEX(Inputs!$K$5:$AJ$180,0,MATCH(AD$2,Inputs!$K$4:$AJ$4,0)))))</f>
        <v>0.0431466345000111</v>
      </c>
      <c r="AE68" s="268" t="e">
        <f>IF(ISNA(MATCH(AE$2,Inputs!$K$4:$AJ$4,0)),NA(),IF(SUMPRODUCT((Inputs!$A$5:$A$180=$B68)*ISNUMBER(INDEX(Inputs!$K$5:$AJ$180,0,MATCH(AE$2,Inputs!$K$4:$AJ$4,0))))+SUMPRODUCT((Inputs!$C$5:$C$180=$B68)*ISNUMBER(INDEX(Inputs!$K$5:$AJ$180,0,MATCH(AE$2,Inputs!$K$4:$AJ$4,0))))+SUMPRODUCT((Inputs!$E$5:$E$180=$B68)*ISNUMBER(INDEX(Inputs!$K$5:$AJ$180,0,MATCH(AE$2,Inputs!$K$4:$AJ$4,0))))=0,NA(),SUMPRODUCT((Inputs!$A$5:$A$180=$B68)*Inputs!$B$5:$B$180*(((Inputs!$G$5:$G$180="moeda")+(Inputs!$G$5:$G$180="acoes"))*Inputs!$B$1+((Inputs!$G$5:$G$180&lt;&gt;"moeda")*(Inputs!$G$5:$G$180&lt;&gt;"acoes")))*INDEX(Inputs!$K$5:$AJ$180,0,MATCH(AE$2,Inputs!$K$4:$AJ$4,0)))+SUMPRODUCT((Inputs!$C$5:$C$180=$B68)*Inputs!$D$5:$D$180*(((Inputs!$G$5:$G$180="moeda")+(Inputs!$G$5:$G$180="acoes"))*Inputs!$B$1+((Inputs!$G$5:$G$180&lt;&gt;"moeda")*(Inputs!$G$5:$G$180&lt;&gt;"acoes")))*INDEX(Inputs!$K$5:$AJ$180,0,MATCH(AE$2,Inputs!$K$4:$AJ$4,0)))+SUMPRODUCT((Inputs!$E$5:$E$180=$B68)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8" s="268" t="e">
        <f>IF(ISNA(MATCH(AF$2,Inputs!$K$4:$AJ$4,0)),NA(),IF(SUMPRODUCT((Inputs!$A$5:$A$180=$B68)*ISNUMBER(INDEX(Inputs!$K$5:$AJ$180,0,MATCH(AF$2,Inputs!$K$4:$AJ$4,0))))+SUMPRODUCT((Inputs!$C$5:$C$180=$B68)*ISNUMBER(INDEX(Inputs!$K$5:$AJ$180,0,MATCH(AF$2,Inputs!$K$4:$AJ$4,0))))+SUMPRODUCT((Inputs!$E$5:$E$180=$B68)*ISNUMBER(INDEX(Inputs!$K$5:$AJ$180,0,MATCH(AF$2,Inputs!$K$4:$AJ$4,0))))=0,NA(),SUMPRODUCT((Inputs!$A$5:$A$180=$B68)*Inputs!$B$5:$B$180*(((Inputs!$G$5:$G$180="moeda")+(Inputs!$G$5:$G$180="acoes"))*Inputs!$B$1+((Inputs!$G$5:$G$180&lt;&gt;"moeda")*(Inputs!$G$5:$G$180&lt;&gt;"acoes")))*INDEX(Inputs!$K$5:$AJ$180,0,MATCH(AF$2,Inputs!$K$4:$AJ$4,0)))+SUMPRODUCT((Inputs!$C$5:$C$180=$B68)*Inputs!$D$5:$D$180*(((Inputs!$G$5:$G$180="moeda")+(Inputs!$G$5:$G$180="acoes"))*Inputs!$B$1+((Inputs!$G$5:$G$180&lt;&gt;"moeda")*(Inputs!$G$5:$G$180&lt;&gt;"acoes")))*INDEX(Inputs!$K$5:$AJ$180,0,MATCH(AF$2,Inputs!$K$4:$AJ$4,0)))+SUMPRODUCT((Inputs!$E$5:$E$180=$B68)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8" s="40" t="n"/>
      <c r="AH68" s="268">
        <f>IF(ISNA(MATCH(AH$2,Inputs!$K$4:$AJ$4,0)),NA(),IF(SUMPRODUCT((Inputs!$A$5:$A$180=$B68)*ISNUMBER(INDEX(Inputs!$K$5:$AJ$180,0,MATCH(AH$2,Inputs!$K$4:$AJ$4,0))))+SUMPRODUCT((Inputs!$C$5:$C$180=$B68)*ISNUMBER(INDEX(Inputs!$K$5:$AJ$180,0,MATCH(AH$2,Inputs!$K$4:$AJ$4,0))))+SUMPRODUCT((Inputs!$E$5:$E$180=$B68)*ISNUMBER(INDEX(Inputs!$K$5:$AJ$180,0,MATCH(AH$2,Inputs!$K$4:$AJ$4,0))))=0,NA(),SUMPRODUCT((Inputs!$A$5:$A$180=$B68)*Inputs!$B$5:$B$180*(((Inputs!$G$5:$G$180="moeda")+(Inputs!$G$5:$G$180="acoes"))*Inputs!$B$1+((Inputs!$G$5:$G$180&lt;&gt;"moeda")*(Inputs!$G$5:$G$180&lt;&gt;"acoes")))*INDEX(Inputs!$K$5:$AJ$180,0,MATCH(AH$2,Inputs!$K$4:$AJ$4,0)))+SUMPRODUCT((Inputs!$C$5:$C$180=$B68)*Inputs!$D$5:$D$180*(((Inputs!$G$5:$G$180="moeda")+(Inputs!$G$5:$G$180="acoes"))*Inputs!$B$1+((Inputs!$G$5:$G$180&lt;&gt;"moeda")*(Inputs!$G$5:$G$180&lt;&gt;"acoes")))*INDEX(Inputs!$K$5:$AJ$180,0,MATCH(AH$2,Inputs!$K$4:$AJ$4,0)))+SUMPRODUCT((Inputs!$E$5:$E$180=$B68)*Inputs!$F$5:$F$180*(((Inputs!$G$5:$G$180="moeda")+(Inputs!$G$5:$G$180="acoes"))*Inputs!$B$1+((Inputs!$G$5:$G$180&lt;&gt;"moeda")*(Inputs!$G$5:$G$180&lt;&gt;"acoes")))*INDEX(Inputs!$K$5:$AJ$180,0,MATCH(AH$2,Inputs!$K$4:$AJ$4,0)))))</f>
        <v>-0.175871227616046</v>
      </c>
      <c r="AI68" s="268">
        <f>IF(ISNA(MATCH(AI$2,Inputs!$K$4:$AJ$4,0)),NA(),IF(SUMPRODUCT((Inputs!$A$5:$A$180=$B68)*ISNUMBER(INDEX(Inputs!$K$5:$AJ$180,0,MATCH(AI$2,Inputs!$K$4:$AJ$4,0))))+SUMPRODUCT((Inputs!$C$5:$C$180=$B68)*ISNUMBER(INDEX(Inputs!$K$5:$AJ$180,0,MATCH(AI$2,Inputs!$K$4:$AJ$4,0))))+SUMPRODUCT((Inputs!$E$5:$E$180=$B68)*ISNUMBER(INDEX(Inputs!$K$5:$AJ$180,0,MATCH(AI$2,Inputs!$K$4:$AJ$4,0))))=0,NA(),SUMPRODUCT((Inputs!$A$5:$A$180=$B68)*Inputs!$B$5:$B$180*(((Inputs!$G$5:$G$180="moeda")+(Inputs!$G$5:$G$180="acoes"))*Inputs!$B$1+((Inputs!$G$5:$G$180&lt;&gt;"moeda")*(Inputs!$G$5:$G$180&lt;&gt;"acoes")))*INDEX(Inputs!$K$5:$AJ$180,0,MATCH(AI$2,Inputs!$K$4:$AJ$4,0)))+SUMPRODUCT((Inputs!$C$5:$C$180=$B68)*Inputs!$D$5:$D$180*(((Inputs!$G$5:$G$180="moeda")+(Inputs!$G$5:$G$180="acoes"))*Inputs!$B$1+((Inputs!$G$5:$G$180&lt;&gt;"moeda")*(Inputs!$G$5:$G$180&lt;&gt;"acoes")))*INDEX(Inputs!$K$5:$AJ$180,0,MATCH(AI$2,Inputs!$K$4:$AJ$4,0)))+SUMPRODUCT((Inputs!$E$5:$E$180=$B68)*Inputs!$F$5:$F$180*(((Inputs!$G$5:$G$180="moeda")+(Inputs!$G$5:$G$180="acoes"))*Inputs!$B$1+((Inputs!$G$5:$G$180&lt;&gt;"moeda")*(Inputs!$G$5:$G$180&lt;&gt;"acoes")))*INDEX(Inputs!$K$5:$AJ$180,0,MATCH(AI$2,Inputs!$K$4:$AJ$4,0)))))</f>
        <v>-0.937761975302442</v>
      </c>
      <c r="AJ68" s="268">
        <f>IF(ISNA(MATCH(AJ$2,Inputs!$K$4:$AJ$4,0)),NA(),IF(SUMPRODUCT((Inputs!$A$5:$A$180=$B68)*ISNUMBER(INDEX(Inputs!$K$5:$AJ$180,0,MATCH(AJ$2,Inputs!$K$4:$AJ$4,0))))+SUMPRODUCT((Inputs!$C$5:$C$180=$B68)*ISNUMBER(INDEX(Inputs!$K$5:$AJ$180,0,MATCH(AJ$2,Inputs!$K$4:$AJ$4,0))))+SUMPRODUCT((Inputs!$E$5:$E$180=$B68)*ISNUMBER(INDEX(Inputs!$K$5:$AJ$180,0,MATCH(AJ$2,Inputs!$K$4:$AJ$4,0))))=0,NA(),SUMPRODUCT((Inputs!$A$5:$A$180=$B68)*Inputs!$B$5:$B$180*(((Inputs!$G$5:$G$180="moeda")+(Inputs!$G$5:$G$180="acoes"))*Inputs!$B$1+((Inputs!$G$5:$G$180&lt;&gt;"moeda")*(Inputs!$G$5:$G$180&lt;&gt;"acoes")))*INDEX(Inputs!$K$5:$AJ$180,0,MATCH(AJ$2,Inputs!$K$4:$AJ$4,0)))+SUMPRODUCT((Inputs!$C$5:$C$180=$B68)*Inputs!$D$5:$D$180*(((Inputs!$G$5:$G$180="moeda")+(Inputs!$G$5:$G$180="acoes"))*Inputs!$B$1+((Inputs!$G$5:$G$180&lt;&gt;"moeda")*(Inputs!$G$5:$G$180&lt;&gt;"acoes")))*INDEX(Inputs!$K$5:$AJ$180,0,MATCH(AJ$2,Inputs!$K$4:$AJ$4,0)))+SUMPRODUCT((Inputs!$E$5:$E$180=$B68)*Inputs!$F$5:$F$180*(((Inputs!$G$5:$G$180="moeda")+(Inputs!$G$5:$G$180="acoes"))*Inputs!$B$1+((Inputs!$G$5:$G$180&lt;&gt;"moeda")*(Inputs!$G$5:$G$180&lt;&gt;"acoes")))*INDEX(Inputs!$K$5:$AJ$180,0,MATCH(AJ$2,Inputs!$K$4:$AJ$4,0)))))</f>
        <v>-0.42798257658645</v>
      </c>
      <c r="AK68" s="268">
        <f>IF(ISNA(MATCH(AK$2,Inputs!$K$4:$AJ$4,0)),NA(),IF(SUMPRODUCT((Inputs!$A$5:$A$180=$B68)*ISNUMBER(INDEX(Inputs!$K$5:$AJ$180,0,MATCH(AK$2,Inputs!$K$4:$AJ$4,0))))+SUMPRODUCT((Inputs!$C$5:$C$180=$B68)*ISNUMBER(INDEX(Inputs!$K$5:$AJ$180,0,MATCH(AK$2,Inputs!$K$4:$AJ$4,0))))+SUMPRODUCT((Inputs!$E$5:$E$180=$B68)*ISNUMBER(INDEX(Inputs!$K$5:$AJ$180,0,MATCH(AK$2,Inputs!$K$4:$AJ$4,0))))=0,NA(),SUMPRODUCT((Inputs!$A$5:$A$180=$B68)*Inputs!$B$5:$B$180*(((Inputs!$G$5:$G$180="moeda")+(Inputs!$G$5:$G$180="acoes"))*Inputs!$B$1+((Inputs!$G$5:$G$180&lt;&gt;"moeda")*(Inputs!$G$5:$G$180&lt;&gt;"acoes")))*INDEX(Inputs!$K$5:$AJ$180,0,MATCH(AK$2,Inputs!$K$4:$AJ$4,0)))+SUMPRODUCT((Inputs!$C$5:$C$180=$B68)*Inputs!$D$5:$D$180*(((Inputs!$G$5:$G$180="moeda")+(Inputs!$G$5:$G$180="acoes"))*Inputs!$B$1+((Inputs!$G$5:$G$180&lt;&gt;"moeda")*(Inputs!$G$5:$G$180&lt;&gt;"acoes")))*INDEX(Inputs!$K$5:$AJ$180,0,MATCH(AK$2,Inputs!$K$4:$AJ$4,0)))+SUMPRODUCT((Inputs!$E$5:$E$180=$B68)*Inputs!$F$5:$F$180*(((Inputs!$G$5:$G$180="moeda")+(Inputs!$G$5:$G$180="acoes"))*Inputs!$B$1+((Inputs!$G$5:$G$180&lt;&gt;"moeda")*(Inputs!$G$5:$G$180&lt;&gt;"acoes")))*INDEX(Inputs!$K$5:$AJ$180,0,MATCH(AK$2,Inputs!$K$4:$AJ$4,0)))))</f>
        <v>-0.129141448336747</v>
      </c>
      <c r="AL68" s="40" t="n"/>
    </row>
    <row r="69">
      <c r="B69" s="46" t="n">
        <v>61</v>
      </c>
      <c r="C69" s="29" t="inlineStr">
        <is>
          <t>Capex - novas lojas (R$ mil; l.23)</t>
        </is>
      </c>
      <c r="D69" s="264">
        <f>IF(ISNA(MATCH(D$2,Inputs!$K$4:$AJ$4,0)),NA(),IF(SUMPRODUCT((Inputs!$A$5:$A$180=$B69)*ISNUMBER(INDEX(Inputs!$K$5:$AJ$180,0,MATCH(D$2,Inputs!$K$4:$AJ$4,0))))+SUMPRODUCT((Inputs!$C$5:$C$180=$B69)*ISNUMBER(INDEX(Inputs!$K$5:$AJ$180,0,MATCH(D$2,Inputs!$K$4:$AJ$4,0))))+SUMPRODUCT((Inputs!$E$5:$E$180=$B69)*ISNUMBER(INDEX(Inputs!$K$5:$AJ$180,0,MATCH(D$2,Inputs!$K$4:$AJ$4,0))))=0,NA(),SUMPRODUCT((Inputs!$A$5:$A$180=$B69)*Inputs!$B$5:$B$180*(((Inputs!$G$5:$G$180="moeda")+(Inputs!$G$5:$G$180="acoes"))*Inputs!$B$1+((Inputs!$G$5:$G$180&lt;&gt;"moeda")*(Inputs!$G$5:$G$180&lt;&gt;"acoes")))*INDEX(Inputs!$K$5:$AJ$180,0,MATCH(D$2,Inputs!$K$4:$AJ$4,0)))+SUMPRODUCT((Inputs!$C$5:$C$180=$B69)*Inputs!$D$5:$D$180*(((Inputs!$G$5:$G$180="moeda")+(Inputs!$G$5:$G$180="acoes"))*Inputs!$B$1+((Inputs!$G$5:$G$180&lt;&gt;"moeda")*(Inputs!$G$5:$G$180&lt;&gt;"acoes")))*INDEX(Inputs!$K$5:$AJ$180,0,MATCH(D$2,Inputs!$K$4:$AJ$4,0)))+SUMPRODUCT((Inputs!$E$5:$E$180=$B69)*Inputs!$F$5:$F$180*(((Inputs!$G$5:$G$180="moeda")+(Inputs!$G$5:$G$180="acoes"))*Inputs!$B$1+((Inputs!$G$5:$G$180&lt;&gt;"moeda")*(Inputs!$G$5:$G$180&lt;&gt;"acoes")))*INDEX(Inputs!$K$5:$AJ$180,0,MATCH(D$2,Inputs!$K$4:$AJ$4,0)))))</f>
        <v>4.78720383999999</v>
      </c>
      <c r="E69" s="264">
        <f>IF(ISNA(MATCH(E$2,Inputs!$K$4:$AJ$4,0)),NA(),IF(SUMPRODUCT((Inputs!$A$5:$A$180=$B69)*ISNUMBER(INDEX(Inputs!$K$5:$AJ$180,0,MATCH(E$2,Inputs!$K$4:$AJ$4,0))))+SUMPRODUCT((Inputs!$C$5:$C$180=$B69)*ISNUMBER(INDEX(Inputs!$K$5:$AJ$180,0,MATCH(E$2,Inputs!$K$4:$AJ$4,0))))+SUMPRODUCT((Inputs!$E$5:$E$180=$B69)*ISNUMBER(INDEX(Inputs!$K$5:$AJ$180,0,MATCH(E$2,Inputs!$K$4:$AJ$4,0))))=0,NA(),SUMPRODUCT((Inputs!$A$5:$A$180=$B69)*Inputs!$B$5:$B$180*(((Inputs!$G$5:$G$180="moeda")+(Inputs!$G$5:$G$180="acoes"))*Inputs!$B$1+((Inputs!$G$5:$G$180&lt;&gt;"moeda")*(Inputs!$G$5:$G$180&lt;&gt;"acoes")))*INDEX(Inputs!$K$5:$AJ$180,0,MATCH(E$2,Inputs!$K$4:$AJ$4,0)))+SUMPRODUCT((Inputs!$C$5:$C$180=$B69)*Inputs!$D$5:$D$180*(((Inputs!$G$5:$G$180="moeda")+(Inputs!$G$5:$G$180="acoes"))*Inputs!$B$1+((Inputs!$G$5:$G$180&lt;&gt;"moeda")*(Inputs!$G$5:$G$180&lt;&gt;"acoes")))*INDEX(Inputs!$K$5:$AJ$180,0,MATCH(E$2,Inputs!$K$4:$AJ$4,0)))+SUMPRODUCT((Inputs!$E$5:$E$180=$B69)*Inputs!$F$5:$F$180*(((Inputs!$G$5:$G$180="moeda")+(Inputs!$G$5:$G$180="acoes"))*Inputs!$B$1+((Inputs!$G$5:$G$180&lt;&gt;"moeda")*(Inputs!$G$5:$G$180&lt;&gt;"acoes")))*INDEX(Inputs!$K$5:$AJ$180,0,MATCH(E$2,Inputs!$K$4:$AJ$4,0)))))</f>
        <v>12.19940086</v>
      </c>
      <c r="F69" s="264">
        <f>IF(ISNA(MATCH(F$2,Inputs!$K$4:$AJ$4,0)),NA(),IF(SUMPRODUCT((Inputs!$A$5:$A$180=$B69)*ISNUMBER(INDEX(Inputs!$K$5:$AJ$180,0,MATCH(F$2,Inputs!$K$4:$AJ$4,0))))+SUMPRODUCT((Inputs!$C$5:$C$180=$B69)*ISNUMBER(INDEX(Inputs!$K$5:$AJ$180,0,MATCH(F$2,Inputs!$K$4:$AJ$4,0))))+SUMPRODUCT((Inputs!$E$5:$E$180=$B69)*ISNUMBER(INDEX(Inputs!$K$5:$AJ$180,0,MATCH(F$2,Inputs!$K$4:$AJ$4,0))))=0,NA(),SUMPRODUCT((Inputs!$A$5:$A$180=$B69)*Inputs!$B$5:$B$180*(((Inputs!$G$5:$G$180="moeda")+(Inputs!$G$5:$G$180="acoes"))*Inputs!$B$1+((Inputs!$G$5:$G$180&lt;&gt;"moeda")*(Inputs!$G$5:$G$180&lt;&gt;"acoes")))*INDEX(Inputs!$K$5:$AJ$180,0,MATCH(F$2,Inputs!$K$4:$AJ$4,0)))+SUMPRODUCT((Inputs!$C$5:$C$180=$B69)*Inputs!$D$5:$D$180*(((Inputs!$G$5:$G$180="moeda")+(Inputs!$G$5:$G$180="acoes"))*Inputs!$B$1+((Inputs!$G$5:$G$180&lt;&gt;"moeda")*(Inputs!$G$5:$G$180&lt;&gt;"acoes")))*INDEX(Inputs!$K$5:$AJ$180,0,MATCH(F$2,Inputs!$K$4:$AJ$4,0)))+SUMPRODUCT((Inputs!$E$5:$E$180=$B69)*Inputs!$F$5:$F$180*(((Inputs!$G$5:$G$180="moeda")+(Inputs!$G$5:$G$180="acoes"))*Inputs!$B$1+((Inputs!$G$5:$G$180&lt;&gt;"moeda")*(Inputs!$G$5:$G$180&lt;&gt;"acoes")))*INDEX(Inputs!$K$5:$AJ$180,0,MATCH(F$2,Inputs!$K$4:$AJ$4,0)))))</f>
        <v>17.87671094</v>
      </c>
      <c r="G69" s="264">
        <f>IF(ISNA(MATCH(G$2,Inputs!$K$4:$AJ$4,0)),NA(),IF(SUMPRODUCT((Inputs!$A$5:$A$180=$B69)*ISNUMBER(INDEX(Inputs!$K$5:$AJ$180,0,MATCH(G$2,Inputs!$K$4:$AJ$4,0))))+SUMPRODUCT((Inputs!$C$5:$C$180=$B69)*ISNUMBER(INDEX(Inputs!$K$5:$AJ$180,0,MATCH(G$2,Inputs!$K$4:$AJ$4,0))))+SUMPRODUCT((Inputs!$E$5:$E$180=$B69)*ISNUMBER(INDEX(Inputs!$K$5:$AJ$180,0,MATCH(G$2,Inputs!$K$4:$AJ$4,0))))=0,NA(),SUMPRODUCT((Inputs!$A$5:$A$180=$B69)*Inputs!$B$5:$B$180*(((Inputs!$G$5:$G$180="moeda")+(Inputs!$G$5:$G$180="acoes"))*Inputs!$B$1+((Inputs!$G$5:$G$180&lt;&gt;"moeda")*(Inputs!$G$5:$G$180&lt;&gt;"acoes")))*INDEX(Inputs!$K$5:$AJ$180,0,MATCH(G$2,Inputs!$K$4:$AJ$4,0)))+SUMPRODUCT((Inputs!$C$5:$C$180=$B69)*Inputs!$D$5:$D$180*(((Inputs!$G$5:$G$180="moeda")+(Inputs!$G$5:$G$180="acoes"))*Inputs!$B$1+((Inputs!$G$5:$G$180&lt;&gt;"moeda")*(Inputs!$G$5:$G$180&lt;&gt;"acoes")))*INDEX(Inputs!$K$5:$AJ$180,0,MATCH(G$2,Inputs!$K$4:$AJ$4,0)))+SUMPRODUCT((Inputs!$E$5:$E$180=$B69)*Inputs!$F$5:$F$180*(((Inputs!$G$5:$G$180="moeda")+(Inputs!$G$5:$G$180="acoes"))*Inputs!$B$1+((Inputs!$G$5:$G$180&lt;&gt;"moeda")*(Inputs!$G$5:$G$180&lt;&gt;"acoes")))*INDEX(Inputs!$K$5:$AJ$180,0,MATCH(G$2,Inputs!$K$4:$AJ$4,0)))))</f>
        <v>22.6173059399999</v>
      </c>
      <c r="H69" s="265">
        <f>SUM(D69:G69)</f>
        <v>57.4806215799999</v>
      </c>
      <c r="I69" s="264">
        <f>IF(ISNA(MATCH(I$2,Inputs!$K$4:$AJ$4,0)),NA(),IF(SUMPRODUCT((Inputs!$A$5:$A$180=$B69)*ISNUMBER(INDEX(Inputs!$K$5:$AJ$180,0,MATCH(I$2,Inputs!$K$4:$AJ$4,0))))+SUMPRODUCT((Inputs!$C$5:$C$180=$B69)*ISNUMBER(INDEX(Inputs!$K$5:$AJ$180,0,MATCH(I$2,Inputs!$K$4:$AJ$4,0))))+SUMPRODUCT((Inputs!$E$5:$E$180=$B69)*ISNUMBER(INDEX(Inputs!$K$5:$AJ$180,0,MATCH(I$2,Inputs!$K$4:$AJ$4,0))))=0,NA(),SUMPRODUCT((Inputs!$A$5:$A$180=$B69)*Inputs!$B$5:$B$180*(((Inputs!$G$5:$G$180="moeda")+(Inputs!$G$5:$G$180="acoes"))*Inputs!$B$1+((Inputs!$G$5:$G$180&lt;&gt;"moeda")*(Inputs!$G$5:$G$180&lt;&gt;"acoes")))*INDEX(Inputs!$K$5:$AJ$180,0,MATCH(I$2,Inputs!$K$4:$AJ$4,0)))+SUMPRODUCT((Inputs!$C$5:$C$180=$B69)*Inputs!$D$5:$D$180*(((Inputs!$G$5:$G$180="moeda")+(Inputs!$G$5:$G$180="acoes"))*Inputs!$B$1+((Inputs!$G$5:$G$180&lt;&gt;"moeda")*(Inputs!$G$5:$G$180&lt;&gt;"acoes")))*INDEX(Inputs!$K$5:$AJ$180,0,MATCH(I$2,Inputs!$K$4:$AJ$4,0)))+SUMPRODUCT((Inputs!$E$5:$E$180=$B69)*Inputs!$F$5:$F$180*(((Inputs!$G$5:$G$180="moeda")+(Inputs!$G$5:$G$180="acoes"))*Inputs!$B$1+((Inputs!$G$5:$G$180&lt;&gt;"moeda")*(Inputs!$G$5:$G$180&lt;&gt;"acoes")))*INDEX(Inputs!$K$5:$AJ$180,0,MATCH(I$2,Inputs!$K$4:$AJ$4,0)))))</f>
        <v>10.39556357</v>
      </c>
      <c r="J69" s="264">
        <f>IF(ISNA(MATCH(J$2,Inputs!$K$4:$AJ$4,0)),NA(),IF(SUMPRODUCT((Inputs!$A$5:$A$180=$B69)*ISNUMBER(INDEX(Inputs!$K$5:$AJ$180,0,MATCH(J$2,Inputs!$K$4:$AJ$4,0))))+SUMPRODUCT((Inputs!$C$5:$C$180=$B69)*ISNUMBER(INDEX(Inputs!$K$5:$AJ$180,0,MATCH(J$2,Inputs!$K$4:$AJ$4,0))))+SUMPRODUCT((Inputs!$E$5:$E$180=$B69)*ISNUMBER(INDEX(Inputs!$K$5:$AJ$180,0,MATCH(J$2,Inputs!$K$4:$AJ$4,0))))=0,NA(),SUMPRODUCT((Inputs!$A$5:$A$180=$B69)*Inputs!$B$5:$B$180*(((Inputs!$G$5:$G$180="moeda")+(Inputs!$G$5:$G$180="acoes"))*Inputs!$B$1+((Inputs!$G$5:$G$180&lt;&gt;"moeda")*(Inputs!$G$5:$G$180&lt;&gt;"acoes")))*INDEX(Inputs!$K$5:$AJ$180,0,MATCH(J$2,Inputs!$K$4:$AJ$4,0)))+SUMPRODUCT((Inputs!$C$5:$C$180=$B69)*Inputs!$D$5:$D$180*(((Inputs!$G$5:$G$180="moeda")+(Inputs!$G$5:$G$180="acoes"))*Inputs!$B$1+((Inputs!$G$5:$G$180&lt;&gt;"moeda")*(Inputs!$G$5:$G$180&lt;&gt;"acoes")))*INDEX(Inputs!$K$5:$AJ$180,0,MATCH(J$2,Inputs!$K$4:$AJ$4,0)))+SUMPRODUCT((Inputs!$E$5:$E$180=$B69)*Inputs!$F$5:$F$180*(((Inputs!$G$5:$G$180="moeda")+(Inputs!$G$5:$G$180="acoes"))*Inputs!$B$1+((Inputs!$G$5:$G$180&lt;&gt;"moeda")*(Inputs!$G$5:$G$180&lt;&gt;"acoes")))*INDEX(Inputs!$K$5:$AJ$180,0,MATCH(J$2,Inputs!$K$4:$AJ$4,0)))))</f>
        <v>16.4116800820542</v>
      </c>
      <c r="K69" s="264">
        <f>IF(ISNA(MATCH(K$2,Inputs!$K$4:$AJ$4,0)),NA(),IF(SUMPRODUCT((Inputs!$A$5:$A$180=$B69)*ISNUMBER(INDEX(Inputs!$K$5:$AJ$180,0,MATCH(K$2,Inputs!$K$4:$AJ$4,0))))+SUMPRODUCT((Inputs!$C$5:$C$180=$B69)*ISNUMBER(INDEX(Inputs!$K$5:$AJ$180,0,MATCH(K$2,Inputs!$K$4:$AJ$4,0))))+SUMPRODUCT((Inputs!$E$5:$E$180=$B69)*ISNUMBER(INDEX(Inputs!$K$5:$AJ$180,0,MATCH(K$2,Inputs!$K$4:$AJ$4,0))))=0,NA(),SUMPRODUCT((Inputs!$A$5:$A$180=$B69)*Inputs!$B$5:$B$180*(((Inputs!$G$5:$G$180="moeda")+(Inputs!$G$5:$G$180="acoes"))*Inputs!$B$1+((Inputs!$G$5:$G$180&lt;&gt;"moeda")*(Inputs!$G$5:$G$180&lt;&gt;"acoes")))*INDEX(Inputs!$K$5:$AJ$180,0,MATCH(K$2,Inputs!$K$4:$AJ$4,0)))+SUMPRODUCT((Inputs!$C$5:$C$180=$B69)*Inputs!$D$5:$D$180*(((Inputs!$G$5:$G$180="moeda")+(Inputs!$G$5:$G$180="acoes"))*Inputs!$B$1+((Inputs!$G$5:$G$180&lt;&gt;"moeda")*(Inputs!$G$5:$G$180&lt;&gt;"acoes")))*INDEX(Inputs!$K$5:$AJ$180,0,MATCH(K$2,Inputs!$K$4:$AJ$4,0)))+SUMPRODUCT((Inputs!$E$5:$E$180=$B69)*Inputs!$F$5:$F$180*(((Inputs!$G$5:$G$180="moeda")+(Inputs!$G$5:$G$180="acoes"))*Inputs!$B$1+((Inputs!$G$5:$G$180&lt;&gt;"moeda")*(Inputs!$G$5:$G$180&lt;&gt;"acoes")))*INDEX(Inputs!$K$5:$AJ$180,0,MATCH(K$2,Inputs!$K$4:$AJ$4,0)))))</f>
        <v>25.9962853326513</v>
      </c>
      <c r="L69" s="264">
        <f>IF(ISNA(MATCH(L$2,Inputs!$K$4:$AJ$4,0)),NA(),IF(SUMPRODUCT((Inputs!$A$5:$A$180=$B69)*ISNUMBER(INDEX(Inputs!$K$5:$AJ$180,0,MATCH(L$2,Inputs!$K$4:$AJ$4,0))))+SUMPRODUCT((Inputs!$C$5:$C$180=$B69)*ISNUMBER(INDEX(Inputs!$K$5:$AJ$180,0,MATCH(L$2,Inputs!$K$4:$AJ$4,0))))+SUMPRODUCT((Inputs!$E$5:$E$180=$B69)*ISNUMBER(INDEX(Inputs!$K$5:$AJ$180,0,MATCH(L$2,Inputs!$K$4:$AJ$4,0))))=0,NA(),SUMPRODUCT((Inputs!$A$5:$A$180=$B69)*Inputs!$B$5:$B$180*(((Inputs!$G$5:$G$180="moeda")+(Inputs!$G$5:$G$180="acoes"))*Inputs!$B$1+((Inputs!$G$5:$G$180&lt;&gt;"moeda")*(Inputs!$G$5:$G$180&lt;&gt;"acoes")))*INDEX(Inputs!$K$5:$AJ$180,0,MATCH(L$2,Inputs!$K$4:$AJ$4,0)))+SUMPRODUCT((Inputs!$C$5:$C$180=$B69)*Inputs!$D$5:$D$180*(((Inputs!$G$5:$G$180="moeda")+(Inputs!$G$5:$G$180="acoes"))*Inputs!$B$1+((Inputs!$G$5:$G$180&lt;&gt;"moeda")*(Inputs!$G$5:$G$180&lt;&gt;"acoes")))*INDEX(Inputs!$K$5:$AJ$180,0,MATCH(L$2,Inputs!$K$4:$AJ$4,0)))+SUMPRODUCT((Inputs!$E$5:$E$180=$B69)*Inputs!$F$5:$F$180*(((Inputs!$G$5:$G$180="moeda")+(Inputs!$G$5:$G$180="acoes"))*Inputs!$B$1+((Inputs!$G$5:$G$180&lt;&gt;"moeda")*(Inputs!$G$5:$G$180&lt;&gt;"acoes")))*INDEX(Inputs!$K$5:$AJ$180,0,MATCH(L$2,Inputs!$K$4:$AJ$4,0)))))</f>
        <v>15.73572139</v>
      </c>
      <c r="M69" s="265">
        <f>SUM(I69:L69)</f>
        <v>68.5392503747055</v>
      </c>
      <c r="N69" s="264">
        <f>IF(ISNA(MATCH(N$2,Inputs!$K$4:$AJ$4,0)),NA(),IF(SUMPRODUCT((Inputs!$A$5:$A$180=$B69)*ISNUMBER(INDEX(Inputs!$K$5:$AJ$180,0,MATCH(N$2,Inputs!$K$4:$AJ$4,0))))+SUMPRODUCT((Inputs!$C$5:$C$180=$B69)*ISNUMBER(INDEX(Inputs!$K$5:$AJ$180,0,MATCH(N$2,Inputs!$K$4:$AJ$4,0))))+SUMPRODUCT((Inputs!$E$5:$E$180=$B69)*ISNUMBER(INDEX(Inputs!$K$5:$AJ$180,0,MATCH(N$2,Inputs!$K$4:$AJ$4,0))))=0,NA(),SUMPRODUCT((Inputs!$A$5:$A$180=$B69)*Inputs!$B$5:$B$180*(((Inputs!$G$5:$G$180="moeda")+(Inputs!$G$5:$G$180="acoes"))*Inputs!$B$1+((Inputs!$G$5:$G$180&lt;&gt;"moeda")*(Inputs!$G$5:$G$180&lt;&gt;"acoes")))*INDEX(Inputs!$K$5:$AJ$180,0,MATCH(N$2,Inputs!$K$4:$AJ$4,0)))+SUMPRODUCT((Inputs!$C$5:$C$180=$B69)*Inputs!$D$5:$D$180*(((Inputs!$G$5:$G$180="moeda")+(Inputs!$G$5:$G$180="acoes"))*Inputs!$B$1+((Inputs!$G$5:$G$180&lt;&gt;"moeda")*(Inputs!$G$5:$G$180&lt;&gt;"acoes")))*INDEX(Inputs!$K$5:$AJ$180,0,MATCH(N$2,Inputs!$K$4:$AJ$4,0)))+SUMPRODUCT((Inputs!$E$5:$E$180=$B69)*Inputs!$F$5:$F$180*(((Inputs!$G$5:$G$180="moeda")+(Inputs!$G$5:$G$180="acoes"))*Inputs!$B$1+((Inputs!$G$5:$G$180&lt;&gt;"moeda")*(Inputs!$G$5:$G$180&lt;&gt;"acoes")))*INDEX(Inputs!$K$5:$AJ$180,0,MATCH(N$2,Inputs!$K$4:$AJ$4,0)))))</f>
        <v>15.42769837</v>
      </c>
      <c r="O69" s="264">
        <f>IF(ISNA(MATCH(O$2,Inputs!$K$4:$AJ$4,0)),NA(),IF(SUMPRODUCT((Inputs!$A$5:$A$180=$B69)*ISNUMBER(INDEX(Inputs!$K$5:$AJ$180,0,MATCH(O$2,Inputs!$K$4:$AJ$4,0))))+SUMPRODUCT((Inputs!$C$5:$C$180=$B69)*ISNUMBER(INDEX(Inputs!$K$5:$AJ$180,0,MATCH(O$2,Inputs!$K$4:$AJ$4,0))))+SUMPRODUCT((Inputs!$E$5:$E$180=$B69)*ISNUMBER(INDEX(Inputs!$K$5:$AJ$180,0,MATCH(O$2,Inputs!$K$4:$AJ$4,0))))=0,NA(),SUMPRODUCT((Inputs!$A$5:$A$180=$B69)*Inputs!$B$5:$B$180*(((Inputs!$G$5:$G$180="moeda")+(Inputs!$G$5:$G$180="acoes"))*Inputs!$B$1+((Inputs!$G$5:$G$180&lt;&gt;"moeda")*(Inputs!$G$5:$G$180&lt;&gt;"acoes")))*INDEX(Inputs!$K$5:$AJ$180,0,MATCH(O$2,Inputs!$K$4:$AJ$4,0)))+SUMPRODUCT((Inputs!$C$5:$C$180=$B69)*Inputs!$D$5:$D$180*(((Inputs!$G$5:$G$180="moeda")+(Inputs!$G$5:$G$180="acoes"))*Inputs!$B$1+((Inputs!$G$5:$G$180&lt;&gt;"moeda")*(Inputs!$G$5:$G$180&lt;&gt;"acoes")))*INDEX(Inputs!$K$5:$AJ$180,0,MATCH(O$2,Inputs!$K$4:$AJ$4,0)))+SUMPRODUCT((Inputs!$E$5:$E$180=$B69)*Inputs!$F$5:$F$180*(((Inputs!$G$5:$G$180="moeda")+(Inputs!$G$5:$G$180="acoes"))*Inputs!$B$1+((Inputs!$G$5:$G$180&lt;&gt;"moeda")*(Inputs!$G$5:$G$180&lt;&gt;"acoes")))*INDEX(Inputs!$K$5:$AJ$180,0,MATCH(O$2,Inputs!$K$4:$AJ$4,0)))))</f>
        <v>11.70982664</v>
      </c>
      <c r="P69" s="264">
        <f>IF(ISNA(MATCH(P$2,Inputs!$K$4:$AJ$4,0)),NA(),IF(SUMPRODUCT((Inputs!$A$5:$A$180=$B69)*ISNUMBER(INDEX(Inputs!$K$5:$AJ$180,0,MATCH(P$2,Inputs!$K$4:$AJ$4,0))))+SUMPRODUCT((Inputs!$C$5:$C$180=$B69)*ISNUMBER(INDEX(Inputs!$K$5:$AJ$180,0,MATCH(P$2,Inputs!$K$4:$AJ$4,0))))+SUMPRODUCT((Inputs!$E$5:$E$180=$B69)*ISNUMBER(INDEX(Inputs!$K$5:$AJ$180,0,MATCH(P$2,Inputs!$K$4:$AJ$4,0))))=0,NA(),SUMPRODUCT((Inputs!$A$5:$A$180=$B69)*Inputs!$B$5:$B$180*(((Inputs!$G$5:$G$180="moeda")+(Inputs!$G$5:$G$180="acoes"))*Inputs!$B$1+((Inputs!$G$5:$G$180&lt;&gt;"moeda")*(Inputs!$G$5:$G$180&lt;&gt;"acoes")))*INDEX(Inputs!$K$5:$AJ$180,0,MATCH(P$2,Inputs!$K$4:$AJ$4,0)))+SUMPRODUCT((Inputs!$C$5:$C$180=$B69)*Inputs!$D$5:$D$180*(((Inputs!$G$5:$G$180="moeda")+(Inputs!$G$5:$G$180="acoes"))*Inputs!$B$1+((Inputs!$G$5:$G$180&lt;&gt;"moeda")*(Inputs!$G$5:$G$180&lt;&gt;"acoes")))*INDEX(Inputs!$K$5:$AJ$180,0,MATCH(P$2,Inputs!$K$4:$AJ$4,0)))+SUMPRODUCT((Inputs!$E$5:$E$180=$B69)*Inputs!$F$5:$F$180*(((Inputs!$G$5:$G$180="moeda")+(Inputs!$G$5:$G$180="acoes"))*Inputs!$B$1+((Inputs!$G$5:$G$180&lt;&gt;"moeda")*(Inputs!$G$5:$G$180&lt;&gt;"acoes")))*INDEX(Inputs!$K$5:$AJ$180,0,MATCH(P$2,Inputs!$K$4:$AJ$4,0)))))</f>
        <v>22.87208977</v>
      </c>
      <c r="Q69" s="264">
        <f>IF(ISNA(MATCH(Q$2,Inputs!$K$4:$AJ$4,0)),NA(),IF(SUMPRODUCT((Inputs!$A$5:$A$180=$B69)*ISNUMBER(INDEX(Inputs!$K$5:$AJ$180,0,MATCH(Q$2,Inputs!$K$4:$AJ$4,0))))+SUMPRODUCT((Inputs!$C$5:$C$180=$B69)*ISNUMBER(INDEX(Inputs!$K$5:$AJ$180,0,MATCH(Q$2,Inputs!$K$4:$AJ$4,0))))+SUMPRODUCT((Inputs!$E$5:$E$180=$B69)*ISNUMBER(INDEX(Inputs!$K$5:$AJ$180,0,MATCH(Q$2,Inputs!$K$4:$AJ$4,0))))=0,NA(),SUMPRODUCT((Inputs!$A$5:$A$180=$B69)*Inputs!$B$5:$B$180*(((Inputs!$G$5:$G$180="moeda")+(Inputs!$G$5:$G$180="acoes"))*Inputs!$B$1+((Inputs!$G$5:$G$180&lt;&gt;"moeda")*(Inputs!$G$5:$G$180&lt;&gt;"acoes")))*INDEX(Inputs!$K$5:$AJ$180,0,MATCH(Q$2,Inputs!$K$4:$AJ$4,0)))+SUMPRODUCT((Inputs!$C$5:$C$180=$B69)*Inputs!$D$5:$D$180*(((Inputs!$G$5:$G$180="moeda")+(Inputs!$G$5:$G$180="acoes"))*Inputs!$B$1+((Inputs!$G$5:$G$180&lt;&gt;"moeda")*(Inputs!$G$5:$G$180&lt;&gt;"acoes")))*INDEX(Inputs!$K$5:$AJ$180,0,MATCH(Q$2,Inputs!$K$4:$AJ$4,0)))+SUMPRODUCT((Inputs!$E$5:$E$180=$B69)*Inputs!$F$5:$F$180*(((Inputs!$G$5:$G$180="moeda")+(Inputs!$G$5:$G$180="acoes"))*Inputs!$B$1+((Inputs!$G$5:$G$180&lt;&gt;"moeda")*(Inputs!$G$5:$G$180&lt;&gt;"acoes")))*INDEX(Inputs!$K$5:$AJ$180,0,MATCH(Q$2,Inputs!$K$4:$AJ$4,0)))))</f>
        <v>22.90289341</v>
      </c>
      <c r="R69" s="265">
        <f>SUM(N69:Q69)</f>
        <v>72.91250819</v>
      </c>
      <c r="S69" s="264">
        <f>IF(ISNA(MATCH(S$2,Inputs!$K$4:$AJ$4,0)),NA(),IF(SUMPRODUCT((Inputs!$A$5:$A$180=$B69)*ISNUMBER(INDEX(Inputs!$K$5:$AJ$180,0,MATCH(S$2,Inputs!$K$4:$AJ$4,0))))+SUMPRODUCT((Inputs!$C$5:$C$180=$B69)*ISNUMBER(INDEX(Inputs!$K$5:$AJ$180,0,MATCH(S$2,Inputs!$K$4:$AJ$4,0))))+SUMPRODUCT((Inputs!$E$5:$E$180=$B69)*ISNUMBER(INDEX(Inputs!$K$5:$AJ$180,0,MATCH(S$2,Inputs!$K$4:$AJ$4,0))))=0,NA(),SUMPRODUCT((Inputs!$A$5:$A$180=$B69)*Inputs!$B$5:$B$180*(((Inputs!$G$5:$G$180="moeda")+(Inputs!$G$5:$G$180="acoes"))*Inputs!$B$1+((Inputs!$G$5:$G$180&lt;&gt;"moeda")*(Inputs!$G$5:$G$180&lt;&gt;"acoes")))*INDEX(Inputs!$K$5:$AJ$180,0,MATCH(S$2,Inputs!$K$4:$AJ$4,0)))+SUMPRODUCT((Inputs!$C$5:$C$180=$B69)*Inputs!$D$5:$D$180*(((Inputs!$G$5:$G$180="moeda")+(Inputs!$G$5:$G$180="acoes"))*Inputs!$B$1+((Inputs!$G$5:$G$180&lt;&gt;"moeda")*(Inputs!$G$5:$G$180&lt;&gt;"acoes")))*INDEX(Inputs!$K$5:$AJ$180,0,MATCH(S$2,Inputs!$K$4:$AJ$4,0)))+SUMPRODUCT((Inputs!$E$5:$E$180=$B69)*Inputs!$F$5:$F$180*(((Inputs!$G$5:$G$180="moeda")+(Inputs!$G$5:$G$180="acoes"))*Inputs!$B$1+((Inputs!$G$5:$G$180&lt;&gt;"moeda")*(Inputs!$G$5:$G$180&lt;&gt;"acoes")))*INDEX(Inputs!$K$5:$AJ$180,0,MATCH(S$2,Inputs!$K$4:$AJ$4,0)))))</f>
        <v>19.07592275</v>
      </c>
      <c r="T69" s="264">
        <f>IF(ISNA(MATCH(T$2,Inputs!$K$4:$AJ$4,0)),NA(),IF(SUMPRODUCT((Inputs!$A$5:$A$180=$B69)*ISNUMBER(INDEX(Inputs!$K$5:$AJ$180,0,MATCH(T$2,Inputs!$K$4:$AJ$4,0))))+SUMPRODUCT((Inputs!$C$5:$C$180=$B69)*ISNUMBER(INDEX(Inputs!$K$5:$AJ$180,0,MATCH(T$2,Inputs!$K$4:$AJ$4,0))))+SUMPRODUCT((Inputs!$E$5:$E$180=$B69)*ISNUMBER(INDEX(Inputs!$K$5:$AJ$180,0,MATCH(T$2,Inputs!$K$4:$AJ$4,0))))=0,NA(),SUMPRODUCT((Inputs!$A$5:$A$180=$B69)*Inputs!$B$5:$B$180*(((Inputs!$G$5:$G$180="moeda")+(Inputs!$G$5:$G$180="acoes"))*Inputs!$B$1+((Inputs!$G$5:$G$180&lt;&gt;"moeda")*(Inputs!$G$5:$G$180&lt;&gt;"acoes")))*INDEX(Inputs!$K$5:$AJ$180,0,MATCH(T$2,Inputs!$K$4:$AJ$4,0)))+SUMPRODUCT((Inputs!$C$5:$C$180=$B69)*Inputs!$D$5:$D$180*(((Inputs!$G$5:$G$180="moeda")+(Inputs!$G$5:$G$180="acoes"))*Inputs!$B$1+((Inputs!$G$5:$G$180&lt;&gt;"moeda")*(Inputs!$G$5:$G$180&lt;&gt;"acoes")))*INDEX(Inputs!$K$5:$AJ$180,0,MATCH(T$2,Inputs!$K$4:$AJ$4,0)))+SUMPRODUCT((Inputs!$E$5:$E$180=$B69)*Inputs!$F$5:$F$180*(((Inputs!$G$5:$G$180="moeda")+(Inputs!$G$5:$G$180="acoes"))*Inputs!$B$1+((Inputs!$G$5:$G$180&lt;&gt;"moeda")*(Inputs!$G$5:$G$180&lt;&gt;"acoes")))*INDEX(Inputs!$K$5:$AJ$180,0,MATCH(T$2,Inputs!$K$4:$AJ$4,0)))))</f>
        <v>16.3579258199997</v>
      </c>
      <c r="U69" s="264">
        <f>IF(ISNA(MATCH(U$2,Inputs!$K$4:$AJ$4,0)),NA(),IF(SUMPRODUCT((Inputs!$A$5:$A$180=$B69)*ISNUMBER(INDEX(Inputs!$K$5:$AJ$180,0,MATCH(U$2,Inputs!$K$4:$AJ$4,0))))+SUMPRODUCT((Inputs!$C$5:$C$180=$B69)*ISNUMBER(INDEX(Inputs!$K$5:$AJ$180,0,MATCH(U$2,Inputs!$K$4:$AJ$4,0))))+SUMPRODUCT((Inputs!$E$5:$E$180=$B69)*ISNUMBER(INDEX(Inputs!$K$5:$AJ$180,0,MATCH(U$2,Inputs!$K$4:$AJ$4,0))))=0,NA(),SUMPRODUCT((Inputs!$A$5:$A$180=$B69)*Inputs!$B$5:$B$180*(((Inputs!$G$5:$G$180="moeda")+(Inputs!$G$5:$G$180="acoes"))*Inputs!$B$1+((Inputs!$G$5:$G$180&lt;&gt;"moeda")*(Inputs!$G$5:$G$180&lt;&gt;"acoes")))*INDEX(Inputs!$K$5:$AJ$180,0,MATCH(U$2,Inputs!$K$4:$AJ$4,0)))+SUMPRODUCT((Inputs!$C$5:$C$180=$B69)*Inputs!$D$5:$D$180*(((Inputs!$G$5:$G$180="moeda")+(Inputs!$G$5:$G$180="acoes"))*Inputs!$B$1+((Inputs!$G$5:$G$180&lt;&gt;"moeda")*(Inputs!$G$5:$G$180&lt;&gt;"acoes")))*INDEX(Inputs!$K$5:$AJ$180,0,MATCH(U$2,Inputs!$K$4:$AJ$4,0)))+SUMPRODUCT((Inputs!$E$5:$E$180=$B69)*Inputs!$F$5:$F$180*(((Inputs!$G$5:$G$180="moeda")+(Inputs!$G$5:$G$180="acoes"))*Inputs!$B$1+((Inputs!$G$5:$G$180&lt;&gt;"moeda")*(Inputs!$G$5:$G$180&lt;&gt;"acoes")))*INDEX(Inputs!$K$5:$AJ$180,0,MATCH(U$2,Inputs!$K$4:$AJ$4,0)))))</f>
        <v>16.510572</v>
      </c>
      <c r="V69" s="264">
        <f>IF(ISNA(MATCH(V$2,Inputs!$K$4:$AJ$4,0)),NA(),IF(SUMPRODUCT((Inputs!$A$5:$A$180=$B69)*ISNUMBER(INDEX(Inputs!$K$5:$AJ$180,0,MATCH(V$2,Inputs!$K$4:$AJ$4,0))))+SUMPRODUCT((Inputs!$C$5:$C$180=$B69)*ISNUMBER(INDEX(Inputs!$K$5:$AJ$180,0,MATCH(V$2,Inputs!$K$4:$AJ$4,0))))+SUMPRODUCT((Inputs!$E$5:$E$180=$B69)*ISNUMBER(INDEX(Inputs!$K$5:$AJ$180,0,MATCH(V$2,Inputs!$K$4:$AJ$4,0))))=0,NA(),SUMPRODUCT((Inputs!$A$5:$A$180=$B69)*Inputs!$B$5:$B$180*(((Inputs!$G$5:$G$180="moeda")+(Inputs!$G$5:$G$180="acoes"))*Inputs!$B$1+((Inputs!$G$5:$G$180&lt;&gt;"moeda")*(Inputs!$G$5:$G$180&lt;&gt;"acoes")))*INDEX(Inputs!$K$5:$AJ$180,0,MATCH(V$2,Inputs!$K$4:$AJ$4,0)))+SUMPRODUCT((Inputs!$C$5:$C$180=$B69)*Inputs!$D$5:$D$180*(((Inputs!$G$5:$G$180="moeda")+(Inputs!$G$5:$G$180="acoes"))*Inputs!$B$1+((Inputs!$G$5:$G$180&lt;&gt;"moeda")*(Inputs!$G$5:$G$180&lt;&gt;"acoes")))*INDEX(Inputs!$K$5:$AJ$180,0,MATCH(V$2,Inputs!$K$4:$AJ$4,0)))+SUMPRODUCT((Inputs!$E$5:$E$180=$B69)*Inputs!$F$5:$F$180*(((Inputs!$G$5:$G$180="moeda")+(Inputs!$G$5:$G$180="acoes"))*Inputs!$B$1+((Inputs!$G$5:$G$180&lt;&gt;"moeda")*(Inputs!$G$5:$G$180&lt;&gt;"acoes")))*INDEX(Inputs!$K$5:$AJ$180,0,MATCH(V$2,Inputs!$K$4:$AJ$4,0)))))</f>
        <v>17.0140205554506</v>
      </c>
      <c r="W69" s="265">
        <f>SUM(S69:V69)</f>
        <v>68.9584411254502</v>
      </c>
      <c r="X69" s="264">
        <f>IF(ISNA(MATCH(X$2,Inputs!$K$4:$AJ$4,0)),NA(),IF(SUMPRODUCT((Inputs!$A$5:$A$180=$B69)*ISNUMBER(INDEX(Inputs!$K$5:$AJ$180,0,MATCH(X$2,Inputs!$K$4:$AJ$4,0))))+SUMPRODUCT((Inputs!$C$5:$C$180=$B69)*ISNUMBER(INDEX(Inputs!$K$5:$AJ$180,0,MATCH(X$2,Inputs!$K$4:$AJ$4,0))))+SUMPRODUCT((Inputs!$E$5:$E$180=$B69)*ISNUMBER(INDEX(Inputs!$K$5:$AJ$180,0,MATCH(X$2,Inputs!$K$4:$AJ$4,0))))=0,NA(),SUMPRODUCT((Inputs!$A$5:$A$180=$B69)*Inputs!$B$5:$B$180*(((Inputs!$G$5:$G$180="moeda")+(Inputs!$G$5:$G$180="acoes"))*Inputs!$B$1+((Inputs!$G$5:$G$180&lt;&gt;"moeda")*(Inputs!$G$5:$G$180&lt;&gt;"acoes")))*INDEX(Inputs!$K$5:$AJ$180,0,MATCH(X$2,Inputs!$K$4:$AJ$4,0)))+SUMPRODUCT((Inputs!$C$5:$C$180=$B69)*Inputs!$D$5:$D$180*(((Inputs!$G$5:$G$180="moeda")+(Inputs!$G$5:$G$180="acoes"))*Inputs!$B$1+((Inputs!$G$5:$G$180&lt;&gt;"moeda")*(Inputs!$G$5:$G$180&lt;&gt;"acoes")))*INDEX(Inputs!$K$5:$AJ$180,0,MATCH(X$2,Inputs!$K$4:$AJ$4,0)))+SUMPRODUCT((Inputs!$E$5:$E$180=$B69)*Inputs!$F$5:$F$180*(((Inputs!$G$5:$G$180="moeda")+(Inputs!$G$5:$G$180="acoes"))*Inputs!$B$1+((Inputs!$G$5:$G$180&lt;&gt;"moeda")*(Inputs!$G$5:$G$180&lt;&gt;"acoes")))*INDEX(Inputs!$K$5:$AJ$180,0,MATCH(X$2,Inputs!$K$4:$AJ$4,0)))))</f>
        <v>4.69943996</v>
      </c>
      <c r="Y69" s="264">
        <f>IF(ISNA(MATCH(Y$2,Inputs!$K$4:$AJ$4,0)),NA(),IF(SUMPRODUCT((Inputs!$A$5:$A$180=$B69)*ISNUMBER(INDEX(Inputs!$K$5:$AJ$180,0,MATCH(Y$2,Inputs!$K$4:$AJ$4,0))))+SUMPRODUCT((Inputs!$C$5:$C$180=$B69)*ISNUMBER(INDEX(Inputs!$K$5:$AJ$180,0,MATCH(Y$2,Inputs!$K$4:$AJ$4,0))))+SUMPRODUCT((Inputs!$E$5:$E$180=$B69)*ISNUMBER(INDEX(Inputs!$K$5:$AJ$180,0,MATCH(Y$2,Inputs!$K$4:$AJ$4,0))))=0,NA(),SUMPRODUCT((Inputs!$A$5:$A$180=$B69)*Inputs!$B$5:$B$180*(((Inputs!$G$5:$G$180="moeda")+(Inputs!$G$5:$G$180="acoes"))*Inputs!$B$1+((Inputs!$G$5:$G$180&lt;&gt;"moeda")*(Inputs!$G$5:$G$180&lt;&gt;"acoes")))*INDEX(Inputs!$K$5:$AJ$180,0,MATCH(Y$2,Inputs!$K$4:$AJ$4,0)))+SUMPRODUCT((Inputs!$C$5:$C$180=$B69)*Inputs!$D$5:$D$180*(((Inputs!$G$5:$G$180="moeda")+(Inputs!$G$5:$G$180="acoes"))*Inputs!$B$1+((Inputs!$G$5:$G$180&lt;&gt;"moeda")*(Inputs!$G$5:$G$180&lt;&gt;"acoes")))*INDEX(Inputs!$K$5:$AJ$180,0,MATCH(Y$2,Inputs!$K$4:$AJ$4,0)))+SUMPRODUCT((Inputs!$E$5:$E$180=$B69)*Inputs!$F$5:$F$180*(((Inputs!$G$5:$G$180="moeda")+(Inputs!$G$5:$G$180="acoes"))*Inputs!$B$1+((Inputs!$G$5:$G$180&lt;&gt;"moeda")*(Inputs!$G$5:$G$180&lt;&gt;"acoes")))*INDEX(Inputs!$K$5:$AJ$180,0,MATCH(Y$2,Inputs!$K$4:$AJ$4,0)))))</f>
        <v>5.78812276999998</v>
      </c>
      <c r="Z69" s="264">
        <f>IF(ISNA(MATCH(Z$2,Inputs!$K$4:$AJ$4,0)),NA(),IF(SUMPRODUCT((Inputs!$A$5:$A$180=$B69)*ISNUMBER(INDEX(Inputs!$K$5:$AJ$180,0,MATCH(Z$2,Inputs!$K$4:$AJ$4,0))))+SUMPRODUCT((Inputs!$C$5:$C$180=$B69)*ISNUMBER(INDEX(Inputs!$K$5:$AJ$180,0,MATCH(Z$2,Inputs!$K$4:$AJ$4,0))))+SUMPRODUCT((Inputs!$E$5:$E$180=$B69)*ISNUMBER(INDEX(Inputs!$K$5:$AJ$180,0,MATCH(Z$2,Inputs!$K$4:$AJ$4,0))))=0,NA(),SUMPRODUCT((Inputs!$A$5:$A$180=$B69)*Inputs!$B$5:$B$180*(((Inputs!$G$5:$G$180="moeda")+(Inputs!$G$5:$G$180="acoes"))*Inputs!$B$1+((Inputs!$G$5:$G$180&lt;&gt;"moeda")*(Inputs!$G$5:$G$180&lt;&gt;"acoes")))*INDEX(Inputs!$K$5:$AJ$180,0,MATCH(Z$2,Inputs!$K$4:$AJ$4,0)))+SUMPRODUCT((Inputs!$C$5:$C$180=$B69)*Inputs!$D$5:$D$180*(((Inputs!$G$5:$G$180="moeda")+(Inputs!$G$5:$G$180="acoes"))*Inputs!$B$1+((Inputs!$G$5:$G$180&lt;&gt;"moeda")*(Inputs!$G$5:$G$180&lt;&gt;"acoes")))*INDEX(Inputs!$K$5:$AJ$180,0,MATCH(Z$2,Inputs!$K$4:$AJ$4,0)))+SUMPRODUCT((Inputs!$E$5:$E$180=$B69)*Inputs!$F$5:$F$180*(((Inputs!$G$5:$G$180="moeda")+(Inputs!$G$5:$G$180="acoes"))*Inputs!$B$1+((Inputs!$G$5:$G$180&lt;&gt;"moeda")*(Inputs!$G$5:$G$180&lt;&gt;"acoes")))*INDEX(Inputs!$K$5:$AJ$180,0,MATCH(Z$2,Inputs!$K$4:$AJ$4,0)))))</f>
        <v>5.70677871999998</v>
      </c>
      <c r="AA69" s="264">
        <f>IF(ISNA(MATCH(AA$2,Inputs!$K$4:$AJ$4,0)),NA(),IF(SUMPRODUCT((Inputs!$A$5:$A$180=$B69)*ISNUMBER(INDEX(Inputs!$K$5:$AJ$180,0,MATCH(AA$2,Inputs!$K$4:$AJ$4,0))))+SUMPRODUCT((Inputs!$C$5:$C$180=$B69)*ISNUMBER(INDEX(Inputs!$K$5:$AJ$180,0,MATCH(AA$2,Inputs!$K$4:$AJ$4,0))))+SUMPRODUCT((Inputs!$E$5:$E$180=$B69)*ISNUMBER(INDEX(Inputs!$K$5:$AJ$180,0,MATCH(AA$2,Inputs!$K$4:$AJ$4,0))))=0,NA(),SUMPRODUCT((Inputs!$A$5:$A$180=$B69)*Inputs!$B$5:$B$180*(((Inputs!$G$5:$G$180="moeda")+(Inputs!$G$5:$G$180="acoes"))*Inputs!$B$1+((Inputs!$G$5:$G$180&lt;&gt;"moeda")*(Inputs!$G$5:$G$180&lt;&gt;"acoes")))*INDEX(Inputs!$K$5:$AJ$180,0,MATCH(AA$2,Inputs!$K$4:$AJ$4,0)))+SUMPRODUCT((Inputs!$C$5:$C$180=$B69)*Inputs!$D$5:$D$180*(((Inputs!$G$5:$G$180="moeda")+(Inputs!$G$5:$G$180="acoes"))*Inputs!$B$1+((Inputs!$G$5:$G$180&lt;&gt;"moeda")*(Inputs!$G$5:$G$180&lt;&gt;"acoes")))*INDEX(Inputs!$K$5:$AJ$180,0,MATCH(AA$2,Inputs!$K$4:$AJ$4,0)))+SUMPRODUCT((Inputs!$E$5:$E$180=$B69)*Inputs!$F$5:$F$180*(((Inputs!$G$5:$G$180="moeda")+(Inputs!$G$5:$G$180="acoes"))*Inputs!$B$1+((Inputs!$G$5:$G$180&lt;&gt;"moeda")*(Inputs!$G$5:$G$180&lt;&gt;"acoes")))*INDEX(Inputs!$K$5:$AJ$180,0,MATCH(AA$2,Inputs!$K$4:$AJ$4,0)))))</f>
        <v>12.87691712</v>
      </c>
      <c r="AB69" s="265">
        <f>SUM(X69:AA69)</f>
        <v>29.0712585699999</v>
      </c>
      <c r="AC69" s="264">
        <f>IF(ISNA(MATCH(AC$2,Inputs!$K$4:$AJ$4,0)),NA(),IF(SUMPRODUCT((Inputs!$A$5:$A$180=$B69)*ISNUMBER(INDEX(Inputs!$K$5:$AJ$180,0,MATCH(AC$2,Inputs!$K$4:$AJ$4,0))))+SUMPRODUCT((Inputs!$C$5:$C$180=$B69)*ISNUMBER(INDEX(Inputs!$K$5:$AJ$180,0,MATCH(AC$2,Inputs!$K$4:$AJ$4,0))))+SUMPRODUCT((Inputs!$E$5:$E$180=$B69)*ISNUMBER(INDEX(Inputs!$K$5:$AJ$180,0,MATCH(AC$2,Inputs!$K$4:$AJ$4,0))))=0,NA(),SUMPRODUCT((Inputs!$A$5:$A$180=$B69)*Inputs!$B$5:$B$180*(((Inputs!$G$5:$G$180="moeda")+(Inputs!$G$5:$G$180="acoes"))*Inputs!$B$1+((Inputs!$G$5:$G$180&lt;&gt;"moeda")*(Inputs!$G$5:$G$180&lt;&gt;"acoes")))*INDEX(Inputs!$K$5:$AJ$180,0,MATCH(AC$2,Inputs!$K$4:$AJ$4,0)))+SUMPRODUCT((Inputs!$C$5:$C$180=$B69)*Inputs!$D$5:$D$180*(((Inputs!$G$5:$G$180="moeda")+(Inputs!$G$5:$G$180="acoes"))*Inputs!$B$1+((Inputs!$G$5:$G$180&lt;&gt;"moeda")*(Inputs!$G$5:$G$180&lt;&gt;"acoes")))*INDEX(Inputs!$K$5:$AJ$180,0,MATCH(AC$2,Inputs!$K$4:$AJ$4,0)))+SUMPRODUCT((Inputs!$E$5:$E$180=$B69)*Inputs!$F$5:$F$180*(((Inputs!$G$5:$G$180="moeda")+(Inputs!$G$5:$G$180="acoes"))*Inputs!$B$1+((Inputs!$G$5:$G$180&lt;&gt;"moeda")*(Inputs!$G$5:$G$180&lt;&gt;"acoes")))*INDEX(Inputs!$K$5:$AJ$180,0,MATCH(AC$2,Inputs!$K$4:$AJ$4,0)))))</f>
        <v>9.61581853</v>
      </c>
      <c r="AD69" s="264">
        <f>IF(ISNA(MATCH(AD$2,Inputs!$K$4:$AJ$4,0)),NA(),IF(SUMPRODUCT((Inputs!$A$5:$A$180=$B69)*ISNUMBER(INDEX(Inputs!$K$5:$AJ$180,0,MATCH(AD$2,Inputs!$K$4:$AJ$4,0))))+SUMPRODUCT((Inputs!$C$5:$C$180=$B69)*ISNUMBER(INDEX(Inputs!$K$5:$AJ$180,0,MATCH(AD$2,Inputs!$K$4:$AJ$4,0))))+SUMPRODUCT((Inputs!$E$5:$E$180=$B69)*ISNUMBER(INDEX(Inputs!$K$5:$AJ$180,0,MATCH(AD$2,Inputs!$K$4:$AJ$4,0))))=0,NA(),SUMPRODUCT((Inputs!$A$5:$A$180=$B69)*Inputs!$B$5:$B$180*(((Inputs!$G$5:$G$180="moeda")+(Inputs!$G$5:$G$180="acoes"))*Inputs!$B$1+((Inputs!$G$5:$G$180&lt;&gt;"moeda")*(Inputs!$G$5:$G$180&lt;&gt;"acoes")))*INDEX(Inputs!$K$5:$AJ$180,0,MATCH(AD$2,Inputs!$K$4:$AJ$4,0)))+SUMPRODUCT((Inputs!$C$5:$C$180=$B69)*Inputs!$D$5:$D$180*(((Inputs!$G$5:$G$180="moeda")+(Inputs!$G$5:$G$180="acoes"))*Inputs!$B$1+((Inputs!$G$5:$G$180&lt;&gt;"moeda")*(Inputs!$G$5:$G$180&lt;&gt;"acoes")))*INDEX(Inputs!$K$5:$AJ$180,0,MATCH(AD$2,Inputs!$K$4:$AJ$4,0)))+SUMPRODUCT((Inputs!$E$5:$E$180=$B69)*Inputs!$F$5:$F$180*(((Inputs!$G$5:$G$180="moeda")+(Inputs!$G$5:$G$180="acoes"))*Inputs!$B$1+((Inputs!$G$5:$G$180&lt;&gt;"moeda")*(Inputs!$G$5:$G$180&lt;&gt;"acoes")))*INDEX(Inputs!$K$5:$AJ$180,0,MATCH(AD$2,Inputs!$K$4:$AJ$4,0)))))</f>
        <v>14.3594091099991</v>
      </c>
      <c r="AE69" s="264" t="e">
        <f>IF(ISNA(MATCH(AE$2,Inputs!$K$4:$AJ$4,0)),NA(),IF(SUMPRODUCT((Inputs!$A$5:$A$180=$B69)*ISNUMBER(INDEX(Inputs!$K$5:$AJ$180,0,MATCH(AE$2,Inputs!$K$4:$AJ$4,0))))+SUMPRODUCT((Inputs!$C$5:$C$180=$B69)*ISNUMBER(INDEX(Inputs!$K$5:$AJ$180,0,MATCH(AE$2,Inputs!$K$4:$AJ$4,0))))+SUMPRODUCT((Inputs!$E$5:$E$180=$B69)*ISNUMBER(INDEX(Inputs!$K$5:$AJ$180,0,MATCH(AE$2,Inputs!$K$4:$AJ$4,0))))=0,NA(),SUMPRODUCT((Inputs!$A$5:$A$180=$B69)*Inputs!$B$5:$B$180*(((Inputs!$G$5:$G$180="moeda")+(Inputs!$G$5:$G$180="acoes"))*Inputs!$B$1+((Inputs!$G$5:$G$180&lt;&gt;"moeda")*(Inputs!$G$5:$G$180&lt;&gt;"acoes")))*INDEX(Inputs!$K$5:$AJ$180,0,MATCH(AE$2,Inputs!$K$4:$AJ$4,0)))+SUMPRODUCT((Inputs!$C$5:$C$180=$B69)*Inputs!$D$5:$D$180*(((Inputs!$G$5:$G$180="moeda")+(Inputs!$G$5:$G$180="acoes"))*Inputs!$B$1+((Inputs!$G$5:$G$180&lt;&gt;"moeda")*(Inputs!$G$5:$G$180&lt;&gt;"acoes")))*INDEX(Inputs!$K$5:$AJ$180,0,MATCH(AE$2,Inputs!$K$4:$AJ$4,0)))+SUMPRODUCT((Inputs!$E$5:$E$180=$B69)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9" s="264" t="e">
        <f>IF(ISNA(MATCH(AF$2,Inputs!$K$4:$AJ$4,0)),NA(),IF(SUMPRODUCT((Inputs!$A$5:$A$180=$B69)*ISNUMBER(INDEX(Inputs!$K$5:$AJ$180,0,MATCH(AF$2,Inputs!$K$4:$AJ$4,0))))+SUMPRODUCT((Inputs!$C$5:$C$180=$B69)*ISNUMBER(INDEX(Inputs!$K$5:$AJ$180,0,MATCH(AF$2,Inputs!$K$4:$AJ$4,0))))+SUMPRODUCT((Inputs!$E$5:$E$180=$B69)*ISNUMBER(INDEX(Inputs!$K$5:$AJ$180,0,MATCH(AF$2,Inputs!$K$4:$AJ$4,0))))=0,NA(),SUMPRODUCT((Inputs!$A$5:$A$180=$B69)*Inputs!$B$5:$B$180*(((Inputs!$G$5:$G$180="moeda")+(Inputs!$G$5:$G$180="acoes"))*Inputs!$B$1+((Inputs!$G$5:$G$180&lt;&gt;"moeda")*(Inputs!$G$5:$G$180&lt;&gt;"acoes")))*INDEX(Inputs!$K$5:$AJ$180,0,MATCH(AF$2,Inputs!$K$4:$AJ$4,0)))+SUMPRODUCT((Inputs!$C$5:$C$180=$B69)*Inputs!$D$5:$D$180*(((Inputs!$G$5:$G$180="moeda")+(Inputs!$G$5:$G$180="acoes"))*Inputs!$B$1+((Inputs!$G$5:$G$180&lt;&gt;"moeda")*(Inputs!$G$5:$G$180&lt;&gt;"acoes")))*INDEX(Inputs!$K$5:$AJ$180,0,MATCH(AF$2,Inputs!$K$4:$AJ$4,0)))+SUMPRODUCT((Inputs!$E$5:$E$180=$B69)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9" s="265" t="e">
        <f>SUM(AC69:AF69)</f>
        <v>#N/A</v>
      </c>
      <c r="AH69" s="264">
        <f>IF(ISNA(MATCH(AH$2,Inputs!$K$4:$AJ$4,0)),NA(),IF(SUMPRODUCT((Inputs!$A$5:$A$180=$B69)*ISNUMBER(INDEX(Inputs!$K$5:$AJ$180,0,MATCH(AH$2,Inputs!$K$4:$AJ$4,0))))+SUMPRODUCT((Inputs!$C$5:$C$180=$B69)*ISNUMBER(INDEX(Inputs!$K$5:$AJ$180,0,MATCH(AH$2,Inputs!$K$4:$AJ$4,0))))+SUMPRODUCT((Inputs!$E$5:$E$180=$B69)*ISNUMBER(INDEX(Inputs!$K$5:$AJ$180,0,MATCH(AH$2,Inputs!$K$4:$AJ$4,0))))=0,NA(),SUMPRODUCT((Inputs!$A$5:$A$180=$B69)*Inputs!$B$5:$B$180*(((Inputs!$G$5:$G$180="moeda")+(Inputs!$G$5:$G$180="acoes"))*Inputs!$B$1+((Inputs!$G$5:$G$180&lt;&gt;"moeda")*(Inputs!$G$5:$G$180&lt;&gt;"acoes")))*INDEX(Inputs!$K$5:$AJ$180,0,MATCH(AH$2,Inputs!$K$4:$AJ$4,0)))+SUMPRODUCT((Inputs!$C$5:$C$180=$B69)*Inputs!$D$5:$D$180*(((Inputs!$G$5:$G$180="moeda")+(Inputs!$G$5:$G$180="acoes"))*Inputs!$B$1+((Inputs!$G$5:$G$180&lt;&gt;"moeda")*(Inputs!$G$5:$G$180&lt;&gt;"acoes")))*INDEX(Inputs!$K$5:$AJ$180,0,MATCH(AH$2,Inputs!$K$4:$AJ$4,0)))+SUMPRODUCT((Inputs!$E$5:$E$180=$B69)*Inputs!$F$5:$F$180*(((Inputs!$G$5:$G$180="moeda")+(Inputs!$G$5:$G$180="acoes"))*Inputs!$B$1+((Inputs!$G$5:$G$180&lt;&gt;"moeda")*(Inputs!$G$5:$G$180&lt;&gt;"acoes")))*INDEX(Inputs!$K$5:$AJ$180,0,MATCH(AH$2,Inputs!$K$4:$AJ$4,0)))))</f>
        <v>9.633</v>
      </c>
      <c r="AI69" s="264">
        <f>IF(ISNA(MATCH(AI$2,Inputs!$K$4:$AJ$4,0)),NA(),IF(SUMPRODUCT((Inputs!$A$5:$A$180=$B69)*ISNUMBER(INDEX(Inputs!$K$5:$AJ$180,0,MATCH(AI$2,Inputs!$K$4:$AJ$4,0))))+SUMPRODUCT((Inputs!$C$5:$C$180=$B69)*ISNUMBER(INDEX(Inputs!$K$5:$AJ$180,0,MATCH(AI$2,Inputs!$K$4:$AJ$4,0))))+SUMPRODUCT((Inputs!$E$5:$E$180=$B69)*ISNUMBER(INDEX(Inputs!$K$5:$AJ$180,0,MATCH(AI$2,Inputs!$K$4:$AJ$4,0))))=0,NA(),SUMPRODUCT((Inputs!$A$5:$A$180=$B69)*Inputs!$B$5:$B$180*(((Inputs!$G$5:$G$180="moeda")+(Inputs!$G$5:$G$180="acoes"))*Inputs!$B$1+((Inputs!$G$5:$G$180&lt;&gt;"moeda")*(Inputs!$G$5:$G$180&lt;&gt;"acoes")))*INDEX(Inputs!$K$5:$AJ$180,0,MATCH(AI$2,Inputs!$K$4:$AJ$4,0)))+SUMPRODUCT((Inputs!$C$5:$C$180=$B69)*Inputs!$D$5:$D$180*(((Inputs!$G$5:$G$180="moeda")+(Inputs!$G$5:$G$180="acoes"))*Inputs!$B$1+((Inputs!$G$5:$G$180&lt;&gt;"moeda")*(Inputs!$G$5:$G$180&lt;&gt;"acoes")))*INDEX(Inputs!$K$5:$AJ$180,0,MATCH(AI$2,Inputs!$K$4:$AJ$4,0)))+SUMPRODUCT((Inputs!$E$5:$E$180=$B69)*Inputs!$F$5:$F$180*(((Inputs!$G$5:$G$180="moeda")+(Inputs!$G$5:$G$180="acoes"))*Inputs!$B$1+((Inputs!$G$5:$G$180&lt;&gt;"moeda")*(Inputs!$G$5:$G$180&lt;&gt;"acoes")))*INDEX(Inputs!$K$5:$AJ$180,0,MATCH(AI$2,Inputs!$K$4:$AJ$4,0)))))</f>
        <v>9.607</v>
      </c>
      <c r="AJ69" s="264">
        <f>IF(ISNA(MATCH(AJ$2,Inputs!$K$4:$AJ$4,0)),NA(),IF(SUMPRODUCT((Inputs!$A$5:$A$180=$B69)*ISNUMBER(INDEX(Inputs!$K$5:$AJ$180,0,MATCH(AJ$2,Inputs!$K$4:$AJ$4,0))))+SUMPRODUCT((Inputs!$C$5:$C$180=$B69)*ISNUMBER(INDEX(Inputs!$K$5:$AJ$180,0,MATCH(AJ$2,Inputs!$K$4:$AJ$4,0))))+SUMPRODUCT((Inputs!$E$5:$E$180=$B69)*ISNUMBER(INDEX(Inputs!$K$5:$AJ$180,0,MATCH(AJ$2,Inputs!$K$4:$AJ$4,0))))=0,NA(),SUMPRODUCT((Inputs!$A$5:$A$180=$B69)*Inputs!$B$5:$B$180*(((Inputs!$G$5:$G$180="moeda")+(Inputs!$G$5:$G$180="acoes"))*Inputs!$B$1+((Inputs!$G$5:$G$180&lt;&gt;"moeda")*(Inputs!$G$5:$G$180&lt;&gt;"acoes")))*INDEX(Inputs!$K$5:$AJ$180,0,MATCH(AJ$2,Inputs!$K$4:$AJ$4,0)))+SUMPRODUCT((Inputs!$C$5:$C$180=$B69)*Inputs!$D$5:$D$180*(((Inputs!$G$5:$G$180="moeda")+(Inputs!$G$5:$G$180="acoes"))*Inputs!$B$1+((Inputs!$G$5:$G$180&lt;&gt;"moeda")*(Inputs!$G$5:$G$180&lt;&gt;"acoes")))*INDEX(Inputs!$K$5:$AJ$180,0,MATCH(AJ$2,Inputs!$K$4:$AJ$4,0)))+SUMPRODUCT((Inputs!$E$5:$E$180=$B69)*Inputs!$F$5:$F$180*(((Inputs!$G$5:$G$180="moeda")+(Inputs!$G$5:$G$180="acoes"))*Inputs!$B$1+((Inputs!$G$5:$G$180&lt;&gt;"moeda")*(Inputs!$G$5:$G$180&lt;&gt;"acoes")))*INDEX(Inputs!$K$5:$AJ$180,0,MATCH(AJ$2,Inputs!$K$4:$AJ$4,0)))))</f>
        <v>2.314</v>
      </c>
      <c r="AK69" s="264">
        <f>IF(ISNA(MATCH(AK$2,Inputs!$K$4:$AJ$4,0)),NA(),IF(SUMPRODUCT((Inputs!$A$5:$A$180=$B69)*ISNUMBER(INDEX(Inputs!$K$5:$AJ$180,0,MATCH(AK$2,Inputs!$K$4:$AJ$4,0))))+SUMPRODUCT((Inputs!$C$5:$C$180=$B69)*ISNUMBER(INDEX(Inputs!$K$5:$AJ$180,0,MATCH(AK$2,Inputs!$K$4:$AJ$4,0))))+SUMPRODUCT((Inputs!$E$5:$E$180=$B69)*ISNUMBER(INDEX(Inputs!$K$5:$AJ$180,0,MATCH(AK$2,Inputs!$K$4:$AJ$4,0))))=0,NA(),SUMPRODUCT((Inputs!$A$5:$A$180=$B69)*Inputs!$B$5:$B$180*(((Inputs!$G$5:$G$180="moeda")+(Inputs!$G$5:$G$180="acoes"))*Inputs!$B$1+((Inputs!$G$5:$G$180&lt;&gt;"moeda")*(Inputs!$G$5:$G$180&lt;&gt;"acoes")))*INDEX(Inputs!$K$5:$AJ$180,0,MATCH(AK$2,Inputs!$K$4:$AJ$4,0)))+SUMPRODUCT((Inputs!$C$5:$C$180=$B69)*Inputs!$D$5:$D$180*(((Inputs!$G$5:$G$180="moeda")+(Inputs!$G$5:$G$180="acoes"))*Inputs!$B$1+((Inputs!$G$5:$G$180&lt;&gt;"moeda")*(Inputs!$G$5:$G$180&lt;&gt;"acoes")))*INDEX(Inputs!$K$5:$AJ$180,0,MATCH(AK$2,Inputs!$K$4:$AJ$4,0)))+SUMPRODUCT((Inputs!$E$5:$E$180=$B69)*Inputs!$F$5:$F$180*(((Inputs!$G$5:$G$180="moeda")+(Inputs!$G$5:$G$180="acoes"))*Inputs!$B$1+((Inputs!$G$5:$G$180&lt;&gt;"moeda")*(Inputs!$G$5:$G$180&lt;&gt;"acoes")))*INDEX(Inputs!$K$5:$AJ$180,0,MATCH(AK$2,Inputs!$K$4:$AJ$4,0)))))</f>
        <v>3.63342676902701</v>
      </c>
      <c r="AL69" s="265">
        <f>SUM(AH69:AK69)</f>
        <v>25.187426769027</v>
      </c>
    </row>
    <row r="70">
      <c r="B70" s="46" t="n">
        <v>62</v>
      </c>
      <c r="C70" s="29" t="inlineStr">
        <is>
          <t>Capex - reformas e manutencao (l.24)</t>
        </is>
      </c>
      <c r="D70" s="264">
        <f>IF(ISNA(MATCH(D$2,Inputs!$K$4:$AJ$4,0)),NA(),IF(SUMPRODUCT((Inputs!$A$5:$A$180=$B70)*ISNUMBER(INDEX(Inputs!$K$5:$AJ$180,0,MATCH(D$2,Inputs!$K$4:$AJ$4,0))))+SUMPRODUCT((Inputs!$C$5:$C$180=$B70)*ISNUMBER(INDEX(Inputs!$K$5:$AJ$180,0,MATCH(D$2,Inputs!$K$4:$AJ$4,0))))+SUMPRODUCT((Inputs!$E$5:$E$180=$B70)*ISNUMBER(INDEX(Inputs!$K$5:$AJ$180,0,MATCH(D$2,Inputs!$K$4:$AJ$4,0))))=0,NA(),SUMPRODUCT((Inputs!$A$5:$A$180=$B70)*Inputs!$B$5:$B$180*(((Inputs!$G$5:$G$180="moeda")+(Inputs!$G$5:$G$180="acoes"))*Inputs!$B$1+((Inputs!$G$5:$G$180&lt;&gt;"moeda")*(Inputs!$G$5:$G$180&lt;&gt;"acoes")))*INDEX(Inputs!$K$5:$AJ$180,0,MATCH(D$2,Inputs!$K$4:$AJ$4,0)))+SUMPRODUCT((Inputs!$C$5:$C$180=$B70)*Inputs!$D$5:$D$180*(((Inputs!$G$5:$G$180="moeda")+(Inputs!$G$5:$G$180="acoes"))*Inputs!$B$1+((Inputs!$G$5:$G$180&lt;&gt;"moeda")*(Inputs!$G$5:$G$180&lt;&gt;"acoes")))*INDEX(Inputs!$K$5:$AJ$180,0,MATCH(D$2,Inputs!$K$4:$AJ$4,0)))+SUMPRODUCT((Inputs!$E$5:$E$180=$B70)*Inputs!$F$5:$F$180*(((Inputs!$G$5:$G$180="moeda")+(Inputs!$G$5:$G$180="acoes"))*Inputs!$B$1+((Inputs!$G$5:$G$180&lt;&gt;"moeda")*(Inputs!$G$5:$G$180&lt;&gt;"acoes")))*INDEX(Inputs!$K$5:$AJ$180,0,MATCH(D$2,Inputs!$K$4:$AJ$4,0)))))</f>
        <v>1.82219307</v>
      </c>
      <c r="E70" s="264">
        <f>IF(ISNA(MATCH(E$2,Inputs!$K$4:$AJ$4,0)),NA(),IF(SUMPRODUCT((Inputs!$A$5:$A$180=$B70)*ISNUMBER(INDEX(Inputs!$K$5:$AJ$180,0,MATCH(E$2,Inputs!$K$4:$AJ$4,0))))+SUMPRODUCT((Inputs!$C$5:$C$180=$B70)*ISNUMBER(INDEX(Inputs!$K$5:$AJ$180,0,MATCH(E$2,Inputs!$K$4:$AJ$4,0))))+SUMPRODUCT((Inputs!$E$5:$E$180=$B70)*ISNUMBER(INDEX(Inputs!$K$5:$AJ$180,0,MATCH(E$2,Inputs!$K$4:$AJ$4,0))))=0,NA(),SUMPRODUCT((Inputs!$A$5:$A$180=$B70)*Inputs!$B$5:$B$180*(((Inputs!$G$5:$G$180="moeda")+(Inputs!$G$5:$G$180="acoes"))*Inputs!$B$1+((Inputs!$G$5:$G$180&lt;&gt;"moeda")*(Inputs!$G$5:$G$180&lt;&gt;"acoes")))*INDEX(Inputs!$K$5:$AJ$180,0,MATCH(E$2,Inputs!$K$4:$AJ$4,0)))+SUMPRODUCT((Inputs!$C$5:$C$180=$B70)*Inputs!$D$5:$D$180*(((Inputs!$G$5:$G$180="moeda")+(Inputs!$G$5:$G$180="acoes"))*Inputs!$B$1+((Inputs!$G$5:$G$180&lt;&gt;"moeda")*(Inputs!$G$5:$G$180&lt;&gt;"acoes")))*INDEX(Inputs!$K$5:$AJ$180,0,MATCH(E$2,Inputs!$K$4:$AJ$4,0)))+SUMPRODUCT((Inputs!$E$5:$E$180=$B70)*Inputs!$F$5:$F$180*(((Inputs!$G$5:$G$180="moeda")+(Inputs!$G$5:$G$180="acoes"))*Inputs!$B$1+((Inputs!$G$5:$G$180&lt;&gt;"moeda")*(Inputs!$G$5:$G$180&lt;&gt;"acoes")))*INDEX(Inputs!$K$5:$AJ$180,0,MATCH(E$2,Inputs!$K$4:$AJ$4,0)))))</f>
        <v>1.5507662</v>
      </c>
      <c r="F70" s="264">
        <f>IF(ISNA(MATCH(F$2,Inputs!$K$4:$AJ$4,0)),NA(),IF(SUMPRODUCT((Inputs!$A$5:$A$180=$B70)*ISNUMBER(INDEX(Inputs!$K$5:$AJ$180,0,MATCH(F$2,Inputs!$K$4:$AJ$4,0))))+SUMPRODUCT((Inputs!$C$5:$C$180=$B70)*ISNUMBER(INDEX(Inputs!$K$5:$AJ$180,0,MATCH(F$2,Inputs!$K$4:$AJ$4,0))))+SUMPRODUCT((Inputs!$E$5:$E$180=$B70)*ISNUMBER(INDEX(Inputs!$K$5:$AJ$180,0,MATCH(F$2,Inputs!$K$4:$AJ$4,0))))=0,NA(),SUMPRODUCT((Inputs!$A$5:$A$180=$B70)*Inputs!$B$5:$B$180*(((Inputs!$G$5:$G$180="moeda")+(Inputs!$G$5:$G$180="acoes"))*Inputs!$B$1+((Inputs!$G$5:$G$180&lt;&gt;"moeda")*(Inputs!$G$5:$G$180&lt;&gt;"acoes")))*INDEX(Inputs!$K$5:$AJ$180,0,MATCH(F$2,Inputs!$K$4:$AJ$4,0)))+SUMPRODUCT((Inputs!$C$5:$C$180=$B70)*Inputs!$D$5:$D$180*(((Inputs!$G$5:$G$180="moeda")+(Inputs!$G$5:$G$180="acoes"))*Inputs!$B$1+((Inputs!$G$5:$G$180&lt;&gt;"moeda")*(Inputs!$G$5:$G$180&lt;&gt;"acoes")))*INDEX(Inputs!$K$5:$AJ$180,0,MATCH(F$2,Inputs!$K$4:$AJ$4,0)))+SUMPRODUCT((Inputs!$E$5:$E$180=$B70)*Inputs!$F$5:$F$180*(((Inputs!$G$5:$G$180="moeda")+(Inputs!$G$5:$G$180="acoes"))*Inputs!$B$1+((Inputs!$G$5:$G$180&lt;&gt;"moeda")*(Inputs!$G$5:$G$180&lt;&gt;"acoes")))*INDEX(Inputs!$K$5:$AJ$180,0,MATCH(F$2,Inputs!$K$4:$AJ$4,0)))))</f>
        <v>2.04562882</v>
      </c>
      <c r="G70" s="264">
        <f>IF(ISNA(MATCH(G$2,Inputs!$K$4:$AJ$4,0)),NA(),IF(SUMPRODUCT((Inputs!$A$5:$A$180=$B70)*ISNUMBER(INDEX(Inputs!$K$5:$AJ$180,0,MATCH(G$2,Inputs!$K$4:$AJ$4,0))))+SUMPRODUCT((Inputs!$C$5:$C$180=$B70)*ISNUMBER(INDEX(Inputs!$K$5:$AJ$180,0,MATCH(G$2,Inputs!$K$4:$AJ$4,0))))+SUMPRODUCT((Inputs!$E$5:$E$180=$B70)*ISNUMBER(INDEX(Inputs!$K$5:$AJ$180,0,MATCH(G$2,Inputs!$K$4:$AJ$4,0))))=0,NA(),SUMPRODUCT((Inputs!$A$5:$A$180=$B70)*Inputs!$B$5:$B$180*(((Inputs!$G$5:$G$180="moeda")+(Inputs!$G$5:$G$180="acoes"))*Inputs!$B$1+((Inputs!$G$5:$G$180&lt;&gt;"moeda")*(Inputs!$G$5:$G$180&lt;&gt;"acoes")))*INDEX(Inputs!$K$5:$AJ$180,0,MATCH(G$2,Inputs!$K$4:$AJ$4,0)))+SUMPRODUCT((Inputs!$C$5:$C$180=$B70)*Inputs!$D$5:$D$180*(((Inputs!$G$5:$G$180="moeda")+(Inputs!$G$5:$G$180="acoes"))*Inputs!$B$1+((Inputs!$G$5:$G$180&lt;&gt;"moeda")*(Inputs!$G$5:$G$180&lt;&gt;"acoes")))*INDEX(Inputs!$K$5:$AJ$180,0,MATCH(G$2,Inputs!$K$4:$AJ$4,0)))+SUMPRODUCT((Inputs!$E$5:$E$180=$B70)*Inputs!$F$5:$F$180*(((Inputs!$G$5:$G$180="moeda")+(Inputs!$G$5:$G$180="acoes"))*Inputs!$B$1+((Inputs!$G$5:$G$180&lt;&gt;"moeda")*(Inputs!$G$5:$G$180&lt;&gt;"acoes")))*INDEX(Inputs!$K$5:$AJ$180,0,MATCH(G$2,Inputs!$K$4:$AJ$4,0)))))</f>
        <v>1.60037533</v>
      </c>
      <c r="H70" s="265">
        <f>SUM(D70:G70)</f>
        <v>7.01896342</v>
      </c>
      <c r="I70" s="264">
        <f>IF(ISNA(MATCH(I$2,Inputs!$K$4:$AJ$4,0)),NA(),IF(SUMPRODUCT((Inputs!$A$5:$A$180=$B70)*ISNUMBER(INDEX(Inputs!$K$5:$AJ$180,0,MATCH(I$2,Inputs!$K$4:$AJ$4,0))))+SUMPRODUCT((Inputs!$C$5:$C$180=$B70)*ISNUMBER(INDEX(Inputs!$K$5:$AJ$180,0,MATCH(I$2,Inputs!$K$4:$AJ$4,0))))+SUMPRODUCT((Inputs!$E$5:$E$180=$B70)*ISNUMBER(INDEX(Inputs!$K$5:$AJ$180,0,MATCH(I$2,Inputs!$K$4:$AJ$4,0))))=0,NA(),SUMPRODUCT((Inputs!$A$5:$A$180=$B70)*Inputs!$B$5:$B$180*(((Inputs!$G$5:$G$180="moeda")+(Inputs!$G$5:$G$180="acoes"))*Inputs!$B$1+((Inputs!$G$5:$G$180&lt;&gt;"moeda")*(Inputs!$G$5:$G$180&lt;&gt;"acoes")))*INDEX(Inputs!$K$5:$AJ$180,0,MATCH(I$2,Inputs!$K$4:$AJ$4,0)))+SUMPRODUCT((Inputs!$C$5:$C$180=$B70)*Inputs!$D$5:$D$180*(((Inputs!$G$5:$G$180="moeda")+(Inputs!$G$5:$G$180="acoes"))*Inputs!$B$1+((Inputs!$G$5:$G$180&lt;&gt;"moeda")*(Inputs!$G$5:$G$180&lt;&gt;"acoes")))*INDEX(Inputs!$K$5:$AJ$180,0,MATCH(I$2,Inputs!$K$4:$AJ$4,0)))+SUMPRODUCT((Inputs!$E$5:$E$180=$B70)*Inputs!$F$5:$F$180*(((Inputs!$G$5:$G$180="moeda")+(Inputs!$G$5:$G$180="acoes"))*Inputs!$B$1+((Inputs!$G$5:$G$180&lt;&gt;"moeda")*(Inputs!$G$5:$G$180&lt;&gt;"acoes")))*INDEX(Inputs!$K$5:$AJ$180,0,MATCH(I$2,Inputs!$K$4:$AJ$4,0)))))</f>
        <v>4.25032147</v>
      </c>
      <c r="J70" s="264">
        <f>IF(ISNA(MATCH(J$2,Inputs!$K$4:$AJ$4,0)),NA(),IF(SUMPRODUCT((Inputs!$A$5:$A$180=$B70)*ISNUMBER(INDEX(Inputs!$K$5:$AJ$180,0,MATCH(J$2,Inputs!$K$4:$AJ$4,0))))+SUMPRODUCT((Inputs!$C$5:$C$180=$B70)*ISNUMBER(INDEX(Inputs!$K$5:$AJ$180,0,MATCH(J$2,Inputs!$K$4:$AJ$4,0))))+SUMPRODUCT((Inputs!$E$5:$E$180=$B70)*ISNUMBER(INDEX(Inputs!$K$5:$AJ$180,0,MATCH(J$2,Inputs!$K$4:$AJ$4,0))))=0,NA(),SUMPRODUCT((Inputs!$A$5:$A$180=$B70)*Inputs!$B$5:$B$180*(((Inputs!$G$5:$G$180="moeda")+(Inputs!$G$5:$G$180="acoes"))*Inputs!$B$1+((Inputs!$G$5:$G$180&lt;&gt;"moeda")*(Inputs!$G$5:$G$180&lt;&gt;"acoes")))*INDEX(Inputs!$K$5:$AJ$180,0,MATCH(J$2,Inputs!$K$4:$AJ$4,0)))+SUMPRODUCT((Inputs!$C$5:$C$180=$B70)*Inputs!$D$5:$D$180*(((Inputs!$G$5:$G$180="moeda")+(Inputs!$G$5:$G$180="acoes"))*Inputs!$B$1+((Inputs!$G$5:$G$180&lt;&gt;"moeda")*(Inputs!$G$5:$G$180&lt;&gt;"acoes")))*INDEX(Inputs!$K$5:$AJ$180,0,MATCH(J$2,Inputs!$K$4:$AJ$4,0)))+SUMPRODUCT((Inputs!$E$5:$E$180=$B70)*Inputs!$F$5:$F$180*(((Inputs!$G$5:$G$180="moeda")+(Inputs!$G$5:$G$180="acoes"))*Inputs!$B$1+((Inputs!$G$5:$G$180&lt;&gt;"moeda")*(Inputs!$G$5:$G$180&lt;&gt;"acoes")))*INDEX(Inputs!$K$5:$AJ$180,0,MATCH(J$2,Inputs!$K$4:$AJ$4,0)))))</f>
        <v>5.54118335019592</v>
      </c>
      <c r="K70" s="264">
        <f>IF(ISNA(MATCH(K$2,Inputs!$K$4:$AJ$4,0)),NA(),IF(SUMPRODUCT((Inputs!$A$5:$A$180=$B70)*ISNUMBER(INDEX(Inputs!$K$5:$AJ$180,0,MATCH(K$2,Inputs!$K$4:$AJ$4,0))))+SUMPRODUCT((Inputs!$C$5:$C$180=$B70)*ISNUMBER(INDEX(Inputs!$K$5:$AJ$180,0,MATCH(K$2,Inputs!$K$4:$AJ$4,0))))+SUMPRODUCT((Inputs!$E$5:$E$180=$B70)*ISNUMBER(INDEX(Inputs!$K$5:$AJ$180,0,MATCH(K$2,Inputs!$K$4:$AJ$4,0))))=0,NA(),SUMPRODUCT((Inputs!$A$5:$A$180=$B70)*Inputs!$B$5:$B$180*(((Inputs!$G$5:$G$180="moeda")+(Inputs!$G$5:$G$180="acoes"))*Inputs!$B$1+((Inputs!$G$5:$G$180&lt;&gt;"moeda")*(Inputs!$G$5:$G$180&lt;&gt;"acoes")))*INDEX(Inputs!$K$5:$AJ$180,0,MATCH(K$2,Inputs!$K$4:$AJ$4,0)))+SUMPRODUCT((Inputs!$C$5:$C$180=$B70)*Inputs!$D$5:$D$180*(((Inputs!$G$5:$G$180="moeda")+(Inputs!$G$5:$G$180="acoes"))*Inputs!$B$1+((Inputs!$G$5:$G$180&lt;&gt;"moeda")*(Inputs!$G$5:$G$180&lt;&gt;"acoes")))*INDEX(Inputs!$K$5:$AJ$180,0,MATCH(K$2,Inputs!$K$4:$AJ$4,0)))+SUMPRODUCT((Inputs!$E$5:$E$180=$B70)*Inputs!$F$5:$F$180*(((Inputs!$G$5:$G$180="moeda")+(Inputs!$G$5:$G$180="acoes"))*Inputs!$B$1+((Inputs!$G$5:$G$180&lt;&gt;"moeda")*(Inputs!$G$5:$G$180&lt;&gt;"acoes")))*INDEX(Inputs!$K$5:$AJ$180,0,MATCH(K$2,Inputs!$K$4:$AJ$4,0)))))</f>
        <v>4.8814747364462</v>
      </c>
      <c r="L70" s="264">
        <f>IF(ISNA(MATCH(L$2,Inputs!$K$4:$AJ$4,0)),NA(),IF(SUMPRODUCT((Inputs!$A$5:$A$180=$B70)*ISNUMBER(INDEX(Inputs!$K$5:$AJ$180,0,MATCH(L$2,Inputs!$K$4:$AJ$4,0))))+SUMPRODUCT((Inputs!$C$5:$C$180=$B70)*ISNUMBER(INDEX(Inputs!$K$5:$AJ$180,0,MATCH(L$2,Inputs!$K$4:$AJ$4,0))))+SUMPRODUCT((Inputs!$E$5:$E$180=$B70)*ISNUMBER(INDEX(Inputs!$K$5:$AJ$180,0,MATCH(L$2,Inputs!$K$4:$AJ$4,0))))=0,NA(),SUMPRODUCT((Inputs!$A$5:$A$180=$B70)*Inputs!$B$5:$B$180*(((Inputs!$G$5:$G$180="moeda")+(Inputs!$G$5:$G$180="acoes"))*Inputs!$B$1+((Inputs!$G$5:$G$180&lt;&gt;"moeda")*(Inputs!$G$5:$G$180&lt;&gt;"acoes")))*INDEX(Inputs!$K$5:$AJ$180,0,MATCH(L$2,Inputs!$K$4:$AJ$4,0)))+SUMPRODUCT((Inputs!$C$5:$C$180=$B70)*Inputs!$D$5:$D$180*(((Inputs!$G$5:$G$180="moeda")+(Inputs!$G$5:$G$180="acoes"))*Inputs!$B$1+((Inputs!$G$5:$G$180&lt;&gt;"moeda")*(Inputs!$G$5:$G$180&lt;&gt;"acoes")))*INDEX(Inputs!$K$5:$AJ$180,0,MATCH(L$2,Inputs!$K$4:$AJ$4,0)))+SUMPRODUCT((Inputs!$E$5:$E$180=$B70)*Inputs!$F$5:$F$180*(((Inputs!$G$5:$G$180="moeda")+(Inputs!$G$5:$G$180="acoes"))*Inputs!$B$1+((Inputs!$G$5:$G$180&lt;&gt;"moeda")*(Inputs!$G$5:$G$180&lt;&gt;"acoes")))*INDEX(Inputs!$K$5:$AJ$180,0,MATCH(L$2,Inputs!$K$4:$AJ$4,0)))))</f>
        <v>3.33704085</v>
      </c>
      <c r="M70" s="265">
        <f>SUM(I70:L70)</f>
        <v>18.0100204066421</v>
      </c>
      <c r="N70" s="264">
        <f>IF(ISNA(MATCH(N$2,Inputs!$K$4:$AJ$4,0)),NA(),IF(SUMPRODUCT((Inputs!$A$5:$A$180=$B70)*ISNUMBER(INDEX(Inputs!$K$5:$AJ$180,0,MATCH(N$2,Inputs!$K$4:$AJ$4,0))))+SUMPRODUCT((Inputs!$C$5:$C$180=$B70)*ISNUMBER(INDEX(Inputs!$K$5:$AJ$180,0,MATCH(N$2,Inputs!$K$4:$AJ$4,0))))+SUMPRODUCT((Inputs!$E$5:$E$180=$B70)*ISNUMBER(INDEX(Inputs!$K$5:$AJ$180,0,MATCH(N$2,Inputs!$K$4:$AJ$4,0))))=0,NA(),SUMPRODUCT((Inputs!$A$5:$A$180=$B70)*Inputs!$B$5:$B$180*(((Inputs!$G$5:$G$180="moeda")+(Inputs!$G$5:$G$180="acoes"))*Inputs!$B$1+((Inputs!$G$5:$G$180&lt;&gt;"moeda")*(Inputs!$G$5:$G$180&lt;&gt;"acoes")))*INDEX(Inputs!$K$5:$AJ$180,0,MATCH(N$2,Inputs!$K$4:$AJ$4,0)))+SUMPRODUCT((Inputs!$C$5:$C$180=$B70)*Inputs!$D$5:$D$180*(((Inputs!$G$5:$G$180="moeda")+(Inputs!$G$5:$G$180="acoes"))*Inputs!$B$1+((Inputs!$G$5:$G$180&lt;&gt;"moeda")*(Inputs!$G$5:$G$180&lt;&gt;"acoes")))*INDEX(Inputs!$K$5:$AJ$180,0,MATCH(N$2,Inputs!$K$4:$AJ$4,0)))+SUMPRODUCT((Inputs!$E$5:$E$180=$B70)*Inputs!$F$5:$F$180*(((Inputs!$G$5:$G$180="moeda")+(Inputs!$G$5:$G$180="acoes"))*Inputs!$B$1+((Inputs!$G$5:$G$180&lt;&gt;"moeda")*(Inputs!$G$5:$G$180&lt;&gt;"acoes")))*INDEX(Inputs!$K$5:$AJ$180,0,MATCH(N$2,Inputs!$K$4:$AJ$4,0)))))</f>
        <v>11.8853565700001</v>
      </c>
      <c r="O70" s="264">
        <f>IF(ISNA(MATCH(O$2,Inputs!$K$4:$AJ$4,0)),NA(),IF(SUMPRODUCT((Inputs!$A$5:$A$180=$B70)*ISNUMBER(INDEX(Inputs!$K$5:$AJ$180,0,MATCH(O$2,Inputs!$K$4:$AJ$4,0))))+SUMPRODUCT((Inputs!$C$5:$C$180=$B70)*ISNUMBER(INDEX(Inputs!$K$5:$AJ$180,0,MATCH(O$2,Inputs!$K$4:$AJ$4,0))))+SUMPRODUCT((Inputs!$E$5:$E$180=$B70)*ISNUMBER(INDEX(Inputs!$K$5:$AJ$180,0,MATCH(O$2,Inputs!$K$4:$AJ$4,0))))=0,NA(),SUMPRODUCT((Inputs!$A$5:$A$180=$B70)*Inputs!$B$5:$B$180*(((Inputs!$G$5:$G$180="moeda")+(Inputs!$G$5:$G$180="acoes"))*Inputs!$B$1+((Inputs!$G$5:$G$180&lt;&gt;"moeda")*(Inputs!$G$5:$G$180&lt;&gt;"acoes")))*INDEX(Inputs!$K$5:$AJ$180,0,MATCH(O$2,Inputs!$K$4:$AJ$4,0)))+SUMPRODUCT((Inputs!$C$5:$C$180=$B70)*Inputs!$D$5:$D$180*(((Inputs!$G$5:$G$180="moeda")+(Inputs!$G$5:$G$180="acoes"))*Inputs!$B$1+((Inputs!$G$5:$G$180&lt;&gt;"moeda")*(Inputs!$G$5:$G$180&lt;&gt;"acoes")))*INDEX(Inputs!$K$5:$AJ$180,0,MATCH(O$2,Inputs!$K$4:$AJ$4,0)))+SUMPRODUCT((Inputs!$E$5:$E$180=$B70)*Inputs!$F$5:$F$180*(((Inputs!$G$5:$G$180="moeda")+(Inputs!$G$5:$G$180="acoes"))*Inputs!$B$1+((Inputs!$G$5:$G$180&lt;&gt;"moeda")*(Inputs!$G$5:$G$180&lt;&gt;"acoes")))*INDEX(Inputs!$K$5:$AJ$180,0,MATCH(O$2,Inputs!$K$4:$AJ$4,0)))))</f>
        <v>9.78321357000001</v>
      </c>
      <c r="P70" s="264">
        <f>IF(ISNA(MATCH(P$2,Inputs!$K$4:$AJ$4,0)),NA(),IF(SUMPRODUCT((Inputs!$A$5:$A$180=$B70)*ISNUMBER(INDEX(Inputs!$K$5:$AJ$180,0,MATCH(P$2,Inputs!$K$4:$AJ$4,0))))+SUMPRODUCT((Inputs!$C$5:$C$180=$B70)*ISNUMBER(INDEX(Inputs!$K$5:$AJ$180,0,MATCH(P$2,Inputs!$K$4:$AJ$4,0))))+SUMPRODUCT((Inputs!$E$5:$E$180=$B70)*ISNUMBER(INDEX(Inputs!$K$5:$AJ$180,0,MATCH(P$2,Inputs!$K$4:$AJ$4,0))))=0,NA(),SUMPRODUCT((Inputs!$A$5:$A$180=$B70)*Inputs!$B$5:$B$180*(((Inputs!$G$5:$G$180="moeda")+(Inputs!$G$5:$G$180="acoes"))*Inputs!$B$1+((Inputs!$G$5:$G$180&lt;&gt;"moeda")*(Inputs!$G$5:$G$180&lt;&gt;"acoes")))*INDEX(Inputs!$K$5:$AJ$180,0,MATCH(P$2,Inputs!$K$4:$AJ$4,0)))+SUMPRODUCT((Inputs!$C$5:$C$180=$B70)*Inputs!$D$5:$D$180*(((Inputs!$G$5:$G$180="moeda")+(Inputs!$G$5:$G$180="acoes"))*Inputs!$B$1+((Inputs!$G$5:$G$180&lt;&gt;"moeda")*(Inputs!$G$5:$G$180&lt;&gt;"acoes")))*INDEX(Inputs!$K$5:$AJ$180,0,MATCH(P$2,Inputs!$K$4:$AJ$4,0)))+SUMPRODUCT((Inputs!$E$5:$E$180=$B70)*Inputs!$F$5:$F$180*(((Inputs!$G$5:$G$180="moeda")+(Inputs!$G$5:$G$180="acoes"))*Inputs!$B$1+((Inputs!$G$5:$G$180&lt;&gt;"moeda")*(Inputs!$G$5:$G$180&lt;&gt;"acoes")))*INDEX(Inputs!$K$5:$AJ$180,0,MATCH(P$2,Inputs!$K$4:$AJ$4,0)))))</f>
        <v>4.05087846000002</v>
      </c>
      <c r="Q70" s="264">
        <f>IF(ISNA(MATCH(Q$2,Inputs!$K$4:$AJ$4,0)),NA(),IF(SUMPRODUCT((Inputs!$A$5:$A$180=$B70)*ISNUMBER(INDEX(Inputs!$K$5:$AJ$180,0,MATCH(Q$2,Inputs!$K$4:$AJ$4,0))))+SUMPRODUCT((Inputs!$C$5:$C$180=$B70)*ISNUMBER(INDEX(Inputs!$K$5:$AJ$180,0,MATCH(Q$2,Inputs!$K$4:$AJ$4,0))))+SUMPRODUCT((Inputs!$E$5:$E$180=$B70)*ISNUMBER(INDEX(Inputs!$K$5:$AJ$180,0,MATCH(Q$2,Inputs!$K$4:$AJ$4,0))))=0,NA(),SUMPRODUCT((Inputs!$A$5:$A$180=$B70)*Inputs!$B$5:$B$180*(((Inputs!$G$5:$G$180="moeda")+(Inputs!$G$5:$G$180="acoes"))*Inputs!$B$1+((Inputs!$G$5:$G$180&lt;&gt;"moeda")*(Inputs!$G$5:$G$180&lt;&gt;"acoes")))*INDEX(Inputs!$K$5:$AJ$180,0,MATCH(Q$2,Inputs!$K$4:$AJ$4,0)))+SUMPRODUCT((Inputs!$C$5:$C$180=$B70)*Inputs!$D$5:$D$180*(((Inputs!$G$5:$G$180="moeda")+(Inputs!$G$5:$G$180="acoes"))*Inputs!$B$1+((Inputs!$G$5:$G$180&lt;&gt;"moeda")*(Inputs!$G$5:$G$180&lt;&gt;"acoes")))*INDEX(Inputs!$K$5:$AJ$180,0,MATCH(Q$2,Inputs!$K$4:$AJ$4,0)))+SUMPRODUCT((Inputs!$E$5:$E$180=$B70)*Inputs!$F$5:$F$180*(((Inputs!$G$5:$G$180="moeda")+(Inputs!$G$5:$G$180="acoes"))*Inputs!$B$1+((Inputs!$G$5:$G$180&lt;&gt;"moeda")*(Inputs!$G$5:$G$180&lt;&gt;"acoes")))*INDEX(Inputs!$K$5:$AJ$180,0,MATCH(Q$2,Inputs!$K$4:$AJ$4,0)))))</f>
        <v>1.32824749</v>
      </c>
      <c r="R70" s="265">
        <f>SUM(N70:Q70)</f>
        <v>27.0476960900001</v>
      </c>
      <c r="S70" s="264">
        <f>IF(ISNA(MATCH(S$2,Inputs!$K$4:$AJ$4,0)),NA(),IF(SUMPRODUCT((Inputs!$A$5:$A$180=$B70)*ISNUMBER(INDEX(Inputs!$K$5:$AJ$180,0,MATCH(S$2,Inputs!$K$4:$AJ$4,0))))+SUMPRODUCT((Inputs!$C$5:$C$180=$B70)*ISNUMBER(INDEX(Inputs!$K$5:$AJ$180,0,MATCH(S$2,Inputs!$K$4:$AJ$4,0))))+SUMPRODUCT((Inputs!$E$5:$E$180=$B70)*ISNUMBER(INDEX(Inputs!$K$5:$AJ$180,0,MATCH(S$2,Inputs!$K$4:$AJ$4,0))))=0,NA(),SUMPRODUCT((Inputs!$A$5:$A$180=$B70)*Inputs!$B$5:$B$180*(((Inputs!$G$5:$G$180="moeda")+(Inputs!$G$5:$G$180="acoes"))*Inputs!$B$1+((Inputs!$G$5:$G$180&lt;&gt;"moeda")*(Inputs!$G$5:$G$180&lt;&gt;"acoes")))*INDEX(Inputs!$K$5:$AJ$180,0,MATCH(S$2,Inputs!$K$4:$AJ$4,0)))+SUMPRODUCT((Inputs!$C$5:$C$180=$B70)*Inputs!$D$5:$D$180*(((Inputs!$G$5:$G$180="moeda")+(Inputs!$G$5:$G$180="acoes"))*Inputs!$B$1+((Inputs!$G$5:$G$180&lt;&gt;"moeda")*(Inputs!$G$5:$G$180&lt;&gt;"acoes")))*INDEX(Inputs!$K$5:$AJ$180,0,MATCH(S$2,Inputs!$K$4:$AJ$4,0)))+SUMPRODUCT((Inputs!$E$5:$E$180=$B70)*Inputs!$F$5:$F$180*(((Inputs!$G$5:$G$180="moeda")+(Inputs!$G$5:$G$180="acoes"))*Inputs!$B$1+((Inputs!$G$5:$G$180&lt;&gt;"moeda")*(Inputs!$G$5:$G$180&lt;&gt;"acoes")))*INDEX(Inputs!$K$5:$AJ$180,0,MATCH(S$2,Inputs!$K$4:$AJ$4,0)))))</f>
        <v>3.51884006</v>
      </c>
      <c r="T70" s="264">
        <f>IF(ISNA(MATCH(T$2,Inputs!$K$4:$AJ$4,0)),NA(),IF(SUMPRODUCT((Inputs!$A$5:$A$180=$B70)*ISNUMBER(INDEX(Inputs!$K$5:$AJ$180,0,MATCH(T$2,Inputs!$K$4:$AJ$4,0))))+SUMPRODUCT((Inputs!$C$5:$C$180=$B70)*ISNUMBER(INDEX(Inputs!$K$5:$AJ$180,0,MATCH(T$2,Inputs!$K$4:$AJ$4,0))))+SUMPRODUCT((Inputs!$E$5:$E$180=$B70)*ISNUMBER(INDEX(Inputs!$K$5:$AJ$180,0,MATCH(T$2,Inputs!$K$4:$AJ$4,0))))=0,NA(),SUMPRODUCT((Inputs!$A$5:$A$180=$B70)*Inputs!$B$5:$B$180*(((Inputs!$G$5:$G$180="moeda")+(Inputs!$G$5:$G$180="acoes"))*Inputs!$B$1+((Inputs!$G$5:$G$180&lt;&gt;"moeda")*(Inputs!$G$5:$G$180&lt;&gt;"acoes")))*INDEX(Inputs!$K$5:$AJ$180,0,MATCH(T$2,Inputs!$K$4:$AJ$4,0)))+SUMPRODUCT((Inputs!$C$5:$C$180=$B70)*Inputs!$D$5:$D$180*(((Inputs!$G$5:$G$180="moeda")+(Inputs!$G$5:$G$180="acoes"))*Inputs!$B$1+((Inputs!$G$5:$G$180&lt;&gt;"moeda")*(Inputs!$G$5:$G$180&lt;&gt;"acoes")))*INDEX(Inputs!$K$5:$AJ$180,0,MATCH(T$2,Inputs!$K$4:$AJ$4,0)))+SUMPRODUCT((Inputs!$E$5:$E$180=$B70)*Inputs!$F$5:$F$180*(((Inputs!$G$5:$G$180="moeda")+(Inputs!$G$5:$G$180="acoes"))*Inputs!$B$1+((Inputs!$G$5:$G$180&lt;&gt;"moeda")*(Inputs!$G$5:$G$180&lt;&gt;"acoes")))*INDEX(Inputs!$K$5:$AJ$180,0,MATCH(T$2,Inputs!$K$4:$AJ$4,0)))))</f>
        <v>3.75048567</v>
      </c>
      <c r="U70" s="264">
        <f>IF(ISNA(MATCH(U$2,Inputs!$K$4:$AJ$4,0)),NA(),IF(SUMPRODUCT((Inputs!$A$5:$A$180=$B70)*ISNUMBER(INDEX(Inputs!$K$5:$AJ$180,0,MATCH(U$2,Inputs!$K$4:$AJ$4,0))))+SUMPRODUCT((Inputs!$C$5:$C$180=$B70)*ISNUMBER(INDEX(Inputs!$K$5:$AJ$180,0,MATCH(U$2,Inputs!$K$4:$AJ$4,0))))+SUMPRODUCT((Inputs!$E$5:$E$180=$B70)*ISNUMBER(INDEX(Inputs!$K$5:$AJ$180,0,MATCH(U$2,Inputs!$K$4:$AJ$4,0))))=0,NA(),SUMPRODUCT((Inputs!$A$5:$A$180=$B70)*Inputs!$B$5:$B$180*(((Inputs!$G$5:$G$180="moeda")+(Inputs!$G$5:$G$180="acoes"))*Inputs!$B$1+((Inputs!$G$5:$G$180&lt;&gt;"moeda")*(Inputs!$G$5:$G$180&lt;&gt;"acoes")))*INDEX(Inputs!$K$5:$AJ$180,0,MATCH(U$2,Inputs!$K$4:$AJ$4,0)))+SUMPRODUCT((Inputs!$C$5:$C$180=$B70)*Inputs!$D$5:$D$180*(((Inputs!$G$5:$G$180="moeda")+(Inputs!$G$5:$G$180="acoes"))*Inputs!$B$1+((Inputs!$G$5:$G$180&lt;&gt;"moeda")*(Inputs!$G$5:$G$180&lt;&gt;"acoes")))*INDEX(Inputs!$K$5:$AJ$180,0,MATCH(U$2,Inputs!$K$4:$AJ$4,0)))+SUMPRODUCT((Inputs!$E$5:$E$180=$B70)*Inputs!$F$5:$F$180*(((Inputs!$G$5:$G$180="moeda")+(Inputs!$G$5:$G$180="acoes"))*Inputs!$B$1+((Inputs!$G$5:$G$180&lt;&gt;"moeda")*(Inputs!$G$5:$G$180&lt;&gt;"acoes")))*INDEX(Inputs!$K$5:$AJ$180,0,MATCH(U$2,Inputs!$K$4:$AJ$4,0)))))</f>
        <v>4.53996335</v>
      </c>
      <c r="V70" s="264">
        <f>IF(ISNA(MATCH(V$2,Inputs!$K$4:$AJ$4,0)),NA(),IF(SUMPRODUCT((Inputs!$A$5:$A$180=$B70)*ISNUMBER(INDEX(Inputs!$K$5:$AJ$180,0,MATCH(V$2,Inputs!$K$4:$AJ$4,0))))+SUMPRODUCT((Inputs!$C$5:$C$180=$B70)*ISNUMBER(INDEX(Inputs!$K$5:$AJ$180,0,MATCH(V$2,Inputs!$K$4:$AJ$4,0))))+SUMPRODUCT((Inputs!$E$5:$E$180=$B70)*ISNUMBER(INDEX(Inputs!$K$5:$AJ$180,0,MATCH(V$2,Inputs!$K$4:$AJ$4,0))))=0,NA(),SUMPRODUCT((Inputs!$A$5:$A$180=$B70)*Inputs!$B$5:$B$180*(((Inputs!$G$5:$G$180="moeda")+(Inputs!$G$5:$G$180="acoes"))*Inputs!$B$1+((Inputs!$G$5:$G$180&lt;&gt;"moeda")*(Inputs!$G$5:$G$180&lt;&gt;"acoes")))*INDEX(Inputs!$K$5:$AJ$180,0,MATCH(V$2,Inputs!$K$4:$AJ$4,0)))+SUMPRODUCT((Inputs!$C$5:$C$180=$B70)*Inputs!$D$5:$D$180*(((Inputs!$G$5:$G$180="moeda")+(Inputs!$G$5:$G$180="acoes"))*Inputs!$B$1+((Inputs!$G$5:$G$180&lt;&gt;"moeda")*(Inputs!$G$5:$G$180&lt;&gt;"acoes")))*INDEX(Inputs!$K$5:$AJ$180,0,MATCH(V$2,Inputs!$K$4:$AJ$4,0)))+SUMPRODUCT((Inputs!$E$5:$E$180=$B70)*Inputs!$F$5:$F$180*(((Inputs!$G$5:$G$180="moeda")+(Inputs!$G$5:$G$180="acoes"))*Inputs!$B$1+((Inputs!$G$5:$G$180&lt;&gt;"moeda")*(Inputs!$G$5:$G$180&lt;&gt;"acoes")))*INDEX(Inputs!$K$5:$AJ$180,0,MATCH(V$2,Inputs!$K$4:$AJ$4,0)))))</f>
        <v>4.70976892999997</v>
      </c>
      <c r="W70" s="265">
        <f>SUM(S70:V70)</f>
        <v>16.51905801</v>
      </c>
      <c r="X70" s="264">
        <f>IF(ISNA(MATCH(X$2,Inputs!$K$4:$AJ$4,0)),NA(),IF(SUMPRODUCT((Inputs!$A$5:$A$180=$B70)*ISNUMBER(INDEX(Inputs!$K$5:$AJ$180,0,MATCH(X$2,Inputs!$K$4:$AJ$4,0))))+SUMPRODUCT((Inputs!$C$5:$C$180=$B70)*ISNUMBER(INDEX(Inputs!$K$5:$AJ$180,0,MATCH(X$2,Inputs!$K$4:$AJ$4,0))))+SUMPRODUCT((Inputs!$E$5:$E$180=$B70)*ISNUMBER(INDEX(Inputs!$K$5:$AJ$180,0,MATCH(X$2,Inputs!$K$4:$AJ$4,0))))=0,NA(),SUMPRODUCT((Inputs!$A$5:$A$180=$B70)*Inputs!$B$5:$B$180*(((Inputs!$G$5:$G$180="moeda")+(Inputs!$G$5:$G$180="acoes"))*Inputs!$B$1+((Inputs!$G$5:$G$180&lt;&gt;"moeda")*(Inputs!$G$5:$G$180&lt;&gt;"acoes")))*INDEX(Inputs!$K$5:$AJ$180,0,MATCH(X$2,Inputs!$K$4:$AJ$4,0)))+SUMPRODUCT((Inputs!$C$5:$C$180=$B70)*Inputs!$D$5:$D$180*(((Inputs!$G$5:$G$180="moeda")+(Inputs!$G$5:$G$180="acoes"))*Inputs!$B$1+((Inputs!$G$5:$G$180&lt;&gt;"moeda")*(Inputs!$G$5:$G$180&lt;&gt;"acoes")))*INDEX(Inputs!$K$5:$AJ$180,0,MATCH(X$2,Inputs!$K$4:$AJ$4,0)))+SUMPRODUCT((Inputs!$E$5:$E$180=$B70)*Inputs!$F$5:$F$180*(((Inputs!$G$5:$G$180="moeda")+(Inputs!$G$5:$G$180="acoes"))*Inputs!$B$1+((Inputs!$G$5:$G$180&lt;&gt;"moeda")*(Inputs!$G$5:$G$180&lt;&gt;"acoes")))*INDEX(Inputs!$K$5:$AJ$180,0,MATCH(X$2,Inputs!$K$4:$AJ$4,0)))))</f>
        <v>2.6977805</v>
      </c>
      <c r="Y70" s="264">
        <f>IF(ISNA(MATCH(Y$2,Inputs!$K$4:$AJ$4,0)),NA(),IF(SUMPRODUCT((Inputs!$A$5:$A$180=$B70)*ISNUMBER(INDEX(Inputs!$K$5:$AJ$180,0,MATCH(Y$2,Inputs!$K$4:$AJ$4,0))))+SUMPRODUCT((Inputs!$C$5:$C$180=$B70)*ISNUMBER(INDEX(Inputs!$K$5:$AJ$180,0,MATCH(Y$2,Inputs!$K$4:$AJ$4,0))))+SUMPRODUCT((Inputs!$E$5:$E$180=$B70)*ISNUMBER(INDEX(Inputs!$K$5:$AJ$180,0,MATCH(Y$2,Inputs!$K$4:$AJ$4,0))))=0,NA(),SUMPRODUCT((Inputs!$A$5:$A$180=$B70)*Inputs!$B$5:$B$180*(((Inputs!$G$5:$G$180="moeda")+(Inputs!$G$5:$G$180="acoes"))*Inputs!$B$1+((Inputs!$G$5:$G$180&lt;&gt;"moeda")*(Inputs!$G$5:$G$180&lt;&gt;"acoes")))*INDEX(Inputs!$K$5:$AJ$180,0,MATCH(Y$2,Inputs!$K$4:$AJ$4,0)))+SUMPRODUCT((Inputs!$C$5:$C$180=$B70)*Inputs!$D$5:$D$180*(((Inputs!$G$5:$G$180="moeda")+(Inputs!$G$5:$G$180="acoes"))*Inputs!$B$1+((Inputs!$G$5:$G$180&lt;&gt;"moeda")*(Inputs!$G$5:$G$180&lt;&gt;"acoes")))*INDEX(Inputs!$K$5:$AJ$180,0,MATCH(Y$2,Inputs!$K$4:$AJ$4,0)))+SUMPRODUCT((Inputs!$E$5:$E$180=$B70)*Inputs!$F$5:$F$180*(((Inputs!$G$5:$G$180="moeda")+(Inputs!$G$5:$G$180="acoes"))*Inputs!$B$1+((Inputs!$G$5:$G$180&lt;&gt;"moeda")*(Inputs!$G$5:$G$180&lt;&gt;"acoes")))*INDEX(Inputs!$K$5:$AJ$180,0,MATCH(Y$2,Inputs!$K$4:$AJ$4,0)))))</f>
        <v>2.97684327194201</v>
      </c>
      <c r="Z70" s="264">
        <f>IF(ISNA(MATCH(Z$2,Inputs!$K$4:$AJ$4,0)),NA(),IF(SUMPRODUCT((Inputs!$A$5:$A$180=$B70)*ISNUMBER(INDEX(Inputs!$K$5:$AJ$180,0,MATCH(Z$2,Inputs!$K$4:$AJ$4,0))))+SUMPRODUCT((Inputs!$C$5:$C$180=$B70)*ISNUMBER(INDEX(Inputs!$K$5:$AJ$180,0,MATCH(Z$2,Inputs!$K$4:$AJ$4,0))))+SUMPRODUCT((Inputs!$E$5:$E$180=$B70)*ISNUMBER(INDEX(Inputs!$K$5:$AJ$180,0,MATCH(Z$2,Inputs!$K$4:$AJ$4,0))))=0,NA(),SUMPRODUCT((Inputs!$A$5:$A$180=$B70)*Inputs!$B$5:$B$180*(((Inputs!$G$5:$G$180="moeda")+(Inputs!$G$5:$G$180="acoes"))*Inputs!$B$1+((Inputs!$G$5:$G$180&lt;&gt;"moeda")*(Inputs!$G$5:$G$180&lt;&gt;"acoes")))*INDEX(Inputs!$K$5:$AJ$180,0,MATCH(Z$2,Inputs!$K$4:$AJ$4,0)))+SUMPRODUCT((Inputs!$C$5:$C$180=$B70)*Inputs!$D$5:$D$180*(((Inputs!$G$5:$G$180="moeda")+(Inputs!$G$5:$G$180="acoes"))*Inputs!$B$1+((Inputs!$G$5:$G$180&lt;&gt;"moeda")*(Inputs!$G$5:$G$180&lt;&gt;"acoes")))*INDEX(Inputs!$K$5:$AJ$180,0,MATCH(Z$2,Inputs!$K$4:$AJ$4,0)))+SUMPRODUCT((Inputs!$E$5:$E$180=$B70)*Inputs!$F$5:$F$180*(((Inputs!$G$5:$G$180="moeda")+(Inputs!$G$5:$G$180="acoes"))*Inputs!$B$1+((Inputs!$G$5:$G$180&lt;&gt;"moeda")*(Inputs!$G$5:$G$180&lt;&gt;"acoes")))*INDEX(Inputs!$K$5:$AJ$180,0,MATCH(Z$2,Inputs!$K$4:$AJ$4,0)))))</f>
        <v>5.21096215194199</v>
      </c>
      <c r="AA70" s="264">
        <f>IF(ISNA(MATCH(AA$2,Inputs!$K$4:$AJ$4,0)),NA(),IF(SUMPRODUCT((Inputs!$A$5:$A$180=$B70)*ISNUMBER(INDEX(Inputs!$K$5:$AJ$180,0,MATCH(AA$2,Inputs!$K$4:$AJ$4,0))))+SUMPRODUCT((Inputs!$C$5:$C$180=$B70)*ISNUMBER(INDEX(Inputs!$K$5:$AJ$180,0,MATCH(AA$2,Inputs!$K$4:$AJ$4,0))))+SUMPRODUCT((Inputs!$E$5:$E$180=$B70)*ISNUMBER(INDEX(Inputs!$K$5:$AJ$180,0,MATCH(AA$2,Inputs!$K$4:$AJ$4,0))))=0,NA(),SUMPRODUCT((Inputs!$A$5:$A$180=$B70)*Inputs!$B$5:$B$180*(((Inputs!$G$5:$G$180="moeda")+(Inputs!$G$5:$G$180="acoes"))*Inputs!$B$1+((Inputs!$G$5:$G$180&lt;&gt;"moeda")*(Inputs!$G$5:$G$180&lt;&gt;"acoes")))*INDEX(Inputs!$K$5:$AJ$180,0,MATCH(AA$2,Inputs!$K$4:$AJ$4,0)))+SUMPRODUCT((Inputs!$C$5:$C$180=$B70)*Inputs!$D$5:$D$180*(((Inputs!$G$5:$G$180="moeda")+(Inputs!$G$5:$G$180="acoes"))*Inputs!$B$1+((Inputs!$G$5:$G$180&lt;&gt;"moeda")*(Inputs!$G$5:$G$180&lt;&gt;"acoes")))*INDEX(Inputs!$K$5:$AJ$180,0,MATCH(AA$2,Inputs!$K$4:$AJ$4,0)))+SUMPRODUCT((Inputs!$E$5:$E$180=$B70)*Inputs!$F$5:$F$180*(((Inputs!$G$5:$G$180="moeda")+(Inputs!$G$5:$G$180="acoes"))*Inputs!$B$1+((Inputs!$G$5:$G$180&lt;&gt;"moeda")*(Inputs!$G$5:$G$180&lt;&gt;"acoes")))*INDEX(Inputs!$K$5:$AJ$180,0,MATCH(AA$2,Inputs!$K$4:$AJ$4,0)))))</f>
        <v>4.82673025</v>
      </c>
      <c r="AB70" s="265">
        <f>SUM(X70:AA70)</f>
        <v>15.712316173884</v>
      </c>
      <c r="AC70" s="264">
        <f>IF(ISNA(MATCH(AC$2,Inputs!$K$4:$AJ$4,0)),NA(),IF(SUMPRODUCT((Inputs!$A$5:$A$180=$B70)*ISNUMBER(INDEX(Inputs!$K$5:$AJ$180,0,MATCH(AC$2,Inputs!$K$4:$AJ$4,0))))+SUMPRODUCT((Inputs!$C$5:$C$180=$B70)*ISNUMBER(INDEX(Inputs!$K$5:$AJ$180,0,MATCH(AC$2,Inputs!$K$4:$AJ$4,0))))+SUMPRODUCT((Inputs!$E$5:$E$180=$B70)*ISNUMBER(INDEX(Inputs!$K$5:$AJ$180,0,MATCH(AC$2,Inputs!$K$4:$AJ$4,0))))=0,NA(),SUMPRODUCT((Inputs!$A$5:$A$180=$B70)*Inputs!$B$5:$B$180*(((Inputs!$G$5:$G$180="moeda")+(Inputs!$G$5:$G$180="acoes"))*Inputs!$B$1+((Inputs!$G$5:$G$180&lt;&gt;"moeda")*(Inputs!$G$5:$G$180&lt;&gt;"acoes")))*INDEX(Inputs!$K$5:$AJ$180,0,MATCH(AC$2,Inputs!$K$4:$AJ$4,0)))+SUMPRODUCT((Inputs!$C$5:$C$180=$B70)*Inputs!$D$5:$D$180*(((Inputs!$G$5:$G$180="moeda")+(Inputs!$G$5:$G$180="acoes"))*Inputs!$B$1+((Inputs!$G$5:$G$180&lt;&gt;"moeda")*(Inputs!$G$5:$G$180&lt;&gt;"acoes")))*INDEX(Inputs!$K$5:$AJ$180,0,MATCH(AC$2,Inputs!$K$4:$AJ$4,0)))+SUMPRODUCT((Inputs!$E$5:$E$180=$B70)*Inputs!$F$5:$F$180*(((Inputs!$G$5:$G$180="moeda")+(Inputs!$G$5:$G$180="acoes"))*Inputs!$B$1+((Inputs!$G$5:$G$180&lt;&gt;"moeda")*(Inputs!$G$5:$G$180&lt;&gt;"acoes")))*INDEX(Inputs!$K$5:$AJ$180,0,MATCH(AC$2,Inputs!$K$4:$AJ$4,0)))))</f>
        <v>5.81838226</v>
      </c>
      <c r="AD70" s="264">
        <f>IF(ISNA(MATCH(AD$2,Inputs!$K$4:$AJ$4,0)),NA(),IF(SUMPRODUCT((Inputs!$A$5:$A$180=$B70)*ISNUMBER(INDEX(Inputs!$K$5:$AJ$180,0,MATCH(AD$2,Inputs!$K$4:$AJ$4,0))))+SUMPRODUCT((Inputs!$C$5:$C$180=$B70)*ISNUMBER(INDEX(Inputs!$K$5:$AJ$180,0,MATCH(AD$2,Inputs!$K$4:$AJ$4,0))))+SUMPRODUCT((Inputs!$E$5:$E$180=$B70)*ISNUMBER(INDEX(Inputs!$K$5:$AJ$180,0,MATCH(AD$2,Inputs!$K$4:$AJ$4,0))))=0,NA(),SUMPRODUCT((Inputs!$A$5:$A$180=$B70)*Inputs!$B$5:$B$180*(((Inputs!$G$5:$G$180="moeda")+(Inputs!$G$5:$G$180="acoes"))*Inputs!$B$1+((Inputs!$G$5:$G$180&lt;&gt;"moeda")*(Inputs!$G$5:$G$180&lt;&gt;"acoes")))*INDEX(Inputs!$K$5:$AJ$180,0,MATCH(AD$2,Inputs!$K$4:$AJ$4,0)))+SUMPRODUCT((Inputs!$C$5:$C$180=$B70)*Inputs!$D$5:$D$180*(((Inputs!$G$5:$G$180="moeda")+(Inputs!$G$5:$G$180="acoes"))*Inputs!$B$1+((Inputs!$G$5:$G$180&lt;&gt;"moeda")*(Inputs!$G$5:$G$180&lt;&gt;"acoes")))*INDEX(Inputs!$K$5:$AJ$180,0,MATCH(AD$2,Inputs!$K$4:$AJ$4,0)))+SUMPRODUCT((Inputs!$E$5:$E$180=$B70)*Inputs!$F$5:$F$180*(((Inputs!$G$5:$G$180="moeda")+(Inputs!$G$5:$G$180="acoes"))*Inputs!$B$1+((Inputs!$G$5:$G$180&lt;&gt;"moeda")*(Inputs!$G$5:$G$180&lt;&gt;"acoes")))*INDEX(Inputs!$K$5:$AJ$180,0,MATCH(AD$2,Inputs!$K$4:$AJ$4,0)))))</f>
        <v>6.65705521000003</v>
      </c>
      <c r="AE70" s="264" t="e">
        <f>IF(ISNA(MATCH(AE$2,Inputs!$K$4:$AJ$4,0)),NA(),IF(SUMPRODUCT((Inputs!$A$5:$A$180=$B70)*ISNUMBER(INDEX(Inputs!$K$5:$AJ$180,0,MATCH(AE$2,Inputs!$K$4:$AJ$4,0))))+SUMPRODUCT((Inputs!$C$5:$C$180=$B70)*ISNUMBER(INDEX(Inputs!$K$5:$AJ$180,0,MATCH(AE$2,Inputs!$K$4:$AJ$4,0))))+SUMPRODUCT((Inputs!$E$5:$E$180=$B70)*ISNUMBER(INDEX(Inputs!$K$5:$AJ$180,0,MATCH(AE$2,Inputs!$K$4:$AJ$4,0))))=0,NA(),SUMPRODUCT((Inputs!$A$5:$A$180=$B70)*Inputs!$B$5:$B$180*(((Inputs!$G$5:$G$180="moeda")+(Inputs!$G$5:$G$180="acoes"))*Inputs!$B$1+((Inputs!$G$5:$G$180&lt;&gt;"moeda")*(Inputs!$G$5:$G$180&lt;&gt;"acoes")))*INDEX(Inputs!$K$5:$AJ$180,0,MATCH(AE$2,Inputs!$K$4:$AJ$4,0)))+SUMPRODUCT((Inputs!$C$5:$C$180=$B70)*Inputs!$D$5:$D$180*(((Inputs!$G$5:$G$180="moeda")+(Inputs!$G$5:$G$180="acoes"))*Inputs!$B$1+((Inputs!$G$5:$G$180&lt;&gt;"moeda")*(Inputs!$G$5:$G$180&lt;&gt;"acoes")))*INDEX(Inputs!$K$5:$AJ$180,0,MATCH(AE$2,Inputs!$K$4:$AJ$4,0)))+SUMPRODUCT((Inputs!$E$5:$E$180=$B70)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0" s="264" t="e">
        <f>IF(ISNA(MATCH(AF$2,Inputs!$K$4:$AJ$4,0)),NA(),IF(SUMPRODUCT((Inputs!$A$5:$A$180=$B70)*ISNUMBER(INDEX(Inputs!$K$5:$AJ$180,0,MATCH(AF$2,Inputs!$K$4:$AJ$4,0))))+SUMPRODUCT((Inputs!$C$5:$C$180=$B70)*ISNUMBER(INDEX(Inputs!$K$5:$AJ$180,0,MATCH(AF$2,Inputs!$K$4:$AJ$4,0))))+SUMPRODUCT((Inputs!$E$5:$E$180=$B70)*ISNUMBER(INDEX(Inputs!$K$5:$AJ$180,0,MATCH(AF$2,Inputs!$K$4:$AJ$4,0))))=0,NA(),SUMPRODUCT((Inputs!$A$5:$A$180=$B70)*Inputs!$B$5:$B$180*(((Inputs!$G$5:$G$180="moeda")+(Inputs!$G$5:$G$180="acoes"))*Inputs!$B$1+((Inputs!$G$5:$G$180&lt;&gt;"moeda")*(Inputs!$G$5:$G$180&lt;&gt;"acoes")))*INDEX(Inputs!$K$5:$AJ$180,0,MATCH(AF$2,Inputs!$K$4:$AJ$4,0)))+SUMPRODUCT((Inputs!$C$5:$C$180=$B70)*Inputs!$D$5:$D$180*(((Inputs!$G$5:$G$180="moeda")+(Inputs!$G$5:$G$180="acoes"))*Inputs!$B$1+((Inputs!$G$5:$G$180&lt;&gt;"moeda")*(Inputs!$G$5:$G$180&lt;&gt;"acoes")))*INDEX(Inputs!$K$5:$AJ$180,0,MATCH(AF$2,Inputs!$K$4:$AJ$4,0)))+SUMPRODUCT((Inputs!$E$5:$E$180=$B70)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0" s="265" t="e">
        <f>SUM(AC70:AF70)</f>
        <v>#N/A</v>
      </c>
      <c r="AH70" s="264">
        <f>IF(ISNA(MATCH(AH$2,Inputs!$K$4:$AJ$4,0)),NA(),IF(SUMPRODUCT((Inputs!$A$5:$A$180=$B70)*ISNUMBER(INDEX(Inputs!$K$5:$AJ$180,0,MATCH(AH$2,Inputs!$K$4:$AJ$4,0))))+SUMPRODUCT((Inputs!$C$5:$C$180=$B70)*ISNUMBER(INDEX(Inputs!$K$5:$AJ$180,0,MATCH(AH$2,Inputs!$K$4:$AJ$4,0))))+SUMPRODUCT((Inputs!$E$5:$E$180=$B70)*ISNUMBER(INDEX(Inputs!$K$5:$AJ$180,0,MATCH(AH$2,Inputs!$K$4:$AJ$4,0))))=0,NA(),SUMPRODUCT((Inputs!$A$5:$A$180=$B70)*Inputs!$B$5:$B$180*(((Inputs!$G$5:$G$180="moeda")+(Inputs!$G$5:$G$180="acoes"))*Inputs!$B$1+((Inputs!$G$5:$G$180&lt;&gt;"moeda")*(Inputs!$G$5:$G$180&lt;&gt;"acoes")))*INDEX(Inputs!$K$5:$AJ$180,0,MATCH(AH$2,Inputs!$K$4:$AJ$4,0)))+SUMPRODUCT((Inputs!$C$5:$C$180=$B70)*Inputs!$D$5:$D$180*(((Inputs!$G$5:$G$180="moeda")+(Inputs!$G$5:$G$180="acoes"))*Inputs!$B$1+((Inputs!$G$5:$G$180&lt;&gt;"moeda")*(Inputs!$G$5:$G$180&lt;&gt;"acoes")))*INDEX(Inputs!$K$5:$AJ$180,0,MATCH(AH$2,Inputs!$K$4:$AJ$4,0)))+SUMPRODUCT((Inputs!$E$5:$E$180=$B70)*Inputs!$F$5:$F$180*(((Inputs!$G$5:$G$180="moeda")+(Inputs!$G$5:$G$180="acoes"))*Inputs!$B$1+((Inputs!$G$5:$G$180&lt;&gt;"moeda")*(Inputs!$G$5:$G$180&lt;&gt;"acoes")))*INDEX(Inputs!$K$5:$AJ$180,0,MATCH(AH$2,Inputs!$K$4:$AJ$4,0)))))</f>
        <v>2.495</v>
      </c>
      <c r="AI70" s="264">
        <f>IF(ISNA(MATCH(AI$2,Inputs!$K$4:$AJ$4,0)),NA(),IF(SUMPRODUCT((Inputs!$A$5:$A$180=$B70)*ISNUMBER(INDEX(Inputs!$K$5:$AJ$180,0,MATCH(AI$2,Inputs!$K$4:$AJ$4,0))))+SUMPRODUCT((Inputs!$C$5:$C$180=$B70)*ISNUMBER(INDEX(Inputs!$K$5:$AJ$180,0,MATCH(AI$2,Inputs!$K$4:$AJ$4,0))))+SUMPRODUCT((Inputs!$E$5:$E$180=$B70)*ISNUMBER(INDEX(Inputs!$K$5:$AJ$180,0,MATCH(AI$2,Inputs!$K$4:$AJ$4,0))))=0,NA(),SUMPRODUCT((Inputs!$A$5:$A$180=$B70)*Inputs!$B$5:$B$180*(((Inputs!$G$5:$G$180="moeda")+(Inputs!$G$5:$G$180="acoes"))*Inputs!$B$1+((Inputs!$G$5:$G$180&lt;&gt;"moeda")*(Inputs!$G$5:$G$180&lt;&gt;"acoes")))*INDEX(Inputs!$K$5:$AJ$180,0,MATCH(AI$2,Inputs!$K$4:$AJ$4,0)))+SUMPRODUCT((Inputs!$C$5:$C$180=$B70)*Inputs!$D$5:$D$180*(((Inputs!$G$5:$G$180="moeda")+(Inputs!$G$5:$G$180="acoes"))*Inputs!$B$1+((Inputs!$G$5:$G$180&lt;&gt;"moeda")*(Inputs!$G$5:$G$180&lt;&gt;"acoes")))*INDEX(Inputs!$K$5:$AJ$180,0,MATCH(AI$2,Inputs!$K$4:$AJ$4,0)))+SUMPRODUCT((Inputs!$E$5:$E$180=$B70)*Inputs!$F$5:$F$180*(((Inputs!$G$5:$G$180="moeda")+(Inputs!$G$5:$G$180="acoes"))*Inputs!$B$1+((Inputs!$G$5:$G$180&lt;&gt;"moeda")*(Inputs!$G$5:$G$180&lt;&gt;"acoes")))*INDEX(Inputs!$K$5:$AJ$180,0,MATCH(AI$2,Inputs!$K$4:$AJ$4,0)))))</f>
        <v>1.447</v>
      </c>
      <c r="AJ70" s="264">
        <f>IF(ISNA(MATCH(AJ$2,Inputs!$K$4:$AJ$4,0)),NA(),IF(SUMPRODUCT((Inputs!$A$5:$A$180=$B70)*ISNUMBER(INDEX(Inputs!$K$5:$AJ$180,0,MATCH(AJ$2,Inputs!$K$4:$AJ$4,0))))+SUMPRODUCT((Inputs!$C$5:$C$180=$B70)*ISNUMBER(INDEX(Inputs!$K$5:$AJ$180,0,MATCH(AJ$2,Inputs!$K$4:$AJ$4,0))))+SUMPRODUCT((Inputs!$E$5:$E$180=$B70)*ISNUMBER(INDEX(Inputs!$K$5:$AJ$180,0,MATCH(AJ$2,Inputs!$K$4:$AJ$4,0))))=0,NA(),SUMPRODUCT((Inputs!$A$5:$A$180=$B70)*Inputs!$B$5:$B$180*(((Inputs!$G$5:$G$180="moeda")+(Inputs!$G$5:$G$180="acoes"))*Inputs!$B$1+((Inputs!$G$5:$G$180&lt;&gt;"moeda")*(Inputs!$G$5:$G$180&lt;&gt;"acoes")))*INDEX(Inputs!$K$5:$AJ$180,0,MATCH(AJ$2,Inputs!$K$4:$AJ$4,0)))+SUMPRODUCT((Inputs!$C$5:$C$180=$B70)*Inputs!$D$5:$D$180*(((Inputs!$G$5:$G$180="moeda")+(Inputs!$G$5:$G$180="acoes"))*Inputs!$B$1+((Inputs!$G$5:$G$180&lt;&gt;"moeda")*(Inputs!$G$5:$G$180&lt;&gt;"acoes")))*INDEX(Inputs!$K$5:$AJ$180,0,MATCH(AJ$2,Inputs!$K$4:$AJ$4,0)))+SUMPRODUCT((Inputs!$E$5:$E$180=$B70)*Inputs!$F$5:$F$180*(((Inputs!$G$5:$G$180="moeda")+(Inputs!$G$5:$G$180="acoes"))*Inputs!$B$1+((Inputs!$G$5:$G$180&lt;&gt;"moeda")*(Inputs!$G$5:$G$180&lt;&gt;"acoes")))*INDEX(Inputs!$K$5:$AJ$180,0,MATCH(AJ$2,Inputs!$K$4:$AJ$4,0)))))</f>
        <v>2.436</v>
      </c>
      <c r="AK70" s="264">
        <f>IF(ISNA(MATCH(AK$2,Inputs!$K$4:$AJ$4,0)),NA(),IF(SUMPRODUCT((Inputs!$A$5:$A$180=$B70)*ISNUMBER(INDEX(Inputs!$K$5:$AJ$180,0,MATCH(AK$2,Inputs!$K$4:$AJ$4,0))))+SUMPRODUCT((Inputs!$C$5:$C$180=$B70)*ISNUMBER(INDEX(Inputs!$K$5:$AJ$180,0,MATCH(AK$2,Inputs!$K$4:$AJ$4,0))))+SUMPRODUCT((Inputs!$E$5:$E$180=$B70)*ISNUMBER(INDEX(Inputs!$K$5:$AJ$180,0,MATCH(AK$2,Inputs!$K$4:$AJ$4,0))))=0,NA(),SUMPRODUCT((Inputs!$A$5:$A$180=$B70)*Inputs!$B$5:$B$180*(((Inputs!$G$5:$G$180="moeda")+(Inputs!$G$5:$G$180="acoes"))*Inputs!$B$1+((Inputs!$G$5:$G$180&lt;&gt;"moeda")*(Inputs!$G$5:$G$180&lt;&gt;"acoes")))*INDEX(Inputs!$K$5:$AJ$180,0,MATCH(AK$2,Inputs!$K$4:$AJ$4,0)))+SUMPRODUCT((Inputs!$C$5:$C$180=$B70)*Inputs!$D$5:$D$180*(((Inputs!$G$5:$G$180="moeda")+(Inputs!$G$5:$G$180="acoes"))*Inputs!$B$1+((Inputs!$G$5:$G$180&lt;&gt;"moeda")*(Inputs!$G$5:$G$180&lt;&gt;"acoes")))*INDEX(Inputs!$K$5:$AJ$180,0,MATCH(AK$2,Inputs!$K$4:$AJ$4,0)))+SUMPRODUCT((Inputs!$E$5:$E$180=$B70)*Inputs!$F$5:$F$180*(((Inputs!$G$5:$G$180="moeda")+(Inputs!$G$5:$G$180="acoes"))*Inputs!$B$1+((Inputs!$G$5:$G$180&lt;&gt;"moeda")*(Inputs!$G$5:$G$180&lt;&gt;"acoes")))*INDEX(Inputs!$K$5:$AJ$180,0,MATCH(AK$2,Inputs!$K$4:$AJ$4,0)))))</f>
        <v>1.65931756223124</v>
      </c>
      <c r="AL70" s="265">
        <f>SUM(AH70:AK70)</f>
        <v>8.03731756223124</v>
      </c>
    </row>
    <row r="71">
      <c r="B71" s="46" t="n">
        <v>63</v>
      </c>
      <c r="C71" s="29" t="inlineStr">
        <is>
          <t>Capex - fabrica (l.25)</t>
        </is>
      </c>
      <c r="D71" s="264">
        <f>IF(ISNA(MATCH(D$2,Inputs!$K$4:$AJ$4,0)),NA(),IF(SUMPRODUCT((Inputs!$A$5:$A$180=$B71)*ISNUMBER(INDEX(Inputs!$K$5:$AJ$180,0,MATCH(D$2,Inputs!$K$4:$AJ$4,0))))+SUMPRODUCT((Inputs!$C$5:$C$180=$B71)*ISNUMBER(INDEX(Inputs!$K$5:$AJ$180,0,MATCH(D$2,Inputs!$K$4:$AJ$4,0))))+SUMPRODUCT((Inputs!$E$5:$E$180=$B71)*ISNUMBER(INDEX(Inputs!$K$5:$AJ$180,0,MATCH(D$2,Inputs!$K$4:$AJ$4,0))))=0,NA(),SUMPRODUCT((Inputs!$A$5:$A$180=$B71)*Inputs!$B$5:$B$180*(((Inputs!$G$5:$G$180="moeda")+(Inputs!$G$5:$G$180="acoes"))*Inputs!$B$1+((Inputs!$G$5:$G$180&lt;&gt;"moeda")*(Inputs!$G$5:$G$180&lt;&gt;"acoes")))*INDEX(Inputs!$K$5:$AJ$180,0,MATCH(D$2,Inputs!$K$4:$AJ$4,0)))+SUMPRODUCT((Inputs!$C$5:$C$180=$B71)*Inputs!$D$5:$D$180*(((Inputs!$G$5:$G$180="moeda")+(Inputs!$G$5:$G$180="acoes"))*Inputs!$B$1+((Inputs!$G$5:$G$180&lt;&gt;"moeda")*(Inputs!$G$5:$G$180&lt;&gt;"acoes")))*INDEX(Inputs!$K$5:$AJ$180,0,MATCH(D$2,Inputs!$K$4:$AJ$4,0)))+SUMPRODUCT((Inputs!$E$5:$E$180=$B71)*Inputs!$F$5:$F$180*(((Inputs!$G$5:$G$180="moeda")+(Inputs!$G$5:$G$180="acoes"))*Inputs!$B$1+((Inputs!$G$5:$G$180&lt;&gt;"moeda")*(Inputs!$G$5:$G$180&lt;&gt;"acoes")))*INDEX(Inputs!$K$5:$AJ$180,0,MATCH(D$2,Inputs!$K$4:$AJ$4,0)))))</f>
        <v>3.501863688488</v>
      </c>
      <c r="E71" s="264">
        <f>IF(ISNA(MATCH(E$2,Inputs!$K$4:$AJ$4,0)),NA(),IF(SUMPRODUCT((Inputs!$A$5:$A$180=$B71)*ISNUMBER(INDEX(Inputs!$K$5:$AJ$180,0,MATCH(E$2,Inputs!$K$4:$AJ$4,0))))+SUMPRODUCT((Inputs!$C$5:$C$180=$B71)*ISNUMBER(INDEX(Inputs!$K$5:$AJ$180,0,MATCH(E$2,Inputs!$K$4:$AJ$4,0))))+SUMPRODUCT((Inputs!$E$5:$E$180=$B71)*ISNUMBER(INDEX(Inputs!$K$5:$AJ$180,0,MATCH(E$2,Inputs!$K$4:$AJ$4,0))))=0,NA(),SUMPRODUCT((Inputs!$A$5:$A$180=$B71)*Inputs!$B$5:$B$180*(((Inputs!$G$5:$G$180="moeda")+(Inputs!$G$5:$G$180="acoes"))*Inputs!$B$1+((Inputs!$G$5:$G$180&lt;&gt;"moeda")*(Inputs!$G$5:$G$180&lt;&gt;"acoes")))*INDEX(Inputs!$K$5:$AJ$180,0,MATCH(E$2,Inputs!$K$4:$AJ$4,0)))+SUMPRODUCT((Inputs!$C$5:$C$180=$B71)*Inputs!$D$5:$D$180*(((Inputs!$G$5:$G$180="moeda")+(Inputs!$G$5:$G$180="acoes"))*Inputs!$B$1+((Inputs!$G$5:$G$180&lt;&gt;"moeda")*(Inputs!$G$5:$G$180&lt;&gt;"acoes")))*INDEX(Inputs!$K$5:$AJ$180,0,MATCH(E$2,Inputs!$K$4:$AJ$4,0)))+SUMPRODUCT((Inputs!$E$5:$E$180=$B71)*Inputs!$F$5:$F$180*(((Inputs!$G$5:$G$180="moeda")+(Inputs!$G$5:$G$180="acoes"))*Inputs!$B$1+((Inputs!$G$5:$G$180&lt;&gt;"moeda")*(Inputs!$G$5:$G$180&lt;&gt;"acoes")))*INDEX(Inputs!$K$5:$AJ$180,0,MATCH(E$2,Inputs!$K$4:$AJ$4,0)))))</f>
        <v>1.13108053</v>
      </c>
      <c r="F71" s="264">
        <f>IF(ISNA(MATCH(F$2,Inputs!$K$4:$AJ$4,0)),NA(),IF(SUMPRODUCT((Inputs!$A$5:$A$180=$B71)*ISNUMBER(INDEX(Inputs!$K$5:$AJ$180,0,MATCH(F$2,Inputs!$K$4:$AJ$4,0))))+SUMPRODUCT((Inputs!$C$5:$C$180=$B71)*ISNUMBER(INDEX(Inputs!$K$5:$AJ$180,0,MATCH(F$2,Inputs!$K$4:$AJ$4,0))))+SUMPRODUCT((Inputs!$E$5:$E$180=$B71)*ISNUMBER(INDEX(Inputs!$K$5:$AJ$180,0,MATCH(F$2,Inputs!$K$4:$AJ$4,0))))=0,NA(),SUMPRODUCT((Inputs!$A$5:$A$180=$B71)*Inputs!$B$5:$B$180*(((Inputs!$G$5:$G$180="moeda")+(Inputs!$G$5:$G$180="acoes"))*Inputs!$B$1+((Inputs!$G$5:$G$180&lt;&gt;"moeda")*(Inputs!$G$5:$G$180&lt;&gt;"acoes")))*INDEX(Inputs!$K$5:$AJ$180,0,MATCH(F$2,Inputs!$K$4:$AJ$4,0)))+SUMPRODUCT((Inputs!$C$5:$C$180=$B71)*Inputs!$D$5:$D$180*(((Inputs!$G$5:$G$180="moeda")+(Inputs!$G$5:$G$180="acoes"))*Inputs!$B$1+((Inputs!$G$5:$G$180&lt;&gt;"moeda")*(Inputs!$G$5:$G$180&lt;&gt;"acoes")))*INDEX(Inputs!$K$5:$AJ$180,0,MATCH(F$2,Inputs!$K$4:$AJ$4,0)))+SUMPRODUCT((Inputs!$E$5:$E$180=$B71)*Inputs!$F$5:$F$180*(((Inputs!$G$5:$G$180="moeda")+(Inputs!$G$5:$G$180="acoes"))*Inputs!$B$1+((Inputs!$G$5:$G$180&lt;&gt;"moeda")*(Inputs!$G$5:$G$180&lt;&gt;"acoes")))*INDEX(Inputs!$K$5:$AJ$180,0,MATCH(F$2,Inputs!$K$4:$AJ$4,0)))))</f>
        <v>2.103065995</v>
      </c>
      <c r="G71" s="264">
        <f>IF(ISNA(MATCH(G$2,Inputs!$K$4:$AJ$4,0)),NA(),IF(SUMPRODUCT((Inputs!$A$5:$A$180=$B71)*ISNUMBER(INDEX(Inputs!$K$5:$AJ$180,0,MATCH(G$2,Inputs!$K$4:$AJ$4,0))))+SUMPRODUCT((Inputs!$C$5:$C$180=$B71)*ISNUMBER(INDEX(Inputs!$K$5:$AJ$180,0,MATCH(G$2,Inputs!$K$4:$AJ$4,0))))+SUMPRODUCT((Inputs!$E$5:$E$180=$B71)*ISNUMBER(INDEX(Inputs!$K$5:$AJ$180,0,MATCH(G$2,Inputs!$K$4:$AJ$4,0))))=0,NA(),SUMPRODUCT((Inputs!$A$5:$A$180=$B71)*Inputs!$B$5:$B$180*(((Inputs!$G$5:$G$180="moeda")+(Inputs!$G$5:$G$180="acoes"))*Inputs!$B$1+((Inputs!$G$5:$G$180&lt;&gt;"moeda")*(Inputs!$G$5:$G$180&lt;&gt;"acoes")))*INDEX(Inputs!$K$5:$AJ$180,0,MATCH(G$2,Inputs!$K$4:$AJ$4,0)))+SUMPRODUCT((Inputs!$C$5:$C$180=$B71)*Inputs!$D$5:$D$180*(((Inputs!$G$5:$G$180="moeda")+(Inputs!$G$5:$G$180="acoes"))*Inputs!$B$1+((Inputs!$G$5:$G$180&lt;&gt;"moeda")*(Inputs!$G$5:$G$180&lt;&gt;"acoes")))*INDEX(Inputs!$K$5:$AJ$180,0,MATCH(G$2,Inputs!$K$4:$AJ$4,0)))+SUMPRODUCT((Inputs!$E$5:$E$180=$B71)*Inputs!$F$5:$F$180*(((Inputs!$G$5:$G$180="moeda")+(Inputs!$G$5:$G$180="acoes"))*Inputs!$B$1+((Inputs!$G$5:$G$180&lt;&gt;"moeda")*(Inputs!$G$5:$G$180&lt;&gt;"acoes")))*INDEX(Inputs!$K$5:$AJ$180,0,MATCH(G$2,Inputs!$K$4:$AJ$4,0)))))</f>
        <v>4.86681104</v>
      </c>
      <c r="H71" s="265">
        <f>SUM(D71:G71)</f>
        <v>11.602821253488</v>
      </c>
      <c r="I71" s="264">
        <f>IF(ISNA(MATCH(I$2,Inputs!$K$4:$AJ$4,0)),NA(),IF(SUMPRODUCT((Inputs!$A$5:$A$180=$B71)*ISNUMBER(INDEX(Inputs!$K$5:$AJ$180,0,MATCH(I$2,Inputs!$K$4:$AJ$4,0))))+SUMPRODUCT((Inputs!$C$5:$C$180=$B71)*ISNUMBER(INDEX(Inputs!$K$5:$AJ$180,0,MATCH(I$2,Inputs!$K$4:$AJ$4,0))))+SUMPRODUCT((Inputs!$E$5:$E$180=$B71)*ISNUMBER(INDEX(Inputs!$K$5:$AJ$180,0,MATCH(I$2,Inputs!$K$4:$AJ$4,0))))=0,NA(),SUMPRODUCT((Inputs!$A$5:$A$180=$B71)*Inputs!$B$5:$B$180*(((Inputs!$G$5:$G$180="moeda")+(Inputs!$G$5:$G$180="acoes"))*Inputs!$B$1+((Inputs!$G$5:$G$180&lt;&gt;"moeda")*(Inputs!$G$5:$G$180&lt;&gt;"acoes")))*INDEX(Inputs!$K$5:$AJ$180,0,MATCH(I$2,Inputs!$K$4:$AJ$4,0)))+SUMPRODUCT((Inputs!$C$5:$C$180=$B71)*Inputs!$D$5:$D$180*(((Inputs!$G$5:$G$180="moeda")+(Inputs!$G$5:$G$180="acoes"))*Inputs!$B$1+((Inputs!$G$5:$G$180&lt;&gt;"moeda")*(Inputs!$G$5:$G$180&lt;&gt;"acoes")))*INDEX(Inputs!$K$5:$AJ$180,0,MATCH(I$2,Inputs!$K$4:$AJ$4,0)))+SUMPRODUCT((Inputs!$E$5:$E$180=$B71)*Inputs!$F$5:$F$180*(((Inputs!$G$5:$G$180="moeda")+(Inputs!$G$5:$G$180="acoes"))*Inputs!$B$1+((Inputs!$G$5:$G$180&lt;&gt;"moeda")*(Inputs!$G$5:$G$180&lt;&gt;"acoes")))*INDEX(Inputs!$K$5:$AJ$180,0,MATCH(I$2,Inputs!$K$4:$AJ$4,0)))))</f>
        <v>4.41081434</v>
      </c>
      <c r="J71" s="264">
        <f>IF(ISNA(MATCH(J$2,Inputs!$K$4:$AJ$4,0)),NA(),IF(SUMPRODUCT((Inputs!$A$5:$A$180=$B71)*ISNUMBER(INDEX(Inputs!$K$5:$AJ$180,0,MATCH(J$2,Inputs!$K$4:$AJ$4,0))))+SUMPRODUCT((Inputs!$C$5:$C$180=$B71)*ISNUMBER(INDEX(Inputs!$K$5:$AJ$180,0,MATCH(J$2,Inputs!$K$4:$AJ$4,0))))+SUMPRODUCT((Inputs!$E$5:$E$180=$B71)*ISNUMBER(INDEX(Inputs!$K$5:$AJ$180,0,MATCH(J$2,Inputs!$K$4:$AJ$4,0))))=0,NA(),SUMPRODUCT((Inputs!$A$5:$A$180=$B71)*Inputs!$B$5:$B$180*(((Inputs!$G$5:$G$180="moeda")+(Inputs!$G$5:$G$180="acoes"))*Inputs!$B$1+((Inputs!$G$5:$G$180&lt;&gt;"moeda")*(Inputs!$G$5:$G$180&lt;&gt;"acoes")))*INDEX(Inputs!$K$5:$AJ$180,0,MATCH(J$2,Inputs!$K$4:$AJ$4,0)))+SUMPRODUCT((Inputs!$C$5:$C$180=$B71)*Inputs!$D$5:$D$180*(((Inputs!$G$5:$G$180="moeda")+(Inputs!$G$5:$G$180="acoes"))*Inputs!$B$1+((Inputs!$G$5:$G$180&lt;&gt;"moeda")*(Inputs!$G$5:$G$180&lt;&gt;"acoes")))*INDEX(Inputs!$K$5:$AJ$180,0,MATCH(J$2,Inputs!$K$4:$AJ$4,0)))+SUMPRODUCT((Inputs!$E$5:$E$180=$B71)*Inputs!$F$5:$F$180*(((Inputs!$G$5:$G$180="moeda")+(Inputs!$G$5:$G$180="acoes"))*Inputs!$B$1+((Inputs!$G$5:$G$180&lt;&gt;"moeda")*(Inputs!$G$5:$G$180&lt;&gt;"acoes")))*INDEX(Inputs!$K$5:$AJ$180,0,MATCH(J$2,Inputs!$K$4:$AJ$4,0)))))</f>
        <v>0.62400298</v>
      </c>
      <c r="K71" s="264">
        <f>IF(ISNA(MATCH(K$2,Inputs!$K$4:$AJ$4,0)),NA(),IF(SUMPRODUCT((Inputs!$A$5:$A$180=$B71)*ISNUMBER(INDEX(Inputs!$K$5:$AJ$180,0,MATCH(K$2,Inputs!$K$4:$AJ$4,0))))+SUMPRODUCT((Inputs!$C$5:$C$180=$B71)*ISNUMBER(INDEX(Inputs!$K$5:$AJ$180,0,MATCH(K$2,Inputs!$K$4:$AJ$4,0))))+SUMPRODUCT((Inputs!$E$5:$E$180=$B71)*ISNUMBER(INDEX(Inputs!$K$5:$AJ$180,0,MATCH(K$2,Inputs!$K$4:$AJ$4,0))))=0,NA(),SUMPRODUCT((Inputs!$A$5:$A$180=$B71)*Inputs!$B$5:$B$180*(((Inputs!$G$5:$G$180="moeda")+(Inputs!$G$5:$G$180="acoes"))*Inputs!$B$1+((Inputs!$G$5:$G$180&lt;&gt;"moeda")*(Inputs!$G$5:$G$180&lt;&gt;"acoes")))*INDEX(Inputs!$K$5:$AJ$180,0,MATCH(K$2,Inputs!$K$4:$AJ$4,0)))+SUMPRODUCT((Inputs!$C$5:$C$180=$B71)*Inputs!$D$5:$D$180*(((Inputs!$G$5:$G$180="moeda")+(Inputs!$G$5:$G$180="acoes"))*Inputs!$B$1+((Inputs!$G$5:$G$180&lt;&gt;"moeda")*(Inputs!$G$5:$G$180&lt;&gt;"acoes")))*INDEX(Inputs!$K$5:$AJ$180,0,MATCH(K$2,Inputs!$K$4:$AJ$4,0)))+SUMPRODUCT((Inputs!$E$5:$E$180=$B71)*Inputs!$F$5:$F$180*(((Inputs!$G$5:$G$180="moeda")+(Inputs!$G$5:$G$180="acoes"))*Inputs!$B$1+((Inputs!$G$5:$G$180&lt;&gt;"moeda")*(Inputs!$G$5:$G$180&lt;&gt;"acoes")))*INDEX(Inputs!$K$5:$AJ$180,0,MATCH(K$2,Inputs!$K$4:$AJ$4,0)))))</f>
        <v>1.72248217</v>
      </c>
      <c r="L71" s="264">
        <f>IF(ISNA(MATCH(L$2,Inputs!$K$4:$AJ$4,0)),NA(),IF(SUMPRODUCT((Inputs!$A$5:$A$180=$B71)*ISNUMBER(INDEX(Inputs!$K$5:$AJ$180,0,MATCH(L$2,Inputs!$K$4:$AJ$4,0))))+SUMPRODUCT((Inputs!$C$5:$C$180=$B71)*ISNUMBER(INDEX(Inputs!$K$5:$AJ$180,0,MATCH(L$2,Inputs!$K$4:$AJ$4,0))))+SUMPRODUCT((Inputs!$E$5:$E$180=$B71)*ISNUMBER(INDEX(Inputs!$K$5:$AJ$180,0,MATCH(L$2,Inputs!$K$4:$AJ$4,0))))=0,NA(),SUMPRODUCT((Inputs!$A$5:$A$180=$B71)*Inputs!$B$5:$B$180*(((Inputs!$G$5:$G$180="moeda")+(Inputs!$G$5:$G$180="acoes"))*Inputs!$B$1+((Inputs!$G$5:$G$180&lt;&gt;"moeda")*(Inputs!$G$5:$G$180&lt;&gt;"acoes")))*INDEX(Inputs!$K$5:$AJ$180,0,MATCH(L$2,Inputs!$K$4:$AJ$4,0)))+SUMPRODUCT((Inputs!$C$5:$C$180=$B71)*Inputs!$D$5:$D$180*(((Inputs!$G$5:$G$180="moeda")+(Inputs!$G$5:$G$180="acoes"))*Inputs!$B$1+((Inputs!$G$5:$G$180&lt;&gt;"moeda")*(Inputs!$G$5:$G$180&lt;&gt;"acoes")))*INDEX(Inputs!$K$5:$AJ$180,0,MATCH(L$2,Inputs!$K$4:$AJ$4,0)))+SUMPRODUCT((Inputs!$E$5:$E$180=$B71)*Inputs!$F$5:$F$180*(((Inputs!$G$5:$G$180="moeda")+(Inputs!$G$5:$G$180="acoes"))*Inputs!$B$1+((Inputs!$G$5:$G$180&lt;&gt;"moeda")*(Inputs!$G$5:$G$180&lt;&gt;"acoes")))*INDEX(Inputs!$K$5:$AJ$180,0,MATCH(L$2,Inputs!$K$4:$AJ$4,0)))))</f>
        <v>1.50213571</v>
      </c>
      <c r="M71" s="265">
        <f>SUM(I71:L71)</f>
        <v>8.2594352</v>
      </c>
      <c r="N71" s="264">
        <f>IF(ISNA(MATCH(N$2,Inputs!$K$4:$AJ$4,0)),NA(),IF(SUMPRODUCT((Inputs!$A$5:$A$180=$B71)*ISNUMBER(INDEX(Inputs!$K$5:$AJ$180,0,MATCH(N$2,Inputs!$K$4:$AJ$4,0))))+SUMPRODUCT((Inputs!$C$5:$C$180=$B71)*ISNUMBER(INDEX(Inputs!$K$5:$AJ$180,0,MATCH(N$2,Inputs!$K$4:$AJ$4,0))))+SUMPRODUCT((Inputs!$E$5:$E$180=$B71)*ISNUMBER(INDEX(Inputs!$K$5:$AJ$180,0,MATCH(N$2,Inputs!$K$4:$AJ$4,0))))=0,NA(),SUMPRODUCT((Inputs!$A$5:$A$180=$B71)*Inputs!$B$5:$B$180*(((Inputs!$G$5:$G$180="moeda")+(Inputs!$G$5:$G$180="acoes"))*Inputs!$B$1+((Inputs!$G$5:$G$180&lt;&gt;"moeda")*(Inputs!$G$5:$G$180&lt;&gt;"acoes")))*INDEX(Inputs!$K$5:$AJ$180,0,MATCH(N$2,Inputs!$K$4:$AJ$4,0)))+SUMPRODUCT((Inputs!$C$5:$C$180=$B71)*Inputs!$D$5:$D$180*(((Inputs!$G$5:$G$180="moeda")+(Inputs!$G$5:$G$180="acoes"))*Inputs!$B$1+((Inputs!$G$5:$G$180&lt;&gt;"moeda")*(Inputs!$G$5:$G$180&lt;&gt;"acoes")))*INDEX(Inputs!$K$5:$AJ$180,0,MATCH(N$2,Inputs!$K$4:$AJ$4,0)))+SUMPRODUCT((Inputs!$E$5:$E$180=$B71)*Inputs!$F$5:$F$180*(((Inputs!$G$5:$G$180="moeda")+(Inputs!$G$5:$G$180="acoes"))*Inputs!$B$1+((Inputs!$G$5:$G$180&lt;&gt;"moeda")*(Inputs!$G$5:$G$180&lt;&gt;"acoes")))*INDEX(Inputs!$K$5:$AJ$180,0,MATCH(N$2,Inputs!$K$4:$AJ$4,0)))))</f>
        <v>9.10357831</v>
      </c>
      <c r="O71" s="264">
        <f>IF(ISNA(MATCH(O$2,Inputs!$K$4:$AJ$4,0)),NA(),IF(SUMPRODUCT((Inputs!$A$5:$A$180=$B71)*ISNUMBER(INDEX(Inputs!$K$5:$AJ$180,0,MATCH(O$2,Inputs!$K$4:$AJ$4,0))))+SUMPRODUCT((Inputs!$C$5:$C$180=$B71)*ISNUMBER(INDEX(Inputs!$K$5:$AJ$180,0,MATCH(O$2,Inputs!$K$4:$AJ$4,0))))+SUMPRODUCT((Inputs!$E$5:$E$180=$B71)*ISNUMBER(INDEX(Inputs!$K$5:$AJ$180,0,MATCH(O$2,Inputs!$K$4:$AJ$4,0))))=0,NA(),SUMPRODUCT((Inputs!$A$5:$A$180=$B71)*Inputs!$B$5:$B$180*(((Inputs!$G$5:$G$180="moeda")+(Inputs!$G$5:$G$180="acoes"))*Inputs!$B$1+((Inputs!$G$5:$G$180&lt;&gt;"moeda")*(Inputs!$G$5:$G$180&lt;&gt;"acoes")))*INDEX(Inputs!$K$5:$AJ$180,0,MATCH(O$2,Inputs!$K$4:$AJ$4,0)))+SUMPRODUCT((Inputs!$C$5:$C$180=$B71)*Inputs!$D$5:$D$180*(((Inputs!$G$5:$G$180="moeda")+(Inputs!$G$5:$G$180="acoes"))*Inputs!$B$1+((Inputs!$G$5:$G$180&lt;&gt;"moeda")*(Inputs!$G$5:$G$180&lt;&gt;"acoes")))*INDEX(Inputs!$K$5:$AJ$180,0,MATCH(O$2,Inputs!$K$4:$AJ$4,0)))+SUMPRODUCT((Inputs!$E$5:$E$180=$B71)*Inputs!$F$5:$F$180*(((Inputs!$G$5:$G$180="moeda")+(Inputs!$G$5:$G$180="acoes"))*Inputs!$B$1+((Inputs!$G$5:$G$180&lt;&gt;"moeda")*(Inputs!$G$5:$G$180&lt;&gt;"acoes")))*INDEX(Inputs!$K$5:$AJ$180,0,MATCH(O$2,Inputs!$K$4:$AJ$4,0)))))</f>
        <v>12.21239244</v>
      </c>
      <c r="P71" s="264">
        <f>IF(ISNA(MATCH(P$2,Inputs!$K$4:$AJ$4,0)),NA(),IF(SUMPRODUCT((Inputs!$A$5:$A$180=$B71)*ISNUMBER(INDEX(Inputs!$K$5:$AJ$180,0,MATCH(P$2,Inputs!$K$4:$AJ$4,0))))+SUMPRODUCT((Inputs!$C$5:$C$180=$B71)*ISNUMBER(INDEX(Inputs!$K$5:$AJ$180,0,MATCH(P$2,Inputs!$K$4:$AJ$4,0))))+SUMPRODUCT((Inputs!$E$5:$E$180=$B71)*ISNUMBER(INDEX(Inputs!$K$5:$AJ$180,0,MATCH(P$2,Inputs!$K$4:$AJ$4,0))))=0,NA(),SUMPRODUCT((Inputs!$A$5:$A$180=$B71)*Inputs!$B$5:$B$180*(((Inputs!$G$5:$G$180="moeda")+(Inputs!$G$5:$G$180="acoes"))*Inputs!$B$1+((Inputs!$G$5:$G$180&lt;&gt;"moeda")*(Inputs!$G$5:$G$180&lt;&gt;"acoes")))*INDEX(Inputs!$K$5:$AJ$180,0,MATCH(P$2,Inputs!$K$4:$AJ$4,0)))+SUMPRODUCT((Inputs!$C$5:$C$180=$B71)*Inputs!$D$5:$D$180*(((Inputs!$G$5:$G$180="moeda")+(Inputs!$G$5:$G$180="acoes"))*Inputs!$B$1+((Inputs!$G$5:$G$180&lt;&gt;"moeda")*(Inputs!$G$5:$G$180&lt;&gt;"acoes")))*INDEX(Inputs!$K$5:$AJ$180,0,MATCH(P$2,Inputs!$K$4:$AJ$4,0)))+SUMPRODUCT((Inputs!$E$5:$E$180=$B71)*Inputs!$F$5:$F$180*(((Inputs!$G$5:$G$180="moeda")+(Inputs!$G$5:$G$180="acoes"))*Inputs!$B$1+((Inputs!$G$5:$G$180&lt;&gt;"moeda")*(Inputs!$G$5:$G$180&lt;&gt;"acoes")))*INDEX(Inputs!$K$5:$AJ$180,0,MATCH(P$2,Inputs!$K$4:$AJ$4,0)))))</f>
        <v>9.87151174</v>
      </c>
      <c r="Q71" s="264">
        <f>IF(ISNA(MATCH(Q$2,Inputs!$K$4:$AJ$4,0)),NA(),IF(SUMPRODUCT((Inputs!$A$5:$A$180=$B71)*ISNUMBER(INDEX(Inputs!$K$5:$AJ$180,0,MATCH(Q$2,Inputs!$K$4:$AJ$4,0))))+SUMPRODUCT((Inputs!$C$5:$C$180=$B71)*ISNUMBER(INDEX(Inputs!$K$5:$AJ$180,0,MATCH(Q$2,Inputs!$K$4:$AJ$4,0))))+SUMPRODUCT((Inputs!$E$5:$E$180=$B71)*ISNUMBER(INDEX(Inputs!$K$5:$AJ$180,0,MATCH(Q$2,Inputs!$K$4:$AJ$4,0))))=0,NA(),SUMPRODUCT((Inputs!$A$5:$A$180=$B71)*Inputs!$B$5:$B$180*(((Inputs!$G$5:$G$180="moeda")+(Inputs!$G$5:$G$180="acoes"))*Inputs!$B$1+((Inputs!$G$5:$G$180&lt;&gt;"moeda")*(Inputs!$G$5:$G$180&lt;&gt;"acoes")))*INDEX(Inputs!$K$5:$AJ$180,0,MATCH(Q$2,Inputs!$K$4:$AJ$4,0)))+SUMPRODUCT((Inputs!$C$5:$C$180=$B71)*Inputs!$D$5:$D$180*(((Inputs!$G$5:$G$180="moeda")+(Inputs!$G$5:$G$180="acoes"))*Inputs!$B$1+((Inputs!$G$5:$G$180&lt;&gt;"moeda")*(Inputs!$G$5:$G$180&lt;&gt;"acoes")))*INDEX(Inputs!$K$5:$AJ$180,0,MATCH(Q$2,Inputs!$K$4:$AJ$4,0)))+SUMPRODUCT((Inputs!$E$5:$E$180=$B71)*Inputs!$F$5:$F$180*(((Inputs!$G$5:$G$180="moeda")+(Inputs!$G$5:$G$180="acoes"))*Inputs!$B$1+((Inputs!$G$5:$G$180&lt;&gt;"moeda")*(Inputs!$G$5:$G$180&lt;&gt;"acoes")))*INDEX(Inputs!$K$5:$AJ$180,0,MATCH(Q$2,Inputs!$K$4:$AJ$4,0)))))</f>
        <v>5.23366961</v>
      </c>
      <c r="R71" s="265">
        <f>SUM(N71:Q71)</f>
        <v>36.4211521</v>
      </c>
      <c r="S71" s="264">
        <f>IF(ISNA(MATCH(S$2,Inputs!$K$4:$AJ$4,0)),NA(),IF(SUMPRODUCT((Inputs!$A$5:$A$180=$B71)*ISNUMBER(INDEX(Inputs!$K$5:$AJ$180,0,MATCH(S$2,Inputs!$K$4:$AJ$4,0))))+SUMPRODUCT((Inputs!$C$5:$C$180=$B71)*ISNUMBER(INDEX(Inputs!$K$5:$AJ$180,0,MATCH(S$2,Inputs!$K$4:$AJ$4,0))))+SUMPRODUCT((Inputs!$E$5:$E$180=$B71)*ISNUMBER(INDEX(Inputs!$K$5:$AJ$180,0,MATCH(S$2,Inputs!$K$4:$AJ$4,0))))=0,NA(),SUMPRODUCT((Inputs!$A$5:$A$180=$B71)*Inputs!$B$5:$B$180*(((Inputs!$G$5:$G$180="moeda")+(Inputs!$G$5:$G$180="acoes"))*Inputs!$B$1+((Inputs!$G$5:$G$180&lt;&gt;"moeda")*(Inputs!$G$5:$G$180&lt;&gt;"acoes")))*INDEX(Inputs!$K$5:$AJ$180,0,MATCH(S$2,Inputs!$K$4:$AJ$4,0)))+SUMPRODUCT((Inputs!$C$5:$C$180=$B71)*Inputs!$D$5:$D$180*(((Inputs!$G$5:$G$180="moeda")+(Inputs!$G$5:$G$180="acoes"))*Inputs!$B$1+((Inputs!$G$5:$G$180&lt;&gt;"moeda")*(Inputs!$G$5:$G$180&lt;&gt;"acoes")))*INDEX(Inputs!$K$5:$AJ$180,0,MATCH(S$2,Inputs!$K$4:$AJ$4,0)))+SUMPRODUCT((Inputs!$E$5:$E$180=$B71)*Inputs!$F$5:$F$180*(((Inputs!$G$5:$G$180="moeda")+(Inputs!$G$5:$G$180="acoes"))*Inputs!$B$1+((Inputs!$G$5:$G$180&lt;&gt;"moeda")*(Inputs!$G$5:$G$180&lt;&gt;"acoes")))*INDEX(Inputs!$K$5:$AJ$180,0,MATCH(S$2,Inputs!$K$4:$AJ$4,0)))))</f>
        <v>3.74658143</v>
      </c>
      <c r="T71" s="264">
        <f>IF(ISNA(MATCH(T$2,Inputs!$K$4:$AJ$4,0)),NA(),IF(SUMPRODUCT((Inputs!$A$5:$A$180=$B71)*ISNUMBER(INDEX(Inputs!$K$5:$AJ$180,0,MATCH(T$2,Inputs!$K$4:$AJ$4,0))))+SUMPRODUCT((Inputs!$C$5:$C$180=$B71)*ISNUMBER(INDEX(Inputs!$K$5:$AJ$180,0,MATCH(T$2,Inputs!$K$4:$AJ$4,0))))+SUMPRODUCT((Inputs!$E$5:$E$180=$B71)*ISNUMBER(INDEX(Inputs!$K$5:$AJ$180,0,MATCH(T$2,Inputs!$K$4:$AJ$4,0))))=0,NA(),SUMPRODUCT((Inputs!$A$5:$A$180=$B71)*Inputs!$B$5:$B$180*(((Inputs!$G$5:$G$180="moeda")+(Inputs!$G$5:$G$180="acoes"))*Inputs!$B$1+((Inputs!$G$5:$G$180&lt;&gt;"moeda")*(Inputs!$G$5:$G$180&lt;&gt;"acoes")))*INDEX(Inputs!$K$5:$AJ$180,0,MATCH(T$2,Inputs!$K$4:$AJ$4,0)))+SUMPRODUCT((Inputs!$C$5:$C$180=$B71)*Inputs!$D$5:$D$180*(((Inputs!$G$5:$G$180="moeda")+(Inputs!$G$5:$G$180="acoes"))*Inputs!$B$1+((Inputs!$G$5:$G$180&lt;&gt;"moeda")*(Inputs!$G$5:$G$180&lt;&gt;"acoes")))*INDEX(Inputs!$K$5:$AJ$180,0,MATCH(T$2,Inputs!$K$4:$AJ$4,0)))+SUMPRODUCT((Inputs!$E$5:$E$180=$B71)*Inputs!$F$5:$F$180*(((Inputs!$G$5:$G$180="moeda")+(Inputs!$G$5:$G$180="acoes"))*Inputs!$B$1+((Inputs!$G$5:$G$180&lt;&gt;"moeda")*(Inputs!$G$5:$G$180&lt;&gt;"acoes")))*INDEX(Inputs!$K$5:$AJ$180,0,MATCH(T$2,Inputs!$K$4:$AJ$4,0)))))</f>
        <v>3.61204219</v>
      </c>
      <c r="U71" s="264">
        <f>IF(ISNA(MATCH(U$2,Inputs!$K$4:$AJ$4,0)),NA(),IF(SUMPRODUCT((Inputs!$A$5:$A$180=$B71)*ISNUMBER(INDEX(Inputs!$K$5:$AJ$180,0,MATCH(U$2,Inputs!$K$4:$AJ$4,0))))+SUMPRODUCT((Inputs!$C$5:$C$180=$B71)*ISNUMBER(INDEX(Inputs!$K$5:$AJ$180,0,MATCH(U$2,Inputs!$K$4:$AJ$4,0))))+SUMPRODUCT((Inputs!$E$5:$E$180=$B71)*ISNUMBER(INDEX(Inputs!$K$5:$AJ$180,0,MATCH(U$2,Inputs!$K$4:$AJ$4,0))))=0,NA(),SUMPRODUCT((Inputs!$A$5:$A$180=$B71)*Inputs!$B$5:$B$180*(((Inputs!$G$5:$G$180="moeda")+(Inputs!$G$5:$G$180="acoes"))*Inputs!$B$1+((Inputs!$G$5:$G$180&lt;&gt;"moeda")*(Inputs!$G$5:$G$180&lt;&gt;"acoes")))*INDEX(Inputs!$K$5:$AJ$180,0,MATCH(U$2,Inputs!$K$4:$AJ$4,0)))+SUMPRODUCT((Inputs!$C$5:$C$180=$B71)*Inputs!$D$5:$D$180*(((Inputs!$G$5:$G$180="moeda")+(Inputs!$G$5:$G$180="acoes"))*Inputs!$B$1+((Inputs!$G$5:$G$180&lt;&gt;"moeda")*(Inputs!$G$5:$G$180&lt;&gt;"acoes")))*INDEX(Inputs!$K$5:$AJ$180,0,MATCH(U$2,Inputs!$K$4:$AJ$4,0)))+SUMPRODUCT((Inputs!$E$5:$E$180=$B71)*Inputs!$F$5:$F$180*(((Inputs!$G$5:$G$180="moeda")+(Inputs!$G$5:$G$180="acoes"))*Inputs!$B$1+((Inputs!$G$5:$G$180&lt;&gt;"moeda")*(Inputs!$G$5:$G$180&lt;&gt;"acoes")))*INDEX(Inputs!$K$5:$AJ$180,0,MATCH(U$2,Inputs!$K$4:$AJ$4,0)))))</f>
        <v>5.258351</v>
      </c>
      <c r="V71" s="264">
        <f>IF(ISNA(MATCH(V$2,Inputs!$K$4:$AJ$4,0)),NA(),IF(SUMPRODUCT((Inputs!$A$5:$A$180=$B71)*ISNUMBER(INDEX(Inputs!$K$5:$AJ$180,0,MATCH(V$2,Inputs!$K$4:$AJ$4,0))))+SUMPRODUCT((Inputs!$C$5:$C$180=$B71)*ISNUMBER(INDEX(Inputs!$K$5:$AJ$180,0,MATCH(V$2,Inputs!$K$4:$AJ$4,0))))+SUMPRODUCT((Inputs!$E$5:$E$180=$B71)*ISNUMBER(INDEX(Inputs!$K$5:$AJ$180,0,MATCH(V$2,Inputs!$K$4:$AJ$4,0))))=0,NA(),SUMPRODUCT((Inputs!$A$5:$A$180=$B71)*Inputs!$B$5:$B$180*(((Inputs!$G$5:$G$180="moeda")+(Inputs!$G$5:$G$180="acoes"))*Inputs!$B$1+((Inputs!$G$5:$G$180&lt;&gt;"moeda")*(Inputs!$G$5:$G$180&lt;&gt;"acoes")))*INDEX(Inputs!$K$5:$AJ$180,0,MATCH(V$2,Inputs!$K$4:$AJ$4,0)))+SUMPRODUCT((Inputs!$C$5:$C$180=$B71)*Inputs!$D$5:$D$180*(((Inputs!$G$5:$G$180="moeda")+(Inputs!$G$5:$G$180="acoes"))*Inputs!$B$1+((Inputs!$G$5:$G$180&lt;&gt;"moeda")*(Inputs!$G$5:$G$180&lt;&gt;"acoes")))*INDEX(Inputs!$K$5:$AJ$180,0,MATCH(V$2,Inputs!$K$4:$AJ$4,0)))+SUMPRODUCT((Inputs!$E$5:$E$180=$B71)*Inputs!$F$5:$F$180*(((Inputs!$G$5:$G$180="moeda")+(Inputs!$G$5:$G$180="acoes"))*Inputs!$B$1+((Inputs!$G$5:$G$180&lt;&gt;"moeda")*(Inputs!$G$5:$G$180&lt;&gt;"acoes")))*INDEX(Inputs!$K$5:$AJ$180,0,MATCH(V$2,Inputs!$K$4:$AJ$4,0)))))</f>
        <v>4.04979064000047</v>
      </c>
      <c r="W71" s="265">
        <f>SUM(S71:V71)</f>
        <v>16.6667652600005</v>
      </c>
      <c r="X71" s="264">
        <f>IF(ISNA(MATCH(X$2,Inputs!$K$4:$AJ$4,0)),NA(),IF(SUMPRODUCT((Inputs!$A$5:$A$180=$B71)*ISNUMBER(INDEX(Inputs!$K$5:$AJ$180,0,MATCH(X$2,Inputs!$K$4:$AJ$4,0))))+SUMPRODUCT((Inputs!$C$5:$C$180=$B71)*ISNUMBER(INDEX(Inputs!$K$5:$AJ$180,0,MATCH(X$2,Inputs!$K$4:$AJ$4,0))))+SUMPRODUCT((Inputs!$E$5:$E$180=$B71)*ISNUMBER(INDEX(Inputs!$K$5:$AJ$180,0,MATCH(X$2,Inputs!$K$4:$AJ$4,0))))=0,NA(),SUMPRODUCT((Inputs!$A$5:$A$180=$B71)*Inputs!$B$5:$B$180*(((Inputs!$G$5:$G$180="moeda")+(Inputs!$G$5:$G$180="acoes"))*Inputs!$B$1+((Inputs!$G$5:$G$180&lt;&gt;"moeda")*(Inputs!$G$5:$G$180&lt;&gt;"acoes")))*INDEX(Inputs!$K$5:$AJ$180,0,MATCH(X$2,Inputs!$K$4:$AJ$4,0)))+SUMPRODUCT((Inputs!$C$5:$C$180=$B71)*Inputs!$D$5:$D$180*(((Inputs!$G$5:$G$180="moeda")+(Inputs!$G$5:$G$180="acoes"))*Inputs!$B$1+((Inputs!$G$5:$G$180&lt;&gt;"moeda")*(Inputs!$G$5:$G$180&lt;&gt;"acoes")))*INDEX(Inputs!$K$5:$AJ$180,0,MATCH(X$2,Inputs!$K$4:$AJ$4,0)))+SUMPRODUCT((Inputs!$E$5:$E$180=$B71)*Inputs!$F$5:$F$180*(((Inputs!$G$5:$G$180="moeda")+(Inputs!$G$5:$G$180="acoes"))*Inputs!$B$1+((Inputs!$G$5:$G$180&lt;&gt;"moeda")*(Inputs!$G$5:$G$180&lt;&gt;"acoes")))*INDEX(Inputs!$K$5:$AJ$180,0,MATCH(X$2,Inputs!$K$4:$AJ$4,0)))))</f>
        <v>7.51743652606063</v>
      </c>
      <c r="Y71" s="264">
        <f>IF(ISNA(MATCH(Y$2,Inputs!$K$4:$AJ$4,0)),NA(),IF(SUMPRODUCT((Inputs!$A$5:$A$180=$B71)*ISNUMBER(INDEX(Inputs!$K$5:$AJ$180,0,MATCH(Y$2,Inputs!$K$4:$AJ$4,0))))+SUMPRODUCT((Inputs!$C$5:$C$180=$B71)*ISNUMBER(INDEX(Inputs!$K$5:$AJ$180,0,MATCH(Y$2,Inputs!$K$4:$AJ$4,0))))+SUMPRODUCT((Inputs!$E$5:$E$180=$B71)*ISNUMBER(INDEX(Inputs!$K$5:$AJ$180,0,MATCH(Y$2,Inputs!$K$4:$AJ$4,0))))=0,NA(),SUMPRODUCT((Inputs!$A$5:$A$180=$B71)*Inputs!$B$5:$B$180*(((Inputs!$G$5:$G$180="moeda")+(Inputs!$G$5:$G$180="acoes"))*Inputs!$B$1+((Inputs!$G$5:$G$180&lt;&gt;"moeda")*(Inputs!$G$5:$G$180&lt;&gt;"acoes")))*INDEX(Inputs!$K$5:$AJ$180,0,MATCH(Y$2,Inputs!$K$4:$AJ$4,0)))+SUMPRODUCT((Inputs!$C$5:$C$180=$B71)*Inputs!$D$5:$D$180*(((Inputs!$G$5:$G$180="moeda")+(Inputs!$G$5:$G$180="acoes"))*Inputs!$B$1+((Inputs!$G$5:$G$180&lt;&gt;"moeda")*(Inputs!$G$5:$G$180&lt;&gt;"acoes")))*INDEX(Inputs!$K$5:$AJ$180,0,MATCH(Y$2,Inputs!$K$4:$AJ$4,0)))+SUMPRODUCT((Inputs!$E$5:$E$180=$B71)*Inputs!$F$5:$F$180*(((Inputs!$G$5:$G$180="moeda")+(Inputs!$G$5:$G$180="acoes"))*Inputs!$B$1+((Inputs!$G$5:$G$180&lt;&gt;"moeda")*(Inputs!$G$5:$G$180&lt;&gt;"acoes")))*INDEX(Inputs!$K$5:$AJ$180,0,MATCH(Y$2,Inputs!$K$4:$AJ$4,0)))))</f>
        <v>3.942458</v>
      </c>
      <c r="Z71" s="264">
        <f>IF(ISNA(MATCH(Z$2,Inputs!$K$4:$AJ$4,0)),NA(),IF(SUMPRODUCT((Inputs!$A$5:$A$180=$B71)*ISNUMBER(INDEX(Inputs!$K$5:$AJ$180,0,MATCH(Z$2,Inputs!$K$4:$AJ$4,0))))+SUMPRODUCT((Inputs!$C$5:$C$180=$B71)*ISNUMBER(INDEX(Inputs!$K$5:$AJ$180,0,MATCH(Z$2,Inputs!$K$4:$AJ$4,0))))+SUMPRODUCT((Inputs!$E$5:$E$180=$B71)*ISNUMBER(INDEX(Inputs!$K$5:$AJ$180,0,MATCH(Z$2,Inputs!$K$4:$AJ$4,0))))=0,NA(),SUMPRODUCT((Inputs!$A$5:$A$180=$B71)*Inputs!$B$5:$B$180*(((Inputs!$G$5:$G$180="moeda")+(Inputs!$G$5:$G$180="acoes"))*Inputs!$B$1+((Inputs!$G$5:$G$180&lt;&gt;"moeda")*(Inputs!$G$5:$G$180&lt;&gt;"acoes")))*INDEX(Inputs!$K$5:$AJ$180,0,MATCH(Z$2,Inputs!$K$4:$AJ$4,0)))+SUMPRODUCT((Inputs!$C$5:$C$180=$B71)*Inputs!$D$5:$D$180*(((Inputs!$G$5:$G$180="moeda")+(Inputs!$G$5:$G$180="acoes"))*Inputs!$B$1+((Inputs!$G$5:$G$180&lt;&gt;"moeda")*(Inputs!$G$5:$G$180&lt;&gt;"acoes")))*INDEX(Inputs!$K$5:$AJ$180,0,MATCH(Z$2,Inputs!$K$4:$AJ$4,0)))+SUMPRODUCT((Inputs!$E$5:$E$180=$B71)*Inputs!$F$5:$F$180*(((Inputs!$G$5:$G$180="moeda")+(Inputs!$G$5:$G$180="acoes"))*Inputs!$B$1+((Inputs!$G$5:$G$180&lt;&gt;"moeda")*(Inputs!$G$5:$G$180&lt;&gt;"acoes")))*INDEX(Inputs!$K$5:$AJ$180,0,MATCH(Z$2,Inputs!$K$4:$AJ$4,0)))))</f>
        <v>3.73384416999999</v>
      </c>
      <c r="AA71" s="264">
        <f>IF(ISNA(MATCH(AA$2,Inputs!$K$4:$AJ$4,0)),NA(),IF(SUMPRODUCT((Inputs!$A$5:$A$180=$B71)*ISNUMBER(INDEX(Inputs!$K$5:$AJ$180,0,MATCH(AA$2,Inputs!$K$4:$AJ$4,0))))+SUMPRODUCT((Inputs!$C$5:$C$180=$B71)*ISNUMBER(INDEX(Inputs!$K$5:$AJ$180,0,MATCH(AA$2,Inputs!$K$4:$AJ$4,0))))+SUMPRODUCT((Inputs!$E$5:$E$180=$B71)*ISNUMBER(INDEX(Inputs!$K$5:$AJ$180,0,MATCH(AA$2,Inputs!$K$4:$AJ$4,0))))=0,NA(),SUMPRODUCT((Inputs!$A$5:$A$180=$B71)*Inputs!$B$5:$B$180*(((Inputs!$G$5:$G$180="moeda")+(Inputs!$G$5:$G$180="acoes"))*Inputs!$B$1+((Inputs!$G$5:$G$180&lt;&gt;"moeda")*(Inputs!$G$5:$G$180&lt;&gt;"acoes")))*INDEX(Inputs!$K$5:$AJ$180,0,MATCH(AA$2,Inputs!$K$4:$AJ$4,0)))+SUMPRODUCT((Inputs!$C$5:$C$180=$B71)*Inputs!$D$5:$D$180*(((Inputs!$G$5:$G$180="moeda")+(Inputs!$G$5:$G$180="acoes"))*Inputs!$B$1+((Inputs!$G$5:$G$180&lt;&gt;"moeda")*(Inputs!$G$5:$G$180&lt;&gt;"acoes")))*INDEX(Inputs!$K$5:$AJ$180,0,MATCH(AA$2,Inputs!$K$4:$AJ$4,0)))+SUMPRODUCT((Inputs!$E$5:$E$180=$B71)*Inputs!$F$5:$F$180*(((Inputs!$G$5:$G$180="moeda")+(Inputs!$G$5:$G$180="acoes"))*Inputs!$B$1+((Inputs!$G$5:$G$180&lt;&gt;"moeda")*(Inputs!$G$5:$G$180&lt;&gt;"acoes")))*INDEX(Inputs!$K$5:$AJ$180,0,MATCH(AA$2,Inputs!$K$4:$AJ$4,0)))))</f>
        <v>2.66209727</v>
      </c>
      <c r="AB71" s="265">
        <f>SUM(X71:AA71)</f>
        <v>17.8558359660606</v>
      </c>
      <c r="AC71" s="264">
        <f>IF(ISNA(MATCH(AC$2,Inputs!$K$4:$AJ$4,0)),NA(),IF(SUMPRODUCT((Inputs!$A$5:$A$180=$B71)*ISNUMBER(INDEX(Inputs!$K$5:$AJ$180,0,MATCH(AC$2,Inputs!$K$4:$AJ$4,0))))+SUMPRODUCT((Inputs!$C$5:$C$180=$B71)*ISNUMBER(INDEX(Inputs!$K$5:$AJ$180,0,MATCH(AC$2,Inputs!$K$4:$AJ$4,0))))+SUMPRODUCT((Inputs!$E$5:$E$180=$B71)*ISNUMBER(INDEX(Inputs!$K$5:$AJ$180,0,MATCH(AC$2,Inputs!$K$4:$AJ$4,0))))=0,NA(),SUMPRODUCT((Inputs!$A$5:$A$180=$B71)*Inputs!$B$5:$B$180*(((Inputs!$G$5:$G$180="moeda")+(Inputs!$G$5:$G$180="acoes"))*Inputs!$B$1+((Inputs!$G$5:$G$180&lt;&gt;"moeda")*(Inputs!$G$5:$G$180&lt;&gt;"acoes")))*INDEX(Inputs!$K$5:$AJ$180,0,MATCH(AC$2,Inputs!$K$4:$AJ$4,0)))+SUMPRODUCT((Inputs!$C$5:$C$180=$B71)*Inputs!$D$5:$D$180*(((Inputs!$G$5:$G$180="moeda")+(Inputs!$G$5:$G$180="acoes"))*Inputs!$B$1+((Inputs!$G$5:$G$180&lt;&gt;"moeda")*(Inputs!$G$5:$G$180&lt;&gt;"acoes")))*INDEX(Inputs!$K$5:$AJ$180,0,MATCH(AC$2,Inputs!$K$4:$AJ$4,0)))+SUMPRODUCT((Inputs!$E$5:$E$180=$B71)*Inputs!$F$5:$F$180*(((Inputs!$G$5:$G$180="moeda")+(Inputs!$G$5:$G$180="acoes"))*Inputs!$B$1+((Inputs!$G$5:$G$180&lt;&gt;"moeda")*(Inputs!$G$5:$G$180&lt;&gt;"acoes")))*INDEX(Inputs!$K$5:$AJ$180,0,MATCH(AC$2,Inputs!$K$4:$AJ$4,0)))))</f>
        <v>2.82272868</v>
      </c>
      <c r="AD71" s="264">
        <f>IF(ISNA(MATCH(AD$2,Inputs!$K$4:$AJ$4,0)),NA(),IF(SUMPRODUCT((Inputs!$A$5:$A$180=$B71)*ISNUMBER(INDEX(Inputs!$K$5:$AJ$180,0,MATCH(AD$2,Inputs!$K$4:$AJ$4,0))))+SUMPRODUCT((Inputs!$C$5:$C$180=$B71)*ISNUMBER(INDEX(Inputs!$K$5:$AJ$180,0,MATCH(AD$2,Inputs!$K$4:$AJ$4,0))))+SUMPRODUCT((Inputs!$E$5:$E$180=$B71)*ISNUMBER(INDEX(Inputs!$K$5:$AJ$180,0,MATCH(AD$2,Inputs!$K$4:$AJ$4,0))))=0,NA(),SUMPRODUCT((Inputs!$A$5:$A$180=$B71)*Inputs!$B$5:$B$180*(((Inputs!$G$5:$G$180="moeda")+(Inputs!$G$5:$G$180="acoes"))*Inputs!$B$1+((Inputs!$G$5:$G$180&lt;&gt;"moeda")*(Inputs!$G$5:$G$180&lt;&gt;"acoes")))*INDEX(Inputs!$K$5:$AJ$180,0,MATCH(AD$2,Inputs!$K$4:$AJ$4,0)))+SUMPRODUCT((Inputs!$C$5:$C$180=$B71)*Inputs!$D$5:$D$180*(((Inputs!$G$5:$G$180="moeda")+(Inputs!$G$5:$G$180="acoes"))*Inputs!$B$1+((Inputs!$G$5:$G$180&lt;&gt;"moeda")*(Inputs!$G$5:$G$180&lt;&gt;"acoes")))*INDEX(Inputs!$K$5:$AJ$180,0,MATCH(AD$2,Inputs!$K$4:$AJ$4,0)))+SUMPRODUCT((Inputs!$E$5:$E$180=$B71)*Inputs!$F$5:$F$180*(((Inputs!$G$5:$G$180="moeda")+(Inputs!$G$5:$G$180="acoes"))*Inputs!$B$1+((Inputs!$G$5:$G$180&lt;&gt;"moeda")*(Inputs!$G$5:$G$180&lt;&gt;"acoes")))*INDEX(Inputs!$K$5:$AJ$180,0,MATCH(AD$2,Inputs!$K$4:$AJ$4,0)))))</f>
        <v>2.58547981</v>
      </c>
      <c r="AE71" s="264" t="e">
        <f>IF(ISNA(MATCH(AE$2,Inputs!$K$4:$AJ$4,0)),NA(),IF(SUMPRODUCT((Inputs!$A$5:$A$180=$B71)*ISNUMBER(INDEX(Inputs!$K$5:$AJ$180,0,MATCH(AE$2,Inputs!$K$4:$AJ$4,0))))+SUMPRODUCT((Inputs!$C$5:$C$180=$B71)*ISNUMBER(INDEX(Inputs!$K$5:$AJ$180,0,MATCH(AE$2,Inputs!$K$4:$AJ$4,0))))+SUMPRODUCT((Inputs!$E$5:$E$180=$B71)*ISNUMBER(INDEX(Inputs!$K$5:$AJ$180,0,MATCH(AE$2,Inputs!$K$4:$AJ$4,0))))=0,NA(),SUMPRODUCT((Inputs!$A$5:$A$180=$B71)*Inputs!$B$5:$B$180*(((Inputs!$G$5:$G$180="moeda")+(Inputs!$G$5:$G$180="acoes"))*Inputs!$B$1+((Inputs!$G$5:$G$180&lt;&gt;"moeda")*(Inputs!$G$5:$G$180&lt;&gt;"acoes")))*INDEX(Inputs!$K$5:$AJ$180,0,MATCH(AE$2,Inputs!$K$4:$AJ$4,0)))+SUMPRODUCT((Inputs!$C$5:$C$180=$B71)*Inputs!$D$5:$D$180*(((Inputs!$G$5:$G$180="moeda")+(Inputs!$G$5:$G$180="acoes"))*Inputs!$B$1+((Inputs!$G$5:$G$180&lt;&gt;"moeda")*(Inputs!$G$5:$G$180&lt;&gt;"acoes")))*INDEX(Inputs!$K$5:$AJ$180,0,MATCH(AE$2,Inputs!$K$4:$AJ$4,0)))+SUMPRODUCT((Inputs!$E$5:$E$180=$B71)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1" s="264" t="e">
        <f>IF(ISNA(MATCH(AF$2,Inputs!$K$4:$AJ$4,0)),NA(),IF(SUMPRODUCT((Inputs!$A$5:$A$180=$B71)*ISNUMBER(INDEX(Inputs!$K$5:$AJ$180,0,MATCH(AF$2,Inputs!$K$4:$AJ$4,0))))+SUMPRODUCT((Inputs!$C$5:$C$180=$B71)*ISNUMBER(INDEX(Inputs!$K$5:$AJ$180,0,MATCH(AF$2,Inputs!$K$4:$AJ$4,0))))+SUMPRODUCT((Inputs!$E$5:$E$180=$B71)*ISNUMBER(INDEX(Inputs!$K$5:$AJ$180,0,MATCH(AF$2,Inputs!$K$4:$AJ$4,0))))=0,NA(),SUMPRODUCT((Inputs!$A$5:$A$180=$B71)*Inputs!$B$5:$B$180*(((Inputs!$G$5:$G$180="moeda")+(Inputs!$G$5:$G$180="acoes"))*Inputs!$B$1+((Inputs!$G$5:$G$180&lt;&gt;"moeda")*(Inputs!$G$5:$G$180&lt;&gt;"acoes")))*INDEX(Inputs!$K$5:$AJ$180,0,MATCH(AF$2,Inputs!$K$4:$AJ$4,0)))+SUMPRODUCT((Inputs!$C$5:$C$180=$B71)*Inputs!$D$5:$D$180*(((Inputs!$G$5:$G$180="moeda")+(Inputs!$G$5:$G$180="acoes"))*Inputs!$B$1+((Inputs!$G$5:$G$180&lt;&gt;"moeda")*(Inputs!$G$5:$G$180&lt;&gt;"acoes")))*INDEX(Inputs!$K$5:$AJ$180,0,MATCH(AF$2,Inputs!$K$4:$AJ$4,0)))+SUMPRODUCT((Inputs!$E$5:$E$180=$B71)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1" s="265" t="e">
        <f>SUM(AC71:AF71)</f>
        <v>#N/A</v>
      </c>
      <c r="AH71" s="264">
        <f>IF(ISNA(MATCH(AH$2,Inputs!$K$4:$AJ$4,0)),NA(),IF(SUMPRODUCT((Inputs!$A$5:$A$180=$B71)*ISNUMBER(INDEX(Inputs!$K$5:$AJ$180,0,MATCH(AH$2,Inputs!$K$4:$AJ$4,0))))+SUMPRODUCT((Inputs!$C$5:$C$180=$B71)*ISNUMBER(INDEX(Inputs!$K$5:$AJ$180,0,MATCH(AH$2,Inputs!$K$4:$AJ$4,0))))+SUMPRODUCT((Inputs!$E$5:$E$180=$B71)*ISNUMBER(INDEX(Inputs!$K$5:$AJ$180,0,MATCH(AH$2,Inputs!$K$4:$AJ$4,0))))=0,NA(),SUMPRODUCT((Inputs!$A$5:$A$180=$B71)*Inputs!$B$5:$B$180*(((Inputs!$G$5:$G$180="moeda")+(Inputs!$G$5:$G$180="acoes"))*Inputs!$B$1+((Inputs!$G$5:$G$180&lt;&gt;"moeda")*(Inputs!$G$5:$G$180&lt;&gt;"acoes")))*INDEX(Inputs!$K$5:$AJ$180,0,MATCH(AH$2,Inputs!$K$4:$AJ$4,0)))+SUMPRODUCT((Inputs!$C$5:$C$180=$B71)*Inputs!$D$5:$D$180*(((Inputs!$G$5:$G$180="moeda")+(Inputs!$G$5:$G$180="acoes"))*Inputs!$B$1+((Inputs!$G$5:$G$180&lt;&gt;"moeda")*(Inputs!$G$5:$G$180&lt;&gt;"acoes")))*INDEX(Inputs!$K$5:$AJ$180,0,MATCH(AH$2,Inputs!$K$4:$AJ$4,0)))+SUMPRODUCT((Inputs!$E$5:$E$180=$B71)*Inputs!$F$5:$F$180*(((Inputs!$G$5:$G$180="moeda")+(Inputs!$G$5:$G$180="acoes"))*Inputs!$B$1+((Inputs!$G$5:$G$180&lt;&gt;"moeda")*(Inputs!$G$5:$G$180&lt;&gt;"acoes")))*INDEX(Inputs!$K$5:$AJ$180,0,MATCH(AH$2,Inputs!$K$4:$AJ$4,0)))))</f>
        <v>1.009</v>
      </c>
      <c r="AI71" s="264">
        <f>IF(ISNA(MATCH(AI$2,Inputs!$K$4:$AJ$4,0)),NA(),IF(SUMPRODUCT((Inputs!$A$5:$A$180=$B71)*ISNUMBER(INDEX(Inputs!$K$5:$AJ$180,0,MATCH(AI$2,Inputs!$K$4:$AJ$4,0))))+SUMPRODUCT((Inputs!$C$5:$C$180=$B71)*ISNUMBER(INDEX(Inputs!$K$5:$AJ$180,0,MATCH(AI$2,Inputs!$K$4:$AJ$4,0))))+SUMPRODUCT((Inputs!$E$5:$E$180=$B71)*ISNUMBER(INDEX(Inputs!$K$5:$AJ$180,0,MATCH(AI$2,Inputs!$K$4:$AJ$4,0))))=0,NA(),SUMPRODUCT((Inputs!$A$5:$A$180=$B71)*Inputs!$B$5:$B$180*(((Inputs!$G$5:$G$180="moeda")+(Inputs!$G$5:$G$180="acoes"))*Inputs!$B$1+((Inputs!$G$5:$G$180&lt;&gt;"moeda")*(Inputs!$G$5:$G$180&lt;&gt;"acoes")))*INDEX(Inputs!$K$5:$AJ$180,0,MATCH(AI$2,Inputs!$K$4:$AJ$4,0)))+SUMPRODUCT((Inputs!$C$5:$C$180=$B71)*Inputs!$D$5:$D$180*(((Inputs!$G$5:$G$180="moeda")+(Inputs!$G$5:$G$180="acoes"))*Inputs!$B$1+((Inputs!$G$5:$G$180&lt;&gt;"moeda")*(Inputs!$G$5:$G$180&lt;&gt;"acoes")))*INDEX(Inputs!$K$5:$AJ$180,0,MATCH(AI$2,Inputs!$K$4:$AJ$4,0)))+SUMPRODUCT((Inputs!$E$5:$E$180=$B71)*Inputs!$F$5:$F$180*(((Inputs!$G$5:$G$180="moeda")+(Inputs!$G$5:$G$180="acoes"))*Inputs!$B$1+((Inputs!$G$5:$G$180&lt;&gt;"moeda")*(Inputs!$G$5:$G$180&lt;&gt;"acoes")))*INDEX(Inputs!$K$5:$AJ$180,0,MATCH(AI$2,Inputs!$K$4:$AJ$4,0)))))</f>
        <v>0.245</v>
      </c>
      <c r="AJ71" s="264">
        <f>IF(ISNA(MATCH(AJ$2,Inputs!$K$4:$AJ$4,0)),NA(),IF(SUMPRODUCT((Inputs!$A$5:$A$180=$B71)*ISNUMBER(INDEX(Inputs!$K$5:$AJ$180,0,MATCH(AJ$2,Inputs!$K$4:$AJ$4,0))))+SUMPRODUCT((Inputs!$C$5:$C$180=$B71)*ISNUMBER(INDEX(Inputs!$K$5:$AJ$180,0,MATCH(AJ$2,Inputs!$K$4:$AJ$4,0))))+SUMPRODUCT((Inputs!$E$5:$E$180=$B71)*ISNUMBER(INDEX(Inputs!$K$5:$AJ$180,0,MATCH(AJ$2,Inputs!$K$4:$AJ$4,0))))=0,NA(),SUMPRODUCT((Inputs!$A$5:$A$180=$B71)*Inputs!$B$5:$B$180*(((Inputs!$G$5:$G$180="moeda")+(Inputs!$G$5:$G$180="acoes"))*Inputs!$B$1+((Inputs!$G$5:$G$180&lt;&gt;"moeda")*(Inputs!$G$5:$G$180&lt;&gt;"acoes")))*INDEX(Inputs!$K$5:$AJ$180,0,MATCH(AJ$2,Inputs!$K$4:$AJ$4,0)))+SUMPRODUCT((Inputs!$C$5:$C$180=$B71)*Inputs!$D$5:$D$180*(((Inputs!$G$5:$G$180="moeda")+(Inputs!$G$5:$G$180="acoes"))*Inputs!$B$1+((Inputs!$G$5:$G$180&lt;&gt;"moeda")*(Inputs!$G$5:$G$180&lt;&gt;"acoes")))*INDEX(Inputs!$K$5:$AJ$180,0,MATCH(AJ$2,Inputs!$K$4:$AJ$4,0)))+SUMPRODUCT((Inputs!$E$5:$E$180=$B71)*Inputs!$F$5:$F$180*(((Inputs!$G$5:$G$180="moeda")+(Inputs!$G$5:$G$180="acoes"))*Inputs!$B$1+((Inputs!$G$5:$G$180&lt;&gt;"moeda")*(Inputs!$G$5:$G$180&lt;&gt;"acoes")))*INDEX(Inputs!$K$5:$AJ$180,0,MATCH(AJ$2,Inputs!$K$4:$AJ$4,0)))))</f>
        <v>0.966</v>
      </c>
      <c r="AK71" s="264">
        <f>IF(ISNA(MATCH(AK$2,Inputs!$K$4:$AJ$4,0)),NA(),IF(SUMPRODUCT((Inputs!$A$5:$A$180=$B71)*ISNUMBER(INDEX(Inputs!$K$5:$AJ$180,0,MATCH(AK$2,Inputs!$K$4:$AJ$4,0))))+SUMPRODUCT((Inputs!$C$5:$C$180=$B71)*ISNUMBER(INDEX(Inputs!$K$5:$AJ$180,0,MATCH(AK$2,Inputs!$K$4:$AJ$4,0))))+SUMPRODUCT((Inputs!$E$5:$E$180=$B71)*ISNUMBER(INDEX(Inputs!$K$5:$AJ$180,0,MATCH(AK$2,Inputs!$K$4:$AJ$4,0))))=0,NA(),SUMPRODUCT((Inputs!$A$5:$A$180=$B71)*Inputs!$B$5:$B$180*(((Inputs!$G$5:$G$180="moeda")+(Inputs!$G$5:$G$180="acoes"))*Inputs!$B$1+((Inputs!$G$5:$G$180&lt;&gt;"moeda")*(Inputs!$G$5:$G$180&lt;&gt;"acoes")))*INDEX(Inputs!$K$5:$AJ$180,0,MATCH(AK$2,Inputs!$K$4:$AJ$4,0)))+SUMPRODUCT((Inputs!$C$5:$C$180=$B71)*Inputs!$D$5:$D$180*(((Inputs!$G$5:$G$180="moeda")+(Inputs!$G$5:$G$180="acoes"))*Inputs!$B$1+((Inputs!$G$5:$G$180&lt;&gt;"moeda")*(Inputs!$G$5:$G$180&lt;&gt;"acoes")))*INDEX(Inputs!$K$5:$AJ$180,0,MATCH(AK$2,Inputs!$K$4:$AJ$4,0)))+SUMPRODUCT((Inputs!$E$5:$E$180=$B71)*Inputs!$F$5:$F$180*(((Inputs!$G$5:$G$180="moeda")+(Inputs!$G$5:$G$180="acoes"))*Inputs!$B$1+((Inputs!$G$5:$G$180&lt;&gt;"moeda")*(Inputs!$G$5:$G$180&lt;&gt;"acoes")))*INDEX(Inputs!$K$5:$AJ$180,0,MATCH(AK$2,Inputs!$K$4:$AJ$4,0)))))</f>
        <v>1.270801924</v>
      </c>
      <c r="AL71" s="265">
        <f>SUM(AH71:AK71)</f>
        <v>3.490801924</v>
      </c>
    </row>
    <row r="72">
      <c r="B72" s="46" t="n">
        <v>64</v>
      </c>
      <c r="C72" s="29" t="inlineStr">
        <is>
          <t>Capex - sistemas/TI (l.26)</t>
        </is>
      </c>
      <c r="D72" s="264">
        <f>IF(ISNA(MATCH(D$2,Inputs!$K$4:$AJ$4,0)),NA(),IF(SUMPRODUCT((Inputs!$A$5:$A$180=$B72)*ISNUMBER(INDEX(Inputs!$K$5:$AJ$180,0,MATCH(D$2,Inputs!$K$4:$AJ$4,0))))+SUMPRODUCT((Inputs!$C$5:$C$180=$B72)*ISNUMBER(INDEX(Inputs!$K$5:$AJ$180,0,MATCH(D$2,Inputs!$K$4:$AJ$4,0))))+SUMPRODUCT((Inputs!$E$5:$E$180=$B72)*ISNUMBER(INDEX(Inputs!$K$5:$AJ$180,0,MATCH(D$2,Inputs!$K$4:$AJ$4,0))))=0,NA(),SUMPRODUCT((Inputs!$A$5:$A$180=$B72)*Inputs!$B$5:$B$180*(((Inputs!$G$5:$G$180="moeda")+(Inputs!$G$5:$G$180="acoes"))*Inputs!$B$1+((Inputs!$G$5:$G$180&lt;&gt;"moeda")*(Inputs!$G$5:$G$180&lt;&gt;"acoes")))*INDEX(Inputs!$K$5:$AJ$180,0,MATCH(D$2,Inputs!$K$4:$AJ$4,0)))+SUMPRODUCT((Inputs!$C$5:$C$180=$B72)*Inputs!$D$5:$D$180*(((Inputs!$G$5:$G$180="moeda")+(Inputs!$G$5:$G$180="acoes"))*Inputs!$B$1+((Inputs!$G$5:$G$180&lt;&gt;"moeda")*(Inputs!$G$5:$G$180&lt;&gt;"acoes")))*INDEX(Inputs!$K$5:$AJ$180,0,MATCH(D$2,Inputs!$K$4:$AJ$4,0)))+SUMPRODUCT((Inputs!$E$5:$E$180=$B72)*Inputs!$F$5:$F$180*(((Inputs!$G$5:$G$180="moeda")+(Inputs!$G$5:$G$180="acoes"))*Inputs!$B$1+((Inputs!$G$5:$G$180&lt;&gt;"moeda")*(Inputs!$G$5:$G$180&lt;&gt;"acoes")))*INDEX(Inputs!$K$5:$AJ$180,0,MATCH(D$2,Inputs!$K$4:$AJ$4,0)))))</f>
        <v>2.83834666</v>
      </c>
      <c r="E72" s="264">
        <f>IF(ISNA(MATCH(E$2,Inputs!$K$4:$AJ$4,0)),NA(),IF(SUMPRODUCT((Inputs!$A$5:$A$180=$B72)*ISNUMBER(INDEX(Inputs!$K$5:$AJ$180,0,MATCH(E$2,Inputs!$K$4:$AJ$4,0))))+SUMPRODUCT((Inputs!$C$5:$C$180=$B72)*ISNUMBER(INDEX(Inputs!$K$5:$AJ$180,0,MATCH(E$2,Inputs!$K$4:$AJ$4,0))))+SUMPRODUCT((Inputs!$E$5:$E$180=$B72)*ISNUMBER(INDEX(Inputs!$K$5:$AJ$180,0,MATCH(E$2,Inputs!$K$4:$AJ$4,0))))=0,NA(),SUMPRODUCT((Inputs!$A$5:$A$180=$B72)*Inputs!$B$5:$B$180*(((Inputs!$G$5:$G$180="moeda")+(Inputs!$G$5:$G$180="acoes"))*Inputs!$B$1+((Inputs!$G$5:$G$180&lt;&gt;"moeda")*(Inputs!$G$5:$G$180&lt;&gt;"acoes")))*INDEX(Inputs!$K$5:$AJ$180,0,MATCH(E$2,Inputs!$K$4:$AJ$4,0)))+SUMPRODUCT((Inputs!$C$5:$C$180=$B72)*Inputs!$D$5:$D$180*(((Inputs!$G$5:$G$180="moeda")+(Inputs!$G$5:$G$180="acoes"))*Inputs!$B$1+((Inputs!$G$5:$G$180&lt;&gt;"moeda")*(Inputs!$G$5:$G$180&lt;&gt;"acoes")))*INDEX(Inputs!$K$5:$AJ$180,0,MATCH(E$2,Inputs!$K$4:$AJ$4,0)))+SUMPRODUCT((Inputs!$E$5:$E$180=$B72)*Inputs!$F$5:$F$180*(((Inputs!$G$5:$G$180="moeda")+(Inputs!$G$5:$G$180="acoes"))*Inputs!$B$1+((Inputs!$G$5:$G$180&lt;&gt;"moeda")*(Inputs!$G$5:$G$180&lt;&gt;"acoes")))*INDEX(Inputs!$K$5:$AJ$180,0,MATCH(E$2,Inputs!$K$4:$AJ$4,0)))))</f>
        <v>4.75768972</v>
      </c>
      <c r="F72" s="264">
        <f>IF(ISNA(MATCH(F$2,Inputs!$K$4:$AJ$4,0)),NA(),IF(SUMPRODUCT((Inputs!$A$5:$A$180=$B72)*ISNUMBER(INDEX(Inputs!$K$5:$AJ$180,0,MATCH(F$2,Inputs!$K$4:$AJ$4,0))))+SUMPRODUCT((Inputs!$C$5:$C$180=$B72)*ISNUMBER(INDEX(Inputs!$K$5:$AJ$180,0,MATCH(F$2,Inputs!$K$4:$AJ$4,0))))+SUMPRODUCT((Inputs!$E$5:$E$180=$B72)*ISNUMBER(INDEX(Inputs!$K$5:$AJ$180,0,MATCH(F$2,Inputs!$K$4:$AJ$4,0))))=0,NA(),SUMPRODUCT((Inputs!$A$5:$A$180=$B72)*Inputs!$B$5:$B$180*(((Inputs!$G$5:$G$180="moeda")+(Inputs!$G$5:$G$180="acoes"))*Inputs!$B$1+((Inputs!$G$5:$G$180&lt;&gt;"moeda")*(Inputs!$G$5:$G$180&lt;&gt;"acoes")))*INDEX(Inputs!$K$5:$AJ$180,0,MATCH(F$2,Inputs!$K$4:$AJ$4,0)))+SUMPRODUCT((Inputs!$C$5:$C$180=$B72)*Inputs!$D$5:$D$180*(((Inputs!$G$5:$G$180="moeda")+(Inputs!$G$5:$G$180="acoes"))*Inputs!$B$1+((Inputs!$G$5:$G$180&lt;&gt;"moeda")*(Inputs!$G$5:$G$180&lt;&gt;"acoes")))*INDEX(Inputs!$K$5:$AJ$180,0,MATCH(F$2,Inputs!$K$4:$AJ$4,0)))+SUMPRODUCT((Inputs!$E$5:$E$180=$B72)*Inputs!$F$5:$F$180*(((Inputs!$G$5:$G$180="moeda")+(Inputs!$G$5:$G$180="acoes"))*Inputs!$B$1+((Inputs!$G$5:$G$180&lt;&gt;"moeda")*(Inputs!$G$5:$G$180&lt;&gt;"acoes")))*INDEX(Inputs!$K$5:$AJ$180,0,MATCH(F$2,Inputs!$K$4:$AJ$4,0)))))</f>
        <v>3.59592289</v>
      </c>
      <c r="G72" s="264">
        <f>IF(ISNA(MATCH(G$2,Inputs!$K$4:$AJ$4,0)),NA(),IF(SUMPRODUCT((Inputs!$A$5:$A$180=$B72)*ISNUMBER(INDEX(Inputs!$K$5:$AJ$180,0,MATCH(G$2,Inputs!$K$4:$AJ$4,0))))+SUMPRODUCT((Inputs!$C$5:$C$180=$B72)*ISNUMBER(INDEX(Inputs!$K$5:$AJ$180,0,MATCH(G$2,Inputs!$K$4:$AJ$4,0))))+SUMPRODUCT((Inputs!$E$5:$E$180=$B72)*ISNUMBER(INDEX(Inputs!$K$5:$AJ$180,0,MATCH(G$2,Inputs!$K$4:$AJ$4,0))))=0,NA(),SUMPRODUCT((Inputs!$A$5:$A$180=$B72)*Inputs!$B$5:$B$180*(((Inputs!$G$5:$G$180="moeda")+(Inputs!$G$5:$G$180="acoes"))*Inputs!$B$1+((Inputs!$G$5:$G$180&lt;&gt;"moeda")*(Inputs!$G$5:$G$180&lt;&gt;"acoes")))*INDEX(Inputs!$K$5:$AJ$180,0,MATCH(G$2,Inputs!$K$4:$AJ$4,0)))+SUMPRODUCT((Inputs!$C$5:$C$180=$B72)*Inputs!$D$5:$D$180*(((Inputs!$G$5:$G$180="moeda")+(Inputs!$G$5:$G$180="acoes"))*Inputs!$B$1+((Inputs!$G$5:$G$180&lt;&gt;"moeda")*(Inputs!$G$5:$G$180&lt;&gt;"acoes")))*INDEX(Inputs!$K$5:$AJ$180,0,MATCH(G$2,Inputs!$K$4:$AJ$4,0)))+SUMPRODUCT((Inputs!$E$5:$E$180=$B72)*Inputs!$F$5:$F$180*(((Inputs!$G$5:$G$180="moeda")+(Inputs!$G$5:$G$180="acoes"))*Inputs!$B$1+((Inputs!$G$5:$G$180&lt;&gt;"moeda")*(Inputs!$G$5:$G$180&lt;&gt;"acoes")))*INDEX(Inputs!$K$5:$AJ$180,0,MATCH(G$2,Inputs!$K$4:$AJ$4,0)))))</f>
        <v>16.3214025</v>
      </c>
      <c r="H72" s="265">
        <f>SUM(D72:G72)</f>
        <v>27.51336177</v>
      </c>
      <c r="I72" s="264">
        <f>IF(ISNA(MATCH(I$2,Inputs!$K$4:$AJ$4,0)),NA(),IF(SUMPRODUCT((Inputs!$A$5:$A$180=$B72)*ISNUMBER(INDEX(Inputs!$K$5:$AJ$180,0,MATCH(I$2,Inputs!$K$4:$AJ$4,0))))+SUMPRODUCT((Inputs!$C$5:$C$180=$B72)*ISNUMBER(INDEX(Inputs!$K$5:$AJ$180,0,MATCH(I$2,Inputs!$K$4:$AJ$4,0))))+SUMPRODUCT((Inputs!$E$5:$E$180=$B72)*ISNUMBER(INDEX(Inputs!$K$5:$AJ$180,0,MATCH(I$2,Inputs!$K$4:$AJ$4,0))))=0,NA(),SUMPRODUCT((Inputs!$A$5:$A$180=$B72)*Inputs!$B$5:$B$180*(((Inputs!$G$5:$G$180="moeda")+(Inputs!$G$5:$G$180="acoes"))*Inputs!$B$1+((Inputs!$G$5:$G$180&lt;&gt;"moeda")*(Inputs!$G$5:$G$180&lt;&gt;"acoes")))*INDEX(Inputs!$K$5:$AJ$180,0,MATCH(I$2,Inputs!$K$4:$AJ$4,0)))+SUMPRODUCT((Inputs!$C$5:$C$180=$B72)*Inputs!$D$5:$D$180*(((Inputs!$G$5:$G$180="moeda")+(Inputs!$G$5:$G$180="acoes"))*Inputs!$B$1+((Inputs!$G$5:$G$180&lt;&gt;"moeda")*(Inputs!$G$5:$G$180&lt;&gt;"acoes")))*INDEX(Inputs!$K$5:$AJ$180,0,MATCH(I$2,Inputs!$K$4:$AJ$4,0)))+SUMPRODUCT((Inputs!$E$5:$E$180=$B72)*Inputs!$F$5:$F$180*(((Inputs!$G$5:$G$180="moeda")+(Inputs!$G$5:$G$180="acoes"))*Inputs!$B$1+((Inputs!$G$5:$G$180&lt;&gt;"moeda")*(Inputs!$G$5:$G$180&lt;&gt;"acoes")))*INDEX(Inputs!$K$5:$AJ$180,0,MATCH(I$2,Inputs!$K$4:$AJ$4,0)))))</f>
        <v>4.18521812</v>
      </c>
      <c r="J72" s="264">
        <f>IF(ISNA(MATCH(J$2,Inputs!$K$4:$AJ$4,0)),NA(),IF(SUMPRODUCT((Inputs!$A$5:$A$180=$B72)*ISNUMBER(INDEX(Inputs!$K$5:$AJ$180,0,MATCH(J$2,Inputs!$K$4:$AJ$4,0))))+SUMPRODUCT((Inputs!$C$5:$C$180=$B72)*ISNUMBER(INDEX(Inputs!$K$5:$AJ$180,0,MATCH(J$2,Inputs!$K$4:$AJ$4,0))))+SUMPRODUCT((Inputs!$E$5:$E$180=$B72)*ISNUMBER(INDEX(Inputs!$K$5:$AJ$180,0,MATCH(J$2,Inputs!$K$4:$AJ$4,0))))=0,NA(),SUMPRODUCT((Inputs!$A$5:$A$180=$B72)*Inputs!$B$5:$B$180*(((Inputs!$G$5:$G$180="moeda")+(Inputs!$G$5:$G$180="acoes"))*Inputs!$B$1+((Inputs!$G$5:$G$180&lt;&gt;"moeda")*(Inputs!$G$5:$G$180&lt;&gt;"acoes")))*INDEX(Inputs!$K$5:$AJ$180,0,MATCH(J$2,Inputs!$K$4:$AJ$4,0)))+SUMPRODUCT((Inputs!$C$5:$C$180=$B72)*Inputs!$D$5:$D$180*(((Inputs!$G$5:$G$180="moeda")+(Inputs!$G$5:$G$180="acoes"))*Inputs!$B$1+((Inputs!$G$5:$G$180&lt;&gt;"moeda")*(Inputs!$G$5:$G$180&lt;&gt;"acoes")))*INDEX(Inputs!$K$5:$AJ$180,0,MATCH(J$2,Inputs!$K$4:$AJ$4,0)))+SUMPRODUCT((Inputs!$E$5:$E$180=$B72)*Inputs!$F$5:$F$180*(((Inputs!$G$5:$G$180="moeda")+(Inputs!$G$5:$G$180="acoes"))*Inputs!$B$1+((Inputs!$G$5:$G$180&lt;&gt;"moeda")*(Inputs!$G$5:$G$180&lt;&gt;"acoes")))*INDEX(Inputs!$K$5:$AJ$180,0,MATCH(J$2,Inputs!$K$4:$AJ$4,0)))))</f>
        <v>5.59648553</v>
      </c>
      <c r="K72" s="264">
        <f>IF(ISNA(MATCH(K$2,Inputs!$K$4:$AJ$4,0)),NA(),IF(SUMPRODUCT((Inputs!$A$5:$A$180=$B72)*ISNUMBER(INDEX(Inputs!$K$5:$AJ$180,0,MATCH(K$2,Inputs!$K$4:$AJ$4,0))))+SUMPRODUCT((Inputs!$C$5:$C$180=$B72)*ISNUMBER(INDEX(Inputs!$K$5:$AJ$180,0,MATCH(K$2,Inputs!$K$4:$AJ$4,0))))+SUMPRODUCT((Inputs!$E$5:$E$180=$B72)*ISNUMBER(INDEX(Inputs!$K$5:$AJ$180,0,MATCH(K$2,Inputs!$K$4:$AJ$4,0))))=0,NA(),SUMPRODUCT((Inputs!$A$5:$A$180=$B72)*Inputs!$B$5:$B$180*(((Inputs!$G$5:$G$180="moeda")+(Inputs!$G$5:$G$180="acoes"))*Inputs!$B$1+((Inputs!$G$5:$G$180&lt;&gt;"moeda")*(Inputs!$G$5:$G$180&lt;&gt;"acoes")))*INDEX(Inputs!$K$5:$AJ$180,0,MATCH(K$2,Inputs!$K$4:$AJ$4,0)))+SUMPRODUCT((Inputs!$C$5:$C$180=$B72)*Inputs!$D$5:$D$180*(((Inputs!$G$5:$G$180="moeda")+(Inputs!$G$5:$G$180="acoes"))*Inputs!$B$1+((Inputs!$G$5:$G$180&lt;&gt;"moeda")*(Inputs!$G$5:$G$180&lt;&gt;"acoes")))*INDEX(Inputs!$K$5:$AJ$180,0,MATCH(K$2,Inputs!$K$4:$AJ$4,0)))+SUMPRODUCT((Inputs!$E$5:$E$180=$B72)*Inputs!$F$5:$F$180*(((Inputs!$G$5:$G$180="moeda")+(Inputs!$G$5:$G$180="acoes"))*Inputs!$B$1+((Inputs!$G$5:$G$180&lt;&gt;"moeda")*(Inputs!$G$5:$G$180&lt;&gt;"acoes")))*INDEX(Inputs!$K$5:$AJ$180,0,MATCH(K$2,Inputs!$K$4:$AJ$4,0)))))</f>
        <v>10.06671273</v>
      </c>
      <c r="L72" s="264">
        <f>IF(ISNA(MATCH(L$2,Inputs!$K$4:$AJ$4,0)),NA(),IF(SUMPRODUCT((Inputs!$A$5:$A$180=$B72)*ISNUMBER(INDEX(Inputs!$K$5:$AJ$180,0,MATCH(L$2,Inputs!$K$4:$AJ$4,0))))+SUMPRODUCT((Inputs!$C$5:$C$180=$B72)*ISNUMBER(INDEX(Inputs!$K$5:$AJ$180,0,MATCH(L$2,Inputs!$K$4:$AJ$4,0))))+SUMPRODUCT((Inputs!$E$5:$E$180=$B72)*ISNUMBER(INDEX(Inputs!$K$5:$AJ$180,0,MATCH(L$2,Inputs!$K$4:$AJ$4,0))))=0,NA(),SUMPRODUCT((Inputs!$A$5:$A$180=$B72)*Inputs!$B$5:$B$180*(((Inputs!$G$5:$G$180="moeda")+(Inputs!$G$5:$G$180="acoes"))*Inputs!$B$1+((Inputs!$G$5:$G$180&lt;&gt;"moeda")*(Inputs!$G$5:$G$180&lt;&gt;"acoes")))*INDEX(Inputs!$K$5:$AJ$180,0,MATCH(L$2,Inputs!$K$4:$AJ$4,0)))+SUMPRODUCT((Inputs!$C$5:$C$180=$B72)*Inputs!$D$5:$D$180*(((Inputs!$G$5:$G$180="moeda")+(Inputs!$G$5:$G$180="acoes"))*Inputs!$B$1+((Inputs!$G$5:$G$180&lt;&gt;"moeda")*(Inputs!$G$5:$G$180&lt;&gt;"acoes")))*INDEX(Inputs!$K$5:$AJ$180,0,MATCH(L$2,Inputs!$K$4:$AJ$4,0)))+SUMPRODUCT((Inputs!$E$5:$E$180=$B72)*Inputs!$F$5:$F$180*(((Inputs!$G$5:$G$180="moeda")+(Inputs!$G$5:$G$180="acoes"))*Inputs!$B$1+((Inputs!$G$5:$G$180&lt;&gt;"moeda")*(Inputs!$G$5:$G$180&lt;&gt;"acoes")))*INDEX(Inputs!$K$5:$AJ$180,0,MATCH(L$2,Inputs!$K$4:$AJ$4,0)))))</f>
        <v>6.0421294</v>
      </c>
      <c r="M72" s="265">
        <f>SUM(I72:L72)</f>
        <v>25.89054578</v>
      </c>
      <c r="N72" s="264">
        <f>IF(ISNA(MATCH(N$2,Inputs!$K$4:$AJ$4,0)),NA(),IF(SUMPRODUCT((Inputs!$A$5:$A$180=$B72)*ISNUMBER(INDEX(Inputs!$K$5:$AJ$180,0,MATCH(N$2,Inputs!$K$4:$AJ$4,0))))+SUMPRODUCT((Inputs!$C$5:$C$180=$B72)*ISNUMBER(INDEX(Inputs!$K$5:$AJ$180,0,MATCH(N$2,Inputs!$K$4:$AJ$4,0))))+SUMPRODUCT((Inputs!$E$5:$E$180=$B72)*ISNUMBER(INDEX(Inputs!$K$5:$AJ$180,0,MATCH(N$2,Inputs!$K$4:$AJ$4,0))))=0,NA(),SUMPRODUCT((Inputs!$A$5:$A$180=$B72)*Inputs!$B$5:$B$180*(((Inputs!$G$5:$G$180="moeda")+(Inputs!$G$5:$G$180="acoes"))*Inputs!$B$1+((Inputs!$G$5:$G$180&lt;&gt;"moeda")*(Inputs!$G$5:$G$180&lt;&gt;"acoes")))*INDEX(Inputs!$K$5:$AJ$180,0,MATCH(N$2,Inputs!$K$4:$AJ$4,0)))+SUMPRODUCT((Inputs!$C$5:$C$180=$B72)*Inputs!$D$5:$D$180*(((Inputs!$G$5:$G$180="moeda")+(Inputs!$G$5:$G$180="acoes"))*Inputs!$B$1+((Inputs!$G$5:$G$180&lt;&gt;"moeda")*(Inputs!$G$5:$G$180&lt;&gt;"acoes")))*INDEX(Inputs!$K$5:$AJ$180,0,MATCH(N$2,Inputs!$K$4:$AJ$4,0)))+SUMPRODUCT((Inputs!$E$5:$E$180=$B72)*Inputs!$F$5:$F$180*(((Inputs!$G$5:$G$180="moeda")+(Inputs!$G$5:$G$180="acoes"))*Inputs!$B$1+((Inputs!$G$5:$G$180&lt;&gt;"moeda")*(Inputs!$G$5:$G$180&lt;&gt;"acoes")))*INDEX(Inputs!$K$5:$AJ$180,0,MATCH(N$2,Inputs!$K$4:$AJ$4,0)))))</f>
        <v>4.28437267</v>
      </c>
      <c r="O72" s="264">
        <f>IF(ISNA(MATCH(O$2,Inputs!$K$4:$AJ$4,0)),NA(),IF(SUMPRODUCT((Inputs!$A$5:$A$180=$B72)*ISNUMBER(INDEX(Inputs!$K$5:$AJ$180,0,MATCH(O$2,Inputs!$K$4:$AJ$4,0))))+SUMPRODUCT((Inputs!$C$5:$C$180=$B72)*ISNUMBER(INDEX(Inputs!$K$5:$AJ$180,0,MATCH(O$2,Inputs!$K$4:$AJ$4,0))))+SUMPRODUCT((Inputs!$E$5:$E$180=$B72)*ISNUMBER(INDEX(Inputs!$K$5:$AJ$180,0,MATCH(O$2,Inputs!$K$4:$AJ$4,0))))=0,NA(),SUMPRODUCT((Inputs!$A$5:$A$180=$B72)*Inputs!$B$5:$B$180*(((Inputs!$G$5:$G$180="moeda")+(Inputs!$G$5:$G$180="acoes"))*Inputs!$B$1+((Inputs!$G$5:$G$180&lt;&gt;"moeda")*(Inputs!$G$5:$G$180&lt;&gt;"acoes")))*INDEX(Inputs!$K$5:$AJ$180,0,MATCH(O$2,Inputs!$K$4:$AJ$4,0)))+SUMPRODUCT((Inputs!$C$5:$C$180=$B72)*Inputs!$D$5:$D$180*(((Inputs!$G$5:$G$180="moeda")+(Inputs!$G$5:$G$180="acoes"))*Inputs!$B$1+((Inputs!$G$5:$G$180&lt;&gt;"moeda")*(Inputs!$G$5:$G$180&lt;&gt;"acoes")))*INDEX(Inputs!$K$5:$AJ$180,0,MATCH(O$2,Inputs!$K$4:$AJ$4,0)))+SUMPRODUCT((Inputs!$E$5:$E$180=$B72)*Inputs!$F$5:$F$180*(((Inputs!$G$5:$G$180="moeda")+(Inputs!$G$5:$G$180="acoes"))*Inputs!$B$1+((Inputs!$G$5:$G$180&lt;&gt;"moeda")*(Inputs!$G$5:$G$180&lt;&gt;"acoes")))*INDEX(Inputs!$K$5:$AJ$180,0,MATCH(O$2,Inputs!$K$4:$AJ$4,0)))))</f>
        <v>8.72372993</v>
      </c>
      <c r="P72" s="264">
        <f>IF(ISNA(MATCH(P$2,Inputs!$K$4:$AJ$4,0)),NA(),IF(SUMPRODUCT((Inputs!$A$5:$A$180=$B72)*ISNUMBER(INDEX(Inputs!$K$5:$AJ$180,0,MATCH(P$2,Inputs!$K$4:$AJ$4,0))))+SUMPRODUCT((Inputs!$C$5:$C$180=$B72)*ISNUMBER(INDEX(Inputs!$K$5:$AJ$180,0,MATCH(P$2,Inputs!$K$4:$AJ$4,0))))+SUMPRODUCT((Inputs!$E$5:$E$180=$B72)*ISNUMBER(INDEX(Inputs!$K$5:$AJ$180,0,MATCH(P$2,Inputs!$K$4:$AJ$4,0))))=0,NA(),SUMPRODUCT((Inputs!$A$5:$A$180=$B72)*Inputs!$B$5:$B$180*(((Inputs!$G$5:$G$180="moeda")+(Inputs!$G$5:$G$180="acoes"))*Inputs!$B$1+((Inputs!$G$5:$G$180&lt;&gt;"moeda")*(Inputs!$G$5:$G$180&lt;&gt;"acoes")))*INDEX(Inputs!$K$5:$AJ$180,0,MATCH(P$2,Inputs!$K$4:$AJ$4,0)))+SUMPRODUCT((Inputs!$C$5:$C$180=$B72)*Inputs!$D$5:$D$180*(((Inputs!$G$5:$G$180="moeda")+(Inputs!$G$5:$G$180="acoes"))*Inputs!$B$1+((Inputs!$G$5:$G$180&lt;&gt;"moeda")*(Inputs!$G$5:$G$180&lt;&gt;"acoes")))*INDEX(Inputs!$K$5:$AJ$180,0,MATCH(P$2,Inputs!$K$4:$AJ$4,0)))+SUMPRODUCT((Inputs!$E$5:$E$180=$B72)*Inputs!$F$5:$F$180*(((Inputs!$G$5:$G$180="moeda")+(Inputs!$G$5:$G$180="acoes"))*Inputs!$B$1+((Inputs!$G$5:$G$180&lt;&gt;"moeda")*(Inputs!$G$5:$G$180&lt;&gt;"acoes")))*INDEX(Inputs!$K$5:$AJ$180,0,MATCH(P$2,Inputs!$K$4:$AJ$4,0)))))</f>
        <v>9.05179535999999</v>
      </c>
      <c r="Q72" s="264">
        <f>IF(ISNA(MATCH(Q$2,Inputs!$K$4:$AJ$4,0)),NA(),IF(SUMPRODUCT((Inputs!$A$5:$A$180=$B72)*ISNUMBER(INDEX(Inputs!$K$5:$AJ$180,0,MATCH(Q$2,Inputs!$K$4:$AJ$4,0))))+SUMPRODUCT((Inputs!$C$5:$C$180=$B72)*ISNUMBER(INDEX(Inputs!$K$5:$AJ$180,0,MATCH(Q$2,Inputs!$K$4:$AJ$4,0))))+SUMPRODUCT((Inputs!$E$5:$E$180=$B72)*ISNUMBER(INDEX(Inputs!$K$5:$AJ$180,0,MATCH(Q$2,Inputs!$K$4:$AJ$4,0))))=0,NA(),SUMPRODUCT((Inputs!$A$5:$A$180=$B72)*Inputs!$B$5:$B$180*(((Inputs!$G$5:$G$180="moeda")+(Inputs!$G$5:$G$180="acoes"))*Inputs!$B$1+((Inputs!$G$5:$G$180&lt;&gt;"moeda")*(Inputs!$G$5:$G$180&lt;&gt;"acoes")))*INDEX(Inputs!$K$5:$AJ$180,0,MATCH(Q$2,Inputs!$K$4:$AJ$4,0)))+SUMPRODUCT((Inputs!$C$5:$C$180=$B72)*Inputs!$D$5:$D$180*(((Inputs!$G$5:$G$180="moeda")+(Inputs!$G$5:$G$180="acoes"))*Inputs!$B$1+((Inputs!$G$5:$G$180&lt;&gt;"moeda")*(Inputs!$G$5:$G$180&lt;&gt;"acoes")))*INDEX(Inputs!$K$5:$AJ$180,0,MATCH(Q$2,Inputs!$K$4:$AJ$4,0)))+SUMPRODUCT((Inputs!$E$5:$E$180=$B72)*Inputs!$F$5:$F$180*(((Inputs!$G$5:$G$180="moeda")+(Inputs!$G$5:$G$180="acoes"))*Inputs!$B$1+((Inputs!$G$5:$G$180&lt;&gt;"moeda")*(Inputs!$G$5:$G$180&lt;&gt;"acoes")))*INDEX(Inputs!$K$5:$AJ$180,0,MATCH(Q$2,Inputs!$K$4:$AJ$4,0)))))</f>
        <v>7.27284021</v>
      </c>
      <c r="R72" s="265">
        <f>SUM(N72:Q72)</f>
        <v>29.33273817</v>
      </c>
      <c r="S72" s="264">
        <f>IF(ISNA(MATCH(S$2,Inputs!$K$4:$AJ$4,0)),NA(),IF(SUMPRODUCT((Inputs!$A$5:$A$180=$B72)*ISNUMBER(INDEX(Inputs!$K$5:$AJ$180,0,MATCH(S$2,Inputs!$K$4:$AJ$4,0))))+SUMPRODUCT((Inputs!$C$5:$C$180=$B72)*ISNUMBER(INDEX(Inputs!$K$5:$AJ$180,0,MATCH(S$2,Inputs!$K$4:$AJ$4,0))))+SUMPRODUCT((Inputs!$E$5:$E$180=$B72)*ISNUMBER(INDEX(Inputs!$K$5:$AJ$180,0,MATCH(S$2,Inputs!$K$4:$AJ$4,0))))=0,NA(),SUMPRODUCT((Inputs!$A$5:$A$180=$B72)*Inputs!$B$5:$B$180*(((Inputs!$G$5:$G$180="moeda")+(Inputs!$G$5:$G$180="acoes"))*Inputs!$B$1+((Inputs!$G$5:$G$180&lt;&gt;"moeda")*(Inputs!$G$5:$G$180&lt;&gt;"acoes")))*INDEX(Inputs!$K$5:$AJ$180,0,MATCH(S$2,Inputs!$K$4:$AJ$4,0)))+SUMPRODUCT((Inputs!$C$5:$C$180=$B72)*Inputs!$D$5:$D$180*(((Inputs!$G$5:$G$180="moeda")+(Inputs!$G$5:$G$180="acoes"))*Inputs!$B$1+((Inputs!$G$5:$G$180&lt;&gt;"moeda")*(Inputs!$G$5:$G$180&lt;&gt;"acoes")))*INDEX(Inputs!$K$5:$AJ$180,0,MATCH(S$2,Inputs!$K$4:$AJ$4,0)))+SUMPRODUCT((Inputs!$E$5:$E$180=$B72)*Inputs!$F$5:$F$180*(((Inputs!$G$5:$G$180="moeda")+(Inputs!$G$5:$G$180="acoes"))*Inputs!$B$1+((Inputs!$G$5:$G$180&lt;&gt;"moeda")*(Inputs!$G$5:$G$180&lt;&gt;"acoes")))*INDEX(Inputs!$K$5:$AJ$180,0,MATCH(S$2,Inputs!$K$4:$AJ$4,0)))))</f>
        <v>6.50261805</v>
      </c>
      <c r="T72" s="264">
        <f>IF(ISNA(MATCH(T$2,Inputs!$K$4:$AJ$4,0)),NA(),IF(SUMPRODUCT((Inputs!$A$5:$A$180=$B72)*ISNUMBER(INDEX(Inputs!$K$5:$AJ$180,0,MATCH(T$2,Inputs!$K$4:$AJ$4,0))))+SUMPRODUCT((Inputs!$C$5:$C$180=$B72)*ISNUMBER(INDEX(Inputs!$K$5:$AJ$180,0,MATCH(T$2,Inputs!$K$4:$AJ$4,0))))+SUMPRODUCT((Inputs!$E$5:$E$180=$B72)*ISNUMBER(INDEX(Inputs!$K$5:$AJ$180,0,MATCH(T$2,Inputs!$K$4:$AJ$4,0))))=0,NA(),SUMPRODUCT((Inputs!$A$5:$A$180=$B72)*Inputs!$B$5:$B$180*(((Inputs!$G$5:$G$180="moeda")+(Inputs!$G$5:$G$180="acoes"))*Inputs!$B$1+((Inputs!$G$5:$G$180&lt;&gt;"moeda")*(Inputs!$G$5:$G$180&lt;&gt;"acoes")))*INDEX(Inputs!$K$5:$AJ$180,0,MATCH(T$2,Inputs!$K$4:$AJ$4,0)))+SUMPRODUCT((Inputs!$C$5:$C$180=$B72)*Inputs!$D$5:$D$180*(((Inputs!$G$5:$G$180="moeda")+(Inputs!$G$5:$G$180="acoes"))*Inputs!$B$1+((Inputs!$G$5:$G$180&lt;&gt;"moeda")*(Inputs!$G$5:$G$180&lt;&gt;"acoes")))*INDEX(Inputs!$K$5:$AJ$180,0,MATCH(T$2,Inputs!$K$4:$AJ$4,0)))+SUMPRODUCT((Inputs!$E$5:$E$180=$B72)*Inputs!$F$5:$F$180*(((Inputs!$G$5:$G$180="moeda")+(Inputs!$G$5:$G$180="acoes"))*Inputs!$B$1+((Inputs!$G$5:$G$180&lt;&gt;"moeda")*(Inputs!$G$5:$G$180&lt;&gt;"acoes")))*INDEX(Inputs!$K$5:$AJ$180,0,MATCH(T$2,Inputs!$K$4:$AJ$4,0)))))</f>
        <v>12.99881987</v>
      </c>
      <c r="U72" s="264">
        <f>IF(ISNA(MATCH(U$2,Inputs!$K$4:$AJ$4,0)),NA(),IF(SUMPRODUCT((Inputs!$A$5:$A$180=$B72)*ISNUMBER(INDEX(Inputs!$K$5:$AJ$180,0,MATCH(U$2,Inputs!$K$4:$AJ$4,0))))+SUMPRODUCT((Inputs!$C$5:$C$180=$B72)*ISNUMBER(INDEX(Inputs!$K$5:$AJ$180,0,MATCH(U$2,Inputs!$K$4:$AJ$4,0))))+SUMPRODUCT((Inputs!$E$5:$E$180=$B72)*ISNUMBER(INDEX(Inputs!$K$5:$AJ$180,0,MATCH(U$2,Inputs!$K$4:$AJ$4,0))))=0,NA(),SUMPRODUCT((Inputs!$A$5:$A$180=$B72)*Inputs!$B$5:$B$180*(((Inputs!$G$5:$G$180="moeda")+(Inputs!$G$5:$G$180="acoes"))*Inputs!$B$1+((Inputs!$G$5:$G$180&lt;&gt;"moeda")*(Inputs!$G$5:$G$180&lt;&gt;"acoes")))*INDEX(Inputs!$K$5:$AJ$180,0,MATCH(U$2,Inputs!$K$4:$AJ$4,0)))+SUMPRODUCT((Inputs!$C$5:$C$180=$B72)*Inputs!$D$5:$D$180*(((Inputs!$G$5:$G$180="moeda")+(Inputs!$G$5:$G$180="acoes"))*Inputs!$B$1+((Inputs!$G$5:$G$180&lt;&gt;"moeda")*(Inputs!$G$5:$G$180&lt;&gt;"acoes")))*INDEX(Inputs!$K$5:$AJ$180,0,MATCH(U$2,Inputs!$K$4:$AJ$4,0)))+SUMPRODUCT((Inputs!$E$5:$E$180=$B72)*Inputs!$F$5:$F$180*(((Inputs!$G$5:$G$180="moeda")+(Inputs!$G$5:$G$180="acoes"))*Inputs!$B$1+((Inputs!$G$5:$G$180&lt;&gt;"moeda")*(Inputs!$G$5:$G$180&lt;&gt;"acoes")))*INDEX(Inputs!$K$5:$AJ$180,0,MATCH(U$2,Inputs!$K$4:$AJ$4,0)))))</f>
        <v>7.8129278</v>
      </c>
      <c r="V72" s="264">
        <f>IF(ISNA(MATCH(V$2,Inputs!$K$4:$AJ$4,0)),NA(),IF(SUMPRODUCT((Inputs!$A$5:$A$180=$B72)*ISNUMBER(INDEX(Inputs!$K$5:$AJ$180,0,MATCH(V$2,Inputs!$K$4:$AJ$4,0))))+SUMPRODUCT((Inputs!$C$5:$C$180=$B72)*ISNUMBER(INDEX(Inputs!$K$5:$AJ$180,0,MATCH(V$2,Inputs!$K$4:$AJ$4,0))))+SUMPRODUCT((Inputs!$E$5:$E$180=$B72)*ISNUMBER(INDEX(Inputs!$K$5:$AJ$180,0,MATCH(V$2,Inputs!$K$4:$AJ$4,0))))=0,NA(),SUMPRODUCT((Inputs!$A$5:$A$180=$B72)*Inputs!$B$5:$B$180*(((Inputs!$G$5:$G$180="moeda")+(Inputs!$G$5:$G$180="acoes"))*Inputs!$B$1+((Inputs!$G$5:$G$180&lt;&gt;"moeda")*(Inputs!$G$5:$G$180&lt;&gt;"acoes")))*INDEX(Inputs!$K$5:$AJ$180,0,MATCH(V$2,Inputs!$K$4:$AJ$4,0)))+SUMPRODUCT((Inputs!$C$5:$C$180=$B72)*Inputs!$D$5:$D$180*(((Inputs!$G$5:$G$180="moeda")+(Inputs!$G$5:$G$180="acoes"))*Inputs!$B$1+((Inputs!$G$5:$G$180&lt;&gt;"moeda")*(Inputs!$G$5:$G$180&lt;&gt;"acoes")))*INDEX(Inputs!$K$5:$AJ$180,0,MATCH(V$2,Inputs!$K$4:$AJ$4,0)))+SUMPRODUCT((Inputs!$E$5:$E$180=$B72)*Inputs!$F$5:$F$180*(((Inputs!$G$5:$G$180="moeda")+(Inputs!$G$5:$G$180="acoes"))*Inputs!$B$1+((Inputs!$G$5:$G$180&lt;&gt;"moeda")*(Inputs!$G$5:$G$180&lt;&gt;"acoes")))*INDEX(Inputs!$K$5:$AJ$180,0,MATCH(V$2,Inputs!$K$4:$AJ$4,0)))))</f>
        <v>-7.61786795</v>
      </c>
      <c r="W72" s="265">
        <f>SUM(S72:V72)</f>
        <v>19.69649777</v>
      </c>
      <c r="X72" s="264">
        <f>IF(ISNA(MATCH(X$2,Inputs!$K$4:$AJ$4,0)),NA(),IF(SUMPRODUCT((Inputs!$A$5:$A$180=$B72)*ISNUMBER(INDEX(Inputs!$K$5:$AJ$180,0,MATCH(X$2,Inputs!$K$4:$AJ$4,0))))+SUMPRODUCT((Inputs!$C$5:$C$180=$B72)*ISNUMBER(INDEX(Inputs!$K$5:$AJ$180,0,MATCH(X$2,Inputs!$K$4:$AJ$4,0))))+SUMPRODUCT((Inputs!$E$5:$E$180=$B72)*ISNUMBER(INDEX(Inputs!$K$5:$AJ$180,0,MATCH(X$2,Inputs!$K$4:$AJ$4,0))))=0,NA(),SUMPRODUCT((Inputs!$A$5:$A$180=$B72)*Inputs!$B$5:$B$180*(((Inputs!$G$5:$G$180="moeda")+(Inputs!$G$5:$G$180="acoes"))*Inputs!$B$1+((Inputs!$G$5:$G$180&lt;&gt;"moeda")*(Inputs!$G$5:$G$180&lt;&gt;"acoes")))*INDEX(Inputs!$K$5:$AJ$180,0,MATCH(X$2,Inputs!$K$4:$AJ$4,0)))+SUMPRODUCT((Inputs!$C$5:$C$180=$B72)*Inputs!$D$5:$D$180*(((Inputs!$G$5:$G$180="moeda")+(Inputs!$G$5:$G$180="acoes"))*Inputs!$B$1+((Inputs!$G$5:$G$180&lt;&gt;"moeda")*(Inputs!$G$5:$G$180&lt;&gt;"acoes")))*INDEX(Inputs!$K$5:$AJ$180,0,MATCH(X$2,Inputs!$K$4:$AJ$4,0)))+SUMPRODUCT((Inputs!$E$5:$E$180=$B72)*Inputs!$F$5:$F$180*(((Inputs!$G$5:$G$180="moeda")+(Inputs!$G$5:$G$180="acoes"))*Inputs!$B$1+((Inputs!$G$5:$G$180&lt;&gt;"moeda")*(Inputs!$G$5:$G$180&lt;&gt;"acoes")))*INDEX(Inputs!$K$5:$AJ$180,0,MATCH(X$2,Inputs!$K$4:$AJ$4,0)))))</f>
        <v>4.21585458</v>
      </c>
      <c r="Y72" s="264">
        <f>IF(ISNA(MATCH(Y$2,Inputs!$K$4:$AJ$4,0)),NA(),IF(SUMPRODUCT((Inputs!$A$5:$A$180=$B72)*ISNUMBER(INDEX(Inputs!$K$5:$AJ$180,0,MATCH(Y$2,Inputs!$K$4:$AJ$4,0))))+SUMPRODUCT((Inputs!$C$5:$C$180=$B72)*ISNUMBER(INDEX(Inputs!$K$5:$AJ$180,0,MATCH(Y$2,Inputs!$K$4:$AJ$4,0))))+SUMPRODUCT((Inputs!$E$5:$E$180=$B72)*ISNUMBER(INDEX(Inputs!$K$5:$AJ$180,0,MATCH(Y$2,Inputs!$K$4:$AJ$4,0))))=0,NA(),SUMPRODUCT((Inputs!$A$5:$A$180=$B72)*Inputs!$B$5:$B$180*(((Inputs!$G$5:$G$180="moeda")+(Inputs!$G$5:$G$180="acoes"))*Inputs!$B$1+((Inputs!$G$5:$G$180&lt;&gt;"moeda")*(Inputs!$G$5:$G$180&lt;&gt;"acoes")))*INDEX(Inputs!$K$5:$AJ$180,0,MATCH(Y$2,Inputs!$K$4:$AJ$4,0)))+SUMPRODUCT((Inputs!$C$5:$C$180=$B72)*Inputs!$D$5:$D$180*(((Inputs!$G$5:$G$180="moeda")+(Inputs!$G$5:$G$180="acoes"))*Inputs!$B$1+((Inputs!$G$5:$G$180&lt;&gt;"moeda")*(Inputs!$G$5:$G$180&lt;&gt;"acoes")))*INDEX(Inputs!$K$5:$AJ$180,0,MATCH(Y$2,Inputs!$K$4:$AJ$4,0)))+SUMPRODUCT((Inputs!$E$5:$E$180=$B72)*Inputs!$F$5:$F$180*(((Inputs!$G$5:$G$180="moeda")+(Inputs!$G$5:$G$180="acoes"))*Inputs!$B$1+((Inputs!$G$5:$G$180&lt;&gt;"moeda")*(Inputs!$G$5:$G$180&lt;&gt;"acoes")))*INDEX(Inputs!$K$5:$AJ$180,0,MATCH(Y$2,Inputs!$K$4:$AJ$4,0)))))</f>
        <v>1.56733977</v>
      </c>
      <c r="Z72" s="264">
        <f>IF(ISNA(MATCH(Z$2,Inputs!$K$4:$AJ$4,0)),NA(),IF(SUMPRODUCT((Inputs!$A$5:$A$180=$B72)*ISNUMBER(INDEX(Inputs!$K$5:$AJ$180,0,MATCH(Z$2,Inputs!$K$4:$AJ$4,0))))+SUMPRODUCT((Inputs!$C$5:$C$180=$B72)*ISNUMBER(INDEX(Inputs!$K$5:$AJ$180,0,MATCH(Z$2,Inputs!$K$4:$AJ$4,0))))+SUMPRODUCT((Inputs!$E$5:$E$180=$B72)*ISNUMBER(INDEX(Inputs!$K$5:$AJ$180,0,MATCH(Z$2,Inputs!$K$4:$AJ$4,0))))=0,NA(),SUMPRODUCT((Inputs!$A$5:$A$180=$B72)*Inputs!$B$5:$B$180*(((Inputs!$G$5:$G$180="moeda")+(Inputs!$G$5:$G$180="acoes"))*Inputs!$B$1+((Inputs!$G$5:$G$180&lt;&gt;"moeda")*(Inputs!$G$5:$G$180&lt;&gt;"acoes")))*INDEX(Inputs!$K$5:$AJ$180,0,MATCH(Z$2,Inputs!$K$4:$AJ$4,0)))+SUMPRODUCT((Inputs!$C$5:$C$180=$B72)*Inputs!$D$5:$D$180*(((Inputs!$G$5:$G$180="moeda")+(Inputs!$G$5:$G$180="acoes"))*Inputs!$B$1+((Inputs!$G$5:$G$180&lt;&gt;"moeda")*(Inputs!$G$5:$G$180&lt;&gt;"acoes")))*INDEX(Inputs!$K$5:$AJ$180,0,MATCH(Z$2,Inputs!$K$4:$AJ$4,0)))+SUMPRODUCT((Inputs!$E$5:$E$180=$B72)*Inputs!$F$5:$F$180*(((Inputs!$G$5:$G$180="moeda")+(Inputs!$G$5:$G$180="acoes"))*Inputs!$B$1+((Inputs!$G$5:$G$180&lt;&gt;"moeda")*(Inputs!$G$5:$G$180&lt;&gt;"acoes")))*INDEX(Inputs!$K$5:$AJ$180,0,MATCH(Z$2,Inputs!$K$4:$AJ$4,0)))))</f>
        <v>1.73499377</v>
      </c>
      <c r="AA72" s="264">
        <f>IF(ISNA(MATCH(AA$2,Inputs!$K$4:$AJ$4,0)),NA(),IF(SUMPRODUCT((Inputs!$A$5:$A$180=$B72)*ISNUMBER(INDEX(Inputs!$K$5:$AJ$180,0,MATCH(AA$2,Inputs!$K$4:$AJ$4,0))))+SUMPRODUCT((Inputs!$C$5:$C$180=$B72)*ISNUMBER(INDEX(Inputs!$K$5:$AJ$180,0,MATCH(AA$2,Inputs!$K$4:$AJ$4,0))))+SUMPRODUCT((Inputs!$E$5:$E$180=$B72)*ISNUMBER(INDEX(Inputs!$K$5:$AJ$180,0,MATCH(AA$2,Inputs!$K$4:$AJ$4,0))))=0,NA(),SUMPRODUCT((Inputs!$A$5:$A$180=$B72)*Inputs!$B$5:$B$180*(((Inputs!$G$5:$G$180="moeda")+(Inputs!$G$5:$G$180="acoes"))*Inputs!$B$1+((Inputs!$G$5:$G$180&lt;&gt;"moeda")*(Inputs!$G$5:$G$180&lt;&gt;"acoes")))*INDEX(Inputs!$K$5:$AJ$180,0,MATCH(AA$2,Inputs!$K$4:$AJ$4,0)))+SUMPRODUCT((Inputs!$C$5:$C$180=$B72)*Inputs!$D$5:$D$180*(((Inputs!$G$5:$G$180="moeda")+(Inputs!$G$5:$G$180="acoes"))*Inputs!$B$1+((Inputs!$G$5:$G$180&lt;&gt;"moeda")*(Inputs!$G$5:$G$180&lt;&gt;"acoes")))*INDEX(Inputs!$K$5:$AJ$180,0,MATCH(AA$2,Inputs!$K$4:$AJ$4,0)))+SUMPRODUCT((Inputs!$E$5:$E$180=$B72)*Inputs!$F$5:$F$180*(((Inputs!$G$5:$G$180="moeda")+(Inputs!$G$5:$G$180="acoes"))*Inputs!$B$1+((Inputs!$G$5:$G$180&lt;&gt;"moeda")*(Inputs!$G$5:$G$180&lt;&gt;"acoes")))*INDEX(Inputs!$K$5:$AJ$180,0,MATCH(AA$2,Inputs!$K$4:$AJ$4,0)))))</f>
        <v>1.11562042</v>
      </c>
      <c r="AB72" s="265">
        <f>SUM(X72:AA72)</f>
        <v>8.63380854</v>
      </c>
      <c r="AC72" s="264">
        <f>IF(ISNA(MATCH(AC$2,Inputs!$K$4:$AJ$4,0)),NA(),IF(SUMPRODUCT((Inputs!$A$5:$A$180=$B72)*ISNUMBER(INDEX(Inputs!$K$5:$AJ$180,0,MATCH(AC$2,Inputs!$K$4:$AJ$4,0))))+SUMPRODUCT((Inputs!$C$5:$C$180=$B72)*ISNUMBER(INDEX(Inputs!$K$5:$AJ$180,0,MATCH(AC$2,Inputs!$K$4:$AJ$4,0))))+SUMPRODUCT((Inputs!$E$5:$E$180=$B72)*ISNUMBER(INDEX(Inputs!$K$5:$AJ$180,0,MATCH(AC$2,Inputs!$K$4:$AJ$4,0))))=0,NA(),SUMPRODUCT((Inputs!$A$5:$A$180=$B72)*Inputs!$B$5:$B$180*(((Inputs!$G$5:$G$180="moeda")+(Inputs!$G$5:$G$180="acoes"))*Inputs!$B$1+((Inputs!$G$5:$G$180&lt;&gt;"moeda")*(Inputs!$G$5:$G$180&lt;&gt;"acoes")))*INDEX(Inputs!$K$5:$AJ$180,0,MATCH(AC$2,Inputs!$K$4:$AJ$4,0)))+SUMPRODUCT((Inputs!$C$5:$C$180=$B72)*Inputs!$D$5:$D$180*(((Inputs!$G$5:$G$180="moeda")+(Inputs!$G$5:$G$180="acoes"))*Inputs!$B$1+((Inputs!$G$5:$G$180&lt;&gt;"moeda")*(Inputs!$G$5:$G$180&lt;&gt;"acoes")))*INDEX(Inputs!$K$5:$AJ$180,0,MATCH(AC$2,Inputs!$K$4:$AJ$4,0)))+SUMPRODUCT((Inputs!$E$5:$E$180=$B72)*Inputs!$F$5:$F$180*(((Inputs!$G$5:$G$180="moeda")+(Inputs!$G$5:$G$180="acoes"))*Inputs!$B$1+((Inputs!$G$5:$G$180&lt;&gt;"moeda")*(Inputs!$G$5:$G$180&lt;&gt;"acoes")))*INDEX(Inputs!$K$5:$AJ$180,0,MATCH(AC$2,Inputs!$K$4:$AJ$4,0)))))</f>
        <v>0.28546462</v>
      </c>
      <c r="AD72" s="264">
        <f>IF(ISNA(MATCH(AD$2,Inputs!$K$4:$AJ$4,0)),NA(),IF(SUMPRODUCT((Inputs!$A$5:$A$180=$B72)*ISNUMBER(INDEX(Inputs!$K$5:$AJ$180,0,MATCH(AD$2,Inputs!$K$4:$AJ$4,0))))+SUMPRODUCT((Inputs!$C$5:$C$180=$B72)*ISNUMBER(INDEX(Inputs!$K$5:$AJ$180,0,MATCH(AD$2,Inputs!$K$4:$AJ$4,0))))+SUMPRODUCT((Inputs!$E$5:$E$180=$B72)*ISNUMBER(INDEX(Inputs!$K$5:$AJ$180,0,MATCH(AD$2,Inputs!$K$4:$AJ$4,0))))=0,NA(),SUMPRODUCT((Inputs!$A$5:$A$180=$B72)*Inputs!$B$5:$B$180*(((Inputs!$G$5:$G$180="moeda")+(Inputs!$G$5:$G$180="acoes"))*Inputs!$B$1+((Inputs!$G$5:$G$180&lt;&gt;"moeda")*(Inputs!$G$5:$G$180&lt;&gt;"acoes")))*INDEX(Inputs!$K$5:$AJ$180,0,MATCH(AD$2,Inputs!$K$4:$AJ$4,0)))+SUMPRODUCT((Inputs!$C$5:$C$180=$B72)*Inputs!$D$5:$D$180*(((Inputs!$G$5:$G$180="moeda")+(Inputs!$G$5:$G$180="acoes"))*Inputs!$B$1+((Inputs!$G$5:$G$180&lt;&gt;"moeda")*(Inputs!$G$5:$G$180&lt;&gt;"acoes")))*INDEX(Inputs!$K$5:$AJ$180,0,MATCH(AD$2,Inputs!$K$4:$AJ$4,0)))+SUMPRODUCT((Inputs!$E$5:$E$180=$B72)*Inputs!$F$5:$F$180*(((Inputs!$G$5:$G$180="moeda")+(Inputs!$G$5:$G$180="acoes"))*Inputs!$B$1+((Inputs!$G$5:$G$180&lt;&gt;"moeda")*(Inputs!$G$5:$G$180&lt;&gt;"acoes")))*INDEX(Inputs!$K$5:$AJ$180,0,MATCH(AD$2,Inputs!$K$4:$AJ$4,0)))))</f>
        <v>0.23162035</v>
      </c>
      <c r="AE72" s="264" t="e">
        <f>IF(ISNA(MATCH(AE$2,Inputs!$K$4:$AJ$4,0)),NA(),IF(SUMPRODUCT((Inputs!$A$5:$A$180=$B72)*ISNUMBER(INDEX(Inputs!$K$5:$AJ$180,0,MATCH(AE$2,Inputs!$K$4:$AJ$4,0))))+SUMPRODUCT((Inputs!$C$5:$C$180=$B72)*ISNUMBER(INDEX(Inputs!$K$5:$AJ$180,0,MATCH(AE$2,Inputs!$K$4:$AJ$4,0))))+SUMPRODUCT((Inputs!$E$5:$E$180=$B72)*ISNUMBER(INDEX(Inputs!$K$5:$AJ$180,0,MATCH(AE$2,Inputs!$K$4:$AJ$4,0))))=0,NA(),SUMPRODUCT((Inputs!$A$5:$A$180=$B72)*Inputs!$B$5:$B$180*(((Inputs!$G$5:$G$180="moeda")+(Inputs!$G$5:$G$180="acoes"))*Inputs!$B$1+((Inputs!$G$5:$G$180&lt;&gt;"moeda")*(Inputs!$G$5:$G$180&lt;&gt;"acoes")))*INDEX(Inputs!$K$5:$AJ$180,0,MATCH(AE$2,Inputs!$K$4:$AJ$4,0)))+SUMPRODUCT((Inputs!$C$5:$C$180=$B72)*Inputs!$D$5:$D$180*(((Inputs!$G$5:$G$180="moeda")+(Inputs!$G$5:$G$180="acoes"))*Inputs!$B$1+((Inputs!$G$5:$G$180&lt;&gt;"moeda")*(Inputs!$G$5:$G$180&lt;&gt;"acoes")))*INDEX(Inputs!$K$5:$AJ$180,0,MATCH(AE$2,Inputs!$K$4:$AJ$4,0)))+SUMPRODUCT((Inputs!$E$5:$E$180=$B72)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2" s="264" t="e">
        <f>IF(ISNA(MATCH(AF$2,Inputs!$K$4:$AJ$4,0)),NA(),IF(SUMPRODUCT((Inputs!$A$5:$A$180=$B72)*ISNUMBER(INDEX(Inputs!$K$5:$AJ$180,0,MATCH(AF$2,Inputs!$K$4:$AJ$4,0))))+SUMPRODUCT((Inputs!$C$5:$C$180=$B72)*ISNUMBER(INDEX(Inputs!$K$5:$AJ$180,0,MATCH(AF$2,Inputs!$K$4:$AJ$4,0))))+SUMPRODUCT((Inputs!$E$5:$E$180=$B72)*ISNUMBER(INDEX(Inputs!$K$5:$AJ$180,0,MATCH(AF$2,Inputs!$K$4:$AJ$4,0))))=0,NA(),SUMPRODUCT((Inputs!$A$5:$A$180=$B72)*Inputs!$B$5:$B$180*(((Inputs!$G$5:$G$180="moeda")+(Inputs!$G$5:$G$180="acoes"))*Inputs!$B$1+((Inputs!$G$5:$G$180&lt;&gt;"moeda")*(Inputs!$G$5:$G$180&lt;&gt;"acoes")))*INDEX(Inputs!$K$5:$AJ$180,0,MATCH(AF$2,Inputs!$K$4:$AJ$4,0)))+SUMPRODUCT((Inputs!$C$5:$C$180=$B72)*Inputs!$D$5:$D$180*(((Inputs!$G$5:$G$180="moeda")+(Inputs!$G$5:$G$180="acoes"))*Inputs!$B$1+((Inputs!$G$5:$G$180&lt;&gt;"moeda")*(Inputs!$G$5:$G$180&lt;&gt;"acoes")))*INDEX(Inputs!$K$5:$AJ$180,0,MATCH(AF$2,Inputs!$K$4:$AJ$4,0)))+SUMPRODUCT((Inputs!$E$5:$E$180=$B72)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2" s="265" t="e">
        <f>SUM(AC72:AF72)</f>
        <v>#N/A</v>
      </c>
      <c r="AH72" s="264">
        <f>IF(ISNA(MATCH(AH$2,Inputs!$K$4:$AJ$4,0)),NA(),IF(SUMPRODUCT((Inputs!$A$5:$A$180=$B72)*ISNUMBER(INDEX(Inputs!$K$5:$AJ$180,0,MATCH(AH$2,Inputs!$K$4:$AJ$4,0))))+SUMPRODUCT((Inputs!$C$5:$C$180=$B72)*ISNUMBER(INDEX(Inputs!$K$5:$AJ$180,0,MATCH(AH$2,Inputs!$K$4:$AJ$4,0))))+SUMPRODUCT((Inputs!$E$5:$E$180=$B72)*ISNUMBER(INDEX(Inputs!$K$5:$AJ$180,0,MATCH(AH$2,Inputs!$K$4:$AJ$4,0))))=0,NA(),SUMPRODUCT((Inputs!$A$5:$A$180=$B72)*Inputs!$B$5:$B$180*(((Inputs!$G$5:$G$180="moeda")+(Inputs!$G$5:$G$180="acoes"))*Inputs!$B$1+((Inputs!$G$5:$G$180&lt;&gt;"moeda")*(Inputs!$G$5:$G$180&lt;&gt;"acoes")))*INDEX(Inputs!$K$5:$AJ$180,0,MATCH(AH$2,Inputs!$K$4:$AJ$4,0)))+SUMPRODUCT((Inputs!$C$5:$C$180=$B72)*Inputs!$D$5:$D$180*(((Inputs!$G$5:$G$180="moeda")+(Inputs!$G$5:$G$180="acoes"))*Inputs!$B$1+((Inputs!$G$5:$G$180&lt;&gt;"moeda")*(Inputs!$G$5:$G$180&lt;&gt;"acoes")))*INDEX(Inputs!$K$5:$AJ$180,0,MATCH(AH$2,Inputs!$K$4:$AJ$4,0)))+SUMPRODUCT((Inputs!$E$5:$E$180=$B72)*Inputs!$F$5:$F$180*(((Inputs!$G$5:$G$180="moeda")+(Inputs!$G$5:$G$180="acoes"))*Inputs!$B$1+((Inputs!$G$5:$G$180&lt;&gt;"moeda")*(Inputs!$G$5:$G$180&lt;&gt;"acoes")))*INDEX(Inputs!$K$5:$AJ$180,0,MATCH(AH$2,Inputs!$K$4:$AJ$4,0)))))</f>
        <v>1.034</v>
      </c>
      <c r="AI72" s="264">
        <f>IF(ISNA(MATCH(AI$2,Inputs!$K$4:$AJ$4,0)),NA(),IF(SUMPRODUCT((Inputs!$A$5:$A$180=$B72)*ISNUMBER(INDEX(Inputs!$K$5:$AJ$180,0,MATCH(AI$2,Inputs!$K$4:$AJ$4,0))))+SUMPRODUCT((Inputs!$C$5:$C$180=$B72)*ISNUMBER(INDEX(Inputs!$K$5:$AJ$180,0,MATCH(AI$2,Inputs!$K$4:$AJ$4,0))))+SUMPRODUCT((Inputs!$E$5:$E$180=$B72)*ISNUMBER(INDEX(Inputs!$K$5:$AJ$180,0,MATCH(AI$2,Inputs!$K$4:$AJ$4,0))))=0,NA(),SUMPRODUCT((Inputs!$A$5:$A$180=$B72)*Inputs!$B$5:$B$180*(((Inputs!$G$5:$G$180="moeda")+(Inputs!$G$5:$G$180="acoes"))*Inputs!$B$1+((Inputs!$G$5:$G$180&lt;&gt;"moeda")*(Inputs!$G$5:$G$180&lt;&gt;"acoes")))*INDEX(Inputs!$K$5:$AJ$180,0,MATCH(AI$2,Inputs!$K$4:$AJ$4,0)))+SUMPRODUCT((Inputs!$C$5:$C$180=$B72)*Inputs!$D$5:$D$180*(((Inputs!$G$5:$G$180="moeda")+(Inputs!$G$5:$G$180="acoes"))*Inputs!$B$1+((Inputs!$G$5:$G$180&lt;&gt;"moeda")*(Inputs!$G$5:$G$180&lt;&gt;"acoes")))*INDEX(Inputs!$K$5:$AJ$180,0,MATCH(AI$2,Inputs!$K$4:$AJ$4,0)))+SUMPRODUCT((Inputs!$E$5:$E$180=$B72)*Inputs!$F$5:$F$180*(((Inputs!$G$5:$G$180="moeda")+(Inputs!$G$5:$G$180="acoes"))*Inputs!$B$1+((Inputs!$G$5:$G$180&lt;&gt;"moeda")*(Inputs!$G$5:$G$180&lt;&gt;"acoes")))*INDEX(Inputs!$K$5:$AJ$180,0,MATCH(AI$2,Inputs!$K$4:$AJ$4,0)))))</f>
        <v>0.507</v>
      </c>
      <c r="AJ72" s="264">
        <f>IF(ISNA(MATCH(AJ$2,Inputs!$K$4:$AJ$4,0)),NA(),IF(SUMPRODUCT((Inputs!$A$5:$A$180=$B72)*ISNUMBER(INDEX(Inputs!$K$5:$AJ$180,0,MATCH(AJ$2,Inputs!$K$4:$AJ$4,0))))+SUMPRODUCT((Inputs!$C$5:$C$180=$B72)*ISNUMBER(INDEX(Inputs!$K$5:$AJ$180,0,MATCH(AJ$2,Inputs!$K$4:$AJ$4,0))))+SUMPRODUCT((Inputs!$E$5:$E$180=$B72)*ISNUMBER(INDEX(Inputs!$K$5:$AJ$180,0,MATCH(AJ$2,Inputs!$K$4:$AJ$4,0))))=0,NA(),SUMPRODUCT((Inputs!$A$5:$A$180=$B72)*Inputs!$B$5:$B$180*(((Inputs!$G$5:$G$180="moeda")+(Inputs!$G$5:$G$180="acoes"))*Inputs!$B$1+((Inputs!$G$5:$G$180&lt;&gt;"moeda")*(Inputs!$G$5:$G$180&lt;&gt;"acoes")))*INDEX(Inputs!$K$5:$AJ$180,0,MATCH(AJ$2,Inputs!$K$4:$AJ$4,0)))+SUMPRODUCT((Inputs!$C$5:$C$180=$B72)*Inputs!$D$5:$D$180*(((Inputs!$G$5:$G$180="moeda")+(Inputs!$G$5:$G$180="acoes"))*Inputs!$B$1+((Inputs!$G$5:$G$180&lt;&gt;"moeda")*(Inputs!$G$5:$G$180&lt;&gt;"acoes")))*INDEX(Inputs!$K$5:$AJ$180,0,MATCH(AJ$2,Inputs!$K$4:$AJ$4,0)))+SUMPRODUCT((Inputs!$E$5:$E$180=$B72)*Inputs!$F$5:$F$180*(((Inputs!$G$5:$G$180="moeda")+(Inputs!$G$5:$G$180="acoes"))*Inputs!$B$1+((Inputs!$G$5:$G$180&lt;&gt;"moeda")*(Inputs!$G$5:$G$180&lt;&gt;"acoes")))*INDEX(Inputs!$K$5:$AJ$180,0,MATCH(AJ$2,Inputs!$K$4:$AJ$4,0)))))</f>
        <v>5.662</v>
      </c>
      <c r="AK72" s="264">
        <f>IF(ISNA(MATCH(AK$2,Inputs!$K$4:$AJ$4,0)),NA(),IF(SUMPRODUCT((Inputs!$A$5:$A$180=$B72)*ISNUMBER(INDEX(Inputs!$K$5:$AJ$180,0,MATCH(AK$2,Inputs!$K$4:$AJ$4,0))))+SUMPRODUCT((Inputs!$C$5:$C$180=$B72)*ISNUMBER(INDEX(Inputs!$K$5:$AJ$180,0,MATCH(AK$2,Inputs!$K$4:$AJ$4,0))))+SUMPRODUCT((Inputs!$E$5:$E$180=$B72)*ISNUMBER(INDEX(Inputs!$K$5:$AJ$180,0,MATCH(AK$2,Inputs!$K$4:$AJ$4,0))))=0,NA(),SUMPRODUCT((Inputs!$A$5:$A$180=$B72)*Inputs!$B$5:$B$180*(((Inputs!$G$5:$G$180="moeda")+(Inputs!$G$5:$G$180="acoes"))*Inputs!$B$1+((Inputs!$G$5:$G$180&lt;&gt;"moeda")*(Inputs!$G$5:$G$180&lt;&gt;"acoes")))*INDEX(Inputs!$K$5:$AJ$180,0,MATCH(AK$2,Inputs!$K$4:$AJ$4,0)))+SUMPRODUCT((Inputs!$C$5:$C$180=$B72)*Inputs!$D$5:$D$180*(((Inputs!$G$5:$G$180="moeda")+(Inputs!$G$5:$G$180="acoes"))*Inputs!$B$1+((Inputs!$G$5:$G$180&lt;&gt;"moeda")*(Inputs!$G$5:$G$180&lt;&gt;"acoes")))*INDEX(Inputs!$K$5:$AJ$180,0,MATCH(AK$2,Inputs!$K$4:$AJ$4,0)))+SUMPRODUCT((Inputs!$E$5:$E$180=$B72)*Inputs!$F$5:$F$180*(((Inputs!$G$5:$G$180="moeda")+(Inputs!$G$5:$G$180="acoes"))*Inputs!$B$1+((Inputs!$G$5:$G$180&lt;&gt;"moeda")*(Inputs!$G$5:$G$180&lt;&gt;"acoes")))*INDEX(Inputs!$K$5:$AJ$180,0,MATCH(AK$2,Inputs!$K$4:$AJ$4,0)))))</f>
        <v>0.4057818145</v>
      </c>
      <c r="AL72" s="265">
        <f>SUM(AH72:AK72)</f>
        <v>7.6087818145</v>
      </c>
    </row>
    <row r="73">
      <c r="B73" s="46" t="n">
        <v>65</v>
      </c>
      <c r="C73" s="29" t="inlineStr">
        <is>
          <t>Capex - outros (l.27)</t>
        </is>
      </c>
      <c r="D73" s="264">
        <f>IF(ISNA(MATCH(D$2,Inputs!$K$4:$AJ$4,0)),NA(),IF(SUMPRODUCT((Inputs!$A$5:$A$180=$B73)*ISNUMBER(INDEX(Inputs!$K$5:$AJ$180,0,MATCH(D$2,Inputs!$K$4:$AJ$4,0))))+SUMPRODUCT((Inputs!$C$5:$C$180=$B73)*ISNUMBER(INDEX(Inputs!$K$5:$AJ$180,0,MATCH(D$2,Inputs!$K$4:$AJ$4,0))))+SUMPRODUCT((Inputs!$E$5:$E$180=$B73)*ISNUMBER(INDEX(Inputs!$K$5:$AJ$180,0,MATCH(D$2,Inputs!$K$4:$AJ$4,0))))=0,NA(),SUMPRODUCT((Inputs!$A$5:$A$180=$B73)*Inputs!$B$5:$B$180*(((Inputs!$G$5:$G$180="moeda")+(Inputs!$G$5:$G$180="acoes"))*Inputs!$B$1+((Inputs!$G$5:$G$180&lt;&gt;"moeda")*(Inputs!$G$5:$G$180&lt;&gt;"acoes")))*INDEX(Inputs!$K$5:$AJ$180,0,MATCH(D$2,Inputs!$K$4:$AJ$4,0)))+SUMPRODUCT((Inputs!$C$5:$C$180=$B73)*Inputs!$D$5:$D$180*(((Inputs!$G$5:$G$180="moeda")+(Inputs!$G$5:$G$180="acoes"))*Inputs!$B$1+((Inputs!$G$5:$G$180&lt;&gt;"moeda")*(Inputs!$G$5:$G$180&lt;&gt;"acoes")))*INDEX(Inputs!$K$5:$AJ$180,0,MATCH(D$2,Inputs!$K$4:$AJ$4,0)))+SUMPRODUCT((Inputs!$E$5:$E$180=$B73)*Inputs!$F$5:$F$180*(((Inputs!$G$5:$G$180="moeda")+(Inputs!$G$5:$G$180="acoes"))*Inputs!$B$1+((Inputs!$G$5:$G$180&lt;&gt;"moeda")*(Inputs!$G$5:$G$180&lt;&gt;"acoes")))*INDEX(Inputs!$K$5:$AJ$180,0,MATCH(D$2,Inputs!$K$4:$AJ$4,0)))))</f>
        <v>1.67638063430786e-14</v>
      </c>
      <c r="E73" s="264">
        <f>IF(ISNA(MATCH(E$2,Inputs!$K$4:$AJ$4,0)),NA(),IF(SUMPRODUCT((Inputs!$A$5:$A$180=$B73)*ISNUMBER(INDEX(Inputs!$K$5:$AJ$180,0,MATCH(E$2,Inputs!$K$4:$AJ$4,0))))+SUMPRODUCT((Inputs!$C$5:$C$180=$B73)*ISNUMBER(INDEX(Inputs!$K$5:$AJ$180,0,MATCH(E$2,Inputs!$K$4:$AJ$4,0))))+SUMPRODUCT((Inputs!$E$5:$E$180=$B73)*ISNUMBER(INDEX(Inputs!$K$5:$AJ$180,0,MATCH(E$2,Inputs!$K$4:$AJ$4,0))))=0,NA(),SUMPRODUCT((Inputs!$A$5:$A$180=$B73)*Inputs!$B$5:$B$180*(((Inputs!$G$5:$G$180="moeda")+(Inputs!$G$5:$G$180="acoes"))*Inputs!$B$1+((Inputs!$G$5:$G$180&lt;&gt;"moeda")*(Inputs!$G$5:$G$180&lt;&gt;"acoes")))*INDEX(Inputs!$K$5:$AJ$180,0,MATCH(E$2,Inputs!$K$4:$AJ$4,0)))+SUMPRODUCT((Inputs!$C$5:$C$180=$B73)*Inputs!$D$5:$D$180*(((Inputs!$G$5:$G$180="moeda")+(Inputs!$G$5:$G$180="acoes"))*Inputs!$B$1+((Inputs!$G$5:$G$180&lt;&gt;"moeda")*(Inputs!$G$5:$G$180&lt;&gt;"acoes")))*INDEX(Inputs!$K$5:$AJ$180,0,MATCH(E$2,Inputs!$K$4:$AJ$4,0)))+SUMPRODUCT((Inputs!$E$5:$E$180=$B73)*Inputs!$F$5:$F$180*(((Inputs!$G$5:$G$180="moeda")+(Inputs!$G$5:$G$180="acoes"))*Inputs!$B$1+((Inputs!$G$5:$G$180&lt;&gt;"moeda")*(Inputs!$G$5:$G$180&lt;&gt;"acoes")))*INDEX(Inputs!$K$5:$AJ$180,0,MATCH(E$2,Inputs!$K$4:$AJ$4,0)))))</f>
        <v>0</v>
      </c>
      <c r="F73" s="264">
        <f>IF(ISNA(MATCH(F$2,Inputs!$K$4:$AJ$4,0)),NA(),IF(SUMPRODUCT((Inputs!$A$5:$A$180=$B73)*ISNUMBER(INDEX(Inputs!$K$5:$AJ$180,0,MATCH(F$2,Inputs!$K$4:$AJ$4,0))))+SUMPRODUCT((Inputs!$C$5:$C$180=$B73)*ISNUMBER(INDEX(Inputs!$K$5:$AJ$180,0,MATCH(F$2,Inputs!$K$4:$AJ$4,0))))+SUMPRODUCT((Inputs!$E$5:$E$180=$B73)*ISNUMBER(INDEX(Inputs!$K$5:$AJ$180,0,MATCH(F$2,Inputs!$K$4:$AJ$4,0))))=0,NA(),SUMPRODUCT((Inputs!$A$5:$A$180=$B73)*Inputs!$B$5:$B$180*(((Inputs!$G$5:$G$180="moeda")+(Inputs!$G$5:$G$180="acoes"))*Inputs!$B$1+((Inputs!$G$5:$G$180&lt;&gt;"moeda")*(Inputs!$G$5:$G$180&lt;&gt;"acoes")))*INDEX(Inputs!$K$5:$AJ$180,0,MATCH(F$2,Inputs!$K$4:$AJ$4,0)))+SUMPRODUCT((Inputs!$C$5:$C$180=$B73)*Inputs!$D$5:$D$180*(((Inputs!$G$5:$G$180="moeda")+(Inputs!$G$5:$G$180="acoes"))*Inputs!$B$1+((Inputs!$G$5:$G$180&lt;&gt;"moeda")*(Inputs!$G$5:$G$180&lt;&gt;"acoes")))*INDEX(Inputs!$K$5:$AJ$180,0,MATCH(F$2,Inputs!$K$4:$AJ$4,0)))+SUMPRODUCT((Inputs!$E$5:$E$180=$B73)*Inputs!$F$5:$F$180*(((Inputs!$G$5:$G$180="moeda")+(Inputs!$G$5:$G$180="acoes"))*Inputs!$B$1+((Inputs!$G$5:$G$180&lt;&gt;"moeda")*(Inputs!$G$5:$G$180&lt;&gt;"acoes")))*INDEX(Inputs!$K$5:$AJ$180,0,MATCH(F$2,Inputs!$K$4:$AJ$4,0)))))</f>
        <v>0</v>
      </c>
      <c r="G73" s="264">
        <f>IF(ISNA(MATCH(G$2,Inputs!$K$4:$AJ$4,0)),NA(),IF(SUMPRODUCT((Inputs!$A$5:$A$180=$B73)*ISNUMBER(INDEX(Inputs!$K$5:$AJ$180,0,MATCH(G$2,Inputs!$K$4:$AJ$4,0))))+SUMPRODUCT((Inputs!$C$5:$C$180=$B73)*ISNUMBER(INDEX(Inputs!$K$5:$AJ$180,0,MATCH(G$2,Inputs!$K$4:$AJ$4,0))))+SUMPRODUCT((Inputs!$E$5:$E$180=$B73)*ISNUMBER(INDEX(Inputs!$K$5:$AJ$180,0,MATCH(G$2,Inputs!$K$4:$AJ$4,0))))=0,NA(),SUMPRODUCT((Inputs!$A$5:$A$180=$B73)*Inputs!$B$5:$B$180*(((Inputs!$G$5:$G$180="moeda")+(Inputs!$G$5:$G$180="acoes"))*Inputs!$B$1+((Inputs!$G$5:$G$180&lt;&gt;"moeda")*(Inputs!$G$5:$G$180&lt;&gt;"acoes")))*INDEX(Inputs!$K$5:$AJ$180,0,MATCH(G$2,Inputs!$K$4:$AJ$4,0)))+SUMPRODUCT((Inputs!$C$5:$C$180=$B73)*Inputs!$D$5:$D$180*(((Inputs!$G$5:$G$180="moeda")+(Inputs!$G$5:$G$180="acoes"))*Inputs!$B$1+((Inputs!$G$5:$G$180&lt;&gt;"moeda")*(Inputs!$G$5:$G$180&lt;&gt;"acoes")))*INDEX(Inputs!$K$5:$AJ$180,0,MATCH(G$2,Inputs!$K$4:$AJ$4,0)))+SUMPRODUCT((Inputs!$E$5:$E$180=$B73)*Inputs!$F$5:$F$180*(((Inputs!$G$5:$G$180="moeda")+(Inputs!$G$5:$G$180="acoes"))*Inputs!$B$1+((Inputs!$G$5:$G$180&lt;&gt;"moeda")*(Inputs!$G$5:$G$180&lt;&gt;"acoes")))*INDEX(Inputs!$K$5:$AJ$180,0,MATCH(G$2,Inputs!$K$4:$AJ$4,0)))))</f>
        <v>0.462102540000014</v>
      </c>
      <c r="H73" s="265">
        <f>SUM(D73:G73)</f>
        <v>0.462102540000031</v>
      </c>
      <c r="I73" s="264">
        <f>IF(ISNA(MATCH(I$2,Inputs!$K$4:$AJ$4,0)),NA(),IF(SUMPRODUCT((Inputs!$A$5:$A$180=$B73)*ISNUMBER(INDEX(Inputs!$K$5:$AJ$180,0,MATCH(I$2,Inputs!$K$4:$AJ$4,0))))+SUMPRODUCT((Inputs!$C$5:$C$180=$B73)*ISNUMBER(INDEX(Inputs!$K$5:$AJ$180,0,MATCH(I$2,Inputs!$K$4:$AJ$4,0))))+SUMPRODUCT((Inputs!$E$5:$E$180=$B73)*ISNUMBER(INDEX(Inputs!$K$5:$AJ$180,0,MATCH(I$2,Inputs!$K$4:$AJ$4,0))))=0,NA(),SUMPRODUCT((Inputs!$A$5:$A$180=$B73)*Inputs!$B$5:$B$180*(((Inputs!$G$5:$G$180="moeda")+(Inputs!$G$5:$G$180="acoes"))*Inputs!$B$1+((Inputs!$G$5:$G$180&lt;&gt;"moeda")*(Inputs!$G$5:$G$180&lt;&gt;"acoes")))*INDEX(Inputs!$K$5:$AJ$180,0,MATCH(I$2,Inputs!$K$4:$AJ$4,0)))+SUMPRODUCT((Inputs!$C$5:$C$180=$B73)*Inputs!$D$5:$D$180*(((Inputs!$G$5:$G$180="moeda")+(Inputs!$G$5:$G$180="acoes"))*Inputs!$B$1+((Inputs!$G$5:$G$180&lt;&gt;"moeda")*(Inputs!$G$5:$G$180&lt;&gt;"acoes")))*INDEX(Inputs!$K$5:$AJ$180,0,MATCH(I$2,Inputs!$K$4:$AJ$4,0)))+SUMPRODUCT((Inputs!$E$5:$E$180=$B73)*Inputs!$F$5:$F$180*(((Inputs!$G$5:$G$180="moeda")+(Inputs!$G$5:$G$180="acoes"))*Inputs!$B$1+((Inputs!$G$5:$G$180&lt;&gt;"moeda")*(Inputs!$G$5:$G$180&lt;&gt;"acoes")))*INDEX(Inputs!$K$5:$AJ$180,0,MATCH(I$2,Inputs!$K$4:$AJ$4,0)))))</f>
        <v>0.62715469</v>
      </c>
      <c r="J73" s="264">
        <f>IF(ISNA(MATCH(J$2,Inputs!$K$4:$AJ$4,0)),NA(),IF(SUMPRODUCT((Inputs!$A$5:$A$180=$B73)*ISNUMBER(INDEX(Inputs!$K$5:$AJ$180,0,MATCH(J$2,Inputs!$K$4:$AJ$4,0))))+SUMPRODUCT((Inputs!$C$5:$C$180=$B73)*ISNUMBER(INDEX(Inputs!$K$5:$AJ$180,0,MATCH(J$2,Inputs!$K$4:$AJ$4,0))))+SUMPRODUCT((Inputs!$E$5:$E$180=$B73)*ISNUMBER(INDEX(Inputs!$K$5:$AJ$180,0,MATCH(J$2,Inputs!$K$4:$AJ$4,0))))=0,NA(),SUMPRODUCT((Inputs!$A$5:$A$180=$B73)*Inputs!$B$5:$B$180*(((Inputs!$G$5:$G$180="moeda")+(Inputs!$G$5:$G$180="acoes"))*Inputs!$B$1+((Inputs!$G$5:$G$180&lt;&gt;"moeda")*(Inputs!$G$5:$G$180&lt;&gt;"acoes")))*INDEX(Inputs!$K$5:$AJ$180,0,MATCH(J$2,Inputs!$K$4:$AJ$4,0)))+SUMPRODUCT((Inputs!$C$5:$C$180=$B73)*Inputs!$D$5:$D$180*(((Inputs!$G$5:$G$180="moeda")+(Inputs!$G$5:$G$180="acoes"))*Inputs!$B$1+((Inputs!$G$5:$G$180&lt;&gt;"moeda")*(Inputs!$G$5:$G$180&lt;&gt;"acoes")))*INDEX(Inputs!$K$5:$AJ$180,0,MATCH(J$2,Inputs!$K$4:$AJ$4,0)))+SUMPRODUCT((Inputs!$E$5:$E$180=$B73)*Inputs!$F$5:$F$180*(((Inputs!$G$5:$G$180="moeda")+(Inputs!$G$5:$G$180="acoes"))*Inputs!$B$1+((Inputs!$G$5:$G$180&lt;&gt;"moeda")*(Inputs!$G$5:$G$180&lt;&gt;"acoes")))*INDEX(Inputs!$K$5:$AJ$180,0,MATCH(J$2,Inputs!$K$4:$AJ$4,0)))))</f>
        <v>3.14020853</v>
      </c>
      <c r="K73" s="264">
        <f>IF(ISNA(MATCH(K$2,Inputs!$K$4:$AJ$4,0)),NA(),IF(SUMPRODUCT((Inputs!$A$5:$A$180=$B73)*ISNUMBER(INDEX(Inputs!$K$5:$AJ$180,0,MATCH(K$2,Inputs!$K$4:$AJ$4,0))))+SUMPRODUCT((Inputs!$C$5:$C$180=$B73)*ISNUMBER(INDEX(Inputs!$K$5:$AJ$180,0,MATCH(K$2,Inputs!$K$4:$AJ$4,0))))+SUMPRODUCT((Inputs!$E$5:$E$180=$B73)*ISNUMBER(INDEX(Inputs!$K$5:$AJ$180,0,MATCH(K$2,Inputs!$K$4:$AJ$4,0))))=0,NA(),SUMPRODUCT((Inputs!$A$5:$A$180=$B73)*Inputs!$B$5:$B$180*(((Inputs!$G$5:$G$180="moeda")+(Inputs!$G$5:$G$180="acoes"))*Inputs!$B$1+((Inputs!$G$5:$G$180&lt;&gt;"moeda")*(Inputs!$G$5:$G$180&lt;&gt;"acoes")))*INDEX(Inputs!$K$5:$AJ$180,0,MATCH(K$2,Inputs!$K$4:$AJ$4,0)))+SUMPRODUCT((Inputs!$C$5:$C$180=$B73)*Inputs!$D$5:$D$180*(((Inputs!$G$5:$G$180="moeda")+(Inputs!$G$5:$G$180="acoes"))*Inputs!$B$1+((Inputs!$G$5:$G$180&lt;&gt;"moeda")*(Inputs!$G$5:$G$180&lt;&gt;"acoes")))*INDEX(Inputs!$K$5:$AJ$180,0,MATCH(K$2,Inputs!$K$4:$AJ$4,0)))+SUMPRODUCT((Inputs!$E$5:$E$180=$B73)*Inputs!$F$5:$F$180*(((Inputs!$G$5:$G$180="moeda")+(Inputs!$G$5:$G$180="acoes"))*Inputs!$B$1+((Inputs!$G$5:$G$180&lt;&gt;"moeda")*(Inputs!$G$5:$G$180&lt;&gt;"acoes")))*INDEX(Inputs!$K$5:$AJ$180,0,MATCH(K$2,Inputs!$K$4:$AJ$4,0)))))</f>
        <v>8.56621653</v>
      </c>
      <c r="L73" s="264">
        <f>IF(ISNA(MATCH(L$2,Inputs!$K$4:$AJ$4,0)),NA(),IF(SUMPRODUCT((Inputs!$A$5:$A$180=$B73)*ISNUMBER(INDEX(Inputs!$K$5:$AJ$180,0,MATCH(L$2,Inputs!$K$4:$AJ$4,0))))+SUMPRODUCT((Inputs!$C$5:$C$180=$B73)*ISNUMBER(INDEX(Inputs!$K$5:$AJ$180,0,MATCH(L$2,Inputs!$K$4:$AJ$4,0))))+SUMPRODUCT((Inputs!$E$5:$E$180=$B73)*ISNUMBER(INDEX(Inputs!$K$5:$AJ$180,0,MATCH(L$2,Inputs!$K$4:$AJ$4,0))))=0,NA(),SUMPRODUCT((Inputs!$A$5:$A$180=$B73)*Inputs!$B$5:$B$180*(((Inputs!$G$5:$G$180="moeda")+(Inputs!$G$5:$G$180="acoes"))*Inputs!$B$1+((Inputs!$G$5:$G$180&lt;&gt;"moeda")*(Inputs!$G$5:$G$180&lt;&gt;"acoes")))*INDEX(Inputs!$K$5:$AJ$180,0,MATCH(L$2,Inputs!$K$4:$AJ$4,0)))+SUMPRODUCT((Inputs!$C$5:$C$180=$B73)*Inputs!$D$5:$D$180*(((Inputs!$G$5:$G$180="moeda")+(Inputs!$G$5:$G$180="acoes"))*Inputs!$B$1+((Inputs!$G$5:$G$180&lt;&gt;"moeda")*(Inputs!$G$5:$G$180&lt;&gt;"acoes")))*INDEX(Inputs!$K$5:$AJ$180,0,MATCH(L$2,Inputs!$K$4:$AJ$4,0)))+SUMPRODUCT((Inputs!$E$5:$E$180=$B73)*Inputs!$F$5:$F$180*(((Inputs!$G$5:$G$180="moeda")+(Inputs!$G$5:$G$180="acoes"))*Inputs!$B$1+((Inputs!$G$5:$G$180&lt;&gt;"moeda")*(Inputs!$G$5:$G$180&lt;&gt;"acoes")))*INDEX(Inputs!$K$5:$AJ$180,0,MATCH(L$2,Inputs!$K$4:$AJ$4,0)))))</f>
        <v>4.69652595000001</v>
      </c>
      <c r="M73" s="265">
        <f>SUM(I73:L73)</f>
        <v>17.0301057</v>
      </c>
      <c r="N73" s="264">
        <f>IF(ISNA(MATCH(N$2,Inputs!$K$4:$AJ$4,0)),NA(),IF(SUMPRODUCT((Inputs!$A$5:$A$180=$B73)*ISNUMBER(INDEX(Inputs!$K$5:$AJ$180,0,MATCH(N$2,Inputs!$K$4:$AJ$4,0))))+SUMPRODUCT((Inputs!$C$5:$C$180=$B73)*ISNUMBER(INDEX(Inputs!$K$5:$AJ$180,0,MATCH(N$2,Inputs!$K$4:$AJ$4,0))))+SUMPRODUCT((Inputs!$E$5:$E$180=$B73)*ISNUMBER(INDEX(Inputs!$K$5:$AJ$180,0,MATCH(N$2,Inputs!$K$4:$AJ$4,0))))=0,NA(),SUMPRODUCT((Inputs!$A$5:$A$180=$B73)*Inputs!$B$5:$B$180*(((Inputs!$G$5:$G$180="moeda")+(Inputs!$G$5:$G$180="acoes"))*Inputs!$B$1+((Inputs!$G$5:$G$180&lt;&gt;"moeda")*(Inputs!$G$5:$G$180&lt;&gt;"acoes")))*INDEX(Inputs!$K$5:$AJ$180,0,MATCH(N$2,Inputs!$K$4:$AJ$4,0)))+SUMPRODUCT((Inputs!$C$5:$C$180=$B73)*Inputs!$D$5:$D$180*(((Inputs!$G$5:$G$180="moeda")+(Inputs!$G$5:$G$180="acoes"))*Inputs!$B$1+((Inputs!$G$5:$G$180&lt;&gt;"moeda")*(Inputs!$G$5:$G$180&lt;&gt;"acoes")))*INDEX(Inputs!$K$5:$AJ$180,0,MATCH(N$2,Inputs!$K$4:$AJ$4,0)))+SUMPRODUCT((Inputs!$E$5:$E$180=$B73)*Inputs!$F$5:$F$180*(((Inputs!$G$5:$G$180="moeda")+(Inputs!$G$5:$G$180="acoes"))*Inputs!$B$1+((Inputs!$G$5:$G$180&lt;&gt;"moeda")*(Inputs!$G$5:$G$180&lt;&gt;"acoes")))*INDEX(Inputs!$K$5:$AJ$180,0,MATCH(N$2,Inputs!$K$4:$AJ$4,0)))))</f>
        <v>3.33588970000002</v>
      </c>
      <c r="O73" s="264">
        <f>IF(ISNA(MATCH(O$2,Inputs!$K$4:$AJ$4,0)),NA(),IF(SUMPRODUCT((Inputs!$A$5:$A$180=$B73)*ISNUMBER(INDEX(Inputs!$K$5:$AJ$180,0,MATCH(O$2,Inputs!$K$4:$AJ$4,0))))+SUMPRODUCT((Inputs!$C$5:$C$180=$B73)*ISNUMBER(INDEX(Inputs!$K$5:$AJ$180,0,MATCH(O$2,Inputs!$K$4:$AJ$4,0))))+SUMPRODUCT((Inputs!$E$5:$E$180=$B73)*ISNUMBER(INDEX(Inputs!$K$5:$AJ$180,0,MATCH(O$2,Inputs!$K$4:$AJ$4,0))))=0,NA(),SUMPRODUCT((Inputs!$A$5:$A$180=$B73)*Inputs!$B$5:$B$180*(((Inputs!$G$5:$G$180="moeda")+(Inputs!$G$5:$G$180="acoes"))*Inputs!$B$1+((Inputs!$G$5:$G$180&lt;&gt;"moeda")*(Inputs!$G$5:$G$180&lt;&gt;"acoes")))*INDEX(Inputs!$K$5:$AJ$180,0,MATCH(O$2,Inputs!$K$4:$AJ$4,0)))+SUMPRODUCT((Inputs!$C$5:$C$180=$B73)*Inputs!$D$5:$D$180*(((Inputs!$G$5:$G$180="moeda")+(Inputs!$G$5:$G$180="acoes"))*Inputs!$B$1+((Inputs!$G$5:$G$180&lt;&gt;"moeda")*(Inputs!$G$5:$G$180&lt;&gt;"acoes")))*INDEX(Inputs!$K$5:$AJ$180,0,MATCH(O$2,Inputs!$K$4:$AJ$4,0)))+SUMPRODUCT((Inputs!$E$5:$E$180=$B73)*Inputs!$F$5:$F$180*(((Inputs!$G$5:$G$180="moeda")+(Inputs!$G$5:$G$180="acoes"))*Inputs!$B$1+((Inputs!$G$5:$G$180&lt;&gt;"moeda")*(Inputs!$G$5:$G$180&lt;&gt;"acoes")))*INDEX(Inputs!$K$5:$AJ$180,0,MATCH(O$2,Inputs!$K$4:$AJ$4,0)))))</f>
        <v>4.82820906999995</v>
      </c>
      <c r="P73" s="264">
        <f>IF(ISNA(MATCH(P$2,Inputs!$K$4:$AJ$4,0)),NA(),IF(SUMPRODUCT((Inputs!$A$5:$A$180=$B73)*ISNUMBER(INDEX(Inputs!$K$5:$AJ$180,0,MATCH(P$2,Inputs!$K$4:$AJ$4,0))))+SUMPRODUCT((Inputs!$C$5:$C$180=$B73)*ISNUMBER(INDEX(Inputs!$K$5:$AJ$180,0,MATCH(P$2,Inputs!$K$4:$AJ$4,0))))+SUMPRODUCT((Inputs!$E$5:$E$180=$B73)*ISNUMBER(INDEX(Inputs!$K$5:$AJ$180,0,MATCH(P$2,Inputs!$K$4:$AJ$4,0))))=0,NA(),SUMPRODUCT((Inputs!$A$5:$A$180=$B73)*Inputs!$B$5:$B$180*(((Inputs!$G$5:$G$180="moeda")+(Inputs!$G$5:$G$180="acoes"))*Inputs!$B$1+((Inputs!$G$5:$G$180&lt;&gt;"moeda")*(Inputs!$G$5:$G$180&lt;&gt;"acoes")))*INDEX(Inputs!$K$5:$AJ$180,0,MATCH(P$2,Inputs!$K$4:$AJ$4,0)))+SUMPRODUCT((Inputs!$C$5:$C$180=$B73)*Inputs!$D$5:$D$180*(((Inputs!$G$5:$G$180="moeda")+(Inputs!$G$5:$G$180="acoes"))*Inputs!$B$1+((Inputs!$G$5:$G$180&lt;&gt;"moeda")*(Inputs!$G$5:$G$180&lt;&gt;"acoes")))*INDEX(Inputs!$K$5:$AJ$180,0,MATCH(P$2,Inputs!$K$4:$AJ$4,0)))+SUMPRODUCT((Inputs!$E$5:$E$180=$B73)*Inputs!$F$5:$F$180*(((Inputs!$G$5:$G$180="moeda")+(Inputs!$G$5:$G$180="acoes"))*Inputs!$B$1+((Inputs!$G$5:$G$180&lt;&gt;"moeda")*(Inputs!$G$5:$G$180&lt;&gt;"acoes")))*INDEX(Inputs!$K$5:$AJ$180,0,MATCH(P$2,Inputs!$K$4:$AJ$4,0)))))</f>
        <v>2.25099642000001</v>
      </c>
      <c r="Q73" s="264">
        <f>IF(ISNA(MATCH(Q$2,Inputs!$K$4:$AJ$4,0)),NA(),IF(SUMPRODUCT((Inputs!$A$5:$A$180=$B73)*ISNUMBER(INDEX(Inputs!$K$5:$AJ$180,0,MATCH(Q$2,Inputs!$K$4:$AJ$4,0))))+SUMPRODUCT((Inputs!$C$5:$C$180=$B73)*ISNUMBER(INDEX(Inputs!$K$5:$AJ$180,0,MATCH(Q$2,Inputs!$K$4:$AJ$4,0))))+SUMPRODUCT((Inputs!$E$5:$E$180=$B73)*ISNUMBER(INDEX(Inputs!$K$5:$AJ$180,0,MATCH(Q$2,Inputs!$K$4:$AJ$4,0))))=0,NA(),SUMPRODUCT((Inputs!$A$5:$A$180=$B73)*Inputs!$B$5:$B$180*(((Inputs!$G$5:$G$180="moeda")+(Inputs!$G$5:$G$180="acoes"))*Inputs!$B$1+((Inputs!$G$5:$G$180&lt;&gt;"moeda")*(Inputs!$G$5:$G$180&lt;&gt;"acoes")))*INDEX(Inputs!$K$5:$AJ$180,0,MATCH(Q$2,Inputs!$K$4:$AJ$4,0)))+SUMPRODUCT((Inputs!$C$5:$C$180=$B73)*Inputs!$D$5:$D$180*(((Inputs!$G$5:$G$180="moeda")+(Inputs!$G$5:$G$180="acoes"))*Inputs!$B$1+((Inputs!$G$5:$G$180&lt;&gt;"moeda")*(Inputs!$G$5:$G$180&lt;&gt;"acoes")))*INDEX(Inputs!$K$5:$AJ$180,0,MATCH(Q$2,Inputs!$K$4:$AJ$4,0)))+SUMPRODUCT((Inputs!$E$5:$E$180=$B73)*Inputs!$F$5:$F$180*(((Inputs!$G$5:$G$180="moeda")+(Inputs!$G$5:$G$180="acoes"))*Inputs!$B$1+((Inputs!$G$5:$G$180&lt;&gt;"moeda")*(Inputs!$G$5:$G$180&lt;&gt;"acoes")))*INDEX(Inputs!$K$5:$AJ$180,0,MATCH(Q$2,Inputs!$K$4:$AJ$4,0)))))</f>
        <v>2.05753194</v>
      </c>
      <c r="R73" s="265">
        <f>SUM(N73:Q73)</f>
        <v>12.47262713</v>
      </c>
      <c r="S73" s="264">
        <f>IF(ISNA(MATCH(S$2,Inputs!$K$4:$AJ$4,0)),NA(),IF(SUMPRODUCT((Inputs!$A$5:$A$180=$B73)*ISNUMBER(INDEX(Inputs!$K$5:$AJ$180,0,MATCH(S$2,Inputs!$K$4:$AJ$4,0))))+SUMPRODUCT((Inputs!$C$5:$C$180=$B73)*ISNUMBER(INDEX(Inputs!$K$5:$AJ$180,0,MATCH(S$2,Inputs!$K$4:$AJ$4,0))))+SUMPRODUCT((Inputs!$E$5:$E$180=$B73)*ISNUMBER(INDEX(Inputs!$K$5:$AJ$180,0,MATCH(S$2,Inputs!$K$4:$AJ$4,0))))=0,NA(),SUMPRODUCT((Inputs!$A$5:$A$180=$B73)*Inputs!$B$5:$B$180*(((Inputs!$G$5:$G$180="moeda")+(Inputs!$G$5:$G$180="acoes"))*Inputs!$B$1+((Inputs!$G$5:$G$180&lt;&gt;"moeda")*(Inputs!$G$5:$G$180&lt;&gt;"acoes")))*INDEX(Inputs!$K$5:$AJ$180,0,MATCH(S$2,Inputs!$K$4:$AJ$4,0)))+SUMPRODUCT((Inputs!$C$5:$C$180=$B73)*Inputs!$D$5:$D$180*(((Inputs!$G$5:$G$180="moeda")+(Inputs!$G$5:$G$180="acoes"))*Inputs!$B$1+((Inputs!$G$5:$G$180&lt;&gt;"moeda")*(Inputs!$G$5:$G$180&lt;&gt;"acoes")))*INDEX(Inputs!$K$5:$AJ$180,0,MATCH(S$2,Inputs!$K$4:$AJ$4,0)))+SUMPRODUCT((Inputs!$E$5:$E$180=$B73)*Inputs!$F$5:$F$180*(((Inputs!$G$5:$G$180="moeda")+(Inputs!$G$5:$G$180="acoes"))*Inputs!$B$1+((Inputs!$G$5:$G$180&lt;&gt;"moeda")*(Inputs!$G$5:$G$180&lt;&gt;"acoes")))*INDEX(Inputs!$K$5:$AJ$180,0,MATCH(S$2,Inputs!$K$4:$AJ$4,0)))))</f>
        <v>2.47320932</v>
      </c>
      <c r="T73" s="264">
        <f>IF(ISNA(MATCH(T$2,Inputs!$K$4:$AJ$4,0)),NA(),IF(SUMPRODUCT((Inputs!$A$5:$A$180=$B73)*ISNUMBER(INDEX(Inputs!$K$5:$AJ$180,0,MATCH(T$2,Inputs!$K$4:$AJ$4,0))))+SUMPRODUCT((Inputs!$C$5:$C$180=$B73)*ISNUMBER(INDEX(Inputs!$K$5:$AJ$180,0,MATCH(T$2,Inputs!$K$4:$AJ$4,0))))+SUMPRODUCT((Inputs!$E$5:$E$180=$B73)*ISNUMBER(INDEX(Inputs!$K$5:$AJ$180,0,MATCH(T$2,Inputs!$K$4:$AJ$4,0))))=0,NA(),SUMPRODUCT((Inputs!$A$5:$A$180=$B73)*Inputs!$B$5:$B$180*(((Inputs!$G$5:$G$180="moeda")+(Inputs!$G$5:$G$180="acoes"))*Inputs!$B$1+((Inputs!$G$5:$G$180&lt;&gt;"moeda")*(Inputs!$G$5:$G$180&lt;&gt;"acoes")))*INDEX(Inputs!$K$5:$AJ$180,0,MATCH(T$2,Inputs!$K$4:$AJ$4,0)))+SUMPRODUCT((Inputs!$C$5:$C$180=$B73)*Inputs!$D$5:$D$180*(((Inputs!$G$5:$G$180="moeda")+(Inputs!$G$5:$G$180="acoes"))*Inputs!$B$1+((Inputs!$G$5:$G$180&lt;&gt;"moeda")*(Inputs!$G$5:$G$180&lt;&gt;"acoes")))*INDEX(Inputs!$K$5:$AJ$180,0,MATCH(T$2,Inputs!$K$4:$AJ$4,0)))+SUMPRODUCT((Inputs!$E$5:$E$180=$B73)*Inputs!$F$5:$F$180*(((Inputs!$G$5:$G$180="moeda")+(Inputs!$G$5:$G$180="acoes"))*Inputs!$B$1+((Inputs!$G$5:$G$180&lt;&gt;"moeda")*(Inputs!$G$5:$G$180&lt;&gt;"acoes")))*INDEX(Inputs!$K$5:$AJ$180,0,MATCH(T$2,Inputs!$K$4:$AJ$4,0)))))</f>
        <v>1.46015116</v>
      </c>
      <c r="U73" s="264">
        <f>IF(ISNA(MATCH(U$2,Inputs!$K$4:$AJ$4,0)),NA(),IF(SUMPRODUCT((Inputs!$A$5:$A$180=$B73)*ISNUMBER(INDEX(Inputs!$K$5:$AJ$180,0,MATCH(U$2,Inputs!$K$4:$AJ$4,0))))+SUMPRODUCT((Inputs!$C$5:$C$180=$B73)*ISNUMBER(INDEX(Inputs!$K$5:$AJ$180,0,MATCH(U$2,Inputs!$K$4:$AJ$4,0))))+SUMPRODUCT((Inputs!$E$5:$E$180=$B73)*ISNUMBER(INDEX(Inputs!$K$5:$AJ$180,0,MATCH(U$2,Inputs!$K$4:$AJ$4,0))))=0,NA(),SUMPRODUCT((Inputs!$A$5:$A$180=$B73)*Inputs!$B$5:$B$180*(((Inputs!$G$5:$G$180="moeda")+(Inputs!$G$5:$G$180="acoes"))*Inputs!$B$1+((Inputs!$G$5:$G$180&lt;&gt;"moeda")*(Inputs!$G$5:$G$180&lt;&gt;"acoes")))*INDEX(Inputs!$K$5:$AJ$180,0,MATCH(U$2,Inputs!$K$4:$AJ$4,0)))+SUMPRODUCT((Inputs!$C$5:$C$180=$B73)*Inputs!$D$5:$D$180*(((Inputs!$G$5:$G$180="moeda")+(Inputs!$G$5:$G$180="acoes"))*Inputs!$B$1+((Inputs!$G$5:$G$180&lt;&gt;"moeda")*(Inputs!$G$5:$G$180&lt;&gt;"acoes")))*INDEX(Inputs!$K$5:$AJ$180,0,MATCH(U$2,Inputs!$K$4:$AJ$4,0)))+SUMPRODUCT((Inputs!$E$5:$E$180=$B73)*Inputs!$F$5:$F$180*(((Inputs!$G$5:$G$180="moeda")+(Inputs!$G$5:$G$180="acoes"))*Inputs!$B$1+((Inputs!$G$5:$G$180&lt;&gt;"moeda")*(Inputs!$G$5:$G$180&lt;&gt;"acoes")))*INDEX(Inputs!$K$5:$AJ$180,0,MATCH(U$2,Inputs!$K$4:$AJ$4,0)))))</f>
        <v>0.38697053</v>
      </c>
      <c r="V73" s="264">
        <f>IF(ISNA(MATCH(V$2,Inputs!$K$4:$AJ$4,0)),NA(),IF(SUMPRODUCT((Inputs!$A$5:$A$180=$B73)*ISNUMBER(INDEX(Inputs!$K$5:$AJ$180,0,MATCH(V$2,Inputs!$K$4:$AJ$4,0))))+SUMPRODUCT((Inputs!$C$5:$C$180=$B73)*ISNUMBER(INDEX(Inputs!$K$5:$AJ$180,0,MATCH(V$2,Inputs!$K$4:$AJ$4,0))))+SUMPRODUCT((Inputs!$E$5:$E$180=$B73)*ISNUMBER(INDEX(Inputs!$K$5:$AJ$180,0,MATCH(V$2,Inputs!$K$4:$AJ$4,0))))=0,NA(),SUMPRODUCT((Inputs!$A$5:$A$180=$B73)*Inputs!$B$5:$B$180*(((Inputs!$G$5:$G$180="moeda")+(Inputs!$G$5:$G$180="acoes"))*Inputs!$B$1+((Inputs!$G$5:$G$180&lt;&gt;"moeda")*(Inputs!$G$5:$G$180&lt;&gt;"acoes")))*INDEX(Inputs!$K$5:$AJ$180,0,MATCH(V$2,Inputs!$K$4:$AJ$4,0)))+SUMPRODUCT((Inputs!$C$5:$C$180=$B73)*Inputs!$D$5:$D$180*(((Inputs!$G$5:$G$180="moeda")+(Inputs!$G$5:$G$180="acoes"))*Inputs!$B$1+((Inputs!$G$5:$G$180&lt;&gt;"moeda")*(Inputs!$G$5:$G$180&lt;&gt;"acoes")))*INDEX(Inputs!$K$5:$AJ$180,0,MATCH(V$2,Inputs!$K$4:$AJ$4,0)))+SUMPRODUCT((Inputs!$E$5:$E$180=$B73)*Inputs!$F$5:$F$180*(((Inputs!$G$5:$G$180="moeda")+(Inputs!$G$5:$G$180="acoes"))*Inputs!$B$1+((Inputs!$G$5:$G$180&lt;&gt;"moeda")*(Inputs!$G$5:$G$180&lt;&gt;"acoes")))*INDEX(Inputs!$K$5:$AJ$180,0,MATCH(V$2,Inputs!$K$4:$AJ$4,0)))))</f>
        <v>2.8623234</v>
      </c>
      <c r="W73" s="265">
        <f>SUM(S73:V73)</f>
        <v>7.18265441</v>
      </c>
      <c r="X73" s="264">
        <f>IF(ISNA(MATCH(X$2,Inputs!$K$4:$AJ$4,0)),NA(),IF(SUMPRODUCT((Inputs!$A$5:$A$180=$B73)*ISNUMBER(INDEX(Inputs!$K$5:$AJ$180,0,MATCH(X$2,Inputs!$K$4:$AJ$4,0))))+SUMPRODUCT((Inputs!$C$5:$C$180=$B73)*ISNUMBER(INDEX(Inputs!$K$5:$AJ$180,0,MATCH(X$2,Inputs!$K$4:$AJ$4,0))))+SUMPRODUCT((Inputs!$E$5:$E$180=$B73)*ISNUMBER(INDEX(Inputs!$K$5:$AJ$180,0,MATCH(X$2,Inputs!$K$4:$AJ$4,0))))=0,NA(),SUMPRODUCT((Inputs!$A$5:$A$180=$B73)*Inputs!$B$5:$B$180*(((Inputs!$G$5:$G$180="moeda")+(Inputs!$G$5:$G$180="acoes"))*Inputs!$B$1+((Inputs!$G$5:$G$180&lt;&gt;"moeda")*(Inputs!$G$5:$G$180&lt;&gt;"acoes")))*INDEX(Inputs!$K$5:$AJ$180,0,MATCH(X$2,Inputs!$K$4:$AJ$4,0)))+SUMPRODUCT((Inputs!$C$5:$C$180=$B73)*Inputs!$D$5:$D$180*(((Inputs!$G$5:$G$180="moeda")+(Inputs!$G$5:$G$180="acoes"))*Inputs!$B$1+((Inputs!$G$5:$G$180&lt;&gt;"moeda")*(Inputs!$G$5:$G$180&lt;&gt;"acoes")))*INDEX(Inputs!$K$5:$AJ$180,0,MATCH(X$2,Inputs!$K$4:$AJ$4,0)))+SUMPRODUCT((Inputs!$E$5:$E$180=$B73)*Inputs!$F$5:$F$180*(((Inputs!$G$5:$G$180="moeda")+(Inputs!$G$5:$G$180="acoes"))*Inputs!$B$1+((Inputs!$G$5:$G$180&lt;&gt;"moeda")*(Inputs!$G$5:$G$180&lt;&gt;"acoes")))*INDEX(Inputs!$K$5:$AJ$180,0,MATCH(X$2,Inputs!$K$4:$AJ$4,0)))))</f>
        <v>0.534601882177236</v>
      </c>
      <c r="Y73" s="264">
        <f>IF(ISNA(MATCH(Y$2,Inputs!$K$4:$AJ$4,0)),NA(),IF(SUMPRODUCT((Inputs!$A$5:$A$180=$B73)*ISNUMBER(INDEX(Inputs!$K$5:$AJ$180,0,MATCH(Y$2,Inputs!$K$4:$AJ$4,0))))+SUMPRODUCT((Inputs!$C$5:$C$180=$B73)*ISNUMBER(INDEX(Inputs!$K$5:$AJ$180,0,MATCH(Y$2,Inputs!$K$4:$AJ$4,0))))+SUMPRODUCT((Inputs!$E$5:$E$180=$B73)*ISNUMBER(INDEX(Inputs!$K$5:$AJ$180,0,MATCH(Y$2,Inputs!$K$4:$AJ$4,0))))=0,NA(),SUMPRODUCT((Inputs!$A$5:$A$180=$B73)*Inputs!$B$5:$B$180*(((Inputs!$G$5:$G$180="moeda")+(Inputs!$G$5:$G$180="acoes"))*Inputs!$B$1+((Inputs!$G$5:$G$180&lt;&gt;"moeda")*(Inputs!$G$5:$G$180&lt;&gt;"acoes")))*INDEX(Inputs!$K$5:$AJ$180,0,MATCH(Y$2,Inputs!$K$4:$AJ$4,0)))+SUMPRODUCT((Inputs!$C$5:$C$180=$B73)*Inputs!$D$5:$D$180*(((Inputs!$G$5:$G$180="moeda")+(Inputs!$G$5:$G$180="acoes"))*Inputs!$B$1+((Inputs!$G$5:$G$180&lt;&gt;"moeda")*(Inputs!$G$5:$G$180&lt;&gt;"acoes")))*INDEX(Inputs!$K$5:$AJ$180,0,MATCH(Y$2,Inputs!$K$4:$AJ$4,0)))+SUMPRODUCT((Inputs!$E$5:$E$180=$B73)*Inputs!$F$5:$F$180*(((Inputs!$G$5:$G$180="moeda")+(Inputs!$G$5:$G$180="acoes"))*Inputs!$B$1+((Inputs!$G$5:$G$180&lt;&gt;"moeda")*(Inputs!$G$5:$G$180&lt;&gt;"acoes")))*INDEX(Inputs!$K$5:$AJ$180,0,MATCH(Y$2,Inputs!$K$4:$AJ$4,0)))))</f>
        <v>2.40233129</v>
      </c>
      <c r="Z73" s="264">
        <f>IF(ISNA(MATCH(Z$2,Inputs!$K$4:$AJ$4,0)),NA(),IF(SUMPRODUCT((Inputs!$A$5:$A$180=$B73)*ISNUMBER(INDEX(Inputs!$K$5:$AJ$180,0,MATCH(Z$2,Inputs!$K$4:$AJ$4,0))))+SUMPRODUCT((Inputs!$C$5:$C$180=$B73)*ISNUMBER(INDEX(Inputs!$K$5:$AJ$180,0,MATCH(Z$2,Inputs!$K$4:$AJ$4,0))))+SUMPRODUCT((Inputs!$E$5:$E$180=$B73)*ISNUMBER(INDEX(Inputs!$K$5:$AJ$180,0,MATCH(Z$2,Inputs!$K$4:$AJ$4,0))))=0,NA(),SUMPRODUCT((Inputs!$A$5:$A$180=$B73)*Inputs!$B$5:$B$180*(((Inputs!$G$5:$G$180="moeda")+(Inputs!$G$5:$G$180="acoes"))*Inputs!$B$1+((Inputs!$G$5:$G$180&lt;&gt;"moeda")*(Inputs!$G$5:$G$180&lt;&gt;"acoes")))*INDEX(Inputs!$K$5:$AJ$180,0,MATCH(Z$2,Inputs!$K$4:$AJ$4,0)))+SUMPRODUCT((Inputs!$C$5:$C$180=$B73)*Inputs!$D$5:$D$180*(((Inputs!$G$5:$G$180="moeda")+(Inputs!$G$5:$G$180="acoes"))*Inputs!$B$1+((Inputs!$G$5:$G$180&lt;&gt;"moeda")*(Inputs!$G$5:$G$180&lt;&gt;"acoes")))*INDEX(Inputs!$K$5:$AJ$180,0,MATCH(Z$2,Inputs!$K$4:$AJ$4,0)))+SUMPRODUCT((Inputs!$E$5:$E$180=$B73)*Inputs!$F$5:$F$180*(((Inputs!$G$5:$G$180="moeda")+(Inputs!$G$5:$G$180="acoes"))*Inputs!$B$1+((Inputs!$G$5:$G$180&lt;&gt;"moeda")*(Inputs!$G$5:$G$180&lt;&gt;"acoes")))*INDEX(Inputs!$K$5:$AJ$180,0,MATCH(Z$2,Inputs!$K$4:$AJ$4,0)))))</f>
        <v>5.85018338000002</v>
      </c>
      <c r="AA73" s="264">
        <f>IF(ISNA(MATCH(AA$2,Inputs!$K$4:$AJ$4,0)),NA(),IF(SUMPRODUCT((Inputs!$A$5:$A$180=$B73)*ISNUMBER(INDEX(Inputs!$K$5:$AJ$180,0,MATCH(AA$2,Inputs!$K$4:$AJ$4,0))))+SUMPRODUCT((Inputs!$C$5:$C$180=$B73)*ISNUMBER(INDEX(Inputs!$K$5:$AJ$180,0,MATCH(AA$2,Inputs!$K$4:$AJ$4,0))))+SUMPRODUCT((Inputs!$E$5:$E$180=$B73)*ISNUMBER(INDEX(Inputs!$K$5:$AJ$180,0,MATCH(AA$2,Inputs!$K$4:$AJ$4,0))))=0,NA(),SUMPRODUCT((Inputs!$A$5:$A$180=$B73)*Inputs!$B$5:$B$180*(((Inputs!$G$5:$G$180="moeda")+(Inputs!$G$5:$G$180="acoes"))*Inputs!$B$1+((Inputs!$G$5:$G$180&lt;&gt;"moeda")*(Inputs!$G$5:$G$180&lt;&gt;"acoes")))*INDEX(Inputs!$K$5:$AJ$180,0,MATCH(AA$2,Inputs!$K$4:$AJ$4,0)))+SUMPRODUCT((Inputs!$C$5:$C$180=$B73)*Inputs!$D$5:$D$180*(((Inputs!$G$5:$G$180="moeda")+(Inputs!$G$5:$G$180="acoes"))*Inputs!$B$1+((Inputs!$G$5:$G$180&lt;&gt;"moeda")*(Inputs!$G$5:$G$180&lt;&gt;"acoes")))*INDEX(Inputs!$K$5:$AJ$180,0,MATCH(AA$2,Inputs!$K$4:$AJ$4,0)))+SUMPRODUCT((Inputs!$E$5:$E$180=$B73)*Inputs!$F$5:$F$180*(((Inputs!$G$5:$G$180="moeda")+(Inputs!$G$5:$G$180="acoes"))*Inputs!$B$1+((Inputs!$G$5:$G$180&lt;&gt;"moeda")*(Inputs!$G$5:$G$180&lt;&gt;"acoes")))*INDEX(Inputs!$K$5:$AJ$180,0,MATCH(AA$2,Inputs!$K$4:$AJ$4,0)))))</f>
        <v>0.56828604</v>
      </c>
      <c r="AB73" s="265">
        <f>SUM(X73:AA73)</f>
        <v>9.35540259217726</v>
      </c>
      <c r="AC73" s="264">
        <f>IF(ISNA(MATCH(AC$2,Inputs!$K$4:$AJ$4,0)),NA(),IF(SUMPRODUCT((Inputs!$A$5:$A$180=$B73)*ISNUMBER(INDEX(Inputs!$K$5:$AJ$180,0,MATCH(AC$2,Inputs!$K$4:$AJ$4,0))))+SUMPRODUCT((Inputs!$C$5:$C$180=$B73)*ISNUMBER(INDEX(Inputs!$K$5:$AJ$180,0,MATCH(AC$2,Inputs!$K$4:$AJ$4,0))))+SUMPRODUCT((Inputs!$E$5:$E$180=$B73)*ISNUMBER(INDEX(Inputs!$K$5:$AJ$180,0,MATCH(AC$2,Inputs!$K$4:$AJ$4,0))))=0,NA(),SUMPRODUCT((Inputs!$A$5:$A$180=$B73)*Inputs!$B$5:$B$180*(((Inputs!$G$5:$G$180="moeda")+(Inputs!$G$5:$G$180="acoes"))*Inputs!$B$1+((Inputs!$G$5:$G$180&lt;&gt;"moeda")*(Inputs!$G$5:$G$180&lt;&gt;"acoes")))*INDEX(Inputs!$K$5:$AJ$180,0,MATCH(AC$2,Inputs!$K$4:$AJ$4,0)))+SUMPRODUCT((Inputs!$C$5:$C$180=$B73)*Inputs!$D$5:$D$180*(((Inputs!$G$5:$G$180="moeda")+(Inputs!$G$5:$G$180="acoes"))*Inputs!$B$1+((Inputs!$G$5:$G$180&lt;&gt;"moeda")*(Inputs!$G$5:$G$180&lt;&gt;"acoes")))*INDEX(Inputs!$K$5:$AJ$180,0,MATCH(AC$2,Inputs!$K$4:$AJ$4,0)))+SUMPRODUCT((Inputs!$E$5:$E$180=$B73)*Inputs!$F$5:$F$180*(((Inputs!$G$5:$G$180="moeda")+(Inputs!$G$5:$G$180="acoes"))*Inputs!$B$1+((Inputs!$G$5:$G$180&lt;&gt;"moeda")*(Inputs!$G$5:$G$180&lt;&gt;"acoes")))*INDEX(Inputs!$K$5:$AJ$180,0,MATCH(AC$2,Inputs!$K$4:$AJ$4,0)))))</f>
        <v>0.034396</v>
      </c>
      <c r="AD73" s="264">
        <f>IF(ISNA(MATCH(AD$2,Inputs!$K$4:$AJ$4,0)),NA(),IF(SUMPRODUCT((Inputs!$A$5:$A$180=$B73)*ISNUMBER(INDEX(Inputs!$K$5:$AJ$180,0,MATCH(AD$2,Inputs!$K$4:$AJ$4,0))))+SUMPRODUCT((Inputs!$C$5:$C$180=$B73)*ISNUMBER(INDEX(Inputs!$K$5:$AJ$180,0,MATCH(AD$2,Inputs!$K$4:$AJ$4,0))))+SUMPRODUCT((Inputs!$E$5:$E$180=$B73)*ISNUMBER(INDEX(Inputs!$K$5:$AJ$180,0,MATCH(AD$2,Inputs!$K$4:$AJ$4,0))))=0,NA(),SUMPRODUCT((Inputs!$A$5:$A$180=$B73)*Inputs!$B$5:$B$180*(((Inputs!$G$5:$G$180="moeda")+(Inputs!$G$5:$G$180="acoes"))*Inputs!$B$1+((Inputs!$G$5:$G$180&lt;&gt;"moeda")*(Inputs!$G$5:$G$180&lt;&gt;"acoes")))*INDEX(Inputs!$K$5:$AJ$180,0,MATCH(AD$2,Inputs!$K$4:$AJ$4,0)))+SUMPRODUCT((Inputs!$C$5:$C$180=$B73)*Inputs!$D$5:$D$180*(((Inputs!$G$5:$G$180="moeda")+(Inputs!$G$5:$G$180="acoes"))*Inputs!$B$1+((Inputs!$G$5:$G$180&lt;&gt;"moeda")*(Inputs!$G$5:$G$180&lt;&gt;"acoes")))*INDEX(Inputs!$K$5:$AJ$180,0,MATCH(AD$2,Inputs!$K$4:$AJ$4,0)))+SUMPRODUCT((Inputs!$E$5:$E$180=$B73)*Inputs!$F$5:$F$180*(((Inputs!$G$5:$G$180="moeda")+(Inputs!$G$5:$G$180="acoes"))*Inputs!$B$1+((Inputs!$G$5:$G$180&lt;&gt;"moeda")*(Inputs!$G$5:$G$180&lt;&gt;"acoes")))*INDEX(Inputs!$K$5:$AJ$180,0,MATCH(AD$2,Inputs!$K$4:$AJ$4,0)))))</f>
        <v>0.001234</v>
      </c>
      <c r="AE73" s="264" t="e">
        <f>IF(ISNA(MATCH(AE$2,Inputs!$K$4:$AJ$4,0)),NA(),IF(SUMPRODUCT((Inputs!$A$5:$A$180=$B73)*ISNUMBER(INDEX(Inputs!$K$5:$AJ$180,0,MATCH(AE$2,Inputs!$K$4:$AJ$4,0))))+SUMPRODUCT((Inputs!$C$5:$C$180=$B73)*ISNUMBER(INDEX(Inputs!$K$5:$AJ$180,0,MATCH(AE$2,Inputs!$K$4:$AJ$4,0))))+SUMPRODUCT((Inputs!$E$5:$E$180=$B73)*ISNUMBER(INDEX(Inputs!$K$5:$AJ$180,0,MATCH(AE$2,Inputs!$K$4:$AJ$4,0))))=0,NA(),SUMPRODUCT((Inputs!$A$5:$A$180=$B73)*Inputs!$B$5:$B$180*(((Inputs!$G$5:$G$180="moeda")+(Inputs!$G$5:$G$180="acoes"))*Inputs!$B$1+((Inputs!$G$5:$G$180&lt;&gt;"moeda")*(Inputs!$G$5:$G$180&lt;&gt;"acoes")))*INDEX(Inputs!$K$5:$AJ$180,0,MATCH(AE$2,Inputs!$K$4:$AJ$4,0)))+SUMPRODUCT((Inputs!$C$5:$C$180=$B73)*Inputs!$D$5:$D$180*(((Inputs!$G$5:$G$180="moeda")+(Inputs!$G$5:$G$180="acoes"))*Inputs!$B$1+((Inputs!$G$5:$G$180&lt;&gt;"moeda")*(Inputs!$G$5:$G$180&lt;&gt;"acoes")))*INDEX(Inputs!$K$5:$AJ$180,0,MATCH(AE$2,Inputs!$K$4:$AJ$4,0)))+SUMPRODUCT((Inputs!$E$5:$E$180=$B73)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3" s="264" t="e">
        <f>IF(ISNA(MATCH(AF$2,Inputs!$K$4:$AJ$4,0)),NA(),IF(SUMPRODUCT((Inputs!$A$5:$A$180=$B73)*ISNUMBER(INDEX(Inputs!$K$5:$AJ$180,0,MATCH(AF$2,Inputs!$K$4:$AJ$4,0))))+SUMPRODUCT((Inputs!$C$5:$C$180=$B73)*ISNUMBER(INDEX(Inputs!$K$5:$AJ$180,0,MATCH(AF$2,Inputs!$K$4:$AJ$4,0))))+SUMPRODUCT((Inputs!$E$5:$E$180=$B73)*ISNUMBER(INDEX(Inputs!$K$5:$AJ$180,0,MATCH(AF$2,Inputs!$K$4:$AJ$4,0))))=0,NA(),SUMPRODUCT((Inputs!$A$5:$A$180=$B73)*Inputs!$B$5:$B$180*(((Inputs!$G$5:$G$180="moeda")+(Inputs!$G$5:$G$180="acoes"))*Inputs!$B$1+((Inputs!$G$5:$G$180&lt;&gt;"moeda")*(Inputs!$G$5:$G$180&lt;&gt;"acoes")))*INDEX(Inputs!$K$5:$AJ$180,0,MATCH(AF$2,Inputs!$K$4:$AJ$4,0)))+SUMPRODUCT((Inputs!$C$5:$C$180=$B73)*Inputs!$D$5:$D$180*(((Inputs!$G$5:$G$180="moeda")+(Inputs!$G$5:$G$180="acoes"))*Inputs!$B$1+((Inputs!$G$5:$G$180&lt;&gt;"moeda")*(Inputs!$G$5:$G$180&lt;&gt;"acoes")))*INDEX(Inputs!$K$5:$AJ$180,0,MATCH(AF$2,Inputs!$K$4:$AJ$4,0)))+SUMPRODUCT((Inputs!$E$5:$E$180=$B73)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3" s="265" t="e">
        <f>SUM(AC73:AF73)</f>
        <v>#N/A</v>
      </c>
      <c r="AH73" s="264">
        <f>IF(ISNA(MATCH(AH$2,Inputs!$K$4:$AJ$4,0)),NA(),IF(SUMPRODUCT((Inputs!$A$5:$A$180=$B73)*ISNUMBER(INDEX(Inputs!$K$5:$AJ$180,0,MATCH(AH$2,Inputs!$K$4:$AJ$4,0))))+SUMPRODUCT((Inputs!$C$5:$C$180=$B73)*ISNUMBER(INDEX(Inputs!$K$5:$AJ$180,0,MATCH(AH$2,Inputs!$K$4:$AJ$4,0))))+SUMPRODUCT((Inputs!$E$5:$E$180=$B73)*ISNUMBER(INDEX(Inputs!$K$5:$AJ$180,0,MATCH(AH$2,Inputs!$K$4:$AJ$4,0))))=0,NA(),SUMPRODUCT((Inputs!$A$5:$A$180=$B73)*Inputs!$B$5:$B$180*(((Inputs!$G$5:$G$180="moeda")+(Inputs!$G$5:$G$180="acoes"))*Inputs!$B$1+((Inputs!$G$5:$G$180&lt;&gt;"moeda")*(Inputs!$G$5:$G$180&lt;&gt;"acoes")))*INDEX(Inputs!$K$5:$AJ$180,0,MATCH(AH$2,Inputs!$K$4:$AJ$4,0)))+SUMPRODUCT((Inputs!$C$5:$C$180=$B73)*Inputs!$D$5:$D$180*(((Inputs!$G$5:$G$180="moeda")+(Inputs!$G$5:$G$180="acoes"))*Inputs!$B$1+((Inputs!$G$5:$G$180&lt;&gt;"moeda")*(Inputs!$G$5:$G$180&lt;&gt;"acoes")))*INDEX(Inputs!$K$5:$AJ$180,0,MATCH(AH$2,Inputs!$K$4:$AJ$4,0)))+SUMPRODUCT((Inputs!$E$5:$E$180=$B73)*Inputs!$F$5:$F$180*(((Inputs!$G$5:$G$180="moeda")+(Inputs!$G$5:$G$180="acoes"))*Inputs!$B$1+((Inputs!$G$5:$G$180&lt;&gt;"moeda")*(Inputs!$G$5:$G$180&lt;&gt;"acoes")))*INDEX(Inputs!$K$5:$AJ$180,0,MATCH(AH$2,Inputs!$K$4:$AJ$4,0)))))</f>
        <v>0.017</v>
      </c>
      <c r="AI73" s="264">
        <f>IF(ISNA(MATCH(AI$2,Inputs!$K$4:$AJ$4,0)),NA(),IF(SUMPRODUCT((Inputs!$A$5:$A$180=$B73)*ISNUMBER(INDEX(Inputs!$K$5:$AJ$180,0,MATCH(AI$2,Inputs!$K$4:$AJ$4,0))))+SUMPRODUCT((Inputs!$C$5:$C$180=$B73)*ISNUMBER(INDEX(Inputs!$K$5:$AJ$180,0,MATCH(AI$2,Inputs!$K$4:$AJ$4,0))))+SUMPRODUCT((Inputs!$E$5:$E$180=$B73)*ISNUMBER(INDEX(Inputs!$K$5:$AJ$180,0,MATCH(AI$2,Inputs!$K$4:$AJ$4,0))))=0,NA(),SUMPRODUCT((Inputs!$A$5:$A$180=$B73)*Inputs!$B$5:$B$180*(((Inputs!$G$5:$G$180="moeda")+(Inputs!$G$5:$G$180="acoes"))*Inputs!$B$1+((Inputs!$G$5:$G$180&lt;&gt;"moeda")*(Inputs!$G$5:$G$180&lt;&gt;"acoes")))*INDEX(Inputs!$K$5:$AJ$180,0,MATCH(AI$2,Inputs!$K$4:$AJ$4,0)))+SUMPRODUCT((Inputs!$C$5:$C$180=$B73)*Inputs!$D$5:$D$180*(((Inputs!$G$5:$G$180="moeda")+(Inputs!$G$5:$G$180="acoes"))*Inputs!$B$1+((Inputs!$G$5:$G$180&lt;&gt;"moeda")*(Inputs!$G$5:$G$180&lt;&gt;"acoes")))*INDEX(Inputs!$K$5:$AJ$180,0,MATCH(AI$2,Inputs!$K$4:$AJ$4,0)))+SUMPRODUCT((Inputs!$E$5:$E$180=$B73)*Inputs!$F$5:$F$180*(((Inputs!$G$5:$G$180="moeda")+(Inputs!$G$5:$G$180="acoes"))*Inputs!$B$1+((Inputs!$G$5:$G$180&lt;&gt;"moeda")*(Inputs!$G$5:$G$180&lt;&gt;"acoes")))*INDEX(Inputs!$K$5:$AJ$180,0,MATCH(AI$2,Inputs!$K$4:$AJ$4,0)))))</f>
        <v>0.372</v>
      </c>
      <c r="AJ73" s="264">
        <f>IF(ISNA(MATCH(AJ$2,Inputs!$K$4:$AJ$4,0)),NA(),IF(SUMPRODUCT((Inputs!$A$5:$A$180=$B73)*ISNUMBER(INDEX(Inputs!$K$5:$AJ$180,0,MATCH(AJ$2,Inputs!$K$4:$AJ$4,0))))+SUMPRODUCT((Inputs!$C$5:$C$180=$B73)*ISNUMBER(INDEX(Inputs!$K$5:$AJ$180,0,MATCH(AJ$2,Inputs!$K$4:$AJ$4,0))))+SUMPRODUCT((Inputs!$E$5:$E$180=$B73)*ISNUMBER(INDEX(Inputs!$K$5:$AJ$180,0,MATCH(AJ$2,Inputs!$K$4:$AJ$4,0))))=0,NA(),SUMPRODUCT((Inputs!$A$5:$A$180=$B73)*Inputs!$B$5:$B$180*(((Inputs!$G$5:$G$180="moeda")+(Inputs!$G$5:$G$180="acoes"))*Inputs!$B$1+((Inputs!$G$5:$G$180&lt;&gt;"moeda")*(Inputs!$G$5:$G$180&lt;&gt;"acoes")))*INDEX(Inputs!$K$5:$AJ$180,0,MATCH(AJ$2,Inputs!$K$4:$AJ$4,0)))+SUMPRODUCT((Inputs!$C$5:$C$180=$B73)*Inputs!$D$5:$D$180*(((Inputs!$G$5:$G$180="moeda")+(Inputs!$G$5:$G$180="acoes"))*Inputs!$B$1+((Inputs!$G$5:$G$180&lt;&gt;"moeda")*(Inputs!$G$5:$G$180&lt;&gt;"acoes")))*INDEX(Inputs!$K$5:$AJ$180,0,MATCH(AJ$2,Inputs!$K$4:$AJ$4,0)))+SUMPRODUCT((Inputs!$E$5:$E$180=$B73)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73" s="264">
        <f>IF(ISNA(MATCH(AK$2,Inputs!$K$4:$AJ$4,0)),NA(),IF(SUMPRODUCT((Inputs!$A$5:$A$180=$B73)*ISNUMBER(INDEX(Inputs!$K$5:$AJ$180,0,MATCH(AK$2,Inputs!$K$4:$AJ$4,0))))+SUMPRODUCT((Inputs!$C$5:$C$180=$B73)*ISNUMBER(INDEX(Inputs!$K$5:$AJ$180,0,MATCH(AK$2,Inputs!$K$4:$AJ$4,0))))+SUMPRODUCT((Inputs!$E$5:$E$180=$B73)*ISNUMBER(INDEX(Inputs!$K$5:$AJ$180,0,MATCH(AK$2,Inputs!$K$4:$AJ$4,0))))=0,NA(),SUMPRODUCT((Inputs!$A$5:$A$180=$B73)*Inputs!$B$5:$B$180*(((Inputs!$G$5:$G$180="moeda")+(Inputs!$G$5:$G$180="acoes"))*Inputs!$B$1+((Inputs!$G$5:$G$180&lt;&gt;"moeda")*(Inputs!$G$5:$G$180&lt;&gt;"acoes")))*INDEX(Inputs!$K$5:$AJ$180,0,MATCH(AK$2,Inputs!$K$4:$AJ$4,0)))+SUMPRODUCT((Inputs!$C$5:$C$180=$B73)*Inputs!$D$5:$D$180*(((Inputs!$G$5:$G$180="moeda")+(Inputs!$G$5:$G$180="acoes"))*Inputs!$B$1+((Inputs!$G$5:$G$180&lt;&gt;"moeda")*(Inputs!$G$5:$G$180&lt;&gt;"acoes")))*INDEX(Inputs!$K$5:$AJ$180,0,MATCH(AK$2,Inputs!$K$4:$AJ$4,0)))+SUMPRODUCT((Inputs!$E$5:$E$180=$B73)*Inputs!$F$5:$F$180*(((Inputs!$G$5:$G$180="moeda")+(Inputs!$G$5:$G$180="acoes"))*Inputs!$B$1+((Inputs!$G$5:$G$180&lt;&gt;"moeda")*(Inputs!$G$5:$G$180&lt;&gt;"acoes")))*INDEX(Inputs!$K$5:$AJ$180,0,MATCH(AK$2,Inputs!$K$4:$AJ$4,0)))))</f>
        <v>0</v>
      </c>
      <c r="AL73" s="265">
        <f>SUM(AH73:AK73)</f>
        <v>0.389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8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4.79616346638068e-14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1.57032920000688e-09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4.90445017931052e-09</v>
      </c>
      <c r="P1" s="3">
        <f>SUM(P2,P3)</f>
        <v>9.99853000394069e-09</v>
      </c>
      <c r="Q1" s="3">
        <f>SUM(Q2,Q3)</f>
        <v>0.000378199397346179</v>
      </c>
      <c r="R1" s="3">
        <f>SUM(R2,R3)</f>
        <v>0.000378199397346179</v>
      </c>
      <c r="S1" s="3">
        <f>SUM(S2,S3)</f>
        <v>0</v>
      </c>
      <c r="T1" s="3">
        <f>SUM(T2,T3)</f>
        <v>2.59205990005285e-11</v>
      </c>
      <c r="U1" s="3">
        <f>SUM(U2,U3)</f>
        <v>2.5465851649642e-11</v>
      </c>
      <c r="V1" s="3">
        <f>SUM(V2,V3)</f>
        <v>0.000300000025163172</v>
      </c>
      <c r="W1" s="3">
        <f>SUM(W2,W3)</f>
        <v>0.000300000024708424</v>
      </c>
      <c r="X1" s="3">
        <f>SUM(X2,X3)</f>
        <v>0.000399999999444844</v>
      </c>
      <c r="Y1" s="3">
        <f>SUM(Y2,Y3)</f>
        <v>0.000495870000122523</v>
      </c>
      <c r="Z1" s="3">
        <f>SUM(Z2,Z3)</f>
        <v>1.47093583109381e-05</v>
      </c>
      <c r="AA1" s="3">
        <f>SUM(AA2,AA3)</f>
        <v>0.000200042120923172</v>
      </c>
      <c r="AB1" s="3">
        <f>SUM(AB2,AB3)</f>
        <v>0.000200042121832666</v>
      </c>
      <c r="AC1" s="3">
        <f>SUM(AC2,AC3)</f>
        <v>1.99988789972849e-08</v>
      </c>
      <c r="AD1" s="3">
        <f>SUM(AD2,AD3)</f>
        <v>4.39999894297216e-07</v>
      </c>
      <c r="AE1" s="3">
        <f>SUM(AE2,AE3)</f>
        <v>0</v>
      </c>
      <c r="AF1" s="3">
        <f>SUM(AF2,AF3)</f>
        <v>2.37799968090258e-05</v>
      </c>
      <c r="AG1" s="3">
        <f>SUM(AG2,AG3)</f>
        <v>2.37799968090258e-05</v>
      </c>
      <c r="AH1" s="3">
        <f>SUM(AH2,AH3)</f>
        <v>0.00100036999901931</v>
      </c>
      <c r="AI1" s="3">
        <f>SUM(AI2,AI3)</f>
        <v>3.70001544069964e-07</v>
      </c>
      <c r="AJ1" s="3">
        <f>SUM(AJ2,AJ3)</f>
        <v>3.70001544069964e-07</v>
      </c>
      <c r="AK1" s="3">
        <f>SUM(AK2,AK3)</f>
        <v>3.70000634575263e-07</v>
      </c>
      <c r="AL1" s="3">
        <f>SUM(AL2,AL3)</f>
        <v>3.70001544069964e-07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ABS(D203-D279)</f>
        <v>0</v>
      </c>
      <c r="E2" s="3">
        <f>ABS(E203-E279)</f>
        <v>0</v>
      </c>
      <c r="F2" s="3">
        <f>ABS(F203-F279)</f>
        <v>0</v>
      </c>
      <c r="G2" s="3">
        <f>ABS(G203-G279)</f>
        <v>0</v>
      </c>
      <c r="H2" s="3">
        <f>ABS(H203-H279)</f>
        <v>0</v>
      </c>
      <c r="I2" s="3">
        <f>ABS(I203-I279)</f>
        <v>1.57024260261096e-09</v>
      </c>
      <c r="J2" s="3">
        <f>ABS(J203-J279)</f>
        <v>0</v>
      </c>
      <c r="K2" s="3">
        <f>ABS(K203-K279)</f>
        <v>0</v>
      </c>
      <c r="L2" s="3">
        <f>ABS(L203-L279)</f>
        <v>0</v>
      </c>
      <c r="M2" s="3">
        <f>ABS(M203-M279)</f>
        <v>0</v>
      </c>
      <c r="N2" s="3">
        <f>ABS(N203-N279)</f>
        <v>0</v>
      </c>
      <c r="O2" s="3">
        <f>ABS(O203-O279)</f>
        <v>4.90445017931052e-09</v>
      </c>
      <c r="P2" s="3">
        <f>ABS(P203-P279)</f>
        <v>9.99853000394069e-09</v>
      </c>
      <c r="Q2" s="3">
        <f>ABS(Q203-Q279)</f>
        <v>0.000378199397346179</v>
      </c>
      <c r="R2" s="3">
        <f>ABS(R203-R279)</f>
        <v>0.000378199397346179</v>
      </c>
      <c r="S2" s="3">
        <f>ABS(S203-S279)</f>
        <v>0</v>
      </c>
      <c r="T2" s="3">
        <f>ABS(T203-T279)</f>
        <v>2.59205990005285e-11</v>
      </c>
      <c r="U2" s="3">
        <f>ABS(U203-U279)</f>
        <v>2.5465851649642e-11</v>
      </c>
      <c r="V2" s="3">
        <f>ABS(V203-V279)</f>
        <v>0.000300000025163172</v>
      </c>
      <c r="W2" s="3">
        <f>ABS(W203-W279)</f>
        <v>0.000300000024708424</v>
      </c>
      <c r="X2" s="3">
        <f>ABS(X203-X279)</f>
        <v>0.000399999999444844</v>
      </c>
      <c r="Y2" s="3">
        <f>ABS(Y203-Y279)</f>
        <v>0.000495870000122523</v>
      </c>
      <c r="Z2" s="3">
        <f>ABS(Z203-Z279)</f>
        <v>1.47093583109381e-05</v>
      </c>
      <c r="AA2" s="3">
        <f>ABS(AA203-AA279)</f>
        <v>0.000200042120923172</v>
      </c>
      <c r="AB2" s="3">
        <f>ABS(AB203-AB279)</f>
        <v>0.000200042121832666</v>
      </c>
      <c r="AC2" s="3">
        <f>ABS(AC203-AC279)</f>
        <v>1.99988789972849e-08</v>
      </c>
      <c r="AD2" s="3">
        <f>ABS(AD203-AD279)</f>
        <v>4.39999894297216e-07</v>
      </c>
      <c r="AE2" s="3">
        <f>ABS(AE203-AE279)</f>
        <v>0</v>
      </c>
      <c r="AF2" s="3">
        <f>ABS(AF203-AF279)</f>
        <v>2.37799968090258e-05</v>
      </c>
      <c r="AG2" s="3">
        <f>ABS(AG203-AG279)</f>
        <v>2.37799968090258e-05</v>
      </c>
      <c r="AH2" s="3">
        <f>ABS(AH203-AH279)</f>
        <v>0.00100036999901931</v>
      </c>
      <c r="AI2" s="3">
        <f>ABS(AI203-AI279)</f>
        <v>3.70001544069964e-07</v>
      </c>
      <c r="AJ2" s="3">
        <f>ABS(AJ203-AJ279)</f>
        <v>3.70001544069964e-07</v>
      </c>
      <c r="AK2" s="3">
        <f>ABS(AK203-AK279)</f>
        <v>3.70000634575263e-07</v>
      </c>
      <c r="AL2" s="3">
        <f>ABS(AL203-AL279)</f>
        <v>3.70001544069964e-07</v>
      </c>
      <c r="AM2" s="3" t="e">
        <f>ABS(AM203-AM279)</f>
        <v>#DIV/0!</v>
      </c>
      <c r="AN2" s="3" t="e">
        <f>ABS(AN203-AN279)</f>
        <v>#DIV/0!</v>
      </c>
      <c r="AO2" s="3" t="e">
        <f>ABS(AO203-AO279)</f>
        <v>#DIV/0!</v>
      </c>
      <c r="AP2" s="3" t="e">
        <f>ABS(AP203-AP279)</f>
        <v>#DIV/0!</v>
      </c>
      <c r="AQ2" s="3" t="e">
        <f>ABS(AQ203-AQ279)</f>
        <v>#DIV/0!</v>
      </c>
      <c r="AR2" s="3" t="e">
        <f>ABS(AR203-AR279)</f>
        <v>#DIV/0!</v>
      </c>
      <c r="AS2" s="3" t="e">
        <f>ABS(AS203-AS279)</f>
        <v>#DIV/0!</v>
      </c>
      <c r="AT2" s="3" t="e">
        <f>ABS(AT203-AT279)</f>
        <v>#DIV/0!</v>
      </c>
      <c r="AU2" s="3" t="e">
        <f>ABS(AU203-AU279)</f>
        <v>#DIV/0!</v>
      </c>
      <c r="AV2" s="3" t="e">
        <f>ABS(AV203-AV279)</f>
        <v>#DIV/0!</v>
      </c>
      <c r="AW2" s="3" t="e">
        <f>ABS(AW203-AW279)</f>
        <v>#DIV/0!</v>
      </c>
      <c r="AX2" s="3" t="e">
        <f>ABS(AX203-AX279)</f>
        <v>#DIV/0!</v>
      </c>
      <c r="AY2" s="3" t="e">
        <f>ABS(AY203-AY279)</f>
        <v>#DIV/0!</v>
      </c>
      <c r="AZ2" s="3" t="e">
        <f>ABS(AZ203-AZ279)</f>
        <v>#DIV/0!</v>
      </c>
      <c r="BA2" s="3" t="e">
        <f>ABS(BA203-BA279)</f>
        <v>#DIV/0!</v>
      </c>
      <c r="BB2" s="3" t="e">
        <f>ABS(BB203-BB279)</f>
        <v>#DIV/0!</v>
      </c>
      <c r="BC2" s="3" t="e">
        <f>ABS(BC203-BC279)</f>
        <v>#DIV/0!</v>
      </c>
      <c r="BD2" s="3" t="e">
        <f>ABS(BD203-BD279)</f>
        <v>#DIV/0!</v>
      </c>
      <c r="BE2" s="3" t="e">
        <f>ABS(BE203-BE279)</f>
        <v>#DIV/0!</v>
      </c>
      <c r="BF2" s="3" t="e">
        <f>ABS(BF203-BF279)</f>
        <v>#DIV/0!</v>
      </c>
      <c r="BG2" s="3" t="e">
        <f>ABS(BG203-BG279)</f>
        <v>#DIV/0!</v>
      </c>
      <c r="BH2" s="3" t="e">
        <f>ABS(BH203-BH279)</f>
        <v>#DIV/0!</v>
      </c>
      <c r="BI2" s="3" t="e">
        <f>ABS(BI203-BI279)</f>
        <v>#DIV/0!</v>
      </c>
      <c r="BJ2" s="3" t="e">
        <f>ABS(BJ203-BJ279)</f>
        <v>#DIV/0!</v>
      </c>
      <c r="BK2" s="3" t="e">
        <f>ABS(BK203-BK279)</f>
        <v>#DIV/0!</v>
      </c>
      <c r="BL2" s="3" t="e">
        <f>ABS(BL203-BL279)</f>
        <v>#DIV/0!</v>
      </c>
      <c r="BM2" s="3" t="e">
        <f>ABS(BM203-BM279)</f>
        <v>#DIV/0!</v>
      </c>
      <c r="BN2" s="3" t="e">
        <f>ABS(BN203-BN279)</f>
        <v>#DIV/0!</v>
      </c>
      <c r="BO2" s="3" t="e">
        <f>ABS(BO203-BO279)</f>
        <v>#DIV/0!</v>
      </c>
      <c r="BP2" s="3" t="e">
        <f>ABS(BP203-BP279)</f>
        <v>#DIV/0!</v>
      </c>
      <c r="BQ2" s="3" t="e">
        <f>ABS(BQ203-BQ279)</f>
        <v>#DIV/0!</v>
      </c>
      <c r="BR2" s="3" t="e">
        <f>ABS(BR203-BR279)</f>
        <v>#DIV/0!</v>
      </c>
      <c r="BS2" s="3" t="e">
        <f>ABS(BS203-BS279)</f>
        <v>#DIV/0!</v>
      </c>
      <c r="BT2" s="3" t="e">
        <f>ABS(BT203-BT279)</f>
        <v>#DIV/0!</v>
      </c>
      <c r="BU2" s="3" t="e">
        <f>ABS(BU203-BU279)</f>
        <v>#DIV/0!</v>
      </c>
      <c r="BV2" s="3" t="e">
        <f>ABS(BV203-BV279)</f>
        <v>#DIV/0!</v>
      </c>
      <c r="BW2" s="3" t="e">
        <f>ABS(BW203-BW279)</f>
        <v>#DIV/0!</v>
      </c>
      <c r="BX2" s="3" t="e">
        <f>ABS(BX203-BX279)</f>
        <v>#DIV/0!</v>
      </c>
      <c r="BY2" s="3" t="e">
        <f>ABS(BY203-BY279)</f>
        <v>#DIV/0!</v>
      </c>
      <c r="BZ2" s="3" t="e">
        <f>ABS(BZ203-BZ279)</f>
        <v>#DIV/0!</v>
      </c>
      <c r="CA2" s="3" t="e">
        <f>ABS(CA203-CA279)</f>
        <v>#DIV/0!</v>
      </c>
      <c r="CB2" s="3" t="e">
        <f>ABS(CB203-CB279)</f>
        <v>#DIV/0!</v>
      </c>
      <c r="CC2" s="3" t="e">
        <f>ABS(CC203-CC279)</f>
        <v>#DIV/0!</v>
      </c>
      <c r="CD2" s="3" t="e">
        <f>ABS(CD203-CD279)</f>
        <v>#DIV/0!</v>
      </c>
      <c r="CE2" s="3" t="e">
        <f>ABS(CE203-CE279)</f>
        <v>#DIV/0!</v>
      </c>
      <c r="CF2" s="3" t="e">
        <f>ABS(CF203-CF279)</f>
        <v>#DIV/0!</v>
      </c>
      <c r="CG2" s="3" t="e">
        <f>ABS(CG203-CG279)</f>
        <v>#DIV/0!</v>
      </c>
      <c r="CH2" s="3" t="e">
        <f>ABS(CH203-CH279)</f>
        <v>#DIV/0!</v>
      </c>
      <c r="CI2" s="3" t="e">
        <f>ABS(CI203-CI279)</f>
        <v>#DIV/0!</v>
      </c>
      <c r="CJ2" s="3" t="e">
        <f>ABS(CJ203-CJ279)</f>
        <v>#DIV/0!</v>
      </c>
      <c r="CK2" s="3" t="e">
        <f>ABS(CK203-CK279)</f>
        <v>#DIV/0!</v>
      </c>
      <c r="CL2" s="3" t="e">
        <f>ABS(CL203-CL279)</f>
        <v>#DIV/0!</v>
      </c>
      <c r="CM2" s="3" t="e">
        <f>ABS(CM203-CM279)</f>
        <v>#DIV/0!</v>
      </c>
      <c r="CN2" s="3" t="e">
        <f>ABS(CN203-CN279)</f>
        <v>#DIV/0!</v>
      </c>
      <c r="CO2" s="3" t="e">
        <f>ABS(CO203-CO279)</f>
        <v>#DIV/0!</v>
      </c>
      <c r="CP2" s="3" t="e">
        <f>ABS(CP203-CP279)</f>
        <v>#DIV/0!</v>
      </c>
      <c r="CQ2" s="3" t="e">
        <f>ABS(CQ203-CQ279)</f>
        <v>#DIV/0!</v>
      </c>
      <c r="CR2" s="3" t="e">
        <f>ABS(CR203-CR279)</f>
        <v>#DIV/0!</v>
      </c>
      <c r="CS2" s="3" t="e">
        <f>ABS(CS203-CS279)</f>
        <v>#DIV/0!</v>
      </c>
      <c r="CT2" s="3" t="e">
        <f>ABS(CT203-CT279)</f>
        <v>#DIV/0!</v>
      </c>
      <c r="CU2" s="3" t="e">
        <f>ABS(CU203-CU279)</f>
        <v>#DIV/0!</v>
      </c>
      <c r="CV2" s="3" t="e">
        <f>ABS(CV203-CV279)</f>
        <v>#DIV/0!</v>
      </c>
      <c r="CW2" s="3" t="e">
        <f>ABS(CW203-CW279)</f>
        <v>#DIV/0!</v>
      </c>
      <c r="CX2" s="3" t="e">
        <f>ABS(CX203-CX279)</f>
        <v>#DIV/0!</v>
      </c>
      <c r="CY2" s="3" t="e">
        <f>ABS(CY203-CY279)</f>
        <v>#DIV/0!</v>
      </c>
    </row>
    <row r="3" outlineLevel="1">
      <c r="C3" s="5" t="inlineStr">
        <is>
          <t>IS</t>
        </is>
      </c>
      <c r="D3" s="3">
        <f>IF(COUNT(D4)=0,"",ABS(D143-D4))</f>
        <v>4.79616346638068e-14</v>
      </c>
      <c r="E3" s="3">
        <f>IF(COUNT(E4)=0,"",ABS(E143-E4))</f>
        <v>0</v>
      </c>
      <c r="F3" s="3">
        <f>IF(COUNT(F4)=0,"",ABS(F143-F4))</f>
        <v>0</v>
      </c>
      <c r="G3" s="3">
        <f>IF(COUNT(G4)=0,"",ABS(G143-G4))</f>
        <v>0</v>
      </c>
      <c r="H3" s="3">
        <f>IF(COUNT(H4)=0,"",ABS(H143-H4))</f>
        <v>0</v>
      </c>
      <c r="I3" s="3">
        <f>IF(COUNT(I4)=0,"",ABS(I143-I4))</f>
        <v>8.65973959207622e-14</v>
      </c>
      <c r="J3" s="3">
        <f>IF(COUNT(J4)=0,"",ABS(J143-J4))</f>
        <v>0</v>
      </c>
      <c r="K3" s="3">
        <f>IF(COUNT(K4)=0,"",ABS(K143-K4))</f>
        <v>0</v>
      </c>
      <c r="L3" s="3">
        <f>IF(COUNT(L4)=0,"",ABS(L143-L4))</f>
        <v>0</v>
      </c>
      <c r="M3" s="3">
        <f>IF(COUNT(M4)=0,"",ABS(M143-M4))</f>
        <v>0</v>
      </c>
      <c r="N3" s="3">
        <f>IF(COUNT(N4)=0,"",ABS(N143-N4))</f>
        <v>0</v>
      </c>
      <c r="O3" s="3">
        <f>IF(COUNT(O4)=0,"",ABS(O143-O4))</f>
        <v>0</v>
      </c>
      <c r="P3" s="3">
        <f>IF(COUNT(P4)=0,"",ABS(P143-P4))</f>
        <v>0</v>
      </c>
      <c r="Q3" s="3">
        <f>IF(COUNT(Q4)=0,"",ABS(Q143-Q4))</f>
        <v>0</v>
      </c>
      <c r="R3" s="3">
        <f>IF(COUNT(R4)=0,"",ABS(R143-R4))</f>
        <v>0</v>
      </c>
      <c r="S3" s="3">
        <f>IF(COUNT(S4)=0,"",ABS(S143-S4))</f>
        <v>0</v>
      </c>
      <c r="T3" s="3">
        <f>IF(COUNT(T4)=0,"",ABS(T143-T4))</f>
        <v>0</v>
      </c>
      <c r="U3" s="3">
        <f>IF(COUNT(U4)=0,"",ABS(U143-U4))</f>
        <v>0</v>
      </c>
      <c r="V3" s="3">
        <f>IF(COUNT(V4)=0,"",ABS(V143-V4))</f>
        <v>0</v>
      </c>
      <c r="W3" s="3">
        <f>IF(COUNT(W4)=0,"",ABS(W143-W4))</f>
        <v>0</v>
      </c>
      <c r="X3" s="3">
        <f>IF(COUNT(X4)=0,"",ABS(X143-X4))</f>
        <v>0</v>
      </c>
      <c r="Y3" s="3">
        <f>IF(COUNT(Y4)=0,"",ABS(Y143-Y4))</f>
        <v>0</v>
      </c>
      <c r="Z3" s="3">
        <f>IF(COUNT(Z4)=0,"",ABS(Z143-Z4))</f>
        <v>0</v>
      </c>
      <c r="AA3" s="3">
        <f>IF(COUNT(AA4)=0,"",ABS(AA143-AA4))</f>
        <v>0</v>
      </c>
      <c r="AB3" s="3">
        <f>IF(COUNT(AB4)=0,"",ABS(AB143-AB4))</f>
        <v>0</v>
      </c>
      <c r="AC3" s="3">
        <f>IF(COUNT(AC4)=0,"",ABS(AC143-AC4))</f>
        <v>0</v>
      </c>
      <c r="AD3" s="3">
        <f>IF(COUNT(AD4)=0,"",ABS(AD143-AD4))</f>
        <v>0</v>
      </c>
      <c r="AE3" s="3">
        <f>IF(COUNT(AE4)=0,"",ABS(AE143-AE4))</f>
        <v>0</v>
      </c>
      <c r="AF3" s="3">
        <f>IF(COUNT(AF4)=0,"",ABS(AF143-AF4))</f>
        <v>0</v>
      </c>
      <c r="AG3" s="3">
        <f>IF(COUNT(AG4)=0,"",ABS(AG143-AG4))</f>
        <v>0</v>
      </c>
      <c r="AH3" s="3">
        <f>IF(COUNT(AH4)=0,"",ABS(AH143-AH4))</f>
        <v>0</v>
      </c>
      <c r="AI3" s="3">
        <f>IF(COUNT(AI4)=0,"",ABS(AI143-AI4))</f>
        <v>0</v>
      </c>
      <c r="AJ3" s="3" t="str">
        <f>IF(COUNT(AJ4)=0,"",ABS(AJ143-AJ4))</f>
        <v/>
      </c>
      <c r="AK3" s="3" t="str">
        <f>IF(COUNT(AK4)=0,"",ABS(AK143-AK4))</f>
        <v/>
      </c>
      <c r="AL3" s="3" t="str">
        <f>IF(COUNT(AL4)=0,"",ABS(AL143-AL4))</f>
        <v/>
      </c>
      <c r="AM3" s="3" t="str">
        <f>IF(COUNT(AM4)=0,"",ABS(AM143-AM4))</f>
        <v/>
      </c>
      <c r="AN3" s="3" t="str">
        <f>IF(COUNT(AN4)=0,"",ABS(AN143-AN4))</f>
        <v/>
      </c>
      <c r="AO3" s="3" t="str">
        <f>IF(COUNT(AO4)=0,"",ABS(AO143-AO4))</f>
        <v/>
      </c>
      <c r="AP3" s="3" t="str">
        <f>IF(COUNT(AP4)=0,"",ABS(AP143-AP4))</f>
        <v/>
      </c>
      <c r="AQ3" s="3" t="str">
        <f>IF(COUNT(AQ4)=0,"",ABS(AQ143-AQ4))</f>
        <v/>
      </c>
      <c r="AR3" s="3" t="str">
        <f>IF(COUNT(AR4)=0,"",ABS(AR143-AR4))</f>
        <v/>
      </c>
      <c r="AS3" s="3" t="str">
        <f>IF(COUNT(AS4)=0,"",ABS(AS143-AS4))</f>
        <v/>
      </c>
      <c r="AT3" s="3" t="str">
        <f>IF(COUNT(AT4)=0,"",ABS(AT143-AT4))</f>
        <v/>
      </c>
      <c r="AU3" s="3" t="str">
        <f>IF(COUNT(AU4)=0,"",ABS(AU143-AU4))</f>
        <v/>
      </c>
      <c r="AV3" s="3" t="str">
        <f>IF(COUNT(AV4)=0,"",ABS(AV143-AV4))</f>
        <v/>
      </c>
      <c r="AW3" s="3" t="str">
        <f>IF(COUNT(AW4)=0,"",ABS(AW143-AW4))</f>
        <v/>
      </c>
      <c r="AX3" s="3" t="str">
        <f>IF(COUNT(AX4)=0,"",ABS(AX143-AX4))</f>
        <v/>
      </c>
      <c r="AY3" s="3" t="str">
        <f>IF(COUNT(AY4)=0,"",ABS(AY143-AY4))</f>
        <v/>
      </c>
      <c r="AZ3" s="3" t="str">
        <f>IF(COUNT(AZ4)=0,"",ABS(AZ143-AZ4))</f>
        <v/>
      </c>
      <c r="BA3" s="3" t="str">
        <f>IF(COUNT(BA4)=0,"",ABS(BA143-BA4))</f>
        <v/>
      </c>
      <c r="BB3" s="3" t="str">
        <f>IF(COUNT(BB4)=0,"",ABS(BB143-BB4))</f>
        <v/>
      </c>
      <c r="BC3" s="3" t="str">
        <f>IF(COUNT(BC4)=0,"",ABS(BC143-BC4))</f>
        <v/>
      </c>
      <c r="BD3" s="3" t="str">
        <f>IF(COUNT(BD4)=0,"",ABS(BD143-BD4))</f>
        <v/>
      </c>
      <c r="BE3" s="3" t="str">
        <f>IF(COUNT(BE4)=0,"",ABS(BE143-BE4))</f>
        <v/>
      </c>
      <c r="BF3" s="3" t="str">
        <f>IF(COUNT(BF4)=0,"",ABS(BF143-BF4))</f>
        <v/>
      </c>
      <c r="BG3" s="3" t="str">
        <f>IF(COUNT(BG4)=0,"",ABS(BG143-BG4))</f>
        <v/>
      </c>
      <c r="BH3" s="3" t="str">
        <f>IF(COUNT(BH4)=0,"",ABS(BH143-BH4))</f>
        <v/>
      </c>
      <c r="BI3" s="3" t="str">
        <f>IF(COUNT(BI4)=0,"",ABS(BI143-BI4))</f>
        <v/>
      </c>
      <c r="BJ3" s="3" t="str">
        <f>IF(COUNT(BJ4)=0,"",ABS(BJ143-BJ4))</f>
        <v/>
      </c>
      <c r="BK3" s="3" t="str">
        <f>IF(COUNT(BK4)=0,"",ABS(BK143-BK4))</f>
        <v/>
      </c>
      <c r="BL3" s="3" t="str">
        <f>IF(COUNT(BL4)=0,"",ABS(BL143-BL4))</f>
        <v/>
      </c>
      <c r="BM3" s="3" t="str">
        <f>IF(COUNT(BM4)=0,"",ABS(BM143-BM4))</f>
        <v/>
      </c>
      <c r="BN3" s="3" t="str">
        <f>IF(COUNT(BN4)=0,"",ABS(BN143-BN4))</f>
        <v/>
      </c>
      <c r="BO3" s="3" t="str">
        <f>IF(COUNT(BO4)=0,"",ABS(BO143-BO4))</f>
        <v/>
      </c>
      <c r="BP3" s="3" t="str">
        <f>IF(COUNT(BP4)=0,"",ABS(BP143-BP4))</f>
        <v/>
      </c>
      <c r="BQ3" s="3" t="str">
        <f>IF(COUNT(BQ4)=0,"",ABS(BQ143-BQ4))</f>
        <v/>
      </c>
      <c r="BR3" s="3" t="str">
        <f>IF(COUNT(BR4)=0,"",ABS(BR143-BR4))</f>
        <v/>
      </c>
      <c r="BS3" s="3" t="str">
        <f>IF(COUNT(BS4)=0,"",ABS(BS143-BS4))</f>
        <v/>
      </c>
      <c r="BT3" s="3" t="str">
        <f>IF(COUNT(BT4)=0,"",ABS(BT143-BT4))</f>
        <v/>
      </c>
      <c r="BU3" s="3" t="str">
        <f>IF(COUNT(BU4)=0,"",ABS(BU143-BU4))</f>
        <v/>
      </c>
      <c r="BV3" s="3" t="str">
        <f>IF(COUNT(BV4)=0,"",ABS(BV143-BV4))</f>
        <v/>
      </c>
      <c r="BW3" s="3" t="str">
        <f>IF(COUNT(BW4)=0,"",ABS(BW143-BW4))</f>
        <v/>
      </c>
      <c r="BX3" s="3" t="str">
        <f>IF(COUNT(BX4)=0,"",ABS(BX143-BX4))</f>
        <v/>
      </c>
      <c r="BY3" s="3" t="str">
        <f>IF(COUNT(BY4)=0,"",ABS(BY143-BY4))</f>
        <v/>
      </c>
      <c r="BZ3" s="3" t="str">
        <f>IF(COUNT(BZ4)=0,"",ABS(BZ143-BZ4))</f>
        <v/>
      </c>
      <c r="CA3" s="3" t="str">
        <f>IF(COUNT(CA4)=0,"",ABS(CA143-CA4))</f>
        <v/>
      </c>
      <c r="CB3" s="3" t="str">
        <f>IF(COUNT(CB4)=0,"",ABS(CB143-CB4))</f>
        <v/>
      </c>
      <c r="CC3" s="3" t="str">
        <f>IF(COUNT(CC4)=0,"",ABS(CC143-CC4))</f>
        <v/>
      </c>
      <c r="CD3" s="3" t="str">
        <f>IF(COUNT(CD4)=0,"",ABS(CD143-CD4))</f>
        <v/>
      </c>
      <c r="CE3" s="3" t="str">
        <f>IF(COUNT(CE4)=0,"",ABS(CE143-CE4))</f>
        <v/>
      </c>
      <c r="CF3" s="3" t="str">
        <f>IF(COUNT(CF4)=0,"",ABS(CF143-CF4))</f>
        <v/>
      </c>
      <c r="CG3" s="3" t="str">
        <f>IF(COUNT(CG4)=0,"",ABS(CG143-CG4))</f>
        <v/>
      </c>
      <c r="CH3" s="3" t="str">
        <f>IF(COUNT(CH4)=0,"",ABS(CH143-CH4))</f>
        <v/>
      </c>
      <c r="CI3" s="3" t="str">
        <f>IF(COUNT(CI4)=0,"",ABS(CI143-CI4))</f>
        <v/>
      </c>
      <c r="CJ3" s="3" t="str">
        <f>IF(COUNT(CJ4)=0,"",ABS(CJ143-CJ4))</f>
        <v/>
      </c>
      <c r="CK3" s="3" t="str">
        <f>IF(COUNT(CK4)=0,"",ABS(CK143-CK4))</f>
        <v/>
      </c>
      <c r="CL3" s="3" t="str">
        <f>IF(COUNT(CL4)=0,"",ABS(CL143-CL4))</f>
        <v/>
      </c>
      <c r="CM3" s="3" t="str">
        <f>IF(COUNT(CM4)=0,"",ABS(CM143-CM4))</f>
        <v/>
      </c>
      <c r="CN3" s="3" t="str">
        <f>IF(COUNT(CN4)=0,"",ABS(CN143-CN4))</f>
        <v/>
      </c>
      <c r="CO3" s="3" t="str">
        <f>IF(COUNT(CO4)=0,"",ABS(CO143-CO4))</f>
        <v/>
      </c>
      <c r="CP3" s="3" t="str">
        <f>IF(COUNT(CP4)=0,"",ABS(CP143-CP4))</f>
        <v/>
      </c>
      <c r="CQ3" s="3" t="str">
        <f>IF(COUNT(CQ4)=0,"",ABS(CQ143-CQ4))</f>
        <v/>
      </c>
      <c r="CR3" s="3" t="str">
        <f>IF(COUNT(CR4)=0,"",ABS(CR143-CR4))</f>
        <v/>
      </c>
      <c r="CS3" s="3" t="str">
        <f>IF(COUNT(CS4)=0,"",ABS(CS143-CS4))</f>
        <v/>
      </c>
      <c r="CT3" s="3" t="str">
        <f>IF(COUNT(CT4)=0,"",ABS(CT143-CT4))</f>
        <v/>
      </c>
      <c r="CU3" s="3" t="str">
        <f>IF(COUNT(CU4)=0,"",ABS(CU143-CU4))</f>
        <v/>
      </c>
      <c r="CV3" s="3" t="str">
        <f>IF(COUNT(CV4)=0,"",ABS(CV143-CV4))</f>
        <v/>
      </c>
      <c r="CW3" s="3" t="str">
        <f>IF(COUNT(CW4)=0,"",ABS(CW143-CW4))</f>
        <v/>
      </c>
      <c r="CX3" s="3" t="str">
        <f>IF(COUNT(CX4)=0,"",ABS(CX143-CX4))</f>
        <v/>
      </c>
      <c r="CY3" s="3" t="str">
        <f>IF(COUNT(CY4)=0,"",ABS(CY143-CY4))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11.9905088674</v>
      </c>
      <c r="E4" s="16">
        <f>INDEX('Inputs (2)'!$D$50:$AL$50,MATCH(E$7,'Inputs (2)'!$D$2:$AL$2,0))</f>
        <v>-4.45416581774918</v>
      </c>
      <c r="F4" s="16">
        <f>INDEX('Inputs (2)'!$D$50:$AL$50,MATCH(F$7,'Inputs (2)'!$D$2:$AL$2,0))</f>
        <v>30.5871922130518</v>
      </c>
      <c r="G4" s="16">
        <f>INDEX('Inputs (2)'!$D$50:$AL$50,MATCH(G$7,'Inputs (2)'!$D$2:$AL$2,0))</f>
        <v>85.510419781403</v>
      </c>
      <c r="H4" s="16">
        <f>IF(COUNT(D4:G4)=4,SUM(D4:G4),"")</f>
        <v>123.633955044106</v>
      </c>
      <c r="I4" s="16">
        <f>INDEX('Inputs (2)'!$D$50:$AL$50,MATCH(I$7,'Inputs (2)'!$D$2:$AL$2,0))</f>
        <v>3.9128614084295</v>
      </c>
      <c r="J4" s="16">
        <f>INDEX('Inputs (2)'!$D$50:$AL$50,MATCH(J$7,'Inputs (2)'!$D$2:$AL$2,0))</f>
        <v>81.6568276879068</v>
      </c>
      <c r="K4" s="16">
        <f>INDEX('Inputs (2)'!$D$50:$AL$50,MATCH(K$7,'Inputs (2)'!$D$2:$AL$2,0))</f>
        <v>86.2581944392106</v>
      </c>
      <c r="L4" s="16">
        <f>INDEX('Inputs (2)'!$D$50:$AL$50,MATCH(L$7,'Inputs (2)'!$D$2:$AL$2,0))</f>
        <v>127.128748102601</v>
      </c>
      <c r="M4" s="16">
        <f>IF(COUNT(I4:L4)=4,SUM(I4:L4),"")</f>
        <v>298.956631638147</v>
      </c>
      <c r="N4" s="16">
        <f>INDEX('Inputs (2)'!$D$50:$AL$50,MATCH(N$7,'Inputs (2)'!$D$2:$AL$2,0))</f>
        <v>45.9216596857643</v>
      </c>
      <c r="O4" s="16">
        <f>INDEX('Inputs (2)'!$D$50:$AL$50,MATCH(O$7,'Inputs (2)'!$D$2:$AL$2,0))</f>
        <v>89.052033181783</v>
      </c>
      <c r="P4" s="16">
        <f>INDEX('Inputs (2)'!$D$50:$AL$50,MATCH(P$7,'Inputs (2)'!$D$2:$AL$2,0))</f>
        <v>68.1273929231279</v>
      </c>
      <c r="Q4" s="16">
        <f>INDEX('Inputs (2)'!$D$50:$AL$50,MATCH(Q$7,'Inputs (2)'!$D$2:$AL$2,0))</f>
        <v>157.753331755024</v>
      </c>
      <c r="R4" s="16">
        <f>IF(COUNT(N4:Q4)=4,SUM(N4:Q4),"")</f>
        <v>360.854417545699</v>
      </c>
      <c r="S4" s="16">
        <f>INDEX('Inputs (2)'!$D$50:$AL$50,MATCH(S$7,'Inputs (2)'!$D$2:$AL$2,0))</f>
        <v>38.5711670349691</v>
      </c>
      <c r="T4" s="16">
        <f>INDEX('Inputs (2)'!$D$50:$AL$50,MATCH(T$7,'Inputs (2)'!$D$2:$AL$2,0))</f>
        <v>109.984306142333</v>
      </c>
      <c r="U4" s="16">
        <f>INDEX('Inputs (2)'!$D$50:$AL$50,MATCH(U$7,'Inputs (2)'!$D$2:$AL$2,0))</f>
        <v>76.5388475014494</v>
      </c>
      <c r="V4" s="16">
        <f>INDEX('Inputs (2)'!$D$50:$AL$50,MATCH(V$7,'Inputs (2)'!$D$2:$AL$2,0))</f>
        <v>156.026281622112</v>
      </c>
      <c r="W4" s="16">
        <f>IF(COUNT(S4:V4)=4,SUM(S4:V4),"")</f>
        <v>381.120602300864</v>
      </c>
      <c r="X4" s="16">
        <f>INDEX('Inputs (2)'!$D$50:$AL$50,MATCH(X$7,'Inputs (2)'!$D$2:$AL$2,0))</f>
        <v>35.8091849906908</v>
      </c>
      <c r="Y4" s="16">
        <f>INDEX('Inputs (2)'!$D$50:$AL$50,MATCH(Y$7,'Inputs (2)'!$D$2:$AL$2,0))</f>
        <v>210.960851415523</v>
      </c>
      <c r="Z4" s="16">
        <f>INDEX('Inputs (2)'!$D$50:$AL$50,MATCH(Z$7,'Inputs (2)'!$D$2:$AL$2,0))</f>
        <v>107.164987843101</v>
      </c>
      <c r="AA4" s="16">
        <f>INDEX('Inputs (2)'!$D$50:$AL$50,MATCH(AA$7,'Inputs (2)'!$D$2:$AL$2,0))</f>
        <v>299.458820700213</v>
      </c>
      <c r="AB4" s="16">
        <f>IF(COUNT(X4:AA4)=4,SUM(X4:AA4),"")</f>
        <v>653.393844949527</v>
      </c>
      <c r="AC4" s="16">
        <f>INDEX('Inputs (2)'!$D$50:$AL$50,MATCH(AC$7,'Inputs (2)'!$D$2:$AL$2,0))</f>
        <v>115.03815882</v>
      </c>
      <c r="AD4" s="16">
        <f>INDEX('Inputs (2)'!$D$50:$AL$50,MATCH(AD$7,'Inputs (2)'!$D$2:$AL$2,0))</f>
        <v>151.089324859999</v>
      </c>
      <c r="AE4" s="16">
        <f>INDEX('Inputs (2)'!$D$50:$AL$50,MATCH(AE$7,'Inputs (2)'!$D$2:$AL$2,0))</f>
        <v>175.84953767</v>
      </c>
      <c r="AF4" s="16">
        <f>INDEX('Inputs (2)'!$D$50:$AL$50,MATCH(AF$7,'Inputs (2)'!$D$2:$AL$2,0))</f>
        <v>177.52823769</v>
      </c>
      <c r="AG4" s="16">
        <f>IF(COUNT(AC4:AF4)=4,SUM(AC4:AF4),"")</f>
        <v>619.505259039999</v>
      </c>
      <c r="AH4" s="6">
        <f>INDEX('Inputs (2)'!$D$50:$AL$50,MATCH(AH$7,'Inputs (2)'!$D$2:$AL$2,0))</f>
        <v>80.79514342</v>
      </c>
      <c r="AI4" s="6">
        <f>INDEX('Inputs (2)'!$D$50:$AL$50,MATCH(AI$7,'Inputs (2)'!$D$2:$AL$2,0))</f>
        <v>151.664851220001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206.23135583</v>
      </c>
      <c r="E15" s="15">
        <f>INDEX('Inputs (2)'!$D$4:$AL$4,MATCH(E$7,'Inputs (2)'!$D$2:$AL$2,0))</f>
        <v>137.65280679</v>
      </c>
      <c r="F15" s="15">
        <f>INDEX('Inputs (2)'!$D$4:$AL$4,MATCH(F$7,'Inputs (2)'!$D$2:$AL$2,0))</f>
        <v>242.62604767</v>
      </c>
      <c r="G15" s="15">
        <f>INDEX('Inputs (2)'!$D$4:$AL$4,MATCH(G$7,'Inputs (2)'!$D$2:$AL$2,0))</f>
        <v>461.03683082</v>
      </c>
      <c r="H15" s="16">
        <f>SUM(D15:G15)</f>
        <v>1047.54704111</v>
      </c>
      <c r="I15" s="15">
        <f>INDEX('Inputs (2)'!$D$4:$AL$4,MATCH(I$7,'Inputs (2)'!$D$2:$AL$2,0))</f>
        <v>217.73003271</v>
      </c>
      <c r="J15" s="15">
        <f>INDEX('Inputs (2)'!$D$4:$AL$4,MATCH(J$7,'Inputs (2)'!$D$2:$AL$2,0))</f>
        <v>361.99507971</v>
      </c>
      <c r="K15" s="15">
        <f>INDEX('Inputs (2)'!$D$4:$AL$4,MATCH(K$7,'Inputs (2)'!$D$2:$AL$2,0))</f>
        <v>337.21497924</v>
      </c>
      <c r="L15" s="15">
        <f>INDEX('Inputs (2)'!$D$4:$AL$4,MATCH(L$7,'Inputs (2)'!$D$2:$AL$2,0))</f>
        <v>549.44679293</v>
      </c>
      <c r="M15" s="16">
        <f>SUM(I15:L15)</f>
        <v>1466.38688459</v>
      </c>
      <c r="N15" s="15">
        <f>INDEX('Inputs (2)'!$D$4:$AL$4,MATCH(N$7,'Inputs (2)'!$D$2:$AL$2,0))</f>
        <v>337.42374598</v>
      </c>
      <c r="O15" s="15">
        <f>INDEX('Inputs (2)'!$D$4:$AL$4,MATCH(O$7,'Inputs (2)'!$D$2:$AL$2,0))</f>
        <v>469.3902051</v>
      </c>
      <c r="P15" s="15">
        <f>INDEX('Inputs (2)'!$D$4:$AL$4,MATCH(P$7,'Inputs (2)'!$D$2:$AL$2,0))</f>
        <v>392.875888229999</v>
      </c>
      <c r="Q15" s="15">
        <f>INDEX('Inputs (2)'!$D$4:$AL$4,MATCH(Q$7,'Inputs (2)'!$D$2:$AL$2,0))</f>
        <v>644.045249370001</v>
      </c>
      <c r="R15" s="16">
        <f>SUM(N15:Q15)</f>
        <v>1843.73508868</v>
      </c>
      <c r="S15" s="15">
        <f>INDEX('Inputs (2)'!$D$4:$AL$4,MATCH(S$7,'Inputs (2)'!$D$2:$AL$2,0))</f>
        <v>391.62759567</v>
      </c>
      <c r="T15" s="15">
        <f>INDEX('Inputs (2)'!$D$4:$AL$4,MATCH(T$7,'Inputs (2)'!$D$2:$AL$2,0))</f>
        <v>559.90924771</v>
      </c>
      <c r="U15" s="15">
        <f>INDEX('Inputs (2)'!$D$4:$AL$4,MATCH(U$7,'Inputs (2)'!$D$2:$AL$2,0))</f>
        <v>457.31063931</v>
      </c>
      <c r="V15" s="15">
        <f>INDEX('Inputs (2)'!$D$4:$AL$4,MATCH(V$7,'Inputs (2)'!$D$2:$AL$2,0))</f>
        <v>778.127226580001</v>
      </c>
      <c r="W15" s="16">
        <f>SUM(S15:V15)</f>
        <v>2186.97470927</v>
      </c>
      <c r="X15" s="15">
        <f>INDEX('Inputs (2)'!$D$4:$AL$4,MATCH(X$7,'Inputs (2)'!$D$2:$AL$2,0))</f>
        <v>444.5904668</v>
      </c>
      <c r="Y15" s="15">
        <f>INDEX('Inputs (2)'!$D$4:$AL$4,MATCH(Y$7,'Inputs (2)'!$D$2:$AL$2,0))</f>
        <v>656.32203511</v>
      </c>
      <c r="Z15" s="15">
        <f>INDEX('Inputs (2)'!$D$4:$AL$4,MATCH(Z$7,'Inputs (2)'!$D$2:$AL$2,0))</f>
        <v>562.89951042</v>
      </c>
      <c r="AA15" s="15">
        <f>INDEX('Inputs (2)'!$D$4:$AL$4,MATCH(AA$7,'Inputs (2)'!$D$2:$AL$2,0))</f>
        <v>913.301105030001</v>
      </c>
      <c r="AB15" s="16">
        <f>SUM(X15:AA15)</f>
        <v>2577.11311736</v>
      </c>
      <c r="AC15" s="15">
        <f>INDEX('Inputs (2)'!$D$4:$AL$4,MATCH(AC$7,'Inputs (2)'!$D$2:$AL$2,0))</f>
        <v>537.08071019</v>
      </c>
      <c r="AD15" s="15">
        <f>INDEX('Inputs (2)'!$D$4:$AL$4,MATCH(AD$7,'Inputs (2)'!$D$2:$AL$2,0))</f>
        <v>761.0214</v>
      </c>
      <c r="AE15" s="15">
        <f>INDEX('Inputs (2)'!$D$4:$AL$4,MATCH(AE$7,'Inputs (2)'!$D$2:$AL$2,0))</f>
        <v>664.50252762</v>
      </c>
      <c r="AF15" s="15">
        <f>INDEX('Inputs (2)'!$D$4:$AL$4,MATCH(AF$7,'Inputs (2)'!$D$2:$AL$2,0))</f>
        <v>1063.977326</v>
      </c>
      <c r="AG15" s="16">
        <f>SUM(AC15:AF15)</f>
        <v>3026.58196381</v>
      </c>
      <c r="AH15" s="16">
        <f>INDEX('Inputs (2)'!$D$4:$AL$4,MATCH(AH$7,'Inputs (2)'!$D$2:$AL$2,0))</f>
        <v>595.51224396</v>
      </c>
      <c r="AI15" s="16">
        <f>INDEX('Inputs (2)'!$D$4:$AL$4,MATCH(AI$7,'Inputs (2)'!$D$2:$AL$2,0))</f>
        <v>833.13104452</v>
      </c>
      <c r="AJ15" s="16">
        <f>AE15*(1+AJ16)</f>
        <v>664.50252762</v>
      </c>
      <c r="AK15" s="16">
        <f>AF15*(1+AK16)</f>
        <v>1063.977326</v>
      </c>
      <c r="AL15" s="16">
        <f>SUM(AH15:AK15)</f>
        <v>3157.1231421</v>
      </c>
      <c r="AM15" s="16">
        <f>AH15*(1+AM16)</f>
        <v>595.51224396</v>
      </c>
      <c r="AN15" s="16">
        <f>AI15*(1+AN16)</f>
        <v>833.13104452</v>
      </c>
      <c r="AO15" s="16">
        <f>AJ15*(1+AO16)</f>
        <v>664.50252762</v>
      </c>
      <c r="AP15" s="16">
        <f>AK15*(1+AP16)</f>
        <v>1063.977326</v>
      </c>
      <c r="AQ15" s="16">
        <f>SUM(AM15:AP15)</f>
        <v>3157.1231421</v>
      </c>
      <c r="AR15" s="16">
        <f>AM15*(1+AR16)</f>
        <v>595.51224396</v>
      </c>
      <c r="AS15" s="16">
        <f>AN15*(1+AS16)</f>
        <v>833.13104452</v>
      </c>
      <c r="AT15" s="16">
        <f>AO15*(1+AT16)</f>
        <v>664.50252762</v>
      </c>
      <c r="AU15" s="16">
        <f>AP15*(1+AU16)</f>
        <v>1063.977326</v>
      </c>
      <c r="AV15" s="16">
        <f>SUM(AR15:AU15)</f>
        <v>3157.1231421</v>
      </c>
      <c r="AW15" s="16">
        <f>AR15*(1+AW16)</f>
        <v>595.51224396</v>
      </c>
      <c r="AX15" s="16">
        <f>AS15*(1+AX16)</f>
        <v>833.13104452</v>
      </c>
      <c r="AY15" s="16">
        <f>AT15*(1+AY16)</f>
        <v>664.50252762</v>
      </c>
      <c r="AZ15" s="16">
        <f>AU15*(1+AZ16)</f>
        <v>1063.977326</v>
      </c>
      <c r="BA15" s="16">
        <f>SUM(AW15:AZ15)</f>
        <v>3157.1231421</v>
      </c>
      <c r="BB15" s="16">
        <f>AW15*(1+BB16)</f>
        <v>595.51224396</v>
      </c>
      <c r="BC15" s="16">
        <f>AX15*(1+BC16)</f>
        <v>833.13104452</v>
      </c>
      <c r="BD15" s="16">
        <f>AY15*(1+BD16)</f>
        <v>664.50252762</v>
      </c>
      <c r="BE15" s="16">
        <f>AZ15*(1+BE16)</f>
        <v>1063.977326</v>
      </c>
      <c r="BF15" s="16">
        <f>SUM(BB15:BE15)</f>
        <v>3157.1231421</v>
      </c>
      <c r="BG15" s="16">
        <f>BB15*(1+BG16)</f>
        <v>595.51224396</v>
      </c>
      <c r="BH15" s="16">
        <f>BC15*(1+BH16)</f>
        <v>833.13104452</v>
      </c>
      <c r="BI15" s="16">
        <f>BD15*(1+BI16)</f>
        <v>664.50252762</v>
      </c>
      <c r="BJ15" s="16">
        <f>BE15*(1+BJ16)</f>
        <v>1063.977326</v>
      </c>
      <c r="BK15" s="16">
        <f>SUM(BG15:BJ15)</f>
        <v>3157.1231421</v>
      </c>
      <c r="BL15" s="16">
        <f>BG15*(1+BL16)</f>
        <v>595.51224396</v>
      </c>
      <c r="BM15" s="16">
        <f>BH15*(1+BM16)</f>
        <v>833.13104452</v>
      </c>
      <c r="BN15" s="16">
        <f>BI15*(1+BN16)</f>
        <v>664.50252762</v>
      </c>
      <c r="BO15" s="16">
        <f>BJ15*(1+BO16)</f>
        <v>1063.977326</v>
      </c>
      <c r="BP15" s="16">
        <f>SUM(BL15:BO15)</f>
        <v>3157.1231421</v>
      </c>
      <c r="BQ15" s="16">
        <f>BL15*(1+BQ16)</f>
        <v>595.51224396</v>
      </c>
      <c r="BR15" s="16">
        <f>BM15*(1+BR16)</f>
        <v>833.13104452</v>
      </c>
      <c r="BS15" s="16">
        <f>BN15*(1+BS16)</f>
        <v>664.50252762</v>
      </c>
      <c r="BT15" s="16">
        <f>BO15*(1+BT16)</f>
        <v>1063.977326</v>
      </c>
      <c r="BU15" s="16">
        <f>SUM(BQ15:BT15)</f>
        <v>3157.1231421</v>
      </c>
      <c r="BV15" s="16">
        <f>BQ15*(1+BV16)</f>
        <v>595.51224396</v>
      </c>
      <c r="BW15" s="16">
        <f>BR15*(1+BW16)</f>
        <v>833.13104452</v>
      </c>
      <c r="BX15" s="16">
        <f>BS15*(1+BX16)</f>
        <v>664.50252762</v>
      </c>
      <c r="BY15" s="16">
        <f>BT15*(1+BY16)</f>
        <v>1063.977326</v>
      </c>
      <c r="BZ15" s="16">
        <f>SUM(BV15:BY15)</f>
        <v>3157.1231421</v>
      </c>
      <c r="CA15" s="16">
        <f>BV15*(1+CA16)</f>
        <v>595.51224396</v>
      </c>
      <c r="CB15" s="16">
        <f>BW15*(1+CB16)</f>
        <v>833.13104452</v>
      </c>
      <c r="CC15" s="16">
        <f>BX15*(1+CC16)</f>
        <v>664.50252762</v>
      </c>
      <c r="CD15" s="16">
        <f>BY15*(1+CD16)</f>
        <v>1063.977326</v>
      </c>
      <c r="CE15" s="16">
        <f>SUM(CA15:CD15)</f>
        <v>3157.1231421</v>
      </c>
      <c r="CF15" s="16">
        <f>CA15*(1+CF16)</f>
        <v>595.51224396</v>
      </c>
      <c r="CG15" s="16">
        <f>CB15*(1+CG16)</f>
        <v>833.13104452</v>
      </c>
      <c r="CH15" s="16">
        <f>CC15*(1+CH16)</f>
        <v>664.50252762</v>
      </c>
      <c r="CI15" s="16">
        <f>CD15*(1+CI16)</f>
        <v>1063.977326</v>
      </c>
      <c r="CJ15" s="16">
        <f>SUM(CF15:CI15)</f>
        <v>3157.1231421</v>
      </c>
      <c r="CK15" s="16">
        <f>CF15*(1+CK16)</f>
        <v>595.51224396</v>
      </c>
      <c r="CL15" s="16">
        <f>CG15*(1+CL16)</f>
        <v>833.13104452</v>
      </c>
      <c r="CM15" s="16">
        <f>CH15*(1+CM16)</f>
        <v>664.50252762</v>
      </c>
      <c r="CN15" s="16">
        <f>CI15*(1+CN16)</f>
        <v>1063.977326</v>
      </c>
      <c r="CO15" s="16">
        <f>SUM(CK15:CN15)</f>
        <v>3157.1231421</v>
      </c>
      <c r="CP15" s="16">
        <f>CK15*(1+CP16)</f>
        <v>595.51224396</v>
      </c>
      <c r="CQ15" s="16">
        <f>CL15*(1+CQ16)</f>
        <v>833.13104452</v>
      </c>
      <c r="CR15" s="16">
        <f>CM15*(1+CR16)</f>
        <v>664.50252762</v>
      </c>
      <c r="CS15" s="16">
        <f>CN15*(1+CS16)</f>
        <v>1063.977326</v>
      </c>
      <c r="CT15" s="16">
        <f>SUM(CP15:CS15)</f>
        <v>3157.1231421</v>
      </c>
      <c r="CU15" s="16">
        <f>CP15*(1+CU16)</f>
        <v>595.51224396</v>
      </c>
      <c r="CV15" s="16">
        <f>CQ15*(1+CV16)</f>
        <v>833.13104452</v>
      </c>
      <c r="CW15" s="16">
        <f>CR15*(1+CW16)</f>
        <v>664.50252762</v>
      </c>
      <c r="CX15" s="16">
        <f>CS15*(1+CX16)</f>
        <v>1063.977326</v>
      </c>
      <c r="CY15" s="16">
        <f>SUM(CU15:CX15)</f>
        <v>3157.1231421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0.54973451195602</v>
      </c>
      <c r="O16" s="47">
        <f>O15/J15-1</f>
        <v>0.296675649503402</v>
      </c>
      <c r="P16" s="47">
        <f>P15/K15-1</f>
        <v>0.165060606487427</v>
      </c>
      <c r="Q16" s="47">
        <f>Q15/L15-1</f>
        <v>0.172170367826777</v>
      </c>
      <c r="R16" s="47">
        <f>R15/M15-1</f>
        <v>0.257331955199195</v>
      </c>
      <c r="S16" s="47">
        <f>S15/N15-1</f>
        <v>0.160640293802004</v>
      </c>
      <c r="T16" s="47">
        <f>T15/O15-1</f>
        <v>0.192843910304254</v>
      </c>
      <c r="U16" s="47">
        <f>U15/P15-1</f>
        <v>0.164007904303557</v>
      </c>
      <c r="V16" s="47">
        <f>V15/Q15-1</f>
        <v>0.208187200109244</v>
      </c>
      <c r="W16" s="47">
        <f>W15/R15-1</f>
        <v>0.186165367626506</v>
      </c>
      <c r="X16" s="47">
        <f>X15/S15-1</f>
        <v>0.135237842571821</v>
      </c>
      <c r="Y16" s="47">
        <f>Y15/T15-1</f>
        <v>0.172193597077247</v>
      </c>
      <c r="Z16" s="47">
        <f>Z15/U15-1</f>
        <v>0.230890913164223</v>
      </c>
      <c r="AA16" s="47">
        <f>AA15/V15-1</f>
        <v>0.173716937067106</v>
      </c>
      <c r="AB16" s="47">
        <f>AB15/W15-1</f>
        <v>0.178391824302452</v>
      </c>
      <c r="AC16" s="47">
        <f>AC15/X15-1</f>
        <v>0.208034697765139</v>
      </c>
      <c r="AD16" s="47">
        <f>AD15/Y15-1</f>
        <v>0.159524378718219</v>
      </c>
      <c r="AE16" s="47">
        <f>AE15/Z15-1</f>
        <v>0.180499388113146</v>
      </c>
      <c r="AF16" s="44">
        <f>AF15/AA15-1</f>
        <v>0.164979786118894</v>
      </c>
      <c r="AG16" s="47">
        <f>AG15/AB15-1</f>
        <v>0.174407884319193</v>
      </c>
      <c r="AH16" s="44">
        <f>AH15/AC15-1</f>
        <v>0.108794698192249</v>
      </c>
      <c r="AI16" s="44">
        <f>AI15/AD15-1</f>
        <v>0.094753767134538</v>
      </c>
      <c r="AJ16" s="44" t="n"/>
      <c r="AK16" s="44" t="n"/>
      <c r="AL16" s="22">
        <f>AL15/AG15-1</f>
        <v>0.0431315523091498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receita bruta DRE - deducoes)</t>
        </is>
      </c>
      <c r="D17" s="15">
        <f>IF(COUNT(D28)=0,"",D28)</f>
        <v>0</v>
      </c>
      <c r="E17" s="15">
        <f>IF(COUNT(E28)=0,"",E28)</f>
        <v>0</v>
      </c>
      <c r="F17" s="15">
        <f>IF(COUNT(F28)=0,"",F28)</f>
        <v>0</v>
      </c>
      <c r="G17" s="15">
        <f>IF(COUNT(G28)=0,"",G28)</f>
        <v>0</v>
      </c>
      <c r="H17" s="16">
        <f>IF(COUNT(H28)=0,"",H28)</f>
        <v>0</v>
      </c>
      <c r="I17" s="15">
        <f>IF(COUNT(I28)=0,"",I28)</f>
        <v>0</v>
      </c>
      <c r="J17" s="15">
        <f>IF(COUNT(J28)=0,"",J28)</f>
        <v>0</v>
      </c>
      <c r="K17" s="15">
        <f>IF(COUNT(K28)=0,"",K28)</f>
        <v>0</v>
      </c>
      <c r="L17" s="15">
        <f>IF(COUNT(L28)=0,"",L28)</f>
        <v>0</v>
      </c>
      <c r="M17" s="16">
        <f>IF(COUNT(M28)=0,"",M28)</f>
        <v>0</v>
      </c>
      <c r="N17" s="15">
        <f>IF(COUNT(N28)=0,"",N28)</f>
        <v>0</v>
      </c>
      <c r="O17" s="15">
        <f>IF(COUNT(O28)=0,"",O28)</f>
        <v>0</v>
      </c>
      <c r="P17" s="15">
        <f>IF(COUNT(P28)=0,"",P28)</f>
        <v>0</v>
      </c>
      <c r="Q17" s="15">
        <f>IF(COUNT(Q28)=0,"",Q28)</f>
        <v>0</v>
      </c>
      <c r="R17" s="16">
        <f>IF(COUNT(R28)=0,"",R28)</f>
        <v>0</v>
      </c>
      <c r="S17" s="15">
        <f>IF(COUNT(S28)=0,"",S28)</f>
        <v>0</v>
      </c>
      <c r="T17" s="15">
        <f>IF(COUNT(T28)=0,"",T28)</f>
        <v>0</v>
      </c>
      <c r="U17" s="15">
        <f>IF(COUNT(U28)=0,"",U28)</f>
        <v>0</v>
      </c>
      <c r="V17" s="15">
        <f>IF(COUNT(V28)=0,"",V28)</f>
        <v>0</v>
      </c>
      <c r="W17" s="16">
        <f>IF(COUNT(W28)=0,"",W28)</f>
        <v>0</v>
      </c>
      <c r="X17" s="15">
        <f>IF(COUNT(X28)=0,"",X28)</f>
        <v>0</v>
      </c>
      <c r="Y17" s="15">
        <f>IF(COUNT(Y28)=0,"",Y28)</f>
        <v>0</v>
      </c>
      <c r="Z17" s="15">
        <f>IF(COUNT(Z28)=0,"",Z28)</f>
        <v>0</v>
      </c>
      <c r="AA17" s="15">
        <f>IF(COUNT(AA28)=0,"",AA28)</f>
        <v>0</v>
      </c>
      <c r="AB17" s="16">
        <f>IF(COUNT(AB28)=0,"",AB28)</f>
        <v>0</v>
      </c>
      <c r="AC17" s="15">
        <f>IF(COUNT(AC28)=0,"",AC28)</f>
        <v>0</v>
      </c>
      <c r="AD17" s="15">
        <f>IF(COUNT(AD28)=0,"",AD28)</f>
        <v>0</v>
      </c>
      <c r="AE17" s="15">
        <f>IF(COUNT(AE28)=0,"",AE28)</f>
        <v>0</v>
      </c>
      <c r="AF17" s="15">
        <f>IF(COUNT(AF28)=0,"",AF28)</f>
        <v>0</v>
      </c>
      <c r="AG17" s="16">
        <f>IF(COUNT(AG28)=0,"",AG28)</f>
        <v>0</v>
      </c>
      <c r="AH17" s="16">
        <f>IF(COUNT(AH28)=0,"",AH28)</f>
        <v>0</v>
      </c>
      <c r="AI17" s="16">
        <f>IF(COUNT(AI28)=0,"",AI28)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bruta (liq. de devolucoes) por canal - como a Cia divulga (R$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Lojas Vivara</t>
        </is>
      </c>
      <c r="D19" s="269">
        <f>IFERROR(INDEX('Inputs (2)'!$D$53:$AL$53,MATCH(D$7,'Inputs (2)'!$D$2:$AL$2,0)),"")</f>
        <v>223.06909155</v>
      </c>
      <c r="E19" s="269">
        <f>IFERROR(INDEX('Inputs (2)'!$D$53:$AL$53,MATCH(E$7,'Inputs (2)'!$D$2:$AL$2,0)),"")</f>
        <v>57.82600894</v>
      </c>
      <c r="F19" s="269">
        <f>IFERROR(INDEX('Inputs (2)'!$D$53:$AL$53,MATCH(F$7,'Inputs (2)'!$D$2:$AL$2,0)),"")</f>
        <v>221.34164567</v>
      </c>
      <c r="G19" s="269">
        <f>IFERROR(INDEX('Inputs (2)'!$D$53:$AL$53,MATCH(G$7,'Inputs (2)'!$D$2:$AL$2,0)),"")</f>
        <v>449.40151951</v>
      </c>
      <c r="H19" s="270">
        <f>IF(COUNT(D19:G19)=4,SUM(D19:G19),"")</f>
        <v>951.63826567</v>
      </c>
      <c r="I19" s="269">
        <f>IFERROR(INDEX('Inputs (2)'!$D$53:$AL$53,MATCH(I$7,'Inputs (2)'!$D$2:$AL$2,0)),"")</f>
        <v>187.118450330243</v>
      </c>
      <c r="J19" s="269">
        <f>IFERROR(INDEX('Inputs (2)'!$D$53:$AL$53,MATCH(J$7,'Inputs (2)'!$D$2:$AL$2,0)),"")</f>
        <v>353.42678799</v>
      </c>
      <c r="K19" s="269">
        <f>IFERROR(INDEX('Inputs (2)'!$D$53:$AL$53,MATCH(K$7,'Inputs (2)'!$D$2:$AL$2,0)),"")</f>
        <v>325.3623586</v>
      </c>
      <c r="L19" s="269">
        <f>IFERROR(INDEX('Inputs (2)'!$D$53:$AL$53,MATCH(L$7,'Inputs (2)'!$D$2:$AL$2,0)),"")</f>
        <v>535.80190985</v>
      </c>
      <c r="M19" s="270">
        <f>IF(COUNT(I19:L19)=4,SUM(I19:L19),"")</f>
        <v>1401.70950677024</v>
      </c>
      <c r="N19" s="269">
        <f>IFERROR(INDEX('Inputs (2)'!$D$53:$AL$53,MATCH(N$7,'Inputs (2)'!$D$2:$AL$2,0)),"")</f>
        <v>322.54966517</v>
      </c>
      <c r="O19" s="269">
        <f>IFERROR(INDEX('Inputs (2)'!$D$53:$AL$53,MATCH(O$7,'Inputs (2)'!$D$2:$AL$2,0)),"")</f>
        <v>465.144</v>
      </c>
      <c r="P19" s="269">
        <f>IFERROR(INDEX('Inputs (2)'!$D$53:$AL$53,MATCH(P$7,'Inputs (2)'!$D$2:$AL$2,0)),"")</f>
        <v>374.791</v>
      </c>
      <c r="Q19" s="269">
        <f>IFERROR(INDEX('Inputs (2)'!$D$53:$AL$53,MATCH(Q$7,'Inputs (2)'!$D$2:$AL$2,0)),"")</f>
        <v>565.85</v>
      </c>
      <c r="R19" s="270">
        <f>IF(COUNT(N19:Q19)=4,SUM(N19:Q19),"")</f>
        <v>1728.33466517</v>
      </c>
      <c r="S19" s="269">
        <f>IFERROR(INDEX('Inputs (2)'!$D$53:$AL$53,MATCH(S$7,'Inputs (2)'!$D$2:$AL$2,0)),"")</f>
        <v>342.2511923</v>
      </c>
      <c r="T19" s="269">
        <f>IFERROR(INDEX('Inputs (2)'!$D$53:$AL$53,MATCH(T$7,'Inputs (2)'!$D$2:$AL$2,0)),"")</f>
        <v>482.43042787</v>
      </c>
      <c r="U19" s="269">
        <f>IFERROR(INDEX('Inputs (2)'!$D$53:$AL$53,MATCH(U$7,'Inputs (2)'!$D$2:$AL$2,0)),"")</f>
        <v>399.13501026</v>
      </c>
      <c r="V19" s="269">
        <f>IFERROR(INDEX('Inputs (2)'!$D$53:$AL$53,MATCH(V$7,'Inputs (2)'!$D$2:$AL$2,0)),"")</f>
        <v>641.06806873</v>
      </c>
      <c r="W19" s="270">
        <f>IF(COUNT(S19:V19)=4,SUM(S19:V19),"")</f>
        <v>1864.88469916</v>
      </c>
      <c r="X19" s="269">
        <f>IFERROR(INDEX('Inputs (2)'!$D$53:$AL$53,MATCH(X$7,'Inputs (2)'!$D$2:$AL$2,0)),"")</f>
        <v>385.21363967</v>
      </c>
      <c r="Y19" s="269">
        <f>IFERROR(INDEX('Inputs (2)'!$D$53:$AL$53,MATCH(Y$7,'Inputs (2)'!$D$2:$AL$2,0)),"")</f>
        <v>555.059609259999</v>
      </c>
      <c r="Z19" s="269">
        <f>IFERROR(INDEX('Inputs (2)'!$D$53:$AL$53,MATCH(Z$7,'Inputs (2)'!$D$2:$AL$2,0)),"")</f>
        <v>461.59889341</v>
      </c>
      <c r="AA19" s="269">
        <f>IFERROR(INDEX('Inputs (2)'!$D$53:$AL$53,MATCH(AA$7,'Inputs (2)'!$D$2:$AL$2,0)),"")</f>
        <v>716.46409578215</v>
      </c>
      <c r="AB19" s="270">
        <f>IF(COUNT(X19:AA19)=4,SUM(X19:AA19),"")</f>
        <v>2118.33623812215</v>
      </c>
      <c r="AC19" s="269">
        <f>IFERROR(INDEX('Inputs (2)'!$D$53:$AL$53,MATCH(AC$7,'Inputs (2)'!$D$2:$AL$2,0)),"")</f>
        <v>435.36529718</v>
      </c>
      <c r="AD19" s="269">
        <f>IFERROR(INDEX('Inputs (2)'!$D$53:$AL$53,MATCH(AD$7,'Inputs (2)'!$D$2:$AL$2,0)),"")</f>
        <v>625.788</v>
      </c>
      <c r="AE19" s="269">
        <f>IFERROR(INDEX('Inputs (2)'!$D$53:$AL$53,MATCH(AE$7,'Inputs (2)'!$D$2:$AL$2,0)),"")</f>
        <v>532.00286124</v>
      </c>
      <c r="AF19" s="269">
        <f>IFERROR(INDEX('Inputs (2)'!$D$53:$AL$53,MATCH(AF$7,'Inputs (2)'!$D$2:$AL$2,0)),"")</f>
        <v>805.885</v>
      </c>
      <c r="AG19" s="270">
        <f>IF(COUNT(AC19:AF19)=4,SUM(AC19:AF19),"")</f>
        <v>2399.04115842</v>
      </c>
      <c r="AH19" s="270">
        <f>IFERROR(INDEX('Inputs (2)'!$D$53:$AL$53,MATCH(AH$7,'Inputs (2)'!$D$2:$AL$2,0)),"")</f>
        <v>483.18292912</v>
      </c>
      <c r="AI19" s="270">
        <f>IFERROR(INDEX('Inputs (2)'!$D$53:$AL$53,MATCH(AI$7,'Inputs (2)'!$D$2:$AL$2,0)),"")</f>
        <v>668.91142494</v>
      </c>
    </row>
    <row r="20">
      <c r="C20" s="14" t="inlineStr">
        <is>
          <t xml:space="preserve">   Lojas Life</t>
        </is>
      </c>
      <c r="D20" s="269">
        <f>IFERROR(INDEX('Inputs (2)'!$D$54:$AL$54,MATCH(D$7,'Inputs (2)'!$D$2:$AL$2,0)),"")</f>
        <v>2.7694004</v>
      </c>
      <c r="E20" s="269">
        <f>IFERROR(INDEX('Inputs (2)'!$D$54:$AL$54,MATCH(E$7,'Inputs (2)'!$D$2:$AL$2,0)),"")</f>
        <v>0.33351658</v>
      </c>
      <c r="F20" s="269">
        <f>IFERROR(INDEX('Inputs (2)'!$D$54:$AL$54,MATCH(F$7,'Inputs (2)'!$D$2:$AL$2,0)),"")</f>
        <v>3.50287592</v>
      </c>
      <c r="G20" s="269">
        <f>IFERROR(INDEX('Inputs (2)'!$D$54:$AL$54,MATCH(G$7,'Inputs (2)'!$D$2:$AL$2,0)),"")</f>
        <v>11.83537802</v>
      </c>
      <c r="H20" s="270">
        <f>IF(COUNT(D20:G20)=4,SUM(D20:G20),"")</f>
        <v>18.44117092</v>
      </c>
      <c r="I20" s="269">
        <f>IFERROR(INDEX('Inputs (2)'!$D$54:$AL$54,MATCH(I$7,'Inputs (2)'!$D$2:$AL$2,0)),"")</f>
        <v>4.72258566</v>
      </c>
      <c r="J20" s="269">
        <f>IFERROR(INDEX('Inputs (2)'!$D$54:$AL$54,MATCH(J$7,'Inputs (2)'!$D$2:$AL$2,0)),"")</f>
        <v>9.40398645</v>
      </c>
      <c r="K20" s="269">
        <f>IFERROR(INDEX('Inputs (2)'!$D$54:$AL$54,MATCH(K$7,'Inputs (2)'!$D$2:$AL$2,0)),"")</f>
        <v>12.01583986</v>
      </c>
      <c r="L20" s="269">
        <f>IFERROR(INDEX('Inputs (2)'!$D$54:$AL$54,MATCH(L$7,'Inputs (2)'!$D$2:$AL$2,0)),"")</f>
        <v>36.7767259509999</v>
      </c>
      <c r="M20" s="270">
        <f>IF(COUNT(I20:L20)=4,SUM(I20:L20),"")</f>
        <v>62.9191379209999</v>
      </c>
      <c r="N20" s="269">
        <f>IFERROR(INDEX('Inputs (2)'!$D$54:$AL$54,MATCH(N$7,'Inputs (2)'!$D$2:$AL$2,0)),"")</f>
        <v>25.87319314</v>
      </c>
      <c r="O20" s="269">
        <f>IFERROR(INDEX('Inputs (2)'!$D$54:$AL$54,MATCH(O$7,'Inputs (2)'!$D$2:$AL$2,0)),"")</f>
        <v>41.033</v>
      </c>
      <c r="P20" s="269">
        <f>IFERROR(INDEX('Inputs (2)'!$D$54:$AL$54,MATCH(P$7,'Inputs (2)'!$D$2:$AL$2,0)),"")</f>
        <v>41.302</v>
      </c>
      <c r="Q20" s="269">
        <f>IFERROR(INDEX('Inputs (2)'!$D$54:$AL$54,MATCH(Q$7,'Inputs (2)'!$D$2:$AL$2,0)),"")</f>
        <v>104.05223572001</v>
      </c>
      <c r="R20" s="270">
        <f>IF(COUNT(N20:Q20)=4,SUM(N20:Q20),"")</f>
        <v>212.26042886001</v>
      </c>
      <c r="S20" s="269">
        <f>IFERROR(INDEX('Inputs (2)'!$D$54:$AL$54,MATCH(S$7,'Inputs (2)'!$D$2:$AL$2,0)),"")</f>
        <v>64.65034708</v>
      </c>
      <c r="T20" s="269">
        <f>IFERROR(INDEX('Inputs (2)'!$D$54:$AL$54,MATCH(T$7,'Inputs (2)'!$D$2:$AL$2,0)),"")</f>
        <v>99.93837228</v>
      </c>
      <c r="U20" s="269">
        <f>IFERROR(INDEX('Inputs (2)'!$D$54:$AL$54,MATCH(U$7,'Inputs (2)'!$D$2:$AL$2,0)),"")</f>
        <v>83.24023996</v>
      </c>
      <c r="V20" s="269">
        <f>IFERROR(INDEX('Inputs (2)'!$D$54:$AL$54,MATCH(V$7,'Inputs (2)'!$D$2:$AL$2,0)),"")</f>
        <v>184.01025066</v>
      </c>
      <c r="W20" s="270">
        <f>IF(COUNT(S20:V20)=4,SUM(S20:V20),"")</f>
        <v>431.83920998</v>
      </c>
      <c r="X20" s="269">
        <f>IFERROR(INDEX('Inputs (2)'!$D$54:$AL$54,MATCH(X$7,'Inputs (2)'!$D$2:$AL$2,0)),"")</f>
        <v>103.10447695</v>
      </c>
      <c r="Y20" s="269">
        <f>IFERROR(INDEX('Inputs (2)'!$D$54:$AL$54,MATCH(Y$7,'Inputs (2)'!$D$2:$AL$2,0)),"")</f>
        <v>161.77919674</v>
      </c>
      <c r="Z20" s="269">
        <f>IFERROR(INDEX('Inputs (2)'!$D$54:$AL$54,MATCH(Z$7,'Inputs (2)'!$D$2:$AL$2,0)),"")</f>
        <v>127.17626305</v>
      </c>
      <c r="AA20" s="269">
        <f>IFERROR(INDEX('Inputs (2)'!$D$54:$AL$54,MATCH(AA$7,'Inputs (2)'!$D$2:$AL$2,0)),"")</f>
        <v>254.53404656</v>
      </c>
      <c r="AB20" s="270">
        <f>IF(COUNT(X20:AA20)=4,SUM(X20:AA20),"")</f>
        <v>646.5939833</v>
      </c>
      <c r="AC20" s="269">
        <f>IFERROR(INDEX('Inputs (2)'!$D$54:$AL$54,MATCH(AC$7,'Inputs (2)'!$D$2:$AL$2,0)),"")</f>
        <v>135.14915652</v>
      </c>
      <c r="AD20" s="269">
        <f>IFERROR(INDEX('Inputs (2)'!$D$54:$AL$54,MATCH(AD$7,'Inputs (2)'!$D$2:$AL$2,0)),"")</f>
        <v>208.96094435</v>
      </c>
      <c r="AE20" s="269">
        <f>IFERROR(INDEX('Inputs (2)'!$D$54:$AL$54,MATCH(AE$7,'Inputs (2)'!$D$2:$AL$2,0)),"")</f>
        <v>154.27287383</v>
      </c>
      <c r="AF20" s="269">
        <f>IFERROR(INDEX('Inputs (2)'!$D$54:$AL$54,MATCH(AF$7,'Inputs (2)'!$D$2:$AL$2,0)),"")</f>
        <v>306.498</v>
      </c>
      <c r="AG20" s="270">
        <f>IF(COUNT(AC20:AF20)=4,SUM(AC20:AF20),"")</f>
        <v>804.8809747</v>
      </c>
      <c r="AH20" s="270">
        <f>IFERROR(INDEX('Inputs (2)'!$D$54:$AL$54,MATCH(AH$7,'Inputs (2)'!$D$2:$AL$2,0)),"")</f>
        <v>160.76419116</v>
      </c>
      <c r="AI20" s="270">
        <f>IFERROR(INDEX('Inputs (2)'!$D$54:$AL$54,MATCH(AI$7,'Inputs (2)'!$D$2:$AL$2,0)),"")</f>
        <v>242.00414045</v>
      </c>
    </row>
    <row r="21">
      <c r="C21" s="14" t="inlineStr">
        <is>
          <t xml:space="preserve">   Quiosques</t>
        </is>
      </c>
      <c r="D21" s="269">
        <f>IFERROR(INDEX('Inputs (2)'!$D$55:$AL$55,MATCH(D$7,'Inputs (2)'!$D$2:$AL$2,0)),"")</f>
        <v>12.41026759</v>
      </c>
      <c r="E21" s="269">
        <f>IFERROR(INDEX('Inputs (2)'!$D$55:$AL$55,MATCH(E$7,'Inputs (2)'!$D$2:$AL$2,0)),"")</f>
        <v>1.29665423</v>
      </c>
      <c r="F21" s="269">
        <f>IFERROR(INDEX('Inputs (2)'!$D$55:$AL$55,MATCH(F$7,'Inputs (2)'!$D$2:$AL$2,0)),"")</f>
        <v>9.41599006</v>
      </c>
      <c r="G21" s="269">
        <f>IFERROR(INDEX('Inputs (2)'!$D$55:$AL$55,MATCH(G$7,'Inputs (2)'!$D$2:$AL$2,0)),"")</f>
        <v>22.91751429</v>
      </c>
      <c r="H21" s="270">
        <f>IF(COUNT(D21:G21)=4,SUM(D21:G21),"")</f>
        <v>46.04042617</v>
      </c>
      <c r="I21" s="269">
        <f>IFERROR(INDEX('Inputs (2)'!$D$55:$AL$55,MATCH(I$7,'Inputs (2)'!$D$2:$AL$2,0)),"")</f>
        <v>7.36386911</v>
      </c>
      <c r="J21" s="269">
        <f>IFERROR(INDEX('Inputs (2)'!$D$55:$AL$55,MATCH(J$7,'Inputs (2)'!$D$2:$AL$2,0)),"")</f>
        <v>12.06934786</v>
      </c>
      <c r="K21" s="269">
        <f>IFERROR(INDEX('Inputs (2)'!$D$55:$AL$55,MATCH(K$7,'Inputs (2)'!$D$2:$AL$2,0)),"")</f>
        <v>10.18484569</v>
      </c>
      <c r="L21" s="269">
        <f>IFERROR(INDEX('Inputs (2)'!$D$55:$AL$55,MATCH(L$7,'Inputs (2)'!$D$2:$AL$2,0)),"")</f>
        <v>15.097556669</v>
      </c>
      <c r="M21" s="270">
        <f>IF(COUNT(I21:L21)=4,SUM(I21:L21),"")</f>
        <v>44.715619329</v>
      </c>
      <c r="N21" s="269">
        <f>IFERROR(INDEX('Inputs (2)'!$D$55:$AL$55,MATCH(N$7,'Inputs (2)'!$D$2:$AL$2,0)),"")</f>
        <v>7.60750405</v>
      </c>
      <c r="O21" s="269">
        <f>IFERROR(INDEX('Inputs (2)'!$D$55:$AL$55,MATCH(O$7,'Inputs (2)'!$D$2:$AL$2,0)),"")</f>
        <v>9.76114013001</v>
      </c>
      <c r="P21" s="269">
        <f>IFERROR(INDEX('Inputs (2)'!$D$55:$AL$55,MATCH(P$7,'Inputs (2)'!$D$2:$AL$2,0)),"")</f>
        <v>7.74006396</v>
      </c>
      <c r="Q21" s="269">
        <f>IFERROR(INDEX('Inputs (2)'!$D$55:$AL$55,MATCH(Q$7,'Inputs (2)'!$D$2:$AL$2,0)),"")</f>
        <v>12.595443110011</v>
      </c>
      <c r="R21" s="270">
        <f>IF(COUNT(N21:Q21)=4,SUM(N21:Q21),"")</f>
        <v>37.704151250021</v>
      </c>
      <c r="S21" s="269">
        <f>IFERROR(INDEX('Inputs (2)'!$D$55:$AL$55,MATCH(S$7,'Inputs (2)'!$D$2:$AL$2,0)),"")</f>
        <v>6.83362633</v>
      </c>
      <c r="T21" s="269">
        <f>IFERROR(INDEX('Inputs (2)'!$D$55:$AL$55,MATCH(T$7,'Inputs (2)'!$D$2:$AL$2,0)),"")</f>
        <v>9.96636367</v>
      </c>
      <c r="U21" s="269">
        <f>IFERROR(INDEX('Inputs (2)'!$D$55:$AL$55,MATCH(U$7,'Inputs (2)'!$D$2:$AL$2,0)),"")</f>
        <v>8.13688579</v>
      </c>
      <c r="V21" s="269">
        <f>IFERROR(INDEX('Inputs (2)'!$D$55:$AL$55,MATCH(V$7,'Inputs (2)'!$D$2:$AL$2,0)),"")</f>
        <v>11.0619556</v>
      </c>
      <c r="W21" s="270">
        <f>IF(COUNT(S21:V21)=4,SUM(S21:V21),"")</f>
        <v>35.99883139</v>
      </c>
      <c r="X21" s="269">
        <f>IFERROR(INDEX('Inputs (2)'!$D$55:$AL$55,MATCH(X$7,'Inputs (2)'!$D$2:$AL$2,0)),"")</f>
        <v>4.75551023</v>
      </c>
      <c r="Y21" s="269">
        <f>IFERROR(INDEX('Inputs (2)'!$D$55:$AL$55,MATCH(Y$7,'Inputs (2)'!$D$2:$AL$2,0)),"")</f>
        <v>6.70803007</v>
      </c>
      <c r="Z21" s="269">
        <f>IFERROR(INDEX('Inputs (2)'!$D$55:$AL$55,MATCH(Z$7,'Inputs (2)'!$D$2:$AL$2,0)),"")</f>
        <v>5.07261546</v>
      </c>
      <c r="AA21" s="269">
        <f>IFERROR(INDEX('Inputs (2)'!$D$55:$AL$55,MATCH(AA$7,'Inputs (2)'!$D$2:$AL$2,0)),"")</f>
        <v>6.7285</v>
      </c>
      <c r="AB21" s="270">
        <f>IF(COUNT(X21:AA21)=4,SUM(X21:AA21),"")</f>
        <v>23.26465576</v>
      </c>
      <c r="AC21" s="269">
        <f>IFERROR(INDEX('Inputs (2)'!$D$55:$AL$55,MATCH(AC$7,'Inputs (2)'!$D$2:$AL$2,0)),"")</f>
        <v>3.28875073</v>
      </c>
      <c r="AD21" s="269">
        <f>IFERROR(INDEX('Inputs (2)'!$D$55:$AL$55,MATCH(AD$7,'Inputs (2)'!$D$2:$AL$2,0)),"")</f>
        <v>4.93945264</v>
      </c>
      <c r="AE21" s="269">
        <f>IFERROR(INDEX('Inputs (2)'!$D$55:$AL$55,MATCH(AE$7,'Inputs (2)'!$D$2:$AL$2,0)),"")</f>
        <v>4.41280385</v>
      </c>
      <c r="AF21" s="269">
        <f>IFERROR(INDEX('Inputs (2)'!$D$55:$AL$55,MATCH(AF$7,'Inputs (2)'!$D$2:$AL$2,0)),"")</f>
        <v>6.985</v>
      </c>
      <c r="AG21" s="270">
        <f>IF(COUNT(AC21:AF21)=4,SUM(AC21:AF21),"")</f>
        <v>19.62600722</v>
      </c>
      <c r="AH21" s="270">
        <f>IFERROR(INDEX('Inputs (2)'!$D$55:$AL$55,MATCH(AH$7,'Inputs (2)'!$D$2:$AL$2,0)),"")</f>
        <v>3.92527966</v>
      </c>
      <c r="AI21" s="270">
        <f>IFERROR(INDEX('Inputs (2)'!$D$55:$AL$55,MATCH(AI$7,'Inputs (2)'!$D$2:$AL$2,0)),"")</f>
        <v>5.31990564</v>
      </c>
    </row>
    <row r="22">
      <c r="C22" s="271" t="inlineStr">
        <is>
          <t>Lojas fisicas</t>
        </is>
      </c>
      <c r="D22" s="269">
        <f>IF(COUNT(D19,D20,D21)=0,"",N(D19)+N(D20)+N(D21))</f>
        <v>238.24875954</v>
      </c>
      <c r="E22" s="269">
        <f>IF(COUNT(E19,E20,E21)=0,"",N(E19)+N(E20)+N(E21))</f>
        <v>59.45617975</v>
      </c>
      <c r="F22" s="269">
        <f>IF(COUNT(F19,F20,F21)=0,"",N(F19)+N(F20)+N(F21))</f>
        <v>234.26051165</v>
      </c>
      <c r="G22" s="269">
        <f>IF(COUNT(G19,G20,G21)=0,"",N(G19)+N(G20)+N(G21))</f>
        <v>484.15441182</v>
      </c>
      <c r="H22" s="270">
        <f>IF(COUNT(H19,H20,H21)=0,"",N(H19)+N(H20)+N(H21))</f>
        <v>1016.11986276</v>
      </c>
      <c r="I22" s="269">
        <f>IF(COUNT(I19,I20,I21)=0,"",N(I19)+N(I20)+N(I21))</f>
        <v>199.204905100243</v>
      </c>
      <c r="J22" s="269">
        <f>IF(COUNT(J19,J20,J21)=0,"",N(J19)+N(J20)+N(J21))</f>
        <v>374.9001223</v>
      </c>
      <c r="K22" s="269">
        <f>IF(COUNT(K19,K20,K21)=0,"",N(K19)+N(K20)+N(K21))</f>
        <v>347.56304415</v>
      </c>
      <c r="L22" s="269">
        <f>IF(COUNT(L19,L20,L21)=0,"",N(L19)+N(L20)+N(L21))</f>
        <v>587.67619247</v>
      </c>
      <c r="M22" s="270">
        <f>IF(COUNT(M19,M20,M21)=0,"",N(M19)+N(M20)+N(M21))</f>
        <v>1509.34426402024</v>
      </c>
      <c r="N22" s="269">
        <f>IF(COUNT(N19,N20,N21)=0,"",N(N19)+N(N20)+N(N21))</f>
        <v>356.03036236</v>
      </c>
      <c r="O22" s="269">
        <f>IF(COUNT(O19,O20,O21)=0,"",N(O19)+N(O20)+N(O21))</f>
        <v>515.93814013001</v>
      </c>
      <c r="P22" s="269">
        <f>IF(COUNT(P19,P20,P21)=0,"",N(P19)+N(P20)+N(P21))</f>
        <v>423.83306396</v>
      </c>
      <c r="Q22" s="269">
        <f>IF(COUNT(Q19,Q20,Q21)=0,"",N(Q19)+N(Q20)+N(Q21))</f>
        <v>682.497678830021</v>
      </c>
      <c r="R22" s="270">
        <f>IF(COUNT(R19,R20,R21)=0,"",N(R19)+N(R20)+N(R21))</f>
        <v>1978.29924528003</v>
      </c>
      <c r="S22" s="269">
        <f>IF(COUNT(S19,S20,S21)=0,"",N(S19)+N(S20)+N(S21))</f>
        <v>413.73516571</v>
      </c>
      <c r="T22" s="269">
        <f>IF(COUNT(T19,T20,T21)=0,"",N(T19)+N(T20)+N(T21))</f>
        <v>592.33516382</v>
      </c>
      <c r="U22" s="269">
        <f>IF(COUNT(U19,U20,U21)=0,"",N(U19)+N(U20)+N(U21))</f>
        <v>490.51213601</v>
      </c>
      <c r="V22" s="269">
        <f>IF(COUNT(V19,V20,V21)=0,"",N(V19)+N(V20)+N(V21))</f>
        <v>836.14027499</v>
      </c>
      <c r="W22" s="270">
        <f>IF(COUNT(W19,W20,W21)=0,"",N(W19)+N(W20)+N(W21))</f>
        <v>2332.72274053</v>
      </c>
      <c r="X22" s="269">
        <f>IF(COUNT(X19,X20,X21)=0,"",N(X19)+N(X20)+N(X21))</f>
        <v>493.07362685</v>
      </c>
      <c r="Y22" s="269">
        <f>IF(COUNT(Y19,Y20,Y21)=0,"",N(Y19)+N(Y20)+N(Y21))</f>
        <v>723.546836069999</v>
      </c>
      <c r="Z22" s="269">
        <f>IF(COUNT(Z19,Z20,Z21)=0,"",N(Z19)+N(Z20)+N(Z21))</f>
        <v>593.847771920001</v>
      </c>
      <c r="AA22" s="269">
        <f>IF(COUNT(AA19,AA20,AA21)=0,"",N(AA19)+N(AA20)+N(AA21))</f>
        <v>977.72664234215</v>
      </c>
      <c r="AB22" s="270">
        <f>IF(COUNT(AB19,AB20,AB21)=0,"",N(AB19)+N(AB20)+N(AB21))</f>
        <v>2788.19487718215</v>
      </c>
      <c r="AC22" s="269">
        <f>IF(COUNT(AC19,AC20,AC21)=0,"",N(AC19)+N(AC20)+N(AC21))</f>
        <v>573.80320443</v>
      </c>
      <c r="AD22" s="269">
        <f>IF(COUNT(AD19,AD20,AD21)=0,"",N(AD19)+N(AD20)+N(AD21))</f>
        <v>839.68839699</v>
      </c>
      <c r="AE22" s="269">
        <f>IF(COUNT(AE19,AE20,AE21)=0,"",N(AE19)+N(AE20)+N(AE21))</f>
        <v>690.68853892</v>
      </c>
      <c r="AF22" s="269">
        <f>IF(COUNT(AF19,AF20,AF21)=0,"",N(AF19)+N(AF20)+N(AF21))</f>
        <v>1119.368</v>
      </c>
      <c r="AG22" s="270">
        <f>IF(COUNT(AG19,AG20,AG21)=0,"",N(AG19)+N(AG20)+N(AG21))</f>
        <v>3223.54814034</v>
      </c>
      <c r="AH22" s="270">
        <f>IF(COUNT(AH19,AH20,AH21)=0,"",N(AH19)+N(AH20)+N(AH21))</f>
        <v>647.87239994</v>
      </c>
      <c r="AI22" s="270">
        <f>IF(COUNT(AI19,AI20,AI21)=0,"",N(AI19)+N(AI20)+N(AI21))</f>
        <v>916.235471029999</v>
      </c>
    </row>
    <row r="23">
      <c r="C23" s="14" t="inlineStr">
        <is>
          <t xml:space="preserve">   Vendas digitais</t>
        </is>
      </c>
      <c r="D23" s="269">
        <f>IFERROR(INDEX('Inputs (2)'!$D$56:$AL$56,MATCH(D$7,'Inputs (2)'!$D$2:$AL$2,0)),"")</f>
        <v>22.26</v>
      </c>
      <c r="E23" s="269">
        <f>IFERROR(INDEX('Inputs (2)'!$D$56:$AL$56,MATCH(E$7,'Inputs (2)'!$D$2:$AL$2,0)),"")</f>
        <v>108.414</v>
      </c>
      <c r="F23" s="269">
        <f>IFERROR(INDEX('Inputs (2)'!$D$56:$AL$56,MATCH(F$7,'Inputs (2)'!$D$2:$AL$2,0)),"")</f>
        <v>70.619</v>
      </c>
      <c r="G23" s="269">
        <f>IFERROR(INDEX('Inputs (2)'!$D$56:$AL$56,MATCH(G$7,'Inputs (2)'!$D$2:$AL$2,0)),"")</f>
        <v>108.22</v>
      </c>
      <c r="H23" s="270">
        <f>IF(COUNT(D23:G23)=4,SUM(D23:G23),"")</f>
        <v>309.513</v>
      </c>
      <c r="I23" s="269">
        <f>IFERROR(INDEX('Inputs (2)'!$D$56:$AL$56,MATCH(I$7,'Inputs (2)'!$D$2:$AL$2,0)),"")</f>
        <v>57.93</v>
      </c>
      <c r="J23" s="269">
        <f>IFERROR(INDEX('Inputs (2)'!$D$56:$AL$56,MATCH(J$7,'Inputs (2)'!$D$2:$AL$2,0)),"")</f>
        <v>78.8645</v>
      </c>
      <c r="K23" s="269">
        <f>IFERROR(INDEX('Inputs (2)'!$D$56:$AL$56,MATCH(K$7,'Inputs (2)'!$D$2:$AL$2,0)),"")</f>
        <v>59.79244</v>
      </c>
      <c r="L23" s="269">
        <f>IFERROR(INDEX('Inputs (2)'!$D$56:$AL$56,MATCH(L$7,'Inputs (2)'!$D$2:$AL$2,0)),"")</f>
        <v>109.684</v>
      </c>
      <c r="M23" s="270">
        <f>IF(COUNT(I23:L23)=4,SUM(I23:L23),"")</f>
        <v>306.27094</v>
      </c>
      <c r="N23" s="269">
        <f>IFERROR(INDEX('Inputs (2)'!$D$56:$AL$56,MATCH(N$7,'Inputs (2)'!$D$2:$AL$2,0)),"")</f>
        <v>51.605</v>
      </c>
      <c r="O23" s="269">
        <f>IFERROR(INDEX('Inputs (2)'!$D$56:$AL$56,MATCH(O$7,'Inputs (2)'!$D$2:$AL$2,0)),"")</f>
        <v>68.028</v>
      </c>
      <c r="P23" s="269">
        <f>IFERROR(INDEX('Inputs (2)'!$D$56:$AL$56,MATCH(P$7,'Inputs (2)'!$D$2:$AL$2,0)),"")</f>
        <v>54.149</v>
      </c>
      <c r="Q23" s="269">
        <f>IFERROR(INDEX('Inputs (2)'!$D$56:$AL$56,MATCH(Q$7,'Inputs (2)'!$D$2:$AL$2,0)),"")</f>
        <v>132.25407364</v>
      </c>
      <c r="R23" s="270">
        <f>IF(COUNT(N23:Q23)=4,SUM(N23:Q23),"")</f>
        <v>306.03607364</v>
      </c>
      <c r="S23" s="269">
        <f>IFERROR(INDEX('Inputs (2)'!$D$56:$AL$56,MATCH(S$7,'Inputs (2)'!$D$2:$AL$2,0)),"")</f>
        <v>70.476</v>
      </c>
      <c r="T23" s="269">
        <f>IFERROR(INDEX('Inputs (2)'!$D$56:$AL$56,MATCH(T$7,'Inputs (2)'!$D$2:$AL$2,0)),"")</f>
        <v>104.59</v>
      </c>
      <c r="U23" s="269">
        <f>IFERROR(INDEX('Inputs (2)'!$D$56:$AL$56,MATCH(U$7,'Inputs (2)'!$D$2:$AL$2,0)),"")</f>
        <v>88.04</v>
      </c>
      <c r="V23" s="269">
        <f>IFERROR(INDEX('Inputs (2)'!$D$56:$AL$56,MATCH(V$7,'Inputs (2)'!$D$2:$AL$2,0)),"")</f>
        <v>175.52510803</v>
      </c>
      <c r="W23" s="270">
        <f>IF(COUNT(S23:V23)=4,SUM(S23:V23),"")</f>
        <v>438.63110803</v>
      </c>
      <c r="X23" s="269">
        <f>IFERROR(INDEX('Inputs (2)'!$D$56:$AL$56,MATCH(X$7,'Inputs (2)'!$D$2:$AL$2,0)),"")</f>
        <v>77.57068822</v>
      </c>
      <c r="Y23" s="269">
        <f>IFERROR(INDEX('Inputs (2)'!$D$56:$AL$56,MATCH(Y$7,'Inputs (2)'!$D$2:$AL$2,0)),"")</f>
        <v>110.06907318</v>
      </c>
      <c r="Z23" s="269">
        <f>IFERROR(INDEX('Inputs (2)'!$D$56:$AL$56,MATCH(Z$7,'Inputs (2)'!$D$2:$AL$2,0)),"")</f>
        <v>100.595320940001</v>
      </c>
      <c r="AA23" s="269">
        <f>IFERROR(INDEX('Inputs (2)'!$D$56:$AL$56,MATCH(AA$7,'Inputs (2)'!$D$2:$AL$2,0)),"")</f>
        <v>181.5935</v>
      </c>
      <c r="AB23" s="270">
        <f>IF(COUNT(X23:AA23)=4,SUM(X23:AA23),"")</f>
        <v>469.828582340001</v>
      </c>
      <c r="AC23" s="269">
        <f>IFERROR(INDEX('Inputs (2)'!$D$56:$AL$56,MATCH(AC$7,'Inputs (2)'!$D$2:$AL$2,0)),"")</f>
        <v>84.23958183</v>
      </c>
      <c r="AD23" s="269">
        <f>IFERROR(INDEX('Inputs (2)'!$D$56:$AL$56,MATCH(AD$7,'Inputs (2)'!$D$2:$AL$2,0)),"")</f>
        <v>126.641</v>
      </c>
      <c r="AE23" s="269">
        <f>IFERROR(INDEX('Inputs (2)'!$D$56:$AL$56,MATCH(AE$7,'Inputs (2)'!$D$2:$AL$2,0)),"")</f>
        <v>112.30392869</v>
      </c>
      <c r="AF23" s="269">
        <f>IFERROR(INDEX('Inputs (2)'!$D$56:$AL$56,MATCH(AF$7,'Inputs (2)'!$D$2:$AL$2,0)),"")</f>
        <v>238.782</v>
      </c>
      <c r="AG23" s="270">
        <f>IF(COUNT(AC23:AF23)=4,SUM(AC23:AF23),"")</f>
        <v>561.96651052</v>
      </c>
      <c r="AH23" s="270">
        <f>IFERROR(INDEX('Inputs (2)'!$D$56:$AL$56,MATCH(AH$7,'Inputs (2)'!$D$2:$AL$2,0)),"")</f>
        <v>97.90025518</v>
      </c>
      <c r="AI23" s="270">
        <f>IFERROR(INDEX('Inputs (2)'!$D$56:$AL$56,MATCH(AI$7,'Inputs (2)'!$D$2:$AL$2,0)),"")</f>
        <v>153.52857446</v>
      </c>
    </row>
    <row r="24">
      <c r="C24" s="14" t="inlineStr">
        <is>
          <t xml:space="preserve">   Outros (B2B e assistencia tecnica)</t>
        </is>
      </c>
      <c r="D24" s="269">
        <f>IFERROR(INDEX('Inputs (2)'!$D$57:$AL$57,MATCH(D$7,'Inputs (2)'!$D$2:$AL$2,0)),"")</f>
        <v>3.3205</v>
      </c>
      <c r="E24" s="269">
        <f>IFERROR(INDEX('Inputs (2)'!$D$57:$AL$57,MATCH(E$7,'Inputs (2)'!$D$2:$AL$2,0)),"")</f>
        <v>1.833</v>
      </c>
      <c r="F24" s="269">
        <f>IFERROR(INDEX('Inputs (2)'!$D$57:$AL$57,MATCH(F$7,'Inputs (2)'!$D$2:$AL$2,0)),"")</f>
        <v>3.1765</v>
      </c>
      <c r="G24" s="269">
        <f>IFERROR(INDEX('Inputs (2)'!$D$57:$AL$57,MATCH(G$7,'Inputs (2)'!$D$2:$AL$2,0)),"")</f>
        <v>4.17944</v>
      </c>
      <c r="H24" s="270">
        <f>IF(COUNT(D24:G24)=4,SUM(D24:G24),"")</f>
        <v>12.50944</v>
      </c>
      <c r="I24" s="269">
        <f>IFERROR(INDEX('Inputs (2)'!$D$57:$AL$57,MATCH(I$7,'Inputs (2)'!$D$2:$AL$2,0)),"")</f>
        <v>2.392</v>
      </c>
      <c r="J24" s="269">
        <f>IFERROR(INDEX('Inputs (2)'!$D$57:$AL$57,MATCH(J$7,'Inputs (2)'!$D$2:$AL$2,0)),"")</f>
        <v>3.0445</v>
      </c>
      <c r="K24" s="269">
        <f>IFERROR(INDEX('Inputs (2)'!$D$57:$AL$57,MATCH(K$7,'Inputs (2)'!$D$2:$AL$2,0)),"")</f>
        <v>3.24744</v>
      </c>
      <c r="L24" s="269">
        <f>IFERROR(INDEX('Inputs (2)'!$D$57:$AL$57,MATCH(L$7,'Inputs (2)'!$D$2:$AL$2,0)),"")</f>
        <v>4.354</v>
      </c>
      <c r="M24" s="270">
        <f>IF(COUNT(I24:L24)=4,SUM(I24:L24),"")</f>
        <v>13.03794</v>
      </c>
      <c r="N24" s="269">
        <f>IFERROR(INDEX('Inputs (2)'!$D$57:$AL$57,MATCH(N$7,'Inputs (2)'!$D$2:$AL$2,0)),"")</f>
        <v>3.22444</v>
      </c>
      <c r="O24" s="269">
        <f>IFERROR(INDEX('Inputs (2)'!$D$57:$AL$57,MATCH(O$7,'Inputs (2)'!$D$2:$AL$2,0)),"")</f>
        <v>3.316</v>
      </c>
      <c r="P24" s="269">
        <f>IFERROR(INDEX('Inputs (2)'!$D$57:$AL$57,MATCH(P$7,'Inputs (2)'!$D$2:$AL$2,0)),"")</f>
        <v>3.393444</v>
      </c>
      <c r="Q24" s="269">
        <f>IFERROR(INDEX('Inputs (2)'!$D$57:$AL$57,MATCH(Q$7,'Inputs (2)'!$D$2:$AL$2,0)),"")</f>
        <v>5.65664265997997</v>
      </c>
      <c r="R24" s="270">
        <f>IF(COUNT(N24:Q24)=4,SUM(N24:Q24),"")</f>
        <v>15.59052665998</v>
      </c>
      <c r="S24" s="269">
        <f>IFERROR(INDEX('Inputs (2)'!$D$57:$AL$57,MATCH(S$7,'Inputs (2)'!$D$2:$AL$2,0)),"")</f>
        <v>3.289</v>
      </c>
      <c r="T24" s="269">
        <f>IFERROR(INDEX('Inputs (2)'!$D$57:$AL$57,MATCH(T$7,'Inputs (2)'!$D$2:$AL$2,0)),"")</f>
        <v>5.16944</v>
      </c>
      <c r="U24" s="269">
        <f>IFERROR(INDEX('Inputs (2)'!$D$57:$AL$57,MATCH(U$7,'Inputs (2)'!$D$2:$AL$2,0)),"")</f>
        <v>2.689</v>
      </c>
      <c r="V24" s="269">
        <f>IFERROR(INDEX('Inputs (2)'!$D$57:$AL$57,MATCH(V$7,'Inputs (2)'!$D$2:$AL$2,0)),"")</f>
        <v>5.51542945000085</v>
      </c>
      <c r="W24" s="270">
        <f>IF(COUNT(S24:V24)=4,SUM(S24:V24),"")</f>
        <v>16.6628694500009</v>
      </c>
      <c r="X24" s="269">
        <f>IFERROR(INDEX('Inputs (2)'!$D$57:$AL$57,MATCH(X$7,'Inputs (2)'!$D$2:$AL$2,0)),"")</f>
        <v>4.21450028000012</v>
      </c>
      <c r="Y24" s="269">
        <f>IFERROR(INDEX('Inputs (2)'!$D$57:$AL$57,MATCH(Y$7,'Inputs (2)'!$D$2:$AL$2,0)),"")</f>
        <v>2.97849679000013</v>
      </c>
      <c r="Z24" s="269">
        <f>IFERROR(INDEX('Inputs (2)'!$D$57:$AL$57,MATCH(Z$7,'Inputs (2)'!$D$2:$AL$2,0)),"")</f>
        <v>2.9619593999998</v>
      </c>
      <c r="AA24" s="269">
        <f>IFERROR(INDEX('Inputs (2)'!$D$57:$AL$57,MATCH(AA$7,'Inputs (2)'!$D$2:$AL$2,0)),"")</f>
        <v>3.068</v>
      </c>
      <c r="AB24" s="270">
        <f>IF(COUNT(X24:AA24)=4,SUM(X24:AA24),"")</f>
        <v>13.22295647</v>
      </c>
      <c r="AC24" s="269">
        <f>IFERROR(INDEX('Inputs (2)'!$D$57:$AL$57,MATCH(AC$7,'Inputs (2)'!$D$2:$AL$2,0)),"")</f>
        <v>2.44888293999955</v>
      </c>
      <c r="AD24" s="269">
        <f>IFERROR(INDEX('Inputs (2)'!$D$57:$AL$57,MATCH(AD$7,'Inputs (2)'!$D$2:$AL$2,0)),"")</f>
        <v>3.38</v>
      </c>
      <c r="AE24" s="269">
        <f>IFERROR(INDEX('Inputs (2)'!$D$57:$AL$57,MATCH(AE$7,'Inputs (2)'!$D$2:$AL$2,0)),"")</f>
        <v>2.44083333000058</v>
      </c>
      <c r="AF24" s="269">
        <f>IFERROR(INDEX('Inputs (2)'!$D$57:$AL$57,MATCH(AF$7,'Inputs (2)'!$D$2:$AL$2,0)),"")</f>
        <v>7.518</v>
      </c>
      <c r="AG24" s="270">
        <f>IF(COUNT(AC24:AF24)=4,SUM(AC24:AF24),"")</f>
        <v>15.7877162700001</v>
      </c>
      <c r="AH24" s="270">
        <f>IFERROR(INDEX('Inputs (2)'!$D$57:$AL$57,MATCH(AH$7,'Inputs (2)'!$D$2:$AL$2,0)),"")</f>
        <v>5.98046605000123</v>
      </c>
      <c r="AI24" s="270">
        <f>IFERROR(INDEX('Inputs (2)'!$D$57:$AL$57,MATCH(AI$7,'Inputs (2)'!$D$2:$AL$2,0)),"")</f>
        <v>1.68754991000187</v>
      </c>
    </row>
    <row r="25">
      <c r="C25" s="271" t="inlineStr">
        <is>
          <t>Receita bruta liq. de devolucoes (soma dos canais)</t>
        </is>
      </c>
      <c r="D25" s="269">
        <f>IF(COUNT(D22,D23,D24)=0,"",N(D22)+N(D23)+N(D24))</f>
        <v>263.82925954</v>
      </c>
      <c r="E25" s="269">
        <f>IF(COUNT(E22,E23,E24)=0,"",N(E22)+N(E23)+N(E24))</f>
        <v>169.70317975</v>
      </c>
      <c r="F25" s="269">
        <f>IF(COUNT(F22,F23,F24)=0,"",N(F22)+N(F23)+N(F24))</f>
        <v>308.05601165</v>
      </c>
      <c r="G25" s="269">
        <f>IF(COUNT(G22,G23,G24)=0,"",N(G22)+N(G23)+N(G24))</f>
        <v>596.55385182</v>
      </c>
      <c r="H25" s="270">
        <f>IF(COUNT(H22,H23,H24)=0,"",N(H22)+N(H23)+N(H24))</f>
        <v>1338.14230276</v>
      </c>
      <c r="I25" s="269">
        <f>IF(COUNT(I22,I23,I24)=0,"",N(I22)+N(I23)+N(I24))</f>
        <v>259.526905100243</v>
      </c>
      <c r="J25" s="269">
        <f>IF(COUNT(J22,J23,J24)=0,"",N(J22)+N(J23)+N(J24))</f>
        <v>456.8091223</v>
      </c>
      <c r="K25" s="269">
        <f>IF(COUNT(K22,K23,K24)=0,"",N(K22)+N(K23)+N(K24))</f>
        <v>410.60292415</v>
      </c>
      <c r="L25" s="269">
        <f>IF(COUNT(L22,L23,L24)=0,"",N(L22)+N(L23)+N(L24))</f>
        <v>701.71419247</v>
      </c>
      <c r="M25" s="270">
        <f>IF(COUNT(M22,M23,M24)=0,"",N(M22)+N(M23)+N(M24))</f>
        <v>1828.65314402024</v>
      </c>
      <c r="N25" s="269">
        <f>IF(COUNT(N22,N23,N24)=0,"",N(N22)+N(N23)+N(N24))</f>
        <v>410.85980236</v>
      </c>
      <c r="O25" s="269">
        <f>IF(COUNT(O22,O23,O24)=0,"",N(O22)+N(O23)+N(O24))</f>
        <v>587.28214013001</v>
      </c>
      <c r="P25" s="269">
        <f>IF(COUNT(P22,P23,P24)=0,"",N(P22)+N(P23)+N(P24))</f>
        <v>481.37550796</v>
      </c>
      <c r="Q25" s="269">
        <f>IF(COUNT(Q22,Q23,Q24)=0,"",N(Q22)+N(Q23)+N(Q24))</f>
        <v>820.408395130001</v>
      </c>
      <c r="R25" s="270">
        <f>IF(COUNT(R22,R23,R24)=0,"",N(R22)+N(R23)+N(R24))</f>
        <v>2299.92584558001</v>
      </c>
      <c r="S25" s="269">
        <f>IF(COUNT(S22,S23,S24)=0,"",N(S22)+N(S23)+N(S24))</f>
        <v>487.50016571</v>
      </c>
      <c r="T25" s="269">
        <f>IF(COUNT(T22,T23,T24)=0,"",N(T22)+N(T23)+N(T24))</f>
        <v>702.09460382</v>
      </c>
      <c r="U25" s="269">
        <f>IF(COUNT(U22,U23,U24)=0,"",N(U22)+N(U23)+N(U24))</f>
        <v>581.24113601</v>
      </c>
      <c r="V25" s="269">
        <f>IF(COUNT(V22,V23,V24)=0,"",N(V22)+N(V23)+N(V24))</f>
        <v>1017.18081247</v>
      </c>
      <c r="W25" s="270">
        <f>IF(COUNT(W22,W23,W24)=0,"",N(W22)+N(W23)+N(W24))</f>
        <v>2788.01671801</v>
      </c>
      <c r="X25" s="269">
        <f>IF(COUNT(X22,X23,X24)=0,"",N(X22)+N(X23)+N(X24))</f>
        <v>574.85881535</v>
      </c>
      <c r="Y25" s="269">
        <f>IF(COUNT(Y22,Y23,Y24)=0,"",N(Y22)+N(Y23)+N(Y24))</f>
        <v>836.59440604</v>
      </c>
      <c r="Z25" s="269">
        <f>IF(COUNT(Z22,Z23,Z24)=0,"",N(Z22)+N(Z23)+N(Z24))</f>
        <v>697.405052260001</v>
      </c>
      <c r="AA25" s="269">
        <f>IF(COUNT(AA22,AA23,AA24)=0,"",N(AA22)+N(AA23)+N(AA24))</f>
        <v>1162.38814234215</v>
      </c>
      <c r="AB25" s="270">
        <f>IF(COUNT(AB22,AB23,AB24)=0,"",N(AB22)+N(AB23)+N(AB24))</f>
        <v>3271.24641599215</v>
      </c>
      <c r="AC25" s="269">
        <f>IF(COUNT(AC22,AC23,AC24)=0,"",N(AC22)+N(AC23)+N(AC24))</f>
        <v>660.4916692</v>
      </c>
      <c r="AD25" s="269">
        <f>IF(COUNT(AD22,AD23,AD24)=0,"",N(AD22)+N(AD23)+N(AD24))</f>
        <v>969.70939699</v>
      </c>
      <c r="AE25" s="269">
        <f>IF(COUNT(AE22,AE23,AE24)=0,"",N(AE22)+N(AE23)+N(AE24))</f>
        <v>805.433300940001</v>
      </c>
      <c r="AF25" s="269">
        <f>IF(COUNT(AF22,AF23,AF24)=0,"",N(AF22)+N(AF23)+N(AF24))</f>
        <v>1365.668</v>
      </c>
      <c r="AG25" s="270">
        <f>IF(COUNT(AG22,AG23,AG24)=0,"",N(AG22)+N(AG23)+N(AG24))</f>
        <v>3801.30236713</v>
      </c>
      <c r="AH25" s="270">
        <f>IF(COUNT(AH22,AH23,AH24)=0,"",N(AH22)+N(AH23)+N(AH24))</f>
        <v>751.753121170001</v>
      </c>
      <c r="AI25" s="270">
        <f>IF(COUNT(AI22,AI23,AI24)=0,"",N(AI22)+N(AI23)+N(AI24))</f>
        <v>1071.4515954</v>
      </c>
    </row>
    <row r="26">
      <c r="C26" s="14" t="inlineStr">
        <is>
          <t xml:space="preserve">   Diferenca DRE x canais (1T21: devolucoes reclassificadas na DRE)</t>
        </is>
      </c>
      <c r="D26" s="269">
        <f>IF(COUNT(D25)=0,"",ROUND(IFERROR(INDEX('Inputs (2)'!$D$58:$AL$58,MATCH(D$7,'Inputs (2)'!$D$2:$AL$2,0)),"")-D25,1))</f>
        <v>0</v>
      </c>
      <c r="E26" s="269">
        <f>IF(COUNT(E25)=0,"",ROUND(IFERROR(INDEX('Inputs (2)'!$D$58:$AL$58,MATCH(E$7,'Inputs (2)'!$D$2:$AL$2,0)),"")-E25,1))</f>
        <v>0</v>
      </c>
      <c r="F26" s="269">
        <f>IF(COUNT(F25)=0,"",ROUND(IFERROR(INDEX('Inputs (2)'!$D$58:$AL$58,MATCH(F$7,'Inputs (2)'!$D$2:$AL$2,0)),"")-F25,1))</f>
        <v>0</v>
      </c>
      <c r="G26" s="269">
        <f>IF(COUNT(G25)=0,"",ROUND(IFERROR(INDEX('Inputs (2)'!$D$58:$AL$58,MATCH(G$7,'Inputs (2)'!$D$2:$AL$2,0)),"")-G25,1))</f>
        <v>0</v>
      </c>
      <c r="H26" s="270">
        <f>IF(COUNT(H25)=0,"",ROUND(IFERROR(INDEX('Inputs (2)'!$D$58:$AL$58,MATCH(H$7,'Inputs (2)'!$D$2:$AL$2,0)),"")-H25,1))</f>
        <v>0</v>
      </c>
      <c r="I26" s="269">
        <f>IF(COUNT(I25)=0,"",ROUND(IFERROR(INDEX('Inputs (2)'!$D$58:$AL$58,MATCH(I$7,'Inputs (2)'!$D$2:$AL$2,0)),"")-I25,1))</f>
        <v>13.8</v>
      </c>
      <c r="J26" s="269">
        <f>IF(COUNT(J25)=0,"",ROUND(IFERROR(INDEX('Inputs (2)'!$D$58:$AL$58,MATCH(J$7,'Inputs (2)'!$D$2:$AL$2,0)),"")-J25,1))</f>
        <v>0</v>
      </c>
      <c r="K26" s="269">
        <f>IF(COUNT(K25)=0,"",ROUND(IFERROR(INDEX('Inputs (2)'!$D$58:$AL$58,MATCH(K$7,'Inputs (2)'!$D$2:$AL$2,0)),"")-K25,1))</f>
        <v>0</v>
      </c>
      <c r="L26" s="269">
        <f>IF(COUNT(L25)=0,"",ROUND(IFERROR(INDEX('Inputs (2)'!$D$58:$AL$58,MATCH(L$7,'Inputs (2)'!$D$2:$AL$2,0)),"")-L25,1))</f>
        <v>0</v>
      </c>
      <c r="M26" s="270">
        <f>IF(COUNT(M25)=0,"",ROUND(IFERROR(INDEX('Inputs (2)'!$D$58:$AL$58,MATCH(M$7,'Inputs (2)'!$D$2:$AL$2,0)),"")-M25,1))</f>
        <v>13.8</v>
      </c>
      <c r="N26" s="269">
        <f>IF(COUNT(N25)=0,"",ROUND(IFERROR(INDEX('Inputs (2)'!$D$58:$AL$58,MATCH(N$7,'Inputs (2)'!$D$2:$AL$2,0)),"")-N25,1))</f>
        <v>0</v>
      </c>
      <c r="O26" s="269">
        <f>IF(COUNT(O25)=0,"",ROUND(IFERROR(INDEX('Inputs (2)'!$D$58:$AL$58,MATCH(O$7,'Inputs (2)'!$D$2:$AL$2,0)),"")-O25,1))</f>
        <v>0</v>
      </c>
      <c r="P26" s="269">
        <f>IF(COUNT(P25)=0,"",ROUND(IFERROR(INDEX('Inputs (2)'!$D$58:$AL$58,MATCH(P$7,'Inputs (2)'!$D$2:$AL$2,0)),"")-P25,1))</f>
        <v>0</v>
      </c>
      <c r="Q26" s="269">
        <f>IF(COUNT(Q25)=0,"",ROUND(IFERROR(INDEX('Inputs (2)'!$D$58:$AL$58,MATCH(Q$7,'Inputs (2)'!$D$2:$AL$2,0)),"")-Q25,1))</f>
        <v>0</v>
      </c>
      <c r="R26" s="270">
        <f>IF(COUNT(R25)=0,"",ROUND(IFERROR(INDEX('Inputs (2)'!$D$58:$AL$58,MATCH(R$7,'Inputs (2)'!$D$2:$AL$2,0)),"")-R25,1))</f>
        <v>0</v>
      </c>
      <c r="S26" s="269">
        <f>IF(COUNT(S25)=0,"",ROUND(IFERROR(INDEX('Inputs (2)'!$D$58:$AL$58,MATCH(S$7,'Inputs (2)'!$D$2:$AL$2,0)),"")-S25,1))</f>
        <v>0</v>
      </c>
      <c r="T26" s="269">
        <f>IF(COUNT(T25)=0,"",ROUND(IFERROR(INDEX('Inputs (2)'!$D$58:$AL$58,MATCH(T$7,'Inputs (2)'!$D$2:$AL$2,0)),"")-T25,1))</f>
        <v>0</v>
      </c>
      <c r="U26" s="269">
        <f>IF(COUNT(U25)=0,"",ROUND(IFERROR(INDEX('Inputs (2)'!$D$58:$AL$58,MATCH(U$7,'Inputs (2)'!$D$2:$AL$2,0)),"")-U25,1))</f>
        <v>0</v>
      </c>
      <c r="V26" s="269">
        <f>IF(COUNT(V25)=0,"",ROUND(IFERROR(INDEX('Inputs (2)'!$D$58:$AL$58,MATCH(V$7,'Inputs (2)'!$D$2:$AL$2,0)),"")-V25,1))</f>
        <v>0</v>
      </c>
      <c r="W26" s="270">
        <f>IF(COUNT(W25)=0,"",ROUND(IFERROR(INDEX('Inputs (2)'!$D$58:$AL$58,MATCH(W$7,'Inputs (2)'!$D$2:$AL$2,0)),"")-W25,1))</f>
        <v>0</v>
      </c>
      <c r="X26" s="269">
        <f>IF(COUNT(X25)=0,"",ROUND(IFERROR(INDEX('Inputs (2)'!$D$58:$AL$58,MATCH(X$7,'Inputs (2)'!$D$2:$AL$2,0)),"")-X25,1))</f>
        <v>0</v>
      </c>
      <c r="Y26" s="269">
        <f>IF(COUNT(Y25)=0,"",ROUND(IFERROR(INDEX('Inputs (2)'!$D$58:$AL$58,MATCH(Y$7,'Inputs (2)'!$D$2:$AL$2,0)),"")-Y25,1))</f>
        <v>0</v>
      </c>
      <c r="Z26" s="269">
        <f>IF(COUNT(Z25)=0,"",ROUND(IFERROR(INDEX('Inputs (2)'!$D$58:$AL$58,MATCH(Z$7,'Inputs (2)'!$D$2:$AL$2,0)),"")-Z25,1))</f>
        <v>0</v>
      </c>
      <c r="AA26" s="269">
        <f>IF(COUNT(AA25)=0,"",ROUND(IFERROR(INDEX('Inputs (2)'!$D$58:$AL$58,MATCH(AA$7,'Inputs (2)'!$D$2:$AL$2,0)),"")-AA25,1))</f>
        <v>0</v>
      </c>
      <c r="AB26" s="270">
        <f>IF(COUNT(AB25)=0,"",ROUND(IFERROR(INDEX('Inputs (2)'!$D$58:$AL$58,MATCH(AB$7,'Inputs (2)'!$D$2:$AL$2,0)),"")-AB25,1))</f>
        <v>0</v>
      </c>
      <c r="AC26" s="269">
        <f>IF(COUNT(AC25)=0,"",ROUND(IFERROR(INDEX('Inputs (2)'!$D$58:$AL$58,MATCH(AC$7,'Inputs (2)'!$D$2:$AL$2,0)),"")-AC25,1))</f>
        <v>0</v>
      </c>
      <c r="AD26" s="269">
        <f>IF(COUNT(AD25)=0,"",ROUND(IFERROR(INDEX('Inputs (2)'!$D$58:$AL$58,MATCH(AD$7,'Inputs (2)'!$D$2:$AL$2,0)),"")-AD25,1))</f>
        <v>0</v>
      </c>
      <c r="AE26" s="269">
        <f>IF(COUNT(AE25)=0,"",ROUND(IFERROR(INDEX('Inputs (2)'!$D$58:$AL$58,MATCH(AE$7,'Inputs (2)'!$D$2:$AL$2,0)),"")-AE25,1))</f>
        <v>0</v>
      </c>
      <c r="AF26" s="269">
        <f>IF(COUNT(AF25)=0,"",ROUND(IFERROR(INDEX('Inputs (2)'!$D$58:$AL$58,MATCH(AF$7,'Inputs (2)'!$D$2:$AL$2,0)),"")-AF25,1))</f>
        <v>0</v>
      </c>
      <c r="AG26" s="270">
        <f>IF(COUNT(AG25)=0,"",ROUND(IFERROR(INDEX('Inputs (2)'!$D$58:$AL$58,MATCH(AG$7,'Inputs (2)'!$D$2:$AL$2,0)),"")-AG25,1))</f>
        <v>0</v>
      </c>
      <c r="AH26" s="270">
        <f>IF(COUNT(AH25)=0,"",ROUND(IFERROR(INDEX('Inputs (2)'!$D$58:$AL$58,MATCH(AH$7,'Inputs (2)'!$D$2:$AL$2,0)),"")-AH25,1))</f>
        <v>0</v>
      </c>
      <c r="AI26" s="270">
        <f>IF(COUNT(AI25)=0,"",ROUND(IFERROR(INDEX('Inputs (2)'!$D$58:$AL$58,MATCH(AI$7,'Inputs (2)'!$D$2:$AL$2,0)),"")-AI25,1))</f>
        <v>0</v>
      </c>
    </row>
    <row r="27">
      <c r="C27" s="14" t="inlineStr">
        <is>
          <t>(-) Deducoes da receita (liq. de subvencao)</t>
        </is>
      </c>
      <c r="D27" s="269">
        <f>IFERROR(INDEX('Inputs (2)'!$D$59:$AL$59,MATCH(D$7,'Inputs (2)'!$D$2:$AL$2,0)),"")</f>
        <v>-57.59788445</v>
      </c>
      <c r="E27" s="269">
        <f>IFERROR(INDEX('Inputs (2)'!$D$59:$AL$59,MATCH(E$7,'Inputs (2)'!$D$2:$AL$2,0)),"")</f>
        <v>-32.04986741</v>
      </c>
      <c r="F27" s="269">
        <f>IFERROR(INDEX('Inputs (2)'!$D$59:$AL$59,MATCH(F$7,'Inputs (2)'!$D$2:$AL$2,0)),"")</f>
        <v>-65.43003305</v>
      </c>
      <c r="G27" s="269">
        <f>IFERROR(INDEX('Inputs (2)'!$D$59:$AL$59,MATCH(G$7,'Inputs (2)'!$D$2:$AL$2,0)),"")</f>
        <v>-135.51703939</v>
      </c>
      <c r="H27" s="270">
        <f>IF(COUNT(D27:G27)=4,SUM(D27:G27),"")</f>
        <v>-290.5948243</v>
      </c>
      <c r="I27" s="269">
        <f>IFERROR(INDEX('Inputs (2)'!$D$59:$AL$59,MATCH(I$7,'Inputs (2)'!$D$2:$AL$2,0)),"")</f>
        <v>-55.59795308</v>
      </c>
      <c r="J27" s="269">
        <f>IFERROR(INDEX('Inputs (2)'!$D$59:$AL$59,MATCH(J$7,'Inputs (2)'!$D$2:$AL$2,0)),"")</f>
        <v>-94.81432103</v>
      </c>
      <c r="K27" s="269">
        <f>IFERROR(INDEX('Inputs (2)'!$D$59:$AL$59,MATCH(K$7,'Inputs (2)'!$D$2:$AL$2,0)),"")</f>
        <v>-73.38774477</v>
      </c>
      <c r="L27" s="269">
        <f>IFERROR(INDEX('Inputs (2)'!$D$59:$AL$59,MATCH(L$7,'Inputs (2)'!$D$2:$AL$2,0)),"")</f>
        <v>-152.26767077</v>
      </c>
      <c r="M27" s="270">
        <f>IF(COUNT(I27:L27)=4,SUM(I27:L27),"")</f>
        <v>-376.06768965</v>
      </c>
      <c r="N27" s="269">
        <f>IFERROR(INDEX('Inputs (2)'!$D$59:$AL$59,MATCH(N$7,'Inputs (2)'!$D$2:$AL$2,0)),"")</f>
        <v>-73.43663815</v>
      </c>
      <c r="O27" s="269">
        <f>IFERROR(INDEX('Inputs (2)'!$D$59:$AL$59,MATCH(O$7,'Inputs (2)'!$D$2:$AL$2,0)),"")</f>
        <v>-117.89149545</v>
      </c>
      <c r="P27" s="269">
        <f>IFERROR(INDEX('Inputs (2)'!$D$59:$AL$59,MATCH(P$7,'Inputs (2)'!$D$2:$AL$2,0)),"")</f>
        <v>-88.4996185600001</v>
      </c>
      <c r="Q27" s="269">
        <f>IFERROR(INDEX('Inputs (2)'!$D$59:$AL$59,MATCH(Q$7,'Inputs (2)'!$D$2:$AL$2,0)),"")</f>
        <v>-176.35666805</v>
      </c>
      <c r="R27" s="270">
        <f>IF(COUNT(N27:Q27)=4,SUM(N27:Q27),"")</f>
        <v>-456.18442021</v>
      </c>
      <c r="S27" s="269">
        <f>IFERROR(INDEX('Inputs (2)'!$D$59:$AL$59,MATCH(S$7,'Inputs (2)'!$D$2:$AL$2,0)),"")</f>
        <v>-95.87214527</v>
      </c>
      <c r="T27" s="269">
        <f>IFERROR(INDEX('Inputs (2)'!$D$59:$AL$59,MATCH(T$7,'Inputs (2)'!$D$2:$AL$2,0)),"")</f>
        <v>-142.18530496</v>
      </c>
      <c r="U27" s="269">
        <f>IFERROR(INDEX('Inputs (2)'!$D$59:$AL$59,MATCH(U$7,'Inputs (2)'!$D$2:$AL$2,0)),"")</f>
        <v>-123.9303035</v>
      </c>
      <c r="V27" s="269">
        <f>IFERROR(INDEX('Inputs (2)'!$D$59:$AL$59,MATCH(V$7,'Inputs (2)'!$D$2:$AL$2,0)),"")</f>
        <v>-239.05358589</v>
      </c>
      <c r="W27" s="270">
        <f>IF(COUNT(S27:V27)=4,SUM(S27:V27),"")</f>
        <v>-601.04133962</v>
      </c>
      <c r="X27" s="269">
        <f>IFERROR(INDEX('Inputs (2)'!$D$59:$AL$59,MATCH(X$7,'Inputs (2)'!$D$2:$AL$2,0)),"")</f>
        <v>-130.26834855</v>
      </c>
      <c r="Y27" s="269">
        <f>IFERROR(INDEX('Inputs (2)'!$D$59:$AL$59,MATCH(Y$7,'Inputs (2)'!$D$2:$AL$2,0)),"")</f>
        <v>-180.27237093</v>
      </c>
      <c r="Z27" s="269">
        <f>IFERROR(INDEX('Inputs (2)'!$D$59:$AL$59,MATCH(Z$7,'Inputs (2)'!$D$2:$AL$2,0)),"")</f>
        <v>-134.50524184</v>
      </c>
      <c r="AA27" s="269">
        <f>IFERROR(INDEX('Inputs (2)'!$D$59:$AL$59,MATCH(AA$7,'Inputs (2)'!$D$2:$AL$2,0)),"")</f>
        <v>-249.08732005</v>
      </c>
      <c r="AB27" s="270">
        <f>IF(COUNT(X27:AA27)=4,SUM(X27:AA27),"")</f>
        <v>-694.13328137</v>
      </c>
      <c r="AC27" s="269">
        <f>IFERROR(INDEX('Inputs (2)'!$D$59:$AL$59,MATCH(AC$7,'Inputs (2)'!$D$2:$AL$2,0)),"")</f>
        <v>-123.41105658</v>
      </c>
      <c r="AD27" s="269">
        <f>IFERROR(INDEX('Inputs (2)'!$D$59:$AL$59,MATCH(AD$7,'Inputs (2)'!$D$2:$AL$2,0)),"")</f>
        <v>-208.6865</v>
      </c>
      <c r="AE27" s="269">
        <f>IFERROR(INDEX('Inputs (2)'!$D$59:$AL$59,MATCH(AE$7,'Inputs (2)'!$D$2:$AL$2,0)),"")</f>
        <v>-140.93047238</v>
      </c>
      <c r="AF27" s="269">
        <f>IFERROR(INDEX('Inputs (2)'!$D$59:$AL$59,MATCH(AF$7,'Inputs (2)'!$D$2:$AL$2,0)),"")</f>
        <v>-301.690674</v>
      </c>
      <c r="AG27" s="270">
        <f>IF(COUNT(AC27:AF27)=4,SUM(AC27:AF27),"")</f>
        <v>-774.71870296</v>
      </c>
      <c r="AH27" s="270">
        <f>IFERROR(INDEX('Inputs (2)'!$D$59:$AL$59,MATCH(AH$7,'Inputs (2)'!$D$2:$AL$2,0)),"")</f>
        <v>-156.24075604</v>
      </c>
      <c r="AI27" s="270">
        <f>IFERROR(INDEX('Inputs (2)'!$D$59:$AL$59,MATCH(AI$7,'Inputs (2)'!$D$2:$AL$2,0)),"")</f>
        <v>-238.32055088</v>
      </c>
    </row>
    <row r="28">
      <c r="C28" s="14" t="inlineStr">
        <is>
          <t>Check: Net Revenues (linha 15) - (receita bruta DRE + deducoes)</t>
        </is>
      </c>
      <c r="D28" s="269">
        <f>IF(COUNT(D15)=0,"",IFERROR(ROUND(D15-(IFERROR(INDEX('Inputs (2)'!$D$58:$AL$58,MATCH(D$7,'Inputs (2)'!$D$2:$AL$2,0)),"")+D27),3),""))</f>
        <v>0</v>
      </c>
      <c r="E28" s="269">
        <f>IF(COUNT(E15)=0,"",IFERROR(ROUND(E15-(IFERROR(INDEX('Inputs (2)'!$D$58:$AL$58,MATCH(E$7,'Inputs (2)'!$D$2:$AL$2,0)),"")+E27),3),""))</f>
        <v>0</v>
      </c>
      <c r="F28" s="269">
        <f>IF(COUNT(F15)=0,"",IFERROR(ROUND(F15-(IFERROR(INDEX('Inputs (2)'!$D$58:$AL$58,MATCH(F$7,'Inputs (2)'!$D$2:$AL$2,0)),"")+F27),3),""))</f>
        <v>0</v>
      </c>
      <c r="G28" s="269">
        <f>IF(COUNT(G15)=0,"",IFERROR(ROUND(G15-(IFERROR(INDEX('Inputs (2)'!$D$58:$AL$58,MATCH(G$7,'Inputs (2)'!$D$2:$AL$2,0)),"")+G27),3),""))</f>
        <v>0</v>
      </c>
      <c r="H28" s="270">
        <f>IF(COUNT(H15)=0,"",IFERROR(ROUND(H15-(IFERROR(INDEX('Inputs (2)'!$D$58:$AL$58,MATCH(H$7,'Inputs (2)'!$D$2:$AL$2,0)),"")+H27),3),""))</f>
        <v>0</v>
      </c>
      <c r="I28" s="269">
        <f>IF(COUNT(I15)=0,"",IFERROR(ROUND(I15-(IFERROR(INDEX('Inputs (2)'!$D$58:$AL$58,MATCH(I$7,'Inputs (2)'!$D$2:$AL$2,0)),"")+I27),3),""))</f>
        <v>0</v>
      </c>
      <c r="J28" s="269">
        <f>IF(COUNT(J15)=0,"",IFERROR(ROUND(J15-(IFERROR(INDEX('Inputs (2)'!$D$58:$AL$58,MATCH(J$7,'Inputs (2)'!$D$2:$AL$2,0)),"")+J27),3),""))</f>
        <v>0</v>
      </c>
      <c r="K28" s="269">
        <f>IF(COUNT(K15)=0,"",IFERROR(ROUND(K15-(IFERROR(INDEX('Inputs (2)'!$D$58:$AL$58,MATCH(K$7,'Inputs (2)'!$D$2:$AL$2,0)),"")+K27),3),""))</f>
        <v>0</v>
      </c>
      <c r="L28" s="269">
        <f>IF(COUNT(L15)=0,"",IFERROR(ROUND(L15-(IFERROR(INDEX('Inputs (2)'!$D$58:$AL$58,MATCH(L$7,'Inputs (2)'!$D$2:$AL$2,0)),"")+L27),3),""))</f>
        <v>0</v>
      </c>
      <c r="M28" s="270">
        <f>IF(COUNT(M15)=0,"",IFERROR(ROUND(M15-(IFERROR(INDEX('Inputs (2)'!$D$58:$AL$58,MATCH(M$7,'Inputs (2)'!$D$2:$AL$2,0)),"")+M27),3),""))</f>
        <v>0</v>
      </c>
      <c r="N28" s="269">
        <f>IF(COUNT(N15)=0,"",IFERROR(ROUND(N15-(IFERROR(INDEX('Inputs (2)'!$D$58:$AL$58,MATCH(N$7,'Inputs (2)'!$D$2:$AL$2,0)),"")+N27),3),""))</f>
        <v>0</v>
      </c>
      <c r="O28" s="269">
        <f>IF(COUNT(O15)=0,"",IFERROR(ROUND(O15-(IFERROR(INDEX('Inputs (2)'!$D$58:$AL$58,MATCH(O$7,'Inputs (2)'!$D$2:$AL$2,0)),"")+O27),3),""))</f>
        <v>0</v>
      </c>
      <c r="P28" s="269">
        <f>IF(COUNT(P15)=0,"",IFERROR(ROUND(P15-(IFERROR(INDEX('Inputs (2)'!$D$58:$AL$58,MATCH(P$7,'Inputs (2)'!$D$2:$AL$2,0)),"")+P27),3),""))</f>
        <v>0</v>
      </c>
      <c r="Q28" s="269">
        <f>IF(COUNT(Q15)=0,"",IFERROR(ROUND(Q15-(IFERROR(INDEX('Inputs (2)'!$D$58:$AL$58,MATCH(Q$7,'Inputs (2)'!$D$2:$AL$2,0)),"")+Q27),3),""))</f>
        <v>0</v>
      </c>
      <c r="R28" s="270">
        <f>IF(COUNT(R15)=0,"",IFERROR(ROUND(R15-(IFERROR(INDEX('Inputs (2)'!$D$58:$AL$58,MATCH(R$7,'Inputs (2)'!$D$2:$AL$2,0)),"")+R27),3),""))</f>
        <v>0</v>
      </c>
      <c r="S28" s="269">
        <f>IF(COUNT(S15)=0,"",IFERROR(ROUND(S15-(IFERROR(INDEX('Inputs (2)'!$D$58:$AL$58,MATCH(S$7,'Inputs (2)'!$D$2:$AL$2,0)),"")+S27),3),""))</f>
        <v>0</v>
      </c>
      <c r="T28" s="269">
        <f>IF(COUNT(T15)=0,"",IFERROR(ROUND(T15-(IFERROR(INDEX('Inputs (2)'!$D$58:$AL$58,MATCH(T$7,'Inputs (2)'!$D$2:$AL$2,0)),"")+T27),3),""))</f>
        <v>0</v>
      </c>
      <c r="U28" s="269">
        <f>IF(COUNT(U15)=0,"",IFERROR(ROUND(U15-(IFERROR(INDEX('Inputs (2)'!$D$58:$AL$58,MATCH(U$7,'Inputs (2)'!$D$2:$AL$2,0)),"")+U27),3),""))</f>
        <v>0</v>
      </c>
      <c r="V28" s="269">
        <f>IF(COUNT(V15)=0,"",IFERROR(ROUND(V15-(IFERROR(INDEX('Inputs (2)'!$D$58:$AL$58,MATCH(V$7,'Inputs (2)'!$D$2:$AL$2,0)),"")+V27),3),""))</f>
        <v>0</v>
      </c>
      <c r="W28" s="270">
        <f>IF(COUNT(W15)=0,"",IFERROR(ROUND(W15-(IFERROR(INDEX('Inputs (2)'!$D$58:$AL$58,MATCH(W$7,'Inputs (2)'!$D$2:$AL$2,0)),"")+W27),3),""))</f>
        <v>0</v>
      </c>
      <c r="X28" s="269">
        <f>IF(COUNT(X15)=0,"",IFERROR(ROUND(X15-(IFERROR(INDEX('Inputs (2)'!$D$58:$AL$58,MATCH(X$7,'Inputs (2)'!$D$2:$AL$2,0)),"")+X27),3),""))</f>
        <v>0</v>
      </c>
      <c r="Y28" s="269">
        <f>IF(COUNT(Y15)=0,"",IFERROR(ROUND(Y15-(IFERROR(INDEX('Inputs (2)'!$D$58:$AL$58,MATCH(Y$7,'Inputs (2)'!$D$2:$AL$2,0)),"")+Y27),3),""))</f>
        <v>0</v>
      </c>
      <c r="Z28" s="269">
        <f>IF(COUNT(Z15)=0,"",IFERROR(ROUND(Z15-(IFERROR(INDEX('Inputs (2)'!$D$58:$AL$58,MATCH(Z$7,'Inputs (2)'!$D$2:$AL$2,0)),"")+Z27),3),""))</f>
        <v>0</v>
      </c>
      <c r="AA28" s="269">
        <f>IF(COUNT(AA15)=0,"",IFERROR(ROUND(AA15-(IFERROR(INDEX('Inputs (2)'!$D$58:$AL$58,MATCH(AA$7,'Inputs (2)'!$D$2:$AL$2,0)),"")+AA27),3),""))</f>
        <v>0</v>
      </c>
      <c r="AB28" s="270">
        <f>IF(COUNT(AB15)=0,"",IFERROR(ROUND(AB15-(IFERROR(INDEX('Inputs (2)'!$D$58:$AL$58,MATCH(AB$7,'Inputs (2)'!$D$2:$AL$2,0)),"")+AB27),3),""))</f>
        <v>0</v>
      </c>
      <c r="AC28" s="269">
        <f>IF(COUNT(AC15)=0,"",IFERROR(ROUND(AC15-(IFERROR(INDEX('Inputs (2)'!$D$58:$AL$58,MATCH(AC$7,'Inputs (2)'!$D$2:$AL$2,0)),"")+AC27),3),""))</f>
        <v>0</v>
      </c>
      <c r="AD28" s="269">
        <f>IF(COUNT(AD15)=0,"",IFERROR(ROUND(AD15-(IFERROR(INDEX('Inputs (2)'!$D$58:$AL$58,MATCH(AD$7,'Inputs (2)'!$D$2:$AL$2,0)),"")+AD27),3),""))</f>
        <v>0</v>
      </c>
      <c r="AE28" s="269">
        <f>IF(COUNT(AE15)=0,"",IFERROR(ROUND(AE15-(IFERROR(INDEX('Inputs (2)'!$D$58:$AL$58,MATCH(AE$7,'Inputs (2)'!$D$2:$AL$2,0)),"")+AE27),3),""))</f>
        <v>0</v>
      </c>
      <c r="AF28" s="269">
        <f>IF(COUNT(AF15)=0,"",IFERROR(ROUND(AF15-(IFERROR(INDEX('Inputs (2)'!$D$58:$AL$58,MATCH(AF$7,'Inputs (2)'!$D$2:$AL$2,0)),"")+AF27),3),""))</f>
        <v>0</v>
      </c>
      <c r="AG28" s="270">
        <f>IF(COUNT(AG15)=0,"",IFERROR(ROUND(AG15-(IFERROR(INDEX('Inputs (2)'!$D$58:$AL$58,MATCH(AG$7,'Inputs (2)'!$D$2:$AL$2,0)),"")+AG27),3),""))</f>
        <v>0</v>
      </c>
      <c r="AH28" s="270">
        <f>IF(COUNT(AH15)=0,"",IFERROR(ROUND(AH15-(IFERROR(INDEX('Inputs (2)'!$D$58:$AL$58,MATCH(AH$7,'Inputs (2)'!$D$2:$AL$2,0)),"")+AH27),3),""))</f>
        <v>0</v>
      </c>
      <c r="AI28" s="270">
        <f>IF(COUNT(AI15)=0,"",IFERROR(ROUND(AI15-(IFERROR(INDEX('Inputs (2)'!$D$58:$AL$58,MATCH(AI$7,'Inputs (2)'!$D$2:$AL$2,0)),"")+AI27),3),""))</f>
        <v>0</v>
      </c>
    </row>
    <row r="29">
      <c r="C29" s="14" t="inlineStr">
        <is>
          <t xml:space="preserve">   Deducoes / receita bruta</t>
        </is>
      </c>
      <c r="D29" s="272">
        <f>IFERROR(-D27/D25,"")</f>
        <v>0.218314998686745</v>
      </c>
      <c r="E29" s="272">
        <f>IFERROR(-E27/E25,"")</f>
        <v>0.188858378830701</v>
      </c>
      <c r="F29" s="272">
        <f>IFERROR(-F27/F25,"")</f>
        <v>0.212396546652492</v>
      </c>
      <c r="G29" s="272">
        <f>IFERROR(-G27/G25,"")</f>
        <v>0.227166481243155</v>
      </c>
      <c r="H29" s="273">
        <f>IFERROR(-H27/H25,"")</f>
        <v>0.217162871019495</v>
      </c>
      <c r="I29" s="272">
        <f>IFERROR(-I27/I25,"")</f>
        <v>0.214228089602214</v>
      </c>
      <c r="J29" s="272">
        <f>IFERROR(-J27/J25,"")</f>
        <v>0.207557853820031</v>
      </c>
      <c r="K29" s="272">
        <f>IFERROR(-K27/K25,"")</f>
        <v>0.178731666175836</v>
      </c>
      <c r="L29" s="272">
        <f>IFERROR(-L27/L25,"")</f>
        <v>0.216993859329003</v>
      </c>
      <c r="M29" s="273">
        <f>IFERROR(-M27/M25,"")</f>
        <v>0.205652827535804</v>
      </c>
      <c r="N29" s="272">
        <f>IFERROR(-N27/N25,"")</f>
        <v>0.178738921958722</v>
      </c>
      <c r="O29" s="272">
        <f>IFERROR(-O27/O25,"")</f>
        <v>0.200740815009123</v>
      </c>
      <c r="P29" s="272">
        <f>IFERROR(-P27/P25,"")</f>
        <v>0.18384736468012</v>
      </c>
      <c r="Q29" s="272">
        <f>IFERROR(-Q27/Q25,"")</f>
        <v>0.214962047069319</v>
      </c>
      <c r="R29" s="273">
        <f>IFERROR(-R27/R25,"")</f>
        <v>0.19834744719561</v>
      </c>
      <c r="S29" s="272">
        <f>IFERROR(-S27/S25,"")</f>
        <v>0.19666074396174</v>
      </c>
      <c r="T29" s="272">
        <f>IFERROR(-T27/T25,"")</f>
        <v>0.20251587775549</v>
      </c>
      <c r="U29" s="272">
        <f>IFERROR(-U27/U25,"")</f>
        <v>0.213216676904072</v>
      </c>
      <c r="V29" s="272">
        <f>IFERROR(-V27/V25,"")</f>
        <v>0.235015823105737</v>
      </c>
      <c r="W29" s="273">
        <f>IFERROR(-W27/W25,"")</f>
        <v>0.215580249478922</v>
      </c>
      <c r="X29" s="272">
        <f>IFERROR(-X27/X25,"")</f>
        <v>0.226609290962489</v>
      </c>
      <c r="Y29" s="272">
        <f>IFERROR(-Y27/Y25,"")</f>
        <v>0.21548359590798</v>
      </c>
      <c r="Z29" s="272">
        <f>IFERROR(-Z27/Z25,"")</f>
        <v>0.192865310344576</v>
      </c>
      <c r="AA29" s="272">
        <f>IFERROR(-AA27/AA25,"")</f>
        <v>0.214289281674968</v>
      </c>
      <c r="AB29" s="273">
        <f>IFERROR(-AB27/AB25,"")</f>
        <v>0.212192294037095</v>
      </c>
      <c r="AC29" s="272">
        <f>IFERROR(-AC27/AC25,"")</f>
        <v>0.186847256876802</v>
      </c>
      <c r="AD29" s="272">
        <f>IFERROR(-AD27/AD25,"")</f>
        <v>0.215205195131415</v>
      </c>
      <c r="AE29" s="272">
        <f>IFERROR(-AE27/AE25,"")</f>
        <v>0.174974727535506</v>
      </c>
      <c r="AF29" s="272">
        <f>IFERROR(-AF27/AF25,"")</f>
        <v>0.220910700111594</v>
      </c>
      <c r="AG29" s="273">
        <f>IFERROR(-AG27/AG25,"")</f>
        <v>0.203803493681276</v>
      </c>
      <c r="AH29" s="273">
        <f>IFERROR(-AH27/AH25,"")</f>
        <v>0.20783519434789</v>
      </c>
      <c r="AI29" s="273">
        <f>IFERROR(-AI27/AI25,"")</f>
        <v>0.222427734396185</v>
      </c>
    </row>
    <row r="30">
      <c r="C30" s="14" t="inlineStr">
        <is>
          <t xml:space="preserve">   % YoY Lojas Vivara</t>
        </is>
      </c>
      <c r="D30" s="272" t="str">
        <f>""</f>
        <v/>
      </c>
      <c r="E30" s="272" t="str">
        <f>""</f>
        <v/>
      </c>
      <c r="F30" s="272" t="str">
        <f>""</f>
        <v/>
      </c>
      <c r="G30" s="272" t="str">
        <f>""</f>
        <v/>
      </c>
      <c r="H30" s="273" t="str">
        <f>""</f>
        <v/>
      </c>
      <c r="I30" s="272">
        <f>IFERROR(I19/D19-1,"")</f>
        <v>-0.161163704796363</v>
      </c>
      <c r="J30" s="272">
        <f>IFERROR(J19/E19-1,"")</f>
        <v>5.11190006830168</v>
      </c>
      <c r="K30" s="272">
        <f>IFERROR(K19/F19-1,"")</f>
        <v>0.469955451063579</v>
      </c>
      <c r="L30" s="272">
        <f>IFERROR(L19/G19-1,"")</f>
        <v>0.192256560312048</v>
      </c>
      <c r="M30" s="273">
        <f>IFERROR(M19/H19-1,"")</f>
        <v>0.47294361453968</v>
      </c>
      <c r="N30" s="272">
        <f>IFERROR(N19/I19-1,"")</f>
        <v>0.723772640275379</v>
      </c>
      <c r="O30" s="272">
        <f>IFERROR(O19/J19-1,"")</f>
        <v>0.316097182800873</v>
      </c>
      <c r="P30" s="272">
        <f>IFERROR(P19/K19-1,"")</f>
        <v>0.15191874564927</v>
      </c>
      <c r="Q30" s="272">
        <f>IFERROR(Q19/L19-1,"")</f>
        <v>0.0560805954544135</v>
      </c>
      <c r="R30" s="273">
        <f>IFERROR(R19/M19-1,"")</f>
        <v>0.233019150417516</v>
      </c>
      <c r="S30" s="272">
        <f>IFERROR(S19/N19-1,"")</f>
        <v>0.0610806001600286</v>
      </c>
      <c r="T30" s="272">
        <f>IFERROR(T19/O19-1,"")</f>
        <v>0.0371636049696438</v>
      </c>
      <c r="U30" s="272">
        <f>IFERROR(U19/P19-1,"")</f>
        <v>0.0649535614782639</v>
      </c>
      <c r="V30" s="272">
        <f>IFERROR(V19/Q19-1,"")</f>
        <v>0.132929342988425</v>
      </c>
      <c r="W30" s="273">
        <f>IFERROR(W19/R19-1,"")</f>
        <v>0.0790067090256323</v>
      </c>
      <c r="X30" s="272">
        <f>IFERROR(X19/S19-1,"")</f>
        <v>0.125528992554513</v>
      </c>
      <c r="Y30" s="272">
        <f>IFERROR(Y19/T19-1,"")</f>
        <v>0.150548508539703</v>
      </c>
      <c r="Z30" s="272">
        <f>IFERROR(Z19/U19-1,"")</f>
        <v>0.156498131069261</v>
      </c>
      <c r="AA30" s="272">
        <f>IFERROR(AA19/V19-1,"")</f>
        <v>0.117610017921365</v>
      </c>
      <c r="AB30" s="273">
        <f>IFERROR(AB19/W19-1,"")</f>
        <v>0.135907350774185</v>
      </c>
      <c r="AC30" s="272">
        <f>IFERROR(AC19/X19-1,"")</f>
        <v>0.130191800978188</v>
      </c>
      <c r="AD30" s="272">
        <f>IFERROR(AD19/Y19-1,"")</f>
        <v>0.127424855925465</v>
      </c>
      <c r="AE30" s="272">
        <f>IFERROR(AE19/Z19-1,"")</f>
        <v>0.152521959725465</v>
      </c>
      <c r="AF30" s="272">
        <f>IFERROR(AF19/AA19-1,"")</f>
        <v>0.124808632762303</v>
      </c>
      <c r="AG30" s="273">
        <f>IFERROR(AG19/AB19-1,"")</f>
        <v>0.132511975788455</v>
      </c>
      <c r="AH30" s="273">
        <f>IFERROR(AH19/AC19-1,"")</f>
        <v>0.109833356608185</v>
      </c>
      <c r="AI30" s="273">
        <f>IFERROR(AI19/AD19-1,"")</f>
        <v>0.0689105974227686</v>
      </c>
    </row>
    <row r="31">
      <c r="C31" s="14" t="inlineStr">
        <is>
          <t xml:space="preserve">   % YoY Lojas Life</t>
        </is>
      </c>
      <c r="D31" s="272" t="str">
        <f>""</f>
        <v/>
      </c>
      <c r="E31" s="272" t="str">
        <f>""</f>
        <v/>
      </c>
      <c r="F31" s="272" t="str">
        <f>""</f>
        <v/>
      </c>
      <c r="G31" s="272" t="str">
        <f>""</f>
        <v/>
      </c>
      <c r="H31" s="273" t="str">
        <f>""</f>
        <v/>
      </c>
      <c r="I31" s="272">
        <f>IFERROR(I20/D20-1,"")</f>
        <v>0.705273697512284</v>
      </c>
      <c r="J31" s="272">
        <f>IFERROR(J20/E20-1,"")</f>
        <v>27.1964586288334</v>
      </c>
      <c r="K31" s="272">
        <f>IFERROR(K20/F20-1,"")</f>
        <v>2.43027847243873</v>
      </c>
      <c r="L31" s="272">
        <f>IFERROR(L20/G20-1,"")</f>
        <v>2.1073554126326</v>
      </c>
      <c r="M31" s="273">
        <f>IFERROR(M20/H20-1,"")</f>
        <v>2.41188410399484</v>
      </c>
      <c r="N31" s="272">
        <f>IFERROR(N20/I20-1,"")</f>
        <v>4.47860748385028</v>
      </c>
      <c r="O31" s="272">
        <f>IFERROR(O20/J20-1,"")</f>
        <v>3.36336230578044</v>
      </c>
      <c r="P31" s="272">
        <f>IFERROR(P20/K20-1,"")</f>
        <v>2.43729614252699</v>
      </c>
      <c r="Q31" s="272">
        <f>IFERROR(Q20/L20-1,"")</f>
        <v>1.82929578502028</v>
      </c>
      <c r="R31" s="273">
        <f>IFERROR(R20/M20-1,"")</f>
        <v>2.3735431837372</v>
      </c>
      <c r="S31" s="272">
        <f>IFERROR(S20/N20-1,"")</f>
        <v>1.49873862612074</v>
      </c>
      <c r="T31" s="272">
        <f>IFERROR(T20/O20-1,"")</f>
        <v>1.43556094558039</v>
      </c>
      <c r="U31" s="272">
        <f>IFERROR(U20/P20-1,"")</f>
        <v>1.01540457992349</v>
      </c>
      <c r="V31" s="272">
        <f>IFERROR(V20/Q20-1,"")</f>
        <v>0.768441104477041</v>
      </c>
      <c r="W31" s="273">
        <f>IFERROR(W20/R20-1,"")</f>
        <v>1.03447817522694</v>
      </c>
      <c r="X31" s="272">
        <f>IFERROR(X20/S20-1,"")</f>
        <v>0.594801599787483</v>
      </c>
      <c r="Y31" s="272">
        <f>IFERROR(Y20/T20-1,"")</f>
        <v>0.618789590516232</v>
      </c>
      <c r="Z31" s="272">
        <f>IFERROR(Z20/U20-1,"")</f>
        <v>0.527821917754117</v>
      </c>
      <c r="AA31" s="272">
        <f>IFERROR(AA20/V20-1,"")</f>
        <v>0.383260147992019</v>
      </c>
      <c r="AB31" s="273">
        <f>IFERROR(AB20/W20-1,"")</f>
        <v>0.49730262643345</v>
      </c>
      <c r="AC31" s="272">
        <f>IFERROR(AC20/X20-1,"")</f>
        <v>0.310798139110292</v>
      </c>
      <c r="AD31" s="272">
        <f>IFERROR(AD20/Y20-1,"")</f>
        <v>0.291642859902605</v>
      </c>
      <c r="AE31" s="272">
        <f>IFERROR(AE20/Z20-1,"")</f>
        <v>0.213063429685356</v>
      </c>
      <c r="AF31" s="272">
        <f>IFERROR(AF20/AA20-1,"")</f>
        <v>0.204153252353809</v>
      </c>
      <c r="AG31" s="273">
        <f>IFERROR(AG20/AB20-1,"")</f>
        <v>0.244801212953074</v>
      </c>
      <c r="AH31" s="273">
        <f>IFERROR(AH20/AC20-1,"")</f>
        <v>0.189531590870191</v>
      </c>
      <c r="AI31" s="273">
        <f>IFERROR(AI20/AD20-1,"")</f>
        <v>0.15813096654394</v>
      </c>
    </row>
    <row r="32">
      <c r="C32" s="14" t="inlineStr">
        <is>
          <t xml:space="preserve">   % YoY digital</t>
        </is>
      </c>
      <c r="D32" s="272" t="str">
        <f>""</f>
        <v/>
      </c>
      <c r="E32" s="272" t="str">
        <f>""</f>
        <v/>
      </c>
      <c r="F32" s="272" t="str">
        <f>""</f>
        <v/>
      </c>
      <c r="G32" s="272" t="str">
        <f>""</f>
        <v/>
      </c>
      <c r="H32" s="273" t="str">
        <f>""</f>
        <v/>
      </c>
      <c r="I32" s="272">
        <f>IFERROR(I23/D23-1,"")</f>
        <v>1.60242587601078</v>
      </c>
      <c r="J32" s="272">
        <f>IFERROR(J23/E23-1,"")</f>
        <v>-0.272561661777999</v>
      </c>
      <c r="K32" s="272">
        <f>IFERROR(K23/F23-1,"")</f>
        <v>-0.153309449298347</v>
      </c>
      <c r="L32" s="272">
        <f>IFERROR(L23/G23-1,"")</f>
        <v>0.0135279985215302</v>
      </c>
      <c r="M32" s="273">
        <f>IFERROR(M23/H23-1,"")</f>
        <v>-0.0104747135015332</v>
      </c>
      <c r="N32" s="272">
        <f>IFERROR(N23/I23-1,"")</f>
        <v>-0.109183497324357</v>
      </c>
      <c r="O32" s="272">
        <f>IFERROR(O23/J23-1,"")</f>
        <v>-0.13740656442379</v>
      </c>
      <c r="P32" s="272">
        <f>IFERROR(P23/K23-1,"")</f>
        <v>-0.0943838384919566</v>
      </c>
      <c r="Q32" s="272">
        <f>IFERROR(Q23/L23-1,"")</f>
        <v>0.205773619124029</v>
      </c>
      <c r="R32" s="273">
        <f>IFERROR(R23/M23-1,"")</f>
        <v>-0.000766858128949388</v>
      </c>
      <c r="S32" s="272">
        <f>IFERROR(S23/N23-1,"")</f>
        <v>0.365681619998062</v>
      </c>
      <c r="T32" s="272">
        <f>IFERROR(T23/O23-1,"")</f>
        <v>0.53745516552008</v>
      </c>
      <c r="U32" s="272">
        <f>IFERROR(U23/P23-1,"")</f>
        <v>0.62588413451772</v>
      </c>
      <c r="V32" s="272">
        <f>IFERROR(V23/Q23-1,"")</f>
        <v>0.327181108294518</v>
      </c>
      <c r="W32" s="273">
        <f>IFERROR(W23/R23-1,"")</f>
        <v>0.433266029108633</v>
      </c>
      <c r="X32" s="272">
        <f>IFERROR(X23/S23-1,"")</f>
        <v>0.100668145467961</v>
      </c>
      <c r="Y32" s="272">
        <f>IFERROR(Y23/T23-1,"")</f>
        <v>0.052386204990917</v>
      </c>
      <c r="Z32" s="272">
        <f>IFERROR(Z23/U23-1,"")</f>
        <v>0.142609279191282</v>
      </c>
      <c r="AA32" s="272">
        <f>IFERROR(AA23/V23-1,"")</f>
        <v>0.0345727858430533</v>
      </c>
      <c r="AB32" s="273">
        <f>IFERROR(AB23/W23-1,"")</f>
        <v>0.0711246278224909</v>
      </c>
      <c r="AC32" s="272">
        <f>IFERROR(AC23/X23-1,"")</f>
        <v>0.0859718247063404</v>
      </c>
      <c r="AD32" s="272">
        <f>IFERROR(AD23/Y23-1,"")</f>
        <v>0.150559338252075</v>
      </c>
      <c r="AE32" s="272">
        <f>IFERROR(AE23/Z23-1,"")</f>
        <v>0.116393164618293</v>
      </c>
      <c r="AF32" s="272">
        <f>IFERROR(AF23/AA23-1,"")</f>
        <v>0.314925919705276</v>
      </c>
      <c r="AG32" s="273">
        <f>IFERROR(AG23/AB23-1,"")</f>
        <v>0.196109669873856</v>
      </c>
      <c r="AH32" s="273">
        <f>IFERROR(AH23/AC23-1,"")</f>
        <v>0.162164543712574</v>
      </c>
      <c r="AI32" s="273">
        <f>IFERROR(AI23/AD23-1,"")</f>
        <v>0.212313346072757</v>
      </c>
    </row>
    <row r="33">
      <c r="C33" s="14" t="inlineStr">
        <is>
          <t xml:space="preserve">   % digital na receita bruta</t>
        </is>
      </c>
      <c r="D33" s="272">
        <f>IFERROR(D23/D25,"")</f>
        <v>0.084372749401683</v>
      </c>
      <c r="E33" s="272">
        <f>IFERROR(E23/E25,"")</f>
        <v>0.638844835787468</v>
      </c>
      <c r="F33" s="272">
        <f>IFERROR(F23/F25,"")</f>
        <v>0.229240778719924</v>
      </c>
      <c r="G33" s="272">
        <f>IFERROR(G23/G25,"")</f>
        <v>0.181408601536703</v>
      </c>
      <c r="H33" s="273">
        <f>IFERROR(H23/H25,"")</f>
        <v>0.23130051218141</v>
      </c>
      <c r="I33" s="272">
        <f>IFERROR(I23/I25,"")</f>
        <v>0.223213851286919</v>
      </c>
      <c r="J33" s="272">
        <f>IFERROR(J23/J25,"")</f>
        <v>0.172642130268597</v>
      </c>
      <c r="K33" s="272">
        <f>IFERROR(K23/K25,"")</f>
        <v>0.145621076917019</v>
      </c>
      <c r="L33" s="272">
        <f>IFERROR(L23/L25,"")</f>
        <v>0.156308652692227</v>
      </c>
      <c r="M33" s="273">
        <f>IFERROR(M23/M25,"")</f>
        <v>0.167484435745246</v>
      </c>
      <c r="N33" s="272">
        <f>IFERROR(N23/N25,"")</f>
        <v>0.125602455396167</v>
      </c>
      <c r="O33" s="272">
        <f>IFERROR(O23/O25,"")</f>
        <v>0.115835295084813</v>
      </c>
      <c r="P33" s="272">
        <f>IFERROR(P23/P25,"")</f>
        <v>0.112488066186574</v>
      </c>
      <c r="Q33" s="272">
        <f>IFERROR(Q23/Q25,"")</f>
        <v>0.161205168578319</v>
      </c>
      <c r="R33" s="273">
        <f>IFERROR(R23/R25,"")</f>
        <v>0.13306345255789</v>
      </c>
      <c r="S33" s="272">
        <f>IFERROR(S23/S25,"")</f>
        <v>0.14456610470554</v>
      </c>
      <c r="T33" s="272">
        <f>IFERROR(T23/T25,"")</f>
        <v>0.14896852850163</v>
      </c>
      <c r="U33" s="272">
        <f>IFERROR(U23/U25,"")</f>
        <v>0.151468976549666</v>
      </c>
      <c r="V33" s="272">
        <f>IFERROR(V23/V25,"")</f>
        <v>0.172560380492998</v>
      </c>
      <c r="W33" s="273">
        <f>IFERROR(W23/W25,"")</f>
        <v>0.157327287600729</v>
      </c>
      <c r="X33" s="272">
        <f>IFERROR(X23/X25,"")</f>
        <v>0.134938677373803</v>
      </c>
      <c r="Y33" s="272">
        <f>IFERROR(Y23/Y25,"")</f>
        <v>0.13156802434409</v>
      </c>
      <c r="Z33" s="272">
        <f>IFERROR(Z23/Z25,"")</f>
        <v>0.144242317450975</v>
      </c>
      <c r="AA33" s="272">
        <f>IFERROR(AA23/AA25,"")</f>
        <v>0.156224494542846</v>
      </c>
      <c r="AB33" s="273">
        <f>IFERROR(AB23/AB25,"")</f>
        <v>0.143623720928863</v>
      </c>
      <c r="AC33" s="272">
        <f>IFERROR(AC23/AC25,"")</f>
        <v>0.127540718162324</v>
      </c>
      <c r="AD33" s="272">
        <f>IFERROR(AD23/AD25,"")</f>
        <v>0.130596857566913</v>
      </c>
      <c r="AE33" s="272">
        <f>IFERROR(AE23/AE25,"")</f>
        <v>0.139432934494927</v>
      </c>
      <c r="AF33" s="272">
        <f>IFERROR(AF23/AF25,"")</f>
        <v>0.17484630232238</v>
      </c>
      <c r="AG33" s="273">
        <f>IFERROR(AG23/AG25,"")</f>
        <v>0.147835256510859</v>
      </c>
      <c r="AH33" s="273">
        <f>IFERROR(AH23/AH25,"")</f>
        <v>0.130229263335324</v>
      </c>
      <c r="AI33" s="273">
        <f>IFERROR(AI23/AI25,"")</f>
        <v>0.143290256992602</v>
      </c>
    </row>
    <row r="34"/>
    <row r="35">
      <c r="C35" s="12" t="inlineStr">
        <is>
          <t>Lojas, area e produtividade (DadosOperacionais)</t>
        </is>
      </c>
      <c r="D35" s="12" t="str">
        <f>D7</f>
        <v>1Q20</v>
      </c>
      <c r="E35" s="12" t="str">
        <f>E7</f>
        <v>2Q20</v>
      </c>
      <c r="F35" s="12" t="str">
        <f>F7</f>
        <v>3Q20</v>
      </c>
      <c r="G35" s="12" t="str">
        <f>G7</f>
        <v>4Q20</v>
      </c>
      <c r="H35" s="12">
        <f>H7</f>
        <v>2020</v>
      </c>
      <c r="I35" s="12" t="str">
        <f>I7</f>
        <v>1Q21</v>
      </c>
      <c r="J35" s="12" t="str">
        <f>J7</f>
        <v>2Q21</v>
      </c>
      <c r="K35" s="12" t="str">
        <f>K7</f>
        <v>3Q21</v>
      </c>
      <c r="L35" s="12" t="str">
        <f>L7</f>
        <v>4Q21</v>
      </c>
      <c r="M35" s="12">
        <f>M7</f>
        <v>2021</v>
      </c>
      <c r="N35" s="12" t="str">
        <f>N7</f>
        <v>1Q22</v>
      </c>
      <c r="O35" s="12" t="str">
        <f>O7</f>
        <v>2Q22</v>
      </c>
      <c r="P35" s="12" t="str">
        <f>P7</f>
        <v>3Q22</v>
      </c>
      <c r="Q35" s="12" t="str">
        <f>Q7</f>
        <v>4Q22</v>
      </c>
      <c r="R35" s="12">
        <f>R7</f>
        <v>2022</v>
      </c>
      <c r="S35" s="12" t="str">
        <f>S7</f>
        <v>1Q23</v>
      </c>
      <c r="T35" s="12" t="str">
        <f>T7</f>
        <v>2Q23</v>
      </c>
      <c r="U35" s="12" t="str">
        <f>U7</f>
        <v>3Q23</v>
      </c>
      <c r="V35" s="12" t="str">
        <f>V7</f>
        <v>4Q23</v>
      </c>
      <c r="W35" s="12">
        <f>W7</f>
        <v>2023</v>
      </c>
      <c r="X35" s="12" t="str">
        <f>X7</f>
        <v>1Q24</v>
      </c>
      <c r="Y35" s="12" t="str">
        <f>Y7</f>
        <v>2Q24</v>
      </c>
      <c r="Z35" s="12" t="str">
        <f>Z7</f>
        <v>3Q24</v>
      </c>
      <c r="AA35" s="12" t="str">
        <f>AA7</f>
        <v>4Q24</v>
      </c>
      <c r="AB35" s="12">
        <f>AB7</f>
        <v>2024</v>
      </c>
      <c r="AC35" s="12" t="str">
        <f>AC7</f>
        <v>1Q25</v>
      </c>
      <c r="AD35" s="12" t="str">
        <f>AD7</f>
        <v>2Q25</v>
      </c>
      <c r="AE35" s="12" t="str">
        <f>AE7</f>
        <v>3Q25</v>
      </c>
      <c r="AF35" s="12" t="str">
        <f>AF7</f>
        <v>4Q25</v>
      </c>
      <c r="AG35" s="12">
        <f>AG7</f>
        <v>2025</v>
      </c>
      <c r="AH35" s="12" t="str">
        <f>AH7</f>
        <v>1Q26</v>
      </c>
      <c r="AI35" s="12" t="str">
        <f>AI7</f>
        <v>2Q26</v>
      </c>
    </row>
    <row r="36">
      <c r="C36" s="14" t="inlineStr">
        <is>
          <t>Lojas Vivara (fim do periodo)</t>
        </is>
      </c>
      <c r="D36" s="274">
        <f>IFERROR(INDEX('Inputs (2)'!$D$60:$AL$60,MATCH(D$7,'Inputs (2)'!$D$2:$AL$2,0)),"")</f>
        <v>201</v>
      </c>
      <c r="E36" s="274">
        <f>IFERROR(INDEX('Inputs (2)'!$D$60:$AL$60,MATCH(E$7,'Inputs (2)'!$D$2:$AL$2,0)),"")</f>
        <v>205</v>
      </c>
      <c r="F36" s="274">
        <f>IFERROR(INDEX('Inputs (2)'!$D$60:$AL$60,MATCH(F$7,'Inputs (2)'!$D$2:$AL$2,0)),"")</f>
        <v>207</v>
      </c>
      <c r="G36" s="274">
        <f>IFERROR(INDEX('Inputs (2)'!$D$60:$AL$60,MATCH(G$7,'Inputs (2)'!$D$2:$AL$2,0)),"")</f>
        <v>208</v>
      </c>
      <c r="H36" s="275">
        <f>IF(COUNT(G36)=0,"",G36)</f>
        <v>208</v>
      </c>
      <c r="I36" s="274">
        <f>IFERROR(INDEX('Inputs (2)'!$D$60:$AL$60,MATCH(I$7,'Inputs (2)'!$D$2:$AL$2,0)),"")</f>
        <v>208</v>
      </c>
      <c r="J36" s="274">
        <f>IFERROR(INDEX('Inputs (2)'!$D$60:$AL$60,MATCH(J$7,'Inputs (2)'!$D$2:$AL$2,0)),"")</f>
        <v>221</v>
      </c>
      <c r="K36" s="274">
        <f>IFERROR(INDEX('Inputs (2)'!$D$60:$AL$60,MATCH(K$7,'Inputs (2)'!$D$2:$AL$2,0)),"")</f>
        <v>227</v>
      </c>
      <c r="L36" s="274">
        <f>IFERROR(INDEX('Inputs (2)'!$D$60:$AL$60,MATCH(L$7,'Inputs (2)'!$D$2:$AL$2,0)),"")</f>
        <v>229</v>
      </c>
      <c r="M36" s="275">
        <f>IF(COUNT(L36)=0,"",L36)</f>
        <v>229</v>
      </c>
      <c r="N36" s="274">
        <f>IFERROR(INDEX('Inputs (2)'!$D$60:$AL$60,MATCH(N$7,'Inputs (2)'!$D$2:$AL$2,0)),"")</f>
        <v>231</v>
      </c>
      <c r="O36" s="274">
        <f>IFERROR(INDEX('Inputs (2)'!$D$60:$AL$60,MATCH(O$7,'Inputs (2)'!$D$2:$AL$2,0)),"")</f>
        <v>232</v>
      </c>
      <c r="P36" s="274">
        <f>IFERROR(INDEX('Inputs (2)'!$D$60:$AL$60,MATCH(P$7,'Inputs (2)'!$D$2:$AL$2,0)),"")</f>
        <v>237</v>
      </c>
      <c r="Q36" s="274">
        <f>IFERROR(INDEX('Inputs (2)'!$D$60:$AL$60,MATCH(Q$7,'Inputs (2)'!$D$2:$AL$2,0)),"")</f>
        <v>243</v>
      </c>
      <c r="R36" s="275">
        <f>IF(COUNT(Q36)=0,"",Q36)</f>
        <v>243</v>
      </c>
      <c r="S36" s="274">
        <f>IFERROR(INDEX('Inputs (2)'!$D$60:$AL$60,MATCH(S$7,'Inputs (2)'!$D$2:$AL$2,0)),"")</f>
        <v>245</v>
      </c>
      <c r="T36" s="274">
        <f>IFERROR(INDEX('Inputs (2)'!$D$60:$AL$60,MATCH(T$7,'Inputs (2)'!$D$2:$AL$2,0)),"")</f>
        <v>252</v>
      </c>
      <c r="U36" s="274">
        <f>IFERROR(INDEX('Inputs (2)'!$D$60:$AL$60,MATCH(U$7,'Inputs (2)'!$D$2:$AL$2,0)),"")</f>
        <v>254</v>
      </c>
      <c r="V36" s="274">
        <f>IFERROR(INDEX('Inputs (2)'!$D$60:$AL$60,MATCH(V$7,'Inputs (2)'!$D$2:$AL$2,0)),"")</f>
        <v>257</v>
      </c>
      <c r="W36" s="275">
        <f>IF(COUNT(V36)=0,"",V36)</f>
        <v>257</v>
      </c>
      <c r="X36" s="274">
        <f>IFERROR(INDEX('Inputs (2)'!$D$60:$AL$60,MATCH(X$7,'Inputs (2)'!$D$2:$AL$2,0)),"")</f>
        <v>261</v>
      </c>
      <c r="Y36" s="274">
        <f>IFERROR(INDEX('Inputs (2)'!$D$60:$AL$60,MATCH(Y$7,'Inputs (2)'!$D$2:$AL$2,0)),"")</f>
        <v>263</v>
      </c>
      <c r="Z36" s="274">
        <f>IFERROR(INDEX('Inputs (2)'!$D$60:$AL$60,MATCH(Z$7,'Inputs (2)'!$D$2:$AL$2,0)),"")</f>
        <v>264</v>
      </c>
      <c r="AA36" s="274">
        <f>IFERROR(INDEX('Inputs (2)'!$D$60:$AL$60,MATCH(AA$7,'Inputs (2)'!$D$2:$AL$2,0)),"")</f>
        <v>266</v>
      </c>
      <c r="AB36" s="275">
        <f>IF(COUNT(AA36)=0,"",AA36)</f>
        <v>266</v>
      </c>
      <c r="AC36" s="274">
        <f>IFERROR(INDEX('Inputs (2)'!$D$60:$AL$60,MATCH(AC$7,'Inputs (2)'!$D$2:$AL$2,0)),"")</f>
        <v>266</v>
      </c>
      <c r="AD36" s="274">
        <f>IFERROR(INDEX('Inputs (2)'!$D$60:$AL$60,MATCH(AD$7,'Inputs (2)'!$D$2:$AL$2,0)),"")</f>
        <v>266</v>
      </c>
      <c r="AE36" s="274">
        <f>IFERROR(INDEX('Inputs (2)'!$D$60:$AL$60,MATCH(AE$7,'Inputs (2)'!$D$2:$AL$2,0)),"")</f>
        <v>266</v>
      </c>
      <c r="AF36" s="274">
        <f>IFERROR(INDEX('Inputs (2)'!$D$60:$AL$60,MATCH(AF$7,'Inputs (2)'!$D$2:$AL$2,0)),"")</f>
        <v>268</v>
      </c>
      <c r="AG36" s="275">
        <f>IF(COUNT(AF36)=0,"",AF36)</f>
        <v>268</v>
      </c>
      <c r="AH36" s="275">
        <f>IFERROR(INDEX('Inputs (2)'!$D$60:$AL$60,MATCH(AH$7,'Inputs (2)'!$D$2:$AL$2,0)),"")</f>
        <v>268</v>
      </c>
      <c r="AI36" s="275">
        <f>IFERROR(INDEX('Inputs (2)'!$D$60:$AL$60,MATCH(AI$7,'Inputs (2)'!$D$2:$AL$2,0)),"")</f>
        <v>272</v>
      </c>
    </row>
    <row r="37">
      <c r="C37" s="14" t="inlineStr">
        <is>
          <t>Lojas Life (fim do periodo)</t>
        </is>
      </c>
      <c r="D37" s="274">
        <f>IFERROR(INDEX('Inputs (2)'!$D$61:$AL$61,MATCH(D$7,'Inputs (2)'!$D$2:$AL$2,0)),"")</f>
        <v>8</v>
      </c>
      <c r="E37" s="274">
        <f>IFERROR(INDEX('Inputs (2)'!$D$61:$AL$61,MATCH(E$7,'Inputs (2)'!$D$2:$AL$2,0)),"")</f>
        <v>9</v>
      </c>
      <c r="F37" s="274">
        <f>IFERROR(INDEX('Inputs (2)'!$D$61:$AL$61,MATCH(F$7,'Inputs (2)'!$D$2:$AL$2,0)),"")</f>
        <v>11</v>
      </c>
      <c r="G37" s="274">
        <f>IFERROR(INDEX('Inputs (2)'!$D$61:$AL$61,MATCH(G$7,'Inputs (2)'!$D$2:$AL$2,0)),"")</f>
        <v>13</v>
      </c>
      <c r="H37" s="275">
        <f>IF(COUNT(G37)=0,"",G37)</f>
        <v>13</v>
      </c>
      <c r="I37" s="274">
        <f>IFERROR(INDEX('Inputs (2)'!$D$61:$AL$61,MATCH(I$7,'Inputs (2)'!$D$2:$AL$2,0)),"")</f>
        <v>13</v>
      </c>
      <c r="J37" s="274">
        <f>IFERROR(INDEX('Inputs (2)'!$D$61:$AL$61,MATCH(J$7,'Inputs (2)'!$D$2:$AL$2,0)),"")</f>
        <v>14</v>
      </c>
      <c r="K37" s="274">
        <f>IFERROR(INDEX('Inputs (2)'!$D$61:$AL$61,MATCH(K$7,'Inputs (2)'!$D$2:$AL$2,0)),"")</f>
        <v>19</v>
      </c>
      <c r="L37" s="274">
        <f>IFERROR(INDEX('Inputs (2)'!$D$61:$AL$61,MATCH(L$7,'Inputs (2)'!$D$2:$AL$2,0)),"")</f>
        <v>33</v>
      </c>
      <c r="M37" s="275">
        <f>IF(COUNT(L37)=0,"",L37)</f>
        <v>33</v>
      </c>
      <c r="N37" s="274">
        <f>IFERROR(INDEX('Inputs (2)'!$D$61:$AL$61,MATCH(N$7,'Inputs (2)'!$D$2:$AL$2,0)),"")</f>
        <v>35</v>
      </c>
      <c r="O37" s="274">
        <f>IFERROR(INDEX('Inputs (2)'!$D$61:$AL$61,MATCH(O$7,'Inputs (2)'!$D$2:$AL$2,0)),"")</f>
        <v>43</v>
      </c>
      <c r="P37" s="274">
        <f>IFERROR(INDEX('Inputs (2)'!$D$61:$AL$61,MATCH(P$7,'Inputs (2)'!$D$2:$AL$2,0)),"")</f>
        <v>56</v>
      </c>
      <c r="Q37" s="274">
        <f>IFERROR(INDEX('Inputs (2)'!$D$61:$AL$61,MATCH(Q$7,'Inputs (2)'!$D$2:$AL$2,0)),"")</f>
        <v>72</v>
      </c>
      <c r="R37" s="275">
        <f>IF(COUNT(Q37)=0,"",Q37)</f>
        <v>72</v>
      </c>
      <c r="S37" s="274">
        <f>IFERROR(INDEX('Inputs (2)'!$D$61:$AL$61,MATCH(S$7,'Inputs (2)'!$D$2:$AL$2,0)),"")</f>
        <v>77</v>
      </c>
      <c r="T37" s="274">
        <f>IFERROR(INDEX('Inputs (2)'!$D$61:$AL$61,MATCH(T$7,'Inputs (2)'!$D$2:$AL$2,0)),"")</f>
        <v>84</v>
      </c>
      <c r="U37" s="274">
        <f>IFERROR(INDEX('Inputs (2)'!$D$61:$AL$61,MATCH(U$7,'Inputs (2)'!$D$2:$AL$2,0)),"")</f>
        <v>98</v>
      </c>
      <c r="V37" s="274">
        <f>IFERROR(INDEX('Inputs (2)'!$D$61:$AL$61,MATCH(V$7,'Inputs (2)'!$D$2:$AL$2,0)),"")</f>
        <v>117</v>
      </c>
      <c r="W37" s="275">
        <f>IF(COUNT(V37)=0,"",V37)</f>
        <v>117</v>
      </c>
      <c r="X37" s="274">
        <f>IFERROR(INDEX('Inputs (2)'!$D$61:$AL$61,MATCH(X$7,'Inputs (2)'!$D$2:$AL$2,0)),"")</f>
        <v>131</v>
      </c>
      <c r="Y37" s="274">
        <f>IFERROR(INDEX('Inputs (2)'!$D$61:$AL$61,MATCH(Y$7,'Inputs (2)'!$D$2:$AL$2,0)),"")</f>
        <v>149</v>
      </c>
      <c r="Z37" s="274">
        <f>IFERROR(INDEX('Inputs (2)'!$D$61:$AL$61,MATCH(Z$7,'Inputs (2)'!$D$2:$AL$2,0)),"")</f>
        <v>159</v>
      </c>
      <c r="AA37" s="274">
        <f>IFERROR(INDEX('Inputs (2)'!$D$61:$AL$61,MATCH(AA$7,'Inputs (2)'!$D$2:$AL$2,0)),"")</f>
        <v>180</v>
      </c>
      <c r="AB37" s="275">
        <f>IF(COUNT(AA37)=0,"",AA37)</f>
        <v>180</v>
      </c>
      <c r="AC37" s="274">
        <f>IFERROR(INDEX('Inputs (2)'!$D$61:$AL$61,MATCH(AC$7,'Inputs (2)'!$D$2:$AL$2,0)),"")</f>
        <v>184</v>
      </c>
      <c r="AD37" s="274">
        <f>IFERROR(INDEX('Inputs (2)'!$D$61:$AL$61,MATCH(AD$7,'Inputs (2)'!$D$2:$AL$2,0)),"")</f>
        <v>192</v>
      </c>
      <c r="AE37" s="274">
        <f>IFERROR(INDEX('Inputs (2)'!$D$61:$AL$61,MATCH(AE$7,'Inputs (2)'!$D$2:$AL$2,0)),"")</f>
        <v>197</v>
      </c>
      <c r="AF37" s="274">
        <f>IFERROR(INDEX('Inputs (2)'!$D$61:$AL$61,MATCH(AF$7,'Inputs (2)'!$D$2:$AL$2,0)),"")</f>
        <v>219</v>
      </c>
      <c r="AG37" s="275">
        <f>IF(COUNT(AF37)=0,"",AF37)</f>
        <v>219</v>
      </c>
      <c r="AH37" s="275">
        <f>IFERROR(INDEX('Inputs (2)'!$D$61:$AL$61,MATCH(AH$7,'Inputs (2)'!$D$2:$AL$2,0)),"")</f>
        <v>224</v>
      </c>
      <c r="AI37" s="275">
        <f>IFERROR(INDEX('Inputs (2)'!$D$61:$AL$61,MATCH(AI$7,'Inputs (2)'!$D$2:$AL$2,0)),"")</f>
        <v>237</v>
      </c>
    </row>
    <row r="38">
      <c r="C38" s="14" t="inlineStr">
        <is>
          <t>Quiosques (fim do periodo)</t>
        </is>
      </c>
      <c r="D38" s="274">
        <f>IFERROR(INDEX('Inputs (2)'!$D$62:$AL$62,MATCH(D$7,'Inputs (2)'!$D$2:$AL$2,0)),"")</f>
        <v>50</v>
      </c>
      <c r="E38" s="274">
        <f>IFERROR(INDEX('Inputs (2)'!$D$62:$AL$62,MATCH(E$7,'Inputs (2)'!$D$2:$AL$2,0)),"")</f>
        <v>45</v>
      </c>
      <c r="F38" s="274">
        <f>IFERROR(INDEX('Inputs (2)'!$D$62:$AL$62,MATCH(F$7,'Inputs (2)'!$D$2:$AL$2,0)),"")</f>
        <v>45</v>
      </c>
      <c r="G38" s="274">
        <f>IFERROR(INDEX('Inputs (2)'!$D$62:$AL$62,MATCH(G$7,'Inputs (2)'!$D$2:$AL$2,0)),"")</f>
        <v>46</v>
      </c>
      <c r="H38" s="275">
        <f>IF(COUNT(G38)=0,"",G38)</f>
        <v>46</v>
      </c>
      <c r="I38" s="274">
        <f>IFERROR(INDEX('Inputs (2)'!$D$62:$AL$62,MATCH(I$7,'Inputs (2)'!$D$2:$AL$2,0)),"")</f>
        <v>38</v>
      </c>
      <c r="J38" s="274">
        <f>IFERROR(INDEX('Inputs (2)'!$D$62:$AL$62,MATCH(J$7,'Inputs (2)'!$D$2:$AL$2,0)),"")</f>
        <v>30</v>
      </c>
      <c r="K38" s="274">
        <f>IFERROR(INDEX('Inputs (2)'!$D$62:$AL$62,MATCH(K$7,'Inputs (2)'!$D$2:$AL$2,0)),"")</f>
        <v>29</v>
      </c>
      <c r="L38" s="274">
        <f>IFERROR(INDEX('Inputs (2)'!$D$62:$AL$62,MATCH(L$7,'Inputs (2)'!$D$2:$AL$2,0)),"")</f>
        <v>26</v>
      </c>
      <c r="M38" s="275">
        <f>IF(COUNT(L38)=0,"",L38)</f>
        <v>26</v>
      </c>
      <c r="N38" s="274">
        <f>IFERROR(INDEX('Inputs (2)'!$D$62:$AL$62,MATCH(N$7,'Inputs (2)'!$D$2:$AL$2,0)),"")</f>
        <v>24</v>
      </c>
      <c r="O38" s="274">
        <f>IFERROR(INDEX('Inputs (2)'!$D$62:$AL$62,MATCH(O$7,'Inputs (2)'!$D$2:$AL$2,0)),"")</f>
        <v>23</v>
      </c>
      <c r="P38" s="274">
        <f>IFERROR(INDEX('Inputs (2)'!$D$62:$AL$62,MATCH(P$7,'Inputs (2)'!$D$2:$AL$2,0)),"")</f>
        <v>22</v>
      </c>
      <c r="Q38" s="274">
        <f>IFERROR(INDEX('Inputs (2)'!$D$62:$AL$62,MATCH(Q$7,'Inputs (2)'!$D$2:$AL$2,0)),"")</f>
        <v>21</v>
      </c>
      <c r="R38" s="275">
        <f>IF(COUNT(Q38)=0,"",Q38)</f>
        <v>21</v>
      </c>
      <c r="S38" s="274">
        <f>IFERROR(INDEX('Inputs (2)'!$D$62:$AL$62,MATCH(S$7,'Inputs (2)'!$D$2:$AL$2,0)),"")</f>
        <v>21</v>
      </c>
      <c r="T38" s="274">
        <f>IFERROR(INDEX('Inputs (2)'!$D$62:$AL$62,MATCH(T$7,'Inputs (2)'!$D$2:$AL$2,0)),"")</f>
        <v>21</v>
      </c>
      <c r="U38" s="274">
        <f>IFERROR(INDEX('Inputs (2)'!$D$62:$AL$62,MATCH(U$7,'Inputs (2)'!$D$2:$AL$2,0)),"")</f>
        <v>20</v>
      </c>
      <c r="V38" s="274">
        <f>IFERROR(INDEX('Inputs (2)'!$D$62:$AL$62,MATCH(V$7,'Inputs (2)'!$D$2:$AL$2,0)),"")</f>
        <v>16</v>
      </c>
      <c r="W38" s="275">
        <f>IF(COUNT(V38)=0,"",V38)</f>
        <v>16</v>
      </c>
      <c r="X38" s="274">
        <f>IFERROR(INDEX('Inputs (2)'!$D$62:$AL$62,MATCH(X$7,'Inputs (2)'!$D$2:$AL$2,0)),"")</f>
        <v>14</v>
      </c>
      <c r="Y38" s="274">
        <f>IFERROR(INDEX('Inputs (2)'!$D$62:$AL$62,MATCH(Y$7,'Inputs (2)'!$D$2:$AL$2,0)),"")</f>
        <v>14</v>
      </c>
      <c r="Z38" s="274">
        <f>IFERROR(INDEX('Inputs (2)'!$D$62:$AL$62,MATCH(Z$7,'Inputs (2)'!$D$2:$AL$2,0)),"")</f>
        <v>12</v>
      </c>
      <c r="AA38" s="274">
        <f>IFERROR(INDEX('Inputs (2)'!$D$62:$AL$62,MATCH(AA$7,'Inputs (2)'!$D$2:$AL$2,0)),"")</f>
        <v>11</v>
      </c>
      <c r="AB38" s="275">
        <f>IF(COUNT(AA38)=0,"",AA38)</f>
        <v>11</v>
      </c>
      <c r="AC38" s="274">
        <f>IFERROR(INDEX('Inputs (2)'!$D$62:$AL$62,MATCH(AC$7,'Inputs (2)'!$D$2:$AL$2,0)),"")</f>
        <v>11</v>
      </c>
      <c r="AD38" s="274">
        <f>IFERROR(INDEX('Inputs (2)'!$D$62:$AL$62,MATCH(AD$7,'Inputs (2)'!$D$2:$AL$2,0)),"")</f>
        <v>11</v>
      </c>
      <c r="AE38" s="274">
        <f>IFERROR(INDEX('Inputs (2)'!$D$62:$AL$62,MATCH(AE$7,'Inputs (2)'!$D$2:$AL$2,0)),"")</f>
        <v>11</v>
      </c>
      <c r="AF38" s="274">
        <f>IFERROR(INDEX('Inputs (2)'!$D$62:$AL$62,MATCH(AF$7,'Inputs (2)'!$D$2:$AL$2,0)),"")</f>
        <v>11</v>
      </c>
      <c r="AG38" s="275">
        <f>IF(COUNT(AF38)=0,"",AF38)</f>
        <v>11</v>
      </c>
      <c r="AH38" s="275">
        <f>IFERROR(INDEX('Inputs (2)'!$D$62:$AL$62,MATCH(AH$7,'Inputs (2)'!$D$2:$AL$2,0)),"")</f>
        <v>11</v>
      </c>
      <c r="AI38" s="275">
        <f>IFERROR(INDEX('Inputs (2)'!$D$62:$AL$62,MATCH(AI$7,'Inputs (2)'!$D$2:$AL$2,0)),"")</f>
        <v>11</v>
      </c>
    </row>
    <row r="39">
      <c r="C39" s="271" t="inlineStr">
        <is>
          <t>Total de pontos de venda</t>
        </is>
      </c>
      <c r="D39" s="274">
        <f>IF(COUNT(D36,D37,D38)=0,"",N(D36)+N(D37)+N(D38))</f>
        <v>259</v>
      </c>
      <c r="E39" s="274">
        <f>IF(COUNT(E36,E37,E38)=0,"",N(E36)+N(E37)+N(E38))</f>
        <v>259</v>
      </c>
      <c r="F39" s="274">
        <f>IF(COUNT(F36,F37,F38)=0,"",N(F36)+N(F37)+N(F38))</f>
        <v>263</v>
      </c>
      <c r="G39" s="274">
        <f>IF(COUNT(G36,G37,G38)=0,"",N(G36)+N(G37)+N(G38))</f>
        <v>267</v>
      </c>
      <c r="H39" s="275">
        <f>IF(COUNT(H36,H37,H38)=0,"",N(H36)+N(H37)+N(H38))</f>
        <v>267</v>
      </c>
      <c r="I39" s="274">
        <f>IF(COUNT(I36,I37,I38)=0,"",N(I36)+N(I37)+N(I38))</f>
        <v>259</v>
      </c>
      <c r="J39" s="274">
        <f>IF(COUNT(J36,J37,J38)=0,"",N(J36)+N(J37)+N(J38))</f>
        <v>265</v>
      </c>
      <c r="K39" s="274">
        <f>IF(COUNT(K36,K37,K38)=0,"",N(K36)+N(K37)+N(K38))</f>
        <v>275</v>
      </c>
      <c r="L39" s="274">
        <f>IF(COUNT(L36,L37,L38)=0,"",N(L36)+N(L37)+N(L38))</f>
        <v>288</v>
      </c>
      <c r="M39" s="275">
        <f>IF(COUNT(M36,M37,M38)=0,"",N(M36)+N(M37)+N(M38))</f>
        <v>288</v>
      </c>
      <c r="N39" s="274">
        <f>IF(COUNT(N36,N37,N38)=0,"",N(N36)+N(N37)+N(N38))</f>
        <v>290</v>
      </c>
      <c r="O39" s="274">
        <f>IF(COUNT(O36,O37,O38)=0,"",N(O36)+N(O37)+N(O38))</f>
        <v>298</v>
      </c>
      <c r="P39" s="274">
        <f>IF(COUNT(P36,P37,P38)=0,"",N(P36)+N(P37)+N(P38))</f>
        <v>315</v>
      </c>
      <c r="Q39" s="274">
        <f>IF(COUNT(Q36,Q37,Q38)=0,"",N(Q36)+N(Q37)+N(Q38))</f>
        <v>336</v>
      </c>
      <c r="R39" s="275">
        <f>IF(COUNT(R36,R37,R38)=0,"",N(R36)+N(R37)+N(R38))</f>
        <v>336</v>
      </c>
      <c r="S39" s="274">
        <f>IF(COUNT(S36,S37,S38)=0,"",N(S36)+N(S37)+N(S38))</f>
        <v>343</v>
      </c>
      <c r="T39" s="274">
        <f>IF(COUNT(T36,T37,T38)=0,"",N(T36)+N(T37)+N(T38))</f>
        <v>357</v>
      </c>
      <c r="U39" s="274">
        <f>IF(COUNT(U36,U37,U38)=0,"",N(U36)+N(U37)+N(U38))</f>
        <v>372</v>
      </c>
      <c r="V39" s="274">
        <f>IF(COUNT(V36,V37,V38)=0,"",N(V36)+N(V37)+N(V38))</f>
        <v>390</v>
      </c>
      <c r="W39" s="275">
        <f>IF(COUNT(W36,W37,W38)=0,"",N(W36)+N(W37)+N(W38))</f>
        <v>390</v>
      </c>
      <c r="X39" s="274">
        <f>IF(COUNT(X36,X37,X38)=0,"",N(X36)+N(X37)+N(X38))</f>
        <v>406</v>
      </c>
      <c r="Y39" s="274">
        <f>IF(COUNT(Y36,Y37,Y38)=0,"",N(Y36)+N(Y37)+N(Y38))</f>
        <v>426</v>
      </c>
      <c r="Z39" s="274">
        <f>IF(COUNT(Z36,Z37,Z38)=0,"",N(Z36)+N(Z37)+N(Z38))</f>
        <v>435</v>
      </c>
      <c r="AA39" s="274">
        <f>IF(COUNT(AA36,AA37,AA38)=0,"",N(AA36)+N(AA37)+N(AA38))</f>
        <v>457</v>
      </c>
      <c r="AB39" s="275">
        <f>IF(COUNT(AB36,AB37,AB38)=0,"",N(AB36)+N(AB37)+N(AB38))</f>
        <v>457</v>
      </c>
      <c r="AC39" s="274">
        <f>IF(COUNT(AC36,AC37,AC38)=0,"",N(AC36)+N(AC37)+N(AC38))</f>
        <v>461</v>
      </c>
      <c r="AD39" s="274">
        <f>IF(COUNT(AD36,AD37,AD38)=0,"",N(AD36)+N(AD37)+N(AD38))</f>
        <v>469</v>
      </c>
      <c r="AE39" s="274">
        <f>IF(COUNT(AE36,AE37,AE38)=0,"",N(AE36)+N(AE37)+N(AE38))</f>
        <v>474</v>
      </c>
      <c r="AF39" s="274">
        <f>IF(COUNT(AF36,AF37,AF38)=0,"",N(AF36)+N(AF37)+N(AF38))</f>
        <v>498</v>
      </c>
      <c r="AG39" s="275">
        <f>IF(COUNT(AG36,AG37,AG38)=0,"",N(AG36)+N(AG37)+N(AG38))</f>
        <v>498</v>
      </c>
      <c r="AH39" s="275">
        <f>IF(COUNT(AH36,AH37,AH38)=0,"",N(AH36)+N(AH37)+N(AH38))</f>
        <v>503</v>
      </c>
      <c r="AI39" s="275">
        <f>IF(COUNT(AI36,AI37,AI38)=0,"",N(AI36)+N(AI37)+N(AI38))</f>
        <v>520</v>
      </c>
    </row>
    <row r="40">
      <c r="C40" s="14" t="inlineStr">
        <is>
          <t>Area de vendas Vivara (mil m2)</t>
        </is>
      </c>
      <c r="D40" s="269">
        <f>IFERROR(IFERROR(INDEX('Inputs (2)'!$D$63:$AL$63,MATCH(D$7,'Inputs (2)'!$D$2:$AL$2,0)),"")/1000,"")</f>
        <v>18.2321</v>
      </c>
      <c r="E40" s="269">
        <f>IFERROR(IFERROR(INDEX('Inputs (2)'!$D$63:$AL$63,MATCH(E$7,'Inputs (2)'!$D$2:$AL$2,0)),"")/1000,"")</f>
        <v>18.5924</v>
      </c>
      <c r="F40" s="269">
        <f>IFERROR(IFERROR(INDEX('Inputs (2)'!$D$63:$AL$63,MATCH(F$7,'Inputs (2)'!$D$2:$AL$2,0)),"")/1000,"")</f>
        <v>18.7994</v>
      </c>
      <c r="G40" s="269">
        <f>IFERROR(IFERROR(INDEX('Inputs (2)'!$D$63:$AL$63,MATCH(G$7,'Inputs (2)'!$D$2:$AL$2,0)),"")/1000,"")</f>
        <v>18.9825</v>
      </c>
      <c r="H40" s="270">
        <f>IF(COUNT(G40)=0,"",G40)</f>
        <v>18.9825</v>
      </c>
      <c r="I40" s="269">
        <f>IFERROR(IFERROR(INDEX('Inputs (2)'!$D$63:$AL$63,MATCH(I$7,'Inputs (2)'!$D$2:$AL$2,0)),"")/1000,"")</f>
        <v>18.9825</v>
      </c>
      <c r="J40" s="269">
        <f>IFERROR(IFERROR(INDEX('Inputs (2)'!$D$63:$AL$63,MATCH(J$7,'Inputs (2)'!$D$2:$AL$2,0)),"")/1000,"")</f>
        <v>20.102</v>
      </c>
      <c r="K40" s="269">
        <f>IFERROR(IFERROR(INDEX('Inputs (2)'!$D$63:$AL$63,MATCH(K$7,'Inputs (2)'!$D$2:$AL$2,0)),"")/1000,"")</f>
        <v>20.646</v>
      </c>
      <c r="L40" s="269">
        <f>IFERROR(IFERROR(INDEX('Inputs (2)'!$D$63:$AL$63,MATCH(L$7,'Inputs (2)'!$D$2:$AL$2,0)),"")/1000,"")</f>
        <v>20.841</v>
      </c>
      <c r="M40" s="270">
        <f>IF(COUNT(L40)=0,"",L40)</f>
        <v>20.841</v>
      </c>
      <c r="N40" s="269">
        <f>IFERROR(IFERROR(INDEX('Inputs (2)'!$D$63:$AL$63,MATCH(N$7,'Inputs (2)'!$D$2:$AL$2,0)),"")/1000,"")</f>
        <v>21.098</v>
      </c>
      <c r="O40" s="269">
        <f>IFERROR(IFERROR(INDEX('Inputs (2)'!$D$63:$AL$63,MATCH(O$7,'Inputs (2)'!$D$2:$AL$2,0)),"")/1000,"")</f>
        <v>21.098</v>
      </c>
      <c r="P40" s="269">
        <f>IFERROR(IFERROR(INDEX('Inputs (2)'!$D$63:$AL$63,MATCH(P$7,'Inputs (2)'!$D$2:$AL$2,0)),"")/1000,"")</f>
        <v>21.558</v>
      </c>
      <c r="Q40" s="269">
        <f>IFERROR(IFERROR(INDEX('Inputs (2)'!$D$63:$AL$63,MATCH(Q$7,'Inputs (2)'!$D$2:$AL$2,0)),"")/1000,"")</f>
        <v>22.09132</v>
      </c>
      <c r="R40" s="270">
        <f>IF(COUNT(Q40)=0,"",Q40)</f>
        <v>22.09132</v>
      </c>
      <c r="S40" s="269">
        <f>IFERROR(IFERROR(INDEX('Inputs (2)'!$D$63:$AL$63,MATCH(S$7,'Inputs (2)'!$D$2:$AL$2,0)),"")/1000,"")</f>
        <v>22.38488</v>
      </c>
      <c r="T40" s="269">
        <f>IFERROR(IFERROR(INDEX('Inputs (2)'!$D$63:$AL$63,MATCH(T$7,'Inputs (2)'!$D$2:$AL$2,0)),"")/1000,"")</f>
        <v>23.04277</v>
      </c>
      <c r="U40" s="269">
        <f>IFERROR(IFERROR(INDEX('Inputs (2)'!$D$63:$AL$63,MATCH(U$7,'Inputs (2)'!$D$2:$AL$2,0)),"")/1000,"")</f>
        <v>23.41004</v>
      </c>
      <c r="V40" s="269">
        <f>IFERROR(IFERROR(INDEX('Inputs (2)'!$D$63:$AL$63,MATCH(V$7,'Inputs (2)'!$D$2:$AL$2,0)),"")/1000,"")</f>
        <v>23.719</v>
      </c>
      <c r="W40" s="270">
        <f>IF(COUNT(V40)=0,"",V40)</f>
        <v>23.719</v>
      </c>
      <c r="X40" s="269">
        <f>IFERROR(IFERROR(INDEX('Inputs (2)'!$D$63:$AL$63,MATCH(X$7,'Inputs (2)'!$D$2:$AL$2,0)),"")/1000,"")</f>
        <v>24.1083</v>
      </c>
      <c r="Y40" s="269">
        <f>IFERROR(IFERROR(INDEX('Inputs (2)'!$D$63:$AL$63,MATCH(Y$7,'Inputs (2)'!$D$2:$AL$2,0)),"")/1000,"")</f>
        <v>24.38503</v>
      </c>
      <c r="Z40" s="269">
        <f>IFERROR(IFERROR(INDEX('Inputs (2)'!$D$63:$AL$63,MATCH(Z$7,'Inputs (2)'!$D$2:$AL$2,0)),"")/1000,"")</f>
        <v>24.4673</v>
      </c>
      <c r="AA40" s="269">
        <f>IFERROR(IFERROR(INDEX('Inputs (2)'!$D$63:$AL$63,MATCH(AA$7,'Inputs (2)'!$D$2:$AL$2,0)),"")/1000,"")</f>
        <v>24.753</v>
      </c>
      <c r="AB40" s="270">
        <f>IF(COUNT(AA40)=0,"",AA40)</f>
        <v>24.753</v>
      </c>
      <c r="AC40" s="269">
        <f>IFERROR(IFERROR(INDEX('Inputs (2)'!$D$63:$AL$63,MATCH(AC$7,'Inputs (2)'!$D$2:$AL$2,0)),"")/1000,"")</f>
        <v>24.753</v>
      </c>
      <c r="AD40" s="269">
        <f>IFERROR(IFERROR(INDEX('Inputs (2)'!$D$63:$AL$63,MATCH(AD$7,'Inputs (2)'!$D$2:$AL$2,0)),"")/1000,"")</f>
        <v>24.7669</v>
      </c>
      <c r="AE40" s="269">
        <f>IFERROR(IFERROR(INDEX('Inputs (2)'!$D$63:$AL$63,MATCH(AE$7,'Inputs (2)'!$D$2:$AL$2,0)),"")/1000,"")</f>
        <v>24.561</v>
      </c>
      <c r="AF40" s="269">
        <f>IFERROR(IFERROR(INDEX('Inputs (2)'!$D$63:$AL$63,MATCH(AF$7,'Inputs (2)'!$D$2:$AL$2,0)),"")/1000,"")</f>
        <v>24.93685</v>
      </c>
      <c r="AG40" s="270">
        <f>IF(COUNT(AF40)=0,"",AF40)</f>
        <v>24.93685</v>
      </c>
      <c r="AH40" s="270">
        <f>IFERROR(IFERROR(INDEX('Inputs (2)'!$D$63:$AL$63,MATCH(AH$7,'Inputs (2)'!$D$2:$AL$2,0)),"")/1000,"")</f>
        <v>24.93685</v>
      </c>
      <c r="AI40" s="270">
        <f>IFERROR(IFERROR(INDEX('Inputs (2)'!$D$63:$AL$63,MATCH(AI$7,'Inputs (2)'!$D$2:$AL$2,0)),"")/1000,"")</f>
        <v>25.30777</v>
      </c>
    </row>
    <row r="41">
      <c r="C41" s="14" t="inlineStr">
        <is>
          <t>Area de vendas Life (mil m2)</t>
        </is>
      </c>
      <c r="D41" s="269">
        <f>IFERROR(IFERROR(INDEX('Inputs (2)'!$D$64:$AL$64,MATCH(D$7,'Inputs (2)'!$D$2:$AL$2,0)),"")/1000,"")</f>
        <v>0.4044</v>
      </c>
      <c r="E41" s="269">
        <f>IFERROR(IFERROR(INDEX('Inputs (2)'!$D$64:$AL$64,MATCH(E$7,'Inputs (2)'!$D$2:$AL$2,0)),"")/1000,"")</f>
        <v>0.4364</v>
      </c>
      <c r="F41" s="269">
        <f>IFERROR(IFERROR(INDEX('Inputs (2)'!$D$64:$AL$64,MATCH(F$7,'Inputs (2)'!$D$2:$AL$2,0)),"")/1000,"")</f>
        <v>0.5147</v>
      </c>
      <c r="G41" s="269">
        <f>IFERROR(IFERROR(INDEX('Inputs (2)'!$D$64:$AL$64,MATCH(G$7,'Inputs (2)'!$D$2:$AL$2,0)),"")/1000,"")</f>
        <v>0.6403</v>
      </c>
      <c r="H41" s="270">
        <f>IF(COUNT(G41)=0,"",G41)</f>
        <v>0.6403</v>
      </c>
      <c r="I41" s="269">
        <f>IFERROR(IFERROR(INDEX('Inputs (2)'!$D$64:$AL$64,MATCH(I$7,'Inputs (2)'!$D$2:$AL$2,0)),"")/1000,"")</f>
        <v>0.6403</v>
      </c>
      <c r="J41" s="269">
        <f>IFERROR(IFERROR(INDEX('Inputs (2)'!$D$64:$AL$64,MATCH(J$7,'Inputs (2)'!$D$2:$AL$2,0)),"")/1000,"")</f>
        <v>0.7277</v>
      </c>
      <c r="K41" s="269">
        <f>IFERROR(IFERROR(INDEX('Inputs (2)'!$D$64:$AL$64,MATCH(K$7,'Inputs (2)'!$D$2:$AL$2,0)),"")/1000,"")</f>
        <v>1.1019</v>
      </c>
      <c r="L41" s="269">
        <f>IFERROR(IFERROR(INDEX('Inputs (2)'!$D$64:$AL$64,MATCH(L$7,'Inputs (2)'!$D$2:$AL$2,0)),"")/1000,"")</f>
        <v>2.1961</v>
      </c>
      <c r="M41" s="270">
        <f>IF(COUNT(L41)=0,"",L41)</f>
        <v>2.1961</v>
      </c>
      <c r="N41" s="269">
        <f>IFERROR(IFERROR(INDEX('Inputs (2)'!$D$64:$AL$64,MATCH(N$7,'Inputs (2)'!$D$2:$AL$2,0)),"")/1000,"")</f>
        <v>2.479</v>
      </c>
      <c r="O41" s="269">
        <f>IFERROR(IFERROR(INDEX('Inputs (2)'!$D$64:$AL$64,MATCH(O$7,'Inputs (2)'!$D$2:$AL$2,0)),"")/1000,"")</f>
        <v>2.902</v>
      </c>
      <c r="P41" s="269">
        <f>IFERROR(IFERROR(INDEX('Inputs (2)'!$D$64:$AL$64,MATCH(P$7,'Inputs (2)'!$D$2:$AL$2,0)),"")/1000,"")</f>
        <v>3.847</v>
      </c>
      <c r="Q41" s="269">
        <f>IFERROR(IFERROR(INDEX('Inputs (2)'!$D$64:$AL$64,MATCH(Q$7,'Inputs (2)'!$D$2:$AL$2,0)),"")/1000,"")</f>
        <v>5.22836</v>
      </c>
      <c r="R41" s="270">
        <f>IF(COUNT(Q41)=0,"",Q41)</f>
        <v>5.22836</v>
      </c>
      <c r="S41" s="269">
        <f>IFERROR(IFERROR(INDEX('Inputs (2)'!$D$64:$AL$64,MATCH(S$7,'Inputs (2)'!$D$2:$AL$2,0)),"")/1000,"")</f>
        <v>5.82254</v>
      </c>
      <c r="T41" s="269">
        <f>IFERROR(IFERROR(INDEX('Inputs (2)'!$D$64:$AL$64,MATCH(T$7,'Inputs (2)'!$D$2:$AL$2,0)),"")/1000,"")</f>
        <v>6.2913</v>
      </c>
      <c r="U41" s="269">
        <f>IFERROR(IFERROR(INDEX('Inputs (2)'!$D$64:$AL$64,MATCH(U$7,'Inputs (2)'!$D$2:$AL$2,0)),"")/1000,"")</f>
        <v>7.20762</v>
      </c>
      <c r="V41" s="269">
        <f>IFERROR(IFERROR(INDEX('Inputs (2)'!$D$64:$AL$64,MATCH(V$7,'Inputs (2)'!$D$2:$AL$2,0)),"")/1000,"")</f>
        <v>8.586</v>
      </c>
      <c r="W41" s="270">
        <f>IF(COUNT(V41)=0,"",V41)</f>
        <v>8.586</v>
      </c>
      <c r="X41" s="269">
        <f>IFERROR(IFERROR(INDEX('Inputs (2)'!$D$64:$AL$64,MATCH(X$7,'Inputs (2)'!$D$2:$AL$2,0)),"")/1000,"")</f>
        <v>9.62382</v>
      </c>
      <c r="Y41" s="269">
        <f>IFERROR(IFERROR(INDEX('Inputs (2)'!$D$64:$AL$64,MATCH(Y$7,'Inputs (2)'!$D$2:$AL$2,0)),"")/1000,"")</f>
        <v>10.87271</v>
      </c>
      <c r="Z41" s="269">
        <f>IFERROR(IFERROR(INDEX('Inputs (2)'!$D$64:$AL$64,MATCH(Z$7,'Inputs (2)'!$D$2:$AL$2,0)),"")/1000,"")</f>
        <v>11.8789</v>
      </c>
      <c r="AA41" s="269">
        <f>IFERROR(IFERROR(INDEX('Inputs (2)'!$D$64:$AL$64,MATCH(AA$7,'Inputs (2)'!$D$2:$AL$2,0)),"")/1000,"")</f>
        <v>13.47519</v>
      </c>
      <c r="AB41" s="270">
        <f>IF(COUNT(AA41)=0,"",AA41)</f>
        <v>13.47519</v>
      </c>
      <c r="AC41" s="269">
        <f>IFERROR(IFERROR(INDEX('Inputs (2)'!$D$64:$AL$64,MATCH(AC$7,'Inputs (2)'!$D$2:$AL$2,0)),"")/1000,"")</f>
        <v>13.82063</v>
      </c>
      <c r="AD41" s="269">
        <f>IFERROR(IFERROR(INDEX('Inputs (2)'!$D$64:$AL$64,MATCH(AD$7,'Inputs (2)'!$D$2:$AL$2,0)),"")/1000,"")</f>
        <v>14.548</v>
      </c>
      <c r="AE41" s="269">
        <f>IFERROR(IFERROR(INDEX('Inputs (2)'!$D$64:$AL$64,MATCH(AE$7,'Inputs (2)'!$D$2:$AL$2,0)),"")/1000,"")</f>
        <v>14.952</v>
      </c>
      <c r="AF41" s="269">
        <f>IFERROR(IFERROR(INDEX('Inputs (2)'!$D$64:$AL$64,MATCH(AF$7,'Inputs (2)'!$D$2:$AL$2,0)),"")/1000,"")</f>
        <v>16.55999</v>
      </c>
      <c r="AG41" s="270">
        <f>IF(COUNT(AF41)=0,"",AF41)</f>
        <v>16.55999</v>
      </c>
      <c r="AH41" s="270">
        <f>IFERROR(IFERROR(INDEX('Inputs (2)'!$D$64:$AL$64,MATCH(AH$7,'Inputs (2)'!$D$2:$AL$2,0)),"")/1000,"")</f>
        <v>16.95086</v>
      </c>
      <c r="AI41" s="270">
        <f>IFERROR(IFERROR(INDEX('Inputs (2)'!$D$64:$AL$64,MATCH(AI$7,'Inputs (2)'!$D$2:$AL$2,0)),"")/1000,"")</f>
        <v>17.8909</v>
      </c>
    </row>
    <row r="42">
      <c r="C42" s="14" t="inlineStr">
        <is>
          <t>Area de vendas quiosques (mil m2)</t>
        </is>
      </c>
      <c r="D42" s="276">
        <f>IFERROR(IFERROR(INDEX('Inputs (2)'!$D$65:$AL$65,MATCH(D$7,'Inputs (2)'!$D$2:$AL$2,0)),"")/1000,"")</f>
        <v>0.317</v>
      </c>
      <c r="E42" s="276">
        <f>IFERROR(IFERROR(INDEX('Inputs (2)'!$D$65:$AL$65,MATCH(E$7,'Inputs (2)'!$D$2:$AL$2,0)),"")/1000,"")</f>
        <v>0.281</v>
      </c>
      <c r="F42" s="276">
        <f>IFERROR(IFERROR(INDEX('Inputs (2)'!$D$65:$AL$65,MATCH(F$7,'Inputs (2)'!$D$2:$AL$2,0)),"")/1000,"")</f>
        <v>0.29</v>
      </c>
      <c r="G42" s="276">
        <f>IFERROR(IFERROR(INDEX('Inputs (2)'!$D$65:$AL$65,MATCH(G$7,'Inputs (2)'!$D$2:$AL$2,0)),"")/1000,"")</f>
        <v>0.296</v>
      </c>
      <c r="H42" s="277">
        <f>IF(COUNT(G42)=0,"",G42)</f>
        <v>0.296</v>
      </c>
      <c r="I42" s="276">
        <f>IFERROR(IFERROR(INDEX('Inputs (2)'!$D$65:$AL$65,MATCH(I$7,'Inputs (2)'!$D$2:$AL$2,0)),"")/1000,"")</f>
        <v>0.245</v>
      </c>
      <c r="J42" s="276">
        <f>IFERROR(IFERROR(INDEX('Inputs (2)'!$D$65:$AL$65,MATCH(J$7,'Inputs (2)'!$D$2:$AL$2,0)),"")/1000,"")</f>
        <v>0.197</v>
      </c>
      <c r="K42" s="276">
        <f>IFERROR(IFERROR(INDEX('Inputs (2)'!$D$65:$AL$65,MATCH(K$7,'Inputs (2)'!$D$2:$AL$2,0)),"")/1000,"")</f>
        <v>0.191</v>
      </c>
      <c r="L42" s="276">
        <f>IFERROR(IFERROR(INDEX('Inputs (2)'!$D$65:$AL$65,MATCH(L$7,'Inputs (2)'!$D$2:$AL$2,0)),"")/1000,"")</f>
        <v>0.17</v>
      </c>
      <c r="M42" s="277">
        <f>IF(COUNT(L42)=0,"",L42)</f>
        <v>0.17</v>
      </c>
      <c r="N42" s="276">
        <f>IFERROR(IFERROR(INDEX('Inputs (2)'!$D$65:$AL$65,MATCH(N$7,'Inputs (2)'!$D$2:$AL$2,0)),"")/1000,"")</f>
        <v>0.155</v>
      </c>
      <c r="O42" s="276">
        <f>IFERROR(IFERROR(INDEX('Inputs (2)'!$D$65:$AL$65,MATCH(O$7,'Inputs (2)'!$D$2:$AL$2,0)),"")/1000,"")</f>
        <v>0.149</v>
      </c>
      <c r="P42" s="276">
        <f>IFERROR(IFERROR(INDEX('Inputs (2)'!$D$65:$AL$65,MATCH(P$7,'Inputs (2)'!$D$2:$AL$2,0)),"")/1000,"")</f>
        <v>0.143</v>
      </c>
      <c r="Q42" s="276">
        <f>IFERROR(IFERROR(INDEX('Inputs (2)'!$D$65:$AL$65,MATCH(Q$7,'Inputs (2)'!$D$2:$AL$2,0)),"")/1000,"")</f>
        <v>0.134</v>
      </c>
      <c r="R42" s="277">
        <f>IF(COUNT(Q42)=0,"",Q42)</f>
        <v>0.134</v>
      </c>
      <c r="S42" s="276">
        <f>IFERROR(IFERROR(INDEX('Inputs (2)'!$D$65:$AL$65,MATCH(S$7,'Inputs (2)'!$D$2:$AL$2,0)),"")/1000,"")</f>
        <v>0.137</v>
      </c>
      <c r="T42" s="276">
        <f>IFERROR(IFERROR(INDEX('Inputs (2)'!$D$65:$AL$65,MATCH(T$7,'Inputs (2)'!$D$2:$AL$2,0)),"")/1000,"")</f>
        <v>0.137</v>
      </c>
      <c r="U42" s="276">
        <f>IFERROR(IFERROR(INDEX('Inputs (2)'!$D$65:$AL$65,MATCH(U$7,'Inputs (2)'!$D$2:$AL$2,0)),"")/1000,"")</f>
        <v>0.131</v>
      </c>
      <c r="V42" s="276">
        <f>IFERROR(IFERROR(INDEX('Inputs (2)'!$D$65:$AL$65,MATCH(V$7,'Inputs (2)'!$D$2:$AL$2,0)),"")/1000,"")</f>
        <v>0.101</v>
      </c>
      <c r="W42" s="277">
        <f>IF(COUNT(V42)=0,"",V42)</f>
        <v>0.101</v>
      </c>
      <c r="X42" s="276">
        <f>IFERROR(IFERROR(INDEX('Inputs (2)'!$D$65:$AL$65,MATCH(X$7,'Inputs (2)'!$D$2:$AL$2,0)),"")/1000,"")</f>
        <v>0.086</v>
      </c>
      <c r="Y42" s="276">
        <f>IFERROR(IFERROR(INDEX('Inputs (2)'!$D$65:$AL$65,MATCH(Y$7,'Inputs (2)'!$D$2:$AL$2,0)),"")/1000,"")</f>
        <v>0.086</v>
      </c>
      <c r="Z42" s="276">
        <f>IFERROR(IFERROR(INDEX('Inputs (2)'!$D$65:$AL$65,MATCH(Z$7,'Inputs (2)'!$D$2:$AL$2,0)),"")/1000,"")</f>
        <v>0.074</v>
      </c>
      <c r="AA42" s="276">
        <f>IFERROR(IFERROR(INDEX('Inputs (2)'!$D$65:$AL$65,MATCH(AA$7,'Inputs (2)'!$D$2:$AL$2,0)),"")/1000,"")</f>
        <v>0.068</v>
      </c>
      <c r="AB42" s="277">
        <f>IF(COUNT(AA42)=0,"",AA42)</f>
        <v>0.068</v>
      </c>
      <c r="AC42" s="276">
        <f>IFERROR(IFERROR(INDEX('Inputs (2)'!$D$65:$AL$65,MATCH(AC$7,'Inputs (2)'!$D$2:$AL$2,0)),"")/1000,"")</f>
        <v>0.068</v>
      </c>
      <c r="AD42" s="276">
        <f>IFERROR(IFERROR(INDEX('Inputs (2)'!$D$65:$AL$65,MATCH(AD$7,'Inputs (2)'!$D$2:$AL$2,0)),"")/1000,"")</f>
        <v>0.068</v>
      </c>
      <c r="AE42" s="276">
        <f>IFERROR(IFERROR(INDEX('Inputs (2)'!$D$65:$AL$65,MATCH(AE$7,'Inputs (2)'!$D$2:$AL$2,0)),"")/1000,"")</f>
        <v>0.068</v>
      </c>
      <c r="AF42" s="276">
        <f>IFERROR(IFERROR(INDEX('Inputs (2)'!$D$65:$AL$65,MATCH(AF$7,'Inputs (2)'!$D$2:$AL$2,0)),"")/1000,"")</f>
        <v>0.068</v>
      </c>
      <c r="AG42" s="277">
        <f>IF(COUNT(AF42)=0,"",AF42)</f>
        <v>0.068</v>
      </c>
      <c r="AH42" s="277">
        <f>IFERROR(IFERROR(INDEX('Inputs (2)'!$D$65:$AL$65,MATCH(AH$7,'Inputs (2)'!$D$2:$AL$2,0)),"")/1000,"")</f>
        <v>0.074</v>
      </c>
      <c r="AI42" s="277">
        <f>IFERROR(IFERROR(INDEX('Inputs (2)'!$D$65:$AL$65,MATCH(AI$7,'Inputs (2)'!$D$2:$AL$2,0)),"")/1000,"")</f>
        <v>0.074</v>
      </c>
    </row>
    <row r="43">
      <c r="C43" s="14" t="inlineStr">
        <is>
          <t xml:space="preserve">   Venda por m2 medio - Vivara (R$ mil/m2 no trimestre)</t>
        </is>
      </c>
      <c r="D43" s="276" t="str">
        <f>""</f>
        <v/>
      </c>
      <c r="E43" s="276">
        <f>IFERROR(E19/AVERAGE(E40,D40),"")</f>
        <v>3.14062697063097</v>
      </c>
      <c r="F43" s="276">
        <f>IFERROR(F19/AVERAGE(F40,E40),"")</f>
        <v>11.8390473670698</v>
      </c>
      <c r="G43" s="276">
        <f>IFERROR(G19/AVERAGE(G40,F40),"")</f>
        <v>23.7892493236179</v>
      </c>
      <c r="H43" s="277" t="n"/>
      <c r="I43" s="276">
        <f>IFERROR(I19/AVERAGE(I40,G40),"")</f>
        <v>9.85741869249272</v>
      </c>
      <c r="J43" s="276">
        <f>IFERROR(J19/AVERAGE(J40,I40),"")</f>
        <v>18.08526592332</v>
      </c>
      <c r="K43" s="276">
        <f>IFERROR(K19/AVERAGE(K40,J40),"")</f>
        <v>15.9694884951409</v>
      </c>
      <c r="L43" s="276">
        <f>IFERROR(L19/AVERAGE(L40,K40),"")</f>
        <v>25.8298700725528</v>
      </c>
      <c r="M43" s="277" t="n"/>
      <c r="N43" s="276">
        <f>IFERROR(N19/AVERAGE(N40,L40),"")</f>
        <v>15.3818481685305</v>
      </c>
      <c r="O43" s="276">
        <f>IFERROR(O19/AVERAGE(O40,N40),"")</f>
        <v>22.0468290833254</v>
      </c>
      <c r="P43" s="276">
        <f>IFERROR(P19/AVERAGE(P40,O40),"")</f>
        <v>17.5727213053263</v>
      </c>
      <c r="Q43" s="276">
        <f>IFERROR(Q19/AVERAGE(Q40,P40),"")</f>
        <v>25.9270934804941</v>
      </c>
      <c r="R43" s="277" t="n"/>
      <c r="S43" s="276">
        <f>IFERROR(S19/AVERAGE(S40,Q40),"")</f>
        <v>15.3903072789492</v>
      </c>
      <c r="T43" s="276">
        <f>IFERROR(T19/AVERAGE(T40,S40),"")</f>
        <v>21.2395062421235</v>
      </c>
      <c r="U43" s="276">
        <f>IFERROR(U19/AVERAGE(U40,T40),"")</f>
        <v>17.1845367485842</v>
      </c>
      <c r="V43" s="276">
        <f>IFERROR(V19/AVERAGE(V40,U40),"")</f>
        <v>27.2048006379931</v>
      </c>
      <c r="W43" s="277" t="n"/>
      <c r="X43" s="276">
        <f>IFERROR(X19/AVERAGE(X40,V40),"")</f>
        <v>16.1085254517817</v>
      </c>
      <c r="Y43" s="276">
        <f>IFERROR(Y19/AVERAGE(Y40,X40),"")</f>
        <v>22.892204320058</v>
      </c>
      <c r="Z43" s="276">
        <f>IFERROR(Z19/AVERAGE(Z40,Y40),"")</f>
        <v>18.8977227252006</v>
      </c>
      <c r="AA43" s="276">
        <f>IFERROR(AA19/AVERAGE(AA40,Z40),"")</f>
        <v>29.1125448557668</v>
      </c>
      <c r="AB43" s="277" t="n"/>
      <c r="AC43" s="276">
        <f>IFERROR(AC19/AVERAGE(AC40,AA40),"")</f>
        <v>17.5883851323072</v>
      </c>
      <c r="AD43" s="276">
        <f>IFERROR(AD19/AVERAGE(AD40,AC40),"")</f>
        <v>25.2742028962094</v>
      </c>
      <c r="AE43" s="276">
        <f>IFERROR(AE19/AVERAGE(AE40,AD40),"")</f>
        <v>21.570059185167</v>
      </c>
      <c r="AF43" s="276">
        <f>IFERROR(AF19/AVERAGE(AF40,AE40),"")</f>
        <v>32.5624244285358</v>
      </c>
      <c r="AG43" s="277" t="n"/>
      <c r="AH43" s="277">
        <f>IFERROR(AH19/AVERAGE(AH40,AF40),"")</f>
        <v>19.3762616016056</v>
      </c>
      <c r="AI43" s="277">
        <f>IFERROR(AI19/AVERAGE(AI40,AH40),"")</f>
        <v>26.6261910206506</v>
      </c>
    </row>
    <row r="44">
      <c r="C44" s="14" t="inlineStr">
        <is>
          <t xml:space="preserve">   Venda por m2 medio - Life (R$ mil/m2 no trimestre)</t>
        </is>
      </c>
      <c r="D44" s="276" t="str">
        <f>""</f>
        <v/>
      </c>
      <c r="E44" s="276">
        <f>IFERROR(E20/AVERAGE(E41,D41),"")</f>
        <v>0.793331541389153</v>
      </c>
      <c r="F44" s="276">
        <f>IFERROR(F20/AVERAGE(F41,E41),"")</f>
        <v>7.36594663021764</v>
      </c>
      <c r="G44" s="276">
        <f>IFERROR(G20/AVERAGE(G41,F41),"")</f>
        <v>20.4941610735931</v>
      </c>
      <c r="H44" s="277" t="n"/>
      <c r="I44" s="276">
        <f>IFERROR(I20/AVERAGE(I41,G41),"")</f>
        <v>7.3755827893175</v>
      </c>
      <c r="J44" s="276">
        <f>IFERROR(J20/AVERAGE(J41,I41),"")</f>
        <v>13.7485182017544</v>
      </c>
      <c r="K44" s="276">
        <f>IFERROR(K20/AVERAGE(K41,J41),"")</f>
        <v>13.1349364451246</v>
      </c>
      <c r="L44" s="276">
        <f>IFERROR(L20/AVERAGE(L41,K41),"")</f>
        <v>22.3024414499696</v>
      </c>
      <c r="M44" s="277" t="n"/>
      <c r="N44" s="276">
        <f>IFERROR(N20/AVERAGE(N41,L41),"")</f>
        <v>11.0685089687921</v>
      </c>
      <c r="O44" s="276">
        <f>IFERROR(O20/AVERAGE(O41,N41),"")</f>
        <v>15.2510685746144</v>
      </c>
      <c r="P44" s="276">
        <f>IFERROR(P20/AVERAGE(P41,O41),"")</f>
        <v>12.2394428804267</v>
      </c>
      <c r="Q44" s="276">
        <f>IFERROR(Q20/AVERAGE(Q41,P41),"")</f>
        <v>22.9307125491463</v>
      </c>
      <c r="R44" s="277" t="n"/>
      <c r="S44" s="276">
        <f>IFERROR(S20/AVERAGE(S41,Q41),"")</f>
        <v>11.7004673067352</v>
      </c>
      <c r="T44" s="276">
        <f>IFERROR(T20/AVERAGE(T41,S41),"")</f>
        <v>16.4998666450936</v>
      </c>
      <c r="U44" s="276">
        <f>IFERROR(U20/AVERAGE(U41,T41),"")</f>
        <v>12.332874031404</v>
      </c>
      <c r="V44" s="276">
        <f>IFERROR(V20/AVERAGE(V41,U41),"")</f>
        <v>23.3018460188354</v>
      </c>
      <c r="W44" s="277" t="n"/>
      <c r="X44" s="276">
        <f>IFERROR(X20/AVERAGE(X41,V41),"")</f>
        <v>11.3240522915658</v>
      </c>
      <c r="Y44" s="276">
        <f>IFERROR(Y20/AVERAGE(Y41,X41),"")</f>
        <v>15.7860083379967</v>
      </c>
      <c r="Z44" s="276">
        <f>IFERROR(Z20/AVERAGE(Z41,Y41),"")</f>
        <v>11.179539650161</v>
      </c>
      <c r="AA44" s="276">
        <f>IFERROR(AA20/AVERAGE(AA41,Z41),"")</f>
        <v>20.0783421183722</v>
      </c>
      <c r="AB44" s="277" t="n"/>
      <c r="AC44" s="276">
        <f>IFERROR(AC20/AVERAGE(AC41,AA41),"")</f>
        <v>9.90255332281646</v>
      </c>
      <c r="AD44" s="276">
        <f>IFERROR(AD20/AVERAGE(AD41,AC41),"")</f>
        <v>14.7318319108113</v>
      </c>
      <c r="AE44" s="276">
        <f>IFERROR(AE20/AVERAGE(AE41,AD41),"")</f>
        <v>10.4591778867797</v>
      </c>
      <c r="AF44" s="276">
        <f>IFERROR(AF20/AVERAGE(AF41,AE41),"")</f>
        <v>19.4527860665099</v>
      </c>
      <c r="AG44" s="277" t="n"/>
      <c r="AH44" s="277">
        <f>IFERROR(AH20/AVERAGE(AH41,AF41),"")</f>
        <v>9.59475460395663</v>
      </c>
      <c r="AI44" s="277">
        <f>IFERROR(AI20/AVERAGE(AI41,AH41),"")</f>
        <v>13.8916139971115</v>
      </c>
    </row>
    <row r="45">
      <c r="C45" s="14" t="inlineStr">
        <is>
          <t>SSS lojas fisicas</t>
        </is>
      </c>
      <c r="D45" s="272">
        <f>IFERROR(INDEX('Inputs (2)'!$D$66:$AL$66,MATCH(D$7,'Inputs (2)'!$D$2:$AL$2,0)),"")</f>
        <v>-0.1</v>
      </c>
      <c r="E45" s="272">
        <f>IFERROR(INDEX('Inputs (2)'!$D$66:$AL$66,MATCH(E$7,'Inputs (2)'!$D$2:$AL$2,0)),"")</f>
        <v>-0.835</v>
      </c>
      <c r="F45" s="272">
        <f>IFERROR(INDEX('Inputs (2)'!$D$66:$AL$66,MATCH(F$7,'Inputs (2)'!$D$2:$AL$2,0)),"")</f>
        <v>-0.219</v>
      </c>
      <c r="G45" s="272">
        <f>IFERROR(INDEX('Inputs (2)'!$D$66:$AL$66,MATCH(G$7,'Inputs (2)'!$D$2:$AL$2,0)),"")</f>
        <v>-0.02</v>
      </c>
      <c r="H45" s="273" t="n"/>
      <c r="I45" s="272">
        <f>IFERROR(INDEX('Inputs (2)'!$D$66:$AL$66,MATCH(I$7,'Inputs (2)'!$D$2:$AL$2,0)),"")</f>
        <v>-0.125466298143871</v>
      </c>
      <c r="J45" s="272">
        <f>IFERROR(INDEX('Inputs (2)'!$D$66:$AL$66,MATCH(J$7,'Inputs (2)'!$D$2:$AL$2,0)),"")</f>
        <v>5.045</v>
      </c>
      <c r="K45" s="272">
        <f>IFERROR(INDEX('Inputs (2)'!$D$66:$AL$66,MATCH(K$7,'Inputs (2)'!$D$2:$AL$2,0)),"")</f>
        <v>0.453119998671124</v>
      </c>
      <c r="L45" s="272">
        <f>IFERROR(INDEX('Inputs (2)'!$D$66:$AL$66,MATCH(L$7,'Inputs (2)'!$D$2:$AL$2,0)),"")</f>
        <v>0.153</v>
      </c>
      <c r="M45" s="273" t="n"/>
      <c r="N45" s="272">
        <f>IFERROR(INDEX('Inputs (2)'!$D$66:$AL$66,MATCH(N$7,'Inputs (2)'!$D$2:$AL$2,0)),"")</f>
        <v>0.615</v>
      </c>
      <c r="O45" s="272">
        <f>IFERROR(INDEX('Inputs (2)'!$D$66:$AL$66,MATCH(O$7,'Inputs (2)'!$D$2:$AL$2,0)),"")</f>
        <v>0.310230333870975</v>
      </c>
      <c r="P45" s="272">
        <f>IFERROR(INDEX('Inputs (2)'!$D$66:$AL$66,MATCH(P$7,'Inputs (2)'!$D$2:$AL$2,0)),"")</f>
        <v>0.142919974416132</v>
      </c>
      <c r="Q45" s="272">
        <f>IFERROR(INDEX('Inputs (2)'!$D$66:$AL$66,MATCH(Q$7,'Inputs (2)'!$D$2:$AL$2,0)),"")</f>
        <v>0.044228440495846</v>
      </c>
      <c r="R45" s="273" t="n"/>
      <c r="S45" s="272">
        <f>IFERROR(INDEX('Inputs (2)'!$D$66:$AL$66,MATCH(S$7,'Inputs (2)'!$D$2:$AL$2,0)),"")</f>
        <v>0.0737525678448734</v>
      </c>
      <c r="T45" s="272">
        <f>IFERROR(INDEX('Inputs (2)'!$D$66:$AL$66,MATCH(T$7,'Inputs (2)'!$D$2:$AL$2,0)),"")</f>
        <v>0.0488582297698719</v>
      </c>
      <c r="U45" s="272">
        <f>IFERROR(INDEX('Inputs (2)'!$D$66:$AL$66,MATCH(U$7,'Inputs (2)'!$D$2:$AL$2,0)),"")</f>
        <v>0.0607000150409311</v>
      </c>
      <c r="V45" s="272">
        <f>IFERROR(INDEX('Inputs (2)'!$D$66:$AL$66,MATCH(V$7,'Inputs (2)'!$D$2:$AL$2,0)),"")</f>
        <v>0.118139791809915</v>
      </c>
      <c r="W45" s="273" t="n"/>
      <c r="X45" s="272">
        <f>IFERROR(INDEX('Inputs (2)'!$D$66:$AL$66,MATCH(X$7,'Inputs (2)'!$D$2:$AL$2,0)),"")</f>
        <v>0.095727734876653</v>
      </c>
      <c r="Y45" s="272">
        <f>IFERROR(INDEX('Inputs (2)'!$D$66:$AL$66,MATCH(Y$7,'Inputs (2)'!$D$2:$AL$2,0)),"")</f>
        <v>0.129</v>
      </c>
      <c r="Z45" s="272">
        <f>IFERROR(INDEX('Inputs (2)'!$D$66:$AL$66,MATCH(Z$7,'Inputs (2)'!$D$2:$AL$2,0)),"")</f>
        <v>0.135</v>
      </c>
      <c r="AA45" s="272">
        <f>IFERROR(INDEX('Inputs (2)'!$D$66:$AL$66,MATCH(AA$7,'Inputs (2)'!$D$2:$AL$2,0)),"")</f>
        <v>0.103</v>
      </c>
      <c r="AB45" s="273" t="n"/>
      <c r="AC45" s="272">
        <f>IFERROR(INDEX('Inputs (2)'!$D$66:$AL$66,MATCH(AC$7,'Inputs (2)'!$D$2:$AL$2,0)),"")</f>
        <v>0.101</v>
      </c>
      <c r="AD45" s="272">
        <f>IFERROR(INDEX('Inputs (2)'!$D$66:$AL$66,MATCH(AD$7,'Inputs (2)'!$D$2:$AL$2,0)),"")</f>
        <v>0.11</v>
      </c>
      <c r="AE45" s="272">
        <f>IFERROR(INDEX('Inputs (2)'!$D$66:$AL$66,MATCH(AE$7,'Inputs (2)'!$D$2:$AL$2,0)),"")</f>
        <v>0.104</v>
      </c>
      <c r="AF45" s="272">
        <f>IFERROR(INDEX('Inputs (2)'!$D$66:$AL$66,MATCH(AF$7,'Inputs (2)'!$D$2:$AL$2,0)),"")</f>
        <v>0.112</v>
      </c>
      <c r="AG45" s="273" t="n"/>
      <c r="AH45" s="273">
        <f>IFERROR(INDEX('Inputs (2)'!$D$66:$AL$66,MATCH(AH$7,'Inputs (2)'!$D$2:$AL$2,0)),"")</f>
        <v>0.097</v>
      </c>
      <c r="AI45" s="273">
        <f>IFERROR(INDEX('Inputs (2)'!$D$66:$AL$66,MATCH(AI$7,'Inputs (2)'!$D$2:$AL$2,0)),"")</f>
        <v>0.0593424377662906</v>
      </c>
    </row>
    <row r="46">
      <c r="C46" s="14" t="inlineStr">
        <is>
          <t xml:space="preserve">   SSS Vivara</t>
        </is>
      </c>
      <c r="D46" s="272">
        <f>IFERROR(INDEX('Inputs (2)'!$D$67:$AL$67,MATCH(D$7,'Inputs (2)'!$D$2:$AL$2,0)),"")</f>
        <v>-0.0965073749255857</v>
      </c>
      <c r="E46" s="272">
        <f>IFERROR(INDEX('Inputs (2)'!$D$67:$AL$67,MATCH(E$7,'Inputs (2)'!$D$2:$AL$2,0)),"")</f>
        <v>-0.829223642581109</v>
      </c>
      <c r="F46" s="272">
        <f>IFERROR(INDEX('Inputs (2)'!$D$67:$AL$67,MATCH(F$7,'Inputs (2)'!$D$2:$AL$2,0)),"")</f>
        <v>-0.211252174347752</v>
      </c>
      <c r="G46" s="272">
        <f>IFERROR(INDEX('Inputs (2)'!$D$67:$AL$67,MATCH(G$7,'Inputs (2)'!$D$2:$AL$2,0)),"")</f>
        <v>-0.0186591332314393</v>
      </c>
      <c r="H46" s="273" t="n"/>
      <c r="I46" s="272">
        <f>IFERROR(INDEX('Inputs (2)'!$D$67:$AL$67,MATCH(I$7,'Inputs (2)'!$D$2:$AL$2,0)),"")</f>
        <v>-0.119835038274024</v>
      </c>
      <c r="J46" s="272">
        <f>IFERROR(INDEX('Inputs (2)'!$D$67:$AL$67,MATCH(J$7,'Inputs (2)'!$D$2:$AL$2,0)),"")</f>
        <v>4.92684276942364</v>
      </c>
      <c r="K46" s="272">
        <f>IFERROR(INDEX('Inputs (2)'!$D$67:$AL$67,MATCH(K$7,'Inputs (2)'!$D$2:$AL$2,0)),"")</f>
        <v>0.444960255934368</v>
      </c>
      <c r="L46" s="272">
        <f>IFERROR(INDEX('Inputs (2)'!$D$67:$AL$67,MATCH(L$7,'Inputs (2)'!$D$2:$AL$2,0)),"")</f>
        <v>0.153188146442629</v>
      </c>
      <c r="M46" s="273" t="n"/>
      <c r="N46" s="272">
        <f>IFERROR(INDEX('Inputs (2)'!$D$67:$AL$67,MATCH(N$7,'Inputs (2)'!$D$2:$AL$2,0)),"")</f>
        <v>0.60165365589349</v>
      </c>
      <c r="O46" s="272">
        <f>IFERROR(INDEX('Inputs (2)'!$D$67:$AL$67,MATCH(O$7,'Inputs (2)'!$D$2:$AL$2,0)),"")</f>
        <v>0.30534247130009</v>
      </c>
      <c r="P46" s="272">
        <f>IFERROR(INDEX('Inputs (2)'!$D$67:$AL$67,MATCH(P$7,'Inputs (2)'!$D$2:$AL$2,0)),"")</f>
        <v>0.145429547819626</v>
      </c>
      <c r="Q46" s="272">
        <f>IFERROR(INDEX('Inputs (2)'!$D$67:$AL$67,MATCH(Q$7,'Inputs (2)'!$D$2:$AL$2,0)),"")</f>
        <v>0.0497596678798922</v>
      </c>
      <c r="R46" s="273" t="n"/>
      <c r="S46" s="272">
        <f>IFERROR(INDEX('Inputs (2)'!$D$67:$AL$67,MATCH(S$7,'Inputs (2)'!$D$2:$AL$2,0)),"")</f>
        <v>0.0619193662370547</v>
      </c>
      <c r="T46" s="272">
        <f>IFERROR(INDEX('Inputs (2)'!$D$67:$AL$67,MATCH(T$7,'Inputs (2)'!$D$2:$AL$2,0)),"")</f>
        <v>0.0152467923543271</v>
      </c>
      <c r="U46" s="272">
        <f>IFERROR(INDEX('Inputs (2)'!$D$67:$AL$67,MATCH(U$7,'Inputs (2)'!$D$2:$AL$2,0)),"")</f>
        <v>0.0275052080954539</v>
      </c>
      <c r="V46" s="272">
        <f>IFERROR(INDEX('Inputs (2)'!$D$67:$AL$67,MATCH(V$7,'Inputs (2)'!$D$2:$AL$2,0)),"")</f>
        <v>0.0968379335867793</v>
      </c>
      <c r="W46" s="273" t="n"/>
      <c r="X46" s="272">
        <f>IFERROR(INDEX('Inputs (2)'!$D$67:$AL$67,MATCH(X$7,'Inputs (2)'!$D$2:$AL$2,0)),"")</f>
        <v>0.076919670218859</v>
      </c>
      <c r="Y46" s="272">
        <f>IFERROR(INDEX('Inputs (2)'!$D$67:$AL$67,MATCH(Y$7,'Inputs (2)'!$D$2:$AL$2,0)),"")</f>
        <v>0.126</v>
      </c>
      <c r="Z46" s="272">
        <f>IFERROR(INDEX('Inputs (2)'!$D$67:$AL$67,MATCH(Z$7,'Inputs (2)'!$D$2:$AL$2,0)),"")</f>
        <v>0.14</v>
      </c>
      <c r="AA46" s="272">
        <f>IFERROR(INDEX('Inputs (2)'!$D$67:$AL$67,MATCH(AA$7,'Inputs (2)'!$D$2:$AL$2,0)),"")</f>
        <v>0.1</v>
      </c>
      <c r="AB46" s="273" t="n"/>
      <c r="AC46" s="272">
        <f>IFERROR(INDEX('Inputs (2)'!$D$67:$AL$67,MATCH(AC$7,'Inputs (2)'!$D$2:$AL$2,0)),"")</f>
        <v>0.113</v>
      </c>
      <c r="AD46" s="272">
        <f>IFERROR(INDEX('Inputs (2)'!$D$67:$AL$67,MATCH(AD$7,'Inputs (2)'!$D$2:$AL$2,0)),"")</f>
        <v>0.119</v>
      </c>
      <c r="AE46" s="272">
        <f>IFERROR(INDEX('Inputs (2)'!$D$67:$AL$67,MATCH(AE$7,'Inputs (2)'!$D$2:$AL$2,0)),"")</f>
        <v>0.147</v>
      </c>
      <c r="AF46" s="272">
        <f>IFERROR(INDEX('Inputs (2)'!$D$67:$AL$67,MATCH(AF$7,'Inputs (2)'!$D$2:$AL$2,0)),"")</f>
        <v>0.122</v>
      </c>
      <c r="AG46" s="273" t="n"/>
      <c r="AH46" s="273">
        <f>IFERROR(INDEX('Inputs (2)'!$D$67:$AL$67,MATCH(AH$7,'Inputs (2)'!$D$2:$AL$2,0)),"")</f>
        <v>0.108</v>
      </c>
      <c r="AI46" s="273">
        <f>IFERROR(INDEX('Inputs (2)'!$D$67:$AL$67,MATCH(AI$7,'Inputs (2)'!$D$2:$AL$2,0)),"")</f>
        <v>0.0653847414686888</v>
      </c>
    </row>
    <row r="47">
      <c r="C47" s="14" t="inlineStr">
        <is>
          <t xml:space="preserve">   SSS Life</t>
        </is>
      </c>
      <c r="D47" s="272">
        <f>IFERROR(INDEX('Inputs (2)'!$D$68:$AL$68,MATCH(D$7,'Inputs (2)'!$D$2:$AL$2,0)),"")</f>
        <v>-0.175871227616046</v>
      </c>
      <c r="E47" s="272">
        <f>IFERROR(INDEX('Inputs (2)'!$D$68:$AL$68,MATCH(E$7,'Inputs (2)'!$D$2:$AL$2,0)),"")</f>
        <v>-0.937761975302442</v>
      </c>
      <c r="F47" s="272">
        <f>IFERROR(INDEX('Inputs (2)'!$D$68:$AL$68,MATCH(F$7,'Inputs (2)'!$D$2:$AL$2,0)),"")</f>
        <v>-0.42798257658645</v>
      </c>
      <c r="G47" s="272">
        <f>IFERROR(INDEX('Inputs (2)'!$D$68:$AL$68,MATCH(G$7,'Inputs (2)'!$D$2:$AL$2,0)),"")</f>
        <v>-0.129141448336747</v>
      </c>
      <c r="H47" s="273" t="n"/>
      <c r="I47" s="272">
        <f>IFERROR(INDEX('Inputs (2)'!$D$68:$AL$68,MATCH(I$7,'Inputs (2)'!$D$2:$AL$2,0)),"")</f>
        <v>-0.164187173845328</v>
      </c>
      <c r="J47" s="272">
        <f>IFERROR(INDEX('Inputs (2)'!$D$68:$AL$68,MATCH(J$7,'Inputs (2)'!$D$2:$AL$2,0)),"")</f>
        <v>16.5692296822868</v>
      </c>
      <c r="K47" s="272">
        <f>IFERROR(INDEX('Inputs (2)'!$D$68:$AL$68,MATCH(K$7,'Inputs (2)'!$D$2:$AL$2,0)),"")</f>
        <v>0.877211674029981</v>
      </c>
      <c r="L47" s="272">
        <f>IFERROR(INDEX('Inputs (2)'!$D$68:$AL$68,MATCH(L$7,'Inputs (2)'!$D$2:$AL$2,0)),"")</f>
        <v>0.305700224715897</v>
      </c>
      <c r="M47" s="273" t="n"/>
      <c r="N47" s="272">
        <f>IFERROR(INDEX('Inputs (2)'!$D$68:$AL$68,MATCH(N$7,'Inputs (2)'!$D$2:$AL$2,0)),"")</f>
        <v>1.06680254575013</v>
      </c>
      <c r="O47" s="272">
        <f>IFERROR(INDEX('Inputs (2)'!$D$68:$AL$68,MATCH(O$7,'Inputs (2)'!$D$2:$AL$2,0)),"")</f>
        <v>0.735271966995502</v>
      </c>
      <c r="P47" s="272">
        <f>IFERROR(INDEX('Inputs (2)'!$D$68:$AL$68,MATCH(P$7,'Inputs (2)'!$D$2:$AL$2,0)),"")</f>
        <v>0.545969826668193</v>
      </c>
      <c r="Q47" s="272">
        <f>IFERROR(INDEX('Inputs (2)'!$D$68:$AL$68,MATCH(Q$7,'Inputs (2)'!$D$2:$AL$2,0)),"")</f>
        <v>0.313625640931945</v>
      </c>
      <c r="R47" s="273" t="n"/>
      <c r="S47" s="272">
        <f>IFERROR(INDEX('Inputs (2)'!$D$68:$AL$68,MATCH(S$7,'Inputs (2)'!$D$2:$AL$2,0)),"")</f>
        <v>0.344381174772973</v>
      </c>
      <c r="T47" s="272">
        <f>IFERROR(INDEX('Inputs (2)'!$D$68:$AL$68,MATCH(T$7,'Inputs (2)'!$D$2:$AL$2,0)),"")</f>
        <v>0.376092684564252</v>
      </c>
      <c r="U47" s="272">
        <f>IFERROR(INDEX('Inputs (2)'!$D$68:$AL$68,MATCH(U$7,'Inputs (2)'!$D$2:$AL$2,0)),"")</f>
        <v>0.381385178312657</v>
      </c>
      <c r="V47" s="272">
        <f>IFERROR(INDEX('Inputs (2)'!$D$68:$AL$68,MATCH(V$7,'Inputs (2)'!$D$2:$AL$2,0)),"")</f>
        <v>0.24670332828833</v>
      </c>
      <c r="W47" s="273" t="n"/>
      <c r="X47" s="272">
        <f>IFERROR(INDEX('Inputs (2)'!$D$68:$AL$68,MATCH(X$7,'Inputs (2)'!$D$2:$AL$2,0)),"")</f>
        <v>0.164629413278384</v>
      </c>
      <c r="Y47" s="272">
        <f>IFERROR(INDEX('Inputs (2)'!$D$68:$AL$68,MATCH(Y$7,'Inputs (2)'!$D$2:$AL$2,0)),"")</f>
        <v>0.167</v>
      </c>
      <c r="Z47" s="272">
        <f>IFERROR(INDEX('Inputs (2)'!$D$68:$AL$68,MATCH(Z$7,'Inputs (2)'!$D$2:$AL$2,0)),"")</f>
        <v>0.139</v>
      </c>
      <c r="AA47" s="272">
        <f>IFERROR(INDEX('Inputs (2)'!$D$68:$AL$68,MATCH(AA$7,'Inputs (2)'!$D$2:$AL$2,0)),"")</f>
        <v>0.117</v>
      </c>
      <c r="AB47" s="273" t="n"/>
      <c r="AC47" s="272">
        <f>IFERROR(INDEX('Inputs (2)'!$D$68:$AL$68,MATCH(AC$7,'Inputs (2)'!$D$2:$AL$2,0)),"")</f>
        <v>0.063</v>
      </c>
      <c r="AD47" s="272">
        <f>IFERROR(INDEX('Inputs (2)'!$D$68:$AL$68,MATCH(AD$7,'Inputs (2)'!$D$2:$AL$2,0)),"")</f>
        <v>0.091</v>
      </c>
      <c r="AE47" s="272">
        <f>IFERROR(INDEX('Inputs (2)'!$D$68:$AL$68,MATCH(AE$7,'Inputs (2)'!$D$2:$AL$2,0)),"")</f>
        <v>0.076</v>
      </c>
      <c r="AF47" s="272">
        <f>IFERROR(INDEX('Inputs (2)'!$D$68:$AL$68,MATCH(AF$7,'Inputs (2)'!$D$2:$AL$2,0)),"")</f>
        <v>0.084</v>
      </c>
      <c r="AG47" s="273" t="n"/>
      <c r="AH47" s="273">
        <f>IFERROR(INDEX('Inputs (2)'!$D$68:$AL$68,MATCH(AH$7,'Inputs (2)'!$D$2:$AL$2,0)),"")</f>
        <v>0.062</v>
      </c>
      <c r="AI47" s="273">
        <f>IFERROR(INDEX('Inputs (2)'!$D$68:$AL$68,MATCH(AI$7,'Inputs (2)'!$D$2:$AL$2,0)),"")</f>
        <v>0.0431466345000111</v>
      </c>
    </row>
    <row r="48"/>
    <row r="49">
      <c r="C49" s="12" t="inlineStr">
        <is>
          <t>Capex por destino (DadosOperacionais; R$ milhoes)</t>
        </is>
      </c>
      <c r="D49" s="12" t="str">
        <f>D7</f>
        <v>1Q20</v>
      </c>
      <c r="E49" s="12" t="str">
        <f>E7</f>
        <v>2Q20</v>
      </c>
      <c r="F49" s="12" t="str">
        <f>F7</f>
        <v>3Q20</v>
      </c>
      <c r="G49" s="12" t="str">
        <f>G7</f>
        <v>4Q20</v>
      </c>
      <c r="H49" s="12">
        <f>H7</f>
        <v>2020</v>
      </c>
      <c r="I49" s="12" t="str">
        <f>I7</f>
        <v>1Q21</v>
      </c>
      <c r="J49" s="12" t="str">
        <f>J7</f>
        <v>2Q21</v>
      </c>
      <c r="K49" s="12" t="str">
        <f>K7</f>
        <v>3Q21</v>
      </c>
      <c r="L49" s="12" t="str">
        <f>L7</f>
        <v>4Q21</v>
      </c>
      <c r="M49" s="12">
        <f>M7</f>
        <v>2021</v>
      </c>
      <c r="N49" s="12" t="str">
        <f>N7</f>
        <v>1Q22</v>
      </c>
      <c r="O49" s="12" t="str">
        <f>O7</f>
        <v>2Q22</v>
      </c>
      <c r="P49" s="12" t="str">
        <f>P7</f>
        <v>3Q22</v>
      </c>
      <c r="Q49" s="12" t="str">
        <f>Q7</f>
        <v>4Q22</v>
      </c>
      <c r="R49" s="12">
        <f>R7</f>
        <v>2022</v>
      </c>
      <c r="S49" s="12" t="str">
        <f>S7</f>
        <v>1Q23</v>
      </c>
      <c r="T49" s="12" t="str">
        <f>T7</f>
        <v>2Q23</v>
      </c>
      <c r="U49" s="12" t="str">
        <f>U7</f>
        <v>3Q23</v>
      </c>
      <c r="V49" s="12" t="str">
        <f>V7</f>
        <v>4Q23</v>
      </c>
      <c r="W49" s="12">
        <f>W7</f>
        <v>2023</v>
      </c>
      <c r="X49" s="12" t="str">
        <f>X7</f>
        <v>1Q24</v>
      </c>
      <c r="Y49" s="12" t="str">
        <f>Y7</f>
        <v>2Q24</v>
      </c>
      <c r="Z49" s="12" t="str">
        <f>Z7</f>
        <v>3Q24</v>
      </c>
      <c r="AA49" s="12" t="str">
        <f>AA7</f>
        <v>4Q24</v>
      </c>
      <c r="AB49" s="12">
        <f>AB7</f>
        <v>2024</v>
      </c>
      <c r="AC49" s="12" t="str">
        <f>AC7</f>
        <v>1Q25</v>
      </c>
      <c r="AD49" s="12" t="str">
        <f>AD7</f>
        <v>2Q25</v>
      </c>
      <c r="AE49" s="12" t="str">
        <f>AE7</f>
        <v>3Q25</v>
      </c>
      <c r="AF49" s="12" t="str">
        <f>AF7</f>
        <v>4Q25</v>
      </c>
      <c r="AG49" s="12">
        <f>AG7</f>
        <v>2025</v>
      </c>
      <c r="AH49" s="12" t="str">
        <f>AH7</f>
        <v>1Q26</v>
      </c>
      <c r="AI49" s="12" t="str">
        <f>AI7</f>
        <v>2Q26</v>
      </c>
    </row>
    <row r="50">
      <c r="C50" s="14" t="inlineStr">
        <is>
          <t xml:space="preserve">   Novas lojas</t>
        </is>
      </c>
      <c r="D50" s="269">
        <f>IFERROR(INDEX('Inputs (2)'!$D$69:$AL$69,MATCH(D$7,'Inputs (2)'!$D$2:$AL$2,0)),"")</f>
        <v>9.633</v>
      </c>
      <c r="E50" s="269">
        <f>IFERROR(INDEX('Inputs (2)'!$D$69:$AL$69,MATCH(E$7,'Inputs (2)'!$D$2:$AL$2,0)),"")</f>
        <v>9.607</v>
      </c>
      <c r="F50" s="269">
        <f>IFERROR(INDEX('Inputs (2)'!$D$69:$AL$69,MATCH(F$7,'Inputs (2)'!$D$2:$AL$2,0)),"")</f>
        <v>2.314</v>
      </c>
      <c r="G50" s="269">
        <f>IFERROR(INDEX('Inputs (2)'!$D$69:$AL$69,MATCH(G$7,'Inputs (2)'!$D$2:$AL$2,0)),"")</f>
        <v>3.63342676902701</v>
      </c>
      <c r="H50" s="270">
        <f>IF(COUNT(D50:G50)=4,SUM(D50:G50),"")</f>
        <v>25.187426769027</v>
      </c>
      <c r="I50" s="269">
        <f>IFERROR(INDEX('Inputs (2)'!$D$69:$AL$69,MATCH(I$7,'Inputs (2)'!$D$2:$AL$2,0)),"")</f>
        <v>4.78720383999999</v>
      </c>
      <c r="J50" s="269">
        <f>IFERROR(INDEX('Inputs (2)'!$D$69:$AL$69,MATCH(J$7,'Inputs (2)'!$D$2:$AL$2,0)),"")</f>
        <v>12.19940086</v>
      </c>
      <c r="K50" s="269">
        <f>IFERROR(INDEX('Inputs (2)'!$D$69:$AL$69,MATCH(K$7,'Inputs (2)'!$D$2:$AL$2,0)),"")</f>
        <v>17.87671094</v>
      </c>
      <c r="L50" s="269">
        <f>IFERROR(INDEX('Inputs (2)'!$D$69:$AL$69,MATCH(L$7,'Inputs (2)'!$D$2:$AL$2,0)),"")</f>
        <v>22.6173059399999</v>
      </c>
      <c r="M50" s="270">
        <f>IF(COUNT(I50:L50)=4,SUM(I50:L50),"")</f>
        <v>57.4806215799999</v>
      </c>
      <c r="N50" s="269">
        <f>IFERROR(INDEX('Inputs (2)'!$D$69:$AL$69,MATCH(N$7,'Inputs (2)'!$D$2:$AL$2,0)),"")</f>
        <v>10.39556357</v>
      </c>
      <c r="O50" s="269">
        <f>IFERROR(INDEX('Inputs (2)'!$D$69:$AL$69,MATCH(O$7,'Inputs (2)'!$D$2:$AL$2,0)),"")</f>
        <v>16.4116800820542</v>
      </c>
      <c r="P50" s="269">
        <f>IFERROR(INDEX('Inputs (2)'!$D$69:$AL$69,MATCH(P$7,'Inputs (2)'!$D$2:$AL$2,0)),"")</f>
        <v>25.9962853326513</v>
      </c>
      <c r="Q50" s="269">
        <f>IFERROR(INDEX('Inputs (2)'!$D$69:$AL$69,MATCH(Q$7,'Inputs (2)'!$D$2:$AL$2,0)),"")</f>
        <v>15.73572139</v>
      </c>
      <c r="R50" s="270">
        <f>IF(COUNT(N50:Q50)=4,SUM(N50:Q50),"")</f>
        <v>68.5392503747055</v>
      </c>
      <c r="S50" s="269">
        <f>IFERROR(INDEX('Inputs (2)'!$D$69:$AL$69,MATCH(S$7,'Inputs (2)'!$D$2:$AL$2,0)),"")</f>
        <v>15.42769837</v>
      </c>
      <c r="T50" s="269">
        <f>IFERROR(INDEX('Inputs (2)'!$D$69:$AL$69,MATCH(T$7,'Inputs (2)'!$D$2:$AL$2,0)),"")</f>
        <v>11.70982664</v>
      </c>
      <c r="U50" s="269">
        <f>IFERROR(INDEX('Inputs (2)'!$D$69:$AL$69,MATCH(U$7,'Inputs (2)'!$D$2:$AL$2,0)),"")</f>
        <v>22.87208977</v>
      </c>
      <c r="V50" s="269">
        <f>IFERROR(INDEX('Inputs (2)'!$D$69:$AL$69,MATCH(V$7,'Inputs (2)'!$D$2:$AL$2,0)),"")</f>
        <v>22.90289341</v>
      </c>
      <c r="W50" s="270">
        <f>IF(COUNT(S50:V50)=4,SUM(S50:V50),"")</f>
        <v>72.91250819</v>
      </c>
      <c r="X50" s="269">
        <f>IFERROR(INDEX('Inputs (2)'!$D$69:$AL$69,MATCH(X$7,'Inputs (2)'!$D$2:$AL$2,0)),"")</f>
        <v>19.07592275</v>
      </c>
      <c r="Y50" s="269">
        <f>IFERROR(INDEX('Inputs (2)'!$D$69:$AL$69,MATCH(Y$7,'Inputs (2)'!$D$2:$AL$2,0)),"")</f>
        <v>16.3579258199997</v>
      </c>
      <c r="Z50" s="269">
        <f>IFERROR(INDEX('Inputs (2)'!$D$69:$AL$69,MATCH(Z$7,'Inputs (2)'!$D$2:$AL$2,0)),"")</f>
        <v>16.510572</v>
      </c>
      <c r="AA50" s="269">
        <f>IFERROR(INDEX('Inputs (2)'!$D$69:$AL$69,MATCH(AA$7,'Inputs (2)'!$D$2:$AL$2,0)),"")</f>
        <v>17.0140205554506</v>
      </c>
      <c r="AB50" s="270">
        <f>IF(COUNT(X50:AA50)=4,SUM(X50:AA50),"")</f>
        <v>68.9584411254502</v>
      </c>
      <c r="AC50" s="269">
        <f>IFERROR(INDEX('Inputs (2)'!$D$69:$AL$69,MATCH(AC$7,'Inputs (2)'!$D$2:$AL$2,0)),"")</f>
        <v>4.69943996</v>
      </c>
      <c r="AD50" s="269">
        <f>IFERROR(INDEX('Inputs (2)'!$D$69:$AL$69,MATCH(AD$7,'Inputs (2)'!$D$2:$AL$2,0)),"")</f>
        <v>5.78812276999998</v>
      </c>
      <c r="AE50" s="269">
        <f>IFERROR(INDEX('Inputs (2)'!$D$69:$AL$69,MATCH(AE$7,'Inputs (2)'!$D$2:$AL$2,0)),"")</f>
        <v>5.70677871999998</v>
      </c>
      <c r="AF50" s="269">
        <f>IFERROR(INDEX('Inputs (2)'!$D$69:$AL$69,MATCH(AF$7,'Inputs (2)'!$D$2:$AL$2,0)),"")</f>
        <v>12.87691712</v>
      </c>
      <c r="AG50" s="270">
        <f>IF(COUNT(AC50:AF50)=4,SUM(AC50:AF50),"")</f>
        <v>29.0712585699999</v>
      </c>
      <c r="AH50" s="270">
        <f>IFERROR(INDEX('Inputs (2)'!$D$69:$AL$69,MATCH(AH$7,'Inputs (2)'!$D$2:$AL$2,0)),"")</f>
        <v>9.61581853</v>
      </c>
      <c r="AI50" s="270">
        <f>IFERROR(INDEX('Inputs (2)'!$D$69:$AL$69,MATCH(AI$7,'Inputs (2)'!$D$2:$AL$2,0)),"")</f>
        <v>14.3594091099991</v>
      </c>
    </row>
    <row r="51">
      <c r="C51" s="14" t="inlineStr">
        <is>
          <t xml:space="preserve">   Reformas e manutencao</t>
        </is>
      </c>
      <c r="D51" s="269">
        <f>IFERROR(INDEX('Inputs (2)'!$D$70:$AL$70,MATCH(D$7,'Inputs (2)'!$D$2:$AL$2,0)),"")</f>
        <v>2.495</v>
      </c>
      <c r="E51" s="269">
        <f>IFERROR(INDEX('Inputs (2)'!$D$70:$AL$70,MATCH(E$7,'Inputs (2)'!$D$2:$AL$2,0)),"")</f>
        <v>1.447</v>
      </c>
      <c r="F51" s="269">
        <f>IFERROR(INDEX('Inputs (2)'!$D$70:$AL$70,MATCH(F$7,'Inputs (2)'!$D$2:$AL$2,0)),"")</f>
        <v>2.436</v>
      </c>
      <c r="G51" s="269">
        <f>IFERROR(INDEX('Inputs (2)'!$D$70:$AL$70,MATCH(G$7,'Inputs (2)'!$D$2:$AL$2,0)),"")</f>
        <v>1.65931756223124</v>
      </c>
      <c r="H51" s="270">
        <f>IF(COUNT(D51:G51)=4,SUM(D51:G51),"")</f>
        <v>8.03731756223124</v>
      </c>
      <c r="I51" s="269">
        <f>IFERROR(INDEX('Inputs (2)'!$D$70:$AL$70,MATCH(I$7,'Inputs (2)'!$D$2:$AL$2,0)),"")</f>
        <v>1.82219307</v>
      </c>
      <c r="J51" s="269">
        <f>IFERROR(INDEX('Inputs (2)'!$D$70:$AL$70,MATCH(J$7,'Inputs (2)'!$D$2:$AL$2,0)),"")</f>
        <v>1.5507662</v>
      </c>
      <c r="K51" s="269">
        <f>IFERROR(INDEX('Inputs (2)'!$D$70:$AL$70,MATCH(K$7,'Inputs (2)'!$D$2:$AL$2,0)),"")</f>
        <v>2.04562882</v>
      </c>
      <c r="L51" s="269">
        <f>IFERROR(INDEX('Inputs (2)'!$D$70:$AL$70,MATCH(L$7,'Inputs (2)'!$D$2:$AL$2,0)),"")</f>
        <v>1.60037533</v>
      </c>
      <c r="M51" s="270">
        <f>IF(COUNT(I51:L51)=4,SUM(I51:L51),"")</f>
        <v>7.01896342</v>
      </c>
      <c r="N51" s="269">
        <f>IFERROR(INDEX('Inputs (2)'!$D$70:$AL$70,MATCH(N$7,'Inputs (2)'!$D$2:$AL$2,0)),"")</f>
        <v>4.25032147</v>
      </c>
      <c r="O51" s="269">
        <f>IFERROR(INDEX('Inputs (2)'!$D$70:$AL$70,MATCH(O$7,'Inputs (2)'!$D$2:$AL$2,0)),"")</f>
        <v>5.54118335019592</v>
      </c>
      <c r="P51" s="269">
        <f>IFERROR(INDEX('Inputs (2)'!$D$70:$AL$70,MATCH(P$7,'Inputs (2)'!$D$2:$AL$2,0)),"")</f>
        <v>4.8814747364462</v>
      </c>
      <c r="Q51" s="269">
        <f>IFERROR(INDEX('Inputs (2)'!$D$70:$AL$70,MATCH(Q$7,'Inputs (2)'!$D$2:$AL$2,0)),"")</f>
        <v>3.33704085</v>
      </c>
      <c r="R51" s="270">
        <f>IF(COUNT(N51:Q51)=4,SUM(N51:Q51),"")</f>
        <v>18.0100204066421</v>
      </c>
      <c r="S51" s="269">
        <f>IFERROR(INDEX('Inputs (2)'!$D$70:$AL$70,MATCH(S$7,'Inputs (2)'!$D$2:$AL$2,0)),"")</f>
        <v>11.8853565700001</v>
      </c>
      <c r="T51" s="269">
        <f>IFERROR(INDEX('Inputs (2)'!$D$70:$AL$70,MATCH(T$7,'Inputs (2)'!$D$2:$AL$2,0)),"")</f>
        <v>9.78321357000001</v>
      </c>
      <c r="U51" s="269">
        <f>IFERROR(INDEX('Inputs (2)'!$D$70:$AL$70,MATCH(U$7,'Inputs (2)'!$D$2:$AL$2,0)),"")</f>
        <v>4.05087846000002</v>
      </c>
      <c r="V51" s="269">
        <f>IFERROR(INDEX('Inputs (2)'!$D$70:$AL$70,MATCH(V$7,'Inputs (2)'!$D$2:$AL$2,0)),"")</f>
        <v>1.32824749</v>
      </c>
      <c r="W51" s="270">
        <f>IF(COUNT(S51:V51)=4,SUM(S51:V51),"")</f>
        <v>27.0476960900001</v>
      </c>
      <c r="X51" s="269">
        <f>IFERROR(INDEX('Inputs (2)'!$D$70:$AL$70,MATCH(X$7,'Inputs (2)'!$D$2:$AL$2,0)),"")</f>
        <v>3.51884006</v>
      </c>
      <c r="Y51" s="269">
        <f>IFERROR(INDEX('Inputs (2)'!$D$70:$AL$70,MATCH(Y$7,'Inputs (2)'!$D$2:$AL$2,0)),"")</f>
        <v>3.75048567</v>
      </c>
      <c r="Z51" s="269">
        <f>IFERROR(INDEX('Inputs (2)'!$D$70:$AL$70,MATCH(Z$7,'Inputs (2)'!$D$2:$AL$2,0)),"")</f>
        <v>4.53996335</v>
      </c>
      <c r="AA51" s="269">
        <f>IFERROR(INDEX('Inputs (2)'!$D$70:$AL$70,MATCH(AA$7,'Inputs (2)'!$D$2:$AL$2,0)),"")</f>
        <v>4.70976892999997</v>
      </c>
      <c r="AB51" s="270">
        <f>IF(COUNT(X51:AA51)=4,SUM(X51:AA51),"")</f>
        <v>16.51905801</v>
      </c>
      <c r="AC51" s="269">
        <f>IFERROR(INDEX('Inputs (2)'!$D$70:$AL$70,MATCH(AC$7,'Inputs (2)'!$D$2:$AL$2,0)),"")</f>
        <v>2.6977805</v>
      </c>
      <c r="AD51" s="269">
        <f>IFERROR(INDEX('Inputs (2)'!$D$70:$AL$70,MATCH(AD$7,'Inputs (2)'!$D$2:$AL$2,0)),"")</f>
        <v>2.97684327194201</v>
      </c>
      <c r="AE51" s="269">
        <f>IFERROR(INDEX('Inputs (2)'!$D$70:$AL$70,MATCH(AE$7,'Inputs (2)'!$D$2:$AL$2,0)),"")</f>
        <v>5.21096215194199</v>
      </c>
      <c r="AF51" s="269">
        <f>IFERROR(INDEX('Inputs (2)'!$D$70:$AL$70,MATCH(AF$7,'Inputs (2)'!$D$2:$AL$2,0)),"")</f>
        <v>4.82673025</v>
      </c>
      <c r="AG51" s="270">
        <f>IF(COUNT(AC51:AF51)=4,SUM(AC51:AF51),"")</f>
        <v>15.712316173884</v>
      </c>
      <c r="AH51" s="270">
        <f>IFERROR(INDEX('Inputs (2)'!$D$70:$AL$70,MATCH(AH$7,'Inputs (2)'!$D$2:$AL$2,0)),"")</f>
        <v>5.81838226</v>
      </c>
      <c r="AI51" s="270">
        <f>IFERROR(INDEX('Inputs (2)'!$D$70:$AL$70,MATCH(AI$7,'Inputs (2)'!$D$2:$AL$2,0)),"")</f>
        <v>6.65705521000003</v>
      </c>
    </row>
    <row r="52">
      <c r="C52" s="14" t="inlineStr">
        <is>
          <t xml:space="preserve">   Fabrica</t>
        </is>
      </c>
      <c r="D52" s="269">
        <f>IFERROR(INDEX('Inputs (2)'!$D$71:$AL$71,MATCH(D$7,'Inputs (2)'!$D$2:$AL$2,0)),"")</f>
        <v>1.009</v>
      </c>
      <c r="E52" s="269">
        <f>IFERROR(INDEX('Inputs (2)'!$D$71:$AL$71,MATCH(E$7,'Inputs (2)'!$D$2:$AL$2,0)),"")</f>
        <v>0.245</v>
      </c>
      <c r="F52" s="269">
        <f>IFERROR(INDEX('Inputs (2)'!$D$71:$AL$71,MATCH(F$7,'Inputs (2)'!$D$2:$AL$2,0)),"")</f>
        <v>0.966</v>
      </c>
      <c r="G52" s="269">
        <f>IFERROR(INDEX('Inputs (2)'!$D$71:$AL$71,MATCH(G$7,'Inputs (2)'!$D$2:$AL$2,0)),"")</f>
        <v>1.270801924</v>
      </c>
      <c r="H52" s="270">
        <f>IF(COUNT(D52:G52)=4,SUM(D52:G52),"")</f>
        <v>3.490801924</v>
      </c>
      <c r="I52" s="269">
        <f>IFERROR(INDEX('Inputs (2)'!$D$71:$AL$71,MATCH(I$7,'Inputs (2)'!$D$2:$AL$2,0)),"")</f>
        <v>3.501863688488</v>
      </c>
      <c r="J52" s="269">
        <f>IFERROR(INDEX('Inputs (2)'!$D$71:$AL$71,MATCH(J$7,'Inputs (2)'!$D$2:$AL$2,0)),"")</f>
        <v>1.13108053</v>
      </c>
      <c r="K52" s="269">
        <f>IFERROR(INDEX('Inputs (2)'!$D$71:$AL$71,MATCH(K$7,'Inputs (2)'!$D$2:$AL$2,0)),"")</f>
        <v>2.103065995</v>
      </c>
      <c r="L52" s="269">
        <f>IFERROR(INDEX('Inputs (2)'!$D$71:$AL$71,MATCH(L$7,'Inputs (2)'!$D$2:$AL$2,0)),"")</f>
        <v>4.86681104</v>
      </c>
      <c r="M52" s="270">
        <f>IF(COUNT(I52:L52)=4,SUM(I52:L52),"")</f>
        <v>11.602821253488</v>
      </c>
      <c r="N52" s="269">
        <f>IFERROR(INDEX('Inputs (2)'!$D$71:$AL$71,MATCH(N$7,'Inputs (2)'!$D$2:$AL$2,0)),"")</f>
        <v>4.41081434</v>
      </c>
      <c r="O52" s="269">
        <f>IFERROR(INDEX('Inputs (2)'!$D$71:$AL$71,MATCH(O$7,'Inputs (2)'!$D$2:$AL$2,0)),"")</f>
        <v>0.62400298</v>
      </c>
      <c r="P52" s="269">
        <f>IFERROR(INDEX('Inputs (2)'!$D$71:$AL$71,MATCH(P$7,'Inputs (2)'!$D$2:$AL$2,0)),"")</f>
        <v>1.72248217</v>
      </c>
      <c r="Q52" s="269">
        <f>IFERROR(INDEX('Inputs (2)'!$D$71:$AL$71,MATCH(Q$7,'Inputs (2)'!$D$2:$AL$2,0)),"")</f>
        <v>1.50213571</v>
      </c>
      <c r="R52" s="270">
        <f>IF(COUNT(N52:Q52)=4,SUM(N52:Q52),"")</f>
        <v>8.2594352</v>
      </c>
      <c r="S52" s="269">
        <f>IFERROR(INDEX('Inputs (2)'!$D$71:$AL$71,MATCH(S$7,'Inputs (2)'!$D$2:$AL$2,0)),"")</f>
        <v>9.10357831</v>
      </c>
      <c r="T52" s="269">
        <f>IFERROR(INDEX('Inputs (2)'!$D$71:$AL$71,MATCH(T$7,'Inputs (2)'!$D$2:$AL$2,0)),"")</f>
        <v>12.21239244</v>
      </c>
      <c r="U52" s="269">
        <f>IFERROR(INDEX('Inputs (2)'!$D$71:$AL$71,MATCH(U$7,'Inputs (2)'!$D$2:$AL$2,0)),"")</f>
        <v>9.87151174</v>
      </c>
      <c r="V52" s="269">
        <f>IFERROR(INDEX('Inputs (2)'!$D$71:$AL$71,MATCH(V$7,'Inputs (2)'!$D$2:$AL$2,0)),"")</f>
        <v>5.23366961</v>
      </c>
      <c r="W52" s="270">
        <f>IF(COUNT(S52:V52)=4,SUM(S52:V52),"")</f>
        <v>36.4211521</v>
      </c>
      <c r="X52" s="269">
        <f>IFERROR(INDEX('Inputs (2)'!$D$71:$AL$71,MATCH(X$7,'Inputs (2)'!$D$2:$AL$2,0)),"")</f>
        <v>3.74658143</v>
      </c>
      <c r="Y52" s="269">
        <f>IFERROR(INDEX('Inputs (2)'!$D$71:$AL$71,MATCH(Y$7,'Inputs (2)'!$D$2:$AL$2,0)),"")</f>
        <v>3.61204219</v>
      </c>
      <c r="Z52" s="269">
        <f>IFERROR(INDEX('Inputs (2)'!$D$71:$AL$71,MATCH(Z$7,'Inputs (2)'!$D$2:$AL$2,0)),"")</f>
        <v>5.258351</v>
      </c>
      <c r="AA52" s="269">
        <f>IFERROR(INDEX('Inputs (2)'!$D$71:$AL$71,MATCH(AA$7,'Inputs (2)'!$D$2:$AL$2,0)),"")</f>
        <v>4.04979064000047</v>
      </c>
      <c r="AB52" s="270">
        <f>IF(COUNT(X52:AA52)=4,SUM(X52:AA52),"")</f>
        <v>16.6667652600005</v>
      </c>
      <c r="AC52" s="269">
        <f>IFERROR(INDEX('Inputs (2)'!$D$71:$AL$71,MATCH(AC$7,'Inputs (2)'!$D$2:$AL$2,0)),"")</f>
        <v>7.51743652606063</v>
      </c>
      <c r="AD52" s="269">
        <f>IFERROR(INDEX('Inputs (2)'!$D$71:$AL$71,MATCH(AD$7,'Inputs (2)'!$D$2:$AL$2,0)),"")</f>
        <v>3.942458</v>
      </c>
      <c r="AE52" s="269">
        <f>IFERROR(INDEX('Inputs (2)'!$D$71:$AL$71,MATCH(AE$7,'Inputs (2)'!$D$2:$AL$2,0)),"")</f>
        <v>3.73384416999999</v>
      </c>
      <c r="AF52" s="269">
        <f>IFERROR(INDEX('Inputs (2)'!$D$71:$AL$71,MATCH(AF$7,'Inputs (2)'!$D$2:$AL$2,0)),"")</f>
        <v>2.66209727</v>
      </c>
      <c r="AG52" s="270">
        <f>IF(COUNT(AC52:AF52)=4,SUM(AC52:AF52),"")</f>
        <v>17.8558359660606</v>
      </c>
      <c r="AH52" s="270">
        <f>IFERROR(INDEX('Inputs (2)'!$D$71:$AL$71,MATCH(AH$7,'Inputs (2)'!$D$2:$AL$2,0)),"")</f>
        <v>2.82272868</v>
      </c>
      <c r="AI52" s="270">
        <f>IFERROR(INDEX('Inputs (2)'!$D$71:$AL$71,MATCH(AI$7,'Inputs (2)'!$D$2:$AL$2,0)),"")</f>
        <v>2.58547981</v>
      </c>
    </row>
    <row r="53">
      <c r="C53" s="14" t="inlineStr">
        <is>
          <t xml:space="preserve">   Sistemas/TI</t>
        </is>
      </c>
      <c r="D53" s="269">
        <f>IFERROR(INDEX('Inputs (2)'!$D$72:$AL$72,MATCH(D$7,'Inputs (2)'!$D$2:$AL$2,0)),"")</f>
        <v>1.034</v>
      </c>
      <c r="E53" s="269">
        <f>IFERROR(INDEX('Inputs (2)'!$D$72:$AL$72,MATCH(E$7,'Inputs (2)'!$D$2:$AL$2,0)),"")</f>
        <v>0.507</v>
      </c>
      <c r="F53" s="269">
        <f>IFERROR(INDEX('Inputs (2)'!$D$72:$AL$72,MATCH(F$7,'Inputs (2)'!$D$2:$AL$2,0)),"")</f>
        <v>5.662</v>
      </c>
      <c r="G53" s="269">
        <f>IFERROR(INDEX('Inputs (2)'!$D$72:$AL$72,MATCH(G$7,'Inputs (2)'!$D$2:$AL$2,0)),"")</f>
        <v>0.4057818145</v>
      </c>
      <c r="H53" s="270">
        <f>IF(COUNT(D53:G53)=4,SUM(D53:G53),"")</f>
        <v>7.6087818145</v>
      </c>
      <c r="I53" s="269">
        <f>IFERROR(INDEX('Inputs (2)'!$D$72:$AL$72,MATCH(I$7,'Inputs (2)'!$D$2:$AL$2,0)),"")</f>
        <v>2.83834666</v>
      </c>
      <c r="J53" s="269">
        <f>IFERROR(INDEX('Inputs (2)'!$D$72:$AL$72,MATCH(J$7,'Inputs (2)'!$D$2:$AL$2,0)),"")</f>
        <v>4.75768972</v>
      </c>
      <c r="K53" s="269">
        <f>IFERROR(INDEX('Inputs (2)'!$D$72:$AL$72,MATCH(K$7,'Inputs (2)'!$D$2:$AL$2,0)),"")</f>
        <v>3.59592289</v>
      </c>
      <c r="L53" s="269">
        <f>IFERROR(INDEX('Inputs (2)'!$D$72:$AL$72,MATCH(L$7,'Inputs (2)'!$D$2:$AL$2,0)),"")</f>
        <v>16.3214025</v>
      </c>
      <c r="M53" s="270">
        <f>IF(COUNT(I53:L53)=4,SUM(I53:L53),"")</f>
        <v>27.51336177</v>
      </c>
      <c r="N53" s="269">
        <f>IFERROR(INDEX('Inputs (2)'!$D$72:$AL$72,MATCH(N$7,'Inputs (2)'!$D$2:$AL$2,0)),"")</f>
        <v>4.18521812</v>
      </c>
      <c r="O53" s="269">
        <f>IFERROR(INDEX('Inputs (2)'!$D$72:$AL$72,MATCH(O$7,'Inputs (2)'!$D$2:$AL$2,0)),"")</f>
        <v>5.59648553</v>
      </c>
      <c r="P53" s="269">
        <f>IFERROR(INDEX('Inputs (2)'!$D$72:$AL$72,MATCH(P$7,'Inputs (2)'!$D$2:$AL$2,0)),"")</f>
        <v>10.06671273</v>
      </c>
      <c r="Q53" s="269">
        <f>IFERROR(INDEX('Inputs (2)'!$D$72:$AL$72,MATCH(Q$7,'Inputs (2)'!$D$2:$AL$2,0)),"")</f>
        <v>6.0421294</v>
      </c>
      <c r="R53" s="270">
        <f>IF(COUNT(N53:Q53)=4,SUM(N53:Q53),"")</f>
        <v>25.89054578</v>
      </c>
      <c r="S53" s="269">
        <f>IFERROR(INDEX('Inputs (2)'!$D$72:$AL$72,MATCH(S$7,'Inputs (2)'!$D$2:$AL$2,0)),"")</f>
        <v>4.28437267</v>
      </c>
      <c r="T53" s="269">
        <f>IFERROR(INDEX('Inputs (2)'!$D$72:$AL$72,MATCH(T$7,'Inputs (2)'!$D$2:$AL$2,0)),"")</f>
        <v>8.72372993</v>
      </c>
      <c r="U53" s="269">
        <f>IFERROR(INDEX('Inputs (2)'!$D$72:$AL$72,MATCH(U$7,'Inputs (2)'!$D$2:$AL$2,0)),"")</f>
        <v>9.05179535999999</v>
      </c>
      <c r="V53" s="269">
        <f>IFERROR(INDEX('Inputs (2)'!$D$72:$AL$72,MATCH(V$7,'Inputs (2)'!$D$2:$AL$2,0)),"")</f>
        <v>7.27284021</v>
      </c>
      <c r="W53" s="270">
        <f>IF(COUNT(S53:V53)=4,SUM(S53:V53),"")</f>
        <v>29.33273817</v>
      </c>
      <c r="X53" s="269">
        <f>IFERROR(INDEX('Inputs (2)'!$D$72:$AL$72,MATCH(X$7,'Inputs (2)'!$D$2:$AL$2,0)),"")</f>
        <v>6.50261805</v>
      </c>
      <c r="Y53" s="269">
        <f>IFERROR(INDEX('Inputs (2)'!$D$72:$AL$72,MATCH(Y$7,'Inputs (2)'!$D$2:$AL$2,0)),"")</f>
        <v>12.99881987</v>
      </c>
      <c r="Z53" s="269">
        <f>IFERROR(INDEX('Inputs (2)'!$D$72:$AL$72,MATCH(Z$7,'Inputs (2)'!$D$2:$AL$2,0)),"")</f>
        <v>7.8129278</v>
      </c>
      <c r="AA53" s="269">
        <f>IFERROR(INDEX('Inputs (2)'!$D$72:$AL$72,MATCH(AA$7,'Inputs (2)'!$D$2:$AL$2,0)),"")</f>
        <v>-7.61786795</v>
      </c>
      <c r="AB53" s="270">
        <f>IF(COUNT(X53:AA53)=4,SUM(X53:AA53),"")</f>
        <v>19.69649777</v>
      </c>
      <c r="AC53" s="269">
        <f>IFERROR(INDEX('Inputs (2)'!$D$72:$AL$72,MATCH(AC$7,'Inputs (2)'!$D$2:$AL$2,0)),"")</f>
        <v>4.21585458</v>
      </c>
      <c r="AD53" s="269">
        <f>IFERROR(INDEX('Inputs (2)'!$D$72:$AL$72,MATCH(AD$7,'Inputs (2)'!$D$2:$AL$2,0)),"")</f>
        <v>1.56733977</v>
      </c>
      <c r="AE53" s="269">
        <f>IFERROR(INDEX('Inputs (2)'!$D$72:$AL$72,MATCH(AE$7,'Inputs (2)'!$D$2:$AL$2,0)),"")</f>
        <v>1.73499377</v>
      </c>
      <c r="AF53" s="269">
        <f>IFERROR(INDEX('Inputs (2)'!$D$72:$AL$72,MATCH(AF$7,'Inputs (2)'!$D$2:$AL$2,0)),"")</f>
        <v>1.11562042</v>
      </c>
      <c r="AG53" s="270">
        <f>IF(COUNT(AC53:AF53)=4,SUM(AC53:AF53),"")</f>
        <v>8.63380854</v>
      </c>
      <c r="AH53" s="270">
        <f>IFERROR(INDEX('Inputs (2)'!$D$72:$AL$72,MATCH(AH$7,'Inputs (2)'!$D$2:$AL$2,0)),"")</f>
        <v>0.28546462</v>
      </c>
      <c r="AI53" s="270">
        <f>IFERROR(INDEX('Inputs (2)'!$D$72:$AL$72,MATCH(AI$7,'Inputs (2)'!$D$2:$AL$2,0)),"")</f>
        <v>0.23162035</v>
      </c>
    </row>
    <row r="54">
      <c r="C54" s="14" t="inlineStr">
        <is>
          <t xml:space="preserve">   Outros</t>
        </is>
      </c>
      <c r="D54" s="269">
        <f>IFERROR(INDEX('Inputs (2)'!$D$73:$AL$73,MATCH(D$7,'Inputs (2)'!$D$2:$AL$2,0)),"")</f>
        <v>0.017</v>
      </c>
      <c r="E54" s="269">
        <f>IFERROR(INDEX('Inputs (2)'!$D$73:$AL$73,MATCH(E$7,'Inputs (2)'!$D$2:$AL$2,0)),"")</f>
        <v>0.372</v>
      </c>
      <c r="F54" s="269">
        <f>IFERROR(INDEX('Inputs (2)'!$D$73:$AL$73,MATCH(F$7,'Inputs (2)'!$D$2:$AL$2,0)),"")</f>
        <v>0</v>
      </c>
      <c r="G54" s="269">
        <f>IFERROR(INDEX('Inputs (2)'!$D$73:$AL$73,MATCH(G$7,'Inputs (2)'!$D$2:$AL$2,0)),"")</f>
        <v>0</v>
      </c>
      <c r="H54" s="270">
        <f>IF(COUNT(D54:G54)=4,SUM(D54:G54),"")</f>
        <v>0.389</v>
      </c>
      <c r="I54" s="269">
        <f>IFERROR(INDEX('Inputs (2)'!$D$73:$AL$73,MATCH(I$7,'Inputs (2)'!$D$2:$AL$2,0)),"")</f>
        <v>1.67638063430786e-14</v>
      </c>
      <c r="J54" s="269">
        <f>IFERROR(INDEX('Inputs (2)'!$D$73:$AL$73,MATCH(J$7,'Inputs (2)'!$D$2:$AL$2,0)),"")</f>
        <v>0</v>
      </c>
      <c r="K54" s="269">
        <f>IFERROR(INDEX('Inputs (2)'!$D$73:$AL$73,MATCH(K$7,'Inputs (2)'!$D$2:$AL$2,0)),"")</f>
        <v>0</v>
      </c>
      <c r="L54" s="269">
        <f>IFERROR(INDEX('Inputs (2)'!$D$73:$AL$73,MATCH(L$7,'Inputs (2)'!$D$2:$AL$2,0)),"")</f>
        <v>0.462102540000014</v>
      </c>
      <c r="M54" s="270">
        <f>IF(COUNT(I54:L54)=4,SUM(I54:L54),"")</f>
        <v>0.462102540000031</v>
      </c>
      <c r="N54" s="269">
        <f>IFERROR(INDEX('Inputs (2)'!$D$73:$AL$73,MATCH(N$7,'Inputs (2)'!$D$2:$AL$2,0)),"")</f>
        <v>0.62715469</v>
      </c>
      <c r="O54" s="269">
        <f>IFERROR(INDEX('Inputs (2)'!$D$73:$AL$73,MATCH(O$7,'Inputs (2)'!$D$2:$AL$2,0)),"")</f>
        <v>3.14020853</v>
      </c>
      <c r="P54" s="269">
        <f>IFERROR(INDEX('Inputs (2)'!$D$73:$AL$73,MATCH(P$7,'Inputs (2)'!$D$2:$AL$2,0)),"")</f>
        <v>8.56621653</v>
      </c>
      <c r="Q54" s="269">
        <f>IFERROR(INDEX('Inputs (2)'!$D$73:$AL$73,MATCH(Q$7,'Inputs (2)'!$D$2:$AL$2,0)),"")</f>
        <v>4.69652595000001</v>
      </c>
      <c r="R54" s="270">
        <f>IF(COUNT(N54:Q54)=4,SUM(N54:Q54),"")</f>
        <v>17.0301057</v>
      </c>
      <c r="S54" s="269">
        <f>IFERROR(INDEX('Inputs (2)'!$D$73:$AL$73,MATCH(S$7,'Inputs (2)'!$D$2:$AL$2,0)),"")</f>
        <v>3.33588970000002</v>
      </c>
      <c r="T54" s="269">
        <f>IFERROR(INDEX('Inputs (2)'!$D$73:$AL$73,MATCH(T$7,'Inputs (2)'!$D$2:$AL$2,0)),"")</f>
        <v>4.82820906999995</v>
      </c>
      <c r="U54" s="269">
        <f>IFERROR(INDEX('Inputs (2)'!$D$73:$AL$73,MATCH(U$7,'Inputs (2)'!$D$2:$AL$2,0)),"")</f>
        <v>2.25099642000001</v>
      </c>
      <c r="V54" s="269">
        <f>IFERROR(INDEX('Inputs (2)'!$D$73:$AL$73,MATCH(V$7,'Inputs (2)'!$D$2:$AL$2,0)),"")</f>
        <v>2.05753194</v>
      </c>
      <c r="W54" s="270">
        <f>IF(COUNT(S54:V54)=4,SUM(S54:V54),"")</f>
        <v>12.47262713</v>
      </c>
      <c r="X54" s="269">
        <f>IFERROR(INDEX('Inputs (2)'!$D$73:$AL$73,MATCH(X$7,'Inputs (2)'!$D$2:$AL$2,0)),"")</f>
        <v>2.47320932</v>
      </c>
      <c r="Y54" s="269">
        <f>IFERROR(INDEX('Inputs (2)'!$D$73:$AL$73,MATCH(Y$7,'Inputs (2)'!$D$2:$AL$2,0)),"")</f>
        <v>1.46015116</v>
      </c>
      <c r="Z54" s="269">
        <f>IFERROR(INDEX('Inputs (2)'!$D$73:$AL$73,MATCH(Z$7,'Inputs (2)'!$D$2:$AL$2,0)),"")</f>
        <v>0.38697053</v>
      </c>
      <c r="AA54" s="269">
        <f>IFERROR(INDEX('Inputs (2)'!$D$73:$AL$73,MATCH(AA$7,'Inputs (2)'!$D$2:$AL$2,0)),"")</f>
        <v>2.8623234</v>
      </c>
      <c r="AB54" s="270">
        <f>IF(COUNT(X54:AA54)=4,SUM(X54:AA54),"")</f>
        <v>7.18265441</v>
      </c>
      <c r="AC54" s="269">
        <f>IFERROR(INDEX('Inputs (2)'!$D$73:$AL$73,MATCH(AC$7,'Inputs (2)'!$D$2:$AL$2,0)),"")</f>
        <v>0.534601882177236</v>
      </c>
      <c r="AD54" s="269">
        <f>IFERROR(INDEX('Inputs (2)'!$D$73:$AL$73,MATCH(AD$7,'Inputs (2)'!$D$2:$AL$2,0)),"")</f>
        <v>2.40233129</v>
      </c>
      <c r="AE54" s="269">
        <f>IFERROR(INDEX('Inputs (2)'!$D$73:$AL$73,MATCH(AE$7,'Inputs (2)'!$D$2:$AL$2,0)),"")</f>
        <v>5.85018338000002</v>
      </c>
      <c r="AF54" s="269">
        <f>IFERROR(INDEX('Inputs (2)'!$D$73:$AL$73,MATCH(AF$7,'Inputs (2)'!$D$2:$AL$2,0)),"")</f>
        <v>0.56828604</v>
      </c>
      <c r="AG54" s="270">
        <f>IF(COUNT(AC54:AF54)=4,SUM(AC54:AF54),"")</f>
        <v>9.35540259217726</v>
      </c>
      <c r="AH54" s="270">
        <f>IFERROR(INDEX('Inputs (2)'!$D$73:$AL$73,MATCH(AH$7,'Inputs (2)'!$D$2:$AL$2,0)),"")</f>
        <v>0.034396</v>
      </c>
      <c r="AI54" s="270">
        <f>IFERROR(INDEX('Inputs (2)'!$D$73:$AL$73,MATCH(AI$7,'Inputs (2)'!$D$2:$AL$2,0)),"")</f>
        <v>0.001234</v>
      </c>
    </row>
    <row r="55">
      <c r="C55" s="271" t="inlineStr">
        <is>
          <t>Capex total</t>
        </is>
      </c>
      <c r="D55" s="269">
        <f>IF(COUNT(D50,D51,D52,D53,D54)=0,"",N(D50)+N(D51)+N(D52)+N(D53)+N(D54))</f>
        <v>14.188</v>
      </c>
      <c r="E55" s="269">
        <f>IF(COUNT(E50,E51,E52,E53,E54)=0,"",N(E50)+N(E51)+N(E52)+N(E53)+N(E54))</f>
        <v>12.178</v>
      </c>
      <c r="F55" s="269">
        <f>IF(COUNT(F50,F51,F52,F53,F54)=0,"",N(F50)+N(F51)+N(F52)+N(F53)+N(F54))</f>
        <v>11.378</v>
      </c>
      <c r="G55" s="269">
        <f>IF(COUNT(G50,G51,G52,G53,G54)=0,"",N(G50)+N(G51)+N(G52)+N(G53)+N(G54))</f>
        <v>6.96932806975825</v>
      </c>
      <c r="H55" s="270">
        <f>IF(COUNT(H50,H51,H52,H53,H54)=0,"",N(H50)+N(H51)+N(H52)+N(H53)+N(H54))</f>
        <v>44.7133280697583</v>
      </c>
      <c r="I55" s="269">
        <f>IF(COUNT(I50,I51,I52,I53,I54)=0,"",N(I50)+N(I51)+N(I52)+N(I53)+N(I54))</f>
        <v>12.949607258488</v>
      </c>
      <c r="J55" s="269">
        <f>IF(COUNT(J50,J51,J52,J53,J54)=0,"",N(J50)+N(J51)+N(J52)+N(J53)+N(J54))</f>
        <v>19.63893731</v>
      </c>
      <c r="K55" s="269">
        <f>IF(COUNT(K50,K51,K52,K53,K54)=0,"",N(K50)+N(K51)+N(K52)+N(K53)+N(K54))</f>
        <v>25.621328645</v>
      </c>
      <c r="L55" s="269">
        <f>IF(COUNT(L50,L51,L52,L53,L54)=0,"",N(L50)+N(L51)+N(L52)+N(L53)+N(L54))</f>
        <v>45.8679973499999</v>
      </c>
      <c r="M55" s="270">
        <f>IF(COUNT(M50,M51,M52,M53,M54)=0,"",N(M50)+N(M51)+N(M52)+N(M53)+N(M54))</f>
        <v>104.077870563488</v>
      </c>
      <c r="N55" s="269">
        <f>IF(COUNT(N50,N51,N52,N53,N54)=0,"",N(N50)+N(N51)+N(N52)+N(N53)+N(N54))</f>
        <v>23.86907219</v>
      </c>
      <c r="O55" s="269">
        <f>IF(COUNT(O50,O51,O52,O53,O54)=0,"",N(O50)+N(O51)+N(O52)+N(O53)+N(O54))</f>
        <v>31.3135604722501</v>
      </c>
      <c r="P55" s="269">
        <f>IF(COUNT(P50,P51,P52,P53,P54)=0,"",N(P50)+N(P51)+N(P52)+N(P53)+N(P54))</f>
        <v>51.2331714990975</v>
      </c>
      <c r="Q55" s="269">
        <f>IF(COUNT(Q50,Q51,Q52,Q53,Q54)=0,"",N(Q50)+N(Q51)+N(Q52)+N(Q53)+N(Q54))</f>
        <v>31.3135533</v>
      </c>
      <c r="R55" s="270">
        <f>IF(COUNT(R50,R51,R52,R53,R54)=0,"",N(R50)+N(R51)+N(R52)+N(R53)+N(R54))</f>
        <v>137.729357461348</v>
      </c>
      <c r="S55" s="269">
        <f>IF(COUNT(S50,S51,S52,S53,S54)=0,"",N(S50)+N(S51)+N(S52)+N(S53)+N(S54))</f>
        <v>44.0368956200001</v>
      </c>
      <c r="T55" s="269">
        <f>IF(COUNT(T50,T51,T52,T53,T54)=0,"",N(T50)+N(T51)+N(T52)+N(T53)+N(T54))</f>
        <v>47.25737165</v>
      </c>
      <c r="U55" s="269">
        <f>IF(COUNT(U50,U51,U52,U53,U54)=0,"",N(U50)+N(U51)+N(U52)+N(U53)+N(U54))</f>
        <v>48.09727175</v>
      </c>
      <c r="V55" s="269">
        <f>IF(COUNT(V50,V51,V52,V53,V54)=0,"",N(V50)+N(V51)+N(V52)+N(V53)+N(V54))</f>
        <v>38.79518266</v>
      </c>
      <c r="W55" s="270">
        <f>IF(COUNT(W50,W51,W52,W53,W54)=0,"",N(W50)+N(W51)+N(W52)+N(W53)+N(W54))</f>
        <v>178.18672168</v>
      </c>
      <c r="X55" s="269">
        <f>IF(COUNT(X50,X51,X52,X53,X54)=0,"",N(X50)+N(X51)+N(X52)+N(X53)+N(X54))</f>
        <v>35.31717161</v>
      </c>
      <c r="Y55" s="269">
        <f>IF(COUNT(Y50,Y51,Y52,Y53,Y54)=0,"",N(Y50)+N(Y51)+N(Y52)+N(Y53)+N(Y54))</f>
        <v>38.1794247099997</v>
      </c>
      <c r="Z55" s="269">
        <f>IF(COUNT(Z50,Z51,Z52,Z53,Z54)=0,"",N(Z50)+N(Z51)+N(Z52)+N(Z53)+N(Z54))</f>
        <v>34.50878468</v>
      </c>
      <c r="AA55" s="269">
        <f>IF(COUNT(AA50,AA51,AA52,AA53,AA54)=0,"",N(AA50)+N(AA51)+N(AA52)+N(AA53)+N(AA54))</f>
        <v>21.018035575451</v>
      </c>
      <c r="AB55" s="270">
        <f>IF(COUNT(AB50,AB51,AB52,AB53,AB54)=0,"",N(AB50)+N(AB51)+N(AB52)+N(AB53)+N(AB54))</f>
        <v>129.023416575451</v>
      </c>
      <c r="AC55" s="269">
        <f>IF(COUNT(AC50,AC51,AC52,AC53,AC54)=0,"",N(AC50)+N(AC51)+N(AC52)+N(AC53)+N(AC54))</f>
        <v>19.6651134482379</v>
      </c>
      <c r="AD55" s="269">
        <f>IF(COUNT(AD50,AD51,AD52,AD53,AD54)=0,"",N(AD50)+N(AD51)+N(AD52)+N(AD53)+N(AD54))</f>
        <v>16.677095101942</v>
      </c>
      <c r="AE55" s="269">
        <f>IF(COUNT(AE50,AE51,AE52,AE53,AE54)=0,"",N(AE50)+N(AE51)+N(AE52)+N(AE53)+N(AE54))</f>
        <v>22.236762191942</v>
      </c>
      <c r="AF55" s="269">
        <f>IF(COUNT(AF50,AF51,AF52,AF53,AF54)=0,"",N(AF50)+N(AF51)+N(AF52)+N(AF53)+N(AF54))</f>
        <v>22.0496511</v>
      </c>
      <c r="AG55" s="270">
        <f>IF(COUNT(AG50,AG51,AG52,AG53,AG54)=0,"",N(AG50)+N(AG51)+N(AG52)+N(AG53)+N(AG54))</f>
        <v>80.6286218421218</v>
      </c>
      <c r="AH55" s="270">
        <f>IF(COUNT(AH50,AH51,AH52,AH53,AH54)=0,"",N(AH50)+N(AH51)+N(AH52)+N(AH53)+N(AH54))</f>
        <v>18.57679009</v>
      </c>
      <c r="AI55" s="270">
        <f>IF(COUNT(AI50,AI51,AI52,AI53,AI54)=0,"",N(AI50)+N(AI51)+N(AI52)+N(AI53)+N(AI54))</f>
        <v>23.8347984799991</v>
      </c>
    </row>
    <row r="56">
      <c r="C56" s="14" t="inlineStr">
        <is>
          <t xml:space="preserve">   Capex / receita liquida</t>
        </is>
      </c>
      <c r="D56" s="272">
        <f>IFERROR(D55/D15,"")</f>
        <v>0.0687965219590343</v>
      </c>
      <c r="E56" s="272">
        <f>IFERROR(E55/E15,"")</f>
        <v>0.088468955221367</v>
      </c>
      <c r="F56" s="272">
        <f>IFERROR(F55/F15,"")</f>
        <v>0.0468952122381989</v>
      </c>
      <c r="G56" s="272">
        <f>IFERROR(G55/G15,"")</f>
        <v>0.0151166405889148</v>
      </c>
      <c r="H56" s="273">
        <f>IFERROR(H55/H15,"")</f>
        <v>0.0426838378755566</v>
      </c>
      <c r="I56" s="272">
        <f>IFERROR(I55/I15,"")</f>
        <v>0.0594755215773835</v>
      </c>
      <c r="J56" s="272">
        <f>IFERROR(J55/J15,"")</f>
        <v>0.0542519454290182</v>
      </c>
      <c r="K56" s="272">
        <f>IFERROR(K55/K15,"")</f>
        <v>0.0759792127346899</v>
      </c>
      <c r="L56" s="272">
        <f>IFERROR(L55/L15,"")</f>
        <v>0.0834803259209187</v>
      </c>
      <c r="M56" s="273">
        <f>IFERROR(M55/M15,"")</f>
        <v>0.070975723840157</v>
      </c>
      <c r="N56" s="272">
        <f>IFERROR(N55/N15,"")</f>
        <v>0.0707391595119532</v>
      </c>
      <c r="O56" s="272">
        <f>IFERROR(O55/O15,"")</f>
        <v>0.0667111501944932</v>
      </c>
      <c r="P56" s="272">
        <f>IFERROR(P55/P15,"")</f>
        <v>0.130405486908131</v>
      </c>
      <c r="Q56" s="272">
        <f>IFERROR(Q55/Q15,"")</f>
        <v>0.048620113774041</v>
      </c>
      <c r="R56" s="273">
        <f>IFERROR(R55/R15,"")</f>
        <v>0.0747012725998252</v>
      </c>
      <c r="S56" s="272">
        <f>IFERROR(S55/S15,"")</f>
        <v>0.112445844232865</v>
      </c>
      <c r="T56" s="272">
        <f>IFERROR(T55/T15,"")</f>
        <v>0.0844018416257281</v>
      </c>
      <c r="U56" s="272">
        <f>IFERROR(U55/U15,"")</f>
        <v>0.105174180558253</v>
      </c>
      <c r="V56" s="272">
        <f>IFERROR(V55/V15,"")</f>
        <v>0.0498571201916573</v>
      </c>
      <c r="W56" s="273">
        <f>IFERROR(W55/W15,"")</f>
        <v>0.0814763522068702</v>
      </c>
      <c r="X56" s="272">
        <f>IFERROR(X55/X15,"")</f>
        <v>0.0794375368959215</v>
      </c>
      <c r="Y56" s="272">
        <f>IFERROR(Y55/Y15,"")</f>
        <v>0.0581717855985146</v>
      </c>
      <c r="Z56" s="272">
        <f>IFERROR(Z55/Z15,"")</f>
        <v>0.0613054089428</v>
      </c>
      <c r="AA56" s="272">
        <f>IFERROR(AA55/AA15,"")</f>
        <v>0.0230132597668987</v>
      </c>
      <c r="AB56" s="273">
        <f>IFERROR(AB55/AB15,"")</f>
        <v>0.0500650963693912</v>
      </c>
      <c r="AC56" s="272">
        <f>IFERROR(AC55/AC15,"")</f>
        <v>0.0366148198494804</v>
      </c>
      <c r="AD56" s="272">
        <f>IFERROR(AD55/AD15,"")</f>
        <v>0.0219140947967324</v>
      </c>
      <c r="AE56" s="272">
        <f>IFERROR(AE55/AE15,"")</f>
        <v>0.0334637736768072</v>
      </c>
      <c r="AF56" s="272">
        <f>IFERROR(AF55/AF15,"")</f>
        <v>0.0207237979242426</v>
      </c>
      <c r="AG56" s="273">
        <f>IFERROR(AG55/AG15,"")</f>
        <v>0.0266401580417214</v>
      </c>
      <c r="AH56" s="273">
        <f>IFERROR(AH55/AH15,"")</f>
        <v>0.0311946400404284</v>
      </c>
      <c r="AI56" s="273">
        <f>IFERROR(AI55/AI15,"")</f>
        <v>0.0286087028406573</v>
      </c>
    </row>
    <row r="57"/>
    <row r="58" hidden="1" outlineLevel="1" customFormat="1" s="23">
      <c r="A58" s="18" t="n"/>
      <c r="B58" s="19" t="n"/>
      <c r="C58" s="20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</row>
    <row r="59" hidden="1" outlineLevel="1" customFormat="1" s="23">
      <c r="A59" s="18" t="n"/>
      <c r="B59" s="19" t="n"/>
      <c r="C59" s="20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1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1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</row>
    <row r="60" collapsed="1">
      <c r="C60" s="24" t="inlineStr">
        <is>
          <t>COGS (cash)</t>
        </is>
      </c>
      <c r="D60" s="25">
        <f>INDEX('Inputs (2)'!$D$5:$AL$5,MATCH(D$7,'Inputs (2)'!$D$2:$AL$2,0))</f>
        <v>-75.6200962</v>
      </c>
      <c r="E60" s="25">
        <f>INDEX('Inputs (2)'!$D$5:$AL$5,MATCH(E$7,'Inputs (2)'!$D$2:$AL$2,0))</f>
        <v>-46.9232454256334</v>
      </c>
      <c r="F60" s="25">
        <f>INDEX('Inputs (2)'!$D$5:$AL$5,MATCH(F$7,'Inputs (2)'!$D$2:$AL$2,0))</f>
        <v>-78.2896950249141</v>
      </c>
      <c r="G60" s="25">
        <f>INDEX('Inputs (2)'!$D$5:$AL$5,MATCH(G$7,'Inputs (2)'!$D$2:$AL$2,0))</f>
        <v>-149.745244532874</v>
      </c>
      <c r="H60" s="3">
        <f>SUM(D60:G60)</f>
        <v>-350.578281183422</v>
      </c>
      <c r="I60" s="25">
        <f>INDEX('Inputs (2)'!$D$5:$AL$5,MATCH(I$7,'Inputs (2)'!$D$2:$AL$2,0))</f>
        <v>-74.3232924798565</v>
      </c>
      <c r="J60" s="25">
        <f>INDEX('Inputs (2)'!$D$5:$AL$5,MATCH(J$7,'Inputs (2)'!$D$2:$AL$2,0))</f>
        <v>-114.985638468561</v>
      </c>
      <c r="K60" s="25">
        <f>INDEX('Inputs (2)'!$D$5:$AL$5,MATCH(K$7,'Inputs (2)'!$D$2:$AL$2,0))</f>
        <v>-107.975816043593</v>
      </c>
      <c r="L60" s="25">
        <f>INDEX('Inputs (2)'!$D$5:$AL$5,MATCH(L$7,'Inputs (2)'!$D$2:$AL$2,0))</f>
        <v>-174.391790636795</v>
      </c>
      <c r="M60" s="3">
        <f>SUM(I60:L60)</f>
        <v>-471.676537628806</v>
      </c>
      <c r="N60" s="25">
        <f>INDEX('Inputs (2)'!$D$5:$AL$5,MATCH(N$7,'Inputs (2)'!$D$2:$AL$2,0))</f>
        <v>-108.200504730021</v>
      </c>
      <c r="O60" s="25">
        <f>INDEX('Inputs (2)'!$D$5:$AL$5,MATCH(O$7,'Inputs (2)'!$D$2:$AL$2,0))</f>
        <v>-150.888984807679</v>
      </c>
      <c r="P60" s="25">
        <f>INDEX('Inputs (2)'!$D$5:$AL$5,MATCH(P$7,'Inputs (2)'!$D$2:$AL$2,0))</f>
        <v>-122.495005862067</v>
      </c>
      <c r="Q60" s="25">
        <f>INDEX('Inputs (2)'!$D$5:$AL$5,MATCH(Q$7,'Inputs (2)'!$D$2:$AL$2,0))</f>
        <v>-186.340502481635</v>
      </c>
      <c r="R60" s="3">
        <f>SUM(N60:Q60)</f>
        <v>-567.924997881402</v>
      </c>
      <c r="S60" s="25">
        <f>INDEX('Inputs (2)'!$D$5:$AL$5,MATCH(S$7,'Inputs (2)'!$D$2:$AL$2,0))</f>
        <v>-117.415938932963</v>
      </c>
      <c r="T60" s="25">
        <f>INDEX('Inputs (2)'!$D$5:$AL$5,MATCH(T$7,'Inputs (2)'!$D$2:$AL$2,0))</f>
        <v>-168.101016313884</v>
      </c>
      <c r="U60" s="25">
        <f>INDEX('Inputs (2)'!$D$5:$AL$5,MATCH(U$7,'Inputs (2)'!$D$2:$AL$2,0))</f>
        <v>-146.48291153826</v>
      </c>
      <c r="V60" s="25">
        <f>INDEX('Inputs (2)'!$D$5:$AL$5,MATCH(V$7,'Inputs (2)'!$D$2:$AL$2,0))</f>
        <v>-231.924195237889</v>
      </c>
      <c r="W60" s="3">
        <f>SUM(S60:V60)</f>
        <v>-663.924062022995</v>
      </c>
      <c r="X60" s="25">
        <f>INDEX('Inputs (2)'!$D$5:$AL$5,MATCH(X$7,'Inputs (2)'!$D$2:$AL$2,0))</f>
        <v>-138.469293069553</v>
      </c>
      <c r="Y60" s="25">
        <f>INDEX('Inputs (2)'!$D$5:$AL$5,MATCH(Y$7,'Inputs (2)'!$D$2:$AL$2,0))</f>
        <v>-201.374966562167</v>
      </c>
      <c r="Z60" s="25">
        <f>INDEX('Inputs (2)'!$D$5:$AL$5,MATCH(Z$7,'Inputs (2)'!$D$2:$AL$2,0))</f>
        <v>-182.99688745</v>
      </c>
      <c r="AA60" s="25">
        <f>INDEX('Inputs (2)'!$D$5:$AL$5,MATCH(AA$7,'Inputs (2)'!$D$2:$AL$2,0))</f>
        <v>-238.905</v>
      </c>
      <c r="AB60" s="3">
        <f>SUM(X60:AA60)</f>
        <v>-761.74614708172</v>
      </c>
      <c r="AC60" s="25">
        <f>INDEX('Inputs (2)'!$D$5:$AL$5,MATCH(AC$7,'Inputs (2)'!$D$2:$AL$2,0))</f>
        <v>-172.11708791</v>
      </c>
      <c r="AD60" s="25">
        <f>INDEX('Inputs (2)'!$D$5:$AL$5,MATCH(AD$7,'Inputs (2)'!$D$2:$AL$2,0))</f>
        <v>-210.271637500002</v>
      </c>
      <c r="AE60" s="25">
        <f>INDEX('Inputs (2)'!$D$5:$AL$5,MATCH(AE$7,'Inputs (2)'!$D$2:$AL$2,0))</f>
        <v>-189.96536785</v>
      </c>
      <c r="AF60" s="25">
        <f>INDEX('Inputs (2)'!$D$5:$AL$5,MATCH(AF$7,'Inputs (2)'!$D$2:$AL$2,0))</f>
        <v>-347.48071641</v>
      </c>
      <c r="AG60" s="3">
        <f>SUM(AC60:AF60)</f>
        <v>-919.834809670001</v>
      </c>
      <c r="AH60" s="3">
        <f>INDEX('Inputs (2)'!$D$5:$AL$5,MATCH(AH$7,'Inputs (2)'!$D$2:$AL$2,0))</f>
        <v>-179.006</v>
      </c>
      <c r="AI60" s="3">
        <f>INDEX('Inputs (2)'!$D$5:$AL$5,MATCH(AI$7,'Inputs (2)'!$D$2:$AL$2,0))</f>
        <v>-234.050913069999</v>
      </c>
      <c r="AJ60" s="3">
        <f>(100%-AJ61)*-AJ15</f>
        <v>-664.50252762</v>
      </c>
      <c r="AK60" s="3">
        <f>(100%-AK61)*-AK15</f>
        <v>-1063.977326</v>
      </c>
      <c r="AL60" s="3">
        <f>SUM(AH60:AK60)</f>
        <v>-2141.53676669</v>
      </c>
      <c r="AM60" s="3">
        <f>(100%-AM61)*-AM15</f>
        <v>-595.51224396</v>
      </c>
      <c r="AN60" s="3">
        <f>(100%-AN61)*-AN15</f>
        <v>-833.13104452</v>
      </c>
      <c r="AO60" s="3">
        <f>(100%-AO61)*-AO15</f>
        <v>-664.50252762</v>
      </c>
      <c r="AP60" s="3">
        <f>(100%-AP61)*-AP15</f>
        <v>-1063.977326</v>
      </c>
      <c r="AQ60" s="3">
        <f>SUM(AM60:AP60)</f>
        <v>-3157.1231421</v>
      </c>
      <c r="AR60" s="3">
        <f>(100%-AR61)*-AR15</f>
        <v>-595.51224396</v>
      </c>
      <c r="AS60" s="3">
        <f>(100%-AS61)*-AS15</f>
        <v>-833.13104452</v>
      </c>
      <c r="AT60" s="3">
        <f>(100%-AT61)*-AT15</f>
        <v>-664.50252762</v>
      </c>
      <c r="AU60" s="3">
        <f>(100%-AU61)*-AU15</f>
        <v>-1063.977326</v>
      </c>
      <c r="AV60" s="3">
        <f>SUM(AR60:AU60)</f>
        <v>-3157.1231421</v>
      </c>
      <c r="AW60" s="3">
        <f>(100%-AW61)*-AW15</f>
        <v>-595.51224396</v>
      </c>
      <c r="AX60" s="3">
        <f>(100%-AX61)*-AX15</f>
        <v>-833.13104452</v>
      </c>
      <c r="AY60" s="3">
        <f>(100%-AY61)*-AY15</f>
        <v>-664.50252762</v>
      </c>
      <c r="AZ60" s="3">
        <f>(100%-AZ61)*-AZ15</f>
        <v>-1063.977326</v>
      </c>
      <c r="BA60" s="3">
        <f>SUM(AW60:AZ60)</f>
        <v>-3157.1231421</v>
      </c>
      <c r="BB60" s="3">
        <f>(100%-BB61)*-BB15</f>
        <v>-595.51224396</v>
      </c>
      <c r="BC60" s="3">
        <f>(100%-BC61)*-BC15</f>
        <v>-833.13104452</v>
      </c>
      <c r="BD60" s="3">
        <f>(100%-BD61)*-BD15</f>
        <v>-664.50252762</v>
      </c>
      <c r="BE60" s="3">
        <f>(100%-BE61)*-BE15</f>
        <v>-1063.977326</v>
      </c>
      <c r="BF60" s="3">
        <f>SUM(BB60:BE60)</f>
        <v>-3157.1231421</v>
      </c>
      <c r="BG60" s="3">
        <f>(100%-BG61)*-BG15</f>
        <v>-595.51224396</v>
      </c>
      <c r="BH60" s="3">
        <f>(100%-BH61)*-BH15</f>
        <v>-833.13104452</v>
      </c>
      <c r="BI60" s="3">
        <f>(100%-BI61)*-BI15</f>
        <v>-664.50252762</v>
      </c>
      <c r="BJ60" s="3">
        <f>(100%-BJ61)*-BJ15</f>
        <v>-1063.977326</v>
      </c>
      <c r="BK60" s="3">
        <f>SUM(BG60:BJ60)</f>
        <v>-3157.1231421</v>
      </c>
      <c r="BL60" s="3">
        <f>(100%-BL61)*-BL15</f>
        <v>-595.51224396</v>
      </c>
      <c r="BM60" s="3">
        <f>(100%-BM61)*-BM15</f>
        <v>-833.13104452</v>
      </c>
      <c r="BN60" s="3">
        <f>(100%-BN61)*-BN15</f>
        <v>-664.50252762</v>
      </c>
      <c r="BO60" s="3">
        <f>(100%-BO61)*-BO15</f>
        <v>-1063.977326</v>
      </c>
      <c r="BP60" s="3">
        <f>SUM(BL60:BO60)</f>
        <v>-3157.1231421</v>
      </c>
      <c r="BQ60" s="3">
        <f>(100%-BQ61)*-BQ15</f>
        <v>-595.51224396</v>
      </c>
      <c r="BR60" s="3">
        <f>(100%-BR61)*-BR15</f>
        <v>-833.13104452</v>
      </c>
      <c r="BS60" s="3">
        <f>(100%-BS61)*-BS15</f>
        <v>-664.50252762</v>
      </c>
      <c r="BT60" s="3">
        <f>(100%-BT61)*-BT15</f>
        <v>-1063.977326</v>
      </c>
      <c r="BU60" s="3">
        <f>SUM(BQ60:BT60)</f>
        <v>-3157.1231421</v>
      </c>
      <c r="BV60" s="3">
        <f>(100%-BV61)*-BV15</f>
        <v>-595.51224396</v>
      </c>
      <c r="BW60" s="3">
        <f>(100%-BW61)*-BW15</f>
        <v>-833.13104452</v>
      </c>
      <c r="BX60" s="3">
        <f>(100%-BX61)*-BX15</f>
        <v>-664.50252762</v>
      </c>
      <c r="BY60" s="3">
        <f>(100%-BY61)*-BY15</f>
        <v>-1063.977326</v>
      </c>
      <c r="BZ60" s="3">
        <f>SUM(BV60:BY60)</f>
        <v>-3157.1231421</v>
      </c>
      <c r="CA60" s="3">
        <f>(100%-CA61)*-CA15</f>
        <v>-595.51224396</v>
      </c>
      <c r="CB60" s="3">
        <f>(100%-CB61)*-CB15</f>
        <v>-833.13104452</v>
      </c>
      <c r="CC60" s="3">
        <f>(100%-CC61)*-CC15</f>
        <v>-664.50252762</v>
      </c>
      <c r="CD60" s="3">
        <f>(100%-CD61)*-CD15</f>
        <v>-1063.977326</v>
      </c>
      <c r="CE60" s="3">
        <f>SUM(CA60:CD60)</f>
        <v>-3157.1231421</v>
      </c>
      <c r="CF60" s="3">
        <f>(100%-CF61)*-CF15</f>
        <v>-595.51224396</v>
      </c>
      <c r="CG60" s="3">
        <f>(100%-CG61)*-CG15</f>
        <v>-833.13104452</v>
      </c>
      <c r="CH60" s="3">
        <f>(100%-CH61)*-CH15</f>
        <v>-664.50252762</v>
      </c>
      <c r="CI60" s="3">
        <f>(100%-CI61)*-CI15</f>
        <v>-1063.977326</v>
      </c>
      <c r="CJ60" s="3">
        <f>SUM(CF60:CI60)</f>
        <v>-3157.1231421</v>
      </c>
      <c r="CK60" s="3">
        <f>(100%-CK61)*-CK15</f>
        <v>-595.51224396</v>
      </c>
      <c r="CL60" s="3">
        <f>(100%-CL61)*-CL15</f>
        <v>-833.13104452</v>
      </c>
      <c r="CM60" s="3">
        <f>(100%-CM61)*-CM15</f>
        <v>-664.50252762</v>
      </c>
      <c r="CN60" s="3">
        <f>(100%-CN61)*-CN15</f>
        <v>-1063.977326</v>
      </c>
      <c r="CO60" s="3">
        <f>SUM(CK60:CN60)</f>
        <v>-3157.1231421</v>
      </c>
      <c r="CP60" s="3">
        <f>(100%-CP61)*-CP15</f>
        <v>-595.51224396</v>
      </c>
      <c r="CQ60" s="3">
        <f>(100%-CQ61)*-CQ15</f>
        <v>-833.13104452</v>
      </c>
      <c r="CR60" s="3">
        <f>(100%-CR61)*-CR15</f>
        <v>-664.50252762</v>
      </c>
      <c r="CS60" s="3">
        <f>(100%-CS61)*-CS15</f>
        <v>-1063.977326</v>
      </c>
      <c r="CT60" s="3">
        <f>SUM(CP60:CS60)</f>
        <v>-3157.1231421</v>
      </c>
      <c r="CU60" s="3">
        <f>(100%-CU61)*-CU15</f>
        <v>-595.51224396</v>
      </c>
      <c r="CV60" s="3">
        <f>(100%-CV61)*-CV15</f>
        <v>-833.13104452</v>
      </c>
      <c r="CW60" s="3">
        <f>(100%-CW61)*-CW15</f>
        <v>-664.50252762</v>
      </c>
      <c r="CX60" s="3">
        <f>(100%-CX61)*-CX15</f>
        <v>-1063.977326</v>
      </c>
      <c r="CY60" s="3">
        <f>SUM(CU60:CX60)</f>
        <v>-3157.1231421</v>
      </c>
    </row>
    <row r="61" hidden="1" outlineLevel="1" customFormat="1" s="1">
      <c r="C61" s="57" t="inlineStr">
        <is>
          <t>% Gross Margin</t>
        </is>
      </c>
      <c r="D61" s="54">
        <f>(D15+D60)/D$15</f>
        <v>0.633323963295209</v>
      </c>
      <c r="E61" s="54">
        <f>(E15+E60)/E$15</f>
        <v>0.659118862013337</v>
      </c>
      <c r="F61" s="54">
        <f>(F15+F60)/F$15</f>
        <v>0.677323618891088</v>
      </c>
      <c r="G61" s="54">
        <f>(G15+G60)/G$15</f>
        <v>0.675198954785158</v>
      </c>
      <c r="H61" s="54">
        <f>(H15+H60)/H$15</f>
        <v>0.665334092479568</v>
      </c>
      <c r="I61" s="54">
        <f>(I15+I60)/I$15</f>
        <v>0.658644737454067</v>
      </c>
      <c r="J61" s="54">
        <f>(J15+J60)/J$15</f>
        <v>0.682355797320013</v>
      </c>
      <c r="K61" s="54">
        <f>(K15+K60)/K$15</f>
        <v>0.679801246412765</v>
      </c>
      <c r="L61" s="54">
        <f>(L15+L60)/L$15</f>
        <v>0.68260477105194</v>
      </c>
      <c r="M61" s="54">
        <f>(M15+M60)/M$15</f>
        <v>0.678341000873937</v>
      </c>
      <c r="N61" s="54">
        <f>(N15+N60)/N$15</f>
        <v>0.679333461206864</v>
      </c>
      <c r="O61" s="54">
        <f>(O15+O60)/O$15</f>
        <v>0.678542536320004</v>
      </c>
      <c r="P61" s="54">
        <f>(P15+P60)/P$15</f>
        <v>0.688209407775223</v>
      </c>
      <c r="Q61" s="54">
        <f>(Q15+Q60)/Q$15</f>
        <v>0.710671722733905</v>
      </c>
      <c r="R61" s="54">
        <f>(R15+R60)/R$15</f>
        <v>0.691970391316899</v>
      </c>
      <c r="S61" s="54">
        <f>(S15+S60)/S$15</f>
        <v>0.700184715706545</v>
      </c>
      <c r="T61" s="54">
        <f>(T15+T60)/T$15</f>
        <v>0.699770959309195</v>
      </c>
      <c r="U61" s="54">
        <f>(U15+U60)/U$15</f>
        <v>0.67968619370134</v>
      </c>
      <c r="V61" s="54">
        <f>(V15+V60)/V$15</f>
        <v>0.701945662205865</v>
      </c>
      <c r="W61" s="54">
        <f>(W15+W60)/W$15</f>
        <v>0.69641895756325</v>
      </c>
      <c r="X61" s="54">
        <f>(X15+X60)/X$15</f>
        <v>0.688546418761058</v>
      </c>
      <c r="Y61" s="54">
        <f>(Y15+Y60)/Y$15</f>
        <v>0.693176587422642</v>
      </c>
      <c r="Z61" s="54">
        <f>(Z15+Z60)/Z$15</f>
        <v>0.674903097155904</v>
      </c>
      <c r="AA61" s="54">
        <f>(AA15+AA60)/AA$15</f>
        <v>0.738415952105793</v>
      </c>
      <c r="AB61" s="54">
        <f>(AB15+AB60)/AB$15</f>
        <v>0.704418815786381</v>
      </c>
      <c r="AC61" s="54">
        <f>(AC15+AC60)/AC$15</f>
        <v>0.679532173387663</v>
      </c>
      <c r="AD61" s="54">
        <f>(AD15+AD60)/AD$15</f>
        <v>0.723698127937005</v>
      </c>
      <c r="AE61" s="54">
        <f>(AE15+AE60)/AE$15</f>
        <v>0.71412393489249</v>
      </c>
      <c r="AF61" s="44">
        <f>(AF15+AF60)/AF$15</f>
        <v>0.673413419704773</v>
      </c>
      <c r="AG61" s="54">
        <f>(AG15+AG60)/AG$15</f>
        <v>0.696081315269562</v>
      </c>
      <c r="AH61" s="55">
        <f>(AH15+AH60)/AH$15</f>
        <v>0.699408363445801</v>
      </c>
      <c r="AI61" s="55">
        <f>(AI15+AI60)/AI$15</f>
        <v>0.719070709692681</v>
      </c>
      <c r="AJ61" s="55" t="n"/>
      <c r="AK61" s="55" t="n"/>
      <c r="AL61" s="54">
        <f>(AL15+AL60)/AL$15</f>
        <v>0.321680951201185</v>
      </c>
      <c r="AM61" s="55" t="n"/>
      <c r="AN61" s="55" t="n"/>
      <c r="AO61" s="55" t="n"/>
      <c r="AP61" s="55" t="n"/>
      <c r="AQ61" s="54">
        <f>(AQ15+AQ60)/AQ$15</f>
        <v>0</v>
      </c>
      <c r="AR61" s="55" t="n"/>
      <c r="AS61" s="55" t="n"/>
      <c r="AT61" s="55" t="n"/>
      <c r="AU61" s="55" t="n"/>
      <c r="AV61" s="54">
        <f>(AV15+AV60)/AV$15</f>
        <v>0</v>
      </c>
      <c r="AW61" s="55" t="n"/>
      <c r="AX61" s="55" t="n"/>
      <c r="AY61" s="55" t="n"/>
      <c r="AZ61" s="55" t="n"/>
      <c r="BA61" s="54">
        <f>(BA15+BA60)/BA$15</f>
        <v>0</v>
      </c>
      <c r="BB61" s="55" t="n"/>
      <c r="BC61" s="55" t="n"/>
      <c r="BD61" s="55" t="n"/>
      <c r="BE61" s="55" t="n"/>
      <c r="BF61" s="54">
        <f>(BF15+BF60)/BF$15</f>
        <v>0</v>
      </c>
      <c r="BG61" s="55" t="n"/>
      <c r="BH61" s="55" t="n"/>
      <c r="BI61" s="55" t="n"/>
      <c r="BJ61" s="55" t="n"/>
      <c r="BK61" s="54">
        <f>(BK15+BK60)/BK$15</f>
        <v>0</v>
      </c>
      <c r="BL61" s="55" t="n"/>
      <c r="BM61" s="55" t="n"/>
      <c r="BN61" s="55" t="n"/>
      <c r="BO61" s="55" t="n"/>
      <c r="BP61" s="54">
        <f>(BP15+BP60)/BP$15</f>
        <v>0</v>
      </c>
      <c r="BQ61" s="55" t="n"/>
      <c r="BR61" s="55" t="n"/>
      <c r="BS61" s="55" t="n"/>
      <c r="BT61" s="55" t="n"/>
      <c r="BU61" s="54">
        <f>(BU15+BU60)/BU$15</f>
        <v>0</v>
      </c>
      <c r="BV61" s="55" t="n"/>
      <c r="BW61" s="55" t="n"/>
      <c r="BX61" s="55" t="n"/>
      <c r="BY61" s="55" t="n"/>
      <c r="BZ61" s="54">
        <f>(BZ15+BZ60)/BZ$15</f>
        <v>0</v>
      </c>
      <c r="CA61" s="55" t="n"/>
      <c r="CB61" s="55" t="n"/>
      <c r="CC61" s="55" t="n"/>
      <c r="CD61" s="55" t="n"/>
      <c r="CE61" s="54">
        <f>(CE15+CE60)/CE$15</f>
        <v>0</v>
      </c>
      <c r="CF61" s="55" t="n"/>
      <c r="CG61" s="55" t="n"/>
      <c r="CH61" s="55" t="n"/>
      <c r="CI61" s="55" t="n"/>
      <c r="CJ61" s="54">
        <f>(CJ15+CJ60)/CJ$15</f>
        <v>0</v>
      </c>
      <c r="CK61" s="55" t="n"/>
      <c r="CL61" s="55" t="n"/>
      <c r="CM61" s="55" t="n"/>
      <c r="CN61" s="55" t="n"/>
      <c r="CO61" s="54">
        <f>(CO15+CO60)/CO$15</f>
        <v>0</v>
      </c>
      <c r="CP61" s="55" t="n"/>
      <c r="CQ61" s="55" t="n"/>
      <c r="CR61" s="55" t="n"/>
      <c r="CS61" s="55" t="n"/>
      <c r="CT61" s="54">
        <f>(CT15+CT60)/CT$15</f>
        <v>0</v>
      </c>
      <c r="CU61" s="55" t="n"/>
      <c r="CV61" s="55" t="n"/>
      <c r="CW61" s="55" t="n"/>
      <c r="CX61" s="55" t="n"/>
      <c r="CY61" s="54">
        <f>(CY15+CY60)/CY$15</f>
        <v>0</v>
      </c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collapsed="1">
      <c r="C64" s="24" t="inlineStr">
        <is>
          <t>SG&amp;A and Other (cash)</t>
        </is>
      </c>
      <c r="D64" s="25">
        <f>INDEX('Inputs (2)'!$D$6:$AL$6,MATCH(D$7,'Inputs (2)'!$D$2:$AL$2,0))</f>
        <v>-96.21018046</v>
      </c>
      <c r="E64" s="25">
        <f>INDEX('Inputs (2)'!$D$6:$AL$6,MATCH(E$7,'Inputs (2)'!$D$2:$AL$2,0))</f>
        <v>-81.0004578299992</v>
      </c>
      <c r="F64" s="25">
        <f>INDEX('Inputs (2)'!$D$6:$AL$6,MATCH(F$7,'Inputs (2)'!$D$2:$AL$2,0))</f>
        <v>-106.312573998701</v>
      </c>
      <c r="G64" s="25">
        <f>INDEX('Inputs (2)'!$D$6:$AL$6,MATCH(G$7,'Inputs (2)'!$D$2:$AL$2,0))</f>
        <v>-173.132320750189</v>
      </c>
      <c r="H64" s="3">
        <f>SUM(D64:G64)</f>
        <v>-456.655533038889</v>
      </c>
      <c r="I64" s="25">
        <f>INDEX('Inputs (2)'!$D$6:$AL$6,MATCH(I$7,'Inputs (2)'!$D$2:$AL$2,0))</f>
        <v>-118.407734590705</v>
      </c>
      <c r="J64" s="25">
        <f>INDEX('Inputs (2)'!$D$6:$AL$6,MATCH(J$7,'Inputs (2)'!$D$2:$AL$2,0))</f>
        <v>-142.269472140974</v>
      </c>
      <c r="K64" s="25">
        <f>INDEX('Inputs (2)'!$D$6:$AL$6,MATCH(K$7,'Inputs (2)'!$D$2:$AL$2,0))</f>
        <v>-145.564582727196</v>
      </c>
      <c r="L64" s="25">
        <f>INDEX('Inputs (2)'!$D$6:$AL$6,MATCH(L$7,'Inputs (2)'!$D$2:$AL$2,0))</f>
        <v>-221.951711402599</v>
      </c>
      <c r="M64" s="3">
        <f>SUM(I64:L64)</f>
        <v>-628.193500861473</v>
      </c>
      <c r="N64" s="25">
        <f>INDEX('Inputs (2)'!$D$6:$AL$6,MATCH(N$7,'Inputs (2)'!$D$2:$AL$2,0))</f>
        <v>-158.313299659153</v>
      </c>
      <c r="O64" s="25">
        <f>INDEX('Inputs (2)'!$D$6:$AL$6,MATCH(O$7,'Inputs (2)'!$D$2:$AL$2,0))</f>
        <v>-204.30577031262</v>
      </c>
      <c r="P64" s="25">
        <f>INDEX('Inputs (2)'!$D$6:$AL$6,MATCH(P$7,'Inputs (2)'!$D$2:$AL$2,0))</f>
        <v>-175.860231724707</v>
      </c>
      <c r="Q64" s="25">
        <f>INDEX('Inputs (2)'!$D$6:$AL$6,MATCH(Q$7,'Inputs (2)'!$D$2:$AL$2,0))</f>
        <v>-247.032568558932</v>
      </c>
      <c r="R64" s="3">
        <f>SUM(N64:Q64)</f>
        <v>-785.511870255413</v>
      </c>
      <c r="S64" s="25">
        <f>INDEX('Inputs (2)'!$D$6:$AL$6,MATCH(S$7,'Inputs (2)'!$D$2:$AL$2,0))</f>
        <v>-194.092521397267</v>
      </c>
      <c r="T64" s="25">
        <f>INDEX('Inputs (2)'!$D$6:$AL$6,MATCH(T$7,'Inputs (2)'!$D$2:$AL$2,0))</f>
        <v>-233.387754038583</v>
      </c>
      <c r="U64" s="25">
        <f>INDEX('Inputs (2)'!$D$6:$AL$6,MATCH(U$7,'Inputs (2)'!$D$2:$AL$2,0))</f>
        <v>-189.731302620291</v>
      </c>
      <c r="V64" s="25">
        <f>INDEX('Inputs (2)'!$D$6:$AL$6,MATCH(V$7,'Inputs (2)'!$D$2:$AL$2,0))</f>
        <v>-321.10803855</v>
      </c>
      <c r="W64" s="3">
        <f>SUM(S64:V64)</f>
        <v>-938.319616606141</v>
      </c>
      <c r="X64" s="25">
        <f>INDEX('Inputs (2)'!$D$6:$AL$6,MATCH(X$7,'Inputs (2)'!$D$2:$AL$2,0))</f>
        <v>-225.991904710259</v>
      </c>
      <c r="Y64" s="25">
        <f>INDEX('Inputs (2)'!$D$6:$AL$6,MATCH(Y$7,'Inputs (2)'!$D$2:$AL$2,0))</f>
        <v>-190.126362828162</v>
      </c>
      <c r="Z64" s="25">
        <f>INDEX('Inputs (2)'!$D$6:$AL$6,MATCH(Z$7,'Inputs (2)'!$D$2:$AL$2,0))</f>
        <v>-230.208715963281</v>
      </c>
      <c r="AA64" s="25">
        <f>INDEX('Inputs (2)'!$D$6:$AL$6,MATCH(AA$7,'Inputs (2)'!$D$2:$AL$2,0))</f>
        <v>-335.811875482295</v>
      </c>
      <c r="AB64" s="3">
        <f>SUM(X64:AA64)</f>
        <v>-982.138858983997</v>
      </c>
      <c r="AC64" s="25">
        <f>INDEX('Inputs (2)'!$D$6:$AL$6,MATCH(AC$7,'Inputs (2)'!$D$2:$AL$2,0))</f>
        <v>-236.14191779</v>
      </c>
      <c r="AD64" s="25">
        <f>INDEX('Inputs (2)'!$D$6:$AL$6,MATCH(AD$7,'Inputs (2)'!$D$2:$AL$2,0))</f>
        <v>-323.6560613</v>
      </c>
      <c r="AE64" s="25">
        <f>INDEX('Inputs (2)'!$D$6:$AL$6,MATCH(AE$7,'Inputs (2)'!$D$2:$AL$2,0))</f>
        <v>-233.5815897</v>
      </c>
      <c r="AF64" s="25">
        <f>INDEX('Inputs (2)'!$D$6:$AL$6,MATCH(AF$7,'Inputs (2)'!$D$2:$AL$2,0))</f>
        <v>-434.20798505</v>
      </c>
      <c r="AG64" s="3">
        <f>SUM(AC64:AF64)</f>
        <v>-1227.58755384</v>
      </c>
      <c r="AH64" s="3">
        <f>INDEX('Inputs (2)'!$D$6:$AL$6,MATCH(AH$7,'Inputs (2)'!$D$2:$AL$2,0))</f>
        <v>-287.39441446</v>
      </c>
      <c r="AI64" s="3">
        <f>INDEX('Inputs (2)'!$D$6:$AL$6,MATCH(AI$7,'Inputs (2)'!$D$2:$AL$2,0))</f>
        <v>-359.82685648</v>
      </c>
      <c r="AJ64" s="3">
        <f>-AJ15*AJ65</f>
        <v>0</v>
      </c>
      <c r="AK64" s="3">
        <f>-AK15*AK65</f>
        <v>0</v>
      </c>
      <c r="AL64" s="3">
        <f>SUM(AH64:AK64)</f>
        <v>-647.22127094</v>
      </c>
      <c r="AM64" s="3">
        <f>-AM15*AM65</f>
        <v>0</v>
      </c>
      <c r="AN64" s="3">
        <f>-AN15*AN65</f>
        <v>0</v>
      </c>
      <c r="AO64" s="3">
        <f>-AO15*AO65</f>
        <v>0</v>
      </c>
      <c r="AP64" s="3">
        <f>-AP15*AP65</f>
        <v>0</v>
      </c>
      <c r="AQ64" s="3">
        <f>SUM(AM64:AP64)</f>
        <v>0</v>
      </c>
      <c r="AR64" s="3">
        <f>-AR15*AR65</f>
        <v>0</v>
      </c>
      <c r="AS64" s="3">
        <f>-AS15*AS65</f>
        <v>0</v>
      </c>
      <c r="AT64" s="3">
        <f>-AT15*AT65</f>
        <v>0</v>
      </c>
      <c r="AU64" s="3">
        <f>-AU15*AU65</f>
        <v>0</v>
      </c>
      <c r="AV64" s="3">
        <f>SUM(AR64:AU64)</f>
        <v>0</v>
      </c>
      <c r="AW64" s="3">
        <f>-AW15*AW65</f>
        <v>0</v>
      </c>
      <c r="AX64" s="3">
        <f>-AX15*AX65</f>
        <v>0</v>
      </c>
      <c r="AY64" s="3">
        <f>-AY15*AY65</f>
        <v>0</v>
      </c>
      <c r="AZ64" s="3">
        <f>-AZ15*AZ65</f>
        <v>0</v>
      </c>
      <c r="BA64" s="3">
        <f>SUM(AW64:AZ64)</f>
        <v>0</v>
      </c>
      <c r="BB64" s="3">
        <f>-BB15*BB65</f>
        <v>0</v>
      </c>
      <c r="BC64" s="3">
        <f>-BC15*BC65</f>
        <v>0</v>
      </c>
      <c r="BD64" s="3">
        <f>-BD15*BD65</f>
        <v>0</v>
      </c>
      <c r="BE64" s="3">
        <f>-BE15*BE65</f>
        <v>0</v>
      </c>
      <c r="BF64" s="3">
        <f>SUM(BB64:BE64)</f>
        <v>0</v>
      </c>
      <c r="BG64" s="3">
        <f>-BG15*BG65</f>
        <v>0</v>
      </c>
      <c r="BH64" s="3">
        <f>-BH15*BH65</f>
        <v>0</v>
      </c>
      <c r="BI64" s="3">
        <f>-BI15*BI65</f>
        <v>0</v>
      </c>
      <c r="BJ64" s="3">
        <f>-BJ15*BJ65</f>
        <v>0</v>
      </c>
      <c r="BK64" s="3">
        <f>SUM(BG64:BJ64)</f>
        <v>0</v>
      </c>
      <c r="BL64" s="3">
        <f>-BL15*BL65</f>
        <v>0</v>
      </c>
      <c r="BM64" s="3">
        <f>-BM15*BM65</f>
        <v>0</v>
      </c>
      <c r="BN64" s="3">
        <f>-BN15*BN65</f>
        <v>0</v>
      </c>
      <c r="BO64" s="3">
        <f>-BO15*BO65</f>
        <v>0</v>
      </c>
      <c r="BP64" s="3">
        <f>SUM(BL64:BO64)</f>
        <v>0</v>
      </c>
      <c r="BQ64" s="3">
        <f>-BQ15*BQ65</f>
        <v>0</v>
      </c>
      <c r="BR64" s="3">
        <f>-BR15*BR65</f>
        <v>0</v>
      </c>
      <c r="BS64" s="3">
        <f>-BS15*BS65</f>
        <v>0</v>
      </c>
      <c r="BT64" s="3">
        <f>-BT15*BT65</f>
        <v>0</v>
      </c>
      <c r="BU64" s="3">
        <f>SUM(BQ64:BT64)</f>
        <v>0</v>
      </c>
      <c r="BV64" s="3">
        <f>-BV15*BV65</f>
        <v>0</v>
      </c>
      <c r="BW64" s="3">
        <f>-BW15*BW65</f>
        <v>0</v>
      </c>
      <c r="BX64" s="3">
        <f>-BX15*BX65</f>
        <v>0</v>
      </c>
      <c r="BY64" s="3">
        <f>-BY15*BY65</f>
        <v>0</v>
      </c>
      <c r="BZ64" s="3">
        <f>SUM(BV64:BY64)</f>
        <v>0</v>
      </c>
      <c r="CA64" s="3">
        <f>-CA15*CA65</f>
        <v>0</v>
      </c>
      <c r="CB64" s="3">
        <f>-CB15*CB65</f>
        <v>0</v>
      </c>
      <c r="CC64" s="3">
        <f>-CC15*CC65</f>
        <v>0</v>
      </c>
      <c r="CD64" s="3">
        <f>-CD15*CD65</f>
        <v>0</v>
      </c>
      <c r="CE64" s="3">
        <f>SUM(CA64:CD64)</f>
        <v>0</v>
      </c>
      <c r="CF64" s="3">
        <f>-CF15*CF65</f>
        <v>0</v>
      </c>
      <c r="CG64" s="3">
        <f>-CG15*CG65</f>
        <v>0</v>
      </c>
      <c r="CH64" s="3">
        <f>-CH15*CH65</f>
        <v>0</v>
      </c>
      <c r="CI64" s="3">
        <f>-CI15*CI65</f>
        <v>0</v>
      </c>
      <c r="CJ64" s="3">
        <f>SUM(CF64:CI64)</f>
        <v>0</v>
      </c>
      <c r="CK64" s="3">
        <f>-CK15*CK65</f>
        <v>0</v>
      </c>
      <c r="CL64" s="3">
        <f>-CL15*CL65</f>
        <v>0</v>
      </c>
      <c r="CM64" s="3">
        <f>-CM15*CM65</f>
        <v>0</v>
      </c>
      <c r="CN64" s="3">
        <f>-CN15*CN65</f>
        <v>0</v>
      </c>
      <c r="CO64" s="3">
        <f>SUM(CK64:CN64)</f>
        <v>0</v>
      </c>
      <c r="CP64" s="3">
        <f>-CP15*CP65</f>
        <v>0</v>
      </c>
      <c r="CQ64" s="3">
        <f>-CQ15*CQ65</f>
        <v>0</v>
      </c>
      <c r="CR64" s="3">
        <f>-CR15*CR65</f>
        <v>0</v>
      </c>
      <c r="CS64" s="3">
        <f>-CS15*CS65</f>
        <v>0</v>
      </c>
      <c r="CT64" s="3">
        <f>SUM(CP64:CS64)</f>
        <v>0</v>
      </c>
      <c r="CU64" s="3">
        <f>-CU15*CU65</f>
        <v>0</v>
      </c>
      <c r="CV64" s="3">
        <f>-CV15*CV65</f>
        <v>0</v>
      </c>
      <c r="CW64" s="3">
        <f>-CW15*CW65</f>
        <v>0</v>
      </c>
      <c r="CX64" s="3">
        <f>-CX15*CX65</f>
        <v>0</v>
      </c>
      <c r="CY64" s="3">
        <f>SUM(CU64:CX64)</f>
        <v>0</v>
      </c>
    </row>
    <row r="65" hidden="1" outlineLevel="1">
      <c r="C65" s="33" t="inlineStr">
        <is>
          <t>% SG&amp;A and Other Margin</t>
        </is>
      </c>
      <c r="D65" s="56">
        <f>-(D64/D$15)</f>
        <v>0.466515773378844</v>
      </c>
      <c r="E65" s="56">
        <f>-(E64/E$15)</f>
        <v>0.588440292057187</v>
      </c>
      <c r="F65" s="56">
        <f>-(F64/F$15)</f>
        <v>0.438174610762726</v>
      </c>
      <c r="G65" s="56">
        <f>-(G64/G$15)</f>
        <v>0.37552817730908</v>
      </c>
      <c r="H65" s="56">
        <f>-(H64/H$15)</f>
        <v>0.435928426235646</v>
      </c>
      <c r="I65" s="56">
        <f>-(I64/I$15)</f>
        <v>0.543828212933834</v>
      </c>
      <c r="J65" s="56">
        <f>-(J64/J$15)</f>
        <v>0.393014933393427</v>
      </c>
      <c r="K65" s="56">
        <f>-(K64/K$15)</f>
        <v>0.431667012702885</v>
      </c>
      <c r="L65" s="56">
        <f>-(L64/L$15)</f>
        <v>0.403954876538656</v>
      </c>
      <c r="M65" s="56">
        <f>-(M64/M$15)</f>
        <v>0.428395471524635</v>
      </c>
      <c r="N65" s="56">
        <f>-(N64/N$15)</f>
        <v>0.469182449502345</v>
      </c>
      <c r="O65" s="56">
        <f>-(O64/O$15)</f>
        <v>0.43525784750684</v>
      </c>
      <c r="P65" s="56">
        <f>-(P64/P$15)</f>
        <v>0.447622867661847</v>
      </c>
      <c r="Q65" s="56">
        <f>-(Q64/Q$15)</f>
        <v>0.383563994611523</v>
      </c>
      <c r="R65" s="56">
        <f>-(R64/R$15)</f>
        <v>0.426043782036925</v>
      </c>
      <c r="S65" s="56">
        <f>-(S64/S$15)</f>
        <v>0.495604813203247</v>
      </c>
      <c r="T65" s="56">
        <f>-(T64/T$15)</f>
        <v>0.416831397218615</v>
      </c>
      <c r="U65" s="56">
        <f>-(U64/U$15)</f>
        <v>0.414884951958611</v>
      </c>
      <c r="V65" s="56">
        <f>-(V64/V$15)</f>
        <v>0.412667784369047</v>
      </c>
      <c r="W65" s="56">
        <f>-(W64/W$15)</f>
        <v>0.429049139264782</v>
      </c>
      <c r="X65" s="56">
        <f>-(X64/X$15)</f>
        <v>0.508314778625071</v>
      </c>
      <c r="Y65" s="56">
        <f>-(Y64/Y$15)</f>
        <v>0.289684564371356</v>
      </c>
      <c r="Z65" s="56">
        <f>-(Z64/Z$15)</f>
        <v>0.408969472706618</v>
      </c>
      <c r="AA65" s="56">
        <f>-(AA64/AA$15)</f>
        <v>0.367690210416711</v>
      </c>
      <c r="AB65" s="56">
        <f>-(AB64/AB$15)</f>
        <v>0.381100407416381</v>
      </c>
      <c r="AC65" s="56">
        <f>-(AC64/AC$15)</f>
        <v>0.439676780993421</v>
      </c>
      <c r="AD65" s="56">
        <f>-(AD64/AD$15)</f>
        <v>0.425291668933357</v>
      </c>
      <c r="AE65" s="56">
        <f>-(AE64/AE$15)</f>
        <v>0.351513470590702</v>
      </c>
      <c r="AF65" s="44">
        <f>-(AF64/AF$15)</f>
        <v>0.408098908162259</v>
      </c>
      <c r="AG65" s="56">
        <f>-(AG64/AG$15)</f>
        <v>0.405601952472702</v>
      </c>
      <c r="AH65" s="45">
        <f>-(AH64/AH$15)</f>
        <v>0.482600345122886</v>
      </c>
      <c r="AI65" s="45">
        <f>-(AI64/AI$15)</f>
        <v>0.43189706931076</v>
      </c>
      <c r="AJ65" s="45" t="n"/>
      <c r="AK65" s="45" t="n"/>
      <c r="AL65" s="56">
        <f>-(AL64/AL$15)</f>
        <v>0.205003492676403</v>
      </c>
      <c r="AM65" s="45" t="n"/>
      <c r="AN65" s="45" t="n"/>
      <c r="AO65" s="45" t="n"/>
      <c r="AP65" s="45" t="n"/>
      <c r="AQ65" s="56">
        <f>-(AQ64/AQ$15)</f>
        <v>0</v>
      </c>
      <c r="AR65" s="45" t="n"/>
      <c r="AS65" s="45" t="n"/>
      <c r="AT65" s="45" t="n"/>
      <c r="AU65" s="45" t="n"/>
      <c r="AV65" s="56">
        <f>-(AV64/AV$15)</f>
        <v>0</v>
      </c>
      <c r="AW65" s="45" t="n"/>
      <c r="AX65" s="45" t="n"/>
      <c r="AY65" s="45" t="n"/>
      <c r="AZ65" s="45" t="n"/>
      <c r="BA65" s="56">
        <f>-(BA64/BA$15)</f>
        <v>0</v>
      </c>
      <c r="BB65" s="45" t="n"/>
      <c r="BC65" s="45" t="n"/>
      <c r="BD65" s="45" t="n"/>
      <c r="BE65" s="45" t="n"/>
      <c r="BF65" s="56">
        <f>-(BF64/BF$15)</f>
        <v>0</v>
      </c>
      <c r="BG65" s="45" t="n"/>
      <c r="BH65" s="45" t="n"/>
      <c r="BI65" s="45" t="n"/>
      <c r="BJ65" s="45" t="n"/>
      <c r="BK65" s="56">
        <f>-(BK64/BK$15)</f>
        <v>0</v>
      </c>
      <c r="BL65" s="45" t="n"/>
      <c r="BM65" s="45" t="n"/>
      <c r="BN65" s="45" t="n"/>
      <c r="BO65" s="45" t="n"/>
      <c r="BP65" s="56">
        <f>-(BP64/BP$15)</f>
        <v>0</v>
      </c>
      <c r="BQ65" s="45" t="n"/>
      <c r="BR65" s="45" t="n"/>
      <c r="BS65" s="45" t="n"/>
      <c r="BT65" s="45" t="n"/>
      <c r="BU65" s="56">
        <f>-(BU64/BU$15)</f>
        <v>0</v>
      </c>
      <c r="BV65" s="45" t="n"/>
      <c r="BW65" s="45" t="n"/>
      <c r="BX65" s="45" t="n"/>
      <c r="BY65" s="45" t="n"/>
      <c r="BZ65" s="56">
        <f>-(BZ64/BZ$15)</f>
        <v>0</v>
      </c>
      <c r="CA65" s="45" t="n"/>
      <c r="CB65" s="45" t="n"/>
      <c r="CC65" s="45" t="n"/>
      <c r="CD65" s="45" t="n"/>
      <c r="CE65" s="56">
        <f>-(CE64/CE$15)</f>
        <v>0</v>
      </c>
      <c r="CF65" s="45" t="n"/>
      <c r="CG65" s="45" t="n"/>
      <c r="CH65" s="45" t="n"/>
      <c r="CI65" s="45" t="n"/>
      <c r="CJ65" s="56">
        <f>-(CJ64/CJ$15)</f>
        <v>0</v>
      </c>
      <c r="CK65" s="45" t="n"/>
      <c r="CL65" s="45" t="n"/>
      <c r="CM65" s="45" t="n"/>
      <c r="CN65" s="45" t="n"/>
      <c r="CO65" s="56">
        <f>-(CO64/CO$15)</f>
        <v>0</v>
      </c>
      <c r="CP65" s="45" t="n"/>
      <c r="CQ65" s="45" t="n"/>
      <c r="CR65" s="45" t="n"/>
      <c r="CS65" s="45" t="n"/>
      <c r="CT65" s="56">
        <f>-(CT64/CT$15)</f>
        <v>0</v>
      </c>
      <c r="CU65" s="45" t="n"/>
      <c r="CV65" s="45" t="n"/>
      <c r="CW65" s="45" t="n"/>
      <c r="CX65" s="45" t="n"/>
      <c r="CY65" s="56">
        <f>-(CY64/CY$15)</f>
        <v>0</v>
      </c>
    </row>
    <row r="66" hidden="1" outlineLevel="1"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Com Vendas</t>
        </is>
      </c>
      <c r="D67" s="6" t="n"/>
      <c r="E67" s="6" t="n"/>
      <c r="F67" s="6" t="n"/>
      <c r="G67" s="6" t="n"/>
      <c r="H67" s="32" t="n"/>
      <c r="I67" s="6" t="n"/>
      <c r="J67" s="6" t="n"/>
      <c r="K67" s="6" t="n"/>
      <c r="L67" s="6" t="n"/>
      <c r="M67" s="32" t="n"/>
      <c r="N67" s="6" t="n"/>
      <c r="O67" s="6" t="n"/>
      <c r="P67" s="6" t="n"/>
      <c r="Q67" s="6" t="n"/>
      <c r="R67" s="32" t="n"/>
      <c r="S67" s="6" t="n"/>
      <c r="T67" s="6" t="n"/>
      <c r="U67" s="6" t="n"/>
      <c r="V67" s="6" t="n"/>
      <c r="W67" s="32" t="n"/>
      <c r="X67" s="6" t="n"/>
      <c r="Y67" s="6" t="n"/>
      <c r="Z67" s="6" t="n"/>
      <c r="AA67" s="6" t="n"/>
      <c r="AB67" s="32" t="n"/>
      <c r="AC67" s="6" t="n"/>
      <c r="AD67" s="6" t="n"/>
      <c r="AE67" s="6" t="n"/>
      <c r="AF67" s="6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inlineStr">
        <is>
          <t>Gerais &amp; Administrativas</t>
        </is>
      </c>
      <c r="D68" s="6" t="n"/>
      <c r="E68" s="6" t="n"/>
      <c r="F68" s="6" t="n"/>
      <c r="G68" s="6" t="n"/>
      <c r="H68" s="32" t="n"/>
      <c r="I68" s="6" t="n"/>
      <c r="J68" s="6" t="n"/>
      <c r="K68" s="6" t="n"/>
      <c r="L68" s="6" t="n"/>
      <c r="M68" s="32" t="n"/>
      <c r="N68" s="6" t="n"/>
      <c r="O68" s="6" t="n"/>
      <c r="P68" s="6" t="n"/>
      <c r="Q68" s="6" t="n"/>
      <c r="R68" s="32" t="n"/>
      <c r="S68" s="6" t="n"/>
      <c r="T68" s="6" t="n"/>
      <c r="U68" s="6" t="n"/>
      <c r="V68" s="6" t="n"/>
      <c r="W68" s="32" t="n"/>
      <c r="X68" s="6" t="n"/>
      <c r="Y68" s="6" t="n"/>
      <c r="Z68" s="6" t="n"/>
      <c r="AA68" s="6" t="n"/>
      <c r="AB68" s="32" t="n"/>
      <c r="AC68" s="6" t="n"/>
      <c r="AD68" s="6" t="n"/>
      <c r="AE68" s="6" t="n"/>
      <c r="AF68" s="6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inlineStr">
        <is>
          <t>Outras Receitas (Despesas) Operacionais, Líquidas</t>
        </is>
      </c>
      <c r="D69" s="6" t="n"/>
      <c r="E69" s="6" t="n"/>
      <c r="F69" s="6" t="n"/>
      <c r="G69" s="6" t="n"/>
      <c r="H69" s="32" t="n"/>
      <c r="I69" s="6" t="n"/>
      <c r="J69" s="6" t="n"/>
      <c r="K69" s="6" t="n"/>
      <c r="L69" s="6" t="n"/>
      <c r="M69" s="32" t="n"/>
      <c r="N69" s="6" t="n"/>
      <c r="O69" s="6" t="n"/>
      <c r="P69" s="6" t="n"/>
      <c r="Q69" s="6" t="n"/>
      <c r="R69" s="32" t="n"/>
      <c r="S69" s="6" t="n"/>
      <c r="T69" s="6" t="n"/>
      <c r="U69" s="6" t="n"/>
      <c r="V69" s="6" t="n"/>
      <c r="W69" s="32" t="n"/>
      <c r="X69" s="6" t="n"/>
      <c r="Y69" s="6" t="n"/>
      <c r="Z69" s="6" t="n"/>
      <c r="AA69" s="6" t="n"/>
      <c r="AB69" s="32" t="n"/>
      <c r="AC69" s="6" t="n"/>
      <c r="AD69" s="6" t="n"/>
      <c r="AE69" s="6" t="n"/>
      <c r="AF69" s="6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hidden="1" outlineLevel="1">
      <c r="C71" s="32" t="inlineStr">
        <is>
          <t>Com Vendas (%)</t>
        </is>
      </c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2" t="n"/>
      <c r="BA71" s="32" t="n"/>
      <c r="BB71" s="32" t="n"/>
      <c r="BC71" s="32" t="n"/>
      <c r="BD71" s="32" t="n"/>
      <c r="BE71" s="32" t="n"/>
      <c r="BF71" s="32" t="n"/>
      <c r="BG71" s="32" t="n"/>
      <c r="BH71" s="32" t="n"/>
      <c r="BI71" s="32" t="n"/>
      <c r="BJ71" s="32" t="n"/>
      <c r="BK71" s="32" t="n"/>
      <c r="BL71" s="32" t="n"/>
      <c r="BM71" s="32" t="n"/>
      <c r="BN71" s="32" t="n"/>
      <c r="BO71" s="32" t="n"/>
      <c r="BP71" s="32" t="n"/>
      <c r="BQ71" s="32" t="n"/>
      <c r="BR71" s="32" t="n"/>
      <c r="BS71" s="32" t="n"/>
      <c r="BT71" s="32" t="n"/>
      <c r="BU71" s="32" t="n"/>
      <c r="BV71" s="32" t="n"/>
      <c r="BW71" s="32" t="n"/>
      <c r="BX71" s="32" t="n"/>
      <c r="BY71" s="32" t="n"/>
      <c r="BZ71" s="32" t="n"/>
      <c r="CA71" s="32" t="n"/>
      <c r="CB71" s="32" t="n"/>
      <c r="CC71" s="32" t="n"/>
      <c r="CD71" s="32" t="n"/>
      <c r="CE71" s="32" t="n"/>
      <c r="CF71" s="32" t="n"/>
      <c r="CG71" s="32" t="n"/>
      <c r="CH71" s="32" t="n"/>
      <c r="CI71" s="32" t="n"/>
      <c r="CJ71" s="32" t="n"/>
      <c r="CK71" s="32" t="n"/>
      <c r="CL71" s="32" t="n"/>
      <c r="CM71" s="32" t="n"/>
      <c r="CN71" s="32" t="n"/>
      <c r="CO71" s="32" t="n"/>
      <c r="CP71" s="32" t="n"/>
      <c r="CQ71" s="32" t="n"/>
      <c r="CR71" s="32" t="n"/>
      <c r="CS71" s="32" t="n"/>
      <c r="CT71" s="32" t="n"/>
      <c r="CU71" s="32" t="n"/>
      <c r="CV71" s="32" t="n"/>
      <c r="CW71" s="32" t="n"/>
      <c r="CX71" s="32" t="n"/>
      <c r="CY71" s="32" t="n"/>
    </row>
    <row r="72" hidden="1" outlineLevel="1">
      <c r="C72" s="32" t="inlineStr">
        <is>
          <t>Gerais &amp; Administrativas (%)</t>
        </is>
      </c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  <c r="Y72" s="32" t="n"/>
      <c r="Z72" s="32" t="n"/>
      <c r="AA72" s="32" t="n"/>
      <c r="AB72" s="32" t="n"/>
      <c r="AC72" s="32" t="n"/>
      <c r="AD72" s="32" t="n"/>
      <c r="AE72" s="32" t="n"/>
      <c r="AF72" s="32" t="n"/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2" t="n"/>
      <c r="AQ72" s="32" t="n"/>
      <c r="AR72" s="32" t="n"/>
      <c r="AS72" s="32" t="n"/>
      <c r="AT72" s="32" t="n"/>
      <c r="AU72" s="32" t="n"/>
      <c r="AV72" s="32" t="n"/>
      <c r="AW72" s="32" t="n"/>
      <c r="AX72" s="32" t="n"/>
      <c r="AY72" s="32" t="n"/>
      <c r="AZ72" s="32" t="n"/>
      <c r="BA72" s="32" t="n"/>
      <c r="BB72" s="32" t="n"/>
      <c r="BC72" s="32" t="n"/>
      <c r="BD72" s="32" t="n"/>
      <c r="BE72" s="32" t="n"/>
      <c r="BF72" s="32" t="n"/>
      <c r="BG72" s="32" t="n"/>
      <c r="BH72" s="32" t="n"/>
      <c r="BI72" s="32" t="n"/>
      <c r="BJ72" s="32" t="n"/>
      <c r="BK72" s="32" t="n"/>
      <c r="BL72" s="32" t="n"/>
      <c r="BM72" s="32" t="n"/>
      <c r="BN72" s="32" t="n"/>
      <c r="BO72" s="32" t="n"/>
      <c r="BP72" s="32" t="n"/>
      <c r="BQ72" s="32" t="n"/>
      <c r="BR72" s="32" t="n"/>
      <c r="BS72" s="32" t="n"/>
      <c r="BT72" s="32" t="n"/>
      <c r="BU72" s="32" t="n"/>
      <c r="BV72" s="32" t="n"/>
      <c r="BW72" s="32" t="n"/>
      <c r="BX72" s="32" t="n"/>
      <c r="BY72" s="32" t="n"/>
      <c r="BZ72" s="32" t="n"/>
      <c r="CA72" s="32" t="n"/>
      <c r="CB72" s="32" t="n"/>
      <c r="CC72" s="32" t="n"/>
      <c r="CD72" s="32" t="n"/>
      <c r="CE72" s="32" t="n"/>
      <c r="CF72" s="32" t="n"/>
      <c r="CG72" s="32" t="n"/>
      <c r="CH72" s="32" t="n"/>
      <c r="CI72" s="32" t="n"/>
      <c r="CJ72" s="32" t="n"/>
      <c r="CK72" s="32" t="n"/>
      <c r="CL72" s="32" t="n"/>
      <c r="CM72" s="32" t="n"/>
      <c r="CN72" s="32" t="n"/>
      <c r="CO72" s="32" t="n"/>
      <c r="CP72" s="32" t="n"/>
      <c r="CQ72" s="32" t="n"/>
      <c r="CR72" s="32" t="n"/>
      <c r="CS72" s="32" t="n"/>
      <c r="CT72" s="32" t="n"/>
      <c r="CU72" s="32" t="n"/>
      <c r="CV72" s="32" t="n"/>
      <c r="CW72" s="32" t="n"/>
      <c r="CX72" s="32" t="n"/>
      <c r="CY72" s="32" t="n"/>
    </row>
    <row r="73" hidden="1" outlineLevel="1">
      <c r="C73" s="32" t="inlineStr">
        <is>
          <t>Outras Receitas (Despesas) Operacionais, Líquidas (%)</t>
        </is>
      </c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  <c r="Y73" s="32" t="n"/>
      <c r="Z73" s="32" t="n"/>
      <c r="AA73" s="32" t="n"/>
      <c r="AB73" s="32" t="n"/>
      <c r="AC73" s="32" t="n"/>
      <c r="AD73" s="32" t="n"/>
      <c r="AE73" s="32" t="n"/>
      <c r="AF73" s="32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2" t="n"/>
      <c r="BH73" s="32" t="n"/>
      <c r="BI73" s="32" t="n"/>
      <c r="BJ73" s="32" t="n"/>
      <c r="BK73" s="32" t="n"/>
      <c r="BL73" s="32" t="n"/>
      <c r="BM73" s="32" t="n"/>
      <c r="BN73" s="32" t="n"/>
      <c r="BO73" s="32" t="n"/>
      <c r="BP73" s="32" t="n"/>
      <c r="BQ73" s="32" t="n"/>
      <c r="BR73" s="32" t="n"/>
      <c r="BS73" s="32" t="n"/>
      <c r="BT73" s="32" t="n"/>
      <c r="BU73" s="32" t="n"/>
      <c r="BV73" s="32" t="n"/>
      <c r="BW73" s="32" t="n"/>
      <c r="BX73" s="32" t="n"/>
      <c r="BY73" s="32" t="n"/>
      <c r="BZ73" s="32" t="n"/>
      <c r="CA73" s="32" t="n"/>
      <c r="CB73" s="32" t="n"/>
      <c r="CC73" s="32" t="n"/>
      <c r="CD73" s="32" t="n"/>
      <c r="CE73" s="32" t="n"/>
      <c r="CF73" s="32" t="n"/>
      <c r="CG73" s="32" t="n"/>
      <c r="CH73" s="32" t="n"/>
      <c r="CI73" s="32" t="n"/>
      <c r="CJ73" s="32" t="n"/>
      <c r="CK73" s="32" t="n"/>
      <c r="CL73" s="32" t="n"/>
      <c r="CM73" s="32" t="n"/>
      <c r="CN73" s="32" t="n"/>
      <c r="CO73" s="32" t="n"/>
      <c r="CP73" s="32" t="n"/>
      <c r="CQ73" s="32" t="n"/>
      <c r="CR73" s="32" t="n"/>
      <c r="CS73" s="32" t="n"/>
      <c r="CT73" s="32" t="n"/>
      <c r="CU73" s="32" t="n"/>
      <c r="CV73" s="32" t="n"/>
      <c r="CW73" s="32" t="n"/>
      <c r="CX73" s="32" t="n"/>
      <c r="CY73" s="32" t="n"/>
    </row>
    <row r="74" hidden="1" outlineLevel="1"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</row>
    <row r="75" collapsed="1" customFormat="1" s="17">
      <c r="A75" s="13" t="n"/>
      <c r="B75" s="1" t="n"/>
      <c r="C75" s="14" t="inlineStr">
        <is>
          <t>EBITDA</t>
        </is>
      </c>
      <c r="D75" s="16">
        <f>SUM(D15,D60,D64)</f>
        <v>34.40107917</v>
      </c>
      <c r="E75" s="16">
        <f>SUM(E15,E60,E64)</f>
        <v>9.72910353436748</v>
      </c>
      <c r="F75" s="16">
        <f>SUM(F15,F60,F64)</f>
        <v>58.023778646385</v>
      </c>
      <c r="G75" s="16">
        <f>SUM(G15,G60,G64)</f>
        <v>138.159265536936</v>
      </c>
      <c r="H75" s="16">
        <f>SUM(D75:G75)</f>
        <v>240.313226887689</v>
      </c>
      <c r="I75" s="16">
        <f>SUM(I15,I60,I64)</f>
        <v>24.9990056394389</v>
      </c>
      <c r="J75" s="16">
        <f>SUM(J15,J60,J64)</f>
        <v>104.739969100465</v>
      </c>
      <c r="K75" s="16">
        <f>SUM(K15,K60,K64)</f>
        <v>83.6745804692106</v>
      </c>
      <c r="L75" s="16">
        <f>SUM(L15,L60,L64)</f>
        <v>153.103290890606</v>
      </c>
      <c r="M75" s="16">
        <f>SUM(I75:L75)</f>
        <v>366.516846099721</v>
      </c>
      <c r="N75" s="16">
        <f>SUM(N15,N60,N64)</f>
        <v>70.9099415908256</v>
      </c>
      <c r="O75" s="16">
        <f>SUM(O15,O60,O64)</f>
        <v>114.195449979701</v>
      </c>
      <c r="P75" s="16">
        <f>SUM(P15,P60,P64)</f>
        <v>94.5206506432249</v>
      </c>
      <c r="Q75" s="16">
        <f>SUM(Q15,Q60,Q64)</f>
        <v>210.672178329433</v>
      </c>
      <c r="R75" s="16">
        <f>SUM(N75:Q75)</f>
        <v>490.298220543185</v>
      </c>
      <c r="S75" s="16">
        <f>SUM(S15,S60,S64)</f>
        <v>80.1191353397696</v>
      </c>
      <c r="T75" s="16">
        <f>SUM(T15,T60,T64)</f>
        <v>158.420477357533</v>
      </c>
      <c r="U75" s="16">
        <f>SUM(U15,U60,U64)</f>
        <v>121.096425151449</v>
      </c>
      <c r="V75" s="16">
        <f>SUM(V15,V60,V64)</f>
        <v>225.094992792112</v>
      </c>
      <c r="W75" s="16">
        <f>SUM(S75:V75)</f>
        <v>584.731030640864</v>
      </c>
      <c r="X75" s="16">
        <f>SUM(X15,X60,X64)</f>
        <v>80.1292690201881</v>
      </c>
      <c r="Y75" s="16">
        <f>SUM(Y15,Y60,Y64)</f>
        <v>264.820705719671</v>
      </c>
      <c r="Z75" s="16">
        <f>SUM(Z15,Z60,Z64)</f>
        <v>149.693907006719</v>
      </c>
      <c r="AA75" s="16">
        <f>SUM(AA15,AA60,AA64)</f>
        <v>338.584229547706</v>
      </c>
      <c r="AB75" s="16">
        <f>SUM(X75:AA75)</f>
        <v>833.228111294284</v>
      </c>
      <c r="AC75" s="16">
        <f>SUM(AC15,AC60,AC64)</f>
        <v>128.82170449</v>
      </c>
      <c r="AD75" s="16">
        <f>SUM(AD15,AD60,AD64)</f>
        <v>227.093701199999</v>
      </c>
      <c r="AE75" s="16">
        <f>SUM(AE15,AE60,AE64)</f>
        <v>240.95557007</v>
      </c>
      <c r="AF75" s="16">
        <f>SUM(AF15,AF60,AF64)</f>
        <v>282.28862454</v>
      </c>
      <c r="AG75" s="16">
        <f>SUM(AC75:AF75)</f>
        <v>879.159600299999</v>
      </c>
      <c r="AH75" s="16">
        <f>SUM(AH15,AH60,AH64)</f>
        <v>129.1118295</v>
      </c>
      <c r="AI75" s="16">
        <f>SUM(AI15,AI60,AI64)</f>
        <v>239.253274970001</v>
      </c>
      <c r="AJ75" s="16">
        <f>SUM(AJ15,AJ60,AJ64)</f>
        <v>0</v>
      </c>
      <c r="AK75" s="16">
        <f>SUM(AK15,AK60,AK64)</f>
        <v>0</v>
      </c>
      <c r="AL75" s="16">
        <f>SUM(AH75:AK75)</f>
        <v>368.365104470001</v>
      </c>
      <c r="AM75" s="16">
        <f>SUM(AM15,AM60,AM64)</f>
        <v>0</v>
      </c>
      <c r="AN75" s="16">
        <f>SUM(AN15,AN60,AN64)</f>
        <v>0</v>
      </c>
      <c r="AO75" s="16">
        <f>SUM(AO15,AO60,AO64)</f>
        <v>0</v>
      </c>
      <c r="AP75" s="16">
        <f>SUM(AP15,AP60,AP64)</f>
        <v>0</v>
      </c>
      <c r="AQ75" s="16">
        <f>SUM(AM75:AP75)</f>
        <v>0</v>
      </c>
      <c r="AR75" s="16">
        <f>SUM(AR15,AR60,AR64)</f>
        <v>0</v>
      </c>
      <c r="AS75" s="16">
        <f>SUM(AS15,AS60,AS64)</f>
        <v>0</v>
      </c>
      <c r="AT75" s="16">
        <f>SUM(AT15,AT60,AT64)</f>
        <v>0</v>
      </c>
      <c r="AU75" s="16">
        <f>SUM(AU15,AU60,AU64)</f>
        <v>0</v>
      </c>
      <c r="AV75" s="16">
        <f>SUM(AR75:AU75)</f>
        <v>0</v>
      </c>
      <c r="AW75" s="16">
        <f>SUM(AW15,AW60,AW64)</f>
        <v>0</v>
      </c>
      <c r="AX75" s="16">
        <f>SUM(AX15,AX60,AX64)</f>
        <v>0</v>
      </c>
      <c r="AY75" s="16">
        <f>SUM(AY15,AY60,AY64)</f>
        <v>0</v>
      </c>
      <c r="AZ75" s="16">
        <f>SUM(AZ15,AZ60,AZ64)</f>
        <v>0</v>
      </c>
      <c r="BA75" s="16">
        <f>SUM(AW75:AZ75)</f>
        <v>0</v>
      </c>
      <c r="BB75" s="16">
        <f>SUM(BB15,BB60,BB64)</f>
        <v>0</v>
      </c>
      <c r="BC75" s="16">
        <f>SUM(BC15,BC60,BC64)</f>
        <v>0</v>
      </c>
      <c r="BD75" s="16">
        <f>SUM(BD15,BD60,BD64)</f>
        <v>0</v>
      </c>
      <c r="BE75" s="16">
        <f>SUM(BE15,BE60,BE64)</f>
        <v>0</v>
      </c>
      <c r="BF75" s="16">
        <f>SUM(BB75:BE75)</f>
        <v>0</v>
      </c>
      <c r="BG75" s="16">
        <f>SUM(BG15,BG60,BG64)</f>
        <v>0</v>
      </c>
      <c r="BH75" s="16">
        <f>SUM(BH15,BH60,BH64)</f>
        <v>0</v>
      </c>
      <c r="BI75" s="16">
        <f>SUM(BI15,BI60,BI64)</f>
        <v>0</v>
      </c>
      <c r="BJ75" s="16">
        <f>SUM(BJ15,BJ60,BJ64)</f>
        <v>0</v>
      </c>
      <c r="BK75" s="16">
        <f>SUM(BG75:BJ75)</f>
        <v>0</v>
      </c>
      <c r="BL75" s="16">
        <f>SUM(BL15,BL60,BL64)</f>
        <v>0</v>
      </c>
      <c r="BM75" s="16">
        <f>SUM(BM15,BM60,BM64)</f>
        <v>0</v>
      </c>
      <c r="BN75" s="16">
        <f>SUM(BN15,BN60,BN64)</f>
        <v>0</v>
      </c>
      <c r="BO75" s="16">
        <f>SUM(BO15,BO60,BO64)</f>
        <v>0</v>
      </c>
      <c r="BP75" s="16">
        <f>SUM(BL75:BO75)</f>
        <v>0</v>
      </c>
      <c r="BQ75" s="16">
        <f>SUM(BQ15,BQ60,BQ64)</f>
        <v>0</v>
      </c>
      <c r="BR75" s="16">
        <f>SUM(BR15,BR60,BR64)</f>
        <v>0</v>
      </c>
      <c r="BS75" s="16">
        <f>SUM(BS15,BS60,BS64)</f>
        <v>0</v>
      </c>
      <c r="BT75" s="16">
        <f>SUM(BT15,BT60,BT64)</f>
        <v>0</v>
      </c>
      <c r="BU75" s="16">
        <f>SUM(BQ75:BT75)</f>
        <v>0</v>
      </c>
      <c r="BV75" s="16">
        <f>SUM(BV15,BV60,BV64)</f>
        <v>0</v>
      </c>
      <c r="BW75" s="16">
        <f>SUM(BW15,BW60,BW64)</f>
        <v>0</v>
      </c>
      <c r="BX75" s="16">
        <f>SUM(BX15,BX60,BX64)</f>
        <v>0</v>
      </c>
      <c r="BY75" s="16">
        <f>SUM(BY15,BY60,BY64)</f>
        <v>0</v>
      </c>
      <c r="BZ75" s="16">
        <f>SUM(BV75:BY75)</f>
        <v>0</v>
      </c>
      <c r="CA75" s="16">
        <f>SUM(CA15,CA60,CA64)</f>
        <v>0</v>
      </c>
      <c r="CB75" s="16">
        <f>SUM(CB15,CB60,CB64)</f>
        <v>0</v>
      </c>
      <c r="CC75" s="16">
        <f>SUM(CC15,CC60,CC64)</f>
        <v>0</v>
      </c>
      <c r="CD75" s="16">
        <f>SUM(CD15,CD60,CD64)</f>
        <v>0</v>
      </c>
      <c r="CE75" s="16">
        <f>SUM(CA75:CD75)</f>
        <v>0</v>
      </c>
      <c r="CF75" s="16">
        <f>SUM(CF15,CF60,CF64)</f>
        <v>0</v>
      </c>
      <c r="CG75" s="16">
        <f>SUM(CG15,CG60,CG64)</f>
        <v>0</v>
      </c>
      <c r="CH75" s="16">
        <f>SUM(CH15,CH60,CH64)</f>
        <v>0</v>
      </c>
      <c r="CI75" s="16">
        <f>SUM(CI15,CI60,CI64)</f>
        <v>0</v>
      </c>
      <c r="CJ75" s="16">
        <f>SUM(CF75:CI75)</f>
        <v>0</v>
      </c>
      <c r="CK75" s="16">
        <f>SUM(CK15,CK60,CK64)</f>
        <v>0</v>
      </c>
      <c r="CL75" s="16">
        <f>SUM(CL15,CL60,CL64)</f>
        <v>0</v>
      </c>
      <c r="CM75" s="16">
        <f>SUM(CM15,CM60,CM64)</f>
        <v>0</v>
      </c>
      <c r="CN75" s="16">
        <f>SUM(CN15,CN60,CN64)</f>
        <v>0</v>
      </c>
      <c r="CO75" s="16">
        <f>SUM(CK75:CN75)</f>
        <v>0</v>
      </c>
      <c r="CP75" s="16">
        <f>SUM(CP15,CP60,CP64)</f>
        <v>0</v>
      </c>
      <c r="CQ75" s="16">
        <f>SUM(CQ15,CQ60,CQ64)</f>
        <v>0</v>
      </c>
      <c r="CR75" s="16">
        <f>SUM(CR15,CR60,CR64)</f>
        <v>0</v>
      </c>
      <c r="CS75" s="16">
        <f>SUM(CS15,CS60,CS64)</f>
        <v>0</v>
      </c>
      <c r="CT75" s="16">
        <f>SUM(CP75:CS75)</f>
        <v>0</v>
      </c>
      <c r="CU75" s="16">
        <f>SUM(CU15,CU60,CU64)</f>
        <v>0</v>
      </c>
      <c r="CV75" s="16">
        <f>SUM(CV15,CV60,CV64)</f>
        <v>0</v>
      </c>
      <c r="CW75" s="16">
        <f>SUM(CW15,CW60,CW64)</f>
        <v>0</v>
      </c>
      <c r="CX75" s="16">
        <f>SUM(CX15,CX60,CX64)</f>
        <v>0</v>
      </c>
      <c r="CY75" s="16">
        <f>SUM(CU75:CX75)</f>
        <v>0</v>
      </c>
    </row>
    <row r="76" ht="13.5" customHeight="1">
      <c r="C76" s="24" t="inlineStr">
        <is>
          <t>D&amp;A</t>
        </is>
      </c>
      <c r="D76" s="25">
        <f>INDEX('Inputs (2)'!$D$7:$AL$7,MATCH(D$7,'Inputs (2)'!$D$2:$AL$2,0))</f>
        <v>-13.4562257</v>
      </c>
      <c r="E76" s="25">
        <f>INDEX('Inputs (2)'!$D$7:$AL$7,MATCH(E$7,'Inputs (2)'!$D$2:$AL$2,0))</f>
        <v>-14.28740434</v>
      </c>
      <c r="F76" s="25">
        <f>INDEX('Inputs (2)'!$D$7:$AL$7,MATCH(F$7,'Inputs (2)'!$D$2:$AL$2,0))</f>
        <v>-15.6490989</v>
      </c>
      <c r="G76" s="25">
        <f>INDEX('Inputs (2)'!$D$7:$AL$7,MATCH(G$7,'Inputs (2)'!$D$2:$AL$2,0))</f>
        <v>-14.88001596</v>
      </c>
      <c r="H76" s="3">
        <f>SUM(D76:G76)</f>
        <v>-58.2727449</v>
      </c>
      <c r="I76" s="25">
        <f>INDEX('Inputs (2)'!$D$7:$AL$7,MATCH(I$7,'Inputs (2)'!$D$2:$AL$2,0))</f>
        <v>-15.94413766</v>
      </c>
      <c r="J76" s="25">
        <f>INDEX('Inputs (2)'!$D$7:$AL$7,MATCH(J$7,'Inputs (2)'!$D$2:$AL$2,0))</f>
        <v>-17.49056246</v>
      </c>
      <c r="K76" s="25">
        <f>INDEX('Inputs (2)'!$D$7:$AL$7,MATCH(K$7,'Inputs (2)'!$D$2:$AL$2,0))</f>
        <v>-17.59007586</v>
      </c>
      <c r="L76" s="25">
        <f>INDEX('Inputs (2)'!$D$7:$AL$7,MATCH(L$7,'Inputs (2)'!$D$2:$AL$2,0))</f>
        <v>-20.80524252</v>
      </c>
      <c r="M76" s="3">
        <f>SUM(I76:L76)</f>
        <v>-71.8300185</v>
      </c>
      <c r="N76" s="25">
        <f>INDEX('Inputs (2)'!$D$7:$AL$7,MATCH(N$7,'Inputs (2)'!$D$2:$AL$2,0))</f>
        <v>-26.40854942</v>
      </c>
      <c r="O76" s="25">
        <f>INDEX('Inputs (2)'!$D$7:$AL$7,MATCH(O$7,'Inputs (2)'!$D$2:$AL$2,0))</f>
        <v>-25.71019725</v>
      </c>
      <c r="P76" s="25">
        <f>INDEX('Inputs (2)'!$D$7:$AL$7,MATCH(P$7,'Inputs (2)'!$D$2:$AL$2,0))</f>
        <v>-31.37331469</v>
      </c>
      <c r="Q76" s="25">
        <f>INDEX('Inputs (2)'!$D$7:$AL$7,MATCH(Q$7,'Inputs (2)'!$D$2:$AL$2,0))</f>
        <v>-30.4338306800001</v>
      </c>
      <c r="R76" s="3">
        <f>SUM(N76:Q76)</f>
        <v>-113.92589204</v>
      </c>
      <c r="S76" s="25">
        <f>INDEX('Inputs (2)'!$D$7:$AL$7,MATCH(S$7,'Inputs (2)'!$D$2:$AL$2,0))</f>
        <v>-31.8850997200005</v>
      </c>
      <c r="T76" s="25">
        <f>INDEX('Inputs (2)'!$D$7:$AL$7,MATCH(T$7,'Inputs (2)'!$D$2:$AL$2,0))</f>
        <v>-32.18479368</v>
      </c>
      <c r="U76" s="25">
        <f>INDEX('Inputs (2)'!$D$7:$AL$7,MATCH(U$7,'Inputs (2)'!$D$2:$AL$2,0))</f>
        <v>-33.87783624</v>
      </c>
      <c r="V76" s="25">
        <f>INDEX('Inputs (2)'!$D$7:$AL$7,MATCH(V$7,'Inputs (2)'!$D$2:$AL$2,0))</f>
        <v>-36.13719223</v>
      </c>
      <c r="W76" s="3">
        <f>SUM(S76:V76)</f>
        <v>-134.08492187</v>
      </c>
      <c r="X76" s="25">
        <f>INDEX('Inputs (2)'!$D$7:$AL$7,MATCH(X$7,'Inputs (2)'!$D$2:$AL$2,0))</f>
        <v>-38.78307094</v>
      </c>
      <c r="Y76" s="25">
        <f>INDEX('Inputs (2)'!$D$7:$AL$7,MATCH(Y$7,'Inputs (2)'!$D$2:$AL$2,0))</f>
        <v>-40.92108676</v>
      </c>
      <c r="Z76" s="25">
        <f>INDEX('Inputs (2)'!$D$7:$AL$7,MATCH(Z$7,'Inputs (2)'!$D$2:$AL$2,0))</f>
        <v>-43.4457200736189</v>
      </c>
      <c r="AA76" s="25">
        <f>INDEX('Inputs (2)'!$D$7:$AL$7,MATCH(AA$7,'Inputs (2)'!$D$2:$AL$2,0))</f>
        <v>-26.492400627492</v>
      </c>
      <c r="AB76" s="3">
        <f>SUM(X76:AA76)</f>
        <v>-149.642278401111</v>
      </c>
      <c r="AC76" s="25">
        <f>INDEX('Inputs (2)'!$D$7:$AL$7,MATCH(AC$7,'Inputs (2)'!$D$2:$AL$2,0))</f>
        <v>-38.4000833</v>
      </c>
      <c r="AD76" s="25">
        <f>INDEX('Inputs (2)'!$D$7:$AL$7,MATCH(AD$7,'Inputs (2)'!$D$2:$AL$2,0))</f>
        <v>-38.47477303</v>
      </c>
      <c r="AE76" s="25">
        <f>INDEX('Inputs (2)'!$D$7:$AL$7,MATCH(AE$7,'Inputs (2)'!$D$2:$AL$2,0))</f>
        <v>-37.1150324</v>
      </c>
      <c r="AF76" s="25">
        <f>INDEX('Inputs (2)'!$D$7:$AL$7,MATCH(AF$7,'Inputs (2)'!$D$2:$AL$2,0))</f>
        <v>-38.84610311</v>
      </c>
      <c r="AG76" s="3">
        <f>SUM(AC76:AF76)</f>
        <v>-152.83599184</v>
      </c>
      <c r="AH76" s="3">
        <f>INDEX('Inputs (2)'!$D$7:$AL$7,MATCH(AH$7,'Inputs (2)'!$D$2:$AL$2,0))</f>
        <v>-38.73890781</v>
      </c>
      <c r="AI76" s="3">
        <f>INDEX('Inputs (2)'!$D$7:$AL$7,MATCH(AI$7,'Inputs (2)'!$D$2:$AL$2,0))</f>
        <v>-39.39946144</v>
      </c>
      <c r="AJ76" s="3">
        <f>-AJ77*AJ15</f>
        <v>0</v>
      </c>
      <c r="AK76" s="3">
        <f>-AK77*AK15</f>
        <v>0</v>
      </c>
      <c r="AL76" s="3">
        <f>SUM(AH76:AK76)</f>
        <v>-78.1383692500001</v>
      </c>
      <c r="AM76" s="3">
        <f>-AM77*AM15</f>
        <v>0</v>
      </c>
      <c r="AN76" s="3">
        <f>-AN77*AN15</f>
        <v>0</v>
      </c>
      <c r="AO76" s="3">
        <f>-AO77*AO15</f>
        <v>0</v>
      </c>
      <c r="AP76" s="3">
        <f>-AP77*AP15</f>
        <v>0</v>
      </c>
      <c r="AQ76" s="3">
        <f>SUM(AM76:AP76)</f>
        <v>0</v>
      </c>
      <c r="AR76" s="3">
        <f>-AR77*AR15</f>
        <v>0</v>
      </c>
      <c r="AS76" s="3">
        <f>-AS77*AS15</f>
        <v>0</v>
      </c>
      <c r="AT76" s="3">
        <f>-AT77*AT15</f>
        <v>0</v>
      </c>
      <c r="AU76" s="3">
        <f>-AU77*AU15</f>
        <v>0</v>
      </c>
      <c r="AV76" s="3">
        <f>SUM(AR76:AU76)</f>
        <v>0</v>
      </c>
      <c r="AW76" s="3">
        <f>-AW77*AW15</f>
        <v>0</v>
      </c>
      <c r="AX76" s="3">
        <f>-AX77*AX15</f>
        <v>0</v>
      </c>
      <c r="AY76" s="3">
        <f>-AY77*AY15</f>
        <v>0</v>
      </c>
      <c r="AZ76" s="3">
        <f>-AZ77*AZ15</f>
        <v>0</v>
      </c>
      <c r="BA76" s="3">
        <f>SUM(AW76:AZ76)</f>
        <v>0</v>
      </c>
      <c r="BB76" s="3">
        <f>-BB77*BB15</f>
        <v>0</v>
      </c>
      <c r="BC76" s="3">
        <f>-BC77*BC15</f>
        <v>0</v>
      </c>
      <c r="BD76" s="3">
        <f>-BD77*BD15</f>
        <v>0</v>
      </c>
      <c r="BE76" s="3">
        <f>-BE77*BE15</f>
        <v>0</v>
      </c>
      <c r="BF76" s="3">
        <f>SUM(BB76:BE76)</f>
        <v>0</v>
      </c>
      <c r="BG76" s="3">
        <f>-BG77*BG15</f>
        <v>0</v>
      </c>
      <c r="BH76" s="3">
        <f>-BH77*BH15</f>
        <v>0</v>
      </c>
      <c r="BI76" s="3">
        <f>-BI77*BI15</f>
        <v>0</v>
      </c>
      <c r="BJ76" s="3">
        <f>-BJ77*BJ15</f>
        <v>0</v>
      </c>
      <c r="BK76" s="3">
        <f>SUM(BG76:BJ76)</f>
        <v>0</v>
      </c>
      <c r="BL76" s="3">
        <f>-BL77*BL15</f>
        <v>0</v>
      </c>
      <c r="BM76" s="3">
        <f>-BM77*BM15</f>
        <v>0</v>
      </c>
      <c r="BN76" s="3">
        <f>-BN77*BN15</f>
        <v>0</v>
      </c>
      <c r="BO76" s="3">
        <f>-BO77*BO15</f>
        <v>0</v>
      </c>
      <c r="BP76" s="3">
        <f>SUM(BL76:BO76)</f>
        <v>0</v>
      </c>
      <c r="BQ76" s="3">
        <f>-BQ77*BQ15</f>
        <v>0</v>
      </c>
      <c r="BR76" s="3">
        <f>-BR77*BR15</f>
        <v>0</v>
      </c>
      <c r="BS76" s="3">
        <f>-BS77*BS15</f>
        <v>0</v>
      </c>
      <c r="BT76" s="3">
        <f>-BT77*BT15</f>
        <v>0</v>
      </c>
      <c r="BU76" s="3">
        <f>SUM(BQ76:BT76)</f>
        <v>0</v>
      </c>
      <c r="BV76" s="3">
        <f>-BV77*BV15</f>
        <v>0</v>
      </c>
      <c r="BW76" s="3">
        <f>-BW77*BW15</f>
        <v>0</v>
      </c>
      <c r="BX76" s="3">
        <f>-BX77*BX15</f>
        <v>0</v>
      </c>
      <c r="BY76" s="3">
        <f>-BY77*BY15</f>
        <v>0</v>
      </c>
      <c r="BZ76" s="3">
        <f>SUM(BV76:BY76)</f>
        <v>0</v>
      </c>
      <c r="CA76" s="3">
        <f>-CA77*CA15</f>
        <v>0</v>
      </c>
      <c r="CB76" s="3">
        <f>-CB77*CB15</f>
        <v>0</v>
      </c>
      <c r="CC76" s="3">
        <f>-CC77*CC15</f>
        <v>0</v>
      </c>
      <c r="CD76" s="3">
        <f>-CD77*CD15</f>
        <v>0</v>
      </c>
      <c r="CE76" s="3">
        <f>SUM(CA76:CD76)</f>
        <v>0</v>
      </c>
      <c r="CF76" s="3">
        <f>-CF77*CF15</f>
        <v>0</v>
      </c>
      <c r="CG76" s="3">
        <f>-CG77*CG15</f>
        <v>0</v>
      </c>
      <c r="CH76" s="3">
        <f>-CH77*CH15</f>
        <v>0</v>
      </c>
      <c r="CI76" s="3">
        <f>-CI77*CI15</f>
        <v>0</v>
      </c>
      <c r="CJ76" s="3">
        <f>SUM(CF76:CI76)</f>
        <v>0</v>
      </c>
      <c r="CK76" s="3">
        <f>-CK77*CK15</f>
        <v>0</v>
      </c>
      <c r="CL76" s="3">
        <f>-CL77*CL15</f>
        <v>0</v>
      </c>
      <c r="CM76" s="3">
        <f>-CM77*CM15</f>
        <v>0</v>
      </c>
      <c r="CN76" s="3">
        <f>-CN77*CN15</f>
        <v>0</v>
      </c>
      <c r="CO76" s="3">
        <f>SUM(CK76:CN76)</f>
        <v>0</v>
      </c>
      <c r="CP76" s="3">
        <f>-CP77*CP15</f>
        <v>0</v>
      </c>
      <c r="CQ76" s="3">
        <f>-CQ77*CQ15</f>
        <v>0</v>
      </c>
      <c r="CR76" s="3">
        <f>-CR77*CR15</f>
        <v>0</v>
      </c>
      <c r="CS76" s="3">
        <f>-CS77*CS15</f>
        <v>0</v>
      </c>
      <c r="CT76" s="3">
        <f>SUM(CP76:CS76)</f>
        <v>0</v>
      </c>
      <c r="CU76" s="3">
        <f>-CU77*CU15</f>
        <v>0</v>
      </c>
      <c r="CV76" s="3">
        <f>-CV77*CV15</f>
        <v>0</v>
      </c>
      <c r="CW76" s="3">
        <f>-CW77*CW15</f>
        <v>0</v>
      </c>
      <c r="CX76" s="3">
        <f>-CX77*CX15</f>
        <v>0</v>
      </c>
      <c r="CY76" s="3">
        <f>SUM(CU76:CX76)</f>
        <v>0</v>
      </c>
    </row>
    <row r="77" hidden="1" outlineLevel="1" customFormat="1" s="247">
      <c r="A77" s="48" t="n"/>
      <c r="B77" s="48" t="n"/>
      <c r="C77" s="246" t="inlineStr">
        <is>
          <t>% of Revenue</t>
        </is>
      </c>
      <c r="D77" s="48">
        <f>-D76/D15</f>
        <v>0.0652482045993637</v>
      </c>
      <c r="E77" s="48">
        <f>-E76/E15</f>
        <v>0.103793047691331</v>
      </c>
      <c r="F77" s="48">
        <f>-F76/F15</f>
        <v>0.0644988411190072</v>
      </c>
      <c r="G77" s="48">
        <f>-G76/G15</f>
        <v>0.0322751133212815</v>
      </c>
      <c r="H77" s="48" t="n"/>
      <c r="I77" s="48">
        <f>-I76/I15</f>
        <v>0.0732289315421929</v>
      </c>
      <c r="J77" s="48">
        <f>-J76/J15</f>
        <v>0.0483171276085077</v>
      </c>
      <c r="K77" s="48">
        <f>-K76/K15</f>
        <v>0.0521627950799924</v>
      </c>
      <c r="L77" s="48">
        <f>-L76/L15</f>
        <v>0.0378658002698555</v>
      </c>
      <c r="M77" s="48" t="n"/>
      <c r="N77" s="48">
        <f>-N76/N15</f>
        <v>0.0782652369153809</v>
      </c>
      <c r="O77" s="48">
        <f>-O76/O15</f>
        <v>0.0547736125949254</v>
      </c>
      <c r="P77" s="48">
        <f>-P76/P15</f>
        <v>0.0798555361372375</v>
      </c>
      <c r="Q77" s="48">
        <f>-Q76/Q15</f>
        <v>0.0472541808355395</v>
      </c>
      <c r="R77" s="48" t="n"/>
      <c r="S77" s="48">
        <f>-S76/S15</f>
        <v>0.0814168870440582</v>
      </c>
      <c r="T77" s="48">
        <f>-T76/T15</f>
        <v>0.057482161281733</v>
      </c>
      <c r="U77" s="48">
        <f>-U76/U15</f>
        <v>0.074080577462872</v>
      </c>
      <c r="V77" s="48">
        <f>-V76/V15</f>
        <v>0.0464412386504312</v>
      </c>
      <c r="W77" s="48" t="n"/>
      <c r="X77" s="48">
        <f>-X76/X15</f>
        <v>0.0872332491048365</v>
      </c>
      <c r="Y77" s="48">
        <f>-Y76/Y15</f>
        <v>0.0623490978070569</v>
      </c>
      <c r="Z77" s="48">
        <f>-Z76/Z15</f>
        <v>0.0771820178724306</v>
      </c>
      <c r="AA77" s="48">
        <f>-AA76/AA15</f>
        <v>0.0290073016243879</v>
      </c>
      <c r="AB77" s="48" t="n"/>
      <c r="AC77" s="48">
        <f>-AC76/AC15</f>
        <v>0.0714977890127825</v>
      </c>
      <c r="AD77" s="48">
        <f>-AD76/AD15</f>
        <v>0.0505567557364353</v>
      </c>
      <c r="AE77" s="48">
        <f>-AE76/AE15</f>
        <v>0.0558538618851191</v>
      </c>
      <c r="AF77" s="218">
        <f>-AF76/AF15</f>
        <v>0.0365102734435527</v>
      </c>
      <c r="AG77" s="48" t="n"/>
      <c r="AH77" s="218">
        <f>-AH76/AH15</f>
        <v>0.0650514044050488</v>
      </c>
      <c r="AI77" s="218">
        <f>-AI76/AI15</f>
        <v>0.0472908334158879</v>
      </c>
      <c r="AJ77" s="218" t="n"/>
      <c r="AK77" s="218" t="n"/>
      <c r="AL77" s="48" t="n"/>
      <c r="AM77" s="218" t="n"/>
      <c r="AN77" s="218" t="n"/>
      <c r="AO77" s="218" t="n"/>
      <c r="AP77" s="218" t="n"/>
      <c r="AQ77" s="48" t="n"/>
      <c r="AR77" s="218" t="n"/>
      <c r="AS77" s="218" t="n"/>
      <c r="AT77" s="218" t="n"/>
      <c r="AU77" s="218" t="n"/>
      <c r="AV77" s="48" t="n"/>
      <c r="AW77" s="218" t="n"/>
      <c r="AX77" s="218" t="n"/>
      <c r="AY77" s="218" t="n"/>
      <c r="AZ77" s="218" t="n"/>
      <c r="BA77" s="48" t="n"/>
      <c r="BB77" s="218" t="n"/>
      <c r="BC77" s="218" t="n"/>
      <c r="BD77" s="218" t="n"/>
      <c r="BE77" s="218" t="n"/>
      <c r="BF77" s="48" t="n"/>
      <c r="BG77" s="218" t="n"/>
      <c r="BH77" s="218" t="n"/>
      <c r="BI77" s="218" t="n"/>
      <c r="BJ77" s="218" t="n"/>
      <c r="BK77" s="48" t="n"/>
      <c r="BL77" s="218" t="n"/>
      <c r="BM77" s="218" t="n"/>
      <c r="BN77" s="218" t="n"/>
      <c r="BO77" s="218" t="n"/>
      <c r="BP77" s="48" t="n"/>
      <c r="BQ77" s="218" t="n"/>
      <c r="BR77" s="218" t="n"/>
      <c r="BS77" s="218" t="n"/>
      <c r="BT77" s="218" t="n"/>
      <c r="BU77" s="48" t="n"/>
      <c r="BV77" s="218" t="n"/>
      <c r="BW77" s="218" t="n"/>
      <c r="BX77" s="218" t="n"/>
      <c r="BY77" s="218" t="n"/>
      <c r="BZ77" s="48" t="n"/>
      <c r="CA77" s="218" t="n"/>
      <c r="CB77" s="218" t="n"/>
      <c r="CC77" s="218" t="n"/>
      <c r="CD77" s="218" t="n"/>
      <c r="CE77" s="48" t="n"/>
      <c r="CF77" s="218" t="n"/>
      <c r="CG77" s="218" t="n"/>
      <c r="CH77" s="218" t="n"/>
      <c r="CI77" s="218" t="n"/>
      <c r="CJ77" s="48" t="n"/>
      <c r="CK77" s="218" t="n"/>
      <c r="CL77" s="218" t="n"/>
      <c r="CM77" s="218" t="n"/>
      <c r="CN77" s="218" t="n"/>
      <c r="CO77" s="48" t="n"/>
      <c r="CP77" s="218" t="n"/>
      <c r="CQ77" s="218" t="n"/>
      <c r="CR77" s="218" t="n"/>
      <c r="CS77" s="218" t="n"/>
      <c r="CT77" s="48" t="n"/>
      <c r="CU77" s="218" t="n"/>
      <c r="CV77" s="218" t="n"/>
      <c r="CW77" s="218" t="n"/>
      <c r="CX77" s="218" t="n"/>
      <c r="CY77" s="48" t="n"/>
    </row>
    <row r="78" hidden="1" outlineLevel="1">
      <c r="C78" s="32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collapsed="1" customFormat="1" s="17">
      <c r="A79" s="13" t="n"/>
      <c r="B79" s="1" t="n"/>
      <c r="C79" s="14" t="inlineStr">
        <is>
          <t>Operating Profit - EBIT</t>
        </is>
      </c>
      <c r="D79" s="16">
        <f>SUM(D75,D76)</f>
        <v>20.94485347</v>
      </c>
      <c r="E79" s="16">
        <f>SUM(E75,E76)</f>
        <v>-4.55830080563251</v>
      </c>
      <c r="F79" s="16">
        <f>SUM(F75,F76)</f>
        <v>42.374679746385</v>
      </c>
      <c r="G79" s="16">
        <f>SUM(G75,G76)</f>
        <v>123.279249576936</v>
      </c>
      <c r="H79" s="16">
        <f>SUM(D79:G79)</f>
        <v>182.040481987689</v>
      </c>
      <c r="I79" s="16">
        <f>SUM(I75,I76)</f>
        <v>9.05486797943886</v>
      </c>
      <c r="J79" s="16">
        <f>SUM(J75,J76)</f>
        <v>87.2494066404648</v>
      </c>
      <c r="K79" s="16">
        <f>SUM(K75,K76)</f>
        <v>66.0845046092106</v>
      </c>
      <c r="L79" s="16">
        <f>SUM(L75,L76)</f>
        <v>132.298048370606</v>
      </c>
      <c r="M79" s="16">
        <f>SUM(I79:L79)</f>
        <v>294.686827599721</v>
      </c>
      <c r="N79" s="16">
        <f>SUM(N75,N76)</f>
        <v>44.5013921708257</v>
      </c>
      <c r="O79" s="16">
        <f>SUM(O75,O76)</f>
        <v>88.4852527297007</v>
      </c>
      <c r="P79" s="16">
        <f>SUM(P75,P76)</f>
        <v>63.147335953225</v>
      </c>
      <c r="Q79" s="16">
        <f>SUM(Q75,Q76)</f>
        <v>180.238347649433</v>
      </c>
      <c r="R79" s="16">
        <f>SUM(N79:Q79)</f>
        <v>376.372328503185</v>
      </c>
      <c r="S79" s="16">
        <f>SUM(S75,S76)</f>
        <v>48.2340356197691</v>
      </c>
      <c r="T79" s="16">
        <f>SUM(T75,T76)</f>
        <v>126.235683677533</v>
      </c>
      <c r="U79" s="16">
        <f>SUM(U75,U76)</f>
        <v>87.2185889114494</v>
      </c>
      <c r="V79" s="16">
        <f>SUM(V75,V76)</f>
        <v>188.957800562112</v>
      </c>
      <c r="W79" s="16">
        <f>SUM(S79:V79)</f>
        <v>450.646108770864</v>
      </c>
      <c r="X79" s="16">
        <f>SUM(X75,X76)</f>
        <v>41.3461980801881</v>
      </c>
      <c r="Y79" s="16">
        <f>SUM(Y75,Y76)</f>
        <v>223.899618959671</v>
      </c>
      <c r="Z79" s="16">
        <f>SUM(Z75,Z76)</f>
        <v>106.248186933101</v>
      </c>
      <c r="AA79" s="16">
        <f>SUM(AA75,AA76)</f>
        <v>312.091828920214</v>
      </c>
      <c r="AB79" s="16">
        <f>SUM(X79:AA79)</f>
        <v>683.585832893173</v>
      </c>
      <c r="AC79" s="16">
        <f>SUM(AC75,AC76)</f>
        <v>90.4216211900004</v>
      </c>
      <c r="AD79" s="16">
        <f>SUM(AD75,AD76)</f>
        <v>188.618928169999</v>
      </c>
      <c r="AE79" s="16">
        <f>SUM(AE75,AE76)</f>
        <v>203.84053767</v>
      </c>
      <c r="AF79" s="16">
        <f>SUM(AF75,AF76)</f>
        <v>243.44252143</v>
      </c>
      <c r="AG79" s="16">
        <f>SUM(AC79:AF79)</f>
        <v>726.323608459999</v>
      </c>
      <c r="AH79" s="16">
        <f>SUM(AH75,AH76)</f>
        <v>90.37292169</v>
      </c>
      <c r="AI79" s="16">
        <f>SUM(AI75,AI76)</f>
        <v>199.853813530001</v>
      </c>
      <c r="AJ79" s="16">
        <f>SUM(AJ75,AJ76)</f>
        <v>0</v>
      </c>
      <c r="AK79" s="16">
        <f>SUM(AK75,AK76)</f>
        <v>0</v>
      </c>
      <c r="AL79" s="16">
        <f>SUM(AL75,AL76)</f>
        <v>290.226735220001</v>
      </c>
      <c r="AM79" s="16">
        <f>SUM(AM75,AM76)</f>
        <v>0</v>
      </c>
      <c r="AN79" s="16">
        <f>SUM(AN75,AN76)</f>
        <v>0</v>
      </c>
      <c r="AO79" s="16">
        <f>SUM(AO75,AO76)</f>
        <v>0</v>
      </c>
      <c r="AP79" s="16">
        <f>SUM(AP75,AP76)</f>
        <v>0</v>
      </c>
      <c r="AQ79" s="16">
        <f>SUM(AQ75,AQ76)</f>
        <v>0</v>
      </c>
      <c r="AR79" s="16">
        <f>SUM(AR75,AR76)</f>
        <v>0</v>
      </c>
      <c r="AS79" s="16">
        <f>SUM(AS75,AS76)</f>
        <v>0</v>
      </c>
      <c r="AT79" s="16">
        <f>SUM(AT75,AT76)</f>
        <v>0</v>
      </c>
      <c r="AU79" s="16">
        <f>SUM(AU75,AU76)</f>
        <v>0</v>
      </c>
      <c r="AV79" s="16">
        <f>SUM(AV75,AV76)</f>
        <v>0</v>
      </c>
      <c r="AW79" s="16">
        <f>SUM(AW75,AW76)</f>
        <v>0</v>
      </c>
      <c r="AX79" s="16">
        <f>SUM(AX75,AX76)</f>
        <v>0</v>
      </c>
      <c r="AY79" s="16">
        <f>SUM(AY75,AY76)</f>
        <v>0</v>
      </c>
      <c r="AZ79" s="16">
        <f>SUM(AZ75,AZ76)</f>
        <v>0</v>
      </c>
      <c r="BA79" s="16">
        <f>SUM(BA75,BA76)</f>
        <v>0</v>
      </c>
      <c r="BB79" s="16">
        <f>SUM(BB75,BB76)</f>
        <v>0</v>
      </c>
      <c r="BC79" s="16">
        <f>SUM(BC75,BC76)</f>
        <v>0</v>
      </c>
      <c r="BD79" s="16">
        <f>SUM(BD75,BD76)</f>
        <v>0</v>
      </c>
      <c r="BE79" s="16">
        <f>SUM(BE75,BE76)</f>
        <v>0</v>
      </c>
      <c r="BF79" s="16">
        <f>SUM(BF75,BF76)</f>
        <v>0</v>
      </c>
      <c r="BG79" s="16">
        <f>SUM(BG75,BG76)</f>
        <v>0</v>
      </c>
      <c r="BH79" s="16">
        <f>SUM(BH75,BH76)</f>
        <v>0</v>
      </c>
      <c r="BI79" s="16">
        <f>SUM(BI75,BI76)</f>
        <v>0</v>
      </c>
      <c r="BJ79" s="16">
        <f>SUM(BJ75,BJ76)</f>
        <v>0</v>
      </c>
      <c r="BK79" s="16">
        <f>SUM(BK75,BK76)</f>
        <v>0</v>
      </c>
      <c r="BL79" s="16">
        <f>SUM(BL75,BL76)</f>
        <v>0</v>
      </c>
      <c r="BM79" s="16">
        <f>SUM(BM75,BM76)</f>
        <v>0</v>
      </c>
      <c r="BN79" s="16">
        <f>SUM(BN75,BN76)</f>
        <v>0</v>
      </c>
      <c r="BO79" s="16">
        <f>SUM(BO75,BO76)</f>
        <v>0</v>
      </c>
      <c r="BP79" s="16">
        <f>SUM(BP75,BP76)</f>
        <v>0</v>
      </c>
      <c r="BQ79" s="16">
        <f>SUM(BQ75,BQ76)</f>
        <v>0</v>
      </c>
      <c r="BR79" s="16">
        <f>SUM(BR75,BR76)</f>
        <v>0</v>
      </c>
      <c r="BS79" s="16">
        <f>SUM(BS75,BS76)</f>
        <v>0</v>
      </c>
      <c r="BT79" s="16">
        <f>SUM(BT75,BT76)</f>
        <v>0</v>
      </c>
      <c r="BU79" s="16">
        <f>SUM(BU75,BU76)</f>
        <v>0</v>
      </c>
      <c r="BV79" s="16">
        <f>SUM(BV75,BV76)</f>
        <v>0</v>
      </c>
      <c r="BW79" s="16">
        <f>SUM(BW75,BW76)</f>
        <v>0</v>
      </c>
      <c r="BX79" s="16">
        <f>SUM(BX75,BX76)</f>
        <v>0</v>
      </c>
      <c r="BY79" s="16">
        <f>SUM(BY75,BY76)</f>
        <v>0</v>
      </c>
      <c r="BZ79" s="16">
        <f>SUM(BZ75,BZ76)</f>
        <v>0</v>
      </c>
      <c r="CA79" s="16">
        <f>SUM(CA75,CA76)</f>
        <v>0</v>
      </c>
      <c r="CB79" s="16">
        <f>SUM(CB75,CB76)</f>
        <v>0</v>
      </c>
      <c r="CC79" s="16">
        <f>SUM(CC75,CC76)</f>
        <v>0</v>
      </c>
      <c r="CD79" s="16">
        <f>SUM(CD75,CD76)</f>
        <v>0</v>
      </c>
      <c r="CE79" s="16">
        <f>SUM(CE75,CE76)</f>
        <v>0</v>
      </c>
      <c r="CF79" s="16">
        <f>SUM(CF75,CF76)</f>
        <v>0</v>
      </c>
      <c r="CG79" s="16">
        <f>SUM(CG75,CG76)</f>
        <v>0</v>
      </c>
      <c r="CH79" s="16">
        <f>SUM(CH75,CH76)</f>
        <v>0</v>
      </c>
      <c r="CI79" s="16">
        <f>SUM(CI75,CI76)</f>
        <v>0</v>
      </c>
      <c r="CJ79" s="16">
        <f>SUM(CJ75,CJ76)</f>
        <v>0</v>
      </c>
      <c r="CK79" s="16">
        <f>SUM(CK75,CK76)</f>
        <v>0</v>
      </c>
      <c r="CL79" s="16">
        <f>SUM(CL75,CL76)</f>
        <v>0</v>
      </c>
      <c r="CM79" s="16">
        <f>SUM(CM75,CM76)</f>
        <v>0</v>
      </c>
      <c r="CN79" s="16">
        <f>SUM(CN75,CN76)</f>
        <v>0</v>
      </c>
      <c r="CO79" s="16">
        <f>SUM(CO75,CO76)</f>
        <v>0</v>
      </c>
      <c r="CP79" s="16">
        <f>SUM(CP75,CP76)</f>
        <v>0</v>
      </c>
      <c r="CQ79" s="16">
        <f>SUM(CQ75,CQ76)</f>
        <v>0</v>
      </c>
      <c r="CR79" s="16">
        <f>SUM(CR75,CR76)</f>
        <v>0</v>
      </c>
      <c r="CS79" s="16">
        <f>SUM(CS75,CS76)</f>
        <v>0</v>
      </c>
      <c r="CT79" s="16">
        <f>SUM(CT75,CT76)</f>
        <v>0</v>
      </c>
      <c r="CU79" s="16">
        <f>SUM(CU75,CU76)</f>
        <v>0</v>
      </c>
      <c r="CV79" s="16">
        <f>SUM(CV75,CV76)</f>
        <v>0</v>
      </c>
      <c r="CW79" s="16">
        <f>SUM(CW75,CW76)</f>
        <v>0</v>
      </c>
      <c r="CX79" s="16">
        <f>SUM(CX75,CX76)</f>
        <v>0</v>
      </c>
      <c r="CY79" s="16">
        <f>SUM(CY75,CY76)</f>
        <v>0</v>
      </c>
    </row>
    <row r="80">
      <c r="C80" s="26" t="inlineStr">
        <is>
          <t>Interest Expense</t>
        </is>
      </c>
      <c r="D80" s="25">
        <f>INDEX('Inputs (2)'!$D$8:$AL$8,MATCH(D$7,'Inputs (2)'!$D$2:$AL$2,0))</f>
        <v>-18.40614045</v>
      </c>
      <c r="E80" s="25">
        <f>INDEX('Inputs (2)'!$D$8:$AL$8,MATCH(E$7,'Inputs (2)'!$D$2:$AL$2,0))</f>
        <v>-12.47652641</v>
      </c>
      <c r="F80" s="25">
        <f>INDEX('Inputs (2)'!$D$8:$AL$8,MATCH(F$7,'Inputs (2)'!$D$2:$AL$2,0))</f>
        <v>-17.52867046</v>
      </c>
      <c r="G80" s="25">
        <f>INDEX('Inputs (2)'!$D$8:$AL$8,MATCH(G$7,'Inputs (2)'!$D$2:$AL$2,0))</f>
        <v>-13.42437751</v>
      </c>
      <c r="H80" s="3">
        <f>SUM(D80:G80)</f>
        <v>-61.83571483</v>
      </c>
      <c r="I80" s="25">
        <f>INDEX('Inputs (2)'!$D$8:$AL$8,MATCH(I$7,'Inputs (2)'!$D$2:$AL$2,0))</f>
        <v>-14.12832483</v>
      </c>
      <c r="J80" s="25">
        <f>INDEX('Inputs (2)'!$D$8:$AL$8,MATCH(J$7,'Inputs (2)'!$D$2:$AL$2,0))</f>
        <v>-12.87273146</v>
      </c>
      <c r="K80" s="25">
        <f>INDEX('Inputs (2)'!$D$8:$AL$8,MATCH(K$7,'Inputs (2)'!$D$2:$AL$2,0))</f>
        <v>-15.68328762</v>
      </c>
      <c r="L80" s="25">
        <f>INDEX('Inputs (2)'!$D$8:$AL$8,MATCH(L$7,'Inputs (2)'!$D$2:$AL$2,0))</f>
        <v>-24.37206917</v>
      </c>
      <c r="M80" s="3">
        <f>SUM(I80:L80)</f>
        <v>-67.05641308</v>
      </c>
      <c r="N80" s="25">
        <f>INDEX('Inputs (2)'!$D$8:$AL$8,MATCH(N$7,'Inputs (2)'!$D$2:$AL$2,0))</f>
        <v>-21.77821417</v>
      </c>
      <c r="O80" s="25">
        <f>INDEX('Inputs (2)'!$D$8:$AL$8,MATCH(O$7,'Inputs (2)'!$D$2:$AL$2,0))</f>
        <v>-21.68494498</v>
      </c>
      <c r="P80" s="25">
        <f>INDEX('Inputs (2)'!$D$8:$AL$8,MATCH(P$7,'Inputs (2)'!$D$2:$AL$2,0))</f>
        <v>-23.34443722</v>
      </c>
      <c r="Q80" s="25">
        <f>INDEX('Inputs (2)'!$D$8:$AL$8,MATCH(Q$7,'Inputs (2)'!$D$2:$AL$2,0))</f>
        <v>-22.50926892</v>
      </c>
      <c r="R80" s="3">
        <f>SUM(N80:Q80)</f>
        <v>-89.31686529</v>
      </c>
      <c r="S80" s="25">
        <f>INDEX('Inputs (2)'!$D$8:$AL$8,MATCH(S$7,'Inputs (2)'!$D$2:$AL$2,0))</f>
        <v>-22.7286079</v>
      </c>
      <c r="T80" s="25">
        <f>INDEX('Inputs (2)'!$D$8:$AL$8,MATCH(T$7,'Inputs (2)'!$D$2:$AL$2,0))</f>
        <v>-15.67989121</v>
      </c>
      <c r="U80" s="25">
        <f>INDEX('Inputs (2)'!$D$8:$AL$8,MATCH(U$7,'Inputs (2)'!$D$2:$AL$2,0))</f>
        <v>-24.17068651</v>
      </c>
      <c r="V80" s="25">
        <f>INDEX('Inputs (2)'!$D$8:$AL$8,MATCH(V$7,'Inputs (2)'!$D$2:$AL$2,0))</f>
        <v>-23.22607364</v>
      </c>
      <c r="W80" s="3">
        <f>SUM(S80:V80)</f>
        <v>-85.80525926</v>
      </c>
      <c r="X80" s="25">
        <f>INDEX('Inputs (2)'!$D$8:$AL$8,MATCH(X$7,'Inputs (2)'!$D$2:$AL$2,0))</f>
        <v>-23.46166364</v>
      </c>
      <c r="Y80" s="25">
        <f>INDEX('Inputs (2)'!$D$8:$AL$8,MATCH(Y$7,'Inputs (2)'!$D$2:$AL$2,0))</f>
        <v>-24.416860174148</v>
      </c>
      <c r="Z80" s="25">
        <f>INDEX('Inputs (2)'!$D$8:$AL$8,MATCH(Z$7,'Inputs (2)'!$D$2:$AL$2,0))</f>
        <v>-25.954</v>
      </c>
      <c r="AA80" s="25">
        <f>INDEX('Inputs (2)'!$D$8:$AL$8,MATCH(AA$7,'Inputs (2)'!$D$2:$AL$2,0))</f>
        <v>-37.795</v>
      </c>
      <c r="AB80" s="3">
        <f>SUM(X80:AA80)</f>
        <v>-111.627523814148</v>
      </c>
      <c r="AC80" s="25">
        <f>INDEX('Inputs (2)'!$D$8:$AL$8,MATCH(AC$7,'Inputs (2)'!$D$2:$AL$2,0))</f>
        <v>-28.5296</v>
      </c>
      <c r="AD80" s="25">
        <f>INDEX('Inputs (2)'!$D$8:$AL$8,MATCH(AD$7,'Inputs (2)'!$D$2:$AL$2,0))</f>
        <v>-39.705</v>
      </c>
      <c r="AE80" s="25">
        <f>INDEX('Inputs (2)'!$D$8:$AL$8,MATCH(AE$7,'Inputs (2)'!$D$2:$AL$2,0))</f>
        <v>-47.115</v>
      </c>
      <c r="AF80" s="25">
        <f>INDEX('Inputs (2)'!$D$8:$AL$8,MATCH(AF$7,'Inputs (2)'!$D$2:$AL$2,0))</f>
        <v>-71.789</v>
      </c>
      <c r="AG80" s="3">
        <f>SUM(AC80:AF80)</f>
        <v>-187.1386</v>
      </c>
      <c r="AH80" s="3">
        <f>INDEX('Inputs (2)'!$D$8:$AL$8,MATCH(AH$7,'Inputs (2)'!$D$2:$AL$2,0))</f>
        <v>-43.859</v>
      </c>
      <c r="AI80" s="3">
        <f>INDEX('Inputs (2)'!$D$8:$AL$8,MATCH(AI$7,'Inputs (2)'!$D$2:$AL$2,0))</f>
        <v>-47.874</v>
      </c>
      <c r="AJ80" s="3" t="n"/>
      <c r="AK80" s="3" t="n"/>
      <c r="AL80" s="3">
        <f>SUM(AH80:AK80)</f>
        <v>-91.733</v>
      </c>
      <c r="AM80" s="3" t="n"/>
      <c r="AN80" s="3" t="n"/>
      <c r="AO80" s="3" t="n"/>
      <c r="AP80" s="3" t="n"/>
      <c r="AQ80" s="3">
        <f>SUM(AM80:AP80)</f>
        <v>0</v>
      </c>
      <c r="AR80" s="3" t="n"/>
      <c r="AS80" s="3" t="n"/>
      <c r="AT80" s="3" t="n"/>
      <c r="AU80" s="3" t="n"/>
      <c r="AV80" s="3">
        <f>SUM(AR80:AU80)</f>
        <v>0</v>
      </c>
      <c r="AW80" s="3" t="n"/>
      <c r="AX80" s="3" t="n"/>
      <c r="AY80" s="3" t="n"/>
      <c r="AZ80" s="3" t="n"/>
      <c r="BA80" s="3">
        <f>SUM(AW80:AZ80)</f>
        <v>0</v>
      </c>
      <c r="BB80" s="3" t="n"/>
      <c r="BC80" s="3" t="n"/>
      <c r="BD80" s="3" t="n"/>
      <c r="BE80" s="3" t="n"/>
      <c r="BF80" s="3">
        <f>SUM(BB80:BE80)</f>
        <v>0</v>
      </c>
      <c r="BG80" s="3" t="n"/>
      <c r="BH80" s="3" t="n"/>
      <c r="BI80" s="3" t="n"/>
      <c r="BJ80" s="3" t="n"/>
      <c r="BK80" s="3">
        <f>SUM(BG80:BJ80)</f>
        <v>0</v>
      </c>
      <c r="BL80" s="3" t="n"/>
      <c r="BM80" s="3" t="n"/>
      <c r="BN80" s="3" t="n"/>
      <c r="BO80" s="3" t="n"/>
      <c r="BP80" s="3">
        <f>SUM(BL80:BO80)</f>
        <v>0</v>
      </c>
      <c r="BQ80" s="3" t="n"/>
      <c r="BR80" s="3" t="n"/>
      <c r="BS80" s="3" t="n"/>
      <c r="BT80" s="3" t="n"/>
      <c r="BU80" s="3">
        <f>SUM(BQ80:BT80)</f>
        <v>0</v>
      </c>
      <c r="BV80" s="3" t="n"/>
      <c r="BW80" s="3" t="n"/>
      <c r="BX80" s="3" t="n"/>
      <c r="BY80" s="3" t="n"/>
      <c r="BZ80" s="3">
        <f>SUM(BV80:BY80)</f>
        <v>0</v>
      </c>
      <c r="CA80" s="3" t="n"/>
      <c r="CB80" s="3" t="n"/>
      <c r="CC80" s="3" t="n"/>
      <c r="CD80" s="3" t="n"/>
      <c r="CE80" s="3">
        <f>SUM(CA80:CD80)</f>
        <v>0</v>
      </c>
      <c r="CF80" s="3" t="n"/>
      <c r="CG80" s="3" t="n"/>
      <c r="CH80" s="3" t="n"/>
      <c r="CI80" s="3" t="n"/>
      <c r="CJ80" s="3">
        <f>SUM(CF80:CI80)</f>
        <v>0</v>
      </c>
      <c r="CK80" s="3" t="n"/>
      <c r="CL80" s="3" t="n"/>
      <c r="CM80" s="3" t="n"/>
      <c r="CN80" s="3" t="n"/>
      <c r="CO80" s="3">
        <f>SUM(CK80:CN80)</f>
        <v>0</v>
      </c>
      <c r="CP80" s="3" t="n"/>
      <c r="CQ80" s="3" t="n"/>
      <c r="CR80" s="3" t="n"/>
      <c r="CS80" s="3" t="n"/>
      <c r="CT80" s="3">
        <f>SUM(CP80:CS80)</f>
        <v>0</v>
      </c>
      <c r="CU80" s="3" t="n"/>
      <c r="CV80" s="3" t="n"/>
      <c r="CW80" s="3" t="n"/>
      <c r="CX80" s="3" t="n"/>
      <c r="CY80" s="3">
        <f>SUM(CU80:CX80)</f>
        <v>0</v>
      </c>
    </row>
    <row r="81" hidden="1" outlineLevel="1">
      <c r="C81" s="32" t="inlineStr">
        <is>
          <t>% of Debt</t>
        </is>
      </c>
      <c r="D81" s="48">
        <f>IFERROR(-D80/SUM(D218+D223),0)</f>
        <v>0.0598344064716629</v>
      </c>
      <c r="E81" s="48">
        <f>IFERROR(-E80/SUM(E218+E223),0)</f>
        <v>0.0373260102447263</v>
      </c>
      <c r="F81" s="48">
        <f>IFERROR(-F80/SUM(F218+F223),0)</f>
        <v>0.0499044508102262</v>
      </c>
      <c r="G81" s="48">
        <f>IFERROR(-G80/SUM(G218+G223),0)</f>
        <v>0.0335033246467116</v>
      </c>
      <c r="H81" s="3" t="n"/>
      <c r="I81" s="48">
        <f>IFERROR(-I80/SUM(I218+I223),0)</f>
        <v>0.0446969575473872</v>
      </c>
      <c r="J81" s="48">
        <f>IFERROR(-J80/SUM(J218+J223),0)</f>
        <v>0.0340388476699111</v>
      </c>
      <c r="K81" s="48">
        <f>IFERROR(-K80/SUM(K218+K223),0)</f>
        <v>0.0377981602067529</v>
      </c>
      <c r="L81" s="48">
        <f>IFERROR(-L80/SUM(L218+L223),0)</f>
        <v>0.0645271707344386</v>
      </c>
      <c r="M81" s="3" t="n"/>
      <c r="N81" s="48">
        <f>IFERROR(-N80/SUM(N218+N223),0)</f>
        <v>0.0551395717851909</v>
      </c>
      <c r="O81" s="48">
        <f>IFERROR(-O80/SUM(O218+O223),0)</f>
        <v>0.0627351167069812</v>
      </c>
      <c r="P81" s="48">
        <f>IFERROR(-P80/SUM(P218+P223),0)</f>
        <v>0.0714316782602089</v>
      </c>
      <c r="Q81" s="48">
        <f>IFERROR(-Q80/SUM(Q218+Q223),0)</f>
        <v>0.0789330850127468</v>
      </c>
      <c r="R81" s="3" t="n"/>
      <c r="S81" s="48">
        <f>IFERROR(-S80/SUM(S218+S223),0)</f>
        <v>0.0761524344807714</v>
      </c>
      <c r="T81" s="48">
        <f>IFERROR(-T80/SUM(T218+T223),0)</f>
        <v>0.0465538867375635</v>
      </c>
      <c r="U81" s="48">
        <f>IFERROR(-U80/SUM(U218+U223),0)</f>
        <v>0.0688982512069889</v>
      </c>
      <c r="V81" s="48">
        <f>IFERROR(-V80/SUM(V218+V223),0)</f>
        <v>0.0728900549427386</v>
      </c>
      <c r="W81" s="3" t="n"/>
      <c r="X81" s="48">
        <f>IFERROR(-X80/SUM(X218+X223),0)</f>
        <v>0.0757620400410214</v>
      </c>
      <c r="Y81" s="48">
        <f>IFERROR(-Y80/SUM(Y218+Y223),0)</f>
        <v>0.0693815036056056</v>
      </c>
      <c r="Z81" s="48">
        <f>IFERROR(-Z80/SUM(Z218+Z223),0)</f>
        <v>0.0615551075974345</v>
      </c>
      <c r="AA81" s="48">
        <f>IFERROR(-AA80/SUM(AA218+AA223),0)</f>
        <v>0.0602186844586842</v>
      </c>
      <c r="AB81" s="3" t="n"/>
      <c r="AC81" s="48">
        <f>IFERROR(-AC80/SUM(AC218+AC223),0)</f>
        <v>0.0579474148091062</v>
      </c>
      <c r="AD81" s="48">
        <f>IFERROR(-AD80/SUM(AD218+AD223),0)</f>
        <v>0.0790949940241739</v>
      </c>
      <c r="AE81" s="48">
        <f>IFERROR(-AE80/SUM(AE218+AE223),0)</f>
        <v>0.0836267918125084</v>
      </c>
      <c r="AF81" s="231">
        <f>IFERROR(-AF80/SUM(AF218+AF223),0)</f>
        <v>0.130437146296975</v>
      </c>
      <c r="AG81" s="3" t="n"/>
      <c r="AH81" s="6">
        <f>IFERROR(-AH80/SUM(AH218+AH223),0)</f>
        <v>0.0832530977182852</v>
      </c>
      <c r="AI81" s="6">
        <f>IFERROR(-AI80/SUM(AI218+AI223),0)</f>
        <v>0.0892827444801212</v>
      </c>
      <c r="AJ81" s="6" t="n"/>
      <c r="AK81" s="6" t="n"/>
      <c r="AL81" s="3" t="n"/>
      <c r="AM81" s="6" t="n"/>
      <c r="AN81" s="6" t="n"/>
      <c r="AO81" s="6" t="n"/>
      <c r="AP81" s="6" t="n"/>
      <c r="AQ81" s="3" t="n"/>
      <c r="AR81" s="6" t="n"/>
      <c r="AS81" s="6" t="n"/>
      <c r="AT81" s="6" t="n"/>
      <c r="AU81" s="6" t="n"/>
      <c r="AV81" s="3" t="n"/>
      <c r="AW81" s="6" t="n"/>
      <c r="AX81" s="6" t="n"/>
      <c r="AY81" s="6" t="n"/>
      <c r="AZ81" s="6" t="n"/>
      <c r="BA81" s="3" t="n"/>
      <c r="BB81" s="6" t="n"/>
      <c r="BC81" s="6" t="n"/>
      <c r="BD81" s="6" t="n"/>
      <c r="BE81" s="6" t="n"/>
      <c r="BF81" s="3" t="n"/>
      <c r="BG81" s="6" t="n"/>
      <c r="BH81" s="6" t="n"/>
      <c r="BI81" s="6" t="n"/>
      <c r="BJ81" s="6" t="n"/>
      <c r="BK81" s="3" t="n"/>
      <c r="BL81" s="6" t="n"/>
      <c r="BM81" s="6" t="n"/>
      <c r="BN81" s="6" t="n"/>
      <c r="BO81" s="6" t="n"/>
      <c r="BP81" s="3" t="n"/>
      <c r="BQ81" s="6" t="n"/>
      <c r="BR81" s="6" t="n"/>
      <c r="BS81" s="6" t="n"/>
      <c r="BT81" s="6" t="n"/>
      <c r="BU81" s="3" t="n"/>
      <c r="BV81" s="6" t="n"/>
      <c r="BW81" s="6" t="n"/>
      <c r="BX81" s="6" t="n"/>
      <c r="BY81" s="6" t="n"/>
      <c r="BZ81" s="3" t="n"/>
      <c r="CA81" s="6" t="n"/>
      <c r="CB81" s="6" t="n"/>
      <c r="CC81" s="6" t="n"/>
      <c r="CD81" s="6" t="n"/>
      <c r="CE81" s="3" t="n"/>
      <c r="CF81" s="6" t="n"/>
      <c r="CG81" s="6" t="n"/>
      <c r="CH81" s="6" t="n"/>
      <c r="CI81" s="6" t="n"/>
      <c r="CJ81" s="3" t="n"/>
      <c r="CK81" s="6" t="n"/>
      <c r="CL81" s="6" t="n"/>
      <c r="CM81" s="6" t="n"/>
      <c r="CN81" s="6" t="n"/>
      <c r="CO81" s="3" t="n"/>
      <c r="CP81" s="6" t="n"/>
      <c r="CQ81" s="6" t="n"/>
      <c r="CR81" s="6" t="n"/>
      <c r="CS81" s="6" t="n"/>
      <c r="CT81" s="3" t="n"/>
      <c r="CU81" s="6" t="n"/>
      <c r="CV81" s="6" t="n"/>
      <c r="CW81" s="6" t="n"/>
      <c r="CX81" s="6" t="n"/>
      <c r="CY81" s="3" t="n"/>
    </row>
    <row r="82" hidden="1" outlineLevel="1">
      <c r="C82" s="32" t="inlineStr">
        <is>
          <t>%CDI</t>
        </is>
      </c>
      <c r="D82" s="6" t="n"/>
      <c r="E82" s="6" t="n"/>
      <c r="F82" s="6" t="n"/>
      <c r="G82" s="6" t="n"/>
      <c r="H82" s="3" t="n"/>
      <c r="I82" s="6" t="n"/>
      <c r="J82" s="6" t="n"/>
      <c r="K82" s="6" t="n"/>
      <c r="L82" s="6" t="n"/>
      <c r="M82" s="3" t="n"/>
      <c r="N82" s="6" t="n"/>
      <c r="O82" s="6" t="n"/>
      <c r="P82" s="6" t="n"/>
      <c r="Q82" s="6" t="n"/>
      <c r="R82" s="3" t="n"/>
      <c r="S82" s="6" t="n"/>
      <c r="T82" s="6" t="n"/>
      <c r="U82" s="6" t="n"/>
      <c r="V82" s="6" t="n"/>
      <c r="W82" s="3" t="n"/>
      <c r="X82" s="6" t="n"/>
      <c r="Y82" s="6" t="n"/>
      <c r="Z82" s="6" t="n"/>
      <c r="AA82" s="6" t="n"/>
      <c r="AB82" s="3" t="n"/>
      <c r="AC82" s="6" t="n"/>
      <c r="AD82" s="6" t="n"/>
      <c r="AE82" s="6" t="n"/>
      <c r="AF82" s="6" t="n"/>
      <c r="AG82" s="3" t="n"/>
      <c r="AH82" s="6" t="n"/>
      <c r="AI82" s="6" t="n"/>
      <c r="AJ82" s="6" t="n"/>
      <c r="AK82" s="6" t="n"/>
      <c r="AL82" s="3" t="n"/>
      <c r="AM82" s="6" t="n"/>
      <c r="AN82" s="6" t="n"/>
      <c r="AO82" s="6" t="n"/>
      <c r="AP82" s="6" t="n"/>
      <c r="AQ82" s="3" t="n"/>
      <c r="AR82" s="6" t="n"/>
      <c r="AS82" s="6" t="n"/>
      <c r="AT82" s="6" t="n"/>
      <c r="AU82" s="6" t="n"/>
      <c r="AV82" s="3" t="n"/>
      <c r="AW82" s="6" t="n"/>
      <c r="AX82" s="6" t="n"/>
      <c r="AY82" s="6" t="n"/>
      <c r="AZ82" s="6" t="n"/>
      <c r="BA82" s="3" t="n"/>
      <c r="BB82" s="6" t="n"/>
      <c r="BC82" s="6" t="n"/>
      <c r="BD82" s="6" t="n"/>
      <c r="BE82" s="6" t="n"/>
      <c r="BF82" s="3" t="n"/>
      <c r="BG82" s="6" t="n"/>
      <c r="BH82" s="6" t="n"/>
      <c r="BI82" s="6" t="n"/>
      <c r="BJ82" s="6" t="n"/>
      <c r="BK82" s="3" t="n"/>
      <c r="BL82" s="6" t="n"/>
      <c r="BM82" s="6" t="n"/>
      <c r="BN82" s="6" t="n"/>
      <c r="BO82" s="6" t="n"/>
      <c r="BP82" s="3" t="n"/>
      <c r="BQ82" s="6" t="n"/>
      <c r="BR82" s="6" t="n"/>
      <c r="BS82" s="6" t="n"/>
      <c r="BT82" s="6" t="n"/>
      <c r="BU82" s="3" t="n"/>
      <c r="BV82" s="6" t="n"/>
      <c r="BW82" s="6" t="n"/>
      <c r="BX82" s="6" t="n"/>
      <c r="BY82" s="6" t="n"/>
      <c r="BZ82" s="3" t="n"/>
      <c r="CA82" s="6" t="n"/>
      <c r="CB82" s="6" t="n"/>
      <c r="CC82" s="6" t="n"/>
      <c r="CD82" s="6" t="n"/>
      <c r="CE82" s="3" t="n"/>
      <c r="CF82" s="6" t="n"/>
      <c r="CG82" s="6" t="n"/>
      <c r="CH82" s="6" t="n"/>
      <c r="CI82" s="6" t="n"/>
      <c r="CJ82" s="3" t="n"/>
      <c r="CK82" s="6" t="n"/>
      <c r="CL82" s="6" t="n"/>
      <c r="CM82" s="6" t="n"/>
      <c r="CN82" s="6" t="n"/>
      <c r="CO82" s="3" t="n"/>
      <c r="CP82" s="6" t="n"/>
      <c r="CQ82" s="6" t="n"/>
      <c r="CR82" s="6" t="n"/>
      <c r="CS82" s="6" t="n"/>
      <c r="CT82" s="3" t="n"/>
      <c r="CU82" s="6" t="n"/>
      <c r="CV82" s="6" t="n"/>
      <c r="CW82" s="6" t="n"/>
      <c r="CX82" s="6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RECEITA FINANCEIRA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DESPESA FINANCEIRA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OUTROS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Cash and equivalents (inc. investment securities)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Interest on cash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Average interest rate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% CDI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Current portion of long-term debt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Short term debt (Revolving credit facility)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Long term debt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Convertible debt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Total debt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Interest expense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Average interest rate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Stake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PRE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CDI+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Spread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PRE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CDI+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Rendimentos de aplicações financeiras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RECEITAS FINANCEIRAS - Variação cambial ativa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RECEITAS FINANCEIRAS - Atualização de contas a pagar por aquisição de empresas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RECEITAS FINANCEIRAS - Resultado positivo com instrumentos derivativos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RECEITAS FINANCEIRAS - Descontos obtidos de fornecedores por antecipação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RECEITAS FINANCEIRAS - Atualização monetária sobre Exclusão ICMS da base de PIS/COFINS (nota explicativa nº 7)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RECEITAS FINANCEIRAS - Outras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Encargos sobre empréstimos, financiamentos e debêntures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Variação cambial passiva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DESPESAS FINANCEIRAS - Resultado negativo com instrumentos derivativos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DESPESAS FINANCEIRAS - Juros sobre arrendamento - IFRS16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inlineStr">
        <is>
          <t>DESPESAS FINANCEIRAS - Despesas bancárias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DESPESAS FINANCEIRAS - Despesas com obtenção de empréstimos e financiamentos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inlineStr">
        <is>
          <t>DESPESAS FINANCEIRAS - Atualização de contas a pagar por aquisição de empresas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inlineStr">
        <is>
          <t>DESPESAS FINANCEIRAS - Outras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inlineStr">
        <is>
          <t>CHECK [EX IFRS-16]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>
      <c r="C129" s="26" t="inlineStr">
        <is>
          <t>Nonoperating Income / (Loss)</t>
        </is>
      </c>
      <c r="D129" s="25">
        <f>INDEX('Inputs (2)'!$D$9:$AL$9,MATCH(D$7,'Inputs (2)'!$D$2:$AL$2,0))</f>
        <v>4.69020354</v>
      </c>
      <c r="E129" s="25">
        <f>INDEX('Inputs (2)'!$D$9:$AL$9,MATCH(E$7,'Inputs (2)'!$D$2:$AL$2,0))</f>
        <v>5.96162275</v>
      </c>
      <c r="F129" s="25">
        <f>INDEX('Inputs (2)'!$D$9:$AL$9,MATCH(F$7,'Inputs (2)'!$D$2:$AL$2,0))</f>
        <v>5.13823361</v>
      </c>
      <c r="G129" s="25">
        <f>INDEX('Inputs (2)'!$D$9:$AL$9,MATCH(G$7,'Inputs (2)'!$D$2:$AL$2,0))</f>
        <v>4.50375606</v>
      </c>
      <c r="H129" s="3">
        <f>SUM(D129:G129)</f>
        <v>20.29381596</v>
      </c>
      <c r="I129" s="25">
        <f>INDEX('Inputs (2)'!$D$9:$AL$9,MATCH(I$7,'Inputs (2)'!$D$2:$AL$2,0))</f>
        <v>5.44399645</v>
      </c>
      <c r="J129" s="25">
        <f>INDEX('Inputs (2)'!$D$9:$AL$9,MATCH(J$7,'Inputs (2)'!$D$2:$AL$2,0))</f>
        <v>7.05303199</v>
      </c>
      <c r="K129" s="25">
        <f>INDEX('Inputs (2)'!$D$9:$AL$9,MATCH(K$7,'Inputs (2)'!$D$2:$AL$2,0))</f>
        <v>10.52897745</v>
      </c>
      <c r="L129" s="25">
        <f>INDEX('Inputs (2)'!$D$9:$AL$9,MATCH(L$7,'Inputs (2)'!$D$2:$AL$2,0))</f>
        <v>12.52093706</v>
      </c>
      <c r="M129" s="3">
        <f>SUM(I129:L129)</f>
        <v>35.54694295</v>
      </c>
      <c r="N129" s="25">
        <f>INDEX('Inputs (2)'!$D$9:$AL$9,MATCH(N$7,'Inputs (2)'!$D$2:$AL$2,0))</f>
        <v>11.99196295</v>
      </c>
      <c r="O129" s="25">
        <f>INDEX('Inputs (2)'!$D$9:$AL$9,MATCH(O$7,'Inputs (2)'!$D$2:$AL$2,0))</f>
        <v>11.22557667</v>
      </c>
      <c r="P129" s="25">
        <f>INDEX('Inputs (2)'!$D$9:$AL$9,MATCH(P$7,'Inputs (2)'!$D$2:$AL$2,0))</f>
        <v>10.53282174</v>
      </c>
      <c r="Q129" s="25">
        <f>INDEX('Inputs (2)'!$D$9:$AL$9,MATCH(Q$7,'Inputs (2)'!$D$2:$AL$2,0))</f>
        <v>10.22877582</v>
      </c>
      <c r="R129" s="3">
        <f>SUM(N129:Q129)</f>
        <v>43.97913718</v>
      </c>
      <c r="S129" s="25">
        <f>INDEX('Inputs (2)'!$D$9:$AL$9,MATCH(S$7,'Inputs (2)'!$D$2:$AL$2,0))</f>
        <v>9.11330416</v>
      </c>
      <c r="T129" s="25">
        <f>INDEX('Inputs (2)'!$D$9:$AL$9,MATCH(T$7,'Inputs (2)'!$D$2:$AL$2,0))</f>
        <v>6.04450589</v>
      </c>
      <c r="U129" s="25">
        <f>INDEX('Inputs (2)'!$D$9:$AL$9,MATCH(U$7,'Inputs (2)'!$D$2:$AL$2,0))</f>
        <v>14.8715901</v>
      </c>
      <c r="V129" s="25">
        <f>INDEX('Inputs (2)'!$D$9:$AL$9,MATCH(V$7,'Inputs (2)'!$D$2:$AL$2,0))</f>
        <v>5.97235264000001</v>
      </c>
      <c r="W129" s="3">
        <f>SUM(S129:V129)</f>
        <v>36.00175279</v>
      </c>
      <c r="X129" s="25">
        <f>INDEX('Inputs (2)'!$D$9:$AL$9,MATCH(X$7,'Inputs (2)'!$D$2:$AL$2,0))</f>
        <v>7.96192667</v>
      </c>
      <c r="Y129" s="25">
        <f>INDEX('Inputs (2)'!$D$9:$AL$9,MATCH(Y$7,'Inputs (2)'!$D$2:$AL$2,0))</f>
        <v>27.91169263</v>
      </c>
      <c r="Z129" s="25">
        <f>INDEX('Inputs (2)'!$D$9:$AL$9,MATCH(Z$7,'Inputs (2)'!$D$2:$AL$2,0))</f>
        <v>11.05975449</v>
      </c>
      <c r="AA129" s="25">
        <f>INDEX('Inputs (2)'!$D$9:$AL$9,MATCH(AA$7,'Inputs (2)'!$D$2:$AL$2,0))</f>
        <v>7.347</v>
      </c>
      <c r="AB129" s="3">
        <f>SUM(X129:AA129)</f>
        <v>54.28037379</v>
      </c>
      <c r="AC129" s="25">
        <f>INDEX('Inputs (2)'!$D$9:$AL$9,MATCH(AC$7,'Inputs (2)'!$D$2:$AL$2,0))</f>
        <v>8.717</v>
      </c>
      <c r="AD129" s="25">
        <f>INDEX('Inputs (2)'!$D$9:$AL$9,MATCH(AD$7,'Inputs (2)'!$D$2:$AL$2,0))</f>
        <v>6.297</v>
      </c>
      <c r="AE129" s="25">
        <f>INDEX('Inputs (2)'!$D$9:$AL$9,MATCH(AE$7,'Inputs (2)'!$D$2:$AL$2,0))</f>
        <v>18.529</v>
      </c>
      <c r="AF129" s="25">
        <f>INDEX('Inputs (2)'!$D$9:$AL$9,MATCH(AF$7,'Inputs (2)'!$D$2:$AL$2,0))</f>
        <v>15.074</v>
      </c>
      <c r="AG129" s="3">
        <f>SUM(AC129:AF129)</f>
        <v>48.617</v>
      </c>
      <c r="AH129" s="3">
        <f>INDEX('Inputs (2)'!$D$9:$AL$9,MATCH(AH$7,'Inputs (2)'!$D$2:$AL$2,0))</f>
        <v>8.001</v>
      </c>
      <c r="AI129" s="3">
        <f>INDEX('Inputs (2)'!$D$9:$AL$9,MATCH(AI$7,'Inputs (2)'!$D$2:$AL$2,0))</f>
        <v>11.195</v>
      </c>
      <c r="AJ129" s="3">
        <f>AH129</f>
        <v>8.001</v>
      </c>
      <c r="AK129" s="3">
        <f>AI129</f>
        <v>11.195</v>
      </c>
      <c r="AL129" s="3">
        <f>SUM(AH129:AK129)</f>
        <v>38.392</v>
      </c>
      <c r="AM129" s="3">
        <f>AK129</f>
        <v>11.195</v>
      </c>
      <c r="AN129" s="3">
        <f>AL129</f>
        <v>38.392</v>
      </c>
      <c r="AO129" s="3">
        <f>AM129</f>
        <v>11.195</v>
      </c>
      <c r="AP129" s="3">
        <f>AN129</f>
        <v>38.392</v>
      </c>
      <c r="AQ129" s="3">
        <f>SUM(AM129:AP129)</f>
        <v>99.174</v>
      </c>
      <c r="AR129" s="3">
        <f>AP129</f>
        <v>38.392</v>
      </c>
      <c r="AS129" s="3">
        <f>AQ129</f>
        <v>99.174</v>
      </c>
      <c r="AT129" s="3">
        <f>AR129</f>
        <v>38.392</v>
      </c>
      <c r="AU129" s="3">
        <f>AS129</f>
        <v>99.174</v>
      </c>
      <c r="AV129" s="3">
        <f>SUM(AR129:AU129)</f>
        <v>275.132</v>
      </c>
      <c r="AW129" s="3">
        <f>AU129</f>
        <v>99.174</v>
      </c>
      <c r="AX129" s="3">
        <f>AV129</f>
        <v>275.132</v>
      </c>
      <c r="AY129" s="3">
        <f>AW129</f>
        <v>99.174</v>
      </c>
      <c r="AZ129" s="3">
        <f>AX129</f>
        <v>275.132</v>
      </c>
      <c r="BA129" s="3">
        <f>SUM(AW129:AZ129)</f>
        <v>748.612</v>
      </c>
      <c r="BB129" s="3">
        <f>AZ129</f>
        <v>275.132</v>
      </c>
      <c r="BC129" s="3">
        <f>BA129</f>
        <v>748.612</v>
      </c>
      <c r="BD129" s="3">
        <f>BB129</f>
        <v>275.132</v>
      </c>
      <c r="BE129" s="3">
        <f>BC129</f>
        <v>748.612</v>
      </c>
      <c r="BF129" s="3">
        <f>SUM(BB129:BE129)</f>
        <v>2047.488</v>
      </c>
      <c r="BG129" s="3">
        <f>BE129</f>
        <v>748.612</v>
      </c>
      <c r="BH129" s="3">
        <f>BF129</f>
        <v>2047.488</v>
      </c>
      <c r="BI129" s="3">
        <f>BG129</f>
        <v>748.612</v>
      </c>
      <c r="BJ129" s="3">
        <f>BH129</f>
        <v>2047.488</v>
      </c>
      <c r="BK129" s="3">
        <f>SUM(BG129:BJ129)</f>
        <v>5592.2</v>
      </c>
      <c r="BL129" s="3">
        <f>BJ129</f>
        <v>2047.488</v>
      </c>
      <c r="BM129" s="3">
        <f>BK129</f>
        <v>5592.2</v>
      </c>
      <c r="BN129" s="3">
        <f>BL129</f>
        <v>2047.488</v>
      </c>
      <c r="BO129" s="3">
        <f>BM129</f>
        <v>5592.2</v>
      </c>
      <c r="BP129" s="3">
        <f>SUM(BL129:BO129)</f>
        <v>15279.376</v>
      </c>
      <c r="BQ129" s="3">
        <f>BO129</f>
        <v>5592.2</v>
      </c>
      <c r="BR129" s="3">
        <f>BP129</f>
        <v>15279.376</v>
      </c>
      <c r="BS129" s="3">
        <f>BQ129</f>
        <v>5592.2</v>
      </c>
      <c r="BT129" s="3">
        <f>BR129</f>
        <v>15279.376</v>
      </c>
      <c r="BU129" s="3">
        <f>SUM(BQ129:BT129)</f>
        <v>41743.152</v>
      </c>
      <c r="BV129" s="3">
        <f>BT129</f>
        <v>15279.376</v>
      </c>
      <c r="BW129" s="3">
        <f>BU129</f>
        <v>41743.152</v>
      </c>
      <c r="BX129" s="3">
        <f>BV129</f>
        <v>15279.376</v>
      </c>
      <c r="BY129" s="3">
        <f>BW129</f>
        <v>41743.152</v>
      </c>
      <c r="BZ129" s="3">
        <f>SUM(BV129:BY129)</f>
        <v>114045.056</v>
      </c>
      <c r="CA129" s="3">
        <f>BY129</f>
        <v>41743.152</v>
      </c>
      <c r="CB129" s="3">
        <f>BZ129</f>
        <v>114045.056</v>
      </c>
      <c r="CC129" s="3">
        <f>CA129</f>
        <v>41743.152</v>
      </c>
      <c r="CD129" s="3">
        <f>CB129</f>
        <v>114045.056</v>
      </c>
      <c r="CE129" s="3">
        <f>SUM(CA129:CD129)</f>
        <v>311576.416</v>
      </c>
      <c r="CF129" s="3">
        <f>CD129</f>
        <v>114045.056</v>
      </c>
      <c r="CG129" s="3">
        <f>CE129</f>
        <v>311576.416</v>
      </c>
      <c r="CH129" s="3">
        <f>CF129</f>
        <v>114045.056</v>
      </c>
      <c r="CI129" s="3">
        <f>CG129</f>
        <v>311576.416</v>
      </c>
      <c r="CJ129" s="3">
        <f>SUM(CF129:CI129)</f>
        <v>851242.944</v>
      </c>
      <c r="CK129" s="3">
        <f>CI129</f>
        <v>311576.416</v>
      </c>
      <c r="CL129" s="3">
        <f>CJ129</f>
        <v>851242.944</v>
      </c>
      <c r="CM129" s="3">
        <f>CK129</f>
        <v>311576.416</v>
      </c>
      <c r="CN129" s="3">
        <f>CL129</f>
        <v>851242.944</v>
      </c>
      <c r="CO129" s="3">
        <f>SUM(CK129:CN129)</f>
        <v>2325638.72</v>
      </c>
      <c r="CP129" s="3">
        <f>CN129</f>
        <v>851242.944</v>
      </c>
      <c r="CQ129" s="3">
        <f>CO129</f>
        <v>2325638.72</v>
      </c>
      <c r="CR129" s="3">
        <f>CP129</f>
        <v>851242.944</v>
      </c>
      <c r="CS129" s="3">
        <f>CQ129</f>
        <v>2325638.72</v>
      </c>
      <c r="CT129" s="3">
        <f>SUM(CP129:CS129)</f>
        <v>6353763.328</v>
      </c>
      <c r="CU129" s="3">
        <f>CS129</f>
        <v>2325638.72</v>
      </c>
      <c r="CV129" s="3">
        <f>CT129</f>
        <v>6353763.328</v>
      </c>
      <c r="CW129" s="3">
        <f>CU129</f>
        <v>2325638.72</v>
      </c>
      <c r="CX129" s="3">
        <f>CV129</f>
        <v>6353763.328</v>
      </c>
      <c r="CY129" s="3">
        <f>SUM(CU129:CX129)</f>
        <v>17358804.096</v>
      </c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2" t="inlineStr">
        <is>
          <t>Resultado Não Recorrente</t>
        </is>
      </c>
      <c r="D131" s="6" t="n"/>
      <c r="E131" s="6" t="n"/>
      <c r="F131" s="6" t="n"/>
      <c r="G131" s="6" t="n"/>
      <c r="H131" s="3" t="n"/>
      <c r="I131" s="6" t="n"/>
      <c r="J131" s="6" t="n"/>
      <c r="K131" s="6" t="n"/>
      <c r="L131" s="6" t="n"/>
      <c r="M131" s="3" t="n"/>
      <c r="N131" s="6" t="n"/>
      <c r="O131" s="6" t="n"/>
      <c r="P131" s="6" t="n"/>
      <c r="Q131" s="6" t="n"/>
      <c r="R131" s="3" t="n"/>
      <c r="S131" s="6" t="n"/>
      <c r="T131" s="6" t="n"/>
      <c r="U131" s="6" t="n"/>
      <c r="V131" s="6" t="n"/>
      <c r="W131" s="3" t="n"/>
      <c r="X131" s="6" t="n"/>
      <c r="Y131" s="6" t="n"/>
      <c r="Z131" s="6" t="n"/>
      <c r="AA131" s="6" t="n"/>
      <c r="AB131" s="3" t="n"/>
      <c r="AC131" s="6" t="n"/>
      <c r="AD131" s="6" t="n"/>
      <c r="AE131" s="6" t="n"/>
      <c r="AF131" s="6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32" t="inlineStr">
        <is>
          <t>Plano de Opção de Compra de Ações</t>
        </is>
      </c>
      <c r="D132" s="6" t="n"/>
      <c r="E132" s="6" t="n"/>
      <c r="F132" s="6" t="n"/>
      <c r="G132" s="6" t="n"/>
      <c r="H132" s="3" t="n"/>
      <c r="I132" s="6" t="n"/>
      <c r="J132" s="6" t="n"/>
      <c r="K132" s="6" t="n"/>
      <c r="L132" s="6" t="n"/>
      <c r="M132" s="3" t="n"/>
      <c r="N132" s="6" t="n"/>
      <c r="O132" s="6" t="n"/>
      <c r="P132" s="6" t="n"/>
      <c r="Q132" s="6" t="n"/>
      <c r="R132" s="3" t="n"/>
      <c r="S132" s="6" t="n"/>
      <c r="T132" s="6" t="n"/>
      <c r="U132" s="6" t="n"/>
      <c r="V132" s="6" t="n"/>
      <c r="W132" s="3" t="n"/>
      <c r="X132" s="6" t="n"/>
      <c r="Y132" s="6" t="n"/>
      <c r="Z132" s="6" t="n"/>
      <c r="AA132" s="6" t="n"/>
      <c r="AB132" s="3" t="n"/>
      <c r="AC132" s="6" t="n"/>
      <c r="AD132" s="6" t="n"/>
      <c r="AE132" s="6" t="n"/>
      <c r="AF132" s="6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2" t="inlineStr">
        <is>
          <t>Baixa Imobilizado</t>
        </is>
      </c>
      <c r="D133" s="6" t="n"/>
      <c r="E133" s="6" t="n"/>
      <c r="F133" s="6" t="n"/>
      <c r="G133" s="6" t="n"/>
      <c r="H133" s="3" t="n"/>
      <c r="I133" s="6" t="n"/>
      <c r="J133" s="6" t="n"/>
      <c r="K133" s="6" t="n"/>
      <c r="L133" s="6" t="n"/>
      <c r="M133" s="3" t="n"/>
      <c r="N133" s="6" t="n"/>
      <c r="O133" s="6" t="n"/>
      <c r="P133" s="6" t="n"/>
      <c r="Q133" s="6" t="n"/>
      <c r="R133" s="3" t="n"/>
      <c r="S133" s="6" t="n"/>
      <c r="T133" s="6" t="n"/>
      <c r="U133" s="6" t="n"/>
      <c r="V133" s="6" t="n"/>
      <c r="W133" s="3" t="n"/>
      <c r="X133" s="6" t="n"/>
      <c r="Y133" s="6" t="n"/>
      <c r="Z133" s="6" t="n"/>
      <c r="AA133" s="6" t="n"/>
      <c r="AB133" s="3" t="n"/>
      <c r="AC133" s="6" t="n"/>
      <c r="AD133" s="6" t="n"/>
      <c r="AE133" s="6" t="n"/>
      <c r="AF133" s="6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 customFormat="1" s="17">
      <c r="A136" s="13" t="n"/>
      <c r="B136" s="1" t="n"/>
      <c r="C136" s="14" t="inlineStr">
        <is>
          <t>Pretax Income - EBT</t>
        </is>
      </c>
      <c r="D136" s="16">
        <f>SUM(D79,D80,D129)</f>
        <v>7.22891655999999</v>
      </c>
      <c r="E136" s="16">
        <f>SUM(E79,E80,E129)</f>
        <v>-11.0732044656325</v>
      </c>
      <c r="F136" s="16">
        <f>SUM(F79,F80,F129)</f>
        <v>29.984242896385</v>
      </c>
      <c r="G136" s="16">
        <f>SUM(G79,G80,G129)</f>
        <v>114.358628126936</v>
      </c>
      <c r="H136" s="16">
        <f>SUM(D136:G136)</f>
        <v>140.498583117689</v>
      </c>
      <c r="I136" s="16">
        <f>SUM(I79,I80,I129)</f>
        <v>0.370539599438863</v>
      </c>
      <c r="J136" s="16">
        <f>SUM(J79,J80,J129)</f>
        <v>81.4297071704648</v>
      </c>
      <c r="K136" s="16">
        <f>SUM(K79,K80,K129)</f>
        <v>60.9301944392106</v>
      </c>
      <c r="L136" s="16">
        <f>SUM(L79,L80,L129)</f>
        <v>120.446916260606</v>
      </c>
      <c r="M136" s="16">
        <f>SUM(I136:L136)</f>
        <v>263.177357469721</v>
      </c>
      <c r="N136" s="16">
        <f>SUM(N79,N80,N129)</f>
        <v>34.7151409508257</v>
      </c>
      <c r="O136" s="16">
        <f>SUM(O79,O80,O129)</f>
        <v>78.0258844197007</v>
      </c>
      <c r="P136" s="16">
        <f>SUM(P79,P80,P129)</f>
        <v>50.335720473225</v>
      </c>
      <c r="Q136" s="16">
        <f>SUM(Q79,Q80,Q129)</f>
        <v>167.957854549433</v>
      </c>
      <c r="R136" s="16">
        <f>SUM(N136:Q136)</f>
        <v>331.034600393185</v>
      </c>
      <c r="S136" s="16">
        <f>SUM(S79,S80,S129)</f>
        <v>34.6187318797691</v>
      </c>
      <c r="T136" s="16">
        <f>SUM(T79,T80,T129)</f>
        <v>116.600298357533</v>
      </c>
      <c r="U136" s="16">
        <f>SUM(U79,U80,U129)</f>
        <v>77.9194925014494</v>
      </c>
      <c r="V136" s="16">
        <f>SUM(V79,V80,V129)</f>
        <v>171.704079562112</v>
      </c>
      <c r="W136" s="16">
        <f>SUM(S136:V136)</f>
        <v>400.842602300864</v>
      </c>
      <c r="X136" s="16">
        <f>SUM(X79,X80,X129)</f>
        <v>25.8464611101881</v>
      </c>
      <c r="Y136" s="16">
        <f>SUM(Y79,Y80,Y129)</f>
        <v>227.394451415523</v>
      </c>
      <c r="Z136" s="16">
        <f>SUM(Z79,Z80,Z129)</f>
        <v>91.3539414231006</v>
      </c>
      <c r="AA136" s="16">
        <f>SUM(AA79,AA80,AA129)</f>
        <v>281.643828920214</v>
      </c>
      <c r="AB136" s="16">
        <f>SUM(X136:AA136)</f>
        <v>626.238682869025</v>
      </c>
      <c r="AC136" s="16">
        <f>SUM(AC79,AC80,AC129)</f>
        <v>70.6090211900004</v>
      </c>
      <c r="AD136" s="16">
        <f>SUM(AD79,AD80,AD129)</f>
        <v>155.210928169999</v>
      </c>
      <c r="AE136" s="16">
        <f>SUM(AE79,AE80,AE129)</f>
        <v>175.25453767</v>
      </c>
      <c r="AF136" s="16">
        <f>SUM(AF79,AF80,AF129)</f>
        <v>186.72752143</v>
      </c>
      <c r="AG136" s="16">
        <f>SUM(AC136:AF136)</f>
        <v>587.802008459999</v>
      </c>
      <c r="AH136" s="16">
        <f>SUM(AH79,AH80,AH129)</f>
        <v>54.51492169</v>
      </c>
      <c r="AI136" s="16">
        <f>SUM(AI79,AI80,AI129)</f>
        <v>163.174813530001</v>
      </c>
      <c r="AJ136" s="16">
        <f>SUM(AJ79,AJ80,AJ129)</f>
        <v>8.001</v>
      </c>
      <c r="AK136" s="16">
        <f>SUM(AK79,AK80,AK129)</f>
        <v>11.195</v>
      </c>
      <c r="AL136" s="16">
        <f>SUM(AH136:AK136)</f>
        <v>236.885735220001</v>
      </c>
      <c r="AM136" s="16">
        <f>SUM(AM79,AM80,AM129)</f>
        <v>11.195</v>
      </c>
      <c r="AN136" s="16">
        <f>SUM(AN79,AN80,AN129)</f>
        <v>38.392</v>
      </c>
      <c r="AO136" s="16">
        <f>SUM(AO79,AO80,AO129)</f>
        <v>11.195</v>
      </c>
      <c r="AP136" s="16">
        <f>SUM(AP79,AP80,AP129)</f>
        <v>38.392</v>
      </c>
      <c r="AQ136" s="16">
        <f>SUM(AM136:AP136)</f>
        <v>99.174</v>
      </c>
      <c r="AR136" s="16">
        <f>SUM(AR79,AR80,AR129)</f>
        <v>38.392</v>
      </c>
      <c r="AS136" s="16">
        <f>SUM(AS79,AS80,AS129)</f>
        <v>99.174</v>
      </c>
      <c r="AT136" s="16">
        <f>SUM(AT79,AT80,AT129)</f>
        <v>38.392</v>
      </c>
      <c r="AU136" s="16">
        <f>SUM(AU79,AU80,AU129)</f>
        <v>99.174</v>
      </c>
      <c r="AV136" s="16">
        <f>SUM(AR136:AU136)</f>
        <v>275.132</v>
      </c>
      <c r="AW136" s="16">
        <f>SUM(AW79,AW80,AW129)</f>
        <v>99.174</v>
      </c>
      <c r="AX136" s="16">
        <f>SUM(AX79,AX80,AX129)</f>
        <v>275.132</v>
      </c>
      <c r="AY136" s="16">
        <f>SUM(AY79,AY80,AY129)</f>
        <v>99.174</v>
      </c>
      <c r="AZ136" s="16">
        <f>SUM(AZ79,AZ80,AZ129)</f>
        <v>275.132</v>
      </c>
      <c r="BA136" s="16">
        <f>SUM(AW136:AZ136)</f>
        <v>748.612</v>
      </c>
      <c r="BB136" s="16">
        <f>SUM(BB79,BB80,BB129)</f>
        <v>275.132</v>
      </c>
      <c r="BC136" s="16">
        <f>SUM(BC79,BC80,BC129)</f>
        <v>748.612</v>
      </c>
      <c r="BD136" s="16">
        <f>SUM(BD79,BD80,BD129)</f>
        <v>275.132</v>
      </c>
      <c r="BE136" s="16">
        <f>SUM(BE79,BE80,BE129)</f>
        <v>748.612</v>
      </c>
      <c r="BF136" s="16">
        <f>SUM(BB136:BE136)</f>
        <v>2047.488</v>
      </c>
      <c r="BG136" s="16">
        <f>SUM(BG79,BG80,BG129)</f>
        <v>748.612</v>
      </c>
      <c r="BH136" s="16">
        <f>SUM(BH79,BH80,BH129)</f>
        <v>2047.488</v>
      </c>
      <c r="BI136" s="16">
        <f>SUM(BI79,BI80,BI129)</f>
        <v>748.612</v>
      </c>
      <c r="BJ136" s="16">
        <f>SUM(BJ79,BJ80,BJ129)</f>
        <v>2047.488</v>
      </c>
      <c r="BK136" s="16">
        <f>SUM(BG136:BJ136)</f>
        <v>5592.2</v>
      </c>
      <c r="BL136" s="16">
        <f>SUM(BL79,BL80,BL129)</f>
        <v>2047.488</v>
      </c>
      <c r="BM136" s="16">
        <f>SUM(BM79,BM80,BM129)</f>
        <v>5592.2</v>
      </c>
      <c r="BN136" s="16">
        <f>SUM(BN79,BN80,BN129)</f>
        <v>2047.488</v>
      </c>
      <c r="BO136" s="16">
        <f>SUM(BO79,BO80,BO129)</f>
        <v>5592.2</v>
      </c>
      <c r="BP136" s="16">
        <f>SUM(BL136:BO136)</f>
        <v>15279.376</v>
      </c>
      <c r="BQ136" s="16">
        <f>SUM(BQ79,BQ80,BQ129)</f>
        <v>5592.2</v>
      </c>
      <c r="BR136" s="16">
        <f>SUM(BR79,BR80,BR129)</f>
        <v>15279.376</v>
      </c>
      <c r="BS136" s="16">
        <f>SUM(BS79,BS80,BS129)</f>
        <v>5592.2</v>
      </c>
      <c r="BT136" s="16">
        <f>SUM(BT79,BT80,BT129)</f>
        <v>15279.376</v>
      </c>
      <c r="BU136" s="16">
        <f>SUM(BQ136:BT136)</f>
        <v>41743.152</v>
      </c>
      <c r="BV136" s="16">
        <f>SUM(BV79,BV80,BV129)</f>
        <v>15279.376</v>
      </c>
      <c r="BW136" s="16">
        <f>SUM(BW79,BW80,BW129)</f>
        <v>41743.152</v>
      </c>
      <c r="BX136" s="16">
        <f>SUM(BX79,BX80,BX129)</f>
        <v>15279.376</v>
      </c>
      <c r="BY136" s="16">
        <f>SUM(BY79,BY80,BY129)</f>
        <v>41743.152</v>
      </c>
      <c r="BZ136" s="16">
        <f>SUM(BV136:BY136)</f>
        <v>114045.056</v>
      </c>
      <c r="CA136" s="16">
        <f>SUM(CA79,CA80,CA129)</f>
        <v>41743.152</v>
      </c>
      <c r="CB136" s="16">
        <f>SUM(CB79,CB80,CB129)</f>
        <v>114045.056</v>
      </c>
      <c r="CC136" s="16">
        <f>SUM(CC79,CC80,CC129)</f>
        <v>41743.152</v>
      </c>
      <c r="CD136" s="16">
        <f>SUM(CD79,CD80,CD129)</f>
        <v>114045.056</v>
      </c>
      <c r="CE136" s="16">
        <f>SUM(CA136:CD136)</f>
        <v>311576.416</v>
      </c>
      <c r="CF136" s="16">
        <f>SUM(CF79,CF80,CF129)</f>
        <v>114045.056</v>
      </c>
      <c r="CG136" s="16">
        <f>SUM(CG79,CG80,CG129)</f>
        <v>311576.416</v>
      </c>
      <c r="CH136" s="16">
        <f>SUM(CH79,CH80,CH129)</f>
        <v>114045.056</v>
      </c>
      <c r="CI136" s="16">
        <f>SUM(CI79,CI80,CI129)</f>
        <v>311576.416</v>
      </c>
      <c r="CJ136" s="16">
        <f>SUM(CF136:CI136)</f>
        <v>851242.944</v>
      </c>
      <c r="CK136" s="16">
        <f>SUM(CK79,CK80,CK129)</f>
        <v>311576.416</v>
      </c>
      <c r="CL136" s="16">
        <f>SUM(CL79,CL80,CL129)</f>
        <v>851242.944</v>
      </c>
      <c r="CM136" s="16">
        <f>SUM(CM79,CM80,CM129)</f>
        <v>311576.416</v>
      </c>
      <c r="CN136" s="16">
        <f>SUM(CN79,CN80,CN129)</f>
        <v>851242.944</v>
      </c>
      <c r="CO136" s="16">
        <f>SUM(CK136:CN136)</f>
        <v>2325638.72</v>
      </c>
      <c r="CP136" s="16">
        <f>SUM(CP79,CP80,CP129)</f>
        <v>851242.944</v>
      </c>
      <c r="CQ136" s="16">
        <f>SUM(CQ79,CQ80,CQ129)</f>
        <v>2325638.72</v>
      </c>
      <c r="CR136" s="16">
        <f>SUM(CR79,CR80,CR129)</f>
        <v>851242.944</v>
      </c>
      <c r="CS136" s="16">
        <f>SUM(CS79,CS80,CS129)</f>
        <v>2325638.72</v>
      </c>
      <c r="CT136" s="16">
        <f>SUM(CP136:CS136)</f>
        <v>6353763.328</v>
      </c>
      <c r="CU136" s="16">
        <f>SUM(CU79,CU80,CU129)</f>
        <v>2325638.72</v>
      </c>
      <c r="CV136" s="16">
        <f>SUM(CV79,CV80,CV129)</f>
        <v>6353763.328</v>
      </c>
      <c r="CW136" s="16">
        <f>SUM(CW79,CW80,CW129)</f>
        <v>2325638.72</v>
      </c>
      <c r="CX136" s="16">
        <f>SUM(CX79,CX80,CX129)</f>
        <v>6353763.328</v>
      </c>
      <c r="CY136" s="16">
        <f>SUM(CU136:CX136)</f>
        <v>17358804.096</v>
      </c>
    </row>
    <row r="137">
      <c r="C137" s="26" t="inlineStr">
        <is>
          <t>Taxes</t>
        </is>
      </c>
      <c r="D137" s="25">
        <f>INDEX('Inputs (2)'!$D$10:$AL$10,MATCH(D$7,'Inputs (2)'!$D$2:$AL$2,0))</f>
        <v>4.7615923074</v>
      </c>
      <c r="E137" s="25">
        <f>INDEX('Inputs (2)'!$D$10:$AL$10,MATCH(E$7,'Inputs (2)'!$D$2:$AL$2,0))</f>
        <v>6.61903864788334</v>
      </c>
      <c r="F137" s="25">
        <f>INDEX('Inputs (2)'!$D$10:$AL$10,MATCH(F$7,'Inputs (2)'!$D$2:$AL$2,0))</f>
        <v>0.602949316666666</v>
      </c>
      <c r="G137" s="25">
        <f>INDEX('Inputs (2)'!$D$10:$AL$10,MATCH(G$7,'Inputs (2)'!$D$2:$AL$2,0))</f>
        <v>-28.8482083455333</v>
      </c>
      <c r="H137" s="3">
        <f>SUM(D137:G137)</f>
        <v>-16.8646280735833</v>
      </c>
      <c r="I137" s="25">
        <f>INDEX('Inputs (2)'!$D$10:$AL$10,MATCH(I$7,'Inputs (2)'!$D$2:$AL$2,0))</f>
        <v>3.54232180899056</v>
      </c>
      <c r="J137" s="25">
        <f>INDEX('Inputs (2)'!$D$10:$AL$10,MATCH(J$7,'Inputs (2)'!$D$2:$AL$2,0))</f>
        <v>0.227120517442105</v>
      </c>
      <c r="K137" s="25">
        <f>INDEX('Inputs (2)'!$D$10:$AL$10,MATCH(K$7,'Inputs (2)'!$D$2:$AL$2,0))</f>
        <v>25.328</v>
      </c>
      <c r="L137" s="25">
        <f>INDEX('Inputs (2)'!$D$10:$AL$10,MATCH(L$7,'Inputs (2)'!$D$2:$AL$2,0))</f>
        <v>6.68183184199407</v>
      </c>
      <c r="M137" s="3">
        <f>SUM(I137:L137)</f>
        <v>35.7792741684267</v>
      </c>
      <c r="N137" s="25">
        <f>INDEX('Inputs (2)'!$D$10:$AL$10,MATCH(N$7,'Inputs (2)'!$D$2:$AL$2,0))</f>
        <v>11.2065187349387</v>
      </c>
      <c r="O137" s="25">
        <f>INDEX('Inputs (2)'!$D$10:$AL$10,MATCH(O$7,'Inputs (2)'!$D$2:$AL$2,0))</f>
        <v>11.0261487620823</v>
      </c>
      <c r="P137" s="25">
        <f>INDEX('Inputs (2)'!$D$10:$AL$10,MATCH(P$7,'Inputs (2)'!$D$2:$AL$2,0))</f>
        <v>17.791672449903</v>
      </c>
      <c r="Q137" s="25">
        <f>INDEX('Inputs (2)'!$D$10:$AL$10,MATCH(Q$7,'Inputs (2)'!$D$2:$AL$2,0))</f>
        <v>-10.2045227944095</v>
      </c>
      <c r="R137" s="3">
        <f>SUM(N137:Q137)</f>
        <v>29.8198171525145</v>
      </c>
      <c r="S137" s="25">
        <f>INDEX('Inputs (2)'!$D$10:$AL$10,MATCH(S$7,'Inputs (2)'!$D$2:$AL$2,0))</f>
        <v>3.9524351552</v>
      </c>
      <c r="T137" s="25">
        <f>INDEX('Inputs (2)'!$D$10:$AL$10,MATCH(T$7,'Inputs (2)'!$D$2:$AL$2,0))</f>
        <v>-6.61599221519999</v>
      </c>
      <c r="U137" s="25">
        <f>INDEX('Inputs (2)'!$D$10:$AL$10,MATCH(U$7,'Inputs (2)'!$D$2:$AL$2,0))</f>
        <v>-1.38064500000001</v>
      </c>
      <c r="V137" s="25">
        <f>INDEX('Inputs (2)'!$D$10:$AL$10,MATCH(V$7,'Inputs (2)'!$D$2:$AL$2,0))</f>
        <v>-15.67779794</v>
      </c>
      <c r="W137" s="3">
        <f>SUM(S137:V137)</f>
        <v>-19.722</v>
      </c>
      <c r="X137" s="25">
        <f>INDEX('Inputs (2)'!$D$10:$AL$10,MATCH(X$7,'Inputs (2)'!$D$2:$AL$2,0))</f>
        <v>9.96272388050272</v>
      </c>
      <c r="Y137" s="25">
        <f>INDEX('Inputs (2)'!$D$10:$AL$10,MATCH(Y$7,'Inputs (2)'!$D$2:$AL$2,0))</f>
        <v>-16.4336</v>
      </c>
      <c r="Z137" s="25">
        <f>INDEX('Inputs (2)'!$D$10:$AL$10,MATCH(Z$7,'Inputs (2)'!$D$2:$AL$2,0))</f>
        <v>15.81104642</v>
      </c>
      <c r="AA137" s="25">
        <f>INDEX('Inputs (2)'!$D$10:$AL$10,MATCH(AA$7,'Inputs (2)'!$D$2:$AL$2,0))</f>
        <v>17.81499178</v>
      </c>
      <c r="AB137" s="3">
        <f>SUM(X137:AA137)</f>
        <v>27.1551620805027</v>
      </c>
      <c r="AC137" s="25">
        <f>INDEX('Inputs (2)'!$D$10:$AL$10,MATCH(AC$7,'Inputs (2)'!$D$2:$AL$2,0))</f>
        <v>44.42913763</v>
      </c>
      <c r="AD137" s="25">
        <f>INDEX('Inputs (2)'!$D$10:$AL$10,MATCH(AD$7,'Inputs (2)'!$D$2:$AL$2,0))</f>
        <v>-4.12160331000002</v>
      </c>
      <c r="AE137" s="25">
        <f>INDEX('Inputs (2)'!$D$10:$AL$10,MATCH(AE$7,'Inputs (2)'!$D$2:$AL$2,0))</f>
        <v>0.595</v>
      </c>
      <c r="AF137" s="25">
        <f>INDEX('Inputs (2)'!$D$10:$AL$10,MATCH(AF$7,'Inputs (2)'!$D$2:$AL$2,0))</f>
        <v>-9.19928374000005</v>
      </c>
      <c r="AG137" s="3">
        <f>SUM(AC137:AF137)</f>
        <v>31.7032505799999</v>
      </c>
      <c r="AH137" s="3">
        <f>INDEX('Inputs (2)'!$D$10:$AL$10,MATCH(AH$7,'Inputs (2)'!$D$2:$AL$2,0))</f>
        <v>26.28022173</v>
      </c>
      <c r="AI137" s="3">
        <f>INDEX('Inputs (2)'!$D$10:$AL$10,MATCH(AI$7,'Inputs (2)'!$D$2:$AL$2,0))</f>
        <v>-11.50996231</v>
      </c>
      <c r="AJ137" s="3">
        <f>AJ138*-AJ136</f>
        <v>0</v>
      </c>
      <c r="AK137" s="3">
        <f>AK138*-AK136</f>
        <v>0</v>
      </c>
      <c r="AL137" s="3">
        <f>SUM(AH137:AK137)</f>
        <v>14.77025942</v>
      </c>
      <c r="AM137" s="3">
        <f>AM138*-AM136</f>
        <v>0</v>
      </c>
      <c r="AN137" s="3">
        <f>AN138*-AN136</f>
        <v>0</v>
      </c>
      <c r="AO137" s="3">
        <f>AO138*-AO136</f>
        <v>0</v>
      </c>
      <c r="AP137" s="3">
        <f>AP138*-AP136</f>
        <v>0</v>
      </c>
      <c r="AQ137" s="3">
        <f>SUM(AM137:AP137)</f>
        <v>0</v>
      </c>
      <c r="AR137" s="3">
        <f>AR138*-AR136</f>
        <v>0</v>
      </c>
      <c r="AS137" s="3">
        <f>AS138*-AS136</f>
        <v>0</v>
      </c>
      <c r="AT137" s="3">
        <f>AT138*-AT136</f>
        <v>0</v>
      </c>
      <c r="AU137" s="3">
        <f>AU138*-AU136</f>
        <v>0</v>
      </c>
      <c r="AV137" s="3">
        <f>SUM(AR137:AU137)</f>
        <v>0</v>
      </c>
      <c r="AW137" s="3">
        <f>AW138*-AW136</f>
        <v>0</v>
      </c>
      <c r="AX137" s="3">
        <f>AX138*-AX136</f>
        <v>0</v>
      </c>
      <c r="AY137" s="3">
        <f>AY138*-AY136</f>
        <v>0</v>
      </c>
      <c r="AZ137" s="3">
        <f>AZ138*-AZ136</f>
        <v>0</v>
      </c>
      <c r="BA137" s="3">
        <f>SUM(AW137:AZ137)</f>
        <v>0</v>
      </c>
      <c r="BB137" s="3">
        <f>BB138*-BB136</f>
        <v>0</v>
      </c>
      <c r="BC137" s="3">
        <f>BC138*-BC136</f>
        <v>0</v>
      </c>
      <c r="BD137" s="3">
        <f>BD138*-BD136</f>
        <v>0</v>
      </c>
      <c r="BE137" s="3">
        <f>BE138*-BE136</f>
        <v>0</v>
      </c>
      <c r="BF137" s="3">
        <f>SUM(BB137:BE137)</f>
        <v>0</v>
      </c>
      <c r="BG137" s="3">
        <f>BG138*-BG136</f>
        <v>0</v>
      </c>
      <c r="BH137" s="3">
        <f>BH138*-BH136</f>
        <v>0</v>
      </c>
      <c r="BI137" s="3">
        <f>BI138*-BI136</f>
        <v>0</v>
      </c>
      <c r="BJ137" s="3">
        <f>BJ138*-BJ136</f>
        <v>0</v>
      </c>
      <c r="BK137" s="3">
        <f>SUM(BG137:BJ137)</f>
        <v>0</v>
      </c>
      <c r="BL137" s="3">
        <f>BL138*-BL136</f>
        <v>0</v>
      </c>
      <c r="BM137" s="3">
        <f>BM138*-BM136</f>
        <v>0</v>
      </c>
      <c r="BN137" s="3">
        <f>BN138*-BN136</f>
        <v>0</v>
      </c>
      <c r="BO137" s="3">
        <f>BO138*-BO136</f>
        <v>0</v>
      </c>
      <c r="BP137" s="3">
        <f>SUM(BL137:BO137)</f>
        <v>0</v>
      </c>
      <c r="BQ137" s="3">
        <f>BQ138*-BQ136</f>
        <v>0</v>
      </c>
      <c r="BR137" s="3">
        <f>BR138*-BR136</f>
        <v>0</v>
      </c>
      <c r="BS137" s="3">
        <f>BS138*-BS136</f>
        <v>0</v>
      </c>
      <c r="BT137" s="3">
        <f>BT138*-BT136</f>
        <v>0</v>
      </c>
      <c r="BU137" s="3">
        <f>SUM(BQ137:BT137)</f>
        <v>0</v>
      </c>
      <c r="BV137" s="3">
        <f>BV138*-BV136</f>
        <v>0</v>
      </c>
      <c r="BW137" s="3">
        <f>BW138*-BW136</f>
        <v>0</v>
      </c>
      <c r="BX137" s="3">
        <f>BX138*-BX136</f>
        <v>0</v>
      </c>
      <c r="BY137" s="3">
        <f>BY138*-BY136</f>
        <v>0</v>
      </c>
      <c r="BZ137" s="3">
        <f>SUM(BV137:BY137)</f>
        <v>0</v>
      </c>
      <c r="CA137" s="3">
        <f>CA138*-CA136</f>
        <v>0</v>
      </c>
      <c r="CB137" s="3">
        <f>CB138*-CB136</f>
        <v>0</v>
      </c>
      <c r="CC137" s="3">
        <f>CC138*-CC136</f>
        <v>0</v>
      </c>
      <c r="CD137" s="3">
        <f>CD138*-CD136</f>
        <v>0</v>
      </c>
      <c r="CE137" s="3">
        <f>SUM(CA137:CD137)</f>
        <v>0</v>
      </c>
      <c r="CF137" s="3">
        <f>CF138*-CF136</f>
        <v>0</v>
      </c>
      <c r="CG137" s="3">
        <f>CG138*-CG136</f>
        <v>0</v>
      </c>
      <c r="CH137" s="3">
        <f>CH138*-CH136</f>
        <v>0</v>
      </c>
      <c r="CI137" s="3">
        <f>CI138*-CI136</f>
        <v>0</v>
      </c>
      <c r="CJ137" s="3">
        <f>SUM(CF137:CI137)</f>
        <v>0</v>
      </c>
      <c r="CK137" s="3">
        <f>CK138*-CK136</f>
        <v>0</v>
      </c>
      <c r="CL137" s="3">
        <f>CL138*-CL136</f>
        <v>0</v>
      </c>
      <c r="CM137" s="3">
        <f>CM138*-CM136</f>
        <v>0</v>
      </c>
      <c r="CN137" s="3">
        <f>CN138*-CN136</f>
        <v>0</v>
      </c>
      <c r="CO137" s="3">
        <f>SUM(CK137:CN137)</f>
        <v>0</v>
      </c>
      <c r="CP137" s="3">
        <f>CP138*-CP136</f>
        <v>0</v>
      </c>
      <c r="CQ137" s="3">
        <f>CQ138*-CQ136</f>
        <v>0</v>
      </c>
      <c r="CR137" s="3">
        <f>CR138*-CR136</f>
        <v>0</v>
      </c>
      <c r="CS137" s="3">
        <f>CS138*-CS136</f>
        <v>0</v>
      </c>
      <c r="CT137" s="3">
        <f>SUM(CP137:CS137)</f>
        <v>0</v>
      </c>
      <c r="CU137" s="3">
        <f>CU138*-CU136</f>
        <v>0</v>
      </c>
      <c r="CV137" s="3">
        <f>CV138*-CV136</f>
        <v>0</v>
      </c>
      <c r="CW137" s="3">
        <f>CW138*-CW136</f>
        <v>0</v>
      </c>
      <c r="CX137" s="3">
        <f>CX138*-CX136</f>
        <v>0</v>
      </c>
      <c r="CY137" s="3">
        <f>SUM(CU137:CX137)</f>
        <v>0</v>
      </c>
    </row>
    <row r="138" hidden="1" outlineLevel="1">
      <c r="C138" s="34" t="inlineStr">
        <is>
          <t>% ETR</t>
        </is>
      </c>
      <c r="D138" s="48">
        <f>-D137/D136</f>
        <v>-0.658686854092006</v>
      </c>
      <c r="E138" s="48">
        <f>-E137/E136</f>
        <v>0.597752770521541</v>
      </c>
      <c r="F138" s="48">
        <f>-F137/F136</f>
        <v>-0.0201088724751279</v>
      </c>
      <c r="G138" s="48">
        <f>-G137/G136</f>
        <v>0.2522608815621</v>
      </c>
      <c r="H138" s="48">
        <f>-H137/H136</f>
        <v>0.120034150518491</v>
      </c>
      <c r="I138" s="48">
        <f>-I137/I136</f>
        <v>-9.55990078888996</v>
      </c>
      <c r="J138" s="48">
        <f>-J137/J136</f>
        <v>-0.0027891604346145</v>
      </c>
      <c r="K138" s="48">
        <f>-K137/K136</f>
        <v>-0.415688809679895</v>
      </c>
      <c r="L138" s="48">
        <f>-L137/L136</f>
        <v>-0.0554753251427114</v>
      </c>
      <c r="M138" s="48">
        <f>-M137/M136</f>
        <v>-0.135951187109792</v>
      </c>
      <c r="N138" s="48">
        <f>-N137/N136</f>
        <v>-0.322813574365516</v>
      </c>
      <c r="O138" s="48">
        <f>-O137/O136</f>
        <v>-0.141313986301939</v>
      </c>
      <c r="P138" s="48">
        <f>-P137/P136</f>
        <v>-0.353460172669366</v>
      </c>
      <c r="Q138" s="48">
        <f>-Q137/Q136</f>
        <v>0.0607564488233333</v>
      </c>
      <c r="R138" s="48">
        <f>-R137/R136</f>
        <v>-0.090080665637659</v>
      </c>
      <c r="S138" s="48">
        <f>-S137/S136</f>
        <v>-0.114170419902347</v>
      </c>
      <c r="T138" s="48">
        <f>-T137/T136</f>
        <v>0.0567407829001712</v>
      </c>
      <c r="U138" s="48">
        <f>-U137/U136</f>
        <v>0.0177188654042418</v>
      </c>
      <c r="V138" s="48">
        <f>-V137/V136</f>
        <v>0.0913070788998274</v>
      </c>
      <c r="W138" s="48">
        <f>-W137/W136</f>
        <v>0.0492013570583425</v>
      </c>
      <c r="X138" s="48">
        <f>-X137/X136</f>
        <v>-0.385457948692854</v>
      </c>
      <c r="Y138" s="48">
        <f>-Y137/Y136</f>
        <v>0.0722691336472873</v>
      </c>
      <c r="Z138" s="48">
        <f>-Z137/Z136</f>
        <v>-0.173074595071624</v>
      </c>
      <c r="AA138" s="48">
        <f>-AA137/AA136</f>
        <v>-0.0632536201780113</v>
      </c>
      <c r="AB138" s="48">
        <f>-AB137/AB136</f>
        <v>-0.043362319868353</v>
      </c>
      <c r="AC138" s="48">
        <f>-AC137/AC136</f>
        <v>-0.629227496447607</v>
      </c>
      <c r="AD138" s="48">
        <f>-AD137/AD136</f>
        <v>0.0265548525390282</v>
      </c>
      <c r="AE138" s="48">
        <f>-AE137/AE136</f>
        <v>-0.00339506187919865</v>
      </c>
      <c r="AF138" s="44">
        <f>-AF137/AF136</f>
        <v>0.049265816145097</v>
      </c>
      <c r="AG138" s="48">
        <f>-AG137/AG136</f>
        <v>-0.0539352539183394</v>
      </c>
      <c r="AH138" s="44">
        <f>-AH137/AH136</f>
        <v>-0.482073915091412</v>
      </c>
      <c r="AI138" s="44">
        <f>-AI137/AI136</f>
        <v>0.0705376158305449</v>
      </c>
      <c r="AJ138" s="44" t="n"/>
      <c r="AK138" s="44" t="n"/>
      <c r="AL138" s="48">
        <f>-AL137/AL136</f>
        <v>-0.0623518313852143</v>
      </c>
      <c r="AM138" s="44" t="n"/>
      <c r="AN138" s="44" t="n"/>
      <c r="AO138" s="44" t="n"/>
      <c r="AP138" s="44" t="n"/>
      <c r="AQ138" s="48">
        <f>-AQ137/AQ136</f>
        <v>0</v>
      </c>
      <c r="AR138" s="44" t="n"/>
      <c r="AS138" s="44" t="n"/>
      <c r="AT138" s="44" t="n"/>
      <c r="AU138" s="44" t="n"/>
      <c r="AV138" s="48">
        <f>-AV137/AV136</f>
        <v>0</v>
      </c>
      <c r="AW138" s="44" t="n"/>
      <c r="AX138" s="44" t="n"/>
      <c r="AY138" s="44" t="n"/>
      <c r="AZ138" s="44" t="n"/>
      <c r="BA138" s="48">
        <f>-BA137/BA136</f>
        <v>0</v>
      </c>
      <c r="BB138" s="44" t="n"/>
      <c r="BC138" s="44" t="n"/>
      <c r="BD138" s="44" t="n"/>
      <c r="BE138" s="44" t="n"/>
      <c r="BF138" s="48">
        <f>-BF137/BF136</f>
        <v>0</v>
      </c>
      <c r="BG138" s="44" t="n"/>
      <c r="BH138" s="44" t="n"/>
      <c r="BI138" s="44" t="n"/>
      <c r="BJ138" s="44" t="n"/>
      <c r="BK138" s="48">
        <f>-BK137/BK136</f>
        <v>0</v>
      </c>
      <c r="BL138" s="44" t="n"/>
      <c r="BM138" s="44" t="n"/>
      <c r="BN138" s="44" t="n"/>
      <c r="BO138" s="44" t="n"/>
      <c r="BP138" s="48">
        <f>-BP137/BP136</f>
        <v>0</v>
      </c>
      <c r="BQ138" s="44" t="n"/>
      <c r="BR138" s="44" t="n"/>
      <c r="BS138" s="44" t="n"/>
      <c r="BT138" s="44" t="n"/>
      <c r="BU138" s="48">
        <f>-BU137/BU136</f>
        <v>0</v>
      </c>
      <c r="BV138" s="44" t="n"/>
      <c r="BW138" s="44" t="n"/>
      <c r="BX138" s="44" t="n"/>
      <c r="BY138" s="44" t="n"/>
      <c r="BZ138" s="48">
        <f>-BZ137/BZ136</f>
        <v>0</v>
      </c>
      <c r="CA138" s="44" t="n"/>
      <c r="CB138" s="44" t="n"/>
      <c r="CC138" s="44" t="n"/>
      <c r="CD138" s="44" t="n"/>
      <c r="CE138" s="48">
        <f>-CE137/CE136</f>
        <v>0</v>
      </c>
      <c r="CF138" s="44" t="n"/>
      <c r="CG138" s="44" t="n"/>
      <c r="CH138" s="44" t="n"/>
      <c r="CI138" s="44" t="n"/>
      <c r="CJ138" s="48">
        <f>-CJ137/CJ136</f>
        <v>0</v>
      </c>
      <c r="CK138" s="44" t="n"/>
      <c r="CL138" s="44" t="n"/>
      <c r="CM138" s="44" t="n"/>
      <c r="CN138" s="44" t="n"/>
      <c r="CO138" s="48">
        <f>-CO137/CO136</f>
        <v>0</v>
      </c>
      <c r="CP138" s="44" t="n"/>
      <c r="CQ138" s="44" t="n"/>
      <c r="CR138" s="44" t="n"/>
      <c r="CS138" s="44" t="n"/>
      <c r="CT138" s="48">
        <f>-CT137/CT136</f>
        <v>0</v>
      </c>
      <c r="CU138" s="44" t="n"/>
      <c r="CV138" s="44" t="n"/>
      <c r="CW138" s="44" t="n"/>
      <c r="CX138" s="44" t="n"/>
      <c r="CY138" s="48">
        <f>-CY137/CY136</f>
        <v>0</v>
      </c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Equity in Income of Affiliates, after tax (enter as +)</t>
        </is>
      </c>
      <c r="D141" s="25" t="n"/>
      <c r="E141" s="25" t="n"/>
      <c r="F141" s="25" t="n"/>
      <c r="G141" s="25" t="n"/>
      <c r="H141" s="3">
        <f>SUM(D141:G141)</f>
        <v>0</v>
      </c>
      <c r="I141" s="25" t="n"/>
      <c r="J141" s="25" t="n"/>
      <c r="K141" s="25" t="n"/>
      <c r="L141" s="25" t="n"/>
      <c r="M141" s="3">
        <f>SUM(I141:L141)</f>
        <v>0</v>
      </c>
      <c r="N141" s="25" t="n"/>
      <c r="O141" s="25" t="n"/>
      <c r="P141" s="25" t="n"/>
      <c r="Q141" s="25" t="n"/>
      <c r="R141" s="3">
        <f>SUM(N141:Q141)</f>
        <v>0</v>
      </c>
      <c r="S141" s="25" t="n"/>
      <c r="T141" s="25" t="n"/>
      <c r="U141" s="25" t="n"/>
      <c r="V141" s="25" t="n"/>
      <c r="W141" s="3">
        <f>SUM(S141:V141)</f>
        <v>0</v>
      </c>
      <c r="X141" s="25" t="n"/>
      <c r="Y141" s="25" t="n"/>
      <c r="Z141" s="25" t="n"/>
      <c r="AA141" s="25" t="n"/>
      <c r="AB141" s="3">
        <f>SUM(X141:AA141)</f>
        <v>0</v>
      </c>
      <c r="AC141" s="25" t="n"/>
      <c r="AD141" s="25" t="n"/>
      <c r="AE141" s="25" t="n"/>
      <c r="AF141" s="25" t="n"/>
      <c r="AG141" s="3">
        <f>SUM(AC141:AF141)</f>
        <v>0</v>
      </c>
      <c r="AH141" s="3">
        <f>AC141*(1+AH169)</f>
        <v>0</v>
      </c>
      <c r="AI141" s="3">
        <f>AD141*(1+AI169)</f>
        <v>0</v>
      </c>
      <c r="AJ141" s="3">
        <f>AE141*(1+AJ169)</f>
        <v>0</v>
      </c>
      <c r="AK141" s="3">
        <f>AF141*(1+AK169)</f>
        <v>0</v>
      </c>
      <c r="AL141" s="3">
        <f>SUM(AH141:AK141)</f>
        <v>0</v>
      </c>
      <c r="AM141" s="3">
        <f>AH141*(1+AM169)</f>
        <v>0</v>
      </c>
      <c r="AN141" s="3">
        <f>AI141*(1+AN169)</f>
        <v>0</v>
      </c>
      <c r="AO141" s="3">
        <f>AJ141*(1+AO169)</f>
        <v>0</v>
      </c>
      <c r="AP141" s="3">
        <f>AK141*(1+AP169)</f>
        <v>0</v>
      </c>
      <c r="AQ141" s="3">
        <f>SUM(AM141:AP141)</f>
        <v>0</v>
      </c>
      <c r="AR141" s="3">
        <f>AM141*(1+AR169)</f>
        <v>0</v>
      </c>
      <c r="AS141" s="3">
        <f>AN141*(1+AS169)</f>
        <v>0</v>
      </c>
      <c r="AT141" s="3">
        <f>AO141*(1+AT169)</f>
        <v>0</v>
      </c>
      <c r="AU141" s="3">
        <f>AP141*(1+AU169)</f>
        <v>0</v>
      </c>
      <c r="AV141" s="3">
        <f>SUM(AR141:AU141)</f>
        <v>0</v>
      </c>
      <c r="AW141" s="3">
        <f>AR141*(1+AW169)</f>
        <v>0</v>
      </c>
      <c r="AX141" s="3">
        <f>AS141*(1+AX169)</f>
        <v>0</v>
      </c>
      <c r="AY141" s="3">
        <f>AT141*(1+AY169)</f>
        <v>0</v>
      </c>
      <c r="AZ141" s="3">
        <f>AU141*(1+AZ169)</f>
        <v>0</v>
      </c>
      <c r="BA141" s="3">
        <f>SUM(AW141:AZ141)</f>
        <v>0</v>
      </c>
      <c r="BB141" s="3">
        <f>AW141*(1+BB169)</f>
        <v>0</v>
      </c>
      <c r="BC141" s="3">
        <f>AX141*(1+BC169)</f>
        <v>0</v>
      </c>
      <c r="BD141" s="3">
        <f>AY141*(1+BD169)</f>
        <v>0</v>
      </c>
      <c r="BE141" s="3">
        <f>AZ141*(1+BE169)</f>
        <v>0</v>
      </c>
      <c r="BF141" s="3">
        <f>SUM(BB141:BE141)</f>
        <v>0</v>
      </c>
      <c r="BG141" s="3">
        <f>BB141*(1+BG169)</f>
        <v>0</v>
      </c>
      <c r="BH141" s="3">
        <f>BC141*(1+BH169)</f>
        <v>0</v>
      </c>
      <c r="BI141" s="3">
        <f>BD141*(1+BI169)</f>
        <v>0</v>
      </c>
      <c r="BJ141" s="3">
        <f>BE141*(1+BJ169)</f>
        <v>0</v>
      </c>
      <c r="BK141" s="3">
        <f>SUM(BG141:BJ141)</f>
        <v>0</v>
      </c>
      <c r="BL141" s="3">
        <f>BG141*(1+BL169)</f>
        <v>0</v>
      </c>
      <c r="BM141" s="3">
        <f>BH141*(1+BM169)</f>
        <v>0</v>
      </c>
      <c r="BN141" s="3">
        <f>BI141*(1+BN169)</f>
        <v>0</v>
      </c>
      <c r="BO141" s="3">
        <f>BJ141*(1+BO169)</f>
        <v>0</v>
      </c>
      <c r="BP141" s="3">
        <f>SUM(BL141:BO141)</f>
        <v>0</v>
      </c>
      <c r="BQ141" s="3">
        <f>BL141*(1+BQ169)</f>
        <v>0</v>
      </c>
      <c r="BR141" s="3">
        <f>BM141*(1+BR169)</f>
        <v>0</v>
      </c>
      <c r="BS141" s="3">
        <f>BN141*(1+BS169)</f>
        <v>0</v>
      </c>
      <c r="BT141" s="3">
        <f>BO141*(1+BT169)</f>
        <v>0</v>
      </c>
      <c r="BU141" s="3">
        <f>SUM(BQ141:BT141)</f>
        <v>0</v>
      </c>
      <c r="BV141" s="3">
        <f>BQ141*(1+BV169)</f>
        <v>0</v>
      </c>
      <c r="BW141" s="3">
        <f>BR141*(1+BW169)</f>
        <v>0</v>
      </c>
      <c r="BX141" s="3">
        <f>BS141*(1+BX169)</f>
        <v>0</v>
      </c>
      <c r="BY141" s="3">
        <f>BT141*(1+BY169)</f>
        <v>0</v>
      </c>
      <c r="BZ141" s="3">
        <f>SUM(BV141:BY141)</f>
        <v>0</v>
      </c>
      <c r="CA141" s="3">
        <f>BV141*(1+CA169)</f>
        <v>0</v>
      </c>
      <c r="CB141" s="3">
        <f>BW141*(1+CB169)</f>
        <v>0</v>
      </c>
      <c r="CC141" s="3">
        <f>BX141*(1+CC169)</f>
        <v>0</v>
      </c>
      <c r="CD141" s="3">
        <f>BY141*(1+CD169)</f>
        <v>0</v>
      </c>
      <c r="CE141" s="3">
        <f>SUM(CA141:CD141)</f>
        <v>0</v>
      </c>
      <c r="CF141" s="3">
        <f>CA141*(1+CF169)</f>
        <v>0</v>
      </c>
      <c r="CG141" s="3">
        <f>CB141*(1+CG169)</f>
        <v>0</v>
      </c>
      <c r="CH141" s="3">
        <f>CC141*(1+CH169)</f>
        <v>0</v>
      </c>
      <c r="CI141" s="3">
        <f>CD141*(1+CI169)</f>
        <v>0</v>
      </c>
      <c r="CJ141" s="3">
        <f>SUM(CF141:CI141)</f>
        <v>0</v>
      </c>
      <c r="CK141" s="3">
        <f>CF141*(1+CK169)</f>
        <v>0</v>
      </c>
      <c r="CL141" s="3">
        <f>CG141*(1+CL169)</f>
        <v>0</v>
      </c>
      <c r="CM141" s="3">
        <f>CH141*(1+CM169)</f>
        <v>0</v>
      </c>
      <c r="CN141" s="3">
        <f>CI141*(1+CN169)</f>
        <v>0</v>
      </c>
      <c r="CO141" s="3">
        <f>SUM(CK141:CN141)</f>
        <v>0</v>
      </c>
      <c r="CP141" s="3">
        <f>CK141*(1+CP169)</f>
        <v>0</v>
      </c>
      <c r="CQ141" s="3">
        <f>CL141*(1+CQ169)</f>
        <v>0</v>
      </c>
      <c r="CR141" s="3">
        <f>CM141*(1+CR169)</f>
        <v>0</v>
      </c>
      <c r="CS141" s="3">
        <f>CN141*(1+CS169)</f>
        <v>0</v>
      </c>
      <c r="CT141" s="3">
        <f>SUM(CP141:CS141)</f>
        <v>0</v>
      </c>
      <c r="CU141" s="3">
        <f>CP141*(1+CU169)</f>
        <v>0</v>
      </c>
      <c r="CV141" s="3">
        <f>CQ141*(1+CV169)</f>
        <v>0</v>
      </c>
      <c r="CW141" s="3">
        <f>CR141*(1+CW169)</f>
        <v>0</v>
      </c>
      <c r="CX141" s="3">
        <f>CS141*(1+CX169)</f>
        <v>0</v>
      </c>
      <c r="CY141" s="3">
        <f>SUM(CU141:CX141)</f>
        <v>0</v>
      </c>
    </row>
    <row r="142">
      <c r="C142" s="26" t="inlineStr">
        <is>
          <t>Minority Interest Expense, after tax (enter as - )</t>
        </is>
      </c>
      <c r="D142" s="25" t="n"/>
      <c r="E142" s="25" t="n"/>
      <c r="F142" s="25" t="n"/>
      <c r="G142" s="25" t="n"/>
      <c r="H142" s="3">
        <f>SUM(D142:G142)</f>
        <v>0</v>
      </c>
      <c r="I142" s="25" t="n"/>
      <c r="J142" s="25" t="n"/>
      <c r="K142" s="25" t="n"/>
      <c r="L142" s="25" t="n"/>
      <c r="M142" s="3">
        <f>SUM(I142:L142)</f>
        <v>0</v>
      </c>
      <c r="N142" s="25" t="n"/>
      <c r="O142" s="25" t="n"/>
      <c r="P142" s="25" t="n"/>
      <c r="Q142" s="25" t="n"/>
      <c r="R142" s="3">
        <f>SUM(N142:Q142)</f>
        <v>0</v>
      </c>
      <c r="S142" s="25" t="n"/>
      <c r="T142" s="25" t="n"/>
      <c r="U142" s="25" t="n"/>
      <c r="V142" s="25" t="n"/>
      <c r="W142" s="3">
        <f>SUM(S142:V142)</f>
        <v>0</v>
      </c>
      <c r="X142" s="25" t="n"/>
      <c r="Y142" s="25" t="n"/>
      <c r="Z142" s="25" t="n"/>
      <c r="AA142" s="25" t="n"/>
      <c r="AB142" s="3">
        <f>SUM(X142:AA142)</f>
        <v>0</v>
      </c>
      <c r="AC142" s="25" t="n"/>
      <c r="AD142" s="25" t="n"/>
      <c r="AE142" s="25" t="n"/>
      <c r="AF142" s="25" t="n"/>
      <c r="AG142" s="3">
        <f>SUM(AC142:AF142)</f>
        <v>0</v>
      </c>
      <c r="AH142" s="3">
        <f>AC142*(1+AH256)</f>
        <v>0</v>
      </c>
      <c r="AI142" s="3">
        <f>AD142*(1+AI256)</f>
        <v>0</v>
      </c>
      <c r="AJ142" s="3">
        <f>AE142*(1+AJ256)</f>
        <v>0</v>
      </c>
      <c r="AK142" s="3">
        <f>AF142*(1+AK256)</f>
        <v>0</v>
      </c>
      <c r="AL142" s="3">
        <f>SUM(AH142:AK142)</f>
        <v>0</v>
      </c>
      <c r="AM142" s="3">
        <f>AH142*(1+AM256)</f>
        <v>0</v>
      </c>
      <c r="AN142" s="3">
        <f>AI142*(1+AN256)</f>
        <v>0</v>
      </c>
      <c r="AO142" s="3">
        <f>AJ142*(1+AO256)</f>
        <v>0</v>
      </c>
      <c r="AP142" s="3">
        <f>AK142*(1+AP256)</f>
        <v>0</v>
      </c>
      <c r="AQ142" s="3">
        <f>SUM(AM142:AP142)</f>
        <v>0</v>
      </c>
      <c r="AR142" s="3">
        <f>AM142*(1+AR256)</f>
        <v>0</v>
      </c>
      <c r="AS142" s="3">
        <f>AN142*(1+AS256)</f>
        <v>0</v>
      </c>
      <c r="AT142" s="3">
        <f>AO142*(1+AT256)</f>
        <v>0</v>
      </c>
      <c r="AU142" s="3">
        <f>AP142*(1+AU256)</f>
        <v>0</v>
      </c>
      <c r="AV142" s="3">
        <f>SUM(AR142:AU142)</f>
        <v>0</v>
      </c>
      <c r="AW142" s="3">
        <f>AR142*(1+AW256)</f>
        <v>0</v>
      </c>
      <c r="AX142" s="3">
        <f>AS142*(1+AX256)</f>
        <v>0</v>
      </c>
      <c r="AY142" s="3">
        <f>AT142*(1+AY256)</f>
        <v>0</v>
      </c>
      <c r="AZ142" s="3">
        <f>AU142*(1+AZ256)</f>
        <v>0</v>
      </c>
      <c r="BA142" s="3">
        <f>SUM(AW142:AZ142)</f>
        <v>0</v>
      </c>
      <c r="BB142" s="3">
        <f>AW142*(1+BB256)</f>
        <v>0</v>
      </c>
      <c r="BC142" s="3">
        <f>AX142*(1+BC256)</f>
        <v>0</v>
      </c>
      <c r="BD142" s="3">
        <f>AY142*(1+BD256)</f>
        <v>0</v>
      </c>
      <c r="BE142" s="3">
        <f>AZ142*(1+BE256)</f>
        <v>0</v>
      </c>
      <c r="BF142" s="3">
        <f>SUM(BB142:BE142)</f>
        <v>0</v>
      </c>
      <c r="BG142" s="3">
        <f>BB142*(1+BG256)</f>
        <v>0</v>
      </c>
      <c r="BH142" s="3">
        <f>BC142*(1+BH256)</f>
        <v>0</v>
      </c>
      <c r="BI142" s="3">
        <f>BD142*(1+BI256)</f>
        <v>0</v>
      </c>
      <c r="BJ142" s="3">
        <f>BE142*(1+BJ256)</f>
        <v>0</v>
      </c>
      <c r="BK142" s="3">
        <f>SUM(BG142:BJ142)</f>
        <v>0</v>
      </c>
      <c r="BL142" s="3">
        <f>BG142*(1+BL256)</f>
        <v>0</v>
      </c>
      <c r="BM142" s="3">
        <f>BH142*(1+BM256)</f>
        <v>0</v>
      </c>
      <c r="BN142" s="3">
        <f>BI142*(1+BN256)</f>
        <v>0</v>
      </c>
      <c r="BO142" s="3">
        <f>BJ142*(1+BO256)</f>
        <v>0</v>
      </c>
      <c r="BP142" s="3">
        <f>SUM(BL142:BO142)</f>
        <v>0</v>
      </c>
      <c r="BQ142" s="3">
        <f>BL142*(1+BQ256)</f>
        <v>0</v>
      </c>
      <c r="BR142" s="3">
        <f>BM142*(1+BR256)</f>
        <v>0</v>
      </c>
      <c r="BS142" s="3">
        <f>BN142*(1+BS256)</f>
        <v>0</v>
      </c>
      <c r="BT142" s="3">
        <f>BO142*(1+BT256)</f>
        <v>0</v>
      </c>
      <c r="BU142" s="3">
        <f>SUM(BQ142:BT142)</f>
        <v>0</v>
      </c>
      <c r="BV142" s="3">
        <f>BQ142*(1+BV256)</f>
        <v>0</v>
      </c>
      <c r="BW142" s="3">
        <f>BR142*(1+BW256)</f>
        <v>0</v>
      </c>
      <c r="BX142" s="3">
        <f>BS142*(1+BX256)</f>
        <v>0</v>
      </c>
      <c r="BY142" s="3">
        <f>BT142*(1+BY256)</f>
        <v>0</v>
      </c>
      <c r="BZ142" s="3">
        <f>SUM(BV142:BY142)</f>
        <v>0</v>
      </c>
      <c r="CA142" s="3">
        <f>BV142*(1+CA256)</f>
        <v>0</v>
      </c>
      <c r="CB142" s="3">
        <f>BW142*(1+CB256)</f>
        <v>0</v>
      </c>
      <c r="CC142" s="3">
        <f>BX142*(1+CC256)</f>
        <v>0</v>
      </c>
      <c r="CD142" s="3">
        <f>BY142*(1+CD256)</f>
        <v>0</v>
      </c>
      <c r="CE142" s="3">
        <f>SUM(CA142:CD142)</f>
        <v>0</v>
      </c>
      <c r="CF142" s="3">
        <f>CA142*(1+CF256)</f>
        <v>0</v>
      </c>
      <c r="CG142" s="3">
        <f>CB142*(1+CG256)</f>
        <v>0</v>
      </c>
      <c r="CH142" s="3">
        <f>CC142*(1+CH256)</f>
        <v>0</v>
      </c>
      <c r="CI142" s="3">
        <f>CD142*(1+CI256)</f>
        <v>0</v>
      </c>
      <c r="CJ142" s="3">
        <f>SUM(CF142:CI142)</f>
        <v>0</v>
      </c>
      <c r="CK142" s="3">
        <f>CF142*(1+CK256)</f>
        <v>0</v>
      </c>
      <c r="CL142" s="3">
        <f>CG142*(1+CL256)</f>
        <v>0</v>
      </c>
      <c r="CM142" s="3">
        <f>CH142*(1+CM256)</f>
        <v>0</v>
      </c>
      <c r="CN142" s="3">
        <f>CI142*(1+CN256)</f>
        <v>0</v>
      </c>
      <c r="CO142" s="3">
        <f>SUM(CK142:CN142)</f>
        <v>0</v>
      </c>
      <c r="CP142" s="3">
        <f>CK142*(1+CP256)</f>
        <v>0</v>
      </c>
      <c r="CQ142" s="3">
        <f>CL142*(1+CQ256)</f>
        <v>0</v>
      </c>
      <c r="CR142" s="3">
        <f>CM142*(1+CR256)</f>
        <v>0</v>
      </c>
      <c r="CS142" s="3">
        <f>CN142*(1+CS256)</f>
        <v>0</v>
      </c>
      <c r="CT142" s="3">
        <f>SUM(CP142:CS142)</f>
        <v>0</v>
      </c>
      <c r="CU142" s="3">
        <f>CP142*(1+CU256)</f>
        <v>0</v>
      </c>
      <c r="CV142" s="3">
        <f>CQ142*(1+CV256)</f>
        <v>0</v>
      </c>
      <c r="CW142" s="3">
        <f>CR142*(1+CW256)</f>
        <v>0</v>
      </c>
      <c r="CX142" s="3">
        <f>CS142*(1+CX256)</f>
        <v>0</v>
      </c>
      <c r="CY142" s="3">
        <f>SUM(CU142:CX142)</f>
        <v>0</v>
      </c>
    </row>
    <row r="143" customFormat="1" s="17">
      <c r="A143" s="13" t="n"/>
      <c r="B143" s="1" t="n"/>
      <c r="C143" s="14" t="inlineStr">
        <is>
          <t>Net Income</t>
        </is>
      </c>
      <c r="D143" s="16">
        <f>SUM(D136,D137,D141,D142)</f>
        <v>11.9905088674</v>
      </c>
      <c r="E143" s="16">
        <f>SUM(E136,E137,E141,E142)</f>
        <v>-4.45416581774917</v>
      </c>
      <c r="F143" s="16">
        <f>SUM(F136,F137,F141,F142)</f>
        <v>30.5871922130517</v>
      </c>
      <c r="G143" s="16">
        <f>SUM(G136,G137,G141,G142)</f>
        <v>85.510419781403</v>
      </c>
      <c r="H143" s="16">
        <f>SUM(D143:G143)</f>
        <v>123.633955044106</v>
      </c>
      <c r="I143" s="16">
        <f>SUM(I136,I137,I141,I142)</f>
        <v>3.91286140842942</v>
      </c>
      <c r="J143" s="16">
        <f>SUM(J136,J137,J141,J142)</f>
        <v>81.6568276879069</v>
      </c>
      <c r="K143" s="16">
        <f>SUM(K136,K137,K141,K142)</f>
        <v>86.2581944392106</v>
      </c>
      <c r="L143" s="16">
        <f>SUM(L136,L137,L141,L142)</f>
        <v>127.128748102601</v>
      </c>
      <c r="M143" s="16">
        <f>SUM(I143:L143)</f>
        <v>298.956631638147</v>
      </c>
      <c r="N143" s="16">
        <f>SUM(N136,N137,N141,N142)</f>
        <v>45.9216596857644</v>
      </c>
      <c r="O143" s="16">
        <f>SUM(O136,O137,O141,O142)</f>
        <v>89.0520331817829</v>
      </c>
      <c r="P143" s="16">
        <f>SUM(P136,P137,P141,P142)</f>
        <v>68.127392923128</v>
      </c>
      <c r="Q143" s="16">
        <f>SUM(Q136,Q137,Q141,Q142)</f>
        <v>157.753331755024</v>
      </c>
      <c r="R143" s="16">
        <f>SUM(N143:Q143)</f>
        <v>360.854417545699</v>
      </c>
      <c r="S143" s="16">
        <f>SUM(S136,S137,S141,S142)</f>
        <v>38.5711670349691</v>
      </c>
      <c r="T143" s="16">
        <f>SUM(T136,T137,T141,T142)</f>
        <v>109.984306142333</v>
      </c>
      <c r="U143" s="16">
        <f>SUM(U136,U137,U141,U142)</f>
        <v>76.5388475014494</v>
      </c>
      <c r="V143" s="16">
        <f>SUM(V136,V137,V141,V142)</f>
        <v>156.026281622112</v>
      </c>
      <c r="W143" s="16">
        <f>SUM(S143:V143)</f>
        <v>381.120602300864</v>
      </c>
      <c r="X143" s="16">
        <f>SUM(X136,X137,X141,X142)</f>
        <v>35.8091849906908</v>
      </c>
      <c r="Y143" s="16">
        <f>SUM(Y136,Y137,Y141,Y142)</f>
        <v>210.960851415523</v>
      </c>
      <c r="Z143" s="16">
        <f>SUM(Z136,Z137,Z141,Z142)</f>
        <v>107.164987843101</v>
      </c>
      <c r="AA143" s="16">
        <f>SUM(AA136,AA137,AA141,AA142)</f>
        <v>299.458820700214</v>
      </c>
      <c r="AB143" s="16">
        <f>SUM(X143:AA143)</f>
        <v>653.393844949528</v>
      </c>
      <c r="AC143" s="16">
        <f>SUM(AC136,AC137,AC141,AC142)</f>
        <v>115.03815882</v>
      </c>
      <c r="AD143" s="16">
        <f>SUM(AD136,AD137,AD141,AD142)</f>
        <v>151.089324859999</v>
      </c>
      <c r="AE143" s="16">
        <f>SUM(AE136,AE137,AE141,AE142)</f>
        <v>175.84953767</v>
      </c>
      <c r="AF143" s="16">
        <f>SUM(AF136,AF137,AF141,AF142)</f>
        <v>177.52823769</v>
      </c>
      <c r="AG143" s="16">
        <f>SUM(AC143:AF143)</f>
        <v>619.505259039999</v>
      </c>
      <c r="AH143" s="16">
        <f>SUM(AH136,AH137,AH141,AH142)</f>
        <v>80.79514342</v>
      </c>
      <c r="AI143" s="16">
        <f>SUM(AI136,AI137,AI141,AI142)</f>
        <v>151.664851220001</v>
      </c>
      <c r="AJ143" s="16">
        <f>SUM(AJ136,AJ137,AJ141,AJ142)</f>
        <v>8.001</v>
      </c>
      <c r="AK143" s="16">
        <f>SUM(AK136,AK137,AK141,AK142)</f>
        <v>11.195</v>
      </c>
      <c r="AL143" s="16">
        <f>SUM(AH143:AK143)</f>
        <v>251.655994640001</v>
      </c>
      <c r="AM143" s="16">
        <f>SUM(AM136,AM137,AM141,AM142)</f>
        <v>11.195</v>
      </c>
      <c r="AN143" s="16">
        <f>SUM(AN136,AN137,AN141,AN142)</f>
        <v>38.392</v>
      </c>
      <c r="AO143" s="16">
        <f>SUM(AO136,AO137,AO141,AO142)</f>
        <v>11.195</v>
      </c>
      <c r="AP143" s="16">
        <f>SUM(AP136,AP137,AP141,AP142)</f>
        <v>38.392</v>
      </c>
      <c r="AQ143" s="16">
        <f>SUM(AM143:AP143)</f>
        <v>99.174</v>
      </c>
      <c r="AR143" s="16">
        <f>SUM(AR136,AR137,AR141,AR142)</f>
        <v>38.392</v>
      </c>
      <c r="AS143" s="16">
        <f>SUM(AS136,AS137,AS141,AS142)</f>
        <v>99.174</v>
      </c>
      <c r="AT143" s="16">
        <f>SUM(AT136,AT137,AT141,AT142)</f>
        <v>38.392</v>
      </c>
      <c r="AU143" s="16">
        <f>SUM(AU136,AU137,AU141,AU142)</f>
        <v>99.174</v>
      </c>
      <c r="AV143" s="16">
        <f>SUM(AR143:AU143)</f>
        <v>275.132</v>
      </c>
      <c r="AW143" s="16">
        <f>SUM(AW136,AW137,AW141,AW142)</f>
        <v>99.174</v>
      </c>
      <c r="AX143" s="16">
        <f>SUM(AX136,AX137,AX141,AX142)</f>
        <v>275.132</v>
      </c>
      <c r="AY143" s="16">
        <f>SUM(AY136,AY137,AY141,AY142)</f>
        <v>99.174</v>
      </c>
      <c r="AZ143" s="16">
        <f>SUM(AZ136,AZ137,AZ141,AZ142)</f>
        <v>275.132</v>
      </c>
      <c r="BA143" s="16">
        <f>SUM(AW143:AZ143)</f>
        <v>748.612</v>
      </c>
      <c r="BB143" s="16">
        <f>SUM(BB136,BB137,BB141,BB142)</f>
        <v>275.132</v>
      </c>
      <c r="BC143" s="16">
        <f>SUM(BC136,BC137,BC141,BC142)</f>
        <v>748.612</v>
      </c>
      <c r="BD143" s="16">
        <f>SUM(BD136,BD137,BD141,BD142)</f>
        <v>275.132</v>
      </c>
      <c r="BE143" s="16">
        <f>SUM(BE136,BE137,BE141,BE142)</f>
        <v>748.612</v>
      </c>
      <c r="BF143" s="16">
        <f>SUM(BB143:BE143)</f>
        <v>2047.488</v>
      </c>
      <c r="BG143" s="16">
        <f>SUM(BG136,BG137,BG141,BG142)</f>
        <v>748.612</v>
      </c>
      <c r="BH143" s="16">
        <f>SUM(BH136,BH137,BH141,BH142)</f>
        <v>2047.488</v>
      </c>
      <c r="BI143" s="16">
        <f>SUM(BI136,BI137,BI141,BI142)</f>
        <v>748.612</v>
      </c>
      <c r="BJ143" s="16">
        <f>SUM(BJ136,BJ137,BJ141,BJ142)</f>
        <v>2047.488</v>
      </c>
      <c r="BK143" s="16">
        <f>SUM(BG143:BJ143)</f>
        <v>5592.2</v>
      </c>
      <c r="BL143" s="16">
        <f>SUM(BL136,BL137,BL141,BL142)</f>
        <v>2047.488</v>
      </c>
      <c r="BM143" s="16">
        <f>SUM(BM136,BM137,BM141,BM142)</f>
        <v>5592.2</v>
      </c>
      <c r="BN143" s="16">
        <f>SUM(BN136,BN137,BN141,BN142)</f>
        <v>2047.488</v>
      </c>
      <c r="BO143" s="16">
        <f>SUM(BO136,BO137,BO141,BO142)</f>
        <v>5592.2</v>
      </c>
      <c r="BP143" s="16">
        <f>SUM(BL143:BO143)</f>
        <v>15279.376</v>
      </c>
      <c r="BQ143" s="16">
        <f>SUM(BQ136,BQ137,BQ141,BQ142)</f>
        <v>5592.2</v>
      </c>
      <c r="BR143" s="16">
        <f>SUM(BR136,BR137,BR141,BR142)</f>
        <v>15279.376</v>
      </c>
      <c r="BS143" s="16">
        <f>SUM(BS136,BS137,BS141,BS142)</f>
        <v>5592.2</v>
      </c>
      <c r="BT143" s="16">
        <f>SUM(BT136,BT137,BT141,BT142)</f>
        <v>15279.376</v>
      </c>
      <c r="BU143" s="16">
        <f>SUM(BQ143:BT143)</f>
        <v>41743.152</v>
      </c>
      <c r="BV143" s="16">
        <f>SUM(BV136,BV137,BV141,BV142)</f>
        <v>15279.376</v>
      </c>
      <c r="BW143" s="16">
        <f>SUM(BW136,BW137,BW141,BW142)</f>
        <v>41743.152</v>
      </c>
      <c r="BX143" s="16">
        <f>SUM(BX136,BX137,BX141,BX142)</f>
        <v>15279.376</v>
      </c>
      <c r="BY143" s="16">
        <f>SUM(BY136,BY137,BY141,BY142)</f>
        <v>41743.152</v>
      </c>
      <c r="BZ143" s="16">
        <f>SUM(BV143:BY143)</f>
        <v>114045.056</v>
      </c>
      <c r="CA143" s="16">
        <f>SUM(CA136,CA137,CA141,CA142)</f>
        <v>41743.152</v>
      </c>
      <c r="CB143" s="16">
        <f>SUM(CB136,CB137,CB141,CB142)</f>
        <v>114045.056</v>
      </c>
      <c r="CC143" s="16">
        <f>SUM(CC136,CC137,CC141,CC142)</f>
        <v>41743.152</v>
      </c>
      <c r="CD143" s="16">
        <f>SUM(CD136,CD137,CD141,CD142)</f>
        <v>114045.056</v>
      </c>
      <c r="CE143" s="16">
        <f>SUM(CA143:CD143)</f>
        <v>311576.416</v>
      </c>
      <c r="CF143" s="16">
        <f>SUM(CF136,CF137,CF141,CF142)</f>
        <v>114045.056</v>
      </c>
      <c r="CG143" s="16">
        <f>SUM(CG136,CG137,CG141,CG142)</f>
        <v>311576.416</v>
      </c>
      <c r="CH143" s="16">
        <f>SUM(CH136,CH137,CH141,CH142)</f>
        <v>114045.056</v>
      </c>
      <c r="CI143" s="16">
        <f>SUM(CI136,CI137,CI141,CI142)</f>
        <v>311576.416</v>
      </c>
      <c r="CJ143" s="16">
        <f>SUM(CF143:CI143)</f>
        <v>851242.944</v>
      </c>
      <c r="CK143" s="16">
        <f>SUM(CK136,CK137,CK141,CK142)</f>
        <v>311576.416</v>
      </c>
      <c r="CL143" s="16">
        <f>SUM(CL136,CL137,CL141,CL142)</f>
        <v>851242.944</v>
      </c>
      <c r="CM143" s="16">
        <f>SUM(CM136,CM137,CM141,CM142)</f>
        <v>311576.416</v>
      </c>
      <c r="CN143" s="16">
        <f>SUM(CN136,CN137,CN141,CN142)</f>
        <v>851242.944</v>
      </c>
      <c r="CO143" s="16">
        <f>SUM(CK143:CN143)</f>
        <v>2325638.72</v>
      </c>
      <c r="CP143" s="16">
        <f>SUM(CP136,CP137,CP141,CP142)</f>
        <v>851242.944</v>
      </c>
      <c r="CQ143" s="16">
        <f>SUM(CQ136,CQ137,CQ141,CQ142)</f>
        <v>2325638.72</v>
      </c>
      <c r="CR143" s="16">
        <f>SUM(CR136,CR137,CR141,CR142)</f>
        <v>851242.944</v>
      </c>
      <c r="CS143" s="16">
        <f>SUM(CS136,CS137,CS141,CS142)</f>
        <v>2325638.72</v>
      </c>
      <c r="CT143" s="16">
        <f>SUM(CP143:CS143)</f>
        <v>6353763.328</v>
      </c>
      <c r="CU143" s="16">
        <f>SUM(CU136,CU137,CU141,CU142)</f>
        <v>2325638.72</v>
      </c>
      <c r="CV143" s="16">
        <f>SUM(CV136,CV137,CV141,CV142)</f>
        <v>6353763.328</v>
      </c>
      <c r="CW143" s="16">
        <f>SUM(CW136,CW137,CW141,CW142)</f>
        <v>2325638.72</v>
      </c>
      <c r="CX143" s="16">
        <f>SUM(CX136,CX137,CX141,CX142)</f>
        <v>6353763.328</v>
      </c>
      <c r="CY143" s="16">
        <f>SUM(CU143:CX143)</f>
        <v>17358804.096</v>
      </c>
    </row>
    <row r="144">
      <c r="C144" s="24" t="inlineStr">
        <is>
          <t>Common Dividends</t>
        </is>
      </c>
      <c r="D144" s="25">
        <f>INDEX('Inputs (2)'!$D$13:$AL$13,MATCH(D$7,'Inputs (2)'!$D$2:$AL$2,0))</f>
        <v>0</v>
      </c>
      <c r="E144" s="25">
        <f>INDEX('Inputs (2)'!$D$13:$AL$13,MATCH(E$7,'Inputs (2)'!$D$2:$AL$2,0))</f>
        <v>0</v>
      </c>
      <c r="F144" s="25">
        <f>INDEX('Inputs (2)'!$D$13:$AL$13,MATCH(F$7,'Inputs (2)'!$D$2:$AL$2,0))</f>
        <v>0</v>
      </c>
      <c r="G144" s="25">
        <f>INDEX('Inputs (2)'!$D$13:$AL$13,MATCH(G$7,'Inputs (2)'!$D$2:$AL$2,0))</f>
        <v>-35.56300563</v>
      </c>
      <c r="H144" s="3">
        <f>SUM(D144:G144)</f>
        <v>-35.56300563</v>
      </c>
      <c r="I144" s="25">
        <f>INDEX('Inputs (2)'!$D$13:$AL$13,MATCH(I$7,'Inputs (2)'!$D$2:$AL$2,0))</f>
        <v>0</v>
      </c>
      <c r="J144" s="25">
        <f>INDEX('Inputs (2)'!$D$13:$AL$13,MATCH(J$7,'Inputs (2)'!$D$2:$AL$2,0))</f>
        <v>-34.8305613300001</v>
      </c>
      <c r="K144" s="25">
        <f>INDEX('Inputs (2)'!$D$13:$AL$13,MATCH(K$7,'Inputs (2)'!$D$2:$AL$2,0))</f>
        <v>-0.0023718900000602</v>
      </c>
      <c r="L144" s="25">
        <f>INDEX('Inputs (2)'!$D$13:$AL$13,MATCH(L$7,'Inputs (2)'!$D$2:$AL$2,0))</f>
        <v>-6.81770438249104</v>
      </c>
      <c r="M144" s="3">
        <f>SUM(I144:L144)</f>
        <v>-41.6506376024912</v>
      </c>
      <c r="N144" s="25">
        <f>INDEX('Inputs (2)'!$D$13:$AL$13,MATCH(N$7,'Inputs (2)'!$D$2:$AL$2,0))</f>
        <v>0</v>
      </c>
      <c r="O144" s="25">
        <f>INDEX('Inputs (2)'!$D$13:$AL$13,MATCH(O$7,'Inputs (2)'!$D$2:$AL$2,0))</f>
        <v>-70.8893040400001</v>
      </c>
      <c r="P144" s="25">
        <f>INDEX('Inputs (2)'!$D$13:$AL$13,MATCH(P$7,'Inputs (2)'!$D$2:$AL$2,0))</f>
        <v>-3.825</v>
      </c>
      <c r="Q144" s="25">
        <f>INDEX('Inputs (2)'!$D$13:$AL$13,MATCH(Q$7,'Inputs (2)'!$D$2:$AL$2,0))</f>
        <v>0</v>
      </c>
      <c r="R144" s="3">
        <f>SUM(N144:Q144)</f>
        <v>-74.7143040400001</v>
      </c>
      <c r="S144" s="25">
        <f>INDEX('Inputs (2)'!$D$13:$AL$13,MATCH(S$7,'Inputs (2)'!$D$2:$AL$2,0))</f>
        <v>0</v>
      </c>
      <c r="T144" s="25">
        <f>INDEX('Inputs (2)'!$D$13:$AL$13,MATCH(T$7,'Inputs (2)'!$D$2:$AL$2,0))</f>
        <v>-85.70050845</v>
      </c>
      <c r="U144" s="25">
        <f>INDEX('Inputs (2)'!$D$13:$AL$13,MATCH(U$7,'Inputs (2)'!$D$2:$AL$2,0))</f>
        <v>0</v>
      </c>
      <c r="V144" s="25">
        <f>INDEX('Inputs (2)'!$D$13:$AL$13,MATCH(V$7,'Inputs (2)'!$D$2:$AL$2,0))</f>
        <v>-1.37498136609793e-09</v>
      </c>
      <c r="W144" s="3">
        <f>SUM(S144:V144)</f>
        <v>-85.700508451375</v>
      </c>
      <c r="X144" s="25">
        <f>INDEX('Inputs (2)'!$D$13:$AL$13,MATCH(X$7,'Inputs (2)'!$D$2:$AL$2,0))</f>
        <v>0</v>
      </c>
      <c r="Y144" s="25">
        <f>INDEX('Inputs (2)'!$D$13:$AL$13,MATCH(Y$7,'Inputs (2)'!$D$2:$AL$2,0))</f>
        <v>-87.6931151</v>
      </c>
      <c r="Z144" s="25">
        <f>INDEX('Inputs (2)'!$D$13:$AL$13,MATCH(Z$7,'Inputs (2)'!$D$2:$AL$2,0))</f>
        <v>-4.53576212748885e-07</v>
      </c>
      <c r="AA144" s="25">
        <f>INDEX('Inputs (2)'!$D$13:$AL$13,MATCH(AA$7,'Inputs (2)'!$D$2:$AL$2,0))</f>
        <v>4.53080152510665e-07</v>
      </c>
      <c r="AB144" s="3">
        <f>SUM(X144:AA144)</f>
        <v>-87.6931151004961</v>
      </c>
      <c r="AC144" s="25">
        <f>INDEX('Inputs (2)'!$D$13:$AL$13,MATCH(AC$7,'Inputs (2)'!$D$2:$AL$2,0))</f>
        <v>0</v>
      </c>
      <c r="AD144" s="25">
        <f>INDEX('Inputs (2)'!$D$13:$AL$13,MATCH(AD$7,'Inputs (2)'!$D$2:$AL$2,0))</f>
        <v>-155.1770183</v>
      </c>
      <c r="AE144" s="25">
        <f>INDEX('Inputs (2)'!$D$13:$AL$13,MATCH(AE$7,'Inputs (2)'!$D$2:$AL$2,0))</f>
        <v>0</v>
      </c>
      <c r="AF144" s="25">
        <f>INDEX('Inputs (2)'!$D$13:$AL$13,MATCH(AF$7,'Inputs (2)'!$D$2:$AL$2,0))</f>
        <v>-163.99816688</v>
      </c>
      <c r="AG144" s="3">
        <f>SUM(AC144:AF144)</f>
        <v>-319.17518518</v>
      </c>
      <c r="AH144" s="3">
        <f>INDEX('Inputs (2)'!$D$13:$AL$13,MATCH(AH$7,'Inputs (2)'!$D$2:$AL$2,0))</f>
        <v>0</v>
      </c>
      <c r="AI144" s="3">
        <f>INDEX('Inputs (2)'!$D$13:$AL$13,MATCH(AI$7,'Inputs (2)'!$D$2:$AL$2,0))</f>
        <v>0</v>
      </c>
      <c r="AJ144" s="3" t="n"/>
      <c r="AK144" s="3" t="n"/>
      <c r="AL144" s="3">
        <f>SUM(AH144:AK144)</f>
        <v>0</v>
      </c>
      <c r="AM144" s="3" t="n"/>
      <c r="AN144" s="3" t="n"/>
      <c r="AO144" s="3" t="n"/>
      <c r="AP144" s="3" t="n"/>
      <c r="AQ144" s="3">
        <f>SUM(AM144:AP144)</f>
        <v>0</v>
      </c>
      <c r="AR144" s="3" t="n"/>
      <c r="AS144" s="3" t="n"/>
      <c r="AT144" s="3" t="n"/>
      <c r="AU144" s="3" t="n"/>
      <c r="AV144" s="3">
        <f>SUM(AR144:AU144)</f>
        <v>0</v>
      </c>
      <c r="AW144" s="3" t="n"/>
      <c r="AX144" s="3" t="n"/>
      <c r="AY144" s="3" t="n"/>
      <c r="AZ144" s="3" t="n"/>
      <c r="BA144" s="3">
        <f>SUM(AW144:AZ144)</f>
        <v>0</v>
      </c>
      <c r="BB144" s="3" t="n"/>
      <c r="BC144" s="3" t="n"/>
      <c r="BD144" s="3" t="n"/>
      <c r="BE144" s="3" t="n"/>
      <c r="BF144" s="3">
        <f>SUM(BB144:BE144)</f>
        <v>0</v>
      </c>
      <c r="BG144" s="3" t="n"/>
      <c r="BH144" s="3" t="n"/>
      <c r="BI144" s="3" t="n"/>
      <c r="BJ144" s="3" t="n"/>
      <c r="BK144" s="3">
        <f>SUM(BG144:BJ144)</f>
        <v>0</v>
      </c>
      <c r="BL144" s="3" t="n"/>
      <c r="BM144" s="3" t="n"/>
      <c r="BN144" s="3" t="n"/>
      <c r="BO144" s="3" t="n"/>
      <c r="BP144" s="3">
        <f>SUM(BL144:BO144)</f>
        <v>0</v>
      </c>
      <c r="BQ144" s="3" t="n"/>
      <c r="BR144" s="3" t="n"/>
      <c r="BS144" s="3" t="n"/>
      <c r="BT144" s="3" t="n"/>
      <c r="BU144" s="3">
        <f>SUM(BQ144:BT144)</f>
        <v>0</v>
      </c>
      <c r="BV144" s="3" t="n"/>
      <c r="BW144" s="3" t="n"/>
      <c r="BX144" s="3" t="n"/>
      <c r="BY144" s="3" t="n"/>
      <c r="BZ144" s="3">
        <f>SUM(BV144:BY144)</f>
        <v>0</v>
      </c>
      <c r="CA144" s="3" t="n"/>
      <c r="CB144" s="3" t="n"/>
      <c r="CC144" s="3" t="n"/>
      <c r="CD144" s="3" t="n"/>
      <c r="CE144" s="3">
        <f>SUM(CA144:CD144)</f>
        <v>0</v>
      </c>
      <c r="CF144" s="3" t="n"/>
      <c r="CG144" s="3" t="n"/>
      <c r="CH144" s="3" t="n"/>
      <c r="CI144" s="3" t="n"/>
      <c r="CJ144" s="3">
        <f>SUM(CF144:CI144)</f>
        <v>0</v>
      </c>
      <c r="CK144" s="3" t="n"/>
      <c r="CL144" s="3" t="n"/>
      <c r="CM144" s="3" t="n"/>
      <c r="CN144" s="3" t="n"/>
      <c r="CO144" s="3">
        <f>SUM(CK144:CN144)</f>
        <v>0</v>
      </c>
      <c r="CP144" s="3" t="n"/>
      <c r="CQ144" s="3" t="n"/>
      <c r="CR144" s="3" t="n"/>
      <c r="CS144" s="3" t="n"/>
      <c r="CT144" s="3">
        <f>SUM(CP144:CS144)</f>
        <v>0</v>
      </c>
      <c r="CU144" s="3" t="n"/>
      <c r="CV144" s="3" t="n"/>
      <c r="CW144" s="3" t="n"/>
      <c r="CX144" s="3" t="n"/>
      <c r="CY144" s="3">
        <f>SUM(CU144:CX144)</f>
        <v>0</v>
      </c>
    </row>
    <row r="145" hidden="1" outlineLevel="1">
      <c r="C145" s="32" t="inlineStr">
        <is>
          <t>% DVD Payout</t>
        </is>
      </c>
      <c r="D145" s="40">
        <f>-D144/D143</f>
        <v>0</v>
      </c>
      <c r="E145" s="40">
        <f>-E144/E143</f>
        <v>0</v>
      </c>
      <c r="F145" s="40">
        <f>-F144/F143</f>
        <v>0</v>
      </c>
      <c r="G145" s="40">
        <f>-G144/G143</f>
        <v>0.415890902195458</v>
      </c>
      <c r="H145" s="40">
        <f>-H144/H143</f>
        <v>0.287647561038658</v>
      </c>
      <c r="I145" s="40">
        <f>-I144/I143</f>
        <v>0</v>
      </c>
      <c r="J145" s="40">
        <f>-J144/J143</f>
        <v>0.426548058701506</v>
      </c>
      <c r="K145" s="40">
        <f>-K144/K143</f>
        <v>2.74975614256772e-05</v>
      </c>
      <c r="L145" s="40">
        <f>-L144/L143</f>
        <v>0.0536283451559575</v>
      </c>
      <c r="M145" s="40">
        <f>-M144/M143</f>
        <v>0.139319998938523</v>
      </c>
      <c r="N145" s="40">
        <f>-N144/N143</f>
        <v>0</v>
      </c>
      <c r="O145" s="40">
        <f>-O144/O143</f>
        <v>0.796043633223881</v>
      </c>
      <c r="P145" s="40">
        <f>-P144/P143</f>
        <v>0.0561448168773457</v>
      </c>
      <c r="Q145" s="40">
        <f>-Q144/Q143</f>
        <v>0</v>
      </c>
      <c r="R145" s="40">
        <f>-R144/R143</f>
        <v>0.207048328653309</v>
      </c>
      <c r="S145" s="40">
        <f>-S144/S143</f>
        <v>0</v>
      </c>
      <c r="T145" s="40">
        <f>-T144/T143</f>
        <v>0.77920670190066</v>
      </c>
      <c r="U145" s="40">
        <f>-U144/U143</f>
        <v>0</v>
      </c>
      <c r="V145" s="40">
        <f>-V144/V143</f>
        <v>8.81249845733082e-12</v>
      </c>
      <c r="W145" s="40">
        <f>-W144/W143</f>
        <v>0.224864538768023</v>
      </c>
      <c r="X145" s="40">
        <f>-X144/X143</f>
        <v>0</v>
      </c>
      <c r="Y145" s="40">
        <f>-Y144/Y143</f>
        <v>0.41568430593444</v>
      </c>
      <c r="Z145" s="40">
        <f>-Z144/Z143</f>
        <v>4.23250374845339e-09</v>
      </c>
      <c r="AA145" s="40">
        <f>-AA144/AA143</f>
        <v>-1.51299651635322e-09</v>
      </c>
      <c r="AB145" s="40">
        <f>-AB144/AB143</f>
        <v>0.13421172510015</v>
      </c>
      <c r="AC145" s="40">
        <f>-AC144/AC143</f>
        <v>0</v>
      </c>
      <c r="AD145" s="40">
        <f>-AD144/AD143</f>
        <v>1.02705481306366</v>
      </c>
      <c r="AE145" s="40">
        <f>-AE144/AE143</f>
        <v>0</v>
      </c>
      <c r="AF145" s="44">
        <f>-AF144/AF143</f>
        <v>0.923786373446537</v>
      </c>
      <c r="AG145" s="3" t="n"/>
      <c r="AH145" s="44">
        <f>-AH144/AH143</f>
        <v>0</v>
      </c>
      <c r="AI145" s="44">
        <f>-AI144/AI143</f>
        <v>0</v>
      </c>
      <c r="AJ145" s="44" t="n"/>
      <c r="AK145" s="44" t="n"/>
      <c r="AL145" s="3">
        <f>-AL144/AL143</f>
        <v>0</v>
      </c>
      <c r="AM145" s="44" t="n"/>
      <c r="AN145" s="44" t="n"/>
      <c r="AO145" s="44" t="n"/>
      <c r="AP145" s="44" t="n"/>
      <c r="AQ145" s="3">
        <f>-AQ144/AQ143</f>
        <v>0</v>
      </c>
      <c r="AR145" s="44" t="n"/>
      <c r="AS145" s="44" t="n"/>
      <c r="AT145" s="44" t="n"/>
      <c r="AU145" s="44" t="n"/>
      <c r="AV145" s="3">
        <f>-AV144/AV143</f>
        <v>0</v>
      </c>
      <c r="AW145" s="44" t="n"/>
      <c r="AX145" s="44" t="n"/>
      <c r="AY145" s="44" t="n"/>
      <c r="AZ145" s="44" t="n"/>
      <c r="BA145" s="3">
        <f>-BA144/BA143</f>
        <v>0</v>
      </c>
      <c r="BB145" s="44" t="n"/>
      <c r="BC145" s="44" t="n"/>
      <c r="BD145" s="44" t="n"/>
      <c r="BE145" s="44" t="n"/>
      <c r="BF145" s="3">
        <f>-BF144/BF143</f>
        <v>0</v>
      </c>
      <c r="BG145" s="44" t="n"/>
      <c r="BH145" s="44" t="n"/>
      <c r="BI145" s="44" t="n"/>
      <c r="BJ145" s="44" t="n"/>
      <c r="BK145" s="3">
        <f>-BK144/BK143</f>
        <v>0</v>
      </c>
      <c r="BL145" s="44" t="n"/>
      <c r="BM145" s="44" t="n"/>
      <c r="BN145" s="44" t="n"/>
      <c r="BO145" s="44" t="n"/>
      <c r="BP145" s="3">
        <f>-BP144/BP143</f>
        <v>0</v>
      </c>
      <c r="BQ145" s="44" t="n"/>
      <c r="BR145" s="44" t="n"/>
      <c r="BS145" s="44" t="n"/>
      <c r="BT145" s="44" t="n"/>
      <c r="BU145" s="3">
        <f>-BU144/BU143</f>
        <v>0</v>
      </c>
      <c r="BV145" s="44" t="n"/>
      <c r="BW145" s="44" t="n"/>
      <c r="BX145" s="44" t="n"/>
      <c r="BY145" s="44" t="n"/>
      <c r="BZ145" s="3">
        <f>-BZ144/BZ143</f>
        <v>0</v>
      </c>
      <c r="CA145" s="44" t="n"/>
      <c r="CB145" s="44" t="n"/>
      <c r="CC145" s="44" t="n"/>
      <c r="CD145" s="44" t="n"/>
      <c r="CE145" s="3">
        <f>-CE144/CE143</f>
        <v>0</v>
      </c>
      <c r="CF145" s="44" t="n"/>
      <c r="CG145" s="44" t="n"/>
      <c r="CH145" s="44" t="n"/>
      <c r="CI145" s="44" t="n"/>
      <c r="CJ145" s="3">
        <f>-CJ144/CJ143</f>
        <v>0</v>
      </c>
      <c r="CK145" s="44" t="n"/>
      <c r="CL145" s="44" t="n"/>
      <c r="CM145" s="44" t="n"/>
      <c r="CN145" s="44" t="n"/>
      <c r="CO145" s="3">
        <f>-CO144/CO143</f>
        <v>0</v>
      </c>
      <c r="CP145" s="44" t="n"/>
      <c r="CQ145" s="44" t="n"/>
      <c r="CR145" s="44" t="n"/>
      <c r="CS145" s="44" t="n"/>
      <c r="CT145" s="3">
        <f>-CT144/CT143</f>
        <v>0</v>
      </c>
      <c r="CU145" s="44" t="n"/>
      <c r="CV145" s="44" t="n"/>
      <c r="CW145" s="44" t="n"/>
      <c r="CX145" s="44" t="n"/>
      <c r="CY145" s="3">
        <f>-CY144/CY143</f>
        <v>0</v>
      </c>
    </row>
    <row r="146" hidden="1" outlineLevel="1">
      <c r="C146" s="5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  <c r="BA146" s="1" t="n"/>
      <c r="BB146" s="1" t="n"/>
      <c r="BC146" s="1" t="n"/>
      <c r="BD146" s="1" t="n"/>
      <c r="BE146" s="1" t="n"/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  <c r="CH146" s="1" t="n"/>
      <c r="CI146" s="1" t="n"/>
      <c r="CJ146" s="1" t="n"/>
      <c r="CK146" s="1" t="n"/>
      <c r="CL146" s="1" t="n"/>
      <c r="CM146" s="1" t="n"/>
      <c r="CN146" s="1" t="n"/>
      <c r="CO146" s="1" t="n"/>
      <c r="CP146" s="1" t="n"/>
      <c r="CQ146" s="1" t="n"/>
      <c r="CR146" s="1" t="n"/>
      <c r="CS146" s="1" t="n"/>
      <c r="CT146" s="1" t="n"/>
      <c r="CU146" s="1" t="n"/>
      <c r="CV146" s="1" t="n"/>
      <c r="CW146" s="1" t="n"/>
      <c r="CX146" s="1" t="n"/>
      <c r="CY146" s="1" t="n"/>
    </row>
    <row r="147" hidden="1" outlineLevel="1">
      <c r="C147" s="5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  <c r="BA147" s="1" t="n"/>
      <c r="BB147" s="1" t="n"/>
      <c r="BC147" s="1" t="n"/>
      <c r="BD147" s="1" t="n"/>
      <c r="BE147" s="1" t="n"/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  <c r="CH147" s="1" t="n"/>
      <c r="CI147" s="1" t="n"/>
      <c r="CJ147" s="1" t="n"/>
      <c r="CK147" s="1" t="n"/>
      <c r="CL147" s="1" t="n"/>
      <c r="CM147" s="1" t="n"/>
      <c r="CN147" s="1" t="n"/>
      <c r="CO147" s="1" t="n"/>
      <c r="CP147" s="1" t="n"/>
      <c r="CQ147" s="1" t="n"/>
      <c r="CR147" s="1" t="n"/>
      <c r="CS147" s="1" t="n"/>
      <c r="CT147" s="1" t="n"/>
      <c r="CU147" s="1" t="n"/>
      <c r="CV147" s="1" t="n"/>
      <c r="CW147" s="1" t="n"/>
      <c r="CX147" s="1" t="n"/>
      <c r="CY147" s="1" t="n"/>
    </row>
    <row r="148" collapsed="1" ht="11.25" customHeight="1">
      <c r="C148" s="12" t="inlineStr">
        <is>
          <t>Balance Sheet</t>
        </is>
      </c>
      <c r="D148" s="12" t="str">
        <f>D13</f>
        <v>1Q20</v>
      </c>
      <c r="E148" s="12" t="str">
        <f>E13</f>
        <v>2Q20</v>
      </c>
      <c r="F148" s="12" t="str">
        <f>F13</f>
        <v>3Q20</v>
      </c>
      <c r="G148" s="12" t="str">
        <f>G13</f>
        <v>4Q20</v>
      </c>
      <c r="H148" s="12">
        <f>H13</f>
        <v>2020</v>
      </c>
      <c r="I148" s="12" t="str">
        <f>I13</f>
        <v>1Q21</v>
      </c>
      <c r="J148" s="12" t="str">
        <f>J13</f>
        <v>2Q21</v>
      </c>
      <c r="K148" s="12" t="str">
        <f>K13</f>
        <v>3Q21</v>
      </c>
      <c r="L148" s="12" t="str">
        <f>L13</f>
        <v>4Q21</v>
      </c>
      <c r="M148" s="12">
        <f>M13</f>
        <v>2021</v>
      </c>
      <c r="N148" s="12" t="str">
        <f>N13</f>
        <v>1Q22</v>
      </c>
      <c r="O148" s="12" t="str">
        <f>O13</f>
        <v>2Q22</v>
      </c>
      <c r="P148" s="12" t="str">
        <f>P13</f>
        <v>3Q22</v>
      </c>
      <c r="Q148" s="12" t="str">
        <f>Q13</f>
        <v>4Q22</v>
      </c>
      <c r="R148" s="12">
        <f>R13</f>
        <v>2022</v>
      </c>
      <c r="S148" s="12" t="str">
        <f>S13</f>
        <v>1Q23</v>
      </c>
      <c r="T148" s="12" t="str">
        <f>T13</f>
        <v>2Q23</v>
      </c>
      <c r="U148" s="12" t="str">
        <f>U13</f>
        <v>3Q23</v>
      </c>
      <c r="V148" s="12" t="str">
        <f>V13</f>
        <v>4Q23</v>
      </c>
      <c r="W148" s="12">
        <f>W13</f>
        <v>2023</v>
      </c>
      <c r="X148" s="12" t="str">
        <f>X13</f>
        <v>1Q24</v>
      </c>
      <c r="Y148" s="12" t="str">
        <f>Y13</f>
        <v>2Q24</v>
      </c>
      <c r="Z148" s="12" t="str">
        <f>Z13</f>
        <v>3Q24</v>
      </c>
      <c r="AA148" s="12" t="str">
        <f>AA13</f>
        <v>4Q24</v>
      </c>
      <c r="AB148" s="12">
        <f>AB13</f>
        <v>2024</v>
      </c>
      <c r="AC148" s="12" t="str">
        <f>AC13</f>
        <v>1Q25</v>
      </c>
      <c r="AD148" s="12" t="str">
        <f>AD13</f>
        <v>2Q25</v>
      </c>
      <c r="AE148" s="12" t="str">
        <f>AE13</f>
        <v>3Q25</v>
      </c>
      <c r="AF148" s="12" t="str">
        <f>AF13</f>
        <v>4Q25</v>
      </c>
      <c r="AG148" s="12">
        <f>AG13</f>
        <v>2025</v>
      </c>
      <c r="AH148" s="12" t="str">
        <f>AH13</f>
        <v>1Q26</v>
      </c>
      <c r="AI148" s="12" t="str">
        <f>AI13</f>
        <v>2Q26</v>
      </c>
      <c r="AJ148" s="12" t="str">
        <f>AJ13</f>
        <v>3Q26</v>
      </c>
      <c r="AK148" s="12" t="str">
        <f>AK13</f>
        <v>4Q26</v>
      </c>
      <c r="AL148" s="12">
        <f>AL13</f>
        <v>2026</v>
      </c>
      <c r="AM148" s="12" t="str">
        <f>AM13</f>
        <v>1Q27</v>
      </c>
      <c r="AN148" s="12" t="str">
        <f>AN13</f>
        <v>2Q27</v>
      </c>
      <c r="AO148" s="12" t="str">
        <f>AO13</f>
        <v>3Q27</v>
      </c>
      <c r="AP148" s="12" t="str">
        <f>AP13</f>
        <v>4Q27</v>
      </c>
      <c r="AQ148" s="12">
        <f>AQ13</f>
        <v>2027</v>
      </c>
      <c r="AR148" s="12" t="str">
        <f>AR13</f>
        <v>1Q28</v>
      </c>
      <c r="AS148" s="12" t="str">
        <f>AS13</f>
        <v>2Q28</v>
      </c>
      <c r="AT148" s="12" t="str">
        <f>AT13</f>
        <v>3Q28</v>
      </c>
      <c r="AU148" s="12" t="str">
        <f>AU13</f>
        <v>4Q28</v>
      </c>
      <c r="AV148" s="12">
        <f>AV13</f>
        <v>2028</v>
      </c>
      <c r="AW148" s="12" t="str">
        <f>AW13</f>
        <v>1Q29</v>
      </c>
      <c r="AX148" s="12" t="str">
        <f>AX13</f>
        <v>2Q29</v>
      </c>
      <c r="AY148" s="12" t="str">
        <f>AY13</f>
        <v>3Q29</v>
      </c>
      <c r="AZ148" s="12" t="str">
        <f>AZ13</f>
        <v>4Q29</v>
      </c>
      <c r="BA148" s="12">
        <f>BA13</f>
        <v>2029</v>
      </c>
      <c r="BB148" s="12" t="str">
        <f>BB13</f>
        <v>1Q30</v>
      </c>
      <c r="BC148" s="12" t="str">
        <f>BC13</f>
        <v>2Q30</v>
      </c>
      <c r="BD148" s="12" t="str">
        <f>BD13</f>
        <v>3Q30</v>
      </c>
      <c r="BE148" s="12" t="str">
        <f>BE13</f>
        <v>4Q30</v>
      </c>
      <c r="BF148" s="12">
        <f>BF13</f>
        <v>2030</v>
      </c>
      <c r="BG148" s="12" t="str">
        <f>BG13</f>
        <v>1Q31</v>
      </c>
      <c r="BH148" s="12" t="str">
        <f>BH13</f>
        <v>2Q31</v>
      </c>
      <c r="BI148" s="12" t="str">
        <f>BI13</f>
        <v>3Q31</v>
      </c>
      <c r="BJ148" s="12" t="str">
        <f>BJ13</f>
        <v>4Q31</v>
      </c>
      <c r="BK148" s="12">
        <f>BK13</f>
        <v>2031</v>
      </c>
      <c r="BL148" s="12" t="str">
        <f>BL13</f>
        <v>1Q32</v>
      </c>
      <c r="BM148" s="12" t="str">
        <f>BM13</f>
        <v>2Q32</v>
      </c>
      <c r="BN148" s="12" t="str">
        <f>BN13</f>
        <v>3Q32</v>
      </c>
      <c r="BO148" s="12" t="str">
        <f>BO13</f>
        <v>4Q32</v>
      </c>
      <c r="BP148" s="12">
        <f>BP13</f>
        <v>2032</v>
      </c>
      <c r="BQ148" s="12" t="str">
        <f>BQ13</f>
        <v>1Q33</v>
      </c>
      <c r="BR148" s="12" t="str">
        <f>BR13</f>
        <v>2Q33</v>
      </c>
      <c r="BS148" s="12" t="str">
        <f>BS13</f>
        <v>3Q33</v>
      </c>
      <c r="BT148" s="12" t="str">
        <f>BT13</f>
        <v>4Q33</v>
      </c>
      <c r="BU148" s="12">
        <f>BU13</f>
        <v>2033</v>
      </c>
      <c r="BV148" s="12" t="str">
        <f>BV13</f>
        <v>1Q34</v>
      </c>
      <c r="BW148" s="12" t="str">
        <f>BW13</f>
        <v>2Q34</v>
      </c>
      <c r="BX148" s="12" t="str">
        <f>BX13</f>
        <v>3Q34</v>
      </c>
      <c r="BY148" s="12" t="str">
        <f>BY13</f>
        <v>4Q34</v>
      </c>
      <c r="BZ148" s="12">
        <f>BZ13</f>
        <v>2034</v>
      </c>
      <c r="CA148" s="12" t="str">
        <f>CA13</f>
        <v>1Q35</v>
      </c>
      <c r="CB148" s="12" t="str">
        <f>CB13</f>
        <v>2Q35</v>
      </c>
      <c r="CC148" s="12" t="str">
        <f>CC13</f>
        <v>3Q35</v>
      </c>
      <c r="CD148" s="12" t="str">
        <f>CD13</f>
        <v>4Q35</v>
      </c>
      <c r="CE148" s="12">
        <f>CE13</f>
        <v>2035</v>
      </c>
      <c r="CF148" s="12" t="str">
        <f>CF13</f>
        <v>1Q36</v>
      </c>
      <c r="CG148" s="12" t="str">
        <f>CG13</f>
        <v>2Q36</v>
      </c>
      <c r="CH148" s="12" t="str">
        <f>CH13</f>
        <v>3Q36</v>
      </c>
      <c r="CI148" s="12" t="str">
        <f>CI13</f>
        <v>4Q36</v>
      </c>
      <c r="CJ148" s="12">
        <f>CJ13</f>
        <v>2036</v>
      </c>
      <c r="CK148" s="12" t="str">
        <f>CK13</f>
        <v>1Q37</v>
      </c>
      <c r="CL148" s="12" t="str">
        <f>CL13</f>
        <v>2Q37</v>
      </c>
      <c r="CM148" s="12" t="str">
        <f>CM13</f>
        <v>3Q37</v>
      </c>
      <c r="CN148" s="12" t="str">
        <f>CN13</f>
        <v>4Q37</v>
      </c>
      <c r="CO148" s="12">
        <f>CO13</f>
        <v>2037</v>
      </c>
      <c r="CP148" s="12" t="str">
        <f>CP13</f>
        <v>1Q38</v>
      </c>
      <c r="CQ148" s="12" t="str">
        <f>CQ13</f>
        <v>2Q38</v>
      </c>
      <c r="CR148" s="12" t="str">
        <f>CR13</f>
        <v>3Q38</v>
      </c>
      <c r="CS148" s="12" t="str">
        <f>CS13</f>
        <v>4Q38</v>
      </c>
      <c r="CT148" s="12">
        <f>CT13</f>
        <v>2038</v>
      </c>
      <c r="CU148" s="12" t="str">
        <f>CU13</f>
        <v>1Q39</v>
      </c>
      <c r="CV148" s="12" t="str">
        <f>CV13</f>
        <v>2Q39</v>
      </c>
      <c r="CW148" s="12" t="str">
        <f>CW13</f>
        <v>3Q39</v>
      </c>
      <c r="CX148" s="12" t="str">
        <f>CX13</f>
        <v>4Q39</v>
      </c>
      <c r="CY148" s="12">
        <f>CY13</f>
        <v>2039</v>
      </c>
    </row>
    <row r="149">
      <c r="C149" s="5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  <c r="BA149" s="1" t="n"/>
      <c r="BB149" s="1" t="n"/>
      <c r="BC149" s="1" t="n"/>
      <c r="BD149" s="1" t="n"/>
      <c r="BE149" s="1" t="n"/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  <c r="CH149" s="1" t="n"/>
      <c r="CI149" s="1" t="n"/>
      <c r="CJ149" s="1" t="n"/>
      <c r="CK149" s="1" t="n"/>
      <c r="CL149" s="1" t="n"/>
      <c r="CM149" s="1" t="n"/>
      <c r="CN149" s="1" t="n"/>
      <c r="CO149" s="1" t="n"/>
      <c r="CP149" s="1" t="n"/>
      <c r="CQ149" s="1" t="n"/>
      <c r="CR149" s="1" t="n"/>
      <c r="CS149" s="1" t="n"/>
      <c r="CT149" s="1" t="n"/>
      <c r="CU149" s="1" t="n"/>
      <c r="CV149" s="1" t="n"/>
      <c r="CW149" s="1" t="n"/>
      <c r="CX149" s="1" t="n"/>
      <c r="CY149" s="1" t="n"/>
    </row>
    <row r="150">
      <c r="C150" s="24" t="inlineStr">
        <is>
          <t>Cash and equivalents (inc. investment securities)</t>
        </is>
      </c>
      <c r="D150" s="25">
        <f>INDEX('Inputs (2)'!$D$15:$AL$15,MATCH(D$7,'Inputs (2)'!$D$2:$AL$2,0))</f>
        <v>472.789</v>
      </c>
      <c r="E150" s="25">
        <f>INDEX('Inputs (2)'!$D$15:$AL$15,MATCH(E$7,'Inputs (2)'!$D$2:$AL$2,0))</f>
        <v>584.67889157</v>
      </c>
      <c r="F150" s="25">
        <f>INDEX('Inputs (2)'!$D$15:$AL$15,MATCH(F$7,'Inputs (2)'!$D$2:$AL$2,0))</f>
        <v>612.2453311</v>
      </c>
      <c r="G150" s="25">
        <f>INDEX('Inputs (2)'!$D$15:$AL$15,MATCH(G$7,'Inputs (2)'!$D$2:$AL$2,0))</f>
        <v>701.92083799</v>
      </c>
      <c r="H150" s="3">
        <f>G150</f>
        <v>701.92083799</v>
      </c>
      <c r="I150" s="25">
        <f>INDEX('Inputs (2)'!$D$15:$AL$15,MATCH(I$7,'Inputs (2)'!$D$2:$AL$2,0))</f>
        <v>620.78349952</v>
      </c>
      <c r="J150" s="25">
        <f>INDEX('Inputs (2)'!$D$15:$AL$15,MATCH(J$7,'Inputs (2)'!$D$2:$AL$2,0))</f>
        <v>670.86518212</v>
      </c>
      <c r="K150" s="25">
        <f>INDEX('Inputs (2)'!$D$15:$AL$15,MATCH(K$7,'Inputs (2)'!$D$2:$AL$2,0))</f>
        <v>713.51727618</v>
      </c>
      <c r="L150" s="25">
        <f>INDEX('Inputs (2)'!$D$15:$AL$15,MATCH(L$7,'Inputs (2)'!$D$2:$AL$2,0))</f>
        <v>653.6998696</v>
      </c>
      <c r="M150" s="3">
        <f>L150</f>
        <v>653.6998696</v>
      </c>
      <c r="N150" s="25">
        <f>INDEX('Inputs (2)'!$D$15:$AL$15,MATCH(N$7,'Inputs (2)'!$D$2:$AL$2,0))</f>
        <v>579.60540826</v>
      </c>
      <c r="O150" s="25">
        <f>INDEX('Inputs (2)'!$D$15:$AL$15,MATCH(O$7,'Inputs (2)'!$D$2:$AL$2,0))</f>
        <v>421.10748334</v>
      </c>
      <c r="P150" s="25">
        <f>INDEX('Inputs (2)'!$D$15:$AL$15,MATCH(P$7,'Inputs (2)'!$D$2:$AL$2,0))</f>
        <v>337.63625412</v>
      </c>
      <c r="Q150" s="25">
        <f>INDEX('Inputs (2)'!$D$15:$AL$15,MATCH(Q$7,'Inputs (2)'!$D$2:$AL$2,0))</f>
        <v>382.8671972</v>
      </c>
      <c r="R150" s="3">
        <f>Q150</f>
        <v>382.8671972</v>
      </c>
      <c r="S150" s="25">
        <f>INDEX('Inputs (2)'!$D$15:$AL$15,MATCH(S$7,'Inputs (2)'!$D$2:$AL$2,0))</f>
        <v>336.847</v>
      </c>
      <c r="T150" s="25">
        <f>INDEX('Inputs (2)'!$D$15:$AL$15,MATCH(T$7,'Inputs (2)'!$D$2:$AL$2,0))</f>
        <v>224.56909098</v>
      </c>
      <c r="U150" s="25">
        <f>INDEX('Inputs (2)'!$D$15:$AL$15,MATCH(U$7,'Inputs (2)'!$D$2:$AL$2,0))</f>
        <v>206.8340675</v>
      </c>
      <c r="V150" s="25">
        <f>INDEX('Inputs (2)'!$D$15:$AL$15,MATCH(V$7,'Inputs (2)'!$D$2:$AL$2,0))</f>
        <v>304.48973387</v>
      </c>
      <c r="W150" s="3">
        <f>V150</f>
        <v>304.48973387</v>
      </c>
      <c r="X150" s="25">
        <f>INDEX('Inputs (2)'!$D$15:$AL$15,MATCH(X$7,'Inputs (2)'!$D$2:$AL$2,0))</f>
        <v>365.48766283</v>
      </c>
      <c r="Y150" s="25">
        <f>INDEX('Inputs (2)'!$D$15:$AL$15,MATCH(Y$7,'Inputs (2)'!$D$2:$AL$2,0))</f>
        <v>341.860267214769</v>
      </c>
      <c r="Z150" s="25">
        <f>INDEX('Inputs (2)'!$D$15:$AL$15,MATCH(Z$7,'Inputs (2)'!$D$2:$AL$2,0))</f>
        <v>314.05727863</v>
      </c>
      <c r="AA150" s="25">
        <f>INDEX('Inputs (2)'!$D$15:$AL$15,MATCH(AA$7,'Inputs (2)'!$D$2:$AL$2,0))</f>
        <v>282.68306407</v>
      </c>
      <c r="AB150" s="3">
        <f>AA150</f>
        <v>282.68306407</v>
      </c>
      <c r="AC150" s="25">
        <f>INDEX('Inputs (2)'!$D$15:$AL$15,MATCH(AC$7,'Inputs (2)'!$D$2:$AL$2,0))</f>
        <v>177.07779591</v>
      </c>
      <c r="AD150" s="25">
        <f>INDEX('Inputs (2)'!$D$15:$AL$15,MATCH(AD$7,'Inputs (2)'!$D$2:$AL$2,0))</f>
        <v>186.08527754</v>
      </c>
      <c r="AE150" s="25">
        <f>INDEX('Inputs (2)'!$D$15:$AL$15,MATCH(AE$7,'Inputs (2)'!$D$2:$AL$2,0))</f>
        <v>234.363</v>
      </c>
      <c r="AF150" s="25">
        <f>INDEX('Inputs (2)'!$D$15:$AL$15,MATCH(AF$7,'Inputs (2)'!$D$2:$AL$2,0))</f>
        <v>398.64423187</v>
      </c>
      <c r="AG150" s="3">
        <f>AF150</f>
        <v>398.64423187</v>
      </c>
      <c r="AH150" s="3">
        <f>INDEX('Inputs (2)'!$D$15:$AL$15,MATCH(AH$7,'Inputs (2)'!$D$2:$AL$2,0))</f>
        <v>308.47368287</v>
      </c>
      <c r="AI150" s="3">
        <f>INDEX('Inputs (2)'!$D$15:$AL$15,MATCH(AI$7,'Inputs (2)'!$D$2:$AL$2,0))</f>
        <v>416.65922804</v>
      </c>
      <c r="AJ150" s="3">
        <f>AI150+AJ320</f>
        <v>2670.85321574</v>
      </c>
      <c r="AK150" s="3">
        <f>AJ150+AK320</f>
        <v>2682.04821574</v>
      </c>
      <c r="AL150" s="3">
        <f>AK150</f>
        <v>2682.04821574</v>
      </c>
      <c r="AM150" s="3" t="e">
        <f>AL150+AM320</f>
        <v>#DIV/0!</v>
      </c>
      <c r="AN150" s="3" t="e">
        <f>AM150+AN320</f>
        <v>#DIV/0!</v>
      </c>
      <c r="AO150" s="3" t="e">
        <f>AN150+AO320</f>
        <v>#DIV/0!</v>
      </c>
      <c r="AP150" s="3" t="e">
        <f>AO150+AP320</f>
        <v>#DIV/0!</v>
      </c>
      <c r="AQ150" s="3" t="e">
        <f>AP150</f>
        <v>#DIV/0!</v>
      </c>
      <c r="AR150" s="3" t="e">
        <f>AQ150+AR320</f>
        <v>#DIV/0!</v>
      </c>
      <c r="AS150" s="3" t="e">
        <f>AR150+AS320</f>
        <v>#DIV/0!</v>
      </c>
      <c r="AT150" s="3" t="e">
        <f>AS150+AT320</f>
        <v>#DIV/0!</v>
      </c>
      <c r="AU150" s="3" t="e">
        <f>AT150+AU320</f>
        <v>#DIV/0!</v>
      </c>
      <c r="AV150" s="3" t="e">
        <f>AU150</f>
        <v>#DIV/0!</v>
      </c>
      <c r="AW150" s="3" t="e">
        <f>AV150+AW320</f>
        <v>#DIV/0!</v>
      </c>
      <c r="AX150" s="3" t="e">
        <f>AW150+AX320</f>
        <v>#DIV/0!</v>
      </c>
      <c r="AY150" s="3" t="e">
        <f>AX150+AY320</f>
        <v>#DIV/0!</v>
      </c>
      <c r="AZ150" s="3" t="e">
        <f>AY150+AZ320</f>
        <v>#DIV/0!</v>
      </c>
      <c r="BA150" s="3" t="e">
        <f>AZ150</f>
        <v>#DIV/0!</v>
      </c>
      <c r="BB150" s="3" t="e">
        <f>BA150+BB320</f>
        <v>#DIV/0!</v>
      </c>
      <c r="BC150" s="3" t="e">
        <f>BB150+BC320</f>
        <v>#DIV/0!</v>
      </c>
      <c r="BD150" s="3" t="e">
        <f>BC150+BD320</f>
        <v>#DIV/0!</v>
      </c>
      <c r="BE150" s="3" t="e">
        <f>BD150+BE320</f>
        <v>#DIV/0!</v>
      </c>
      <c r="BF150" s="3" t="e">
        <f>BE150</f>
        <v>#DIV/0!</v>
      </c>
      <c r="BG150" s="3" t="e">
        <f>BF150+BG320</f>
        <v>#DIV/0!</v>
      </c>
      <c r="BH150" s="3" t="e">
        <f>BG150+BH320</f>
        <v>#DIV/0!</v>
      </c>
      <c r="BI150" s="3" t="e">
        <f>BH150+BI320</f>
        <v>#DIV/0!</v>
      </c>
      <c r="BJ150" s="3" t="e">
        <f>BI150+BJ320</f>
        <v>#DIV/0!</v>
      </c>
      <c r="BK150" s="3" t="e">
        <f>BJ150</f>
        <v>#DIV/0!</v>
      </c>
      <c r="BL150" s="3" t="e">
        <f>BK150+BL320</f>
        <v>#DIV/0!</v>
      </c>
      <c r="BM150" s="3" t="e">
        <f>BL150+BM320</f>
        <v>#DIV/0!</v>
      </c>
      <c r="BN150" s="3" t="e">
        <f>BM150+BN320</f>
        <v>#DIV/0!</v>
      </c>
      <c r="BO150" s="3" t="e">
        <f>BN150+BO320</f>
        <v>#DIV/0!</v>
      </c>
      <c r="BP150" s="3" t="e">
        <f>BO150</f>
        <v>#DIV/0!</v>
      </c>
      <c r="BQ150" s="3" t="e">
        <f>BP150+BQ320</f>
        <v>#DIV/0!</v>
      </c>
      <c r="BR150" s="3" t="e">
        <f>BQ150+BR320</f>
        <v>#DIV/0!</v>
      </c>
      <c r="BS150" s="3" t="e">
        <f>BR150+BS320</f>
        <v>#DIV/0!</v>
      </c>
      <c r="BT150" s="3" t="e">
        <f>BS150+BT320</f>
        <v>#DIV/0!</v>
      </c>
      <c r="BU150" s="3" t="e">
        <f>BT150</f>
        <v>#DIV/0!</v>
      </c>
      <c r="BV150" s="3" t="e">
        <f>BU150+BV320</f>
        <v>#DIV/0!</v>
      </c>
      <c r="BW150" s="3" t="e">
        <f>BV150+BW320</f>
        <v>#DIV/0!</v>
      </c>
      <c r="BX150" s="3" t="e">
        <f>BW150+BX320</f>
        <v>#DIV/0!</v>
      </c>
      <c r="BY150" s="3" t="e">
        <f>BX150+BY320</f>
        <v>#DIV/0!</v>
      </c>
      <c r="BZ150" s="3" t="e">
        <f>BY150</f>
        <v>#DIV/0!</v>
      </c>
      <c r="CA150" s="3" t="e">
        <f>BZ150+CA320</f>
        <v>#DIV/0!</v>
      </c>
      <c r="CB150" s="3" t="e">
        <f>CA150+CB320</f>
        <v>#DIV/0!</v>
      </c>
      <c r="CC150" s="3" t="e">
        <f>CB150+CC320</f>
        <v>#DIV/0!</v>
      </c>
      <c r="CD150" s="3" t="e">
        <f>CC150+CD320</f>
        <v>#DIV/0!</v>
      </c>
      <c r="CE150" s="3" t="e">
        <f>CD150</f>
        <v>#DIV/0!</v>
      </c>
      <c r="CF150" s="3" t="e">
        <f>CE150+CF320</f>
        <v>#DIV/0!</v>
      </c>
      <c r="CG150" s="3" t="e">
        <f>CF150+CG320</f>
        <v>#DIV/0!</v>
      </c>
      <c r="CH150" s="3" t="e">
        <f>CG150+CH320</f>
        <v>#DIV/0!</v>
      </c>
      <c r="CI150" s="3" t="e">
        <f>CH150+CI320</f>
        <v>#DIV/0!</v>
      </c>
      <c r="CJ150" s="3" t="e">
        <f>CI150</f>
        <v>#DIV/0!</v>
      </c>
      <c r="CK150" s="3" t="e">
        <f>CJ150+CK320</f>
        <v>#DIV/0!</v>
      </c>
      <c r="CL150" s="3" t="e">
        <f>CK150+CL320</f>
        <v>#DIV/0!</v>
      </c>
      <c r="CM150" s="3" t="e">
        <f>CL150+CM320</f>
        <v>#DIV/0!</v>
      </c>
      <c r="CN150" s="3" t="e">
        <f>CM150+CN320</f>
        <v>#DIV/0!</v>
      </c>
      <c r="CO150" s="3" t="e">
        <f>CN150</f>
        <v>#DIV/0!</v>
      </c>
      <c r="CP150" s="3" t="e">
        <f>CO150+CP320</f>
        <v>#DIV/0!</v>
      </c>
      <c r="CQ150" s="3" t="e">
        <f>CP150+CQ320</f>
        <v>#DIV/0!</v>
      </c>
      <c r="CR150" s="3" t="e">
        <f>CQ150+CR320</f>
        <v>#DIV/0!</v>
      </c>
      <c r="CS150" s="3" t="e">
        <f>CR150+CS320</f>
        <v>#DIV/0!</v>
      </c>
      <c r="CT150" s="3" t="e">
        <f>CS150</f>
        <v>#DIV/0!</v>
      </c>
      <c r="CU150" s="3" t="e">
        <f>CT150+CU320</f>
        <v>#DIV/0!</v>
      </c>
      <c r="CV150" s="3" t="e">
        <f>CU150+CV320</f>
        <v>#DIV/0!</v>
      </c>
      <c r="CW150" s="3" t="e">
        <f>CV150+CW320</f>
        <v>#DIV/0!</v>
      </c>
      <c r="CX150" s="3" t="e">
        <f>CW150+CX320</f>
        <v>#DIV/0!</v>
      </c>
      <c r="CY150" s="3" t="e">
        <f>CX150</f>
        <v>#DIV/0!</v>
      </c>
    </row>
    <row r="151">
      <c r="C151" s="26" t="inlineStr">
        <is>
          <t>Accounts receivable</t>
        </is>
      </c>
      <c r="D151" s="25">
        <f>INDEX('Inputs (2)'!$D$16:$AL$16,MATCH(D$7,'Inputs (2)'!$D$2:$AL$2,0))</f>
        <v>281.886</v>
      </c>
      <c r="E151" s="25">
        <f>INDEX('Inputs (2)'!$D$16:$AL$16,MATCH(E$7,'Inputs (2)'!$D$2:$AL$2,0))</f>
        <v>212.01211631</v>
      </c>
      <c r="F151" s="25">
        <f>INDEX('Inputs (2)'!$D$16:$AL$16,MATCH(F$7,'Inputs (2)'!$D$2:$AL$2,0))</f>
        <v>226.69560066</v>
      </c>
      <c r="G151" s="25">
        <f>INDEX('Inputs (2)'!$D$16:$AL$16,MATCH(G$7,'Inputs (2)'!$D$2:$AL$2,0))</f>
        <v>410.26258041</v>
      </c>
      <c r="H151" s="3">
        <f>G151</f>
        <v>410.26258041</v>
      </c>
      <c r="I151" s="25">
        <f>INDEX('Inputs (2)'!$D$16:$AL$16,MATCH(I$7,'Inputs (2)'!$D$2:$AL$2,0))</f>
        <v>285.00400907</v>
      </c>
      <c r="J151" s="25">
        <f>INDEX('Inputs (2)'!$D$16:$AL$16,MATCH(J$7,'Inputs (2)'!$D$2:$AL$2,0))</f>
        <v>366.65706045</v>
      </c>
      <c r="K151" s="25">
        <f>INDEX('Inputs (2)'!$D$16:$AL$16,MATCH(K$7,'Inputs (2)'!$D$2:$AL$2,0))</f>
        <v>345.35594863</v>
      </c>
      <c r="L151" s="25">
        <f>INDEX('Inputs (2)'!$D$16:$AL$16,MATCH(L$7,'Inputs (2)'!$D$2:$AL$2,0))</f>
        <v>531.77724879</v>
      </c>
      <c r="M151" s="3">
        <f>L151</f>
        <v>531.77724879</v>
      </c>
      <c r="N151" s="25">
        <f>INDEX('Inputs (2)'!$D$16:$AL$16,MATCH(N$7,'Inputs (2)'!$D$2:$AL$2,0))</f>
        <v>423.38410091</v>
      </c>
      <c r="O151" s="25">
        <f>INDEX('Inputs (2)'!$D$16:$AL$16,MATCH(O$7,'Inputs (2)'!$D$2:$AL$2,0))</f>
        <v>491.50804711</v>
      </c>
      <c r="P151" s="25">
        <f>INDEX('Inputs (2)'!$D$16:$AL$16,MATCH(P$7,'Inputs (2)'!$D$2:$AL$2,0))</f>
        <v>446.81196543</v>
      </c>
      <c r="Q151" s="25">
        <f>INDEX('Inputs (2)'!$D$16:$AL$16,MATCH(Q$7,'Inputs (2)'!$D$2:$AL$2,0))</f>
        <v>663.79720881</v>
      </c>
      <c r="R151" s="3">
        <f>Q151</f>
        <v>663.79720881</v>
      </c>
      <c r="S151" s="25">
        <f>INDEX('Inputs (2)'!$D$16:$AL$16,MATCH(S$7,'Inputs (2)'!$D$2:$AL$2,0))</f>
        <v>515.481</v>
      </c>
      <c r="T151" s="25">
        <f>INDEX('Inputs (2)'!$D$16:$AL$16,MATCH(T$7,'Inputs (2)'!$D$2:$AL$2,0))</f>
        <v>603.7674873</v>
      </c>
      <c r="U151" s="25">
        <f>INDEX('Inputs (2)'!$D$16:$AL$16,MATCH(U$7,'Inputs (2)'!$D$2:$AL$2,0))</f>
        <v>558.86897015</v>
      </c>
      <c r="V151" s="25">
        <f>INDEX('Inputs (2)'!$D$16:$AL$16,MATCH(V$7,'Inputs (2)'!$D$2:$AL$2,0))</f>
        <v>830.83234942</v>
      </c>
      <c r="W151" s="3">
        <f>V151</f>
        <v>830.83234942</v>
      </c>
      <c r="X151" s="25">
        <f>INDEX('Inputs (2)'!$D$16:$AL$16,MATCH(X$7,'Inputs (2)'!$D$2:$AL$2,0))</f>
        <v>647.6784613</v>
      </c>
      <c r="Y151" s="25">
        <f>INDEX('Inputs (2)'!$D$16:$AL$16,MATCH(Y$7,'Inputs (2)'!$D$2:$AL$2,0))</f>
        <v>734.68488274</v>
      </c>
      <c r="Z151" s="25">
        <f>INDEX('Inputs (2)'!$D$16:$AL$16,MATCH(Z$7,'Inputs (2)'!$D$2:$AL$2,0))</f>
        <v>664.11159201</v>
      </c>
      <c r="AA151" s="25">
        <f>INDEX('Inputs (2)'!$D$16:$AL$16,MATCH(AA$7,'Inputs (2)'!$D$2:$AL$2,0))</f>
        <v>955.20811561</v>
      </c>
      <c r="AB151" s="3">
        <f>AA151</f>
        <v>955.20811561</v>
      </c>
      <c r="AC151" s="25">
        <f>INDEX('Inputs (2)'!$D$16:$AL$16,MATCH(AC$7,'Inputs (2)'!$D$2:$AL$2,0))</f>
        <v>751.02975806</v>
      </c>
      <c r="AD151" s="25">
        <f>INDEX('Inputs (2)'!$D$16:$AL$16,MATCH(AD$7,'Inputs (2)'!$D$2:$AL$2,0))</f>
        <v>785.27787203</v>
      </c>
      <c r="AE151" s="25">
        <f>INDEX('Inputs (2)'!$D$16:$AL$16,MATCH(AE$7,'Inputs (2)'!$D$2:$AL$2,0))</f>
        <v>820.656</v>
      </c>
      <c r="AF151" s="25">
        <f>INDEX('Inputs (2)'!$D$16:$AL$16,MATCH(AF$7,'Inputs (2)'!$D$2:$AL$2,0))</f>
        <v>989.60140321</v>
      </c>
      <c r="AG151" s="3">
        <f>AF151</f>
        <v>989.60140321</v>
      </c>
      <c r="AH151" s="3">
        <f>INDEX('Inputs (2)'!$D$16:$AL$16,MATCH(AH$7,'Inputs (2)'!$D$2:$AL$2,0))</f>
        <v>899.08502464</v>
      </c>
      <c r="AI151" s="3">
        <f>INDEX('Inputs (2)'!$D$16:$AL$16,MATCH(AI$7,'Inputs (2)'!$D$2:$AL$2,0))</f>
        <v>1015.52535945</v>
      </c>
      <c r="AJ151" s="3">
        <f>(AJ152/(AJ$5-AI$5))*AJ$15</f>
        <v>0</v>
      </c>
      <c r="AK151" s="3">
        <f>(AK152/(AK$5-AJ$5))*AK$15</f>
        <v>0</v>
      </c>
      <c r="AL151" s="3">
        <f>AK151</f>
        <v>0</v>
      </c>
      <c r="AM151" s="3">
        <f>(AM152/(AM$5-AL$5))*AM$15</f>
        <v>0</v>
      </c>
      <c r="AN151" s="3">
        <f>(AN152/(AN$5-AM$5))*AN$15</f>
        <v>0</v>
      </c>
      <c r="AO151" s="3">
        <f>(AO152/(AO$5-AN$5))*AO$15</f>
        <v>0</v>
      </c>
      <c r="AP151" s="3">
        <f>(AP152/(AP$5-AO$5))*AP$15</f>
        <v>0</v>
      </c>
      <c r="AQ151" s="3">
        <f>AP151</f>
        <v>0</v>
      </c>
      <c r="AR151" s="3">
        <f>(AR152/(AR$5-AQ$5))*AR$15</f>
        <v>0</v>
      </c>
      <c r="AS151" s="3">
        <f>(AS152/(AS$5-AR$5))*AS$15</f>
        <v>0</v>
      </c>
      <c r="AT151" s="3">
        <f>(AT152/(AT$5-AS$5))*AT$15</f>
        <v>0</v>
      </c>
      <c r="AU151" s="3">
        <f>(AU152/(AU$5-AT$5))*AU$15</f>
        <v>0</v>
      </c>
      <c r="AV151" s="3">
        <f>AU151</f>
        <v>0</v>
      </c>
      <c r="AW151" s="3">
        <f>(AW152/(AW$5-AV$5))*AW$15</f>
        <v>0</v>
      </c>
      <c r="AX151" s="3">
        <f>(AX152/(AX$5-AW$5))*AX$15</f>
        <v>0</v>
      </c>
      <c r="AY151" s="3">
        <f>(AY152/(AY$5-AX$5))*AY$15</f>
        <v>0</v>
      </c>
      <c r="AZ151" s="3">
        <f>(AZ152/(AZ$5-AY$5))*AZ$15</f>
        <v>0</v>
      </c>
      <c r="BA151" s="3">
        <f>AZ151</f>
        <v>0</v>
      </c>
      <c r="BB151" s="3">
        <f>(BB152/(BB$5-BA$5))*BB$15</f>
        <v>0</v>
      </c>
      <c r="BC151" s="3">
        <f>(BC152/(BC$5-BB$5))*BC$15</f>
        <v>0</v>
      </c>
      <c r="BD151" s="3">
        <f>(BD152/(BD$5-BC$5))*BD$15</f>
        <v>0</v>
      </c>
      <c r="BE151" s="3">
        <f>(BE152/(BE$5-BD$5))*BE$15</f>
        <v>0</v>
      </c>
      <c r="BF151" s="3">
        <f>BE151</f>
        <v>0</v>
      </c>
      <c r="BG151" s="3">
        <f>(BG152/(BG$5-BF$5))*BG$15</f>
        <v>0</v>
      </c>
      <c r="BH151" s="3">
        <f>(BH152/(BH$5-BG$5))*BH$15</f>
        <v>0</v>
      </c>
      <c r="BI151" s="3">
        <f>(BI152/(BI$5-BH$5))*BI$15</f>
        <v>0</v>
      </c>
      <c r="BJ151" s="3">
        <f>(BJ152/(BJ$5-BI$5))*BJ$15</f>
        <v>0</v>
      </c>
      <c r="BK151" s="3">
        <f>BJ151</f>
        <v>0</v>
      </c>
      <c r="BL151" s="3">
        <f>(BL152/(BL$5-BK$5))*BL$15</f>
        <v>0</v>
      </c>
      <c r="BM151" s="3">
        <f>(BM152/(BM$5-BL$5))*BM$15</f>
        <v>0</v>
      </c>
      <c r="BN151" s="3">
        <f>(BN152/(BN$5-BM$5))*BN$15</f>
        <v>0</v>
      </c>
      <c r="BO151" s="3">
        <f>(BO152/(BO$5-BN$5))*BO$15</f>
        <v>0</v>
      </c>
      <c r="BP151" s="3">
        <f>BO151</f>
        <v>0</v>
      </c>
      <c r="BQ151" s="3">
        <f>(BQ152/(BQ$5-BP$5))*BQ$15</f>
        <v>0</v>
      </c>
      <c r="BR151" s="3">
        <f>(BR152/(BR$5-BQ$5))*BR$15</f>
        <v>0</v>
      </c>
      <c r="BS151" s="3">
        <f>(BS152/(BS$5-BR$5))*BS$15</f>
        <v>0</v>
      </c>
      <c r="BT151" s="3">
        <f>(BT152/(BT$5-BS$5))*BT$15</f>
        <v>0</v>
      </c>
      <c r="BU151" s="3">
        <f>BT151</f>
        <v>0</v>
      </c>
      <c r="BV151" s="3">
        <f>(BV152/(BV$5-BU$5))*BV$15</f>
        <v>0</v>
      </c>
      <c r="BW151" s="3">
        <f>(BW152/(BW$5-BV$5))*BW$15</f>
        <v>0</v>
      </c>
      <c r="BX151" s="3">
        <f>(BX152/(BX$5-BW$5))*BX$15</f>
        <v>0</v>
      </c>
      <c r="BY151" s="3">
        <f>(BY152/(BY$5-BX$5))*BY$15</f>
        <v>0</v>
      </c>
      <c r="BZ151" s="3">
        <f>BY151</f>
        <v>0</v>
      </c>
      <c r="CA151" s="3">
        <f>(CA152/(CA$5-BZ$5))*CA$15</f>
        <v>0</v>
      </c>
      <c r="CB151" s="3">
        <f>(CB152/(CB$5-CA$5))*CB$15</f>
        <v>0</v>
      </c>
      <c r="CC151" s="3">
        <f>(CC152/(CC$5-CB$5))*CC$15</f>
        <v>0</v>
      </c>
      <c r="CD151" s="3">
        <f>(CD152/(CD$5-CC$5))*CD$15</f>
        <v>0</v>
      </c>
      <c r="CE151" s="3">
        <f>CD151</f>
        <v>0</v>
      </c>
      <c r="CF151" s="3">
        <f>(CF152/(CF$5-CE$5))*CF$15</f>
        <v>0</v>
      </c>
      <c r="CG151" s="3">
        <f>(CG152/(CG$5-CF$5))*CG$15</f>
        <v>0</v>
      </c>
      <c r="CH151" s="3">
        <f>(CH152/(CH$5-CG$5))*CH$15</f>
        <v>0</v>
      </c>
      <c r="CI151" s="3">
        <f>(CI152/(CI$5-CH$5))*CI$15</f>
        <v>0</v>
      </c>
      <c r="CJ151" s="3">
        <f>CI151</f>
        <v>0</v>
      </c>
      <c r="CK151" s="3">
        <f>(CK152/(CK$5-CJ$5))*CK$15</f>
        <v>0</v>
      </c>
      <c r="CL151" s="3">
        <f>(CL152/(CL$5-CK$5))*CL$15</f>
        <v>0</v>
      </c>
      <c r="CM151" s="3">
        <f>(CM152/(CM$5-CL$5))*CM$15</f>
        <v>0</v>
      </c>
      <c r="CN151" s="3">
        <f>(CN152/(CN$5-CM$5))*CN$15</f>
        <v>0</v>
      </c>
      <c r="CO151" s="3">
        <f>CN151</f>
        <v>0</v>
      </c>
      <c r="CP151" s="3">
        <f>(CP152/(CP$5-CO$5))*CP$15</f>
        <v>0</v>
      </c>
      <c r="CQ151" s="3">
        <f>(CQ152/(CQ$5-CP$5))*CQ$15</f>
        <v>0</v>
      </c>
      <c r="CR151" s="3">
        <f>(CR152/(CR$5-CQ$5))*CR$15</f>
        <v>0</v>
      </c>
      <c r="CS151" s="3">
        <f>(CS152/(CS$5-CR$5))*CS$15</f>
        <v>0</v>
      </c>
      <c r="CT151" s="3">
        <f>CS151</f>
        <v>0</v>
      </c>
      <c r="CU151" s="3">
        <f>(CU152/(CU$5-CT$5))*CU$15</f>
        <v>0</v>
      </c>
      <c r="CV151" s="3">
        <f>(CV152/(CV$5-CU$5))*CV$15</f>
        <v>0</v>
      </c>
      <c r="CW151" s="3">
        <f>(CW152/(CW$5-CV$5))*CW$15</f>
        <v>0</v>
      </c>
      <c r="CX151" s="3">
        <f>(CX152/(CX$5-CW$5))*CX$15</f>
        <v>0</v>
      </c>
      <c r="CY151" s="3">
        <f>CX151</f>
        <v>0</v>
      </c>
    </row>
    <row r="152" hidden="1" outlineLevel="1">
      <c r="C152" s="34" t="inlineStr">
        <is>
          <t>DSO</t>
        </is>
      </c>
      <c r="D152" s="3" t="n"/>
      <c r="E152" s="3">
        <f>(E151/E$15)*(E$5-D$5)</f>
        <v>140.157712974521</v>
      </c>
      <c r="F152" s="3">
        <f>(F151/F$15)*(F$5-E$5)</f>
        <v>85.9594238170447</v>
      </c>
      <c r="G152" s="3">
        <f>(G151/G$15)*(G$5-F$5)</f>
        <v>81.8679872724881</v>
      </c>
      <c r="H152" s="3" t="n"/>
      <c r="I152" s="3">
        <f>(I151/I$15)*(I$5-H$5)</f>
        <v>117.80809701372</v>
      </c>
      <c r="J152" s="3">
        <f>(J151/J$15)*(J$5-I$5)</f>
        <v>92.1719503140205</v>
      </c>
      <c r="K152" s="3">
        <f>(K151/K$15)*(K$5-J$5)</f>
        <v>94.221043636816</v>
      </c>
      <c r="L152" s="3">
        <f>(L151/L$15)*(L$5-K$5)</f>
        <v>89.0413913015831</v>
      </c>
      <c r="M152" s="3" t="n"/>
      <c r="N152" s="3">
        <f>(N151/N$15)*(N$5-M$5)</f>
        <v>112.9279416042</v>
      </c>
      <c r="O152" s="3">
        <f>(O151/O$15)*(O$5-N$5)</f>
        <v>95.2879540327886</v>
      </c>
      <c r="P152" s="3">
        <f>(P151/P$15)*(P$5-O$5)</f>
        <v>104.630245965859</v>
      </c>
      <c r="Q152" s="3">
        <f>(Q151/Q$15)*(Q$5-P$5)</f>
        <v>94.821510243663</v>
      </c>
      <c r="R152" s="3" t="n"/>
      <c r="S152" s="3">
        <f>(S151/S$15)*(S$5-R$5)</f>
        <v>118.462770532373</v>
      </c>
      <c r="T152" s="3">
        <f>(T151/T$15)*(T$5-S$5)</f>
        <v>98.1281190996816</v>
      </c>
      <c r="U152" s="3">
        <f>(U151/U$15)*(U$5-T$5)</f>
        <v>112.431115382265</v>
      </c>
      <c r="V152" s="3">
        <f>(V151/V$15)*(V$5-U$5)</f>
        <v>98.2314633592652</v>
      </c>
      <c r="W152" s="3" t="n"/>
      <c r="X152" s="3">
        <f>(X151/X$15)*(X$5-W$5)</f>
        <v>132.568609494755</v>
      </c>
      <c r="Y152" s="3">
        <f>(Y151/Y$15)*(Y$5-X$5)</f>
        <v>101.865122230941</v>
      </c>
      <c r="Z152" s="3">
        <f>(Z151/Z$15)*(Z$5-Y$5)</f>
        <v>108.542049395872</v>
      </c>
      <c r="AA152" s="3">
        <f>(AA151/AA$15)*(AA$5-Z$5)</f>
        <v>96.2214390764734</v>
      </c>
      <c r="AB152" s="3" t="n"/>
      <c r="AC152" s="3">
        <f>(AC151/AC$15)*(AC$5-AB$5)</f>
        <v>125.851993830663</v>
      </c>
      <c r="AD152" s="3">
        <f>(AD151/AD$15)*(AD$5-AC$5)</f>
        <v>93.9004952485305</v>
      </c>
      <c r="AE152" s="3">
        <f>(AE151/AE$15)*(AE$5-AD$5)</f>
        <v>113.619360140606</v>
      </c>
      <c r="AF152" s="6">
        <f>(AF151/AF$15)*(AF$5-AE$5)</f>
        <v>85.5688621087401</v>
      </c>
      <c r="AG152" s="3" t="n"/>
      <c r="AH152" s="6">
        <f>(AH151/AH$15)*(AH$5-AG$5)</f>
        <v>135.879073920494</v>
      </c>
      <c r="AI152" s="6">
        <f>(AI151/AI$15)*(AI$5-AH$5)</f>
        <v>110.922295259316</v>
      </c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Inventories</t>
        </is>
      </c>
      <c r="D155" s="25">
        <f>INDEX('Inputs (2)'!$D$17:$AL$17,MATCH(D$7,'Inputs (2)'!$D$2:$AL$2,0))</f>
        <v>384.295</v>
      </c>
      <c r="E155" s="25">
        <f>INDEX('Inputs (2)'!$D$17:$AL$17,MATCH(E$7,'Inputs (2)'!$D$2:$AL$2,0))</f>
        <v>360.530639894367</v>
      </c>
      <c r="F155" s="25">
        <f>INDEX('Inputs (2)'!$D$17:$AL$17,MATCH(F$7,'Inputs (2)'!$D$2:$AL$2,0))</f>
        <v>367.381037150751</v>
      </c>
      <c r="G155" s="25">
        <f>INDEX('Inputs (2)'!$D$17:$AL$17,MATCH(G$7,'Inputs (2)'!$D$2:$AL$2,0))</f>
        <v>365.18436666769</v>
      </c>
      <c r="H155" s="3">
        <f>G155</f>
        <v>365.18436666769</v>
      </c>
      <c r="I155" s="25">
        <f>INDEX('Inputs (2)'!$D$17:$AL$17,MATCH(I$7,'Inputs (2)'!$D$2:$AL$2,0))</f>
        <v>410.608199707129</v>
      </c>
      <c r="J155" s="25">
        <f>INDEX('Inputs (2)'!$D$17:$AL$17,MATCH(J$7,'Inputs (2)'!$D$2:$AL$2,0))</f>
        <v>443.718574357593</v>
      </c>
      <c r="K155" s="25">
        <f>INDEX('Inputs (2)'!$D$17:$AL$17,MATCH(K$7,'Inputs (2)'!$D$2:$AL$2,0))</f>
        <v>525.699078046804</v>
      </c>
      <c r="L155" s="25">
        <f>INDEX('Inputs (2)'!$D$17:$AL$17,MATCH(L$7,'Inputs (2)'!$D$2:$AL$2,0))</f>
        <v>527.13903596741</v>
      </c>
      <c r="M155" s="3">
        <f>L155</f>
        <v>527.13903596741</v>
      </c>
      <c r="N155" s="25">
        <f>INDEX('Inputs (2)'!$D$17:$AL$17,MATCH(N$7,'Inputs (2)'!$D$2:$AL$2,0))</f>
        <v>620.107869748236</v>
      </c>
      <c r="O155" s="25">
        <f>INDEX('Inputs (2)'!$D$17:$AL$17,MATCH(O$7,'Inputs (2)'!$D$2:$AL$2,0))</f>
        <v>646.090698547936</v>
      </c>
      <c r="P155" s="25">
        <f>INDEX('Inputs (2)'!$D$17:$AL$17,MATCH(P$7,'Inputs (2)'!$D$2:$AL$2,0))</f>
        <v>774.751166101163</v>
      </c>
      <c r="Q155" s="25">
        <f>INDEX('Inputs (2)'!$D$17:$AL$17,MATCH(Q$7,'Inputs (2)'!$D$2:$AL$2,0))</f>
        <v>709.711831160603</v>
      </c>
      <c r="R155" s="3">
        <f>Q155</f>
        <v>709.711831160603</v>
      </c>
      <c r="S155" s="25">
        <f>INDEX('Inputs (2)'!$D$17:$AL$17,MATCH(S$7,'Inputs (2)'!$D$2:$AL$2,0))</f>
        <v>802.728</v>
      </c>
      <c r="T155" s="25">
        <f>INDEX('Inputs (2)'!$D$17:$AL$17,MATCH(T$7,'Inputs (2)'!$D$2:$AL$2,0))</f>
        <v>851.364871667931</v>
      </c>
      <c r="U155" s="25">
        <f>INDEX('Inputs (2)'!$D$17:$AL$17,MATCH(U$7,'Inputs (2)'!$D$2:$AL$2,0))</f>
        <v>876.44506394938</v>
      </c>
      <c r="V155" s="25">
        <f>INDEX('Inputs (2)'!$D$17:$AL$17,MATCH(V$7,'Inputs (2)'!$D$2:$AL$2,0))</f>
        <v>782.706418471491</v>
      </c>
      <c r="W155" s="3">
        <f>V155</f>
        <v>782.706418471491</v>
      </c>
      <c r="X155" s="25">
        <f>INDEX('Inputs (2)'!$D$17:$AL$17,MATCH(X$7,'Inputs (2)'!$D$2:$AL$2,0))</f>
        <v>841.014912681228</v>
      </c>
      <c r="Y155" s="25">
        <f>INDEX('Inputs (2)'!$D$17:$AL$17,MATCH(Y$7,'Inputs (2)'!$D$2:$AL$2,0))</f>
        <v>884.9347865509</v>
      </c>
      <c r="Z155" s="25">
        <f>INDEX('Inputs (2)'!$D$17:$AL$17,MATCH(Z$7,'Inputs (2)'!$D$2:$AL$2,0))</f>
        <v>1056.1865511</v>
      </c>
      <c r="AA155" s="25">
        <f>INDEX('Inputs (2)'!$D$17:$AL$17,MATCH(AA$7,'Inputs (2)'!$D$2:$AL$2,0))</f>
        <v>1332.57773279</v>
      </c>
      <c r="AB155" s="3">
        <f>AA155</f>
        <v>1332.57773279</v>
      </c>
      <c r="AC155" s="25">
        <f>INDEX('Inputs (2)'!$D$17:$AL$17,MATCH(AC$7,'Inputs (2)'!$D$2:$AL$2,0))</f>
        <v>1504.0388615</v>
      </c>
      <c r="AD155" s="25">
        <f>INDEX('Inputs (2)'!$D$17:$AL$17,MATCH(AD$7,'Inputs (2)'!$D$2:$AL$2,0))</f>
        <v>1496.59538213</v>
      </c>
      <c r="AE155" s="25">
        <f>INDEX('Inputs (2)'!$D$17:$AL$17,MATCH(AE$7,'Inputs (2)'!$D$2:$AL$2,0))</f>
        <v>1623.503</v>
      </c>
      <c r="AF155" s="25">
        <f>INDEX('Inputs (2)'!$D$17:$AL$17,MATCH(AF$7,'Inputs (2)'!$D$2:$AL$2,0))</f>
        <v>1478.92640926</v>
      </c>
      <c r="AG155" s="3">
        <f>AF155</f>
        <v>1478.92640926</v>
      </c>
      <c r="AH155" s="3">
        <f>INDEX('Inputs (2)'!$D$17:$AL$17,MATCH(AH$7,'Inputs (2)'!$D$2:$AL$2,0))</f>
        <v>1550.28590202</v>
      </c>
      <c r="AI155" s="3">
        <f>INDEX('Inputs (2)'!$D$17:$AL$17,MATCH(AI$7,'Inputs (2)'!$D$2:$AL$2,0))</f>
        <v>1537.96251349</v>
      </c>
      <c r="AJ155" s="3">
        <f>(AJ156/(AJ$5-AI$5))*-AJ$60</f>
        <v>0</v>
      </c>
      <c r="AK155" s="3">
        <f>(AK156/(AK$5-AJ$5))*-AK$60</f>
        <v>0</v>
      </c>
      <c r="AL155" s="3">
        <f>AK155</f>
        <v>0</v>
      </c>
      <c r="AM155" s="3">
        <f>(AM156/(AM$5-AL$5))*-AM$60</f>
        <v>0</v>
      </c>
      <c r="AN155" s="3">
        <f>(AN156/(AN$5-AM$5))*-AN$60</f>
        <v>0</v>
      </c>
      <c r="AO155" s="3">
        <f>(AO156/(AO$5-AN$5))*-AO$60</f>
        <v>0</v>
      </c>
      <c r="AP155" s="3">
        <f>(AP156/(AP$5-AO$5))*-AP$60</f>
        <v>0</v>
      </c>
      <c r="AQ155" s="3">
        <f>AP155</f>
        <v>0</v>
      </c>
      <c r="AR155" s="3">
        <f>(AR156/(AR$5-AQ$5))*-AR$60</f>
        <v>0</v>
      </c>
      <c r="AS155" s="3">
        <f>(AS156/(AS$5-AR$5))*-AS$60</f>
        <v>0</v>
      </c>
      <c r="AT155" s="3">
        <f>(AT156/(AT$5-AS$5))*-AT$60</f>
        <v>0</v>
      </c>
      <c r="AU155" s="3">
        <f>(AU156/(AU$5-AT$5))*-AU$60</f>
        <v>0</v>
      </c>
      <c r="AV155" s="3">
        <f>AU155</f>
        <v>0</v>
      </c>
      <c r="AW155" s="3">
        <f>(AW156/(AW$5-AV$5))*-AW$60</f>
        <v>0</v>
      </c>
      <c r="AX155" s="3">
        <f>(AX156/(AX$5-AW$5))*-AX$60</f>
        <v>0</v>
      </c>
      <c r="AY155" s="3">
        <f>(AY156/(AY$5-AX$5))*-AY$60</f>
        <v>0</v>
      </c>
      <c r="AZ155" s="3">
        <f>(AZ156/(AZ$5-AY$5))*-AZ$60</f>
        <v>0</v>
      </c>
      <c r="BA155" s="3">
        <f>AZ155</f>
        <v>0</v>
      </c>
      <c r="BB155" s="3">
        <f>(BB156/(BB$5-BA$5))*-BB$60</f>
        <v>0</v>
      </c>
      <c r="BC155" s="3">
        <f>(BC156/(BC$5-BB$5))*-BC$60</f>
        <v>0</v>
      </c>
      <c r="BD155" s="3">
        <f>(BD156/(BD$5-BC$5))*-BD$60</f>
        <v>0</v>
      </c>
      <c r="BE155" s="3">
        <f>(BE156/(BE$5-BD$5))*-BE$60</f>
        <v>0</v>
      </c>
      <c r="BF155" s="3">
        <f>BE155</f>
        <v>0</v>
      </c>
      <c r="BG155" s="3">
        <f>(BG156/(BG$5-BF$5))*-BG$60</f>
        <v>0</v>
      </c>
      <c r="BH155" s="3">
        <f>(BH156/(BH$5-BG$5))*-BH$60</f>
        <v>0</v>
      </c>
      <c r="BI155" s="3">
        <f>(BI156/(BI$5-BH$5))*-BI$60</f>
        <v>0</v>
      </c>
      <c r="BJ155" s="3">
        <f>(BJ156/(BJ$5-BI$5))*-BJ$60</f>
        <v>0</v>
      </c>
      <c r="BK155" s="3">
        <f>BJ155</f>
        <v>0</v>
      </c>
      <c r="BL155" s="3">
        <f>(BL156/(BL$5-BK$5))*-BL$60</f>
        <v>0</v>
      </c>
      <c r="BM155" s="3">
        <f>(BM156/(BM$5-BL$5))*-BM$60</f>
        <v>0</v>
      </c>
      <c r="BN155" s="3">
        <f>(BN156/(BN$5-BM$5))*-BN$60</f>
        <v>0</v>
      </c>
      <c r="BO155" s="3">
        <f>(BO156/(BO$5-BN$5))*-BO$60</f>
        <v>0</v>
      </c>
      <c r="BP155" s="3">
        <f>BO155</f>
        <v>0</v>
      </c>
      <c r="BQ155" s="3">
        <f>(BQ156/(BQ$5-BP$5))*-BQ$60</f>
        <v>0</v>
      </c>
      <c r="BR155" s="3">
        <f>(BR156/(BR$5-BQ$5))*-BR$60</f>
        <v>0</v>
      </c>
      <c r="BS155" s="3">
        <f>(BS156/(BS$5-BR$5))*-BS$60</f>
        <v>0</v>
      </c>
      <c r="BT155" s="3">
        <f>(BT156/(BT$5-BS$5))*-BT$60</f>
        <v>0</v>
      </c>
      <c r="BU155" s="3">
        <f>BT155</f>
        <v>0</v>
      </c>
      <c r="BV155" s="3">
        <f>(BV156/(BV$5-BU$5))*-BV$60</f>
        <v>0</v>
      </c>
      <c r="BW155" s="3">
        <f>(BW156/(BW$5-BV$5))*-BW$60</f>
        <v>0</v>
      </c>
      <c r="BX155" s="3">
        <f>(BX156/(BX$5-BW$5))*-BX$60</f>
        <v>0</v>
      </c>
      <c r="BY155" s="3">
        <f>(BY156/(BY$5-BX$5))*-BY$60</f>
        <v>0</v>
      </c>
      <c r="BZ155" s="3">
        <f>BY155</f>
        <v>0</v>
      </c>
      <c r="CA155" s="3">
        <f>(CA156/(CA$5-BZ$5))*-CA$60</f>
        <v>0</v>
      </c>
      <c r="CB155" s="3">
        <f>(CB156/(CB$5-CA$5))*-CB$60</f>
        <v>0</v>
      </c>
      <c r="CC155" s="3">
        <f>(CC156/(CC$5-CB$5))*-CC$60</f>
        <v>0</v>
      </c>
      <c r="CD155" s="3">
        <f>(CD156/(CD$5-CC$5))*-CD$60</f>
        <v>0</v>
      </c>
      <c r="CE155" s="3">
        <f>CD155</f>
        <v>0</v>
      </c>
      <c r="CF155" s="3">
        <f>(CF156/(CF$5-CE$5))*-CF$60</f>
        <v>0</v>
      </c>
      <c r="CG155" s="3">
        <f>(CG156/(CG$5-CF$5))*-CG$60</f>
        <v>0</v>
      </c>
      <c r="CH155" s="3">
        <f>(CH156/(CH$5-CG$5))*-CH$60</f>
        <v>0</v>
      </c>
      <c r="CI155" s="3">
        <f>(CI156/(CI$5-CH$5))*-CI$60</f>
        <v>0</v>
      </c>
      <c r="CJ155" s="3">
        <f>CI155</f>
        <v>0</v>
      </c>
      <c r="CK155" s="3">
        <f>(CK156/(CK$5-CJ$5))*-CK$60</f>
        <v>0</v>
      </c>
      <c r="CL155" s="3">
        <f>(CL156/(CL$5-CK$5))*-CL$60</f>
        <v>0</v>
      </c>
      <c r="CM155" s="3">
        <f>(CM156/(CM$5-CL$5))*-CM$60</f>
        <v>0</v>
      </c>
      <c r="CN155" s="3">
        <f>(CN156/(CN$5-CM$5))*-CN$60</f>
        <v>0</v>
      </c>
      <c r="CO155" s="3">
        <f>CN155</f>
        <v>0</v>
      </c>
      <c r="CP155" s="3">
        <f>(CP156/(CP$5-CO$5))*-CP$60</f>
        <v>0</v>
      </c>
      <c r="CQ155" s="3">
        <f>(CQ156/(CQ$5-CP$5))*-CQ$60</f>
        <v>0</v>
      </c>
      <c r="CR155" s="3">
        <f>(CR156/(CR$5-CQ$5))*-CR$60</f>
        <v>0</v>
      </c>
      <c r="CS155" s="3">
        <f>(CS156/(CS$5-CR$5))*-CS$60</f>
        <v>0</v>
      </c>
      <c r="CT155" s="3">
        <f>CS155</f>
        <v>0</v>
      </c>
      <c r="CU155" s="3">
        <f>(CU156/(CU$5-CT$5))*-CU$60</f>
        <v>0</v>
      </c>
      <c r="CV155" s="3">
        <f>(CV156/(CV$5-CU$5))*-CV$60</f>
        <v>0</v>
      </c>
      <c r="CW155" s="3">
        <f>(CW156/(CW$5-CV$5))*-CW$60</f>
        <v>0</v>
      </c>
      <c r="CX155" s="3">
        <f>(CX156/(CX$5-CW$5))*-CX$60</f>
        <v>0</v>
      </c>
      <c r="CY155" s="3">
        <f>CX155</f>
        <v>0</v>
      </c>
    </row>
    <row r="156" hidden="1" outlineLevel="1">
      <c r="C156" s="34" t="inlineStr">
        <is>
          <t>DIO</t>
        </is>
      </c>
      <c r="D156" s="3" t="n"/>
      <c r="E156" s="3">
        <f>((E155/E$60)*(E$5-D$5))*-1</f>
        <v>699.190517040936</v>
      </c>
      <c r="F156" s="3">
        <f>((F155/F$60)*(F$5-E$5))*-1</f>
        <v>431.717806629765</v>
      </c>
      <c r="G156" s="3">
        <f>((G155/G$60)*(G$5-F$5))*-1</f>
        <v>224.360792479468</v>
      </c>
      <c r="H156" s="3" t="n"/>
      <c r="I156" s="3">
        <f>((I155/I$60)*(I$5-H$5))*-1</f>
        <v>497.216104677511</v>
      </c>
      <c r="J156" s="3">
        <f>((J155/J$60)*(J$5-I$5))*-1</f>
        <v>351.160291009568</v>
      </c>
      <c r="K156" s="3">
        <f>((K155/K$60)*(K$5-J$5))*-1</f>
        <v>447.918033430558</v>
      </c>
      <c r="L156" s="3">
        <f>((L155/L$60)*(L$5-K$5))*-1</f>
        <v>278.091022128478</v>
      </c>
      <c r="M156" s="3" t="n"/>
      <c r="N156" s="3">
        <f>((N155/N$60)*(N$5-M$5))*-1</f>
        <v>515.79896430794</v>
      </c>
      <c r="O156" s="3">
        <f>((O155/O$60)*(O$5-N$5))*-1</f>
        <v>389.652390085336</v>
      </c>
      <c r="P156" s="3">
        <f>((P155/P$60)*(P$5-O$5))*-1</f>
        <v>581.877659253857</v>
      </c>
      <c r="Q156" s="3">
        <f>((Q155/Q$60)*(Q$5-P$5))*-1</f>
        <v>350.398800031199</v>
      </c>
      <c r="R156" s="3" t="n"/>
      <c r="S156" s="3">
        <f>((S155/S$60)*(S$5-R$5))*-1</f>
        <v>615.295680097123</v>
      </c>
      <c r="T156" s="3">
        <f>((T155/T$60)*(T$5-S$5))*-1</f>
        <v>460.878851423001</v>
      </c>
      <c r="U156" s="3">
        <f>((U155/U$60)*(U$5-T$5))*-1</f>
        <v>550.459743301064</v>
      </c>
      <c r="V156" s="3">
        <f>((V155/V$60)*(V$5-U$5))*-1</f>
        <v>310.485029065278</v>
      </c>
      <c r="W156" s="3" t="n"/>
      <c r="X156" s="3">
        <f>((X155/X$60)*(X$5-W$5))*-1</f>
        <v>552.702735440048</v>
      </c>
      <c r="Y156" s="3">
        <f>((Y155/Y$60)*(Y$5-X$5))*-1</f>
        <v>399.896108989652</v>
      </c>
      <c r="Z156" s="3">
        <f>((Z155/Z$60)*(Z$5-Y$5))*-1</f>
        <v>530.9880624486</v>
      </c>
      <c r="AA156" s="3">
        <f>((AA155/AA$60)*(AA$5-Z$5))*-1</f>
        <v>513.162769371424</v>
      </c>
      <c r="AB156" s="3" t="n"/>
      <c r="AC156" s="3">
        <f>((AC155/AC$60)*(AC$5-AB$5))*-1</f>
        <v>786.461699873644</v>
      </c>
      <c r="AD156" s="3">
        <f>((AD155/AD$60)*(AD$5-AC$5))*-1</f>
        <v>647.686874906413</v>
      </c>
      <c r="AE156" s="3">
        <f>((AE155/AE$60)*(AE$5-AD$5))*-1</f>
        <v>786.26055733453</v>
      </c>
      <c r="AF156" s="6">
        <f>((AF155/AF$60)*(AF$5-AE$5))*-1</f>
        <v>391.564835763083</v>
      </c>
      <c r="AG156" s="3" t="n"/>
      <c r="AH156" s="6">
        <f>((AH155/AH$60)*(AH$5-AG$5))*-1</f>
        <v>779.447231834687</v>
      </c>
      <c r="AI156" s="6">
        <f>((AI155/AI$60)*(AI$5-AH$5))*-1</f>
        <v>597.966429149255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Deferred income taxes</t>
        </is>
      </c>
      <c r="D159" s="25" t="n"/>
      <c r="E159" s="25" t="n"/>
      <c r="F159" s="25" t="n"/>
      <c r="G159" s="25" t="n"/>
      <c r="H159" s="3">
        <f>G159</f>
        <v>0</v>
      </c>
      <c r="I159" s="25" t="n"/>
      <c r="J159" s="25" t="n"/>
      <c r="K159" s="25" t="n"/>
      <c r="L159" s="25" t="n"/>
      <c r="M159" s="3">
        <f>L159</f>
        <v>0</v>
      </c>
      <c r="N159" s="25" t="n"/>
      <c r="O159" s="25" t="n"/>
      <c r="P159" s="25" t="n"/>
      <c r="Q159" s="25" t="n"/>
      <c r="R159" s="3">
        <f>Q159</f>
        <v>0</v>
      </c>
      <c r="S159" s="25" t="n"/>
      <c r="T159" s="25" t="n"/>
      <c r="U159" s="25" t="n"/>
      <c r="V159" s="25" t="n"/>
      <c r="W159" s="3">
        <f>V159</f>
        <v>0</v>
      </c>
      <c r="X159" s="25" t="n"/>
      <c r="Y159" s="25" t="n"/>
      <c r="Z159" s="25" t="n"/>
      <c r="AA159" s="25" t="n"/>
      <c r="AB159" s="3">
        <f>AA159</f>
        <v>0</v>
      </c>
      <c r="AC159" s="25" t="n"/>
      <c r="AD159" s="25" t="n"/>
      <c r="AE159" s="25" t="n"/>
      <c r="AF159" s="25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>
        <f>AL159</f>
        <v>0</v>
      </c>
      <c r="AN159" s="3">
        <f>AM159</f>
        <v>0</v>
      </c>
      <c r="AO159" s="3">
        <f>AN159</f>
        <v>0</v>
      </c>
      <c r="AP159" s="3">
        <f>AO159</f>
        <v>0</v>
      </c>
      <c r="AQ159" s="3">
        <f>AP159</f>
        <v>0</v>
      </c>
      <c r="AR159" s="3">
        <f>AQ159</f>
        <v>0</v>
      </c>
      <c r="AS159" s="3">
        <f>AR159</f>
        <v>0</v>
      </c>
      <c r="AT159" s="3">
        <f>AS159</f>
        <v>0</v>
      </c>
      <c r="AU159" s="3">
        <f>AT159</f>
        <v>0</v>
      </c>
      <c r="AV159" s="3">
        <f>AU159</f>
        <v>0</v>
      </c>
      <c r="AW159" s="3">
        <f>AV159</f>
        <v>0</v>
      </c>
      <c r="AX159" s="3">
        <f>AW159</f>
        <v>0</v>
      </c>
      <c r="AY159" s="3">
        <f>AX159</f>
        <v>0</v>
      </c>
      <c r="AZ159" s="3">
        <f>AY159</f>
        <v>0</v>
      </c>
      <c r="BA159" s="3">
        <f>AZ159</f>
        <v>0</v>
      </c>
      <c r="BB159" s="3">
        <f>BA159</f>
        <v>0</v>
      </c>
      <c r="BC159" s="3">
        <f>BB159</f>
        <v>0</v>
      </c>
      <c r="BD159" s="3">
        <f>BC159</f>
        <v>0</v>
      </c>
      <c r="BE159" s="3">
        <f>BD159</f>
        <v>0</v>
      </c>
      <c r="BF159" s="3">
        <f>BE159</f>
        <v>0</v>
      </c>
      <c r="BG159" s="3">
        <f>BF159</f>
        <v>0</v>
      </c>
      <c r="BH159" s="3">
        <f>BG159</f>
        <v>0</v>
      </c>
      <c r="BI159" s="3">
        <f>BH159</f>
        <v>0</v>
      </c>
      <c r="BJ159" s="3">
        <f>BI159</f>
        <v>0</v>
      </c>
      <c r="BK159" s="3">
        <f>BJ159</f>
        <v>0</v>
      </c>
      <c r="BL159" s="3">
        <f>BK159</f>
        <v>0</v>
      </c>
      <c r="BM159" s="3">
        <f>BL159</f>
        <v>0</v>
      </c>
      <c r="BN159" s="3">
        <f>BM159</f>
        <v>0</v>
      </c>
      <c r="BO159" s="3">
        <f>BN159</f>
        <v>0</v>
      </c>
      <c r="BP159" s="3">
        <f>BO159</f>
        <v>0</v>
      </c>
      <c r="BQ159" s="3">
        <f>BP159</f>
        <v>0</v>
      </c>
      <c r="BR159" s="3">
        <f>BQ159</f>
        <v>0</v>
      </c>
      <c r="BS159" s="3">
        <f>BR159</f>
        <v>0</v>
      </c>
      <c r="BT159" s="3">
        <f>BS159</f>
        <v>0</v>
      </c>
      <c r="BU159" s="3">
        <f>BT159</f>
        <v>0</v>
      </c>
      <c r="BV159" s="3">
        <f>BU159</f>
        <v>0</v>
      </c>
      <c r="BW159" s="3">
        <f>BV159</f>
        <v>0</v>
      </c>
      <c r="BX159" s="3">
        <f>BW159</f>
        <v>0</v>
      </c>
      <c r="BY159" s="3">
        <f>BX159</f>
        <v>0</v>
      </c>
      <c r="BZ159" s="3">
        <f>BY159</f>
        <v>0</v>
      </c>
      <c r="CA159" s="3">
        <f>BZ159</f>
        <v>0</v>
      </c>
      <c r="CB159" s="3">
        <f>CA159</f>
        <v>0</v>
      </c>
      <c r="CC159" s="3">
        <f>CB159</f>
        <v>0</v>
      </c>
      <c r="CD159" s="3">
        <f>CC159</f>
        <v>0</v>
      </c>
      <c r="CE159" s="3">
        <f>CD159</f>
        <v>0</v>
      </c>
      <c r="CF159" s="3">
        <f>CE159</f>
        <v>0</v>
      </c>
      <c r="CG159" s="3">
        <f>CF159</f>
        <v>0</v>
      </c>
      <c r="CH159" s="3">
        <f>CG159</f>
        <v>0</v>
      </c>
      <c r="CI159" s="3">
        <f>CH159</f>
        <v>0</v>
      </c>
      <c r="CJ159" s="3">
        <f>CI159</f>
        <v>0</v>
      </c>
      <c r="CK159" s="3">
        <f>CJ159</f>
        <v>0</v>
      </c>
      <c r="CL159" s="3">
        <f>CK159</f>
        <v>0</v>
      </c>
      <c r="CM159" s="3">
        <f>CL159</f>
        <v>0</v>
      </c>
      <c r="CN159" s="3">
        <f>CM159</f>
        <v>0</v>
      </c>
      <c r="CO159" s="3">
        <f>CN159</f>
        <v>0</v>
      </c>
      <c r="CP159" s="3">
        <f>CO159</f>
        <v>0</v>
      </c>
      <c r="CQ159" s="3">
        <f>CP159</f>
        <v>0</v>
      </c>
      <c r="CR159" s="3">
        <f>CQ159</f>
        <v>0</v>
      </c>
      <c r="CS159" s="3">
        <f>CR159</f>
        <v>0</v>
      </c>
      <c r="CT159" s="3">
        <f>CS159</f>
        <v>0</v>
      </c>
      <c r="CU159" s="3">
        <f>CT159</f>
        <v>0</v>
      </c>
      <c r="CV159" s="3">
        <f>CU159</f>
        <v>0</v>
      </c>
      <c r="CW159" s="3">
        <f>CV159</f>
        <v>0</v>
      </c>
      <c r="CX159" s="3">
        <f>CW159</f>
        <v>0</v>
      </c>
      <c r="CY159" s="3">
        <f>CX159</f>
        <v>0</v>
      </c>
    </row>
    <row r="160">
      <c r="C160" s="26" t="inlineStr">
        <is>
          <t>Prepaid expenses</t>
        </is>
      </c>
      <c r="D160" s="25">
        <f>INDEX('Inputs (2)'!$D$19:$AL$19,MATCH(D$7,'Inputs (2)'!$D$2:$AL$2,0))</f>
        <v>7.566</v>
      </c>
      <c r="E160" s="25">
        <f>INDEX('Inputs (2)'!$D$19:$AL$19,MATCH(E$7,'Inputs (2)'!$D$2:$AL$2,0))</f>
        <v>5.32947604</v>
      </c>
      <c r="F160" s="25">
        <f>INDEX('Inputs (2)'!$D$19:$AL$19,MATCH(F$7,'Inputs (2)'!$D$2:$AL$2,0))</f>
        <v>3.10603247</v>
      </c>
      <c r="G160" s="25">
        <f>INDEX('Inputs (2)'!$D$19:$AL$19,MATCH(G$7,'Inputs (2)'!$D$2:$AL$2,0))</f>
        <v>3.26191691</v>
      </c>
      <c r="H160" s="3">
        <f>G160</f>
        <v>3.26191691</v>
      </c>
      <c r="I160" s="25">
        <f>INDEX('Inputs (2)'!$D$19:$AL$19,MATCH(I$7,'Inputs (2)'!$D$2:$AL$2,0))</f>
        <v>12.91036846</v>
      </c>
      <c r="J160" s="25">
        <f>INDEX('Inputs (2)'!$D$19:$AL$19,MATCH(J$7,'Inputs (2)'!$D$2:$AL$2,0))</f>
        <v>13.4003447</v>
      </c>
      <c r="K160" s="25">
        <f>INDEX('Inputs (2)'!$D$19:$AL$19,MATCH(K$7,'Inputs (2)'!$D$2:$AL$2,0))</f>
        <v>12.24497846</v>
      </c>
      <c r="L160" s="25">
        <f>INDEX('Inputs (2)'!$D$19:$AL$19,MATCH(L$7,'Inputs (2)'!$D$2:$AL$2,0))</f>
        <v>8.22308547</v>
      </c>
      <c r="M160" s="3">
        <f>L160</f>
        <v>8.22308547</v>
      </c>
      <c r="N160" s="25">
        <f>INDEX('Inputs (2)'!$D$19:$AL$19,MATCH(N$7,'Inputs (2)'!$D$2:$AL$2,0))</f>
        <v>14.52460152</v>
      </c>
      <c r="O160" s="25">
        <f>INDEX('Inputs (2)'!$D$19:$AL$19,MATCH(O$7,'Inputs (2)'!$D$2:$AL$2,0))</f>
        <v>13.62805206</v>
      </c>
      <c r="P160" s="25">
        <f>INDEX('Inputs (2)'!$D$19:$AL$19,MATCH(P$7,'Inputs (2)'!$D$2:$AL$2,0))</f>
        <v>14.28907165</v>
      </c>
      <c r="Q160" s="25">
        <f>INDEX('Inputs (2)'!$D$19:$AL$19,MATCH(Q$7,'Inputs (2)'!$D$2:$AL$2,0))</f>
        <v>16.4644984</v>
      </c>
      <c r="R160" s="3">
        <f>Q160</f>
        <v>16.4644984</v>
      </c>
      <c r="S160" s="25">
        <f>INDEX('Inputs (2)'!$D$19:$AL$19,MATCH(S$7,'Inputs (2)'!$D$2:$AL$2,0))</f>
        <v>14.944</v>
      </c>
      <c r="T160" s="25">
        <f>INDEX('Inputs (2)'!$D$19:$AL$19,MATCH(T$7,'Inputs (2)'!$D$2:$AL$2,0))</f>
        <v>18.13636506</v>
      </c>
      <c r="U160" s="25">
        <f>INDEX('Inputs (2)'!$D$19:$AL$19,MATCH(U$7,'Inputs (2)'!$D$2:$AL$2,0))</f>
        <v>16.30020367</v>
      </c>
      <c r="V160" s="25">
        <f>INDEX('Inputs (2)'!$D$19:$AL$19,MATCH(V$7,'Inputs (2)'!$D$2:$AL$2,0))</f>
        <v>20.1981531</v>
      </c>
      <c r="W160" s="3">
        <f>V160</f>
        <v>20.1981531</v>
      </c>
      <c r="X160" s="25">
        <f>INDEX('Inputs (2)'!$D$19:$AL$19,MATCH(X$7,'Inputs (2)'!$D$2:$AL$2,0))</f>
        <v>19.20510998</v>
      </c>
      <c r="Y160" s="25">
        <f>INDEX('Inputs (2)'!$D$19:$AL$19,MATCH(Y$7,'Inputs (2)'!$D$2:$AL$2,0))</f>
        <v>19.63334612</v>
      </c>
      <c r="Z160" s="25">
        <f>INDEX('Inputs (2)'!$D$19:$AL$19,MATCH(Z$7,'Inputs (2)'!$D$2:$AL$2,0))</f>
        <v>17.88979453</v>
      </c>
      <c r="AA160" s="25">
        <f>INDEX('Inputs (2)'!$D$19:$AL$19,MATCH(AA$7,'Inputs (2)'!$D$2:$AL$2,0))</f>
        <v>21.51523799</v>
      </c>
      <c r="AB160" s="3">
        <f>AA160</f>
        <v>21.51523799</v>
      </c>
      <c r="AC160" s="25">
        <f>INDEX('Inputs (2)'!$D$19:$AL$19,MATCH(AC$7,'Inputs (2)'!$D$2:$AL$2,0))</f>
        <v>29.80441021</v>
      </c>
      <c r="AD160" s="25">
        <f>INDEX('Inputs (2)'!$D$19:$AL$19,MATCH(AD$7,'Inputs (2)'!$D$2:$AL$2,0))</f>
        <v>65.0088640900001</v>
      </c>
      <c r="AE160" s="25">
        <f>INDEX('Inputs (2)'!$D$19:$AL$19,MATCH(AE$7,'Inputs (2)'!$D$2:$AL$2,0))</f>
        <v>86.678</v>
      </c>
      <c r="AF160" s="25">
        <f>INDEX('Inputs (2)'!$D$19:$AL$19,MATCH(AF$7,'Inputs (2)'!$D$2:$AL$2,0))</f>
        <v>28.95421047</v>
      </c>
      <c r="AG160" s="3">
        <f>AF160</f>
        <v>28.95421047</v>
      </c>
      <c r="AH160" s="3">
        <f>INDEX('Inputs (2)'!$D$19:$AL$19,MATCH(AH$7,'Inputs (2)'!$D$2:$AL$2,0))</f>
        <v>51.91991515</v>
      </c>
      <c r="AI160" s="3">
        <f>INDEX('Inputs (2)'!$D$19:$AL$19,MATCH(AI$7,'Inputs (2)'!$D$2:$AL$2,0))</f>
        <v>37.0334882</v>
      </c>
      <c r="AJ160" s="3">
        <f>AI160</f>
        <v>37.0334882</v>
      </c>
      <c r="AK160" s="3">
        <f>AJ160</f>
        <v>37.0334882</v>
      </c>
      <c r="AL160" s="3">
        <f>AK160</f>
        <v>37.0334882</v>
      </c>
      <c r="AM160" s="3">
        <f>AL160</f>
        <v>37.0334882</v>
      </c>
      <c r="AN160" s="3">
        <f>AM160</f>
        <v>37.0334882</v>
      </c>
      <c r="AO160" s="3">
        <f>AN160</f>
        <v>37.0334882</v>
      </c>
      <c r="AP160" s="3">
        <f>AO160</f>
        <v>37.0334882</v>
      </c>
      <c r="AQ160" s="3">
        <f>AP160</f>
        <v>37.0334882</v>
      </c>
      <c r="AR160" s="3">
        <f>AQ160</f>
        <v>37.0334882</v>
      </c>
      <c r="AS160" s="3">
        <f>AR160</f>
        <v>37.0334882</v>
      </c>
      <c r="AT160" s="3">
        <f>AS160</f>
        <v>37.0334882</v>
      </c>
      <c r="AU160" s="3">
        <f>AT160</f>
        <v>37.0334882</v>
      </c>
      <c r="AV160" s="3">
        <f>AU160</f>
        <v>37.0334882</v>
      </c>
      <c r="AW160" s="3">
        <f>AV160</f>
        <v>37.0334882</v>
      </c>
      <c r="AX160" s="3">
        <f>AW160</f>
        <v>37.0334882</v>
      </c>
      <c r="AY160" s="3">
        <f>AX160</f>
        <v>37.0334882</v>
      </c>
      <c r="AZ160" s="3">
        <f>AY160</f>
        <v>37.0334882</v>
      </c>
      <c r="BA160" s="3">
        <f>AZ160</f>
        <v>37.0334882</v>
      </c>
      <c r="BB160" s="3">
        <f>BA160</f>
        <v>37.0334882</v>
      </c>
      <c r="BC160" s="3">
        <f>BB160</f>
        <v>37.0334882</v>
      </c>
      <c r="BD160" s="3">
        <f>BC160</f>
        <v>37.0334882</v>
      </c>
      <c r="BE160" s="3">
        <f>BD160</f>
        <v>37.0334882</v>
      </c>
      <c r="BF160" s="3">
        <f>BE160</f>
        <v>37.0334882</v>
      </c>
      <c r="BG160" s="3">
        <f>BF160</f>
        <v>37.0334882</v>
      </c>
      <c r="BH160" s="3">
        <f>BG160</f>
        <v>37.0334882</v>
      </c>
      <c r="BI160" s="3">
        <f>BH160</f>
        <v>37.0334882</v>
      </c>
      <c r="BJ160" s="3">
        <f>BI160</f>
        <v>37.0334882</v>
      </c>
      <c r="BK160" s="3">
        <f>BJ160</f>
        <v>37.0334882</v>
      </c>
      <c r="BL160" s="3">
        <f>BK160</f>
        <v>37.0334882</v>
      </c>
      <c r="BM160" s="3">
        <f>BL160</f>
        <v>37.0334882</v>
      </c>
      <c r="BN160" s="3">
        <f>BM160</f>
        <v>37.0334882</v>
      </c>
      <c r="BO160" s="3">
        <f>BN160</f>
        <v>37.0334882</v>
      </c>
      <c r="BP160" s="3">
        <f>BO160</f>
        <v>37.0334882</v>
      </c>
      <c r="BQ160" s="3">
        <f>BP160</f>
        <v>37.0334882</v>
      </c>
      <c r="BR160" s="3">
        <f>BQ160</f>
        <v>37.0334882</v>
      </c>
      <c r="BS160" s="3">
        <f>BR160</f>
        <v>37.0334882</v>
      </c>
      <c r="BT160" s="3">
        <f>BS160</f>
        <v>37.0334882</v>
      </c>
      <c r="BU160" s="3">
        <f>BT160</f>
        <v>37.0334882</v>
      </c>
      <c r="BV160" s="3">
        <f>BU160</f>
        <v>37.0334882</v>
      </c>
      <c r="BW160" s="3">
        <f>BV160</f>
        <v>37.0334882</v>
      </c>
      <c r="BX160" s="3">
        <f>BW160</f>
        <v>37.0334882</v>
      </c>
      <c r="BY160" s="3">
        <f>BX160</f>
        <v>37.0334882</v>
      </c>
      <c r="BZ160" s="3">
        <f>BY160</f>
        <v>37.0334882</v>
      </c>
      <c r="CA160" s="3">
        <f>BZ160</f>
        <v>37.0334882</v>
      </c>
      <c r="CB160" s="3">
        <f>CA160</f>
        <v>37.0334882</v>
      </c>
      <c r="CC160" s="3">
        <f>CB160</f>
        <v>37.0334882</v>
      </c>
      <c r="CD160" s="3">
        <f>CC160</f>
        <v>37.0334882</v>
      </c>
      <c r="CE160" s="3">
        <f>CD160</f>
        <v>37.0334882</v>
      </c>
      <c r="CF160" s="3">
        <f>CE160</f>
        <v>37.0334882</v>
      </c>
      <c r="CG160" s="3">
        <f>CF160</f>
        <v>37.0334882</v>
      </c>
      <c r="CH160" s="3">
        <f>CG160</f>
        <v>37.0334882</v>
      </c>
      <c r="CI160" s="3">
        <f>CH160</f>
        <v>37.0334882</v>
      </c>
      <c r="CJ160" s="3">
        <f>CI160</f>
        <v>37.0334882</v>
      </c>
      <c r="CK160" s="3">
        <f>CJ160</f>
        <v>37.0334882</v>
      </c>
      <c r="CL160" s="3">
        <f>CK160</f>
        <v>37.0334882</v>
      </c>
      <c r="CM160" s="3">
        <f>CL160</f>
        <v>37.0334882</v>
      </c>
      <c r="CN160" s="3">
        <f>CM160</f>
        <v>37.0334882</v>
      </c>
      <c r="CO160" s="3">
        <f>CN160</f>
        <v>37.0334882</v>
      </c>
      <c r="CP160" s="3">
        <f>CO160</f>
        <v>37.0334882</v>
      </c>
      <c r="CQ160" s="3">
        <f>CP160</f>
        <v>37.0334882</v>
      </c>
      <c r="CR160" s="3">
        <f>CQ160</f>
        <v>37.0334882</v>
      </c>
      <c r="CS160" s="3">
        <f>CR160</f>
        <v>37.0334882</v>
      </c>
      <c r="CT160" s="3">
        <f>CS160</f>
        <v>37.0334882</v>
      </c>
      <c r="CU160" s="3">
        <f>CT160</f>
        <v>37.0334882</v>
      </c>
      <c r="CV160" s="3">
        <f>CU160</f>
        <v>37.0334882</v>
      </c>
      <c r="CW160" s="3">
        <f>CV160</f>
        <v>37.0334882</v>
      </c>
      <c r="CX160" s="3">
        <f>CW160</f>
        <v>37.0334882</v>
      </c>
      <c r="CY160" s="3">
        <f>CX160</f>
        <v>37.0334882</v>
      </c>
    </row>
    <row r="161">
      <c r="C161" s="26" t="inlineStr">
        <is>
          <t>Other current assets</t>
        </is>
      </c>
      <c r="D161" s="25">
        <f>INDEX('Inputs (2)'!$D$20:$AL$20,MATCH(D$7,'Inputs (2)'!$D$2:$AL$2,0))</f>
        <v>65.799</v>
      </c>
      <c r="E161" s="25">
        <f>INDEX('Inputs (2)'!$D$20:$AL$20,MATCH(E$7,'Inputs (2)'!$D$2:$AL$2,0))</f>
        <v>79.68148466</v>
      </c>
      <c r="F161" s="25">
        <f>INDEX('Inputs (2)'!$D$20:$AL$20,MATCH(F$7,'Inputs (2)'!$D$2:$AL$2,0))</f>
        <v>115.37307831</v>
      </c>
      <c r="G161" s="25">
        <f>INDEX('Inputs (2)'!$D$20:$AL$20,MATCH(G$7,'Inputs (2)'!$D$2:$AL$2,0))</f>
        <v>112.80063567</v>
      </c>
      <c r="H161" s="3">
        <f>G161</f>
        <v>112.80063567</v>
      </c>
      <c r="I161" s="25">
        <f>INDEX('Inputs (2)'!$D$20:$AL$20,MATCH(I$7,'Inputs (2)'!$D$2:$AL$2,0))</f>
        <v>81.61890614</v>
      </c>
      <c r="J161" s="25">
        <f>INDEX('Inputs (2)'!$D$20:$AL$20,MATCH(J$7,'Inputs (2)'!$D$2:$AL$2,0))</f>
        <v>60.73044049</v>
      </c>
      <c r="K161" s="25">
        <f>INDEX('Inputs (2)'!$D$20:$AL$20,MATCH(K$7,'Inputs (2)'!$D$2:$AL$2,0))</f>
        <v>51.52278298</v>
      </c>
      <c r="L161" s="25">
        <f>INDEX('Inputs (2)'!$D$20:$AL$20,MATCH(L$7,'Inputs (2)'!$D$2:$AL$2,0))</f>
        <v>48.78568597</v>
      </c>
      <c r="M161" s="3">
        <f>L161</f>
        <v>48.78568597</v>
      </c>
      <c r="N161" s="25">
        <f>INDEX('Inputs (2)'!$D$20:$AL$20,MATCH(N$7,'Inputs (2)'!$D$2:$AL$2,0))</f>
        <v>44.65380289</v>
      </c>
      <c r="O161" s="25">
        <f>INDEX('Inputs (2)'!$D$20:$AL$20,MATCH(O$7,'Inputs (2)'!$D$2:$AL$2,0))</f>
        <v>44.23989258</v>
      </c>
      <c r="P161" s="25">
        <f>INDEX('Inputs (2)'!$D$20:$AL$20,MATCH(P$7,'Inputs (2)'!$D$2:$AL$2,0))</f>
        <v>54.31100411</v>
      </c>
      <c r="Q161" s="25">
        <f>INDEX('Inputs (2)'!$D$20:$AL$20,MATCH(Q$7,'Inputs (2)'!$D$2:$AL$2,0))</f>
        <v>55.86985973</v>
      </c>
      <c r="R161" s="3">
        <f>Q161</f>
        <v>55.86985973</v>
      </c>
      <c r="S161" s="25">
        <f>INDEX('Inputs (2)'!$D$20:$AL$20,MATCH(S$7,'Inputs (2)'!$D$2:$AL$2,0))</f>
        <v>57.103</v>
      </c>
      <c r="T161" s="25">
        <f>INDEX('Inputs (2)'!$D$20:$AL$20,MATCH(T$7,'Inputs (2)'!$D$2:$AL$2,0))</f>
        <v>69.55885019</v>
      </c>
      <c r="U161" s="25">
        <f>INDEX('Inputs (2)'!$D$20:$AL$20,MATCH(U$7,'Inputs (2)'!$D$2:$AL$2,0))</f>
        <v>75.21305908</v>
      </c>
      <c r="V161" s="25">
        <f>INDEX('Inputs (2)'!$D$20:$AL$20,MATCH(V$7,'Inputs (2)'!$D$2:$AL$2,0))</f>
        <v>118.35346914</v>
      </c>
      <c r="W161" s="3">
        <f>V161</f>
        <v>118.35346914</v>
      </c>
      <c r="X161" s="25">
        <f>INDEX('Inputs (2)'!$D$20:$AL$20,MATCH(X$7,'Inputs (2)'!$D$2:$AL$2,0))</f>
        <v>129.25586085</v>
      </c>
      <c r="Y161" s="25">
        <f>INDEX('Inputs (2)'!$D$20:$AL$20,MATCH(Y$7,'Inputs (2)'!$D$2:$AL$2,0))</f>
        <v>139.206</v>
      </c>
      <c r="Z161" s="25">
        <f>INDEX('Inputs (2)'!$D$20:$AL$20,MATCH(Z$7,'Inputs (2)'!$D$2:$AL$2,0))</f>
        <v>198.38540736</v>
      </c>
      <c r="AA161" s="25">
        <f>INDEX('Inputs (2)'!$D$20:$AL$20,MATCH(AA$7,'Inputs (2)'!$D$2:$AL$2,0))</f>
        <v>189.90397154</v>
      </c>
      <c r="AB161" s="3">
        <f>AA161</f>
        <v>189.90397154</v>
      </c>
      <c r="AC161" s="25">
        <f>INDEX('Inputs (2)'!$D$20:$AL$20,MATCH(AC$7,'Inputs (2)'!$D$2:$AL$2,0))</f>
        <v>183.74294178</v>
      </c>
      <c r="AD161" s="25">
        <f>INDEX('Inputs (2)'!$D$20:$AL$20,MATCH(AD$7,'Inputs (2)'!$D$2:$AL$2,0))</f>
        <v>171.50300963</v>
      </c>
      <c r="AE161" s="25">
        <f>INDEX('Inputs (2)'!$D$20:$AL$20,MATCH(AE$7,'Inputs (2)'!$D$2:$AL$2,0))</f>
        <v>262.981</v>
      </c>
      <c r="AF161" s="25">
        <f>INDEX('Inputs (2)'!$D$20:$AL$20,MATCH(AF$7,'Inputs (2)'!$D$2:$AL$2,0))</f>
        <v>168.47361213</v>
      </c>
      <c r="AG161" s="3">
        <f>AF161</f>
        <v>168.47361213</v>
      </c>
      <c r="AH161" s="3">
        <f>INDEX('Inputs (2)'!$D$20:$AL$20,MATCH(AH$7,'Inputs (2)'!$D$2:$AL$2,0))</f>
        <v>153.21044569</v>
      </c>
      <c r="AI161" s="3">
        <f>INDEX('Inputs (2)'!$D$20:$AL$20,MATCH(AI$7,'Inputs (2)'!$D$2:$AL$2,0))</f>
        <v>143.62913522</v>
      </c>
      <c r="AJ161" s="3">
        <f>AI161</f>
        <v>143.62913522</v>
      </c>
      <c r="AK161" s="3">
        <f>AJ161</f>
        <v>143.62913522</v>
      </c>
      <c r="AL161" s="3">
        <f>AK161</f>
        <v>143.62913522</v>
      </c>
      <c r="AM161" s="3">
        <f>AL161</f>
        <v>143.62913522</v>
      </c>
      <c r="AN161" s="3">
        <f>AM161</f>
        <v>143.62913522</v>
      </c>
      <c r="AO161" s="3">
        <f>AN161</f>
        <v>143.62913522</v>
      </c>
      <c r="AP161" s="3">
        <f>AO161</f>
        <v>143.62913522</v>
      </c>
      <c r="AQ161" s="3">
        <f>AP161</f>
        <v>143.62913522</v>
      </c>
      <c r="AR161" s="3">
        <f>AQ161</f>
        <v>143.62913522</v>
      </c>
      <c r="AS161" s="3">
        <f>AR161</f>
        <v>143.62913522</v>
      </c>
      <c r="AT161" s="3">
        <f>AS161</f>
        <v>143.62913522</v>
      </c>
      <c r="AU161" s="3">
        <f>AT161</f>
        <v>143.62913522</v>
      </c>
      <c r="AV161" s="3">
        <f>AU161</f>
        <v>143.62913522</v>
      </c>
      <c r="AW161" s="3">
        <f>AV161</f>
        <v>143.62913522</v>
      </c>
      <c r="AX161" s="3">
        <f>AW161</f>
        <v>143.62913522</v>
      </c>
      <c r="AY161" s="3">
        <f>AX161</f>
        <v>143.62913522</v>
      </c>
      <c r="AZ161" s="3">
        <f>AY161</f>
        <v>143.62913522</v>
      </c>
      <c r="BA161" s="3">
        <f>AZ161</f>
        <v>143.62913522</v>
      </c>
      <c r="BB161" s="3">
        <f>BA161</f>
        <v>143.62913522</v>
      </c>
      <c r="BC161" s="3">
        <f>BB161</f>
        <v>143.62913522</v>
      </c>
      <c r="BD161" s="3">
        <f>BC161</f>
        <v>143.62913522</v>
      </c>
      <c r="BE161" s="3">
        <f>BD161</f>
        <v>143.62913522</v>
      </c>
      <c r="BF161" s="3">
        <f>BE161</f>
        <v>143.62913522</v>
      </c>
      <c r="BG161" s="3">
        <f>BF161</f>
        <v>143.62913522</v>
      </c>
      <c r="BH161" s="3">
        <f>BG161</f>
        <v>143.62913522</v>
      </c>
      <c r="BI161" s="3">
        <f>BH161</f>
        <v>143.62913522</v>
      </c>
      <c r="BJ161" s="3">
        <f>BI161</f>
        <v>143.62913522</v>
      </c>
      <c r="BK161" s="3">
        <f>BJ161</f>
        <v>143.62913522</v>
      </c>
      <c r="BL161" s="3">
        <f>BK161</f>
        <v>143.62913522</v>
      </c>
      <c r="BM161" s="3">
        <f>BL161</f>
        <v>143.62913522</v>
      </c>
      <c r="BN161" s="3">
        <f>BM161</f>
        <v>143.62913522</v>
      </c>
      <c r="BO161" s="3">
        <f>BN161</f>
        <v>143.62913522</v>
      </c>
      <c r="BP161" s="3">
        <f>BO161</f>
        <v>143.62913522</v>
      </c>
      <c r="BQ161" s="3">
        <f>BP161</f>
        <v>143.62913522</v>
      </c>
      <c r="BR161" s="3">
        <f>BQ161</f>
        <v>143.62913522</v>
      </c>
      <c r="BS161" s="3">
        <f>BR161</f>
        <v>143.62913522</v>
      </c>
      <c r="BT161" s="3">
        <f>BS161</f>
        <v>143.62913522</v>
      </c>
      <c r="BU161" s="3">
        <f>BT161</f>
        <v>143.62913522</v>
      </c>
      <c r="BV161" s="3">
        <f>BU161</f>
        <v>143.62913522</v>
      </c>
      <c r="BW161" s="3">
        <f>BV161</f>
        <v>143.62913522</v>
      </c>
      <c r="BX161" s="3">
        <f>BW161</f>
        <v>143.62913522</v>
      </c>
      <c r="BY161" s="3">
        <f>BX161</f>
        <v>143.62913522</v>
      </c>
      <c r="BZ161" s="3">
        <f>BY161</f>
        <v>143.62913522</v>
      </c>
      <c r="CA161" s="3">
        <f>BZ161</f>
        <v>143.62913522</v>
      </c>
      <c r="CB161" s="3">
        <f>CA161</f>
        <v>143.62913522</v>
      </c>
      <c r="CC161" s="3">
        <f>CB161</f>
        <v>143.62913522</v>
      </c>
      <c r="CD161" s="3">
        <f>CC161</f>
        <v>143.62913522</v>
      </c>
      <c r="CE161" s="3">
        <f>CD161</f>
        <v>143.62913522</v>
      </c>
      <c r="CF161" s="3">
        <f>CE161</f>
        <v>143.62913522</v>
      </c>
      <c r="CG161" s="3">
        <f>CF161</f>
        <v>143.62913522</v>
      </c>
      <c r="CH161" s="3">
        <f>CG161</f>
        <v>143.62913522</v>
      </c>
      <c r="CI161" s="3">
        <f>CH161</f>
        <v>143.62913522</v>
      </c>
      <c r="CJ161" s="3">
        <f>CI161</f>
        <v>143.62913522</v>
      </c>
      <c r="CK161" s="3">
        <f>CJ161</f>
        <v>143.62913522</v>
      </c>
      <c r="CL161" s="3">
        <f>CK161</f>
        <v>143.62913522</v>
      </c>
      <c r="CM161" s="3">
        <f>CL161</f>
        <v>143.62913522</v>
      </c>
      <c r="CN161" s="3">
        <f>CM161</f>
        <v>143.62913522</v>
      </c>
      <c r="CO161" s="3">
        <f>CN161</f>
        <v>143.62913522</v>
      </c>
      <c r="CP161" s="3">
        <f>CO161</f>
        <v>143.62913522</v>
      </c>
      <c r="CQ161" s="3">
        <f>CP161</f>
        <v>143.62913522</v>
      </c>
      <c r="CR161" s="3">
        <f>CQ161</f>
        <v>143.62913522</v>
      </c>
      <c r="CS161" s="3">
        <f>CR161</f>
        <v>143.62913522</v>
      </c>
      <c r="CT161" s="3">
        <f>CS161</f>
        <v>143.62913522</v>
      </c>
      <c r="CU161" s="3">
        <f>CT161</f>
        <v>143.62913522</v>
      </c>
      <c r="CV161" s="3">
        <f>CU161</f>
        <v>143.62913522</v>
      </c>
      <c r="CW161" s="3">
        <f>CV161</f>
        <v>143.62913522</v>
      </c>
      <c r="CX161" s="3">
        <f>CW161</f>
        <v>143.62913522</v>
      </c>
      <c r="CY161" s="3">
        <f>CX161</f>
        <v>143.62913522</v>
      </c>
    </row>
    <row r="162" hidden="1" outlineLevel="1">
      <c r="C162" s="38" t="inlineStr">
        <is>
          <t>%(Var.)</t>
        </is>
      </c>
      <c r="D162" s="3" t="n"/>
      <c r="E162" s="47">
        <f>(E161-D161)/D161</f>
        <v>0.210983216462256</v>
      </c>
      <c r="F162" s="47">
        <f>(F161-E161)/E161</f>
        <v>0.44792832114381</v>
      </c>
      <c r="G162" s="47">
        <f>(G161-F161)/F161</f>
        <v>-0.0222967322852219</v>
      </c>
      <c r="H162" s="3" t="n"/>
      <c r="I162" s="47">
        <f>(I161-H161)/H161</f>
        <v>-0.276432214630621</v>
      </c>
      <c r="J162" s="47">
        <f>(J161-I161)/I161</f>
        <v>-0.255926802230972</v>
      </c>
      <c r="K162" s="47">
        <f>(K161-J161)/J161</f>
        <v>-0.151615193891376</v>
      </c>
      <c r="L162" s="47">
        <f>(L161-K161)/K161</f>
        <v>-0.0531240133333341</v>
      </c>
      <c r="M162" s="3" t="n"/>
      <c r="N162" s="47">
        <f>(N161-M161)/M161</f>
        <v>-0.0846945778837842</v>
      </c>
      <c r="O162" s="47">
        <f>(O161-N161)/N161</f>
        <v>-0.00926931824865211</v>
      </c>
      <c r="P162" s="47">
        <f>(P161-O161)/O161</f>
        <v>0.227647739238701</v>
      </c>
      <c r="Q162" s="47">
        <f>(Q161-P161)/P161</f>
        <v>0.0287023899768586</v>
      </c>
      <c r="R162" s="3" t="n"/>
      <c r="S162" s="47">
        <f>(S161-R161)/R161</f>
        <v>0.0220716550204234</v>
      </c>
      <c r="T162" s="47">
        <f>(T161-S161)/S161</f>
        <v>0.218129523667759</v>
      </c>
      <c r="U162" s="47">
        <f>(U161-T161)/T161</f>
        <v>0.0812866928443398</v>
      </c>
      <c r="V162" s="47">
        <f>(V161-U161)/U161</f>
        <v>0.57357605963233</v>
      </c>
      <c r="W162" s="3" t="n"/>
      <c r="X162" s="47">
        <f>(X161-W161)/W161</f>
        <v>0.0921172128643191</v>
      </c>
      <c r="Y162" s="47">
        <f>(Y161-X161)/X161</f>
        <v>0.0769801778005797</v>
      </c>
      <c r="Z162" s="47">
        <f>(Z161-Y161)/Y161</f>
        <v>0.425121096504461</v>
      </c>
      <c r="AA162" s="47">
        <f>(AA161-Z161)/Z161</f>
        <v>-0.0427523169817082</v>
      </c>
      <c r="AB162" s="3" t="n"/>
      <c r="AC162" s="47">
        <f>(AC161-AB161)/AB161</f>
        <v>-0.032442869467331</v>
      </c>
      <c r="AD162" s="47">
        <f>(AD161-AC161)/AC161</f>
        <v>-0.0666144344453526</v>
      </c>
      <c r="AE162" s="47">
        <f>(AE161-AD161)/AD161</f>
        <v>0.53339000036999</v>
      </c>
      <c r="AF162" s="218">
        <f>(AF161-AE161)/AE161</f>
        <v>-0.359369642179474</v>
      </c>
      <c r="AG162" s="3" t="n"/>
      <c r="AH162" s="3">
        <f>(AH161-AG161)/AG161</f>
        <v>-0.0905967780178081</v>
      </c>
      <c r="AI162" s="3">
        <f>(AI161-AH161)/AH161</f>
        <v>-0.0625369270799369</v>
      </c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47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52" t="inlineStr">
        <is>
          <t xml:space="preserve">Impostos e Contribuições a Recuperar </t>
        </is>
      </c>
      <c r="D164" s="6" t="n"/>
      <c r="E164" s="6" t="n"/>
      <c r="F164" s="6" t="n"/>
      <c r="G164" s="6" t="n"/>
      <c r="H164" s="3" t="n"/>
      <c r="I164" s="6" t="n"/>
      <c r="J164" s="6" t="n"/>
      <c r="K164" s="6" t="n"/>
      <c r="L164" s="6" t="n"/>
      <c r="M164" s="3" t="n"/>
      <c r="N164" s="6" t="n"/>
      <c r="O164" s="6" t="n"/>
      <c r="P164" s="6" t="n"/>
      <c r="Q164" s="6" t="n"/>
      <c r="R164" s="3" t="n"/>
      <c r="S164" s="6" t="n"/>
      <c r="T164" s="6" t="n"/>
      <c r="U164" s="6" t="n"/>
      <c r="V164" s="6" t="n"/>
      <c r="W164" s="3" t="n"/>
      <c r="X164" s="6" t="n"/>
      <c r="Y164" s="6" t="n"/>
      <c r="Z164" s="6" t="n"/>
      <c r="AA164" s="6" t="n"/>
      <c r="AB164" s="3" t="n"/>
      <c r="AC164" s="6" t="n"/>
      <c r="AD164" s="6" t="n"/>
      <c r="AE164" s="6" t="n"/>
      <c r="AF164" s="6" t="n"/>
      <c r="AG164" s="3">
        <f>AF164</f>
        <v>0</v>
      </c>
      <c r="AH164" s="216">
        <f>AG164*AH15/AG15</f>
        <v>0</v>
      </c>
      <c r="AI164" s="216">
        <f>AH164*AI15/AH15</f>
        <v>0</v>
      </c>
      <c r="AJ164" s="216">
        <f>AI164*AJ15/AI15</f>
        <v>0</v>
      </c>
      <c r="AK164" s="216">
        <f>AJ164*AK15/AJ15</f>
        <v>0</v>
      </c>
      <c r="AL164" s="3">
        <f>AK164</f>
        <v>0</v>
      </c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52" t="inlineStr">
        <is>
          <t>Outros Créditos</t>
        </is>
      </c>
      <c r="D165" s="6" t="n"/>
      <c r="E165" s="6" t="n"/>
      <c r="F165" s="6" t="n"/>
      <c r="G165" s="6" t="n"/>
      <c r="H165" s="3" t="n"/>
      <c r="I165" s="6" t="n"/>
      <c r="J165" s="6" t="n"/>
      <c r="K165" s="6" t="n"/>
      <c r="L165" s="6" t="n"/>
      <c r="M165" s="3" t="n"/>
      <c r="N165" s="6" t="n"/>
      <c r="O165" s="6" t="n"/>
      <c r="P165" s="6" t="n"/>
      <c r="Q165" s="6" t="n"/>
      <c r="R165" s="3" t="n"/>
      <c r="S165" s="6" t="n"/>
      <c r="T165" s="6" t="n"/>
      <c r="U165" s="6" t="n"/>
      <c r="V165" s="6" t="n"/>
      <c r="W165" s="3" t="n"/>
      <c r="X165" s="6" t="n"/>
      <c r="Y165" s="6" t="n"/>
      <c r="Z165" s="6" t="n"/>
      <c r="AA165" s="6" t="n"/>
      <c r="AB165" s="3" t="n"/>
      <c r="AC165" s="6" t="n"/>
      <c r="AD165" s="6" t="n"/>
      <c r="AE165" s="6" t="n"/>
      <c r="AF165" s="6" t="n"/>
      <c r="AG165" s="3">
        <f>AF165</f>
        <v>0</v>
      </c>
      <c r="AH165" s="3">
        <f>AG165</f>
        <v>0</v>
      </c>
      <c r="AI165" s="3">
        <f>AH165</f>
        <v>0</v>
      </c>
      <c r="AJ165" s="3">
        <f>AI165</f>
        <v>0</v>
      </c>
      <c r="AK165" s="3">
        <f>AJ165</f>
        <v>0</v>
      </c>
      <c r="AL165" s="3">
        <f>AK165</f>
        <v>0</v>
      </c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Equity in affiliates</t>
        </is>
      </c>
      <c r="D167" s="25">
        <f>INDEX('Inputs (2)'!$D$21:$AL$21,MATCH(D$7,'Inputs (2)'!$D$2:$AL$2,0))</f>
        <v>0</v>
      </c>
      <c r="E167" s="25">
        <f>INDEX('Inputs (2)'!$D$21:$AL$21,MATCH(E$7,'Inputs (2)'!$D$2:$AL$2,0))</f>
        <v>0</v>
      </c>
      <c r="F167" s="25">
        <f>INDEX('Inputs (2)'!$D$21:$AL$21,MATCH(F$7,'Inputs (2)'!$D$2:$AL$2,0))</f>
        <v>0</v>
      </c>
      <c r="G167" s="25">
        <f>INDEX('Inputs (2)'!$D$21:$AL$21,MATCH(G$7,'Inputs (2)'!$D$2:$AL$2,0))</f>
        <v>0</v>
      </c>
      <c r="H167" s="3">
        <f>G167</f>
        <v>0</v>
      </c>
      <c r="I167" s="25">
        <f>INDEX('Inputs (2)'!$D$21:$AL$21,MATCH(I$7,'Inputs (2)'!$D$2:$AL$2,0))</f>
        <v>0</v>
      </c>
      <c r="J167" s="25">
        <f>INDEX('Inputs (2)'!$D$21:$AL$21,MATCH(J$7,'Inputs (2)'!$D$2:$AL$2,0))</f>
        <v>0</v>
      </c>
      <c r="K167" s="25">
        <f>INDEX('Inputs (2)'!$D$21:$AL$21,MATCH(K$7,'Inputs (2)'!$D$2:$AL$2,0))</f>
        <v>0</v>
      </c>
      <c r="L167" s="25">
        <f>INDEX('Inputs (2)'!$D$21:$AL$21,MATCH(L$7,'Inputs (2)'!$D$2:$AL$2,0))</f>
        <v>0</v>
      </c>
      <c r="M167" s="3">
        <f>L167</f>
        <v>0</v>
      </c>
      <c r="N167" s="25">
        <f>INDEX('Inputs (2)'!$D$21:$AL$21,MATCH(N$7,'Inputs (2)'!$D$2:$AL$2,0))</f>
        <v>0</v>
      </c>
      <c r="O167" s="25">
        <f>INDEX('Inputs (2)'!$D$21:$AL$21,MATCH(O$7,'Inputs (2)'!$D$2:$AL$2,0))</f>
        <v>0</v>
      </c>
      <c r="P167" s="25">
        <f>INDEX('Inputs (2)'!$D$21:$AL$21,MATCH(P$7,'Inputs (2)'!$D$2:$AL$2,0))</f>
        <v>0</v>
      </c>
      <c r="Q167" s="25">
        <f>INDEX('Inputs (2)'!$D$21:$AL$21,MATCH(Q$7,'Inputs (2)'!$D$2:$AL$2,0))</f>
        <v>0</v>
      </c>
      <c r="R167" s="3">
        <f>Q167</f>
        <v>0</v>
      </c>
      <c r="S167" s="25">
        <f>INDEX('Inputs (2)'!$D$21:$AL$21,MATCH(S$7,'Inputs (2)'!$D$2:$AL$2,0))</f>
        <v>0</v>
      </c>
      <c r="T167" s="25">
        <f>INDEX('Inputs (2)'!$D$21:$AL$21,MATCH(T$7,'Inputs (2)'!$D$2:$AL$2,0))</f>
        <v>0</v>
      </c>
      <c r="U167" s="25">
        <f>INDEX('Inputs (2)'!$D$21:$AL$21,MATCH(U$7,'Inputs (2)'!$D$2:$AL$2,0))</f>
        <v>0</v>
      </c>
      <c r="V167" s="25">
        <f>INDEX('Inputs (2)'!$D$21:$AL$21,MATCH(V$7,'Inputs (2)'!$D$2:$AL$2,0))</f>
        <v>0</v>
      </c>
      <c r="W167" s="3">
        <f>V167</f>
        <v>0</v>
      </c>
      <c r="X167" s="25">
        <f>INDEX('Inputs (2)'!$D$21:$AL$21,MATCH(X$7,'Inputs (2)'!$D$2:$AL$2,0))</f>
        <v>0</v>
      </c>
      <c r="Y167" s="25">
        <f>INDEX('Inputs (2)'!$D$21:$AL$21,MATCH(Y$7,'Inputs (2)'!$D$2:$AL$2,0))</f>
        <v>0</v>
      </c>
      <c r="Z167" s="25">
        <f>INDEX('Inputs (2)'!$D$21:$AL$21,MATCH(Z$7,'Inputs (2)'!$D$2:$AL$2,0))</f>
        <v>0</v>
      </c>
      <c r="AA167" s="25">
        <f>INDEX('Inputs (2)'!$D$21:$AL$21,MATCH(AA$7,'Inputs (2)'!$D$2:$AL$2,0))</f>
        <v>0</v>
      </c>
      <c r="AB167" s="3">
        <f>AA167</f>
        <v>0</v>
      </c>
      <c r="AC167" s="25">
        <f>INDEX('Inputs (2)'!$D$21:$AL$21,MATCH(AC$7,'Inputs (2)'!$D$2:$AL$2,0))</f>
        <v>0</v>
      </c>
      <c r="AD167" s="25">
        <f>INDEX('Inputs (2)'!$D$21:$AL$21,MATCH(AD$7,'Inputs (2)'!$D$2:$AL$2,0))</f>
        <v>0</v>
      </c>
      <c r="AE167" s="25">
        <f>INDEX('Inputs (2)'!$D$21:$AL$21,MATCH(AE$7,'Inputs (2)'!$D$2:$AL$2,0))</f>
        <v>0</v>
      </c>
      <c r="AF167" s="25">
        <f>INDEX('Inputs (2)'!$D$21:$AL$21,MATCH(AF$7,'Inputs (2)'!$D$2:$AL$2,0))</f>
        <v>0</v>
      </c>
      <c r="AG167" s="3">
        <f>AF167</f>
        <v>0</v>
      </c>
      <c r="AH167" s="3">
        <f>INDEX('Inputs (2)'!$D$21:$AL$21,MATCH(AH$7,'Inputs (2)'!$D$2:$AL$2,0))</f>
        <v>0</v>
      </c>
      <c r="AI167" s="3">
        <f>INDEX('Inputs (2)'!$D$21:$AL$21,MATCH(AI$7,'Inputs (2)'!$D$2:$AL$2,0))</f>
        <v>0</v>
      </c>
      <c r="AJ167" s="3">
        <f>AI167+AJ141+AJ170</f>
        <v>0</v>
      </c>
      <c r="AK167" s="3">
        <f>AJ167+AK141+AK170</f>
        <v>0</v>
      </c>
      <c r="AL167" s="3">
        <f>AK167</f>
        <v>0</v>
      </c>
      <c r="AM167" s="3">
        <f>AL167+AM141+AM170</f>
        <v>0</v>
      </c>
      <c r="AN167" s="3">
        <f>AM167+AN141+AN170</f>
        <v>0</v>
      </c>
      <c r="AO167" s="3">
        <f>AN167+AO141+AO170</f>
        <v>0</v>
      </c>
      <c r="AP167" s="3">
        <f>AO167+AP141+AP170</f>
        <v>0</v>
      </c>
      <c r="AQ167" s="3">
        <f>AP167</f>
        <v>0</v>
      </c>
      <c r="AR167" s="3">
        <f>AQ167+AR141+AR170</f>
        <v>0</v>
      </c>
      <c r="AS167" s="3">
        <f>AR167+AS141+AS170</f>
        <v>0</v>
      </c>
      <c r="AT167" s="3">
        <f>AS167+AT141+AT170</f>
        <v>0</v>
      </c>
      <c r="AU167" s="3">
        <f>AT167+AU141+AU170</f>
        <v>0</v>
      </c>
      <c r="AV167" s="3">
        <f>AU167</f>
        <v>0</v>
      </c>
      <c r="AW167" s="3">
        <f>AV167+AW141+AW170</f>
        <v>0</v>
      </c>
      <c r="AX167" s="3">
        <f>AW167+AX141+AX170</f>
        <v>0</v>
      </c>
      <c r="AY167" s="3">
        <f>AX167+AY141+AY170</f>
        <v>0</v>
      </c>
      <c r="AZ167" s="3">
        <f>AY167+AZ141+AZ170</f>
        <v>0</v>
      </c>
      <c r="BA167" s="3">
        <f>AZ167</f>
        <v>0</v>
      </c>
      <c r="BB167" s="3">
        <f>BA167+BB141+BB170</f>
        <v>0</v>
      </c>
      <c r="BC167" s="3">
        <f>BB167+BC141+BC170</f>
        <v>0</v>
      </c>
      <c r="BD167" s="3">
        <f>BC167+BD141+BD170</f>
        <v>0</v>
      </c>
      <c r="BE167" s="3">
        <f>BD167+BE141+BE170</f>
        <v>0</v>
      </c>
      <c r="BF167" s="3">
        <f>BE167</f>
        <v>0</v>
      </c>
      <c r="BG167" s="3">
        <f>BF167+BG141+BG170</f>
        <v>0</v>
      </c>
      <c r="BH167" s="3">
        <f>BG167+BH141+BH170</f>
        <v>0</v>
      </c>
      <c r="BI167" s="3">
        <f>BH167+BI141+BI170</f>
        <v>0</v>
      </c>
      <c r="BJ167" s="3">
        <f>BI167+BJ141+BJ170</f>
        <v>0</v>
      </c>
      <c r="BK167" s="3">
        <f>BJ167</f>
        <v>0</v>
      </c>
      <c r="BL167" s="3">
        <f>BK167+BL141+BL170</f>
        <v>0</v>
      </c>
      <c r="BM167" s="3">
        <f>BL167+BM141+BM170</f>
        <v>0</v>
      </c>
      <c r="BN167" s="3">
        <f>BM167+BN141+BN170</f>
        <v>0</v>
      </c>
      <c r="BO167" s="3">
        <f>BN167+BO141+BO170</f>
        <v>0</v>
      </c>
      <c r="BP167" s="3">
        <f>BO167</f>
        <v>0</v>
      </c>
      <c r="BQ167" s="3">
        <f>BP167+BQ141+BQ170</f>
        <v>0</v>
      </c>
      <c r="BR167" s="3">
        <f>BQ167+BR141+BR170</f>
        <v>0</v>
      </c>
      <c r="BS167" s="3">
        <f>BR167+BS141+BS170</f>
        <v>0</v>
      </c>
      <c r="BT167" s="3">
        <f>BS167+BT141+BT170</f>
        <v>0</v>
      </c>
      <c r="BU167" s="3">
        <f>BT167</f>
        <v>0</v>
      </c>
      <c r="BV167" s="3">
        <f>BU167+BV141+BV170</f>
        <v>0</v>
      </c>
      <c r="BW167" s="3">
        <f>BV167+BW141+BW170</f>
        <v>0</v>
      </c>
      <c r="BX167" s="3">
        <f>BW167+BX141+BX170</f>
        <v>0</v>
      </c>
      <c r="BY167" s="3">
        <f>BX167+BY141+BY170</f>
        <v>0</v>
      </c>
      <c r="BZ167" s="3">
        <f>BY167</f>
        <v>0</v>
      </c>
      <c r="CA167" s="3">
        <f>BZ167+CA141+CA170</f>
        <v>0</v>
      </c>
      <c r="CB167" s="3">
        <f>CA167+CB141+CB170</f>
        <v>0</v>
      </c>
      <c r="CC167" s="3">
        <f>CB167+CC141+CC170</f>
        <v>0</v>
      </c>
      <c r="CD167" s="3">
        <f>CC167+CD141+CD170</f>
        <v>0</v>
      </c>
      <c r="CE167" s="3">
        <f>CD167</f>
        <v>0</v>
      </c>
      <c r="CF167" s="3">
        <f>CE167+CF141+CF170</f>
        <v>0</v>
      </c>
      <c r="CG167" s="3">
        <f>CF167+CG141+CG170</f>
        <v>0</v>
      </c>
      <c r="CH167" s="3">
        <f>CG167+CH141+CH170</f>
        <v>0</v>
      </c>
      <c r="CI167" s="3">
        <f>CH167+CI141+CI170</f>
        <v>0</v>
      </c>
      <c r="CJ167" s="3">
        <f>CI167</f>
        <v>0</v>
      </c>
      <c r="CK167" s="3">
        <f>CJ167+CK141+CK170</f>
        <v>0</v>
      </c>
      <c r="CL167" s="3">
        <f>CK167+CL141+CL170</f>
        <v>0</v>
      </c>
      <c r="CM167" s="3">
        <f>CL167+CM141+CM170</f>
        <v>0</v>
      </c>
      <c r="CN167" s="3">
        <f>CM167+CN141+CN170</f>
        <v>0</v>
      </c>
      <c r="CO167" s="3">
        <f>CN167</f>
        <v>0</v>
      </c>
      <c r="CP167" s="3">
        <f>CO167+CP141+CP170</f>
        <v>0</v>
      </c>
      <c r="CQ167" s="3">
        <f>CP167+CQ141+CQ170</f>
        <v>0</v>
      </c>
      <c r="CR167" s="3">
        <f>CQ167+CR141+CR170</f>
        <v>0</v>
      </c>
      <c r="CS167" s="3">
        <f>CR167+CS141+CS170</f>
        <v>0</v>
      </c>
      <c r="CT167" s="3">
        <f>CS167</f>
        <v>0</v>
      </c>
      <c r="CU167" s="3">
        <f>CT167+CU141+CU170</f>
        <v>0</v>
      </c>
      <c r="CV167" s="3">
        <f>CU167+CV141+CV170</f>
        <v>0</v>
      </c>
      <c r="CW167" s="3">
        <f>CV167+CW141+CW170</f>
        <v>0</v>
      </c>
      <c r="CX167" s="3">
        <f>CW167+CX141+CX170</f>
        <v>0</v>
      </c>
      <c r="CY167" s="3">
        <f>CX167</f>
        <v>0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Equity in Income - % YoY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>
        <f>IF(I141=0,0,N141/I141-1)</f>
        <v>0</v>
      </c>
      <c r="O169" s="3">
        <f>IF(J141=0,0,O141/J141-1)</f>
        <v>0</v>
      </c>
      <c r="P169" s="3">
        <f>IF(K141=0,0,P141/K141-1)</f>
        <v>0</v>
      </c>
      <c r="Q169" s="3">
        <f>IF(L141=0,0,Q141/L141-1)</f>
        <v>0</v>
      </c>
      <c r="R169" s="3" t="n"/>
      <c r="S169" s="3">
        <f>IF(N141=0,0,S141/N141-1)</f>
        <v>0</v>
      </c>
      <c r="T169" s="3">
        <f>IF(O141=0,0,T141/O141-1)</f>
        <v>0</v>
      </c>
      <c r="U169" s="3">
        <f>IF(P141=0,0,U141/P141-1)</f>
        <v>0</v>
      </c>
      <c r="V169" s="3">
        <f>IF(Q141=0,0,V141/Q141-1)</f>
        <v>0</v>
      </c>
      <c r="W169" s="3" t="n"/>
      <c r="X169" s="3">
        <f>IF(S141=0,0,X141/S141-1)</f>
        <v>0</v>
      </c>
      <c r="Y169" s="3">
        <f>IF(T141=0,0,Y141/T141-1)</f>
        <v>0</v>
      </c>
      <c r="Z169" s="3">
        <f>IF(U141=0,0,Z141/U141-1)</f>
        <v>0</v>
      </c>
      <c r="AA169" s="3">
        <f>IF(V141=0,0,AA141/V141-1)</f>
        <v>0</v>
      </c>
      <c r="AB169" s="3" t="n"/>
      <c r="AC169" s="3">
        <f>IF(X141=0,0,AC141/X141-1)</f>
        <v>0</v>
      </c>
      <c r="AD169" s="3">
        <f>IF(Y141=0,0,AD141/Y141-1)</f>
        <v>0</v>
      </c>
      <c r="AE169" s="3">
        <f>IF(Z141=0,0,AE141/Z141-1)</f>
        <v>0</v>
      </c>
      <c r="AF169" s="3">
        <f>IF(AA141=0,0,AF141/AA141-1)</f>
        <v>0</v>
      </c>
      <c r="AG169" s="3" t="n"/>
      <c r="AH169" s="6">
        <f>IF(AC141=0,0,AH141/AC141-1)</f>
        <v>0</v>
      </c>
      <c r="AI169" s="6">
        <f>IF(AD141=0,0,AI141/AD141-1)</f>
        <v>0</v>
      </c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Dividends (enter as -)</t>
        </is>
      </c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6" t="n"/>
      <c r="AI170" s="6" t="n"/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PP&amp;E</t>
        </is>
      </c>
      <c r="D172" s="25">
        <f>INDEX('Inputs (2)'!$D$22:$AL$22,MATCH(D$7,'Inputs (2)'!$D$2:$AL$2,0))</f>
        <v>323.158</v>
      </c>
      <c r="E172" s="25">
        <f>INDEX('Inputs (2)'!$D$22:$AL$22,MATCH(E$7,'Inputs (2)'!$D$2:$AL$2,0))</f>
        <v>325.80907259</v>
      </c>
      <c r="F172" s="25">
        <f>INDEX('Inputs (2)'!$D$22:$AL$22,MATCH(F$7,'Inputs (2)'!$D$2:$AL$2,0))</f>
        <v>334.21093647</v>
      </c>
      <c r="G172" s="25">
        <f>INDEX('Inputs (2)'!$D$22:$AL$22,MATCH(G$7,'Inputs (2)'!$D$2:$AL$2,0))</f>
        <v>340.9073531</v>
      </c>
      <c r="H172" s="3">
        <f>G172</f>
        <v>340.9073531</v>
      </c>
      <c r="I172" s="25">
        <f>INDEX('Inputs (2)'!$D$22:$AL$22,MATCH(I$7,'Inputs (2)'!$D$2:$AL$2,0))</f>
        <v>359.07066973</v>
      </c>
      <c r="J172" s="25">
        <f>INDEX('Inputs (2)'!$D$22:$AL$22,MATCH(J$7,'Inputs (2)'!$D$2:$AL$2,0))</f>
        <v>389.11645849</v>
      </c>
      <c r="K172" s="25">
        <f>INDEX('Inputs (2)'!$D$22:$AL$22,MATCH(K$7,'Inputs (2)'!$D$2:$AL$2,0))</f>
        <v>432.31002293</v>
      </c>
      <c r="L172" s="25">
        <f>INDEX('Inputs (2)'!$D$22:$AL$22,MATCH(L$7,'Inputs (2)'!$D$2:$AL$2,0))</f>
        <v>480.98795224</v>
      </c>
      <c r="M172" s="3">
        <f>L172</f>
        <v>480.98795224</v>
      </c>
      <c r="N172" s="25">
        <f>INDEX('Inputs (2)'!$D$22:$AL$22,MATCH(N$7,'Inputs (2)'!$D$2:$AL$2,0))</f>
        <v>508.95098746</v>
      </c>
      <c r="O172" s="25">
        <f>INDEX('Inputs (2)'!$D$22:$AL$22,MATCH(O$7,'Inputs (2)'!$D$2:$AL$2,0))</f>
        <v>550.42530122</v>
      </c>
      <c r="P172" s="25">
        <f>INDEX('Inputs (2)'!$D$22:$AL$22,MATCH(P$7,'Inputs (2)'!$D$2:$AL$2,0))</f>
        <v>615.82445021</v>
      </c>
      <c r="Q172" s="25">
        <f>INDEX('Inputs (2)'!$D$22:$AL$22,MATCH(Q$7,'Inputs (2)'!$D$2:$AL$2,0))</f>
        <v>652.164</v>
      </c>
      <c r="R172" s="3">
        <f>Q172</f>
        <v>652.164</v>
      </c>
      <c r="S172" s="25">
        <f>INDEX('Inputs (2)'!$D$22:$AL$22,MATCH(S$7,'Inputs (2)'!$D$2:$AL$2,0))</f>
        <v>675.451</v>
      </c>
      <c r="T172" s="25">
        <f>INDEX('Inputs (2)'!$D$22:$AL$22,MATCH(T$7,'Inputs (2)'!$D$2:$AL$2,0))</f>
        <v>701.40473885</v>
      </c>
      <c r="U172" s="25">
        <f>INDEX('Inputs (2)'!$D$22:$AL$22,MATCH(U$7,'Inputs (2)'!$D$2:$AL$2,0))</f>
        <v>738.27728221</v>
      </c>
      <c r="V172" s="25">
        <f>INDEX('Inputs (2)'!$D$22:$AL$22,MATCH(V$7,'Inputs (2)'!$D$2:$AL$2,0))</f>
        <v>765.74598272</v>
      </c>
      <c r="W172" s="3">
        <f>V172</f>
        <v>765.74598272</v>
      </c>
      <c r="X172" s="25">
        <f>INDEX('Inputs (2)'!$D$22:$AL$22,MATCH(X$7,'Inputs (2)'!$D$2:$AL$2,0))</f>
        <v>787.74775086</v>
      </c>
      <c r="Y172" s="25">
        <f>INDEX('Inputs (2)'!$D$22:$AL$22,MATCH(Y$7,'Inputs (2)'!$D$2:$AL$2,0))</f>
        <v>798.60566233</v>
      </c>
      <c r="Z172" s="25">
        <f>INDEX('Inputs (2)'!$D$22:$AL$22,MATCH(Z$7,'Inputs (2)'!$D$2:$AL$2,0))</f>
        <v>827.38907393</v>
      </c>
      <c r="AA172" s="25">
        <f>INDEX('Inputs (2)'!$D$22:$AL$22,MATCH(AA$7,'Inputs (2)'!$D$2:$AL$2,0))</f>
        <v>853.17156182</v>
      </c>
      <c r="AB172" s="3">
        <f>AA172</f>
        <v>853.17156182</v>
      </c>
      <c r="AC172" s="25">
        <f>INDEX('Inputs (2)'!$D$22:$AL$22,MATCH(AC$7,'Inputs (2)'!$D$2:$AL$2,0))</f>
        <v>875.204438</v>
      </c>
      <c r="AD172" s="25">
        <f>INDEX('Inputs (2)'!$D$22:$AL$22,MATCH(AD$7,'Inputs (2)'!$D$2:$AL$2,0))</f>
        <v>865.69721234</v>
      </c>
      <c r="AE172" s="25">
        <f>INDEX('Inputs (2)'!$D$22:$AL$22,MATCH(AE$7,'Inputs (2)'!$D$2:$AL$2,0))</f>
        <v>955.645</v>
      </c>
      <c r="AF172" s="25">
        <f>INDEX('Inputs (2)'!$D$22:$AL$22,MATCH(AF$7,'Inputs (2)'!$D$2:$AL$2,0))</f>
        <v>955.34730588</v>
      </c>
      <c r="AG172" s="3">
        <f>AF172</f>
        <v>955.34730588</v>
      </c>
      <c r="AH172" s="3">
        <f>INDEX('Inputs (2)'!$D$22:$AL$22,MATCH(AH$7,'Inputs (2)'!$D$2:$AL$2,0))</f>
        <v>957.47019153</v>
      </c>
      <c r="AI172" s="3">
        <f>INDEX('Inputs (2)'!$D$22:$AL$22,MATCH(AI$7,'Inputs (2)'!$D$2:$AL$2,0))</f>
        <v>966.3156716</v>
      </c>
      <c r="AJ172" s="3">
        <f>AJ177</f>
        <v>966.3156716</v>
      </c>
      <c r="AK172" s="3">
        <f>AK177</f>
        <v>966.3156716</v>
      </c>
      <c r="AL172" s="3">
        <f>AK172</f>
        <v>966.3156716</v>
      </c>
      <c r="AM172" s="3">
        <f>AM177</f>
        <v>966.3156716</v>
      </c>
      <c r="AN172" s="3">
        <f>AN177</f>
        <v>966.3156716</v>
      </c>
      <c r="AO172" s="3">
        <f>AO177</f>
        <v>966.3156716</v>
      </c>
      <c r="AP172" s="3">
        <f>AP177</f>
        <v>966.3156716</v>
      </c>
      <c r="AQ172" s="3">
        <f>AP172</f>
        <v>966.3156716</v>
      </c>
      <c r="AR172" s="3">
        <f>AR177</f>
        <v>966.3156716</v>
      </c>
      <c r="AS172" s="3">
        <f>AS177</f>
        <v>966.3156716</v>
      </c>
      <c r="AT172" s="3">
        <f>AT177</f>
        <v>966.3156716</v>
      </c>
      <c r="AU172" s="3">
        <f>AU177</f>
        <v>966.3156716</v>
      </c>
      <c r="AV172" s="3">
        <f>AU172</f>
        <v>966.3156716</v>
      </c>
      <c r="AW172" s="3">
        <f>AW177</f>
        <v>966.3156716</v>
      </c>
      <c r="AX172" s="3">
        <f>AX177</f>
        <v>966.3156716</v>
      </c>
      <c r="AY172" s="3">
        <f>AY177</f>
        <v>966.3156716</v>
      </c>
      <c r="AZ172" s="3">
        <f>AZ177</f>
        <v>966.3156716</v>
      </c>
      <c r="BA172" s="3">
        <f>AZ172</f>
        <v>966.3156716</v>
      </c>
      <c r="BB172" s="3">
        <f>BB177</f>
        <v>966.3156716</v>
      </c>
      <c r="BC172" s="3">
        <f>BC177</f>
        <v>966.3156716</v>
      </c>
      <c r="BD172" s="3">
        <f>BD177</f>
        <v>966.3156716</v>
      </c>
      <c r="BE172" s="3">
        <f>BE177</f>
        <v>966.3156716</v>
      </c>
      <c r="BF172" s="3">
        <f>BE172</f>
        <v>966.3156716</v>
      </c>
      <c r="BG172" s="3">
        <f>BG177</f>
        <v>966.3156716</v>
      </c>
      <c r="BH172" s="3">
        <f>BH177</f>
        <v>966.3156716</v>
      </c>
      <c r="BI172" s="3">
        <f>BI177</f>
        <v>966.3156716</v>
      </c>
      <c r="BJ172" s="3">
        <f>BJ177</f>
        <v>966.3156716</v>
      </c>
      <c r="BK172" s="3">
        <f>BJ172</f>
        <v>966.3156716</v>
      </c>
      <c r="BL172" s="3">
        <f>BL177</f>
        <v>966.3156716</v>
      </c>
      <c r="BM172" s="3">
        <f>BM177</f>
        <v>966.3156716</v>
      </c>
      <c r="BN172" s="3">
        <f>BN177</f>
        <v>966.3156716</v>
      </c>
      <c r="BO172" s="3">
        <f>BO177</f>
        <v>966.3156716</v>
      </c>
      <c r="BP172" s="3">
        <f>BO172</f>
        <v>966.3156716</v>
      </c>
      <c r="BQ172" s="3">
        <f>BQ177</f>
        <v>966.3156716</v>
      </c>
      <c r="BR172" s="3">
        <f>BR177</f>
        <v>966.3156716</v>
      </c>
      <c r="BS172" s="3">
        <f>BS177</f>
        <v>966.3156716</v>
      </c>
      <c r="BT172" s="3">
        <f>BT177</f>
        <v>966.3156716</v>
      </c>
      <c r="BU172" s="3">
        <f>BT172</f>
        <v>966.3156716</v>
      </c>
      <c r="BV172" s="3">
        <f>BV177</f>
        <v>966.3156716</v>
      </c>
      <c r="BW172" s="3">
        <f>BW177</f>
        <v>966.3156716</v>
      </c>
      <c r="BX172" s="3">
        <f>BX177</f>
        <v>966.3156716</v>
      </c>
      <c r="BY172" s="3">
        <f>BY177</f>
        <v>966.3156716</v>
      </c>
      <c r="BZ172" s="3">
        <f>BY172</f>
        <v>966.3156716</v>
      </c>
      <c r="CA172" s="3">
        <f>CA177</f>
        <v>966.3156716</v>
      </c>
      <c r="CB172" s="3">
        <f>CB177</f>
        <v>966.3156716</v>
      </c>
      <c r="CC172" s="3">
        <f>CC177</f>
        <v>966.3156716</v>
      </c>
      <c r="CD172" s="3">
        <f>CD177</f>
        <v>966.3156716</v>
      </c>
      <c r="CE172" s="3">
        <f>CD172</f>
        <v>966.3156716</v>
      </c>
      <c r="CF172" s="3">
        <f>CF177</f>
        <v>966.3156716</v>
      </c>
      <c r="CG172" s="3">
        <f>CG177</f>
        <v>966.3156716</v>
      </c>
      <c r="CH172" s="3">
        <f>CH177</f>
        <v>966.3156716</v>
      </c>
      <c r="CI172" s="3">
        <f>CI177</f>
        <v>966.3156716</v>
      </c>
      <c r="CJ172" s="3">
        <f>CI172</f>
        <v>966.3156716</v>
      </c>
      <c r="CK172" s="3">
        <f>CK177</f>
        <v>966.3156716</v>
      </c>
      <c r="CL172" s="3">
        <f>CL177</f>
        <v>966.3156716</v>
      </c>
      <c r="CM172" s="3">
        <f>CM177</f>
        <v>966.3156716</v>
      </c>
      <c r="CN172" s="3">
        <f>CN177</f>
        <v>966.3156716</v>
      </c>
      <c r="CO172" s="3">
        <f>CN172</f>
        <v>966.3156716</v>
      </c>
      <c r="CP172" s="3">
        <f>CP177</f>
        <v>966.3156716</v>
      </c>
      <c r="CQ172" s="3">
        <f>CQ177</f>
        <v>966.3156716</v>
      </c>
      <c r="CR172" s="3">
        <f>CR177</f>
        <v>966.3156716</v>
      </c>
      <c r="CS172" s="3">
        <f>CS177</f>
        <v>966.3156716</v>
      </c>
      <c r="CT172" s="3">
        <f>CS172</f>
        <v>966.3156716</v>
      </c>
      <c r="CU172" s="3">
        <f>CU177</f>
        <v>966.3156716</v>
      </c>
      <c r="CV172" s="3">
        <f>CV177</f>
        <v>966.3156716</v>
      </c>
      <c r="CW172" s="3">
        <f>CW177</f>
        <v>966.3156716</v>
      </c>
      <c r="CX172" s="3">
        <f>CX177</f>
        <v>966.3156716</v>
      </c>
      <c r="CY172" s="3">
        <f>CX172</f>
        <v>966.3156716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Capital expenditures</t>
        </is>
      </c>
      <c r="D174" s="3" t="n"/>
      <c r="E174" s="3">
        <f>E172-D172-E76</f>
        <v>16.9384769299999</v>
      </c>
      <c r="F174" s="3">
        <f>F172-E172-F76</f>
        <v>24.0509627800002</v>
      </c>
      <c r="G174" s="3">
        <f>G172-F172-G76</f>
        <v>21.5764325899998</v>
      </c>
      <c r="H174" s="3" t="n"/>
      <c r="I174" s="3">
        <f>I172-H172-I76</f>
        <v>34.1074542900001</v>
      </c>
      <c r="J174" s="3">
        <f>J172-I172-J76</f>
        <v>47.53635122</v>
      </c>
      <c r="K174" s="3">
        <f>K172-J172-K76</f>
        <v>60.7836403</v>
      </c>
      <c r="L174" s="3">
        <f>L172-K172-L76</f>
        <v>69.4831718300001</v>
      </c>
      <c r="M174" s="3" t="n"/>
      <c r="N174" s="3">
        <f>N172-M172-N76</f>
        <v>54.3715846399999</v>
      </c>
      <c r="O174" s="3">
        <f>O172-N172-O76</f>
        <v>67.1845110100001</v>
      </c>
      <c r="P174" s="3">
        <f>P172-O172-P76</f>
        <v>96.7724636799999</v>
      </c>
      <c r="Q174" s="3">
        <f>Q172-P172-Q76</f>
        <v>66.7733804700001</v>
      </c>
      <c r="R174" s="3" t="n"/>
      <c r="S174" s="3">
        <f>S172-R172-S76</f>
        <v>55.1720997200005</v>
      </c>
      <c r="T174" s="3">
        <f>T172-S172-T76</f>
        <v>58.1385325300001</v>
      </c>
      <c r="U174" s="3">
        <f>U172-T172-U76</f>
        <v>70.7503795999999</v>
      </c>
      <c r="V174" s="3">
        <f>V172-U172-V76</f>
        <v>63.6058927399999</v>
      </c>
      <c r="W174" s="3" t="n"/>
      <c r="X174" s="3">
        <f>X172-W172-X76</f>
        <v>60.7848390800001</v>
      </c>
      <c r="Y174" s="3">
        <f>Y172-X172-Y76</f>
        <v>51.7789982300001</v>
      </c>
      <c r="Z174" s="3">
        <f>Z172-Y172-Z76</f>
        <v>72.2291316736192</v>
      </c>
      <c r="AA174" s="3">
        <f>AA172-Z172-AA76</f>
        <v>52.2748885174917</v>
      </c>
      <c r="AB174" s="3" t="n"/>
      <c r="AC174" s="3">
        <f>AC172-AB172-AC76</f>
        <v>60.43295948</v>
      </c>
      <c r="AD174" s="3">
        <f>AD172-AC172-AD76</f>
        <v>28.9675473700002</v>
      </c>
      <c r="AE174" s="3">
        <f>AE172-AD172-AE76</f>
        <v>127.06282006</v>
      </c>
      <c r="AF174" s="6">
        <f>AF172-AE172-AF76</f>
        <v>38.5484089899999</v>
      </c>
      <c r="AG174" s="3">
        <f>SUM(AC174:AF174)</f>
        <v>255.0117359</v>
      </c>
      <c r="AH174" s="6">
        <f>AH172-AG172-AH76</f>
        <v>40.8617934600003</v>
      </c>
      <c r="AI174" s="6">
        <f>AI172-AH172-AI76</f>
        <v>48.2449415099999</v>
      </c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Recurring asset sales (enter as -)</t>
        </is>
      </c>
      <c r="D175" s="3" t="n"/>
      <c r="E175" s="3" t="n"/>
      <c r="F175" s="3" t="n"/>
      <c r="G175" s="3" t="n"/>
      <c r="H175" s="3">
        <f>SUM(D175:G175)</f>
        <v>0</v>
      </c>
      <c r="I175" s="3" t="n"/>
      <c r="J175" s="3" t="n"/>
      <c r="K175" s="3" t="n"/>
      <c r="L175" s="3" t="n"/>
      <c r="M175" s="3">
        <f>SUM(I175:L175)</f>
        <v>0</v>
      </c>
      <c r="N175" s="3" t="n"/>
      <c r="O175" s="3" t="n"/>
      <c r="P175" s="3" t="n"/>
      <c r="Q175" s="3" t="n"/>
      <c r="R175" s="3">
        <f>SUM(N175:Q175)</f>
        <v>0</v>
      </c>
      <c r="S175" s="3" t="n"/>
      <c r="T175" s="3" t="n"/>
      <c r="U175" s="3" t="n"/>
      <c r="V175" s="3" t="n"/>
      <c r="W175" s="3">
        <f>SUM(S175:V175)</f>
        <v>0</v>
      </c>
      <c r="X175" s="3" t="n"/>
      <c r="Y175" s="3" t="n"/>
      <c r="Z175" s="3" t="n"/>
      <c r="AA175" s="3" t="n"/>
      <c r="AB175" s="3">
        <f>SUM(X175:AA175)</f>
        <v>0</v>
      </c>
      <c r="AC175" s="3" t="n"/>
      <c r="AD175" s="3" t="n"/>
      <c r="AE175" s="3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Depreciation</t>
        </is>
      </c>
      <c r="D176" s="3">
        <f>D76</f>
        <v>-13.4562257</v>
      </c>
      <c r="E176" s="3">
        <f>E76</f>
        <v>-14.28740434</v>
      </c>
      <c r="F176" s="3">
        <f>F76</f>
        <v>-15.6490989</v>
      </c>
      <c r="G176" s="3">
        <f>G76</f>
        <v>-14.88001596</v>
      </c>
      <c r="H176" s="3" t="n"/>
      <c r="I176" s="3">
        <f>I76</f>
        <v>-15.94413766</v>
      </c>
      <c r="J176" s="3">
        <f>J76</f>
        <v>-17.49056246</v>
      </c>
      <c r="K176" s="3">
        <f>K76</f>
        <v>-17.59007586</v>
      </c>
      <c r="L176" s="3">
        <f>L76</f>
        <v>-20.80524252</v>
      </c>
      <c r="M176" s="3" t="n"/>
      <c r="N176" s="3">
        <f>N76</f>
        <v>-26.40854942</v>
      </c>
      <c r="O176" s="3">
        <f>O76</f>
        <v>-25.71019725</v>
      </c>
      <c r="P176" s="3">
        <f>P76</f>
        <v>-31.37331469</v>
      </c>
      <c r="Q176" s="3">
        <f>Q76</f>
        <v>-30.4338306800001</v>
      </c>
      <c r="R176" s="3" t="n"/>
      <c r="S176" s="3">
        <f>S76</f>
        <v>-31.8850997200005</v>
      </c>
      <c r="T176" s="3">
        <f>T76</f>
        <v>-32.18479368</v>
      </c>
      <c r="U176" s="3">
        <f>U76</f>
        <v>-33.87783624</v>
      </c>
      <c r="V176" s="3">
        <f>V76</f>
        <v>-36.13719223</v>
      </c>
      <c r="W176" s="3" t="n"/>
      <c r="X176" s="3">
        <f>X76</f>
        <v>-38.78307094</v>
      </c>
      <c r="Y176" s="3">
        <f>Y76</f>
        <v>-40.92108676</v>
      </c>
      <c r="Z176" s="3">
        <f>Z76</f>
        <v>-43.4457200736189</v>
      </c>
      <c r="AA176" s="3">
        <f>AA76</f>
        <v>-26.492400627492</v>
      </c>
      <c r="AB176" s="3" t="n"/>
      <c r="AC176" s="3">
        <f>AC76</f>
        <v>-38.4000833</v>
      </c>
      <c r="AD176" s="3">
        <f>AD76</f>
        <v>-38.47477303</v>
      </c>
      <c r="AE176" s="3">
        <f>AE76</f>
        <v>-37.1150324</v>
      </c>
      <c r="AF176" s="3">
        <f>AF76</f>
        <v>-38.84610311</v>
      </c>
      <c r="AG176" s="3" t="n"/>
      <c r="AH176" s="3">
        <f>AH76</f>
        <v>-38.73890781</v>
      </c>
      <c r="AI176" s="3">
        <f>AI76</f>
        <v>-39.39946144</v>
      </c>
      <c r="AJ176" s="3">
        <f>AJ76</f>
        <v>0</v>
      </c>
      <c r="AK176" s="3">
        <f>AK76</f>
        <v>0</v>
      </c>
      <c r="AL176" s="3" t="n"/>
      <c r="AM176" s="3">
        <f>AM76</f>
        <v>0</v>
      </c>
      <c r="AN176" s="3">
        <f>AN76</f>
        <v>0</v>
      </c>
      <c r="AO176" s="3">
        <f>AO76</f>
        <v>0</v>
      </c>
      <c r="AP176" s="3">
        <f>AP76</f>
        <v>0</v>
      </c>
      <c r="AQ176" s="3" t="n"/>
      <c r="AR176" s="3">
        <f>AR76</f>
        <v>0</v>
      </c>
      <c r="AS176" s="3">
        <f>AS76</f>
        <v>0</v>
      </c>
      <c r="AT176" s="3">
        <f>AT76</f>
        <v>0</v>
      </c>
      <c r="AU176" s="3">
        <f>AU76</f>
        <v>0</v>
      </c>
      <c r="AV176" s="3" t="n"/>
      <c r="AW176" s="3">
        <f>AW76</f>
        <v>0</v>
      </c>
      <c r="AX176" s="3">
        <f>AX76</f>
        <v>0</v>
      </c>
      <c r="AY176" s="3">
        <f>AY76</f>
        <v>0</v>
      </c>
      <c r="AZ176" s="3">
        <f>AZ76</f>
        <v>0</v>
      </c>
      <c r="BA176" s="3" t="n"/>
      <c r="BB176" s="3">
        <f>BB76</f>
        <v>0</v>
      </c>
      <c r="BC176" s="3">
        <f>BC76</f>
        <v>0</v>
      </c>
      <c r="BD176" s="3">
        <f>BD76</f>
        <v>0</v>
      </c>
      <c r="BE176" s="3">
        <f>BE76</f>
        <v>0</v>
      </c>
      <c r="BF176" s="3" t="n"/>
      <c r="BG176" s="3">
        <f>BG76</f>
        <v>0</v>
      </c>
      <c r="BH176" s="3">
        <f>BH76</f>
        <v>0</v>
      </c>
      <c r="BI176" s="3">
        <f>BI76</f>
        <v>0</v>
      </c>
      <c r="BJ176" s="3">
        <f>BJ76</f>
        <v>0</v>
      </c>
      <c r="BK176" s="3" t="n"/>
      <c r="BL176" s="3">
        <f>BL76</f>
        <v>0</v>
      </c>
      <c r="BM176" s="3">
        <f>BM76</f>
        <v>0</v>
      </c>
      <c r="BN176" s="3">
        <f>BN76</f>
        <v>0</v>
      </c>
      <c r="BO176" s="3">
        <f>BO76</f>
        <v>0</v>
      </c>
      <c r="BP176" s="3" t="n"/>
      <c r="BQ176" s="3">
        <f>BQ76</f>
        <v>0</v>
      </c>
      <c r="BR176" s="3">
        <f>BR76</f>
        <v>0</v>
      </c>
      <c r="BS176" s="3">
        <f>BS76</f>
        <v>0</v>
      </c>
      <c r="BT176" s="3">
        <f>BT76</f>
        <v>0</v>
      </c>
      <c r="BU176" s="3" t="n"/>
      <c r="BV176" s="3">
        <f>BV76</f>
        <v>0</v>
      </c>
      <c r="BW176" s="3">
        <f>BW76</f>
        <v>0</v>
      </c>
      <c r="BX176" s="3">
        <f>BX76</f>
        <v>0</v>
      </c>
      <c r="BY176" s="3">
        <f>BY76</f>
        <v>0</v>
      </c>
      <c r="BZ176" s="3" t="n"/>
      <c r="CA176" s="3">
        <f>CA76</f>
        <v>0</v>
      </c>
      <c r="CB176" s="3">
        <f>CB76</f>
        <v>0</v>
      </c>
      <c r="CC176" s="3">
        <f>CC76</f>
        <v>0</v>
      </c>
      <c r="CD176" s="3">
        <f>CD76</f>
        <v>0</v>
      </c>
      <c r="CE176" s="3" t="n"/>
      <c r="CF176" s="3">
        <f>CF76</f>
        <v>0</v>
      </c>
      <c r="CG176" s="3">
        <f>CG76</f>
        <v>0</v>
      </c>
      <c r="CH176" s="3">
        <f>CH76</f>
        <v>0</v>
      </c>
      <c r="CI176" s="3">
        <f>CI76</f>
        <v>0</v>
      </c>
      <c r="CJ176" s="3" t="n"/>
      <c r="CK176" s="3">
        <f>CK76</f>
        <v>0</v>
      </c>
      <c r="CL176" s="3">
        <f>CL76</f>
        <v>0</v>
      </c>
      <c r="CM176" s="3">
        <f>CM76</f>
        <v>0</v>
      </c>
      <c r="CN176" s="3">
        <f>CN76</f>
        <v>0</v>
      </c>
      <c r="CO176" s="3" t="n"/>
      <c r="CP176" s="3">
        <f>CP76</f>
        <v>0</v>
      </c>
      <c r="CQ176" s="3">
        <f>CQ76</f>
        <v>0</v>
      </c>
      <c r="CR176" s="3">
        <f>CR76</f>
        <v>0</v>
      </c>
      <c r="CS176" s="3">
        <f>CS76</f>
        <v>0</v>
      </c>
      <c r="CT176" s="3" t="n"/>
      <c r="CU176" s="3">
        <f>CU76</f>
        <v>0</v>
      </c>
      <c r="CV176" s="3">
        <f>CV76</f>
        <v>0</v>
      </c>
      <c r="CW176" s="3">
        <f>CW76</f>
        <v>0</v>
      </c>
      <c r="CX176" s="3">
        <f>CX76</f>
        <v>0</v>
      </c>
      <c r="CY176" s="3" t="n"/>
    </row>
    <row r="177" hidden="1" outlineLevel="1">
      <c r="C177" s="34" t="inlineStr">
        <is>
          <t>PP&amp;E</t>
        </is>
      </c>
      <c r="D177" s="3">
        <f>D172</f>
        <v>323.158</v>
      </c>
      <c r="E177" s="3">
        <f>E172</f>
        <v>325.80907259</v>
      </c>
      <c r="F177" s="3">
        <f>F172</f>
        <v>334.21093647</v>
      </c>
      <c r="G177" s="3">
        <f>G172</f>
        <v>340.9073531</v>
      </c>
      <c r="H177" s="3" t="n"/>
      <c r="I177" s="3">
        <f>I172</f>
        <v>359.07066973</v>
      </c>
      <c r="J177" s="3">
        <f>J172</f>
        <v>389.11645849</v>
      </c>
      <c r="K177" s="3">
        <f>K172</f>
        <v>432.31002293</v>
      </c>
      <c r="L177" s="3">
        <f>L172</f>
        <v>480.98795224</v>
      </c>
      <c r="M177" s="3" t="n"/>
      <c r="N177" s="3">
        <f>N172</f>
        <v>508.95098746</v>
      </c>
      <c r="O177" s="3">
        <f>O172</f>
        <v>550.42530122</v>
      </c>
      <c r="P177" s="3">
        <f>P172</f>
        <v>615.82445021</v>
      </c>
      <c r="Q177" s="3">
        <f>Q172</f>
        <v>652.164</v>
      </c>
      <c r="R177" s="3" t="n"/>
      <c r="S177" s="3">
        <f>S172</f>
        <v>675.451</v>
      </c>
      <c r="T177" s="3">
        <f>T172</f>
        <v>701.40473885</v>
      </c>
      <c r="U177" s="3">
        <f>U172</f>
        <v>738.27728221</v>
      </c>
      <c r="V177" s="3">
        <f>V172</f>
        <v>765.74598272</v>
      </c>
      <c r="W177" s="3" t="n"/>
      <c r="X177" s="3">
        <f>X172</f>
        <v>787.74775086</v>
      </c>
      <c r="Y177" s="3">
        <f>Y172</f>
        <v>798.60566233</v>
      </c>
      <c r="Z177" s="3">
        <f>Z172</f>
        <v>827.38907393</v>
      </c>
      <c r="AA177" s="3">
        <f>Y177+SUM(AA174:AA176)</f>
        <v>824.38815022</v>
      </c>
      <c r="AB177" s="3" t="n"/>
      <c r="AC177" s="3">
        <f>AC172</f>
        <v>875.204438</v>
      </c>
      <c r="AD177" s="3">
        <f>AD172</f>
        <v>865.69721234</v>
      </c>
      <c r="AE177" s="3">
        <f>AE172</f>
        <v>955.645</v>
      </c>
      <c r="AF177" s="3">
        <f>AE177+SUM(AF174:AF176)</f>
        <v>955.34730588</v>
      </c>
      <c r="AG177" s="3" t="n"/>
      <c r="AH177" s="3">
        <f>AH172</f>
        <v>957.47019153</v>
      </c>
      <c r="AI177" s="3">
        <f>AI172</f>
        <v>966.3156716</v>
      </c>
      <c r="AJ177" s="3">
        <f>AI177+SUM(AJ174:AJ176)</f>
        <v>966.3156716</v>
      </c>
      <c r="AK177" s="3">
        <f>AJ177+SUM(AK174:AK176)</f>
        <v>966.3156716</v>
      </c>
      <c r="AL177" s="3" t="n"/>
      <c r="AM177" s="3">
        <f>AK177+SUM(AM174:AM176)</f>
        <v>966.3156716</v>
      </c>
      <c r="AN177" s="3">
        <f>AM177+SUM(AN174:AN176)</f>
        <v>966.3156716</v>
      </c>
      <c r="AO177" s="3">
        <f>AN177+SUM(AO174:AO176)</f>
        <v>966.3156716</v>
      </c>
      <c r="AP177" s="3">
        <f>AO177+SUM(AP174:AP176)</f>
        <v>966.3156716</v>
      </c>
      <c r="AQ177" s="3" t="n"/>
      <c r="AR177" s="3">
        <f>AP177+SUM(AR174:AR176)</f>
        <v>966.3156716</v>
      </c>
      <c r="AS177" s="3">
        <f>AR177+SUM(AS174:AS176)</f>
        <v>966.3156716</v>
      </c>
      <c r="AT177" s="3">
        <f>AS177+SUM(AT174:AT176)</f>
        <v>966.3156716</v>
      </c>
      <c r="AU177" s="3">
        <f>AT177+SUM(AU174:AU176)</f>
        <v>966.3156716</v>
      </c>
      <c r="AV177" s="3" t="n"/>
      <c r="AW177" s="3">
        <f>AU177+SUM(AW174:AW176)</f>
        <v>966.3156716</v>
      </c>
      <c r="AX177" s="3">
        <f>AW177+SUM(AX174:AX176)</f>
        <v>966.3156716</v>
      </c>
      <c r="AY177" s="3">
        <f>AX177+SUM(AY174:AY176)</f>
        <v>966.3156716</v>
      </c>
      <c r="AZ177" s="3">
        <f>AY177+SUM(AZ174:AZ176)</f>
        <v>966.3156716</v>
      </c>
      <c r="BA177" s="3" t="n"/>
      <c r="BB177" s="3">
        <f>AZ177+SUM(BB174:BB176)</f>
        <v>966.3156716</v>
      </c>
      <c r="BC177" s="3">
        <f>BB177+SUM(BC174:BC176)</f>
        <v>966.3156716</v>
      </c>
      <c r="BD177" s="3">
        <f>BC177+SUM(BD174:BD176)</f>
        <v>966.3156716</v>
      </c>
      <c r="BE177" s="3">
        <f>BD177+SUM(BE174:BE176)</f>
        <v>966.3156716</v>
      </c>
      <c r="BF177" s="3" t="n"/>
      <c r="BG177" s="3">
        <f>BE177+SUM(BG174:BG176)</f>
        <v>966.3156716</v>
      </c>
      <c r="BH177" s="3">
        <f>BG177+SUM(BH174:BH176)</f>
        <v>966.3156716</v>
      </c>
      <c r="BI177" s="3">
        <f>BH177+SUM(BI174:BI176)</f>
        <v>966.3156716</v>
      </c>
      <c r="BJ177" s="3">
        <f>BI177+SUM(BJ174:BJ176)</f>
        <v>966.3156716</v>
      </c>
      <c r="BK177" s="3" t="n"/>
      <c r="BL177" s="3">
        <f>BJ177+SUM(BL174:BL176)</f>
        <v>966.3156716</v>
      </c>
      <c r="BM177" s="3">
        <f>BL177+SUM(BM174:BM176)</f>
        <v>966.3156716</v>
      </c>
      <c r="BN177" s="3">
        <f>BM177+SUM(BN174:BN176)</f>
        <v>966.3156716</v>
      </c>
      <c r="BO177" s="3">
        <f>BN177+SUM(BO174:BO176)</f>
        <v>966.3156716</v>
      </c>
      <c r="BP177" s="3" t="n"/>
      <c r="BQ177" s="3">
        <f>BO177+SUM(BQ174:BQ176)</f>
        <v>966.3156716</v>
      </c>
      <c r="BR177" s="3">
        <f>BQ177+SUM(BR174:BR176)</f>
        <v>966.3156716</v>
      </c>
      <c r="BS177" s="3">
        <f>BR177+SUM(BS174:BS176)</f>
        <v>966.3156716</v>
      </c>
      <c r="BT177" s="3">
        <f>BS177+SUM(BT174:BT176)</f>
        <v>966.3156716</v>
      </c>
      <c r="BU177" s="3" t="n"/>
      <c r="BV177" s="3">
        <f>BT177+SUM(BV174:BV176)</f>
        <v>966.3156716</v>
      </c>
      <c r="BW177" s="3">
        <f>BV177+SUM(BW174:BW176)</f>
        <v>966.3156716</v>
      </c>
      <c r="BX177" s="3">
        <f>BW177+SUM(BX174:BX176)</f>
        <v>966.3156716</v>
      </c>
      <c r="BY177" s="3">
        <f>BX177+SUM(BY174:BY176)</f>
        <v>966.3156716</v>
      </c>
      <c r="BZ177" s="3" t="n"/>
      <c r="CA177" s="3">
        <f>BY177+SUM(CA174:CA176)</f>
        <v>966.3156716</v>
      </c>
      <c r="CB177" s="3">
        <f>CA177+SUM(CB174:CB176)</f>
        <v>966.3156716</v>
      </c>
      <c r="CC177" s="3">
        <f>CB177+SUM(CC174:CC176)</f>
        <v>966.3156716</v>
      </c>
      <c r="CD177" s="3">
        <f>CC177+SUM(CD174:CD176)</f>
        <v>966.3156716</v>
      </c>
      <c r="CE177" s="3" t="n"/>
      <c r="CF177" s="3">
        <f>CD177+SUM(CF174:CF176)</f>
        <v>966.3156716</v>
      </c>
      <c r="CG177" s="3">
        <f>CF177+SUM(CG174:CG176)</f>
        <v>966.3156716</v>
      </c>
      <c r="CH177" s="3">
        <f>CG177+SUM(CH174:CH176)</f>
        <v>966.3156716</v>
      </c>
      <c r="CI177" s="3">
        <f>CH177+SUM(CI174:CI176)</f>
        <v>966.3156716</v>
      </c>
      <c r="CJ177" s="3" t="n"/>
      <c r="CK177" s="3">
        <f>CI177+SUM(CK174:CK176)</f>
        <v>966.3156716</v>
      </c>
      <c r="CL177" s="3">
        <f>CK177+SUM(CL174:CL176)</f>
        <v>966.3156716</v>
      </c>
      <c r="CM177" s="3">
        <f>CL177+SUM(CM174:CM176)</f>
        <v>966.3156716</v>
      </c>
      <c r="CN177" s="3">
        <f>CM177+SUM(CN174:CN176)</f>
        <v>966.3156716</v>
      </c>
      <c r="CO177" s="3" t="n"/>
      <c r="CP177" s="3">
        <f>CN177+SUM(CP174:CP176)</f>
        <v>966.3156716</v>
      </c>
      <c r="CQ177" s="3">
        <f>CP177+SUM(CQ174:CQ176)</f>
        <v>966.3156716</v>
      </c>
      <c r="CR177" s="3">
        <f>CQ177+SUM(CR174:CR176)</f>
        <v>966.3156716</v>
      </c>
      <c r="CS177" s="3">
        <f>CR177+SUM(CS174:CS176)</f>
        <v>966.3156716</v>
      </c>
      <c r="CT177" s="3" t="n"/>
      <c r="CU177" s="3">
        <f>CS177+SUM(CU174:CU176)</f>
        <v>966.3156716</v>
      </c>
      <c r="CV177" s="3">
        <f>CU177+SUM(CV174:CV176)</f>
        <v>966.3156716</v>
      </c>
      <c r="CW177" s="3">
        <f>CV177+SUM(CW174:CW176)</f>
        <v>966.3156716</v>
      </c>
      <c r="CX177" s="3">
        <f>CW177+SUM(CX174:CX176)</f>
        <v>966.3156716</v>
      </c>
      <c r="CY177" s="3" t="n"/>
      <c r="CZ177">
        <f>CX177+SUM(CZ174:CZ176)</f>
        <v>966.3156716</v>
      </c>
      <c r="DA177">
        <f>CZ177+SUM(DA174:DA176)</f>
        <v>966.3156716</v>
      </c>
      <c r="DB177">
        <f>DA177+SUM(DB174:DB176)</f>
        <v>966.3156716</v>
      </c>
      <c r="DC177">
        <f>DB177+SUM(DC174:DC176)</f>
        <v>966.3156716</v>
      </c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inlineStr">
        <is>
          <t>Capital expenditures (% Net Revenues)</t>
        </is>
      </c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40">
        <f>AF174/AF15</f>
        <v>0.0362304797743405</v>
      </c>
      <c r="AG179" s="40">
        <f>AG174/AG15</f>
        <v>0.0842573368074193</v>
      </c>
      <c r="AH179" s="40">
        <f>AH174/AH15</f>
        <v>0.0686162104548516</v>
      </c>
      <c r="AI179" s="40">
        <f>AI174/AI15</f>
        <v>0.0579079867775132</v>
      </c>
      <c r="AJ179" s="40">
        <f>AJ174/AJ15</f>
        <v>0</v>
      </c>
      <c r="AK179" s="40">
        <f>AK174/AK15</f>
        <v>0</v>
      </c>
      <c r="AL179" s="40">
        <f>AL174/AL15</f>
        <v>0</v>
      </c>
      <c r="AM179" s="40">
        <f>AM174/AM15</f>
        <v>0</v>
      </c>
      <c r="AN179" s="40">
        <f>AN174/AN15</f>
        <v>0</v>
      </c>
      <c r="AO179" s="40">
        <f>AO174/AO15</f>
        <v>0</v>
      </c>
      <c r="AP179" s="40">
        <f>AP174/AP15</f>
        <v>0</v>
      </c>
      <c r="AQ179" s="40">
        <f>AQ174/AQ15</f>
        <v>0</v>
      </c>
      <c r="AR179" s="40">
        <f>AR174/AR15</f>
        <v>0</v>
      </c>
      <c r="AS179" s="40">
        <f>AS174/AS15</f>
        <v>0</v>
      </c>
      <c r="AT179" s="40">
        <f>AT174/AT15</f>
        <v>0</v>
      </c>
      <c r="AU179" s="40">
        <f>AU174/AU15</f>
        <v>0</v>
      </c>
      <c r="AV179" s="40">
        <f>AV174/AV15</f>
        <v>0</v>
      </c>
      <c r="AW179" s="40">
        <f>AW174/AW15</f>
        <v>0</v>
      </c>
      <c r="AX179" s="40">
        <f>AX174/AX15</f>
        <v>0</v>
      </c>
      <c r="AY179" s="40">
        <f>AY174/AY15</f>
        <v>0</v>
      </c>
      <c r="AZ179" s="40">
        <f>AZ174/AZ15</f>
        <v>0</v>
      </c>
      <c r="BA179" s="40">
        <f>BA174/BA15</f>
        <v>0</v>
      </c>
      <c r="BB179" s="40">
        <f>BB174/BB15</f>
        <v>0</v>
      </c>
      <c r="BC179" s="40">
        <f>BC174/BC15</f>
        <v>0</v>
      </c>
      <c r="BD179" s="40">
        <f>BD174/BD15</f>
        <v>0</v>
      </c>
      <c r="BE179" s="40">
        <f>BE174/BE15</f>
        <v>0</v>
      </c>
      <c r="BF179" s="40">
        <f>BF174/BF15</f>
        <v>0</v>
      </c>
      <c r="BG179" s="40">
        <f>BG174/BG15</f>
        <v>0</v>
      </c>
      <c r="BH179" s="40">
        <f>BH174/BH15</f>
        <v>0</v>
      </c>
      <c r="BI179" s="40">
        <f>BI174/BI15</f>
        <v>0</v>
      </c>
      <c r="BJ179" s="40">
        <f>BJ174/BJ15</f>
        <v>0</v>
      </c>
      <c r="BK179" s="40">
        <f>BK174/BK15</f>
        <v>0</v>
      </c>
      <c r="BL179" s="40">
        <f>BL174/BL15</f>
        <v>0</v>
      </c>
      <c r="BM179" s="40">
        <f>BM174/BM15</f>
        <v>0</v>
      </c>
      <c r="BN179" s="40">
        <f>BN174/BN15</f>
        <v>0</v>
      </c>
      <c r="BO179" s="40">
        <f>BO174/BO15</f>
        <v>0</v>
      </c>
      <c r="BP179" s="40">
        <f>BP174/BP15</f>
        <v>0</v>
      </c>
      <c r="BQ179" s="40">
        <f>BQ174/BQ15</f>
        <v>0</v>
      </c>
      <c r="BR179" s="40">
        <f>BR174/BR15</f>
        <v>0</v>
      </c>
      <c r="BS179" s="40">
        <f>BS174/BS15</f>
        <v>0</v>
      </c>
      <c r="BT179" s="40">
        <f>BT174/BT15</f>
        <v>0</v>
      </c>
      <c r="BU179" s="40">
        <f>BU174/BU15</f>
        <v>0</v>
      </c>
      <c r="BV179" s="40">
        <f>BV174/BV15</f>
        <v>0</v>
      </c>
      <c r="BW179" s="40">
        <f>BW174/BW15</f>
        <v>0</v>
      </c>
      <c r="BX179" s="40">
        <f>BX174/BX15</f>
        <v>0</v>
      </c>
      <c r="BY179" s="40">
        <f>BY174/BY15</f>
        <v>0</v>
      </c>
      <c r="BZ179" s="40">
        <f>BZ174/BZ15</f>
        <v>0</v>
      </c>
      <c r="CA179" s="40">
        <f>CA174/CA15</f>
        <v>0</v>
      </c>
      <c r="CB179" s="40">
        <f>CB174/CB15</f>
        <v>0</v>
      </c>
      <c r="CC179" s="40">
        <f>CC174/CC15</f>
        <v>0</v>
      </c>
      <c r="CD179" s="40">
        <f>CD174/CD15</f>
        <v>0</v>
      </c>
      <c r="CE179" s="40">
        <f>CE174/CE15</f>
        <v>0</v>
      </c>
      <c r="CF179" s="40">
        <f>CF174/CF15</f>
        <v>0</v>
      </c>
      <c r="CG179" s="40">
        <f>CG174/CG15</f>
        <v>0</v>
      </c>
      <c r="CH179" s="40">
        <f>CH174/CH15</f>
        <v>0</v>
      </c>
      <c r="CI179" s="40">
        <f>CI174/CI15</f>
        <v>0</v>
      </c>
      <c r="CJ179" s="40">
        <f>CJ174/CJ15</f>
        <v>0</v>
      </c>
      <c r="CK179" s="40">
        <f>CK174/CK15</f>
        <v>0</v>
      </c>
      <c r="CL179" s="40">
        <f>CL174/CL15</f>
        <v>0</v>
      </c>
      <c r="CM179" s="40">
        <f>CM174/CM15</f>
        <v>0</v>
      </c>
      <c r="CN179" s="40">
        <f>CN174/CN15</f>
        <v>0</v>
      </c>
      <c r="CO179" s="40">
        <f>CO174/CO15</f>
        <v>0</v>
      </c>
      <c r="CP179" s="40">
        <f>CP174/CP15</f>
        <v>0</v>
      </c>
      <c r="CQ179" s="40">
        <f>CQ174/CQ15</f>
        <v>0</v>
      </c>
      <c r="CR179" s="40">
        <f>CR174/CR15</f>
        <v>0</v>
      </c>
      <c r="CS179" s="40">
        <f>CS174/CS15</f>
        <v>0</v>
      </c>
      <c r="CT179" s="40">
        <f>CT174/CT15</f>
        <v>0</v>
      </c>
      <c r="CU179" s="40">
        <f>CU174/CU15</f>
        <v>0</v>
      </c>
      <c r="CV179" s="40">
        <f>CV174/CV15</f>
        <v>0</v>
      </c>
      <c r="CW179" s="40">
        <f>CW174/CW15</f>
        <v>0</v>
      </c>
      <c r="CX179" s="40">
        <f>CX174/CX15</f>
        <v>0</v>
      </c>
      <c r="CY179" s="40">
        <f>CY174/CY15</f>
        <v>0</v>
      </c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collapsed="1">
      <c r="C182" s="26" t="inlineStr">
        <is>
          <t>Right-of-use-assets</t>
        </is>
      </c>
      <c r="D182" s="25" t="n"/>
      <c r="E182" s="25" t="n"/>
      <c r="F182" s="25" t="n"/>
      <c r="G182" s="25" t="n"/>
      <c r="H182" s="3">
        <f>G182</f>
        <v>0</v>
      </c>
      <c r="I182" s="25" t="n"/>
      <c r="J182" s="25" t="n"/>
      <c r="K182" s="25" t="n"/>
      <c r="L182" s="25" t="n"/>
      <c r="M182" s="3">
        <f>L182</f>
        <v>0</v>
      </c>
      <c r="N182" s="25" t="n"/>
      <c r="O182" s="25" t="n"/>
      <c r="P182" s="25" t="n"/>
      <c r="Q182" s="25" t="n"/>
      <c r="R182" s="3">
        <f>Q182</f>
        <v>0</v>
      </c>
      <c r="S182" s="25" t="n"/>
      <c r="T182" s="25" t="n"/>
      <c r="U182" s="25" t="n"/>
      <c r="V182" s="25" t="n"/>
      <c r="W182" s="3">
        <f>V182</f>
        <v>0</v>
      </c>
      <c r="X182" s="25" t="n"/>
      <c r="Y182" s="25" t="n"/>
      <c r="Z182" s="25" t="n"/>
      <c r="AA182" s="25" t="n"/>
      <c r="AB182" s="3">
        <f>AA182</f>
        <v>0</v>
      </c>
      <c r="AC182" s="25" t="n"/>
      <c r="AD182" s="25" t="n"/>
      <c r="AE182" s="25" t="n"/>
      <c r="AF182" s="25" t="n"/>
      <c r="AG182" s="3">
        <f>AF182</f>
        <v>0</v>
      </c>
      <c r="AH182" s="3">
        <f>AG182</f>
        <v>0</v>
      </c>
      <c r="AI182" s="3">
        <f>AH182</f>
        <v>0</v>
      </c>
      <c r="AJ182" s="3">
        <f>AI182</f>
        <v>0</v>
      </c>
      <c r="AK182" s="3">
        <f>AJ182</f>
        <v>0</v>
      </c>
      <c r="AL182" s="3">
        <f>AK182</f>
        <v>0</v>
      </c>
      <c r="AM182" s="3">
        <f>AL182</f>
        <v>0</v>
      </c>
      <c r="AN182" s="3">
        <f>AM182</f>
        <v>0</v>
      </c>
      <c r="AO182" s="3">
        <f>AN182</f>
        <v>0</v>
      </c>
      <c r="AP182" s="3">
        <f>AO182</f>
        <v>0</v>
      </c>
      <c r="AQ182" s="3">
        <f>AP182</f>
        <v>0</v>
      </c>
      <c r="AR182" s="3">
        <f>AQ182</f>
        <v>0</v>
      </c>
      <c r="AS182" s="3">
        <f>AR182</f>
        <v>0</v>
      </c>
      <c r="AT182" s="3">
        <f>AS182</f>
        <v>0</v>
      </c>
      <c r="AU182" s="3">
        <f>AT182</f>
        <v>0</v>
      </c>
      <c r="AV182" s="3">
        <f>AU182</f>
        <v>0</v>
      </c>
      <c r="AW182" s="3">
        <f>AV182</f>
        <v>0</v>
      </c>
      <c r="AX182" s="3">
        <f>AW182</f>
        <v>0</v>
      </c>
      <c r="AY182" s="3">
        <f>AX182</f>
        <v>0</v>
      </c>
      <c r="AZ182" s="3">
        <f>AY182</f>
        <v>0</v>
      </c>
      <c r="BA182" s="3">
        <f>AZ182</f>
        <v>0</v>
      </c>
      <c r="BB182" s="3">
        <f>BA182</f>
        <v>0</v>
      </c>
      <c r="BC182" s="3">
        <f>BB182</f>
        <v>0</v>
      </c>
      <c r="BD182" s="3">
        <f>BC182</f>
        <v>0</v>
      </c>
      <c r="BE182" s="3">
        <f>BD182</f>
        <v>0</v>
      </c>
      <c r="BF182" s="3">
        <f>BE182</f>
        <v>0</v>
      </c>
      <c r="BG182" s="3">
        <f>BF182</f>
        <v>0</v>
      </c>
      <c r="BH182" s="3">
        <f>BG182</f>
        <v>0</v>
      </c>
      <c r="BI182" s="3">
        <f>BH182</f>
        <v>0</v>
      </c>
      <c r="BJ182" s="3">
        <f>BI182</f>
        <v>0</v>
      </c>
      <c r="BK182" s="3">
        <f>BJ182</f>
        <v>0</v>
      </c>
      <c r="BL182" s="3">
        <f>BK182</f>
        <v>0</v>
      </c>
      <c r="BM182" s="3">
        <f>BL182</f>
        <v>0</v>
      </c>
      <c r="BN182" s="3">
        <f>BM182</f>
        <v>0</v>
      </c>
      <c r="BO182" s="3">
        <f>BN182</f>
        <v>0</v>
      </c>
      <c r="BP182" s="3">
        <f>BO182</f>
        <v>0</v>
      </c>
      <c r="BQ182" s="3">
        <f>BP182</f>
        <v>0</v>
      </c>
      <c r="BR182" s="3">
        <f>BQ182</f>
        <v>0</v>
      </c>
      <c r="BS182" s="3">
        <f>BR182</f>
        <v>0</v>
      </c>
      <c r="BT182" s="3">
        <f>BS182</f>
        <v>0</v>
      </c>
      <c r="BU182" s="3">
        <f>BT182</f>
        <v>0</v>
      </c>
      <c r="BV182" s="3">
        <f>BU182</f>
        <v>0</v>
      </c>
      <c r="BW182" s="3">
        <f>BV182</f>
        <v>0</v>
      </c>
      <c r="BX182" s="3">
        <f>BW182</f>
        <v>0</v>
      </c>
      <c r="BY182" s="3">
        <f>BX182</f>
        <v>0</v>
      </c>
      <c r="BZ182" s="3">
        <f>BY182</f>
        <v>0</v>
      </c>
      <c r="CA182" s="3">
        <f>BZ182</f>
        <v>0</v>
      </c>
      <c r="CB182" s="3">
        <f>CA182</f>
        <v>0</v>
      </c>
      <c r="CC182" s="3">
        <f>CB182</f>
        <v>0</v>
      </c>
      <c r="CD182" s="3">
        <f>CC182</f>
        <v>0</v>
      </c>
      <c r="CE182" s="3">
        <f>CD182</f>
        <v>0</v>
      </c>
      <c r="CF182" s="3">
        <f>CE182</f>
        <v>0</v>
      </c>
      <c r="CG182" s="3">
        <f>CF182</f>
        <v>0</v>
      </c>
      <c r="CH182" s="3">
        <f>CG182</f>
        <v>0</v>
      </c>
      <c r="CI182" s="3">
        <f>CH182</f>
        <v>0</v>
      </c>
      <c r="CJ182" s="3">
        <f>CI182</f>
        <v>0</v>
      </c>
      <c r="CK182" s="3">
        <f>CJ182</f>
        <v>0</v>
      </c>
      <c r="CL182" s="3">
        <f>CK182</f>
        <v>0</v>
      </c>
      <c r="CM182" s="3">
        <f>CL182</f>
        <v>0</v>
      </c>
      <c r="CN182" s="3">
        <f>CM182</f>
        <v>0</v>
      </c>
      <c r="CO182" s="3">
        <f>CN182</f>
        <v>0</v>
      </c>
      <c r="CP182" s="3">
        <f>CO182</f>
        <v>0</v>
      </c>
      <c r="CQ182" s="3">
        <f>CP182</f>
        <v>0</v>
      </c>
      <c r="CR182" s="3">
        <f>CQ182</f>
        <v>0</v>
      </c>
      <c r="CS182" s="3">
        <f>CR182</f>
        <v>0</v>
      </c>
      <c r="CT182" s="3">
        <f>CS182</f>
        <v>0</v>
      </c>
      <c r="CU182" s="3">
        <f>CT182</f>
        <v>0</v>
      </c>
      <c r="CV182" s="3">
        <f>CU182</f>
        <v>0</v>
      </c>
      <c r="CW182" s="3">
        <f>CV182</f>
        <v>0</v>
      </c>
      <c r="CX182" s="3">
        <f>CW182</f>
        <v>0</v>
      </c>
      <c r="CY182" s="3">
        <f>CX182</f>
        <v>0</v>
      </c>
    </row>
    <row r="183" hidden="1" outlineLevel="1">
      <c r="C183" s="38" t="inlineStr">
        <is>
          <t>%(Var.)</t>
        </is>
      </c>
      <c r="D183" s="3" t="n"/>
      <c r="E183" s="47">
        <f>IFERROR((E182-D182)/D182,0)</f>
        <v>0</v>
      </c>
      <c r="F183" s="47">
        <f>IFERROR((F182-E182)/E182,0)</f>
        <v>0</v>
      </c>
      <c r="G183" s="47">
        <f>IFERROR((G182-F182)/F182,0)</f>
        <v>0</v>
      </c>
      <c r="H183" s="3" t="n"/>
      <c r="I183" s="47">
        <f>IFERROR((I182-H182)/H182,0)</f>
        <v>0</v>
      </c>
      <c r="J183" s="47">
        <f>IFERROR((J182-I182)/I182,0)</f>
        <v>0</v>
      </c>
      <c r="K183" s="47">
        <f>IFERROR((K182-J182)/J182,0)</f>
        <v>0</v>
      </c>
      <c r="L183" s="47">
        <f>IFERROR((L182-K182)/K182,0)</f>
        <v>0</v>
      </c>
      <c r="M183" s="3" t="n"/>
      <c r="N183" s="47">
        <f>IFERROR((N182-M182)/M182,0)</f>
        <v>0</v>
      </c>
      <c r="O183" s="47">
        <f>IFERROR((O182-N182)/N182,0)</f>
        <v>0</v>
      </c>
      <c r="P183" s="47">
        <f>IFERROR((P182-O182)/O182,0)</f>
        <v>0</v>
      </c>
      <c r="Q183" s="47">
        <f>IFERROR((Q182-P182)/P182,0)</f>
        <v>0</v>
      </c>
      <c r="R183" s="3" t="n"/>
      <c r="S183" s="47">
        <f>IFERROR((S182-R182)/R182,0)</f>
        <v>0</v>
      </c>
      <c r="T183" s="47">
        <f>IFERROR((T182-S182)/S182,0)</f>
        <v>0</v>
      </c>
      <c r="U183" s="47">
        <f>IFERROR((U182-T182)/T182,0)</f>
        <v>0</v>
      </c>
      <c r="V183" s="47">
        <f>IFERROR((V182-U182)/U182,0)</f>
        <v>0</v>
      </c>
      <c r="W183" s="3" t="n"/>
      <c r="X183" s="47">
        <f>IFERROR((X182-W182)/W182,0)</f>
        <v>0</v>
      </c>
      <c r="Y183" s="47">
        <f>IFERROR((Y182-X182)/X182,0)</f>
        <v>0</v>
      </c>
      <c r="Z183" s="47">
        <f>IFERROR((Z182-Y182)/Y182,0)</f>
        <v>0</v>
      </c>
      <c r="AA183" s="47">
        <f>IFERROR((AA182-Z182)/Z182,0)</f>
        <v>0</v>
      </c>
      <c r="AB183" s="3" t="n"/>
      <c r="AC183" s="47">
        <f>IFERROR((AC182-AB182)/AB182,0)</f>
        <v>0</v>
      </c>
      <c r="AD183" s="47">
        <f>IFERROR((AD182-AC182)/AC182,0)</f>
        <v>0</v>
      </c>
      <c r="AE183" s="47">
        <f>IFERROR((AE182-AD182)/AD182,0)</f>
        <v>0</v>
      </c>
      <c r="AF183" s="218">
        <f>IFERROR((AF182-AE182)/AE182,0)</f>
        <v>0</v>
      </c>
      <c r="AG183" s="3" t="n"/>
      <c r="AH183" s="218">
        <f>IFERROR((AH182-AG182)/AG182,0)</f>
        <v>0</v>
      </c>
      <c r="AI183" s="218">
        <f>IFERROR((AI182-AH182)/AH182,0)</f>
        <v>0</v>
      </c>
      <c r="AJ183" s="218" t="n"/>
      <c r="AK183" s="218" t="n"/>
      <c r="AL183" s="3" t="n"/>
      <c r="AM183" s="218" t="n"/>
      <c r="AN183" s="218" t="n"/>
      <c r="AO183" s="218" t="n"/>
      <c r="AP183" s="218" t="n"/>
      <c r="AQ183" s="3" t="n"/>
      <c r="AR183" s="218" t="n"/>
      <c r="AS183" s="218" t="n"/>
      <c r="AT183" s="218" t="n"/>
      <c r="AU183" s="218" t="n"/>
      <c r="AV183" s="3" t="n"/>
      <c r="AW183" s="218" t="n"/>
      <c r="AX183" s="218" t="n"/>
      <c r="AY183" s="218" t="n"/>
      <c r="AZ183" s="218" t="n"/>
      <c r="BA183" s="3" t="n"/>
      <c r="BB183" s="218" t="n"/>
      <c r="BC183" s="218" t="n"/>
      <c r="BD183" s="218" t="n"/>
      <c r="BE183" s="218" t="n"/>
      <c r="BF183" s="3" t="n"/>
      <c r="BG183" s="218" t="n"/>
      <c r="BH183" s="218" t="n"/>
      <c r="BI183" s="218" t="n"/>
      <c r="BJ183" s="218" t="n"/>
      <c r="BK183" s="3" t="n"/>
      <c r="BL183" s="218" t="n"/>
      <c r="BM183" s="218" t="n"/>
      <c r="BN183" s="218" t="n"/>
      <c r="BO183" s="218" t="n"/>
      <c r="BP183" s="3" t="n"/>
      <c r="BQ183" s="218" t="n"/>
      <c r="BR183" s="218" t="n"/>
      <c r="BS183" s="218" t="n"/>
      <c r="BT183" s="218" t="n"/>
      <c r="BU183" s="3" t="n"/>
      <c r="BV183" s="218" t="n"/>
      <c r="BW183" s="218" t="n"/>
      <c r="BX183" s="218" t="n"/>
      <c r="BY183" s="218" t="n"/>
      <c r="BZ183" s="3" t="n"/>
      <c r="CA183" s="218" t="n"/>
      <c r="CB183" s="218" t="n"/>
      <c r="CC183" s="218" t="n"/>
      <c r="CD183" s="218" t="n"/>
      <c r="CE183" s="3" t="n"/>
      <c r="CF183" s="218" t="n"/>
      <c r="CG183" s="218" t="n"/>
      <c r="CH183" s="218" t="n"/>
      <c r="CI183" s="218" t="n"/>
      <c r="CJ183" s="3" t="n"/>
      <c r="CK183" s="218" t="n"/>
      <c r="CL183" s="218" t="n"/>
      <c r="CM183" s="218" t="n"/>
      <c r="CN183" s="218" t="n"/>
      <c r="CO183" s="3" t="n"/>
      <c r="CP183" s="218" t="n"/>
      <c r="CQ183" s="218" t="n"/>
      <c r="CR183" s="218" t="n"/>
      <c r="CS183" s="218" t="n"/>
      <c r="CT183" s="3" t="n"/>
      <c r="CU183" s="218" t="n"/>
      <c r="CV183" s="218" t="n"/>
      <c r="CW183" s="218" t="n"/>
      <c r="CX183" s="218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Goodwill</t>
        </is>
      </c>
      <c r="D185" s="25" t="n"/>
      <c r="E185" s="25" t="n"/>
      <c r="F185" s="25" t="n"/>
      <c r="G185" s="25" t="n"/>
      <c r="H185" s="3">
        <f>G185</f>
        <v>0</v>
      </c>
      <c r="I185" s="25" t="n"/>
      <c r="J185" s="25" t="n"/>
      <c r="K185" s="25" t="n"/>
      <c r="L185" s="25" t="n"/>
      <c r="M185" s="3">
        <f>L185</f>
        <v>0</v>
      </c>
      <c r="N185" s="25" t="n"/>
      <c r="O185" s="25" t="n"/>
      <c r="P185" s="25" t="n"/>
      <c r="Q185" s="25" t="n"/>
      <c r="R185" s="3">
        <f>Q185</f>
        <v>0</v>
      </c>
      <c r="S185" s="25" t="n"/>
      <c r="T185" s="25" t="n"/>
      <c r="U185" s="25" t="n"/>
      <c r="V185" s="25" t="n"/>
      <c r="W185" s="3">
        <f>V185</f>
        <v>0</v>
      </c>
      <c r="X185" s="25" t="n"/>
      <c r="Y185" s="25" t="n"/>
      <c r="Z185" s="25" t="n"/>
      <c r="AA185" s="25" t="n"/>
      <c r="AB185" s="3">
        <f>AA185</f>
        <v>0</v>
      </c>
      <c r="AC185" s="25" t="n"/>
      <c r="AD185" s="25" t="n"/>
      <c r="AE185" s="25" t="n"/>
      <c r="AF185" s="25" t="n"/>
      <c r="AG185" s="3">
        <f>AF185</f>
        <v>0</v>
      </c>
      <c r="AH185" s="3">
        <f>AG185</f>
        <v>0</v>
      </c>
      <c r="AI185" s="3">
        <f>AH185</f>
        <v>0</v>
      </c>
      <c r="AJ185" s="3">
        <f>AI185</f>
        <v>0</v>
      </c>
      <c r="AK185" s="3">
        <f>AJ185</f>
        <v>0</v>
      </c>
      <c r="AL185" s="3">
        <f>AK185</f>
        <v>0</v>
      </c>
      <c r="AM185" s="3">
        <f>AL185</f>
        <v>0</v>
      </c>
      <c r="AN185" s="3">
        <f>AM185</f>
        <v>0</v>
      </c>
      <c r="AO185" s="3">
        <f>AN185</f>
        <v>0</v>
      </c>
      <c r="AP185" s="3">
        <f>AO185</f>
        <v>0</v>
      </c>
      <c r="AQ185" s="3">
        <f>AP185</f>
        <v>0</v>
      </c>
      <c r="AR185" s="3">
        <f>AQ185</f>
        <v>0</v>
      </c>
      <c r="AS185" s="3">
        <f>AR185</f>
        <v>0</v>
      </c>
      <c r="AT185" s="3">
        <f>AS185</f>
        <v>0</v>
      </c>
      <c r="AU185" s="3">
        <f>AT185</f>
        <v>0</v>
      </c>
      <c r="AV185" s="3">
        <f>AU185</f>
        <v>0</v>
      </c>
      <c r="AW185" s="3">
        <f>AV185</f>
        <v>0</v>
      </c>
      <c r="AX185" s="3">
        <f>AW185</f>
        <v>0</v>
      </c>
      <c r="AY185" s="3">
        <f>AX185</f>
        <v>0</v>
      </c>
      <c r="AZ185" s="3">
        <f>AY185</f>
        <v>0</v>
      </c>
      <c r="BA185" s="3">
        <f>AZ185</f>
        <v>0</v>
      </c>
      <c r="BB185" s="3">
        <f>BA185</f>
        <v>0</v>
      </c>
      <c r="BC185" s="3">
        <f>BB185</f>
        <v>0</v>
      </c>
      <c r="BD185" s="3">
        <f>BC185</f>
        <v>0</v>
      </c>
      <c r="BE185" s="3">
        <f>BD185</f>
        <v>0</v>
      </c>
      <c r="BF185" s="3">
        <f>BE185</f>
        <v>0</v>
      </c>
      <c r="BG185" s="3">
        <f>BF185</f>
        <v>0</v>
      </c>
      <c r="BH185" s="3">
        <f>BG185</f>
        <v>0</v>
      </c>
      <c r="BI185" s="3">
        <f>BH185</f>
        <v>0</v>
      </c>
      <c r="BJ185" s="3">
        <f>BI185</f>
        <v>0</v>
      </c>
      <c r="BK185" s="3">
        <f>BJ185</f>
        <v>0</v>
      </c>
      <c r="BL185" s="3">
        <f>BK185</f>
        <v>0</v>
      </c>
      <c r="BM185" s="3">
        <f>BL185</f>
        <v>0</v>
      </c>
      <c r="BN185" s="3">
        <f>BM185</f>
        <v>0</v>
      </c>
      <c r="BO185" s="3">
        <f>BN185</f>
        <v>0</v>
      </c>
      <c r="BP185" s="3">
        <f>BO185</f>
        <v>0</v>
      </c>
      <c r="BQ185" s="3">
        <f>BP185</f>
        <v>0</v>
      </c>
      <c r="BR185" s="3">
        <f>BQ185</f>
        <v>0</v>
      </c>
      <c r="BS185" s="3">
        <f>BR185</f>
        <v>0</v>
      </c>
      <c r="BT185" s="3">
        <f>BS185</f>
        <v>0</v>
      </c>
      <c r="BU185" s="3">
        <f>BT185</f>
        <v>0</v>
      </c>
      <c r="BV185" s="3">
        <f>BU185</f>
        <v>0</v>
      </c>
      <c r="BW185" s="3">
        <f>BV185</f>
        <v>0</v>
      </c>
      <c r="BX185" s="3">
        <f>BW185</f>
        <v>0</v>
      </c>
      <c r="BY185" s="3">
        <f>BX185</f>
        <v>0</v>
      </c>
      <c r="BZ185" s="3">
        <f>BY185</f>
        <v>0</v>
      </c>
      <c r="CA185" s="3">
        <f>BZ185</f>
        <v>0</v>
      </c>
      <c r="CB185" s="3">
        <f>CA185</f>
        <v>0</v>
      </c>
      <c r="CC185" s="3">
        <f>CB185</f>
        <v>0</v>
      </c>
      <c r="CD185" s="3">
        <f>CC185</f>
        <v>0</v>
      </c>
      <c r="CE185" s="3">
        <f>CD185</f>
        <v>0</v>
      </c>
      <c r="CF185" s="3">
        <f>CE185</f>
        <v>0</v>
      </c>
      <c r="CG185" s="3">
        <f>CF185</f>
        <v>0</v>
      </c>
      <c r="CH185" s="3">
        <f>CG185</f>
        <v>0</v>
      </c>
      <c r="CI185" s="3">
        <f>CH185</f>
        <v>0</v>
      </c>
      <c r="CJ185" s="3">
        <f>CI185</f>
        <v>0</v>
      </c>
      <c r="CK185" s="3">
        <f>CJ185</f>
        <v>0</v>
      </c>
      <c r="CL185" s="3">
        <f>CK185</f>
        <v>0</v>
      </c>
      <c r="CM185" s="3">
        <f>CL185</f>
        <v>0</v>
      </c>
      <c r="CN185" s="3">
        <f>CM185</f>
        <v>0</v>
      </c>
      <c r="CO185" s="3">
        <f>CN185</f>
        <v>0</v>
      </c>
      <c r="CP185" s="3">
        <f>CO185</f>
        <v>0</v>
      </c>
      <c r="CQ185" s="3">
        <f>CP185</f>
        <v>0</v>
      </c>
      <c r="CR185" s="3">
        <f>CQ185</f>
        <v>0</v>
      </c>
      <c r="CS185" s="3">
        <f>CR185</f>
        <v>0</v>
      </c>
      <c r="CT185" s="3">
        <f>CS185</f>
        <v>0</v>
      </c>
      <c r="CU185" s="3">
        <f>CT185</f>
        <v>0</v>
      </c>
      <c r="CV185" s="3">
        <f>CU185</f>
        <v>0</v>
      </c>
      <c r="CW185" s="3">
        <f>CV185</f>
        <v>0</v>
      </c>
      <c r="CX185" s="3">
        <f>CW185</f>
        <v>0</v>
      </c>
      <c r="CY185" s="3">
        <f>CX185</f>
        <v>0</v>
      </c>
    </row>
    <row r="186">
      <c r="C186" s="26" t="inlineStr">
        <is>
          <t>Intangibles</t>
        </is>
      </c>
      <c r="D186" s="25">
        <f>INDEX('Inputs (2)'!$D$25:$AL$25,MATCH(D$7,'Inputs (2)'!$D$2:$AL$2,0))</f>
        <v>8.707</v>
      </c>
      <c r="E186" s="25">
        <f>INDEX('Inputs (2)'!$D$25:$AL$25,MATCH(E$7,'Inputs (2)'!$D$2:$AL$2,0))</f>
        <v>8.02101400000001</v>
      </c>
      <c r="F186" s="25">
        <f>INDEX('Inputs (2)'!$D$25:$AL$25,MATCH(F$7,'Inputs (2)'!$D$2:$AL$2,0))</f>
        <v>13.90381051</v>
      </c>
      <c r="G186" s="25">
        <f>INDEX('Inputs (2)'!$D$25:$AL$25,MATCH(G$7,'Inputs (2)'!$D$2:$AL$2,0))</f>
        <v>8.98057575</v>
      </c>
      <c r="H186" s="3">
        <f>G186</f>
        <v>8.98057575</v>
      </c>
      <c r="I186" s="25">
        <f>INDEX('Inputs (2)'!$D$25:$AL$25,MATCH(I$7,'Inputs (2)'!$D$2:$AL$2,0))</f>
        <v>10.41187674</v>
      </c>
      <c r="J186" s="25">
        <f>INDEX('Inputs (2)'!$D$25:$AL$25,MATCH(J$7,'Inputs (2)'!$D$2:$AL$2,0))</f>
        <v>11.36313578</v>
      </c>
      <c r="K186" s="25">
        <f>INDEX('Inputs (2)'!$D$25:$AL$25,MATCH(K$7,'Inputs (2)'!$D$2:$AL$2,0))</f>
        <v>13.87559703</v>
      </c>
      <c r="L186" s="25">
        <f>INDEX('Inputs (2)'!$D$25:$AL$25,MATCH(L$7,'Inputs (2)'!$D$2:$AL$2,0))</f>
        <v>29.87393098</v>
      </c>
      <c r="M186" s="3">
        <f>L186</f>
        <v>29.87393098</v>
      </c>
      <c r="N186" s="25">
        <f>INDEX('Inputs (2)'!$D$25:$AL$25,MATCH(N$7,'Inputs (2)'!$D$2:$AL$2,0))</f>
        <v>20.66317616</v>
      </c>
      <c r="O186" s="25">
        <f>INDEX('Inputs (2)'!$D$25:$AL$25,MATCH(O$7,'Inputs (2)'!$D$2:$AL$2,0))</f>
        <v>26.24199048</v>
      </c>
      <c r="P186" s="25">
        <f>INDEX('Inputs (2)'!$D$25:$AL$25,MATCH(P$7,'Inputs (2)'!$D$2:$AL$2,0))</f>
        <v>36.92672287</v>
      </c>
      <c r="Q186" s="25">
        <f>INDEX('Inputs (2)'!$D$25:$AL$25,MATCH(Q$7,'Inputs (2)'!$D$2:$AL$2,0))</f>
        <v>42.24</v>
      </c>
      <c r="R186" s="3">
        <f>Q186</f>
        <v>42.24</v>
      </c>
      <c r="S186" s="25">
        <f>INDEX('Inputs (2)'!$D$25:$AL$25,MATCH(S$7,'Inputs (2)'!$D$2:$AL$2,0))</f>
        <v>43.895</v>
      </c>
      <c r="T186" s="25">
        <f>INDEX('Inputs (2)'!$D$25:$AL$25,MATCH(T$7,'Inputs (2)'!$D$2:$AL$2,0))</f>
        <v>50.40408397</v>
      </c>
      <c r="U186" s="25">
        <f>INDEX('Inputs (2)'!$D$25:$AL$25,MATCH(U$7,'Inputs (2)'!$D$2:$AL$2,0))</f>
        <v>55.73704279</v>
      </c>
      <c r="V186" s="25">
        <f>INDEX('Inputs (2)'!$D$25:$AL$25,MATCH(V$7,'Inputs (2)'!$D$2:$AL$2,0))</f>
        <v>59.19086483</v>
      </c>
      <c r="W186" s="3">
        <f>V186</f>
        <v>59.19086483</v>
      </c>
      <c r="X186" s="25">
        <f>INDEX('Inputs (2)'!$D$25:$AL$25,MATCH(X$7,'Inputs (2)'!$D$2:$AL$2,0))</f>
        <v>62.91151845</v>
      </c>
      <c r="Y186" s="25">
        <f>INDEX('Inputs (2)'!$D$25:$AL$25,MATCH(Y$7,'Inputs (2)'!$D$2:$AL$2,0))</f>
        <v>72.75572573</v>
      </c>
      <c r="Z186" s="25">
        <f>INDEX('Inputs (2)'!$D$25:$AL$25,MATCH(Z$7,'Inputs (2)'!$D$2:$AL$2,0))</f>
        <v>78.48823497</v>
      </c>
      <c r="AA186" s="25">
        <f>INDEX('Inputs (2)'!$D$25:$AL$25,MATCH(AA$7,'Inputs (2)'!$D$2:$AL$2,0))</f>
        <v>67.32603929</v>
      </c>
      <c r="AB186" s="3">
        <f>AA186</f>
        <v>67.32603929</v>
      </c>
      <c r="AC186" s="25">
        <f>INDEX('Inputs (2)'!$D$25:$AL$25,MATCH(AC$7,'Inputs (2)'!$D$2:$AL$2,0))</f>
        <v>67.9212041</v>
      </c>
      <c r="AD186" s="25">
        <f>INDEX('Inputs (2)'!$D$25:$AL$25,MATCH(AD$7,'Inputs (2)'!$D$2:$AL$2,0))</f>
        <v>65.17899848</v>
      </c>
      <c r="AE186" s="25">
        <f>INDEX('Inputs (2)'!$D$25:$AL$25,MATCH(AE$7,'Inputs (2)'!$D$2:$AL$2,0))</f>
        <v>62.459</v>
      </c>
      <c r="AF186" s="25">
        <f>INDEX('Inputs (2)'!$D$25:$AL$25,MATCH(AF$7,'Inputs (2)'!$D$2:$AL$2,0))</f>
        <v>59.93785068</v>
      </c>
      <c r="AG186" s="3">
        <f>AF186</f>
        <v>59.93785068</v>
      </c>
      <c r="AH186" s="3">
        <f>INDEX('Inputs (2)'!$D$25:$AL$25,MATCH(AH$7,'Inputs (2)'!$D$2:$AL$2,0))</f>
        <v>55.84303254</v>
      </c>
      <c r="AI186" s="3">
        <f>INDEX('Inputs (2)'!$D$25:$AL$25,MATCH(AI$7,'Inputs (2)'!$D$2:$AL$2,0))</f>
        <v>51.55601363</v>
      </c>
      <c r="AJ186" s="3" t="n"/>
      <c r="AK186" s="3" t="n"/>
      <c r="AL186" s="3">
        <f>AK186</f>
        <v>0</v>
      </c>
      <c r="AN186" s="3" t="n"/>
      <c r="AO186" s="3" t="n"/>
      <c r="AP186" s="3" t="n"/>
      <c r="AQ186" s="3">
        <f>AP186</f>
        <v>0</v>
      </c>
      <c r="AS186" s="3" t="n"/>
      <c r="AT186" s="3" t="n"/>
      <c r="AU186" s="3" t="n"/>
      <c r="AV186" s="3">
        <f>AU186</f>
        <v>0</v>
      </c>
      <c r="AX186" s="3" t="n"/>
      <c r="AY186" s="3" t="n"/>
      <c r="AZ186" s="3" t="n"/>
      <c r="BA186" s="3">
        <f>AZ186</f>
        <v>0</v>
      </c>
      <c r="BC186" s="3" t="n"/>
      <c r="BD186" s="3" t="n"/>
      <c r="BE186" s="3" t="n"/>
      <c r="BF186" s="3">
        <f>BE186</f>
        <v>0</v>
      </c>
      <c r="BH186" s="3" t="n"/>
      <c r="BI186" s="3" t="n"/>
      <c r="BJ186" s="3" t="n"/>
      <c r="BK186" s="3">
        <f>BJ186</f>
        <v>0</v>
      </c>
      <c r="BM186" s="3" t="n"/>
      <c r="BN186" s="3" t="n"/>
      <c r="BO186" s="3" t="n"/>
      <c r="BP186" s="3">
        <f>BO186</f>
        <v>0</v>
      </c>
      <c r="BR186" s="3" t="n"/>
      <c r="BS186" s="3" t="n"/>
      <c r="BT186" s="3" t="n"/>
      <c r="BU186" s="3">
        <f>BT186</f>
        <v>0</v>
      </c>
      <c r="BW186" s="3" t="n"/>
      <c r="BX186" s="3" t="n"/>
      <c r="BY186" s="3" t="n"/>
      <c r="BZ186" s="3">
        <f>BY186</f>
        <v>0</v>
      </c>
      <c r="CB186" s="3" t="n"/>
      <c r="CC186" s="3" t="n"/>
      <c r="CD186" s="3" t="n"/>
      <c r="CE186" s="3">
        <f>CD186</f>
        <v>0</v>
      </c>
      <c r="CG186" s="3" t="n"/>
      <c r="CH186" s="3" t="n"/>
      <c r="CI186" s="3" t="n"/>
      <c r="CJ186" s="3">
        <f>CI186</f>
        <v>0</v>
      </c>
      <c r="CL186" s="3" t="n"/>
      <c r="CM186" s="3" t="n"/>
      <c r="CN186" s="3" t="n"/>
      <c r="CO186" s="3">
        <f>CN186</f>
        <v>0</v>
      </c>
      <c r="CQ186" s="3" t="n"/>
      <c r="CR186" s="3" t="n"/>
      <c r="CS186" s="3" t="n"/>
      <c r="CT186" s="3">
        <f>CS186</f>
        <v>0</v>
      </c>
      <c r="CV186" s="3" t="n"/>
      <c r="CW186" s="3" t="n"/>
      <c r="CX186" s="3" t="n"/>
      <c r="CY186" s="3">
        <f>CX186</f>
        <v>0</v>
      </c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inlineStr">
        <is>
          <t>Purchase of intangible assets</t>
        </is>
      </c>
      <c r="D188" s="3" t="n"/>
      <c r="E188" s="3">
        <f>E186-D186-E90</f>
        <v>-0.685985999999994</v>
      </c>
      <c r="F188" s="3">
        <f>F186-E186-F90</f>
        <v>5.88279650999998</v>
      </c>
      <c r="G188" s="3">
        <f>G186-F186-G90</f>
        <v>-4.92323475999999</v>
      </c>
      <c r="H188" s="3" t="n"/>
      <c r="I188" s="3">
        <f>I186-H186-I90</f>
        <v>1.43130099000001</v>
      </c>
      <c r="J188" s="3">
        <f>J186-I186-J90</f>
        <v>0.951259039999989</v>
      </c>
      <c r="K188" s="3">
        <f>K186-J186-K90</f>
        <v>2.51246125</v>
      </c>
      <c r="L188" s="3">
        <f>L186-K186-L90</f>
        <v>15.99833395</v>
      </c>
      <c r="M188" s="3" t="n"/>
      <c r="N188" s="3">
        <f>N186-M186-N90</f>
        <v>-9.21075482</v>
      </c>
      <c r="O188" s="3">
        <f>O186-N186-O90</f>
        <v>5.57881432</v>
      </c>
      <c r="P188" s="3">
        <f>P186-O186-P90</f>
        <v>10.68473239</v>
      </c>
      <c r="Q188" s="3">
        <f>Q186-P186-Q90</f>
        <v>5.31327713</v>
      </c>
      <c r="R188" s="3" t="n"/>
      <c r="S188" s="3">
        <f>S186-R186-S90</f>
        <v>1.655</v>
      </c>
      <c r="T188" s="3">
        <f>T186-S186-T90</f>
        <v>6.50908397</v>
      </c>
      <c r="U188" s="3">
        <f>U186-T186-U90</f>
        <v>5.33295882000001</v>
      </c>
      <c r="V188" s="3">
        <f>V186-U186-V90</f>
        <v>3.45382204000001</v>
      </c>
      <c r="W188" s="3" t="n"/>
      <c r="X188" s="3">
        <f>X186-W186-X90</f>
        <v>3.72065361999999</v>
      </c>
      <c r="Y188" s="3">
        <f>Y186-X186-Y90</f>
        <v>9.84420728000001</v>
      </c>
      <c r="Z188" s="3">
        <f>Z186-Y186-Z90</f>
        <v>5.73250923999997</v>
      </c>
      <c r="AA188" s="3">
        <f>AA186-Z186-AA90</f>
        <v>-11.16219568</v>
      </c>
      <c r="AB188" s="3" t="n"/>
      <c r="AC188" s="3">
        <f>AC186-AB186-AC90</f>
        <v>0.595164810000014</v>
      </c>
      <c r="AD188" s="3">
        <f>AD186-AC186-AD90</f>
        <v>-2.74220561999998</v>
      </c>
      <c r="AE188" s="3">
        <f>AE186-AD186-AE90</f>
        <v>-2.71999848000002</v>
      </c>
      <c r="AF188" s="3" t="n"/>
      <c r="AG188" s="3" t="n"/>
      <c r="AH188" s="6">
        <f>AH186-AG186-AH90</f>
        <v>-4.09481814</v>
      </c>
      <c r="AI188" s="6">
        <f>AI186-AH186-AI90</f>
        <v>-4.28701890999998</v>
      </c>
      <c r="AJ188" s="6" t="n"/>
      <c r="AK188" s="6" t="n"/>
      <c r="AL188" s="3" t="n"/>
      <c r="AM188" s="6" t="n"/>
      <c r="AN188" s="6" t="n"/>
      <c r="AO188" s="6" t="n"/>
      <c r="AP188" s="6" t="n"/>
      <c r="AQ188" s="3" t="n"/>
      <c r="AR188" s="6" t="n"/>
      <c r="AS188" s="6" t="n"/>
      <c r="AT188" s="6" t="n"/>
      <c r="AU188" s="6" t="n"/>
      <c r="AV188" s="3" t="n"/>
      <c r="AW188" s="6" t="n"/>
      <c r="AX188" s="6" t="n"/>
      <c r="AY188" s="6" t="n"/>
      <c r="AZ188" s="6" t="n"/>
      <c r="BA188" s="3" t="n"/>
      <c r="BB188" s="6" t="n"/>
      <c r="BC188" s="6" t="n"/>
      <c r="BD188" s="6" t="n"/>
      <c r="BE188" s="6" t="n"/>
      <c r="BF188" s="3" t="n"/>
      <c r="BG188" s="6" t="n"/>
      <c r="BH188" s="6" t="n"/>
      <c r="BI188" s="6" t="n"/>
      <c r="BJ188" s="6" t="n"/>
      <c r="BK188" s="3" t="n"/>
      <c r="BL188" s="6" t="n"/>
      <c r="BM188" s="6" t="n"/>
      <c r="BN188" s="6" t="n"/>
      <c r="BO188" s="6" t="n"/>
      <c r="BP188" s="3" t="n"/>
      <c r="BQ188" s="6" t="n"/>
      <c r="BR188" s="6" t="n"/>
      <c r="BS188" s="6" t="n"/>
      <c r="BT188" s="6" t="n"/>
      <c r="BU188" s="3" t="n"/>
      <c r="BV188" s="6" t="n"/>
      <c r="BW188" s="6" t="n"/>
      <c r="BX188" s="6" t="n"/>
      <c r="BY188" s="6" t="n"/>
      <c r="BZ188" s="3" t="n"/>
      <c r="CA188" s="6" t="n"/>
      <c r="CB188" s="6" t="n"/>
      <c r="CC188" s="6" t="n"/>
      <c r="CD188" s="6" t="n"/>
      <c r="CE188" s="3" t="n"/>
      <c r="CF188" s="6" t="n"/>
      <c r="CG188" s="6" t="n"/>
      <c r="CH188" s="6" t="n"/>
      <c r="CI188" s="6" t="n"/>
      <c r="CJ188" s="3" t="n"/>
      <c r="CK188" s="6" t="n"/>
      <c r="CL188" s="6" t="n"/>
      <c r="CM188" s="6" t="n"/>
      <c r="CN188" s="6" t="n"/>
      <c r="CO188" s="3" t="n"/>
      <c r="CP188" s="6" t="n"/>
      <c r="CQ188" s="6" t="n"/>
      <c r="CR188" s="6" t="n"/>
      <c r="CS188" s="6" t="n"/>
      <c r="CT188" s="3" t="n"/>
      <c r="CU188" s="6" t="n"/>
      <c r="CV188" s="6" t="n"/>
      <c r="CW188" s="6" t="n"/>
      <c r="CX188" s="6" t="n"/>
      <c r="CY188" s="3" t="n"/>
    </row>
    <row r="189" hidden="1" outlineLevel="1">
      <c r="C189" s="34" t="inlineStr">
        <is>
          <t>Amortization (enter as -)</t>
        </is>
      </c>
      <c r="D189" s="3" t="n"/>
      <c r="E189" s="3">
        <f>E89</f>
        <v>0</v>
      </c>
      <c r="F189" s="3">
        <f>F89</f>
        <v>0</v>
      </c>
      <c r="G189" s="3">
        <f>G89</f>
        <v>0</v>
      </c>
      <c r="H189" s="3" t="n"/>
      <c r="I189" s="3">
        <f>I89</f>
        <v>0</v>
      </c>
      <c r="J189" s="3">
        <f>J89</f>
        <v>0</v>
      </c>
      <c r="K189" s="3">
        <f>K89</f>
        <v>0</v>
      </c>
      <c r="L189" s="3">
        <f>L89</f>
        <v>0</v>
      </c>
      <c r="M189" s="3" t="n"/>
      <c r="N189" s="3">
        <f>N89</f>
        <v>0</v>
      </c>
      <c r="O189" s="3">
        <f>O89</f>
        <v>0</v>
      </c>
      <c r="P189" s="3">
        <f>P89</f>
        <v>0</v>
      </c>
      <c r="Q189" s="3">
        <f>Q89</f>
        <v>0</v>
      </c>
      <c r="R189" s="3" t="n"/>
      <c r="S189" s="3">
        <f>S89</f>
        <v>0</v>
      </c>
      <c r="T189" s="3">
        <f>T89</f>
        <v>0</v>
      </c>
      <c r="U189" s="3">
        <f>U89</f>
        <v>0</v>
      </c>
      <c r="V189" s="3">
        <f>V89</f>
        <v>0</v>
      </c>
      <c r="W189" s="3" t="n"/>
      <c r="X189" s="3">
        <f>X89</f>
        <v>0</v>
      </c>
      <c r="Y189" s="3">
        <f>Y89</f>
        <v>0</v>
      </c>
      <c r="Z189" s="3">
        <f>Z89</f>
        <v>0</v>
      </c>
      <c r="AA189" s="3">
        <f>AA89</f>
        <v>0</v>
      </c>
      <c r="AB189" s="3" t="n"/>
      <c r="AC189" s="3">
        <f>AC89</f>
        <v>0</v>
      </c>
      <c r="AD189" s="3">
        <f>AD89</f>
        <v>0</v>
      </c>
      <c r="AE189" s="3">
        <f>AE89</f>
        <v>0</v>
      </c>
      <c r="AF189" s="3" t="n"/>
      <c r="AG189" s="3" t="n"/>
      <c r="AH189" s="3">
        <f>AH89</f>
        <v>0</v>
      </c>
      <c r="AI189" s="6">
        <f>AI89</f>
        <v>0</v>
      </c>
      <c r="AJ189" s="6" t="n"/>
      <c r="AK189" s="6" t="n"/>
      <c r="AL189" s="3" t="n"/>
      <c r="AM189" s="6" t="n"/>
      <c r="AN189" s="6" t="n"/>
      <c r="AO189" s="6" t="n"/>
      <c r="AP189" s="6" t="n"/>
      <c r="AQ189" s="3" t="n"/>
      <c r="AR189" s="6" t="n"/>
      <c r="AS189" s="6" t="n"/>
      <c r="AT189" s="6" t="n"/>
      <c r="AU189" s="6" t="n"/>
      <c r="AV189" s="3" t="n"/>
      <c r="AW189" s="6" t="n"/>
      <c r="AX189" s="6" t="n"/>
      <c r="AY189" s="6" t="n"/>
      <c r="AZ189" s="6" t="n"/>
      <c r="BA189" s="3" t="n"/>
      <c r="BB189" s="6" t="n"/>
      <c r="BC189" s="6" t="n"/>
      <c r="BD189" s="6" t="n"/>
      <c r="BE189" s="6" t="n"/>
      <c r="BF189" s="3" t="n"/>
      <c r="BG189" s="6" t="n"/>
      <c r="BH189" s="6" t="n"/>
      <c r="BI189" s="6" t="n"/>
      <c r="BJ189" s="6" t="n"/>
      <c r="BK189" s="3" t="n"/>
      <c r="BL189" s="6" t="n"/>
      <c r="BM189" s="6" t="n"/>
      <c r="BN189" s="6" t="n"/>
      <c r="BO189" s="6" t="n"/>
      <c r="BP189" s="3" t="n"/>
      <c r="BQ189" s="6" t="n"/>
      <c r="BR189" s="6" t="n"/>
      <c r="BS189" s="6" t="n"/>
      <c r="BT189" s="6" t="n"/>
      <c r="BU189" s="3" t="n"/>
      <c r="BV189" s="6" t="n"/>
      <c r="BW189" s="6" t="n"/>
      <c r="BX189" s="6" t="n"/>
      <c r="BY189" s="6" t="n"/>
      <c r="BZ189" s="3" t="n"/>
      <c r="CA189" s="6" t="n"/>
      <c r="CB189" s="6" t="n"/>
      <c r="CC189" s="6" t="n"/>
      <c r="CD189" s="6" t="n"/>
      <c r="CE189" s="3" t="n"/>
      <c r="CF189" s="6" t="n"/>
      <c r="CG189" s="6" t="n"/>
      <c r="CH189" s="6" t="n"/>
      <c r="CI189" s="6" t="n"/>
      <c r="CJ189" s="3" t="n"/>
      <c r="CK189" s="6" t="n"/>
      <c r="CL189" s="6" t="n"/>
      <c r="CM189" s="6" t="n"/>
      <c r="CN189" s="6" t="n"/>
      <c r="CO189" s="3" t="n"/>
      <c r="CP189" s="6" t="n"/>
      <c r="CQ189" s="6" t="n"/>
      <c r="CR189" s="6" t="n"/>
      <c r="CS189" s="6" t="n"/>
      <c r="CT189" s="3" t="n"/>
      <c r="CU189" s="6" t="n"/>
      <c r="CV189" s="6" t="n"/>
      <c r="CW189" s="6" t="n"/>
      <c r="CX189" s="6" t="n"/>
      <c r="CY189" s="3" t="n"/>
    </row>
    <row r="190" hidden="1" outlineLevel="1">
      <c r="C190" s="34" t="inlineStr">
        <is>
          <t>Intangibles</t>
        </is>
      </c>
      <c r="D190" s="3" t="n"/>
      <c r="E190" s="3">
        <f>E186</f>
        <v>8.02101400000001</v>
      </c>
      <c r="F190" s="3">
        <f>F186</f>
        <v>13.90381051</v>
      </c>
      <c r="G190" s="3">
        <f>G186</f>
        <v>8.98057575</v>
      </c>
      <c r="H190" s="3" t="n"/>
      <c r="I190" s="3">
        <f>I186</f>
        <v>10.41187674</v>
      </c>
      <c r="J190" s="3">
        <f>J186</f>
        <v>11.36313578</v>
      </c>
      <c r="K190" s="3">
        <f>K186</f>
        <v>13.87559703</v>
      </c>
      <c r="L190" s="3">
        <f>L186</f>
        <v>29.87393098</v>
      </c>
      <c r="M190" s="3" t="n"/>
      <c r="N190" s="3">
        <f>N186</f>
        <v>20.66317616</v>
      </c>
      <c r="O190" s="3">
        <f>O186</f>
        <v>26.24199048</v>
      </c>
      <c r="P190" s="3">
        <f>P186</f>
        <v>36.92672287</v>
      </c>
      <c r="Q190" s="3">
        <f>Q186</f>
        <v>42.24</v>
      </c>
      <c r="R190" s="3" t="n"/>
      <c r="S190" s="3">
        <f>S186</f>
        <v>43.895</v>
      </c>
      <c r="T190" s="3">
        <f>T186</f>
        <v>50.40408397</v>
      </c>
      <c r="U190" s="3">
        <f>U186</f>
        <v>55.73704279</v>
      </c>
      <c r="V190" s="3">
        <f>V186</f>
        <v>59.19086483</v>
      </c>
      <c r="W190" s="3" t="n"/>
      <c r="X190" s="3">
        <f>X186</f>
        <v>62.91151845</v>
      </c>
      <c r="Y190" s="3">
        <f>Y186</f>
        <v>72.75572573</v>
      </c>
      <c r="Z190" s="3">
        <f>Z186</f>
        <v>78.48823497</v>
      </c>
      <c r="AA190" s="3">
        <f>AA186</f>
        <v>67.32603929</v>
      </c>
      <c r="AB190" s="3" t="n"/>
      <c r="AC190" s="3">
        <f>AC186</f>
        <v>67.9212041</v>
      </c>
      <c r="AD190" s="3">
        <f>AD186</f>
        <v>65.17899848</v>
      </c>
      <c r="AE190" s="3">
        <f>AE186</f>
        <v>62.459</v>
      </c>
      <c r="AF190" s="3">
        <f>AF186</f>
        <v>59.93785068</v>
      </c>
      <c r="AG190" s="3" t="n"/>
      <c r="AH190" s="3">
        <f>AH186</f>
        <v>55.84303254</v>
      </c>
      <c r="AI190" s="3">
        <f>AI186</f>
        <v>51.55601363</v>
      </c>
      <c r="AJ190" s="3">
        <f>AI190+SUM(AJ188:AJ189)</f>
        <v>51.55601363</v>
      </c>
      <c r="AK190" s="3">
        <f>AJ190+SUM(AK188:AK189)</f>
        <v>51.55601363</v>
      </c>
      <c r="AL190" s="3" t="n"/>
      <c r="AM190" s="3">
        <f>AK190+SUM(AM188:AM189)</f>
        <v>51.55601363</v>
      </c>
      <c r="AN190" s="3">
        <f>AM190+SUM(AN188:AN189)</f>
        <v>51.55601363</v>
      </c>
      <c r="AO190" s="3">
        <f>AN190+SUM(AO188:AO189)</f>
        <v>51.55601363</v>
      </c>
      <c r="AP190" s="3">
        <f>AO190+SUM(AP188:AP189)</f>
        <v>51.55601363</v>
      </c>
      <c r="AQ190" s="3" t="n"/>
      <c r="AR190" s="3">
        <f>AP190+SUM(AR188:AR189)</f>
        <v>51.55601363</v>
      </c>
      <c r="AS190" s="3">
        <f>AR190+SUM(AS188:AS189)</f>
        <v>51.55601363</v>
      </c>
      <c r="AT190" s="3">
        <f>AS190+SUM(AT188:AT189)</f>
        <v>51.55601363</v>
      </c>
      <c r="AU190" s="3">
        <f>AT190+SUM(AU188:AU189)</f>
        <v>51.55601363</v>
      </c>
      <c r="AV190" s="3" t="n"/>
      <c r="AW190" s="3">
        <f>AU190+SUM(AW188:AW189)</f>
        <v>51.55601363</v>
      </c>
      <c r="AX190" s="3">
        <f>AW190+SUM(AX188:AX189)</f>
        <v>51.55601363</v>
      </c>
      <c r="AY190" s="3">
        <f>AX190+SUM(AY188:AY189)</f>
        <v>51.55601363</v>
      </c>
      <c r="AZ190" s="3">
        <f>AY190+SUM(AZ188:AZ189)</f>
        <v>51.55601363</v>
      </c>
      <c r="BA190" s="3" t="n"/>
      <c r="BB190" s="3">
        <f>AZ190+SUM(BB188:BB189)</f>
        <v>51.55601363</v>
      </c>
      <c r="BC190" s="3">
        <f>BB190+SUM(BC188:BC189)</f>
        <v>51.55601363</v>
      </c>
      <c r="BD190" s="3">
        <f>BC190+SUM(BD188:BD189)</f>
        <v>51.55601363</v>
      </c>
      <c r="BE190" s="3">
        <f>BD190+SUM(BE188:BE189)</f>
        <v>51.55601363</v>
      </c>
      <c r="BF190" s="3" t="n"/>
      <c r="BG190" s="3">
        <f>BE190+SUM(BG188:BG189)</f>
        <v>51.55601363</v>
      </c>
      <c r="BH190" s="3">
        <f>BG190+SUM(BH188:BH189)</f>
        <v>51.55601363</v>
      </c>
      <c r="BI190" s="3">
        <f>BH190+SUM(BI188:BI189)</f>
        <v>51.55601363</v>
      </c>
      <c r="BJ190" s="3">
        <f>BI190+SUM(BJ188:BJ189)</f>
        <v>51.55601363</v>
      </c>
      <c r="BK190" s="3" t="n"/>
      <c r="BL190" s="3">
        <f>BJ190+SUM(BL188:BL189)</f>
        <v>51.55601363</v>
      </c>
      <c r="BM190" s="3">
        <f>BL190+SUM(BM188:BM189)</f>
        <v>51.55601363</v>
      </c>
      <c r="BN190" s="3">
        <f>BM190+SUM(BN188:BN189)</f>
        <v>51.55601363</v>
      </c>
      <c r="BO190" s="3">
        <f>BN190+SUM(BO188:BO189)</f>
        <v>51.55601363</v>
      </c>
      <c r="BP190" s="3" t="n"/>
      <c r="BQ190" s="3">
        <f>BO190+SUM(BQ188:BQ189)</f>
        <v>51.55601363</v>
      </c>
      <c r="BR190" s="3">
        <f>BQ190+SUM(BR188:BR189)</f>
        <v>51.55601363</v>
      </c>
      <c r="BS190" s="3">
        <f>BR190+SUM(BS188:BS189)</f>
        <v>51.55601363</v>
      </c>
      <c r="BT190" s="3">
        <f>BS190+SUM(BT188:BT189)</f>
        <v>51.55601363</v>
      </c>
      <c r="BU190" s="3" t="n"/>
      <c r="BV190" s="3">
        <f>BT190+SUM(BV188:BV189)</f>
        <v>51.55601363</v>
      </c>
      <c r="BW190" s="3">
        <f>BV190+SUM(BW188:BW189)</f>
        <v>51.55601363</v>
      </c>
      <c r="BX190" s="3">
        <f>BW190+SUM(BX188:BX189)</f>
        <v>51.55601363</v>
      </c>
      <c r="BY190" s="3">
        <f>BX190+SUM(BY188:BY189)</f>
        <v>51.55601363</v>
      </c>
      <c r="BZ190" s="3" t="n"/>
      <c r="CA190" s="3">
        <f>BY190+SUM(CA188:CA189)</f>
        <v>51.55601363</v>
      </c>
      <c r="CB190" s="3">
        <f>CA190+SUM(CB188:CB189)</f>
        <v>51.55601363</v>
      </c>
      <c r="CC190" s="3">
        <f>CB190+SUM(CC188:CC189)</f>
        <v>51.55601363</v>
      </c>
      <c r="CD190" s="3">
        <f>CC190+SUM(CD188:CD189)</f>
        <v>51.55601363</v>
      </c>
      <c r="CE190" s="3" t="n"/>
      <c r="CF190" s="3">
        <f>CD190+SUM(CF188:CF189)</f>
        <v>51.55601363</v>
      </c>
      <c r="CG190" s="3">
        <f>CF190+SUM(CG188:CG189)</f>
        <v>51.55601363</v>
      </c>
      <c r="CH190" s="3">
        <f>CG190+SUM(CH188:CH189)</f>
        <v>51.55601363</v>
      </c>
      <c r="CI190" s="3">
        <f>CH190+SUM(CI188:CI189)</f>
        <v>51.55601363</v>
      </c>
      <c r="CJ190" s="3" t="n"/>
      <c r="CK190" s="3">
        <f>CI190+SUM(CK188:CK189)</f>
        <v>51.55601363</v>
      </c>
      <c r="CL190" s="3">
        <f>CK190+SUM(CL188:CL189)</f>
        <v>51.55601363</v>
      </c>
      <c r="CM190" s="3">
        <f>CL190+SUM(CM188:CM189)</f>
        <v>51.55601363</v>
      </c>
      <c r="CN190" s="3">
        <f>CM190+SUM(CN188:CN189)</f>
        <v>51.55601363</v>
      </c>
      <c r="CO190" s="3" t="n"/>
      <c r="CP190" s="3">
        <f>CN190+SUM(CP188:CP189)</f>
        <v>51.55601363</v>
      </c>
      <c r="CQ190" s="3">
        <f>CP190+SUM(CQ188:CQ189)</f>
        <v>51.55601363</v>
      </c>
      <c r="CR190" s="3">
        <f>CQ190+SUM(CR188:CR189)</f>
        <v>51.55601363</v>
      </c>
      <c r="CS190" s="3">
        <f>CR190+SUM(CS188:CS189)</f>
        <v>51.55601363</v>
      </c>
      <c r="CT190" s="3" t="n"/>
      <c r="CU190" s="3">
        <f>CS190+SUM(CU188:CU189)</f>
        <v>51.55601363</v>
      </c>
      <c r="CV190" s="3">
        <f>CU190+SUM(CV188:CV189)</f>
        <v>51.55601363</v>
      </c>
      <c r="CW190" s="3">
        <f>CV190+SUM(CW188:CW189)</f>
        <v>51.55601363</v>
      </c>
      <c r="CX190" s="3">
        <f>CW190+SUM(CX188:CX189)</f>
        <v>51.55601363</v>
      </c>
      <c r="CY190" s="3" t="n"/>
      <c r="CZ190">
        <f>CX190+SUM(CZ188:CZ189)</f>
        <v>51.55601363</v>
      </c>
      <c r="DA190">
        <f>CZ190+SUM(DA188:DA189)</f>
        <v>51.55601363</v>
      </c>
      <c r="DB190">
        <f>DA190+SUM(DB188:DB189)</f>
        <v>51.55601363</v>
      </c>
      <c r="DC190">
        <f>DB190+SUM(DC188:DC189)</f>
        <v>51.55601363</v>
      </c>
    </row>
    <row r="191" hidden="1" outlineLevel="1">
      <c r="C191" s="3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inlineStr">
        <is>
          <t>Definir % do D&amp;A No PPE and Intagibles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collapsed="1">
      <c r="C195" s="26" t="inlineStr">
        <is>
          <t>Other non-current assets</t>
        </is>
      </c>
      <c r="D195" s="25">
        <f>INDEX('Inputs (2)'!$D$26:$AL$26,MATCH(D$7,'Inputs (2)'!$D$2:$AL$2,0))</f>
        <v>284.992</v>
      </c>
      <c r="E195" s="25">
        <f>INDEX('Inputs (2)'!$D$26:$AL$26,MATCH(E$7,'Inputs (2)'!$D$2:$AL$2,0))</f>
        <v>277.476054385444</v>
      </c>
      <c r="F195" s="25">
        <f>INDEX('Inputs (2)'!$D$26:$AL$26,MATCH(F$7,'Inputs (2)'!$D$2:$AL$2,0))</f>
        <v>237.742700043333</v>
      </c>
      <c r="G195" s="25">
        <f>INDEX('Inputs (2)'!$D$26:$AL$26,MATCH(G$7,'Inputs (2)'!$D$2:$AL$2,0))</f>
        <v>197.3784501862</v>
      </c>
      <c r="H195" s="3">
        <f>G195</f>
        <v>197.3784501862</v>
      </c>
      <c r="I195" s="25">
        <f>INDEX('Inputs (2)'!$D$26:$AL$26,MATCH(I$7,'Inputs (2)'!$D$2:$AL$2,0))</f>
        <v>205.989369685191</v>
      </c>
      <c r="J195" s="25">
        <f>INDEX('Inputs (2)'!$D$26:$AL$26,MATCH(J$7,'Inputs (2)'!$D$2:$AL$2,0))</f>
        <v>219.752785552633</v>
      </c>
      <c r="K195" s="25">
        <f>INDEX('Inputs (2)'!$D$26:$AL$26,MATCH(K$7,'Inputs (2)'!$D$2:$AL$2,0))</f>
        <v>274.296520835501</v>
      </c>
      <c r="L195" s="25">
        <f>INDEX('Inputs (2)'!$D$26:$AL$26,MATCH(L$7,'Inputs (2)'!$D$2:$AL$2,0))</f>
        <v>283.382025277495</v>
      </c>
      <c r="M195" s="3">
        <f>L195</f>
        <v>283.382025277495</v>
      </c>
      <c r="N195" s="25">
        <f>INDEX('Inputs (2)'!$D$26:$AL$26,MATCH(N$7,'Inputs (2)'!$D$2:$AL$2,0))</f>
        <v>319.657319112434</v>
      </c>
      <c r="O195" s="25">
        <f>INDEX('Inputs (2)'!$D$26:$AL$26,MATCH(O$7,'Inputs (2)'!$D$2:$AL$2,0))</f>
        <v>360.216245844516</v>
      </c>
      <c r="P195" s="25">
        <f>INDEX('Inputs (2)'!$D$26:$AL$26,MATCH(P$7,'Inputs (2)'!$D$2:$AL$2,0))</f>
        <v>399.225314044419</v>
      </c>
      <c r="Q195" s="25">
        <f>INDEX('Inputs (2)'!$D$26:$AL$26,MATCH(Q$7,'Inputs (2)'!$D$2:$AL$2,0))</f>
        <v>409.059</v>
      </c>
      <c r="R195" s="3">
        <f>Q195</f>
        <v>409.059</v>
      </c>
      <c r="S195" s="25">
        <f>INDEX('Inputs (2)'!$D$26:$AL$26,MATCH(S$7,'Inputs (2)'!$D$2:$AL$2,0))</f>
        <v>435.709</v>
      </c>
      <c r="T195" s="25">
        <f>INDEX('Inputs (2)'!$D$26:$AL$26,MATCH(T$7,'Inputs (2)'!$D$2:$AL$2,0))</f>
        <v>453.36812787181</v>
      </c>
      <c r="U195" s="25">
        <f>INDEX('Inputs (2)'!$D$26:$AL$26,MATCH(U$7,'Inputs (2)'!$D$2:$AL$2,0))</f>
        <v>495.07526597181</v>
      </c>
      <c r="V195" s="25">
        <f>INDEX('Inputs (2)'!$D$26:$AL$26,MATCH(V$7,'Inputs (2)'!$D$2:$AL$2,0))</f>
        <v>431.88148953181</v>
      </c>
      <c r="W195" s="3">
        <f>V195</f>
        <v>431.88148953181</v>
      </c>
      <c r="X195" s="25">
        <f>INDEX('Inputs (2)'!$D$26:$AL$26,MATCH(X$7,'Inputs (2)'!$D$2:$AL$2,0))</f>
        <v>356.650412481512</v>
      </c>
      <c r="Y195" s="25">
        <f>INDEX('Inputs (2)'!$D$26:$AL$26,MATCH(Y$7,'Inputs (2)'!$D$2:$AL$2,0))</f>
        <v>452.394299093286</v>
      </c>
      <c r="Z195" s="25">
        <f>INDEX('Inputs (2)'!$D$26:$AL$26,MATCH(Z$7,'Inputs (2)'!$D$2:$AL$2,0))</f>
        <v>451.62063516</v>
      </c>
      <c r="AA195" s="25">
        <f>INDEX('Inputs (2)'!$D$26:$AL$26,MATCH(AA$7,'Inputs (2)'!$D$2:$AL$2,0))</f>
        <v>571.34398775</v>
      </c>
      <c r="AB195" s="3">
        <f>AA195</f>
        <v>571.34398775</v>
      </c>
      <c r="AC195" s="25">
        <f>INDEX('Inputs (2)'!$D$26:$AL$26,MATCH(AC$7,'Inputs (2)'!$D$2:$AL$2,0))</f>
        <v>639.44449805</v>
      </c>
      <c r="AD195" s="25">
        <f>INDEX('Inputs (2)'!$D$26:$AL$26,MATCH(AD$7,'Inputs (2)'!$D$2:$AL$2,0))</f>
        <v>650.85384088</v>
      </c>
      <c r="AE195" s="25">
        <f>INDEX('Inputs (2)'!$D$26:$AL$26,MATCH(AE$7,'Inputs (2)'!$D$2:$AL$2,0))</f>
        <v>652.908</v>
      </c>
      <c r="AF195" s="25">
        <f>INDEX('Inputs (2)'!$D$26:$AL$26,MATCH(AF$7,'Inputs (2)'!$D$2:$AL$2,0))</f>
        <v>642.80834153</v>
      </c>
      <c r="AG195" s="3">
        <f>AF195</f>
        <v>642.80834153</v>
      </c>
      <c r="AH195" s="3">
        <f>INDEX('Inputs (2)'!$D$26:$AL$26,MATCH(AH$7,'Inputs (2)'!$D$2:$AL$2,0))</f>
        <v>699.37910037</v>
      </c>
      <c r="AI195" s="3">
        <f>INDEX('Inputs (2)'!$D$26:$AL$26,MATCH(AI$7,'Inputs (2)'!$D$2:$AL$2,0))</f>
        <v>711.63137386</v>
      </c>
      <c r="AJ195" s="3">
        <f>AI195</f>
        <v>711.63137386</v>
      </c>
      <c r="AK195" s="3">
        <f>AJ195</f>
        <v>711.63137386</v>
      </c>
      <c r="AL195" s="3">
        <f>AK195</f>
        <v>711.63137386</v>
      </c>
      <c r="AM195" s="3">
        <f>AL195</f>
        <v>711.63137386</v>
      </c>
      <c r="AN195" s="3">
        <f>AM195</f>
        <v>711.63137386</v>
      </c>
      <c r="AO195" s="3">
        <f>AN195</f>
        <v>711.63137386</v>
      </c>
      <c r="AP195" s="3">
        <f>AO195</f>
        <v>711.63137386</v>
      </c>
      <c r="AQ195" s="3">
        <f>AP195</f>
        <v>711.63137386</v>
      </c>
      <c r="AR195" s="3">
        <f>AQ195</f>
        <v>711.63137386</v>
      </c>
      <c r="AS195" s="3">
        <f>AR195</f>
        <v>711.63137386</v>
      </c>
      <c r="AT195" s="3">
        <f>AS195</f>
        <v>711.63137386</v>
      </c>
      <c r="AU195" s="3">
        <f>AT195</f>
        <v>711.63137386</v>
      </c>
      <c r="AV195" s="3">
        <f>AU195</f>
        <v>711.63137386</v>
      </c>
      <c r="AW195" s="3">
        <f>AV195</f>
        <v>711.63137386</v>
      </c>
      <c r="AX195" s="3">
        <f>AW195</f>
        <v>711.63137386</v>
      </c>
      <c r="AY195" s="3">
        <f>AX195</f>
        <v>711.63137386</v>
      </c>
      <c r="AZ195" s="3">
        <f>AY195</f>
        <v>711.63137386</v>
      </c>
      <c r="BA195" s="3">
        <f>AZ195</f>
        <v>711.63137386</v>
      </c>
      <c r="BB195" s="3">
        <f>BA195</f>
        <v>711.63137386</v>
      </c>
      <c r="BC195" s="3">
        <f>BB195</f>
        <v>711.63137386</v>
      </c>
      <c r="BD195" s="3">
        <f>BC195</f>
        <v>711.63137386</v>
      </c>
      <c r="BE195" s="3">
        <f>BD195</f>
        <v>711.63137386</v>
      </c>
      <c r="BF195" s="3">
        <f>BE195</f>
        <v>711.63137386</v>
      </c>
      <c r="BG195" s="3">
        <f>BF195</f>
        <v>711.63137386</v>
      </c>
      <c r="BH195" s="3">
        <f>BG195</f>
        <v>711.63137386</v>
      </c>
      <c r="BI195" s="3">
        <f>BH195</f>
        <v>711.63137386</v>
      </c>
      <c r="BJ195" s="3">
        <f>BI195</f>
        <v>711.63137386</v>
      </c>
      <c r="BK195" s="3">
        <f>BJ195</f>
        <v>711.63137386</v>
      </c>
      <c r="BL195" s="3">
        <f>BK195</f>
        <v>711.63137386</v>
      </c>
      <c r="BM195" s="3">
        <f>BL195</f>
        <v>711.63137386</v>
      </c>
      <c r="BN195" s="3">
        <f>BM195</f>
        <v>711.63137386</v>
      </c>
      <c r="BO195" s="3">
        <f>BN195</f>
        <v>711.63137386</v>
      </c>
      <c r="BP195" s="3">
        <f>BO195</f>
        <v>711.63137386</v>
      </c>
      <c r="BQ195" s="3">
        <f>BP195</f>
        <v>711.63137386</v>
      </c>
      <c r="BR195" s="3">
        <f>BQ195</f>
        <v>711.63137386</v>
      </c>
      <c r="BS195" s="3">
        <f>BR195</f>
        <v>711.63137386</v>
      </c>
      <c r="BT195" s="3">
        <f>BS195</f>
        <v>711.63137386</v>
      </c>
      <c r="BU195" s="3">
        <f>BT195</f>
        <v>711.63137386</v>
      </c>
      <c r="BV195" s="3">
        <f>BU195</f>
        <v>711.63137386</v>
      </c>
      <c r="BW195" s="3">
        <f>BV195</f>
        <v>711.63137386</v>
      </c>
      <c r="BX195" s="3">
        <f>BW195</f>
        <v>711.63137386</v>
      </c>
      <c r="BY195" s="3">
        <f>BX195</f>
        <v>711.63137386</v>
      </c>
      <c r="BZ195" s="3">
        <f>BY195</f>
        <v>711.63137386</v>
      </c>
      <c r="CA195" s="3">
        <f>BZ195</f>
        <v>711.63137386</v>
      </c>
      <c r="CB195" s="3">
        <f>CA195</f>
        <v>711.63137386</v>
      </c>
      <c r="CC195" s="3">
        <f>CB195</f>
        <v>711.63137386</v>
      </c>
      <c r="CD195" s="3">
        <f>CC195</f>
        <v>711.63137386</v>
      </c>
      <c r="CE195" s="3">
        <f>CD195</f>
        <v>711.63137386</v>
      </c>
      <c r="CF195" s="3">
        <f>CE195</f>
        <v>711.63137386</v>
      </c>
      <c r="CG195" s="3">
        <f>CF195</f>
        <v>711.63137386</v>
      </c>
      <c r="CH195" s="3">
        <f>CG195</f>
        <v>711.63137386</v>
      </c>
      <c r="CI195" s="3">
        <f>CH195</f>
        <v>711.63137386</v>
      </c>
      <c r="CJ195" s="3">
        <f>CI195</f>
        <v>711.63137386</v>
      </c>
      <c r="CK195" s="3">
        <f>CJ195</f>
        <v>711.63137386</v>
      </c>
      <c r="CL195" s="3">
        <f>CK195</f>
        <v>711.63137386</v>
      </c>
      <c r="CM195" s="3">
        <f>CL195</f>
        <v>711.63137386</v>
      </c>
      <c r="CN195" s="3">
        <f>CM195</f>
        <v>711.63137386</v>
      </c>
      <c r="CO195" s="3">
        <f>CN195</f>
        <v>711.63137386</v>
      </c>
      <c r="CP195" s="3">
        <f>CO195</f>
        <v>711.63137386</v>
      </c>
      <c r="CQ195" s="3">
        <f>CP195</f>
        <v>711.63137386</v>
      </c>
      <c r="CR195" s="3">
        <f>CQ195</f>
        <v>711.63137386</v>
      </c>
      <c r="CS195" s="3">
        <f>CR195</f>
        <v>711.63137386</v>
      </c>
      <c r="CT195" s="3">
        <f>CS195</f>
        <v>711.63137386</v>
      </c>
      <c r="CU195" s="3">
        <f>CT195</f>
        <v>711.63137386</v>
      </c>
      <c r="CV195" s="3">
        <f>CU195</f>
        <v>711.63137386</v>
      </c>
      <c r="CW195" s="3">
        <f>CV195</f>
        <v>711.63137386</v>
      </c>
      <c r="CX195" s="3">
        <f>CW195</f>
        <v>711.63137386</v>
      </c>
      <c r="CY195" s="3">
        <f>CX195</f>
        <v>711.63137386</v>
      </c>
    </row>
    <row r="196" hidden="1" outlineLevel="1">
      <c r="C196" s="38" t="inlineStr">
        <is>
          <t>%(Var.)</t>
        </is>
      </c>
      <c r="D196" s="3" t="n"/>
      <c r="E196" s="47">
        <f>(E195-D195)/D195</f>
        <v>-0.0263724792785611</v>
      </c>
      <c r="F196" s="47">
        <f>(F195-E195)/E195</f>
        <v>-0.143195615312149</v>
      </c>
      <c r="G196" s="47">
        <f>(G195-F195)/F195</f>
        <v>-0.169781237656408</v>
      </c>
      <c r="H196" s="3" t="n"/>
      <c r="I196" s="47">
        <f>(I195-H195)/H195</f>
        <v>0.0436264419487908</v>
      </c>
      <c r="J196" s="47">
        <f>(J195-I195)/I195</f>
        <v>0.0668161463306406</v>
      </c>
      <c r="K196" s="47">
        <f>(K195-J195)/J195</f>
        <v>0.248204977905978</v>
      </c>
      <c r="L196" s="47">
        <f>(L195-K195)/K195</f>
        <v>0.0331229299384471</v>
      </c>
      <c r="M196" s="3" t="n"/>
      <c r="N196" s="47">
        <f>(N195-M195)/M195</f>
        <v>0.128008450075184</v>
      </c>
      <c r="O196" s="47">
        <f>(O195-N195)/N195</f>
        <v>0.12688252171012</v>
      </c>
      <c r="P196" s="47">
        <f>(P195-O195)/O195</f>
        <v>0.108293472740097</v>
      </c>
      <c r="Q196" s="47">
        <f>(Q195-P195)/P195</f>
        <v>0.0246319198949563</v>
      </c>
      <c r="R196" s="3" t="n"/>
      <c r="S196" s="47">
        <f>(S195-R195)/R195</f>
        <v>0.0651495261074808</v>
      </c>
      <c r="T196" s="47">
        <f>(T195-S195)/S195</f>
        <v>0.0405296376063144</v>
      </c>
      <c r="U196" s="47">
        <f>(U195-T195)/T195</f>
        <v>0.0919939791440141</v>
      </c>
      <c r="V196" s="47">
        <f>(V195-U195)/U195</f>
        <v>-0.127644786123486</v>
      </c>
      <c r="W196" s="3" t="n"/>
      <c r="X196" s="47">
        <f>(X195-W195)/W195</f>
        <v>-0.174193798238154</v>
      </c>
      <c r="Y196" s="47">
        <f>(Y195-X195)/X195</f>
        <v>0.268453037655569</v>
      </c>
      <c r="Z196" s="47">
        <f>(Z195-Y195)/Y195</f>
        <v>-0.00171015402898867</v>
      </c>
      <c r="AA196" s="47">
        <f>(AA195-Z195)/Z195</f>
        <v>0.265097170654269</v>
      </c>
      <c r="AB196" s="3" t="n"/>
      <c r="AC196" s="47">
        <f>(AC195-AB195)/AB195</f>
        <v>0.119193536223573</v>
      </c>
      <c r="AD196" s="47">
        <f>(AD195-AC195)/AC195</f>
        <v>0.0178425850324664</v>
      </c>
      <c r="AE196" s="47">
        <f>(AE195-AD195)/AD195</f>
        <v>0.00315609894415428</v>
      </c>
      <c r="AF196" s="218">
        <f>(AF195-AE195)/AE195</f>
        <v>-0.0154687313832883</v>
      </c>
      <c r="AG196" s="3" t="n"/>
      <c r="AH196" s="218">
        <f>(AH195-AG195)/AG195</f>
        <v>0.0880056389830776</v>
      </c>
      <c r="AI196" s="218">
        <f>(AI195-AH195)/AH195</f>
        <v>0.017518786997664</v>
      </c>
      <c r="AJ196" s="218" t="n"/>
      <c r="AK196" s="218" t="n"/>
      <c r="AL196" s="3" t="n"/>
      <c r="AM196" s="218" t="n"/>
      <c r="AN196" s="218" t="n"/>
      <c r="AO196" s="218" t="n"/>
      <c r="AP196" s="218" t="n"/>
      <c r="AQ196" s="3" t="n"/>
      <c r="AR196" s="218" t="n"/>
      <c r="AS196" s="218" t="n"/>
      <c r="AT196" s="218" t="n"/>
      <c r="AU196" s="218" t="n"/>
      <c r="AV196" s="3" t="n"/>
      <c r="AW196" s="218" t="n"/>
      <c r="AX196" s="218" t="n"/>
      <c r="AY196" s="218" t="n"/>
      <c r="AZ196" s="218" t="n"/>
      <c r="BA196" s="3" t="n"/>
      <c r="BB196" s="218" t="n"/>
      <c r="BC196" s="218" t="n"/>
      <c r="BD196" s="218" t="n"/>
      <c r="BE196" s="218" t="n"/>
      <c r="BF196" s="3" t="n"/>
      <c r="BG196" s="218" t="n"/>
      <c r="BH196" s="218" t="n"/>
      <c r="BI196" s="218" t="n"/>
      <c r="BJ196" s="218" t="n"/>
      <c r="BK196" s="3" t="n"/>
      <c r="BL196" s="218" t="n"/>
      <c r="BM196" s="218" t="n"/>
      <c r="BN196" s="218" t="n"/>
      <c r="BO196" s="218" t="n"/>
      <c r="BP196" s="3" t="n"/>
      <c r="BQ196" s="218" t="n"/>
      <c r="BR196" s="218" t="n"/>
      <c r="BS196" s="218" t="n"/>
      <c r="BT196" s="218" t="n"/>
      <c r="BU196" s="3" t="n"/>
      <c r="BV196" s="218" t="n"/>
      <c r="BW196" s="218" t="n"/>
      <c r="BX196" s="218" t="n"/>
      <c r="BY196" s="218" t="n"/>
      <c r="BZ196" s="3" t="n"/>
      <c r="CA196" s="218" t="n"/>
      <c r="CB196" s="218" t="n"/>
      <c r="CC196" s="218" t="n"/>
      <c r="CD196" s="218" t="n"/>
      <c r="CE196" s="3" t="n"/>
      <c r="CF196" s="218" t="n"/>
      <c r="CG196" s="218" t="n"/>
      <c r="CH196" s="218" t="n"/>
      <c r="CI196" s="218" t="n"/>
      <c r="CJ196" s="3" t="n"/>
      <c r="CK196" s="218" t="n"/>
      <c r="CL196" s="218" t="n"/>
      <c r="CM196" s="218" t="n"/>
      <c r="CN196" s="218" t="n"/>
      <c r="CO196" s="3" t="n"/>
      <c r="CP196" s="218" t="n"/>
      <c r="CQ196" s="218" t="n"/>
      <c r="CR196" s="218" t="n"/>
      <c r="CS196" s="218" t="n"/>
      <c r="CT196" s="3" t="n"/>
      <c r="CU196" s="218" t="n"/>
      <c r="CV196" s="218" t="n"/>
      <c r="CW196" s="218" t="n"/>
      <c r="CX196" s="218" t="n"/>
      <c r="CY196" s="3" t="n"/>
    </row>
    <row r="197" hidden="1" outlineLevel="1">
      <c r="C197" s="34" t="n"/>
      <c r="D197" s="3" t="n"/>
      <c r="E197" s="47" t="n"/>
      <c r="F197" s="47" t="n"/>
      <c r="G197" s="47" t="n"/>
      <c r="H197" s="3" t="n"/>
      <c r="I197" s="47" t="n"/>
      <c r="J197" s="47" t="n"/>
      <c r="K197" s="47" t="n"/>
      <c r="L197" s="47" t="n"/>
      <c r="M197" s="3" t="n"/>
      <c r="N197" s="47" t="n"/>
      <c r="O197" s="47" t="n"/>
      <c r="P197" s="47" t="n"/>
      <c r="Q197" s="47" t="n"/>
      <c r="R197" s="3" t="n"/>
      <c r="S197" s="47" t="n"/>
      <c r="T197" s="47" t="n"/>
      <c r="U197" s="47" t="n"/>
      <c r="V197" s="47" t="n"/>
      <c r="W197" s="3" t="n"/>
      <c r="X197" s="47" t="n"/>
      <c r="Y197" s="47" t="n"/>
      <c r="Z197" s="47" t="n"/>
      <c r="AA197" s="47" t="n"/>
      <c r="AB197" s="3" t="n"/>
      <c r="AC197" s="47" t="n"/>
      <c r="AD197" s="47" t="n"/>
      <c r="AE197" s="47" t="n"/>
      <c r="AF197" s="218" t="n"/>
      <c r="AG197" s="3" t="n"/>
      <c r="AH197" s="218" t="n"/>
      <c r="AI197" s="218" t="n"/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hidden="1" outlineLevel="1">
      <c r="C198" s="52" t="inlineStr">
        <is>
          <t>Outros Créditos - LP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52" t="inlineStr">
        <is>
          <t xml:space="preserve">Impostos e Contribuições a Recuperar </t>
        </is>
      </c>
      <c r="D199" s="6" t="n"/>
      <c r="E199" s="6" t="n"/>
      <c r="F199" s="6" t="n"/>
      <c r="G199" s="6" t="n"/>
      <c r="H199" s="3" t="n"/>
      <c r="I199" s="6" t="n"/>
      <c r="J199" s="6" t="n"/>
      <c r="K199" s="6" t="n"/>
      <c r="L199" s="6" t="n"/>
      <c r="M199" s="3" t="n"/>
      <c r="N199" s="6" t="n"/>
      <c r="O199" s="6" t="n"/>
      <c r="P199" s="6" t="n"/>
      <c r="Q199" s="6" t="n"/>
      <c r="R199" s="3" t="n"/>
      <c r="S199" s="6" t="n"/>
      <c r="T199" s="6" t="n"/>
      <c r="U199" s="6" t="n"/>
      <c r="V199" s="6" t="n"/>
      <c r="W199" s="3" t="n"/>
      <c r="X199" s="6" t="n"/>
      <c r="Y199" s="6" t="n"/>
      <c r="Z199" s="6" t="n"/>
      <c r="AA199" s="6" t="n"/>
      <c r="AB199" s="3" t="n"/>
      <c r="AC199" s="6" t="n"/>
      <c r="AD199" s="6" t="n"/>
      <c r="AE199" s="6" t="n"/>
      <c r="AF199" s="6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52" t="inlineStr">
        <is>
          <t xml:space="preserve">Imposto de Renda e Contribuição Social Diferidos </t>
        </is>
      </c>
      <c r="D200" s="6" t="n"/>
      <c r="E200" s="6" t="n"/>
      <c r="F200" s="6" t="n"/>
      <c r="G200" s="6" t="n"/>
      <c r="H200" s="3" t="n"/>
      <c r="I200" s="6" t="n"/>
      <c r="J200" s="6" t="n"/>
      <c r="K200" s="6" t="n"/>
      <c r="L200" s="6" t="n"/>
      <c r="M200" s="3" t="n"/>
      <c r="N200" s="6" t="n"/>
      <c r="O200" s="6" t="n"/>
      <c r="P200" s="6" t="n"/>
      <c r="Q200" s="6" t="n"/>
      <c r="R200" s="3" t="n"/>
      <c r="S200" s="6" t="n"/>
      <c r="T200" s="6" t="n"/>
      <c r="U200" s="6" t="n"/>
      <c r="V200" s="6" t="n"/>
      <c r="W200" s="3" t="n"/>
      <c r="X200" s="6" t="n"/>
      <c r="Y200" s="6" t="n"/>
      <c r="Z200" s="6" t="n"/>
      <c r="AA200" s="6" t="n"/>
      <c r="AB200" s="3" t="n"/>
      <c r="AC200" s="6" t="n"/>
      <c r="AD200" s="6" t="n"/>
      <c r="AE200" s="6" t="n"/>
      <c r="AF200" s="6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52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 customFormat="1" s="17">
      <c r="A203" s="13" t="n"/>
      <c r="B203" s="1" t="n"/>
      <c r="C203" s="14" t="inlineStr">
        <is>
          <t>Total Assets</t>
        </is>
      </c>
      <c r="D203" s="16">
        <f>(D150+D151+D155+D159+D160+D161+D167+D172+D182+D185+D186+D195)</f>
        <v>1829.192</v>
      </c>
      <c r="E203" s="16">
        <f>(E150+E151+E155+E159+E160+E161+E167+E172+E182+E185+E186+E195)</f>
        <v>1853.53874944981</v>
      </c>
      <c r="F203" s="16">
        <f>(F150+F151+F155+F159+F160+F161+F167+F172+F182+F185+F186+F195)</f>
        <v>1910.65852671409</v>
      </c>
      <c r="G203" s="16">
        <f>(G150+G151+G155+G159+G160+G161+G167+G172+G182+G185+G186+G195)</f>
        <v>2140.69671668389</v>
      </c>
      <c r="H203" s="16">
        <f>SUM(H150,H151,H155,H159,H160,H161,H167,H182,H185,H186,H195,H172)</f>
        <v>2140.69671668389</v>
      </c>
      <c r="I203" s="16">
        <f>(I150+I151+I155+I159+I160+I161+I167+I172+I182+I185+I186+I195)</f>
        <v>1986.39689905232</v>
      </c>
      <c r="J203" s="16">
        <f>(J150+J151+J155+J159+J160+J161+J167+J172+J182+J185+J186+J195)</f>
        <v>2175.60398194023</v>
      </c>
      <c r="K203" s="16">
        <f>(K150+K151+K155+K159+K160+K161+K167+K172+K182+K185+K186+K195)</f>
        <v>2368.82220509231</v>
      </c>
      <c r="L203" s="16">
        <f>(L150+L151+L155+L159+L160+L161+L167+L172+L182+L185+L186+L195)</f>
        <v>2563.86883429491</v>
      </c>
      <c r="M203" s="16">
        <f>SUM(M150,M151,M155,M159,M160,M161,M167,M182,M185,M186,M195,M172)</f>
        <v>2563.86883429491</v>
      </c>
      <c r="N203" s="16">
        <f>(N150+N151+N155+N159+N160+N161+N167+N172+N182+N185+N186+N195)</f>
        <v>2531.54726606067</v>
      </c>
      <c r="O203" s="16">
        <f>(O150+O151+O155+O159+O160+O161+O167+O172+O182+O185+O186+O195)</f>
        <v>2553.45771118245</v>
      </c>
      <c r="P203" s="16">
        <f>(P150+P151+P155+P159+P160+P161+P167+P172+P182+P185+P186+P195)</f>
        <v>2679.77594853558</v>
      </c>
      <c r="Q203" s="16">
        <f>(Q150+Q151+Q155+Q159+Q160+Q161+Q167+Q172+Q182+Q185+Q186+Q195)</f>
        <v>2932.1735953006</v>
      </c>
      <c r="R203" s="16">
        <f>SUM(R150,R151,R155,R159,R160,R161,R167,R182,R185,R186,R195,R172)</f>
        <v>2932.1735953006</v>
      </c>
      <c r="S203" s="16">
        <f>(S150+S151+S155+S159+S160+S161+S167+S172+S182+S185+S186+S195)</f>
        <v>2882.158</v>
      </c>
      <c r="T203" s="16">
        <f>(T150+T151+T155+T159+T160+T161+T167+T172+T182+T185+T186+T195)</f>
        <v>2972.57361588974</v>
      </c>
      <c r="U203" s="16">
        <f>(U150+U151+U155+U159+U160+U161+U167+U172+U182+U185+U186+U195)</f>
        <v>3022.75095532119</v>
      </c>
      <c r="V203" s="16">
        <f>(V150+V151+V155+V159+V160+V161+V167+V172+V182+V185+V186+V195)</f>
        <v>3313.3984610833</v>
      </c>
      <c r="W203" s="16">
        <f>SUM(W150,W151,W155,W159,W160,W161,W167,W182,W185,W186,W195,W172)</f>
        <v>3313.3984610833</v>
      </c>
      <c r="X203" s="16">
        <f>(X150+X151+X155+X159+X160+X161+X167+X172+X182+X185+X186+X195)</f>
        <v>3209.95168943274</v>
      </c>
      <c r="Y203" s="16">
        <f>(Y150+Y151+Y155+Y159+Y160+Y161+Y167+Y172+Y182+Y185+Y186+Y195)</f>
        <v>3444.07496977895</v>
      </c>
      <c r="Z203" s="16">
        <f>(Z150+Z151+Z155+Z159+Z160+Z161+Z167+Z172+Z182+Z185+Z186+Z195)</f>
        <v>3608.12856769</v>
      </c>
      <c r="AA203" s="16">
        <f>(AA150+AA151+AA155+AA159+AA160+AA161+AA167+AA172+AA182+AA185+AA186+AA195)</f>
        <v>4273.72971086</v>
      </c>
      <c r="AB203" s="16">
        <f>SUM(AB150,AB151,AB155,AB159,AB160,AB161,AB167,AB182,AB185,AB186,AB195,AB172)</f>
        <v>4273.72971086</v>
      </c>
      <c r="AC203" s="16">
        <f>(AC150+AC151+AC155+AC159+AC160+AC161+AC167+AC172+AC182+AC185+AC186+AC195)</f>
        <v>4228.26390761</v>
      </c>
      <c r="AD203" s="16">
        <f>(AD150+AD151+AD155+AD159+AD160+AD161+AD167+AD172+AD182+AD185+AD186+AD195)</f>
        <v>4286.20045712</v>
      </c>
      <c r="AE203" s="16">
        <f>(AE150+AE151+AE155+AE159+AE160+AE161+AE167+AE172+AE182+AE185+AE186+AE195)</f>
        <v>4699.193</v>
      </c>
      <c r="AF203" s="16">
        <f>(AF150+AF151+AF155+AF159+AF160+AF161+AF167+AF172+AF182+AF185+AF186+AF195)</f>
        <v>4722.69336503</v>
      </c>
      <c r="AG203" s="16">
        <f>SUM(AG150,AG151,AG155,AG159,AG160,AG161,AG167,AG182,AG185,AG186,AG195,AG172)</f>
        <v>4722.69336503</v>
      </c>
      <c r="AH203" s="16">
        <f>(AH150+AH151+AH155+AH159+AH160+AH161+AH167+AH172+AH182+AH185+AH186+AH195)</f>
        <v>4675.66729481</v>
      </c>
      <c r="AI203" s="16">
        <f>(AI150+AI151+AI155+AI159+AI160+AI161+AI167+AI172+AI182+AI185+AI186+AI195)</f>
        <v>4880.31278349</v>
      </c>
      <c r="AJ203" s="16">
        <f>(AJ150+AJ151+AJ155+AJ159+AJ160+AJ161+AJ167+AJ172+AJ182+AJ185+AJ186+AJ195)</f>
        <v>4529.46288462</v>
      </c>
      <c r="AK203" s="16">
        <f>(AK150+AK151+AK155+AK159+AK160+AK161+AK167+AK172+AK182+AK185+AK186+AK195)</f>
        <v>4540.65788462</v>
      </c>
      <c r="AL203" s="16">
        <f>SUM(AL150,AL151,AL155,AL159,AL160,AL161,AL167,AL182,AL185,AL186,AL195,AL172)</f>
        <v>4540.65788462</v>
      </c>
      <c r="AM203" s="16" t="e">
        <f>(AM150+AM151+AM155+AM159+AM160+AM161+AM167+AM172+AM182+AM185+AM186+AM195)</f>
        <v>#DIV/0!</v>
      </c>
      <c r="AN203" s="16" t="e">
        <f>(AN150+AN151+AN155+AN159+AN160+AN161+AN167+AN172+AN182+AN185+AN186+AN195)</f>
        <v>#DIV/0!</v>
      </c>
      <c r="AO203" s="16" t="e">
        <f>(AO150+AO151+AO155+AO159+AO160+AO161+AO167+AO172+AO182+AO185+AO186+AO195)</f>
        <v>#DIV/0!</v>
      </c>
      <c r="AP203" s="16" t="e">
        <f>(AP150+AP151+AP155+AP159+AP160+AP161+AP167+AP172+AP182+AP185+AP186+AP195)</f>
        <v>#DIV/0!</v>
      </c>
      <c r="AQ203" s="16" t="e">
        <f>SUM(AQ150,AQ151,AQ155,AQ159,AQ160,AQ161,AQ167,AQ182,AQ185,AQ186,AQ195,AQ172)</f>
        <v>#DIV/0!</v>
      </c>
      <c r="AR203" s="16" t="e">
        <f>(AR150+AR151+AR155+AR159+AR160+AR161+AR167+AR172+AR182+AR185+AR186+AR195)</f>
        <v>#DIV/0!</v>
      </c>
      <c r="AS203" s="16" t="e">
        <f>(AS150+AS151+AS155+AS159+AS160+AS161+AS167+AS172+AS182+AS185+AS186+AS195)</f>
        <v>#DIV/0!</v>
      </c>
      <c r="AT203" s="16" t="e">
        <f>(AT150+AT151+AT155+AT159+AT160+AT161+AT167+AT172+AT182+AT185+AT186+AT195)</f>
        <v>#DIV/0!</v>
      </c>
      <c r="AU203" s="16" t="e">
        <f>(AU150+AU151+AU155+AU159+AU160+AU161+AU167+AU172+AU182+AU185+AU186+AU195)</f>
        <v>#DIV/0!</v>
      </c>
      <c r="AV203" s="16" t="e">
        <f>SUM(AV150,AV151,AV155,AV159,AV160,AV161,AV167,AV182,AV185,AV186,AV195,AV172)</f>
        <v>#DIV/0!</v>
      </c>
      <c r="AW203" s="16" t="e">
        <f>(AW150+AW151+AW155+AW159+AW160+AW161+AW167+AW172+AW182+AW185+AW186+AW195)</f>
        <v>#DIV/0!</v>
      </c>
      <c r="AX203" s="16" t="e">
        <f>(AX150+AX151+AX155+AX159+AX160+AX161+AX167+AX172+AX182+AX185+AX186+AX195)</f>
        <v>#DIV/0!</v>
      </c>
      <c r="AY203" s="16" t="e">
        <f>(AY150+AY151+AY155+AY159+AY160+AY161+AY167+AY172+AY182+AY185+AY186+AY195)</f>
        <v>#DIV/0!</v>
      </c>
      <c r="AZ203" s="16" t="e">
        <f>(AZ150+AZ151+AZ155+AZ159+AZ160+AZ161+AZ167+AZ172+AZ182+AZ185+AZ186+AZ195)</f>
        <v>#DIV/0!</v>
      </c>
      <c r="BA203" s="16" t="e">
        <f>SUM(BA150,BA151,BA155,BA159,BA160,BA161,BA167,BA182,BA185,BA186,BA195,BA172)</f>
        <v>#DIV/0!</v>
      </c>
      <c r="BB203" s="16" t="e">
        <f>(BB150+BB151+BB155+BB159+BB160+BB161+BB167+BB172+BB182+BB185+BB186+BB195)</f>
        <v>#DIV/0!</v>
      </c>
      <c r="BC203" s="16" t="e">
        <f>(BC150+BC151+BC155+BC159+BC160+BC161+BC167+BC172+BC182+BC185+BC186+BC195)</f>
        <v>#DIV/0!</v>
      </c>
      <c r="BD203" s="16" t="e">
        <f>(BD150+BD151+BD155+BD159+BD160+BD161+BD167+BD172+BD182+BD185+BD186+BD195)</f>
        <v>#DIV/0!</v>
      </c>
      <c r="BE203" s="16" t="e">
        <f>(BE150+BE151+BE155+BE159+BE160+BE161+BE167+BE172+BE182+BE185+BE186+BE195)</f>
        <v>#DIV/0!</v>
      </c>
      <c r="BF203" s="16" t="e">
        <f>SUM(BF150,BF151,BF155,BF159,BF160,BF161,BF167,BF182,BF185,BF186,BF195,BF172)</f>
        <v>#DIV/0!</v>
      </c>
      <c r="BG203" s="16" t="e">
        <f>(BG150+BG151+BG155+BG159+BG160+BG161+BG167+BG172+BG182+BG185+BG186+BG195)</f>
        <v>#DIV/0!</v>
      </c>
      <c r="BH203" s="16" t="e">
        <f>(BH150+BH151+BH155+BH159+BH160+BH161+BH167+BH172+BH182+BH185+BH186+BH195)</f>
        <v>#DIV/0!</v>
      </c>
      <c r="BI203" s="16" t="e">
        <f>(BI150+BI151+BI155+BI159+BI160+BI161+BI167+BI172+BI182+BI185+BI186+BI195)</f>
        <v>#DIV/0!</v>
      </c>
      <c r="BJ203" s="16" t="e">
        <f>(BJ150+BJ151+BJ155+BJ159+BJ160+BJ161+BJ167+BJ172+BJ182+BJ185+BJ186+BJ195)</f>
        <v>#DIV/0!</v>
      </c>
      <c r="BK203" s="16" t="e">
        <f>SUM(BK150,BK151,BK155,BK159,BK160,BK161,BK167,BK182,BK185,BK186,BK195,BK172)</f>
        <v>#DIV/0!</v>
      </c>
      <c r="BL203" s="16" t="e">
        <f>(BL150+BL151+BL155+BL159+BL160+BL161+BL167+BL172+BL182+BL185+BL186+BL195)</f>
        <v>#DIV/0!</v>
      </c>
      <c r="BM203" s="16" t="e">
        <f>(BM150+BM151+BM155+BM159+BM160+BM161+BM167+BM172+BM182+BM185+BM186+BM195)</f>
        <v>#DIV/0!</v>
      </c>
      <c r="BN203" s="16" t="e">
        <f>(BN150+BN151+BN155+BN159+BN160+BN161+BN167+BN172+BN182+BN185+BN186+BN195)</f>
        <v>#DIV/0!</v>
      </c>
      <c r="BO203" s="16" t="e">
        <f>(BO150+BO151+BO155+BO159+BO160+BO161+BO167+BO172+BO182+BO185+BO186+BO195)</f>
        <v>#DIV/0!</v>
      </c>
      <c r="BP203" s="16" t="e">
        <f>SUM(BP150,BP151,BP155,BP159,BP160,BP161,BP167,BP182,BP185,BP186,BP195,BP172)</f>
        <v>#DIV/0!</v>
      </c>
      <c r="BQ203" s="16" t="e">
        <f>(BQ150+BQ151+BQ155+BQ159+BQ160+BQ161+BQ167+BQ172+BQ182+BQ185+BQ186+BQ195)</f>
        <v>#DIV/0!</v>
      </c>
      <c r="BR203" s="16" t="e">
        <f>(BR150+BR151+BR155+BR159+BR160+BR161+BR167+BR172+BR182+BR185+BR186+BR195)</f>
        <v>#DIV/0!</v>
      </c>
      <c r="BS203" s="16" t="e">
        <f>(BS150+BS151+BS155+BS159+BS160+BS161+BS167+BS172+BS182+BS185+BS186+BS195)</f>
        <v>#DIV/0!</v>
      </c>
      <c r="BT203" s="16" t="e">
        <f>(BT150+BT151+BT155+BT159+BT160+BT161+BT167+BT172+BT182+BT185+BT186+BT195)</f>
        <v>#DIV/0!</v>
      </c>
      <c r="BU203" s="16" t="e">
        <f>SUM(BU150,BU151,BU155,BU159,BU160,BU161,BU167,BU182,BU185,BU186,BU195,BU172)</f>
        <v>#DIV/0!</v>
      </c>
      <c r="BV203" s="16" t="e">
        <f>(BV150+BV151+BV155+BV159+BV160+BV161+BV167+BV172+BV182+BV185+BV186+BV195)</f>
        <v>#DIV/0!</v>
      </c>
      <c r="BW203" s="16" t="e">
        <f>(BW150+BW151+BW155+BW159+BW160+BW161+BW167+BW172+BW182+BW185+BW186+BW195)</f>
        <v>#DIV/0!</v>
      </c>
      <c r="BX203" s="16" t="e">
        <f>(BX150+BX151+BX155+BX159+BX160+BX161+BX167+BX172+BX182+BX185+BX186+BX195)</f>
        <v>#DIV/0!</v>
      </c>
      <c r="BY203" s="16" t="e">
        <f>(BY150+BY151+BY155+BY159+BY160+BY161+BY167+BY172+BY182+BY185+BY186+BY195)</f>
        <v>#DIV/0!</v>
      </c>
      <c r="BZ203" s="16" t="e">
        <f>SUM(BZ150,BZ151,BZ155,BZ159,BZ160,BZ161,BZ167,BZ182,BZ185,BZ186,BZ195,BZ172)</f>
        <v>#DIV/0!</v>
      </c>
      <c r="CA203" s="16" t="e">
        <f>(CA150+CA151+CA155+CA159+CA160+CA161+CA167+CA172+CA182+CA185+CA186+CA195)</f>
        <v>#DIV/0!</v>
      </c>
      <c r="CB203" s="16" t="e">
        <f>(CB150+CB151+CB155+CB159+CB160+CB161+CB167+CB172+CB182+CB185+CB186+CB195)</f>
        <v>#DIV/0!</v>
      </c>
      <c r="CC203" s="16" t="e">
        <f>(CC150+CC151+CC155+CC159+CC160+CC161+CC167+CC172+CC182+CC185+CC186+CC195)</f>
        <v>#DIV/0!</v>
      </c>
      <c r="CD203" s="16" t="e">
        <f>(CD150+CD151+CD155+CD159+CD160+CD161+CD167+CD172+CD182+CD185+CD186+CD195)</f>
        <v>#DIV/0!</v>
      </c>
      <c r="CE203" s="16" t="e">
        <f>SUM(CE150,CE151,CE155,CE159,CE160,CE161,CE167,CE182,CE185,CE186,CE195,CE172)</f>
        <v>#DIV/0!</v>
      </c>
      <c r="CF203" s="16" t="e">
        <f>(CF150+CF151+CF155+CF159+CF160+CF161+CF167+CF172+CF182+CF185+CF186+CF195)</f>
        <v>#DIV/0!</v>
      </c>
      <c r="CG203" s="16" t="e">
        <f>(CG150+CG151+CG155+CG159+CG160+CG161+CG167+CG172+CG182+CG185+CG186+CG195)</f>
        <v>#DIV/0!</v>
      </c>
      <c r="CH203" s="16" t="e">
        <f>(CH150+CH151+CH155+CH159+CH160+CH161+CH167+CH172+CH182+CH185+CH186+CH195)</f>
        <v>#DIV/0!</v>
      </c>
      <c r="CI203" s="16" t="e">
        <f>(CI150+CI151+CI155+CI159+CI160+CI161+CI167+CI172+CI182+CI185+CI186+CI195)</f>
        <v>#DIV/0!</v>
      </c>
      <c r="CJ203" s="16" t="e">
        <f>SUM(CJ150,CJ151,CJ155,CJ159,CJ160,CJ161,CJ167,CJ182,CJ185,CJ186,CJ195,CJ172)</f>
        <v>#DIV/0!</v>
      </c>
      <c r="CK203" s="16" t="e">
        <f>(CK150+CK151+CK155+CK159+CK160+CK161+CK167+CK172+CK182+CK185+CK186+CK195)</f>
        <v>#DIV/0!</v>
      </c>
      <c r="CL203" s="16" t="e">
        <f>(CL150+CL151+CL155+CL159+CL160+CL161+CL167+CL172+CL182+CL185+CL186+CL195)</f>
        <v>#DIV/0!</v>
      </c>
      <c r="CM203" s="16" t="e">
        <f>(CM150+CM151+CM155+CM159+CM160+CM161+CM167+CM172+CM182+CM185+CM186+CM195)</f>
        <v>#DIV/0!</v>
      </c>
      <c r="CN203" s="16" t="e">
        <f>(CN150+CN151+CN155+CN159+CN160+CN161+CN167+CN172+CN182+CN185+CN186+CN195)</f>
        <v>#DIV/0!</v>
      </c>
      <c r="CO203" s="16" t="e">
        <f>SUM(CO150,CO151,CO155,CO159,CO160,CO161,CO167,CO182,CO185,CO186,CO195,CO172)</f>
        <v>#DIV/0!</v>
      </c>
      <c r="CP203" s="16" t="e">
        <f>(CP150+CP151+CP155+CP159+CP160+CP161+CP167+CP172+CP182+CP185+CP186+CP195)</f>
        <v>#DIV/0!</v>
      </c>
      <c r="CQ203" s="16" t="e">
        <f>(CQ150+CQ151+CQ155+CQ159+CQ160+CQ161+CQ167+CQ172+CQ182+CQ185+CQ186+CQ195)</f>
        <v>#DIV/0!</v>
      </c>
      <c r="CR203" s="16" t="e">
        <f>(CR150+CR151+CR155+CR159+CR160+CR161+CR167+CR172+CR182+CR185+CR186+CR195)</f>
        <v>#DIV/0!</v>
      </c>
      <c r="CS203" s="16" t="e">
        <f>(CS150+CS151+CS155+CS159+CS160+CS161+CS167+CS172+CS182+CS185+CS186+CS195)</f>
        <v>#DIV/0!</v>
      </c>
      <c r="CT203" s="16" t="e">
        <f>SUM(CT150,CT151,CT155,CT159,CT160,CT161,CT167,CT182,CT185,CT186,CT195,CT172)</f>
        <v>#DIV/0!</v>
      </c>
      <c r="CU203" s="16" t="e">
        <f>(CU150+CU151+CU155+CU159+CU160+CU161+CU167+CU172+CU182+CU185+CU186+CU195)</f>
        <v>#DIV/0!</v>
      </c>
      <c r="CV203" s="16" t="e">
        <f>(CV150+CV151+CV155+CV159+CV160+CV161+CV167+CV172+CV182+CV185+CV186+CV195)</f>
        <v>#DIV/0!</v>
      </c>
      <c r="CW203" s="16" t="e">
        <f>(CW150+CW151+CW155+CW159+CW160+CW161+CW167+CW172+CW182+CW185+CW186+CW195)</f>
        <v>#DIV/0!</v>
      </c>
      <c r="CX203" s="16" t="e">
        <f>(CX150+CX151+CX155+CX159+CX160+CX161+CX167+CX172+CX182+CX185+CX186+CX195)</f>
        <v>#DIV/0!</v>
      </c>
      <c r="CY203" s="16" t="e">
        <f>SUM(CY150,CY151,CY155,CY159,CY160,CY161,CY167,CY182,CY185,CY186,CY195,CY172)</f>
        <v>#DIV/0!</v>
      </c>
    </row>
    <row r="204">
      <c r="C204" s="26" t="inlineStr">
        <is>
          <t>Accounts payable</t>
        </is>
      </c>
      <c r="D204" s="25">
        <f>INDEX('Inputs (2)'!$D$28:$AL$28,MATCH(D$7,'Inputs (2)'!$D$2:$AL$2,0))</f>
        <v>24.785</v>
      </c>
      <c r="E204" s="25">
        <f>INDEX('Inputs (2)'!$D$28:$AL$28,MATCH(E$7,'Inputs (2)'!$D$2:$AL$2,0))</f>
        <v>18.60376887</v>
      </c>
      <c r="F204" s="25">
        <f>INDEX('Inputs (2)'!$D$28:$AL$28,MATCH(F$7,'Inputs (2)'!$D$2:$AL$2,0))</f>
        <v>9.03926611</v>
      </c>
      <c r="G204" s="25">
        <f>INDEX('Inputs (2)'!$D$28:$AL$28,MATCH(G$7,'Inputs (2)'!$D$2:$AL$2,0))</f>
        <v>53.19818437</v>
      </c>
      <c r="H204" s="3">
        <f>G204</f>
        <v>53.19818437</v>
      </c>
      <c r="I204" s="25">
        <f>INDEX('Inputs (2)'!$D$28:$AL$28,MATCH(I$7,'Inputs (2)'!$D$2:$AL$2,0))</f>
        <v>36.18960171</v>
      </c>
      <c r="J204" s="25">
        <f>INDEX('Inputs (2)'!$D$28:$AL$28,MATCH(J$7,'Inputs (2)'!$D$2:$AL$2,0))</f>
        <v>56.86854222</v>
      </c>
      <c r="K204" s="25">
        <f>INDEX('Inputs (2)'!$D$28:$AL$28,MATCH(K$7,'Inputs (2)'!$D$2:$AL$2,0))</f>
        <v>100.00599354</v>
      </c>
      <c r="L204" s="25">
        <f>INDEX('Inputs (2)'!$D$28:$AL$28,MATCH(L$7,'Inputs (2)'!$D$2:$AL$2,0))</f>
        <v>88.20720052</v>
      </c>
      <c r="M204" s="3">
        <f>L204</f>
        <v>88.20720052</v>
      </c>
      <c r="N204" s="25">
        <f>INDEX('Inputs (2)'!$D$28:$AL$28,MATCH(N$7,'Inputs (2)'!$D$2:$AL$2,0))</f>
        <v>77.36864816</v>
      </c>
      <c r="O204" s="25">
        <f>INDEX('Inputs (2)'!$D$28:$AL$28,MATCH(O$7,'Inputs (2)'!$D$2:$AL$2,0))</f>
        <v>71.88823787</v>
      </c>
      <c r="P204" s="25">
        <f>INDEX('Inputs (2)'!$D$28:$AL$28,MATCH(P$7,'Inputs (2)'!$D$2:$AL$2,0))</f>
        <v>110.22431589</v>
      </c>
      <c r="Q204" s="25">
        <f>INDEX('Inputs (2)'!$D$28:$AL$28,MATCH(Q$7,'Inputs (2)'!$D$2:$AL$2,0))</f>
        <v>104.961</v>
      </c>
      <c r="R204" s="3">
        <f>Q204</f>
        <v>104.961</v>
      </c>
      <c r="S204" s="25">
        <f>INDEX('Inputs (2)'!$D$28:$AL$28,MATCH(S$7,'Inputs (2)'!$D$2:$AL$2,0))</f>
        <v>122.162</v>
      </c>
      <c r="T204" s="25">
        <f>INDEX('Inputs (2)'!$D$28:$AL$28,MATCH(T$7,'Inputs (2)'!$D$2:$AL$2,0))</f>
        <v>118.58373421</v>
      </c>
      <c r="U204" s="25">
        <f>INDEX('Inputs (2)'!$D$28:$AL$28,MATCH(U$7,'Inputs (2)'!$D$2:$AL$2,0))</f>
        <v>73.52451899</v>
      </c>
      <c r="V204" s="25">
        <f>INDEX('Inputs (2)'!$D$28:$AL$28,MATCH(V$7,'Inputs (2)'!$D$2:$AL$2,0))</f>
        <v>142.18292441</v>
      </c>
      <c r="W204" s="3">
        <f>V204</f>
        <v>142.18292441</v>
      </c>
      <c r="X204" s="25">
        <f>INDEX('Inputs (2)'!$D$28:$AL$28,MATCH(X$7,'Inputs (2)'!$D$2:$AL$2,0))</f>
        <v>76.32343143</v>
      </c>
      <c r="Y204" s="25">
        <f>INDEX('Inputs (2)'!$D$28:$AL$28,MATCH(Y$7,'Inputs (2)'!$D$2:$AL$2,0))</f>
        <v>110.14470156</v>
      </c>
      <c r="Z204" s="25">
        <f>INDEX('Inputs (2)'!$D$28:$AL$28,MATCH(Z$7,'Inputs (2)'!$D$2:$AL$2,0))</f>
        <v>85.09915715</v>
      </c>
      <c r="AA204" s="25">
        <f>INDEX('Inputs (2)'!$D$28:$AL$28,MATCH(AA$7,'Inputs (2)'!$D$2:$AL$2,0))</f>
        <v>158.73578572</v>
      </c>
      <c r="AB204" s="3">
        <f>AA204</f>
        <v>158.73578572</v>
      </c>
      <c r="AC204" s="25">
        <f>INDEX('Inputs (2)'!$D$28:$AL$28,MATCH(AC$7,'Inputs (2)'!$D$2:$AL$2,0))</f>
        <v>152.64995621</v>
      </c>
      <c r="AD204" s="25">
        <f>INDEX('Inputs (2)'!$D$28:$AL$28,MATCH(AD$7,'Inputs (2)'!$D$2:$AL$2,0))</f>
        <v>160.95397891</v>
      </c>
      <c r="AE204" s="25">
        <f>INDEX('Inputs (2)'!$D$28:$AL$28,MATCH(AE$7,'Inputs (2)'!$D$2:$AL$2,0))</f>
        <v>210.96</v>
      </c>
      <c r="AF204" s="25">
        <f>INDEX('Inputs (2)'!$D$28:$AL$28,MATCH(AF$7,'Inputs (2)'!$D$2:$AL$2,0))</f>
        <v>189.47200839</v>
      </c>
      <c r="AG204" s="3">
        <f>AF204</f>
        <v>189.47200839</v>
      </c>
      <c r="AH204" s="3">
        <f>INDEX('Inputs (2)'!$D$28:$AL$28,MATCH(AH$7,'Inputs (2)'!$D$2:$AL$2,0))</f>
        <v>125.46004216</v>
      </c>
      <c r="AI204" s="3">
        <f>INDEX('Inputs (2)'!$D$28:$AL$28,MATCH(AI$7,'Inputs (2)'!$D$2:$AL$2,0))</f>
        <v>130.58308155</v>
      </c>
      <c r="AJ204" s="3">
        <f>(AJ205/(AJ$5-AI$5))*-AJ60</f>
        <v>0</v>
      </c>
      <c r="AK204" s="3">
        <f>(AK205/(AK$5-AJ$5))*-AK60</f>
        <v>0</v>
      </c>
      <c r="AL204" s="3">
        <f>AK204</f>
        <v>0</v>
      </c>
      <c r="AM204" s="3">
        <f>(AM205/(AM$5-AL$5))*-AM60</f>
        <v>0</v>
      </c>
      <c r="AN204" s="3">
        <f>(AN205/(AN$5-AM$5))*-AN60</f>
        <v>0</v>
      </c>
      <c r="AO204" s="3">
        <f>(AO205/(AO$5-AN$5))*-AO60</f>
        <v>0</v>
      </c>
      <c r="AP204" s="3">
        <f>(AP205/(AP$5-AO$5))*-AP60</f>
        <v>0</v>
      </c>
      <c r="AQ204" s="3">
        <f>AP204</f>
        <v>0</v>
      </c>
      <c r="AR204" s="3">
        <f>(AR205/(AR$5-AQ$5))*-AR60</f>
        <v>0</v>
      </c>
      <c r="AS204" s="3">
        <f>(AS205/(AS$5-AR$5))*-AS60</f>
        <v>0</v>
      </c>
      <c r="AT204" s="3">
        <f>(AT205/(AT$5-AS$5))*-AT60</f>
        <v>0</v>
      </c>
      <c r="AU204" s="3">
        <f>(AU205/(AU$5-AT$5))*-AU60</f>
        <v>0</v>
      </c>
      <c r="AV204" s="3">
        <f>AU204</f>
        <v>0</v>
      </c>
      <c r="AW204" s="3">
        <f>(AW205/(AW$5-AV$5))*-AW60</f>
        <v>0</v>
      </c>
      <c r="AX204" s="3">
        <f>(AX205/(AX$5-AW$5))*-AX60</f>
        <v>0</v>
      </c>
      <c r="AY204" s="3">
        <f>(AY205/(AY$5-AX$5))*-AY60</f>
        <v>0</v>
      </c>
      <c r="AZ204" s="3">
        <f>(AZ205/(AZ$5-AY$5))*-AZ60</f>
        <v>0</v>
      </c>
      <c r="BA204" s="3">
        <f>AZ204</f>
        <v>0</v>
      </c>
      <c r="BB204" s="3">
        <f>(BB205/(BB$5-BA$5))*-BB60</f>
        <v>0</v>
      </c>
      <c r="BC204" s="3">
        <f>(BC205/(BC$5-BB$5))*-BC60</f>
        <v>0</v>
      </c>
      <c r="BD204" s="3">
        <f>(BD205/(BD$5-BC$5))*-BD60</f>
        <v>0</v>
      </c>
      <c r="BE204" s="3">
        <f>(BE205/(BE$5-BD$5))*-BE60</f>
        <v>0</v>
      </c>
      <c r="BF204" s="3">
        <f>BE204</f>
        <v>0</v>
      </c>
      <c r="BG204" s="3">
        <f>(BG205/(BG$5-BF$5))*-BG60</f>
        <v>0</v>
      </c>
      <c r="BH204" s="3">
        <f>(BH205/(BH$5-BG$5))*-BH60</f>
        <v>0</v>
      </c>
      <c r="BI204" s="3">
        <f>(BI205/(BI$5-BH$5))*-BI60</f>
        <v>0</v>
      </c>
      <c r="BJ204" s="3">
        <f>(BJ205/(BJ$5-BI$5))*-BJ60</f>
        <v>0</v>
      </c>
      <c r="BK204" s="3">
        <f>BJ204</f>
        <v>0</v>
      </c>
      <c r="BL204" s="3">
        <f>(BL205/(BL$5-BK$5))*-BL60</f>
        <v>0</v>
      </c>
      <c r="BM204" s="3">
        <f>(BM205/(BM$5-BL$5))*-BM60</f>
        <v>0</v>
      </c>
      <c r="BN204" s="3">
        <f>(BN205/(BN$5-BM$5))*-BN60</f>
        <v>0</v>
      </c>
      <c r="BO204" s="3">
        <f>(BO205/(BO$5-BN$5))*-BO60</f>
        <v>0</v>
      </c>
      <c r="BP204" s="3">
        <f>BO204</f>
        <v>0</v>
      </c>
      <c r="BQ204" s="3">
        <f>(BQ205/(BQ$5-BP$5))*-BQ60</f>
        <v>0</v>
      </c>
      <c r="BR204" s="3">
        <f>(BR205/(BR$5-BQ$5))*-BR60</f>
        <v>0</v>
      </c>
      <c r="BS204" s="3">
        <f>(BS205/(BS$5-BR$5))*-BS60</f>
        <v>0</v>
      </c>
      <c r="BT204" s="3">
        <f>(BT205/(BT$5-BS$5))*-BT60</f>
        <v>0</v>
      </c>
      <c r="BU204" s="3">
        <f>BT204</f>
        <v>0</v>
      </c>
      <c r="BV204" s="3">
        <f>(BV205/(BV$5-BU$5))*-BV60</f>
        <v>0</v>
      </c>
      <c r="BW204" s="3">
        <f>(BW205/(BW$5-BV$5))*-BW60</f>
        <v>0</v>
      </c>
      <c r="BX204" s="3">
        <f>(BX205/(BX$5-BW$5))*-BX60</f>
        <v>0</v>
      </c>
      <c r="BY204" s="3">
        <f>(BY205/(BY$5-BX$5))*-BY60</f>
        <v>0</v>
      </c>
      <c r="BZ204" s="3">
        <f>BY204</f>
        <v>0</v>
      </c>
      <c r="CA204" s="3">
        <f>(CA205/(CA$5-BZ$5))*-CA60</f>
        <v>0</v>
      </c>
      <c r="CB204" s="3">
        <f>(CB205/(CB$5-CA$5))*-CB60</f>
        <v>0</v>
      </c>
      <c r="CC204" s="3">
        <f>(CC205/(CC$5-CB$5))*-CC60</f>
        <v>0</v>
      </c>
      <c r="CD204" s="3">
        <f>(CD205/(CD$5-CC$5))*-CD60</f>
        <v>0</v>
      </c>
      <c r="CE204" s="3">
        <f>CD204</f>
        <v>0</v>
      </c>
      <c r="CF204" s="3">
        <f>(CF205/(CF$5-CE$5))*-CF60</f>
        <v>0</v>
      </c>
      <c r="CG204" s="3">
        <f>(CG205/(CG$5-CF$5))*-CG60</f>
        <v>0</v>
      </c>
      <c r="CH204" s="3">
        <f>(CH205/(CH$5-CG$5))*-CH60</f>
        <v>0</v>
      </c>
      <c r="CI204" s="3">
        <f>(CI205/(CI$5-CH$5))*-CI60</f>
        <v>0</v>
      </c>
      <c r="CJ204" s="3">
        <f>CI204</f>
        <v>0</v>
      </c>
      <c r="CK204" s="3">
        <f>(CK205/(CK$5-CJ$5))*-CK60</f>
        <v>0</v>
      </c>
      <c r="CL204" s="3">
        <f>(CL205/(CL$5-CK$5))*-CL60</f>
        <v>0</v>
      </c>
      <c r="CM204" s="3">
        <f>(CM205/(CM$5-CL$5))*-CM60</f>
        <v>0</v>
      </c>
      <c r="CN204" s="3">
        <f>(CN205/(CN$5-CM$5))*-CN60</f>
        <v>0</v>
      </c>
      <c r="CO204" s="3">
        <f>CN204</f>
        <v>0</v>
      </c>
      <c r="CP204" s="3">
        <f>(CP205/(CP$5-CO$5))*-CP60</f>
        <v>0</v>
      </c>
      <c r="CQ204" s="3">
        <f>(CQ205/(CQ$5-CP$5))*-CQ60</f>
        <v>0</v>
      </c>
      <c r="CR204" s="3">
        <f>(CR205/(CR$5-CQ$5))*-CR60</f>
        <v>0</v>
      </c>
      <c r="CS204" s="3">
        <f>(CS205/(CS$5-CR$5))*-CS60</f>
        <v>0</v>
      </c>
      <c r="CT204" s="3">
        <f>CS204</f>
        <v>0</v>
      </c>
      <c r="CU204" s="3">
        <f>(CU205/(CU$5-CT$5))*-CU60</f>
        <v>0</v>
      </c>
      <c r="CV204" s="3">
        <f>(CV205/(CV$5-CU$5))*-CV60</f>
        <v>0</v>
      </c>
      <c r="CW204" s="3">
        <f>(CW205/(CW$5-CV$5))*-CW60</f>
        <v>0</v>
      </c>
      <c r="CX204" s="3">
        <f>(CX205/(CX$5-CW$5))*-CX60</f>
        <v>0</v>
      </c>
      <c r="CY204" s="3">
        <f>CX204</f>
        <v>0</v>
      </c>
    </row>
    <row r="205" hidden="1" outlineLevel="1">
      <c r="C205" s="34" t="inlineStr">
        <is>
          <t>DPO</t>
        </is>
      </c>
      <c r="D205" s="3" t="n"/>
      <c r="E205" s="3">
        <f>-(E204/E$60)*(E$5-D$5)</f>
        <v>36.0789828540967</v>
      </c>
      <c r="F205" s="3">
        <f>-(F204/F$60)*(F$5-E$5)</f>
        <v>10.6222470512289</v>
      </c>
      <c r="G205" s="3">
        <f>-(G204/G$60)*(G$5-F$5)</f>
        <v>32.6837288042596</v>
      </c>
      <c r="H205" s="3" t="n"/>
      <c r="I205" s="3">
        <f>-(I204/I$60)*(I$5-H$5)</f>
        <v>43.8229261006265</v>
      </c>
      <c r="J205" s="3">
        <f>-(J204/J$60)*(J$5-I$5)</f>
        <v>45.0059451853626</v>
      </c>
      <c r="K205" s="3">
        <f>-(K204/K$60)*(K$5-J$5)</f>
        <v>85.2093713463157</v>
      </c>
      <c r="L205" s="3">
        <f>-(L204/L$60)*(L$5-K$5)</f>
        <v>46.533511802406</v>
      </c>
      <c r="M205" s="3" t="n"/>
      <c r="N205" s="3">
        <f>-(N204/N$60)*(N$5-M$5)</f>
        <v>64.3543979002162</v>
      </c>
      <c r="O205" s="3">
        <f>-(O204/O$60)*(O$5-N$5)</f>
        <v>43.3552499177333</v>
      </c>
      <c r="P205" s="3">
        <f>-(P204/P$60)*(P$5-O$5)</f>
        <v>82.7840856899804</v>
      </c>
      <c r="Q205" s="3">
        <f>-(Q204/Q$60)*(Q$5-P$5)</f>
        <v>51.8213263965611</v>
      </c>
      <c r="R205" s="3" t="n"/>
      <c r="S205" s="3">
        <f>-(S204/S$60)*(S$5-R$5)</f>
        <v>93.6378834076109</v>
      </c>
      <c r="T205" s="3">
        <f>-(T204/T$60)*(T$5-S$5)</f>
        <v>64.1942568209135</v>
      </c>
      <c r="U205" s="3">
        <f>-(U204/U$60)*(U$5-T$5)</f>
        <v>46.1777805755401</v>
      </c>
      <c r="V205" s="3">
        <f>-(V204/V$60)*(V$5-U$5)</f>
        <v>56.4013126457236</v>
      </c>
      <c r="W205" s="3" t="n"/>
      <c r="X205" s="3">
        <f>-(X204/X$60)*(X$5-W$5)</f>
        <v>50.1586460518818</v>
      </c>
      <c r="Y205" s="3">
        <f>-(Y204/Y$60)*(Y$5-X$5)</f>
        <v>49.7736536624861</v>
      </c>
      <c r="Z205" s="3">
        <f>-(Z204/Z$60)*(Z$5-Y$5)</f>
        <v>42.7828176036007</v>
      </c>
      <c r="AA205" s="3">
        <f>-(AA204/AA$60)*(AA$5-Z$5)</f>
        <v>61.1276125917834</v>
      </c>
      <c r="AB205" s="3" t="n"/>
      <c r="AC205" s="3">
        <f>-(AC204/AC$60)*(AC$5-AB$5)</f>
        <v>79.8206396919976</v>
      </c>
      <c r="AD205" s="3">
        <f>-(AD204/AD$60)*(AD$5-AC$5)</f>
        <v>69.6566225238527</v>
      </c>
      <c r="AE205" s="3">
        <f>-(AE204/AE$60)*(AE$5-AD$5)</f>
        <v>102.167675190802</v>
      </c>
      <c r="AF205" s="6">
        <f>-(AF204/AF$60)*(AF$5-AE$5)</f>
        <v>50.165157226487</v>
      </c>
      <c r="AG205" s="3" t="n"/>
      <c r="AH205" s="6">
        <f>-(AH204/AH$60)*(AH$5-AG$5)</f>
        <v>63.0783537669129</v>
      </c>
      <c r="AI205" s="6">
        <f>-(AI204/AI$60)*(AI$5-AH$5)</f>
        <v>50.7712628213335</v>
      </c>
      <c r="AJ205" s="6" t="n"/>
      <c r="AK205" s="6" t="n"/>
      <c r="AL205" s="3" t="n"/>
      <c r="AM205" s="6" t="n"/>
      <c r="AN205" s="6" t="n"/>
      <c r="AO205" s="6" t="n"/>
      <c r="AP205" s="6" t="n"/>
      <c r="AQ205" s="3" t="n"/>
      <c r="AR205" s="6" t="n"/>
      <c r="AS205" s="6" t="n"/>
      <c r="AT205" s="6" t="n"/>
      <c r="AU205" s="6" t="n"/>
      <c r="AV205" s="3" t="n"/>
      <c r="AW205" s="6" t="n"/>
      <c r="AX205" s="6" t="n"/>
      <c r="AY205" s="6" t="n"/>
      <c r="AZ205" s="6" t="n"/>
      <c r="BA205" s="3" t="n"/>
      <c r="BB205" s="6" t="n"/>
      <c r="BC205" s="6" t="n"/>
      <c r="BD205" s="6" t="n"/>
      <c r="BE205" s="6" t="n"/>
      <c r="BF205" s="3" t="n"/>
      <c r="BG205" s="6" t="n"/>
      <c r="BH205" s="6" t="n"/>
      <c r="BI205" s="6" t="n"/>
      <c r="BJ205" s="6" t="n"/>
      <c r="BK205" s="3" t="n"/>
      <c r="BL205" s="6" t="n"/>
      <c r="BM205" s="6" t="n"/>
      <c r="BN205" s="6" t="n"/>
      <c r="BO205" s="6" t="n"/>
      <c r="BP205" s="3" t="n"/>
      <c r="BQ205" s="6" t="n"/>
      <c r="BR205" s="6" t="n"/>
      <c r="BS205" s="6" t="n"/>
      <c r="BT205" s="6" t="n"/>
      <c r="BU205" s="3" t="n"/>
      <c r="BV205" s="6" t="n"/>
      <c r="BW205" s="6" t="n"/>
      <c r="BX205" s="6" t="n"/>
      <c r="BY205" s="6" t="n"/>
      <c r="BZ205" s="3" t="n"/>
      <c r="CA205" s="6" t="n"/>
      <c r="CB205" s="6" t="n"/>
      <c r="CC205" s="6" t="n"/>
      <c r="CD205" s="6" t="n"/>
      <c r="CE205" s="3" t="n"/>
      <c r="CF205" s="6" t="n"/>
      <c r="CG205" s="6" t="n"/>
      <c r="CH205" s="6" t="n"/>
      <c r="CI205" s="6" t="n"/>
      <c r="CJ205" s="3" t="n"/>
      <c r="CK205" s="6" t="n"/>
      <c r="CL205" s="6" t="n"/>
      <c r="CM205" s="6" t="n"/>
      <c r="CN205" s="6" t="n"/>
      <c r="CO205" s="3" t="n"/>
      <c r="CP205" s="6" t="n"/>
      <c r="CQ205" s="6" t="n"/>
      <c r="CR205" s="6" t="n"/>
      <c r="CS205" s="6" t="n"/>
      <c r="CT205" s="3" t="n"/>
      <c r="CU205" s="6" t="n"/>
      <c r="CV205" s="6" t="n"/>
      <c r="CW205" s="6" t="n"/>
      <c r="CX205" s="6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collapsed="1">
      <c r="C208" s="26" t="inlineStr">
        <is>
          <t>Accrued expenses</t>
        </is>
      </c>
      <c r="D208" s="25">
        <f>INDEX('Inputs (2)'!$D$29:$AL$29,MATCH(D$7,'Inputs (2)'!$D$2:$AL$2,0))</f>
        <v>52.283</v>
      </c>
      <c r="E208" s="25">
        <f>INDEX('Inputs (2)'!$D$29:$AL$29,MATCH(E$7,'Inputs (2)'!$D$2:$AL$2,0))</f>
        <v>47.50274303</v>
      </c>
      <c r="F208" s="25">
        <f>INDEX('Inputs (2)'!$D$29:$AL$29,MATCH(F$7,'Inputs (2)'!$D$2:$AL$2,0))</f>
        <v>42.97703668</v>
      </c>
      <c r="G208" s="25">
        <f>INDEX('Inputs (2)'!$D$29:$AL$29,MATCH(G$7,'Inputs (2)'!$D$2:$AL$2,0))</f>
        <v>49.92205457</v>
      </c>
      <c r="H208" s="3">
        <f>G208</f>
        <v>49.92205457</v>
      </c>
      <c r="I208" s="25">
        <f>INDEX('Inputs (2)'!$D$29:$AL$29,MATCH(I$7,'Inputs (2)'!$D$2:$AL$2,0))</f>
        <v>38.21870663</v>
      </c>
      <c r="J208" s="25">
        <f>INDEX('Inputs (2)'!$D$29:$AL$29,MATCH(J$7,'Inputs (2)'!$D$2:$AL$2,0))</f>
        <v>56.60859771</v>
      </c>
      <c r="K208" s="25">
        <f>INDEX('Inputs (2)'!$D$29:$AL$29,MATCH(K$7,'Inputs (2)'!$D$2:$AL$2,0))</f>
        <v>63.46617657</v>
      </c>
      <c r="L208" s="25">
        <f>INDEX('Inputs (2)'!$D$29:$AL$29,MATCH(L$7,'Inputs (2)'!$D$2:$AL$2,0))</f>
        <v>78.0460701</v>
      </c>
      <c r="M208" s="3">
        <f>L208</f>
        <v>78.0460701</v>
      </c>
      <c r="N208" s="25">
        <f>INDEX('Inputs (2)'!$D$29:$AL$29,MATCH(N$7,'Inputs (2)'!$D$2:$AL$2,0))</f>
        <v>69.04669143</v>
      </c>
      <c r="O208" s="25">
        <f>INDEX('Inputs (2)'!$D$29:$AL$29,MATCH(O$7,'Inputs (2)'!$D$2:$AL$2,0))</f>
        <v>74.51296511</v>
      </c>
      <c r="P208" s="25">
        <f>INDEX('Inputs (2)'!$D$29:$AL$29,MATCH(P$7,'Inputs (2)'!$D$2:$AL$2,0))</f>
        <v>80.69514495</v>
      </c>
      <c r="Q208" s="25">
        <f>INDEX('Inputs (2)'!$D$29:$AL$29,MATCH(Q$7,'Inputs (2)'!$D$2:$AL$2,0))</f>
        <v>92.338</v>
      </c>
      <c r="R208" s="3">
        <f>Q208</f>
        <v>92.338</v>
      </c>
      <c r="S208" s="25">
        <f>INDEX('Inputs (2)'!$D$29:$AL$29,MATCH(S$7,'Inputs (2)'!$D$2:$AL$2,0))</f>
        <v>79.32</v>
      </c>
      <c r="T208" s="25">
        <f>INDEX('Inputs (2)'!$D$29:$AL$29,MATCH(T$7,'Inputs (2)'!$D$2:$AL$2,0))</f>
        <v>89.33422627</v>
      </c>
      <c r="U208" s="25">
        <f>INDEX('Inputs (2)'!$D$29:$AL$29,MATCH(U$7,'Inputs (2)'!$D$2:$AL$2,0))</f>
        <v>93.05261465</v>
      </c>
      <c r="V208" s="25">
        <f>INDEX('Inputs (2)'!$D$29:$AL$29,MATCH(V$7,'Inputs (2)'!$D$2:$AL$2,0))</f>
        <v>117.85876958</v>
      </c>
      <c r="W208" s="3">
        <f>V208</f>
        <v>117.85876958</v>
      </c>
      <c r="X208" s="25">
        <f>INDEX('Inputs (2)'!$D$29:$AL$29,MATCH(X$7,'Inputs (2)'!$D$2:$AL$2,0))</f>
        <v>96.17528958</v>
      </c>
      <c r="Y208" s="25">
        <f>INDEX('Inputs (2)'!$D$29:$AL$29,MATCH(Y$7,'Inputs (2)'!$D$2:$AL$2,0))</f>
        <v>102.69020985</v>
      </c>
      <c r="Z208" s="25">
        <f>INDEX('Inputs (2)'!$D$29:$AL$29,MATCH(Z$7,'Inputs (2)'!$D$2:$AL$2,0))</f>
        <v>106.68101504</v>
      </c>
      <c r="AA208" s="25">
        <f>INDEX('Inputs (2)'!$D$29:$AL$29,MATCH(AA$7,'Inputs (2)'!$D$2:$AL$2,0))</f>
        <v>125.29275499</v>
      </c>
      <c r="AB208" s="3">
        <f>AA208</f>
        <v>125.29275499</v>
      </c>
      <c r="AC208" s="25">
        <f>INDEX('Inputs (2)'!$D$29:$AL$29,MATCH(AC$7,'Inputs (2)'!$D$2:$AL$2,0))</f>
        <v>101.0113837</v>
      </c>
      <c r="AD208" s="25">
        <f>INDEX('Inputs (2)'!$D$29:$AL$29,MATCH(AD$7,'Inputs (2)'!$D$2:$AL$2,0))</f>
        <v>119.62176617</v>
      </c>
      <c r="AE208" s="25">
        <f>INDEX('Inputs (2)'!$D$29:$AL$29,MATCH(AE$7,'Inputs (2)'!$D$2:$AL$2,0))</f>
        <v>116.438</v>
      </c>
      <c r="AF208" s="25">
        <f>INDEX('Inputs (2)'!$D$29:$AL$29,MATCH(AF$7,'Inputs (2)'!$D$2:$AL$2,0))</f>
        <v>143.62012145</v>
      </c>
      <c r="AG208" s="3">
        <f>AF208</f>
        <v>143.62012145</v>
      </c>
      <c r="AH208" s="3">
        <f>INDEX('Inputs (2)'!$D$29:$AL$29,MATCH(AH$7,'Inputs (2)'!$D$2:$AL$2,0))</f>
        <v>121.29004759</v>
      </c>
      <c r="AI208" s="3">
        <f>INDEX('Inputs (2)'!$D$29:$AL$29,MATCH(AI$7,'Inputs (2)'!$D$2:$AL$2,0))</f>
        <v>136.92910584</v>
      </c>
      <c r="AJ208" s="3">
        <f>AH208*AJ64/AH64</f>
        <v>0</v>
      </c>
      <c r="AK208" s="3">
        <f>AI208*AK64/AI64</f>
        <v>0</v>
      </c>
      <c r="AL208" s="3">
        <f>AK208</f>
        <v>0</v>
      </c>
      <c r="AM208" s="3" t="e">
        <f>AK208*AM64/AK64</f>
        <v>#DIV/0!</v>
      </c>
      <c r="AN208" s="3">
        <f>AL208*AN64/AL64</f>
        <v>0</v>
      </c>
      <c r="AO208" s="3" t="e">
        <f>AM208*AO64/AM64</f>
        <v>#DIV/0!</v>
      </c>
      <c r="AP208" s="3" t="e">
        <f>AN208*AP64/AN64</f>
        <v>#DIV/0!</v>
      </c>
      <c r="AQ208" s="3" t="e">
        <f>AP208</f>
        <v>#DIV/0!</v>
      </c>
      <c r="AR208" s="3" t="e">
        <f>AP208*AR64/AP64</f>
        <v>#DIV/0!</v>
      </c>
      <c r="AS208" s="3" t="e">
        <f>AQ208*AS64/AQ64</f>
        <v>#DIV/0!</v>
      </c>
      <c r="AT208" s="3" t="e">
        <f>AR208*AT64/AR64</f>
        <v>#DIV/0!</v>
      </c>
      <c r="AU208" s="3" t="e">
        <f>AS208*AU64/AS64</f>
        <v>#DIV/0!</v>
      </c>
      <c r="AV208" s="3" t="e">
        <f>AU208</f>
        <v>#DIV/0!</v>
      </c>
      <c r="AW208" s="3" t="e">
        <f>AU208*AW64/AU64</f>
        <v>#DIV/0!</v>
      </c>
      <c r="AX208" s="3" t="e">
        <f>AV208*AX64/AV64</f>
        <v>#DIV/0!</v>
      </c>
      <c r="AY208" s="3" t="e">
        <f>AW208*AY64/AW64</f>
        <v>#DIV/0!</v>
      </c>
      <c r="AZ208" s="3" t="e">
        <f>AX208*AZ64/AX64</f>
        <v>#DIV/0!</v>
      </c>
      <c r="BA208" s="3" t="e">
        <f>AZ208</f>
        <v>#DIV/0!</v>
      </c>
      <c r="BB208" s="3" t="e">
        <f>AZ208*BB64/AZ64</f>
        <v>#DIV/0!</v>
      </c>
      <c r="BC208" s="3" t="e">
        <f>BA208*BC64/BA64</f>
        <v>#DIV/0!</v>
      </c>
      <c r="BD208" s="3" t="e">
        <f>BB208*BD64/BB64</f>
        <v>#DIV/0!</v>
      </c>
      <c r="BE208" s="3" t="e">
        <f>BC208*BE64/BC64</f>
        <v>#DIV/0!</v>
      </c>
      <c r="BF208" s="3" t="e">
        <f>BE208</f>
        <v>#DIV/0!</v>
      </c>
      <c r="BG208" s="3" t="e">
        <f>BE208*BG64/BE64</f>
        <v>#DIV/0!</v>
      </c>
      <c r="BH208" s="3" t="e">
        <f>BF208*BH64/BF64</f>
        <v>#DIV/0!</v>
      </c>
      <c r="BI208" s="3" t="e">
        <f>BG208*BI64/BG64</f>
        <v>#DIV/0!</v>
      </c>
      <c r="BJ208" s="3" t="e">
        <f>BH208*BJ64/BH64</f>
        <v>#DIV/0!</v>
      </c>
      <c r="BK208" s="3" t="e">
        <f>BJ208</f>
        <v>#DIV/0!</v>
      </c>
      <c r="BL208" s="3" t="e">
        <f>BJ208*BL64/BJ64</f>
        <v>#DIV/0!</v>
      </c>
      <c r="BM208" s="3" t="e">
        <f>BK208*BM64/BK64</f>
        <v>#DIV/0!</v>
      </c>
      <c r="BN208" s="3" t="e">
        <f>BL208*BN64/BL64</f>
        <v>#DIV/0!</v>
      </c>
      <c r="BO208" s="3" t="e">
        <f>BM208*BO64/BM64</f>
        <v>#DIV/0!</v>
      </c>
      <c r="BP208" s="3" t="e">
        <f>BO208</f>
        <v>#DIV/0!</v>
      </c>
      <c r="BQ208" s="3" t="e">
        <f>BO208*BQ64/BO64</f>
        <v>#DIV/0!</v>
      </c>
      <c r="BR208" s="3" t="e">
        <f>BP208*BR64/BP64</f>
        <v>#DIV/0!</v>
      </c>
      <c r="BS208" s="3" t="e">
        <f>BQ208*BS64/BQ64</f>
        <v>#DIV/0!</v>
      </c>
      <c r="BT208" s="3" t="e">
        <f>BR208*BT64/BR64</f>
        <v>#DIV/0!</v>
      </c>
      <c r="BU208" s="3" t="e">
        <f>BT208</f>
        <v>#DIV/0!</v>
      </c>
      <c r="BV208" s="3" t="e">
        <f>BT208*BV64/BT64</f>
        <v>#DIV/0!</v>
      </c>
      <c r="BW208" s="3" t="e">
        <f>BU208*BW64/BU64</f>
        <v>#DIV/0!</v>
      </c>
      <c r="BX208" s="3" t="e">
        <f>BV208*BX64/BV64</f>
        <v>#DIV/0!</v>
      </c>
      <c r="BY208" s="3" t="e">
        <f>BW208*BY64/BW64</f>
        <v>#DIV/0!</v>
      </c>
      <c r="BZ208" s="3" t="e">
        <f>BY208</f>
        <v>#DIV/0!</v>
      </c>
      <c r="CA208" s="3" t="e">
        <f>BY208*CA64/BY64</f>
        <v>#DIV/0!</v>
      </c>
      <c r="CB208" s="3" t="e">
        <f>BZ208*CB64/BZ64</f>
        <v>#DIV/0!</v>
      </c>
      <c r="CC208" s="3" t="e">
        <f>CA208*CC64/CA64</f>
        <v>#DIV/0!</v>
      </c>
      <c r="CD208" s="3" t="e">
        <f>CB208*CD64/CB64</f>
        <v>#DIV/0!</v>
      </c>
      <c r="CE208" s="3" t="e">
        <f>CD208</f>
        <v>#DIV/0!</v>
      </c>
      <c r="CF208" s="3" t="e">
        <f>CD208*CF64/CD64</f>
        <v>#DIV/0!</v>
      </c>
      <c r="CG208" s="3" t="e">
        <f>CE208*CG64/CE64</f>
        <v>#DIV/0!</v>
      </c>
      <c r="CH208" s="3" t="e">
        <f>CF208*CH64/CF64</f>
        <v>#DIV/0!</v>
      </c>
      <c r="CI208" s="3" t="e">
        <f>CG208*CI64/CG64</f>
        <v>#DIV/0!</v>
      </c>
      <c r="CJ208" s="3" t="e">
        <f>CI208</f>
        <v>#DIV/0!</v>
      </c>
      <c r="CK208" s="3" t="e">
        <f>CI208*CK64/CI64</f>
        <v>#DIV/0!</v>
      </c>
      <c r="CL208" s="3" t="e">
        <f>CJ208*CL64/CJ64</f>
        <v>#DIV/0!</v>
      </c>
      <c r="CM208" s="3" t="e">
        <f>CK208*CM64/CK64</f>
        <v>#DIV/0!</v>
      </c>
      <c r="CN208" s="3" t="e">
        <f>CL208*CN64/CL64</f>
        <v>#DIV/0!</v>
      </c>
      <c r="CO208" s="3" t="e">
        <f>CN208</f>
        <v>#DIV/0!</v>
      </c>
      <c r="CP208" s="3" t="e">
        <f>CN208*CP64/CN64</f>
        <v>#DIV/0!</v>
      </c>
      <c r="CQ208" s="3" t="e">
        <f>CO208*CQ64/CO64</f>
        <v>#DIV/0!</v>
      </c>
      <c r="CR208" s="3" t="e">
        <f>CP208*CR64/CP64</f>
        <v>#DIV/0!</v>
      </c>
      <c r="CS208" s="3" t="e">
        <f>CQ208*CS64/CQ64</f>
        <v>#DIV/0!</v>
      </c>
      <c r="CT208" s="3" t="e">
        <f>CS208</f>
        <v>#DIV/0!</v>
      </c>
      <c r="CU208" s="3" t="e">
        <f>CS208*CU64/CS64</f>
        <v>#DIV/0!</v>
      </c>
      <c r="CV208" s="3" t="e">
        <f>CT208*CV64/CT64</f>
        <v>#DIV/0!</v>
      </c>
      <c r="CW208" s="3" t="e">
        <f>CU208*CW64/CU64</f>
        <v>#DIV/0!</v>
      </c>
      <c r="CX208" s="3" t="e">
        <f>CV208*CX64/CV64</f>
        <v>#DIV/0!</v>
      </c>
      <c r="CY208" s="3" t="e">
        <f>CX208</f>
        <v>#DIV/0!</v>
      </c>
    </row>
    <row r="209" hidden="1" outlineLevel="1">
      <c r="C209" s="38" t="inlineStr">
        <is>
          <t>%(Var.)</t>
        </is>
      </c>
      <c r="D209" s="3" t="n"/>
      <c r="E209" s="47">
        <f>(E208-D208)/D208</f>
        <v>-0.0914304261423409</v>
      </c>
      <c r="F209" s="47">
        <f>(F208-E208)/E208</f>
        <v>-0.0952725266231851</v>
      </c>
      <c r="G209" s="47">
        <f>(G208-F208)/F208</f>
        <v>0.161598342429039</v>
      </c>
      <c r="H209" s="3" t="n"/>
      <c r="I209" s="47">
        <f>(I208-H208)/H208</f>
        <v>-0.234432417511778</v>
      </c>
      <c r="J209" s="47">
        <f>(J208-I208)/I208</f>
        <v>0.48117512866238</v>
      </c>
      <c r="K209" s="47">
        <f>(K208-J208)/J208</f>
        <v>0.121140235536847</v>
      </c>
      <c r="L209" s="47">
        <f>(L208-K208)/K208</f>
        <v>0.229726987160147</v>
      </c>
      <c r="M209" s="3" t="n"/>
      <c r="N209" s="47">
        <f>(N208-M208)/M208</f>
        <v>-0.115308543511149</v>
      </c>
      <c r="O209" s="47">
        <f>(O208-N208)/N208</f>
        <v>0.0791677858386853</v>
      </c>
      <c r="P209" s="47">
        <f>(P208-O208)/O208</f>
        <v>0.0829678409773858</v>
      </c>
      <c r="Q209" s="47">
        <f>(Q208-P208)/P208</f>
        <v>0.144281977028657</v>
      </c>
      <c r="R209" s="3" t="n"/>
      <c r="S209" s="47">
        <f>(S208-R208)/R208</f>
        <v>-0.140982044228812</v>
      </c>
      <c r="T209" s="47">
        <f>(T208-S208)/S208</f>
        <v>0.126250961548159</v>
      </c>
      <c r="U209" s="47">
        <f>(U208-T208)/T208</f>
        <v>0.0416233344738631</v>
      </c>
      <c r="V209" s="47">
        <f>(V208-U208)/U208</f>
        <v>0.266582030212732</v>
      </c>
      <c r="W209" s="3" t="n"/>
      <c r="X209" s="47">
        <f>(X208-W208)/W208</f>
        <v>-0.183978503061511</v>
      </c>
      <c r="Y209" s="47">
        <f>(Y208-X208)/X208</f>
        <v>0.0677400639857786</v>
      </c>
      <c r="Z209" s="47">
        <f>(Z208-Y208)/Y208</f>
        <v>0.0388625672868854</v>
      </c>
      <c r="AA209" s="47">
        <f>(AA208-Z208)/Z208</f>
        <v>0.174461594155451</v>
      </c>
      <c r="AB209" s="3" t="n"/>
      <c r="AC209" s="47">
        <f>(AC208-AB208)/AB208</f>
        <v>-0.19379708979931</v>
      </c>
      <c r="AD209" s="47">
        <f>(AD208-AC208)/AC208</f>
        <v>0.184240446851734</v>
      </c>
      <c r="AE209" s="47">
        <f>(AE208-AD208)/AD208</f>
        <v>-0.0266152747274723</v>
      </c>
      <c r="AF209" s="218">
        <f>(AF208-AE208)/AE208</f>
        <v>0.233447168879575</v>
      </c>
      <c r="AG209" s="3" t="n"/>
      <c r="AH209" s="218">
        <f>(AH208-AG208)/AG208</f>
        <v>-0.155480120992475</v>
      </c>
      <c r="AI209" s="218">
        <f>(AI208-AH208)/AH208</f>
        <v>0.128939336415013</v>
      </c>
      <c r="AJ209" s="218" t="n"/>
      <c r="AK209" s="218" t="n"/>
      <c r="AL209" s="3" t="n"/>
      <c r="AM209" s="218" t="n"/>
      <c r="AN209" s="218" t="n"/>
      <c r="AO209" s="218" t="n"/>
      <c r="AP209" s="218" t="n"/>
      <c r="AQ209" s="3" t="n"/>
      <c r="AR209" s="218" t="n"/>
      <c r="AS209" s="218" t="n"/>
      <c r="AT209" s="218" t="n"/>
      <c r="AU209" s="218" t="n"/>
      <c r="AV209" s="3" t="n"/>
      <c r="AW209" s="218" t="n"/>
      <c r="AX209" s="218" t="n"/>
      <c r="AY209" s="218" t="n"/>
      <c r="AZ209" s="218" t="n"/>
      <c r="BA209" s="3" t="n"/>
      <c r="BB209" s="218" t="n"/>
      <c r="BC209" s="218" t="n"/>
      <c r="BD209" s="218" t="n"/>
      <c r="BE209" s="218" t="n"/>
      <c r="BF209" s="3" t="n"/>
      <c r="BG209" s="218" t="n"/>
      <c r="BH209" s="218" t="n"/>
      <c r="BI209" s="218" t="n"/>
      <c r="BJ209" s="218" t="n"/>
      <c r="BK209" s="3" t="n"/>
      <c r="BL209" s="218" t="n"/>
      <c r="BM209" s="218" t="n"/>
      <c r="BN209" s="218" t="n"/>
      <c r="BO209" s="218" t="n"/>
      <c r="BP209" s="3" t="n"/>
      <c r="BQ209" s="218" t="n"/>
      <c r="BR209" s="218" t="n"/>
      <c r="BS209" s="218" t="n"/>
      <c r="BT209" s="218" t="n"/>
      <c r="BU209" s="3" t="n"/>
      <c r="BV209" s="218" t="n"/>
      <c r="BW209" s="218" t="n"/>
      <c r="BX209" s="218" t="n"/>
      <c r="BY209" s="218" t="n"/>
      <c r="BZ209" s="3" t="n"/>
      <c r="CA209" s="218" t="n"/>
      <c r="CB209" s="218" t="n"/>
      <c r="CC209" s="218" t="n"/>
      <c r="CD209" s="218" t="n"/>
      <c r="CE209" s="3" t="n"/>
      <c r="CF209" s="218" t="n"/>
      <c r="CG209" s="218" t="n"/>
      <c r="CH209" s="218" t="n"/>
      <c r="CI209" s="218" t="n"/>
      <c r="CJ209" s="3" t="n"/>
      <c r="CK209" s="218" t="n"/>
      <c r="CL209" s="218" t="n"/>
      <c r="CM209" s="218" t="n"/>
      <c r="CN209" s="218" t="n"/>
      <c r="CO209" s="3" t="n"/>
      <c r="CP209" s="218" t="n"/>
      <c r="CQ209" s="218" t="n"/>
      <c r="CR209" s="218" t="n"/>
      <c r="CS209" s="218" t="n"/>
      <c r="CT209" s="3" t="n"/>
      <c r="CU209" s="218" t="n"/>
      <c r="CV209" s="218" t="n"/>
      <c r="CW209" s="218" t="n"/>
      <c r="CX209" s="218" t="n"/>
      <c r="CY209" s="3" t="n"/>
    </row>
    <row r="210" collapsed="1">
      <c r="C210" s="26" t="inlineStr">
        <is>
          <t>Taxes payable</t>
        </is>
      </c>
      <c r="D210" s="25">
        <f>INDEX('Inputs (2)'!$D$30:$AL$30,MATCH(D$7,'Inputs (2)'!$D$2:$AL$2,0))</f>
        <v>34.518</v>
      </c>
      <c r="E210" s="25">
        <f>INDEX('Inputs (2)'!$D$30:$AL$30,MATCH(E$7,'Inputs (2)'!$D$2:$AL$2,0))</f>
        <v>36.2322049</v>
      </c>
      <c r="F210" s="25">
        <f>INDEX('Inputs (2)'!$D$30:$AL$30,MATCH(F$7,'Inputs (2)'!$D$2:$AL$2,0))</f>
        <v>42.45214474</v>
      </c>
      <c r="G210" s="25">
        <f>INDEX('Inputs (2)'!$D$30:$AL$30,MATCH(G$7,'Inputs (2)'!$D$2:$AL$2,0))</f>
        <v>92.50399356</v>
      </c>
      <c r="H210" s="3">
        <f>G210</f>
        <v>92.50399356</v>
      </c>
      <c r="I210" s="25">
        <f>INDEX('Inputs (2)'!$D$30:$AL$30,MATCH(I$7,'Inputs (2)'!$D$2:$AL$2,0))</f>
        <v>35.74066032</v>
      </c>
      <c r="J210" s="25">
        <f>INDEX('Inputs (2)'!$D$30:$AL$30,MATCH(J$7,'Inputs (2)'!$D$2:$AL$2,0))</f>
        <v>58.84738256</v>
      </c>
      <c r="K210" s="25">
        <f>INDEX('Inputs (2)'!$D$30:$AL$30,MATCH(K$7,'Inputs (2)'!$D$2:$AL$2,0))</f>
        <v>50.60080795</v>
      </c>
      <c r="L210" s="25">
        <f>INDEX('Inputs (2)'!$D$30:$AL$30,MATCH(L$7,'Inputs (2)'!$D$2:$AL$2,0))</f>
        <v>113.75786336</v>
      </c>
      <c r="M210" s="3">
        <f>L210</f>
        <v>113.75786336</v>
      </c>
      <c r="N210" s="25">
        <f>INDEX('Inputs (2)'!$D$30:$AL$30,MATCH(N$7,'Inputs (2)'!$D$2:$AL$2,0))</f>
        <v>50.70310185</v>
      </c>
      <c r="O210" s="25">
        <f>INDEX('Inputs (2)'!$D$30:$AL$30,MATCH(O$7,'Inputs (2)'!$D$2:$AL$2,0))</f>
        <v>66.70450168</v>
      </c>
      <c r="P210" s="25">
        <f>INDEX('Inputs (2)'!$D$30:$AL$30,MATCH(P$7,'Inputs (2)'!$D$2:$AL$2,0))</f>
        <v>63.59577567</v>
      </c>
      <c r="Q210" s="25">
        <f>INDEX('Inputs (2)'!$D$30:$AL$30,MATCH(Q$7,'Inputs (2)'!$D$2:$AL$2,0))</f>
        <v>111.87</v>
      </c>
      <c r="R210" s="3">
        <f>Q210</f>
        <v>111.87</v>
      </c>
      <c r="S210" s="25">
        <f>INDEX('Inputs (2)'!$D$30:$AL$30,MATCH(S$7,'Inputs (2)'!$D$2:$AL$2,0))</f>
        <v>57.734</v>
      </c>
      <c r="T210" s="25">
        <f>INDEX('Inputs (2)'!$D$30:$AL$30,MATCH(T$7,'Inputs (2)'!$D$2:$AL$2,0))</f>
        <v>65.77563058</v>
      </c>
      <c r="U210" s="25">
        <f>INDEX('Inputs (2)'!$D$30:$AL$30,MATCH(U$7,'Inputs (2)'!$D$2:$AL$2,0))</f>
        <v>58.27884281</v>
      </c>
      <c r="V210" s="25">
        <f>INDEX('Inputs (2)'!$D$30:$AL$30,MATCH(V$7,'Inputs (2)'!$D$2:$AL$2,0))</f>
        <v>85.08082577</v>
      </c>
      <c r="W210" s="3">
        <f>V210</f>
        <v>85.08082577</v>
      </c>
      <c r="X210" s="25">
        <f>INDEX('Inputs (2)'!$D$30:$AL$30,MATCH(X$7,'Inputs (2)'!$D$2:$AL$2,0))</f>
        <v>53.75362984</v>
      </c>
      <c r="Y210" s="25">
        <f>INDEX('Inputs (2)'!$D$30:$AL$30,MATCH(Y$7,'Inputs (2)'!$D$2:$AL$2,0))</f>
        <v>82.6134918</v>
      </c>
      <c r="Z210" s="25">
        <f>INDEX('Inputs (2)'!$D$30:$AL$30,MATCH(Z$7,'Inputs (2)'!$D$2:$AL$2,0))</f>
        <v>69.53605591</v>
      </c>
      <c r="AA210" s="25">
        <f>INDEX('Inputs (2)'!$D$30:$AL$30,MATCH(AA$7,'Inputs (2)'!$D$2:$AL$2,0))</f>
        <v>106.98105801</v>
      </c>
      <c r="AB210" s="3">
        <f>AA210</f>
        <v>106.98105801</v>
      </c>
      <c r="AC210" s="25">
        <f>INDEX('Inputs (2)'!$D$30:$AL$30,MATCH(AC$7,'Inputs (2)'!$D$2:$AL$2,0))</f>
        <v>54.82964442</v>
      </c>
      <c r="AD210" s="25">
        <f>INDEX('Inputs (2)'!$D$30:$AL$30,MATCH(AD$7,'Inputs (2)'!$D$2:$AL$2,0))</f>
        <v>79.41800107</v>
      </c>
      <c r="AE210" s="25">
        <f>INDEX('Inputs (2)'!$D$30:$AL$30,MATCH(AE$7,'Inputs (2)'!$D$2:$AL$2,0))</f>
        <v>101.917</v>
      </c>
      <c r="AF210" s="25">
        <f>INDEX('Inputs (2)'!$D$30:$AL$30,MATCH(AF$7,'Inputs (2)'!$D$2:$AL$2,0))</f>
        <v>123.90926167</v>
      </c>
      <c r="AG210" s="3">
        <f>AF210</f>
        <v>123.90926167</v>
      </c>
      <c r="AH210" s="3">
        <f>INDEX('Inputs (2)'!$D$30:$AL$30,MATCH(AH$7,'Inputs (2)'!$D$2:$AL$2,0))</f>
        <v>76.07238625</v>
      </c>
      <c r="AI210" s="3">
        <f>INDEX('Inputs (2)'!$D$30:$AL$30,MATCH(AI$7,'Inputs (2)'!$D$2:$AL$2,0))</f>
        <v>91.33871148</v>
      </c>
      <c r="AJ210" s="3">
        <f>AH210*AJ137/AH137</f>
        <v>0</v>
      </c>
      <c r="AK210" s="3">
        <f>AI210*AK137/AI137</f>
        <v>0</v>
      </c>
      <c r="AL210" s="3">
        <f>AK210</f>
        <v>0</v>
      </c>
      <c r="AM210" s="3" t="e">
        <f>AK210*AM137/AK137</f>
        <v>#DIV/0!</v>
      </c>
      <c r="AN210" s="3">
        <f>AL210*AN137/AL137</f>
        <v>0</v>
      </c>
      <c r="AO210" s="3" t="e">
        <f>AM210*AO137/AM137</f>
        <v>#DIV/0!</v>
      </c>
      <c r="AP210" s="3" t="e">
        <f>AN210*AP137/AN137</f>
        <v>#DIV/0!</v>
      </c>
      <c r="AQ210" s="3" t="e">
        <f>AP210</f>
        <v>#DIV/0!</v>
      </c>
      <c r="AR210" s="3" t="e">
        <f>AP210*AR137/AP137</f>
        <v>#DIV/0!</v>
      </c>
      <c r="AS210" s="3" t="e">
        <f>AQ210*AS137/AQ137</f>
        <v>#DIV/0!</v>
      </c>
      <c r="AT210" s="3" t="e">
        <f>AR210*AT137/AR137</f>
        <v>#DIV/0!</v>
      </c>
      <c r="AU210" s="3" t="e">
        <f>AS210*AU137/AS137</f>
        <v>#DIV/0!</v>
      </c>
      <c r="AV210" s="3" t="e">
        <f>AU210</f>
        <v>#DIV/0!</v>
      </c>
      <c r="AW210" s="3" t="e">
        <f>AU210*AW137/AU137</f>
        <v>#DIV/0!</v>
      </c>
      <c r="AX210" s="3" t="e">
        <f>AV210*AX137/AV137</f>
        <v>#DIV/0!</v>
      </c>
      <c r="AY210" s="3" t="e">
        <f>AW210*AY137/AW137</f>
        <v>#DIV/0!</v>
      </c>
      <c r="AZ210" s="3" t="e">
        <f>AX210*AZ137/AX137</f>
        <v>#DIV/0!</v>
      </c>
      <c r="BA210" s="3" t="e">
        <f>AZ210</f>
        <v>#DIV/0!</v>
      </c>
      <c r="BB210" s="3" t="e">
        <f>AZ210*BB137/AZ137</f>
        <v>#DIV/0!</v>
      </c>
      <c r="BC210" s="3" t="e">
        <f>BA210*BC137/BA137</f>
        <v>#DIV/0!</v>
      </c>
      <c r="BD210" s="3" t="e">
        <f>BB210*BD137/BB137</f>
        <v>#DIV/0!</v>
      </c>
      <c r="BE210" s="3" t="e">
        <f>BC210*BE137/BC137</f>
        <v>#DIV/0!</v>
      </c>
      <c r="BF210" s="3" t="e">
        <f>BE210</f>
        <v>#DIV/0!</v>
      </c>
      <c r="BG210" s="3" t="e">
        <f>BE210*BG137/BE137</f>
        <v>#DIV/0!</v>
      </c>
      <c r="BH210" s="3" t="e">
        <f>BF210*BH137/BF137</f>
        <v>#DIV/0!</v>
      </c>
      <c r="BI210" s="3" t="e">
        <f>BG210*BI137/BG137</f>
        <v>#DIV/0!</v>
      </c>
      <c r="BJ210" s="3" t="e">
        <f>BH210*BJ137/BH137</f>
        <v>#DIV/0!</v>
      </c>
      <c r="BK210" s="3" t="e">
        <f>BJ210</f>
        <v>#DIV/0!</v>
      </c>
      <c r="BL210" s="3" t="e">
        <f>BJ210*BL137/BJ137</f>
        <v>#DIV/0!</v>
      </c>
      <c r="BM210" s="3" t="e">
        <f>BK210*BM137/BK137</f>
        <v>#DIV/0!</v>
      </c>
      <c r="BN210" s="3" t="e">
        <f>BL210*BN137/BL137</f>
        <v>#DIV/0!</v>
      </c>
      <c r="BO210" s="3" t="e">
        <f>BM210*BO137/BM137</f>
        <v>#DIV/0!</v>
      </c>
      <c r="BP210" s="3" t="e">
        <f>BO210</f>
        <v>#DIV/0!</v>
      </c>
      <c r="BQ210" s="3" t="e">
        <f>BO210*BQ137/BO137</f>
        <v>#DIV/0!</v>
      </c>
      <c r="BR210" s="3" t="e">
        <f>BP210*BR137/BP137</f>
        <v>#DIV/0!</v>
      </c>
      <c r="BS210" s="3" t="e">
        <f>BQ210*BS137/BQ137</f>
        <v>#DIV/0!</v>
      </c>
      <c r="BT210" s="3" t="e">
        <f>BR210*BT137/BR137</f>
        <v>#DIV/0!</v>
      </c>
      <c r="BU210" s="3" t="e">
        <f>BT210</f>
        <v>#DIV/0!</v>
      </c>
      <c r="BV210" s="3" t="e">
        <f>BT210*BV137/BT137</f>
        <v>#DIV/0!</v>
      </c>
      <c r="BW210" s="3" t="e">
        <f>BU210*BW137/BU137</f>
        <v>#DIV/0!</v>
      </c>
      <c r="BX210" s="3" t="e">
        <f>BV210*BX137/BV137</f>
        <v>#DIV/0!</v>
      </c>
      <c r="BY210" s="3" t="e">
        <f>BW210*BY137/BW137</f>
        <v>#DIV/0!</v>
      </c>
      <c r="BZ210" s="3" t="e">
        <f>BY210</f>
        <v>#DIV/0!</v>
      </c>
      <c r="CA210" s="3" t="e">
        <f>BY210*CA137/BY137</f>
        <v>#DIV/0!</v>
      </c>
      <c r="CB210" s="3" t="e">
        <f>BZ210*CB137/BZ137</f>
        <v>#DIV/0!</v>
      </c>
      <c r="CC210" s="3" t="e">
        <f>CA210*CC137/CA137</f>
        <v>#DIV/0!</v>
      </c>
      <c r="CD210" s="3" t="e">
        <f>CB210*CD137/CB137</f>
        <v>#DIV/0!</v>
      </c>
      <c r="CE210" s="3" t="e">
        <f>CD210</f>
        <v>#DIV/0!</v>
      </c>
      <c r="CF210" s="3" t="e">
        <f>CD210*CF137/CD137</f>
        <v>#DIV/0!</v>
      </c>
      <c r="CG210" s="3" t="e">
        <f>CE210*CG137/CE137</f>
        <v>#DIV/0!</v>
      </c>
      <c r="CH210" s="3" t="e">
        <f>CF210*CH137/CF137</f>
        <v>#DIV/0!</v>
      </c>
      <c r="CI210" s="3" t="e">
        <f>CG210*CI137/CG137</f>
        <v>#DIV/0!</v>
      </c>
      <c r="CJ210" s="3" t="e">
        <f>CI210</f>
        <v>#DIV/0!</v>
      </c>
      <c r="CK210" s="3" t="e">
        <f>CI210*CK137/CI137</f>
        <v>#DIV/0!</v>
      </c>
      <c r="CL210" s="3" t="e">
        <f>CJ210*CL137/CJ137</f>
        <v>#DIV/0!</v>
      </c>
      <c r="CM210" s="3" t="e">
        <f>CK210*CM137/CK137</f>
        <v>#DIV/0!</v>
      </c>
      <c r="CN210" s="3" t="e">
        <f>CL210*CN137/CL137</f>
        <v>#DIV/0!</v>
      </c>
      <c r="CO210" s="3" t="e">
        <f>CN210</f>
        <v>#DIV/0!</v>
      </c>
      <c r="CP210" s="3" t="e">
        <f>CN210*CP137/CN137</f>
        <v>#DIV/0!</v>
      </c>
      <c r="CQ210" s="3" t="e">
        <f>CO210*CQ137/CO137</f>
        <v>#DIV/0!</v>
      </c>
      <c r="CR210" s="3" t="e">
        <f>CP210*CR137/CP137</f>
        <v>#DIV/0!</v>
      </c>
      <c r="CS210" s="3" t="e">
        <f>CQ210*CS137/CQ137</f>
        <v>#DIV/0!</v>
      </c>
      <c r="CT210" s="3" t="e">
        <f>CS210</f>
        <v>#DIV/0!</v>
      </c>
      <c r="CU210" s="3" t="e">
        <f>CS210*CU137/CS137</f>
        <v>#DIV/0!</v>
      </c>
      <c r="CV210" s="3" t="e">
        <f>CT210*CV137/CT137</f>
        <v>#DIV/0!</v>
      </c>
      <c r="CW210" s="3" t="e">
        <f>CU210*CW137/CU137</f>
        <v>#DIV/0!</v>
      </c>
      <c r="CX210" s="3" t="e">
        <f>CV210*CX137/CV137</f>
        <v>#DIV/0!</v>
      </c>
      <c r="CY210" s="3" t="e">
        <f>CX210</f>
        <v>#DIV/0!</v>
      </c>
    </row>
    <row r="211">
      <c r="C211" s="26" t="inlineStr">
        <is>
          <t>Other current liabilities (non-debt)</t>
        </is>
      </c>
      <c r="D211" s="25">
        <f>INDEX('Inputs (2)'!$D$31:$AL$31,MATCH(D$7,'Inputs (2)'!$D$2:$AL$2,0))</f>
        <v>21.09</v>
      </c>
      <c r="E211" s="25">
        <f>INDEX('Inputs (2)'!$D$31:$AL$31,MATCH(E$7,'Inputs (2)'!$D$2:$AL$2,0))</f>
        <v>60.80908932</v>
      </c>
      <c r="F211" s="25">
        <f>INDEX('Inputs (2)'!$D$31:$AL$31,MATCH(F$7,'Inputs (2)'!$D$2:$AL$2,0))</f>
        <v>57.9224609399999</v>
      </c>
      <c r="G211" s="25">
        <f>INDEX('Inputs (2)'!$D$31:$AL$31,MATCH(G$7,'Inputs (2)'!$D$2:$AL$2,0))</f>
        <v>65.27577574</v>
      </c>
      <c r="H211" s="3">
        <f>G211</f>
        <v>65.27577574</v>
      </c>
      <c r="I211" s="25">
        <f>INDEX('Inputs (2)'!$D$31:$AL$31,MATCH(I$7,'Inputs (2)'!$D$2:$AL$2,0))</f>
        <v>64.53252704</v>
      </c>
      <c r="J211" s="25">
        <f>INDEX('Inputs (2)'!$D$31:$AL$31,MATCH(J$7,'Inputs (2)'!$D$2:$AL$2,0))</f>
        <v>24.55388589</v>
      </c>
      <c r="K211" s="25">
        <f>INDEX('Inputs (2)'!$D$31:$AL$31,MATCH(K$7,'Inputs (2)'!$D$2:$AL$2,0))</f>
        <v>25.03988111</v>
      </c>
      <c r="L211" s="25">
        <f>INDEX('Inputs (2)'!$D$31:$AL$31,MATCH(L$7,'Inputs (2)'!$D$2:$AL$2,0))</f>
        <v>120.69928688</v>
      </c>
      <c r="M211" s="3">
        <f>L211</f>
        <v>120.69928688</v>
      </c>
      <c r="N211" s="25">
        <f>INDEX('Inputs (2)'!$D$31:$AL$31,MATCH(N$7,'Inputs (2)'!$D$2:$AL$2,0))</f>
        <v>98.00898294</v>
      </c>
      <c r="O211" s="25">
        <f>INDEX('Inputs (2)'!$D$31:$AL$31,MATCH(O$7,'Inputs (2)'!$D$2:$AL$2,0))</f>
        <v>41.59128416</v>
      </c>
      <c r="P211" s="25">
        <f>INDEX('Inputs (2)'!$D$31:$AL$31,MATCH(P$7,'Inputs (2)'!$D$2:$AL$2,0))</f>
        <v>43.30680812</v>
      </c>
      <c r="Q211" s="25">
        <f>INDEX('Inputs (2)'!$D$31:$AL$31,MATCH(Q$7,'Inputs (2)'!$D$2:$AL$2,0))</f>
        <v>180.5569735</v>
      </c>
      <c r="R211" s="3">
        <f>Q211</f>
        <v>180.5569735</v>
      </c>
      <c r="S211" s="25">
        <f>INDEX('Inputs (2)'!$D$31:$AL$31,MATCH(S$7,'Inputs (2)'!$D$2:$AL$2,0))</f>
        <v>143.132</v>
      </c>
      <c r="T211" s="25">
        <f>INDEX('Inputs (2)'!$D$31:$AL$31,MATCH(T$7,'Inputs (2)'!$D$2:$AL$2,0))</f>
        <v>63.17528473</v>
      </c>
      <c r="U211" s="25">
        <f>INDEX('Inputs (2)'!$D$31:$AL$31,MATCH(U$7,'Inputs (2)'!$D$2:$AL$2,0))</f>
        <v>63.48546577</v>
      </c>
      <c r="V211" s="25">
        <f>INDEX('Inputs (2)'!$D$31:$AL$31,MATCH(V$7,'Inputs (2)'!$D$2:$AL$2,0))</f>
        <v>121.76095271</v>
      </c>
      <c r="W211" s="3">
        <f>V211</f>
        <v>121.76095271</v>
      </c>
      <c r="X211" s="25">
        <f>INDEX('Inputs (2)'!$D$31:$AL$31,MATCH(X$7,'Inputs (2)'!$D$2:$AL$2,0))</f>
        <v>173.90636893</v>
      </c>
      <c r="Y211" s="25">
        <f>INDEX('Inputs (2)'!$D$31:$AL$31,MATCH(Y$7,'Inputs (2)'!$D$2:$AL$2,0))</f>
        <v>83.84642079</v>
      </c>
      <c r="Z211" s="25">
        <f>INDEX('Inputs (2)'!$D$31:$AL$31,MATCH(Z$7,'Inputs (2)'!$D$2:$AL$2,0))</f>
        <v>73.60808458</v>
      </c>
      <c r="AA211" s="25">
        <f>INDEX('Inputs (2)'!$D$31:$AL$31,MATCH(AA$7,'Inputs (2)'!$D$2:$AL$2,0))</f>
        <v>174.1697665</v>
      </c>
      <c r="AB211" s="3">
        <f>AA211</f>
        <v>174.1697665</v>
      </c>
      <c r="AC211" s="25">
        <f>INDEX('Inputs (2)'!$D$31:$AL$31,MATCH(AC$7,'Inputs (2)'!$D$2:$AL$2,0))</f>
        <v>188.50315901</v>
      </c>
      <c r="AD211" s="25">
        <f>INDEX('Inputs (2)'!$D$31:$AL$31,MATCH(AD$7,'Inputs (2)'!$D$2:$AL$2,0))</f>
        <v>24.6649001</v>
      </c>
      <c r="AE211" s="25">
        <f>INDEX('Inputs (2)'!$D$31:$AL$31,MATCH(AE$7,'Inputs (2)'!$D$2:$AL$2,0))</f>
        <v>20.381</v>
      </c>
      <c r="AF211" s="25">
        <f>INDEX('Inputs (2)'!$D$31:$AL$31,MATCH(AF$7,'Inputs (2)'!$D$2:$AL$2,0))</f>
        <v>51.69104197</v>
      </c>
      <c r="AG211" s="3">
        <f>AF211</f>
        <v>51.69104197</v>
      </c>
      <c r="AH211" s="3">
        <f>INDEX('Inputs (2)'!$D$31:$AL$31,MATCH(AH$7,'Inputs (2)'!$D$2:$AL$2,0))</f>
        <v>80.5690724100002</v>
      </c>
      <c r="AI211" s="3">
        <f>INDEX('Inputs (2)'!$D$31:$AL$31,MATCH(AI$7,'Inputs (2)'!$D$2:$AL$2,0))</f>
        <v>71.87963608</v>
      </c>
      <c r="AJ211" s="3">
        <f>AI211</f>
        <v>71.87963608</v>
      </c>
      <c r="AK211" s="3">
        <f>AJ211</f>
        <v>71.87963608</v>
      </c>
      <c r="AL211" s="3">
        <f>AK211</f>
        <v>71.87963608</v>
      </c>
      <c r="AM211" s="3">
        <f>AL211</f>
        <v>71.87963608</v>
      </c>
      <c r="AN211" s="3">
        <f>AM211</f>
        <v>71.87963608</v>
      </c>
      <c r="AO211" s="3">
        <f>AN211</f>
        <v>71.87963608</v>
      </c>
      <c r="AP211" s="3">
        <f>AO211</f>
        <v>71.87963608</v>
      </c>
      <c r="AQ211" s="3">
        <f>AP211</f>
        <v>71.87963608</v>
      </c>
      <c r="AR211" s="3">
        <f>AQ211</f>
        <v>71.87963608</v>
      </c>
      <c r="AS211" s="3">
        <f>AR211</f>
        <v>71.87963608</v>
      </c>
      <c r="AT211" s="3">
        <f>AS211</f>
        <v>71.87963608</v>
      </c>
      <c r="AU211" s="3">
        <f>AT211</f>
        <v>71.87963608</v>
      </c>
      <c r="AV211" s="3">
        <f>AU211</f>
        <v>71.87963608</v>
      </c>
      <c r="AW211" s="3">
        <f>AV211</f>
        <v>71.87963608</v>
      </c>
      <c r="AX211" s="3">
        <f>AW211</f>
        <v>71.87963608</v>
      </c>
      <c r="AY211" s="3">
        <f>AX211</f>
        <v>71.87963608</v>
      </c>
      <c r="AZ211" s="3">
        <f>AY211</f>
        <v>71.87963608</v>
      </c>
      <c r="BA211" s="3">
        <f>AZ211</f>
        <v>71.87963608</v>
      </c>
      <c r="BB211" s="3">
        <f>BA211</f>
        <v>71.87963608</v>
      </c>
      <c r="BC211" s="3">
        <f>BB211</f>
        <v>71.87963608</v>
      </c>
      <c r="BD211" s="3">
        <f>BC211</f>
        <v>71.87963608</v>
      </c>
      <c r="BE211" s="3">
        <f>BD211</f>
        <v>71.87963608</v>
      </c>
      <c r="BF211" s="3">
        <f>BE211</f>
        <v>71.87963608</v>
      </c>
      <c r="BG211" s="3">
        <f>BF211</f>
        <v>71.87963608</v>
      </c>
      <c r="BH211" s="3">
        <f>BG211</f>
        <v>71.87963608</v>
      </c>
      <c r="BI211" s="3">
        <f>BH211</f>
        <v>71.87963608</v>
      </c>
      <c r="BJ211" s="3">
        <f>BI211</f>
        <v>71.87963608</v>
      </c>
      <c r="BK211" s="3">
        <f>BJ211</f>
        <v>71.87963608</v>
      </c>
      <c r="BL211" s="3">
        <f>BK211</f>
        <v>71.87963608</v>
      </c>
      <c r="BM211" s="3">
        <f>BL211</f>
        <v>71.87963608</v>
      </c>
      <c r="BN211" s="3">
        <f>BM211</f>
        <v>71.87963608</v>
      </c>
      <c r="BO211" s="3">
        <f>BN211</f>
        <v>71.87963608</v>
      </c>
      <c r="BP211" s="3">
        <f>BO211</f>
        <v>71.87963608</v>
      </c>
      <c r="BQ211" s="3">
        <f>BP211</f>
        <v>71.87963608</v>
      </c>
      <c r="BR211" s="3">
        <f>BQ211</f>
        <v>71.87963608</v>
      </c>
      <c r="BS211" s="3">
        <f>BR211</f>
        <v>71.87963608</v>
      </c>
      <c r="BT211" s="3">
        <f>BS211</f>
        <v>71.87963608</v>
      </c>
      <c r="BU211" s="3">
        <f>BT211</f>
        <v>71.87963608</v>
      </c>
      <c r="BV211" s="3">
        <f>BU211</f>
        <v>71.87963608</v>
      </c>
      <c r="BW211" s="3">
        <f>BV211</f>
        <v>71.87963608</v>
      </c>
      <c r="BX211" s="3">
        <f>BW211</f>
        <v>71.87963608</v>
      </c>
      <c r="BY211" s="3">
        <f>BX211</f>
        <v>71.87963608</v>
      </c>
      <c r="BZ211" s="3">
        <f>BY211</f>
        <v>71.87963608</v>
      </c>
      <c r="CA211" s="3">
        <f>BZ211</f>
        <v>71.87963608</v>
      </c>
      <c r="CB211" s="3">
        <f>CA211</f>
        <v>71.87963608</v>
      </c>
      <c r="CC211" s="3">
        <f>CB211</f>
        <v>71.87963608</v>
      </c>
      <c r="CD211" s="3">
        <f>CC211</f>
        <v>71.87963608</v>
      </c>
      <c r="CE211" s="3">
        <f>CD211</f>
        <v>71.87963608</v>
      </c>
      <c r="CF211" s="3">
        <f>CE211</f>
        <v>71.87963608</v>
      </c>
      <c r="CG211" s="3">
        <f>CF211</f>
        <v>71.87963608</v>
      </c>
      <c r="CH211" s="3">
        <f>CG211</f>
        <v>71.87963608</v>
      </c>
      <c r="CI211" s="3">
        <f>CH211</f>
        <v>71.87963608</v>
      </c>
      <c r="CJ211" s="3">
        <f>CI211</f>
        <v>71.87963608</v>
      </c>
      <c r="CK211" s="3">
        <f>CJ211</f>
        <v>71.87963608</v>
      </c>
      <c r="CL211" s="3">
        <f>CK211</f>
        <v>71.87963608</v>
      </c>
      <c r="CM211" s="3">
        <f>CL211</f>
        <v>71.87963608</v>
      </c>
      <c r="CN211" s="3">
        <f>CM211</f>
        <v>71.87963608</v>
      </c>
      <c r="CO211" s="3">
        <f>CN211</f>
        <v>71.87963608</v>
      </c>
      <c r="CP211" s="3">
        <f>CO211</f>
        <v>71.87963608</v>
      </c>
      <c r="CQ211" s="3">
        <f>CP211</f>
        <v>71.87963608</v>
      </c>
      <c r="CR211" s="3">
        <f>CQ211</f>
        <v>71.87963608</v>
      </c>
      <c r="CS211" s="3">
        <f>CR211</f>
        <v>71.87963608</v>
      </c>
      <c r="CT211" s="3">
        <f>CS211</f>
        <v>71.87963608</v>
      </c>
      <c r="CU211" s="3">
        <f>CT211</f>
        <v>71.87963608</v>
      </c>
      <c r="CV211" s="3">
        <f>CU211</f>
        <v>71.87963608</v>
      </c>
      <c r="CW211" s="3">
        <f>CV211</f>
        <v>71.87963608</v>
      </c>
      <c r="CX211" s="3">
        <f>CW211</f>
        <v>71.87963608</v>
      </c>
      <c r="CY211" s="3">
        <f>CX211</f>
        <v>71.87963608</v>
      </c>
    </row>
    <row r="212" hidden="1" outlineLevel="1">
      <c r="C212" s="38" t="inlineStr">
        <is>
          <t>%(Var.)</t>
        </is>
      </c>
      <c r="D212" s="3" t="n"/>
      <c r="E212" s="47">
        <f>(E211-D211)/D211</f>
        <v>1.88331386059744</v>
      </c>
      <c r="F212" s="47">
        <f>(F211-E211)/E211</f>
        <v>-0.047470343862734</v>
      </c>
      <c r="G212" s="47">
        <f>(G211-F211)/F211</f>
        <v>0.126951007962476</v>
      </c>
      <c r="H212" s="3" t="n"/>
      <c r="I212" s="47">
        <f>(I211-H211)/H211</f>
        <v>-0.0113862867438057</v>
      </c>
      <c r="J212" s="47">
        <f>(J211-I211)/I211</f>
        <v>-0.619511477138026</v>
      </c>
      <c r="K212" s="47">
        <f>(K211-J211)/J211</f>
        <v>0.0197930063769633</v>
      </c>
      <c r="L212" s="47">
        <f>(L211-K211)/K211</f>
        <v>3.82028194741696</v>
      </c>
      <c r="M212" s="3" t="n"/>
      <c r="N212" s="47">
        <f>(N211-M211)/M211</f>
        <v>-0.187990372822657</v>
      </c>
      <c r="O212" s="47">
        <f>(O211-N211)/N211</f>
        <v>-0.57563803936766</v>
      </c>
      <c r="P212" s="47">
        <f>(P211-O211)/O211</f>
        <v>0.0412471986534589</v>
      </c>
      <c r="Q212" s="47">
        <f>(Q211-P211)/P211</f>
        <v>3.1692514719554</v>
      </c>
      <c r="R212" s="3" t="n"/>
      <c r="S212" s="47">
        <f>(S211-R211)/R211</f>
        <v>-0.207275148528118</v>
      </c>
      <c r="T212" s="47">
        <f>(T211-S211)/S211</f>
        <v>-0.558622217743062</v>
      </c>
      <c r="U212" s="47">
        <f>(U211-T211)/T211</f>
        <v>0.00490984791482401</v>
      </c>
      <c r="V212" s="47">
        <f>(V211-U211)/U211</f>
        <v>0.917934305642885</v>
      </c>
      <c r="W212" s="3" t="n"/>
      <c r="X212" s="47">
        <f>(X211-W211)/W211</f>
        <v>0.428260579926599</v>
      </c>
      <c r="Y212" s="47">
        <f>(Y211-X211)/X211</f>
        <v>-0.517864576749633</v>
      </c>
      <c r="Z212" s="47">
        <f>(Z211-Y211)/Y211</f>
        <v>-0.122108208239953</v>
      </c>
      <c r="AA212" s="47">
        <f>(AA211-Z211)/Z211</f>
        <v>1.36617713249563</v>
      </c>
      <c r="AB212" s="3" t="n"/>
      <c r="AC212" s="47">
        <f>(AC211-AB211)/AB211</f>
        <v>0.0822955257851838</v>
      </c>
      <c r="AD212" s="47">
        <f>(AD211-AC211)/AC211</f>
        <v>-0.869153916414252</v>
      </c>
      <c r="AE212" s="47">
        <f>(AE211-AD211)/AD211</f>
        <v>-0.173684064505901</v>
      </c>
      <c r="AF212" s="218">
        <f>(AF211-AE211)/AE211</f>
        <v>1.53623678769442</v>
      </c>
      <c r="AG212" s="3" t="n"/>
      <c r="AH212" s="218">
        <f>(AH211-AG211)/AG211</f>
        <v>0.558666053912401</v>
      </c>
      <c r="AI212" s="218">
        <f>(AI211-AH211)/AH211</f>
        <v>-0.107850767919747</v>
      </c>
      <c r="AJ212" s="218" t="n"/>
      <c r="AK212" s="218" t="n"/>
      <c r="AL212" s="3" t="n"/>
      <c r="AM212" s="218" t="n"/>
      <c r="AN212" s="218" t="n"/>
      <c r="AO212" s="218" t="n"/>
      <c r="AP212" s="218" t="n"/>
      <c r="AQ212" s="3" t="n"/>
      <c r="AR212" s="218" t="n"/>
      <c r="AS212" s="218" t="n"/>
      <c r="AT212" s="218" t="n"/>
      <c r="AU212" s="218" t="n"/>
      <c r="AV212" s="3" t="n"/>
      <c r="AW212" s="218" t="n"/>
      <c r="AX212" s="218" t="n"/>
      <c r="AY212" s="218" t="n"/>
      <c r="AZ212" s="218" t="n"/>
      <c r="BA212" s="3" t="n"/>
      <c r="BB212" s="218" t="n"/>
      <c r="BC212" s="218" t="n"/>
      <c r="BD212" s="218" t="n"/>
      <c r="BE212" s="218" t="n"/>
      <c r="BF212" s="3" t="n"/>
      <c r="BG212" s="218" t="n"/>
      <c r="BH212" s="218" t="n"/>
      <c r="BI212" s="218" t="n"/>
      <c r="BJ212" s="218" t="n"/>
      <c r="BK212" s="3" t="n"/>
      <c r="BL212" s="218" t="n"/>
      <c r="BM212" s="218" t="n"/>
      <c r="BN212" s="218" t="n"/>
      <c r="BO212" s="218" t="n"/>
      <c r="BP212" s="3" t="n"/>
      <c r="BQ212" s="218" t="n"/>
      <c r="BR212" s="218" t="n"/>
      <c r="BS212" s="218" t="n"/>
      <c r="BT212" s="218" t="n"/>
      <c r="BU212" s="3" t="n"/>
      <c r="BV212" s="218" t="n"/>
      <c r="BW212" s="218" t="n"/>
      <c r="BX212" s="218" t="n"/>
      <c r="BY212" s="218" t="n"/>
      <c r="BZ212" s="3" t="n"/>
      <c r="CA212" s="218" t="n"/>
      <c r="CB212" s="218" t="n"/>
      <c r="CC212" s="218" t="n"/>
      <c r="CD212" s="218" t="n"/>
      <c r="CE212" s="3" t="n"/>
      <c r="CF212" s="218" t="n"/>
      <c r="CG212" s="218" t="n"/>
      <c r="CH212" s="218" t="n"/>
      <c r="CI212" s="218" t="n"/>
      <c r="CJ212" s="3" t="n"/>
      <c r="CK212" s="218" t="n"/>
      <c r="CL212" s="218" t="n"/>
      <c r="CM212" s="218" t="n"/>
      <c r="CN212" s="218" t="n"/>
      <c r="CO212" s="3" t="n"/>
      <c r="CP212" s="218" t="n"/>
      <c r="CQ212" s="218" t="n"/>
      <c r="CR212" s="218" t="n"/>
      <c r="CS212" s="218" t="n"/>
      <c r="CT212" s="3" t="n"/>
      <c r="CU212" s="218" t="n"/>
      <c r="CV212" s="218" t="n"/>
      <c r="CW212" s="218" t="n"/>
      <c r="CX212" s="218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 xml:space="preserve">Dividendos a Pagar </t>
        </is>
      </c>
      <c r="D214" s="6" t="n"/>
      <c r="E214" s="6" t="n"/>
      <c r="F214" s="6" t="n"/>
      <c r="G214" s="6" t="n"/>
      <c r="H214" s="3" t="n"/>
      <c r="I214" s="6" t="n"/>
      <c r="J214" s="6" t="n"/>
      <c r="K214" s="6" t="n"/>
      <c r="L214" s="6" t="n"/>
      <c r="M214" s="3" t="n"/>
      <c r="N214" s="6" t="n"/>
      <c r="O214" s="6" t="n"/>
      <c r="P214" s="6" t="n"/>
      <c r="Q214" s="6" t="n"/>
      <c r="R214" s="3" t="n"/>
      <c r="S214" s="6" t="n"/>
      <c r="T214" s="6" t="n"/>
      <c r="U214" s="6" t="n"/>
      <c r="V214" s="6" t="n"/>
      <c r="W214" s="3" t="n"/>
      <c r="X214" s="6" t="n"/>
      <c r="Y214" s="6" t="n"/>
      <c r="Z214" s="6" t="n"/>
      <c r="AA214" s="6" t="n"/>
      <c r="AB214" s="3" t="n"/>
      <c r="AC214" s="6" t="n"/>
      <c r="AD214" s="6" t="n"/>
      <c r="AE214" s="6" t="n"/>
      <c r="AF214" s="6" t="n"/>
      <c r="AG214" s="3" t="n"/>
      <c r="AH214" s="6" t="n"/>
      <c r="AI214" s="6" t="n"/>
      <c r="AJ214" s="6" t="n"/>
      <c r="AK214" s="6" t="n"/>
      <c r="AL214" s="3" t="n"/>
      <c r="AM214" s="6" t="n"/>
      <c r="AN214" s="6" t="n"/>
      <c r="AO214" s="6" t="n"/>
      <c r="AP214" s="6" t="n"/>
      <c r="AQ214" s="3" t="n"/>
      <c r="AR214" s="6" t="n"/>
      <c r="AS214" s="6" t="n"/>
      <c r="AT214" s="6" t="n"/>
      <c r="AU214" s="6" t="n"/>
      <c r="AV214" s="3" t="n"/>
      <c r="AW214" s="6" t="n"/>
      <c r="AX214" s="6" t="n"/>
      <c r="AY214" s="6" t="n"/>
      <c r="AZ214" s="6" t="n"/>
      <c r="BA214" s="3" t="n"/>
      <c r="BB214" s="6" t="n"/>
      <c r="BC214" s="6" t="n"/>
      <c r="BD214" s="6" t="n"/>
      <c r="BE214" s="6" t="n"/>
      <c r="BF214" s="3" t="n"/>
      <c r="BG214" s="6" t="n"/>
      <c r="BH214" s="6" t="n"/>
      <c r="BI214" s="6" t="n"/>
      <c r="BJ214" s="6" t="n"/>
      <c r="BK214" s="3" t="n"/>
      <c r="BL214" s="6" t="n"/>
      <c r="BM214" s="6" t="n"/>
      <c r="BN214" s="6" t="n"/>
      <c r="BO214" s="6" t="n"/>
      <c r="BP214" s="3" t="n"/>
      <c r="BQ214" s="6" t="n"/>
      <c r="BR214" s="6" t="n"/>
      <c r="BS214" s="6" t="n"/>
      <c r="BT214" s="6" t="n"/>
      <c r="BU214" s="3" t="n"/>
      <c r="BV214" s="6" t="n"/>
      <c r="BW214" s="6" t="n"/>
      <c r="BX214" s="6" t="n"/>
      <c r="BY214" s="6" t="n"/>
      <c r="BZ214" s="3" t="n"/>
      <c r="CA214" s="6" t="n"/>
      <c r="CB214" s="6" t="n"/>
      <c r="CC214" s="6" t="n"/>
      <c r="CD214" s="6" t="n"/>
      <c r="CE214" s="3" t="n"/>
      <c r="CF214" s="6" t="n"/>
      <c r="CG214" s="6" t="n"/>
      <c r="CH214" s="6" t="n"/>
      <c r="CI214" s="6" t="n"/>
      <c r="CJ214" s="3" t="n"/>
      <c r="CK214" s="6" t="n"/>
      <c r="CL214" s="6" t="n"/>
      <c r="CM214" s="6" t="n"/>
      <c r="CN214" s="6" t="n"/>
      <c r="CO214" s="3" t="n"/>
      <c r="CP214" s="6" t="n"/>
      <c r="CQ214" s="6" t="n"/>
      <c r="CR214" s="6" t="n"/>
      <c r="CS214" s="6" t="n"/>
      <c r="CT214" s="3" t="n"/>
      <c r="CU214" s="6" t="n"/>
      <c r="CV214" s="6" t="n"/>
      <c r="CW214" s="6" t="n"/>
      <c r="CX214" s="6" t="n"/>
      <c r="CY214" s="3" t="n"/>
    </row>
    <row r="215" hidden="1" outlineLevel="1">
      <c r="C215" s="34" t="inlineStr">
        <is>
          <t>Contas a pagar pela aquisição de controladas</t>
        </is>
      </c>
      <c r="D215" s="6" t="n"/>
      <c r="E215" s="6" t="n"/>
      <c r="F215" s="6" t="n"/>
      <c r="G215" s="6" t="n"/>
      <c r="H215" s="3" t="n"/>
      <c r="I215" s="6" t="n"/>
      <c r="J215" s="6" t="n"/>
      <c r="K215" s="6" t="n"/>
      <c r="L215" s="6" t="n"/>
      <c r="M215" s="3" t="n"/>
      <c r="N215" s="6" t="n"/>
      <c r="O215" s="6" t="n"/>
      <c r="P215" s="6" t="n"/>
      <c r="Q215" s="6" t="n"/>
      <c r="R215" s="3" t="n"/>
      <c r="S215" s="6" t="n"/>
      <c r="T215" s="6" t="n"/>
      <c r="U215" s="6" t="n"/>
      <c r="V215" s="6" t="n"/>
      <c r="W215" s="3" t="n"/>
      <c r="X215" s="6" t="n"/>
      <c r="Y215" s="6" t="n"/>
      <c r="Z215" s="6" t="n"/>
      <c r="AA215" s="6" t="n"/>
      <c r="AB215" s="3" t="n"/>
      <c r="AC215" s="6" t="n"/>
      <c r="AD215" s="6" t="n"/>
      <c r="AE215" s="6" t="n"/>
      <c r="AF215" s="6" t="n"/>
      <c r="AG215" s="3" t="n"/>
      <c r="AH215" s="6" t="n"/>
      <c r="AI215" s="6" t="n"/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inlineStr">
        <is>
          <t>Outros</t>
        </is>
      </c>
      <c r="D216" s="6" t="n"/>
      <c r="E216" s="6" t="n"/>
      <c r="F216" s="6" t="n"/>
      <c r="G216" s="6" t="n"/>
      <c r="H216" s="3" t="n"/>
      <c r="I216" s="6" t="n"/>
      <c r="J216" s="6" t="n"/>
      <c r="K216" s="6" t="n"/>
      <c r="L216" s="6" t="n"/>
      <c r="M216" s="3" t="n"/>
      <c r="N216" s="6" t="n"/>
      <c r="O216" s="6" t="n"/>
      <c r="P216" s="6" t="n"/>
      <c r="Q216" s="6" t="n"/>
      <c r="R216" s="3" t="n"/>
      <c r="S216" s="6" t="n"/>
      <c r="T216" s="6" t="n"/>
      <c r="U216" s="6" t="n"/>
      <c r="V216" s="6" t="n"/>
      <c r="W216" s="3" t="n"/>
      <c r="X216" s="6" t="n"/>
      <c r="Y216" s="6" t="n"/>
      <c r="Z216" s="6" t="n"/>
      <c r="AA216" s="6" t="n"/>
      <c r="AB216" s="3" t="n"/>
      <c r="AC216" s="6" t="n"/>
      <c r="AD216" s="6" t="n"/>
      <c r="AE216" s="6" t="n"/>
      <c r="AF216" s="6" t="n"/>
      <c r="AG216" s="3" t="n"/>
      <c r="AH216" s="6" t="n"/>
      <c r="AI216" s="6" t="n"/>
      <c r="AJ216" s="6" t="n"/>
      <c r="AK216" s="6" t="n"/>
      <c r="AL216" s="3" t="n"/>
      <c r="AM216" s="6" t="n"/>
      <c r="AN216" s="6" t="n"/>
      <c r="AO216" s="6" t="n"/>
      <c r="AP216" s="6" t="n"/>
      <c r="AQ216" s="3" t="n"/>
      <c r="AR216" s="6" t="n"/>
      <c r="AS216" s="6" t="n"/>
      <c r="AT216" s="6" t="n"/>
      <c r="AU216" s="6" t="n"/>
      <c r="AV216" s="3" t="n"/>
      <c r="AW216" s="6" t="n"/>
      <c r="AX216" s="6" t="n"/>
      <c r="AY216" s="6" t="n"/>
      <c r="AZ216" s="6" t="n"/>
      <c r="BA216" s="3" t="n"/>
      <c r="BB216" s="6" t="n"/>
      <c r="BC216" s="6" t="n"/>
      <c r="BD216" s="6" t="n"/>
      <c r="BE216" s="6" t="n"/>
      <c r="BF216" s="3" t="n"/>
      <c r="BG216" s="6" t="n"/>
      <c r="BH216" s="6" t="n"/>
      <c r="BI216" s="6" t="n"/>
      <c r="BJ216" s="6" t="n"/>
      <c r="BK216" s="3" t="n"/>
      <c r="BL216" s="6" t="n"/>
      <c r="BM216" s="6" t="n"/>
      <c r="BN216" s="6" t="n"/>
      <c r="BO216" s="6" t="n"/>
      <c r="BP216" s="3" t="n"/>
      <c r="BQ216" s="6" t="n"/>
      <c r="BR216" s="6" t="n"/>
      <c r="BS216" s="6" t="n"/>
      <c r="BT216" s="6" t="n"/>
      <c r="BU216" s="3" t="n"/>
      <c r="BV216" s="6" t="n"/>
      <c r="BW216" s="6" t="n"/>
      <c r="BX216" s="6" t="n"/>
      <c r="BY216" s="6" t="n"/>
      <c r="BZ216" s="3" t="n"/>
      <c r="CA216" s="6" t="n"/>
      <c r="CB216" s="6" t="n"/>
      <c r="CC216" s="6" t="n"/>
      <c r="CD216" s="6" t="n"/>
      <c r="CE216" s="3" t="n"/>
      <c r="CF216" s="6" t="n"/>
      <c r="CG216" s="6" t="n"/>
      <c r="CH216" s="6" t="n"/>
      <c r="CI216" s="6" t="n"/>
      <c r="CJ216" s="3" t="n"/>
      <c r="CK216" s="6" t="n"/>
      <c r="CL216" s="6" t="n"/>
      <c r="CM216" s="6" t="n"/>
      <c r="CN216" s="6" t="n"/>
      <c r="CO216" s="3" t="n"/>
      <c r="CP216" s="6" t="n"/>
      <c r="CQ216" s="6" t="n"/>
      <c r="CR216" s="6" t="n"/>
      <c r="CS216" s="6" t="n"/>
      <c r="CT216" s="3" t="n"/>
      <c r="CU216" s="6" t="n"/>
      <c r="CV216" s="6" t="n"/>
      <c r="CW216" s="6" t="n"/>
      <c r="CX216" s="6" t="n"/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collapsed="1">
      <c r="C218" s="26" t="inlineStr">
        <is>
          <t>Current portion of long-term debt</t>
        </is>
      </c>
      <c r="D218" s="25">
        <f>INDEX('Inputs (2)'!$D$32:$AL$32,MATCH(D$7,'Inputs (2)'!$D$2:$AL$2,0))</f>
        <v>244.951</v>
      </c>
      <c r="E218" s="25">
        <f>INDEX('Inputs (2)'!$D$32:$AL$32,MATCH(E$7,'Inputs (2)'!$D$2:$AL$2,0))</f>
        <v>316.75823784</v>
      </c>
      <c r="F218" s="25">
        <f>INDEX('Inputs (2)'!$D$32:$AL$32,MATCH(F$7,'Inputs (2)'!$D$2:$AL$2,0))</f>
        <v>296.244632</v>
      </c>
      <c r="G218" s="25">
        <f>INDEX('Inputs (2)'!$D$32:$AL$32,MATCH(G$7,'Inputs (2)'!$D$2:$AL$2,0))</f>
        <v>288.18792132</v>
      </c>
      <c r="H218" s="3">
        <f>G218</f>
        <v>288.18792132</v>
      </c>
      <c r="I218" s="25">
        <f>INDEX('Inputs (2)'!$D$32:$AL$32,MATCH(I$7,'Inputs (2)'!$D$2:$AL$2,0))</f>
        <v>82.73263523</v>
      </c>
      <c r="J218" s="25">
        <f>INDEX('Inputs (2)'!$D$32:$AL$32,MATCH(J$7,'Inputs (2)'!$D$2:$AL$2,0))</f>
        <v>204.16479933</v>
      </c>
      <c r="K218" s="25">
        <f>INDEX('Inputs (2)'!$D$32:$AL$32,MATCH(K$7,'Inputs (2)'!$D$2:$AL$2,0))</f>
        <v>279.03942839</v>
      </c>
      <c r="L218" s="25">
        <f>INDEX('Inputs (2)'!$D$32:$AL$32,MATCH(L$7,'Inputs (2)'!$D$2:$AL$2,0))</f>
        <v>213.66570155</v>
      </c>
      <c r="M218" s="3">
        <f>L218</f>
        <v>213.66570155</v>
      </c>
      <c r="N218" s="25">
        <f>INDEX('Inputs (2)'!$D$32:$AL$32,MATCH(N$7,'Inputs (2)'!$D$2:$AL$2,0))</f>
        <v>261.1010699</v>
      </c>
      <c r="O218" s="25">
        <f>INDEX('Inputs (2)'!$D$32:$AL$32,MATCH(O$7,'Inputs (2)'!$D$2:$AL$2,0))</f>
        <v>227.38853986</v>
      </c>
      <c r="P218" s="25">
        <f>INDEX('Inputs (2)'!$D$32:$AL$32,MATCH(P$7,'Inputs (2)'!$D$2:$AL$2,0))</f>
        <v>167.01569717</v>
      </c>
      <c r="Q218" s="25">
        <f>INDEX('Inputs (2)'!$D$32:$AL$32,MATCH(Q$7,'Inputs (2)'!$D$2:$AL$2,0))</f>
        <v>176.983</v>
      </c>
      <c r="R218" s="3">
        <f>Q218</f>
        <v>176.983</v>
      </c>
      <c r="S218" s="25">
        <f>INDEX('Inputs (2)'!$D$32:$AL$32,MATCH(S$7,'Inputs (2)'!$D$2:$AL$2,0))</f>
        <v>178.462</v>
      </c>
      <c r="T218" s="25">
        <f>INDEX('Inputs (2)'!$D$32:$AL$32,MATCH(T$7,'Inputs (2)'!$D$2:$AL$2,0))</f>
        <v>216.81164582</v>
      </c>
      <c r="U218" s="25">
        <f>INDEX('Inputs (2)'!$D$32:$AL$32,MATCH(U$7,'Inputs (2)'!$D$2:$AL$2,0))</f>
        <v>218.21269927</v>
      </c>
      <c r="V218" s="25">
        <f>INDEX('Inputs (2)'!$D$32:$AL$32,MATCH(V$7,'Inputs (2)'!$D$2:$AL$2,0))</f>
        <v>158.64530248</v>
      </c>
      <c r="W218" s="3">
        <f>V218</f>
        <v>158.64530248</v>
      </c>
      <c r="X218" s="25">
        <f>INDEX('Inputs (2)'!$D$32:$AL$32,MATCH(X$7,'Inputs (2)'!$D$2:$AL$2,0))</f>
        <v>209.67571082</v>
      </c>
      <c r="Y218" s="25">
        <f>INDEX('Inputs (2)'!$D$32:$AL$32,MATCH(Y$7,'Inputs (2)'!$D$2:$AL$2,0))</f>
        <v>244.36276214</v>
      </c>
      <c r="Z218" s="25">
        <f>INDEX('Inputs (2)'!$D$32:$AL$32,MATCH(Z$7,'Inputs (2)'!$D$2:$AL$2,0))</f>
        <v>331.63844745</v>
      </c>
      <c r="AA218" s="25">
        <f>INDEX('Inputs (2)'!$D$32:$AL$32,MATCH(AA$7,'Inputs (2)'!$D$2:$AL$2,0))</f>
        <v>342.43806981</v>
      </c>
      <c r="AB218" s="3">
        <f>AA218</f>
        <v>342.43806981</v>
      </c>
      <c r="AC218" s="25">
        <f>INDEX('Inputs (2)'!$D$32:$AL$32,MATCH(AC$7,'Inputs (2)'!$D$2:$AL$2,0))</f>
        <v>164.02480182</v>
      </c>
      <c r="AD218" s="25">
        <f>INDEX('Inputs (2)'!$D$32:$AL$32,MATCH(AD$7,'Inputs (2)'!$D$2:$AL$2,0))</f>
        <v>185.16692304</v>
      </c>
      <c r="AE218" s="25">
        <f>INDEX('Inputs (2)'!$D$32:$AL$32,MATCH(AE$7,'Inputs (2)'!$D$2:$AL$2,0))</f>
        <v>54.402</v>
      </c>
      <c r="AF218" s="25">
        <f>INDEX('Inputs (2)'!$D$32:$AL$32,MATCH(AF$7,'Inputs (2)'!$D$2:$AL$2,0))</f>
        <v>252.06949587</v>
      </c>
      <c r="AG218" s="3">
        <f>AF218</f>
        <v>252.06949587</v>
      </c>
      <c r="AH218" s="3">
        <f>INDEX('Inputs (2)'!$D$32:$AL$32,MATCH(AH$7,'Inputs (2)'!$D$2:$AL$2,0))</f>
        <v>228.4214503</v>
      </c>
      <c r="AI218" s="3">
        <f>INDEX('Inputs (2)'!$D$32:$AL$32,MATCH(AI$7,'Inputs (2)'!$D$2:$AL$2,0))</f>
        <v>237.72193538</v>
      </c>
      <c r="AJ218" s="3">
        <f>AI218</f>
        <v>237.72193538</v>
      </c>
      <c r="AK218" s="3">
        <f>AJ218</f>
        <v>237.72193538</v>
      </c>
      <c r="AL218" s="3">
        <f>AK218</f>
        <v>237.72193538</v>
      </c>
      <c r="AM218" s="3">
        <f>AL218</f>
        <v>237.72193538</v>
      </c>
      <c r="AN218" s="3">
        <f>AM218</f>
        <v>237.72193538</v>
      </c>
      <c r="AO218" s="3">
        <f>AN218</f>
        <v>237.72193538</v>
      </c>
      <c r="AP218" s="3">
        <f>AO218</f>
        <v>237.72193538</v>
      </c>
      <c r="AQ218" s="3">
        <f>AP218</f>
        <v>237.72193538</v>
      </c>
      <c r="AR218" s="3">
        <f>AQ218</f>
        <v>237.72193538</v>
      </c>
      <c r="AS218" s="3">
        <f>AR218</f>
        <v>237.72193538</v>
      </c>
      <c r="AT218" s="3">
        <f>AS218</f>
        <v>237.72193538</v>
      </c>
      <c r="AU218" s="3">
        <f>AT218</f>
        <v>237.72193538</v>
      </c>
      <c r="AV218" s="3">
        <f>AU218</f>
        <v>237.72193538</v>
      </c>
      <c r="AW218" s="3">
        <f>AV218</f>
        <v>237.72193538</v>
      </c>
      <c r="AX218" s="3">
        <f>AW218</f>
        <v>237.72193538</v>
      </c>
      <c r="AY218" s="3">
        <f>AX218</f>
        <v>237.72193538</v>
      </c>
      <c r="AZ218" s="3">
        <f>AY218</f>
        <v>237.72193538</v>
      </c>
      <c r="BA218" s="3">
        <f>AZ218</f>
        <v>237.72193538</v>
      </c>
      <c r="BB218" s="3">
        <f>BA218</f>
        <v>237.72193538</v>
      </c>
      <c r="BC218" s="3">
        <f>BB218</f>
        <v>237.72193538</v>
      </c>
      <c r="BD218" s="3">
        <f>BC218</f>
        <v>237.72193538</v>
      </c>
      <c r="BE218" s="3">
        <f>BD218</f>
        <v>237.72193538</v>
      </c>
      <c r="BF218" s="3">
        <f>BE218</f>
        <v>237.72193538</v>
      </c>
      <c r="BG218" s="3">
        <f>BF218</f>
        <v>237.72193538</v>
      </c>
      <c r="BH218" s="3">
        <f>BG218</f>
        <v>237.72193538</v>
      </c>
      <c r="BI218" s="3">
        <f>BH218</f>
        <v>237.72193538</v>
      </c>
      <c r="BJ218" s="3">
        <f>BI218</f>
        <v>237.72193538</v>
      </c>
      <c r="BK218" s="3">
        <f>BJ218</f>
        <v>237.72193538</v>
      </c>
      <c r="BL218" s="3">
        <f>BK218</f>
        <v>237.72193538</v>
      </c>
      <c r="BM218" s="3">
        <f>BL218</f>
        <v>237.72193538</v>
      </c>
      <c r="BN218" s="3">
        <f>BM218</f>
        <v>237.72193538</v>
      </c>
      <c r="BO218" s="3">
        <f>BN218</f>
        <v>237.72193538</v>
      </c>
      <c r="BP218" s="3">
        <f>BO218</f>
        <v>237.72193538</v>
      </c>
      <c r="BQ218" s="3">
        <f>BP218</f>
        <v>237.72193538</v>
      </c>
      <c r="BR218" s="3">
        <f>BQ218</f>
        <v>237.72193538</v>
      </c>
      <c r="BS218" s="3">
        <f>BR218</f>
        <v>237.72193538</v>
      </c>
      <c r="BT218" s="3">
        <f>BS218</f>
        <v>237.72193538</v>
      </c>
      <c r="BU218" s="3">
        <f>BT218</f>
        <v>237.72193538</v>
      </c>
      <c r="BV218" s="3">
        <f>BU218</f>
        <v>237.72193538</v>
      </c>
      <c r="BW218" s="3">
        <f>BV218</f>
        <v>237.72193538</v>
      </c>
      <c r="BX218" s="3">
        <f>BW218</f>
        <v>237.72193538</v>
      </c>
      <c r="BY218" s="3">
        <f>BX218</f>
        <v>237.72193538</v>
      </c>
      <c r="BZ218" s="3">
        <f>BY218</f>
        <v>237.72193538</v>
      </c>
      <c r="CA218" s="3">
        <f>BZ218</f>
        <v>237.72193538</v>
      </c>
      <c r="CB218" s="3">
        <f>CA218</f>
        <v>237.72193538</v>
      </c>
      <c r="CC218" s="3">
        <f>CB218</f>
        <v>237.72193538</v>
      </c>
      <c r="CD218" s="3">
        <f>CC218</f>
        <v>237.72193538</v>
      </c>
      <c r="CE218" s="3">
        <f>CD218</f>
        <v>237.72193538</v>
      </c>
      <c r="CF218" s="3">
        <f>CE218</f>
        <v>237.72193538</v>
      </c>
      <c r="CG218" s="3">
        <f>CF218</f>
        <v>237.72193538</v>
      </c>
      <c r="CH218" s="3">
        <f>CG218</f>
        <v>237.72193538</v>
      </c>
      <c r="CI218" s="3">
        <f>CH218</f>
        <v>237.72193538</v>
      </c>
      <c r="CJ218" s="3">
        <f>CI218</f>
        <v>237.72193538</v>
      </c>
      <c r="CK218" s="3">
        <f>CJ218</f>
        <v>237.72193538</v>
      </c>
      <c r="CL218" s="3">
        <f>CK218</f>
        <v>237.72193538</v>
      </c>
      <c r="CM218" s="3">
        <f>CL218</f>
        <v>237.72193538</v>
      </c>
      <c r="CN218" s="3">
        <f>CM218</f>
        <v>237.72193538</v>
      </c>
      <c r="CO218" s="3">
        <f>CN218</f>
        <v>237.72193538</v>
      </c>
      <c r="CP218" s="3">
        <f>CO218</f>
        <v>237.72193538</v>
      </c>
      <c r="CQ218" s="3">
        <f>CP218</f>
        <v>237.72193538</v>
      </c>
      <c r="CR218" s="3">
        <f>CQ218</f>
        <v>237.72193538</v>
      </c>
      <c r="CS218" s="3">
        <f>CR218</f>
        <v>237.72193538</v>
      </c>
      <c r="CT218" s="3">
        <f>CS218</f>
        <v>237.72193538</v>
      </c>
      <c r="CU218" s="3">
        <f>CT218</f>
        <v>237.72193538</v>
      </c>
      <c r="CV218" s="3">
        <f>CU218</f>
        <v>237.72193538</v>
      </c>
      <c r="CW218" s="3">
        <f>CV218</f>
        <v>237.72193538</v>
      </c>
      <c r="CX218" s="3">
        <f>CW218</f>
        <v>237.72193538</v>
      </c>
      <c r="CY218" s="3">
        <f>CX218</f>
        <v>237.72193538</v>
      </c>
    </row>
    <row r="219">
      <c r="C219" s="26" t="inlineStr">
        <is>
          <t>Short term debt (Revolving credit facility)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6" t="inlineStr">
        <is>
          <t>Short term operating leases</t>
        </is>
      </c>
      <c r="D220" s="25">
        <f>INDEX('Inputs (2)'!$D$34:$AL$34,MATCH(D$7,'Inputs (2)'!$D$2:$AL$2,0))</f>
        <v>25.919</v>
      </c>
      <c r="E220" s="25">
        <f>INDEX('Inputs (2)'!$D$34:$AL$34,MATCH(E$7,'Inputs (2)'!$D$2:$AL$2,0))</f>
        <v>26.91900058</v>
      </c>
      <c r="F220" s="25">
        <f>INDEX('Inputs (2)'!$D$34:$AL$34,MATCH(F$7,'Inputs (2)'!$D$2:$AL$2,0))</f>
        <v>28.80602764</v>
      </c>
      <c r="G220" s="25">
        <f>INDEX('Inputs (2)'!$D$34:$AL$34,MATCH(G$7,'Inputs (2)'!$D$2:$AL$2,0))</f>
        <v>39.9549798</v>
      </c>
      <c r="H220" s="3">
        <f>G220</f>
        <v>39.9549798</v>
      </c>
      <c r="I220" s="25">
        <f>INDEX('Inputs (2)'!$D$34:$AL$34,MATCH(I$7,'Inputs (2)'!$D$2:$AL$2,0))</f>
        <v>44.63546011</v>
      </c>
      <c r="J220" s="25">
        <f>INDEX('Inputs (2)'!$D$34:$AL$34,MATCH(J$7,'Inputs (2)'!$D$2:$AL$2,0))</f>
        <v>56.66888564</v>
      </c>
      <c r="K220" s="25">
        <f>INDEX('Inputs (2)'!$D$34:$AL$34,MATCH(K$7,'Inputs (2)'!$D$2:$AL$2,0))</f>
        <v>47.53680748</v>
      </c>
      <c r="L220" s="25">
        <f>INDEX('Inputs (2)'!$D$34:$AL$34,MATCH(L$7,'Inputs (2)'!$D$2:$AL$2,0))</f>
        <v>59.91974471</v>
      </c>
      <c r="M220" s="3">
        <f>L220</f>
        <v>59.91974471</v>
      </c>
      <c r="N220" s="25">
        <f>INDEX('Inputs (2)'!$D$34:$AL$34,MATCH(N$7,'Inputs (2)'!$D$2:$AL$2,0))</f>
        <v>56.44508628</v>
      </c>
      <c r="O220" s="25">
        <f>INDEX('Inputs (2)'!$D$34:$AL$34,MATCH(O$7,'Inputs (2)'!$D$2:$AL$2,0))</f>
        <v>60.84167654</v>
      </c>
      <c r="P220" s="25">
        <f>INDEX('Inputs (2)'!$D$34:$AL$34,MATCH(P$7,'Inputs (2)'!$D$2:$AL$2,0))</f>
        <v>64.58381376</v>
      </c>
      <c r="Q220" s="25">
        <f>INDEX('Inputs (2)'!$D$34:$AL$34,MATCH(Q$7,'Inputs (2)'!$D$2:$AL$2,0))</f>
        <v>59.546</v>
      </c>
      <c r="R220" s="3">
        <f>Q220</f>
        <v>59.546</v>
      </c>
      <c r="S220" s="25">
        <f>INDEX('Inputs (2)'!$D$34:$AL$34,MATCH(S$7,'Inputs (2)'!$D$2:$AL$2,0))</f>
        <v>67.47</v>
      </c>
      <c r="T220" s="25">
        <f>INDEX('Inputs (2)'!$D$34:$AL$34,MATCH(T$7,'Inputs (2)'!$D$2:$AL$2,0))</f>
        <v>68.00782477</v>
      </c>
      <c r="U220" s="25">
        <f>INDEX('Inputs (2)'!$D$34:$AL$34,MATCH(U$7,'Inputs (2)'!$D$2:$AL$2,0))</f>
        <v>70.19288521</v>
      </c>
      <c r="V220" s="25">
        <f>INDEX('Inputs (2)'!$D$34:$AL$34,MATCH(V$7,'Inputs (2)'!$D$2:$AL$2,0))</f>
        <v>70.05908533</v>
      </c>
      <c r="W220" s="3">
        <f>V220</f>
        <v>70.05908533</v>
      </c>
      <c r="X220" s="25">
        <f>INDEX('Inputs (2)'!$D$34:$AL$34,MATCH(X$7,'Inputs (2)'!$D$2:$AL$2,0))</f>
        <v>67.47443166</v>
      </c>
      <c r="Y220" s="25">
        <f>INDEX('Inputs (2)'!$D$34:$AL$34,MATCH(Y$7,'Inputs (2)'!$D$2:$AL$2,0))</f>
        <v>68.40382885</v>
      </c>
      <c r="Z220" s="25">
        <f>INDEX('Inputs (2)'!$D$34:$AL$34,MATCH(Z$7,'Inputs (2)'!$D$2:$AL$2,0))</f>
        <v>94.63792474</v>
      </c>
      <c r="AA220" s="25">
        <f>INDEX('Inputs (2)'!$D$34:$AL$34,MATCH(AA$7,'Inputs (2)'!$D$2:$AL$2,0))</f>
        <v>88.0694388</v>
      </c>
      <c r="AB220" s="3">
        <f>AA220</f>
        <v>88.0694388</v>
      </c>
      <c r="AC220" s="25">
        <f>INDEX('Inputs (2)'!$D$34:$AL$34,MATCH(AC$7,'Inputs (2)'!$D$2:$AL$2,0))</f>
        <v>85.53912428</v>
      </c>
      <c r="AD220" s="25">
        <f>INDEX('Inputs (2)'!$D$34:$AL$34,MATCH(AD$7,'Inputs (2)'!$D$2:$AL$2,0))</f>
        <v>85.18205603</v>
      </c>
      <c r="AE220" s="25">
        <f>INDEX('Inputs (2)'!$D$34:$AL$34,MATCH(AE$7,'Inputs (2)'!$D$2:$AL$2,0))</f>
        <v>82.191</v>
      </c>
      <c r="AF220" s="25">
        <f>INDEX('Inputs (2)'!$D$34:$AL$34,MATCH(AF$7,'Inputs (2)'!$D$2:$AL$2,0))</f>
        <v>83.18638845</v>
      </c>
      <c r="AG220" s="3">
        <f>AF220</f>
        <v>83.18638845</v>
      </c>
      <c r="AH220" s="3">
        <f>INDEX('Inputs (2)'!$D$34:$AL$34,MATCH(AH$7,'Inputs (2)'!$D$2:$AL$2,0))</f>
        <v>83.3072542</v>
      </c>
      <c r="AI220" s="3">
        <f>INDEX('Inputs (2)'!$D$34:$AL$34,MATCH(AI$7,'Inputs (2)'!$D$2:$AL$2,0))</f>
        <v>83.72235324</v>
      </c>
      <c r="AJ220" s="3">
        <f>AI220</f>
        <v>83.72235324</v>
      </c>
      <c r="AK220" s="3">
        <f>AJ220</f>
        <v>83.72235324</v>
      </c>
      <c r="AL220" s="3">
        <f>AK220</f>
        <v>83.72235324</v>
      </c>
      <c r="AM220" s="3">
        <f>AL220</f>
        <v>83.72235324</v>
      </c>
      <c r="AN220" s="3">
        <f>AM220</f>
        <v>83.72235324</v>
      </c>
      <c r="AO220" s="3">
        <f>AN220</f>
        <v>83.72235324</v>
      </c>
      <c r="AP220" s="3">
        <f>AO220</f>
        <v>83.72235324</v>
      </c>
      <c r="AQ220" s="3">
        <f>AP220</f>
        <v>83.72235324</v>
      </c>
      <c r="AR220" s="3">
        <f>AQ220</f>
        <v>83.72235324</v>
      </c>
      <c r="AS220" s="3">
        <f>AR220</f>
        <v>83.72235324</v>
      </c>
      <c r="AT220" s="3">
        <f>AS220</f>
        <v>83.72235324</v>
      </c>
      <c r="AU220" s="3">
        <f>AT220</f>
        <v>83.72235324</v>
      </c>
      <c r="AV220" s="3">
        <f>AU220</f>
        <v>83.72235324</v>
      </c>
      <c r="AW220" s="3">
        <f>AV220</f>
        <v>83.72235324</v>
      </c>
      <c r="AX220" s="3">
        <f>AW220</f>
        <v>83.72235324</v>
      </c>
      <c r="AY220" s="3">
        <f>AX220</f>
        <v>83.72235324</v>
      </c>
      <c r="AZ220" s="3">
        <f>AY220</f>
        <v>83.72235324</v>
      </c>
      <c r="BA220" s="3">
        <f>AZ220</f>
        <v>83.72235324</v>
      </c>
      <c r="BB220" s="3">
        <f>BA220</f>
        <v>83.72235324</v>
      </c>
      <c r="BC220" s="3">
        <f>BB220</f>
        <v>83.72235324</v>
      </c>
      <c r="BD220" s="3">
        <f>BC220</f>
        <v>83.72235324</v>
      </c>
      <c r="BE220" s="3">
        <f>BD220</f>
        <v>83.72235324</v>
      </c>
      <c r="BF220" s="3">
        <f>BE220</f>
        <v>83.72235324</v>
      </c>
      <c r="BG220" s="3">
        <f>BF220</f>
        <v>83.72235324</v>
      </c>
      <c r="BH220" s="3">
        <f>BG220</f>
        <v>83.72235324</v>
      </c>
      <c r="BI220" s="3">
        <f>BH220</f>
        <v>83.72235324</v>
      </c>
      <c r="BJ220" s="3">
        <f>BI220</f>
        <v>83.72235324</v>
      </c>
      <c r="BK220" s="3">
        <f>BJ220</f>
        <v>83.72235324</v>
      </c>
      <c r="BL220" s="3">
        <f>BK220</f>
        <v>83.72235324</v>
      </c>
      <c r="BM220" s="3">
        <f>BL220</f>
        <v>83.72235324</v>
      </c>
      <c r="BN220" s="3">
        <f>BM220</f>
        <v>83.72235324</v>
      </c>
      <c r="BO220" s="3">
        <f>BN220</f>
        <v>83.72235324</v>
      </c>
      <c r="BP220" s="3">
        <f>BO220</f>
        <v>83.72235324</v>
      </c>
      <c r="BQ220" s="3">
        <f>BP220</f>
        <v>83.72235324</v>
      </c>
      <c r="BR220" s="3">
        <f>BQ220</f>
        <v>83.72235324</v>
      </c>
      <c r="BS220" s="3">
        <f>BR220</f>
        <v>83.72235324</v>
      </c>
      <c r="BT220" s="3">
        <f>BS220</f>
        <v>83.72235324</v>
      </c>
      <c r="BU220" s="3">
        <f>BT220</f>
        <v>83.72235324</v>
      </c>
      <c r="BV220" s="3">
        <f>BU220</f>
        <v>83.72235324</v>
      </c>
      <c r="BW220" s="3">
        <f>BV220</f>
        <v>83.72235324</v>
      </c>
      <c r="BX220" s="3">
        <f>BW220</f>
        <v>83.72235324</v>
      </c>
      <c r="BY220" s="3">
        <f>BX220</f>
        <v>83.72235324</v>
      </c>
      <c r="BZ220" s="3">
        <f>BY220</f>
        <v>83.72235324</v>
      </c>
      <c r="CA220" s="3">
        <f>BZ220</f>
        <v>83.72235324</v>
      </c>
      <c r="CB220" s="3">
        <f>CA220</f>
        <v>83.72235324</v>
      </c>
      <c r="CC220" s="3">
        <f>CB220</f>
        <v>83.72235324</v>
      </c>
      <c r="CD220" s="3">
        <f>CC220</f>
        <v>83.72235324</v>
      </c>
      <c r="CE220" s="3">
        <f>CD220</f>
        <v>83.72235324</v>
      </c>
      <c r="CF220" s="3">
        <f>CE220</f>
        <v>83.72235324</v>
      </c>
      <c r="CG220" s="3">
        <f>CF220</f>
        <v>83.72235324</v>
      </c>
      <c r="CH220" s="3">
        <f>CG220</f>
        <v>83.72235324</v>
      </c>
      <c r="CI220" s="3">
        <f>CH220</f>
        <v>83.72235324</v>
      </c>
      <c r="CJ220" s="3">
        <f>CI220</f>
        <v>83.72235324</v>
      </c>
      <c r="CK220" s="3">
        <f>CJ220</f>
        <v>83.72235324</v>
      </c>
      <c r="CL220" s="3">
        <f>CK220</f>
        <v>83.72235324</v>
      </c>
      <c r="CM220" s="3">
        <f>CL220</f>
        <v>83.72235324</v>
      </c>
      <c r="CN220" s="3">
        <f>CM220</f>
        <v>83.72235324</v>
      </c>
      <c r="CO220" s="3">
        <f>CN220</f>
        <v>83.72235324</v>
      </c>
      <c r="CP220" s="3">
        <f>CO220</f>
        <v>83.72235324</v>
      </c>
      <c r="CQ220" s="3">
        <f>CP220</f>
        <v>83.72235324</v>
      </c>
      <c r="CR220" s="3">
        <f>CQ220</f>
        <v>83.72235324</v>
      </c>
      <c r="CS220" s="3">
        <f>CR220</f>
        <v>83.72235324</v>
      </c>
      <c r="CT220" s="3">
        <f>CS220</f>
        <v>83.72235324</v>
      </c>
      <c r="CU220" s="3">
        <f>CT220</f>
        <v>83.72235324</v>
      </c>
      <c r="CV220" s="3">
        <f>CU220</f>
        <v>83.72235324</v>
      </c>
      <c r="CW220" s="3">
        <f>CV220</f>
        <v>83.72235324</v>
      </c>
      <c r="CX220" s="3">
        <f>CW220</f>
        <v>83.72235324</v>
      </c>
      <c r="CY220" s="3">
        <f>CX220</f>
        <v>83.72235324</v>
      </c>
    </row>
    <row r="221" hidden="1" outlineLevel="1">
      <c r="C221" s="38" t="inlineStr">
        <is>
          <t>%(Var.)</t>
        </is>
      </c>
      <c r="D221" s="3" t="n"/>
      <c r="E221" s="47">
        <f>IFERROR((E220-D220)/D220,0)</f>
        <v>0.0385817577838651</v>
      </c>
      <c r="F221" s="47">
        <f>IFERROR((F220-E220)/E220,0)</f>
        <v>0.0701001901757826</v>
      </c>
      <c r="G221" s="47">
        <f>IFERROR((G220-F220)/F220,0)</f>
        <v>0.387035390624933</v>
      </c>
      <c r="H221" s="3" t="n"/>
      <c r="I221" s="47">
        <f>IFERROR((I220-H220)/H220,0)</f>
        <v>0.117143853743107</v>
      </c>
      <c r="J221" s="47">
        <f>IFERROR((J220-I220)/I220,0)</f>
        <v>0.269593401756019</v>
      </c>
      <c r="K221" s="47">
        <f>IFERROR((K220-J220)/J220,0)</f>
        <v>-0.16114801017993</v>
      </c>
      <c r="L221" s="47">
        <f>IFERROR((L220-K220)/K220,0)</f>
        <v>0.260491561937764</v>
      </c>
      <c r="M221" s="3" t="n"/>
      <c r="N221" s="47">
        <f>IFERROR((N220-M220)/M220,0)</f>
        <v>-0.0579885386163888</v>
      </c>
      <c r="O221" s="47">
        <f>IFERROR((O220-N220)/N220,0)</f>
        <v>0.0778914614142033</v>
      </c>
      <c r="P221" s="47">
        <f>IFERROR((P220-O220)/O220,0)</f>
        <v>0.0615061489559669</v>
      </c>
      <c r="Q221" s="47">
        <f>IFERROR((Q220-P220)/P220,0)</f>
        <v>-0.0780042779560994</v>
      </c>
      <c r="R221" s="3" t="n"/>
      <c r="S221" s="47">
        <f>IFERROR((S220-R220)/R220,0)</f>
        <v>0.133073590165586</v>
      </c>
      <c r="T221" s="47">
        <f>IFERROR((T220-S220)/S220,0)</f>
        <v>0.00797131717800504</v>
      </c>
      <c r="U221" s="47">
        <f>IFERROR((U220-T220)/T220,0)</f>
        <v>0.0321295446132825</v>
      </c>
      <c r="V221" s="47">
        <f>IFERROR((V220-U220)/U220,0)</f>
        <v>-0.00190617438789865</v>
      </c>
      <c r="W221" s="3" t="n"/>
      <c r="X221" s="47">
        <f>IFERROR((X220-W220)/W220,0)</f>
        <v>-0.0368924837917234</v>
      </c>
      <c r="Y221" s="47">
        <f>IFERROR((Y220-X220)/X220,0)</f>
        <v>0.013774064740303</v>
      </c>
      <c r="Z221" s="47">
        <f>IFERROR((Z220-Y220)/Y220,0)</f>
        <v>0.383517945282386</v>
      </c>
      <c r="AA221" s="47">
        <f>IFERROR((AA220-Z220)/Z220,0)</f>
        <v>-0.0694064874947935</v>
      </c>
      <c r="AB221" s="3" t="n"/>
      <c r="AC221" s="47">
        <f>IFERROR((AC220-AB220)/AB220,0)</f>
        <v>-0.0287309031881783</v>
      </c>
      <c r="AD221" s="47">
        <f>IFERROR((AD220-AC220)/AC220,0)</f>
        <v>-0.00417432669559705</v>
      </c>
      <c r="AE221" s="47">
        <f>IFERROR((AE220-AD220)/AD220,0)</f>
        <v>-0.0351136867246618</v>
      </c>
      <c r="AF221" s="6">
        <f>IFERROR((AF220-AE220)/AE220,0)</f>
        <v>0.0121106745264079</v>
      </c>
      <c r="AG221" s="3" t="n"/>
      <c r="AH221" s="6">
        <f>IFERROR((AH220-AG220)/AG220,0)</f>
        <v>0.00145295104466105</v>
      </c>
      <c r="AI221" s="6">
        <f>IFERROR((AI220-AH220)/AH220,0)</f>
        <v>0.00498274782894015</v>
      </c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debt</t>
        </is>
      </c>
      <c r="D223" s="25">
        <f>INDEX('Inputs (2)'!$D$35:$AL$35,MATCH(D$7,'Inputs (2)'!$D$2:$AL$2,0))</f>
        <v>62.667</v>
      </c>
      <c r="E223" s="25">
        <f>INDEX('Inputs (2)'!$D$35:$AL$35,MATCH(E$7,'Inputs (2)'!$D$2:$AL$2,0))</f>
        <v>17.5</v>
      </c>
      <c r="F223" s="25">
        <f>INDEX('Inputs (2)'!$D$35:$AL$35,MATCH(F$7,'Inputs (2)'!$D$2:$AL$2,0))</f>
        <v>55</v>
      </c>
      <c r="G223" s="25">
        <f>INDEX('Inputs (2)'!$D$35:$AL$35,MATCH(G$7,'Inputs (2)'!$D$2:$AL$2,0))</f>
        <v>112.5</v>
      </c>
      <c r="H223" s="3">
        <f>G223</f>
        <v>112.5</v>
      </c>
      <c r="I223" s="25">
        <f>INDEX('Inputs (2)'!$D$35:$AL$35,MATCH(I$7,'Inputs (2)'!$D$2:$AL$2,0))</f>
        <v>233.35878587</v>
      </c>
      <c r="J223" s="25">
        <f>INDEX('Inputs (2)'!$D$35:$AL$35,MATCH(J$7,'Inputs (2)'!$D$2:$AL$2,0))</f>
        <v>174.01285183</v>
      </c>
      <c r="K223" s="25">
        <f>INDEX('Inputs (2)'!$D$35:$AL$35,MATCH(K$7,'Inputs (2)'!$D$2:$AL$2,0))</f>
        <v>135.88255549</v>
      </c>
      <c r="L223" s="25">
        <f>INDEX('Inputs (2)'!$D$35:$AL$35,MATCH(L$7,'Inputs (2)'!$D$2:$AL$2,0))</f>
        <v>164.03672818</v>
      </c>
      <c r="M223" s="3">
        <f>L223</f>
        <v>164.03672818</v>
      </c>
      <c r="N223" s="25">
        <f>INDEX('Inputs (2)'!$D$35:$AL$35,MATCH(N$7,'Inputs (2)'!$D$2:$AL$2,0))</f>
        <v>133.86416949</v>
      </c>
      <c r="O223" s="25">
        <f>INDEX('Inputs (2)'!$D$35:$AL$35,MATCH(O$7,'Inputs (2)'!$D$2:$AL$2,0))</f>
        <v>118.27025729</v>
      </c>
      <c r="P223" s="25">
        <f>INDEX('Inputs (2)'!$D$35:$AL$35,MATCH(P$7,'Inputs (2)'!$D$2:$AL$2,0))</f>
        <v>159.79220919</v>
      </c>
      <c r="Q223" s="25">
        <f>INDEX('Inputs (2)'!$D$35:$AL$35,MATCH(Q$7,'Inputs (2)'!$D$2:$AL$2,0))</f>
        <v>108.186</v>
      </c>
      <c r="R223" s="3">
        <f>Q223</f>
        <v>108.186</v>
      </c>
      <c r="S223" s="25">
        <f>INDEX('Inputs (2)'!$D$35:$AL$35,MATCH(S$7,'Inputs (2)'!$D$2:$AL$2,0))</f>
        <v>120</v>
      </c>
      <c r="T223" s="25">
        <f>INDEX('Inputs (2)'!$D$35:$AL$35,MATCH(T$7,'Inputs (2)'!$D$2:$AL$2,0))</f>
        <v>119.99999997</v>
      </c>
      <c r="U223" s="25">
        <f>INDEX('Inputs (2)'!$D$35:$AL$35,MATCH(U$7,'Inputs (2)'!$D$2:$AL$2,0))</f>
        <v>132.60442724</v>
      </c>
      <c r="V223" s="25">
        <f>INDEX('Inputs (2)'!$D$35:$AL$35,MATCH(V$7,'Inputs (2)'!$D$2:$AL$2,0))</f>
        <v>160.00000048</v>
      </c>
      <c r="W223" s="3">
        <f>V223</f>
        <v>160.00000048</v>
      </c>
      <c r="X223" s="25">
        <f>INDEX('Inputs (2)'!$D$35:$AL$35,MATCH(X$7,'Inputs (2)'!$D$2:$AL$2,0))</f>
        <v>100.00000049</v>
      </c>
      <c r="Y223" s="25">
        <f>INDEX('Inputs (2)'!$D$35:$AL$35,MATCH(Y$7,'Inputs (2)'!$D$2:$AL$2,0))</f>
        <v>107.55898797</v>
      </c>
      <c r="Z223" s="25">
        <f>INDEX('Inputs (2)'!$D$35:$AL$35,MATCH(Z$7,'Inputs (2)'!$D$2:$AL$2,0))</f>
        <v>90</v>
      </c>
      <c r="AA223" s="25">
        <f>INDEX('Inputs (2)'!$D$35:$AL$35,MATCH(AA$7,'Inputs (2)'!$D$2:$AL$2,0))</f>
        <v>285.19105128</v>
      </c>
      <c r="AB223" s="3">
        <f>AA223</f>
        <v>285.19105128</v>
      </c>
      <c r="AC223" s="25">
        <f>INDEX('Inputs (2)'!$D$35:$AL$35,MATCH(AC$7,'Inputs (2)'!$D$2:$AL$2,0))</f>
        <v>328.31122549</v>
      </c>
      <c r="AD223" s="25">
        <f>INDEX('Inputs (2)'!$D$35:$AL$35,MATCH(AD$7,'Inputs (2)'!$D$2:$AL$2,0))</f>
        <v>316.8243912</v>
      </c>
      <c r="AE223" s="25">
        <f>INDEX('Inputs (2)'!$D$35:$AL$35,MATCH(AE$7,'Inputs (2)'!$D$2:$AL$2,0))</f>
        <v>508.994</v>
      </c>
      <c r="AF223" s="25">
        <f>INDEX('Inputs (2)'!$D$35:$AL$35,MATCH(AF$7,'Inputs (2)'!$D$2:$AL$2,0))</f>
        <v>298.30286383</v>
      </c>
      <c r="AG223" s="3">
        <f>AF223</f>
        <v>298.30286383</v>
      </c>
      <c r="AH223" s="3">
        <f>INDEX('Inputs (2)'!$D$35:$AL$35,MATCH(AH$7,'Inputs (2)'!$D$2:$AL$2,0))</f>
        <v>298.39378183</v>
      </c>
      <c r="AI223" s="3">
        <f>INDEX('Inputs (2)'!$D$35:$AL$35,MATCH(AI$7,'Inputs (2)'!$D$2:$AL$2,0))</f>
        <v>298.48469983</v>
      </c>
      <c r="AJ223" s="3">
        <f>AJ229</f>
        <v>298.48469983</v>
      </c>
      <c r="AK223" s="3">
        <f>AK229</f>
        <v>298.48469983</v>
      </c>
      <c r="AL223" s="3">
        <f>AK223</f>
        <v>298.48469983</v>
      </c>
      <c r="AM223" s="3">
        <f>AM229</f>
        <v>298.48469983</v>
      </c>
      <c r="AN223" s="3">
        <f>AN229</f>
        <v>298.48469983</v>
      </c>
      <c r="AO223" s="3">
        <f>AO229</f>
        <v>298.48469983</v>
      </c>
      <c r="AP223" s="3">
        <f>AP229</f>
        <v>298.48469983</v>
      </c>
      <c r="AQ223" s="3">
        <f>AP223</f>
        <v>298.48469983</v>
      </c>
      <c r="AR223" s="3">
        <f>AR229</f>
        <v>298.48469983</v>
      </c>
      <c r="AS223" s="3">
        <f>AS229</f>
        <v>298.48469983</v>
      </c>
      <c r="AT223" s="3">
        <f>AT229</f>
        <v>298.48469983</v>
      </c>
      <c r="AU223" s="3">
        <f>AU229</f>
        <v>298.48469983</v>
      </c>
      <c r="AV223" s="3">
        <f>AU223</f>
        <v>298.48469983</v>
      </c>
      <c r="AW223" s="3">
        <f>AW229</f>
        <v>298.48469983</v>
      </c>
      <c r="AX223" s="3">
        <f>AX229</f>
        <v>298.48469983</v>
      </c>
      <c r="AY223" s="3">
        <f>AY229</f>
        <v>298.48469983</v>
      </c>
      <c r="AZ223" s="3">
        <f>AZ229</f>
        <v>298.48469983</v>
      </c>
      <c r="BA223" s="3">
        <f>AZ223</f>
        <v>298.48469983</v>
      </c>
      <c r="BB223" s="3">
        <f>BB229</f>
        <v>298.48469983</v>
      </c>
      <c r="BC223" s="3">
        <f>BC229</f>
        <v>298.48469983</v>
      </c>
      <c r="BD223" s="3">
        <f>BD229</f>
        <v>298.48469983</v>
      </c>
      <c r="BE223" s="3">
        <f>BE229</f>
        <v>298.48469983</v>
      </c>
      <c r="BF223" s="3">
        <f>BE223</f>
        <v>298.48469983</v>
      </c>
      <c r="BG223" s="3">
        <f>BG229</f>
        <v>298.48469983</v>
      </c>
      <c r="BH223" s="3">
        <f>BH229</f>
        <v>298.48469983</v>
      </c>
      <c r="BI223" s="3">
        <f>BI229</f>
        <v>298.48469983</v>
      </c>
      <c r="BJ223" s="3">
        <f>BJ229</f>
        <v>298.48469983</v>
      </c>
      <c r="BK223" s="3">
        <f>BJ223</f>
        <v>298.48469983</v>
      </c>
      <c r="BL223" s="3">
        <f>BL229</f>
        <v>298.48469983</v>
      </c>
      <c r="BM223" s="3">
        <f>BM229</f>
        <v>298.48469983</v>
      </c>
      <c r="BN223" s="3">
        <f>BN229</f>
        <v>298.48469983</v>
      </c>
      <c r="BO223" s="3">
        <f>BO229</f>
        <v>298.48469983</v>
      </c>
      <c r="BP223" s="3">
        <f>BO223</f>
        <v>298.48469983</v>
      </c>
      <c r="BQ223" s="3">
        <f>BQ229</f>
        <v>298.48469983</v>
      </c>
      <c r="BR223" s="3">
        <f>BR229</f>
        <v>298.48469983</v>
      </c>
      <c r="BS223" s="3">
        <f>BS229</f>
        <v>298.48469983</v>
      </c>
      <c r="BT223" s="3">
        <f>BT229</f>
        <v>298.48469983</v>
      </c>
      <c r="BU223" s="3">
        <f>BT223</f>
        <v>298.48469983</v>
      </c>
      <c r="BV223" s="3">
        <f>BV229</f>
        <v>298.48469983</v>
      </c>
      <c r="BW223" s="3">
        <f>BW229</f>
        <v>298.48469983</v>
      </c>
      <c r="BX223" s="3">
        <f>BX229</f>
        <v>298.48469983</v>
      </c>
      <c r="BY223" s="3">
        <f>BY229</f>
        <v>298.48469983</v>
      </c>
      <c r="BZ223" s="3">
        <f>BY223</f>
        <v>298.48469983</v>
      </c>
      <c r="CA223" s="3">
        <f>CA229</f>
        <v>298.48469983</v>
      </c>
      <c r="CB223" s="3">
        <f>CB229</f>
        <v>298.48469983</v>
      </c>
      <c r="CC223" s="3">
        <f>CC229</f>
        <v>298.48469983</v>
      </c>
      <c r="CD223" s="3">
        <f>CD229</f>
        <v>298.48469983</v>
      </c>
      <c r="CE223" s="3">
        <f>CD223</f>
        <v>298.48469983</v>
      </c>
      <c r="CF223" s="3">
        <f>CF229</f>
        <v>298.48469983</v>
      </c>
      <c r="CG223" s="3">
        <f>CG229</f>
        <v>298.48469983</v>
      </c>
      <c r="CH223" s="3">
        <f>CH229</f>
        <v>298.48469983</v>
      </c>
      <c r="CI223" s="3">
        <f>CI229</f>
        <v>298.48469983</v>
      </c>
      <c r="CJ223" s="3">
        <f>CI223</f>
        <v>298.48469983</v>
      </c>
      <c r="CK223" s="3">
        <f>CK229</f>
        <v>298.48469983</v>
      </c>
      <c r="CL223" s="3">
        <f>CL229</f>
        <v>298.48469983</v>
      </c>
      <c r="CM223" s="3">
        <f>CM229</f>
        <v>298.48469983</v>
      </c>
      <c r="CN223" s="3">
        <f>CN229</f>
        <v>298.48469983</v>
      </c>
      <c r="CO223" s="3">
        <f>CN223</f>
        <v>298.48469983</v>
      </c>
      <c r="CP223" s="3">
        <f>CP229</f>
        <v>298.48469983</v>
      </c>
      <c r="CQ223" s="3">
        <f>CQ229</f>
        <v>298.48469983</v>
      </c>
      <c r="CR223" s="3">
        <f>CR229</f>
        <v>298.48469983</v>
      </c>
      <c r="CS223" s="3">
        <f>CS229</f>
        <v>298.48469983</v>
      </c>
      <c r="CT223" s="3">
        <f>CS223</f>
        <v>298.48469983</v>
      </c>
      <c r="CU223" s="3">
        <f>CU229</f>
        <v>298.48469983</v>
      </c>
      <c r="CV223" s="3">
        <f>CV229</f>
        <v>298.48469983</v>
      </c>
      <c r="CW223" s="3">
        <f>CW229</f>
        <v>298.48469983</v>
      </c>
      <c r="CX223" s="3">
        <f>CX229</f>
        <v>298.48469983</v>
      </c>
      <c r="CY223" s="3">
        <f>CX223</f>
        <v>298.48469983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Current portion of LTD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>
        <f>AF218</f>
        <v>252.06949587</v>
      </c>
      <c r="AI225" s="35" t="n"/>
      <c r="AJ225" s="35" t="n"/>
      <c r="AK225" s="35" t="n"/>
      <c r="AL225" s="3" t="n"/>
      <c r="AM225" s="3">
        <f>AK218</f>
        <v>237.72193538</v>
      </c>
      <c r="AN225" s="35" t="n"/>
      <c r="AO225" s="35" t="n"/>
      <c r="AP225" s="35" t="n"/>
      <c r="AQ225" s="3" t="n"/>
      <c r="AR225" s="3">
        <f>AP218</f>
        <v>237.72193538</v>
      </c>
      <c r="AS225" s="35" t="n"/>
      <c r="AT225" s="35" t="n"/>
      <c r="AU225" s="35" t="n"/>
      <c r="AV225" s="3" t="n"/>
      <c r="AW225" s="3">
        <f>AU218</f>
        <v>237.72193538</v>
      </c>
      <c r="AX225" s="35" t="n"/>
      <c r="AY225" s="35" t="n"/>
      <c r="AZ225" s="35" t="n"/>
      <c r="BA225" s="3" t="n"/>
      <c r="BB225" s="3">
        <f>AZ218</f>
        <v>237.72193538</v>
      </c>
      <c r="BC225" s="35" t="n"/>
      <c r="BD225" s="35" t="n"/>
      <c r="BE225" s="35" t="n"/>
      <c r="BF225" s="3" t="n"/>
      <c r="BG225" s="3">
        <f>BE218</f>
        <v>237.72193538</v>
      </c>
      <c r="BH225" s="35" t="n"/>
      <c r="BI225" s="35" t="n"/>
      <c r="BJ225" s="35" t="n"/>
      <c r="BK225" s="3" t="n"/>
      <c r="BL225" s="3">
        <f>BJ218</f>
        <v>237.72193538</v>
      </c>
      <c r="BM225" s="35" t="n"/>
      <c r="BN225" s="35" t="n"/>
      <c r="BO225" s="35" t="n"/>
      <c r="BP225" s="3" t="n"/>
      <c r="BQ225" s="3">
        <f>BO218</f>
        <v>237.72193538</v>
      </c>
      <c r="BR225" s="35" t="n"/>
      <c r="BS225" s="35" t="n"/>
      <c r="BT225" s="35" t="n"/>
      <c r="BU225" s="3" t="n"/>
      <c r="BV225" s="3">
        <f>BT218</f>
        <v>237.72193538</v>
      </c>
      <c r="BW225" s="35" t="n"/>
      <c r="BX225" s="35" t="n"/>
      <c r="BY225" s="35" t="n"/>
      <c r="BZ225" s="3" t="n"/>
      <c r="CA225" s="3">
        <f>BY218</f>
        <v>237.72193538</v>
      </c>
      <c r="CB225" s="35" t="n"/>
      <c r="CC225" s="35" t="n"/>
      <c r="CD225" s="35" t="n"/>
      <c r="CE225" s="3" t="n"/>
      <c r="CF225" s="3">
        <f>CD218</f>
        <v>237.72193538</v>
      </c>
      <c r="CG225" s="35" t="n"/>
      <c r="CH225" s="35" t="n"/>
      <c r="CI225" s="35" t="n"/>
      <c r="CJ225" s="3" t="n"/>
      <c r="CK225" s="3">
        <f>CI218</f>
        <v>237.72193538</v>
      </c>
      <c r="CL225" s="35" t="n"/>
      <c r="CM225" s="35" t="n"/>
      <c r="CN225" s="35" t="n"/>
      <c r="CO225" s="3" t="n"/>
      <c r="CP225" s="3">
        <f>CN218</f>
        <v>237.72193538</v>
      </c>
      <c r="CQ225" s="35" t="n"/>
      <c r="CR225" s="35" t="n"/>
      <c r="CS225" s="35" t="n"/>
      <c r="CT225" s="3" t="n"/>
      <c r="CU225" s="3">
        <f>CS218</f>
        <v>237.72193538</v>
      </c>
      <c r="CV225" s="35" t="n"/>
      <c r="CW225" s="35" t="n"/>
      <c r="CX225" s="35" t="n"/>
      <c r="CY225" s="3" t="n"/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>Reclassification of LTD to CP of LTD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>
        <f>-AI225</f>
        <v>0</v>
      </c>
      <c r="AJ227" s="3">
        <f>-AJ225</f>
        <v>0</v>
      </c>
      <c r="AK227" s="3">
        <f>-AK225</f>
        <v>0</v>
      </c>
      <c r="AL227" s="3" t="n"/>
      <c r="AM227" s="3" t="n"/>
      <c r="AN227" s="3">
        <f>-AN225</f>
        <v>0</v>
      </c>
      <c r="AO227" s="3">
        <f>-AO225</f>
        <v>0</v>
      </c>
      <c r="AP227" s="3">
        <f>-AP225</f>
        <v>0</v>
      </c>
      <c r="AQ227" s="3" t="n"/>
      <c r="AR227" s="3" t="n"/>
      <c r="AS227" s="3">
        <f>-AS225</f>
        <v>0</v>
      </c>
      <c r="AT227" s="3">
        <f>-AT225</f>
        <v>0</v>
      </c>
      <c r="AU227" s="3">
        <f>-AU225</f>
        <v>0</v>
      </c>
      <c r="AV227" s="3" t="n"/>
      <c r="AW227" s="3" t="n"/>
      <c r="AX227" s="3">
        <f>-AX225</f>
        <v>0</v>
      </c>
      <c r="AY227" s="3">
        <f>-AY225</f>
        <v>0</v>
      </c>
      <c r="AZ227" s="3">
        <f>-AZ225</f>
        <v>0</v>
      </c>
      <c r="BA227" s="3" t="n"/>
      <c r="BB227" s="3" t="n"/>
      <c r="BC227" s="3">
        <f>-BC225</f>
        <v>0</v>
      </c>
      <c r="BD227" s="3">
        <f>-BD225</f>
        <v>0</v>
      </c>
      <c r="BE227" s="3">
        <f>-BE225</f>
        <v>0</v>
      </c>
      <c r="BF227" s="3" t="n"/>
      <c r="BG227" s="3" t="n"/>
      <c r="BH227" s="3">
        <f>-BH225</f>
        <v>0</v>
      </c>
      <c r="BI227" s="3">
        <f>-BI225</f>
        <v>0</v>
      </c>
      <c r="BJ227" s="3">
        <f>-BJ225</f>
        <v>0</v>
      </c>
      <c r="BK227" s="3" t="n"/>
      <c r="BL227" s="3" t="n"/>
      <c r="BM227" s="3">
        <f>-BM225</f>
        <v>0</v>
      </c>
      <c r="BN227" s="3">
        <f>-BN225</f>
        <v>0</v>
      </c>
      <c r="BO227" s="3">
        <f>-BO225</f>
        <v>0</v>
      </c>
      <c r="BP227" s="3" t="n"/>
      <c r="BQ227" s="3" t="n"/>
      <c r="BR227" s="3">
        <f>-BR225</f>
        <v>0</v>
      </c>
      <c r="BS227" s="3">
        <f>-BS225</f>
        <v>0</v>
      </c>
      <c r="BT227" s="3">
        <f>-BT225</f>
        <v>0</v>
      </c>
      <c r="BU227" s="3" t="n"/>
      <c r="BV227" s="3" t="n"/>
      <c r="BW227" s="3">
        <f>-BW225</f>
        <v>0</v>
      </c>
      <c r="BX227" s="3">
        <f>-BX225</f>
        <v>0</v>
      </c>
      <c r="BY227" s="3">
        <f>-BY225</f>
        <v>0</v>
      </c>
      <c r="BZ227" s="3" t="n"/>
      <c r="CA227" s="3" t="n"/>
      <c r="CB227" s="3">
        <f>-CB225</f>
        <v>0</v>
      </c>
      <c r="CC227" s="3">
        <f>-CC225</f>
        <v>0</v>
      </c>
      <c r="CD227" s="3">
        <f>-CD225</f>
        <v>0</v>
      </c>
      <c r="CE227" s="3" t="n"/>
      <c r="CF227" s="3" t="n"/>
      <c r="CG227" s="3">
        <f>-CG225</f>
        <v>0</v>
      </c>
      <c r="CH227" s="3">
        <f>-CH225</f>
        <v>0</v>
      </c>
      <c r="CI227" s="3">
        <f>-CI225</f>
        <v>0</v>
      </c>
      <c r="CJ227" s="3" t="n"/>
      <c r="CK227" s="3" t="n"/>
      <c r="CL227" s="3">
        <f>-CL225</f>
        <v>0</v>
      </c>
      <c r="CM227" s="3">
        <f>-CM225</f>
        <v>0</v>
      </c>
      <c r="CN227" s="3">
        <f>-CN225</f>
        <v>0</v>
      </c>
      <c r="CO227" s="3" t="n"/>
      <c r="CP227" s="3" t="n"/>
      <c r="CQ227" s="3">
        <f>-CQ225</f>
        <v>0</v>
      </c>
      <c r="CR227" s="3">
        <f>-CR225</f>
        <v>0</v>
      </c>
      <c r="CS227" s="3">
        <f>-CS225</f>
        <v>0</v>
      </c>
      <c r="CT227" s="3" t="n"/>
      <c r="CU227" s="3" t="n"/>
      <c r="CV227" s="3">
        <f>-CV225</f>
        <v>0</v>
      </c>
      <c r="CW227" s="3">
        <f>-CW225</f>
        <v>0</v>
      </c>
      <c r="CX227" s="3">
        <f>-CX225</f>
        <v>0</v>
      </c>
      <c r="CY227" s="3" t="n"/>
    </row>
    <row r="228" hidden="1" outlineLevel="1">
      <c r="C228" s="34" t="inlineStr">
        <is>
          <t>Discretionary (paydown)/borrowing of long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5" t="n"/>
      <c r="AI228" s="35" t="n"/>
      <c r="AJ228" s="35" t="n"/>
      <c r="AK228" s="35" t="n"/>
      <c r="AL228" s="3" t="n"/>
      <c r="AM228" s="35" t="n"/>
      <c r="AN228" s="35" t="n"/>
      <c r="AO228" s="35" t="n"/>
      <c r="AP228" s="35" t="n"/>
      <c r="AQ228" s="3" t="n"/>
      <c r="AR228" s="35" t="n"/>
      <c r="AS228" s="35" t="n"/>
      <c r="AT228" s="35" t="n"/>
      <c r="AU228" s="35" t="n"/>
      <c r="AV228" s="3" t="n"/>
      <c r="AW228" s="35" t="n"/>
      <c r="AX228" s="35" t="n"/>
      <c r="AY228" s="35" t="n"/>
      <c r="AZ228" s="35" t="n"/>
      <c r="BA228" s="3" t="n"/>
      <c r="BB228" s="35" t="n"/>
      <c r="BC228" s="35" t="n"/>
      <c r="BD228" s="35" t="n"/>
      <c r="BE228" s="35" t="n"/>
      <c r="BF228" s="3" t="n"/>
      <c r="BG228" s="35" t="n"/>
      <c r="BH228" s="35" t="n"/>
      <c r="BI228" s="35" t="n"/>
      <c r="BJ228" s="35" t="n"/>
      <c r="BK228" s="3" t="n"/>
      <c r="BL228" s="35" t="n"/>
      <c r="BM228" s="35" t="n"/>
      <c r="BN228" s="35" t="n"/>
      <c r="BO228" s="35" t="n"/>
      <c r="BP228" s="3" t="n"/>
      <c r="BQ228" s="35" t="n"/>
      <c r="BR228" s="35" t="n"/>
      <c r="BS228" s="35" t="n"/>
      <c r="BT228" s="35" t="n"/>
      <c r="BU228" s="3" t="n"/>
      <c r="BV228" s="35" t="n"/>
      <c r="BW228" s="35" t="n"/>
      <c r="BX228" s="35" t="n"/>
      <c r="BY228" s="35" t="n"/>
      <c r="BZ228" s="3" t="n"/>
      <c r="CA228" s="35" t="n"/>
      <c r="CB228" s="35" t="n"/>
      <c r="CC228" s="35" t="n"/>
      <c r="CD228" s="35" t="n"/>
      <c r="CE228" s="3" t="n"/>
      <c r="CF228" s="35" t="n"/>
      <c r="CG228" s="35" t="n"/>
      <c r="CH228" s="35" t="n"/>
      <c r="CI228" s="35" t="n"/>
      <c r="CJ228" s="3" t="n"/>
      <c r="CK228" s="35" t="n"/>
      <c r="CL228" s="35" t="n"/>
      <c r="CM228" s="35" t="n"/>
      <c r="CN228" s="35" t="n"/>
      <c r="CO228" s="3" t="n"/>
      <c r="CP228" s="35" t="n"/>
      <c r="CQ228" s="35" t="n"/>
      <c r="CR228" s="35" t="n"/>
      <c r="CS228" s="35" t="n"/>
      <c r="CT228" s="3" t="n"/>
      <c r="CU228" s="35" t="n"/>
      <c r="CV228" s="35" t="n"/>
      <c r="CW228" s="35" t="n"/>
      <c r="CX228" s="35" t="n"/>
      <c r="CY228" s="3" t="n"/>
    </row>
    <row r="229" hidden="1" outlineLevel="1">
      <c r="C229" s="34" t="inlineStr">
        <is>
          <t>Long term debt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>
        <f>AF223+SUM(AH227:AH228)</f>
        <v>298.30286383</v>
      </c>
      <c r="AI229" s="3">
        <f>AH229+SUM(AI227:AI228)</f>
        <v>298.30286383</v>
      </c>
      <c r="AJ229" s="3">
        <f>AI223+SUM(AJ227:AJ228)</f>
        <v>298.48469983</v>
      </c>
      <c r="AK229" s="3">
        <f>AJ229+SUM(AK227:AK228)</f>
        <v>298.48469983</v>
      </c>
      <c r="AL229" s="3" t="n"/>
      <c r="AM229" s="3">
        <f>AK229+SUM(AM227:AM228)</f>
        <v>298.48469983</v>
      </c>
      <c r="AN229" s="3">
        <f>AM229+SUM(AN227:AN228)</f>
        <v>298.48469983</v>
      </c>
      <c r="AO229" s="3">
        <f>AN229+SUM(AO227:AO228)</f>
        <v>298.48469983</v>
      </c>
      <c r="AP229" s="3">
        <f>AO229+SUM(AP227:AP228)</f>
        <v>298.48469983</v>
      </c>
      <c r="AQ229" s="3" t="n"/>
      <c r="AR229" s="3">
        <f>AP229+SUM(AR227:AR228)</f>
        <v>298.48469983</v>
      </c>
      <c r="AS229" s="3">
        <f>AR229+SUM(AS227:AS228)</f>
        <v>298.48469983</v>
      </c>
      <c r="AT229" s="3">
        <f>AS229+SUM(AT227:AT228)</f>
        <v>298.48469983</v>
      </c>
      <c r="AU229" s="3">
        <f>AT229+SUM(AU227:AU228)</f>
        <v>298.48469983</v>
      </c>
      <c r="AV229" s="3" t="n"/>
      <c r="AW229" s="3">
        <f>AU229+SUM(AW227:AW228)</f>
        <v>298.48469983</v>
      </c>
      <c r="AX229" s="3">
        <f>AW229+SUM(AX227:AX228)</f>
        <v>298.48469983</v>
      </c>
      <c r="AY229" s="3">
        <f>AX229+SUM(AY227:AY228)</f>
        <v>298.48469983</v>
      </c>
      <c r="AZ229" s="3">
        <f>AY229+SUM(AZ227:AZ228)</f>
        <v>298.48469983</v>
      </c>
      <c r="BA229" s="3" t="n"/>
      <c r="BB229" s="3">
        <f>AZ229+SUM(BB227:BB228)</f>
        <v>298.48469983</v>
      </c>
      <c r="BC229" s="3">
        <f>BB229+SUM(BC227:BC228)</f>
        <v>298.48469983</v>
      </c>
      <c r="BD229" s="3">
        <f>BC229+SUM(BD227:BD228)</f>
        <v>298.48469983</v>
      </c>
      <c r="BE229" s="3">
        <f>BD229+SUM(BE227:BE228)</f>
        <v>298.48469983</v>
      </c>
      <c r="BF229" s="3" t="n"/>
      <c r="BG229" s="3">
        <f>BE229+SUM(BG227:BG228)</f>
        <v>298.48469983</v>
      </c>
      <c r="BH229" s="3">
        <f>BG229+SUM(BH227:BH228)</f>
        <v>298.48469983</v>
      </c>
      <c r="BI229" s="3">
        <f>BH229+SUM(BI227:BI228)</f>
        <v>298.48469983</v>
      </c>
      <c r="BJ229" s="3">
        <f>BI229+SUM(BJ227:BJ228)</f>
        <v>298.48469983</v>
      </c>
      <c r="BK229" s="3" t="n"/>
      <c r="BL229" s="3">
        <f>BJ229+SUM(BL227:BL228)</f>
        <v>298.48469983</v>
      </c>
      <c r="BM229" s="3">
        <f>BL229+SUM(BM227:BM228)</f>
        <v>298.48469983</v>
      </c>
      <c r="BN229" s="3">
        <f>BM229+SUM(BN227:BN228)</f>
        <v>298.48469983</v>
      </c>
      <c r="BO229" s="3">
        <f>BN229+SUM(BO227:BO228)</f>
        <v>298.48469983</v>
      </c>
      <c r="BP229" s="3" t="n"/>
      <c r="BQ229" s="3">
        <f>BO229+SUM(BQ227:BQ228)</f>
        <v>298.48469983</v>
      </c>
      <c r="BR229" s="3">
        <f>BQ229+SUM(BR227:BR228)</f>
        <v>298.48469983</v>
      </c>
      <c r="BS229" s="3">
        <f>BR229+SUM(BS227:BS228)</f>
        <v>298.48469983</v>
      </c>
      <c r="BT229" s="3">
        <f>BS229+SUM(BT227:BT228)</f>
        <v>298.48469983</v>
      </c>
      <c r="BU229" s="3" t="n"/>
      <c r="BV229" s="3">
        <f>BT229+SUM(BV227:BV228)</f>
        <v>298.48469983</v>
      </c>
      <c r="BW229" s="3">
        <f>BV229+SUM(BW227:BW228)</f>
        <v>298.48469983</v>
      </c>
      <c r="BX229" s="3">
        <f>BW229+SUM(BX227:BX228)</f>
        <v>298.48469983</v>
      </c>
      <c r="BY229" s="3">
        <f>BX229+SUM(BY227:BY228)</f>
        <v>298.48469983</v>
      </c>
      <c r="BZ229" s="3" t="n"/>
      <c r="CA229" s="3">
        <f>BY229+SUM(CA227:CA228)</f>
        <v>298.48469983</v>
      </c>
      <c r="CB229" s="3">
        <f>CA229+SUM(CB227:CB228)</f>
        <v>298.48469983</v>
      </c>
      <c r="CC229" s="3">
        <f>CB229+SUM(CC227:CC228)</f>
        <v>298.48469983</v>
      </c>
      <c r="CD229" s="3">
        <f>CC229+SUM(CD227:CD228)</f>
        <v>298.48469983</v>
      </c>
      <c r="CE229" s="3" t="n"/>
      <c r="CF229" s="3">
        <f>CD229+SUM(CF227:CF228)</f>
        <v>298.48469983</v>
      </c>
      <c r="CG229" s="3">
        <f>CF229+SUM(CG227:CG228)</f>
        <v>298.48469983</v>
      </c>
      <c r="CH229" s="3">
        <f>CG229+SUM(CH227:CH228)</f>
        <v>298.48469983</v>
      </c>
      <c r="CI229" s="3">
        <f>CH229+SUM(CI227:CI228)</f>
        <v>298.48469983</v>
      </c>
      <c r="CJ229" s="3" t="n"/>
      <c r="CK229" s="3">
        <f>CI229+SUM(CK227:CK228)</f>
        <v>298.48469983</v>
      </c>
      <c r="CL229" s="3">
        <f>CK229+SUM(CL227:CL228)</f>
        <v>298.48469983</v>
      </c>
      <c r="CM229" s="3">
        <f>CL229+SUM(CM227:CM228)</f>
        <v>298.48469983</v>
      </c>
      <c r="CN229" s="3">
        <f>CM229+SUM(CN227:CN228)</f>
        <v>298.48469983</v>
      </c>
      <c r="CO229" s="3" t="n"/>
      <c r="CP229" s="3">
        <f>CN229+SUM(CP227:CP228)</f>
        <v>298.48469983</v>
      </c>
      <c r="CQ229" s="3">
        <f>CP229+SUM(CQ227:CQ228)</f>
        <v>298.48469983</v>
      </c>
      <c r="CR229" s="3">
        <f>CQ229+SUM(CR227:CR228)</f>
        <v>298.48469983</v>
      </c>
      <c r="CS229" s="3">
        <f>CR229+SUM(CS227:CS228)</f>
        <v>298.48469983</v>
      </c>
      <c r="CT229" s="3" t="n"/>
      <c r="CU229" s="3">
        <f>CS229+SUM(CU227:CU228)</f>
        <v>298.48469983</v>
      </c>
      <c r="CV229" s="3">
        <f>CU229+SUM(CV227:CV228)</f>
        <v>298.48469983</v>
      </c>
      <c r="CW229" s="3">
        <f>CV229+SUM(CW227:CW228)</f>
        <v>298.48469983</v>
      </c>
      <c r="CX229" s="3">
        <f>CW229+SUM(CX227:CX228)</f>
        <v>298.48469983</v>
      </c>
      <c r="CY229" s="3" t="n"/>
      <c r="CZ229">
        <f>CX229+SUM(CZ227:CZ228)</f>
        <v>298.48469983</v>
      </c>
      <c r="DA229">
        <f>CZ229+SUM(DA227:DA228)</f>
        <v>298.48469983</v>
      </c>
      <c r="DB229">
        <f>DA229+SUM(DB227:DB228)</f>
        <v>298.48469983</v>
      </c>
      <c r="DC229">
        <f>DB229+SUM(DC227:DC228)</f>
        <v>298.48469983</v>
      </c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Discretionary (paydown)/borrowing of convertible debt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5" t="n"/>
      <c r="AI231" s="35" t="n"/>
      <c r="AJ231" s="35" t="n"/>
      <c r="AK231" s="35" t="n"/>
      <c r="AL231" s="3" t="n"/>
      <c r="AM231" s="35" t="n"/>
      <c r="AN231" s="35" t="n"/>
      <c r="AO231" s="35" t="n"/>
      <c r="AP231" s="35" t="n"/>
      <c r="AQ231" s="3" t="n"/>
      <c r="AR231" s="35" t="n"/>
      <c r="AS231" s="35" t="n"/>
      <c r="AT231" s="35" t="n"/>
      <c r="AU231" s="35" t="n"/>
      <c r="AV231" s="3" t="n"/>
      <c r="AW231" s="35" t="n"/>
      <c r="AX231" s="35" t="n"/>
      <c r="AY231" s="35" t="n"/>
      <c r="AZ231" s="35" t="n"/>
      <c r="BA231" s="3" t="n"/>
      <c r="BB231" s="35" t="n"/>
      <c r="BC231" s="35" t="n"/>
      <c r="BD231" s="35" t="n"/>
      <c r="BE231" s="35" t="n"/>
      <c r="BF231" s="3" t="n"/>
      <c r="BG231" s="35" t="n"/>
      <c r="BH231" s="35" t="n"/>
      <c r="BI231" s="35" t="n"/>
      <c r="BJ231" s="35" t="n"/>
      <c r="BK231" s="3" t="n"/>
      <c r="BL231" s="35" t="n"/>
      <c r="BM231" s="35" t="n"/>
      <c r="BN231" s="35" t="n"/>
      <c r="BO231" s="35" t="n"/>
      <c r="BP231" s="3" t="n"/>
      <c r="BQ231" s="35" t="n"/>
      <c r="BR231" s="35" t="n"/>
      <c r="BS231" s="35" t="n"/>
      <c r="BT231" s="35" t="n"/>
      <c r="BU231" s="3" t="n"/>
      <c r="BV231" s="35" t="n"/>
      <c r="BW231" s="35" t="n"/>
      <c r="BX231" s="35" t="n"/>
      <c r="BY231" s="35" t="n"/>
      <c r="BZ231" s="3" t="n"/>
      <c r="CA231" s="35" t="n"/>
      <c r="CB231" s="35" t="n"/>
      <c r="CC231" s="35" t="n"/>
      <c r="CD231" s="35" t="n"/>
      <c r="CE231" s="3" t="n"/>
      <c r="CF231" s="35" t="n"/>
      <c r="CG231" s="35" t="n"/>
      <c r="CH231" s="35" t="n"/>
      <c r="CI231" s="35" t="n"/>
      <c r="CJ231" s="3" t="n"/>
      <c r="CK231" s="35" t="n"/>
      <c r="CL231" s="35" t="n"/>
      <c r="CM231" s="35" t="n"/>
      <c r="CN231" s="35" t="n"/>
      <c r="CO231" s="3" t="n"/>
      <c r="CP231" s="35" t="n"/>
      <c r="CQ231" s="35" t="n"/>
      <c r="CR231" s="35" t="n"/>
      <c r="CS231" s="35" t="n"/>
      <c r="CT231" s="3" t="n"/>
      <c r="CU231" s="35" t="n"/>
      <c r="CV231" s="35" t="n"/>
      <c r="CW231" s="35" t="n"/>
      <c r="CX231" s="35" t="n"/>
      <c r="CY231" s="3" t="n"/>
    </row>
    <row r="232" hidden="1" outlineLevel="1">
      <c r="C232" s="34" t="inlineStr">
        <is>
          <t>Convertible debt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>
        <f>AH244</f>
        <v>0</v>
      </c>
      <c r="AI232" s="3">
        <f>AH232+SUM(AI231)</f>
        <v>0</v>
      </c>
      <c r="AJ232" s="3">
        <f>AI232+SUM(AJ231)</f>
        <v>0</v>
      </c>
      <c r="AK232" s="3">
        <f>AJ232+SUM(AK231)</f>
        <v>0</v>
      </c>
      <c r="AL232" s="3" t="n"/>
      <c r="AM232" s="3">
        <f>AM244</f>
        <v>0</v>
      </c>
      <c r="AN232" s="3">
        <f>AM232+SUM(AN231)</f>
        <v>0</v>
      </c>
      <c r="AO232" s="3">
        <f>AN232+SUM(AO231)</f>
        <v>0</v>
      </c>
      <c r="AP232" s="3">
        <f>AO232+SUM(AP231)</f>
        <v>0</v>
      </c>
      <c r="AQ232" s="3" t="n"/>
      <c r="AR232" s="3">
        <f>AR244</f>
        <v>0</v>
      </c>
      <c r="AS232" s="3">
        <f>AR232+SUM(AS231)</f>
        <v>0</v>
      </c>
      <c r="AT232" s="3">
        <f>AS232+SUM(AT231)</f>
        <v>0</v>
      </c>
      <c r="AU232" s="3">
        <f>AT232+SUM(AU231)</f>
        <v>0</v>
      </c>
      <c r="AV232" s="3" t="n"/>
      <c r="AW232" s="3">
        <f>AW244</f>
        <v>0</v>
      </c>
      <c r="AX232" s="3">
        <f>AW232+SUM(AX231)</f>
        <v>0</v>
      </c>
      <c r="AY232" s="3">
        <f>AX232+SUM(AY231)</f>
        <v>0</v>
      </c>
      <c r="AZ232" s="3">
        <f>AY232+SUM(AZ231)</f>
        <v>0</v>
      </c>
      <c r="BA232" s="3" t="n"/>
      <c r="BB232" s="3">
        <f>BB244</f>
        <v>0</v>
      </c>
      <c r="BC232" s="3">
        <f>BB232+SUM(BC231)</f>
        <v>0</v>
      </c>
      <c r="BD232" s="3">
        <f>BC232+SUM(BD231)</f>
        <v>0</v>
      </c>
      <c r="BE232" s="3">
        <f>BD232+SUM(BE231)</f>
        <v>0</v>
      </c>
      <c r="BF232" s="3" t="n"/>
      <c r="BG232" s="3">
        <f>BG244</f>
        <v>0</v>
      </c>
      <c r="BH232" s="3">
        <f>BG232+SUM(BH231)</f>
        <v>0</v>
      </c>
      <c r="BI232" s="3">
        <f>BH232+SUM(BI231)</f>
        <v>0</v>
      </c>
      <c r="BJ232" s="3">
        <f>BI232+SUM(BJ231)</f>
        <v>0</v>
      </c>
      <c r="BK232" s="3" t="n"/>
      <c r="BL232" s="3">
        <f>BL244</f>
        <v>0</v>
      </c>
      <c r="BM232" s="3">
        <f>BL232+SUM(BM231)</f>
        <v>0</v>
      </c>
      <c r="BN232" s="3">
        <f>BM232+SUM(BN231)</f>
        <v>0</v>
      </c>
      <c r="BO232" s="3">
        <f>BN232+SUM(BO231)</f>
        <v>0</v>
      </c>
      <c r="BP232" s="3" t="n"/>
      <c r="BQ232" s="3">
        <f>BQ244</f>
        <v>0</v>
      </c>
      <c r="BR232" s="3">
        <f>BQ232+SUM(BR231)</f>
        <v>0</v>
      </c>
      <c r="BS232" s="3">
        <f>BR232+SUM(BS231)</f>
        <v>0</v>
      </c>
      <c r="BT232" s="3">
        <f>BS232+SUM(BT231)</f>
        <v>0</v>
      </c>
      <c r="BU232" s="3" t="n"/>
      <c r="BV232" s="3">
        <f>BV244</f>
        <v>0</v>
      </c>
      <c r="BW232" s="3">
        <f>BV232+SUM(BW231)</f>
        <v>0</v>
      </c>
      <c r="BX232" s="3">
        <f>BW232+SUM(BX231)</f>
        <v>0</v>
      </c>
      <c r="BY232" s="3">
        <f>BX232+SUM(BY231)</f>
        <v>0</v>
      </c>
      <c r="BZ232" s="3" t="n"/>
      <c r="CA232" s="3">
        <f>CA244</f>
        <v>0</v>
      </c>
      <c r="CB232" s="3">
        <f>CA232+SUM(CB231)</f>
        <v>0</v>
      </c>
      <c r="CC232" s="3">
        <f>CB232+SUM(CC231)</f>
        <v>0</v>
      </c>
      <c r="CD232" s="3">
        <f>CC232+SUM(CD231)</f>
        <v>0</v>
      </c>
      <c r="CE232" s="3" t="n"/>
      <c r="CF232" s="3">
        <f>CF244</f>
        <v>0</v>
      </c>
      <c r="CG232" s="3">
        <f>CF232+SUM(CG231)</f>
        <v>0</v>
      </c>
      <c r="CH232" s="3">
        <f>CG232+SUM(CH231)</f>
        <v>0</v>
      </c>
      <c r="CI232" s="3">
        <f>CH232+SUM(CI231)</f>
        <v>0</v>
      </c>
      <c r="CJ232" s="3" t="n"/>
      <c r="CK232" s="3">
        <f>CK244</f>
        <v>0</v>
      </c>
      <c r="CL232" s="3">
        <f>CK232+SUM(CL231)</f>
        <v>0</v>
      </c>
      <c r="CM232" s="3">
        <f>CL232+SUM(CM231)</f>
        <v>0</v>
      </c>
      <c r="CN232" s="3">
        <f>CM232+SUM(CN231)</f>
        <v>0</v>
      </c>
      <c r="CO232" s="3" t="n"/>
      <c r="CP232" s="3">
        <f>CP244</f>
        <v>0</v>
      </c>
      <c r="CQ232" s="3">
        <f>CP232+SUM(CQ231)</f>
        <v>0</v>
      </c>
      <c r="CR232" s="3">
        <f>CQ232+SUM(CR231)</f>
        <v>0</v>
      </c>
      <c r="CS232" s="3">
        <f>CR232+SUM(CS231)</f>
        <v>0</v>
      </c>
      <c r="CT232" s="3" t="n"/>
      <c r="CU232" s="3">
        <f>CU244</f>
        <v>0</v>
      </c>
      <c r="CV232" s="3">
        <f>CU232+SUM(CV231)</f>
        <v>0</v>
      </c>
      <c r="CW232" s="3">
        <f>CV232+SUM(CW231)</f>
        <v>0</v>
      </c>
      <c r="CX232" s="3">
        <f>CW232+SUM(CX231)</f>
        <v>0</v>
      </c>
      <c r="CY232" s="3" t="n"/>
    </row>
    <row r="233" hidden="1" outlineLevel="1">
      <c r="C233" s="3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I233" s="3" t="n"/>
      <c r="AJ233" s="3" t="n"/>
      <c r="AK233" s="3" t="n"/>
      <c r="AL233" s="3" t="n"/>
      <c r="AN233" s="3" t="n"/>
      <c r="AO233" s="3" t="n"/>
      <c r="AP233" s="3" t="n"/>
      <c r="AQ233" s="3" t="n"/>
      <c r="AS233" s="3" t="n"/>
      <c r="AT233" s="3" t="n"/>
      <c r="AU233" s="3" t="n"/>
      <c r="AV233" s="3" t="n"/>
      <c r="AX233" s="3" t="n"/>
      <c r="AY233" s="3" t="n"/>
      <c r="AZ233" s="3" t="n"/>
      <c r="BA233" s="3" t="n"/>
      <c r="BC233" s="3" t="n"/>
      <c r="BD233" s="3" t="n"/>
      <c r="BE233" s="3" t="n"/>
      <c r="BF233" s="3" t="n"/>
      <c r="BH233" s="3" t="n"/>
      <c r="BI233" s="3" t="n"/>
      <c r="BJ233" s="3" t="n"/>
      <c r="BK233" s="3" t="n"/>
      <c r="BM233" s="3" t="n"/>
      <c r="BN233" s="3" t="n"/>
      <c r="BO233" s="3" t="n"/>
      <c r="BP233" s="3" t="n"/>
      <c r="BR233" s="3" t="n"/>
      <c r="BS233" s="3" t="n"/>
      <c r="BT233" s="3" t="n"/>
      <c r="BU233" s="3" t="n"/>
      <c r="BW233" s="3" t="n"/>
      <c r="BX233" s="3" t="n"/>
      <c r="BY233" s="3" t="n"/>
      <c r="BZ233" s="3" t="n"/>
      <c r="CB233" s="3" t="n"/>
      <c r="CC233" s="3" t="n"/>
      <c r="CD233" s="3" t="n"/>
      <c r="CE233" s="3" t="n"/>
      <c r="CG233" s="3" t="n"/>
      <c r="CH233" s="3" t="n"/>
      <c r="CI233" s="3" t="n"/>
      <c r="CJ233" s="3" t="n"/>
      <c r="CL233" s="3" t="n"/>
      <c r="CM233" s="3" t="n"/>
      <c r="CN233" s="3" t="n"/>
      <c r="CO233" s="3" t="n"/>
      <c r="CQ233" s="3" t="n"/>
      <c r="CR233" s="3" t="n"/>
      <c r="CS233" s="3" t="n"/>
      <c r="CT233" s="3" t="n"/>
      <c r="CV233" s="3" t="n"/>
      <c r="CW233" s="3" t="n"/>
      <c r="CX233" s="3" t="n"/>
      <c r="CY233" s="3" t="n"/>
    </row>
    <row r="234" hidden="1" outlineLevel="1">
      <c r="C234" s="34" t="inlineStr">
        <is>
          <t>Calculation of short term debt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hidden="1" outlineLevel="1">
      <c r="C235" s="34" t="inlineStr">
        <is>
          <t>Cash @ beginning of the period (end of last period)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6">
        <f>AG150</f>
        <v>398.64423187</v>
      </c>
      <c r="AI235" s="3" t="n"/>
      <c r="AJ235" s="3" t="n"/>
      <c r="AK235" s="3" t="n"/>
      <c r="AL235" s="3" t="n"/>
      <c r="AM235" s="36">
        <f>AL150</f>
        <v>2682.04821574</v>
      </c>
      <c r="AN235" s="3" t="n"/>
      <c r="AO235" s="3" t="n"/>
      <c r="AP235" s="3" t="n"/>
      <c r="AQ235" s="3" t="n"/>
      <c r="AR235" s="36" t="e">
        <f>AQ150</f>
        <v>#DIV/0!</v>
      </c>
      <c r="AS235" s="3" t="n"/>
      <c r="AT235" s="3" t="n"/>
      <c r="AU235" s="3" t="n"/>
      <c r="AV235" s="3" t="n"/>
      <c r="AW235" s="36" t="e">
        <f>AV150</f>
        <v>#DIV/0!</v>
      </c>
      <c r="AX235" s="3" t="n"/>
      <c r="AY235" s="3" t="n"/>
      <c r="AZ235" s="3" t="n"/>
      <c r="BA235" s="3" t="n"/>
      <c r="BB235" s="36" t="e">
        <f>BA150</f>
        <v>#DIV/0!</v>
      </c>
      <c r="BC235" s="3" t="n"/>
      <c r="BD235" s="3" t="n"/>
      <c r="BE235" s="3" t="n"/>
      <c r="BF235" s="3" t="n"/>
      <c r="BG235" s="36" t="e">
        <f>BF150</f>
        <v>#DIV/0!</v>
      </c>
      <c r="BH235" s="3" t="n"/>
      <c r="BI235" s="3" t="n"/>
      <c r="BJ235" s="3" t="n"/>
      <c r="BK235" s="3" t="n"/>
      <c r="BL235" s="36" t="e">
        <f>BK150</f>
        <v>#DIV/0!</v>
      </c>
      <c r="BM235" s="3" t="n"/>
      <c r="BN235" s="3" t="n"/>
      <c r="BO235" s="3" t="n"/>
      <c r="BP235" s="3" t="n"/>
      <c r="BQ235" s="36" t="e">
        <f>BP150</f>
        <v>#DIV/0!</v>
      </c>
      <c r="BR235" s="3" t="n"/>
      <c r="BS235" s="3" t="n"/>
      <c r="BT235" s="3" t="n"/>
      <c r="BU235" s="3" t="n"/>
      <c r="BV235" s="36" t="e">
        <f>BU150</f>
        <v>#DIV/0!</v>
      </c>
      <c r="BW235" s="3" t="n"/>
      <c r="BX235" s="3" t="n"/>
      <c r="BY235" s="3" t="n"/>
      <c r="BZ235" s="3" t="n"/>
      <c r="CA235" s="36" t="e">
        <f>BZ150</f>
        <v>#DIV/0!</v>
      </c>
      <c r="CB235" s="3" t="n"/>
      <c r="CC235" s="3" t="n"/>
      <c r="CD235" s="3" t="n"/>
      <c r="CE235" s="3" t="n"/>
      <c r="CF235" s="36" t="e">
        <f>CE150</f>
        <v>#DIV/0!</v>
      </c>
      <c r="CG235" s="3" t="n"/>
      <c r="CH235" s="3" t="n"/>
      <c r="CI235" s="3" t="n"/>
      <c r="CJ235" s="3" t="n"/>
      <c r="CK235" s="36" t="e">
        <f>CJ150</f>
        <v>#DIV/0!</v>
      </c>
      <c r="CL235" s="3" t="n"/>
      <c r="CM235" s="3" t="n"/>
      <c r="CN235" s="3" t="n"/>
      <c r="CO235" s="3" t="n"/>
      <c r="CP235" s="36" t="e">
        <f>CO150</f>
        <v>#DIV/0!</v>
      </c>
      <c r="CQ235" s="3" t="n"/>
      <c r="CR235" s="3" t="n"/>
      <c r="CS235" s="3" t="n"/>
      <c r="CT235" s="3" t="n"/>
      <c r="CU235" s="36" t="e">
        <f>CT150</f>
        <v>#DIV/0!</v>
      </c>
      <c r="CV235" s="3" t="n"/>
      <c r="CW235" s="3" t="n"/>
      <c r="CX235" s="3" t="n"/>
      <c r="CY235" s="3" t="n"/>
    </row>
    <row r="236" hidden="1" outlineLevel="1">
      <c r="C236" s="34" t="inlineStr">
        <is>
          <t>Plus: Free cash flows prior to debt during period</t>
        </is>
      </c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inlineStr">
        <is>
          <t>% of sales</t>
        </is>
      </c>
      <c r="AH236" s="37">
        <f>SUM(AH299,AH306)+SUM(AH308:AH314)</f>
        <v>-66.1580943599972</v>
      </c>
      <c r="AI236" s="37">
        <f>SUM(AI299,AI306)+SUM(AI308:AI314)</f>
        <v>88.8556550800016</v>
      </c>
      <c r="AJ236" s="37">
        <f>SUM(AJ299,AJ306)+SUM(AJ308:AJ314)</f>
        <v>2254.1939877</v>
      </c>
      <c r="AK236" s="37">
        <f>SUM(AK299,AK306)+SUM(AK308:AK314)</f>
        <v>11.1950000000001</v>
      </c>
      <c r="AL236" s="3" t="n"/>
      <c r="AM236" s="37" t="e">
        <f>SUM(AM299,AM306)+SUM(AM308:AM314)</f>
        <v>#DIV/0!</v>
      </c>
      <c r="AN236" s="37" t="e">
        <f>SUM(AN299,AN306)+SUM(AN308:AN314)</f>
        <v>#DIV/0!</v>
      </c>
      <c r="AO236" s="37" t="e">
        <f>SUM(AO299,AO306)+SUM(AO308:AO314)</f>
        <v>#DIV/0!</v>
      </c>
      <c r="AP236" s="37" t="e">
        <f>SUM(AP299,AP306)+SUM(AP308:AP314)</f>
        <v>#DIV/0!</v>
      </c>
      <c r="AQ236" s="3" t="n"/>
      <c r="AR236" s="37" t="e">
        <f>SUM(AR299,AR306)+SUM(AR308:AR314)</f>
        <v>#DIV/0!</v>
      </c>
      <c r="AS236" s="37" t="e">
        <f>SUM(AS299,AS306)+SUM(AS308:AS314)</f>
        <v>#DIV/0!</v>
      </c>
      <c r="AT236" s="37" t="e">
        <f>SUM(AT299,AT306)+SUM(AT308:AT314)</f>
        <v>#DIV/0!</v>
      </c>
      <c r="AU236" s="37" t="e">
        <f>SUM(AU299,AU306)+SUM(AU308:AU314)</f>
        <v>#DIV/0!</v>
      </c>
      <c r="AV236" s="3" t="n"/>
      <c r="AW236" s="37" t="e">
        <f>SUM(AW299,AW306)+SUM(AW308:AW314)</f>
        <v>#DIV/0!</v>
      </c>
      <c r="AX236" s="37" t="e">
        <f>SUM(AX299,AX306)+SUM(AX308:AX314)</f>
        <v>#DIV/0!</v>
      </c>
      <c r="AY236" s="37" t="e">
        <f>SUM(AY299,AY306)+SUM(AY308:AY314)</f>
        <v>#DIV/0!</v>
      </c>
      <c r="AZ236" s="37" t="e">
        <f>SUM(AZ299,AZ306)+SUM(AZ308:AZ314)</f>
        <v>#DIV/0!</v>
      </c>
      <c r="BA236" s="3" t="n"/>
      <c r="BB236" s="37" t="e">
        <f>SUM(BB299,BB306)+SUM(BB308:BB314)</f>
        <v>#DIV/0!</v>
      </c>
      <c r="BC236" s="37" t="e">
        <f>SUM(BC299,BC306)+SUM(BC308:BC314)</f>
        <v>#DIV/0!</v>
      </c>
      <c r="BD236" s="37" t="e">
        <f>SUM(BD299,BD306)+SUM(BD308:BD314)</f>
        <v>#DIV/0!</v>
      </c>
      <c r="BE236" s="37" t="e">
        <f>SUM(BE299,BE306)+SUM(BE308:BE314)</f>
        <v>#DIV/0!</v>
      </c>
      <c r="BF236" s="3" t="n"/>
      <c r="BG236" s="37" t="e">
        <f>SUM(BG299,BG306)+SUM(BG308:BG314)</f>
        <v>#DIV/0!</v>
      </c>
      <c r="BH236" s="37" t="e">
        <f>SUM(BH299,BH306)+SUM(BH308:BH314)</f>
        <v>#DIV/0!</v>
      </c>
      <c r="BI236" s="37" t="e">
        <f>SUM(BI299,BI306)+SUM(BI308:BI314)</f>
        <v>#DIV/0!</v>
      </c>
      <c r="BJ236" s="37" t="e">
        <f>SUM(BJ299,BJ306)+SUM(BJ308:BJ314)</f>
        <v>#DIV/0!</v>
      </c>
      <c r="BK236" s="3" t="n"/>
      <c r="BL236" s="37" t="e">
        <f>SUM(BL299,BL306)+SUM(BL308:BL314)</f>
        <v>#DIV/0!</v>
      </c>
      <c r="BM236" s="37" t="e">
        <f>SUM(BM299,BM306)+SUM(BM308:BM314)</f>
        <v>#DIV/0!</v>
      </c>
      <c r="BN236" s="37" t="e">
        <f>SUM(BN299,BN306)+SUM(BN308:BN314)</f>
        <v>#DIV/0!</v>
      </c>
      <c r="BO236" s="37" t="e">
        <f>SUM(BO299,BO306)+SUM(BO308:BO314)</f>
        <v>#DIV/0!</v>
      </c>
      <c r="BP236" s="3" t="n"/>
      <c r="BQ236" s="37" t="e">
        <f>SUM(BQ299,BQ306)+SUM(BQ308:BQ314)</f>
        <v>#DIV/0!</v>
      </c>
      <c r="BR236" s="37" t="e">
        <f>SUM(BR299,BR306)+SUM(BR308:BR314)</f>
        <v>#DIV/0!</v>
      </c>
      <c r="BS236" s="37" t="e">
        <f>SUM(BS299,BS306)+SUM(BS308:BS314)</f>
        <v>#DIV/0!</v>
      </c>
      <c r="BT236" s="37" t="e">
        <f>SUM(BT299,BT306)+SUM(BT308:BT314)</f>
        <v>#DIV/0!</v>
      </c>
      <c r="BU236" s="3" t="n"/>
      <c r="BV236" s="37" t="e">
        <f>SUM(BV299,BV306)+SUM(BV308:BV314)</f>
        <v>#DIV/0!</v>
      </c>
      <c r="BW236" s="37" t="e">
        <f>SUM(BW299,BW306)+SUM(BW308:BW314)</f>
        <v>#DIV/0!</v>
      </c>
      <c r="BX236" s="37" t="e">
        <f>SUM(BX299,BX306)+SUM(BX308:BX314)</f>
        <v>#DIV/0!</v>
      </c>
      <c r="BY236" s="37" t="e">
        <f>SUM(BY299,BY306)+SUM(BY308:BY314)</f>
        <v>#DIV/0!</v>
      </c>
      <c r="BZ236" s="3" t="n"/>
      <c r="CA236" s="37" t="e">
        <f>SUM(CA299,CA306)+SUM(CA308:CA314)</f>
        <v>#DIV/0!</v>
      </c>
      <c r="CB236" s="37" t="e">
        <f>SUM(CB299,CB306)+SUM(CB308:CB314)</f>
        <v>#DIV/0!</v>
      </c>
      <c r="CC236" s="37" t="e">
        <f>SUM(CC299,CC306)+SUM(CC308:CC314)</f>
        <v>#DIV/0!</v>
      </c>
      <c r="CD236" s="37" t="e">
        <f>SUM(CD299,CD306)+SUM(CD308:CD314)</f>
        <v>#DIV/0!</v>
      </c>
      <c r="CE236" s="3" t="n"/>
      <c r="CF236" s="37" t="e">
        <f>SUM(CF299,CF306)+SUM(CF308:CF314)</f>
        <v>#DIV/0!</v>
      </c>
      <c r="CG236" s="37" t="e">
        <f>SUM(CG299,CG306)+SUM(CG308:CG314)</f>
        <v>#DIV/0!</v>
      </c>
      <c r="CH236" s="37" t="e">
        <f>SUM(CH299,CH306)+SUM(CH308:CH314)</f>
        <v>#DIV/0!</v>
      </c>
      <c r="CI236" s="37" t="e">
        <f>SUM(CI299,CI306)+SUM(CI308:CI314)</f>
        <v>#DIV/0!</v>
      </c>
      <c r="CJ236" s="3" t="n"/>
      <c r="CK236" s="37" t="e">
        <f>SUM(CK299,CK306)+SUM(CK308:CK314)</f>
        <v>#DIV/0!</v>
      </c>
      <c r="CL236" s="37" t="e">
        <f>SUM(CL299,CL306)+SUM(CL308:CL314)</f>
        <v>#DIV/0!</v>
      </c>
      <c r="CM236" s="37" t="e">
        <f>SUM(CM299,CM306)+SUM(CM308:CM314)</f>
        <v>#DIV/0!</v>
      </c>
      <c r="CN236" s="37" t="e">
        <f>SUM(CN299,CN306)+SUM(CN308:CN314)</f>
        <v>#DIV/0!</v>
      </c>
      <c r="CO236" s="3" t="n"/>
      <c r="CP236" s="37" t="e">
        <f>SUM(CP299,CP306)+SUM(CP308:CP314)</f>
        <v>#DIV/0!</v>
      </c>
      <c r="CQ236" s="37" t="e">
        <f>SUM(CQ299,CQ306)+SUM(CQ308:CQ314)</f>
        <v>#DIV/0!</v>
      </c>
      <c r="CR236" s="37" t="e">
        <f>SUM(CR299,CR306)+SUM(CR308:CR314)</f>
        <v>#DIV/0!</v>
      </c>
      <c r="CS236" s="37" t="e">
        <f>SUM(CS299,CS306)+SUM(CS308:CS314)</f>
        <v>#DIV/0!</v>
      </c>
      <c r="CT236" s="3" t="n"/>
      <c r="CU236" s="37" t="e">
        <f>SUM(CU299,CU306)+SUM(CU308:CU314)</f>
        <v>#DIV/0!</v>
      </c>
      <c r="CV236" s="37" t="e">
        <f>SUM(CV299,CV306)+SUM(CV308:CV314)</f>
        <v>#DIV/0!</v>
      </c>
      <c r="CW236" s="37" t="e">
        <f>SUM(CW299,CW306)+SUM(CW308:CW314)</f>
        <v>#DIV/0!</v>
      </c>
      <c r="CX236" s="37" t="e">
        <f>SUM(CX299,CX306)+SUM(CX308:CX314)</f>
        <v>#DIV/0!</v>
      </c>
      <c r="CY236" s="3" t="n"/>
    </row>
    <row r="237" hidden="1" outlineLevel="1">
      <c r="C237" s="34" t="inlineStr">
        <is>
          <t>Less: Minimum cash balance</t>
        </is>
      </c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250" t="n"/>
      <c r="AH237" s="3">
        <f>($AG$237*AH15)</f>
        <v>0</v>
      </c>
      <c r="AI237" s="3">
        <f>($AG$237*AI15)</f>
        <v>0</v>
      </c>
      <c r="AJ237" s="3">
        <f>($AG$237*AJ15)</f>
        <v>0</v>
      </c>
      <c r="AK237" s="3">
        <f>($AG$237*AK15)</f>
        <v>0</v>
      </c>
      <c r="AL237" s="3" t="n"/>
      <c r="AM237" s="3">
        <f>($AG$237*AM15)</f>
        <v>0</v>
      </c>
      <c r="AN237" s="3">
        <f>($AG$237*AN15)</f>
        <v>0</v>
      </c>
      <c r="AO237" s="3">
        <f>($AG$237*AO15)</f>
        <v>0</v>
      </c>
      <c r="AP237" s="3">
        <f>($AG$237*AP15)</f>
        <v>0</v>
      </c>
      <c r="AQ237" s="3" t="n"/>
      <c r="AR237" s="3">
        <f>($AG$237*AR15)</f>
        <v>0</v>
      </c>
      <c r="AS237" s="3">
        <f>($AG$237*AS15)</f>
        <v>0</v>
      </c>
      <c r="AT237" s="3">
        <f>($AG$237*AT15)</f>
        <v>0</v>
      </c>
      <c r="AU237" s="3">
        <f>($AG$237*AU15)</f>
        <v>0</v>
      </c>
      <c r="AV237" s="3" t="n"/>
      <c r="AW237" s="3">
        <f>($AG$237*AW15)</f>
        <v>0</v>
      </c>
      <c r="AX237" s="3">
        <f>($AG$237*AX15)</f>
        <v>0</v>
      </c>
      <c r="AY237" s="3">
        <f>($AG$237*AY15)</f>
        <v>0</v>
      </c>
      <c r="AZ237" s="3">
        <f>($AG$237*AZ15)</f>
        <v>0</v>
      </c>
      <c r="BA237" s="3" t="n"/>
      <c r="BB237" s="3">
        <f>($AG$237*BB15)</f>
        <v>0</v>
      </c>
      <c r="BC237" s="3">
        <f>($AG$237*BC15)</f>
        <v>0</v>
      </c>
      <c r="BD237" s="3">
        <f>($AG$237*BD15)</f>
        <v>0</v>
      </c>
      <c r="BE237" s="3">
        <f>($AG$237*BE15)</f>
        <v>0</v>
      </c>
      <c r="BF237" s="3" t="n"/>
      <c r="BG237" s="3">
        <f>($AG$237*BG15)</f>
        <v>0</v>
      </c>
      <c r="BH237" s="3">
        <f>($AG$237*BH15)</f>
        <v>0</v>
      </c>
      <c r="BI237" s="3">
        <f>($AG$237*BI15)</f>
        <v>0</v>
      </c>
      <c r="BJ237" s="3">
        <f>($AG$237*BJ15)</f>
        <v>0</v>
      </c>
      <c r="BK237" s="3" t="n"/>
      <c r="BL237" s="3">
        <f>($AG$237*BL15)</f>
        <v>0</v>
      </c>
      <c r="BM237" s="3">
        <f>($AG$237*BM15)</f>
        <v>0</v>
      </c>
      <c r="BN237" s="3">
        <f>($AG$237*BN15)</f>
        <v>0</v>
      </c>
      <c r="BO237" s="3">
        <f>($AG$237*BO15)</f>
        <v>0</v>
      </c>
      <c r="BP237" s="3" t="n"/>
      <c r="BQ237" s="3">
        <f>($AG$237*BQ15)</f>
        <v>0</v>
      </c>
      <c r="BR237" s="3">
        <f>($AG$237*BR15)</f>
        <v>0</v>
      </c>
      <c r="BS237" s="3">
        <f>($AG$237*BS15)</f>
        <v>0</v>
      </c>
      <c r="BT237" s="3">
        <f>($AG$237*BT15)</f>
        <v>0</v>
      </c>
      <c r="BU237" s="3" t="n"/>
      <c r="BV237" s="3">
        <f>($AG$237*BV15)</f>
        <v>0</v>
      </c>
      <c r="BW237" s="3">
        <f>($AG$237*BW15)</f>
        <v>0</v>
      </c>
      <c r="BX237" s="3">
        <f>($AG$237*BX15)</f>
        <v>0</v>
      </c>
      <c r="BY237" s="3">
        <f>($AG$237*BY15)</f>
        <v>0</v>
      </c>
      <c r="BZ237" s="3" t="n"/>
      <c r="CA237" s="3">
        <f>($AG$237*CA15)</f>
        <v>0</v>
      </c>
      <c r="CB237" s="3">
        <f>($AG$237*CB15)</f>
        <v>0</v>
      </c>
      <c r="CC237" s="3">
        <f>($AG$237*CC15)</f>
        <v>0</v>
      </c>
      <c r="CD237" s="3">
        <f>($AG$237*CD15)</f>
        <v>0</v>
      </c>
      <c r="CE237" s="3" t="n"/>
      <c r="CF237" s="3">
        <f>($AG$237*CF15)</f>
        <v>0</v>
      </c>
      <c r="CG237" s="3">
        <f>($AG$237*CG15)</f>
        <v>0</v>
      </c>
      <c r="CH237" s="3">
        <f>($AG$237*CH15)</f>
        <v>0</v>
      </c>
      <c r="CI237" s="3">
        <f>($AG$237*CI15)</f>
        <v>0</v>
      </c>
      <c r="CJ237" s="3" t="n"/>
      <c r="CK237" s="3">
        <f>($AG$237*CK15)</f>
        <v>0</v>
      </c>
      <c r="CL237" s="3">
        <f>($AG$237*CL15)</f>
        <v>0</v>
      </c>
      <c r="CM237" s="3">
        <f>($AG$237*CM15)</f>
        <v>0</v>
      </c>
      <c r="CN237" s="3">
        <f>($AG$237*CN15)</f>
        <v>0</v>
      </c>
      <c r="CO237" s="3" t="n"/>
      <c r="CP237" s="3">
        <f>($AG$237*CP15)</f>
        <v>0</v>
      </c>
      <c r="CQ237" s="3">
        <f>($AG$237*CQ15)</f>
        <v>0</v>
      </c>
      <c r="CR237" s="3">
        <f>($AG$237*CR15)</f>
        <v>0</v>
      </c>
      <c r="CS237" s="3">
        <f>($AG$237*CS15)</f>
        <v>0</v>
      </c>
      <c r="CT237" s="3" t="n"/>
      <c r="CU237" s="3">
        <f>($AG$237*CU15)</f>
        <v>0</v>
      </c>
      <c r="CV237" s="3">
        <f>($AG$237*CV15)</f>
        <v>0</v>
      </c>
      <c r="CW237" s="3">
        <f>($AG$237*CW15)</f>
        <v>0</v>
      </c>
      <c r="CX237" s="3">
        <f>($AG$237*CX15)</f>
        <v>0</v>
      </c>
      <c r="CY237" s="3" t="n"/>
    </row>
    <row r="238" hidden="1" outlineLevel="1">
      <c r="C238" s="34" t="inlineStr">
        <is>
          <t>Total cash available / (debt required) for short term debt paydown</t>
        </is>
      </c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1">
        <f>AH235+AH236-AH237-AF225+AH227+AH231</f>
        <v>332.486137510003</v>
      </c>
      <c r="AI238" s="1">
        <f>AI235+AI236-AI237-AG225+AI227+AI231</f>
        <v>88.8556550800016</v>
      </c>
      <c r="AJ238" s="1">
        <f>AJ235+AJ236-AJ237-AH225+AJ227+AJ231</f>
        <v>2002.12449183</v>
      </c>
      <c r="AK238" s="1">
        <f>AK235+AK236-AK237-AI225+AK227+AK231</f>
        <v>11.1950000000001</v>
      </c>
      <c r="AL238" s="3" t="n"/>
      <c r="AM238" s="1" t="e">
        <f>AM235+AM236-AM237-AK225+AM227+AM231</f>
        <v>#DIV/0!</v>
      </c>
      <c r="AN238" s="1" t="e">
        <f>AN235+AN236-AN237-AL225+AN227+AN231</f>
        <v>#DIV/0!</v>
      </c>
      <c r="AO238" s="1" t="e">
        <f>AO235+AO236-AO237-AM225+AO227+AO231</f>
        <v>#DIV/0!</v>
      </c>
      <c r="AP238" s="1" t="e">
        <f>AP235+AP236-AP237-AN225+AP227+AP231</f>
        <v>#DIV/0!</v>
      </c>
      <c r="AQ238" s="3" t="n"/>
      <c r="AR238" s="1" t="e">
        <f>AR235+AR236-AR237-AP225+AR227+AR231</f>
        <v>#DIV/0!</v>
      </c>
      <c r="AS238" s="1" t="e">
        <f>AS235+AS236-AS237-AQ225+AS227+AS231</f>
        <v>#DIV/0!</v>
      </c>
      <c r="AT238" s="1" t="e">
        <f>AT235+AT236-AT237-AR225+AT227+AT231</f>
        <v>#DIV/0!</v>
      </c>
      <c r="AU238" s="1" t="e">
        <f>AU235+AU236-AU237-AS225+AU227+AU231</f>
        <v>#DIV/0!</v>
      </c>
      <c r="AV238" s="3" t="n"/>
      <c r="AW238" s="1" t="e">
        <f>AW235+AW236-AW237-AU225+AW227+AW231</f>
        <v>#DIV/0!</v>
      </c>
      <c r="AX238" s="1" t="e">
        <f>AX235+AX236-AX237-AV225+AX227+AX231</f>
        <v>#DIV/0!</v>
      </c>
      <c r="AY238" s="1" t="e">
        <f>AY235+AY236-AY237-AW225+AY227+AY231</f>
        <v>#DIV/0!</v>
      </c>
      <c r="AZ238" s="1" t="e">
        <f>AZ235+AZ236-AZ237-AX225+AZ227+AZ231</f>
        <v>#DIV/0!</v>
      </c>
      <c r="BA238" s="3" t="n"/>
      <c r="BB238" s="1" t="e">
        <f>BB235+BB236-BB237-AZ225+BB227+BB231</f>
        <v>#DIV/0!</v>
      </c>
      <c r="BC238" s="1" t="e">
        <f>BC235+BC236-BC237-BA225+BC227+BC231</f>
        <v>#DIV/0!</v>
      </c>
      <c r="BD238" s="1" t="e">
        <f>BD235+BD236-BD237-BB225+BD227+BD231</f>
        <v>#DIV/0!</v>
      </c>
      <c r="BE238" s="1" t="e">
        <f>BE235+BE236-BE237-BC225+BE227+BE231</f>
        <v>#DIV/0!</v>
      </c>
      <c r="BF238" s="3" t="n"/>
      <c r="BG238" s="1" t="e">
        <f>BG235+BG236-BG237-BE225+BG227+BG231</f>
        <v>#DIV/0!</v>
      </c>
      <c r="BH238" s="1" t="e">
        <f>BH235+BH236-BH237-BF225+BH227+BH231</f>
        <v>#DIV/0!</v>
      </c>
      <c r="BI238" s="1" t="e">
        <f>BI235+BI236-BI237-BG225+BI227+BI231</f>
        <v>#DIV/0!</v>
      </c>
      <c r="BJ238" s="1" t="e">
        <f>BJ235+BJ236-BJ237-BH225+BJ227+BJ231</f>
        <v>#DIV/0!</v>
      </c>
      <c r="BK238" s="3" t="n"/>
      <c r="BL238" s="1" t="e">
        <f>BL235+BL236-BL237-BJ225+BL227+BL231</f>
        <v>#DIV/0!</v>
      </c>
      <c r="BM238" s="1" t="e">
        <f>BM235+BM236-BM237-BK225+BM227+BM231</f>
        <v>#DIV/0!</v>
      </c>
      <c r="BN238" s="1" t="e">
        <f>BN235+BN236-BN237-BL225+BN227+BN231</f>
        <v>#DIV/0!</v>
      </c>
      <c r="BO238" s="1" t="e">
        <f>BO235+BO236-BO237-BM225+BO227+BO231</f>
        <v>#DIV/0!</v>
      </c>
      <c r="BP238" s="3" t="n"/>
      <c r="BQ238" s="1" t="e">
        <f>BQ235+BQ236-BQ237-BO225+BQ227+BQ231</f>
        <v>#DIV/0!</v>
      </c>
      <c r="BR238" s="1" t="e">
        <f>BR235+BR236-BR237-BP225+BR227+BR231</f>
        <v>#DIV/0!</v>
      </c>
      <c r="BS238" s="1" t="e">
        <f>BS235+BS236-BS237-BQ225+BS227+BS231</f>
        <v>#DIV/0!</v>
      </c>
      <c r="BT238" s="1" t="e">
        <f>BT235+BT236-BT237-BR225+BT227+BT231</f>
        <v>#DIV/0!</v>
      </c>
      <c r="BU238" s="3" t="n"/>
      <c r="BV238" s="1" t="e">
        <f>BV235+BV236-BV237-BT225+BV227+BV231</f>
        <v>#DIV/0!</v>
      </c>
      <c r="BW238" s="1" t="e">
        <f>BW235+BW236-BW237-BU225+BW227+BW231</f>
        <v>#DIV/0!</v>
      </c>
      <c r="BX238" s="1" t="e">
        <f>BX235+BX236-BX237-BV225+BX227+BX231</f>
        <v>#DIV/0!</v>
      </c>
      <c r="BY238" s="1" t="e">
        <f>BY235+BY236-BY237-BW225+BY227+BY231</f>
        <v>#DIV/0!</v>
      </c>
      <c r="BZ238" s="3" t="n"/>
      <c r="CA238" s="1" t="e">
        <f>CA235+CA236-CA237-BY225+CA227+CA231</f>
        <v>#DIV/0!</v>
      </c>
      <c r="CB238" s="1" t="e">
        <f>CB235+CB236-CB237-BZ225+CB227+CB231</f>
        <v>#DIV/0!</v>
      </c>
      <c r="CC238" s="1" t="e">
        <f>CC235+CC236-CC237-CA225+CC227+CC231</f>
        <v>#DIV/0!</v>
      </c>
      <c r="CD238" s="1" t="e">
        <f>CD235+CD236-CD237-CB225+CD227+CD231</f>
        <v>#DIV/0!</v>
      </c>
      <c r="CE238" s="3" t="n"/>
      <c r="CF238" s="1" t="e">
        <f>CF235+CF236-CF237-CD225+CF227+CF231</f>
        <v>#DIV/0!</v>
      </c>
      <c r="CG238" s="1" t="e">
        <f>CG235+CG236-CG237-CE225+CG227+CG231</f>
        <v>#DIV/0!</v>
      </c>
      <c r="CH238" s="1" t="e">
        <f>CH235+CH236-CH237-CF225+CH227+CH231</f>
        <v>#DIV/0!</v>
      </c>
      <c r="CI238" s="1" t="e">
        <f>CI235+CI236-CI237-CG225+CI227+CI231</f>
        <v>#DIV/0!</v>
      </c>
      <c r="CJ238" s="3" t="n"/>
      <c r="CK238" s="1" t="e">
        <f>CK235+CK236-CK237-CI225+CK227+CK231</f>
        <v>#DIV/0!</v>
      </c>
      <c r="CL238" s="1" t="e">
        <f>CL235+CL236-CL237-CJ225+CL227+CL231</f>
        <v>#DIV/0!</v>
      </c>
      <c r="CM238" s="1" t="e">
        <f>CM235+CM236-CM237-CK225+CM227+CM231</f>
        <v>#DIV/0!</v>
      </c>
      <c r="CN238" s="1" t="e">
        <f>CN235+CN236-CN237-CL225+CN227+CN231</f>
        <v>#DIV/0!</v>
      </c>
      <c r="CO238" s="3" t="n"/>
      <c r="CP238" s="1" t="e">
        <f>CP235+CP236-CP237-CN225+CP227+CP231</f>
        <v>#DIV/0!</v>
      </c>
      <c r="CQ238" s="1" t="e">
        <f>CQ235+CQ236-CQ237-CO225+CQ227+CQ231</f>
        <v>#DIV/0!</v>
      </c>
      <c r="CR238" s="1" t="e">
        <f>CR235+CR236-CR237-CP225+CR227+CR231</f>
        <v>#DIV/0!</v>
      </c>
      <c r="CS238" s="1" t="e">
        <f>CS235+CS236-CS237-CQ225+CS227+CS231</f>
        <v>#DIV/0!</v>
      </c>
      <c r="CT238" s="3" t="n"/>
      <c r="CU238" s="1" t="e">
        <f>CU235+CU236-CU237-CS225+CU227+CU231</f>
        <v>#DIV/0!</v>
      </c>
      <c r="CV238" s="1" t="e">
        <f>CV235+CV236-CV237-CT225+CV227+CV231</f>
        <v>#DIV/0!</v>
      </c>
      <c r="CW238" s="1" t="e">
        <f>CW235+CW236-CW237-CU225+CW227+CW231</f>
        <v>#DIV/0!</v>
      </c>
      <c r="CX238" s="1" t="e">
        <f>CX235+CX236-CX237-CV225+CX227+CX231</f>
        <v>#DIV/0!</v>
      </c>
      <c r="CY238" s="3" t="n"/>
    </row>
    <row r="239" hidden="1" outlineLevel="1">
      <c r="C239" s="34" t="inlineStr">
        <is>
          <t>Short term debt</t>
        </is>
      </c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>
        <f>AH219</f>
        <v>0</v>
      </c>
      <c r="AI239" s="3">
        <f>MAX(0,AH239-AI238)</f>
        <v>0</v>
      </c>
      <c r="AJ239" s="3">
        <f>MAX(0,AI239-AJ238)</f>
        <v>0</v>
      </c>
      <c r="AK239" s="3">
        <f>MAX(0,AJ239-AK238)</f>
        <v>0</v>
      </c>
      <c r="AL239" s="3" t="n"/>
      <c r="AM239" s="3">
        <f>AM219</f>
        <v>0</v>
      </c>
      <c r="AN239" s="3" t="e">
        <f>MAX(0,AM239-AN238)</f>
        <v>#DIV/0!</v>
      </c>
      <c r="AO239" s="3" t="e">
        <f>MAX(0,AN239-AO238)</f>
        <v>#DIV/0!</v>
      </c>
      <c r="AP239" s="3" t="e">
        <f>MAX(0,AO239-AP238)</f>
        <v>#DIV/0!</v>
      </c>
      <c r="AQ239" s="3" t="n"/>
      <c r="AR239" s="3">
        <f>AR219</f>
        <v>0</v>
      </c>
      <c r="AS239" s="3" t="e">
        <f>MAX(0,AR239-AS238)</f>
        <v>#DIV/0!</v>
      </c>
      <c r="AT239" s="3" t="e">
        <f>MAX(0,AS239-AT238)</f>
        <v>#DIV/0!</v>
      </c>
      <c r="AU239" s="3" t="e">
        <f>MAX(0,AT239-AU238)</f>
        <v>#DIV/0!</v>
      </c>
      <c r="AV239" s="3" t="n"/>
      <c r="AW239" s="3">
        <f>AW219</f>
        <v>0</v>
      </c>
      <c r="AX239" s="3" t="e">
        <f>MAX(0,AW239-AX238)</f>
        <v>#DIV/0!</v>
      </c>
      <c r="AY239" s="3" t="e">
        <f>MAX(0,AX239-AY238)</f>
        <v>#DIV/0!</v>
      </c>
      <c r="AZ239" s="3" t="e">
        <f>MAX(0,AY239-AZ238)</f>
        <v>#DIV/0!</v>
      </c>
      <c r="BA239" s="3" t="n"/>
      <c r="BB239" s="3">
        <f>BB219</f>
        <v>0</v>
      </c>
      <c r="BC239" s="3" t="e">
        <f>MAX(0,BB239-BC238)</f>
        <v>#DIV/0!</v>
      </c>
      <c r="BD239" s="3" t="e">
        <f>MAX(0,BC239-BD238)</f>
        <v>#DIV/0!</v>
      </c>
      <c r="BE239" s="3" t="e">
        <f>MAX(0,BD239-BE238)</f>
        <v>#DIV/0!</v>
      </c>
      <c r="BF239" s="3" t="n"/>
      <c r="BG239" s="3">
        <f>BG219</f>
        <v>0</v>
      </c>
      <c r="BH239" s="3" t="e">
        <f>MAX(0,BG239-BH238)</f>
        <v>#DIV/0!</v>
      </c>
      <c r="BI239" s="3" t="e">
        <f>MAX(0,BH239-BI238)</f>
        <v>#DIV/0!</v>
      </c>
      <c r="BJ239" s="3" t="e">
        <f>MAX(0,BI239-BJ238)</f>
        <v>#DIV/0!</v>
      </c>
      <c r="BK239" s="3" t="n"/>
      <c r="BL239" s="3">
        <f>BL219</f>
        <v>0</v>
      </c>
      <c r="BM239" s="3" t="e">
        <f>MAX(0,BL239-BM238)</f>
        <v>#DIV/0!</v>
      </c>
      <c r="BN239" s="3" t="e">
        <f>MAX(0,BM239-BN238)</f>
        <v>#DIV/0!</v>
      </c>
      <c r="BO239" s="3" t="e">
        <f>MAX(0,BN239-BO238)</f>
        <v>#DIV/0!</v>
      </c>
      <c r="BP239" s="3" t="n"/>
      <c r="BQ239" s="3">
        <f>BQ219</f>
        <v>0</v>
      </c>
      <c r="BR239" s="3" t="e">
        <f>MAX(0,BQ239-BR238)</f>
        <v>#DIV/0!</v>
      </c>
      <c r="BS239" s="3" t="e">
        <f>MAX(0,BR239-BS238)</f>
        <v>#DIV/0!</v>
      </c>
      <c r="BT239" s="3" t="e">
        <f>MAX(0,BS239-BT238)</f>
        <v>#DIV/0!</v>
      </c>
      <c r="BU239" s="3" t="n"/>
      <c r="BV239" s="3">
        <f>BV219</f>
        <v>0</v>
      </c>
      <c r="BW239" s="3" t="e">
        <f>MAX(0,BV239-BW238)</f>
        <v>#DIV/0!</v>
      </c>
      <c r="BX239" s="3" t="e">
        <f>MAX(0,BW239-BX238)</f>
        <v>#DIV/0!</v>
      </c>
      <c r="BY239" s="3" t="e">
        <f>MAX(0,BX239-BY238)</f>
        <v>#DIV/0!</v>
      </c>
      <c r="BZ239" s="3" t="n"/>
      <c r="CA239" s="3">
        <f>CA219</f>
        <v>0</v>
      </c>
      <c r="CB239" s="3" t="e">
        <f>MAX(0,CA239-CB238)</f>
        <v>#DIV/0!</v>
      </c>
      <c r="CC239" s="3" t="e">
        <f>MAX(0,CB239-CC238)</f>
        <v>#DIV/0!</v>
      </c>
      <c r="CD239" s="3" t="e">
        <f>MAX(0,CC239-CD238)</f>
        <v>#DIV/0!</v>
      </c>
      <c r="CE239" s="3" t="n"/>
      <c r="CF239" s="3">
        <f>CF219</f>
        <v>0</v>
      </c>
      <c r="CG239" s="3" t="e">
        <f>MAX(0,CF239-CG238)</f>
        <v>#DIV/0!</v>
      </c>
      <c r="CH239" s="3" t="e">
        <f>MAX(0,CG239-CH238)</f>
        <v>#DIV/0!</v>
      </c>
      <c r="CI239" s="3" t="e">
        <f>MAX(0,CH239-CI238)</f>
        <v>#DIV/0!</v>
      </c>
      <c r="CJ239" s="3" t="n"/>
      <c r="CK239" s="3">
        <f>CK219</f>
        <v>0</v>
      </c>
      <c r="CL239" s="3" t="e">
        <f>MAX(0,CK239-CL238)</f>
        <v>#DIV/0!</v>
      </c>
      <c r="CM239" s="3" t="e">
        <f>MAX(0,CL239-CM238)</f>
        <v>#DIV/0!</v>
      </c>
      <c r="CN239" s="3" t="e">
        <f>MAX(0,CM239-CN238)</f>
        <v>#DIV/0!</v>
      </c>
      <c r="CO239" s="3" t="n"/>
      <c r="CP239" s="3">
        <f>CP219</f>
        <v>0</v>
      </c>
      <c r="CQ239" s="3" t="e">
        <f>MAX(0,CP239-CQ238)</f>
        <v>#DIV/0!</v>
      </c>
      <c r="CR239" s="3" t="e">
        <f>MAX(0,CQ239-CR238)</f>
        <v>#DIV/0!</v>
      </c>
      <c r="CS239" s="3" t="e">
        <f>MAX(0,CR239-CS238)</f>
        <v>#DIV/0!</v>
      </c>
      <c r="CT239" s="3" t="n"/>
      <c r="CU239" s="3">
        <f>CU219</f>
        <v>0</v>
      </c>
      <c r="CV239" s="3" t="e">
        <f>MAX(0,CU239-CV238)</f>
        <v>#DIV/0!</v>
      </c>
      <c r="CW239" s="3" t="e">
        <f>MAX(0,CV239-CW238)</f>
        <v>#DIV/0!</v>
      </c>
      <c r="CX239" s="3" t="e">
        <f>MAX(0,CW239-CX238)</f>
        <v>#DIV/0!</v>
      </c>
      <c r="CY239" s="3" t="n"/>
    </row>
    <row r="240" hidden="1" outlineLevel="1">
      <c r="C240" s="3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ollapsed="1">
      <c r="C241" s="26" t="inlineStr">
        <is>
          <t>Long term operating leases</t>
        </is>
      </c>
      <c r="D241" s="25">
        <f>INDEX('Inputs (2)'!$D$36:$AL$36,MATCH(D$7,'Inputs (2)'!$D$2:$AL$2,0))</f>
        <v>228.751</v>
      </c>
      <c r="E241" s="25">
        <f>INDEX('Inputs (2)'!$D$36:$AL$36,MATCH(E$7,'Inputs (2)'!$D$2:$AL$2,0))</f>
        <v>225.65729671</v>
      </c>
      <c r="F241" s="25">
        <f>INDEX('Inputs (2)'!$D$36:$AL$36,MATCH(F$7,'Inputs (2)'!$D$2:$AL$2,0))</f>
        <v>236.67166187</v>
      </c>
      <c r="G241" s="25">
        <f>INDEX('Inputs (2)'!$D$36:$AL$36,MATCH(G$7,'Inputs (2)'!$D$2:$AL$2,0))</f>
        <v>235.27346437</v>
      </c>
      <c r="H241" s="3">
        <f>G241</f>
        <v>235.27346437</v>
      </c>
      <c r="I241" s="25">
        <f>INDEX('Inputs (2)'!$D$36:$AL$36,MATCH(I$7,'Inputs (2)'!$D$2:$AL$2,0))</f>
        <v>242.65189661</v>
      </c>
      <c r="J241" s="25">
        <f>INDEX('Inputs (2)'!$D$36:$AL$36,MATCH(J$7,'Inputs (2)'!$D$2:$AL$2,0))</f>
        <v>252.93896289</v>
      </c>
      <c r="K241" s="25">
        <f>INDEX('Inputs (2)'!$D$36:$AL$36,MATCH(K$7,'Inputs (2)'!$D$2:$AL$2,0))</f>
        <v>291.37504025</v>
      </c>
      <c r="L241" s="25">
        <f>INDEX('Inputs (2)'!$D$36:$AL$36,MATCH(L$7,'Inputs (2)'!$D$2:$AL$2,0))</f>
        <v>310.14835357</v>
      </c>
      <c r="M241" s="3">
        <f>L241</f>
        <v>310.14835357</v>
      </c>
      <c r="N241" s="25">
        <f>INDEX('Inputs (2)'!$D$36:$AL$36,MATCH(N$7,'Inputs (2)'!$D$2:$AL$2,0))</f>
        <v>319.74282632</v>
      </c>
      <c r="O241" s="25">
        <f>INDEX('Inputs (2)'!$D$36:$AL$36,MATCH(O$7,'Inputs (2)'!$D$2:$AL$2,0))</f>
        <v>346.37487757</v>
      </c>
      <c r="P241" s="25">
        <f>INDEX('Inputs (2)'!$D$36:$AL$36,MATCH(P$7,'Inputs (2)'!$D$2:$AL$2,0))</f>
        <v>383.75032793</v>
      </c>
      <c r="Q241" s="25">
        <f>INDEX('Inputs (2)'!$D$36:$AL$36,MATCH(Q$7,'Inputs (2)'!$D$2:$AL$2,0))</f>
        <v>415.097</v>
      </c>
      <c r="R241" s="3">
        <f>Q241</f>
        <v>415.097</v>
      </c>
      <c r="S241" s="25">
        <f>INDEX('Inputs (2)'!$D$36:$AL$36,MATCH(S$7,'Inputs (2)'!$D$2:$AL$2,0))</f>
        <v>399.86</v>
      </c>
      <c r="T241" s="25">
        <f>INDEX('Inputs (2)'!$D$36:$AL$36,MATCH(T$7,'Inputs (2)'!$D$2:$AL$2,0))</f>
        <v>403.92511688</v>
      </c>
      <c r="U241" s="25">
        <f>INDEX('Inputs (2)'!$D$36:$AL$36,MATCH(U$7,'Inputs (2)'!$D$2:$AL$2,0))</f>
        <v>416.52185172</v>
      </c>
      <c r="V241" s="25">
        <f>INDEX('Inputs (2)'!$D$36:$AL$36,MATCH(V$7,'Inputs (2)'!$D$2:$AL$2,0))</f>
        <v>432.62456006</v>
      </c>
      <c r="W241" s="3">
        <f>V241</f>
        <v>432.62456006</v>
      </c>
      <c r="X241" s="25">
        <f>INDEX('Inputs (2)'!$D$36:$AL$36,MATCH(X$7,'Inputs (2)'!$D$2:$AL$2,0))</f>
        <v>441.9748787</v>
      </c>
      <c r="Y241" s="25">
        <f>INDEX('Inputs (2)'!$D$36:$AL$36,MATCH(Y$7,'Inputs (2)'!$D$2:$AL$2,0))</f>
        <v>449.60447687</v>
      </c>
      <c r="Z241" s="25">
        <f>INDEX('Inputs (2)'!$D$36:$AL$36,MATCH(Z$7,'Inputs (2)'!$D$2:$AL$2,0))</f>
        <v>453.210842479359</v>
      </c>
      <c r="AA241" s="25">
        <f>INDEX('Inputs (2)'!$D$36:$AL$36,MATCH(AA$7,'Inputs (2)'!$D$2:$AL$2,0))</f>
        <v>472.13059294</v>
      </c>
      <c r="AB241" s="3">
        <f>AA241</f>
        <v>472.13059294</v>
      </c>
      <c r="AC241" s="25">
        <f>INDEX('Inputs (2)'!$D$36:$AL$36,MATCH(AC$7,'Inputs (2)'!$D$2:$AL$2,0))</f>
        <v>496.43663268</v>
      </c>
      <c r="AD241" s="25">
        <f>INDEX('Inputs (2)'!$D$36:$AL$36,MATCH(AD$7,'Inputs (2)'!$D$2:$AL$2,0))</f>
        <v>495.06846211</v>
      </c>
      <c r="AE241" s="25">
        <f>INDEX('Inputs (2)'!$D$36:$AL$36,MATCH(AE$7,'Inputs (2)'!$D$2:$AL$2,0))</f>
        <v>595.771</v>
      </c>
      <c r="AF241" s="25">
        <f>INDEX('Inputs (2)'!$D$36:$AL$36,MATCH(AF$7,'Inputs (2)'!$D$2:$AL$2,0))</f>
        <v>599.51792284</v>
      </c>
      <c r="AG241" s="3">
        <f>AF241</f>
        <v>599.51792284</v>
      </c>
      <c r="AH241" s="3">
        <f>INDEX('Inputs (2)'!$D$36:$AL$36,MATCH(AH$7,'Inputs (2)'!$D$2:$AL$2,0))</f>
        <v>598.94270661</v>
      </c>
      <c r="AI241" s="3">
        <f>INDEX('Inputs (2)'!$D$36:$AL$36,MATCH(AI$7,'Inputs (2)'!$D$2:$AL$2,0))</f>
        <v>608.46509458</v>
      </c>
      <c r="AJ241" s="3">
        <f>AI241</f>
        <v>608.46509458</v>
      </c>
      <c r="AK241" s="3">
        <f>AJ241</f>
        <v>608.46509458</v>
      </c>
      <c r="AL241" s="3">
        <f>AK241</f>
        <v>608.46509458</v>
      </c>
      <c r="AM241" s="3">
        <f>AL241</f>
        <v>608.46509458</v>
      </c>
      <c r="AN241" s="3">
        <f>AM241</f>
        <v>608.46509458</v>
      </c>
      <c r="AO241" s="3">
        <f>AN241</f>
        <v>608.46509458</v>
      </c>
      <c r="AP241" s="3">
        <f>AO241</f>
        <v>608.46509458</v>
      </c>
      <c r="AQ241" s="3">
        <f>AP241</f>
        <v>608.46509458</v>
      </c>
      <c r="AR241" s="3">
        <f>AQ241</f>
        <v>608.46509458</v>
      </c>
      <c r="AS241" s="3">
        <f>AR241</f>
        <v>608.46509458</v>
      </c>
      <c r="AT241" s="3">
        <f>AS241</f>
        <v>608.46509458</v>
      </c>
      <c r="AU241" s="3">
        <f>AT241</f>
        <v>608.46509458</v>
      </c>
      <c r="AV241" s="3">
        <f>AU241</f>
        <v>608.46509458</v>
      </c>
      <c r="AW241" s="3">
        <f>AV241</f>
        <v>608.46509458</v>
      </c>
      <c r="AX241" s="3">
        <f>AW241</f>
        <v>608.46509458</v>
      </c>
      <c r="AY241" s="3">
        <f>AX241</f>
        <v>608.46509458</v>
      </c>
      <c r="AZ241" s="3">
        <f>AY241</f>
        <v>608.46509458</v>
      </c>
      <c r="BA241" s="3">
        <f>AZ241</f>
        <v>608.46509458</v>
      </c>
      <c r="BB241" s="3">
        <f>BA241</f>
        <v>608.46509458</v>
      </c>
      <c r="BC241" s="3">
        <f>BB241</f>
        <v>608.46509458</v>
      </c>
      <c r="BD241" s="3">
        <f>BC241</f>
        <v>608.46509458</v>
      </c>
      <c r="BE241" s="3">
        <f>BD241</f>
        <v>608.46509458</v>
      </c>
      <c r="BF241" s="3">
        <f>BE241</f>
        <v>608.46509458</v>
      </c>
      <c r="BG241" s="3">
        <f>BF241</f>
        <v>608.46509458</v>
      </c>
      <c r="BH241" s="3">
        <f>BG241</f>
        <v>608.46509458</v>
      </c>
      <c r="BI241" s="3">
        <f>BH241</f>
        <v>608.46509458</v>
      </c>
      <c r="BJ241" s="3">
        <f>BI241</f>
        <v>608.46509458</v>
      </c>
      <c r="BK241" s="3">
        <f>BJ241</f>
        <v>608.46509458</v>
      </c>
      <c r="BL241" s="3">
        <f>BK241</f>
        <v>608.46509458</v>
      </c>
      <c r="BM241" s="3">
        <f>BL241</f>
        <v>608.46509458</v>
      </c>
      <c r="BN241" s="3">
        <f>BM241</f>
        <v>608.46509458</v>
      </c>
      <c r="BO241" s="3">
        <f>BN241</f>
        <v>608.46509458</v>
      </c>
      <c r="BP241" s="3">
        <f>BO241</f>
        <v>608.46509458</v>
      </c>
      <c r="BQ241" s="3">
        <f>BP241</f>
        <v>608.46509458</v>
      </c>
      <c r="BR241" s="3">
        <f>BQ241</f>
        <v>608.46509458</v>
      </c>
      <c r="BS241" s="3">
        <f>BR241</f>
        <v>608.46509458</v>
      </c>
      <c r="BT241" s="3">
        <f>BS241</f>
        <v>608.46509458</v>
      </c>
      <c r="BU241" s="3">
        <f>BT241</f>
        <v>608.46509458</v>
      </c>
      <c r="BV241" s="3">
        <f>BU241</f>
        <v>608.46509458</v>
      </c>
      <c r="BW241" s="3">
        <f>BV241</f>
        <v>608.46509458</v>
      </c>
      <c r="BX241" s="3">
        <f>BW241</f>
        <v>608.46509458</v>
      </c>
      <c r="BY241" s="3">
        <f>BX241</f>
        <v>608.46509458</v>
      </c>
      <c r="BZ241" s="3">
        <f>BY241</f>
        <v>608.46509458</v>
      </c>
      <c r="CA241" s="3">
        <f>BZ241</f>
        <v>608.46509458</v>
      </c>
      <c r="CB241" s="3">
        <f>CA241</f>
        <v>608.46509458</v>
      </c>
      <c r="CC241" s="3">
        <f>CB241</f>
        <v>608.46509458</v>
      </c>
      <c r="CD241" s="3">
        <f>CC241</f>
        <v>608.46509458</v>
      </c>
      <c r="CE241" s="3">
        <f>CD241</f>
        <v>608.46509458</v>
      </c>
      <c r="CF241" s="3">
        <f>CE241</f>
        <v>608.46509458</v>
      </c>
      <c r="CG241" s="3">
        <f>CF241</f>
        <v>608.46509458</v>
      </c>
      <c r="CH241" s="3">
        <f>CG241</f>
        <v>608.46509458</v>
      </c>
      <c r="CI241" s="3">
        <f>CH241</f>
        <v>608.46509458</v>
      </c>
      <c r="CJ241" s="3">
        <f>CI241</f>
        <v>608.46509458</v>
      </c>
      <c r="CK241" s="3">
        <f>CJ241</f>
        <v>608.46509458</v>
      </c>
      <c r="CL241" s="3">
        <f>CK241</f>
        <v>608.46509458</v>
      </c>
      <c r="CM241" s="3">
        <f>CL241</f>
        <v>608.46509458</v>
      </c>
      <c r="CN241" s="3">
        <f>CM241</f>
        <v>608.46509458</v>
      </c>
      <c r="CO241" s="3">
        <f>CN241</f>
        <v>608.46509458</v>
      </c>
      <c r="CP241" s="3">
        <f>CO241</f>
        <v>608.46509458</v>
      </c>
      <c r="CQ241" s="3">
        <f>CP241</f>
        <v>608.46509458</v>
      </c>
      <c r="CR241" s="3">
        <f>CQ241</f>
        <v>608.46509458</v>
      </c>
      <c r="CS241" s="3">
        <f>CR241</f>
        <v>608.46509458</v>
      </c>
      <c r="CT241" s="3">
        <f>CS241</f>
        <v>608.46509458</v>
      </c>
      <c r="CU241" s="3">
        <f>CT241</f>
        <v>608.46509458</v>
      </c>
      <c r="CV241" s="3">
        <f>CU241</f>
        <v>608.46509458</v>
      </c>
      <c r="CW241" s="3">
        <f>CV241</f>
        <v>608.46509458</v>
      </c>
      <c r="CX241" s="3">
        <f>CW241</f>
        <v>608.46509458</v>
      </c>
      <c r="CY241" s="3">
        <f>CX241</f>
        <v>608.46509458</v>
      </c>
    </row>
    <row r="242" hidden="1" outlineLevel="1">
      <c r="C242" s="38" t="inlineStr">
        <is>
          <t>%(Var.)</t>
        </is>
      </c>
      <c r="D242" s="3" t="n"/>
      <c r="E242" s="47">
        <f>IFERROR((E241-D241)/D241,0)</f>
        <v>-0.0135243268444728</v>
      </c>
      <c r="F242" s="47">
        <f>IFERROR((F241-E241)/E241,0)</f>
        <v>0.0488101440573178</v>
      </c>
      <c r="G242" s="47">
        <f>IFERROR((G241-F241)/F241,0)</f>
        <v>-0.00590775206863599</v>
      </c>
      <c r="H242" s="3" t="n"/>
      <c r="I242" s="47">
        <f>IFERROR((I241-H241)/H241,0)</f>
        <v>0.0313610897844238</v>
      </c>
      <c r="J242" s="47">
        <f>IFERROR((J241-I241)/I241,0)</f>
        <v>0.0423943370058788</v>
      </c>
      <c r="K242" s="47">
        <f>IFERROR((K241-J241)/J241,0)</f>
        <v>0.151957914750822</v>
      </c>
      <c r="L242" s="47">
        <f>IFERROR((L241-K241)/K241,0)</f>
        <v>0.0644300668440661</v>
      </c>
      <c r="M242" s="3" t="n"/>
      <c r="N242" s="47">
        <f>IFERROR((N241-M241)/M241,0)</f>
        <v>0.0309351077945818</v>
      </c>
      <c r="O242" s="47">
        <f>IFERROR((O241-N241)/N241,0)</f>
        <v>0.0832920993303116</v>
      </c>
      <c r="P242" s="47">
        <f>IFERROR((P241-O241)/O241,0)</f>
        <v>0.107904622362361</v>
      </c>
      <c r="Q242" s="47">
        <f>IFERROR((Q241-P241)/P241,0)</f>
        <v>0.0816850691414079</v>
      </c>
      <c r="R242" s="3" t="n"/>
      <c r="S242" s="47">
        <f>IFERROR((S241-R241)/R241,0)</f>
        <v>-0.0367070829227868</v>
      </c>
      <c r="T242" s="47">
        <f>IFERROR((T241-S241)/S241,0)</f>
        <v>0.0101663504226479</v>
      </c>
      <c r="U242" s="47">
        <f>IFERROR((U241-T241)/T241,0)</f>
        <v>0.0311858171566544</v>
      </c>
      <c r="V242" s="47">
        <f>IFERROR((V241-U241)/U241,0)</f>
        <v>0.0386599365039432</v>
      </c>
      <c r="W242" s="3" t="n"/>
      <c r="X242" s="47">
        <f>IFERROR((X241-W241)/W241,0)</f>
        <v>0.0216130093000343</v>
      </c>
      <c r="Y242" s="47">
        <f>IFERROR((Y241-X241)/X241,0)</f>
        <v>0.0172625154453151</v>
      </c>
      <c r="Z242" s="47">
        <f>IFERROR((Z241-Y241)/Y241,0)</f>
        <v>0.00802119595086131</v>
      </c>
      <c r="AA242" s="47">
        <f>IFERROR((AA241-Z241)/Z241,0)</f>
        <v>0.0417460234559655</v>
      </c>
      <c r="AB242" s="3" t="n"/>
      <c r="AC242" s="47">
        <f>IFERROR((AC241-AB241)/AB241,0)</f>
        <v>0.0514816029790489</v>
      </c>
      <c r="AD242" s="47">
        <f>IFERROR((AD241-AC241)/AC241,0)</f>
        <v>-0.00275598229448526</v>
      </c>
      <c r="AE242" s="47">
        <f>IFERROR((AE241-AD241)/AD241,0)</f>
        <v>0.203411337213447</v>
      </c>
      <c r="AF242" s="230">
        <f>IFERROR((AF241-AE241)/AE241,0)</f>
        <v>0.00628919977642421</v>
      </c>
      <c r="AG242" s="3" t="n"/>
      <c r="AH242" s="6">
        <f>IFERROR((AH241-AG241)/AG241,0)</f>
        <v>-0.000959464609957187</v>
      </c>
      <c r="AI242" s="6">
        <f>IFERROR((AI241-AH241)/AH241,0)</f>
        <v>0.0158986625346795</v>
      </c>
      <c r="AJ242" s="6" t="n"/>
      <c r="AK242" s="6" t="n"/>
      <c r="AL242" s="3" t="n"/>
      <c r="AM242" s="6" t="n"/>
      <c r="AN242" s="6" t="n"/>
      <c r="AO242" s="6" t="n"/>
      <c r="AP242" s="6" t="n"/>
      <c r="AQ242" s="3" t="n"/>
      <c r="AR242" s="6" t="n"/>
      <c r="AS242" s="6" t="n"/>
      <c r="AT242" s="6" t="n"/>
      <c r="AU242" s="6" t="n"/>
      <c r="AV242" s="3" t="n"/>
      <c r="AW242" s="6" t="n"/>
      <c r="AX242" s="6" t="n"/>
      <c r="AY242" s="6" t="n"/>
      <c r="AZ242" s="6" t="n"/>
      <c r="BA242" s="3" t="n"/>
      <c r="BB242" s="6" t="n"/>
      <c r="BC242" s="6" t="n"/>
      <c r="BD242" s="6" t="n"/>
      <c r="BE242" s="6" t="n"/>
      <c r="BF242" s="3" t="n"/>
      <c r="BG242" s="6" t="n"/>
      <c r="BH242" s="6" t="n"/>
      <c r="BI242" s="6" t="n"/>
      <c r="BJ242" s="6" t="n"/>
      <c r="BK242" s="3" t="n"/>
      <c r="BL242" s="6" t="n"/>
      <c r="BM242" s="6" t="n"/>
      <c r="BN242" s="6" t="n"/>
      <c r="BO242" s="6" t="n"/>
      <c r="BP242" s="3" t="n"/>
      <c r="BQ242" s="6" t="n"/>
      <c r="BR242" s="6" t="n"/>
      <c r="BS242" s="6" t="n"/>
      <c r="BT242" s="6" t="n"/>
      <c r="BU242" s="3" t="n"/>
      <c r="BV242" s="6" t="n"/>
      <c r="BW242" s="6" t="n"/>
      <c r="BX242" s="6" t="n"/>
      <c r="BY242" s="6" t="n"/>
      <c r="BZ242" s="3" t="n"/>
      <c r="CA242" s="6" t="n"/>
      <c r="CB242" s="6" t="n"/>
      <c r="CC242" s="6" t="n"/>
      <c r="CD242" s="6" t="n"/>
      <c r="CE242" s="3" t="n"/>
      <c r="CF242" s="6" t="n"/>
      <c r="CG242" s="6" t="n"/>
      <c r="CH242" s="6" t="n"/>
      <c r="CI242" s="6" t="n"/>
      <c r="CJ242" s="3" t="n"/>
      <c r="CK242" s="6" t="n"/>
      <c r="CL242" s="6" t="n"/>
      <c r="CM242" s="6" t="n"/>
      <c r="CN242" s="6" t="n"/>
      <c r="CO242" s="3" t="n"/>
      <c r="CP242" s="6" t="n"/>
      <c r="CQ242" s="6" t="n"/>
      <c r="CR242" s="6" t="n"/>
      <c r="CS242" s="6" t="n"/>
      <c r="CT242" s="3" t="n"/>
      <c r="CU242" s="6" t="n"/>
      <c r="CV242" s="6" t="n"/>
      <c r="CW242" s="6" t="n"/>
      <c r="CX242" s="6" t="n"/>
      <c r="CY242" s="3" t="n"/>
    </row>
    <row r="243" hidden="1" outlineLevel="1">
      <c r="C243" s="34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collapsed="1">
      <c r="C244" s="26" t="inlineStr">
        <is>
          <t>Convertible debt</t>
        </is>
      </c>
      <c r="D244" s="25" t="n"/>
      <c r="E244" s="25" t="n"/>
      <c r="F244" s="25" t="n"/>
      <c r="G244" s="25" t="n"/>
      <c r="H244" s="3">
        <f>G244</f>
        <v>0</v>
      </c>
      <c r="I244" s="25" t="n"/>
      <c r="J244" s="25" t="n"/>
      <c r="K244" s="25" t="n"/>
      <c r="L244" s="25" t="n"/>
      <c r="M244" s="3">
        <f>L244</f>
        <v>0</v>
      </c>
      <c r="N244" s="25" t="n"/>
      <c r="O244" s="25" t="n"/>
      <c r="P244" s="25" t="n"/>
      <c r="Q244" s="25" t="n"/>
      <c r="R244" s="3">
        <f>Q244</f>
        <v>0</v>
      </c>
      <c r="S244" s="25" t="n"/>
      <c r="T244" s="25" t="n"/>
      <c r="U244" s="25" t="n"/>
      <c r="V244" s="25" t="n"/>
      <c r="W244" s="3">
        <f>V244</f>
        <v>0</v>
      </c>
      <c r="X244" s="25" t="n"/>
      <c r="Y244" s="25" t="n"/>
      <c r="Z244" s="25" t="n"/>
      <c r="AA244" s="25" t="n"/>
      <c r="AB244" s="3">
        <f>AA244</f>
        <v>0</v>
      </c>
      <c r="AC244" s="25" t="n"/>
      <c r="AD244" s="25" t="n"/>
      <c r="AE244" s="25" t="n"/>
      <c r="AF244" s="25" t="n"/>
      <c r="AG244" s="3">
        <f>AF244</f>
        <v>0</v>
      </c>
      <c r="AH244" s="3">
        <f>AG244</f>
        <v>0</v>
      </c>
      <c r="AI244" s="3">
        <f>AH244</f>
        <v>0</v>
      </c>
      <c r="AJ244" s="3">
        <f>AI244</f>
        <v>0</v>
      </c>
      <c r="AK244" s="3">
        <f>AJ244</f>
        <v>0</v>
      </c>
      <c r="AL244" s="3">
        <f>AK244</f>
        <v>0</v>
      </c>
      <c r="AM244" s="3">
        <f>AL244</f>
        <v>0</v>
      </c>
      <c r="AN244" s="3">
        <f>AM244</f>
        <v>0</v>
      </c>
      <c r="AO244" s="3">
        <f>AN244</f>
        <v>0</v>
      </c>
      <c r="AP244" s="3">
        <f>AO244</f>
        <v>0</v>
      </c>
      <c r="AQ244" s="3">
        <f>AP244</f>
        <v>0</v>
      </c>
      <c r="AR244" s="3">
        <f>AQ244</f>
        <v>0</v>
      </c>
      <c r="AS244" s="3">
        <f>AR244</f>
        <v>0</v>
      </c>
      <c r="AT244" s="3">
        <f>AS244</f>
        <v>0</v>
      </c>
      <c r="AU244" s="3">
        <f>AT244</f>
        <v>0</v>
      </c>
      <c r="AV244" s="3">
        <f>AU244</f>
        <v>0</v>
      </c>
      <c r="AW244" s="3">
        <f>AV244</f>
        <v>0</v>
      </c>
      <c r="AX244" s="3">
        <f>AW244</f>
        <v>0</v>
      </c>
      <c r="AY244" s="3">
        <f>AX244</f>
        <v>0</v>
      </c>
      <c r="AZ244" s="3">
        <f>AY244</f>
        <v>0</v>
      </c>
      <c r="BA244" s="3">
        <f>AZ244</f>
        <v>0</v>
      </c>
      <c r="BB244" s="3">
        <f>BA244</f>
        <v>0</v>
      </c>
      <c r="BC244" s="3">
        <f>BB244</f>
        <v>0</v>
      </c>
      <c r="BD244" s="3">
        <f>BC244</f>
        <v>0</v>
      </c>
      <c r="BE244" s="3">
        <f>BD244</f>
        <v>0</v>
      </c>
      <c r="BF244" s="3">
        <f>BE244</f>
        <v>0</v>
      </c>
      <c r="BG244" s="3">
        <f>BF244</f>
        <v>0</v>
      </c>
      <c r="BH244" s="3">
        <f>BG244</f>
        <v>0</v>
      </c>
      <c r="BI244" s="3">
        <f>BH244</f>
        <v>0</v>
      </c>
      <c r="BJ244" s="3">
        <f>BI244</f>
        <v>0</v>
      </c>
      <c r="BK244" s="3">
        <f>BJ244</f>
        <v>0</v>
      </c>
      <c r="BL244" s="3">
        <f>BK244</f>
        <v>0</v>
      </c>
      <c r="BM244" s="3">
        <f>BL244</f>
        <v>0</v>
      </c>
      <c r="BN244" s="3">
        <f>BM244</f>
        <v>0</v>
      </c>
      <c r="BO244" s="3">
        <f>BN244</f>
        <v>0</v>
      </c>
      <c r="BP244" s="3">
        <f>BO244</f>
        <v>0</v>
      </c>
      <c r="BQ244" s="3">
        <f>BP244</f>
        <v>0</v>
      </c>
      <c r="BR244" s="3">
        <f>BQ244</f>
        <v>0</v>
      </c>
      <c r="BS244" s="3">
        <f>BR244</f>
        <v>0</v>
      </c>
      <c r="BT244" s="3">
        <f>BS244</f>
        <v>0</v>
      </c>
      <c r="BU244" s="3">
        <f>BT244</f>
        <v>0</v>
      </c>
      <c r="BV244" s="3">
        <f>BU244</f>
        <v>0</v>
      </c>
      <c r="BW244" s="3">
        <f>BV244</f>
        <v>0</v>
      </c>
      <c r="BX244" s="3">
        <f>BW244</f>
        <v>0</v>
      </c>
      <c r="BY244" s="3">
        <f>BX244</f>
        <v>0</v>
      </c>
      <c r="BZ244" s="3">
        <f>BY244</f>
        <v>0</v>
      </c>
      <c r="CA244" s="3">
        <f>BZ244</f>
        <v>0</v>
      </c>
      <c r="CB244" s="3">
        <f>CA244</f>
        <v>0</v>
      </c>
      <c r="CC244" s="3">
        <f>CB244</f>
        <v>0</v>
      </c>
      <c r="CD244" s="3">
        <f>CC244</f>
        <v>0</v>
      </c>
      <c r="CE244" s="3">
        <f>CD244</f>
        <v>0</v>
      </c>
      <c r="CF244" s="3">
        <f>CE244</f>
        <v>0</v>
      </c>
      <c r="CG244" s="3">
        <f>CF244</f>
        <v>0</v>
      </c>
      <c r="CH244" s="3">
        <f>CG244</f>
        <v>0</v>
      </c>
      <c r="CI244" s="3">
        <f>CH244</f>
        <v>0</v>
      </c>
      <c r="CJ244" s="3">
        <f>CI244</f>
        <v>0</v>
      </c>
      <c r="CK244" s="3">
        <f>CJ244</f>
        <v>0</v>
      </c>
      <c r="CL244" s="3">
        <f>CK244</f>
        <v>0</v>
      </c>
      <c r="CM244" s="3">
        <f>CL244</f>
        <v>0</v>
      </c>
      <c r="CN244" s="3">
        <f>CM244</f>
        <v>0</v>
      </c>
      <c r="CO244" s="3">
        <f>CN244</f>
        <v>0</v>
      </c>
      <c r="CP244" s="3">
        <f>CO244</f>
        <v>0</v>
      </c>
      <c r="CQ244" s="3">
        <f>CP244</f>
        <v>0</v>
      </c>
      <c r="CR244" s="3">
        <f>CQ244</f>
        <v>0</v>
      </c>
      <c r="CS244" s="3">
        <f>CR244</f>
        <v>0</v>
      </c>
      <c r="CT244" s="3">
        <f>CS244</f>
        <v>0</v>
      </c>
      <c r="CU244" s="3">
        <f>CT244</f>
        <v>0</v>
      </c>
      <c r="CV244" s="3">
        <f>CU244</f>
        <v>0</v>
      </c>
      <c r="CW244" s="3">
        <f>CV244</f>
        <v>0</v>
      </c>
      <c r="CX244" s="3">
        <f>CW244</f>
        <v>0</v>
      </c>
      <c r="CY244" s="3">
        <f>CX244</f>
        <v>0</v>
      </c>
    </row>
    <row r="245">
      <c r="C245" s="26" t="inlineStr">
        <is>
          <t>Deferred income taxes</t>
        </is>
      </c>
      <c r="D245" s="25" t="n"/>
      <c r="E245" s="25" t="n"/>
      <c r="F245" s="25" t="n"/>
      <c r="G245" s="25" t="n"/>
      <c r="H245" s="3">
        <f>G245</f>
        <v>0</v>
      </c>
      <c r="I245" s="25" t="n"/>
      <c r="J245" s="25" t="n"/>
      <c r="K245" s="25" t="n"/>
      <c r="L245" s="25" t="n"/>
      <c r="M245" s="3">
        <f>L245</f>
        <v>0</v>
      </c>
      <c r="N245" s="25" t="n"/>
      <c r="O245" s="25" t="n"/>
      <c r="P245" s="25" t="n"/>
      <c r="Q245" s="25" t="n"/>
      <c r="R245" s="3">
        <f>Q245</f>
        <v>0</v>
      </c>
      <c r="S245" s="25" t="n"/>
      <c r="T245" s="25" t="n"/>
      <c r="U245" s="25" t="n"/>
      <c r="V245" s="25" t="n"/>
      <c r="W245" s="3">
        <f>V245</f>
        <v>0</v>
      </c>
      <c r="X245" s="25" t="n"/>
      <c r="Y245" s="25" t="n"/>
      <c r="Z245" s="25" t="n"/>
      <c r="AA245" s="25" t="n"/>
      <c r="AB245" s="3">
        <f>AA245</f>
        <v>0</v>
      </c>
      <c r="AC245" s="25" t="n"/>
      <c r="AD245" s="25" t="n"/>
      <c r="AE245" s="25" t="n"/>
      <c r="AF245" s="25" t="n"/>
      <c r="AG245" s="3">
        <f>AF245</f>
        <v>0</v>
      </c>
      <c r="AH245" s="3">
        <f>AG245</f>
        <v>0</v>
      </c>
      <c r="AI245" s="3">
        <f>AH245</f>
        <v>0</v>
      </c>
      <c r="AJ245" s="3">
        <f>AI245</f>
        <v>0</v>
      </c>
      <c r="AK245" s="3">
        <f>AJ245</f>
        <v>0</v>
      </c>
      <c r="AL245" s="3">
        <f>AK245</f>
        <v>0</v>
      </c>
      <c r="AM245" s="3">
        <f>AL245</f>
        <v>0</v>
      </c>
      <c r="AN245" s="3">
        <f>AM245</f>
        <v>0</v>
      </c>
      <c r="AO245" s="3">
        <f>AN245</f>
        <v>0</v>
      </c>
      <c r="AP245" s="3">
        <f>AO245</f>
        <v>0</v>
      </c>
      <c r="AQ245" s="3">
        <f>AP245</f>
        <v>0</v>
      </c>
      <c r="AR245" s="3">
        <f>AQ245</f>
        <v>0</v>
      </c>
      <c r="AS245" s="3">
        <f>AR245</f>
        <v>0</v>
      </c>
      <c r="AT245" s="3">
        <f>AS245</f>
        <v>0</v>
      </c>
      <c r="AU245" s="3">
        <f>AT245</f>
        <v>0</v>
      </c>
      <c r="AV245" s="3">
        <f>AU245</f>
        <v>0</v>
      </c>
      <c r="AW245" s="3">
        <f>AV245</f>
        <v>0</v>
      </c>
      <c r="AX245" s="3">
        <f>AW245</f>
        <v>0</v>
      </c>
      <c r="AY245" s="3">
        <f>AX245</f>
        <v>0</v>
      </c>
      <c r="AZ245" s="3">
        <f>AY245</f>
        <v>0</v>
      </c>
      <c r="BA245" s="3">
        <f>AZ245</f>
        <v>0</v>
      </c>
      <c r="BB245" s="3">
        <f>BA245</f>
        <v>0</v>
      </c>
      <c r="BC245" s="3">
        <f>BB245</f>
        <v>0</v>
      </c>
      <c r="BD245" s="3">
        <f>BC245</f>
        <v>0</v>
      </c>
      <c r="BE245" s="3">
        <f>BD245</f>
        <v>0</v>
      </c>
      <c r="BF245" s="3">
        <f>BE245</f>
        <v>0</v>
      </c>
      <c r="BG245" s="3">
        <f>BF245</f>
        <v>0</v>
      </c>
      <c r="BH245" s="3">
        <f>BG245</f>
        <v>0</v>
      </c>
      <c r="BI245" s="3">
        <f>BH245</f>
        <v>0</v>
      </c>
      <c r="BJ245" s="3">
        <f>BI245</f>
        <v>0</v>
      </c>
      <c r="BK245" s="3">
        <f>BJ245</f>
        <v>0</v>
      </c>
      <c r="BL245" s="3">
        <f>BK245</f>
        <v>0</v>
      </c>
      <c r="BM245" s="3">
        <f>BL245</f>
        <v>0</v>
      </c>
      <c r="BN245" s="3">
        <f>BM245</f>
        <v>0</v>
      </c>
      <c r="BO245" s="3">
        <f>BN245</f>
        <v>0</v>
      </c>
      <c r="BP245" s="3">
        <f>BO245</f>
        <v>0</v>
      </c>
      <c r="BQ245" s="3">
        <f>BP245</f>
        <v>0</v>
      </c>
      <c r="BR245" s="3">
        <f>BQ245</f>
        <v>0</v>
      </c>
      <c r="BS245" s="3">
        <f>BR245</f>
        <v>0</v>
      </c>
      <c r="BT245" s="3">
        <f>BS245</f>
        <v>0</v>
      </c>
      <c r="BU245" s="3">
        <f>BT245</f>
        <v>0</v>
      </c>
      <c r="BV245" s="3">
        <f>BU245</f>
        <v>0</v>
      </c>
      <c r="BW245" s="3">
        <f>BV245</f>
        <v>0</v>
      </c>
      <c r="BX245" s="3">
        <f>BW245</f>
        <v>0</v>
      </c>
      <c r="BY245" s="3">
        <f>BX245</f>
        <v>0</v>
      </c>
      <c r="BZ245" s="3">
        <f>BY245</f>
        <v>0</v>
      </c>
      <c r="CA245" s="3">
        <f>BZ245</f>
        <v>0</v>
      </c>
      <c r="CB245" s="3">
        <f>CA245</f>
        <v>0</v>
      </c>
      <c r="CC245" s="3">
        <f>CB245</f>
        <v>0</v>
      </c>
      <c r="CD245" s="3">
        <f>CC245</f>
        <v>0</v>
      </c>
      <c r="CE245" s="3">
        <f>CD245</f>
        <v>0</v>
      </c>
      <c r="CF245" s="3">
        <f>CE245</f>
        <v>0</v>
      </c>
      <c r="CG245" s="3">
        <f>CF245</f>
        <v>0</v>
      </c>
      <c r="CH245" s="3">
        <f>CG245</f>
        <v>0</v>
      </c>
      <c r="CI245" s="3">
        <f>CH245</f>
        <v>0</v>
      </c>
      <c r="CJ245" s="3">
        <f>CI245</f>
        <v>0</v>
      </c>
      <c r="CK245" s="3">
        <f>CJ245</f>
        <v>0</v>
      </c>
      <c r="CL245" s="3">
        <f>CK245</f>
        <v>0</v>
      </c>
      <c r="CM245" s="3">
        <f>CL245</f>
        <v>0</v>
      </c>
      <c r="CN245" s="3">
        <f>CM245</f>
        <v>0</v>
      </c>
      <c r="CO245" s="3">
        <f>CN245</f>
        <v>0</v>
      </c>
      <c r="CP245" s="3">
        <f>CO245</f>
        <v>0</v>
      </c>
      <c r="CQ245" s="3">
        <f>CP245</f>
        <v>0</v>
      </c>
      <c r="CR245" s="3">
        <f>CQ245</f>
        <v>0</v>
      </c>
      <c r="CS245" s="3">
        <f>CR245</f>
        <v>0</v>
      </c>
      <c r="CT245" s="3">
        <f>CS245</f>
        <v>0</v>
      </c>
      <c r="CU245" s="3">
        <f>CT245</f>
        <v>0</v>
      </c>
      <c r="CV245" s="3">
        <f>CU245</f>
        <v>0</v>
      </c>
      <c r="CW245" s="3">
        <f>CV245</f>
        <v>0</v>
      </c>
      <c r="CX245" s="3">
        <f>CW245</f>
        <v>0</v>
      </c>
      <c r="CY245" s="3">
        <f>CX245</f>
        <v>0</v>
      </c>
    </row>
    <row r="246">
      <c r="C246" s="26" t="inlineStr">
        <is>
          <t>Other non-current liabilities</t>
        </is>
      </c>
      <c r="D246" s="25">
        <f>INDEX('Inputs (2)'!$D$39:$AL$39,MATCH(D$7,'Inputs (2)'!$D$2:$AL$2,0))</f>
        <v>25.493</v>
      </c>
      <c r="E246" s="25">
        <f>INDEX('Inputs (2)'!$D$39:$AL$39,MATCH(E$7,'Inputs (2)'!$D$2:$AL$2,0))</f>
        <v>23.92778719</v>
      </c>
      <c r="F246" s="25">
        <f>INDEX('Inputs (2)'!$D$39:$AL$39,MATCH(F$7,'Inputs (2)'!$D$2:$AL$2,0))</f>
        <v>25.76997779</v>
      </c>
      <c r="G246" s="25">
        <f>INDEX('Inputs (2)'!$D$39:$AL$39,MATCH(G$7,'Inputs (2)'!$D$2:$AL$2,0))</f>
        <v>32.40452951</v>
      </c>
      <c r="H246" s="3">
        <f>G246</f>
        <v>32.40452951</v>
      </c>
      <c r="I246" s="25">
        <f>INDEX('Inputs (2)'!$D$39:$AL$39,MATCH(I$7,'Inputs (2)'!$D$2:$AL$2,0))</f>
        <v>32.94815598</v>
      </c>
      <c r="J246" s="25">
        <f>INDEX('Inputs (2)'!$D$39:$AL$39,MATCH(J$7,'Inputs (2)'!$D$2:$AL$2,0))</f>
        <v>33.89409615</v>
      </c>
      <c r="K246" s="25">
        <f>INDEX('Inputs (2)'!$D$39:$AL$39,MATCH(K$7,'Inputs (2)'!$D$2:$AL$2,0))</f>
        <v>33.03749484</v>
      </c>
      <c r="L246" s="25">
        <f>INDEX('Inputs (2)'!$D$39:$AL$39,MATCH(L$7,'Inputs (2)'!$D$2:$AL$2,0))</f>
        <v>22.65652177</v>
      </c>
      <c r="M246" s="3">
        <f>L246</f>
        <v>22.65652177</v>
      </c>
      <c r="N246" s="25">
        <f>INDEX('Inputs (2)'!$D$39:$AL$39,MATCH(N$7,'Inputs (2)'!$D$2:$AL$2,0))</f>
        <v>28.01711</v>
      </c>
      <c r="O246" s="25">
        <f>INDEX('Inputs (2)'!$D$39:$AL$39,MATCH(O$7,'Inputs (2)'!$D$2:$AL$2,0))</f>
        <v>27.0434706</v>
      </c>
      <c r="P246" s="25">
        <f>INDEX('Inputs (2)'!$D$39:$AL$39,MATCH(P$7,'Inputs (2)'!$D$2:$AL$2,0))</f>
        <v>22.44219732</v>
      </c>
      <c r="Q246" s="25">
        <f>INDEX('Inputs (2)'!$D$39:$AL$39,MATCH(Q$7,'Inputs (2)'!$D$2:$AL$2,0))</f>
        <v>24.684</v>
      </c>
      <c r="R246" s="3">
        <f>Q246</f>
        <v>24.684</v>
      </c>
      <c r="S246" s="25">
        <f>INDEX('Inputs (2)'!$D$39:$AL$39,MATCH(S$7,'Inputs (2)'!$D$2:$AL$2,0))</f>
        <v>21.929</v>
      </c>
      <c r="T246" s="25">
        <f>INDEX('Inputs (2)'!$D$39:$AL$39,MATCH(T$7,'Inputs (2)'!$D$2:$AL$2,0))</f>
        <v>23.54428072</v>
      </c>
      <c r="U246" s="25">
        <f>INDEX('Inputs (2)'!$D$39:$AL$39,MATCH(U$7,'Inputs (2)'!$D$2:$AL$2,0))</f>
        <v>20.27761099</v>
      </c>
      <c r="V246" s="25">
        <f>INDEX('Inputs (2)'!$D$39:$AL$39,MATCH(V$7,'Inputs (2)'!$D$2:$AL$2,0))</f>
        <v>19.65625376</v>
      </c>
      <c r="W246" s="3">
        <f>V246</f>
        <v>19.65625376</v>
      </c>
      <c r="X246" s="25">
        <f>INDEX('Inputs (2)'!$D$39:$AL$39,MATCH(X$7,'Inputs (2)'!$D$2:$AL$2,0))</f>
        <v>20.72513312</v>
      </c>
      <c r="Y246" s="25">
        <f>INDEX('Inputs (2)'!$D$39:$AL$39,MATCH(Y$7,'Inputs (2)'!$D$2:$AL$2,0))</f>
        <v>20.8403887</v>
      </c>
      <c r="Z246" s="25">
        <f>INDEX('Inputs (2)'!$D$39:$AL$39,MATCH(Z$7,'Inputs (2)'!$D$2:$AL$2,0))</f>
        <v>21.53490533</v>
      </c>
      <c r="AA246" s="25">
        <f>INDEX('Inputs (2)'!$D$39:$AL$39,MATCH(AA$7,'Inputs (2)'!$D$2:$AL$2,0))</f>
        <v>23.77900509</v>
      </c>
      <c r="AB246" s="3">
        <f>AA246</f>
        <v>23.77900509</v>
      </c>
      <c r="AC246" s="25">
        <f>INDEX('Inputs (2)'!$D$39:$AL$39,MATCH(AC$7,'Inputs (2)'!$D$2:$AL$2,0))</f>
        <v>45.01792284</v>
      </c>
      <c r="AD246" s="25">
        <f>INDEX('Inputs (2)'!$D$39:$AL$39,MATCH(AD$7,'Inputs (2)'!$D$2:$AL$2,0))</f>
        <v>56.79085536</v>
      </c>
      <c r="AE246" s="25">
        <f>INDEX('Inputs (2)'!$D$39:$AL$39,MATCH(AE$7,'Inputs (2)'!$D$2:$AL$2,0))</f>
        <v>72.288</v>
      </c>
      <c r="AF246" s="25">
        <f>INDEX('Inputs (2)'!$D$39:$AL$39,MATCH(AF$7,'Inputs (2)'!$D$2:$AL$2,0))</f>
        <v>31.3574429</v>
      </c>
      <c r="AG246" s="3">
        <f>AF246</f>
        <v>31.3574429</v>
      </c>
      <c r="AH246" s="3">
        <f>INDEX('Inputs (2)'!$D$39:$AL$39,MATCH(AH$7,'Inputs (2)'!$D$2:$AL$2,0))</f>
        <v>32.92164953</v>
      </c>
      <c r="AI246" s="3">
        <f>INDEX('Inputs (2)'!$D$39:$AL$39,MATCH(AI$7,'Inputs (2)'!$D$2:$AL$2,0))</f>
        <v>36.90326203</v>
      </c>
      <c r="AJ246" s="3">
        <f>AI246</f>
        <v>36.90326203</v>
      </c>
      <c r="AK246" s="3">
        <f>AJ246</f>
        <v>36.90326203</v>
      </c>
      <c r="AL246" s="3">
        <f>AK246</f>
        <v>36.90326203</v>
      </c>
      <c r="AM246" s="3">
        <f>AL246</f>
        <v>36.90326203</v>
      </c>
      <c r="AN246" s="3">
        <f>AM246</f>
        <v>36.90326203</v>
      </c>
      <c r="AO246" s="3">
        <f>AN246</f>
        <v>36.90326203</v>
      </c>
      <c r="AP246" s="3">
        <f>AO246</f>
        <v>36.90326203</v>
      </c>
      <c r="AQ246" s="3">
        <f>AP246</f>
        <v>36.90326203</v>
      </c>
      <c r="AR246" s="3">
        <f>AQ246</f>
        <v>36.90326203</v>
      </c>
      <c r="AS246" s="3">
        <f>AR246</f>
        <v>36.90326203</v>
      </c>
      <c r="AT246" s="3">
        <f>AS246</f>
        <v>36.90326203</v>
      </c>
      <c r="AU246" s="3">
        <f>AT246</f>
        <v>36.90326203</v>
      </c>
      <c r="AV246" s="3">
        <f>AU246</f>
        <v>36.90326203</v>
      </c>
      <c r="AW246" s="3">
        <f>AV246</f>
        <v>36.90326203</v>
      </c>
      <c r="AX246" s="3">
        <f>AW246</f>
        <v>36.90326203</v>
      </c>
      <c r="AY246" s="3">
        <f>AX246</f>
        <v>36.90326203</v>
      </c>
      <c r="AZ246" s="3">
        <f>AY246</f>
        <v>36.90326203</v>
      </c>
      <c r="BA246" s="3">
        <f>AZ246</f>
        <v>36.90326203</v>
      </c>
      <c r="BB246" s="3">
        <f>BA246</f>
        <v>36.90326203</v>
      </c>
      <c r="BC246" s="3">
        <f>BB246</f>
        <v>36.90326203</v>
      </c>
      <c r="BD246" s="3">
        <f>BC246</f>
        <v>36.90326203</v>
      </c>
      <c r="BE246" s="3">
        <f>BD246</f>
        <v>36.90326203</v>
      </c>
      <c r="BF246" s="3">
        <f>BE246</f>
        <v>36.90326203</v>
      </c>
      <c r="BG246" s="3">
        <f>BF246</f>
        <v>36.90326203</v>
      </c>
      <c r="BH246" s="3">
        <f>BG246</f>
        <v>36.90326203</v>
      </c>
      <c r="BI246" s="3">
        <f>BH246</f>
        <v>36.90326203</v>
      </c>
      <c r="BJ246" s="3">
        <f>BI246</f>
        <v>36.90326203</v>
      </c>
      <c r="BK246" s="3">
        <f>BJ246</f>
        <v>36.90326203</v>
      </c>
      <c r="BL246" s="3">
        <f>BK246</f>
        <v>36.90326203</v>
      </c>
      <c r="BM246" s="3">
        <f>BL246</f>
        <v>36.90326203</v>
      </c>
      <c r="BN246" s="3">
        <f>BM246</f>
        <v>36.90326203</v>
      </c>
      <c r="BO246" s="3">
        <f>BN246</f>
        <v>36.90326203</v>
      </c>
      <c r="BP246" s="3">
        <f>BO246</f>
        <v>36.90326203</v>
      </c>
      <c r="BQ246" s="3">
        <f>BP246</f>
        <v>36.90326203</v>
      </c>
      <c r="BR246" s="3">
        <f>BQ246</f>
        <v>36.90326203</v>
      </c>
      <c r="BS246" s="3">
        <f>BR246</f>
        <v>36.90326203</v>
      </c>
      <c r="BT246" s="3">
        <f>BS246</f>
        <v>36.90326203</v>
      </c>
      <c r="BU246" s="3">
        <f>BT246</f>
        <v>36.90326203</v>
      </c>
      <c r="BV246" s="3">
        <f>BU246</f>
        <v>36.90326203</v>
      </c>
      <c r="BW246" s="3">
        <f>BV246</f>
        <v>36.90326203</v>
      </c>
      <c r="BX246" s="3">
        <f>BW246</f>
        <v>36.90326203</v>
      </c>
      <c r="BY246" s="3">
        <f>BX246</f>
        <v>36.90326203</v>
      </c>
      <c r="BZ246" s="3">
        <f>BY246</f>
        <v>36.90326203</v>
      </c>
      <c r="CA246" s="3">
        <f>BZ246</f>
        <v>36.90326203</v>
      </c>
      <c r="CB246" s="3">
        <f>CA246</f>
        <v>36.90326203</v>
      </c>
      <c r="CC246" s="3">
        <f>CB246</f>
        <v>36.90326203</v>
      </c>
      <c r="CD246" s="3">
        <f>CC246</f>
        <v>36.90326203</v>
      </c>
      <c r="CE246" s="3">
        <f>CD246</f>
        <v>36.90326203</v>
      </c>
      <c r="CF246" s="3">
        <f>CE246</f>
        <v>36.90326203</v>
      </c>
      <c r="CG246" s="3">
        <f>CF246</f>
        <v>36.90326203</v>
      </c>
      <c r="CH246" s="3">
        <f>CG246</f>
        <v>36.90326203</v>
      </c>
      <c r="CI246" s="3">
        <f>CH246</f>
        <v>36.90326203</v>
      </c>
      <c r="CJ246" s="3">
        <f>CI246</f>
        <v>36.90326203</v>
      </c>
      <c r="CK246" s="3">
        <f>CJ246</f>
        <v>36.90326203</v>
      </c>
      <c r="CL246" s="3">
        <f>CK246</f>
        <v>36.90326203</v>
      </c>
      <c r="CM246" s="3">
        <f>CL246</f>
        <v>36.90326203</v>
      </c>
      <c r="CN246" s="3">
        <f>CM246</f>
        <v>36.90326203</v>
      </c>
      <c r="CO246" s="3">
        <f>CN246</f>
        <v>36.90326203</v>
      </c>
      <c r="CP246" s="3">
        <f>CO246</f>
        <v>36.90326203</v>
      </c>
      <c r="CQ246" s="3">
        <f>CP246</f>
        <v>36.90326203</v>
      </c>
      <c r="CR246" s="3">
        <f>CQ246</f>
        <v>36.90326203</v>
      </c>
      <c r="CS246" s="3">
        <f>CR246</f>
        <v>36.90326203</v>
      </c>
      <c r="CT246" s="3">
        <f>CS246</f>
        <v>36.90326203</v>
      </c>
      <c r="CU246" s="3">
        <f>CT246</f>
        <v>36.90326203</v>
      </c>
      <c r="CV246" s="3">
        <f>CU246</f>
        <v>36.90326203</v>
      </c>
      <c r="CW246" s="3">
        <f>CV246</f>
        <v>36.90326203</v>
      </c>
      <c r="CX246" s="3">
        <f>CW246</f>
        <v>36.90326203</v>
      </c>
      <c r="CY246" s="3">
        <f>CX246</f>
        <v>36.90326203</v>
      </c>
    </row>
    <row r="247" hidden="1" outlineLevel="1" ht="12" customHeight="1">
      <c r="C247" s="38" t="inlineStr">
        <is>
          <t>%(Var.)</t>
        </is>
      </c>
      <c r="D247" s="3" t="n"/>
      <c r="E247" s="47">
        <f>(E246-D246)/D246</f>
        <v>-0.0613977487937865</v>
      </c>
      <c r="F247" s="47">
        <f>(F246-E246)/E246</f>
        <v>0.0769895931191621</v>
      </c>
      <c r="G247" s="47">
        <f>(G246-F246)/F246</f>
        <v>0.257452752736734</v>
      </c>
      <c r="H247" s="3" t="n"/>
      <c r="I247" s="47">
        <f>(I246-H246)/H246</f>
        <v>0.016776249438593</v>
      </c>
      <c r="J247" s="47">
        <f>(J246-I246)/I246</f>
        <v>0.0287099578675723</v>
      </c>
      <c r="K247" s="47">
        <f>(K246-J246)/J246</f>
        <v>-0.0252728766157112</v>
      </c>
      <c r="L247" s="47">
        <f>(L246-K246)/K246</f>
        <v>-0.314217924823746</v>
      </c>
      <c r="M247" s="3" t="n"/>
      <c r="N247" s="47">
        <f>(N246-M246)/M246</f>
        <v>0.236602435467305</v>
      </c>
      <c r="O247" s="47">
        <f>(O246-N246)/N246</f>
        <v>-0.0347516000044261</v>
      </c>
      <c r="P247" s="47">
        <f>(P246-O246)/O246</f>
        <v>-0.170143593921706</v>
      </c>
      <c r="Q247" s="47">
        <f>(Q246-P246)/P246</f>
        <v>0.0998922987813742</v>
      </c>
      <c r="R247" s="3" t="n"/>
      <c r="S247" s="47">
        <f>(S246-R246)/R246</f>
        <v>-0.111610760006482</v>
      </c>
      <c r="T247" s="47">
        <f>(T246-S246)/S246</f>
        <v>0.0736595704318481</v>
      </c>
      <c r="U247" s="47">
        <f>(U246-T246)/T246</f>
        <v>-0.138745785817321</v>
      </c>
      <c r="V247" s="47">
        <f>(V246-U246)/U246</f>
        <v>-0.0306425263955614</v>
      </c>
      <c r="W247" s="3" t="n"/>
      <c r="X247" s="47">
        <f>(X246-W246)/W246</f>
        <v>0.0543785897888205</v>
      </c>
      <c r="Y247" s="47">
        <f>(Y246-X246)/X246</f>
        <v>0.00556115028707712</v>
      </c>
      <c r="Z247" s="47">
        <f>(Z246-Y246)/Y246</f>
        <v>0.0333255123019852</v>
      </c>
      <c r="AA247" s="47">
        <f>(AA246-Z246)/Z246</f>
        <v>0.104207551675362</v>
      </c>
      <c r="AB247" s="3" t="n"/>
      <c r="AC247" s="47">
        <f>(AC246-AB246)/AB246</f>
        <v>0.893179410560444</v>
      </c>
      <c r="AD247" s="47">
        <f>(AD246-AC246)/AC246</f>
        <v>0.26151656445462</v>
      </c>
      <c r="AE247" s="47">
        <f>(AE246-AD246)/AD246</f>
        <v>0.272880986591289</v>
      </c>
      <c r="AF247" s="230">
        <f>(AF246-AE246)/AE246</f>
        <v>-0.566215099324923</v>
      </c>
      <c r="AG247" s="3" t="n"/>
      <c r="AH247" s="230">
        <f>(AH246-AG246)/AG246</f>
        <v>0.0498831054237526</v>
      </c>
      <c r="AI247" s="230">
        <f>(AI246-AH246)/AH246</f>
        <v>0.120942071762587</v>
      </c>
      <c r="AJ247" s="230" t="n"/>
      <c r="AK247" s="230" t="n"/>
      <c r="AL247" s="3" t="n"/>
      <c r="AM247" s="230" t="n"/>
      <c r="AN247" s="230" t="n"/>
      <c r="AO247" s="230" t="n"/>
      <c r="AP247" s="230" t="n"/>
      <c r="AQ247" s="3" t="n"/>
      <c r="AR247" s="230" t="n"/>
      <c r="AS247" s="230" t="n"/>
      <c r="AT247" s="230" t="n"/>
      <c r="AU247" s="230" t="n"/>
      <c r="AV247" s="3" t="n"/>
      <c r="AW247" s="230" t="n"/>
      <c r="AX247" s="230" t="n"/>
      <c r="AY247" s="230" t="n"/>
      <c r="AZ247" s="230" t="n"/>
      <c r="BA247" s="3" t="n"/>
      <c r="BB247" s="230" t="n"/>
      <c r="BC247" s="230" t="n"/>
      <c r="BD247" s="230" t="n"/>
      <c r="BE247" s="230" t="n"/>
      <c r="BF247" s="3" t="n"/>
      <c r="BG247" s="230" t="n"/>
      <c r="BH247" s="230" t="n"/>
      <c r="BI247" s="230" t="n"/>
      <c r="BJ247" s="230" t="n"/>
      <c r="BK247" s="3" t="n"/>
      <c r="BL247" s="230" t="n"/>
      <c r="BM247" s="230" t="n"/>
      <c r="BN247" s="230" t="n"/>
      <c r="BO247" s="230" t="n"/>
      <c r="BP247" s="3" t="n"/>
      <c r="BQ247" s="230" t="n"/>
      <c r="BR247" s="230" t="n"/>
      <c r="BS247" s="230" t="n"/>
      <c r="BT247" s="230" t="n"/>
      <c r="BU247" s="3" t="n"/>
      <c r="BV247" s="230" t="n"/>
      <c r="BW247" s="230" t="n"/>
      <c r="BX247" s="230" t="n"/>
      <c r="BY247" s="230" t="n"/>
      <c r="BZ247" s="3" t="n"/>
      <c r="CA247" s="230" t="n"/>
      <c r="CB247" s="230" t="n"/>
      <c r="CC247" s="230" t="n"/>
      <c r="CD247" s="230" t="n"/>
      <c r="CE247" s="3" t="n"/>
      <c r="CF247" s="230" t="n"/>
      <c r="CG247" s="230" t="n"/>
      <c r="CH247" s="230" t="n"/>
      <c r="CI247" s="230" t="n"/>
      <c r="CJ247" s="3" t="n"/>
      <c r="CK247" s="230" t="n"/>
      <c r="CL247" s="230" t="n"/>
      <c r="CM247" s="230" t="n"/>
      <c r="CN247" s="230" t="n"/>
      <c r="CO247" s="3" t="n"/>
      <c r="CP247" s="230" t="n"/>
      <c r="CQ247" s="230" t="n"/>
      <c r="CR247" s="230" t="n"/>
      <c r="CS247" s="230" t="n"/>
      <c r="CT247" s="3" t="n"/>
      <c r="CU247" s="230" t="n"/>
      <c r="CV247" s="230" t="n"/>
      <c r="CW247" s="230" t="n"/>
      <c r="CX247" s="230" t="n"/>
      <c r="CY247" s="3" t="n"/>
    </row>
    <row r="248" hidden="1" outlineLevel="1" ht="12" customHeight="1">
      <c r="C248" s="38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hidden="1" outlineLevel="1">
      <c r="C249" s="34" t="inlineStr">
        <is>
          <t>Contas a pagar pela aquisição de controladas</t>
        </is>
      </c>
      <c r="D249" s="6" t="n"/>
      <c r="E249" s="6" t="n"/>
      <c r="F249" s="6" t="n"/>
      <c r="G249" s="6" t="n"/>
      <c r="H249" s="3" t="n"/>
      <c r="I249" s="6" t="n"/>
      <c r="J249" s="6" t="n"/>
      <c r="K249" s="6" t="n"/>
      <c r="L249" s="6" t="n"/>
      <c r="M249" s="3" t="n"/>
      <c r="N249" s="6" t="n"/>
      <c r="O249" s="6" t="n"/>
      <c r="P249" s="6" t="n"/>
      <c r="Q249" s="6" t="n"/>
      <c r="R249" s="3" t="n"/>
      <c r="S249" s="6" t="n"/>
      <c r="T249" s="6" t="n"/>
      <c r="U249" s="6" t="n"/>
      <c r="V249" s="6" t="n"/>
      <c r="W249" s="3" t="n"/>
      <c r="X249" s="6" t="n"/>
      <c r="Y249" s="6" t="n"/>
      <c r="Z249" s="6" t="n"/>
      <c r="AA249" s="6" t="n"/>
      <c r="AB249" s="3" t="n"/>
      <c r="AC249" s="6" t="n"/>
      <c r="AD249" s="6" t="n"/>
      <c r="AE249" s="6" t="n"/>
      <c r="AF249" s="6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  <c r="CU249" s="3" t="n"/>
      <c r="CV249" s="3" t="n"/>
      <c r="CW249" s="3" t="n"/>
      <c r="CX249" s="3" t="n"/>
      <c r="CY249" s="3" t="n"/>
    </row>
    <row r="250" hidden="1" outlineLevel="1">
      <c r="C250" s="34" t="inlineStr">
        <is>
          <t xml:space="preserve">Outras Obrigações </t>
        </is>
      </c>
      <c r="D250" s="6" t="n"/>
      <c r="E250" s="6" t="n"/>
      <c r="F250" s="6" t="n"/>
      <c r="G250" s="6" t="n"/>
      <c r="H250" s="3" t="n"/>
      <c r="I250" s="6" t="n"/>
      <c r="J250" s="6" t="n"/>
      <c r="K250" s="6" t="n"/>
      <c r="L250" s="6" t="n"/>
      <c r="M250" s="3" t="n"/>
      <c r="N250" s="6" t="n"/>
      <c r="O250" s="6" t="n"/>
      <c r="P250" s="6" t="n"/>
      <c r="Q250" s="6" t="n"/>
      <c r="R250" s="3" t="n"/>
      <c r="S250" s="6" t="n"/>
      <c r="T250" s="6" t="n"/>
      <c r="U250" s="6" t="n"/>
      <c r="V250" s="6" t="n"/>
      <c r="W250" s="3" t="n"/>
      <c r="X250" s="6" t="n"/>
      <c r="Y250" s="6" t="n"/>
      <c r="Z250" s="6" t="n"/>
      <c r="AA250" s="6" t="n"/>
      <c r="AB250" s="3" t="n"/>
      <c r="AC250" s="6" t="n"/>
      <c r="AD250" s="6" t="n"/>
      <c r="AE250" s="6" t="n"/>
      <c r="AF250" s="6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n"/>
      <c r="BE250" s="3" t="n"/>
      <c r="BF250" s="3" t="n"/>
      <c r="BG250" s="3" t="n"/>
      <c r="BH250" s="3" t="n"/>
      <c r="BI250" s="3" t="n"/>
      <c r="BJ250" s="3" t="n"/>
      <c r="BK250" s="3" t="n"/>
      <c r="BL250" s="3" t="n"/>
      <c r="BM250" s="3" t="n"/>
      <c r="BN250" s="3" t="n"/>
      <c r="BO250" s="3" t="n"/>
      <c r="BP250" s="3" t="n"/>
      <c r="BQ250" s="3" t="n"/>
      <c r="BR250" s="3" t="n"/>
      <c r="BS250" s="3" t="n"/>
      <c r="BT250" s="3" t="n"/>
      <c r="BU250" s="3" t="n"/>
      <c r="BV250" s="3" t="n"/>
      <c r="BW250" s="3" t="n"/>
      <c r="BX250" s="3" t="n"/>
      <c r="BY250" s="3" t="n"/>
      <c r="BZ250" s="3" t="n"/>
      <c r="CA250" s="3" t="n"/>
      <c r="CB250" s="3" t="n"/>
      <c r="CC250" s="3" t="n"/>
      <c r="CD250" s="3" t="n"/>
      <c r="CE250" s="3" t="n"/>
      <c r="CF250" s="3" t="n"/>
      <c r="CG250" s="3" t="n"/>
      <c r="CH250" s="3" t="n"/>
      <c r="CI250" s="3" t="n"/>
      <c r="CJ250" s="3" t="n"/>
      <c r="CK250" s="3" t="n"/>
      <c r="CL250" s="3" t="n"/>
      <c r="CM250" s="3" t="n"/>
      <c r="CN250" s="3" t="n"/>
      <c r="CO250" s="3" t="n"/>
      <c r="CP250" s="3" t="n"/>
      <c r="CQ250" s="3" t="n"/>
      <c r="CR250" s="3" t="n"/>
      <c r="CS250" s="3" t="n"/>
      <c r="CT250" s="3" t="n"/>
      <c r="CU250" s="3" t="n"/>
      <c r="CV250" s="3" t="n"/>
      <c r="CW250" s="3" t="n"/>
      <c r="CX250" s="3" t="n"/>
      <c r="CY250" s="3" t="n"/>
    </row>
    <row r="251" hidden="1" outlineLevel="1">
      <c r="C251" s="34" t="inlineStr">
        <is>
          <t xml:space="preserve">Provisão de Risco Cíveis, Trabalhistas e Tributários </t>
        </is>
      </c>
      <c r="D251" s="6" t="n"/>
      <c r="E251" s="6" t="n"/>
      <c r="F251" s="6" t="n"/>
      <c r="G251" s="6" t="n"/>
      <c r="H251" s="3" t="n"/>
      <c r="I251" s="6" t="n"/>
      <c r="J251" s="6" t="n"/>
      <c r="K251" s="6" t="n"/>
      <c r="L251" s="6" t="n"/>
      <c r="M251" s="3" t="n"/>
      <c r="N251" s="6" t="n"/>
      <c r="O251" s="6" t="n"/>
      <c r="P251" s="6" t="n"/>
      <c r="Q251" s="6" t="n"/>
      <c r="R251" s="3" t="n"/>
      <c r="S251" s="6" t="n"/>
      <c r="T251" s="6" t="n"/>
      <c r="U251" s="6" t="n"/>
      <c r="V251" s="6" t="n"/>
      <c r="W251" s="3" t="n"/>
      <c r="X251" s="6" t="n"/>
      <c r="Y251" s="6" t="n"/>
      <c r="Z251" s="6" t="n"/>
      <c r="AA251" s="6" t="n"/>
      <c r="AB251" s="3" t="n"/>
      <c r="AC251" s="6" t="n"/>
      <c r="AD251" s="6" t="n"/>
      <c r="AE251" s="6" t="n"/>
      <c r="AF251" s="6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n"/>
      <c r="BE251" s="3" t="n"/>
      <c r="BF251" s="3" t="n"/>
      <c r="BG251" s="3" t="n"/>
      <c r="BH251" s="3" t="n"/>
      <c r="BI251" s="3" t="n"/>
      <c r="BJ251" s="3" t="n"/>
      <c r="BK251" s="3" t="n"/>
      <c r="BL251" s="3" t="n"/>
      <c r="BM251" s="3" t="n"/>
      <c r="BN251" s="3" t="n"/>
      <c r="BO251" s="3" t="n"/>
      <c r="BP251" s="3" t="n"/>
      <c r="BQ251" s="3" t="n"/>
      <c r="BR251" s="3" t="n"/>
      <c r="BS251" s="3" t="n"/>
      <c r="BT251" s="3" t="n"/>
      <c r="BU251" s="3" t="n"/>
      <c r="BV251" s="3" t="n"/>
      <c r="BW251" s="3" t="n"/>
      <c r="BX251" s="3" t="n"/>
      <c r="BY251" s="3" t="n"/>
      <c r="BZ251" s="3" t="n"/>
      <c r="CA251" s="3" t="n"/>
      <c r="CB251" s="3" t="n"/>
      <c r="CC251" s="3" t="n"/>
      <c r="CD251" s="3" t="n"/>
      <c r="CE251" s="3" t="n"/>
      <c r="CF251" s="3" t="n"/>
      <c r="CG251" s="3" t="n"/>
      <c r="CH251" s="3" t="n"/>
      <c r="CI251" s="3" t="n"/>
      <c r="CJ251" s="3" t="n"/>
      <c r="CK251" s="3" t="n"/>
      <c r="CL251" s="3" t="n"/>
      <c r="CM251" s="3" t="n"/>
      <c r="CN251" s="3" t="n"/>
      <c r="CO251" s="3" t="n"/>
      <c r="CP251" s="3" t="n"/>
      <c r="CQ251" s="3" t="n"/>
      <c r="CR251" s="3" t="n"/>
      <c r="CS251" s="3" t="n"/>
      <c r="CT251" s="3" t="n"/>
      <c r="CU251" s="3" t="n"/>
      <c r="CV251" s="3" t="n"/>
      <c r="CW251" s="3" t="n"/>
      <c r="CX251" s="3" t="n"/>
      <c r="CY251" s="3" t="n"/>
    </row>
    <row r="252" hidden="1" outlineLevel="1">
      <c r="C252" s="34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n"/>
      <c r="BE252" s="3" t="n"/>
      <c r="BF252" s="3" t="n"/>
      <c r="BG252" s="3" t="n"/>
      <c r="BH252" s="3" t="n"/>
      <c r="BI252" s="3" t="n"/>
      <c r="BJ252" s="3" t="n"/>
      <c r="BK252" s="3" t="n"/>
      <c r="BL252" s="3" t="n"/>
      <c r="BM252" s="3" t="n"/>
      <c r="BN252" s="3" t="n"/>
      <c r="BO252" s="3" t="n"/>
      <c r="BP252" s="3" t="n"/>
      <c r="BQ252" s="3" t="n"/>
      <c r="BR252" s="3" t="n"/>
      <c r="BS252" s="3" t="n"/>
      <c r="BT252" s="3" t="n"/>
      <c r="BU252" s="3" t="n"/>
      <c r="BV252" s="3" t="n"/>
      <c r="BW252" s="3" t="n"/>
      <c r="BX252" s="3" t="n"/>
      <c r="BY252" s="3" t="n"/>
      <c r="BZ252" s="3" t="n"/>
      <c r="CA252" s="3" t="n"/>
      <c r="CB252" s="3" t="n"/>
      <c r="CC252" s="3" t="n"/>
      <c r="CD252" s="3" t="n"/>
      <c r="CE252" s="3" t="n"/>
      <c r="CF252" s="3" t="n"/>
      <c r="CG252" s="3" t="n"/>
      <c r="CH252" s="3" t="n"/>
      <c r="CI252" s="3" t="n"/>
      <c r="CJ252" s="3" t="n"/>
      <c r="CK252" s="3" t="n"/>
      <c r="CL252" s="3" t="n"/>
      <c r="CM252" s="3" t="n"/>
      <c r="CN252" s="3" t="n"/>
      <c r="CO252" s="3" t="n"/>
      <c r="CP252" s="3" t="n"/>
      <c r="CQ252" s="3" t="n"/>
      <c r="CR252" s="3" t="n"/>
      <c r="CS252" s="3" t="n"/>
      <c r="CT252" s="3" t="n"/>
      <c r="CU252" s="3" t="n"/>
      <c r="CV252" s="3" t="n"/>
      <c r="CW252" s="3" t="n"/>
      <c r="CX252" s="3" t="n"/>
      <c r="CY252" s="3" t="n"/>
    </row>
    <row r="253" collapsed="1" customFormat="1" s="17">
      <c r="A253" s="13" t="n"/>
      <c r="B253" s="13" t="n"/>
      <c r="C253" s="27" t="inlineStr">
        <is>
          <t>Total Liabilities</t>
        </is>
      </c>
      <c r="D253" s="16">
        <f>SUM(D204+D208+D210+D211+D218+D219+D220+D223+D241+D244+D245+D246)</f>
        <v>720.457</v>
      </c>
      <c r="E253" s="16">
        <f>SUM(E204+E208+E210+E211+E218+E219+E220+E223+E241+E244+E245+E246)</f>
        <v>773.91012844</v>
      </c>
      <c r="F253" s="16">
        <f>SUM(F204+F208+F210+F211+F218+F219+F220+F223+F241+F244+F245+F246)</f>
        <v>794.88320777</v>
      </c>
      <c r="G253" s="16">
        <f>SUM(G204+G208+G210+G211+G218+G219+G220+G223+G241+G244+G245+G246)</f>
        <v>969.22090324</v>
      </c>
      <c r="H253" s="16">
        <f>SUM(H204,H208,H210,H211,H218,H219,H223,H220,H241,H244,H245,H246)</f>
        <v>969.22090324</v>
      </c>
      <c r="I253" s="16">
        <f>SUM(I204+I208+I210+I211+I218+I219+I220+I223+I241+I244+I245+I246)</f>
        <v>811.0084295</v>
      </c>
      <c r="J253" s="16">
        <f>SUM(J204+J208+J210+J211+J218+J219+J220+J223+J241+J244+J245+J246)</f>
        <v>918.55800422</v>
      </c>
      <c r="K253" s="16">
        <f>SUM(K204+K208+K210+K211+K218+K219+K220+K223+K241+K244+K245+K246)</f>
        <v>1025.98418562</v>
      </c>
      <c r="L253" s="16">
        <f>SUM(L204+L208+L210+L211+L218+L219+L220+L223+L241+L244+L245+L246)</f>
        <v>1171.13747064</v>
      </c>
      <c r="M253" s="16">
        <f>SUM(M204,M208,M210,M211,M218,M219,M223,M220,M241,M244,M245,M246)</f>
        <v>1171.13747064</v>
      </c>
      <c r="N253" s="16">
        <f>SUM(N204+N208+N210+N211+N218+N219+N220+N223+N241+N244+N245+N246)</f>
        <v>1094.29768637</v>
      </c>
      <c r="O253" s="16">
        <f>SUM(O204+O208+O210+O211+O218+O219+O220+O223+O241+O244+O245+O246)</f>
        <v>1034.61581068</v>
      </c>
      <c r="P253" s="16">
        <f>SUM(P204+P208+P210+P211+P218+P219+P220+P223+P241+P244+P245+P246)</f>
        <v>1095.40629</v>
      </c>
      <c r="Q253" s="16">
        <f>SUM(Q204+Q208+Q210+Q211+Q218+Q219+Q220+Q223+Q241+Q244+Q245+Q246)</f>
        <v>1274.2219735</v>
      </c>
      <c r="R253" s="16">
        <f>SUM(R204,R208,R210,R211,R218,R219,R223,R220,R241,R244,R245,R246)</f>
        <v>1274.2219735</v>
      </c>
      <c r="S253" s="16">
        <f>SUM(S204+S208+S210+S211+S218+S219+S220+S223+S241+S244+S245+S246)</f>
        <v>1190.069</v>
      </c>
      <c r="T253" s="16">
        <f>SUM(T204+T208+T210+T211+T218+T219+T220+T223+T241+T244+T245+T246)</f>
        <v>1169.15774395</v>
      </c>
      <c r="U253" s="16">
        <f>SUM(U204+U208+U210+U211+U218+U219+U220+U223+U241+U244+U245+U246)</f>
        <v>1146.15091665</v>
      </c>
      <c r="V253" s="16">
        <f>SUM(V204+V208+V210+V211+V218+V219+V220+V223+V241+V244+V245+V246)</f>
        <v>1307.86867458</v>
      </c>
      <c r="W253" s="16">
        <f>SUM(W204,W208,W210,W211,W218,W219,W223,W220,W241,W244,W245,W246)</f>
        <v>1307.86867458</v>
      </c>
      <c r="X253" s="16">
        <f>SUM(X204+X208+X210+X211+X218+X219+X220+X223+X241+X244+X245+X246)</f>
        <v>1240.00887457</v>
      </c>
      <c r="Y253" s="16">
        <f>SUM(Y204+Y208+Y210+Y211+Y218+Y219+Y220+Y223+Y241+Y244+Y245+Y246)</f>
        <v>1270.06526853</v>
      </c>
      <c r="Z253" s="16">
        <f>SUM(Z204+Z208+Z210+Z211+Z218+Z219+Z220+Z223+Z241+Z244+Z245+Z246)</f>
        <v>1325.94643267936</v>
      </c>
      <c r="AA253" s="16">
        <f>SUM(AA204+AA208+AA210+AA211+AA218+AA219+AA220+AA223+AA241+AA244+AA245+AA246)</f>
        <v>1776.78752314</v>
      </c>
      <c r="AB253" s="16">
        <f>SUM(AB204,AB208,AB210,AB211,AB218,AB219,AB223,AB220,AB241,AB244,AB245,AB246)</f>
        <v>1776.78752314</v>
      </c>
      <c r="AC253" s="16">
        <f>SUM(AC204+AC208+AC210+AC211+AC218+AC219+AC220+AC223+AC241+AC244+AC245+AC246)</f>
        <v>1616.32385045</v>
      </c>
      <c r="AD253" s="16">
        <f>SUM(AD204+AD208+AD210+AD211+AD218+AD219+AD220+AD223+AD241+AD244+AD245+AD246)</f>
        <v>1523.69133399</v>
      </c>
      <c r="AE253" s="16">
        <f>SUM(AE204+AE208+AE210+AE211+AE218+AE219+AE220+AE223+AE241+AE244+AE245+AE246)</f>
        <v>1763.342</v>
      </c>
      <c r="AF253" s="16">
        <f>SUM(AF204+AF208+AF210+AF211+AF218+AF219+AF220+AF223+AF241+AF244+AF245+AF246)</f>
        <v>1773.12654737</v>
      </c>
      <c r="AG253" s="16">
        <f>SUM(AG204,AG208,AG210,AG211,AG218,AG219,AG223,AG220,AG241,AG244,AG245,AG246)</f>
        <v>1773.12654737</v>
      </c>
      <c r="AH253" s="16">
        <f>SUM(AH204+AH208+AH210+AH211+AH218+AH219+AH220+AH223+AH241+AH244+AH245+AH246)</f>
        <v>1645.37839088</v>
      </c>
      <c r="AI253" s="16">
        <f>SUM(AI204+AI208+AI210+AI211+AI218+AI219+AI220+AI223+AI241+AI244+AI245+AI246)</f>
        <v>1696.02788001</v>
      </c>
      <c r="AJ253" s="16">
        <f>SUM(AJ204+AJ208+AJ210+AJ211+AJ218+AJ219+AJ220+AJ223+AJ241+AJ244+AJ245+AJ246)</f>
        <v>1337.17698114</v>
      </c>
      <c r="AK253" s="16">
        <f>SUM(AK204+AK208+AK210+AK211+AK218+AK219+AK220+AK223+AK241+AK244+AK245+AK246)</f>
        <v>1337.17698114</v>
      </c>
      <c r="AL253" s="16">
        <f>SUM(AL204,AL208,AL210,AL211,AL218,AL219,AL223,AL220,AL241,AL244,AL245,AL246)</f>
        <v>1337.17698114</v>
      </c>
      <c r="AM253" s="16" t="e">
        <f>SUM(AM204+AM208+AM210+AM211+AM218+AM219+AM220+AM223+AM241+AM244+AM245+AM246)</f>
        <v>#DIV/0!</v>
      </c>
      <c r="AN253" s="16">
        <f>SUM(AN204+AN208+AN210+AN211+AN218+AN219+AN220+AN223+AN241+AN244+AN245+AN246)</f>
        <v>1337.17698114</v>
      </c>
      <c r="AO253" s="16" t="e">
        <f>SUM(AO204+AO208+AO210+AO211+AO218+AO219+AO220+AO223+AO241+AO244+AO245+AO246)</f>
        <v>#DIV/0!</v>
      </c>
      <c r="AP253" s="16" t="e">
        <f>SUM(AP204+AP208+AP210+AP211+AP218+AP219+AP220+AP223+AP241+AP244+AP245+AP246)</f>
        <v>#DIV/0!</v>
      </c>
      <c r="AQ253" s="16" t="e">
        <f>SUM(AQ204,AQ208,AQ210,AQ211,AQ218,AQ219,AQ223,AQ220,AQ241,AQ244,AQ245,AQ246)</f>
        <v>#DIV/0!</v>
      </c>
      <c r="AR253" s="16" t="e">
        <f>SUM(AR204+AR208+AR210+AR211+AR218+AR219+AR220+AR223+AR241+AR244+AR245+AR246)</f>
        <v>#DIV/0!</v>
      </c>
      <c r="AS253" s="16" t="e">
        <f>SUM(AS204+AS208+AS210+AS211+AS218+AS219+AS220+AS223+AS241+AS244+AS245+AS246)</f>
        <v>#DIV/0!</v>
      </c>
      <c r="AT253" s="16" t="e">
        <f>SUM(AT204+AT208+AT210+AT211+AT218+AT219+AT220+AT223+AT241+AT244+AT245+AT246)</f>
        <v>#DIV/0!</v>
      </c>
      <c r="AU253" s="16" t="e">
        <f>SUM(AU204+AU208+AU210+AU211+AU218+AU219+AU220+AU223+AU241+AU244+AU245+AU246)</f>
        <v>#DIV/0!</v>
      </c>
      <c r="AV253" s="16" t="e">
        <f>SUM(AV204,AV208,AV210,AV211,AV218,AV219,AV223,AV220,AV241,AV244,AV245,AV246)</f>
        <v>#DIV/0!</v>
      </c>
      <c r="AW253" s="16" t="e">
        <f>SUM(AW204+AW208+AW210+AW211+AW218+AW219+AW220+AW223+AW241+AW244+AW245+AW246)</f>
        <v>#DIV/0!</v>
      </c>
      <c r="AX253" s="16" t="e">
        <f>SUM(AX204+AX208+AX210+AX211+AX218+AX219+AX220+AX223+AX241+AX244+AX245+AX246)</f>
        <v>#DIV/0!</v>
      </c>
      <c r="AY253" s="16" t="e">
        <f>SUM(AY204+AY208+AY210+AY211+AY218+AY219+AY220+AY223+AY241+AY244+AY245+AY246)</f>
        <v>#DIV/0!</v>
      </c>
      <c r="AZ253" s="16" t="e">
        <f>SUM(AZ204+AZ208+AZ210+AZ211+AZ218+AZ219+AZ220+AZ223+AZ241+AZ244+AZ245+AZ246)</f>
        <v>#DIV/0!</v>
      </c>
      <c r="BA253" s="16" t="e">
        <f>SUM(BA204,BA208,BA210,BA211,BA218,BA219,BA223,BA220,BA241,BA244,BA245,BA246)</f>
        <v>#DIV/0!</v>
      </c>
      <c r="BB253" s="16" t="e">
        <f>SUM(BB204+BB208+BB210+BB211+BB218+BB219+BB220+BB223+BB241+BB244+BB245+BB246)</f>
        <v>#DIV/0!</v>
      </c>
      <c r="BC253" s="16" t="e">
        <f>SUM(BC204+BC208+BC210+BC211+BC218+BC219+BC220+BC223+BC241+BC244+BC245+BC246)</f>
        <v>#DIV/0!</v>
      </c>
      <c r="BD253" s="16" t="e">
        <f>SUM(BD204+BD208+BD210+BD211+BD218+BD219+BD220+BD223+BD241+BD244+BD245+BD246)</f>
        <v>#DIV/0!</v>
      </c>
      <c r="BE253" s="16" t="e">
        <f>SUM(BE204+BE208+BE210+BE211+BE218+BE219+BE220+BE223+BE241+BE244+BE245+BE246)</f>
        <v>#DIV/0!</v>
      </c>
      <c r="BF253" s="16" t="e">
        <f>SUM(BF204,BF208,BF210,BF211,BF218,BF219,BF223,BF220,BF241,BF244,BF245,BF246)</f>
        <v>#DIV/0!</v>
      </c>
      <c r="BG253" s="16" t="e">
        <f>SUM(BG204+BG208+BG210+BG211+BG218+BG219+BG220+BG223+BG241+BG244+BG245+BG246)</f>
        <v>#DIV/0!</v>
      </c>
      <c r="BH253" s="16" t="e">
        <f>SUM(BH204+BH208+BH210+BH211+BH218+BH219+BH220+BH223+BH241+BH244+BH245+BH246)</f>
        <v>#DIV/0!</v>
      </c>
      <c r="BI253" s="16" t="e">
        <f>SUM(BI204+BI208+BI210+BI211+BI218+BI219+BI220+BI223+BI241+BI244+BI245+BI246)</f>
        <v>#DIV/0!</v>
      </c>
      <c r="BJ253" s="16" t="e">
        <f>SUM(BJ204+BJ208+BJ210+BJ211+BJ218+BJ219+BJ220+BJ223+BJ241+BJ244+BJ245+BJ246)</f>
        <v>#DIV/0!</v>
      </c>
      <c r="BK253" s="16" t="e">
        <f>SUM(BK204,BK208,BK210,BK211,BK218,BK219,BK223,BK220,BK241,BK244,BK245,BK246)</f>
        <v>#DIV/0!</v>
      </c>
      <c r="BL253" s="16" t="e">
        <f>SUM(BL204+BL208+BL210+BL211+BL218+BL219+BL220+BL223+BL241+BL244+BL245+BL246)</f>
        <v>#DIV/0!</v>
      </c>
      <c r="BM253" s="16" t="e">
        <f>SUM(BM204+BM208+BM210+BM211+BM218+BM219+BM220+BM223+BM241+BM244+BM245+BM246)</f>
        <v>#DIV/0!</v>
      </c>
      <c r="BN253" s="16" t="e">
        <f>SUM(BN204+BN208+BN210+BN211+BN218+BN219+BN220+BN223+BN241+BN244+BN245+BN246)</f>
        <v>#DIV/0!</v>
      </c>
      <c r="BO253" s="16" t="e">
        <f>SUM(BO204+BO208+BO210+BO211+BO218+BO219+BO220+BO223+BO241+BO244+BO245+BO246)</f>
        <v>#DIV/0!</v>
      </c>
      <c r="BP253" s="16" t="e">
        <f>SUM(BP204,BP208,BP210,BP211,BP218,BP219,BP223,BP220,BP241,BP244,BP245,BP246)</f>
        <v>#DIV/0!</v>
      </c>
      <c r="BQ253" s="16" t="e">
        <f>SUM(BQ204+BQ208+BQ210+BQ211+BQ218+BQ219+BQ220+BQ223+BQ241+BQ244+BQ245+BQ246)</f>
        <v>#DIV/0!</v>
      </c>
      <c r="BR253" s="16" t="e">
        <f>SUM(BR204+BR208+BR210+BR211+BR218+BR219+BR220+BR223+BR241+BR244+BR245+BR246)</f>
        <v>#DIV/0!</v>
      </c>
      <c r="BS253" s="16" t="e">
        <f>SUM(BS204+BS208+BS210+BS211+BS218+BS219+BS220+BS223+BS241+BS244+BS245+BS246)</f>
        <v>#DIV/0!</v>
      </c>
      <c r="BT253" s="16" t="e">
        <f>SUM(BT204+BT208+BT210+BT211+BT218+BT219+BT220+BT223+BT241+BT244+BT245+BT246)</f>
        <v>#DIV/0!</v>
      </c>
      <c r="BU253" s="16" t="e">
        <f>SUM(BU204,BU208,BU210,BU211,BU218,BU219,BU223,BU220,BU241,BU244,BU245,BU246)</f>
        <v>#DIV/0!</v>
      </c>
      <c r="BV253" s="16" t="e">
        <f>SUM(BV204+BV208+BV210+BV211+BV218+BV219+BV220+BV223+BV241+BV244+BV245+BV246)</f>
        <v>#DIV/0!</v>
      </c>
      <c r="BW253" s="16" t="e">
        <f>SUM(BW204+BW208+BW210+BW211+BW218+BW219+BW220+BW223+BW241+BW244+BW245+BW246)</f>
        <v>#DIV/0!</v>
      </c>
      <c r="BX253" s="16" t="e">
        <f>SUM(BX204+BX208+BX210+BX211+BX218+BX219+BX220+BX223+BX241+BX244+BX245+BX246)</f>
        <v>#DIV/0!</v>
      </c>
      <c r="BY253" s="16" t="e">
        <f>SUM(BY204+BY208+BY210+BY211+BY218+BY219+BY220+BY223+BY241+BY244+BY245+BY246)</f>
        <v>#DIV/0!</v>
      </c>
      <c r="BZ253" s="16" t="e">
        <f>SUM(BZ204,BZ208,BZ210,BZ211,BZ218,BZ219,BZ223,BZ220,BZ241,BZ244,BZ245,BZ246)</f>
        <v>#DIV/0!</v>
      </c>
      <c r="CA253" s="16" t="e">
        <f>SUM(CA204+CA208+CA210+CA211+CA218+CA219+CA220+CA223+CA241+CA244+CA245+CA246)</f>
        <v>#DIV/0!</v>
      </c>
      <c r="CB253" s="16" t="e">
        <f>SUM(CB204+CB208+CB210+CB211+CB218+CB219+CB220+CB223+CB241+CB244+CB245+CB246)</f>
        <v>#DIV/0!</v>
      </c>
      <c r="CC253" s="16" t="e">
        <f>SUM(CC204+CC208+CC210+CC211+CC218+CC219+CC220+CC223+CC241+CC244+CC245+CC246)</f>
        <v>#DIV/0!</v>
      </c>
      <c r="CD253" s="16" t="e">
        <f>SUM(CD204+CD208+CD210+CD211+CD218+CD219+CD220+CD223+CD241+CD244+CD245+CD246)</f>
        <v>#DIV/0!</v>
      </c>
      <c r="CE253" s="16" t="e">
        <f>SUM(CE204,CE208,CE210,CE211,CE218,CE219,CE223,CE220,CE241,CE244,CE245,CE246)</f>
        <v>#DIV/0!</v>
      </c>
      <c r="CF253" s="16" t="e">
        <f>SUM(CF204+CF208+CF210+CF211+CF218+CF219+CF220+CF223+CF241+CF244+CF245+CF246)</f>
        <v>#DIV/0!</v>
      </c>
      <c r="CG253" s="16" t="e">
        <f>SUM(CG204+CG208+CG210+CG211+CG218+CG219+CG220+CG223+CG241+CG244+CG245+CG246)</f>
        <v>#DIV/0!</v>
      </c>
      <c r="CH253" s="16" t="e">
        <f>SUM(CH204+CH208+CH210+CH211+CH218+CH219+CH220+CH223+CH241+CH244+CH245+CH246)</f>
        <v>#DIV/0!</v>
      </c>
      <c r="CI253" s="16" t="e">
        <f>SUM(CI204+CI208+CI210+CI211+CI218+CI219+CI220+CI223+CI241+CI244+CI245+CI246)</f>
        <v>#DIV/0!</v>
      </c>
      <c r="CJ253" s="16" t="e">
        <f>SUM(CJ204,CJ208,CJ210,CJ211,CJ218,CJ219,CJ223,CJ220,CJ241,CJ244,CJ245,CJ246)</f>
        <v>#DIV/0!</v>
      </c>
      <c r="CK253" s="16" t="e">
        <f>SUM(CK204+CK208+CK210+CK211+CK218+CK219+CK220+CK223+CK241+CK244+CK245+CK246)</f>
        <v>#DIV/0!</v>
      </c>
      <c r="CL253" s="16" t="e">
        <f>SUM(CL204+CL208+CL210+CL211+CL218+CL219+CL220+CL223+CL241+CL244+CL245+CL246)</f>
        <v>#DIV/0!</v>
      </c>
      <c r="CM253" s="16" t="e">
        <f>SUM(CM204+CM208+CM210+CM211+CM218+CM219+CM220+CM223+CM241+CM244+CM245+CM246)</f>
        <v>#DIV/0!</v>
      </c>
      <c r="CN253" s="16" t="e">
        <f>SUM(CN204+CN208+CN210+CN211+CN218+CN219+CN220+CN223+CN241+CN244+CN245+CN246)</f>
        <v>#DIV/0!</v>
      </c>
      <c r="CO253" s="16" t="e">
        <f>SUM(CO204,CO208,CO210,CO211,CO218,CO219,CO223,CO220,CO241,CO244,CO245,CO246)</f>
        <v>#DIV/0!</v>
      </c>
      <c r="CP253" s="16" t="e">
        <f>SUM(CP204+CP208+CP210+CP211+CP218+CP219+CP220+CP223+CP241+CP244+CP245+CP246)</f>
        <v>#DIV/0!</v>
      </c>
      <c r="CQ253" s="16" t="e">
        <f>SUM(CQ204+CQ208+CQ210+CQ211+CQ218+CQ219+CQ220+CQ223+CQ241+CQ244+CQ245+CQ246)</f>
        <v>#DIV/0!</v>
      </c>
      <c r="CR253" s="16" t="e">
        <f>SUM(CR204+CR208+CR210+CR211+CR218+CR219+CR220+CR223+CR241+CR244+CR245+CR246)</f>
        <v>#DIV/0!</v>
      </c>
      <c r="CS253" s="16" t="e">
        <f>SUM(CS204+CS208+CS210+CS211+CS218+CS219+CS220+CS223+CS241+CS244+CS245+CS246)</f>
        <v>#DIV/0!</v>
      </c>
      <c r="CT253" s="16" t="e">
        <f>SUM(CT204,CT208,CT210,CT211,CT218,CT219,CT223,CT220,CT241,CT244,CT245,CT246)</f>
        <v>#DIV/0!</v>
      </c>
      <c r="CU253" s="16" t="e">
        <f>SUM(CU204+CU208+CU210+CU211+CU218+CU219+CU220+CU223+CU241+CU244+CU245+CU246)</f>
        <v>#DIV/0!</v>
      </c>
      <c r="CV253" s="16" t="e">
        <f>SUM(CV204+CV208+CV210+CV211+CV218+CV219+CV220+CV223+CV241+CV244+CV245+CV246)</f>
        <v>#DIV/0!</v>
      </c>
      <c r="CW253" s="16" t="e">
        <f>SUM(CW204+CW208+CW210+CW211+CW218+CW219+CW220+CW223+CW241+CW244+CW245+CW246)</f>
        <v>#DIV/0!</v>
      </c>
      <c r="CX253" s="16" t="e">
        <f>SUM(CX204+CX208+CX210+CX211+CX218+CX219+CX220+CX223+CX241+CX244+CX245+CX246)</f>
        <v>#DIV/0!</v>
      </c>
      <c r="CY253" s="16" t="e">
        <f>SUM(CY204,CY208,CY210,CY211,CY218,CY219,CY223,CY220,CY241,CY244,CY245,CY246)</f>
        <v>#DIV/0!</v>
      </c>
    </row>
    <row r="254">
      <c r="C254" s="26" t="inlineStr">
        <is>
          <t>Minority interest</t>
        </is>
      </c>
      <c r="D254" s="25" t="n"/>
      <c r="E254" s="25" t="n"/>
      <c r="F254" s="25" t="n"/>
      <c r="G254" s="25" t="n"/>
      <c r="H254" s="3">
        <f>G254</f>
        <v>0</v>
      </c>
      <c r="I254" s="25" t="n"/>
      <c r="J254" s="25" t="n"/>
      <c r="K254" s="25" t="n"/>
      <c r="L254" s="25" t="n"/>
      <c r="M254" s="3">
        <f>L254</f>
        <v>0</v>
      </c>
      <c r="N254" s="25" t="n"/>
      <c r="O254" s="25" t="n"/>
      <c r="P254" s="25" t="n"/>
      <c r="Q254" s="25" t="n"/>
      <c r="R254" s="3">
        <f>Q254</f>
        <v>0</v>
      </c>
      <c r="S254" s="25" t="n"/>
      <c r="T254" s="25" t="n"/>
      <c r="U254" s="25" t="n"/>
      <c r="V254" s="25" t="n"/>
      <c r="W254" s="3">
        <f>V254</f>
        <v>0</v>
      </c>
      <c r="X254" s="25" t="n"/>
      <c r="Y254" s="25" t="n"/>
      <c r="Z254" s="25" t="n"/>
      <c r="AA254" s="25" t="n"/>
      <c r="AB254" s="3">
        <f>AA254</f>
        <v>0</v>
      </c>
      <c r="AC254" s="25" t="n"/>
      <c r="AD254" s="25" t="n"/>
      <c r="AE254" s="25" t="n"/>
      <c r="AF254" s="25" t="n"/>
      <c r="AG254" s="3">
        <f>AF254</f>
        <v>0</v>
      </c>
      <c r="AH254" s="3">
        <f>AG254-AH142+AH257</f>
        <v>0</v>
      </c>
      <c r="AI254" s="3">
        <f>AH254-AI142+AI257</f>
        <v>0</v>
      </c>
      <c r="AJ254" s="3">
        <f>AI254-AJ142+AJ257</f>
        <v>0</v>
      </c>
      <c r="AK254" s="3">
        <f>AJ254-AK142+AK257</f>
        <v>0</v>
      </c>
      <c r="AL254" s="3">
        <f>AK254</f>
        <v>0</v>
      </c>
      <c r="AM254" s="3">
        <f>AL254-AM142+AM257</f>
        <v>0</v>
      </c>
      <c r="AN254" s="3">
        <f>AM254-AN142+AN257</f>
        <v>0</v>
      </c>
      <c r="AO254" s="3">
        <f>AN254-AO142+AO257</f>
        <v>0</v>
      </c>
      <c r="AP254" s="3">
        <f>AO254-AP142+AP257</f>
        <v>0</v>
      </c>
      <c r="AQ254" s="3">
        <f>AP254</f>
        <v>0</v>
      </c>
      <c r="AR254" s="3">
        <f>AQ254-AR142+AR257</f>
        <v>0</v>
      </c>
      <c r="AS254" s="3">
        <f>AR254-AS142+AS257</f>
        <v>0</v>
      </c>
      <c r="AT254" s="3">
        <f>AS254-AT142+AT257</f>
        <v>0</v>
      </c>
      <c r="AU254" s="3">
        <f>AT254-AU142+AU257</f>
        <v>0</v>
      </c>
      <c r="AV254" s="3">
        <f>AU254</f>
        <v>0</v>
      </c>
      <c r="AW254" s="3">
        <f>AV254-AW142+AW257</f>
        <v>0</v>
      </c>
      <c r="AX254" s="3">
        <f>AW254-AX142+AX257</f>
        <v>0</v>
      </c>
      <c r="AY254" s="3">
        <f>AX254-AY142+AY257</f>
        <v>0</v>
      </c>
      <c r="AZ254" s="3">
        <f>AY254-AZ142+AZ257</f>
        <v>0</v>
      </c>
      <c r="BA254" s="3">
        <f>AZ254</f>
        <v>0</v>
      </c>
      <c r="BB254" s="3">
        <f>BA254-BB142+BB257</f>
        <v>0</v>
      </c>
      <c r="BC254" s="3">
        <f>BB254-BC142+BC257</f>
        <v>0</v>
      </c>
      <c r="BD254" s="3">
        <f>BC254-BD142+BD257</f>
        <v>0</v>
      </c>
      <c r="BE254" s="3">
        <f>BD254-BE142+BE257</f>
        <v>0</v>
      </c>
      <c r="BF254" s="3">
        <f>BE254</f>
        <v>0</v>
      </c>
      <c r="BG254" s="3">
        <f>BF254-BG142+BG257</f>
        <v>0</v>
      </c>
      <c r="BH254" s="3">
        <f>BG254-BH142+BH257</f>
        <v>0</v>
      </c>
      <c r="BI254" s="3">
        <f>BH254-BI142+BI257</f>
        <v>0</v>
      </c>
      <c r="BJ254" s="3">
        <f>BI254-BJ142+BJ257</f>
        <v>0</v>
      </c>
      <c r="BK254" s="3">
        <f>BJ254</f>
        <v>0</v>
      </c>
      <c r="BL254" s="3">
        <f>BK254-BL142+BL257</f>
        <v>0</v>
      </c>
      <c r="BM254" s="3">
        <f>BL254-BM142+BM257</f>
        <v>0</v>
      </c>
      <c r="BN254" s="3">
        <f>BM254-BN142+BN257</f>
        <v>0</v>
      </c>
      <c r="BO254" s="3">
        <f>BN254-BO142+BO257</f>
        <v>0</v>
      </c>
      <c r="BP254" s="3">
        <f>BO254</f>
        <v>0</v>
      </c>
      <c r="BQ254" s="3">
        <f>BP254-BQ142+BQ257</f>
        <v>0</v>
      </c>
      <c r="BR254" s="3">
        <f>BQ254-BR142+BR257</f>
        <v>0</v>
      </c>
      <c r="BS254" s="3">
        <f>BR254-BS142+BS257</f>
        <v>0</v>
      </c>
      <c r="BT254" s="3">
        <f>BS254-BT142+BT257</f>
        <v>0</v>
      </c>
      <c r="BU254" s="3">
        <f>BT254</f>
        <v>0</v>
      </c>
      <c r="BV254" s="3">
        <f>BU254-BV142+BV257</f>
        <v>0</v>
      </c>
      <c r="BW254" s="3">
        <f>BV254-BW142+BW257</f>
        <v>0</v>
      </c>
      <c r="BX254" s="3">
        <f>BW254-BX142+BX257</f>
        <v>0</v>
      </c>
      <c r="BY254" s="3">
        <f>BX254-BY142+BY257</f>
        <v>0</v>
      </c>
      <c r="BZ254" s="3">
        <f>BY254</f>
        <v>0</v>
      </c>
      <c r="CA254" s="3">
        <f>BZ254-CA142+CA257</f>
        <v>0</v>
      </c>
      <c r="CB254" s="3">
        <f>CA254-CB142+CB257</f>
        <v>0</v>
      </c>
      <c r="CC254" s="3">
        <f>CB254-CC142+CC257</f>
        <v>0</v>
      </c>
      <c r="CD254" s="3">
        <f>CC254-CD142+CD257</f>
        <v>0</v>
      </c>
      <c r="CE254" s="3">
        <f>CD254</f>
        <v>0</v>
      </c>
      <c r="CF254" s="3">
        <f>CE254-CF142+CF257</f>
        <v>0</v>
      </c>
      <c r="CG254" s="3">
        <f>CF254-CG142+CG257</f>
        <v>0</v>
      </c>
      <c r="CH254" s="3">
        <f>CG254-CH142+CH257</f>
        <v>0</v>
      </c>
      <c r="CI254" s="3">
        <f>CH254-CI142+CI257</f>
        <v>0</v>
      </c>
      <c r="CJ254" s="3">
        <f>CI254</f>
        <v>0</v>
      </c>
      <c r="CK254" s="3">
        <f>CJ254-CK142+CK257</f>
        <v>0</v>
      </c>
      <c r="CL254" s="3">
        <f>CK254-CL142+CL257</f>
        <v>0</v>
      </c>
      <c r="CM254" s="3">
        <f>CL254-CM142+CM257</f>
        <v>0</v>
      </c>
      <c r="CN254" s="3">
        <f>CM254-CN142+CN257</f>
        <v>0</v>
      </c>
      <c r="CO254" s="3">
        <f>CN254</f>
        <v>0</v>
      </c>
      <c r="CP254" s="3">
        <f>CO254-CP142+CP257</f>
        <v>0</v>
      </c>
      <c r="CQ254" s="3">
        <f>CP254-CQ142+CQ257</f>
        <v>0</v>
      </c>
      <c r="CR254" s="3">
        <f>CQ254-CR142+CR257</f>
        <v>0</v>
      </c>
      <c r="CS254" s="3">
        <f>CR254-CS142+CS257</f>
        <v>0</v>
      </c>
      <c r="CT254" s="3">
        <f>CS254</f>
        <v>0</v>
      </c>
      <c r="CU254" s="3">
        <f>CT254-CU142+CU257</f>
        <v>0</v>
      </c>
      <c r="CV254" s="3">
        <f>CU254-CV142+CV257</f>
        <v>0</v>
      </c>
      <c r="CW254" s="3">
        <f>CV254-CW142+CW257</f>
        <v>0</v>
      </c>
      <c r="CX254" s="3">
        <f>CW254-CX142+CX257</f>
        <v>0</v>
      </c>
      <c r="CY254" s="3">
        <f>CX254</f>
        <v>0</v>
      </c>
    </row>
    <row r="255" hidden="1" outlineLevel="1" customFormat="1" s="39">
      <c r="A255" s="19" t="n"/>
      <c r="B255" s="19" t="n"/>
      <c r="C255" s="38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34" t="inlineStr">
        <is>
          <t>Minority Interest Expense - % YoY</t>
        </is>
      </c>
      <c r="D256" s="22" t="n"/>
      <c r="E256" s="40">
        <f>IF(D141=0,0,E141/D141-1)</f>
        <v>0</v>
      </c>
      <c r="F256" s="22" t="n"/>
      <c r="G256" s="22" t="n"/>
      <c r="H256" s="40" t="n"/>
      <c r="I256" s="22" t="n"/>
      <c r="J256" s="40">
        <f>IF(I141=0,0,J141/I141-1)</f>
        <v>0</v>
      </c>
      <c r="K256" s="22" t="n"/>
      <c r="L256" s="22" t="n"/>
      <c r="M256" s="40" t="n"/>
      <c r="N256" s="40">
        <f>IF(I141=0,0,N141/I141-1)</f>
        <v>0</v>
      </c>
      <c r="O256" s="40">
        <f>IF(J141=0,0,O141/J141-1)</f>
        <v>0</v>
      </c>
      <c r="P256" s="40">
        <f>IF(K141=0,0,P141/K141-1)</f>
        <v>0</v>
      </c>
      <c r="Q256" s="40">
        <f>IF(L141=0,0,Q141/L141-1)</f>
        <v>0</v>
      </c>
      <c r="R256" s="40" t="n"/>
      <c r="S256" s="40">
        <f>IF(N141=0,0,S141/N141-1)</f>
        <v>0</v>
      </c>
      <c r="T256" s="40">
        <f>IF(O141=0,0,T141/O141-1)</f>
        <v>0</v>
      </c>
      <c r="U256" s="40">
        <f>IF(P141=0,0,U141/P141-1)</f>
        <v>0</v>
      </c>
      <c r="V256" s="40">
        <f>IF(Q141=0,0,V141/Q141-1)</f>
        <v>0</v>
      </c>
      <c r="W256" s="40">
        <f>IF(R142=0,0,W142/R142-1)</f>
        <v>0</v>
      </c>
      <c r="X256" s="40">
        <f>IF(S141=0,0,X141/S141-1)</f>
        <v>0</v>
      </c>
      <c r="Y256" s="40">
        <f>IF(T141=0,0,Y141/T141-1)</f>
        <v>0</v>
      </c>
      <c r="Z256" s="40">
        <f>IF(U141=0,0,Z141/U141-1)</f>
        <v>0</v>
      </c>
      <c r="AA256" s="40">
        <f>IF(V141=0,0,AA141/V141-1)</f>
        <v>0</v>
      </c>
      <c r="AB256" s="40">
        <f>IF(W142=0,0,AB142/W142-1)</f>
        <v>0</v>
      </c>
      <c r="AC256" s="40">
        <f>IF(X141=0,0,AC141/X141-1)</f>
        <v>0</v>
      </c>
      <c r="AD256" s="40">
        <f>IF(Y141=0,0,AD141/Y141-1)</f>
        <v>0</v>
      </c>
      <c r="AE256" s="40">
        <f>IF(Z141=0,0,AE141/Z141-1)</f>
        <v>0</v>
      </c>
      <c r="AF256" s="40">
        <f>IF(AA141=0,0,AF141/AA141-1)</f>
        <v>0</v>
      </c>
      <c r="AG256" s="40">
        <f>IF(AB142=0,0,AG142/AB142-1)</f>
        <v>0</v>
      </c>
      <c r="AH256" s="35">
        <f>IF(AC141=0,0,AH141/AC141-1)</f>
        <v>0</v>
      </c>
      <c r="AI256" s="35">
        <f>IF(AD141=0,0,AI141/AD141-1)</f>
        <v>0</v>
      </c>
      <c r="AJ256" s="35" t="n"/>
      <c r="AK256" s="35" t="n"/>
      <c r="AL256" s="40">
        <f>IF(AG142=0,0,AL142/AG142-1)</f>
        <v>0</v>
      </c>
      <c r="AM256" s="35" t="n"/>
      <c r="AN256" s="35" t="n"/>
      <c r="AO256" s="35" t="n"/>
      <c r="AP256" s="35" t="n"/>
      <c r="AQ256" s="40">
        <f>IF(AL142=0,0,AQ142/AL142-1)</f>
        <v>0</v>
      </c>
      <c r="AR256" s="35" t="n"/>
      <c r="AS256" s="35" t="n"/>
      <c r="AT256" s="35" t="n"/>
      <c r="AU256" s="35" t="n"/>
      <c r="AV256" s="40">
        <f>IF(AQ142=0,0,AV142/AQ142-1)</f>
        <v>0</v>
      </c>
      <c r="AW256" s="35" t="n"/>
      <c r="AX256" s="35" t="n"/>
      <c r="AY256" s="35" t="n"/>
      <c r="AZ256" s="35" t="n"/>
      <c r="BA256" s="40">
        <f>IF(AV142=0,0,BA142/AV142-1)</f>
        <v>0</v>
      </c>
      <c r="BB256" s="35" t="n"/>
      <c r="BC256" s="35" t="n"/>
      <c r="BD256" s="35" t="n"/>
      <c r="BE256" s="35" t="n"/>
      <c r="BF256" s="40">
        <f>IF(BA142=0,0,BF142/BA142-1)</f>
        <v>0</v>
      </c>
      <c r="BG256" s="35" t="n"/>
      <c r="BH256" s="35" t="n"/>
      <c r="BI256" s="35" t="n"/>
      <c r="BJ256" s="35" t="n"/>
      <c r="BK256" s="40">
        <f>IF(BF142=0,0,BK142/BF142-1)</f>
        <v>0</v>
      </c>
      <c r="BL256" s="35" t="n"/>
      <c r="BM256" s="35" t="n"/>
      <c r="BN256" s="35" t="n"/>
      <c r="BO256" s="35" t="n"/>
      <c r="BP256" s="40">
        <f>IF(BK142=0,0,BP142/BK142-1)</f>
        <v>0</v>
      </c>
      <c r="BQ256" s="35" t="n"/>
      <c r="BR256" s="35" t="n"/>
      <c r="BS256" s="35" t="n"/>
      <c r="BT256" s="35" t="n"/>
      <c r="BU256" s="40">
        <f>IF(BP142=0,0,BU142/BP142-1)</f>
        <v>0</v>
      </c>
      <c r="BV256" s="35" t="n"/>
      <c r="BW256" s="35" t="n"/>
      <c r="BX256" s="35" t="n"/>
      <c r="BY256" s="35" t="n"/>
      <c r="BZ256" s="40">
        <f>IF(BU142=0,0,BZ142/BU142-1)</f>
        <v>0</v>
      </c>
      <c r="CA256" s="35" t="n"/>
      <c r="CB256" s="35" t="n"/>
      <c r="CC256" s="35" t="n"/>
      <c r="CD256" s="35" t="n"/>
      <c r="CE256" s="40">
        <f>IF(BZ142=0,0,CE142/BZ142-1)</f>
        <v>0</v>
      </c>
      <c r="CF256" s="35" t="n"/>
      <c r="CG256" s="35" t="n"/>
      <c r="CH256" s="35" t="n"/>
      <c r="CI256" s="35" t="n"/>
      <c r="CJ256" s="40">
        <f>IF(CE142=0,0,CJ142/CE142-1)</f>
        <v>0</v>
      </c>
      <c r="CK256" s="35" t="n"/>
      <c r="CL256" s="35" t="n"/>
      <c r="CM256" s="35" t="n"/>
      <c r="CN256" s="35" t="n"/>
      <c r="CO256" s="40">
        <f>IF(CJ142=0,0,CO142/CJ142-1)</f>
        <v>0</v>
      </c>
      <c r="CP256" s="35" t="n"/>
      <c r="CQ256" s="35" t="n"/>
      <c r="CR256" s="35" t="n"/>
      <c r="CS256" s="35" t="n"/>
      <c r="CT256" s="40">
        <f>IF(CO142=0,0,CT142/CO142-1)</f>
        <v>0</v>
      </c>
      <c r="CU256" s="35" t="n"/>
      <c r="CV256" s="35" t="n"/>
      <c r="CW256" s="35" t="n"/>
      <c r="CX256" s="35" t="n"/>
      <c r="CY256" s="40">
        <f>IF(CT142=0,0,CY142/CT142-1)</f>
        <v>0</v>
      </c>
    </row>
    <row r="257" hidden="1" outlineLevel="1" customFormat="1" s="39">
      <c r="A257" s="19" t="n"/>
      <c r="B257" s="19" t="n"/>
      <c r="C257" s="34" t="inlineStr">
        <is>
          <t>Dividends (enter as -)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35" t="n"/>
      <c r="AI257" s="35" t="n"/>
      <c r="AJ257" s="35" t="n"/>
      <c r="AK257" s="35" t="n"/>
      <c r="AL257" s="22" t="n"/>
      <c r="AM257" s="35" t="n"/>
      <c r="AN257" s="35" t="n"/>
      <c r="AO257" s="35" t="n"/>
      <c r="AP257" s="35" t="n"/>
      <c r="AQ257" s="22" t="n"/>
      <c r="AR257" s="35" t="n"/>
      <c r="AS257" s="35" t="n"/>
      <c r="AT257" s="35" t="n"/>
      <c r="AU257" s="35" t="n"/>
      <c r="AV257" s="22" t="n"/>
      <c r="AW257" s="35" t="n"/>
      <c r="AX257" s="35" t="n"/>
      <c r="AY257" s="35" t="n"/>
      <c r="AZ257" s="35" t="n"/>
      <c r="BA257" s="22" t="n"/>
      <c r="BB257" s="35" t="n"/>
      <c r="BC257" s="35" t="n"/>
      <c r="BD257" s="35" t="n"/>
      <c r="BE257" s="35" t="n"/>
      <c r="BF257" s="22" t="n"/>
      <c r="BG257" s="35" t="n"/>
      <c r="BH257" s="35" t="n"/>
      <c r="BI257" s="35" t="n"/>
      <c r="BJ257" s="35" t="n"/>
      <c r="BK257" s="22" t="n"/>
      <c r="BL257" s="35" t="n"/>
      <c r="BM257" s="35" t="n"/>
      <c r="BN257" s="35" t="n"/>
      <c r="BO257" s="35" t="n"/>
      <c r="BP257" s="22" t="n"/>
      <c r="BQ257" s="35" t="n"/>
      <c r="BR257" s="35" t="n"/>
      <c r="BS257" s="35" t="n"/>
      <c r="BT257" s="35" t="n"/>
      <c r="BU257" s="22" t="n"/>
      <c r="BV257" s="35" t="n"/>
      <c r="BW257" s="35" t="n"/>
      <c r="BX257" s="35" t="n"/>
      <c r="BY257" s="35" t="n"/>
      <c r="BZ257" s="22" t="n"/>
      <c r="CA257" s="35" t="n"/>
      <c r="CB257" s="35" t="n"/>
      <c r="CC257" s="35" t="n"/>
      <c r="CD257" s="35" t="n"/>
      <c r="CE257" s="22" t="n"/>
      <c r="CF257" s="35" t="n"/>
      <c r="CG257" s="35" t="n"/>
      <c r="CH257" s="35" t="n"/>
      <c r="CI257" s="35" t="n"/>
      <c r="CJ257" s="22" t="n"/>
      <c r="CK257" s="35" t="n"/>
      <c r="CL257" s="35" t="n"/>
      <c r="CM257" s="35" t="n"/>
      <c r="CN257" s="35" t="n"/>
      <c r="CO257" s="22" t="n"/>
      <c r="CP257" s="35" t="n"/>
      <c r="CQ257" s="35" t="n"/>
      <c r="CR257" s="35" t="n"/>
      <c r="CS257" s="35" t="n"/>
      <c r="CT257" s="22" t="n"/>
      <c r="CU257" s="35" t="n"/>
      <c r="CV257" s="35" t="n"/>
      <c r="CW257" s="35" t="n"/>
      <c r="CX257" s="35" t="n"/>
      <c r="CY257" s="22" t="n"/>
    </row>
    <row r="258" hidden="1" outlineLevel="1" customFormat="1" s="39">
      <c r="A258" s="19" t="n"/>
      <c r="B258" s="19" t="n"/>
      <c r="C258" s="38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  <c r="AP258" s="22" t="n"/>
      <c r="AQ258" s="22" t="n"/>
      <c r="AR258" s="22" t="n"/>
      <c r="AS258" s="22" t="n"/>
      <c r="AT258" s="22" t="n"/>
      <c r="AU258" s="22" t="n"/>
      <c r="AV258" s="22" t="n"/>
      <c r="AW258" s="22" t="n"/>
      <c r="AX258" s="22" t="n"/>
      <c r="AY258" s="22" t="n"/>
      <c r="AZ258" s="22" t="n"/>
      <c r="BA258" s="22" t="n"/>
      <c r="BB258" s="22" t="n"/>
      <c r="BC258" s="22" t="n"/>
      <c r="BD258" s="22" t="n"/>
      <c r="BE258" s="22" t="n"/>
      <c r="BF258" s="22" t="n"/>
      <c r="BG258" s="22" t="n"/>
      <c r="BH258" s="22" t="n"/>
      <c r="BI258" s="22" t="n"/>
      <c r="BJ258" s="22" t="n"/>
      <c r="BK258" s="22" t="n"/>
      <c r="BL258" s="22" t="n"/>
      <c r="BM258" s="22" t="n"/>
      <c r="BN258" s="22" t="n"/>
      <c r="BO258" s="22" t="n"/>
      <c r="BP258" s="22" t="n"/>
      <c r="BQ258" s="22" t="n"/>
      <c r="BR258" s="22" t="n"/>
      <c r="BS258" s="22" t="n"/>
      <c r="BT258" s="22" t="n"/>
      <c r="BU258" s="22" t="n"/>
      <c r="BV258" s="22" t="n"/>
      <c r="BW258" s="22" t="n"/>
      <c r="BX258" s="22" t="n"/>
      <c r="BY258" s="22" t="n"/>
      <c r="BZ258" s="22" t="n"/>
      <c r="CA258" s="22" t="n"/>
      <c r="CB258" s="22" t="n"/>
      <c r="CC258" s="22" t="n"/>
      <c r="CD258" s="22" t="n"/>
      <c r="CE258" s="22" t="n"/>
      <c r="CF258" s="22" t="n"/>
      <c r="CG258" s="22" t="n"/>
      <c r="CH258" s="22" t="n"/>
      <c r="CI258" s="22" t="n"/>
      <c r="CJ258" s="22" t="n"/>
      <c r="CK258" s="22" t="n"/>
      <c r="CL258" s="22" t="n"/>
      <c r="CM258" s="22" t="n"/>
      <c r="CN258" s="22" t="n"/>
      <c r="CO258" s="22" t="n"/>
      <c r="CP258" s="22" t="n"/>
      <c r="CQ258" s="22" t="n"/>
      <c r="CR258" s="22" t="n"/>
      <c r="CS258" s="22" t="n"/>
      <c r="CT258" s="22" t="n"/>
      <c r="CU258" s="22" t="n"/>
      <c r="CV258" s="22" t="n"/>
      <c r="CW258" s="22" t="n"/>
      <c r="CX258" s="22" t="n"/>
      <c r="CY258" s="22" t="n"/>
    </row>
    <row r="259" collapsed="1">
      <c r="C259" s="26" t="inlineStr">
        <is>
          <t>Convertible Preferred Stock</t>
        </is>
      </c>
      <c r="D259" s="25" t="n"/>
      <c r="E259" s="25" t="n"/>
      <c r="F259" s="25" t="n"/>
      <c r="G259" s="25" t="n"/>
      <c r="H259" s="3">
        <f>G259</f>
        <v>0</v>
      </c>
      <c r="I259" s="25" t="n"/>
      <c r="J259" s="25" t="n"/>
      <c r="K259" s="25" t="n"/>
      <c r="L259" s="25" t="n"/>
      <c r="M259" s="3">
        <f>L259</f>
        <v>0</v>
      </c>
      <c r="N259" s="25" t="n"/>
      <c r="O259" s="25" t="n"/>
      <c r="P259" s="25" t="n"/>
      <c r="Q259" s="25" t="n"/>
      <c r="R259" s="3">
        <f>Q259</f>
        <v>0</v>
      </c>
      <c r="S259" s="25" t="n"/>
      <c r="T259" s="25" t="n"/>
      <c r="U259" s="25" t="n"/>
      <c r="V259" s="25" t="n"/>
      <c r="W259" s="3">
        <f>V259</f>
        <v>0</v>
      </c>
      <c r="X259" s="25" t="n"/>
      <c r="Y259" s="25" t="n"/>
      <c r="Z259" s="25" t="n"/>
      <c r="AA259" s="25" t="n"/>
      <c r="AB259" s="3">
        <f>AA259</f>
        <v>0</v>
      </c>
      <c r="AC259" s="25" t="n"/>
      <c r="AD259" s="25" t="n"/>
      <c r="AE259" s="25" t="n"/>
      <c r="AF259" s="25" t="n"/>
      <c r="AG259" s="3">
        <f>AF259</f>
        <v>0</v>
      </c>
      <c r="AH259" s="3">
        <f>AG259</f>
        <v>0</v>
      </c>
      <c r="AI259" s="3">
        <f>AH259</f>
        <v>0</v>
      </c>
      <c r="AJ259" s="3">
        <f>AI259</f>
        <v>0</v>
      </c>
      <c r="AK259" s="3">
        <f>AJ259</f>
        <v>0</v>
      </c>
      <c r="AL259" s="3">
        <f>AK259</f>
        <v>0</v>
      </c>
      <c r="AM259" s="3">
        <f>AL259</f>
        <v>0</v>
      </c>
      <c r="AN259" s="3">
        <f>AM259</f>
        <v>0</v>
      </c>
      <c r="AO259" s="3">
        <f>AN259</f>
        <v>0</v>
      </c>
      <c r="AP259" s="3">
        <f>AO259</f>
        <v>0</v>
      </c>
      <c r="AQ259" s="3">
        <f>AP259</f>
        <v>0</v>
      </c>
      <c r="AR259" s="3">
        <f>AQ259</f>
        <v>0</v>
      </c>
      <c r="AS259" s="3">
        <f>AR259</f>
        <v>0</v>
      </c>
      <c r="AT259" s="3">
        <f>AS259</f>
        <v>0</v>
      </c>
      <c r="AU259" s="3">
        <f>AT259</f>
        <v>0</v>
      </c>
      <c r="AV259" s="3">
        <f>AU259</f>
        <v>0</v>
      </c>
      <c r="AW259" s="3">
        <f>AV259</f>
        <v>0</v>
      </c>
      <c r="AX259" s="3">
        <f>AW259</f>
        <v>0</v>
      </c>
      <c r="AY259" s="3">
        <f>AX259</f>
        <v>0</v>
      </c>
      <c r="AZ259" s="3">
        <f>AY259</f>
        <v>0</v>
      </c>
      <c r="BA259" s="3">
        <f>AZ259</f>
        <v>0</v>
      </c>
      <c r="BB259" s="3">
        <f>BA259</f>
        <v>0</v>
      </c>
      <c r="BC259" s="3">
        <f>BB259</f>
        <v>0</v>
      </c>
      <c r="BD259" s="3">
        <f>BC259</f>
        <v>0</v>
      </c>
      <c r="BE259" s="3">
        <f>BD259</f>
        <v>0</v>
      </c>
      <c r="BF259" s="3">
        <f>BE259</f>
        <v>0</v>
      </c>
      <c r="BG259" s="3">
        <f>BF259</f>
        <v>0</v>
      </c>
      <c r="BH259" s="3">
        <f>BG259</f>
        <v>0</v>
      </c>
      <c r="BI259" s="3">
        <f>BH259</f>
        <v>0</v>
      </c>
      <c r="BJ259" s="3">
        <f>BI259</f>
        <v>0</v>
      </c>
      <c r="BK259" s="3">
        <f>BJ259</f>
        <v>0</v>
      </c>
      <c r="BL259" s="3">
        <f>BK259</f>
        <v>0</v>
      </c>
      <c r="BM259" s="3">
        <f>BL259</f>
        <v>0</v>
      </c>
      <c r="BN259" s="3">
        <f>BM259</f>
        <v>0</v>
      </c>
      <c r="BO259" s="3">
        <f>BN259</f>
        <v>0</v>
      </c>
      <c r="BP259" s="3">
        <f>BO259</f>
        <v>0</v>
      </c>
      <c r="BQ259" s="3">
        <f>BP259</f>
        <v>0</v>
      </c>
      <c r="BR259" s="3">
        <f>BQ259</f>
        <v>0</v>
      </c>
      <c r="BS259" s="3">
        <f>BR259</f>
        <v>0</v>
      </c>
      <c r="BT259" s="3">
        <f>BS259</f>
        <v>0</v>
      </c>
      <c r="BU259" s="3">
        <f>BT259</f>
        <v>0</v>
      </c>
      <c r="BV259" s="3">
        <f>BU259</f>
        <v>0</v>
      </c>
      <c r="BW259" s="3">
        <f>BV259</f>
        <v>0</v>
      </c>
      <c r="BX259" s="3">
        <f>BW259</f>
        <v>0</v>
      </c>
      <c r="BY259" s="3">
        <f>BX259</f>
        <v>0</v>
      </c>
      <c r="BZ259" s="3">
        <f>BY259</f>
        <v>0</v>
      </c>
      <c r="CA259" s="3">
        <f>BZ259</f>
        <v>0</v>
      </c>
      <c r="CB259" s="3">
        <f>CA259</f>
        <v>0</v>
      </c>
      <c r="CC259" s="3">
        <f>CB259</f>
        <v>0</v>
      </c>
      <c r="CD259" s="3">
        <f>CC259</f>
        <v>0</v>
      </c>
      <c r="CE259" s="3">
        <f>CD259</f>
        <v>0</v>
      </c>
      <c r="CF259" s="3">
        <f>CE259</f>
        <v>0</v>
      </c>
      <c r="CG259" s="3">
        <f>CF259</f>
        <v>0</v>
      </c>
      <c r="CH259" s="3">
        <f>CG259</f>
        <v>0</v>
      </c>
      <c r="CI259" s="3">
        <f>CH259</f>
        <v>0</v>
      </c>
      <c r="CJ259" s="3">
        <f>CI259</f>
        <v>0</v>
      </c>
      <c r="CK259" s="3">
        <f>CJ259</f>
        <v>0</v>
      </c>
      <c r="CL259" s="3">
        <f>CK259</f>
        <v>0</v>
      </c>
      <c r="CM259" s="3">
        <f>CL259</f>
        <v>0</v>
      </c>
      <c r="CN259" s="3">
        <f>CM259</f>
        <v>0</v>
      </c>
      <c r="CO259" s="3">
        <f>CN259</f>
        <v>0</v>
      </c>
      <c r="CP259" s="3">
        <f>CO259</f>
        <v>0</v>
      </c>
      <c r="CQ259" s="3">
        <f>CP259</f>
        <v>0</v>
      </c>
      <c r="CR259" s="3">
        <f>CQ259</f>
        <v>0</v>
      </c>
      <c r="CS259" s="3">
        <f>CR259</f>
        <v>0</v>
      </c>
      <c r="CT259" s="3">
        <f>CS259</f>
        <v>0</v>
      </c>
      <c r="CU259" s="3">
        <f>CT259</f>
        <v>0</v>
      </c>
      <c r="CV259" s="3">
        <f>CU259</f>
        <v>0</v>
      </c>
      <c r="CW259" s="3">
        <f>CV259</f>
        <v>0</v>
      </c>
      <c r="CX259" s="3">
        <f>CW259</f>
        <v>0</v>
      </c>
      <c r="CY259" s="3">
        <f>CX259</f>
        <v>0</v>
      </c>
    </row>
    <row r="260">
      <c r="C260" s="24" t="inlineStr">
        <is>
          <t>Common Stock and APIC</t>
        </is>
      </c>
      <c r="D260" s="25">
        <f>INDEX('Inputs (2)'!$D$43:$AL$43,MATCH(D$7,'Inputs (2)'!$D$2:$AL$2,0))</f>
        <v>1052.34</v>
      </c>
      <c r="E260" s="25">
        <f>INDEX('Inputs (2)'!$D$43:$AL$43,MATCH(E$7,'Inputs (2)'!$D$2:$AL$2,0))</f>
        <v>1052.34008228</v>
      </c>
      <c r="F260" s="25">
        <f>INDEX('Inputs (2)'!$D$43:$AL$43,MATCH(F$7,'Inputs (2)'!$D$2:$AL$2,0))</f>
        <v>1052.34008228</v>
      </c>
      <c r="G260" s="25">
        <f>INDEX('Inputs (2)'!$D$43:$AL$43,MATCH(G$7,'Inputs (2)'!$D$2:$AL$2,0))</f>
        <v>1105.381209</v>
      </c>
      <c r="H260" s="3">
        <f>G260</f>
        <v>1105.381209</v>
      </c>
      <c r="I260" s="25">
        <f>INDEX('Inputs (2)'!$D$43:$AL$43,MATCH(I$7,'Inputs (2)'!$D$2:$AL$2,0))</f>
        <v>1105.381209</v>
      </c>
      <c r="J260" s="25">
        <f>INDEX('Inputs (2)'!$D$43:$AL$43,MATCH(J$7,'Inputs (2)'!$D$2:$AL$2,0))</f>
        <v>1105.381209</v>
      </c>
      <c r="K260" s="25">
        <f>INDEX('Inputs (2)'!$D$43:$AL$43,MATCH(K$7,'Inputs (2)'!$D$2:$AL$2,0))</f>
        <v>1105.381209</v>
      </c>
      <c r="L260" s="25">
        <f>INDEX('Inputs (2)'!$D$43:$AL$43,MATCH(L$7,'Inputs (2)'!$D$2:$AL$2,0))</f>
        <v>1105.381209</v>
      </c>
      <c r="M260" s="3">
        <f>L260</f>
        <v>1105.381209</v>
      </c>
      <c r="N260" s="25">
        <f>INDEX('Inputs (2)'!$D$43:$AL$43,MATCH(N$7,'Inputs (2)'!$D$2:$AL$2,0))</f>
        <v>1105.381209</v>
      </c>
      <c r="O260" s="25">
        <f>INDEX('Inputs (2)'!$D$43:$AL$43,MATCH(O$7,'Inputs (2)'!$D$2:$AL$2,0))</f>
        <v>1105.381209</v>
      </c>
      <c r="P260" s="25">
        <f>INDEX('Inputs (2)'!$D$43:$AL$43,MATCH(P$7,'Inputs (2)'!$D$2:$AL$2,0))</f>
        <v>1105.381209</v>
      </c>
      <c r="Q260" s="25">
        <f>INDEX('Inputs (2)'!$D$43:$AL$43,MATCH(Q$7,'Inputs (2)'!$D$2:$AL$2,0))</f>
        <v>1105.381</v>
      </c>
      <c r="R260" s="3">
        <f>Q260</f>
        <v>1105.381</v>
      </c>
      <c r="S260" s="25">
        <f>INDEX('Inputs (2)'!$D$43:$AL$43,MATCH(S$7,'Inputs (2)'!$D$2:$AL$2,0))</f>
        <v>1105.381</v>
      </c>
      <c r="T260" s="25">
        <f>INDEX('Inputs (2)'!$D$43:$AL$43,MATCH(T$7,'Inputs (2)'!$D$2:$AL$2,0))</f>
        <v>1105.381209</v>
      </c>
      <c r="U260" s="25">
        <f>INDEX('Inputs (2)'!$D$43:$AL$43,MATCH(U$7,'Inputs (2)'!$D$2:$AL$2,0))</f>
        <v>1105.381209</v>
      </c>
      <c r="V260" s="25">
        <f>INDEX('Inputs (2)'!$D$43:$AL$43,MATCH(V$7,'Inputs (2)'!$D$2:$AL$2,0))</f>
        <v>1105.381209</v>
      </c>
      <c r="W260" s="3">
        <f>V260</f>
        <v>1105.381209</v>
      </c>
      <c r="X260" s="25">
        <f>INDEX('Inputs (2)'!$D$43:$AL$43,MATCH(X$7,'Inputs (2)'!$D$2:$AL$2,0))</f>
        <v>1105.381209</v>
      </c>
      <c r="Y260" s="25">
        <f>INDEX('Inputs (2)'!$D$43:$AL$43,MATCH(Y$7,'Inputs (2)'!$D$2:$AL$2,0))</f>
        <v>1105.381209</v>
      </c>
      <c r="Z260" s="25">
        <f>INDEX('Inputs (2)'!$D$43:$AL$43,MATCH(Z$7,'Inputs (2)'!$D$2:$AL$2,0))</f>
        <v>1105.38120898</v>
      </c>
      <c r="AA260" s="25">
        <f>INDEX('Inputs (2)'!$D$43:$AL$43,MATCH(AA$7,'Inputs (2)'!$D$2:$AL$2,0))</f>
        <v>1705.38120898</v>
      </c>
      <c r="AB260" s="3">
        <f>AA260</f>
        <v>1705.38120898</v>
      </c>
      <c r="AC260" s="25">
        <f>INDEX('Inputs (2)'!$D$43:$AL$43,MATCH(AC$7,'Inputs (2)'!$D$2:$AL$2,0))</f>
        <v>1705.38120898</v>
      </c>
      <c r="AD260" s="25">
        <f>INDEX('Inputs (2)'!$D$43:$AL$43,MATCH(AD$7,'Inputs (2)'!$D$2:$AL$2,0))</f>
        <v>1705.38120898</v>
      </c>
      <c r="AE260" s="25">
        <f>INDEX('Inputs (2)'!$D$43:$AL$43,MATCH(AE$7,'Inputs (2)'!$D$2:$AL$2,0))</f>
        <v>1705.381</v>
      </c>
      <c r="AF260" s="25">
        <f>INDEX('Inputs (2)'!$D$43:$AL$43,MATCH(AF$7,'Inputs (2)'!$D$2:$AL$2,0))</f>
        <v>2572.02534023</v>
      </c>
      <c r="AG260" s="3">
        <f>AF260</f>
        <v>2572.02534023</v>
      </c>
      <c r="AH260" s="3">
        <f>INDEX('Inputs (2)'!$D$43:$AL$43,MATCH(AH$7,'Inputs (2)'!$D$2:$AL$2,0))</f>
        <v>2572.02534023</v>
      </c>
      <c r="AI260" s="3">
        <f>INDEX('Inputs (2)'!$D$43:$AL$43,MATCH(AI$7,'Inputs (2)'!$D$2:$AL$2,0))</f>
        <v>2572.02534023</v>
      </c>
      <c r="AJ260" s="3">
        <f>AI260+AJ264</f>
        <v>2572.02534023</v>
      </c>
      <c r="AK260" s="3">
        <f>AJ260+AK264</f>
        <v>2572.02534023</v>
      </c>
      <c r="AL260" s="3">
        <f>AK260</f>
        <v>2572.02534023</v>
      </c>
      <c r="AM260" s="3">
        <f>AL260+AM264</f>
        <v>2572.02534023</v>
      </c>
      <c r="AN260" s="3">
        <f>AM260+AN264</f>
        <v>2572.02534023</v>
      </c>
      <c r="AO260" s="3">
        <f>AN260+AO264</f>
        <v>2572.02534023</v>
      </c>
      <c r="AP260" s="3">
        <f>AO260+AP264</f>
        <v>2572.02534023</v>
      </c>
      <c r="AQ260" s="3">
        <f>AP260</f>
        <v>2572.02534023</v>
      </c>
      <c r="AR260" s="3">
        <f>AQ260+AR264</f>
        <v>2572.02534023</v>
      </c>
      <c r="AS260" s="3">
        <f>AR260+AS264</f>
        <v>2572.02534023</v>
      </c>
      <c r="AT260" s="3">
        <f>AS260+AT264</f>
        <v>2572.02534023</v>
      </c>
      <c r="AU260" s="3">
        <f>AT260+AU264</f>
        <v>2572.02534023</v>
      </c>
      <c r="AV260" s="3">
        <f>AU260</f>
        <v>2572.02534023</v>
      </c>
      <c r="AW260" s="3">
        <f>AV260+AW264</f>
        <v>2572.02534023</v>
      </c>
      <c r="AX260" s="3">
        <f>AW260+AX264</f>
        <v>2572.02534023</v>
      </c>
      <c r="AY260" s="3">
        <f>AX260+AY264</f>
        <v>2572.02534023</v>
      </c>
      <c r="AZ260" s="3">
        <f>AY260+AZ264</f>
        <v>2572.02534023</v>
      </c>
      <c r="BA260" s="3">
        <f>AZ260</f>
        <v>2572.02534023</v>
      </c>
      <c r="BB260" s="3">
        <f>BA260+BB264</f>
        <v>2572.02534023</v>
      </c>
      <c r="BC260" s="3">
        <f>BB260+BC264</f>
        <v>2572.02534023</v>
      </c>
      <c r="BD260" s="3">
        <f>BC260+BD264</f>
        <v>2572.02534023</v>
      </c>
      <c r="BE260" s="3">
        <f>BD260+BE264</f>
        <v>2572.02534023</v>
      </c>
      <c r="BF260" s="3">
        <f>BE260</f>
        <v>2572.02534023</v>
      </c>
      <c r="BG260" s="3">
        <f>BF260+BG264</f>
        <v>2572.02534023</v>
      </c>
      <c r="BH260" s="3">
        <f>BG260+BH264</f>
        <v>2572.02534023</v>
      </c>
      <c r="BI260" s="3">
        <f>BH260+BI264</f>
        <v>2572.02534023</v>
      </c>
      <c r="BJ260" s="3">
        <f>BI260+BJ264</f>
        <v>2572.02534023</v>
      </c>
      <c r="BK260" s="3">
        <f>BJ260</f>
        <v>2572.02534023</v>
      </c>
      <c r="BL260" s="3">
        <f>BK260+BL264</f>
        <v>2572.02534023</v>
      </c>
      <c r="BM260" s="3">
        <f>BL260+BM264</f>
        <v>2572.02534023</v>
      </c>
      <c r="BN260" s="3">
        <f>BM260+BN264</f>
        <v>2572.02534023</v>
      </c>
      <c r="BO260" s="3">
        <f>BN260+BO264</f>
        <v>2572.02534023</v>
      </c>
      <c r="BP260" s="3">
        <f>BO260</f>
        <v>2572.02534023</v>
      </c>
      <c r="BQ260" s="3">
        <f>BP260+BQ264</f>
        <v>2572.02534023</v>
      </c>
      <c r="BR260" s="3">
        <f>BQ260+BR264</f>
        <v>2572.02534023</v>
      </c>
      <c r="BS260" s="3">
        <f>BR260+BS264</f>
        <v>2572.02534023</v>
      </c>
      <c r="BT260" s="3">
        <f>BS260+BT264</f>
        <v>2572.02534023</v>
      </c>
      <c r="BU260" s="3">
        <f>BT260</f>
        <v>2572.02534023</v>
      </c>
      <c r="BV260" s="3">
        <f>BU260+BV264</f>
        <v>2572.02534023</v>
      </c>
      <c r="BW260" s="3">
        <f>BV260+BW264</f>
        <v>2572.02534023</v>
      </c>
      <c r="BX260" s="3">
        <f>BW260+BX264</f>
        <v>2572.02534023</v>
      </c>
      <c r="BY260" s="3">
        <f>BX260+BY264</f>
        <v>2572.02534023</v>
      </c>
      <c r="BZ260" s="3">
        <f>BY260</f>
        <v>2572.02534023</v>
      </c>
      <c r="CA260" s="3">
        <f>BZ260+CA264</f>
        <v>2572.02534023</v>
      </c>
      <c r="CB260" s="3">
        <f>CA260+CB264</f>
        <v>2572.02534023</v>
      </c>
      <c r="CC260" s="3">
        <f>CB260+CC264</f>
        <v>2572.02534023</v>
      </c>
      <c r="CD260" s="3">
        <f>CC260+CD264</f>
        <v>2572.02534023</v>
      </c>
      <c r="CE260" s="3">
        <f>CD260</f>
        <v>2572.02534023</v>
      </c>
      <c r="CF260" s="3">
        <f>CE260+CF264</f>
        <v>2572.02534023</v>
      </c>
      <c r="CG260" s="3">
        <f>CF260+CG264</f>
        <v>2572.02534023</v>
      </c>
      <c r="CH260" s="3">
        <f>CG260+CH264</f>
        <v>2572.02534023</v>
      </c>
      <c r="CI260" s="3">
        <f>CH260+CI264</f>
        <v>2572.02534023</v>
      </c>
      <c r="CJ260" s="3">
        <f>CI260</f>
        <v>2572.02534023</v>
      </c>
      <c r="CK260" s="3">
        <f>CJ260+CK264</f>
        <v>2572.02534023</v>
      </c>
      <c r="CL260" s="3">
        <f>CK260+CL264</f>
        <v>2572.02534023</v>
      </c>
      <c r="CM260" s="3">
        <f>CL260+CM264</f>
        <v>2572.02534023</v>
      </c>
      <c r="CN260" s="3">
        <f>CM260+CN264</f>
        <v>2572.02534023</v>
      </c>
      <c r="CO260" s="3">
        <f>CN260</f>
        <v>2572.02534023</v>
      </c>
      <c r="CP260" s="3">
        <f>CO260+CP264</f>
        <v>2572.02534023</v>
      </c>
      <c r="CQ260" s="3">
        <f>CP260+CQ264</f>
        <v>2572.02534023</v>
      </c>
      <c r="CR260" s="3">
        <f>CQ260+CR264</f>
        <v>2572.02534023</v>
      </c>
      <c r="CS260" s="3">
        <f>CR260+CS264</f>
        <v>2572.02534023</v>
      </c>
      <c r="CT260" s="3">
        <f>CS260</f>
        <v>2572.02534023</v>
      </c>
      <c r="CU260" s="3">
        <f>CT260+CU264</f>
        <v>2572.02534023</v>
      </c>
      <c r="CV260" s="3">
        <f>CU260+CV264</f>
        <v>2572.02534023</v>
      </c>
      <c r="CW260" s="3">
        <f>CV260+CW264</f>
        <v>2572.02534023</v>
      </c>
      <c r="CX260" s="3">
        <f>CW260+CX264</f>
        <v>2572.02534023</v>
      </c>
      <c r="CY260" s="3">
        <f>CX260</f>
        <v>2572.02534023</v>
      </c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  <c r="AP261" s="22" t="n"/>
      <c r="AQ261" s="22" t="n"/>
      <c r="AR261" s="22" t="n"/>
      <c r="AS261" s="22" t="n"/>
      <c r="AT261" s="22" t="n"/>
      <c r="AU261" s="22" t="n"/>
      <c r="AV261" s="22" t="n"/>
      <c r="AW261" s="22" t="n"/>
      <c r="AX261" s="22" t="n"/>
      <c r="AY261" s="22" t="n"/>
      <c r="AZ261" s="22" t="n"/>
      <c r="BA261" s="22" t="n"/>
      <c r="BB261" s="22" t="n"/>
      <c r="BC261" s="22" t="n"/>
      <c r="BD261" s="22" t="n"/>
      <c r="BE261" s="22" t="n"/>
      <c r="BF261" s="22" t="n"/>
      <c r="BG261" s="22" t="n"/>
      <c r="BH261" s="22" t="n"/>
      <c r="BI261" s="22" t="n"/>
      <c r="BJ261" s="22" t="n"/>
      <c r="BK261" s="22" t="n"/>
      <c r="BL261" s="22" t="n"/>
      <c r="BM261" s="22" t="n"/>
      <c r="BN261" s="22" t="n"/>
      <c r="BO261" s="22" t="n"/>
      <c r="BP261" s="22" t="n"/>
      <c r="BQ261" s="22" t="n"/>
      <c r="BR261" s="22" t="n"/>
      <c r="BS261" s="22" t="n"/>
      <c r="BT261" s="22" t="n"/>
      <c r="BU261" s="22" t="n"/>
      <c r="BV261" s="22" t="n"/>
      <c r="BW261" s="22" t="n"/>
      <c r="BX261" s="22" t="n"/>
      <c r="BY261" s="22" t="n"/>
      <c r="BZ261" s="22" t="n"/>
      <c r="CA261" s="22" t="n"/>
      <c r="CB261" s="22" t="n"/>
      <c r="CC261" s="22" t="n"/>
      <c r="CD261" s="22" t="n"/>
      <c r="CE261" s="22" t="n"/>
      <c r="CF261" s="22" t="n"/>
      <c r="CG261" s="22" t="n"/>
      <c r="CH261" s="22" t="n"/>
      <c r="CI261" s="22" t="n"/>
      <c r="CJ261" s="22" t="n"/>
      <c r="CK261" s="22" t="n"/>
      <c r="CL261" s="22" t="n"/>
      <c r="CM261" s="22" t="n"/>
      <c r="CN261" s="22" t="n"/>
      <c r="CO261" s="22" t="n"/>
      <c r="CP261" s="22" t="n"/>
      <c r="CQ261" s="22" t="n"/>
      <c r="CR261" s="22" t="n"/>
      <c r="CS261" s="22" t="n"/>
      <c r="CT261" s="22" t="n"/>
      <c r="CU261" s="22" t="n"/>
      <c r="CV261" s="22" t="n"/>
      <c r="CW261" s="22" t="n"/>
      <c r="CX261" s="22" t="n"/>
      <c r="CY261" s="22" t="n"/>
    </row>
    <row r="262" hidden="1" outlineLevel="1" customFormat="1" s="39">
      <c r="A262" s="19" t="n"/>
      <c r="B262" s="19" t="n"/>
      <c r="C262" s="41" t="inlineStr">
        <is>
          <t>Diluted Shares outstanding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  <c r="AP262" s="22" t="n"/>
      <c r="AQ262" s="22" t="n"/>
      <c r="AR262" s="22" t="n"/>
      <c r="AS262" s="22" t="n"/>
      <c r="AT262" s="22" t="n"/>
      <c r="AU262" s="22" t="n"/>
      <c r="AV262" s="22" t="n"/>
      <c r="AW262" s="22" t="n"/>
      <c r="AX262" s="22" t="n"/>
      <c r="AY262" s="22" t="n"/>
      <c r="AZ262" s="22" t="n"/>
      <c r="BA262" s="22" t="n"/>
      <c r="BB262" s="22" t="n"/>
      <c r="BC262" s="22" t="n"/>
      <c r="BD262" s="22" t="n"/>
      <c r="BE262" s="22" t="n"/>
      <c r="BF262" s="22" t="n"/>
      <c r="BG262" s="22" t="n"/>
      <c r="BH262" s="22" t="n"/>
      <c r="BI262" s="22" t="n"/>
      <c r="BJ262" s="22" t="n"/>
      <c r="BK262" s="22" t="n"/>
      <c r="BL262" s="22" t="n"/>
      <c r="BM262" s="22" t="n"/>
      <c r="BN262" s="22" t="n"/>
      <c r="BO262" s="22" t="n"/>
      <c r="BP262" s="22" t="n"/>
      <c r="BQ262" s="22" t="n"/>
      <c r="BR262" s="22" t="n"/>
      <c r="BS262" s="22" t="n"/>
      <c r="BT262" s="22" t="n"/>
      <c r="BU262" s="22" t="n"/>
      <c r="BV262" s="22" t="n"/>
      <c r="BW262" s="22" t="n"/>
      <c r="BX262" s="22" t="n"/>
      <c r="BY262" s="22" t="n"/>
      <c r="BZ262" s="22" t="n"/>
      <c r="CA262" s="22" t="n"/>
      <c r="CB262" s="22" t="n"/>
      <c r="CC262" s="22" t="n"/>
      <c r="CD262" s="22" t="n"/>
      <c r="CE262" s="22" t="n"/>
      <c r="CF262" s="22" t="n"/>
      <c r="CG262" s="22" t="n"/>
      <c r="CH262" s="22" t="n"/>
      <c r="CI262" s="22" t="n"/>
      <c r="CJ262" s="22" t="n"/>
      <c r="CK262" s="22" t="n"/>
      <c r="CL262" s="22" t="n"/>
      <c r="CM262" s="22" t="n"/>
      <c r="CN262" s="22" t="n"/>
      <c r="CO262" s="22" t="n"/>
      <c r="CP262" s="22" t="n"/>
      <c r="CQ262" s="22" t="n"/>
      <c r="CR262" s="22" t="n"/>
      <c r="CS262" s="22" t="n"/>
      <c r="CT262" s="22" t="n"/>
      <c r="CU262" s="22" t="n"/>
      <c r="CV262" s="22" t="n"/>
      <c r="CW262" s="22" t="n"/>
      <c r="CX262" s="22" t="n"/>
      <c r="CY262" s="22" t="n"/>
    </row>
    <row r="263" hidden="1" outlineLevel="1" customFormat="1" s="39">
      <c r="A263" s="19" t="n"/>
      <c r="B263" s="19" t="n"/>
      <c r="C263" s="41" t="inlineStr">
        <is>
          <t>Treasury share $ repurchases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6" t="n"/>
      <c r="AI263" s="6" t="n"/>
      <c r="AJ263" s="6" t="n"/>
      <c r="AK263" s="6" t="n"/>
      <c r="AL263" s="22" t="n"/>
      <c r="AM263" s="6" t="n"/>
      <c r="AN263" s="6" t="n"/>
      <c r="AO263" s="6" t="n"/>
      <c r="AP263" s="6" t="n"/>
      <c r="AQ263" s="22" t="n"/>
      <c r="AR263" s="6" t="n"/>
      <c r="AS263" s="6" t="n"/>
      <c r="AT263" s="6" t="n"/>
      <c r="AU263" s="6" t="n"/>
      <c r="AV263" s="22" t="n"/>
      <c r="AW263" s="6" t="n"/>
      <c r="AX263" s="6" t="n"/>
      <c r="AY263" s="6" t="n"/>
      <c r="AZ263" s="6" t="n"/>
      <c r="BA263" s="22" t="n"/>
      <c r="BB263" s="6" t="n"/>
      <c r="BC263" s="6" t="n"/>
      <c r="BD263" s="6" t="n"/>
      <c r="BE263" s="6" t="n"/>
      <c r="BF263" s="22" t="n"/>
      <c r="BG263" s="6" t="n"/>
      <c r="BH263" s="6" t="n"/>
      <c r="BI263" s="6" t="n"/>
      <c r="BJ263" s="6" t="n"/>
      <c r="BK263" s="22" t="n"/>
      <c r="BL263" s="6" t="n"/>
      <c r="BM263" s="6" t="n"/>
      <c r="BN263" s="6" t="n"/>
      <c r="BO263" s="6" t="n"/>
      <c r="BP263" s="22" t="n"/>
      <c r="BQ263" s="6" t="n"/>
      <c r="BR263" s="6" t="n"/>
      <c r="BS263" s="6" t="n"/>
      <c r="BT263" s="6" t="n"/>
      <c r="BU263" s="22" t="n"/>
      <c r="BV263" s="6" t="n"/>
      <c r="BW263" s="6" t="n"/>
      <c r="BX263" s="6" t="n"/>
      <c r="BY263" s="6" t="n"/>
      <c r="BZ263" s="22" t="n"/>
      <c r="CA263" s="6" t="n"/>
      <c r="CB263" s="6" t="n"/>
      <c r="CC263" s="6" t="n"/>
      <c r="CD263" s="6" t="n"/>
      <c r="CE263" s="22" t="n"/>
      <c r="CF263" s="6" t="n"/>
      <c r="CG263" s="6" t="n"/>
      <c r="CH263" s="6" t="n"/>
      <c r="CI263" s="6" t="n"/>
      <c r="CJ263" s="22" t="n"/>
      <c r="CK263" s="6" t="n"/>
      <c r="CL263" s="6" t="n"/>
      <c r="CM263" s="6" t="n"/>
      <c r="CN263" s="6" t="n"/>
      <c r="CO263" s="22" t="n"/>
      <c r="CP263" s="6" t="n"/>
      <c r="CQ263" s="6" t="n"/>
      <c r="CR263" s="6" t="n"/>
      <c r="CS263" s="6" t="n"/>
      <c r="CT263" s="22" t="n"/>
      <c r="CU263" s="6" t="n"/>
      <c r="CV263" s="6" t="n"/>
      <c r="CW263" s="6" t="n"/>
      <c r="CX263" s="6" t="n"/>
      <c r="CY263" s="22" t="n"/>
    </row>
    <row r="264" hidden="1" outlineLevel="1" customFormat="1" s="39">
      <c r="A264" s="19" t="n"/>
      <c r="B264" s="19" t="n"/>
      <c r="C264" s="41" t="inlineStr">
        <is>
          <t>Value of shares issued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6" t="n"/>
      <c r="AI264" s="6" t="n"/>
      <c r="AJ264" s="6" t="n"/>
      <c r="AK264" s="6" t="n"/>
      <c r="AL264" s="22" t="n"/>
      <c r="AM264" s="6" t="n"/>
      <c r="AN264" s="6" t="n"/>
      <c r="AO264" s="6" t="n"/>
      <c r="AP264" s="6" t="n"/>
      <c r="AQ264" s="22" t="n"/>
      <c r="AR264" s="6" t="n"/>
      <c r="AS264" s="6" t="n"/>
      <c r="AT264" s="6" t="n"/>
      <c r="AU264" s="6" t="n"/>
      <c r="AV264" s="22" t="n"/>
      <c r="AW264" s="6" t="n"/>
      <c r="AX264" s="6" t="n"/>
      <c r="AY264" s="6" t="n"/>
      <c r="AZ264" s="6" t="n"/>
      <c r="BA264" s="22" t="n"/>
      <c r="BB264" s="6" t="n"/>
      <c r="BC264" s="6" t="n"/>
      <c r="BD264" s="6" t="n"/>
      <c r="BE264" s="6" t="n"/>
      <c r="BF264" s="22" t="n"/>
      <c r="BG264" s="6" t="n"/>
      <c r="BH264" s="6" t="n"/>
      <c r="BI264" s="6" t="n"/>
      <c r="BJ264" s="6" t="n"/>
      <c r="BK264" s="22" t="n"/>
      <c r="BL264" s="6" t="n"/>
      <c r="BM264" s="6" t="n"/>
      <c r="BN264" s="6" t="n"/>
      <c r="BO264" s="6" t="n"/>
      <c r="BP264" s="22" t="n"/>
      <c r="BQ264" s="6" t="n"/>
      <c r="BR264" s="6" t="n"/>
      <c r="BS264" s="6" t="n"/>
      <c r="BT264" s="6" t="n"/>
      <c r="BU264" s="22" t="n"/>
      <c r="BV264" s="6" t="n"/>
      <c r="BW264" s="6" t="n"/>
      <c r="BX264" s="6" t="n"/>
      <c r="BY264" s="6" t="n"/>
      <c r="BZ264" s="22" t="n"/>
      <c r="CA264" s="6" t="n"/>
      <c r="CB264" s="6" t="n"/>
      <c r="CC264" s="6" t="n"/>
      <c r="CD264" s="6" t="n"/>
      <c r="CE264" s="22" t="n"/>
      <c r="CF264" s="6" t="n"/>
      <c r="CG264" s="6" t="n"/>
      <c r="CH264" s="6" t="n"/>
      <c r="CI264" s="6" t="n"/>
      <c r="CJ264" s="22" t="n"/>
      <c r="CK264" s="6" t="n"/>
      <c r="CL264" s="6" t="n"/>
      <c r="CM264" s="6" t="n"/>
      <c r="CN264" s="6" t="n"/>
      <c r="CO264" s="22" t="n"/>
      <c r="CP264" s="6" t="n"/>
      <c r="CQ264" s="6" t="n"/>
      <c r="CR264" s="6" t="n"/>
      <c r="CS264" s="6" t="n"/>
      <c r="CT264" s="22" t="n"/>
      <c r="CU264" s="6" t="n"/>
      <c r="CV264" s="6" t="n"/>
      <c r="CW264" s="6" t="n"/>
      <c r="CX264" s="6" t="n"/>
      <c r="CY264" s="22" t="n"/>
    </row>
    <row r="265" hidden="1" outlineLevel="1" customFormat="1" s="39">
      <c r="A265" s="19" t="n"/>
      <c r="B265" s="19" t="n"/>
      <c r="C265" s="41" t="inlineStr">
        <is>
          <t>Expected average share price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51" t="n"/>
      <c r="AH265" s="42">
        <f>AG265*(1+AH266)</f>
        <v>0</v>
      </c>
      <c r="AI265" s="42">
        <f>AH265*(1+AI266)</f>
        <v>0</v>
      </c>
      <c r="AJ265" s="42">
        <f>AI265*(1+AJ266)</f>
        <v>0</v>
      </c>
      <c r="AK265" s="42">
        <f>AJ265*(1+AK266)</f>
        <v>0</v>
      </c>
      <c r="AL265" s="22" t="n"/>
      <c r="AM265" s="42">
        <f>AK265*(1+AM266)</f>
        <v>0</v>
      </c>
      <c r="AN265" s="42">
        <f>AM265*(1+AN266)</f>
        <v>0</v>
      </c>
      <c r="AO265" s="42">
        <f>AN265*(1+AO266)</f>
        <v>0</v>
      </c>
      <c r="AP265" s="42">
        <f>AO265*(1+AP266)</f>
        <v>0</v>
      </c>
      <c r="AQ265" s="22" t="n"/>
      <c r="AR265" s="42">
        <f>AP265*(1+AR266)</f>
        <v>0</v>
      </c>
      <c r="AS265" s="42">
        <f>AR265*(1+AS266)</f>
        <v>0</v>
      </c>
      <c r="AT265" s="42">
        <f>AS265*(1+AT266)</f>
        <v>0</v>
      </c>
      <c r="AU265" s="42">
        <f>AT265*(1+AU266)</f>
        <v>0</v>
      </c>
      <c r="AV265" s="22" t="n"/>
      <c r="AW265" s="42">
        <f>AU265*(1+AW266)</f>
        <v>0</v>
      </c>
      <c r="AX265" s="42">
        <f>AW265*(1+AX266)</f>
        <v>0</v>
      </c>
      <c r="AY265" s="42">
        <f>AX265*(1+AY266)</f>
        <v>0</v>
      </c>
      <c r="AZ265" s="42">
        <f>AY265*(1+AZ266)</f>
        <v>0</v>
      </c>
      <c r="BA265" s="22" t="n"/>
      <c r="BB265" s="42">
        <f>AZ265*(1+BB266)</f>
        <v>0</v>
      </c>
      <c r="BC265" s="42">
        <f>BB265*(1+BC266)</f>
        <v>0</v>
      </c>
      <c r="BD265" s="42">
        <f>BC265*(1+BD266)</f>
        <v>0</v>
      </c>
      <c r="BE265" s="42">
        <f>BD265*(1+BE266)</f>
        <v>0</v>
      </c>
      <c r="BF265" s="22" t="n"/>
      <c r="BG265" s="42">
        <f>BE265*(1+BG266)</f>
        <v>0</v>
      </c>
      <c r="BH265" s="42">
        <f>BG265*(1+BH266)</f>
        <v>0</v>
      </c>
      <c r="BI265" s="42">
        <f>BH265*(1+BI266)</f>
        <v>0</v>
      </c>
      <c r="BJ265" s="42">
        <f>BI265*(1+BJ266)</f>
        <v>0</v>
      </c>
      <c r="BK265" s="22" t="n"/>
      <c r="BL265" s="42">
        <f>BJ265*(1+BL266)</f>
        <v>0</v>
      </c>
      <c r="BM265" s="42">
        <f>BL265*(1+BM266)</f>
        <v>0</v>
      </c>
      <c r="BN265" s="42">
        <f>BM265*(1+BN266)</f>
        <v>0</v>
      </c>
      <c r="BO265" s="42">
        <f>BN265*(1+BO266)</f>
        <v>0</v>
      </c>
      <c r="BP265" s="22" t="n"/>
      <c r="BQ265" s="42">
        <f>BO265*(1+BQ266)</f>
        <v>0</v>
      </c>
      <c r="BR265" s="42">
        <f>BQ265*(1+BR266)</f>
        <v>0</v>
      </c>
      <c r="BS265" s="42">
        <f>BR265*(1+BS266)</f>
        <v>0</v>
      </c>
      <c r="BT265" s="42">
        <f>BS265*(1+BT266)</f>
        <v>0</v>
      </c>
      <c r="BU265" s="22" t="n"/>
      <c r="BV265" s="42">
        <f>BT265*(1+BV266)</f>
        <v>0</v>
      </c>
      <c r="BW265" s="42">
        <f>BV265*(1+BW266)</f>
        <v>0</v>
      </c>
      <c r="BX265" s="42">
        <f>BW265*(1+BX266)</f>
        <v>0</v>
      </c>
      <c r="BY265" s="42">
        <f>BX265*(1+BY266)</f>
        <v>0</v>
      </c>
      <c r="BZ265" s="22" t="n"/>
      <c r="CA265" s="42">
        <f>BY265*(1+CA266)</f>
        <v>0</v>
      </c>
      <c r="CB265" s="42">
        <f>CA265*(1+CB266)</f>
        <v>0</v>
      </c>
      <c r="CC265" s="42">
        <f>CB265*(1+CC266)</f>
        <v>0</v>
      </c>
      <c r="CD265" s="42">
        <f>CC265*(1+CD266)</f>
        <v>0</v>
      </c>
      <c r="CE265" s="22" t="n"/>
      <c r="CF265" s="42">
        <f>CD265*(1+CF266)</f>
        <v>0</v>
      </c>
      <c r="CG265" s="42">
        <f>CF265*(1+CG266)</f>
        <v>0</v>
      </c>
      <c r="CH265" s="42">
        <f>CG265*(1+CH266)</f>
        <v>0</v>
      </c>
      <c r="CI265" s="42">
        <f>CH265*(1+CI266)</f>
        <v>0</v>
      </c>
      <c r="CJ265" s="22" t="n"/>
      <c r="CK265" s="42">
        <f>CI265*(1+CK266)</f>
        <v>0</v>
      </c>
      <c r="CL265" s="42">
        <f>CK265*(1+CL266)</f>
        <v>0</v>
      </c>
      <c r="CM265" s="42">
        <f>CL265*(1+CM266)</f>
        <v>0</v>
      </c>
      <c r="CN265" s="42">
        <f>CM265*(1+CN266)</f>
        <v>0</v>
      </c>
      <c r="CO265" s="22" t="n"/>
      <c r="CP265" s="42">
        <f>CN265*(1+CP266)</f>
        <v>0</v>
      </c>
      <c r="CQ265" s="42">
        <f>CP265*(1+CQ266)</f>
        <v>0</v>
      </c>
      <c r="CR265" s="42">
        <f>CQ265*(1+CR266)</f>
        <v>0</v>
      </c>
      <c r="CS265" s="42">
        <f>CR265*(1+CS266)</f>
        <v>0</v>
      </c>
      <c r="CT265" s="22" t="n"/>
      <c r="CU265" s="42">
        <f>CS265*(1+CU266)</f>
        <v>0</v>
      </c>
      <c r="CV265" s="42">
        <f>CU265*(1+CV266)</f>
        <v>0</v>
      </c>
      <c r="CW265" s="42">
        <f>CV265*(1+CW266)</f>
        <v>0</v>
      </c>
      <c r="CX265" s="42">
        <f>CW265*(1+CX266)</f>
        <v>0</v>
      </c>
      <c r="CY265" s="22" t="n"/>
      <c r="CZ265">
        <f>CX265*(1+CZ266)</f>
        <v>0</v>
      </c>
      <c r="DA265">
        <f>CZ265*(1+DA266)</f>
        <v>0</v>
      </c>
      <c r="DB265">
        <f>DA265*(1+DB266)</f>
        <v>0</v>
      </c>
      <c r="DC265">
        <f>DB265*(1+DC266)</f>
        <v>0</v>
      </c>
    </row>
    <row r="266" hidden="1" outlineLevel="1" customFormat="1" s="39">
      <c r="A266" s="19" t="n"/>
      <c r="B266" s="19" t="n"/>
      <c r="C266" s="41" t="inlineStr">
        <is>
          <t>Consensus EPS growth</t>
        </is>
      </c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40">
        <f>$AL$271</f>
        <v>0</v>
      </c>
      <c r="AI266" s="40">
        <f>$AL$271</f>
        <v>0</v>
      </c>
      <c r="AJ266" s="40">
        <f>$AL$271</f>
        <v>0</v>
      </c>
      <c r="AK266" s="40">
        <f>$AL$271</f>
        <v>0</v>
      </c>
      <c r="AL266" s="22" t="n"/>
      <c r="AM266" s="40">
        <f>$AL$271</f>
        <v>0</v>
      </c>
      <c r="AN266" s="40">
        <f>$AL$271</f>
        <v>0</v>
      </c>
      <c r="AO266" s="40">
        <f>$AL$271</f>
        <v>0</v>
      </c>
      <c r="AP266" s="40">
        <f>$AL$271</f>
        <v>0</v>
      </c>
      <c r="AQ266" s="22" t="n"/>
      <c r="AR266" s="40">
        <f>$AL$271</f>
        <v>0</v>
      </c>
      <c r="AS266" s="40">
        <f>$AL$271</f>
        <v>0</v>
      </c>
      <c r="AT266" s="40">
        <f>$AL$271</f>
        <v>0</v>
      </c>
      <c r="AU266" s="40">
        <f>$AL$271</f>
        <v>0</v>
      </c>
      <c r="AV266" s="22" t="n"/>
      <c r="AW266" s="40">
        <f>$AL$271</f>
        <v>0</v>
      </c>
      <c r="AX266" s="40">
        <f>$AL$271</f>
        <v>0</v>
      </c>
      <c r="AY266" s="40">
        <f>$AL$271</f>
        <v>0</v>
      </c>
      <c r="AZ266" s="40">
        <f>$AL$271</f>
        <v>0</v>
      </c>
      <c r="BA266" s="22" t="n"/>
      <c r="BB266" s="40">
        <f>$AL$271</f>
        <v>0</v>
      </c>
      <c r="BC266" s="40">
        <f>$AL$271</f>
        <v>0</v>
      </c>
      <c r="BD266" s="40">
        <f>$AL$271</f>
        <v>0</v>
      </c>
      <c r="BE266" s="40">
        <f>$AL$271</f>
        <v>0</v>
      </c>
      <c r="BF266" s="22" t="n"/>
      <c r="BG266" s="40">
        <f>$AL$271</f>
        <v>0</v>
      </c>
      <c r="BH266" s="40">
        <f>$AL$271</f>
        <v>0</v>
      </c>
      <c r="BI266" s="40">
        <f>$AL$271</f>
        <v>0</v>
      </c>
      <c r="BJ266" s="40">
        <f>$AL$271</f>
        <v>0</v>
      </c>
      <c r="BK266" s="22" t="n"/>
      <c r="BL266" s="40">
        <f>$AL$271</f>
        <v>0</v>
      </c>
      <c r="BM266" s="40">
        <f>$AL$271</f>
        <v>0</v>
      </c>
      <c r="BN266" s="40">
        <f>$AL$271</f>
        <v>0</v>
      </c>
      <c r="BO266" s="40">
        <f>$AL$271</f>
        <v>0</v>
      </c>
      <c r="BP266" s="22" t="n"/>
      <c r="BQ266" s="40">
        <f>$AL$271</f>
        <v>0</v>
      </c>
      <c r="BR266" s="40">
        <f>$AL$271</f>
        <v>0</v>
      </c>
      <c r="BS266" s="40">
        <f>$AL$271</f>
        <v>0</v>
      </c>
      <c r="BT266" s="40">
        <f>$AL$271</f>
        <v>0</v>
      </c>
      <c r="BU266" s="22" t="n"/>
      <c r="BV266" s="40">
        <f>$AL$271</f>
        <v>0</v>
      </c>
      <c r="BW266" s="40">
        <f>$AL$271</f>
        <v>0</v>
      </c>
      <c r="BX266" s="40">
        <f>$AL$271</f>
        <v>0</v>
      </c>
      <c r="BY266" s="40">
        <f>$AL$271</f>
        <v>0</v>
      </c>
      <c r="BZ266" s="22" t="n"/>
      <c r="CA266" s="40">
        <f>$AL$271</f>
        <v>0</v>
      </c>
      <c r="CB266" s="40">
        <f>$AL$271</f>
        <v>0</v>
      </c>
      <c r="CC266" s="40">
        <f>$AL$271</f>
        <v>0</v>
      </c>
      <c r="CD266" s="40">
        <f>$AL$271</f>
        <v>0</v>
      </c>
      <c r="CE266" s="22" t="n"/>
      <c r="CF266" s="40">
        <f>$AL$271</f>
        <v>0</v>
      </c>
      <c r="CG266" s="40">
        <f>$AL$271</f>
        <v>0</v>
      </c>
      <c r="CH266" s="40">
        <f>$AL$271</f>
        <v>0</v>
      </c>
      <c r="CI266" s="40">
        <f>$AL$271</f>
        <v>0</v>
      </c>
      <c r="CJ266" s="22" t="n"/>
      <c r="CK266" s="40">
        <f>$AL$271</f>
        <v>0</v>
      </c>
      <c r="CL266" s="40">
        <f>$AL$271</f>
        <v>0</v>
      </c>
      <c r="CM266" s="40">
        <f>$AL$271</f>
        <v>0</v>
      </c>
      <c r="CN266" s="40">
        <f>$AL$271</f>
        <v>0</v>
      </c>
      <c r="CO266" s="22" t="n"/>
      <c r="CP266" s="40">
        <f>$AL$271</f>
        <v>0</v>
      </c>
      <c r="CQ266" s="40">
        <f>$AL$271</f>
        <v>0</v>
      </c>
      <c r="CR266" s="40">
        <f>$AL$271</f>
        <v>0</v>
      </c>
      <c r="CS266" s="40">
        <f>$AL$271</f>
        <v>0</v>
      </c>
      <c r="CT266" s="22" t="n"/>
      <c r="CU266" s="40">
        <f>$AL$271</f>
        <v>0</v>
      </c>
      <c r="CV266" s="40">
        <f>$AL$271</f>
        <v>0</v>
      </c>
      <c r="CW266" s="40">
        <f>$AL$271</f>
        <v>0</v>
      </c>
      <c r="CX266" s="40">
        <f>$AL$271</f>
        <v>0</v>
      </c>
      <c r="CY266" s="22" t="n"/>
    </row>
    <row r="267" hidden="1" outlineLevel="1" customFormat="1" s="39">
      <c r="A267" s="19" t="n"/>
      <c r="B267" s="19" t="n"/>
      <c r="C267" s="41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3" t="n"/>
      <c r="AI267" s="3" t="n"/>
      <c r="AJ267" s="3" t="n"/>
      <c r="AK267" s="3" t="n"/>
      <c r="AL267" s="22" t="n"/>
      <c r="AM267" s="3" t="n"/>
      <c r="AN267" s="3" t="n"/>
      <c r="AO267" s="3" t="n"/>
      <c r="AP267" s="3" t="n"/>
      <c r="AQ267" s="22" t="n"/>
      <c r="AR267" s="3" t="n"/>
      <c r="AS267" s="3" t="n"/>
      <c r="AT267" s="3" t="n"/>
      <c r="AU267" s="3" t="n"/>
      <c r="AV267" s="22" t="n"/>
      <c r="AW267" s="3" t="n"/>
      <c r="AX267" s="3" t="n"/>
      <c r="AY267" s="3" t="n"/>
      <c r="AZ267" s="3" t="n"/>
      <c r="BA267" s="22" t="n"/>
      <c r="BB267" s="3" t="n"/>
      <c r="BC267" s="3" t="n"/>
      <c r="BD267" s="3" t="n"/>
      <c r="BE267" s="3" t="n"/>
      <c r="BF267" s="22" t="n"/>
      <c r="BG267" s="3" t="n"/>
      <c r="BH267" s="3" t="n"/>
      <c r="BI267" s="3" t="n"/>
      <c r="BJ267" s="3" t="n"/>
      <c r="BK267" s="22" t="n"/>
      <c r="BL267" s="3" t="n"/>
      <c r="BM267" s="3" t="n"/>
      <c r="BN267" s="3" t="n"/>
      <c r="BO267" s="3" t="n"/>
      <c r="BP267" s="22" t="n"/>
      <c r="BQ267" s="3" t="n"/>
      <c r="BR267" s="3" t="n"/>
      <c r="BS267" s="3" t="n"/>
      <c r="BT267" s="3" t="n"/>
      <c r="BU267" s="22" t="n"/>
      <c r="BV267" s="3" t="n"/>
      <c r="BW267" s="3" t="n"/>
      <c r="BX267" s="3" t="n"/>
      <c r="BY267" s="3" t="n"/>
      <c r="BZ267" s="22" t="n"/>
      <c r="CA267" s="3" t="n"/>
      <c r="CB267" s="3" t="n"/>
      <c r="CC267" s="3" t="n"/>
      <c r="CD267" s="3" t="n"/>
      <c r="CE267" s="22" t="n"/>
      <c r="CF267" s="3" t="n"/>
      <c r="CG267" s="3" t="n"/>
      <c r="CH267" s="3" t="n"/>
      <c r="CI267" s="3" t="n"/>
      <c r="CJ267" s="22" t="n"/>
      <c r="CK267" s="3" t="n"/>
      <c r="CL267" s="3" t="n"/>
      <c r="CM267" s="3" t="n"/>
      <c r="CN267" s="3" t="n"/>
      <c r="CO267" s="22" t="n"/>
      <c r="CP267" s="3" t="n"/>
      <c r="CQ267" s="3" t="n"/>
      <c r="CR267" s="3" t="n"/>
      <c r="CS267" s="3" t="n"/>
      <c r="CT267" s="22" t="n"/>
      <c r="CU267" s="3" t="n"/>
      <c r="CV267" s="3" t="n"/>
      <c r="CW267" s="3" t="n"/>
      <c r="CX267" s="3" t="n"/>
      <c r="CY267" s="22" t="n"/>
    </row>
    <row r="268" hidden="1" outlineLevel="1" customFormat="1" s="39">
      <c r="A268" s="19" t="n"/>
      <c r="B268" s="19" t="n"/>
      <c r="C268" s="41" t="inlineStr">
        <is>
          <t>Shares repurchased</t>
        </is>
      </c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43" t="n"/>
      <c r="AI268" s="43" t="n"/>
      <c r="AJ268" s="43" t="e">
        <f>-AJ263/AJ265</f>
        <v>#DIV/0!</v>
      </c>
      <c r="AK268" s="43" t="e">
        <f>-AK263/AK265</f>
        <v>#DIV/0!</v>
      </c>
      <c r="AL268" s="22" t="n"/>
      <c r="AM268" s="43" t="e">
        <f>-AM263/AM265</f>
        <v>#DIV/0!</v>
      </c>
      <c r="AN268" s="43" t="e">
        <f>-AN263/AN265</f>
        <v>#DIV/0!</v>
      </c>
      <c r="AO268" s="43" t="e">
        <f>-AO263/AO265</f>
        <v>#DIV/0!</v>
      </c>
      <c r="AP268" s="43" t="e">
        <f>-AP263/AP265</f>
        <v>#DIV/0!</v>
      </c>
      <c r="AQ268" s="22" t="n"/>
      <c r="AR268" s="43" t="e">
        <f>-AR263/AR265</f>
        <v>#DIV/0!</v>
      </c>
      <c r="AS268" s="43" t="e">
        <f>-AS263/AS265</f>
        <v>#DIV/0!</v>
      </c>
      <c r="AT268" s="43" t="e">
        <f>-AT263/AT265</f>
        <v>#DIV/0!</v>
      </c>
      <c r="AU268" s="43" t="e">
        <f>-AU263/AU265</f>
        <v>#DIV/0!</v>
      </c>
      <c r="AV268" s="22" t="n"/>
      <c r="AW268" s="43" t="e">
        <f>-AW263/AW265</f>
        <v>#DIV/0!</v>
      </c>
      <c r="AX268" s="43" t="e">
        <f>-AX263/AX265</f>
        <v>#DIV/0!</v>
      </c>
      <c r="AY268" s="43" t="e">
        <f>-AY263/AY265</f>
        <v>#DIV/0!</v>
      </c>
      <c r="AZ268" s="43" t="e">
        <f>-AZ263/AZ265</f>
        <v>#DIV/0!</v>
      </c>
      <c r="BA268" s="22" t="n"/>
      <c r="BB268" s="43" t="e">
        <f>-BB263/BB265</f>
        <v>#DIV/0!</v>
      </c>
      <c r="BC268" s="43" t="e">
        <f>-BC263/BC265</f>
        <v>#DIV/0!</v>
      </c>
      <c r="BD268" s="43" t="e">
        <f>-BD263/BD265</f>
        <v>#DIV/0!</v>
      </c>
      <c r="BE268" s="43" t="e">
        <f>-BE263/BE265</f>
        <v>#DIV/0!</v>
      </c>
      <c r="BF268" s="22" t="n"/>
      <c r="BG268" s="43" t="e">
        <f>-BG263/BG265</f>
        <v>#DIV/0!</v>
      </c>
      <c r="BH268" s="43" t="e">
        <f>-BH263/BH265</f>
        <v>#DIV/0!</v>
      </c>
      <c r="BI268" s="43" t="e">
        <f>-BI263/BI265</f>
        <v>#DIV/0!</v>
      </c>
      <c r="BJ268" s="43" t="e">
        <f>-BJ263/BJ265</f>
        <v>#DIV/0!</v>
      </c>
      <c r="BK268" s="22" t="n"/>
      <c r="BL268" s="43" t="e">
        <f>-BL263/BL265</f>
        <v>#DIV/0!</v>
      </c>
      <c r="BM268" s="43" t="e">
        <f>-BM263/BM265</f>
        <v>#DIV/0!</v>
      </c>
      <c r="BN268" s="43" t="e">
        <f>-BN263/BN265</f>
        <v>#DIV/0!</v>
      </c>
      <c r="BO268" s="43" t="e">
        <f>-BO263/BO265</f>
        <v>#DIV/0!</v>
      </c>
      <c r="BP268" s="22" t="n"/>
      <c r="BQ268" s="43" t="e">
        <f>-BQ263/BQ265</f>
        <v>#DIV/0!</v>
      </c>
      <c r="BR268" s="43" t="e">
        <f>-BR263/BR265</f>
        <v>#DIV/0!</v>
      </c>
      <c r="BS268" s="43" t="e">
        <f>-BS263/BS265</f>
        <v>#DIV/0!</v>
      </c>
      <c r="BT268" s="43" t="e">
        <f>-BT263/BT265</f>
        <v>#DIV/0!</v>
      </c>
      <c r="BU268" s="22" t="n"/>
      <c r="BV268" s="43" t="e">
        <f>-BV263/BV265</f>
        <v>#DIV/0!</v>
      </c>
      <c r="BW268" s="43" t="e">
        <f>-BW263/BW265</f>
        <v>#DIV/0!</v>
      </c>
      <c r="BX268" s="43" t="e">
        <f>-BX263/BX265</f>
        <v>#DIV/0!</v>
      </c>
      <c r="BY268" s="43" t="e">
        <f>-BY263/BY265</f>
        <v>#DIV/0!</v>
      </c>
      <c r="BZ268" s="22" t="n"/>
      <c r="CA268" s="43" t="e">
        <f>-CA263/CA265</f>
        <v>#DIV/0!</v>
      </c>
      <c r="CB268" s="43" t="e">
        <f>-CB263/CB265</f>
        <v>#DIV/0!</v>
      </c>
      <c r="CC268" s="43" t="e">
        <f>-CC263/CC265</f>
        <v>#DIV/0!</v>
      </c>
      <c r="CD268" s="43" t="e">
        <f>-CD263/CD265</f>
        <v>#DIV/0!</v>
      </c>
      <c r="CE268" s="22" t="n"/>
      <c r="CF268" s="43" t="e">
        <f>-CF263/CF265</f>
        <v>#DIV/0!</v>
      </c>
      <c r="CG268" s="43" t="e">
        <f>-CG263/CG265</f>
        <v>#DIV/0!</v>
      </c>
      <c r="CH268" s="43" t="e">
        <f>-CH263/CH265</f>
        <v>#DIV/0!</v>
      </c>
      <c r="CI268" s="43" t="e">
        <f>-CI263/CI265</f>
        <v>#DIV/0!</v>
      </c>
      <c r="CJ268" s="22" t="n"/>
      <c r="CK268" s="43" t="e">
        <f>-CK263/CK265</f>
        <v>#DIV/0!</v>
      </c>
      <c r="CL268" s="43" t="e">
        <f>-CL263/CL265</f>
        <v>#DIV/0!</v>
      </c>
      <c r="CM268" s="43" t="e">
        <f>-CM263/CM265</f>
        <v>#DIV/0!</v>
      </c>
      <c r="CN268" s="43" t="e">
        <f>-CN263/CN265</f>
        <v>#DIV/0!</v>
      </c>
      <c r="CO268" s="22" t="n"/>
      <c r="CP268" s="43" t="e">
        <f>-CP263/CP265</f>
        <v>#DIV/0!</v>
      </c>
      <c r="CQ268" s="43" t="e">
        <f>-CQ263/CQ265</f>
        <v>#DIV/0!</v>
      </c>
      <c r="CR268" s="43" t="e">
        <f>-CR263/CR265</f>
        <v>#DIV/0!</v>
      </c>
      <c r="CS268" s="43" t="e">
        <f>-CS263/CS265</f>
        <v>#DIV/0!</v>
      </c>
      <c r="CT268" s="22" t="n"/>
      <c r="CU268" s="43" t="e">
        <f>-CU263/CU265</f>
        <v>#DIV/0!</v>
      </c>
      <c r="CV268" s="43" t="e">
        <f>-CV263/CV265</f>
        <v>#DIV/0!</v>
      </c>
      <c r="CW268" s="43" t="e">
        <f>-CW263/CW265</f>
        <v>#DIV/0!</v>
      </c>
      <c r="CX268" s="43" t="e">
        <f>-CX263/CX265</f>
        <v>#DIV/0!</v>
      </c>
      <c r="CY268" s="22" t="n"/>
    </row>
    <row r="269" hidden="1" outlineLevel="1" customFormat="1" s="39">
      <c r="A269" s="19" t="n"/>
      <c r="B269" s="19" t="n"/>
      <c r="C269" s="41" t="inlineStr">
        <is>
          <t>Shares issued</t>
        </is>
      </c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46" t="n"/>
      <c r="AG269" s="22" t="n"/>
      <c r="AH269" s="43" t="n"/>
      <c r="AI269" s="43" t="n"/>
      <c r="AJ269" s="43" t="e">
        <f>AJ264/AJ265</f>
        <v>#DIV/0!</v>
      </c>
      <c r="AK269" s="43" t="e">
        <f>AK264/AK265</f>
        <v>#DIV/0!</v>
      </c>
      <c r="AL269" s="22" t="n"/>
      <c r="AM269" s="43" t="e">
        <f>AM264/AM265</f>
        <v>#DIV/0!</v>
      </c>
      <c r="AN269" s="43" t="e">
        <f>AN264/AN265</f>
        <v>#DIV/0!</v>
      </c>
      <c r="AO269" s="43" t="e">
        <f>AO264/AO265</f>
        <v>#DIV/0!</v>
      </c>
      <c r="AP269" s="43" t="e">
        <f>AP264/AP265</f>
        <v>#DIV/0!</v>
      </c>
      <c r="AQ269" s="22" t="n"/>
      <c r="AR269" s="43" t="e">
        <f>AR264/AR265</f>
        <v>#DIV/0!</v>
      </c>
      <c r="AS269" s="43" t="e">
        <f>AS264/AS265</f>
        <v>#DIV/0!</v>
      </c>
      <c r="AT269" s="43" t="e">
        <f>AT264/AT265</f>
        <v>#DIV/0!</v>
      </c>
      <c r="AU269" s="43" t="e">
        <f>AU264/AU265</f>
        <v>#DIV/0!</v>
      </c>
      <c r="AV269" s="22" t="n"/>
      <c r="AW269" s="43" t="e">
        <f>AW264/AW265</f>
        <v>#DIV/0!</v>
      </c>
      <c r="AX269" s="43" t="e">
        <f>AX264/AX265</f>
        <v>#DIV/0!</v>
      </c>
      <c r="AY269" s="43" t="e">
        <f>AY264/AY265</f>
        <v>#DIV/0!</v>
      </c>
      <c r="AZ269" s="43" t="e">
        <f>AZ264/AZ265</f>
        <v>#DIV/0!</v>
      </c>
      <c r="BA269" s="22" t="n"/>
      <c r="BB269" s="43" t="e">
        <f>BB264/BB265</f>
        <v>#DIV/0!</v>
      </c>
      <c r="BC269" s="43" t="e">
        <f>BC264/BC265</f>
        <v>#DIV/0!</v>
      </c>
      <c r="BD269" s="43" t="e">
        <f>BD264/BD265</f>
        <v>#DIV/0!</v>
      </c>
      <c r="BE269" s="43" t="e">
        <f>BE264/BE265</f>
        <v>#DIV/0!</v>
      </c>
      <c r="BF269" s="22" t="n"/>
      <c r="BG269" s="43" t="e">
        <f>BG264/BG265</f>
        <v>#DIV/0!</v>
      </c>
      <c r="BH269" s="43" t="e">
        <f>BH264/BH265</f>
        <v>#DIV/0!</v>
      </c>
      <c r="BI269" s="43" t="e">
        <f>BI264/BI265</f>
        <v>#DIV/0!</v>
      </c>
      <c r="BJ269" s="43" t="e">
        <f>BJ264/BJ265</f>
        <v>#DIV/0!</v>
      </c>
      <c r="BK269" s="22" t="n"/>
      <c r="BL269" s="43" t="e">
        <f>BL264/BL265</f>
        <v>#DIV/0!</v>
      </c>
      <c r="BM269" s="43" t="e">
        <f>BM264/BM265</f>
        <v>#DIV/0!</v>
      </c>
      <c r="BN269" s="43" t="e">
        <f>BN264/BN265</f>
        <v>#DIV/0!</v>
      </c>
      <c r="BO269" s="43" t="e">
        <f>BO264/BO265</f>
        <v>#DIV/0!</v>
      </c>
      <c r="BP269" s="22" t="n"/>
      <c r="BQ269" s="43" t="e">
        <f>BQ264/BQ265</f>
        <v>#DIV/0!</v>
      </c>
      <c r="BR269" s="43" t="e">
        <f>BR264/BR265</f>
        <v>#DIV/0!</v>
      </c>
      <c r="BS269" s="43" t="e">
        <f>BS264/BS265</f>
        <v>#DIV/0!</v>
      </c>
      <c r="BT269" s="43" t="e">
        <f>BT264/BT265</f>
        <v>#DIV/0!</v>
      </c>
      <c r="BU269" s="22" t="n"/>
      <c r="BV269" s="43" t="e">
        <f>BV264/BV265</f>
        <v>#DIV/0!</v>
      </c>
      <c r="BW269" s="43" t="e">
        <f>BW264/BW265</f>
        <v>#DIV/0!</v>
      </c>
      <c r="BX269" s="43" t="e">
        <f>BX264/BX265</f>
        <v>#DIV/0!</v>
      </c>
      <c r="BY269" s="43" t="e">
        <f>BY264/BY265</f>
        <v>#DIV/0!</v>
      </c>
      <c r="BZ269" s="22" t="n"/>
      <c r="CA269" s="43" t="e">
        <f>CA264/CA265</f>
        <v>#DIV/0!</v>
      </c>
      <c r="CB269" s="43" t="e">
        <f>CB264/CB265</f>
        <v>#DIV/0!</v>
      </c>
      <c r="CC269" s="43" t="e">
        <f>CC264/CC265</f>
        <v>#DIV/0!</v>
      </c>
      <c r="CD269" s="43" t="e">
        <f>CD264/CD265</f>
        <v>#DIV/0!</v>
      </c>
      <c r="CE269" s="22" t="n"/>
      <c r="CF269" s="43" t="e">
        <f>CF264/CF265</f>
        <v>#DIV/0!</v>
      </c>
      <c r="CG269" s="43" t="e">
        <f>CG264/CG265</f>
        <v>#DIV/0!</v>
      </c>
      <c r="CH269" s="43" t="e">
        <f>CH264/CH265</f>
        <v>#DIV/0!</v>
      </c>
      <c r="CI269" s="43" t="e">
        <f>CI264/CI265</f>
        <v>#DIV/0!</v>
      </c>
      <c r="CJ269" s="22" t="n"/>
      <c r="CK269" s="43" t="e">
        <f>CK264/CK265</f>
        <v>#DIV/0!</v>
      </c>
      <c r="CL269" s="43" t="e">
        <f>CL264/CL265</f>
        <v>#DIV/0!</v>
      </c>
      <c r="CM269" s="43" t="e">
        <f>CM264/CM265</f>
        <v>#DIV/0!</v>
      </c>
      <c r="CN269" s="43" t="e">
        <f>CN264/CN265</f>
        <v>#DIV/0!</v>
      </c>
      <c r="CO269" s="22" t="n"/>
      <c r="CP269" s="43" t="e">
        <f>CP264/CP265</f>
        <v>#DIV/0!</v>
      </c>
      <c r="CQ269" s="43" t="e">
        <f>CQ264/CQ265</f>
        <v>#DIV/0!</v>
      </c>
      <c r="CR269" s="43" t="e">
        <f>CR264/CR265</f>
        <v>#DIV/0!</v>
      </c>
      <c r="CS269" s="43" t="e">
        <f>CS264/CS265</f>
        <v>#DIV/0!</v>
      </c>
      <c r="CT269" s="22" t="n"/>
      <c r="CU269" s="43" t="e">
        <f>CU264/CU265</f>
        <v>#DIV/0!</v>
      </c>
      <c r="CV269" s="43" t="e">
        <f>CV264/CV265</f>
        <v>#DIV/0!</v>
      </c>
      <c r="CW269" s="43" t="e">
        <f>CW264/CW265</f>
        <v>#DIV/0!</v>
      </c>
      <c r="CX269" s="43" t="e">
        <f>CX264/CX265</f>
        <v>#DIV/0!</v>
      </c>
      <c r="CY269" s="22" t="n"/>
    </row>
    <row r="270" hidden="1" outlineLevel="1" customFormat="1" s="39">
      <c r="A270" s="19" t="n"/>
      <c r="B270" s="19" t="n"/>
      <c r="C270" s="41" t="inlineStr">
        <is>
          <t>End of period basic shares outstanding</t>
        </is>
      </c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51" t="n"/>
      <c r="AH270" s="1">
        <f>AG270+AH269-AH268</f>
        <v>0</v>
      </c>
      <c r="AI270" s="1">
        <f>AH270+AI269-AI268</f>
        <v>0</v>
      </c>
      <c r="AJ270" s="43" t="e">
        <f>AI270+AJ269-AJ268</f>
        <v>#DIV/0!</v>
      </c>
      <c r="AK270" s="43" t="e">
        <f>AJ270+AK269-AK268</f>
        <v>#DIV/0!</v>
      </c>
      <c r="AL270" s="22" t="n"/>
      <c r="AM270" s="1" t="e">
        <f>AK270+AM269-AM268</f>
        <v>#DIV/0!</v>
      </c>
      <c r="AN270" s="1" t="e">
        <f>AM270+AN269-AN268</f>
        <v>#DIV/0!</v>
      </c>
      <c r="AO270" s="43" t="e">
        <f>AN270+AO269-AO268</f>
        <v>#DIV/0!</v>
      </c>
      <c r="AP270" s="43" t="e">
        <f>AO270+AP269-AP268</f>
        <v>#DIV/0!</v>
      </c>
      <c r="AQ270" s="22" t="n"/>
      <c r="AR270" s="1" t="e">
        <f>AP270+AR269-AR268</f>
        <v>#DIV/0!</v>
      </c>
      <c r="AS270" s="1" t="e">
        <f>AR270+AS269-AS268</f>
        <v>#DIV/0!</v>
      </c>
      <c r="AT270" s="43" t="e">
        <f>AS270+AT269-AT268</f>
        <v>#DIV/0!</v>
      </c>
      <c r="AU270" s="43" t="e">
        <f>AT270+AU269-AU268</f>
        <v>#DIV/0!</v>
      </c>
      <c r="AV270" s="22" t="n"/>
      <c r="AW270" s="1" t="e">
        <f>AU270+AW269-AW268</f>
        <v>#DIV/0!</v>
      </c>
      <c r="AX270" s="1" t="e">
        <f>AW270+AX269-AX268</f>
        <v>#DIV/0!</v>
      </c>
      <c r="AY270" s="43" t="e">
        <f>AX270+AY269-AY268</f>
        <v>#DIV/0!</v>
      </c>
      <c r="AZ270" s="43" t="e">
        <f>AY270+AZ269-AZ268</f>
        <v>#DIV/0!</v>
      </c>
      <c r="BA270" s="22" t="n"/>
      <c r="BB270" s="1" t="e">
        <f>AZ270+BB269-BB268</f>
        <v>#DIV/0!</v>
      </c>
      <c r="BC270" s="1" t="e">
        <f>BB270+BC269-BC268</f>
        <v>#DIV/0!</v>
      </c>
      <c r="BD270" s="43" t="e">
        <f>BC270+BD269-BD268</f>
        <v>#DIV/0!</v>
      </c>
      <c r="BE270" s="43" t="e">
        <f>BD270+BE269-BE268</f>
        <v>#DIV/0!</v>
      </c>
      <c r="BF270" s="22" t="n"/>
      <c r="BG270" s="1" t="e">
        <f>BE270+BG269-BG268</f>
        <v>#DIV/0!</v>
      </c>
      <c r="BH270" s="1" t="e">
        <f>BG270+BH269-BH268</f>
        <v>#DIV/0!</v>
      </c>
      <c r="BI270" s="43" t="e">
        <f>BH270+BI269-BI268</f>
        <v>#DIV/0!</v>
      </c>
      <c r="BJ270" s="43" t="e">
        <f>BI270+BJ269-BJ268</f>
        <v>#DIV/0!</v>
      </c>
      <c r="BK270" s="22" t="n"/>
      <c r="BL270" s="1" t="e">
        <f>BJ270+BL269-BL268</f>
        <v>#DIV/0!</v>
      </c>
      <c r="BM270" s="1" t="e">
        <f>BL270+BM269-BM268</f>
        <v>#DIV/0!</v>
      </c>
      <c r="BN270" s="43" t="e">
        <f>BM270+BN269-BN268</f>
        <v>#DIV/0!</v>
      </c>
      <c r="BO270" s="43" t="e">
        <f>BN270+BO269-BO268</f>
        <v>#DIV/0!</v>
      </c>
      <c r="BP270" s="22" t="n"/>
      <c r="BQ270" s="1" t="e">
        <f>BO270+BQ269-BQ268</f>
        <v>#DIV/0!</v>
      </c>
      <c r="BR270" s="1" t="e">
        <f>BQ270+BR269-BR268</f>
        <v>#DIV/0!</v>
      </c>
      <c r="BS270" s="43" t="e">
        <f>BR270+BS269-BS268</f>
        <v>#DIV/0!</v>
      </c>
      <c r="BT270" s="43" t="e">
        <f>BS270+BT269-BT268</f>
        <v>#DIV/0!</v>
      </c>
      <c r="BU270" s="22" t="n"/>
      <c r="BV270" s="1" t="e">
        <f>BT270+BV269-BV268</f>
        <v>#DIV/0!</v>
      </c>
      <c r="BW270" s="1" t="e">
        <f>BV270+BW269-BW268</f>
        <v>#DIV/0!</v>
      </c>
      <c r="BX270" s="43" t="e">
        <f>BW270+BX269-BX268</f>
        <v>#DIV/0!</v>
      </c>
      <c r="BY270" s="43" t="e">
        <f>BX270+BY269-BY268</f>
        <v>#DIV/0!</v>
      </c>
      <c r="BZ270" s="22" t="n"/>
      <c r="CA270" s="1" t="e">
        <f>BY270+CA269-CA268</f>
        <v>#DIV/0!</v>
      </c>
      <c r="CB270" s="1" t="e">
        <f>CA270+CB269-CB268</f>
        <v>#DIV/0!</v>
      </c>
      <c r="CC270" s="43" t="e">
        <f>CB270+CC269-CC268</f>
        <v>#DIV/0!</v>
      </c>
      <c r="CD270" s="43" t="e">
        <f>CC270+CD269-CD268</f>
        <v>#DIV/0!</v>
      </c>
      <c r="CE270" s="22" t="n"/>
      <c r="CF270" s="1" t="e">
        <f>CD270+CF269-CF268</f>
        <v>#DIV/0!</v>
      </c>
      <c r="CG270" s="1" t="e">
        <f>CF270+CG269-CG268</f>
        <v>#DIV/0!</v>
      </c>
      <c r="CH270" s="43" t="e">
        <f>CG270+CH269-CH268</f>
        <v>#DIV/0!</v>
      </c>
      <c r="CI270" s="43" t="e">
        <f>CH270+CI269-CI268</f>
        <v>#DIV/0!</v>
      </c>
      <c r="CJ270" s="22" t="n"/>
      <c r="CK270" s="1" t="e">
        <f>CI270+CK269-CK268</f>
        <v>#DIV/0!</v>
      </c>
      <c r="CL270" s="1" t="e">
        <f>CK270+CL269-CL268</f>
        <v>#DIV/0!</v>
      </c>
      <c r="CM270" s="43" t="e">
        <f>CL270+CM269-CM268</f>
        <v>#DIV/0!</v>
      </c>
      <c r="CN270" s="43" t="e">
        <f>CM270+CN269-CN268</f>
        <v>#DIV/0!</v>
      </c>
      <c r="CO270" s="22" t="n"/>
      <c r="CP270" s="1" t="e">
        <f>CN270+CP269-CP268</f>
        <v>#DIV/0!</v>
      </c>
      <c r="CQ270" s="1" t="e">
        <f>CP270+CQ269-CQ268</f>
        <v>#DIV/0!</v>
      </c>
      <c r="CR270" s="43" t="e">
        <f>CQ270+CR269-CR268</f>
        <v>#DIV/0!</v>
      </c>
      <c r="CS270" s="43" t="e">
        <f>CR270+CS269-CS268</f>
        <v>#DIV/0!</v>
      </c>
      <c r="CT270" s="22" t="n"/>
      <c r="CU270" s="1" t="e">
        <f>CS270+CU269-CU268</f>
        <v>#DIV/0!</v>
      </c>
      <c r="CV270" s="1" t="e">
        <f>CU270+CV269-CV268</f>
        <v>#DIV/0!</v>
      </c>
      <c r="CW270" s="43" t="e">
        <f>CV270+CW269-CW268</f>
        <v>#DIV/0!</v>
      </c>
      <c r="CX270" s="43" t="e">
        <f>CW270+CX269-CX268</f>
        <v>#DIV/0!</v>
      </c>
      <c r="CY270" s="22" t="n"/>
      <c r="CZ270" t="e">
        <f>CX270+CZ269-CZ268</f>
        <v>#DIV/0!</v>
      </c>
      <c r="DA270" t="e">
        <f>CZ270+DA269-DA268</f>
        <v>#DIV/0!</v>
      </c>
      <c r="DB270" t="e">
        <f>DA270+DB269-DB268</f>
        <v>#DIV/0!</v>
      </c>
      <c r="DC270" t="e">
        <f>DB270+DC269-DC268</f>
        <v>#DIV/0!</v>
      </c>
    </row>
    <row r="271" hidden="1" outlineLevel="1" customFormat="1" s="39">
      <c r="A271" s="19" t="n"/>
      <c r="B271" s="19" t="n"/>
      <c r="C271" s="41" t="inlineStr">
        <is>
          <t>Weighted average basic shares outstanding</t>
        </is>
      </c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43">
        <f>AVERAGE(AG270,AH270)</f>
        <v>0</v>
      </c>
      <c r="AI271" s="43">
        <f>AVERAGE(AH270,AI270)</f>
        <v>0</v>
      </c>
      <c r="AJ271" s="43" t="e">
        <f>AVERAGE(AI270,AJ270)</f>
        <v>#DIV/0!</v>
      </c>
      <c r="AK271" s="43" t="e">
        <f>AVERAGE(AJ270,AK270)</f>
        <v>#DIV/0!</v>
      </c>
      <c r="AL271" s="22" t="n"/>
      <c r="AM271" s="43" t="e">
        <f>AVERAGE(AK270,AM270)</f>
        <v>#DIV/0!</v>
      </c>
      <c r="AN271" s="43" t="e">
        <f>AVERAGE(AM270,AN270)</f>
        <v>#DIV/0!</v>
      </c>
      <c r="AO271" s="43" t="e">
        <f>AVERAGE(AN270,AO270)</f>
        <v>#DIV/0!</v>
      </c>
      <c r="AP271" s="43" t="e">
        <f>AVERAGE(AO270,AP270)</f>
        <v>#DIV/0!</v>
      </c>
      <c r="AQ271" s="22" t="n"/>
      <c r="AR271" s="43" t="e">
        <f>AVERAGE(AP270,AR270)</f>
        <v>#DIV/0!</v>
      </c>
      <c r="AS271" s="43" t="e">
        <f>AVERAGE(AR270,AS270)</f>
        <v>#DIV/0!</v>
      </c>
      <c r="AT271" s="43" t="e">
        <f>AVERAGE(AS270,AT270)</f>
        <v>#DIV/0!</v>
      </c>
      <c r="AU271" s="43" t="e">
        <f>AVERAGE(AT270,AU270)</f>
        <v>#DIV/0!</v>
      </c>
      <c r="AV271" s="22" t="n"/>
      <c r="AW271" s="43" t="e">
        <f>AVERAGE(AU270,AW270)</f>
        <v>#DIV/0!</v>
      </c>
      <c r="AX271" s="43" t="e">
        <f>AVERAGE(AW270,AX270)</f>
        <v>#DIV/0!</v>
      </c>
      <c r="AY271" s="43" t="e">
        <f>AVERAGE(AX270,AY270)</f>
        <v>#DIV/0!</v>
      </c>
      <c r="AZ271" s="43" t="e">
        <f>AVERAGE(AY270,AZ270)</f>
        <v>#DIV/0!</v>
      </c>
      <c r="BA271" s="22" t="n"/>
      <c r="BB271" s="43" t="e">
        <f>AVERAGE(AZ270,BB270)</f>
        <v>#DIV/0!</v>
      </c>
      <c r="BC271" s="43" t="e">
        <f>AVERAGE(BB270,BC270)</f>
        <v>#DIV/0!</v>
      </c>
      <c r="BD271" s="43" t="e">
        <f>AVERAGE(BC270,BD270)</f>
        <v>#DIV/0!</v>
      </c>
      <c r="BE271" s="43" t="e">
        <f>AVERAGE(BD270,BE270)</f>
        <v>#DIV/0!</v>
      </c>
      <c r="BF271" s="22" t="n"/>
      <c r="BG271" s="43" t="e">
        <f>AVERAGE(BE270,BG270)</f>
        <v>#DIV/0!</v>
      </c>
      <c r="BH271" s="43" t="e">
        <f>AVERAGE(BG270,BH270)</f>
        <v>#DIV/0!</v>
      </c>
      <c r="BI271" s="43" t="e">
        <f>AVERAGE(BH270,BI270)</f>
        <v>#DIV/0!</v>
      </c>
      <c r="BJ271" s="43" t="e">
        <f>AVERAGE(BI270,BJ270)</f>
        <v>#DIV/0!</v>
      </c>
      <c r="BK271" s="22" t="n"/>
      <c r="BL271" s="43" t="e">
        <f>AVERAGE(BJ270,BL270)</f>
        <v>#DIV/0!</v>
      </c>
      <c r="BM271" s="43" t="e">
        <f>AVERAGE(BL270,BM270)</f>
        <v>#DIV/0!</v>
      </c>
      <c r="BN271" s="43" t="e">
        <f>AVERAGE(BM270,BN270)</f>
        <v>#DIV/0!</v>
      </c>
      <c r="BO271" s="43" t="e">
        <f>AVERAGE(BN270,BO270)</f>
        <v>#DIV/0!</v>
      </c>
      <c r="BP271" s="22" t="n"/>
      <c r="BQ271" s="43" t="e">
        <f>AVERAGE(BO270,BQ270)</f>
        <v>#DIV/0!</v>
      </c>
      <c r="BR271" s="43" t="e">
        <f>AVERAGE(BQ270,BR270)</f>
        <v>#DIV/0!</v>
      </c>
      <c r="BS271" s="43" t="e">
        <f>AVERAGE(BR270,BS270)</f>
        <v>#DIV/0!</v>
      </c>
      <c r="BT271" s="43" t="e">
        <f>AVERAGE(BS270,BT270)</f>
        <v>#DIV/0!</v>
      </c>
      <c r="BU271" s="22" t="n"/>
      <c r="BV271" s="43" t="e">
        <f>AVERAGE(BT270,BV270)</f>
        <v>#DIV/0!</v>
      </c>
      <c r="BW271" s="43" t="e">
        <f>AVERAGE(BV270,BW270)</f>
        <v>#DIV/0!</v>
      </c>
      <c r="BX271" s="43" t="e">
        <f>AVERAGE(BW270,BX270)</f>
        <v>#DIV/0!</v>
      </c>
      <c r="BY271" s="43" t="e">
        <f>AVERAGE(BX270,BY270)</f>
        <v>#DIV/0!</v>
      </c>
      <c r="BZ271" s="22" t="n"/>
      <c r="CA271" s="43" t="e">
        <f>AVERAGE(BY270,CA270)</f>
        <v>#DIV/0!</v>
      </c>
      <c r="CB271" s="43" t="e">
        <f>AVERAGE(CA270,CB270)</f>
        <v>#DIV/0!</v>
      </c>
      <c r="CC271" s="43" t="e">
        <f>AVERAGE(CB270,CC270)</f>
        <v>#DIV/0!</v>
      </c>
      <c r="CD271" s="43" t="e">
        <f>AVERAGE(CC270,CD270)</f>
        <v>#DIV/0!</v>
      </c>
      <c r="CE271" s="22" t="n"/>
      <c r="CF271" s="43" t="e">
        <f>AVERAGE(CD270,CF270)</f>
        <v>#DIV/0!</v>
      </c>
      <c r="CG271" s="43" t="e">
        <f>AVERAGE(CF270,CG270)</f>
        <v>#DIV/0!</v>
      </c>
      <c r="CH271" s="43" t="e">
        <f>AVERAGE(CG270,CH270)</f>
        <v>#DIV/0!</v>
      </c>
      <c r="CI271" s="43" t="e">
        <f>AVERAGE(CH270,CI270)</f>
        <v>#DIV/0!</v>
      </c>
      <c r="CJ271" s="22" t="n"/>
      <c r="CK271" s="43" t="e">
        <f>AVERAGE(CI270,CK270)</f>
        <v>#DIV/0!</v>
      </c>
      <c r="CL271" s="43" t="e">
        <f>AVERAGE(CK270,CL270)</f>
        <v>#DIV/0!</v>
      </c>
      <c r="CM271" s="43" t="e">
        <f>AVERAGE(CL270,CM270)</f>
        <v>#DIV/0!</v>
      </c>
      <c r="CN271" s="43" t="e">
        <f>AVERAGE(CM270,CN270)</f>
        <v>#DIV/0!</v>
      </c>
      <c r="CO271" s="22" t="n"/>
      <c r="CP271" s="43" t="e">
        <f>AVERAGE(CN270,CP270)</f>
        <v>#DIV/0!</v>
      </c>
      <c r="CQ271" s="43" t="e">
        <f>AVERAGE(CP270,CQ270)</f>
        <v>#DIV/0!</v>
      </c>
      <c r="CR271" s="43" t="e">
        <f>AVERAGE(CQ270,CR270)</f>
        <v>#DIV/0!</v>
      </c>
      <c r="CS271" s="43" t="e">
        <f>AVERAGE(CR270,CS270)</f>
        <v>#DIV/0!</v>
      </c>
      <c r="CT271" s="22" t="n"/>
      <c r="CU271" s="43" t="e">
        <f>AVERAGE(CS270,CU270)</f>
        <v>#DIV/0!</v>
      </c>
      <c r="CV271" s="43" t="e">
        <f>AVERAGE(CU270,CV270)</f>
        <v>#DIV/0!</v>
      </c>
      <c r="CW271" s="43" t="e">
        <f>AVERAGE(CV270,CW270)</f>
        <v>#DIV/0!</v>
      </c>
      <c r="CX271" s="43" t="e">
        <f>AVERAGE(CW270,CX270)</f>
        <v>#DIV/0!</v>
      </c>
      <c r="CY271" s="22" t="n"/>
      <c r="CZ271" t="e">
        <f>AVERAGE(CX270,CZ270)</f>
        <v>#DIV/0!</v>
      </c>
      <c r="DA271" t="e">
        <f>AVERAGE(CZ270,DA270)</f>
        <v>#DIV/0!</v>
      </c>
      <c r="DB271" t="e">
        <f>AVERAGE(DA270,DB270)</f>
        <v>#DIV/0!</v>
      </c>
      <c r="DC271" t="e">
        <f>AVERAGE(DB270,DC270)</f>
        <v>#DIV/0!</v>
      </c>
    </row>
    <row r="272" hidden="1" outlineLevel="1" customFormat="1" s="39">
      <c r="A272" s="19" t="n"/>
      <c r="B272" s="19" t="n"/>
      <c r="C272" s="41" t="n"/>
      <c r="D272" s="22" t="n"/>
      <c r="E272" s="22" t="n"/>
      <c r="F272" s="22" t="n"/>
      <c r="G272" s="22" t="n"/>
      <c r="H272" s="3" t="n"/>
      <c r="I272" s="22" t="n"/>
      <c r="J272" s="22" t="n"/>
      <c r="K272" s="22" t="n"/>
      <c r="L272" s="22" t="n"/>
      <c r="M272" s="3" t="n"/>
      <c r="N272" s="22" t="n"/>
      <c r="O272" s="22" t="n"/>
      <c r="P272" s="22" t="n"/>
      <c r="Q272" s="22" t="n"/>
      <c r="R272" s="3" t="n"/>
      <c r="S272" s="22" t="n"/>
      <c r="T272" s="22" t="n"/>
      <c r="U272" s="22" t="n"/>
      <c r="V272" s="22" t="n"/>
      <c r="W272" s="3" t="n"/>
      <c r="X272" s="22" t="n"/>
      <c r="Y272" s="22" t="n"/>
      <c r="Z272" s="22" t="n"/>
      <c r="AA272" s="22" t="n"/>
      <c r="AB272" s="3" t="n"/>
      <c r="AC272" s="22" t="n"/>
      <c r="AD272" s="22" t="n"/>
      <c r="AE272" s="22" t="n"/>
      <c r="AF272" s="22" t="n"/>
      <c r="AG272" s="3" t="n"/>
      <c r="AH272" s="22" t="n"/>
      <c r="AI272" s="22" t="n"/>
      <c r="AJ272" s="22" t="n"/>
      <c r="AK272" s="22" t="n"/>
      <c r="AL272" s="3" t="n"/>
      <c r="AM272" s="22" t="n"/>
      <c r="AN272" s="22" t="n"/>
      <c r="AO272" s="22" t="n"/>
      <c r="AP272" s="22" t="n"/>
      <c r="AQ272" s="3" t="n"/>
      <c r="AR272" s="22" t="n"/>
      <c r="AS272" s="22" t="n"/>
      <c r="AT272" s="22" t="n"/>
      <c r="AU272" s="22" t="n"/>
      <c r="AV272" s="3" t="n"/>
      <c r="AW272" s="22" t="n"/>
      <c r="AX272" s="22" t="n"/>
      <c r="AY272" s="22" t="n"/>
      <c r="AZ272" s="22" t="n"/>
      <c r="BA272" s="3" t="n"/>
      <c r="BB272" s="22" t="n"/>
      <c r="BC272" s="22" t="n"/>
      <c r="BD272" s="22" t="n"/>
      <c r="BE272" s="22" t="n"/>
      <c r="BF272" s="3" t="n"/>
      <c r="BG272" s="22" t="n"/>
      <c r="BH272" s="22" t="n"/>
      <c r="BI272" s="22" t="n"/>
      <c r="BJ272" s="22" t="n"/>
      <c r="BK272" s="3" t="n"/>
      <c r="BL272" s="22" t="n"/>
      <c r="BM272" s="22" t="n"/>
      <c r="BN272" s="22" t="n"/>
      <c r="BO272" s="22" t="n"/>
      <c r="BP272" s="3" t="n"/>
      <c r="BQ272" s="22" t="n"/>
      <c r="BR272" s="22" t="n"/>
      <c r="BS272" s="22" t="n"/>
      <c r="BT272" s="22" t="n"/>
      <c r="BU272" s="3" t="n"/>
      <c r="BV272" s="22" t="n"/>
      <c r="BW272" s="22" t="n"/>
      <c r="BX272" s="22" t="n"/>
      <c r="BY272" s="22" t="n"/>
      <c r="BZ272" s="3" t="n"/>
      <c r="CA272" s="22" t="n"/>
      <c r="CB272" s="22" t="n"/>
      <c r="CC272" s="22" t="n"/>
      <c r="CD272" s="22" t="n"/>
      <c r="CE272" s="3" t="n"/>
      <c r="CF272" s="22" t="n"/>
      <c r="CG272" s="22" t="n"/>
      <c r="CH272" s="22" t="n"/>
      <c r="CI272" s="22" t="n"/>
      <c r="CJ272" s="3" t="n"/>
      <c r="CK272" s="22" t="n"/>
      <c r="CL272" s="22" t="n"/>
      <c r="CM272" s="22" t="n"/>
      <c r="CN272" s="22" t="n"/>
      <c r="CO272" s="3" t="n"/>
      <c r="CP272" s="22" t="n"/>
      <c r="CQ272" s="22" t="n"/>
      <c r="CR272" s="22" t="n"/>
      <c r="CS272" s="22" t="n"/>
      <c r="CT272" s="3" t="n"/>
      <c r="CU272" s="22" t="n"/>
      <c r="CV272" s="22" t="n"/>
      <c r="CW272" s="22" t="n"/>
      <c r="CX272" s="22" t="n"/>
      <c r="CY272" s="3" t="n"/>
    </row>
    <row r="273" collapsed="1">
      <c r="C273" s="26" t="inlineStr">
        <is>
          <t>Treasury stock (contra account)</t>
        </is>
      </c>
      <c r="D273" s="25">
        <f>INDEX('Inputs (2)'!$D$44:$AL$44,MATCH(D$7,'Inputs (2)'!$D$2:$AL$2,0))</f>
        <v>0</v>
      </c>
      <c r="E273" s="25">
        <f>INDEX('Inputs (2)'!$D$44:$AL$44,MATCH(E$7,'Inputs (2)'!$D$2:$AL$2,0))</f>
        <v>0</v>
      </c>
      <c r="F273" s="25">
        <f>INDEX('Inputs (2)'!$D$44:$AL$44,MATCH(F$7,'Inputs (2)'!$D$2:$AL$2,0))</f>
        <v>0</v>
      </c>
      <c r="G273" s="25">
        <f>INDEX('Inputs (2)'!$D$44:$AL$44,MATCH(G$7,'Inputs (2)'!$D$2:$AL$2,0))</f>
        <v>0</v>
      </c>
      <c r="H273" s="3">
        <f>G273</f>
        <v>0</v>
      </c>
      <c r="I273" s="25">
        <f>INDEX('Inputs (2)'!$D$44:$AL$44,MATCH(I$7,'Inputs (2)'!$D$2:$AL$2,0))</f>
        <v>0</v>
      </c>
      <c r="J273" s="25">
        <f>INDEX('Inputs (2)'!$D$44:$AL$44,MATCH(J$7,'Inputs (2)'!$D$2:$AL$2,0))</f>
        <v>0</v>
      </c>
      <c r="K273" s="25">
        <f>INDEX('Inputs (2)'!$D$44:$AL$44,MATCH(K$7,'Inputs (2)'!$D$2:$AL$2,0))</f>
        <v>0</v>
      </c>
      <c r="L273" s="25">
        <f>INDEX('Inputs (2)'!$D$44:$AL$44,MATCH(L$7,'Inputs (2)'!$D$2:$AL$2,0))</f>
        <v>0</v>
      </c>
      <c r="M273" s="3">
        <f>L273</f>
        <v>0</v>
      </c>
      <c r="N273" s="25">
        <f>INDEX('Inputs (2)'!$D$44:$AL$44,MATCH(N$7,'Inputs (2)'!$D$2:$AL$2,0))</f>
        <v>-1.9076291</v>
      </c>
      <c r="O273" s="25">
        <f>INDEX('Inputs (2)'!$D$44:$AL$44,MATCH(O$7,'Inputs (2)'!$D$2:$AL$2,0))</f>
        <v>-10.73082394</v>
      </c>
      <c r="P273" s="25">
        <f>INDEX('Inputs (2)'!$D$44:$AL$44,MATCH(P$7,'Inputs (2)'!$D$2:$AL$2,0))</f>
        <v>-14.69394131</v>
      </c>
      <c r="Q273" s="25">
        <f>INDEX('Inputs (2)'!$D$44:$AL$44,MATCH(Q$7,'Inputs (2)'!$D$2:$AL$2,0))</f>
        <v>-14.694</v>
      </c>
      <c r="R273" s="3">
        <f>Q273</f>
        <v>-14.694</v>
      </c>
      <c r="S273" s="25">
        <f>INDEX('Inputs (2)'!$D$44:$AL$44,MATCH(S$7,'Inputs (2)'!$D$2:$AL$2,0))</f>
        <v>-20.613</v>
      </c>
      <c r="T273" s="25">
        <f>INDEX('Inputs (2)'!$D$44:$AL$44,MATCH(T$7,'Inputs (2)'!$D$2:$AL$2,0))</f>
        <v>-19.54993815</v>
      </c>
      <c r="U273" s="25">
        <f>INDEX('Inputs (2)'!$D$44:$AL$44,MATCH(U$7,'Inputs (2)'!$D$2:$AL$2,0))</f>
        <v>-24.17604748</v>
      </c>
      <c r="V273" s="25">
        <f>INDEX('Inputs (2)'!$D$44:$AL$44,MATCH(V$7,'Inputs (2)'!$D$2:$AL$2,0))</f>
        <v>-24.17604748</v>
      </c>
      <c r="W273" s="3">
        <f>V273</f>
        <v>-24.17604748</v>
      </c>
      <c r="X273" s="25">
        <f>INDEX('Inputs (2)'!$D$44:$AL$44,MATCH(X$7,'Inputs (2)'!$D$2:$AL$2,0))</f>
        <v>-23.86407123</v>
      </c>
      <c r="Y273" s="25">
        <f>INDEX('Inputs (2)'!$D$44:$AL$44,MATCH(Y$7,'Inputs (2)'!$D$2:$AL$2,0))</f>
        <v>-28.92307011</v>
      </c>
      <c r="Z273" s="25">
        <f>INDEX('Inputs (2)'!$D$44:$AL$44,MATCH(Z$7,'Inputs (2)'!$D$2:$AL$2,0))</f>
        <v>-28.90543934</v>
      </c>
      <c r="AA273" s="25">
        <f>INDEX('Inputs (2)'!$D$44:$AL$44,MATCH(AA$7,'Inputs (2)'!$D$2:$AL$2,0))</f>
        <v>-26.85019691</v>
      </c>
      <c r="AB273" s="3">
        <f>AA273</f>
        <v>-26.85019691</v>
      </c>
      <c r="AC273" s="25">
        <f>INDEX('Inputs (2)'!$D$44:$AL$44,MATCH(AC$7,'Inputs (2)'!$D$2:$AL$2,0))</f>
        <v>-26.81312969</v>
      </c>
      <c r="AD273" s="25">
        <f>INDEX('Inputs (2)'!$D$44:$AL$44,MATCH(AD$7,'Inputs (2)'!$D$2:$AL$2,0))</f>
        <v>-25.36114088</v>
      </c>
      <c r="AE273" s="25">
        <f>INDEX('Inputs (2)'!$D$44:$AL$44,MATCH(AE$7,'Inputs (2)'!$D$2:$AL$2,0))</f>
        <v>-26.818</v>
      </c>
      <c r="AF273" s="25">
        <f>INDEX('Inputs (2)'!$D$44:$AL$44,MATCH(AF$7,'Inputs (2)'!$D$2:$AL$2,0))</f>
        <v>-26.81788695</v>
      </c>
      <c r="AG273" s="3">
        <f>AF273</f>
        <v>-26.81788695</v>
      </c>
      <c r="AH273" s="3">
        <f>INDEX('Inputs (2)'!$D$44:$AL$44,MATCH(AH$7,'Inputs (2)'!$D$2:$AL$2,0))</f>
        <v>-26.81788695</v>
      </c>
      <c r="AI273" s="3">
        <f>INDEX('Inputs (2)'!$D$44:$AL$44,MATCH(AI$7,'Inputs (2)'!$D$2:$AL$2,0))</f>
        <v>-25.14936718</v>
      </c>
      <c r="AJ273" s="3">
        <f>AI273+AJ263</f>
        <v>-25.14936718</v>
      </c>
      <c r="AK273" s="3">
        <f>AJ273+AK263</f>
        <v>-25.14936718</v>
      </c>
      <c r="AL273" s="3">
        <f>AK273</f>
        <v>-25.14936718</v>
      </c>
      <c r="AM273" s="3">
        <f>AL273+AM263</f>
        <v>-25.14936718</v>
      </c>
      <c r="AN273" s="3">
        <f>AM273+AN263</f>
        <v>-25.14936718</v>
      </c>
      <c r="AO273" s="3">
        <f>AN273+AO263</f>
        <v>-25.14936718</v>
      </c>
      <c r="AP273" s="3">
        <f>AO273+AP263</f>
        <v>-25.14936718</v>
      </c>
      <c r="AQ273" s="3">
        <f>AP273</f>
        <v>-25.14936718</v>
      </c>
      <c r="AR273" s="3">
        <f>AQ273+AR263</f>
        <v>-25.14936718</v>
      </c>
      <c r="AS273" s="3">
        <f>AR273+AS263</f>
        <v>-25.14936718</v>
      </c>
      <c r="AT273" s="3">
        <f>AS273+AT263</f>
        <v>-25.14936718</v>
      </c>
      <c r="AU273" s="3">
        <f>AT273+AU263</f>
        <v>-25.14936718</v>
      </c>
      <c r="AV273" s="3">
        <f>AU273</f>
        <v>-25.14936718</v>
      </c>
      <c r="AW273" s="3">
        <f>AV273+AW263</f>
        <v>-25.14936718</v>
      </c>
      <c r="AX273" s="3">
        <f>AW273+AX263</f>
        <v>-25.14936718</v>
      </c>
      <c r="AY273" s="3">
        <f>AX273+AY263</f>
        <v>-25.14936718</v>
      </c>
      <c r="AZ273" s="3">
        <f>AY273+AZ263</f>
        <v>-25.14936718</v>
      </c>
      <c r="BA273" s="3">
        <f>AZ273</f>
        <v>-25.14936718</v>
      </c>
      <c r="BB273" s="3">
        <f>BA273+BB263</f>
        <v>-25.14936718</v>
      </c>
      <c r="BC273" s="3">
        <f>BB273+BC263</f>
        <v>-25.14936718</v>
      </c>
      <c r="BD273" s="3">
        <f>BC273+BD263</f>
        <v>-25.14936718</v>
      </c>
      <c r="BE273" s="3">
        <f>BD273+BE263</f>
        <v>-25.14936718</v>
      </c>
      <c r="BF273" s="3">
        <f>BE273</f>
        <v>-25.14936718</v>
      </c>
      <c r="BG273" s="3">
        <f>BF273+BG263</f>
        <v>-25.14936718</v>
      </c>
      <c r="BH273" s="3">
        <f>BG273+BH263</f>
        <v>-25.14936718</v>
      </c>
      <c r="BI273" s="3">
        <f>BH273+BI263</f>
        <v>-25.14936718</v>
      </c>
      <c r="BJ273" s="3">
        <f>BI273+BJ263</f>
        <v>-25.14936718</v>
      </c>
      <c r="BK273" s="3">
        <f>BJ273</f>
        <v>-25.14936718</v>
      </c>
      <c r="BL273" s="3">
        <f>BK273+BL263</f>
        <v>-25.14936718</v>
      </c>
      <c r="BM273" s="3">
        <f>BL273+BM263</f>
        <v>-25.14936718</v>
      </c>
      <c r="BN273" s="3">
        <f>BM273+BN263</f>
        <v>-25.14936718</v>
      </c>
      <c r="BO273" s="3">
        <f>BN273+BO263</f>
        <v>-25.14936718</v>
      </c>
      <c r="BP273" s="3">
        <f>BO273</f>
        <v>-25.14936718</v>
      </c>
      <c r="BQ273" s="3">
        <f>BP273+BQ263</f>
        <v>-25.14936718</v>
      </c>
      <c r="BR273" s="3">
        <f>BQ273+BR263</f>
        <v>-25.14936718</v>
      </c>
      <c r="BS273" s="3">
        <f>BR273+BS263</f>
        <v>-25.14936718</v>
      </c>
      <c r="BT273" s="3">
        <f>BS273+BT263</f>
        <v>-25.14936718</v>
      </c>
      <c r="BU273" s="3">
        <f>BT273</f>
        <v>-25.14936718</v>
      </c>
      <c r="BV273" s="3">
        <f>BU273+BV263</f>
        <v>-25.14936718</v>
      </c>
      <c r="BW273" s="3">
        <f>BV273+BW263</f>
        <v>-25.14936718</v>
      </c>
      <c r="BX273" s="3">
        <f>BW273+BX263</f>
        <v>-25.14936718</v>
      </c>
      <c r="BY273" s="3">
        <f>BX273+BY263</f>
        <v>-25.14936718</v>
      </c>
      <c r="BZ273" s="3">
        <f>BY273</f>
        <v>-25.14936718</v>
      </c>
      <c r="CA273" s="3">
        <f>BZ273+CA263</f>
        <v>-25.14936718</v>
      </c>
      <c r="CB273" s="3">
        <f>CA273+CB263</f>
        <v>-25.14936718</v>
      </c>
      <c r="CC273" s="3">
        <f>CB273+CC263</f>
        <v>-25.14936718</v>
      </c>
      <c r="CD273" s="3">
        <f>CC273+CD263</f>
        <v>-25.14936718</v>
      </c>
      <c r="CE273" s="3">
        <f>CD273</f>
        <v>-25.14936718</v>
      </c>
      <c r="CF273" s="3">
        <f>CE273+CF263</f>
        <v>-25.14936718</v>
      </c>
      <c r="CG273" s="3">
        <f>CF273+CG263</f>
        <v>-25.14936718</v>
      </c>
      <c r="CH273" s="3">
        <f>CG273+CH263</f>
        <v>-25.14936718</v>
      </c>
      <c r="CI273" s="3">
        <f>CH273+CI263</f>
        <v>-25.14936718</v>
      </c>
      <c r="CJ273" s="3">
        <f>CI273</f>
        <v>-25.14936718</v>
      </c>
      <c r="CK273" s="3">
        <f>CJ273+CK263</f>
        <v>-25.14936718</v>
      </c>
      <c r="CL273" s="3">
        <f>CK273+CL263</f>
        <v>-25.14936718</v>
      </c>
      <c r="CM273" s="3">
        <f>CL273+CM263</f>
        <v>-25.14936718</v>
      </c>
      <c r="CN273" s="3">
        <f>CM273+CN263</f>
        <v>-25.14936718</v>
      </c>
      <c r="CO273" s="3">
        <f>CN273</f>
        <v>-25.14936718</v>
      </c>
      <c r="CP273" s="3">
        <f>CO273+CP263</f>
        <v>-25.14936718</v>
      </c>
      <c r="CQ273" s="3">
        <f>CP273+CQ263</f>
        <v>-25.14936718</v>
      </c>
      <c r="CR273" s="3">
        <f>CQ273+CR263</f>
        <v>-25.14936718</v>
      </c>
      <c r="CS273" s="3">
        <f>CR273+CS263</f>
        <v>-25.14936718</v>
      </c>
      <c r="CT273" s="3">
        <f>CS273</f>
        <v>-25.14936718</v>
      </c>
      <c r="CU273" s="3">
        <f>CT273+CU263</f>
        <v>-25.14936718</v>
      </c>
      <c r="CV273" s="3">
        <f>CU273+CV263</f>
        <v>-25.14936718</v>
      </c>
      <c r="CW273" s="3">
        <f>CV273+CW263</f>
        <v>-25.14936718</v>
      </c>
      <c r="CX273" s="3">
        <f>CW273+CX263</f>
        <v>-25.14936718</v>
      </c>
      <c r="CY273" s="3">
        <f>CX273</f>
        <v>-25.14936718</v>
      </c>
    </row>
    <row r="274">
      <c r="C274" s="26" t="inlineStr">
        <is>
          <t>Comprehensive (accumulated) loss</t>
        </is>
      </c>
      <c r="D274" s="25">
        <f>INDEX('Inputs (2)'!$D$45:$AL$45,MATCH(D$7,'Inputs (2)'!$D$2:$AL$2,0))</f>
        <v>0</v>
      </c>
      <c r="E274" s="25">
        <f>INDEX('Inputs (2)'!$D$45:$AL$45,MATCH(E$7,'Inputs (2)'!$D$2:$AL$2,0))</f>
        <v>0</v>
      </c>
      <c r="F274" s="25">
        <f>INDEX('Inputs (2)'!$D$45:$AL$45,MATCH(F$7,'Inputs (2)'!$D$2:$AL$2,0))</f>
        <v>0</v>
      </c>
      <c r="G274" s="25">
        <f>INDEX('Inputs (2)'!$D$45:$AL$45,MATCH(G$7,'Inputs (2)'!$D$2:$AL$2,0))</f>
        <v>0</v>
      </c>
      <c r="H274" s="3">
        <f>G274</f>
        <v>0</v>
      </c>
      <c r="I274" s="25">
        <f>INDEX('Inputs (2)'!$D$45:$AL$45,MATCH(I$7,'Inputs (2)'!$D$2:$AL$2,0))</f>
        <v>0</v>
      </c>
      <c r="J274" s="25">
        <f>INDEX('Inputs (2)'!$D$45:$AL$45,MATCH(J$7,'Inputs (2)'!$D$2:$AL$2,0))</f>
        <v>0</v>
      </c>
      <c r="K274" s="25">
        <f>INDEX('Inputs (2)'!$D$45:$AL$45,MATCH(K$7,'Inputs (2)'!$D$2:$AL$2,0))</f>
        <v>0</v>
      </c>
      <c r="L274" s="25">
        <f>INDEX('Inputs (2)'!$D$45:$AL$45,MATCH(L$7,'Inputs (2)'!$D$2:$AL$2,0))</f>
        <v>0</v>
      </c>
      <c r="M274" s="3">
        <f>L274</f>
        <v>0</v>
      </c>
      <c r="N274" s="25">
        <f>INDEX('Inputs (2)'!$D$45:$AL$45,MATCH(N$7,'Inputs (2)'!$D$2:$AL$2,0))</f>
        <v>0</v>
      </c>
      <c r="O274" s="25">
        <f>INDEX('Inputs (2)'!$D$45:$AL$45,MATCH(O$7,'Inputs (2)'!$D$2:$AL$2,0))</f>
        <v>0</v>
      </c>
      <c r="P274" s="25">
        <f>INDEX('Inputs (2)'!$D$45:$AL$45,MATCH(P$7,'Inputs (2)'!$D$2:$AL$2,0))</f>
        <v>0</v>
      </c>
      <c r="Q274" s="25">
        <f>INDEX('Inputs (2)'!$D$45:$AL$45,MATCH(Q$7,'Inputs (2)'!$D$2:$AL$2,0))</f>
        <v>0</v>
      </c>
      <c r="R274" s="3">
        <f>Q274</f>
        <v>0</v>
      </c>
      <c r="S274" s="25">
        <f>INDEX('Inputs (2)'!$D$45:$AL$45,MATCH(S$7,'Inputs (2)'!$D$2:$AL$2,0))</f>
        <v>0</v>
      </c>
      <c r="T274" s="25">
        <f>INDEX('Inputs (2)'!$D$45:$AL$45,MATCH(T$7,'Inputs (2)'!$D$2:$AL$2,0))</f>
        <v>0</v>
      </c>
      <c r="U274" s="25">
        <f>INDEX('Inputs (2)'!$D$45:$AL$45,MATCH(U$7,'Inputs (2)'!$D$2:$AL$2,0))</f>
        <v>0</v>
      </c>
      <c r="V274" s="25">
        <f>INDEX('Inputs (2)'!$D$45:$AL$45,MATCH(V$7,'Inputs (2)'!$D$2:$AL$2,0))</f>
        <v>0</v>
      </c>
      <c r="W274" s="3">
        <f>V274</f>
        <v>0</v>
      </c>
      <c r="X274" s="25">
        <f>INDEX('Inputs (2)'!$D$45:$AL$45,MATCH(X$7,'Inputs (2)'!$D$2:$AL$2,0))</f>
        <v>0</v>
      </c>
      <c r="Y274" s="25">
        <f>INDEX('Inputs (2)'!$D$45:$AL$45,MATCH(Y$7,'Inputs (2)'!$D$2:$AL$2,0))</f>
        <v>0</v>
      </c>
      <c r="Z274" s="25">
        <f>INDEX('Inputs (2)'!$D$45:$AL$45,MATCH(Z$7,'Inputs (2)'!$D$2:$AL$2,0))</f>
        <v>-0.0270072</v>
      </c>
      <c r="AA274" s="25">
        <f>INDEX('Inputs (2)'!$D$45:$AL$45,MATCH(AA$7,'Inputs (2)'!$D$2:$AL$2,0))</f>
        <v>0.46574497</v>
      </c>
      <c r="AB274" s="3">
        <f>AA274</f>
        <v>0.46574497</v>
      </c>
      <c r="AC274" s="25">
        <f>INDEX('Inputs (2)'!$D$45:$AL$45,MATCH(AC$7,'Inputs (2)'!$D$2:$AL$2,0))</f>
        <v>0.10417595</v>
      </c>
      <c r="AD274" s="25">
        <f>INDEX('Inputs (2)'!$D$45:$AL$45,MATCH(AD$7,'Inputs (2)'!$D$2:$AL$2,0))</f>
        <v>-0.09364495</v>
      </c>
      <c r="AE274" s="25">
        <f>INDEX('Inputs (2)'!$D$45:$AL$45,MATCH(AE$7,'Inputs (2)'!$D$2:$AL$2,0))</f>
        <v>-0.182</v>
      </c>
      <c r="AF274" s="25">
        <f>INDEX('Inputs (2)'!$D$45:$AL$45,MATCH(AF$7,'Inputs (2)'!$D$2:$AL$2,0))</f>
        <v>-0.07808096</v>
      </c>
      <c r="AG274" s="3">
        <f>AF274</f>
        <v>-0.07808096</v>
      </c>
      <c r="AH274" s="3">
        <f>INDEX('Inputs (2)'!$D$45:$AL$45,MATCH(AH$7,'Inputs (2)'!$D$2:$AL$2,0))</f>
        <v>-0.23292959</v>
      </c>
      <c r="AI274" s="3">
        <f>INDEX('Inputs (2)'!$D$45:$AL$45,MATCH(AI$7,'Inputs (2)'!$D$2:$AL$2,0))</f>
        <v>-0.2638663</v>
      </c>
      <c r="AJ274" s="3">
        <f>AI274</f>
        <v>-0.2638663</v>
      </c>
      <c r="AK274" s="3">
        <f>AJ274</f>
        <v>-0.2638663</v>
      </c>
      <c r="AL274" s="3">
        <f>AK274</f>
        <v>-0.2638663</v>
      </c>
      <c r="AM274" s="3">
        <f>AL274</f>
        <v>-0.2638663</v>
      </c>
      <c r="AN274" s="3">
        <f>AM274</f>
        <v>-0.2638663</v>
      </c>
      <c r="AO274" s="3">
        <f>AN274</f>
        <v>-0.2638663</v>
      </c>
      <c r="AP274" s="3">
        <f>AO274</f>
        <v>-0.2638663</v>
      </c>
      <c r="AQ274" s="3">
        <f>AP274</f>
        <v>-0.2638663</v>
      </c>
      <c r="AR274" s="3">
        <f>AQ274</f>
        <v>-0.2638663</v>
      </c>
      <c r="AS274" s="3">
        <f>AR274</f>
        <v>-0.2638663</v>
      </c>
      <c r="AT274" s="3">
        <f>AS274</f>
        <v>-0.2638663</v>
      </c>
      <c r="AU274" s="3">
        <f>AT274</f>
        <v>-0.2638663</v>
      </c>
      <c r="AV274" s="3">
        <f>AU274</f>
        <v>-0.2638663</v>
      </c>
      <c r="AW274" s="3">
        <f>AV274</f>
        <v>-0.2638663</v>
      </c>
      <c r="AX274" s="3">
        <f>AW274</f>
        <v>-0.2638663</v>
      </c>
      <c r="AY274" s="3">
        <f>AX274</f>
        <v>-0.2638663</v>
      </c>
      <c r="AZ274" s="3">
        <f>AY274</f>
        <v>-0.2638663</v>
      </c>
      <c r="BA274" s="3">
        <f>AZ274</f>
        <v>-0.2638663</v>
      </c>
      <c r="BB274" s="3">
        <f>BA274</f>
        <v>-0.2638663</v>
      </c>
      <c r="BC274" s="3">
        <f>BB274</f>
        <v>-0.2638663</v>
      </c>
      <c r="BD274" s="3">
        <f>BC274</f>
        <v>-0.2638663</v>
      </c>
      <c r="BE274" s="3">
        <f>BD274</f>
        <v>-0.2638663</v>
      </c>
      <c r="BF274" s="3">
        <f>BE274</f>
        <v>-0.2638663</v>
      </c>
      <c r="BG274" s="3">
        <f>BF274</f>
        <v>-0.2638663</v>
      </c>
      <c r="BH274" s="3">
        <f>BG274</f>
        <v>-0.2638663</v>
      </c>
      <c r="BI274" s="3">
        <f>BH274</f>
        <v>-0.2638663</v>
      </c>
      <c r="BJ274" s="3">
        <f>BI274</f>
        <v>-0.2638663</v>
      </c>
      <c r="BK274" s="3">
        <f>BJ274</f>
        <v>-0.2638663</v>
      </c>
      <c r="BL274" s="3">
        <f>BK274</f>
        <v>-0.2638663</v>
      </c>
      <c r="BM274" s="3">
        <f>BL274</f>
        <v>-0.2638663</v>
      </c>
      <c r="BN274" s="3">
        <f>BM274</f>
        <v>-0.2638663</v>
      </c>
      <c r="BO274" s="3">
        <f>BN274</f>
        <v>-0.2638663</v>
      </c>
      <c r="BP274" s="3">
        <f>BO274</f>
        <v>-0.2638663</v>
      </c>
      <c r="BQ274" s="3">
        <f>BP274</f>
        <v>-0.2638663</v>
      </c>
      <c r="BR274" s="3">
        <f>BQ274</f>
        <v>-0.2638663</v>
      </c>
      <c r="BS274" s="3">
        <f>BR274</f>
        <v>-0.2638663</v>
      </c>
      <c r="BT274" s="3">
        <f>BS274</f>
        <v>-0.2638663</v>
      </c>
      <c r="BU274" s="3">
        <f>BT274</f>
        <v>-0.2638663</v>
      </c>
      <c r="BV274" s="3">
        <f>BU274</f>
        <v>-0.2638663</v>
      </c>
      <c r="BW274" s="3">
        <f>BV274</f>
        <v>-0.2638663</v>
      </c>
      <c r="BX274" s="3">
        <f>BW274</f>
        <v>-0.2638663</v>
      </c>
      <c r="BY274" s="3">
        <f>BX274</f>
        <v>-0.2638663</v>
      </c>
      <c r="BZ274" s="3">
        <f>BY274</f>
        <v>-0.2638663</v>
      </c>
      <c r="CA274" s="3">
        <f>BZ274</f>
        <v>-0.2638663</v>
      </c>
      <c r="CB274" s="3">
        <f>CA274</f>
        <v>-0.2638663</v>
      </c>
      <c r="CC274" s="3">
        <f>CB274</f>
        <v>-0.2638663</v>
      </c>
      <c r="CD274" s="3">
        <f>CC274</f>
        <v>-0.2638663</v>
      </c>
      <c r="CE274" s="3">
        <f>CD274</f>
        <v>-0.2638663</v>
      </c>
      <c r="CF274" s="3">
        <f>CE274</f>
        <v>-0.2638663</v>
      </c>
      <c r="CG274" s="3">
        <f>CF274</f>
        <v>-0.2638663</v>
      </c>
      <c r="CH274" s="3">
        <f>CG274</f>
        <v>-0.2638663</v>
      </c>
      <c r="CI274" s="3">
        <f>CH274</f>
        <v>-0.2638663</v>
      </c>
      <c r="CJ274" s="3">
        <f>CI274</f>
        <v>-0.2638663</v>
      </c>
      <c r="CK274" s="3">
        <f>CJ274</f>
        <v>-0.2638663</v>
      </c>
      <c r="CL274" s="3">
        <f>CK274</f>
        <v>-0.2638663</v>
      </c>
      <c r="CM274" s="3">
        <f>CL274</f>
        <v>-0.2638663</v>
      </c>
      <c r="CN274" s="3">
        <f>CM274</f>
        <v>-0.2638663</v>
      </c>
      <c r="CO274" s="3">
        <f>CN274</f>
        <v>-0.2638663</v>
      </c>
      <c r="CP274" s="3">
        <f>CO274</f>
        <v>-0.2638663</v>
      </c>
      <c r="CQ274" s="3">
        <f>CP274</f>
        <v>-0.2638663</v>
      </c>
      <c r="CR274" s="3">
        <f>CQ274</f>
        <v>-0.2638663</v>
      </c>
      <c r="CS274" s="3">
        <f>CR274</f>
        <v>-0.2638663</v>
      </c>
      <c r="CT274" s="3">
        <f>CS274</f>
        <v>-0.2638663</v>
      </c>
      <c r="CU274" s="3">
        <f>CT274</f>
        <v>-0.2638663</v>
      </c>
      <c r="CV274" s="3">
        <f>CU274</f>
        <v>-0.2638663</v>
      </c>
      <c r="CW274" s="3">
        <f>CV274</f>
        <v>-0.2638663</v>
      </c>
      <c r="CX274" s="3">
        <f>CW274</f>
        <v>-0.2638663</v>
      </c>
      <c r="CY274" s="3">
        <f>CX274</f>
        <v>-0.2638663</v>
      </c>
    </row>
    <row r="275">
      <c r="C275" s="26" t="inlineStr">
        <is>
          <t>Other equity account</t>
        </is>
      </c>
      <c r="D275" s="25">
        <f>INDEX('Inputs (2)'!$D$46:$AL$46,MATCH(D$7,'Inputs (2)'!$D$2:$AL$2,0))</f>
        <v>0</v>
      </c>
      <c r="E275" s="25">
        <f>INDEX('Inputs (2)'!$D$46:$AL$46,MATCH(E$7,'Inputs (2)'!$D$2:$AL$2,0))</f>
        <v>0</v>
      </c>
      <c r="F275" s="25">
        <f>INDEX('Inputs (2)'!$D$46:$AL$46,MATCH(F$7,'Inputs (2)'!$D$2:$AL$2,0))</f>
        <v>0</v>
      </c>
      <c r="G275" s="25">
        <f>INDEX('Inputs (2)'!$D$46:$AL$46,MATCH(G$7,'Inputs (2)'!$D$2:$AL$2,0))</f>
        <v>-53.04112672</v>
      </c>
      <c r="H275" s="3">
        <f>G275</f>
        <v>-53.04112672</v>
      </c>
      <c r="I275" s="25">
        <f>INDEX('Inputs (2)'!$D$46:$AL$46,MATCH(I$7,'Inputs (2)'!$D$2:$AL$2,0))</f>
        <v>-53.04112672</v>
      </c>
      <c r="J275" s="25">
        <f>INDEX('Inputs (2)'!$D$46:$AL$46,MATCH(J$7,'Inputs (2)'!$D$2:$AL$2,0))</f>
        <v>-53.04112672</v>
      </c>
      <c r="K275" s="25">
        <f>INDEX('Inputs (2)'!$D$46:$AL$46,MATCH(K$7,'Inputs (2)'!$D$2:$AL$2,0))</f>
        <v>-53.04112672</v>
      </c>
      <c r="L275" s="25">
        <f>INDEX('Inputs (2)'!$D$46:$AL$46,MATCH(L$7,'Inputs (2)'!$D$2:$AL$2,0))</f>
        <v>-52.56763496</v>
      </c>
      <c r="M275" s="3">
        <f>L275</f>
        <v>-52.56763496</v>
      </c>
      <c r="N275" s="25">
        <f>INDEX('Inputs (2)'!$D$46:$AL$46,MATCH(N$7,'Inputs (2)'!$D$2:$AL$2,0))</f>
        <v>-52.06344951</v>
      </c>
      <c r="O275" s="25">
        <f>INDEX('Inputs (2)'!$D$46:$AL$46,MATCH(O$7,'Inputs (2)'!$D$2:$AL$2,0))</f>
        <v>-50.69996703</v>
      </c>
      <c r="P275" s="25">
        <f>INDEX('Inputs (2)'!$D$46:$AL$46,MATCH(P$7,'Inputs (2)'!$D$2:$AL$2,0))</f>
        <v>-49.33648455</v>
      </c>
      <c r="Q275" s="25">
        <f>INDEX('Inputs (2)'!$D$46:$AL$46,MATCH(Q$7,'Inputs (2)'!$D$2:$AL$2,0))</f>
        <v>-47.803</v>
      </c>
      <c r="R275" s="3">
        <f>Q275</f>
        <v>-47.803</v>
      </c>
      <c r="S275" s="25">
        <f>INDEX('Inputs (2)'!$D$46:$AL$46,MATCH(S$7,'Inputs (2)'!$D$2:$AL$2,0))</f>
        <v>-46.319</v>
      </c>
      <c r="T275" s="25">
        <f>INDEX('Inputs (2)'!$D$46:$AL$46,MATCH(T$7,'Inputs (2)'!$D$2:$AL$2,0))</f>
        <v>-46.04015508</v>
      </c>
      <c r="U275" s="25">
        <f>INDEX('Inputs (2)'!$D$46:$AL$46,MATCH(U$7,'Inputs (2)'!$D$2:$AL$2,0))</f>
        <v>-44.76872652</v>
      </c>
      <c r="V275" s="25">
        <f>INDEX('Inputs (2)'!$D$46:$AL$46,MATCH(V$7,'Inputs (2)'!$D$2:$AL$2,0))</f>
        <v>-44.1013354</v>
      </c>
      <c r="W275" s="3">
        <f>V275</f>
        <v>-44.1013354</v>
      </c>
      <c r="X275" s="25">
        <f>INDEX('Inputs (2)'!$D$46:$AL$46,MATCH(X$7,'Inputs (2)'!$D$2:$AL$2,0))</f>
        <v>-43.99996247</v>
      </c>
      <c r="Y275" s="25">
        <f>INDEX('Inputs (2)'!$D$46:$AL$46,MATCH(Y$7,'Inputs (2)'!$D$2:$AL$2,0))</f>
        <v>-45.838342191083</v>
      </c>
      <c r="Z275" s="25">
        <f>INDEX('Inputs (2)'!$D$46:$AL$46,MATCH(Z$7,'Inputs (2)'!$D$2:$AL$2,0))</f>
        <v>-44.82061272</v>
      </c>
      <c r="AA275" s="25">
        <f>INDEX('Inputs (2)'!$D$46:$AL$46,MATCH(AA$7,'Inputs (2)'!$D$2:$AL$2,0))</f>
        <v>-48.69477972</v>
      </c>
      <c r="AB275" s="3">
        <f>AA275</f>
        <v>-48.69477972</v>
      </c>
      <c r="AC275" s="25">
        <f>INDEX('Inputs (2)'!$D$46:$AL$46,MATCH(AC$7,'Inputs (2)'!$D$2:$AL$2,0))</f>
        <v>-48.41227459</v>
      </c>
      <c r="AD275" s="25">
        <f>INDEX('Inputs (2)'!$D$46:$AL$46,MATCH(AD$7,'Inputs (2)'!$D$2:$AL$2,0))</f>
        <v>-50.18721921</v>
      </c>
      <c r="AE275" s="25">
        <f>INDEX('Inputs (2)'!$D$46:$AL$46,MATCH(AE$7,'Inputs (2)'!$D$2:$AL$2,0))</f>
        <v>-51.147</v>
      </c>
      <c r="AF275" s="25">
        <f>INDEX('Inputs (2)'!$D$46:$AL$46,MATCH(AF$7,'Inputs (2)'!$D$2:$AL$2,0))</f>
        <v>-51.06482981</v>
      </c>
      <c r="AG275" s="3">
        <f>AF275</f>
        <v>-51.06482981</v>
      </c>
      <c r="AH275" s="3">
        <f>INDEX('Inputs (2)'!$D$46:$AL$46,MATCH(AH$7,'Inputs (2)'!$D$2:$AL$2,0))</f>
        <v>-50.98306011</v>
      </c>
      <c r="AI275" s="3">
        <f>INDEX('Inputs (2)'!$D$46:$AL$46,MATCH(AI$7,'Inputs (2)'!$D$2:$AL$2,0))</f>
        <v>-50.28960873</v>
      </c>
      <c r="AJ275" s="3">
        <f>AI275</f>
        <v>-50.28960873</v>
      </c>
      <c r="AK275" s="3">
        <f>AJ275</f>
        <v>-50.28960873</v>
      </c>
      <c r="AL275" s="3">
        <f>AK275</f>
        <v>-50.28960873</v>
      </c>
      <c r="AM275" s="3">
        <f>AL275</f>
        <v>-50.28960873</v>
      </c>
      <c r="AN275" s="3">
        <f>AM275</f>
        <v>-50.28960873</v>
      </c>
      <c r="AO275" s="3">
        <f>AN275</f>
        <v>-50.28960873</v>
      </c>
      <c r="AP275" s="3">
        <f>AO275</f>
        <v>-50.28960873</v>
      </c>
      <c r="AQ275" s="3">
        <f>AP275</f>
        <v>-50.28960873</v>
      </c>
      <c r="AR275" s="3">
        <f>AQ275</f>
        <v>-50.28960873</v>
      </c>
      <c r="AS275" s="3">
        <f>AR275</f>
        <v>-50.28960873</v>
      </c>
      <c r="AT275" s="3">
        <f>AS275</f>
        <v>-50.28960873</v>
      </c>
      <c r="AU275" s="3">
        <f>AT275</f>
        <v>-50.28960873</v>
      </c>
      <c r="AV275" s="3">
        <f>AU275</f>
        <v>-50.28960873</v>
      </c>
      <c r="AW275" s="3">
        <f>AV275</f>
        <v>-50.28960873</v>
      </c>
      <c r="AX275" s="3">
        <f>AW275</f>
        <v>-50.28960873</v>
      </c>
      <c r="AY275" s="3">
        <f>AX275</f>
        <v>-50.28960873</v>
      </c>
      <c r="AZ275" s="3">
        <f>AY275</f>
        <v>-50.28960873</v>
      </c>
      <c r="BA275" s="3">
        <f>AZ275</f>
        <v>-50.28960873</v>
      </c>
      <c r="BB275" s="3">
        <f>BA275</f>
        <v>-50.28960873</v>
      </c>
      <c r="BC275" s="3">
        <f>BB275</f>
        <v>-50.28960873</v>
      </c>
      <c r="BD275" s="3">
        <f>BC275</f>
        <v>-50.28960873</v>
      </c>
      <c r="BE275" s="3">
        <f>BD275</f>
        <v>-50.28960873</v>
      </c>
      <c r="BF275" s="3">
        <f>BE275</f>
        <v>-50.28960873</v>
      </c>
      <c r="BG275" s="3">
        <f>BF275</f>
        <v>-50.28960873</v>
      </c>
      <c r="BH275" s="3">
        <f>BG275</f>
        <v>-50.28960873</v>
      </c>
      <c r="BI275" s="3">
        <f>BH275</f>
        <v>-50.28960873</v>
      </c>
      <c r="BJ275" s="3">
        <f>BI275</f>
        <v>-50.28960873</v>
      </c>
      <c r="BK275" s="3">
        <f>BJ275</f>
        <v>-50.28960873</v>
      </c>
      <c r="BL275" s="3">
        <f>BK275</f>
        <v>-50.28960873</v>
      </c>
      <c r="BM275" s="3">
        <f>BL275</f>
        <v>-50.28960873</v>
      </c>
      <c r="BN275" s="3">
        <f>BM275</f>
        <v>-50.28960873</v>
      </c>
      <c r="BO275" s="3">
        <f>BN275</f>
        <v>-50.28960873</v>
      </c>
      <c r="BP275" s="3">
        <f>BO275</f>
        <v>-50.28960873</v>
      </c>
      <c r="BQ275" s="3">
        <f>BP275</f>
        <v>-50.28960873</v>
      </c>
      <c r="BR275" s="3">
        <f>BQ275</f>
        <v>-50.28960873</v>
      </c>
      <c r="BS275" s="3">
        <f>BR275</f>
        <v>-50.28960873</v>
      </c>
      <c r="BT275" s="3">
        <f>BS275</f>
        <v>-50.28960873</v>
      </c>
      <c r="BU275" s="3">
        <f>BT275</f>
        <v>-50.28960873</v>
      </c>
      <c r="BV275" s="3">
        <f>BU275</f>
        <v>-50.28960873</v>
      </c>
      <c r="BW275" s="3">
        <f>BV275</f>
        <v>-50.28960873</v>
      </c>
      <c r="BX275" s="3">
        <f>BW275</f>
        <v>-50.28960873</v>
      </c>
      <c r="BY275" s="3">
        <f>BX275</f>
        <v>-50.28960873</v>
      </c>
      <c r="BZ275" s="3">
        <f>BY275</f>
        <v>-50.28960873</v>
      </c>
      <c r="CA275" s="3">
        <f>BZ275</f>
        <v>-50.28960873</v>
      </c>
      <c r="CB275" s="3">
        <f>CA275</f>
        <v>-50.28960873</v>
      </c>
      <c r="CC275" s="3">
        <f>CB275</f>
        <v>-50.28960873</v>
      </c>
      <c r="CD275" s="3">
        <f>CC275</f>
        <v>-50.28960873</v>
      </c>
      <c r="CE275" s="3">
        <f>CD275</f>
        <v>-50.28960873</v>
      </c>
      <c r="CF275" s="3">
        <f>CE275</f>
        <v>-50.28960873</v>
      </c>
      <c r="CG275" s="3">
        <f>CF275</f>
        <v>-50.28960873</v>
      </c>
      <c r="CH275" s="3">
        <f>CG275</f>
        <v>-50.28960873</v>
      </c>
      <c r="CI275" s="3">
        <f>CH275</f>
        <v>-50.28960873</v>
      </c>
      <c r="CJ275" s="3">
        <f>CI275</f>
        <v>-50.28960873</v>
      </c>
      <c r="CK275" s="3">
        <f>CJ275</f>
        <v>-50.28960873</v>
      </c>
      <c r="CL275" s="3">
        <f>CK275</f>
        <v>-50.28960873</v>
      </c>
      <c r="CM275" s="3">
        <f>CL275</f>
        <v>-50.28960873</v>
      </c>
      <c r="CN275" s="3">
        <f>CM275</f>
        <v>-50.28960873</v>
      </c>
      <c r="CO275" s="3">
        <f>CN275</f>
        <v>-50.28960873</v>
      </c>
      <c r="CP275" s="3">
        <f>CO275</f>
        <v>-50.28960873</v>
      </c>
      <c r="CQ275" s="3">
        <f>CP275</f>
        <v>-50.28960873</v>
      </c>
      <c r="CR275" s="3">
        <f>CQ275</f>
        <v>-50.28960873</v>
      </c>
      <c r="CS275" s="3">
        <f>CR275</f>
        <v>-50.28960873</v>
      </c>
      <c r="CT275" s="3">
        <f>CS275</f>
        <v>-50.28960873</v>
      </c>
      <c r="CU275" s="3">
        <f>CT275</f>
        <v>-50.28960873</v>
      </c>
      <c r="CV275" s="3">
        <f>CU275</f>
        <v>-50.28960873</v>
      </c>
      <c r="CW275" s="3">
        <f>CV275</f>
        <v>-50.28960873</v>
      </c>
      <c r="CX275" s="3">
        <f>CW275</f>
        <v>-50.28960873</v>
      </c>
      <c r="CY275" s="3">
        <f>CX275</f>
        <v>-50.28960873</v>
      </c>
    </row>
    <row r="276">
      <c r="C276" s="28" t="inlineStr">
        <is>
          <t>Retained earnings</t>
        </is>
      </c>
      <c r="D276" s="25">
        <f>INDEX('Inputs (2)'!$D$47:$AL$47,MATCH(D$7,'Inputs (2)'!$D$2:$AL$2,0))</f>
        <v>56.395</v>
      </c>
      <c r="E276" s="25">
        <f>INDEX('Inputs (2)'!$D$47:$AL$47,MATCH(E$7,'Inputs (2)'!$D$2:$AL$2,0))</f>
        <v>27.2885387298121</v>
      </c>
      <c r="F276" s="25">
        <f>INDEX('Inputs (2)'!$D$47:$AL$47,MATCH(F$7,'Inputs (2)'!$D$2:$AL$2,0))</f>
        <v>63.4352366640857</v>
      </c>
      <c r="G276" s="25">
        <f>INDEX('Inputs (2)'!$D$47:$AL$47,MATCH(G$7,'Inputs (2)'!$D$2:$AL$2,0))</f>
        <v>119.13573116389</v>
      </c>
      <c r="H276" s="3">
        <f>G276</f>
        <v>119.13573116389</v>
      </c>
      <c r="I276" s="25">
        <f>INDEX('Inputs (2)'!$D$47:$AL$47,MATCH(I$7,'Inputs (2)'!$D$2:$AL$2,0))</f>
        <v>123.048387270749</v>
      </c>
      <c r="J276" s="25">
        <f>INDEX('Inputs (2)'!$D$47:$AL$47,MATCH(J$7,'Inputs (2)'!$D$2:$AL$2,0))</f>
        <v>204.705895440226</v>
      </c>
      <c r="K276" s="25">
        <f>INDEX('Inputs (2)'!$D$47:$AL$47,MATCH(K$7,'Inputs (2)'!$D$2:$AL$2,0))</f>
        <v>290.497937192305</v>
      </c>
      <c r="L276" s="25">
        <f>INDEX('Inputs (2)'!$D$47:$AL$47,MATCH(L$7,'Inputs (2)'!$D$2:$AL$2,0))</f>
        <v>339.917789614905</v>
      </c>
      <c r="M276" s="3">
        <f>L276</f>
        <v>339.917789614905</v>
      </c>
      <c r="N276" s="25">
        <f>INDEX('Inputs (2)'!$D$47:$AL$47,MATCH(N$7,'Inputs (2)'!$D$2:$AL$2,0))</f>
        <v>385.839449300669</v>
      </c>
      <c r="O276" s="25">
        <f>INDEX('Inputs (2)'!$D$47:$AL$47,MATCH(O$7,'Inputs (2)'!$D$2:$AL$2,0))</f>
        <v>474.891482467547</v>
      </c>
      <c r="P276" s="25">
        <f>INDEX('Inputs (2)'!$D$47:$AL$47,MATCH(P$7,'Inputs (2)'!$D$2:$AL$2,0))</f>
        <v>543.018875405581</v>
      </c>
      <c r="Q276" s="25">
        <f>INDEX('Inputs (2)'!$D$47:$AL$47,MATCH(Q$7,'Inputs (2)'!$D$2:$AL$2,0))</f>
        <v>615.068</v>
      </c>
      <c r="R276" s="3">
        <f>Q276</f>
        <v>615.068</v>
      </c>
      <c r="S276" s="25">
        <f>INDEX('Inputs (2)'!$D$47:$AL$47,MATCH(S$7,'Inputs (2)'!$D$2:$AL$2,0))</f>
        <v>653.64</v>
      </c>
      <c r="T276" s="25">
        <f>INDEX('Inputs (2)'!$D$47:$AL$47,MATCH(T$7,'Inputs (2)'!$D$2:$AL$2,0))</f>
        <v>763.624756169715</v>
      </c>
      <c r="U276" s="25">
        <f>INDEX('Inputs (2)'!$D$47:$AL$47,MATCH(U$7,'Inputs (2)'!$D$2:$AL$2,0))</f>
        <v>840.163603671164</v>
      </c>
      <c r="V276" s="25">
        <f>INDEX('Inputs (2)'!$D$47:$AL$47,MATCH(V$7,'Inputs (2)'!$D$2:$AL$2,0))</f>
        <v>968.425660383276</v>
      </c>
      <c r="W276" s="3">
        <f>V276</f>
        <v>968.425660383276</v>
      </c>
      <c r="X276" s="25">
        <f>INDEX('Inputs (2)'!$D$47:$AL$47,MATCH(X$7,'Inputs (2)'!$D$2:$AL$2,0))</f>
        <v>932.42603956274</v>
      </c>
      <c r="Y276" s="25">
        <f>INDEX('Inputs (2)'!$D$47:$AL$47,MATCH(Y$7,'Inputs (2)'!$D$2:$AL$2,0))</f>
        <v>1143.39040042004</v>
      </c>
      <c r="Z276" s="25">
        <f>INDEX('Inputs (2)'!$D$47:$AL$47,MATCH(Z$7,'Inputs (2)'!$D$2:$AL$2,0))</f>
        <v>1250.554</v>
      </c>
      <c r="AA276" s="25">
        <f>INDEX('Inputs (2)'!$D$47:$AL$47,MATCH(AA$7,'Inputs (2)'!$D$2:$AL$2,0))</f>
        <v>866.640010357878</v>
      </c>
      <c r="AB276" s="3">
        <f>AA276</f>
        <v>866.640010357878</v>
      </c>
      <c r="AC276" s="25">
        <f>INDEX('Inputs (2)'!$D$47:$AL$47,MATCH(AC$7,'Inputs (2)'!$D$2:$AL$2,0))</f>
        <v>981.68007653</v>
      </c>
      <c r="AD276" s="25">
        <f>INDEX('Inputs (2)'!$D$47:$AL$47,MATCH(AD$7,'Inputs (2)'!$D$2:$AL$2,0))</f>
        <v>1132.76991963</v>
      </c>
      <c r="AE276" s="25">
        <f>INDEX('Inputs (2)'!$D$47:$AL$47,MATCH(AE$7,'Inputs (2)'!$D$2:$AL$2,0))</f>
        <v>1308.617</v>
      </c>
      <c r="AF276" s="25">
        <f>INDEX('Inputs (2)'!$D$47:$AL$47,MATCH(AF$7,'Inputs (2)'!$D$2:$AL$2,0))</f>
        <v>455.502298929997</v>
      </c>
      <c r="AG276" s="3">
        <f>AF276</f>
        <v>455.502298929997</v>
      </c>
      <c r="AH276" s="3">
        <f>INDEX('Inputs (2)'!$D$47:$AL$47,MATCH(AH$7,'Inputs (2)'!$D$2:$AL$2,0))</f>
        <v>536.298440719999</v>
      </c>
      <c r="AI276" s="3">
        <f>INDEX('Inputs (2)'!$D$47:$AL$47,MATCH(AI$7,'Inputs (2)'!$D$2:$AL$2,0))</f>
        <v>687.962405830001</v>
      </c>
      <c r="AJ276" s="3">
        <f>AI276+AJ143+AJ144</f>
        <v>695.963405830001</v>
      </c>
      <c r="AK276" s="3">
        <f>AJ276+AK143+AK144</f>
        <v>707.158405830001</v>
      </c>
      <c r="AL276" s="3">
        <f>AK276</f>
        <v>707.158405830001</v>
      </c>
      <c r="AM276" s="3">
        <f>AL276+AM143+AM144</f>
        <v>718.353405830001</v>
      </c>
      <c r="AN276" s="3">
        <f>AM276+AN143+AN144</f>
        <v>756.745405830001</v>
      </c>
      <c r="AO276" s="3">
        <f>AN276+AO143+AO144</f>
        <v>767.940405830001</v>
      </c>
      <c r="AP276" s="3">
        <f>AO276+AP143+AP144</f>
        <v>806.332405830001</v>
      </c>
      <c r="AQ276" s="3">
        <f>AP276</f>
        <v>806.332405830001</v>
      </c>
      <c r="AR276" s="3">
        <f>AQ276+AR143+AR144</f>
        <v>844.724405830001</v>
      </c>
      <c r="AS276" s="3">
        <f>AR276+AS143+AS144</f>
        <v>943.898405830001</v>
      </c>
      <c r="AT276" s="3">
        <f>AS276+AT143+AT144</f>
        <v>982.290405830001</v>
      </c>
      <c r="AU276" s="3">
        <f>AT276+AU143+AU144</f>
        <v>1081.46440583</v>
      </c>
      <c r="AV276" s="3">
        <f>AU276</f>
        <v>1081.46440583</v>
      </c>
      <c r="AW276" s="3">
        <f>AV276+AW143+AW144</f>
        <v>1180.63840583</v>
      </c>
      <c r="AX276" s="3">
        <f>AW276+AX143+AX144</f>
        <v>1455.77040583</v>
      </c>
      <c r="AY276" s="3">
        <f>AX276+AY143+AY144</f>
        <v>1554.94440583</v>
      </c>
      <c r="AZ276" s="3">
        <f>AY276+AZ143+AZ144</f>
        <v>1830.07640583</v>
      </c>
      <c r="BA276" s="3">
        <f>AZ276</f>
        <v>1830.07640583</v>
      </c>
      <c r="BB276" s="3">
        <f>BA276+BB143+BB144</f>
        <v>2105.20840583</v>
      </c>
      <c r="BC276" s="3">
        <f>BB276+BC143+BC144</f>
        <v>2853.82040583</v>
      </c>
      <c r="BD276" s="3">
        <f>BC276+BD143+BD144</f>
        <v>3128.95240583</v>
      </c>
      <c r="BE276" s="3">
        <f>BD276+BE143+BE144</f>
        <v>3877.56440583</v>
      </c>
      <c r="BF276" s="3">
        <f>BE276</f>
        <v>3877.56440583</v>
      </c>
      <c r="BG276" s="3">
        <f>BF276+BG143+BG144</f>
        <v>4626.17640583</v>
      </c>
      <c r="BH276" s="3">
        <f>BG276+BH143+BH144</f>
        <v>6673.66440583</v>
      </c>
      <c r="BI276" s="3">
        <f>BH276+BI143+BI144</f>
        <v>7422.27640583</v>
      </c>
      <c r="BJ276" s="3">
        <f>BI276+BJ143+BJ144</f>
        <v>9469.76440583</v>
      </c>
      <c r="BK276" s="3">
        <f>BJ276</f>
        <v>9469.76440583</v>
      </c>
      <c r="BL276" s="3">
        <f>BK276+BL143+BL144</f>
        <v>11517.25240583</v>
      </c>
      <c r="BM276" s="3">
        <f>BL276+BM143+BM144</f>
        <v>17109.45240583</v>
      </c>
      <c r="BN276" s="3">
        <f>BM276+BN143+BN144</f>
        <v>19156.94040583</v>
      </c>
      <c r="BO276" s="3">
        <f>BN276+BO143+BO144</f>
        <v>24749.14040583</v>
      </c>
      <c r="BP276" s="3">
        <f>BO276</f>
        <v>24749.14040583</v>
      </c>
      <c r="BQ276" s="3">
        <f>BP276+BQ143+BQ144</f>
        <v>30341.34040583</v>
      </c>
      <c r="BR276" s="3">
        <f>BQ276+BR143+BR144</f>
        <v>45620.71640583</v>
      </c>
      <c r="BS276" s="3">
        <f>BR276+BS143+BS144</f>
        <v>51212.91640583</v>
      </c>
      <c r="BT276" s="3">
        <f>BS276+BT143+BT144</f>
        <v>66492.29240583</v>
      </c>
      <c r="BU276" s="3">
        <f>BT276</f>
        <v>66492.29240583</v>
      </c>
      <c r="BV276" s="3">
        <f>BU276+BV143+BV144</f>
        <v>81771.66840583</v>
      </c>
      <c r="BW276" s="3">
        <f>BV276+BW143+BW144</f>
        <v>123514.82040583</v>
      </c>
      <c r="BX276" s="3">
        <f>BW276+BX143+BX144</f>
        <v>138794.19640583</v>
      </c>
      <c r="BY276" s="3">
        <f>BX276+BY143+BY144</f>
        <v>180537.34840583</v>
      </c>
      <c r="BZ276" s="3">
        <f>BY276</f>
        <v>180537.34840583</v>
      </c>
      <c r="CA276" s="3">
        <f>BZ276+CA143+CA144</f>
        <v>222280.50040583</v>
      </c>
      <c r="CB276" s="3">
        <f>CA276+CB143+CB144</f>
        <v>336325.55640583</v>
      </c>
      <c r="CC276" s="3">
        <f>CB276+CC143+CC144</f>
        <v>378068.70840583</v>
      </c>
      <c r="CD276" s="3">
        <f>CC276+CD143+CD144</f>
        <v>492113.76440583</v>
      </c>
      <c r="CE276" s="3">
        <f>CD276</f>
        <v>492113.76440583</v>
      </c>
      <c r="CF276" s="3">
        <f>CE276+CF143+CF144</f>
        <v>606158.82040583</v>
      </c>
      <c r="CG276" s="3">
        <f>CF276+CG143+CG144</f>
        <v>917735.23640583</v>
      </c>
      <c r="CH276" s="3">
        <f>CG276+CH143+CH144</f>
        <v>1031780.29240583</v>
      </c>
      <c r="CI276" s="3">
        <f>CH276+CI143+CI144</f>
        <v>1343356.70840583</v>
      </c>
      <c r="CJ276" s="3">
        <f>CI276</f>
        <v>1343356.70840583</v>
      </c>
      <c r="CK276" s="3">
        <f>CJ276+CK143+CK144</f>
        <v>1654933.12440583</v>
      </c>
      <c r="CL276" s="3">
        <f>CK276+CL143+CL144</f>
        <v>2506176.06840583</v>
      </c>
      <c r="CM276" s="3">
        <f>CL276+CM143+CM144</f>
        <v>2817752.48440583</v>
      </c>
      <c r="CN276" s="3">
        <f>CM276+CN143+CN144</f>
        <v>3668995.42840583</v>
      </c>
      <c r="CO276" s="3">
        <f>CN276</f>
        <v>3668995.42840583</v>
      </c>
      <c r="CP276" s="3">
        <f>CO276+CP143+CP144</f>
        <v>4520238.37240583</v>
      </c>
      <c r="CQ276" s="3">
        <f>CP276+CQ143+CQ144</f>
        <v>6845877.09240583</v>
      </c>
      <c r="CR276" s="3">
        <f>CQ276+CR143+CR144</f>
        <v>7697120.03640583</v>
      </c>
      <c r="CS276" s="3">
        <f>CR276+CS143+CS144</f>
        <v>10022758.7564058</v>
      </c>
      <c r="CT276" s="3">
        <f>CS276</f>
        <v>10022758.7564058</v>
      </c>
      <c r="CU276" s="3">
        <f>CT276+CU143+CU144</f>
        <v>12348397.4764058</v>
      </c>
      <c r="CV276" s="3">
        <f>CU276+CV143+CV144</f>
        <v>18702160.8044058</v>
      </c>
      <c r="CW276" s="3">
        <f>CV276+CW143+CW144</f>
        <v>21027799.5244058</v>
      </c>
      <c r="CX276" s="3">
        <f>CW276+CX143+CX144</f>
        <v>27381562.8524058</v>
      </c>
      <c r="CY276" s="3">
        <f>CX276</f>
        <v>27381562.8524058</v>
      </c>
    </row>
    <row r="277" customFormat="1" s="17">
      <c r="A277" s="13" t="inlineStr">
        <is>
          <t xml:space="preserve"> </t>
        </is>
      </c>
      <c r="B277" s="13" t="n"/>
      <c r="C277" s="27" t="inlineStr">
        <is>
          <t>Total Shareholders' Equity</t>
        </is>
      </c>
      <c r="D277" s="16">
        <f>SUM(D254+D259+D260+D273+D274+D275+D276)</f>
        <v>1108.735</v>
      </c>
      <c r="E277" s="16">
        <f>SUM(E254+E259+E260+E273+E274+E275+E276)</f>
        <v>1079.62862100981</v>
      </c>
      <c r="F277" s="16">
        <f>SUM(F254+F259+F260+F273+F274+F275+F276)</f>
        <v>1115.77531894409</v>
      </c>
      <c r="G277" s="16">
        <f>SUM(G254+G259+G260+G273+G274+G275+G276)</f>
        <v>1171.47581344389</v>
      </c>
      <c r="H277" s="16">
        <f>SUM(H254,H259,H260,H273,H274,H275,H276)</f>
        <v>1171.47581344389</v>
      </c>
      <c r="I277" s="16">
        <f>SUM(I254+I259+I260+I273+I274+I275+I276)</f>
        <v>1175.38846955075</v>
      </c>
      <c r="J277" s="16">
        <f>SUM(J254+J259+J260+J273+J274+J275+J276)</f>
        <v>1257.04597772023</v>
      </c>
      <c r="K277" s="16">
        <f>SUM(K254+K259+K260+K273+K274+K275+K276)</f>
        <v>1342.83801947231</v>
      </c>
      <c r="L277" s="16">
        <f>SUM(L254+L259+L260+L273+L274+L275+L276)</f>
        <v>1392.73136365491</v>
      </c>
      <c r="M277" s="16">
        <f>SUM(M254,M259,M260,M273,M274,M275,M276)</f>
        <v>1392.73136365491</v>
      </c>
      <c r="N277" s="16">
        <f>SUM(N254+N259+N260+N273+N274+N275+N276)</f>
        <v>1437.24957969067</v>
      </c>
      <c r="O277" s="16">
        <f>SUM(O254+O259+O260+O273+O274+O275+O276)</f>
        <v>1518.84190049755</v>
      </c>
      <c r="P277" s="16">
        <f>SUM(P254+P259+P260+P273+P274+P275+P276)</f>
        <v>1584.36965854558</v>
      </c>
      <c r="Q277" s="16">
        <f>SUM(Q254+Q259+Q260+Q273+Q274+Q275+Q276)</f>
        <v>1657.952</v>
      </c>
      <c r="R277" s="16">
        <f>SUM(R254,R259,R260,R273,R274,R275,R276)</f>
        <v>1657.952</v>
      </c>
      <c r="S277" s="16">
        <f>SUM(S254+S259+S260+S273+S274+S275+S276)</f>
        <v>1692.089</v>
      </c>
      <c r="T277" s="16">
        <f>SUM(T254+T259+T260+T273+T274+T275+T276)</f>
        <v>1803.41587193972</v>
      </c>
      <c r="U277" s="16">
        <f>SUM(U254+U259+U260+U273+U274+U275+U276)</f>
        <v>1876.60003867116</v>
      </c>
      <c r="V277" s="16">
        <f>SUM(V254+V259+V260+V273+V274+V275+V276)</f>
        <v>2005.52948650328</v>
      </c>
      <c r="W277" s="16">
        <f>SUM(W254,W259,W260,W273,W274,W275,W276)</f>
        <v>2005.52948650328</v>
      </c>
      <c r="X277" s="16">
        <f>SUM(X254+X259+X260+X273+X274+X275+X276)</f>
        <v>1969.94321486274</v>
      </c>
      <c r="Y277" s="16">
        <f>SUM(Y254+Y259+Y260+Y273+Y274+Y275+Y276)</f>
        <v>2174.01019711895</v>
      </c>
      <c r="Z277" s="16">
        <f>SUM(Z254+Z259+Z260+Z273+Z274+Z275+Z276)</f>
        <v>2282.18214972</v>
      </c>
      <c r="AA277" s="16">
        <f>SUM(AA254+AA259+AA260+AA273+AA274+AA275+AA276)</f>
        <v>2496.94198767788</v>
      </c>
      <c r="AB277" s="16">
        <f>SUM(AB254,AB259,AB260,AB273,AB274,AB275,AB276)</f>
        <v>2496.94198767788</v>
      </c>
      <c r="AC277" s="16">
        <f>SUM(AC254+AC259+AC260+AC273+AC274+AC275+AC276)</f>
        <v>2611.94005718</v>
      </c>
      <c r="AD277" s="16">
        <f>SUM(AD254+AD259+AD260+AD273+AD274+AD275+AD276)</f>
        <v>2762.50912357</v>
      </c>
      <c r="AE277" s="16">
        <f>SUM(AE254+AE259+AE260+AE273+AE274+AE275+AE276)</f>
        <v>2935.851</v>
      </c>
      <c r="AF277" s="16">
        <f>SUM(AF254+AF259+AF260+AF273+AF274+AF275+AF276)</f>
        <v>2949.56684144</v>
      </c>
      <c r="AG277" s="16">
        <f>SUM(AG254,AG259,AG260,AG273,AG274,AG275,AG276)</f>
        <v>2949.56684144</v>
      </c>
      <c r="AH277" s="16">
        <f>SUM(AH254+AH259+AH260+AH273+AH274+AH275+AH276)</f>
        <v>3030.2899043</v>
      </c>
      <c r="AI277" s="16">
        <f>SUM(AI254+AI259+AI260+AI273+AI274+AI275+AI276)</f>
        <v>3184.28490385</v>
      </c>
      <c r="AJ277" s="16">
        <f>SUM(AJ254+AJ259+AJ260+AJ273+AJ274+AJ275+AJ276)</f>
        <v>3192.28590385</v>
      </c>
      <c r="AK277" s="16">
        <f>SUM(AK254+AK259+AK260+AK273+AK274+AK275+AK276)</f>
        <v>3203.48090385</v>
      </c>
      <c r="AL277" s="16">
        <f>SUM(AL254,AL259,AL260,AL273,AL274,AL275,AL276)</f>
        <v>3203.48090385</v>
      </c>
      <c r="AM277" s="16">
        <f>SUM(AM254+AM259+AM260+AM273+AM274+AM275+AM276)</f>
        <v>3214.67590385</v>
      </c>
      <c r="AN277" s="16">
        <f>SUM(AN254+AN259+AN260+AN273+AN274+AN275+AN276)</f>
        <v>3253.06790385</v>
      </c>
      <c r="AO277" s="16">
        <f>SUM(AO254+AO259+AO260+AO273+AO274+AO275+AO276)</f>
        <v>3264.26290385</v>
      </c>
      <c r="AP277" s="16">
        <f>SUM(AP254+AP259+AP260+AP273+AP274+AP275+AP276)</f>
        <v>3302.65490385</v>
      </c>
      <c r="AQ277" s="16">
        <f>SUM(AQ254,AQ259,AQ260,AQ273,AQ274,AQ275,AQ276)</f>
        <v>3302.65490385</v>
      </c>
      <c r="AR277" s="16">
        <f>SUM(AR254+AR259+AR260+AR273+AR274+AR275+AR276)</f>
        <v>3341.04690385</v>
      </c>
      <c r="AS277" s="16">
        <f>SUM(AS254+AS259+AS260+AS273+AS274+AS275+AS276)</f>
        <v>3440.22090385</v>
      </c>
      <c r="AT277" s="16">
        <f>SUM(AT254+AT259+AT260+AT273+AT274+AT275+AT276)</f>
        <v>3478.61290385</v>
      </c>
      <c r="AU277" s="16">
        <f>SUM(AU254+AU259+AU260+AU273+AU274+AU275+AU276)</f>
        <v>3577.78690385</v>
      </c>
      <c r="AV277" s="16">
        <f>SUM(AV254,AV259,AV260,AV273,AV274,AV275,AV276)</f>
        <v>3577.78690385</v>
      </c>
      <c r="AW277" s="16">
        <f>SUM(AW254+AW259+AW260+AW273+AW274+AW275+AW276)</f>
        <v>3676.96090385</v>
      </c>
      <c r="AX277" s="16">
        <f>SUM(AX254+AX259+AX260+AX273+AX274+AX275+AX276)</f>
        <v>3952.09290385</v>
      </c>
      <c r="AY277" s="16">
        <f>SUM(AY254+AY259+AY260+AY273+AY274+AY275+AY276)</f>
        <v>4051.26690385</v>
      </c>
      <c r="AZ277" s="16">
        <f>SUM(AZ254+AZ259+AZ260+AZ273+AZ274+AZ275+AZ276)</f>
        <v>4326.39890385</v>
      </c>
      <c r="BA277" s="16">
        <f>SUM(BA254,BA259,BA260,BA273,BA274,BA275,BA276)</f>
        <v>4326.39890385</v>
      </c>
      <c r="BB277" s="16">
        <f>SUM(BB254+BB259+BB260+BB273+BB274+BB275+BB276)</f>
        <v>4601.53090385</v>
      </c>
      <c r="BC277" s="16">
        <f>SUM(BC254+BC259+BC260+BC273+BC274+BC275+BC276)</f>
        <v>5350.14290385</v>
      </c>
      <c r="BD277" s="16">
        <f>SUM(BD254+BD259+BD260+BD273+BD274+BD275+BD276)</f>
        <v>5625.27490385</v>
      </c>
      <c r="BE277" s="16">
        <f>SUM(BE254+BE259+BE260+BE273+BE274+BE275+BE276)</f>
        <v>6373.88690385</v>
      </c>
      <c r="BF277" s="16">
        <f>SUM(BF254,BF259,BF260,BF273,BF274,BF275,BF276)</f>
        <v>6373.88690385</v>
      </c>
      <c r="BG277" s="16">
        <f>SUM(BG254+BG259+BG260+BG273+BG274+BG275+BG276)</f>
        <v>7122.49890385</v>
      </c>
      <c r="BH277" s="16">
        <f>SUM(BH254+BH259+BH260+BH273+BH274+BH275+BH276)</f>
        <v>9169.98690385</v>
      </c>
      <c r="BI277" s="16">
        <f>SUM(BI254+BI259+BI260+BI273+BI274+BI275+BI276)</f>
        <v>9918.59890385</v>
      </c>
      <c r="BJ277" s="16">
        <f>SUM(BJ254+BJ259+BJ260+BJ273+BJ274+BJ275+BJ276)</f>
        <v>11966.08690385</v>
      </c>
      <c r="BK277" s="16">
        <f>SUM(BK254,BK259,BK260,BK273,BK274,BK275,BK276)</f>
        <v>11966.08690385</v>
      </c>
      <c r="BL277" s="16">
        <f>SUM(BL254+BL259+BL260+BL273+BL274+BL275+BL276)</f>
        <v>14013.57490385</v>
      </c>
      <c r="BM277" s="16">
        <f>SUM(BM254+BM259+BM260+BM273+BM274+BM275+BM276)</f>
        <v>19605.77490385</v>
      </c>
      <c r="BN277" s="16">
        <f>SUM(BN254+BN259+BN260+BN273+BN274+BN275+BN276)</f>
        <v>21653.26290385</v>
      </c>
      <c r="BO277" s="16">
        <f>SUM(BO254+BO259+BO260+BO273+BO274+BO275+BO276)</f>
        <v>27245.46290385</v>
      </c>
      <c r="BP277" s="16">
        <f>SUM(BP254,BP259,BP260,BP273,BP274,BP275,BP276)</f>
        <v>27245.46290385</v>
      </c>
      <c r="BQ277" s="16">
        <f>SUM(BQ254+BQ259+BQ260+BQ273+BQ274+BQ275+BQ276)</f>
        <v>32837.66290385</v>
      </c>
      <c r="BR277" s="16">
        <f>SUM(BR254+BR259+BR260+BR273+BR274+BR275+BR276)</f>
        <v>48117.03890385</v>
      </c>
      <c r="BS277" s="16">
        <f>SUM(BS254+BS259+BS260+BS273+BS274+BS275+BS276)</f>
        <v>53709.23890385</v>
      </c>
      <c r="BT277" s="16">
        <f>SUM(BT254+BT259+BT260+BT273+BT274+BT275+BT276)</f>
        <v>68988.61490385</v>
      </c>
      <c r="BU277" s="16">
        <f>SUM(BU254,BU259,BU260,BU273,BU274,BU275,BU276)</f>
        <v>68988.61490385</v>
      </c>
      <c r="BV277" s="16">
        <f>SUM(BV254+BV259+BV260+BV273+BV274+BV275+BV276)</f>
        <v>84267.99090385</v>
      </c>
      <c r="BW277" s="16">
        <f>SUM(BW254+BW259+BW260+BW273+BW274+BW275+BW276)</f>
        <v>126011.14290385</v>
      </c>
      <c r="BX277" s="16">
        <f>SUM(BX254+BX259+BX260+BX273+BX274+BX275+BX276)</f>
        <v>141290.51890385</v>
      </c>
      <c r="BY277" s="16">
        <f>SUM(BY254+BY259+BY260+BY273+BY274+BY275+BY276)</f>
        <v>183033.67090385</v>
      </c>
      <c r="BZ277" s="16">
        <f>SUM(BZ254,BZ259,BZ260,BZ273,BZ274,BZ275,BZ276)</f>
        <v>183033.67090385</v>
      </c>
      <c r="CA277" s="16">
        <f>SUM(CA254+CA259+CA260+CA273+CA274+CA275+CA276)</f>
        <v>224776.82290385</v>
      </c>
      <c r="CB277" s="16">
        <f>SUM(CB254+CB259+CB260+CB273+CB274+CB275+CB276)</f>
        <v>338821.87890385</v>
      </c>
      <c r="CC277" s="16">
        <f>SUM(CC254+CC259+CC260+CC273+CC274+CC275+CC276)</f>
        <v>380565.03090385</v>
      </c>
      <c r="CD277" s="16">
        <f>SUM(CD254+CD259+CD260+CD273+CD274+CD275+CD276)</f>
        <v>494610.08690385</v>
      </c>
      <c r="CE277" s="16">
        <f>SUM(CE254,CE259,CE260,CE273,CE274,CE275,CE276)</f>
        <v>494610.08690385</v>
      </c>
      <c r="CF277" s="16">
        <f>SUM(CF254+CF259+CF260+CF273+CF274+CF275+CF276)</f>
        <v>608655.14290385</v>
      </c>
      <c r="CG277" s="16">
        <f>SUM(CG254+CG259+CG260+CG273+CG274+CG275+CG276)</f>
        <v>920231.55890385</v>
      </c>
      <c r="CH277" s="16">
        <f>SUM(CH254+CH259+CH260+CH273+CH274+CH275+CH276)</f>
        <v>1034276.61490385</v>
      </c>
      <c r="CI277" s="16">
        <f>SUM(CI254+CI259+CI260+CI273+CI274+CI275+CI276)</f>
        <v>1345853.03090385</v>
      </c>
      <c r="CJ277" s="16">
        <f>SUM(CJ254,CJ259,CJ260,CJ273,CJ274,CJ275,CJ276)</f>
        <v>1345853.03090385</v>
      </c>
      <c r="CK277" s="16">
        <f>SUM(CK254+CK259+CK260+CK273+CK274+CK275+CK276)</f>
        <v>1657429.44690385</v>
      </c>
      <c r="CL277" s="16">
        <f>SUM(CL254+CL259+CL260+CL273+CL274+CL275+CL276)</f>
        <v>2508672.39090385</v>
      </c>
      <c r="CM277" s="16">
        <f>SUM(CM254+CM259+CM260+CM273+CM274+CM275+CM276)</f>
        <v>2820248.80690385</v>
      </c>
      <c r="CN277" s="16">
        <f>SUM(CN254+CN259+CN260+CN273+CN274+CN275+CN276)</f>
        <v>3671491.75090385</v>
      </c>
      <c r="CO277" s="16">
        <f>SUM(CO254,CO259,CO260,CO273,CO274,CO275,CO276)</f>
        <v>3671491.75090385</v>
      </c>
      <c r="CP277" s="16">
        <f>SUM(CP254+CP259+CP260+CP273+CP274+CP275+CP276)</f>
        <v>4522734.69490385</v>
      </c>
      <c r="CQ277" s="16">
        <f>SUM(CQ254+CQ259+CQ260+CQ273+CQ274+CQ275+CQ276)</f>
        <v>6848373.41490385</v>
      </c>
      <c r="CR277" s="16">
        <f>SUM(CR254+CR259+CR260+CR273+CR274+CR275+CR276)</f>
        <v>7699616.35890385</v>
      </c>
      <c r="CS277" s="16">
        <f>SUM(CS254+CS259+CS260+CS273+CS274+CS275+CS276)</f>
        <v>10025255.0789038</v>
      </c>
      <c r="CT277" s="16">
        <f>SUM(CT254,CT259,CT260,CT273,CT274,CT275,CT276)</f>
        <v>10025255.0789038</v>
      </c>
      <c r="CU277" s="16">
        <f>SUM(CU254+CU259+CU260+CU273+CU274+CU275+CU276)</f>
        <v>12350893.7989038</v>
      </c>
      <c r="CV277" s="16">
        <f>SUM(CV254+CV259+CV260+CV273+CV274+CV275+CV276)</f>
        <v>18704657.1269038</v>
      </c>
      <c r="CW277" s="16">
        <f>SUM(CW254+CW259+CW260+CW273+CW274+CW275+CW276)</f>
        <v>21030295.8469038</v>
      </c>
      <c r="CX277" s="16">
        <f>SUM(CX254+CX259+CX260+CX273+CX274+CX275+CX276)</f>
        <v>27384059.1749038</v>
      </c>
      <c r="CY277" s="16">
        <f>SUM(CY254,CY259,CY260,CY273,CY274,CY275,CY276)</f>
        <v>27384059.1749038</v>
      </c>
    </row>
    <row r="278">
      <c r="C278" s="29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 customFormat="1" s="17">
      <c r="A279" s="13" t="n"/>
      <c r="B279" s="1" t="n"/>
      <c r="C279" s="14" t="inlineStr">
        <is>
          <t>Total Liabilities + Shareholders' Equity</t>
        </is>
      </c>
      <c r="D279" s="16">
        <f>D277+D253</f>
        <v>1829.192</v>
      </c>
      <c r="E279" s="16">
        <f>E277+E253</f>
        <v>1853.53874944981</v>
      </c>
      <c r="F279" s="16">
        <f>F277+F253</f>
        <v>1910.65852671409</v>
      </c>
      <c r="G279" s="16">
        <f>G277+G253</f>
        <v>2140.69671668389</v>
      </c>
      <c r="H279" s="16">
        <f>H277+H253</f>
        <v>2140.69671668389</v>
      </c>
      <c r="I279" s="16">
        <f>I277+I253</f>
        <v>1986.39689905075</v>
      </c>
      <c r="J279" s="16">
        <f>J277+J253</f>
        <v>2175.60398194023</v>
      </c>
      <c r="K279" s="16">
        <f>K277+K253</f>
        <v>2368.82220509231</v>
      </c>
      <c r="L279" s="16">
        <f>L277+L253</f>
        <v>2563.86883429491</v>
      </c>
      <c r="M279" s="16">
        <f>M277+M253</f>
        <v>2563.86883429491</v>
      </c>
      <c r="N279" s="16">
        <f>N277+N253</f>
        <v>2531.54726606067</v>
      </c>
      <c r="O279" s="16">
        <f>O277+O253</f>
        <v>2553.45771117755</v>
      </c>
      <c r="P279" s="16">
        <f>P277+P253</f>
        <v>2679.77594854558</v>
      </c>
      <c r="Q279" s="16">
        <f>Q277+Q253</f>
        <v>2932.1739735</v>
      </c>
      <c r="R279" s="16">
        <f>R277+R253</f>
        <v>2932.1739735</v>
      </c>
      <c r="S279" s="16">
        <f>S277+S253</f>
        <v>2882.158</v>
      </c>
      <c r="T279" s="16">
        <f>T277+T253</f>
        <v>2972.57361588972</v>
      </c>
      <c r="U279" s="16">
        <f>U277+U253</f>
        <v>3022.75095532116</v>
      </c>
      <c r="V279" s="16">
        <f>V277+V253</f>
        <v>3313.39816108328</v>
      </c>
      <c r="W279" s="16">
        <f>W277+W253</f>
        <v>3313.39816108328</v>
      </c>
      <c r="X279" s="16">
        <f>X277+X253</f>
        <v>3209.95208943274</v>
      </c>
      <c r="Y279" s="16">
        <f>Y277+Y253</f>
        <v>3444.07546564895</v>
      </c>
      <c r="Z279" s="16">
        <f>Z277+Z253</f>
        <v>3608.12858239936</v>
      </c>
      <c r="AA279" s="16">
        <f>AA277+AA253</f>
        <v>4273.72951081788</v>
      </c>
      <c r="AB279" s="16">
        <f>AB277+AB253</f>
        <v>4273.72951081788</v>
      </c>
      <c r="AC279" s="16">
        <f>AC277+AC253</f>
        <v>4228.26390763</v>
      </c>
      <c r="AD279" s="16">
        <f>AD277+AD253</f>
        <v>4286.20045756</v>
      </c>
      <c r="AE279" s="16">
        <f>AE277+AE253</f>
        <v>4699.193</v>
      </c>
      <c r="AF279" s="16">
        <f>AF277+AF253</f>
        <v>4722.69338881</v>
      </c>
      <c r="AG279" s="16">
        <f>AG277+AG253</f>
        <v>4722.69338881</v>
      </c>
      <c r="AH279" s="16">
        <f>AH277+AH253</f>
        <v>4675.66829518</v>
      </c>
      <c r="AI279" s="16">
        <f>AI277+AI253</f>
        <v>4880.31278386</v>
      </c>
      <c r="AJ279" s="16">
        <f>AJ277+AJ253</f>
        <v>4529.46288499</v>
      </c>
      <c r="AK279" s="16">
        <f>AK277+AK253</f>
        <v>4540.65788499</v>
      </c>
      <c r="AL279" s="16">
        <f>AL277+AL253</f>
        <v>4540.65788499</v>
      </c>
      <c r="AM279" s="16" t="e">
        <f>AM277+AM253</f>
        <v>#DIV/0!</v>
      </c>
      <c r="AN279" s="16">
        <f>AN277+AN253</f>
        <v>4590.24488499</v>
      </c>
      <c r="AO279" s="16" t="e">
        <f>AO277+AO253</f>
        <v>#DIV/0!</v>
      </c>
      <c r="AP279" s="16" t="e">
        <f>AP277+AP253</f>
        <v>#DIV/0!</v>
      </c>
      <c r="AQ279" s="16" t="e">
        <f>AQ277+AQ253</f>
        <v>#DIV/0!</v>
      </c>
      <c r="AR279" s="16" t="e">
        <f>AR277+AR253</f>
        <v>#DIV/0!</v>
      </c>
      <c r="AS279" s="16" t="e">
        <f>AS277+AS253</f>
        <v>#DIV/0!</v>
      </c>
      <c r="AT279" s="16" t="e">
        <f>AT277+AT253</f>
        <v>#DIV/0!</v>
      </c>
      <c r="AU279" s="16" t="e">
        <f>AU277+AU253</f>
        <v>#DIV/0!</v>
      </c>
      <c r="AV279" s="16" t="e">
        <f>AV277+AV253</f>
        <v>#DIV/0!</v>
      </c>
      <c r="AW279" s="16" t="e">
        <f>AW277+AW253</f>
        <v>#DIV/0!</v>
      </c>
      <c r="AX279" s="16" t="e">
        <f>AX277+AX253</f>
        <v>#DIV/0!</v>
      </c>
      <c r="AY279" s="16" t="e">
        <f>AY277+AY253</f>
        <v>#DIV/0!</v>
      </c>
      <c r="AZ279" s="16" t="e">
        <f>AZ277+AZ253</f>
        <v>#DIV/0!</v>
      </c>
      <c r="BA279" s="16" t="e">
        <f>BA277+BA253</f>
        <v>#DIV/0!</v>
      </c>
      <c r="BB279" s="16" t="e">
        <f>BB277+BB253</f>
        <v>#DIV/0!</v>
      </c>
      <c r="BC279" s="16" t="e">
        <f>BC277+BC253</f>
        <v>#DIV/0!</v>
      </c>
      <c r="BD279" s="16" t="e">
        <f>BD277+BD253</f>
        <v>#DIV/0!</v>
      </c>
      <c r="BE279" s="16" t="e">
        <f>BE277+BE253</f>
        <v>#DIV/0!</v>
      </c>
      <c r="BF279" s="16" t="e">
        <f>BF277+BF253</f>
        <v>#DIV/0!</v>
      </c>
      <c r="BG279" s="16" t="e">
        <f>BG277+BG253</f>
        <v>#DIV/0!</v>
      </c>
      <c r="BH279" s="16" t="e">
        <f>BH277+BH253</f>
        <v>#DIV/0!</v>
      </c>
      <c r="BI279" s="16" t="e">
        <f>BI277+BI253</f>
        <v>#DIV/0!</v>
      </c>
      <c r="BJ279" s="16" t="e">
        <f>BJ277+BJ253</f>
        <v>#DIV/0!</v>
      </c>
      <c r="BK279" s="16" t="e">
        <f>BK277+BK253</f>
        <v>#DIV/0!</v>
      </c>
      <c r="BL279" s="16" t="e">
        <f>BL277+BL253</f>
        <v>#DIV/0!</v>
      </c>
      <c r="BM279" s="16" t="e">
        <f>BM277+BM253</f>
        <v>#DIV/0!</v>
      </c>
      <c r="BN279" s="16" t="e">
        <f>BN277+BN253</f>
        <v>#DIV/0!</v>
      </c>
      <c r="BO279" s="16" t="e">
        <f>BO277+BO253</f>
        <v>#DIV/0!</v>
      </c>
      <c r="BP279" s="16" t="e">
        <f>BP277+BP253</f>
        <v>#DIV/0!</v>
      </c>
      <c r="BQ279" s="16" t="e">
        <f>BQ277+BQ253</f>
        <v>#DIV/0!</v>
      </c>
      <c r="BR279" s="16" t="e">
        <f>BR277+BR253</f>
        <v>#DIV/0!</v>
      </c>
      <c r="BS279" s="16" t="e">
        <f>BS277+BS253</f>
        <v>#DIV/0!</v>
      </c>
      <c r="BT279" s="16" t="e">
        <f>BT277+BT253</f>
        <v>#DIV/0!</v>
      </c>
      <c r="BU279" s="16" t="e">
        <f>BU277+BU253</f>
        <v>#DIV/0!</v>
      </c>
      <c r="BV279" s="16" t="e">
        <f>BV277+BV253</f>
        <v>#DIV/0!</v>
      </c>
      <c r="BW279" s="16" t="e">
        <f>BW277+BW253</f>
        <v>#DIV/0!</v>
      </c>
      <c r="BX279" s="16" t="e">
        <f>BX277+BX253</f>
        <v>#DIV/0!</v>
      </c>
      <c r="BY279" s="16" t="e">
        <f>BY277+BY253</f>
        <v>#DIV/0!</v>
      </c>
      <c r="BZ279" s="16" t="e">
        <f>BZ277+BZ253</f>
        <v>#DIV/0!</v>
      </c>
      <c r="CA279" s="16" t="e">
        <f>CA277+CA253</f>
        <v>#DIV/0!</v>
      </c>
      <c r="CB279" s="16" t="e">
        <f>CB277+CB253</f>
        <v>#DIV/0!</v>
      </c>
      <c r="CC279" s="16" t="e">
        <f>CC277+CC253</f>
        <v>#DIV/0!</v>
      </c>
      <c r="CD279" s="16" t="e">
        <f>CD277+CD253</f>
        <v>#DIV/0!</v>
      </c>
      <c r="CE279" s="16" t="e">
        <f>CE277+CE253</f>
        <v>#DIV/0!</v>
      </c>
      <c r="CF279" s="16" t="e">
        <f>CF277+CF253</f>
        <v>#DIV/0!</v>
      </c>
      <c r="CG279" s="16" t="e">
        <f>CG277+CG253</f>
        <v>#DIV/0!</v>
      </c>
      <c r="CH279" s="16" t="e">
        <f>CH277+CH253</f>
        <v>#DIV/0!</v>
      </c>
      <c r="CI279" s="16" t="e">
        <f>CI277+CI253</f>
        <v>#DIV/0!</v>
      </c>
      <c r="CJ279" s="16" t="e">
        <f>CJ277+CJ253</f>
        <v>#DIV/0!</v>
      </c>
      <c r="CK279" s="16" t="e">
        <f>CK277+CK253</f>
        <v>#DIV/0!</v>
      </c>
      <c r="CL279" s="16" t="e">
        <f>CL277+CL253</f>
        <v>#DIV/0!</v>
      </c>
      <c r="CM279" s="16" t="e">
        <f>CM277+CM253</f>
        <v>#DIV/0!</v>
      </c>
      <c r="CN279" s="16" t="e">
        <f>CN277+CN253</f>
        <v>#DIV/0!</v>
      </c>
      <c r="CO279" s="16" t="e">
        <f>CO277+CO253</f>
        <v>#DIV/0!</v>
      </c>
      <c r="CP279" s="16" t="e">
        <f>CP277+CP253</f>
        <v>#DIV/0!</v>
      </c>
      <c r="CQ279" s="16" t="e">
        <f>CQ277+CQ253</f>
        <v>#DIV/0!</v>
      </c>
      <c r="CR279" s="16" t="e">
        <f>CR277+CR253</f>
        <v>#DIV/0!</v>
      </c>
      <c r="CS279" s="16" t="e">
        <f>CS277+CS253</f>
        <v>#DIV/0!</v>
      </c>
      <c r="CT279" s="16" t="e">
        <f>CT277+CT253</f>
        <v>#DIV/0!</v>
      </c>
      <c r="CU279" s="16" t="e">
        <f>CU277+CU253</f>
        <v>#DIV/0!</v>
      </c>
      <c r="CV279" s="16" t="e">
        <f>CV277+CV253</f>
        <v>#DIV/0!</v>
      </c>
      <c r="CW279" s="16" t="e">
        <f>CW277+CW253</f>
        <v>#DIV/0!</v>
      </c>
      <c r="CX279" s="16" t="e">
        <f>CX277+CX253</f>
        <v>#DIV/0!</v>
      </c>
      <c r="CY279" s="16" t="e">
        <f>CY277+CY253</f>
        <v>#DIV/0!</v>
      </c>
    </row>
    <row r="280">
      <c r="C280" s="5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  <c r="BA280" s="1" t="n"/>
      <c r="BB280" s="1" t="n"/>
      <c r="BC280" s="1" t="n"/>
      <c r="BD280" s="1" t="n"/>
      <c r="BE280" s="1" t="n"/>
      <c r="BF280" s="1" t="n"/>
      <c r="BG280" s="1" t="n"/>
      <c r="BH280" s="1" t="n"/>
      <c r="BI280" s="1" t="n"/>
      <c r="BJ280" s="1" t="n"/>
      <c r="BK280" s="1" t="n"/>
      <c r="BL280" s="1" t="n"/>
      <c r="BM280" s="1" t="n"/>
      <c r="BN280" s="1" t="n"/>
      <c r="BO280" s="1" t="n"/>
      <c r="BP280" s="1" t="n"/>
      <c r="BQ280" s="1" t="n"/>
      <c r="BR280" s="1" t="n"/>
      <c r="BS280" s="1" t="n"/>
      <c r="BT280" s="1" t="n"/>
      <c r="BU280" s="1" t="n"/>
      <c r="BV280" s="1" t="n"/>
      <c r="BW280" s="1" t="n"/>
      <c r="BX280" s="1" t="n"/>
      <c r="BY280" s="1" t="n"/>
      <c r="BZ280" s="1" t="n"/>
      <c r="CA280" s="1" t="n"/>
      <c r="CB280" s="1" t="n"/>
      <c r="CC280" s="1" t="n"/>
      <c r="CD280" s="1" t="n"/>
      <c r="CE280" s="1" t="n"/>
      <c r="CF280" s="1" t="n"/>
      <c r="CG280" s="1" t="n"/>
      <c r="CH280" s="1" t="n"/>
      <c r="CI280" s="1" t="n"/>
      <c r="CJ280" s="1" t="n"/>
      <c r="CK280" s="1" t="n"/>
      <c r="CL280" s="1" t="n"/>
      <c r="CM280" s="1" t="n"/>
      <c r="CN280" s="1" t="n"/>
      <c r="CO280" s="1" t="n"/>
      <c r="CP280" s="1" t="n"/>
      <c r="CQ280" s="1" t="n"/>
      <c r="CR280" s="1" t="n"/>
      <c r="CS280" s="1" t="n"/>
      <c r="CT280" s="1" t="n"/>
      <c r="CU280" s="1" t="n"/>
      <c r="CV280" s="1" t="n"/>
      <c r="CW280" s="1" t="n"/>
      <c r="CX280" s="1" t="n"/>
      <c r="CY280" s="1" t="n"/>
    </row>
    <row r="281" customFormat="1" s="17">
      <c r="A281" s="13" t="n"/>
      <c r="B281" s="13" t="n"/>
      <c r="C281" s="12" t="inlineStr">
        <is>
          <t>Cash Flow Statement</t>
        </is>
      </c>
      <c r="D281" s="232" t="str">
        <f>D148</f>
        <v>1Q20</v>
      </c>
      <c r="E281" s="232" t="str">
        <f>E148</f>
        <v>2Q20</v>
      </c>
      <c r="F281" s="232" t="str">
        <f>F148</f>
        <v>3Q20</v>
      </c>
      <c r="G281" s="232" t="str">
        <f>G148</f>
        <v>4Q20</v>
      </c>
      <c r="H281" s="232">
        <f>H148</f>
        <v>2020</v>
      </c>
      <c r="I281" s="232" t="str">
        <f>I148</f>
        <v>1Q21</v>
      </c>
      <c r="J281" s="232" t="str">
        <f>J148</f>
        <v>2Q21</v>
      </c>
      <c r="K281" s="232" t="str">
        <f>K148</f>
        <v>3Q21</v>
      </c>
      <c r="L281" s="232" t="str">
        <f>L148</f>
        <v>4Q21</v>
      </c>
      <c r="M281" s="232">
        <f>M148</f>
        <v>2021</v>
      </c>
      <c r="N281" s="232" t="str">
        <f>N148</f>
        <v>1Q22</v>
      </c>
      <c r="O281" s="232" t="str">
        <f>O148</f>
        <v>2Q22</v>
      </c>
      <c r="P281" s="232" t="str">
        <f>P148</f>
        <v>3Q22</v>
      </c>
      <c r="Q281" s="232" t="str">
        <f>Q148</f>
        <v>4Q22</v>
      </c>
      <c r="R281" s="232">
        <f>R148</f>
        <v>2022</v>
      </c>
      <c r="S281" s="232" t="str">
        <f>S148</f>
        <v>1Q23</v>
      </c>
      <c r="T281" s="232" t="str">
        <f>T148</f>
        <v>2Q23</v>
      </c>
      <c r="U281" s="232" t="str">
        <f>U148</f>
        <v>3Q23</v>
      </c>
      <c r="V281" s="232" t="str">
        <f>V148</f>
        <v>4Q23</v>
      </c>
      <c r="W281" s="232">
        <f>W148</f>
        <v>2023</v>
      </c>
      <c r="X281" s="232" t="str">
        <f>X148</f>
        <v>1Q24</v>
      </c>
      <c r="Y281" s="232" t="str">
        <f>Y148</f>
        <v>2Q24</v>
      </c>
      <c r="Z281" s="232" t="str">
        <f>Z148</f>
        <v>3Q24</v>
      </c>
      <c r="AA281" s="232" t="str">
        <f>AA148</f>
        <v>4Q24</v>
      </c>
      <c r="AB281" s="232">
        <f>AB148</f>
        <v>2024</v>
      </c>
      <c r="AC281" s="232" t="str">
        <f>AC148</f>
        <v>1Q25</v>
      </c>
      <c r="AD281" s="232" t="str">
        <f>AD148</f>
        <v>2Q25</v>
      </c>
      <c r="AE281" s="232" t="str">
        <f>AE148</f>
        <v>3Q25</v>
      </c>
      <c r="AF281" s="232" t="str">
        <f>AF148</f>
        <v>4Q25</v>
      </c>
      <c r="AG281" s="232">
        <f>AG148</f>
        <v>2025</v>
      </c>
      <c r="AH281" s="232" t="str">
        <f>AH148</f>
        <v>1Q26</v>
      </c>
      <c r="AI281" s="232" t="str">
        <f>AI148</f>
        <v>2Q26</v>
      </c>
      <c r="AJ281" s="232" t="str">
        <f>AJ148</f>
        <v>3Q26</v>
      </c>
      <c r="AK281" s="232" t="str">
        <f>AK148</f>
        <v>4Q26</v>
      </c>
      <c r="AL281" s="232">
        <f>AL148</f>
        <v>2026</v>
      </c>
      <c r="AM281" s="232" t="str">
        <f>AM148</f>
        <v>1Q27</v>
      </c>
      <c r="AN281" s="232" t="str">
        <f>AN148</f>
        <v>2Q27</v>
      </c>
      <c r="AO281" s="232" t="str">
        <f>AO148</f>
        <v>3Q27</v>
      </c>
      <c r="AP281" s="232" t="str">
        <f>AP148</f>
        <v>4Q27</v>
      </c>
      <c r="AQ281" s="232">
        <f>AQ148</f>
        <v>2027</v>
      </c>
      <c r="AR281" s="232" t="str">
        <f>AR148</f>
        <v>1Q28</v>
      </c>
      <c r="AS281" s="232" t="str">
        <f>AS148</f>
        <v>2Q28</v>
      </c>
      <c r="AT281" s="232" t="str">
        <f>AT148</f>
        <v>3Q28</v>
      </c>
      <c r="AU281" s="232" t="str">
        <f>AU148</f>
        <v>4Q28</v>
      </c>
      <c r="AV281" s="232">
        <f>AV148</f>
        <v>2028</v>
      </c>
      <c r="AW281" s="232" t="str">
        <f>AW148</f>
        <v>1Q29</v>
      </c>
      <c r="AX281" s="232" t="str">
        <f>AX148</f>
        <v>2Q29</v>
      </c>
      <c r="AY281" s="232" t="str">
        <f>AY148</f>
        <v>3Q29</v>
      </c>
      <c r="AZ281" s="232" t="str">
        <f>AZ148</f>
        <v>4Q29</v>
      </c>
      <c r="BA281" s="232">
        <f>BA148</f>
        <v>2029</v>
      </c>
      <c r="BB281" s="232" t="str">
        <f>BB148</f>
        <v>1Q30</v>
      </c>
      <c r="BC281" s="232" t="str">
        <f>BC148</f>
        <v>2Q30</v>
      </c>
      <c r="BD281" s="232" t="str">
        <f>BD148</f>
        <v>3Q30</v>
      </c>
      <c r="BE281" s="232" t="str">
        <f>BE148</f>
        <v>4Q30</v>
      </c>
      <c r="BF281" s="232">
        <f>BF148</f>
        <v>2030</v>
      </c>
      <c r="BG281" s="232" t="str">
        <f>BG148</f>
        <v>1Q31</v>
      </c>
      <c r="BH281" s="232" t="str">
        <f>BH148</f>
        <v>2Q31</v>
      </c>
      <c r="BI281" s="232" t="str">
        <f>BI148</f>
        <v>3Q31</v>
      </c>
      <c r="BJ281" s="232" t="str">
        <f>BJ148</f>
        <v>4Q31</v>
      </c>
      <c r="BK281" s="232">
        <f>BK148</f>
        <v>2031</v>
      </c>
      <c r="BL281" s="232" t="str">
        <f>BL148</f>
        <v>1Q32</v>
      </c>
      <c r="BM281" s="232" t="str">
        <f>BM148</f>
        <v>2Q32</v>
      </c>
      <c r="BN281" s="232" t="str">
        <f>BN148</f>
        <v>3Q32</v>
      </c>
      <c r="BO281" s="232" t="str">
        <f>BO148</f>
        <v>4Q32</v>
      </c>
      <c r="BP281" s="232">
        <f>BP148</f>
        <v>2032</v>
      </c>
      <c r="BQ281" s="232" t="str">
        <f>BQ148</f>
        <v>1Q33</v>
      </c>
      <c r="BR281" s="232" t="str">
        <f>BR148</f>
        <v>2Q33</v>
      </c>
      <c r="BS281" s="232" t="str">
        <f>BS148</f>
        <v>3Q33</v>
      </c>
      <c r="BT281" s="232" t="str">
        <f>BT148</f>
        <v>4Q33</v>
      </c>
      <c r="BU281" s="232">
        <f>BU148</f>
        <v>2033</v>
      </c>
      <c r="BV281" s="232" t="str">
        <f>BV148</f>
        <v>1Q34</v>
      </c>
      <c r="BW281" s="232" t="str">
        <f>BW148</f>
        <v>2Q34</v>
      </c>
      <c r="BX281" s="232" t="str">
        <f>BX148</f>
        <v>3Q34</v>
      </c>
      <c r="BY281" s="232" t="str">
        <f>BY148</f>
        <v>4Q34</v>
      </c>
      <c r="BZ281" s="232">
        <f>BZ148</f>
        <v>2034</v>
      </c>
      <c r="CA281" s="232" t="str">
        <f>CA148</f>
        <v>1Q35</v>
      </c>
      <c r="CB281" s="232" t="str">
        <f>CB148</f>
        <v>2Q35</v>
      </c>
      <c r="CC281" s="232" t="str">
        <f>CC148</f>
        <v>3Q35</v>
      </c>
      <c r="CD281" s="232" t="str">
        <f>CD148</f>
        <v>4Q35</v>
      </c>
      <c r="CE281" s="232">
        <f>CE148</f>
        <v>2035</v>
      </c>
      <c r="CF281" s="232" t="str">
        <f>CF148</f>
        <v>1Q36</v>
      </c>
      <c r="CG281" s="232" t="str">
        <f>CG148</f>
        <v>2Q36</v>
      </c>
      <c r="CH281" s="232" t="str">
        <f>CH148</f>
        <v>3Q36</v>
      </c>
      <c r="CI281" s="232" t="str">
        <f>CI148</f>
        <v>4Q36</v>
      </c>
      <c r="CJ281" s="232">
        <f>CJ148</f>
        <v>2036</v>
      </c>
      <c r="CK281" s="232" t="str">
        <f>CK148</f>
        <v>1Q37</v>
      </c>
      <c r="CL281" s="232" t="str">
        <f>CL148</f>
        <v>2Q37</v>
      </c>
      <c r="CM281" s="232" t="str">
        <f>CM148</f>
        <v>3Q37</v>
      </c>
      <c r="CN281" s="232" t="str">
        <f>CN148</f>
        <v>4Q37</v>
      </c>
      <c r="CO281" s="232">
        <f>CO148</f>
        <v>2037</v>
      </c>
      <c r="CP281" s="232" t="str">
        <f>CP148</f>
        <v>1Q38</v>
      </c>
      <c r="CQ281" s="232" t="str">
        <f>CQ148</f>
        <v>2Q38</v>
      </c>
      <c r="CR281" s="232" t="str">
        <f>CR148</f>
        <v>3Q38</v>
      </c>
      <c r="CS281" s="232" t="str">
        <f>CS148</f>
        <v>4Q38</v>
      </c>
      <c r="CT281" s="232">
        <f>CT148</f>
        <v>2038</v>
      </c>
      <c r="CU281" s="232" t="str">
        <f>CU148</f>
        <v>1Q39</v>
      </c>
      <c r="CV281" s="232" t="str">
        <f>CV148</f>
        <v>2Q39</v>
      </c>
      <c r="CW281" s="232" t="str">
        <f>CW148</f>
        <v>3Q39</v>
      </c>
      <c r="CX281" s="232" t="str">
        <f>CX148</f>
        <v>4Q39</v>
      </c>
      <c r="CY281" s="232">
        <f>CY148</f>
        <v>2039</v>
      </c>
    </row>
    <row r="282">
      <c r="C282" s="5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  <c r="BA282" s="1" t="n"/>
      <c r="BB282" s="1" t="n"/>
      <c r="BC282" s="1" t="n"/>
      <c r="BD282" s="1" t="n"/>
      <c r="BE282" s="1" t="n"/>
      <c r="BF282" s="1" t="n"/>
      <c r="BG282" s="1" t="n"/>
      <c r="BH282" s="1" t="n"/>
      <c r="BI282" s="1" t="n"/>
      <c r="BJ282" s="1" t="n"/>
      <c r="BK282" s="1" t="n"/>
      <c r="BL282" s="1" t="n"/>
      <c r="BM282" s="1" t="n"/>
      <c r="BN282" s="1" t="n"/>
      <c r="BO282" s="1" t="n"/>
      <c r="BP282" s="1" t="n"/>
      <c r="BQ282" s="1" t="n"/>
      <c r="BR282" s="1" t="n"/>
      <c r="BS282" s="1" t="n"/>
      <c r="BT282" s="1" t="n"/>
      <c r="BU282" s="1" t="n"/>
      <c r="BV282" s="1" t="n"/>
      <c r="BW282" s="1" t="n"/>
      <c r="BX282" s="1" t="n"/>
      <c r="BY282" s="1" t="n"/>
      <c r="BZ282" s="1" t="n"/>
      <c r="CA282" s="1" t="n"/>
      <c r="CB282" s="1" t="n"/>
      <c r="CC282" s="1" t="n"/>
      <c r="CD282" s="1" t="n"/>
      <c r="CE282" s="1" t="n"/>
      <c r="CF282" s="1" t="n"/>
      <c r="CG282" s="1" t="n"/>
      <c r="CH282" s="1" t="n"/>
      <c r="CI282" s="1" t="n"/>
      <c r="CJ282" s="1" t="n"/>
      <c r="CK282" s="1" t="n"/>
      <c r="CL282" s="1" t="n"/>
      <c r="CM282" s="1" t="n"/>
      <c r="CN282" s="1" t="n"/>
      <c r="CO282" s="1" t="n"/>
      <c r="CP282" s="1" t="n"/>
      <c r="CQ282" s="1" t="n"/>
      <c r="CR282" s="1" t="n"/>
      <c r="CS282" s="1" t="n"/>
      <c r="CT282" s="1" t="n"/>
      <c r="CU282" s="1" t="n"/>
      <c r="CV282" s="1" t="n"/>
      <c r="CW282" s="1" t="n"/>
      <c r="CX282" s="1" t="n"/>
      <c r="CY282" s="1" t="n"/>
    </row>
    <row r="283">
      <c r="C283" s="29" t="inlineStr">
        <is>
          <t>Net Income</t>
        </is>
      </c>
      <c r="D283" s="3" t="n"/>
      <c r="E283" s="3">
        <f>E143</f>
        <v>-4.45416581774917</v>
      </c>
      <c r="F283" s="3">
        <f>F143</f>
        <v>30.5871922130517</v>
      </c>
      <c r="G283" s="3">
        <f>G143</f>
        <v>85.510419781403</v>
      </c>
      <c r="H283" s="3">
        <f>SUM(D283:G283)</f>
        <v>111.643446176706</v>
      </c>
      <c r="I283" s="3">
        <f>I143</f>
        <v>3.91286140842942</v>
      </c>
      <c r="J283" s="3">
        <f>J143</f>
        <v>81.6568276879069</v>
      </c>
      <c r="K283" s="3">
        <f>K143</f>
        <v>86.2581944392106</v>
      </c>
      <c r="L283" s="3">
        <f>L143</f>
        <v>127.128748102601</v>
      </c>
      <c r="M283" s="3">
        <f>SUM(I283:L283)</f>
        <v>298.956631638147</v>
      </c>
      <c r="N283" s="3">
        <f>N143</f>
        <v>45.9216596857644</v>
      </c>
      <c r="O283" s="3">
        <f>O143</f>
        <v>89.0520331817829</v>
      </c>
      <c r="P283" s="3">
        <f>P143</f>
        <v>68.127392923128</v>
      </c>
      <c r="Q283" s="3">
        <f>Q143</f>
        <v>157.753331755024</v>
      </c>
      <c r="R283" s="3">
        <f>SUM(N283:Q283)</f>
        <v>360.854417545699</v>
      </c>
      <c r="S283" s="3">
        <f>S143</f>
        <v>38.5711670349691</v>
      </c>
      <c r="T283" s="3">
        <f>T143</f>
        <v>109.984306142333</v>
      </c>
      <c r="U283" s="3">
        <f>U143</f>
        <v>76.5388475014494</v>
      </c>
      <c r="V283" s="3">
        <f>V143</f>
        <v>156.026281622112</v>
      </c>
      <c r="W283" s="3">
        <f>SUM(S283:V283)</f>
        <v>381.120602300864</v>
      </c>
      <c r="X283" s="3">
        <f>X143</f>
        <v>35.8091849906908</v>
      </c>
      <c r="Y283" s="3">
        <f>Y143</f>
        <v>210.960851415523</v>
      </c>
      <c r="Z283" s="3">
        <f>Z143</f>
        <v>107.164987843101</v>
      </c>
      <c r="AA283" s="3">
        <f>AA143</f>
        <v>299.458820700214</v>
      </c>
      <c r="AB283" s="3">
        <f>SUM(X283:AA283)</f>
        <v>653.393844949528</v>
      </c>
      <c r="AC283" s="3">
        <f>AC143</f>
        <v>115.03815882</v>
      </c>
      <c r="AD283" s="3">
        <f>AD143</f>
        <v>151.089324859999</v>
      </c>
      <c r="AE283" s="3">
        <f>AE143</f>
        <v>175.84953767</v>
      </c>
      <c r="AF283" s="3">
        <f>AF143</f>
        <v>177.52823769</v>
      </c>
      <c r="AG283" s="3">
        <f>SUM(AC283:AF283)</f>
        <v>619.505259039999</v>
      </c>
      <c r="AH283" s="3">
        <f>AH143</f>
        <v>80.79514342</v>
      </c>
      <c r="AI283" s="3">
        <f>AI143</f>
        <v>151.664851220001</v>
      </c>
      <c r="AJ283" s="3">
        <f>AJ143</f>
        <v>8.001</v>
      </c>
      <c r="AK283" s="3">
        <f>AK143</f>
        <v>11.195</v>
      </c>
      <c r="AL283" s="3">
        <f>SUM(AH283:AK283)</f>
        <v>251.655994640001</v>
      </c>
      <c r="AM283" s="3">
        <f>AM143</f>
        <v>11.195</v>
      </c>
      <c r="AN283" s="3">
        <f>AN143</f>
        <v>38.392</v>
      </c>
      <c r="AO283" s="3">
        <f>AO143</f>
        <v>11.195</v>
      </c>
      <c r="AP283" s="3">
        <f>AP143</f>
        <v>38.392</v>
      </c>
      <c r="AQ283" s="3">
        <f>SUM(AM283:AP283)</f>
        <v>99.174</v>
      </c>
      <c r="AR283" s="3">
        <f>AR143</f>
        <v>38.392</v>
      </c>
      <c r="AS283" s="3">
        <f>AS143</f>
        <v>99.174</v>
      </c>
      <c r="AT283" s="3">
        <f>AT143</f>
        <v>38.392</v>
      </c>
      <c r="AU283" s="3">
        <f>AU143</f>
        <v>99.174</v>
      </c>
      <c r="AV283" s="3">
        <f>SUM(AR283:AU283)</f>
        <v>275.132</v>
      </c>
      <c r="AW283" s="3">
        <f>AW143</f>
        <v>99.174</v>
      </c>
      <c r="AX283" s="3">
        <f>AX143</f>
        <v>275.132</v>
      </c>
      <c r="AY283" s="3">
        <f>AY143</f>
        <v>99.174</v>
      </c>
      <c r="AZ283" s="3">
        <f>AZ143</f>
        <v>275.132</v>
      </c>
      <c r="BA283" s="3">
        <f>SUM(AW283:AZ283)</f>
        <v>748.612</v>
      </c>
      <c r="BB283" s="3">
        <f>BB143</f>
        <v>275.132</v>
      </c>
      <c r="BC283" s="3">
        <f>BC143</f>
        <v>748.612</v>
      </c>
      <c r="BD283" s="3">
        <f>BD143</f>
        <v>275.132</v>
      </c>
      <c r="BE283" s="3">
        <f>BE143</f>
        <v>748.612</v>
      </c>
      <c r="BF283" s="3">
        <f>SUM(BB283:BE283)</f>
        <v>2047.488</v>
      </c>
      <c r="BG283" s="3">
        <f>BG143</f>
        <v>748.612</v>
      </c>
      <c r="BH283" s="3">
        <f>BH143</f>
        <v>2047.488</v>
      </c>
      <c r="BI283" s="3">
        <f>BI143</f>
        <v>748.612</v>
      </c>
      <c r="BJ283" s="3">
        <f>BJ143</f>
        <v>2047.488</v>
      </c>
      <c r="BK283" s="3">
        <f>SUM(BG283:BJ283)</f>
        <v>5592.2</v>
      </c>
      <c r="BL283" s="3">
        <f>BL143</f>
        <v>2047.488</v>
      </c>
      <c r="BM283" s="3">
        <f>BM143</f>
        <v>5592.2</v>
      </c>
      <c r="BN283" s="3">
        <f>BN143</f>
        <v>2047.488</v>
      </c>
      <c r="BO283" s="3">
        <f>BO143</f>
        <v>5592.2</v>
      </c>
      <c r="BP283" s="3">
        <f>SUM(BL283:BO283)</f>
        <v>15279.376</v>
      </c>
      <c r="BQ283" s="3">
        <f>BQ143</f>
        <v>5592.2</v>
      </c>
      <c r="BR283" s="3">
        <f>BR143</f>
        <v>15279.376</v>
      </c>
      <c r="BS283" s="3">
        <f>BS143</f>
        <v>5592.2</v>
      </c>
      <c r="BT283" s="3">
        <f>BT143</f>
        <v>15279.376</v>
      </c>
      <c r="BU283" s="3">
        <f>SUM(BQ283:BT283)</f>
        <v>41743.152</v>
      </c>
      <c r="BV283" s="3">
        <f>BV143</f>
        <v>15279.376</v>
      </c>
      <c r="BW283" s="3">
        <f>BW143</f>
        <v>41743.152</v>
      </c>
      <c r="BX283" s="3">
        <f>BX143</f>
        <v>15279.376</v>
      </c>
      <c r="BY283" s="3">
        <f>BY143</f>
        <v>41743.152</v>
      </c>
      <c r="BZ283" s="3">
        <f>SUM(BV283:BY283)</f>
        <v>114045.056</v>
      </c>
      <c r="CA283" s="3">
        <f>CA143</f>
        <v>41743.152</v>
      </c>
      <c r="CB283" s="3">
        <f>CB143</f>
        <v>114045.056</v>
      </c>
      <c r="CC283" s="3">
        <f>CC143</f>
        <v>41743.152</v>
      </c>
      <c r="CD283" s="3">
        <f>CD143</f>
        <v>114045.056</v>
      </c>
      <c r="CE283" s="3">
        <f>SUM(CA283:CD283)</f>
        <v>311576.416</v>
      </c>
      <c r="CF283" s="3">
        <f>CF143</f>
        <v>114045.056</v>
      </c>
      <c r="CG283" s="3">
        <f>CG143</f>
        <v>311576.416</v>
      </c>
      <c r="CH283" s="3">
        <f>CH143</f>
        <v>114045.056</v>
      </c>
      <c r="CI283" s="3">
        <f>CI143</f>
        <v>311576.416</v>
      </c>
      <c r="CJ283" s="3">
        <f>SUM(CF283:CI283)</f>
        <v>851242.944</v>
      </c>
      <c r="CK283" s="3">
        <f>CK143</f>
        <v>311576.416</v>
      </c>
      <c r="CL283" s="3">
        <f>CL143</f>
        <v>851242.944</v>
      </c>
      <c r="CM283" s="3">
        <f>CM143</f>
        <v>311576.416</v>
      </c>
      <c r="CN283" s="3">
        <f>CN143</f>
        <v>851242.944</v>
      </c>
      <c r="CO283" s="3">
        <f>SUM(CK283:CN283)</f>
        <v>2325638.72</v>
      </c>
      <c r="CP283" s="3">
        <f>CP143</f>
        <v>851242.944</v>
      </c>
      <c r="CQ283" s="3">
        <f>CQ143</f>
        <v>2325638.72</v>
      </c>
      <c r="CR283" s="3">
        <f>CR143</f>
        <v>851242.944</v>
      </c>
      <c r="CS283" s="3">
        <f>CS143</f>
        <v>2325638.72</v>
      </c>
      <c r="CT283" s="3">
        <f>SUM(CP283:CS283)</f>
        <v>6353763.328</v>
      </c>
      <c r="CU283" s="3">
        <f>CU143</f>
        <v>2325638.72</v>
      </c>
      <c r="CV283" s="3">
        <f>CV143</f>
        <v>6353763.328</v>
      </c>
      <c r="CW283" s="3">
        <f>CW143</f>
        <v>2325638.72</v>
      </c>
      <c r="CX283" s="3">
        <f>CX143</f>
        <v>6353763.328</v>
      </c>
      <c r="CY283" s="3">
        <f>SUM(CU283:CX283)</f>
        <v>17358804.096</v>
      </c>
    </row>
    <row r="284">
      <c r="C284" s="29" t="inlineStr">
        <is>
          <t>Depreciation &amp; amortization</t>
        </is>
      </c>
      <c r="D284" s="3" t="n"/>
      <c r="E284" s="3">
        <f>-E76</f>
        <v>14.28740434</v>
      </c>
      <c r="F284" s="3">
        <f>-F76</f>
        <v>15.6490989</v>
      </c>
      <c r="G284" s="3">
        <f>-G76</f>
        <v>14.88001596</v>
      </c>
      <c r="H284" s="3">
        <f>SUM(D284:G284)</f>
        <v>44.8165192</v>
      </c>
      <c r="I284" s="3">
        <f>-I76</f>
        <v>15.94413766</v>
      </c>
      <c r="J284" s="3">
        <f>-J76</f>
        <v>17.49056246</v>
      </c>
      <c r="K284" s="3">
        <f>-K76</f>
        <v>17.59007586</v>
      </c>
      <c r="L284" s="3">
        <f>-L76</f>
        <v>20.80524252</v>
      </c>
      <c r="M284" s="3">
        <f>SUM(I284:L284)</f>
        <v>71.8300185</v>
      </c>
      <c r="N284" s="3">
        <f>-N76</f>
        <v>26.40854942</v>
      </c>
      <c r="O284" s="3">
        <f>-O76</f>
        <v>25.71019725</v>
      </c>
      <c r="P284" s="3">
        <f>-P76</f>
        <v>31.37331469</v>
      </c>
      <c r="Q284" s="3">
        <f>-Q76</f>
        <v>30.4338306800001</v>
      </c>
      <c r="R284" s="3">
        <f>SUM(N284:Q284)</f>
        <v>113.92589204</v>
      </c>
      <c r="S284" s="3">
        <f>-S76</f>
        <v>31.8850997200005</v>
      </c>
      <c r="T284" s="3">
        <f>-T76</f>
        <v>32.18479368</v>
      </c>
      <c r="U284" s="3">
        <f>-U76</f>
        <v>33.87783624</v>
      </c>
      <c r="V284" s="3">
        <f>-V76</f>
        <v>36.13719223</v>
      </c>
      <c r="W284" s="3">
        <f>SUM(S284:V284)</f>
        <v>134.08492187</v>
      </c>
      <c r="X284" s="3">
        <f>-X76</f>
        <v>38.78307094</v>
      </c>
      <c r="Y284" s="3">
        <f>-Y76</f>
        <v>40.92108676</v>
      </c>
      <c r="Z284" s="3">
        <f>-Z76</f>
        <v>43.4457200736189</v>
      </c>
      <c r="AA284" s="3">
        <f>-AA76</f>
        <v>26.492400627492</v>
      </c>
      <c r="AB284" s="3">
        <f>SUM(X284:AA284)</f>
        <v>149.642278401111</v>
      </c>
      <c r="AC284" s="3">
        <f>-AC76</f>
        <v>38.4000833</v>
      </c>
      <c r="AD284" s="3">
        <f>-AD76</f>
        <v>38.47477303</v>
      </c>
      <c r="AE284" s="3">
        <f>-AE76</f>
        <v>37.1150324</v>
      </c>
      <c r="AF284" s="3">
        <f>-AF76</f>
        <v>38.84610311</v>
      </c>
      <c r="AG284" s="3">
        <f>SUM(AC284:AF284)</f>
        <v>152.83599184</v>
      </c>
      <c r="AH284" s="3">
        <f>-AH76</f>
        <v>38.73890781</v>
      </c>
      <c r="AI284" s="3">
        <f>-AI76</f>
        <v>39.39946144</v>
      </c>
      <c r="AJ284" s="3">
        <f>-AJ76</f>
        <v>0</v>
      </c>
      <c r="AK284" s="3">
        <f>-AK76</f>
        <v>0</v>
      </c>
      <c r="AL284" s="3">
        <f>SUM(AH284:AK284)</f>
        <v>78.1383692500001</v>
      </c>
      <c r="AM284" s="3">
        <f>-AM76</f>
        <v>0</v>
      </c>
      <c r="AN284" s="3">
        <f>-AN76</f>
        <v>0</v>
      </c>
      <c r="AO284" s="3">
        <f>-AO76</f>
        <v>0</v>
      </c>
      <c r="AP284" s="3">
        <f>-AP76</f>
        <v>0</v>
      </c>
      <c r="AQ284" s="3">
        <f>SUM(AM284:AP284)</f>
        <v>0</v>
      </c>
      <c r="AR284" s="3">
        <f>-AR76</f>
        <v>0</v>
      </c>
      <c r="AS284" s="3">
        <f>-AS76</f>
        <v>0</v>
      </c>
      <c r="AT284" s="3">
        <f>-AT76</f>
        <v>0</v>
      </c>
      <c r="AU284" s="3">
        <f>-AU76</f>
        <v>0</v>
      </c>
      <c r="AV284" s="3">
        <f>SUM(AR284:AU284)</f>
        <v>0</v>
      </c>
      <c r="AW284" s="3">
        <f>-AW76</f>
        <v>0</v>
      </c>
      <c r="AX284" s="3">
        <f>-AX76</f>
        <v>0</v>
      </c>
      <c r="AY284" s="3">
        <f>-AY76</f>
        <v>0</v>
      </c>
      <c r="AZ284" s="3">
        <f>-AZ76</f>
        <v>0</v>
      </c>
      <c r="BA284" s="3">
        <f>SUM(AW284:AZ284)</f>
        <v>0</v>
      </c>
      <c r="BB284" s="3">
        <f>-BB76</f>
        <v>0</v>
      </c>
      <c r="BC284" s="3">
        <f>-BC76</f>
        <v>0</v>
      </c>
      <c r="BD284" s="3">
        <f>-BD76</f>
        <v>0</v>
      </c>
      <c r="BE284" s="3">
        <f>-BE76</f>
        <v>0</v>
      </c>
      <c r="BF284" s="3">
        <f>SUM(BB284:BE284)</f>
        <v>0</v>
      </c>
      <c r="BG284" s="3">
        <f>-BG76</f>
        <v>0</v>
      </c>
      <c r="BH284" s="3">
        <f>-BH76</f>
        <v>0</v>
      </c>
      <c r="BI284" s="3">
        <f>-BI76</f>
        <v>0</v>
      </c>
      <c r="BJ284" s="3">
        <f>-BJ76</f>
        <v>0</v>
      </c>
      <c r="BK284" s="3">
        <f>SUM(BG284:BJ284)</f>
        <v>0</v>
      </c>
      <c r="BL284" s="3">
        <f>-BL76</f>
        <v>0</v>
      </c>
      <c r="BM284" s="3">
        <f>-BM76</f>
        <v>0</v>
      </c>
      <c r="BN284" s="3">
        <f>-BN76</f>
        <v>0</v>
      </c>
      <c r="BO284" s="3">
        <f>-BO76</f>
        <v>0</v>
      </c>
      <c r="BP284" s="3">
        <f>SUM(BL284:BO284)</f>
        <v>0</v>
      </c>
      <c r="BQ284" s="3">
        <f>-BQ76</f>
        <v>0</v>
      </c>
      <c r="BR284" s="3">
        <f>-BR76</f>
        <v>0</v>
      </c>
      <c r="BS284" s="3">
        <f>-BS76</f>
        <v>0</v>
      </c>
      <c r="BT284" s="3">
        <f>-BT76</f>
        <v>0</v>
      </c>
      <c r="BU284" s="3">
        <f>SUM(BQ284:BT284)</f>
        <v>0</v>
      </c>
      <c r="BV284" s="3">
        <f>-BV76</f>
        <v>0</v>
      </c>
      <c r="BW284" s="3">
        <f>-BW76</f>
        <v>0</v>
      </c>
      <c r="BX284" s="3">
        <f>-BX76</f>
        <v>0</v>
      </c>
      <c r="BY284" s="3">
        <f>-BY76</f>
        <v>0</v>
      </c>
      <c r="BZ284" s="3">
        <f>SUM(BV284:BY284)</f>
        <v>0</v>
      </c>
      <c r="CA284" s="3">
        <f>-CA76</f>
        <v>0</v>
      </c>
      <c r="CB284" s="3">
        <f>-CB76</f>
        <v>0</v>
      </c>
      <c r="CC284" s="3">
        <f>-CC76</f>
        <v>0</v>
      </c>
      <c r="CD284" s="3">
        <f>-CD76</f>
        <v>0</v>
      </c>
      <c r="CE284" s="3">
        <f>SUM(CA284:CD284)</f>
        <v>0</v>
      </c>
      <c r="CF284" s="3">
        <f>-CF76</f>
        <v>0</v>
      </c>
      <c r="CG284" s="3">
        <f>-CG76</f>
        <v>0</v>
      </c>
      <c r="CH284" s="3">
        <f>-CH76</f>
        <v>0</v>
      </c>
      <c r="CI284" s="3">
        <f>-CI76</f>
        <v>0</v>
      </c>
      <c r="CJ284" s="3">
        <f>SUM(CF284:CI284)</f>
        <v>0</v>
      </c>
      <c r="CK284" s="3">
        <f>-CK76</f>
        <v>0</v>
      </c>
      <c r="CL284" s="3">
        <f>-CL76</f>
        <v>0</v>
      </c>
      <c r="CM284" s="3">
        <f>-CM76</f>
        <v>0</v>
      </c>
      <c r="CN284" s="3">
        <f>-CN76</f>
        <v>0</v>
      </c>
      <c r="CO284" s="3">
        <f>SUM(CK284:CN284)</f>
        <v>0</v>
      </c>
      <c r="CP284" s="3">
        <f>-CP76</f>
        <v>0</v>
      </c>
      <c r="CQ284" s="3">
        <f>-CQ76</f>
        <v>0</v>
      </c>
      <c r="CR284" s="3">
        <f>-CR76</f>
        <v>0</v>
      </c>
      <c r="CS284" s="3">
        <f>-CS76</f>
        <v>0</v>
      </c>
      <c r="CT284" s="3">
        <f>SUM(CP284:CS284)</f>
        <v>0</v>
      </c>
      <c r="CU284" s="3">
        <f>-CU76</f>
        <v>0</v>
      </c>
      <c r="CV284" s="3">
        <f>-CV76</f>
        <v>0</v>
      </c>
      <c r="CW284" s="3">
        <f>-CW76</f>
        <v>0</v>
      </c>
      <c r="CX284" s="3">
        <f>-CX76</f>
        <v>0</v>
      </c>
      <c r="CY284" s="3">
        <f>SUM(CU284:CX284)</f>
        <v>0</v>
      </c>
    </row>
    <row r="285">
      <c r="C285" s="29" t="inlineStr">
        <is>
          <t xml:space="preserve">Changes in working capital </t>
        </is>
      </c>
      <c r="D285" s="3" t="n"/>
      <c r="E285" s="3">
        <f>SUM(E286:E295)</f>
        <v>112.464089215634</v>
      </c>
      <c r="F285" s="3">
        <f>SUM(F286:F295)</f>
        <v>-65.7589293363851</v>
      </c>
      <c r="G285" s="3">
        <f>SUM(G286:G295)</f>
        <v>-70.444651296938</v>
      </c>
      <c r="H285" s="3">
        <f>SUM(D285:G285)</f>
        <v>-23.7394914176896</v>
      </c>
      <c r="I285" s="3">
        <f>SUM(I286:I295)</f>
        <v>15.1495037405607</v>
      </c>
      <c r="J285" s="3">
        <f>SUM(J286:J295)</f>
        <v>-72.1680239404645</v>
      </c>
      <c r="K285" s="3">
        <f>SUM(K286:K295)</f>
        <v>-8.0819173292108</v>
      </c>
      <c r="L285" s="3">
        <f>SUM(L286:L295)</f>
        <v>-19.5047063906056</v>
      </c>
      <c r="M285" s="3">
        <f>SUM(I285:L285)</f>
        <v>-84.6051439197202</v>
      </c>
      <c r="N285" s="3">
        <f>SUM(N286:N295)</f>
        <v>-92.3283153508258</v>
      </c>
      <c r="O285" s="3">
        <f>SUM(O286:O295)</f>
        <v>-133.226750789701</v>
      </c>
      <c r="P285" s="3">
        <f>SUM(P286:P295)</f>
        <v>-51.5714611832265</v>
      </c>
      <c r="Q285" s="3">
        <f>SUM(Q286:Q295)</f>
        <v>36.2237380605601</v>
      </c>
      <c r="R285" s="3">
        <f>SUM(N285:Q285)</f>
        <v>-240.902789263193</v>
      </c>
      <c r="S285" s="3">
        <f>SUM(S286:S295)</f>
        <v>-31.7905753993973</v>
      </c>
      <c r="T285" s="3">
        <f>SUM(T286:T295)</f>
        <v>-218.050698427931</v>
      </c>
      <c r="U285" s="3">
        <f>SUM(U286:U295)</f>
        <v>-32.5271562014482</v>
      </c>
      <c r="V285" s="3">
        <f>SUM(V286:V295)</f>
        <v>-46.7210630321114</v>
      </c>
      <c r="W285" s="3">
        <f>SUM(S285:V285)</f>
        <v>-329.089493060888</v>
      </c>
      <c r="X285" s="3">
        <f>SUM(X286:X295)</f>
        <v>48.2112926302631</v>
      </c>
      <c r="Y285" s="3">
        <f>SUM(Y286:Y295)</f>
        <v>-162.168566379672</v>
      </c>
      <c r="Z285" s="3">
        <f>SUM(Z286:Z295)</f>
        <v>-202.4848409091</v>
      </c>
      <c r="AA285" s="3">
        <f>SUM(AA286:AA295)</f>
        <v>-332.37666039</v>
      </c>
      <c r="AB285" s="3">
        <f>SUM(X285:AA285)</f>
        <v>-648.818775048509</v>
      </c>
      <c r="AC285" s="3">
        <f>SUM(AC286:AC295)</f>
        <v>-37.5961355000002</v>
      </c>
      <c r="AD285" s="3">
        <f>SUM(AD286:AD295)</f>
        <v>-162.10465342</v>
      </c>
      <c r="AE285" s="3">
        <f>SUM(AE286:AE295)</f>
        <v>-210.39551837</v>
      </c>
      <c r="AF285" s="3">
        <f>SUM(AF286:AF295)</f>
        <v>186.85879841</v>
      </c>
      <c r="AG285" s="3">
        <f>SUM(AC285:AF285)</f>
        <v>-223.23750888</v>
      </c>
      <c r="AH285" s="3">
        <f>SUM(AH286:AH295)</f>
        <v>-93.8465374999995</v>
      </c>
      <c r="AI285" s="3">
        <f>SUM(AI286:AI295)</f>
        <v>-52.3102223200002</v>
      </c>
      <c r="AJ285" s="3">
        <f>SUM(AJ286:AJ295)</f>
        <v>2194.63697407</v>
      </c>
      <c r="AK285" s="3">
        <f>SUM(AK286:AK295)</f>
        <v>0</v>
      </c>
      <c r="AL285" s="3">
        <f>SUM(AH285:AK285)</f>
        <v>2048.48021425</v>
      </c>
      <c r="AM285" s="3" t="e">
        <f>SUM(AM286:AM295)</f>
        <v>#DIV/0!</v>
      </c>
      <c r="AN285" s="3" t="e">
        <f>SUM(AN286:AN295)</f>
        <v>#DIV/0!</v>
      </c>
      <c r="AO285" s="3" t="e">
        <f>SUM(AO286:AO295)</f>
        <v>#DIV/0!</v>
      </c>
      <c r="AP285" s="3" t="e">
        <f>SUM(AP286:AP295)</f>
        <v>#DIV/0!</v>
      </c>
      <c r="AQ285" s="3" t="e">
        <f>SUM(AM285:AP285)</f>
        <v>#DIV/0!</v>
      </c>
      <c r="AR285" s="3" t="e">
        <f>SUM(AR286:AR295)</f>
        <v>#DIV/0!</v>
      </c>
      <c r="AS285" s="3" t="e">
        <f>SUM(AS286:AS295)</f>
        <v>#DIV/0!</v>
      </c>
      <c r="AT285" s="3" t="e">
        <f>SUM(AT286:AT295)</f>
        <v>#DIV/0!</v>
      </c>
      <c r="AU285" s="3" t="e">
        <f>SUM(AU286:AU295)</f>
        <v>#DIV/0!</v>
      </c>
      <c r="AV285" s="3" t="e">
        <f>SUM(AR285:AU285)</f>
        <v>#DIV/0!</v>
      </c>
      <c r="AW285" s="3" t="e">
        <f>SUM(AW286:AW295)</f>
        <v>#DIV/0!</v>
      </c>
      <c r="AX285" s="3" t="e">
        <f>SUM(AX286:AX295)</f>
        <v>#DIV/0!</v>
      </c>
      <c r="AY285" s="3" t="e">
        <f>SUM(AY286:AY295)</f>
        <v>#DIV/0!</v>
      </c>
      <c r="AZ285" s="3" t="e">
        <f>SUM(AZ286:AZ295)</f>
        <v>#DIV/0!</v>
      </c>
      <c r="BA285" s="3" t="e">
        <f>SUM(AW285:AZ285)</f>
        <v>#DIV/0!</v>
      </c>
      <c r="BB285" s="3" t="e">
        <f>SUM(BB286:BB295)</f>
        <v>#DIV/0!</v>
      </c>
      <c r="BC285" s="3" t="e">
        <f>SUM(BC286:BC295)</f>
        <v>#DIV/0!</v>
      </c>
      <c r="BD285" s="3" t="e">
        <f>SUM(BD286:BD295)</f>
        <v>#DIV/0!</v>
      </c>
      <c r="BE285" s="3" t="e">
        <f>SUM(BE286:BE295)</f>
        <v>#DIV/0!</v>
      </c>
      <c r="BF285" s="3" t="e">
        <f>SUM(BB285:BE285)</f>
        <v>#DIV/0!</v>
      </c>
      <c r="BG285" s="3" t="e">
        <f>SUM(BG286:BG295)</f>
        <v>#DIV/0!</v>
      </c>
      <c r="BH285" s="3" t="e">
        <f>SUM(BH286:BH295)</f>
        <v>#DIV/0!</v>
      </c>
      <c r="BI285" s="3" t="e">
        <f>SUM(BI286:BI295)</f>
        <v>#DIV/0!</v>
      </c>
      <c r="BJ285" s="3" t="e">
        <f>SUM(BJ286:BJ295)</f>
        <v>#DIV/0!</v>
      </c>
      <c r="BK285" s="3" t="e">
        <f>SUM(BG285:BJ285)</f>
        <v>#DIV/0!</v>
      </c>
      <c r="BL285" s="3" t="e">
        <f>SUM(BL286:BL295)</f>
        <v>#DIV/0!</v>
      </c>
      <c r="BM285" s="3" t="e">
        <f>SUM(BM286:BM295)</f>
        <v>#DIV/0!</v>
      </c>
      <c r="BN285" s="3" t="e">
        <f>SUM(BN286:BN295)</f>
        <v>#DIV/0!</v>
      </c>
      <c r="BO285" s="3" t="e">
        <f>SUM(BO286:BO295)</f>
        <v>#DIV/0!</v>
      </c>
      <c r="BP285" s="3" t="e">
        <f>SUM(BL285:BO285)</f>
        <v>#DIV/0!</v>
      </c>
      <c r="BQ285" s="3" t="e">
        <f>SUM(BQ286:BQ295)</f>
        <v>#DIV/0!</v>
      </c>
      <c r="BR285" s="3" t="e">
        <f>SUM(BR286:BR295)</f>
        <v>#DIV/0!</v>
      </c>
      <c r="BS285" s="3" t="e">
        <f>SUM(BS286:BS295)</f>
        <v>#DIV/0!</v>
      </c>
      <c r="BT285" s="3" t="e">
        <f>SUM(BT286:BT295)</f>
        <v>#DIV/0!</v>
      </c>
      <c r="BU285" s="3" t="e">
        <f>SUM(BQ285:BT285)</f>
        <v>#DIV/0!</v>
      </c>
      <c r="BV285" s="3" t="e">
        <f>SUM(BV286:BV295)</f>
        <v>#DIV/0!</v>
      </c>
      <c r="BW285" s="3" t="e">
        <f>SUM(BW286:BW295)</f>
        <v>#DIV/0!</v>
      </c>
      <c r="BX285" s="3" t="e">
        <f>SUM(BX286:BX295)</f>
        <v>#DIV/0!</v>
      </c>
      <c r="BY285" s="3" t="e">
        <f>SUM(BY286:BY295)</f>
        <v>#DIV/0!</v>
      </c>
      <c r="BZ285" s="3" t="e">
        <f>SUM(BV285:BY285)</f>
        <v>#DIV/0!</v>
      </c>
      <c r="CA285" s="3" t="e">
        <f>SUM(CA286:CA295)</f>
        <v>#DIV/0!</v>
      </c>
      <c r="CB285" s="3" t="e">
        <f>SUM(CB286:CB295)</f>
        <v>#DIV/0!</v>
      </c>
      <c r="CC285" s="3" t="e">
        <f>SUM(CC286:CC295)</f>
        <v>#DIV/0!</v>
      </c>
      <c r="CD285" s="3" t="e">
        <f>SUM(CD286:CD295)</f>
        <v>#DIV/0!</v>
      </c>
      <c r="CE285" s="3" t="e">
        <f>SUM(CA285:CD285)</f>
        <v>#DIV/0!</v>
      </c>
      <c r="CF285" s="3" t="e">
        <f>SUM(CF286:CF295)</f>
        <v>#DIV/0!</v>
      </c>
      <c r="CG285" s="3" t="e">
        <f>SUM(CG286:CG295)</f>
        <v>#DIV/0!</v>
      </c>
      <c r="CH285" s="3" t="e">
        <f>SUM(CH286:CH295)</f>
        <v>#DIV/0!</v>
      </c>
      <c r="CI285" s="3" t="e">
        <f>SUM(CI286:CI295)</f>
        <v>#DIV/0!</v>
      </c>
      <c r="CJ285" s="3" t="e">
        <f>SUM(CF285:CI285)</f>
        <v>#DIV/0!</v>
      </c>
      <c r="CK285" s="3" t="e">
        <f>SUM(CK286:CK295)</f>
        <v>#DIV/0!</v>
      </c>
      <c r="CL285" s="3" t="e">
        <f>SUM(CL286:CL295)</f>
        <v>#DIV/0!</v>
      </c>
      <c r="CM285" s="3" t="e">
        <f>SUM(CM286:CM295)</f>
        <v>#DIV/0!</v>
      </c>
      <c r="CN285" s="3" t="e">
        <f>SUM(CN286:CN295)</f>
        <v>#DIV/0!</v>
      </c>
      <c r="CO285" s="3" t="e">
        <f>SUM(CK285:CN285)</f>
        <v>#DIV/0!</v>
      </c>
      <c r="CP285" s="3" t="e">
        <f>SUM(CP286:CP295)</f>
        <v>#DIV/0!</v>
      </c>
      <c r="CQ285" s="3" t="e">
        <f>SUM(CQ286:CQ295)</f>
        <v>#DIV/0!</v>
      </c>
      <c r="CR285" s="3" t="e">
        <f>SUM(CR286:CR295)</f>
        <v>#DIV/0!</v>
      </c>
      <c r="CS285" s="3" t="e">
        <f>SUM(CS286:CS295)</f>
        <v>#DIV/0!</v>
      </c>
      <c r="CT285" s="3" t="e">
        <f>SUM(CP285:CS285)</f>
        <v>#DIV/0!</v>
      </c>
      <c r="CU285" s="3" t="e">
        <f>SUM(CU286:CU295)</f>
        <v>#DIV/0!</v>
      </c>
      <c r="CV285" s="3" t="e">
        <f>SUM(CV286:CV295)</f>
        <v>#DIV/0!</v>
      </c>
      <c r="CW285" s="3" t="e">
        <f>SUM(CW286:CW295)</f>
        <v>#DIV/0!</v>
      </c>
      <c r="CX285" s="3" t="e">
        <f>SUM(CX286:CX295)</f>
        <v>#DIV/0!</v>
      </c>
      <c r="CY285" s="3" t="e">
        <f>SUM(CU285:CX285)</f>
        <v>#DIV/0!</v>
      </c>
    </row>
    <row r="286" hidden="1" outlineLevel="1">
      <c r="C286" s="29" t="inlineStr">
        <is>
          <t>Accounts receivable</t>
        </is>
      </c>
      <c r="D286" s="3" t="n"/>
      <c r="E286" s="3">
        <f>(E151-D151)*-1</f>
        <v>69.87388369</v>
      </c>
      <c r="F286" s="3">
        <f>(F151-E151)*-1</f>
        <v>-14.6834843500001</v>
      </c>
      <c r="G286" s="3">
        <f>(G151-F151)*-1</f>
        <v>-183.56697975</v>
      </c>
      <c r="H286" s="3">
        <f>SUM(D286:G286)</f>
        <v>-128.37658041</v>
      </c>
      <c r="I286" s="3">
        <f>(I151-H151)*-1</f>
        <v>125.25857134</v>
      </c>
      <c r="J286" s="3">
        <f>(J151-I151)*-1</f>
        <v>-81.65305138</v>
      </c>
      <c r="K286" s="3">
        <f>(K151-J151)*-1</f>
        <v>21.3011118199998</v>
      </c>
      <c r="L286" s="3">
        <f>(L151-K151)*-1</f>
        <v>-186.42130016</v>
      </c>
      <c r="M286" s="3">
        <f>SUM(I286:L286)</f>
        <v>-121.51466838</v>
      </c>
      <c r="N286" s="3">
        <f>(N151-M151)*-1</f>
        <v>108.39314788</v>
      </c>
      <c r="O286" s="3">
        <f>(O151-N151)*-1</f>
        <v>-68.1239462</v>
      </c>
      <c r="P286" s="3">
        <f>(P151-O151)*-1</f>
        <v>44.69608168</v>
      </c>
      <c r="Q286" s="3">
        <f>(Q151-P151)*-1</f>
        <v>-216.98524338</v>
      </c>
      <c r="R286" s="3">
        <f>SUM(N286:Q286)</f>
        <v>-132.01996002</v>
      </c>
      <c r="S286" s="3">
        <f>(S151-R151)*-1</f>
        <v>148.31620881</v>
      </c>
      <c r="T286" s="3">
        <f>(T151-S151)*-1</f>
        <v>-88.2864873000001</v>
      </c>
      <c r="U286" s="3">
        <f>(U151-T151)*-1</f>
        <v>44.89851715</v>
      </c>
      <c r="V286" s="3">
        <f>(V151-U151)*-1</f>
        <v>-271.96337927</v>
      </c>
      <c r="W286" s="3">
        <f>SUM(S286:V286)</f>
        <v>-167.03514061</v>
      </c>
      <c r="X286" s="3">
        <f>(X151-W151)*-1</f>
        <v>183.15388812</v>
      </c>
      <c r="Y286" s="3">
        <f>(Y151-X151)*-1</f>
        <v>-87.0064214400001</v>
      </c>
      <c r="Z286" s="3">
        <f>(Z151-Y151)*-1</f>
        <v>70.5732907300003</v>
      </c>
      <c r="AA286" s="3">
        <f>(AA151-Z151)*-1</f>
        <v>-291.0965236</v>
      </c>
      <c r="AB286" s="3">
        <f>SUM(X286:AA286)</f>
        <v>-124.37576619</v>
      </c>
      <c r="AC286" s="3">
        <f>(AC151-AB151)*-1</f>
        <v>204.17835755</v>
      </c>
      <c r="AD286" s="3">
        <f>(AD151-AC151)*-1</f>
        <v>-34.2481139700002</v>
      </c>
      <c r="AE286" s="3">
        <f>(AE151-AD151)*-1</f>
        <v>-35.3781279699999</v>
      </c>
      <c r="AF286" s="3">
        <f>(AF151-AE151)*-1</f>
        <v>-168.94540321</v>
      </c>
      <c r="AG286" s="3">
        <f>SUM(AC286:AF286)</f>
        <v>-34.3932876000001</v>
      </c>
      <c r="AH286" s="3">
        <f>(AH151-AG151)*-1</f>
        <v>90.51637857</v>
      </c>
      <c r="AI286" s="3">
        <f>(AI151-AH151)*-1</f>
        <v>-116.44033481</v>
      </c>
      <c r="AJ286" s="3">
        <f>(AJ151-AI151)*-1</f>
        <v>1015.52535945</v>
      </c>
      <c r="AK286" s="3">
        <f>(AK151-AJ151)*-1</f>
        <v>0</v>
      </c>
      <c r="AL286" s="3">
        <f>SUM(AH286:AK286)</f>
        <v>989.60140321</v>
      </c>
      <c r="AM286" s="3">
        <f>(AM151-AL151)*-1</f>
        <v>0</v>
      </c>
      <c r="AN286" s="3">
        <f>(AN151-AM151)*-1</f>
        <v>0</v>
      </c>
      <c r="AO286" s="3">
        <f>(AO151-AN151)*-1</f>
        <v>0</v>
      </c>
      <c r="AP286" s="3">
        <f>(AP151-AO151)*-1</f>
        <v>0</v>
      </c>
      <c r="AQ286" s="3">
        <f>SUM(AM286:AP286)</f>
        <v>0</v>
      </c>
      <c r="AR286" s="3">
        <f>(AR151-AQ151)*-1</f>
        <v>0</v>
      </c>
      <c r="AS286" s="3">
        <f>(AS151-AR151)*-1</f>
        <v>0</v>
      </c>
      <c r="AT286" s="3">
        <f>(AT151-AS151)*-1</f>
        <v>0</v>
      </c>
      <c r="AU286" s="3">
        <f>(AU151-AT151)*-1</f>
        <v>0</v>
      </c>
      <c r="AV286" s="3">
        <f>SUM(AR286:AU286)</f>
        <v>0</v>
      </c>
      <c r="AW286" s="3">
        <f>(AW151-AV151)*-1</f>
        <v>0</v>
      </c>
      <c r="AX286" s="3">
        <f>(AX151-AW151)*-1</f>
        <v>0</v>
      </c>
      <c r="AY286" s="3">
        <f>(AY151-AX151)*-1</f>
        <v>0</v>
      </c>
      <c r="AZ286" s="3">
        <f>(AZ151-AY151)*-1</f>
        <v>0</v>
      </c>
      <c r="BA286" s="3">
        <f>SUM(AW286:AZ286)</f>
        <v>0</v>
      </c>
      <c r="BB286" s="3">
        <f>(BB151-BA151)*-1</f>
        <v>0</v>
      </c>
      <c r="BC286" s="3">
        <f>(BC151-BB151)*-1</f>
        <v>0</v>
      </c>
      <c r="BD286" s="3">
        <f>(BD151-BC151)*-1</f>
        <v>0</v>
      </c>
      <c r="BE286" s="3">
        <f>(BE151-BD151)*-1</f>
        <v>0</v>
      </c>
      <c r="BF286" s="3">
        <f>SUM(BB286:BE286)</f>
        <v>0</v>
      </c>
      <c r="BG286" s="3">
        <f>(BG151-BF151)*-1</f>
        <v>0</v>
      </c>
      <c r="BH286" s="3">
        <f>(BH151-BG151)*-1</f>
        <v>0</v>
      </c>
      <c r="BI286" s="3">
        <f>(BI151-BH151)*-1</f>
        <v>0</v>
      </c>
      <c r="BJ286" s="3">
        <f>(BJ151-BI151)*-1</f>
        <v>0</v>
      </c>
      <c r="BK286" s="3">
        <f>SUM(BG286:BJ286)</f>
        <v>0</v>
      </c>
      <c r="BL286" s="3">
        <f>(BL151-BK151)*-1</f>
        <v>0</v>
      </c>
      <c r="BM286" s="3">
        <f>(BM151-BL151)*-1</f>
        <v>0</v>
      </c>
      <c r="BN286" s="3">
        <f>(BN151-BM151)*-1</f>
        <v>0</v>
      </c>
      <c r="BO286" s="3">
        <f>(BO151-BN151)*-1</f>
        <v>0</v>
      </c>
      <c r="BP286" s="3">
        <f>SUM(BL286:BO286)</f>
        <v>0</v>
      </c>
      <c r="BQ286" s="3">
        <f>(BQ151-BP151)*-1</f>
        <v>0</v>
      </c>
      <c r="BR286" s="3">
        <f>(BR151-BQ151)*-1</f>
        <v>0</v>
      </c>
      <c r="BS286" s="3">
        <f>(BS151-BR151)*-1</f>
        <v>0</v>
      </c>
      <c r="BT286" s="3">
        <f>(BT151-BS151)*-1</f>
        <v>0</v>
      </c>
      <c r="BU286" s="3">
        <f>SUM(BQ286:BT286)</f>
        <v>0</v>
      </c>
      <c r="BV286" s="3">
        <f>(BV151-BU151)*-1</f>
        <v>0</v>
      </c>
      <c r="BW286" s="3">
        <f>(BW151-BV151)*-1</f>
        <v>0</v>
      </c>
      <c r="BX286" s="3">
        <f>(BX151-BW151)*-1</f>
        <v>0</v>
      </c>
      <c r="BY286" s="3">
        <f>(BY151-BX151)*-1</f>
        <v>0</v>
      </c>
      <c r="BZ286" s="3">
        <f>SUM(BV286:BY286)</f>
        <v>0</v>
      </c>
      <c r="CA286" s="3">
        <f>(CA151-BZ151)*-1</f>
        <v>0</v>
      </c>
      <c r="CB286" s="3">
        <f>(CB151-CA151)*-1</f>
        <v>0</v>
      </c>
      <c r="CC286" s="3">
        <f>(CC151-CB151)*-1</f>
        <v>0</v>
      </c>
      <c r="CD286" s="3">
        <f>(CD151-CC151)*-1</f>
        <v>0</v>
      </c>
      <c r="CE286" s="3">
        <f>SUM(CA286:CD286)</f>
        <v>0</v>
      </c>
      <c r="CF286" s="3">
        <f>(CF151-CE151)*-1</f>
        <v>0</v>
      </c>
      <c r="CG286" s="3">
        <f>(CG151-CF151)*-1</f>
        <v>0</v>
      </c>
      <c r="CH286" s="3">
        <f>(CH151-CG151)*-1</f>
        <v>0</v>
      </c>
      <c r="CI286" s="3">
        <f>(CI151-CH151)*-1</f>
        <v>0</v>
      </c>
      <c r="CJ286" s="3">
        <f>SUM(CF286:CI286)</f>
        <v>0</v>
      </c>
      <c r="CK286" s="3">
        <f>(CK151-CJ151)*-1</f>
        <v>0</v>
      </c>
      <c r="CL286" s="3">
        <f>(CL151-CK151)*-1</f>
        <v>0</v>
      </c>
      <c r="CM286" s="3">
        <f>(CM151-CL151)*-1</f>
        <v>0</v>
      </c>
      <c r="CN286" s="3">
        <f>(CN151-CM151)*-1</f>
        <v>0</v>
      </c>
      <c r="CO286" s="3">
        <f>SUM(CK286:CN286)</f>
        <v>0</v>
      </c>
      <c r="CP286" s="3">
        <f>(CP151-CO151)*-1</f>
        <v>0</v>
      </c>
      <c r="CQ286" s="3">
        <f>(CQ151-CP151)*-1</f>
        <v>0</v>
      </c>
      <c r="CR286" s="3">
        <f>(CR151-CQ151)*-1</f>
        <v>0</v>
      </c>
      <c r="CS286" s="3">
        <f>(CS151-CR151)*-1</f>
        <v>0</v>
      </c>
      <c r="CT286" s="3">
        <f>SUM(CP286:CS286)</f>
        <v>0</v>
      </c>
      <c r="CU286" s="3">
        <f>(CU151-CT151)*-1</f>
        <v>0</v>
      </c>
      <c r="CV286" s="3">
        <f>(CV151-CU151)*-1</f>
        <v>0</v>
      </c>
      <c r="CW286" s="3">
        <f>(CW151-CV151)*-1</f>
        <v>0</v>
      </c>
      <c r="CX286" s="3">
        <f>(CX151-CW151)*-1</f>
        <v>0</v>
      </c>
      <c r="CY286" s="3">
        <f>SUM(CU286:CX286)</f>
        <v>0</v>
      </c>
    </row>
    <row r="287" hidden="1" outlineLevel="1">
      <c r="C287" s="29" t="inlineStr">
        <is>
          <t>Inventories</t>
        </is>
      </c>
      <c r="D287" s="3" t="n"/>
      <c r="E287" s="3">
        <f>(E155-D155)*-1</f>
        <v>23.7643601056335</v>
      </c>
      <c r="F287" s="3">
        <f>(F155-E155)*-1</f>
        <v>-6.8503972563849</v>
      </c>
      <c r="G287" s="3">
        <f>(G155-F155)*-1</f>
        <v>2.19667048306189</v>
      </c>
      <c r="H287" s="3">
        <f>SUM(D287:G287)</f>
        <v>19.1106333323105</v>
      </c>
      <c r="I287" s="3">
        <f>(I155-H155)*-1</f>
        <v>-45.4238330394394</v>
      </c>
      <c r="J287" s="3">
        <f>(J155-I155)*-1</f>
        <v>-33.1103746504645</v>
      </c>
      <c r="K287" s="3">
        <f>(K155-J155)*-1</f>
        <v>-81.9805036892107</v>
      </c>
      <c r="L287" s="3">
        <f>(L155-K155)*-1</f>
        <v>-1.43995792060571</v>
      </c>
      <c r="M287" s="3">
        <f>SUM(I287:L287)</f>
        <v>-161.95466929972</v>
      </c>
      <c r="N287" s="3">
        <f>(N155-M155)*-1</f>
        <v>-92.9688337808259</v>
      </c>
      <c r="O287" s="3">
        <f>(O155-N155)*-1</f>
        <v>-25.9828287997008</v>
      </c>
      <c r="P287" s="3">
        <f>(P155-O155)*-1</f>
        <v>-128.660467553226</v>
      </c>
      <c r="Q287" s="3">
        <f>(Q155-P155)*-1</f>
        <v>65.03933494056</v>
      </c>
      <c r="R287" s="3">
        <f>SUM(N287:Q287)</f>
        <v>-182.572795193193</v>
      </c>
      <c r="S287" s="3">
        <f>(S155-R155)*-1</f>
        <v>-93.0161688393972</v>
      </c>
      <c r="T287" s="3">
        <f>(T155-S155)*-1</f>
        <v>-48.6368716679312</v>
      </c>
      <c r="U287" s="3">
        <f>(U155-T155)*-1</f>
        <v>-25.0801922814482</v>
      </c>
      <c r="V287" s="3">
        <f>(V155-U155)*-1</f>
        <v>93.7386454778883</v>
      </c>
      <c r="W287" s="3">
        <f>SUM(S287:V287)</f>
        <v>-72.9945873108883</v>
      </c>
      <c r="X287" s="3">
        <f>(X155-W155)*-1</f>
        <v>-58.3084942097368</v>
      </c>
      <c r="Y287" s="3">
        <f>(Y155-X155)*-1</f>
        <v>-43.9198738696716</v>
      </c>
      <c r="Z287" s="3">
        <f>(Z155-Y155)*-1</f>
        <v>-171.251764549101</v>
      </c>
      <c r="AA287" s="3">
        <f>(AA155-Z155)*-1</f>
        <v>-276.39118169</v>
      </c>
      <c r="AB287" s="3">
        <f>SUM(X287:AA287)</f>
        <v>-549.871314318509</v>
      </c>
      <c r="AC287" s="3">
        <f>(AC155-AB155)*-1</f>
        <v>-171.46112871</v>
      </c>
      <c r="AD287" s="3">
        <f>(AD155-AC155)*-1</f>
        <v>7.44347937000021</v>
      </c>
      <c r="AE287" s="3">
        <f>(AE155-AD155)*-1</f>
        <v>-126.90761787</v>
      </c>
      <c r="AF287" s="3">
        <f>(AF155-AE155)*-1</f>
        <v>144.57659074</v>
      </c>
      <c r="AG287" s="3">
        <f>SUM(AC287:AF287)</f>
        <v>-146.34867647</v>
      </c>
      <c r="AH287" s="3">
        <f>(AH155-AG155)*-1</f>
        <v>-71.3594927599997</v>
      </c>
      <c r="AI287" s="3">
        <f>(AI155-AH155)*-1</f>
        <v>12.3233885299999</v>
      </c>
      <c r="AJ287" s="3">
        <f>(AJ155-AI155)*-1</f>
        <v>1537.96251349</v>
      </c>
      <c r="AK287" s="3">
        <f>(AK155-AJ155)*-1</f>
        <v>0</v>
      </c>
      <c r="AL287" s="3">
        <f>SUM(AH287:AK287)</f>
        <v>1478.92640926</v>
      </c>
      <c r="AM287" s="3">
        <f>(AM155-AL155)*-1</f>
        <v>0</v>
      </c>
      <c r="AN287" s="3">
        <f>(AN155-AM155)*-1</f>
        <v>0</v>
      </c>
      <c r="AO287" s="3">
        <f>(AO155-AN155)*-1</f>
        <v>0</v>
      </c>
      <c r="AP287" s="3">
        <f>(AP155-AO155)*-1</f>
        <v>0</v>
      </c>
      <c r="AQ287" s="3">
        <f>SUM(AM287:AP287)</f>
        <v>0</v>
      </c>
      <c r="AR287" s="3">
        <f>(AR155-AQ155)*-1</f>
        <v>0</v>
      </c>
      <c r="AS287" s="3">
        <f>(AS155-AR155)*-1</f>
        <v>0</v>
      </c>
      <c r="AT287" s="3">
        <f>(AT155-AS155)*-1</f>
        <v>0</v>
      </c>
      <c r="AU287" s="3">
        <f>(AU155-AT155)*-1</f>
        <v>0</v>
      </c>
      <c r="AV287" s="3">
        <f>SUM(AR287:AU287)</f>
        <v>0</v>
      </c>
      <c r="AW287" s="3">
        <f>(AW155-AV155)*-1</f>
        <v>0</v>
      </c>
      <c r="AX287" s="3">
        <f>(AX155-AW155)*-1</f>
        <v>0</v>
      </c>
      <c r="AY287" s="3">
        <f>(AY155-AX155)*-1</f>
        <v>0</v>
      </c>
      <c r="AZ287" s="3">
        <f>(AZ155-AY155)*-1</f>
        <v>0</v>
      </c>
      <c r="BA287" s="3">
        <f>SUM(AW287:AZ287)</f>
        <v>0</v>
      </c>
      <c r="BB287" s="3">
        <f>(BB155-BA155)*-1</f>
        <v>0</v>
      </c>
      <c r="BC287" s="3">
        <f>(BC155-BB155)*-1</f>
        <v>0</v>
      </c>
      <c r="BD287" s="3">
        <f>(BD155-BC155)*-1</f>
        <v>0</v>
      </c>
      <c r="BE287" s="3">
        <f>(BE155-BD155)*-1</f>
        <v>0</v>
      </c>
      <c r="BF287" s="3">
        <f>SUM(BB287:BE287)</f>
        <v>0</v>
      </c>
      <c r="BG287" s="3">
        <f>(BG155-BF155)*-1</f>
        <v>0</v>
      </c>
      <c r="BH287" s="3">
        <f>(BH155-BG155)*-1</f>
        <v>0</v>
      </c>
      <c r="BI287" s="3">
        <f>(BI155-BH155)*-1</f>
        <v>0</v>
      </c>
      <c r="BJ287" s="3">
        <f>(BJ155-BI155)*-1</f>
        <v>0</v>
      </c>
      <c r="BK287" s="3">
        <f>SUM(BG287:BJ287)</f>
        <v>0</v>
      </c>
      <c r="BL287" s="3">
        <f>(BL155-BK155)*-1</f>
        <v>0</v>
      </c>
      <c r="BM287" s="3">
        <f>(BM155-BL155)*-1</f>
        <v>0</v>
      </c>
      <c r="BN287" s="3">
        <f>(BN155-BM155)*-1</f>
        <v>0</v>
      </c>
      <c r="BO287" s="3">
        <f>(BO155-BN155)*-1</f>
        <v>0</v>
      </c>
      <c r="BP287" s="3">
        <f>SUM(BL287:BO287)</f>
        <v>0</v>
      </c>
      <c r="BQ287" s="3">
        <f>(BQ155-BP155)*-1</f>
        <v>0</v>
      </c>
      <c r="BR287" s="3">
        <f>(BR155-BQ155)*-1</f>
        <v>0</v>
      </c>
      <c r="BS287" s="3">
        <f>(BS155-BR155)*-1</f>
        <v>0</v>
      </c>
      <c r="BT287" s="3">
        <f>(BT155-BS155)*-1</f>
        <v>0</v>
      </c>
      <c r="BU287" s="3">
        <f>SUM(BQ287:BT287)</f>
        <v>0</v>
      </c>
      <c r="BV287" s="3">
        <f>(BV155-BU155)*-1</f>
        <v>0</v>
      </c>
      <c r="BW287" s="3">
        <f>(BW155-BV155)*-1</f>
        <v>0</v>
      </c>
      <c r="BX287" s="3">
        <f>(BX155-BW155)*-1</f>
        <v>0</v>
      </c>
      <c r="BY287" s="3">
        <f>(BY155-BX155)*-1</f>
        <v>0</v>
      </c>
      <c r="BZ287" s="3">
        <f>SUM(BV287:BY287)</f>
        <v>0</v>
      </c>
      <c r="CA287" s="3">
        <f>(CA155-BZ155)*-1</f>
        <v>0</v>
      </c>
      <c r="CB287" s="3">
        <f>(CB155-CA155)*-1</f>
        <v>0</v>
      </c>
      <c r="CC287" s="3">
        <f>(CC155-CB155)*-1</f>
        <v>0</v>
      </c>
      <c r="CD287" s="3">
        <f>(CD155-CC155)*-1</f>
        <v>0</v>
      </c>
      <c r="CE287" s="3">
        <f>SUM(CA287:CD287)</f>
        <v>0</v>
      </c>
      <c r="CF287" s="3">
        <f>(CF155-CE155)*-1</f>
        <v>0</v>
      </c>
      <c r="CG287" s="3">
        <f>(CG155-CF155)*-1</f>
        <v>0</v>
      </c>
      <c r="CH287" s="3">
        <f>(CH155-CG155)*-1</f>
        <v>0</v>
      </c>
      <c r="CI287" s="3">
        <f>(CI155-CH155)*-1</f>
        <v>0</v>
      </c>
      <c r="CJ287" s="3">
        <f>SUM(CF287:CI287)</f>
        <v>0</v>
      </c>
      <c r="CK287" s="3">
        <f>(CK155-CJ155)*-1</f>
        <v>0</v>
      </c>
      <c r="CL287" s="3">
        <f>(CL155-CK155)*-1</f>
        <v>0</v>
      </c>
      <c r="CM287" s="3">
        <f>(CM155-CL155)*-1</f>
        <v>0</v>
      </c>
      <c r="CN287" s="3">
        <f>(CN155-CM155)*-1</f>
        <v>0</v>
      </c>
      <c r="CO287" s="3">
        <f>SUM(CK287:CN287)</f>
        <v>0</v>
      </c>
      <c r="CP287" s="3">
        <f>(CP155-CO155)*-1</f>
        <v>0</v>
      </c>
      <c r="CQ287" s="3">
        <f>(CQ155-CP155)*-1</f>
        <v>0</v>
      </c>
      <c r="CR287" s="3">
        <f>(CR155-CQ155)*-1</f>
        <v>0</v>
      </c>
      <c r="CS287" s="3">
        <f>(CS155-CR155)*-1</f>
        <v>0</v>
      </c>
      <c r="CT287" s="3">
        <f>SUM(CP287:CS287)</f>
        <v>0</v>
      </c>
      <c r="CU287" s="3">
        <f>(CU155-CT155)*-1</f>
        <v>0</v>
      </c>
      <c r="CV287" s="3">
        <f>(CV155-CU155)*-1</f>
        <v>0</v>
      </c>
      <c r="CW287" s="3">
        <f>(CW155-CV155)*-1</f>
        <v>0</v>
      </c>
      <c r="CX287" s="3">
        <f>(CX155-CW155)*-1</f>
        <v>0</v>
      </c>
      <c r="CY287" s="3">
        <f>SUM(CU287:CX287)</f>
        <v>0</v>
      </c>
    </row>
    <row r="288" hidden="1" outlineLevel="1">
      <c r="C288" s="29" t="inlineStr">
        <is>
          <t>Deferred income taxes</t>
        </is>
      </c>
      <c r="D288" s="3" t="n"/>
      <c r="E288" s="3">
        <f>(E159-D159)*-1</f>
        <v>0</v>
      </c>
      <c r="F288" s="3">
        <f>(F159-E159)*-1</f>
        <v>0</v>
      </c>
      <c r="G288" s="3">
        <f>(G159-F159)*-1</f>
        <v>0</v>
      </c>
      <c r="H288" s="3">
        <f>SUM(D288:G288)</f>
        <v>0</v>
      </c>
      <c r="I288" s="3">
        <f>(I159-H159)*-1</f>
        <v>0</v>
      </c>
      <c r="J288" s="3">
        <f>(J159-I159)*-1</f>
        <v>0</v>
      </c>
      <c r="K288" s="3">
        <f>(K159-J159)*-1</f>
        <v>0</v>
      </c>
      <c r="L288" s="3">
        <f>(L159-K159)*-1</f>
        <v>0</v>
      </c>
      <c r="M288" s="3">
        <f>SUM(I288:L288)</f>
        <v>0</v>
      </c>
      <c r="N288" s="3">
        <f>(N159-M159)*-1</f>
        <v>0</v>
      </c>
      <c r="O288" s="3">
        <f>(O159-N159)*-1</f>
        <v>0</v>
      </c>
      <c r="P288" s="3">
        <f>(P159-O159)*-1</f>
        <v>0</v>
      </c>
      <c r="Q288" s="3">
        <f>(Q159-P159)*-1</f>
        <v>0</v>
      </c>
      <c r="R288" s="3">
        <f>SUM(N288:Q288)</f>
        <v>0</v>
      </c>
      <c r="S288" s="3">
        <f>(S159-R159)*-1</f>
        <v>0</v>
      </c>
      <c r="T288" s="3">
        <f>(T159-S159)*-1</f>
        <v>0</v>
      </c>
      <c r="U288" s="3">
        <f>(U159-T159)*-1</f>
        <v>0</v>
      </c>
      <c r="V288" s="3">
        <f>(V159-U159)*-1</f>
        <v>0</v>
      </c>
      <c r="W288" s="3">
        <f>SUM(S288:V288)</f>
        <v>0</v>
      </c>
      <c r="X288" s="3">
        <f>(X159-W159)*-1</f>
        <v>0</v>
      </c>
      <c r="Y288" s="3">
        <f>(Y159-X159)*-1</f>
        <v>0</v>
      </c>
      <c r="Z288" s="3">
        <f>(Z159-Y159)*-1</f>
        <v>0</v>
      </c>
      <c r="AA288" s="3">
        <f>(AA159-Z159)*-1</f>
        <v>0</v>
      </c>
      <c r="AB288" s="3">
        <f>SUM(X288:AA288)</f>
        <v>0</v>
      </c>
      <c r="AC288" s="3">
        <f>(AC159-AB159)*-1</f>
        <v>0</v>
      </c>
      <c r="AD288" s="3">
        <f>(AD159-AC159)*-1</f>
        <v>0</v>
      </c>
      <c r="AE288" s="3">
        <f>(AE159-AD159)*-1</f>
        <v>0</v>
      </c>
      <c r="AF288" s="3">
        <f>(AF159-AE159)*-1</f>
        <v>0</v>
      </c>
      <c r="AG288" s="3">
        <f>SUM(AC288:AF288)</f>
        <v>0</v>
      </c>
      <c r="AH288" s="3">
        <f>(AH159-AG159)*-1</f>
        <v>0</v>
      </c>
      <c r="AI288" s="3">
        <f>(AI159-AH159)*-1</f>
        <v>0</v>
      </c>
      <c r="AJ288" s="3">
        <f>(AJ159-AI159)*-1</f>
        <v>0</v>
      </c>
      <c r="AK288" s="3">
        <f>(AK159-AJ159)*-1</f>
        <v>0</v>
      </c>
      <c r="AL288" s="3">
        <f>SUM(AH288:AK288)</f>
        <v>0</v>
      </c>
      <c r="AM288" s="3">
        <f>(AM159-AL159)*-1</f>
        <v>0</v>
      </c>
      <c r="AN288" s="3">
        <f>(AN159-AM159)*-1</f>
        <v>0</v>
      </c>
      <c r="AO288" s="3">
        <f>(AO159-AN159)*-1</f>
        <v>0</v>
      </c>
      <c r="AP288" s="3">
        <f>(AP159-AO159)*-1</f>
        <v>0</v>
      </c>
      <c r="AQ288" s="3">
        <f>SUM(AM288:AP288)</f>
        <v>0</v>
      </c>
      <c r="AR288" s="3">
        <f>(AR159-AQ159)*-1</f>
        <v>0</v>
      </c>
      <c r="AS288" s="3">
        <f>(AS159-AR159)*-1</f>
        <v>0</v>
      </c>
      <c r="AT288" s="3">
        <f>(AT159-AS159)*-1</f>
        <v>0</v>
      </c>
      <c r="AU288" s="3">
        <f>(AU159-AT159)*-1</f>
        <v>0</v>
      </c>
      <c r="AV288" s="3">
        <f>SUM(AR288:AU288)</f>
        <v>0</v>
      </c>
      <c r="AW288" s="3">
        <f>(AW159-AV159)*-1</f>
        <v>0</v>
      </c>
      <c r="AX288" s="3">
        <f>(AX159-AW159)*-1</f>
        <v>0</v>
      </c>
      <c r="AY288" s="3">
        <f>(AY159-AX159)*-1</f>
        <v>0</v>
      </c>
      <c r="AZ288" s="3">
        <f>(AZ159-AY159)*-1</f>
        <v>0</v>
      </c>
      <c r="BA288" s="3">
        <f>SUM(AW288:AZ288)</f>
        <v>0</v>
      </c>
      <c r="BB288" s="3">
        <f>(BB159-BA159)*-1</f>
        <v>0</v>
      </c>
      <c r="BC288" s="3">
        <f>(BC159-BB159)*-1</f>
        <v>0</v>
      </c>
      <c r="BD288" s="3">
        <f>(BD159-BC159)*-1</f>
        <v>0</v>
      </c>
      <c r="BE288" s="3">
        <f>(BE159-BD159)*-1</f>
        <v>0</v>
      </c>
      <c r="BF288" s="3">
        <f>SUM(BB288:BE288)</f>
        <v>0</v>
      </c>
      <c r="BG288" s="3">
        <f>(BG159-BF159)*-1</f>
        <v>0</v>
      </c>
      <c r="BH288" s="3">
        <f>(BH159-BG159)*-1</f>
        <v>0</v>
      </c>
      <c r="BI288" s="3">
        <f>(BI159-BH159)*-1</f>
        <v>0</v>
      </c>
      <c r="BJ288" s="3">
        <f>(BJ159-BI159)*-1</f>
        <v>0</v>
      </c>
      <c r="BK288" s="3">
        <f>SUM(BG288:BJ288)</f>
        <v>0</v>
      </c>
      <c r="BL288" s="3">
        <f>(BL159-BK159)*-1</f>
        <v>0</v>
      </c>
      <c r="BM288" s="3">
        <f>(BM159-BL159)*-1</f>
        <v>0</v>
      </c>
      <c r="BN288" s="3">
        <f>(BN159-BM159)*-1</f>
        <v>0</v>
      </c>
      <c r="BO288" s="3">
        <f>(BO159-BN159)*-1</f>
        <v>0</v>
      </c>
      <c r="BP288" s="3">
        <f>SUM(BL288:BO288)</f>
        <v>0</v>
      </c>
      <c r="BQ288" s="3">
        <f>(BQ159-BP159)*-1</f>
        <v>0</v>
      </c>
      <c r="BR288" s="3">
        <f>(BR159-BQ159)*-1</f>
        <v>0</v>
      </c>
      <c r="BS288" s="3">
        <f>(BS159-BR159)*-1</f>
        <v>0</v>
      </c>
      <c r="BT288" s="3">
        <f>(BT159-BS159)*-1</f>
        <v>0</v>
      </c>
      <c r="BU288" s="3">
        <f>SUM(BQ288:BT288)</f>
        <v>0</v>
      </c>
      <c r="BV288" s="3">
        <f>(BV159-BU159)*-1</f>
        <v>0</v>
      </c>
      <c r="BW288" s="3">
        <f>(BW159-BV159)*-1</f>
        <v>0</v>
      </c>
      <c r="BX288" s="3">
        <f>(BX159-BW159)*-1</f>
        <v>0</v>
      </c>
      <c r="BY288" s="3">
        <f>(BY159-BX159)*-1</f>
        <v>0</v>
      </c>
      <c r="BZ288" s="3">
        <f>SUM(BV288:BY288)</f>
        <v>0</v>
      </c>
      <c r="CA288" s="3">
        <f>(CA159-BZ159)*-1</f>
        <v>0</v>
      </c>
      <c r="CB288" s="3">
        <f>(CB159-CA159)*-1</f>
        <v>0</v>
      </c>
      <c r="CC288" s="3">
        <f>(CC159-CB159)*-1</f>
        <v>0</v>
      </c>
      <c r="CD288" s="3">
        <f>(CD159-CC159)*-1</f>
        <v>0</v>
      </c>
      <c r="CE288" s="3">
        <f>SUM(CA288:CD288)</f>
        <v>0</v>
      </c>
      <c r="CF288" s="3">
        <f>(CF159-CE159)*-1</f>
        <v>0</v>
      </c>
      <c r="CG288" s="3">
        <f>(CG159-CF159)*-1</f>
        <v>0</v>
      </c>
      <c r="CH288" s="3">
        <f>(CH159-CG159)*-1</f>
        <v>0</v>
      </c>
      <c r="CI288" s="3">
        <f>(CI159-CH159)*-1</f>
        <v>0</v>
      </c>
      <c r="CJ288" s="3">
        <f>SUM(CF288:CI288)</f>
        <v>0</v>
      </c>
      <c r="CK288" s="3">
        <f>(CK159-CJ159)*-1</f>
        <v>0</v>
      </c>
      <c r="CL288" s="3">
        <f>(CL159-CK159)*-1</f>
        <v>0</v>
      </c>
      <c r="CM288" s="3">
        <f>(CM159-CL159)*-1</f>
        <v>0</v>
      </c>
      <c r="CN288" s="3">
        <f>(CN159-CM159)*-1</f>
        <v>0</v>
      </c>
      <c r="CO288" s="3">
        <f>SUM(CK288:CN288)</f>
        <v>0</v>
      </c>
      <c r="CP288" s="3">
        <f>(CP159-CO159)*-1</f>
        <v>0</v>
      </c>
      <c r="CQ288" s="3">
        <f>(CQ159-CP159)*-1</f>
        <v>0</v>
      </c>
      <c r="CR288" s="3">
        <f>(CR159-CQ159)*-1</f>
        <v>0</v>
      </c>
      <c r="CS288" s="3">
        <f>(CS159-CR159)*-1</f>
        <v>0</v>
      </c>
      <c r="CT288" s="3">
        <f>SUM(CP288:CS288)</f>
        <v>0</v>
      </c>
      <c r="CU288" s="3">
        <f>(CU159-CT159)*-1</f>
        <v>0</v>
      </c>
      <c r="CV288" s="3">
        <f>(CV159-CU159)*-1</f>
        <v>0</v>
      </c>
      <c r="CW288" s="3">
        <f>(CW159-CV159)*-1</f>
        <v>0</v>
      </c>
      <c r="CX288" s="3">
        <f>(CX159-CW159)*-1</f>
        <v>0</v>
      </c>
      <c r="CY288" s="3">
        <f>SUM(CU288:CX288)</f>
        <v>0</v>
      </c>
    </row>
    <row r="289" hidden="1" outlineLevel="1">
      <c r="C289" s="29" t="inlineStr">
        <is>
          <t>Prepaid expenses</t>
        </is>
      </c>
      <c r="D289" s="3" t="n"/>
      <c r="E289" s="3">
        <f>(E160-D160)*-1</f>
        <v>2.23652396</v>
      </c>
      <c r="F289" s="3">
        <f>(F160-E160)*-1</f>
        <v>2.22344357</v>
      </c>
      <c r="G289" s="3">
        <f>(G160-F160)*-1</f>
        <v>-0.155884439999999</v>
      </c>
      <c r="H289" s="3">
        <f>SUM(D289:G289)</f>
        <v>4.30408309</v>
      </c>
      <c r="I289" s="3">
        <f>(I160-H160)*-1</f>
        <v>-9.64845155</v>
      </c>
      <c r="J289" s="3">
        <f>(J160-I160)*-1</f>
        <v>-0.489976239999999</v>
      </c>
      <c r="K289" s="3">
        <f>(K160-J160)*-1</f>
        <v>1.15536624</v>
      </c>
      <c r="L289" s="3">
        <f>(L160-K160)*-1</f>
        <v>4.02189299</v>
      </c>
      <c r="M289" s="3">
        <f>SUM(I289:L289)</f>
        <v>-4.96116856</v>
      </c>
      <c r="N289" s="3">
        <f>(N160-M160)*-1</f>
        <v>-6.30151605</v>
      </c>
      <c r="O289" s="3">
        <f>(O160-N160)*-1</f>
        <v>0.896549460000001</v>
      </c>
      <c r="P289" s="3">
        <f>(P160-O160)*-1</f>
        <v>-0.66101959</v>
      </c>
      <c r="Q289" s="3">
        <f>(Q160-P160)*-1</f>
        <v>-2.17542675</v>
      </c>
      <c r="R289" s="3">
        <f>SUM(N289:Q289)</f>
        <v>-8.24141293</v>
      </c>
      <c r="S289" s="3">
        <f>(S160-R160)*-1</f>
        <v>1.5204984</v>
      </c>
      <c r="T289" s="3">
        <f>(T160-S160)*-1</f>
        <v>-3.19236506</v>
      </c>
      <c r="U289" s="3">
        <f>(U160-T160)*-1</f>
        <v>1.83616139</v>
      </c>
      <c r="V289" s="3">
        <f>(V160-U160)*-1</f>
        <v>-3.89794943</v>
      </c>
      <c r="W289" s="3">
        <f>SUM(S289:V289)</f>
        <v>-3.7336547</v>
      </c>
      <c r="X289" s="3">
        <f>(X160-W160)*-1</f>
        <v>0.993043119999996</v>
      </c>
      <c r="Y289" s="3">
        <f>(Y160-X160)*-1</f>
        <v>-0.428236139999996</v>
      </c>
      <c r="Z289" s="3">
        <f>(Z160-Y160)*-1</f>
        <v>1.74355159</v>
      </c>
      <c r="AA289" s="3">
        <f>(AA160-Z160)*-1</f>
        <v>-3.62544346000001</v>
      </c>
      <c r="AB289" s="3">
        <f>SUM(X289:AA289)</f>
        <v>-1.31708489000001</v>
      </c>
      <c r="AC289" s="3">
        <f>(AC160-AB160)*-1</f>
        <v>-8.28917221999999</v>
      </c>
      <c r="AD289" s="3">
        <f>(AD160-AC160)*-1</f>
        <v>-35.20445388</v>
      </c>
      <c r="AE289" s="3">
        <f>(AE160-AD160)*-1</f>
        <v>-21.66913591</v>
      </c>
      <c r="AF289" s="3">
        <f>(AF160-AE160)*-1</f>
        <v>57.72378953</v>
      </c>
      <c r="AG289" s="3">
        <f>SUM(AC289:AF289)</f>
        <v>-7.43897248</v>
      </c>
      <c r="AH289" s="3">
        <f>(AH160-AG160)*-1</f>
        <v>-22.96570468</v>
      </c>
      <c r="AI289" s="3">
        <f>(AI160-AH160)*-1</f>
        <v>14.88642695</v>
      </c>
      <c r="AJ289" s="3">
        <f>(AJ160-AI160)*-1</f>
        <v>0</v>
      </c>
      <c r="AK289" s="3">
        <f>(AK160-AJ160)*-1</f>
        <v>0</v>
      </c>
      <c r="AL289" s="3">
        <f>SUM(AH289:AK289)</f>
        <v>-8.07927772999999</v>
      </c>
      <c r="AM289" s="3">
        <f>(AM160-AL160)*-1</f>
        <v>0</v>
      </c>
      <c r="AN289" s="3">
        <f>(AN160-AM160)*-1</f>
        <v>0</v>
      </c>
      <c r="AO289" s="3">
        <f>(AO160-AN160)*-1</f>
        <v>0</v>
      </c>
      <c r="AP289" s="3">
        <f>(AP160-AO160)*-1</f>
        <v>0</v>
      </c>
      <c r="AQ289" s="3">
        <f>SUM(AM289:AP289)</f>
        <v>0</v>
      </c>
      <c r="AR289" s="3">
        <f>(AR160-AQ160)*-1</f>
        <v>0</v>
      </c>
      <c r="AS289" s="3">
        <f>(AS160-AR160)*-1</f>
        <v>0</v>
      </c>
      <c r="AT289" s="3">
        <f>(AT160-AS160)*-1</f>
        <v>0</v>
      </c>
      <c r="AU289" s="3">
        <f>(AU160-AT160)*-1</f>
        <v>0</v>
      </c>
      <c r="AV289" s="3">
        <f>SUM(AR289:AU289)</f>
        <v>0</v>
      </c>
      <c r="AW289" s="3">
        <f>(AW160-AV160)*-1</f>
        <v>0</v>
      </c>
      <c r="AX289" s="3">
        <f>(AX160-AW160)*-1</f>
        <v>0</v>
      </c>
      <c r="AY289" s="3">
        <f>(AY160-AX160)*-1</f>
        <v>0</v>
      </c>
      <c r="AZ289" s="3">
        <f>(AZ160-AY160)*-1</f>
        <v>0</v>
      </c>
      <c r="BA289" s="3">
        <f>SUM(AW289:AZ289)</f>
        <v>0</v>
      </c>
      <c r="BB289" s="3">
        <f>(BB160-BA160)*-1</f>
        <v>0</v>
      </c>
      <c r="BC289" s="3">
        <f>(BC160-BB160)*-1</f>
        <v>0</v>
      </c>
      <c r="BD289" s="3">
        <f>(BD160-BC160)*-1</f>
        <v>0</v>
      </c>
      <c r="BE289" s="3">
        <f>(BE160-BD160)*-1</f>
        <v>0</v>
      </c>
      <c r="BF289" s="3">
        <f>SUM(BB289:BE289)</f>
        <v>0</v>
      </c>
      <c r="BG289" s="3">
        <f>(BG160-BF160)*-1</f>
        <v>0</v>
      </c>
      <c r="BH289" s="3">
        <f>(BH160-BG160)*-1</f>
        <v>0</v>
      </c>
      <c r="BI289" s="3">
        <f>(BI160-BH160)*-1</f>
        <v>0</v>
      </c>
      <c r="BJ289" s="3">
        <f>(BJ160-BI160)*-1</f>
        <v>0</v>
      </c>
      <c r="BK289" s="3">
        <f>SUM(BG289:BJ289)</f>
        <v>0</v>
      </c>
      <c r="BL289" s="3">
        <f>(BL160-BK160)*-1</f>
        <v>0</v>
      </c>
      <c r="BM289" s="3">
        <f>(BM160-BL160)*-1</f>
        <v>0</v>
      </c>
      <c r="BN289" s="3">
        <f>(BN160-BM160)*-1</f>
        <v>0</v>
      </c>
      <c r="BO289" s="3">
        <f>(BO160-BN160)*-1</f>
        <v>0</v>
      </c>
      <c r="BP289" s="3">
        <f>SUM(BL289:BO289)</f>
        <v>0</v>
      </c>
      <c r="BQ289" s="3">
        <f>(BQ160-BP160)*-1</f>
        <v>0</v>
      </c>
      <c r="BR289" s="3">
        <f>(BR160-BQ160)*-1</f>
        <v>0</v>
      </c>
      <c r="BS289" s="3">
        <f>(BS160-BR160)*-1</f>
        <v>0</v>
      </c>
      <c r="BT289" s="3">
        <f>(BT160-BS160)*-1</f>
        <v>0</v>
      </c>
      <c r="BU289" s="3">
        <f>SUM(BQ289:BT289)</f>
        <v>0</v>
      </c>
      <c r="BV289" s="3">
        <f>(BV160-BU160)*-1</f>
        <v>0</v>
      </c>
      <c r="BW289" s="3">
        <f>(BW160-BV160)*-1</f>
        <v>0</v>
      </c>
      <c r="BX289" s="3">
        <f>(BX160-BW160)*-1</f>
        <v>0</v>
      </c>
      <c r="BY289" s="3">
        <f>(BY160-BX160)*-1</f>
        <v>0</v>
      </c>
      <c r="BZ289" s="3">
        <f>SUM(BV289:BY289)</f>
        <v>0</v>
      </c>
      <c r="CA289" s="3">
        <f>(CA160-BZ160)*-1</f>
        <v>0</v>
      </c>
      <c r="CB289" s="3">
        <f>(CB160-CA160)*-1</f>
        <v>0</v>
      </c>
      <c r="CC289" s="3">
        <f>(CC160-CB160)*-1</f>
        <v>0</v>
      </c>
      <c r="CD289" s="3">
        <f>(CD160-CC160)*-1</f>
        <v>0</v>
      </c>
      <c r="CE289" s="3">
        <f>SUM(CA289:CD289)</f>
        <v>0</v>
      </c>
      <c r="CF289" s="3">
        <f>(CF160-CE160)*-1</f>
        <v>0</v>
      </c>
      <c r="CG289" s="3">
        <f>(CG160-CF160)*-1</f>
        <v>0</v>
      </c>
      <c r="CH289" s="3">
        <f>(CH160-CG160)*-1</f>
        <v>0</v>
      </c>
      <c r="CI289" s="3">
        <f>(CI160-CH160)*-1</f>
        <v>0</v>
      </c>
      <c r="CJ289" s="3">
        <f>SUM(CF289:CI289)</f>
        <v>0</v>
      </c>
      <c r="CK289" s="3">
        <f>(CK160-CJ160)*-1</f>
        <v>0</v>
      </c>
      <c r="CL289" s="3">
        <f>(CL160-CK160)*-1</f>
        <v>0</v>
      </c>
      <c r="CM289" s="3">
        <f>(CM160-CL160)*-1</f>
        <v>0</v>
      </c>
      <c r="CN289" s="3">
        <f>(CN160-CM160)*-1</f>
        <v>0</v>
      </c>
      <c r="CO289" s="3">
        <f>SUM(CK289:CN289)</f>
        <v>0</v>
      </c>
      <c r="CP289" s="3">
        <f>(CP160-CO160)*-1</f>
        <v>0</v>
      </c>
      <c r="CQ289" s="3">
        <f>(CQ160-CP160)*-1</f>
        <v>0</v>
      </c>
      <c r="CR289" s="3">
        <f>(CR160-CQ160)*-1</f>
        <v>0</v>
      </c>
      <c r="CS289" s="3">
        <f>(CS160-CR160)*-1</f>
        <v>0</v>
      </c>
      <c r="CT289" s="3">
        <f>SUM(CP289:CS289)</f>
        <v>0</v>
      </c>
      <c r="CU289" s="3">
        <f>(CU160-CT160)*-1</f>
        <v>0</v>
      </c>
      <c r="CV289" s="3">
        <f>(CV160-CU160)*-1</f>
        <v>0</v>
      </c>
      <c r="CW289" s="3">
        <f>(CW160-CV160)*-1</f>
        <v>0</v>
      </c>
      <c r="CX289" s="3">
        <f>(CX160-CW160)*-1</f>
        <v>0</v>
      </c>
      <c r="CY289" s="3">
        <f>SUM(CU289:CX289)</f>
        <v>0</v>
      </c>
    </row>
    <row r="290" hidden="1" outlineLevel="1">
      <c r="C290" s="29" t="inlineStr">
        <is>
          <t>Other current assets</t>
        </is>
      </c>
      <c r="D290" s="3" t="n"/>
      <c r="E290" s="3">
        <f>(E161-D161)*-1</f>
        <v>-13.88248466</v>
      </c>
      <c r="F290" s="3">
        <f>(F161-E161)*-1</f>
        <v>-35.69159365</v>
      </c>
      <c r="G290" s="3">
        <f>(G161-F161)*-1</f>
        <v>2.57244264000001</v>
      </c>
      <c r="H290" s="3">
        <f>SUM(D290:G290)</f>
        <v>-47.00163567</v>
      </c>
      <c r="I290" s="3">
        <f>(I161-H161)*-1</f>
        <v>31.18172953</v>
      </c>
      <c r="J290" s="3">
        <f>(J161-I161)*-1</f>
        <v>20.88846565</v>
      </c>
      <c r="K290" s="3">
        <f>(K161-J161)*-1</f>
        <v>9.20765751</v>
      </c>
      <c r="L290" s="3">
        <f>(L161-K161)*-1</f>
        <v>2.73709701</v>
      </c>
      <c r="M290" s="3">
        <f>SUM(I290:L290)</f>
        <v>64.0149497</v>
      </c>
      <c r="N290" s="3">
        <f>(N161-M161)*-1</f>
        <v>4.13188308</v>
      </c>
      <c r="O290" s="3">
        <f>(O161-N161)*-1</f>
        <v>0.413910309999991</v>
      </c>
      <c r="P290" s="3">
        <f>(P161-O161)*-1</f>
        <v>-10.07111153</v>
      </c>
      <c r="Q290" s="3">
        <f>(Q161-P161)*-1</f>
        <v>-1.55885561999999</v>
      </c>
      <c r="R290" s="3">
        <f>SUM(N290:Q290)</f>
        <v>-7.08417375999999</v>
      </c>
      <c r="S290" s="3">
        <f>(S161-R161)*-1</f>
        <v>-1.23314027000001</v>
      </c>
      <c r="T290" s="3">
        <f>(T161-S161)*-1</f>
        <v>-12.45585019</v>
      </c>
      <c r="U290" s="3">
        <f>(U161-T161)*-1</f>
        <v>-5.65420888999998</v>
      </c>
      <c r="V290" s="3">
        <f>(V161-U161)*-1</f>
        <v>-43.14041006</v>
      </c>
      <c r="W290" s="3">
        <f>SUM(S290:V290)</f>
        <v>-62.48360941</v>
      </c>
      <c r="X290" s="3">
        <f>(X161-W161)*-1</f>
        <v>-10.90239171</v>
      </c>
      <c r="Y290" s="3">
        <f>(Y161-X161)*-1</f>
        <v>-9.95013914999998</v>
      </c>
      <c r="Z290" s="3">
        <f>(Z161-Y161)*-1</f>
        <v>-59.17940736</v>
      </c>
      <c r="AA290" s="3">
        <f>(AA161-Z161)*-1</f>
        <v>8.48143582000003</v>
      </c>
      <c r="AB290" s="3">
        <f>SUM(X290:AA290)</f>
        <v>-71.5505024</v>
      </c>
      <c r="AC290" s="3">
        <f>(AC161-AB161)*-1</f>
        <v>6.16102975999996</v>
      </c>
      <c r="AD290" s="3">
        <f>(AD161-AC161)*-1</f>
        <v>12.23993215</v>
      </c>
      <c r="AE290" s="3">
        <f>(AE161-AD161)*-1</f>
        <v>-91.47799037</v>
      </c>
      <c r="AF290" s="3">
        <f>(AF161-AE161)*-1</f>
        <v>94.5073878700003</v>
      </c>
      <c r="AG290" s="3">
        <f>SUM(AC290:AF290)</f>
        <v>21.4303594100003</v>
      </c>
      <c r="AH290" s="3">
        <f>(AH161-AG161)*-1</f>
        <v>15.2631664399999</v>
      </c>
      <c r="AI290" s="3">
        <f>(AI161-AH161)*-1</f>
        <v>9.58131047000015</v>
      </c>
      <c r="AJ290" s="3">
        <f>(AJ161-AI161)*-1</f>
        <v>0</v>
      </c>
      <c r="AK290" s="3">
        <f>(AK161-AJ161)*-1</f>
        <v>0</v>
      </c>
      <c r="AL290" s="3">
        <f>SUM(AH290:AK290)</f>
        <v>24.84447691</v>
      </c>
      <c r="AM290" s="3">
        <f>(AM161-AL161)*-1</f>
        <v>0</v>
      </c>
      <c r="AN290" s="3">
        <f>(AN161-AM161)*-1</f>
        <v>0</v>
      </c>
      <c r="AO290" s="3">
        <f>(AO161-AN161)*-1</f>
        <v>0</v>
      </c>
      <c r="AP290" s="3">
        <f>(AP161-AO161)*-1</f>
        <v>0</v>
      </c>
      <c r="AQ290" s="3">
        <f>SUM(AM290:AP290)</f>
        <v>0</v>
      </c>
      <c r="AR290" s="3">
        <f>(AR161-AQ161)*-1</f>
        <v>0</v>
      </c>
      <c r="AS290" s="3">
        <f>(AS161-AR161)*-1</f>
        <v>0</v>
      </c>
      <c r="AT290" s="3">
        <f>(AT161-AS161)*-1</f>
        <v>0</v>
      </c>
      <c r="AU290" s="3">
        <f>(AU161-AT161)*-1</f>
        <v>0</v>
      </c>
      <c r="AV290" s="3">
        <f>SUM(AR290:AU290)</f>
        <v>0</v>
      </c>
      <c r="AW290" s="3">
        <f>(AW161-AV161)*-1</f>
        <v>0</v>
      </c>
      <c r="AX290" s="3">
        <f>(AX161-AW161)*-1</f>
        <v>0</v>
      </c>
      <c r="AY290" s="3">
        <f>(AY161-AX161)*-1</f>
        <v>0</v>
      </c>
      <c r="AZ290" s="3">
        <f>(AZ161-AY161)*-1</f>
        <v>0</v>
      </c>
      <c r="BA290" s="3">
        <f>SUM(AW290:AZ290)</f>
        <v>0</v>
      </c>
      <c r="BB290" s="3">
        <f>(BB161-BA161)*-1</f>
        <v>0</v>
      </c>
      <c r="BC290" s="3">
        <f>(BC161-BB161)*-1</f>
        <v>0</v>
      </c>
      <c r="BD290" s="3">
        <f>(BD161-BC161)*-1</f>
        <v>0</v>
      </c>
      <c r="BE290" s="3">
        <f>(BE161-BD161)*-1</f>
        <v>0</v>
      </c>
      <c r="BF290" s="3">
        <f>SUM(BB290:BE290)</f>
        <v>0</v>
      </c>
      <c r="BG290" s="3">
        <f>(BG161-BF161)*-1</f>
        <v>0</v>
      </c>
      <c r="BH290" s="3">
        <f>(BH161-BG161)*-1</f>
        <v>0</v>
      </c>
      <c r="BI290" s="3">
        <f>(BI161-BH161)*-1</f>
        <v>0</v>
      </c>
      <c r="BJ290" s="3">
        <f>(BJ161-BI161)*-1</f>
        <v>0</v>
      </c>
      <c r="BK290" s="3">
        <f>SUM(BG290:BJ290)</f>
        <v>0</v>
      </c>
      <c r="BL290" s="3">
        <f>(BL161-BK161)*-1</f>
        <v>0</v>
      </c>
      <c r="BM290" s="3">
        <f>(BM161-BL161)*-1</f>
        <v>0</v>
      </c>
      <c r="BN290" s="3">
        <f>(BN161-BM161)*-1</f>
        <v>0</v>
      </c>
      <c r="BO290" s="3">
        <f>(BO161-BN161)*-1</f>
        <v>0</v>
      </c>
      <c r="BP290" s="3">
        <f>SUM(BL290:BO290)</f>
        <v>0</v>
      </c>
      <c r="BQ290" s="3">
        <f>(BQ161-BP161)*-1</f>
        <v>0</v>
      </c>
      <c r="BR290" s="3">
        <f>(BR161-BQ161)*-1</f>
        <v>0</v>
      </c>
      <c r="BS290" s="3">
        <f>(BS161-BR161)*-1</f>
        <v>0</v>
      </c>
      <c r="BT290" s="3">
        <f>(BT161-BS161)*-1</f>
        <v>0</v>
      </c>
      <c r="BU290" s="3">
        <f>SUM(BQ290:BT290)</f>
        <v>0</v>
      </c>
      <c r="BV290" s="3">
        <f>(BV161-BU161)*-1</f>
        <v>0</v>
      </c>
      <c r="BW290" s="3">
        <f>(BW161-BV161)*-1</f>
        <v>0</v>
      </c>
      <c r="BX290" s="3">
        <f>(BX161-BW161)*-1</f>
        <v>0</v>
      </c>
      <c r="BY290" s="3">
        <f>(BY161-BX161)*-1</f>
        <v>0</v>
      </c>
      <c r="BZ290" s="3">
        <f>SUM(BV290:BY290)</f>
        <v>0</v>
      </c>
      <c r="CA290" s="3">
        <f>(CA161-BZ161)*-1</f>
        <v>0</v>
      </c>
      <c r="CB290" s="3">
        <f>(CB161-CA161)*-1</f>
        <v>0</v>
      </c>
      <c r="CC290" s="3">
        <f>(CC161-CB161)*-1</f>
        <v>0</v>
      </c>
      <c r="CD290" s="3">
        <f>(CD161-CC161)*-1</f>
        <v>0</v>
      </c>
      <c r="CE290" s="3">
        <f>SUM(CA290:CD290)</f>
        <v>0</v>
      </c>
      <c r="CF290" s="3">
        <f>(CF161-CE161)*-1</f>
        <v>0</v>
      </c>
      <c r="CG290" s="3">
        <f>(CG161-CF161)*-1</f>
        <v>0</v>
      </c>
      <c r="CH290" s="3">
        <f>(CH161-CG161)*-1</f>
        <v>0</v>
      </c>
      <c r="CI290" s="3">
        <f>(CI161-CH161)*-1</f>
        <v>0</v>
      </c>
      <c r="CJ290" s="3">
        <f>SUM(CF290:CI290)</f>
        <v>0</v>
      </c>
      <c r="CK290" s="3">
        <f>(CK161-CJ161)*-1</f>
        <v>0</v>
      </c>
      <c r="CL290" s="3">
        <f>(CL161-CK161)*-1</f>
        <v>0</v>
      </c>
      <c r="CM290" s="3">
        <f>(CM161-CL161)*-1</f>
        <v>0</v>
      </c>
      <c r="CN290" s="3">
        <f>(CN161-CM161)*-1</f>
        <v>0</v>
      </c>
      <c r="CO290" s="3">
        <f>SUM(CK290:CN290)</f>
        <v>0</v>
      </c>
      <c r="CP290" s="3">
        <f>(CP161-CO161)*-1</f>
        <v>0</v>
      </c>
      <c r="CQ290" s="3">
        <f>(CQ161-CP161)*-1</f>
        <v>0</v>
      </c>
      <c r="CR290" s="3">
        <f>(CR161-CQ161)*-1</f>
        <v>0</v>
      </c>
      <c r="CS290" s="3">
        <f>(CS161-CR161)*-1</f>
        <v>0</v>
      </c>
      <c r="CT290" s="3">
        <f>SUM(CP290:CS290)</f>
        <v>0</v>
      </c>
      <c r="CU290" s="3">
        <f>(CU161-CT161)*-1</f>
        <v>0</v>
      </c>
      <c r="CV290" s="3">
        <f>(CV161-CU161)*-1</f>
        <v>0</v>
      </c>
      <c r="CW290" s="3">
        <f>(CW161-CV161)*-1</f>
        <v>0</v>
      </c>
      <c r="CX290" s="3">
        <f>(CX161-CW161)*-1</f>
        <v>0</v>
      </c>
      <c r="CY290" s="3">
        <f>SUM(CU290:CX290)</f>
        <v>0</v>
      </c>
    </row>
    <row r="291" hidden="1" outlineLevel="1">
      <c r="C291" s="29" t="inlineStr">
        <is>
          <t>Accounts payable</t>
        </is>
      </c>
      <c r="D291" s="3" t="n"/>
      <c r="E291" s="3">
        <f>E204-D204</f>
        <v>-6.18123113</v>
      </c>
      <c r="F291" s="3">
        <f>F204-E204</f>
        <v>-9.56450276</v>
      </c>
      <c r="G291" s="3">
        <f>G204-F204</f>
        <v>44.15891826</v>
      </c>
      <c r="H291" s="3">
        <f>SUM(D291:G291)</f>
        <v>28.41318437</v>
      </c>
      <c r="I291" s="3">
        <f>I204-H204</f>
        <v>-17.00858266</v>
      </c>
      <c r="J291" s="3">
        <f>J204-I204</f>
        <v>20.67894051</v>
      </c>
      <c r="K291" s="3">
        <f>K204-J204</f>
        <v>43.13745132</v>
      </c>
      <c r="L291" s="3">
        <f>L204-K204</f>
        <v>-11.79879302</v>
      </c>
      <c r="M291" s="3">
        <f>SUM(I291:L291)</f>
        <v>35.00901615</v>
      </c>
      <c r="N291" s="3">
        <f>N204-M204</f>
        <v>-10.83855236</v>
      </c>
      <c r="O291" s="3">
        <f>O204-N204</f>
        <v>-5.48041028999998</v>
      </c>
      <c r="P291" s="3">
        <f>P204-O204</f>
        <v>38.33607802</v>
      </c>
      <c r="Q291" s="3">
        <f>Q204-P204</f>
        <v>-5.26331589</v>
      </c>
      <c r="R291" s="3">
        <f>SUM(N291:Q291)</f>
        <v>16.75379948</v>
      </c>
      <c r="S291" s="3">
        <f>S204-R204</f>
        <v>17.201</v>
      </c>
      <c r="T291" s="3">
        <f>T204-S204</f>
        <v>-3.57826579</v>
      </c>
      <c r="U291" s="3">
        <f>U204-T204</f>
        <v>-45.05921522</v>
      </c>
      <c r="V291" s="3">
        <f>V204-U204</f>
        <v>68.65840542</v>
      </c>
      <c r="W291" s="3">
        <f>SUM(S291:V291)</f>
        <v>37.22192441</v>
      </c>
      <c r="X291" s="3">
        <f>X204-W204</f>
        <v>-65.85949298</v>
      </c>
      <c r="Y291" s="3">
        <f>Y204-X204</f>
        <v>33.8212701300001</v>
      </c>
      <c r="Z291" s="3">
        <f>Z204-Y204</f>
        <v>-25.0455444100001</v>
      </c>
      <c r="AA291" s="3">
        <f>AA204-Z204</f>
        <v>73.6366285700001</v>
      </c>
      <c r="AB291" s="3">
        <f>SUM(X291:AA291)</f>
        <v>16.5528613100001</v>
      </c>
      <c r="AC291" s="3">
        <f>AC204-AB204</f>
        <v>-6.08582951000022</v>
      </c>
      <c r="AD291" s="3">
        <f>AD204-AC204</f>
        <v>8.30402270000013</v>
      </c>
      <c r="AE291" s="3">
        <f>AE204-AD204</f>
        <v>50.00602109</v>
      </c>
      <c r="AF291" s="3">
        <f>AF204-AE204</f>
        <v>-21.4879916100001</v>
      </c>
      <c r="AG291" s="3">
        <f>SUM(AC291:AF291)</f>
        <v>30.7362226699998</v>
      </c>
      <c r="AH291" s="3">
        <f>AH204-AG204</f>
        <v>-64.0119662299999</v>
      </c>
      <c r="AI291" s="3">
        <f>AI204-AH204</f>
        <v>5.12303939</v>
      </c>
      <c r="AJ291" s="3">
        <f>AJ204-AI204</f>
        <v>-130.58308155</v>
      </c>
      <c r="AK291" s="3">
        <f>AK204-AJ204</f>
        <v>0</v>
      </c>
      <c r="AL291" s="3">
        <f>SUM(AH291:AK291)</f>
        <v>-189.47200839</v>
      </c>
      <c r="AM291" s="3">
        <f>AM204-AL204</f>
        <v>0</v>
      </c>
      <c r="AN291" s="3">
        <f>AN204-AM204</f>
        <v>0</v>
      </c>
      <c r="AO291" s="3">
        <f>AO204-AN204</f>
        <v>0</v>
      </c>
      <c r="AP291" s="3">
        <f>AP204-AO204</f>
        <v>0</v>
      </c>
      <c r="AQ291" s="3">
        <f>SUM(AM291:AP291)</f>
        <v>0</v>
      </c>
      <c r="AR291" s="3">
        <f>AR204-AQ204</f>
        <v>0</v>
      </c>
      <c r="AS291" s="3">
        <f>AS204-AR204</f>
        <v>0</v>
      </c>
      <c r="AT291" s="3">
        <f>AT204-AS204</f>
        <v>0</v>
      </c>
      <c r="AU291" s="3">
        <f>AU204-AT204</f>
        <v>0</v>
      </c>
      <c r="AV291" s="3">
        <f>SUM(AR291:AU291)</f>
        <v>0</v>
      </c>
      <c r="AW291" s="3">
        <f>AW204-AV204</f>
        <v>0</v>
      </c>
      <c r="AX291" s="3">
        <f>AX204-AW204</f>
        <v>0</v>
      </c>
      <c r="AY291" s="3">
        <f>AY204-AX204</f>
        <v>0</v>
      </c>
      <c r="AZ291" s="3">
        <f>AZ204-AY204</f>
        <v>0</v>
      </c>
      <c r="BA291" s="3">
        <f>SUM(AW291:AZ291)</f>
        <v>0</v>
      </c>
      <c r="BB291" s="3">
        <f>BB204-BA204</f>
        <v>0</v>
      </c>
      <c r="BC291" s="3">
        <f>BC204-BB204</f>
        <v>0</v>
      </c>
      <c r="BD291" s="3">
        <f>BD204-BC204</f>
        <v>0</v>
      </c>
      <c r="BE291" s="3">
        <f>BE204-BD204</f>
        <v>0</v>
      </c>
      <c r="BF291" s="3">
        <f>SUM(BB291:BE291)</f>
        <v>0</v>
      </c>
      <c r="BG291" s="3">
        <f>BG204-BF204</f>
        <v>0</v>
      </c>
      <c r="BH291" s="3">
        <f>BH204-BG204</f>
        <v>0</v>
      </c>
      <c r="BI291" s="3">
        <f>BI204-BH204</f>
        <v>0</v>
      </c>
      <c r="BJ291" s="3">
        <f>BJ204-BI204</f>
        <v>0</v>
      </c>
      <c r="BK291" s="3">
        <f>SUM(BG291:BJ291)</f>
        <v>0</v>
      </c>
      <c r="BL291" s="3">
        <f>BL204-BK204</f>
        <v>0</v>
      </c>
      <c r="BM291" s="3">
        <f>BM204-BL204</f>
        <v>0</v>
      </c>
      <c r="BN291" s="3">
        <f>BN204-BM204</f>
        <v>0</v>
      </c>
      <c r="BO291" s="3">
        <f>BO204-BN204</f>
        <v>0</v>
      </c>
      <c r="BP291" s="3">
        <f>SUM(BL291:BO291)</f>
        <v>0</v>
      </c>
      <c r="BQ291" s="3">
        <f>BQ204-BP204</f>
        <v>0</v>
      </c>
      <c r="BR291" s="3">
        <f>BR204-BQ204</f>
        <v>0</v>
      </c>
      <c r="BS291" s="3">
        <f>BS204-BR204</f>
        <v>0</v>
      </c>
      <c r="BT291" s="3">
        <f>BT204-BS204</f>
        <v>0</v>
      </c>
      <c r="BU291" s="3">
        <f>SUM(BQ291:BT291)</f>
        <v>0</v>
      </c>
      <c r="BV291" s="3">
        <f>BV204-BU204</f>
        <v>0</v>
      </c>
      <c r="BW291" s="3">
        <f>BW204-BV204</f>
        <v>0</v>
      </c>
      <c r="BX291" s="3">
        <f>BX204-BW204</f>
        <v>0</v>
      </c>
      <c r="BY291" s="3">
        <f>BY204-BX204</f>
        <v>0</v>
      </c>
      <c r="BZ291" s="3">
        <f>SUM(BV291:BY291)</f>
        <v>0</v>
      </c>
      <c r="CA291" s="3">
        <f>CA204-BZ204</f>
        <v>0</v>
      </c>
      <c r="CB291" s="3">
        <f>CB204-CA204</f>
        <v>0</v>
      </c>
      <c r="CC291" s="3">
        <f>CC204-CB204</f>
        <v>0</v>
      </c>
      <c r="CD291" s="3">
        <f>CD204-CC204</f>
        <v>0</v>
      </c>
      <c r="CE291" s="3">
        <f>SUM(CA291:CD291)</f>
        <v>0</v>
      </c>
      <c r="CF291" s="3">
        <f>CF204-CE204</f>
        <v>0</v>
      </c>
      <c r="CG291" s="3">
        <f>CG204-CF204</f>
        <v>0</v>
      </c>
      <c r="CH291" s="3">
        <f>CH204-CG204</f>
        <v>0</v>
      </c>
      <c r="CI291" s="3">
        <f>CI204-CH204</f>
        <v>0</v>
      </c>
      <c r="CJ291" s="3">
        <f>SUM(CF291:CI291)</f>
        <v>0</v>
      </c>
      <c r="CK291" s="3">
        <f>CK204-CJ204</f>
        <v>0</v>
      </c>
      <c r="CL291" s="3">
        <f>CL204-CK204</f>
        <v>0</v>
      </c>
      <c r="CM291" s="3">
        <f>CM204-CL204</f>
        <v>0</v>
      </c>
      <c r="CN291" s="3">
        <f>CN204-CM204</f>
        <v>0</v>
      </c>
      <c r="CO291" s="3">
        <f>SUM(CK291:CN291)</f>
        <v>0</v>
      </c>
      <c r="CP291" s="3">
        <f>CP204-CO204</f>
        <v>0</v>
      </c>
      <c r="CQ291" s="3">
        <f>CQ204-CP204</f>
        <v>0</v>
      </c>
      <c r="CR291" s="3">
        <f>CR204-CQ204</f>
        <v>0</v>
      </c>
      <c r="CS291" s="3">
        <f>CS204-CR204</f>
        <v>0</v>
      </c>
      <c r="CT291" s="3">
        <f>SUM(CP291:CS291)</f>
        <v>0</v>
      </c>
      <c r="CU291" s="3">
        <f>CU204-CT204</f>
        <v>0</v>
      </c>
      <c r="CV291" s="3">
        <f>CV204-CU204</f>
        <v>0</v>
      </c>
      <c r="CW291" s="3">
        <f>CW204-CV204</f>
        <v>0</v>
      </c>
      <c r="CX291" s="3">
        <f>CX204-CW204</f>
        <v>0</v>
      </c>
      <c r="CY291" s="3">
        <f>SUM(CU291:CX291)</f>
        <v>0</v>
      </c>
    </row>
    <row r="292" hidden="1" outlineLevel="1">
      <c r="C292" s="29" t="inlineStr">
        <is>
          <t>Accrued expenses</t>
        </is>
      </c>
      <c r="D292" s="3" t="n"/>
      <c r="E292" s="3">
        <f>E208-D208</f>
        <v>-4.78025697000001</v>
      </c>
      <c r="F292" s="3">
        <f>F208-E208</f>
        <v>-4.52570634999999</v>
      </c>
      <c r="G292" s="3">
        <f>G208-F208</f>
        <v>6.94501789</v>
      </c>
      <c r="H292" s="3">
        <f>SUM(D292:G292)</f>
        <v>-2.36094543</v>
      </c>
      <c r="I292" s="3">
        <f>I208-H208</f>
        <v>-11.70334794</v>
      </c>
      <c r="J292" s="3">
        <f>J208-I208</f>
        <v>18.38989108</v>
      </c>
      <c r="K292" s="3">
        <f>K208-J208</f>
        <v>6.85757886000001</v>
      </c>
      <c r="L292" s="3">
        <f>L208-K208</f>
        <v>14.57989353</v>
      </c>
      <c r="M292" s="3">
        <f>SUM(I292:L292)</f>
        <v>28.12401553</v>
      </c>
      <c r="N292" s="3">
        <f>N208-M208</f>
        <v>-8.99937867000001</v>
      </c>
      <c r="O292" s="3">
        <f>O208-N208</f>
        <v>5.46627368000003</v>
      </c>
      <c r="P292" s="3">
        <f>P208-O208</f>
        <v>6.18217983999998</v>
      </c>
      <c r="Q292" s="3">
        <f>Q208-P208</f>
        <v>11.64285505</v>
      </c>
      <c r="R292" s="3">
        <f>SUM(N292:Q292)</f>
        <v>14.2919299</v>
      </c>
      <c r="S292" s="3">
        <f>S208-R208</f>
        <v>-13.018</v>
      </c>
      <c r="T292" s="3">
        <f>T208-S208</f>
        <v>10.01422627</v>
      </c>
      <c r="U292" s="3">
        <f>U208-T208</f>
        <v>3.71838837999998</v>
      </c>
      <c r="V292" s="3">
        <f>V208-U208</f>
        <v>24.80615493</v>
      </c>
      <c r="W292" s="3">
        <f>SUM(S292:V292)</f>
        <v>25.52076958</v>
      </c>
      <c r="X292" s="3">
        <f>X208-W208</f>
        <v>-21.68348</v>
      </c>
      <c r="Y292" s="3">
        <f>Y208-X208</f>
        <v>6.51492026999999</v>
      </c>
      <c r="Z292" s="3">
        <f>Z208-Y208</f>
        <v>3.99080519</v>
      </c>
      <c r="AA292" s="3">
        <f>AA208-Z208</f>
        <v>18.61173995</v>
      </c>
      <c r="AB292" s="3">
        <f>SUM(X292:AA292)</f>
        <v>7.43398541000001</v>
      </c>
      <c r="AC292" s="3">
        <f>AC208-AB208</f>
        <v>-24.28137129</v>
      </c>
      <c r="AD292" s="3">
        <f>AD208-AC208</f>
        <v>18.61038247</v>
      </c>
      <c r="AE292" s="3">
        <f>AE208-AD208</f>
        <v>-3.18376617</v>
      </c>
      <c r="AF292" s="3">
        <f>AF208-AE208</f>
        <v>27.18212145</v>
      </c>
      <c r="AG292" s="3">
        <f>SUM(AC292:AF292)</f>
        <v>18.32736646</v>
      </c>
      <c r="AH292" s="3">
        <f>AH208-AG208</f>
        <v>-22.33007386</v>
      </c>
      <c r="AI292" s="3">
        <f>AI208-AH208</f>
        <v>15.63905825</v>
      </c>
      <c r="AJ292" s="3">
        <f>AJ208-AI208</f>
        <v>-136.92910584</v>
      </c>
      <c r="AK292" s="3">
        <f>AK208-AJ208</f>
        <v>0</v>
      </c>
      <c r="AL292" s="3">
        <f>SUM(AH292:AK292)</f>
        <v>-143.62012145</v>
      </c>
      <c r="AM292" s="3" t="e">
        <f>AM208-AL208</f>
        <v>#DIV/0!</v>
      </c>
      <c r="AN292" s="3" t="e">
        <f>AN208-AM208</f>
        <v>#DIV/0!</v>
      </c>
      <c r="AO292" s="3" t="e">
        <f>AO208-AN208</f>
        <v>#DIV/0!</v>
      </c>
      <c r="AP292" s="3" t="e">
        <f>AP208-AO208</f>
        <v>#DIV/0!</v>
      </c>
      <c r="AQ292" s="3" t="e">
        <f>SUM(AM292:AP292)</f>
        <v>#DIV/0!</v>
      </c>
      <c r="AR292" s="3" t="e">
        <f>AR208-AQ208</f>
        <v>#DIV/0!</v>
      </c>
      <c r="AS292" s="3" t="e">
        <f>AS208-AR208</f>
        <v>#DIV/0!</v>
      </c>
      <c r="AT292" s="3" t="e">
        <f>AT208-AS208</f>
        <v>#DIV/0!</v>
      </c>
      <c r="AU292" s="3" t="e">
        <f>AU208-AT208</f>
        <v>#DIV/0!</v>
      </c>
      <c r="AV292" s="3" t="e">
        <f>SUM(AR292:AU292)</f>
        <v>#DIV/0!</v>
      </c>
      <c r="AW292" s="3" t="e">
        <f>AW208-AV208</f>
        <v>#DIV/0!</v>
      </c>
      <c r="AX292" s="3" t="e">
        <f>AX208-AW208</f>
        <v>#DIV/0!</v>
      </c>
      <c r="AY292" s="3" t="e">
        <f>AY208-AX208</f>
        <v>#DIV/0!</v>
      </c>
      <c r="AZ292" s="3" t="e">
        <f>AZ208-AY208</f>
        <v>#DIV/0!</v>
      </c>
      <c r="BA292" s="3" t="e">
        <f>SUM(AW292:AZ292)</f>
        <v>#DIV/0!</v>
      </c>
      <c r="BB292" s="3" t="e">
        <f>BB208-BA208</f>
        <v>#DIV/0!</v>
      </c>
      <c r="BC292" s="3" t="e">
        <f>BC208-BB208</f>
        <v>#DIV/0!</v>
      </c>
      <c r="BD292" s="3" t="e">
        <f>BD208-BC208</f>
        <v>#DIV/0!</v>
      </c>
      <c r="BE292" s="3" t="e">
        <f>BE208-BD208</f>
        <v>#DIV/0!</v>
      </c>
      <c r="BF292" s="3" t="e">
        <f>SUM(BB292:BE292)</f>
        <v>#DIV/0!</v>
      </c>
      <c r="BG292" s="3" t="e">
        <f>BG208-BF208</f>
        <v>#DIV/0!</v>
      </c>
      <c r="BH292" s="3" t="e">
        <f>BH208-BG208</f>
        <v>#DIV/0!</v>
      </c>
      <c r="BI292" s="3" t="e">
        <f>BI208-BH208</f>
        <v>#DIV/0!</v>
      </c>
      <c r="BJ292" s="3" t="e">
        <f>BJ208-BI208</f>
        <v>#DIV/0!</v>
      </c>
      <c r="BK292" s="3" t="e">
        <f>SUM(BG292:BJ292)</f>
        <v>#DIV/0!</v>
      </c>
      <c r="BL292" s="3" t="e">
        <f>BL208-BK208</f>
        <v>#DIV/0!</v>
      </c>
      <c r="BM292" s="3" t="e">
        <f>BM208-BL208</f>
        <v>#DIV/0!</v>
      </c>
      <c r="BN292" s="3" t="e">
        <f>BN208-BM208</f>
        <v>#DIV/0!</v>
      </c>
      <c r="BO292" s="3" t="e">
        <f>BO208-BN208</f>
        <v>#DIV/0!</v>
      </c>
      <c r="BP292" s="3" t="e">
        <f>SUM(BL292:BO292)</f>
        <v>#DIV/0!</v>
      </c>
      <c r="BQ292" s="3" t="e">
        <f>BQ208-BP208</f>
        <v>#DIV/0!</v>
      </c>
      <c r="BR292" s="3" t="e">
        <f>BR208-BQ208</f>
        <v>#DIV/0!</v>
      </c>
      <c r="BS292" s="3" t="e">
        <f>BS208-BR208</f>
        <v>#DIV/0!</v>
      </c>
      <c r="BT292" s="3" t="e">
        <f>BT208-BS208</f>
        <v>#DIV/0!</v>
      </c>
      <c r="BU292" s="3" t="e">
        <f>SUM(BQ292:BT292)</f>
        <v>#DIV/0!</v>
      </c>
      <c r="BV292" s="3" t="e">
        <f>BV208-BU208</f>
        <v>#DIV/0!</v>
      </c>
      <c r="BW292" s="3" t="e">
        <f>BW208-BV208</f>
        <v>#DIV/0!</v>
      </c>
      <c r="BX292" s="3" t="e">
        <f>BX208-BW208</f>
        <v>#DIV/0!</v>
      </c>
      <c r="BY292" s="3" t="e">
        <f>BY208-BX208</f>
        <v>#DIV/0!</v>
      </c>
      <c r="BZ292" s="3" t="e">
        <f>SUM(BV292:BY292)</f>
        <v>#DIV/0!</v>
      </c>
      <c r="CA292" s="3" t="e">
        <f>CA208-BZ208</f>
        <v>#DIV/0!</v>
      </c>
      <c r="CB292" s="3" t="e">
        <f>CB208-CA208</f>
        <v>#DIV/0!</v>
      </c>
      <c r="CC292" s="3" t="e">
        <f>CC208-CB208</f>
        <v>#DIV/0!</v>
      </c>
      <c r="CD292" s="3" t="e">
        <f>CD208-CC208</f>
        <v>#DIV/0!</v>
      </c>
      <c r="CE292" s="3" t="e">
        <f>SUM(CA292:CD292)</f>
        <v>#DIV/0!</v>
      </c>
      <c r="CF292" s="3" t="e">
        <f>CF208-CE208</f>
        <v>#DIV/0!</v>
      </c>
      <c r="CG292" s="3" t="e">
        <f>CG208-CF208</f>
        <v>#DIV/0!</v>
      </c>
      <c r="CH292" s="3" t="e">
        <f>CH208-CG208</f>
        <v>#DIV/0!</v>
      </c>
      <c r="CI292" s="3" t="e">
        <f>CI208-CH208</f>
        <v>#DIV/0!</v>
      </c>
      <c r="CJ292" s="3" t="e">
        <f>SUM(CF292:CI292)</f>
        <v>#DIV/0!</v>
      </c>
      <c r="CK292" s="3" t="e">
        <f>CK208-CJ208</f>
        <v>#DIV/0!</v>
      </c>
      <c r="CL292" s="3" t="e">
        <f>CL208-CK208</f>
        <v>#DIV/0!</v>
      </c>
      <c r="CM292" s="3" t="e">
        <f>CM208-CL208</f>
        <v>#DIV/0!</v>
      </c>
      <c r="CN292" s="3" t="e">
        <f>CN208-CM208</f>
        <v>#DIV/0!</v>
      </c>
      <c r="CO292" s="3" t="e">
        <f>SUM(CK292:CN292)</f>
        <v>#DIV/0!</v>
      </c>
      <c r="CP292" s="3" t="e">
        <f>CP208-CO208</f>
        <v>#DIV/0!</v>
      </c>
      <c r="CQ292" s="3" t="e">
        <f>CQ208-CP208</f>
        <v>#DIV/0!</v>
      </c>
      <c r="CR292" s="3" t="e">
        <f>CR208-CQ208</f>
        <v>#DIV/0!</v>
      </c>
      <c r="CS292" s="3" t="e">
        <f>CS208-CR208</f>
        <v>#DIV/0!</v>
      </c>
      <c r="CT292" s="3" t="e">
        <f>SUM(CP292:CS292)</f>
        <v>#DIV/0!</v>
      </c>
      <c r="CU292" s="3" t="e">
        <f>CU208-CT208</f>
        <v>#DIV/0!</v>
      </c>
      <c r="CV292" s="3" t="e">
        <f>CV208-CU208</f>
        <v>#DIV/0!</v>
      </c>
      <c r="CW292" s="3" t="e">
        <f>CW208-CV208</f>
        <v>#DIV/0!</v>
      </c>
      <c r="CX292" s="3" t="e">
        <f>CX208-CW208</f>
        <v>#DIV/0!</v>
      </c>
      <c r="CY292" s="3" t="e">
        <f>SUM(CU292:CX292)</f>
        <v>#DIV/0!</v>
      </c>
    </row>
    <row r="293" hidden="1" outlineLevel="1">
      <c r="C293" s="29" t="inlineStr">
        <is>
          <t>Taxes payable</t>
        </is>
      </c>
      <c r="D293" s="3" t="n"/>
      <c r="E293" s="3">
        <f>E210-D210</f>
        <v>1.71420490000001</v>
      </c>
      <c r="F293" s="3">
        <f>F210-E210</f>
        <v>6.21993983999998</v>
      </c>
      <c r="G293" s="3">
        <f>G210-F210</f>
        <v>50.05184882</v>
      </c>
      <c r="H293" s="3">
        <f>SUM(D293:G293)</f>
        <v>57.98599356</v>
      </c>
      <c r="I293" s="3">
        <f>I210-H210</f>
        <v>-56.76333324</v>
      </c>
      <c r="J293" s="3">
        <f>J210-I210</f>
        <v>23.10672224</v>
      </c>
      <c r="K293" s="3">
        <f>K210-J210</f>
        <v>-8.24657461000003</v>
      </c>
      <c r="L293" s="3">
        <f>L210-K210</f>
        <v>63.15705541</v>
      </c>
      <c r="M293" s="3">
        <f>SUM(I293:L293)</f>
        <v>21.2538698</v>
      </c>
      <c r="N293" s="3">
        <f>N210-M210</f>
        <v>-63.05476151</v>
      </c>
      <c r="O293" s="3">
        <f>O210-N210</f>
        <v>16.00139983</v>
      </c>
      <c r="P293" s="3">
        <f>P210-O210</f>
        <v>-3.10872601</v>
      </c>
      <c r="Q293" s="3">
        <f>Q210-P210</f>
        <v>48.27422433</v>
      </c>
      <c r="R293" s="3">
        <f>SUM(N293:Q293)</f>
        <v>-1.88786336</v>
      </c>
      <c r="S293" s="3">
        <f>S210-R210</f>
        <v>-54.136</v>
      </c>
      <c r="T293" s="3">
        <f>T210-S210</f>
        <v>8.04163058</v>
      </c>
      <c r="U293" s="3">
        <f>U210-T210</f>
        <v>-7.49678777000001</v>
      </c>
      <c r="V293" s="3">
        <f>V210-U210</f>
        <v>26.80198296</v>
      </c>
      <c r="W293" s="3">
        <f>SUM(S293:V293)</f>
        <v>-26.78917423</v>
      </c>
      <c r="X293" s="3">
        <f>X210-W210</f>
        <v>-31.32719593</v>
      </c>
      <c r="Y293" s="3">
        <f>Y210-X210</f>
        <v>28.85986196</v>
      </c>
      <c r="Z293" s="3">
        <f>Z210-Y210</f>
        <v>-13.07743589</v>
      </c>
      <c r="AA293" s="3">
        <f>AA210-Z210</f>
        <v>37.4450021</v>
      </c>
      <c r="AB293" s="3">
        <f>SUM(X293:AA293)</f>
        <v>21.90023224</v>
      </c>
      <c r="AC293" s="3">
        <f>AC210-AB210</f>
        <v>-52.15141359</v>
      </c>
      <c r="AD293" s="3">
        <f>AD210-AC210</f>
        <v>24.58835665</v>
      </c>
      <c r="AE293" s="3">
        <f>AE210-AD210</f>
        <v>22.49899893</v>
      </c>
      <c r="AF293" s="3">
        <f>AF210-AE210</f>
        <v>21.99226167</v>
      </c>
      <c r="AG293" s="3">
        <f>SUM(AC293:AF293)</f>
        <v>16.92820366</v>
      </c>
      <c r="AH293" s="3">
        <f>AH210-AG210</f>
        <v>-47.83687542</v>
      </c>
      <c r="AI293" s="3">
        <f>AI210-AH210</f>
        <v>15.26632523</v>
      </c>
      <c r="AJ293" s="3">
        <f>AJ210-AI210</f>
        <v>-91.33871148</v>
      </c>
      <c r="AK293" s="3">
        <f>AK210-AJ210</f>
        <v>0</v>
      </c>
      <c r="AL293" s="3">
        <f>SUM(AH293:AK293)</f>
        <v>-123.90926167</v>
      </c>
      <c r="AM293" s="3" t="e">
        <f>AM210-AL210</f>
        <v>#DIV/0!</v>
      </c>
      <c r="AN293" s="3" t="e">
        <f>AN210-AM210</f>
        <v>#DIV/0!</v>
      </c>
      <c r="AO293" s="3" t="e">
        <f>AO210-AN210</f>
        <v>#DIV/0!</v>
      </c>
      <c r="AP293" s="3" t="e">
        <f>AP210-AO210</f>
        <v>#DIV/0!</v>
      </c>
      <c r="AQ293" s="3" t="e">
        <f>SUM(AM293:AP293)</f>
        <v>#DIV/0!</v>
      </c>
      <c r="AR293" s="3" t="e">
        <f>AR210-AQ210</f>
        <v>#DIV/0!</v>
      </c>
      <c r="AS293" s="3" t="e">
        <f>AS210-AR210</f>
        <v>#DIV/0!</v>
      </c>
      <c r="AT293" s="3" t="e">
        <f>AT210-AS210</f>
        <v>#DIV/0!</v>
      </c>
      <c r="AU293" s="3" t="e">
        <f>AU210-AT210</f>
        <v>#DIV/0!</v>
      </c>
      <c r="AV293" s="3" t="e">
        <f>SUM(AR293:AU293)</f>
        <v>#DIV/0!</v>
      </c>
      <c r="AW293" s="3" t="e">
        <f>AW210-AV210</f>
        <v>#DIV/0!</v>
      </c>
      <c r="AX293" s="3" t="e">
        <f>AX210-AW210</f>
        <v>#DIV/0!</v>
      </c>
      <c r="AY293" s="3" t="e">
        <f>AY210-AX210</f>
        <v>#DIV/0!</v>
      </c>
      <c r="AZ293" s="3" t="e">
        <f>AZ210-AY210</f>
        <v>#DIV/0!</v>
      </c>
      <c r="BA293" s="3" t="e">
        <f>SUM(AW293:AZ293)</f>
        <v>#DIV/0!</v>
      </c>
      <c r="BB293" s="3" t="e">
        <f>BB210-BA210</f>
        <v>#DIV/0!</v>
      </c>
      <c r="BC293" s="3" t="e">
        <f>BC210-BB210</f>
        <v>#DIV/0!</v>
      </c>
      <c r="BD293" s="3" t="e">
        <f>BD210-BC210</f>
        <v>#DIV/0!</v>
      </c>
      <c r="BE293" s="3" t="e">
        <f>BE210-BD210</f>
        <v>#DIV/0!</v>
      </c>
      <c r="BF293" s="3" t="e">
        <f>SUM(BB293:BE293)</f>
        <v>#DIV/0!</v>
      </c>
      <c r="BG293" s="3" t="e">
        <f>BG210-BF210</f>
        <v>#DIV/0!</v>
      </c>
      <c r="BH293" s="3" t="e">
        <f>BH210-BG210</f>
        <v>#DIV/0!</v>
      </c>
      <c r="BI293" s="3" t="e">
        <f>BI210-BH210</f>
        <v>#DIV/0!</v>
      </c>
      <c r="BJ293" s="3" t="e">
        <f>BJ210-BI210</f>
        <v>#DIV/0!</v>
      </c>
      <c r="BK293" s="3" t="e">
        <f>SUM(BG293:BJ293)</f>
        <v>#DIV/0!</v>
      </c>
      <c r="BL293" s="3" t="e">
        <f>BL210-BK210</f>
        <v>#DIV/0!</v>
      </c>
      <c r="BM293" s="3" t="e">
        <f>BM210-BL210</f>
        <v>#DIV/0!</v>
      </c>
      <c r="BN293" s="3" t="e">
        <f>BN210-BM210</f>
        <v>#DIV/0!</v>
      </c>
      <c r="BO293" s="3" t="e">
        <f>BO210-BN210</f>
        <v>#DIV/0!</v>
      </c>
      <c r="BP293" s="3" t="e">
        <f>SUM(BL293:BO293)</f>
        <v>#DIV/0!</v>
      </c>
      <c r="BQ293" s="3" t="e">
        <f>BQ210-BP210</f>
        <v>#DIV/0!</v>
      </c>
      <c r="BR293" s="3" t="e">
        <f>BR210-BQ210</f>
        <v>#DIV/0!</v>
      </c>
      <c r="BS293" s="3" t="e">
        <f>BS210-BR210</f>
        <v>#DIV/0!</v>
      </c>
      <c r="BT293" s="3" t="e">
        <f>BT210-BS210</f>
        <v>#DIV/0!</v>
      </c>
      <c r="BU293" s="3" t="e">
        <f>SUM(BQ293:BT293)</f>
        <v>#DIV/0!</v>
      </c>
      <c r="BV293" s="3" t="e">
        <f>BV210-BU210</f>
        <v>#DIV/0!</v>
      </c>
      <c r="BW293" s="3" t="e">
        <f>BW210-BV210</f>
        <v>#DIV/0!</v>
      </c>
      <c r="BX293" s="3" t="e">
        <f>BX210-BW210</f>
        <v>#DIV/0!</v>
      </c>
      <c r="BY293" s="3" t="e">
        <f>BY210-BX210</f>
        <v>#DIV/0!</v>
      </c>
      <c r="BZ293" s="3" t="e">
        <f>SUM(BV293:BY293)</f>
        <v>#DIV/0!</v>
      </c>
      <c r="CA293" s="3" t="e">
        <f>CA210-BZ210</f>
        <v>#DIV/0!</v>
      </c>
      <c r="CB293" s="3" t="e">
        <f>CB210-CA210</f>
        <v>#DIV/0!</v>
      </c>
      <c r="CC293" s="3" t="e">
        <f>CC210-CB210</f>
        <v>#DIV/0!</v>
      </c>
      <c r="CD293" s="3" t="e">
        <f>CD210-CC210</f>
        <v>#DIV/0!</v>
      </c>
      <c r="CE293" s="3" t="e">
        <f>SUM(CA293:CD293)</f>
        <v>#DIV/0!</v>
      </c>
      <c r="CF293" s="3" t="e">
        <f>CF210-CE210</f>
        <v>#DIV/0!</v>
      </c>
      <c r="CG293" s="3" t="e">
        <f>CG210-CF210</f>
        <v>#DIV/0!</v>
      </c>
      <c r="CH293" s="3" t="e">
        <f>CH210-CG210</f>
        <v>#DIV/0!</v>
      </c>
      <c r="CI293" s="3" t="e">
        <f>CI210-CH210</f>
        <v>#DIV/0!</v>
      </c>
      <c r="CJ293" s="3" t="e">
        <f>SUM(CF293:CI293)</f>
        <v>#DIV/0!</v>
      </c>
      <c r="CK293" s="3" t="e">
        <f>CK210-CJ210</f>
        <v>#DIV/0!</v>
      </c>
      <c r="CL293" s="3" t="e">
        <f>CL210-CK210</f>
        <v>#DIV/0!</v>
      </c>
      <c r="CM293" s="3" t="e">
        <f>CM210-CL210</f>
        <v>#DIV/0!</v>
      </c>
      <c r="CN293" s="3" t="e">
        <f>CN210-CM210</f>
        <v>#DIV/0!</v>
      </c>
      <c r="CO293" s="3" t="e">
        <f>SUM(CK293:CN293)</f>
        <v>#DIV/0!</v>
      </c>
      <c r="CP293" s="3" t="e">
        <f>CP210-CO210</f>
        <v>#DIV/0!</v>
      </c>
      <c r="CQ293" s="3" t="e">
        <f>CQ210-CP210</f>
        <v>#DIV/0!</v>
      </c>
      <c r="CR293" s="3" t="e">
        <f>CR210-CQ210</f>
        <v>#DIV/0!</v>
      </c>
      <c r="CS293" s="3" t="e">
        <f>CS210-CR210</f>
        <v>#DIV/0!</v>
      </c>
      <c r="CT293" s="3" t="e">
        <f>SUM(CP293:CS293)</f>
        <v>#DIV/0!</v>
      </c>
      <c r="CU293" s="3" t="e">
        <f>CU210-CT210</f>
        <v>#DIV/0!</v>
      </c>
      <c r="CV293" s="3" t="e">
        <f>CV210-CU210</f>
        <v>#DIV/0!</v>
      </c>
      <c r="CW293" s="3" t="e">
        <f>CW210-CV210</f>
        <v>#DIV/0!</v>
      </c>
      <c r="CX293" s="3" t="e">
        <f>CX210-CW210</f>
        <v>#DIV/0!</v>
      </c>
      <c r="CY293" s="3" t="e">
        <f>SUM(CU293:CX293)</f>
        <v>#DIV/0!</v>
      </c>
    </row>
    <row r="294" hidden="1" outlineLevel="1">
      <c r="C294" s="29" t="inlineStr">
        <is>
          <t>Other current liabilities (non-debt)</t>
        </is>
      </c>
      <c r="D294" s="3" t="n"/>
      <c r="E294" s="3">
        <f>E211-D211</f>
        <v>39.71908932</v>
      </c>
      <c r="F294" s="3">
        <f>F211-E211</f>
        <v>-2.8866283800001</v>
      </c>
      <c r="G294" s="3">
        <f>G211-F211</f>
        <v>7.35331480000012</v>
      </c>
      <c r="H294" s="3">
        <f>SUM(D294:G294)</f>
        <v>44.18577574</v>
      </c>
      <c r="I294" s="3">
        <f>I211-H211</f>
        <v>-0.743248699999995</v>
      </c>
      <c r="J294" s="3">
        <f>J211-I211</f>
        <v>-39.97864115</v>
      </c>
      <c r="K294" s="3">
        <f>K211-J211</f>
        <v>0.48599522</v>
      </c>
      <c r="L294" s="3">
        <f>L211-K211</f>
        <v>95.65940577</v>
      </c>
      <c r="M294" s="3">
        <f>SUM(I294:L294)</f>
        <v>55.42351114</v>
      </c>
      <c r="N294" s="3">
        <f>N211-M211</f>
        <v>-22.69030394</v>
      </c>
      <c r="O294" s="3">
        <f>O211-N211</f>
        <v>-56.41769878</v>
      </c>
      <c r="P294" s="3">
        <f>P211-O211</f>
        <v>1.71552395999998</v>
      </c>
      <c r="Q294" s="3">
        <f>Q211-P211</f>
        <v>137.25016538</v>
      </c>
      <c r="R294" s="3">
        <f>SUM(N294:Q294)</f>
        <v>59.85768662</v>
      </c>
      <c r="S294" s="3">
        <f>S211-R211</f>
        <v>-37.4249735</v>
      </c>
      <c r="T294" s="3">
        <f>T211-S211</f>
        <v>-79.95671527</v>
      </c>
      <c r="U294" s="3">
        <f>U211-T211</f>
        <v>0.310181040000003</v>
      </c>
      <c r="V294" s="3">
        <f>V211-U211</f>
        <v>58.2754869400001</v>
      </c>
      <c r="W294" s="3">
        <f>SUM(S294:V294)</f>
        <v>-58.7960207899999</v>
      </c>
      <c r="X294" s="3">
        <f>X211-W211</f>
        <v>52.1454162199999</v>
      </c>
      <c r="Y294" s="3">
        <f>Y211-X211</f>
        <v>-90.05994814</v>
      </c>
      <c r="Z294" s="3">
        <f>Z211-Y211</f>
        <v>-10.23833621</v>
      </c>
      <c r="AA294" s="3">
        <f>AA211-Z211</f>
        <v>100.56168192</v>
      </c>
      <c r="AB294" s="3">
        <f>SUM(X294:AA294)</f>
        <v>52.4088137899997</v>
      </c>
      <c r="AC294" s="3">
        <f>AC211-AB211</f>
        <v>14.3333925100002</v>
      </c>
      <c r="AD294" s="3">
        <f>AD211-AC211</f>
        <v>-163.83825891</v>
      </c>
      <c r="AE294" s="3">
        <f>AE211-AD211</f>
        <v>-4.2839001</v>
      </c>
      <c r="AF294" s="3">
        <f>AF211-AE211</f>
        <v>31.31004197</v>
      </c>
      <c r="AG294" s="3">
        <f>SUM(AC294:AF294)</f>
        <v>-122.47872453</v>
      </c>
      <c r="AH294" s="3">
        <f>AH211-AG211</f>
        <v>28.8780304400002</v>
      </c>
      <c r="AI294" s="3">
        <f>AI211-AH211</f>
        <v>-8.68943633000019</v>
      </c>
      <c r="AJ294" s="3">
        <f>AJ211-AI211</f>
        <v>0</v>
      </c>
      <c r="AK294" s="3">
        <f>AK211-AJ211</f>
        <v>0</v>
      </c>
      <c r="AL294" s="3">
        <f>SUM(AH294:AK294)</f>
        <v>20.18859411</v>
      </c>
      <c r="AM294" s="3">
        <f>AM211-AL211</f>
        <v>0</v>
      </c>
      <c r="AN294" s="3">
        <f>AN211-AM211</f>
        <v>0</v>
      </c>
      <c r="AO294" s="3">
        <f>AO211-AN211</f>
        <v>0</v>
      </c>
      <c r="AP294" s="3">
        <f>AP211-AO211</f>
        <v>0</v>
      </c>
      <c r="AQ294" s="3">
        <f>SUM(AM294:AP294)</f>
        <v>0</v>
      </c>
      <c r="AR294" s="3">
        <f>AR211-AQ211</f>
        <v>0</v>
      </c>
      <c r="AS294" s="3">
        <f>AS211-AR211</f>
        <v>0</v>
      </c>
      <c r="AT294" s="3">
        <f>AT211-AS211</f>
        <v>0</v>
      </c>
      <c r="AU294" s="3">
        <f>AU211-AT211</f>
        <v>0</v>
      </c>
      <c r="AV294" s="3">
        <f>SUM(AR294:AU294)</f>
        <v>0</v>
      </c>
      <c r="AW294" s="3">
        <f>AW211-AV211</f>
        <v>0</v>
      </c>
      <c r="AX294" s="3">
        <f>AX211-AW211</f>
        <v>0</v>
      </c>
      <c r="AY294" s="3">
        <f>AY211-AX211</f>
        <v>0</v>
      </c>
      <c r="AZ294" s="3">
        <f>AZ211-AY211</f>
        <v>0</v>
      </c>
      <c r="BA294" s="3">
        <f>SUM(AW294:AZ294)</f>
        <v>0</v>
      </c>
      <c r="BB294" s="3">
        <f>BB211-BA211</f>
        <v>0</v>
      </c>
      <c r="BC294" s="3">
        <f>BC211-BB211</f>
        <v>0</v>
      </c>
      <c r="BD294" s="3">
        <f>BD211-BC211</f>
        <v>0</v>
      </c>
      <c r="BE294" s="3">
        <f>BE211-BD211</f>
        <v>0</v>
      </c>
      <c r="BF294" s="3">
        <f>SUM(BB294:BE294)</f>
        <v>0</v>
      </c>
      <c r="BG294" s="3">
        <f>BG211-BF211</f>
        <v>0</v>
      </c>
      <c r="BH294" s="3">
        <f>BH211-BG211</f>
        <v>0</v>
      </c>
      <c r="BI294" s="3">
        <f>BI211-BH211</f>
        <v>0</v>
      </c>
      <c r="BJ294" s="3">
        <f>BJ211-BI211</f>
        <v>0</v>
      </c>
      <c r="BK294" s="3">
        <f>SUM(BG294:BJ294)</f>
        <v>0</v>
      </c>
      <c r="BL294" s="3">
        <f>BL211-BK211</f>
        <v>0</v>
      </c>
      <c r="BM294" s="3">
        <f>BM211-BL211</f>
        <v>0</v>
      </c>
      <c r="BN294" s="3">
        <f>BN211-BM211</f>
        <v>0</v>
      </c>
      <c r="BO294" s="3">
        <f>BO211-BN211</f>
        <v>0</v>
      </c>
      <c r="BP294" s="3">
        <f>SUM(BL294:BO294)</f>
        <v>0</v>
      </c>
      <c r="BQ294" s="3">
        <f>BQ211-BP211</f>
        <v>0</v>
      </c>
      <c r="BR294" s="3">
        <f>BR211-BQ211</f>
        <v>0</v>
      </c>
      <c r="BS294" s="3">
        <f>BS211-BR211</f>
        <v>0</v>
      </c>
      <c r="BT294" s="3">
        <f>BT211-BS211</f>
        <v>0</v>
      </c>
      <c r="BU294" s="3">
        <f>SUM(BQ294:BT294)</f>
        <v>0</v>
      </c>
      <c r="BV294" s="3">
        <f>BV211-BU211</f>
        <v>0</v>
      </c>
      <c r="BW294" s="3">
        <f>BW211-BV211</f>
        <v>0</v>
      </c>
      <c r="BX294" s="3">
        <f>BX211-BW211</f>
        <v>0</v>
      </c>
      <c r="BY294" s="3">
        <f>BY211-BX211</f>
        <v>0</v>
      </c>
      <c r="BZ294" s="3">
        <f>SUM(BV294:BY294)</f>
        <v>0</v>
      </c>
      <c r="CA294" s="3">
        <f>CA211-BZ211</f>
        <v>0</v>
      </c>
      <c r="CB294" s="3">
        <f>CB211-CA211</f>
        <v>0</v>
      </c>
      <c r="CC294" s="3">
        <f>CC211-CB211</f>
        <v>0</v>
      </c>
      <c r="CD294" s="3">
        <f>CD211-CC211</f>
        <v>0</v>
      </c>
      <c r="CE294" s="3">
        <f>SUM(CA294:CD294)</f>
        <v>0</v>
      </c>
      <c r="CF294" s="3">
        <f>CF211-CE211</f>
        <v>0</v>
      </c>
      <c r="CG294" s="3">
        <f>CG211-CF211</f>
        <v>0</v>
      </c>
      <c r="CH294" s="3">
        <f>CH211-CG211</f>
        <v>0</v>
      </c>
      <c r="CI294" s="3">
        <f>CI211-CH211</f>
        <v>0</v>
      </c>
      <c r="CJ294" s="3">
        <f>SUM(CF294:CI294)</f>
        <v>0</v>
      </c>
      <c r="CK294" s="3">
        <f>CK211-CJ211</f>
        <v>0</v>
      </c>
      <c r="CL294" s="3">
        <f>CL211-CK211</f>
        <v>0</v>
      </c>
      <c r="CM294" s="3">
        <f>CM211-CL211</f>
        <v>0</v>
      </c>
      <c r="CN294" s="3">
        <f>CN211-CM211</f>
        <v>0</v>
      </c>
      <c r="CO294" s="3">
        <f>SUM(CK294:CN294)</f>
        <v>0</v>
      </c>
      <c r="CP294" s="3">
        <f>CP211-CO211</f>
        <v>0</v>
      </c>
      <c r="CQ294" s="3">
        <f>CQ211-CP211</f>
        <v>0</v>
      </c>
      <c r="CR294" s="3">
        <f>CR211-CQ211</f>
        <v>0</v>
      </c>
      <c r="CS294" s="3">
        <f>CS211-CR211</f>
        <v>0</v>
      </c>
      <c r="CT294" s="3">
        <f>SUM(CP294:CS294)</f>
        <v>0</v>
      </c>
      <c r="CU294" s="3">
        <f>CU211-CT211</f>
        <v>0</v>
      </c>
      <c r="CV294" s="3">
        <f>CV211-CU211</f>
        <v>0</v>
      </c>
      <c r="CW294" s="3">
        <f>CW211-CV211</f>
        <v>0</v>
      </c>
      <c r="CX294" s="3">
        <f>CX211-CW211</f>
        <v>0</v>
      </c>
      <c r="CY294" s="3">
        <f>SUM(CU294:CX294)</f>
        <v>0</v>
      </c>
    </row>
    <row r="295" hidden="1" outlineLevel="1">
      <c r="C295" s="29" t="inlineStr">
        <is>
          <t>Deferred income taxes</t>
        </is>
      </c>
      <c r="D295" s="3" t="n"/>
      <c r="E295" s="3">
        <f>E245-D245</f>
        <v>0</v>
      </c>
      <c r="F295" s="3">
        <f>F245-E245</f>
        <v>0</v>
      </c>
      <c r="G295" s="3">
        <f>G245-F245</f>
        <v>0</v>
      </c>
      <c r="H295" s="3">
        <f>SUM(D295:G295)</f>
        <v>0</v>
      </c>
      <c r="I295" s="3">
        <f>I245-H245</f>
        <v>0</v>
      </c>
      <c r="J295" s="3">
        <f>J245-I245</f>
        <v>0</v>
      </c>
      <c r="K295" s="3">
        <f>K245-J245</f>
        <v>0</v>
      </c>
      <c r="L295" s="3">
        <f>L245-K245</f>
        <v>0</v>
      </c>
      <c r="M295" s="3">
        <f>SUM(I295:L295)</f>
        <v>0</v>
      </c>
      <c r="N295" s="3">
        <f>N245-M245</f>
        <v>0</v>
      </c>
      <c r="O295" s="3">
        <f>O245-N245</f>
        <v>0</v>
      </c>
      <c r="P295" s="3">
        <f>P245-O245</f>
        <v>0</v>
      </c>
      <c r="Q295" s="3">
        <f>Q245-P245</f>
        <v>0</v>
      </c>
      <c r="R295" s="3">
        <f>SUM(N295:Q295)</f>
        <v>0</v>
      </c>
      <c r="S295" s="3">
        <f>S245-R245</f>
        <v>0</v>
      </c>
      <c r="T295" s="3">
        <f>T245-S245</f>
        <v>0</v>
      </c>
      <c r="U295" s="3">
        <f>U245-T245</f>
        <v>0</v>
      </c>
      <c r="V295" s="3">
        <f>V245-U245</f>
        <v>0</v>
      </c>
      <c r="W295" s="3">
        <f>SUM(S295:V295)</f>
        <v>0</v>
      </c>
      <c r="X295" s="3">
        <f>X245-W245</f>
        <v>0</v>
      </c>
      <c r="Y295" s="3">
        <f>Y245-X245</f>
        <v>0</v>
      </c>
      <c r="Z295" s="3">
        <f>Z245-Y245</f>
        <v>0</v>
      </c>
      <c r="AA295" s="3">
        <f>AA245-Z245</f>
        <v>0</v>
      </c>
      <c r="AB295" s="3">
        <f>SUM(X295:AA295)</f>
        <v>0</v>
      </c>
      <c r="AC295" s="3">
        <f>AC245-AB245</f>
        <v>0</v>
      </c>
      <c r="AD295" s="3">
        <f>AD245-AC245</f>
        <v>0</v>
      </c>
      <c r="AE295" s="3">
        <f>AE245-AD245</f>
        <v>0</v>
      </c>
      <c r="AF295" s="3">
        <f>AF245-AE245</f>
        <v>0</v>
      </c>
      <c r="AG295" s="3">
        <f>SUM(AC295:AF295)</f>
        <v>0</v>
      </c>
      <c r="AH295" s="3">
        <f>AH245-AG245</f>
        <v>0</v>
      </c>
      <c r="AI295" s="3">
        <f>AI245-AH245</f>
        <v>0</v>
      </c>
      <c r="AJ295" s="3">
        <f>AJ245-AI245</f>
        <v>0</v>
      </c>
      <c r="AK295" s="3">
        <f>AK245-AJ245</f>
        <v>0</v>
      </c>
      <c r="AL295" s="3">
        <f>SUM(AH295:AK295)</f>
        <v>0</v>
      </c>
      <c r="AM295" s="3">
        <f>AM245-AL245</f>
        <v>0</v>
      </c>
      <c r="AN295" s="3">
        <f>AN245-AM245</f>
        <v>0</v>
      </c>
      <c r="AO295" s="3">
        <f>AO245-AN245</f>
        <v>0</v>
      </c>
      <c r="AP295" s="3">
        <f>AP245-AO245</f>
        <v>0</v>
      </c>
      <c r="AQ295" s="3">
        <f>SUM(AM295:AP295)</f>
        <v>0</v>
      </c>
      <c r="AR295" s="3">
        <f>AR245-AQ245</f>
        <v>0</v>
      </c>
      <c r="AS295" s="3">
        <f>AS245-AR245</f>
        <v>0</v>
      </c>
      <c r="AT295" s="3">
        <f>AT245-AS245</f>
        <v>0</v>
      </c>
      <c r="AU295" s="3">
        <f>AU245-AT245</f>
        <v>0</v>
      </c>
      <c r="AV295" s="3">
        <f>SUM(AR295:AU295)</f>
        <v>0</v>
      </c>
      <c r="AW295" s="3">
        <f>AW245-AV245</f>
        <v>0</v>
      </c>
      <c r="AX295" s="3">
        <f>AX245-AW245</f>
        <v>0</v>
      </c>
      <c r="AY295" s="3">
        <f>AY245-AX245</f>
        <v>0</v>
      </c>
      <c r="AZ295" s="3">
        <f>AZ245-AY245</f>
        <v>0</v>
      </c>
      <c r="BA295" s="3">
        <f>SUM(AW295:AZ295)</f>
        <v>0</v>
      </c>
      <c r="BB295" s="3">
        <f>BB245-BA245</f>
        <v>0</v>
      </c>
      <c r="BC295" s="3">
        <f>BC245-BB245</f>
        <v>0</v>
      </c>
      <c r="BD295" s="3">
        <f>BD245-BC245</f>
        <v>0</v>
      </c>
      <c r="BE295" s="3">
        <f>BE245-BD245</f>
        <v>0</v>
      </c>
      <c r="BF295" s="3">
        <f>SUM(BB295:BE295)</f>
        <v>0</v>
      </c>
      <c r="BG295" s="3">
        <f>BG245-BF245</f>
        <v>0</v>
      </c>
      <c r="BH295" s="3">
        <f>BH245-BG245</f>
        <v>0</v>
      </c>
      <c r="BI295" s="3">
        <f>BI245-BH245</f>
        <v>0</v>
      </c>
      <c r="BJ295" s="3">
        <f>BJ245-BI245</f>
        <v>0</v>
      </c>
      <c r="BK295" s="3">
        <f>SUM(BG295:BJ295)</f>
        <v>0</v>
      </c>
      <c r="BL295" s="3">
        <f>BL245-BK245</f>
        <v>0</v>
      </c>
      <c r="BM295" s="3">
        <f>BM245-BL245</f>
        <v>0</v>
      </c>
      <c r="BN295" s="3">
        <f>BN245-BM245</f>
        <v>0</v>
      </c>
      <c r="BO295" s="3">
        <f>BO245-BN245</f>
        <v>0</v>
      </c>
      <c r="BP295" s="3">
        <f>SUM(BL295:BO295)</f>
        <v>0</v>
      </c>
      <c r="BQ295" s="3">
        <f>BQ245-BP245</f>
        <v>0</v>
      </c>
      <c r="BR295" s="3">
        <f>BR245-BQ245</f>
        <v>0</v>
      </c>
      <c r="BS295" s="3">
        <f>BS245-BR245</f>
        <v>0</v>
      </c>
      <c r="BT295" s="3">
        <f>BT245-BS245</f>
        <v>0</v>
      </c>
      <c r="BU295" s="3">
        <f>SUM(BQ295:BT295)</f>
        <v>0</v>
      </c>
      <c r="BV295" s="3">
        <f>BV245-BU245</f>
        <v>0</v>
      </c>
      <c r="BW295" s="3">
        <f>BW245-BV245</f>
        <v>0</v>
      </c>
      <c r="BX295" s="3">
        <f>BX245-BW245</f>
        <v>0</v>
      </c>
      <c r="BY295" s="3">
        <f>BY245-BX245</f>
        <v>0</v>
      </c>
      <c r="BZ295" s="3">
        <f>SUM(BV295:BY295)</f>
        <v>0</v>
      </c>
      <c r="CA295" s="3">
        <f>CA245-BZ245</f>
        <v>0</v>
      </c>
      <c r="CB295" s="3">
        <f>CB245-CA245</f>
        <v>0</v>
      </c>
      <c r="CC295" s="3">
        <f>CC245-CB245</f>
        <v>0</v>
      </c>
      <c r="CD295" s="3">
        <f>CD245-CC245</f>
        <v>0</v>
      </c>
      <c r="CE295" s="3">
        <f>SUM(CA295:CD295)</f>
        <v>0</v>
      </c>
      <c r="CF295" s="3">
        <f>CF245-CE245</f>
        <v>0</v>
      </c>
      <c r="CG295" s="3">
        <f>CG245-CF245</f>
        <v>0</v>
      </c>
      <c r="CH295" s="3">
        <f>CH245-CG245</f>
        <v>0</v>
      </c>
      <c r="CI295" s="3">
        <f>CI245-CH245</f>
        <v>0</v>
      </c>
      <c r="CJ295" s="3">
        <f>SUM(CF295:CI295)</f>
        <v>0</v>
      </c>
      <c r="CK295" s="3">
        <f>CK245-CJ245</f>
        <v>0</v>
      </c>
      <c r="CL295" s="3">
        <f>CL245-CK245</f>
        <v>0</v>
      </c>
      <c r="CM295" s="3">
        <f>CM245-CL245</f>
        <v>0</v>
      </c>
      <c r="CN295" s="3">
        <f>CN245-CM245</f>
        <v>0</v>
      </c>
      <c r="CO295" s="3">
        <f>SUM(CK295:CN295)</f>
        <v>0</v>
      </c>
      <c r="CP295" s="3">
        <f>CP245-CO245</f>
        <v>0</v>
      </c>
      <c r="CQ295" s="3">
        <f>CQ245-CP245</f>
        <v>0</v>
      </c>
      <c r="CR295" s="3">
        <f>CR245-CQ245</f>
        <v>0</v>
      </c>
      <c r="CS295" s="3">
        <f>CS245-CR245</f>
        <v>0</v>
      </c>
      <c r="CT295" s="3">
        <f>SUM(CP295:CS295)</f>
        <v>0</v>
      </c>
      <c r="CU295" s="3">
        <f>CU245-CT245</f>
        <v>0</v>
      </c>
      <c r="CV295" s="3">
        <f>CV245-CU245</f>
        <v>0</v>
      </c>
      <c r="CW295" s="3">
        <f>CW245-CV245</f>
        <v>0</v>
      </c>
      <c r="CX295" s="3">
        <f>CX245-CW245</f>
        <v>0</v>
      </c>
      <c r="CY295" s="3">
        <f>SUM(CU295:CX295)</f>
        <v>0</v>
      </c>
    </row>
    <row r="296" collapsed="1">
      <c r="C296" s="29" t="inlineStr">
        <is>
          <t>Equity income in affiliates</t>
        </is>
      </c>
      <c r="D296" s="3" t="n"/>
      <c r="E296" s="3">
        <f>(E167-D167)*-1</f>
        <v>0</v>
      </c>
      <c r="F296" s="3">
        <f>(F167-E167)*-1</f>
        <v>0</v>
      </c>
      <c r="G296" s="3">
        <f>(G167-F167)*-1</f>
        <v>0</v>
      </c>
      <c r="H296" s="3">
        <f>SUM(D296:G296)</f>
        <v>0</v>
      </c>
      <c r="I296" s="3">
        <f>(I167-H167)*-1</f>
        <v>0</v>
      </c>
      <c r="J296" s="3">
        <f>(J167-I167)*-1</f>
        <v>0</v>
      </c>
      <c r="K296" s="3">
        <f>(K167-J167)*-1</f>
        <v>0</v>
      </c>
      <c r="L296" s="3">
        <f>(L167-K167)*-1</f>
        <v>0</v>
      </c>
      <c r="M296" s="3">
        <f>SUM(I296:L296)</f>
        <v>0</v>
      </c>
      <c r="N296" s="3">
        <f>(N167-M167)*-1</f>
        <v>0</v>
      </c>
      <c r="O296" s="3">
        <f>(O167-N167)*-1</f>
        <v>0</v>
      </c>
      <c r="P296" s="3">
        <f>(P167-O167)*-1</f>
        <v>0</v>
      </c>
      <c r="Q296" s="3">
        <f>(Q167-P167)*-1</f>
        <v>0</v>
      </c>
      <c r="R296" s="3">
        <f>SUM(N296:Q296)</f>
        <v>0</v>
      </c>
      <c r="S296" s="3">
        <f>(S167-R167)*-1</f>
        <v>0</v>
      </c>
      <c r="T296" s="3">
        <f>(T167-S167)*-1</f>
        <v>0</v>
      </c>
      <c r="U296" s="3">
        <f>(U167-T167)*-1</f>
        <v>0</v>
      </c>
      <c r="V296" s="3">
        <f>(V167-U167)*-1</f>
        <v>0</v>
      </c>
      <c r="W296" s="3">
        <f>SUM(S296:V296)</f>
        <v>0</v>
      </c>
      <c r="X296" s="3">
        <f>(X167-W167)*-1</f>
        <v>0</v>
      </c>
      <c r="Y296" s="3">
        <f>(Y167-X167)*-1</f>
        <v>0</v>
      </c>
      <c r="Z296" s="3">
        <f>(Z167-Y167)*-1</f>
        <v>0</v>
      </c>
      <c r="AA296" s="3">
        <f>(AA167-Z167)*-1</f>
        <v>0</v>
      </c>
      <c r="AB296" s="3">
        <f>SUM(X296:AA296)</f>
        <v>0</v>
      </c>
      <c r="AC296" s="3">
        <f>(AC167-AB167)*-1</f>
        <v>0</v>
      </c>
      <c r="AD296" s="3">
        <f>(AD167-AC167)*-1</f>
        <v>0</v>
      </c>
      <c r="AE296" s="3">
        <f>(AE167-AD167)*-1</f>
        <v>0</v>
      </c>
      <c r="AF296" s="3">
        <f>(AF167-AE167)*-1</f>
        <v>0</v>
      </c>
      <c r="AG296" s="3">
        <f>SUM(AC296:AF296)</f>
        <v>0</v>
      </c>
      <c r="AH296" s="3">
        <f>(AH167-AG167)*-1</f>
        <v>0</v>
      </c>
      <c r="AI296" s="3">
        <f>(AI167-AH167)*-1</f>
        <v>0</v>
      </c>
      <c r="AJ296" s="3">
        <f>(AJ167-AI167)*-1</f>
        <v>0</v>
      </c>
      <c r="AK296" s="3">
        <f>(AK167-AJ167)*-1</f>
        <v>0</v>
      </c>
      <c r="AL296" s="3">
        <f>SUM(AH296:AK296)</f>
        <v>0</v>
      </c>
      <c r="AM296" s="3">
        <f>(AM167-AL167)*-1</f>
        <v>0</v>
      </c>
      <c r="AN296" s="3">
        <f>(AN167-AM167)*-1</f>
        <v>0</v>
      </c>
      <c r="AO296" s="3">
        <f>(AO167-AN167)*-1</f>
        <v>0</v>
      </c>
      <c r="AP296" s="3">
        <f>(AP167-AO167)*-1</f>
        <v>0</v>
      </c>
      <c r="AQ296" s="3">
        <f>SUM(AM296:AP296)</f>
        <v>0</v>
      </c>
      <c r="AR296" s="3">
        <f>(AR167-AQ167)*-1</f>
        <v>0</v>
      </c>
      <c r="AS296" s="3">
        <f>(AS167-AR167)*-1</f>
        <v>0</v>
      </c>
      <c r="AT296" s="3">
        <f>(AT167-AS167)*-1</f>
        <v>0</v>
      </c>
      <c r="AU296" s="3">
        <f>(AU167-AT167)*-1</f>
        <v>0</v>
      </c>
      <c r="AV296" s="3">
        <f>SUM(AR296:AU296)</f>
        <v>0</v>
      </c>
      <c r="AW296" s="3">
        <f>(AW167-AV167)*-1</f>
        <v>0</v>
      </c>
      <c r="AX296" s="3">
        <f>(AX167-AW167)*-1</f>
        <v>0</v>
      </c>
      <c r="AY296" s="3">
        <f>(AY167-AX167)*-1</f>
        <v>0</v>
      </c>
      <c r="AZ296" s="3">
        <f>(AZ167-AY167)*-1</f>
        <v>0</v>
      </c>
      <c r="BA296" s="3">
        <f>SUM(AW296:AZ296)</f>
        <v>0</v>
      </c>
      <c r="BB296" s="3">
        <f>(BB167-BA167)*-1</f>
        <v>0</v>
      </c>
      <c r="BC296" s="3">
        <f>(BC167-BB167)*-1</f>
        <v>0</v>
      </c>
      <c r="BD296" s="3">
        <f>(BD167-BC167)*-1</f>
        <v>0</v>
      </c>
      <c r="BE296" s="3">
        <f>(BE167-BD167)*-1</f>
        <v>0</v>
      </c>
      <c r="BF296" s="3">
        <f>SUM(BB296:BE296)</f>
        <v>0</v>
      </c>
      <c r="BG296" s="3">
        <f>(BG167-BF167)*-1</f>
        <v>0</v>
      </c>
      <c r="BH296" s="3">
        <f>(BH167-BG167)*-1</f>
        <v>0</v>
      </c>
      <c r="BI296" s="3">
        <f>(BI167-BH167)*-1</f>
        <v>0</v>
      </c>
      <c r="BJ296" s="3">
        <f>(BJ167-BI167)*-1</f>
        <v>0</v>
      </c>
      <c r="BK296" s="3">
        <f>SUM(BG296:BJ296)</f>
        <v>0</v>
      </c>
      <c r="BL296" s="3">
        <f>(BL167-BK167)*-1</f>
        <v>0</v>
      </c>
      <c r="BM296" s="3">
        <f>(BM167-BL167)*-1</f>
        <v>0</v>
      </c>
      <c r="BN296" s="3">
        <f>(BN167-BM167)*-1</f>
        <v>0</v>
      </c>
      <c r="BO296" s="3">
        <f>(BO167-BN167)*-1</f>
        <v>0</v>
      </c>
      <c r="BP296" s="3">
        <f>SUM(BL296:BO296)</f>
        <v>0</v>
      </c>
      <c r="BQ296" s="3">
        <f>(BQ167-BP167)*-1</f>
        <v>0</v>
      </c>
      <c r="BR296" s="3">
        <f>(BR167-BQ167)*-1</f>
        <v>0</v>
      </c>
      <c r="BS296" s="3">
        <f>(BS167-BR167)*-1</f>
        <v>0</v>
      </c>
      <c r="BT296" s="3">
        <f>(BT167-BS167)*-1</f>
        <v>0</v>
      </c>
      <c r="BU296" s="3">
        <f>SUM(BQ296:BT296)</f>
        <v>0</v>
      </c>
      <c r="BV296" s="3">
        <f>(BV167-BU167)*-1</f>
        <v>0</v>
      </c>
      <c r="BW296" s="3">
        <f>(BW167-BV167)*-1</f>
        <v>0</v>
      </c>
      <c r="BX296" s="3">
        <f>(BX167-BW167)*-1</f>
        <v>0</v>
      </c>
      <c r="BY296" s="3">
        <f>(BY167-BX167)*-1</f>
        <v>0</v>
      </c>
      <c r="BZ296" s="3">
        <f>SUM(BV296:BY296)</f>
        <v>0</v>
      </c>
      <c r="CA296" s="3">
        <f>(CA167-BZ167)*-1</f>
        <v>0</v>
      </c>
      <c r="CB296" s="3">
        <f>(CB167-CA167)*-1</f>
        <v>0</v>
      </c>
      <c r="CC296" s="3">
        <f>(CC167-CB167)*-1</f>
        <v>0</v>
      </c>
      <c r="CD296" s="3">
        <f>(CD167-CC167)*-1</f>
        <v>0</v>
      </c>
      <c r="CE296" s="3">
        <f>SUM(CA296:CD296)</f>
        <v>0</v>
      </c>
      <c r="CF296" s="3">
        <f>(CF167-CE167)*-1</f>
        <v>0</v>
      </c>
      <c r="CG296" s="3">
        <f>(CG167-CF167)*-1</f>
        <v>0</v>
      </c>
      <c r="CH296" s="3">
        <f>(CH167-CG167)*-1</f>
        <v>0</v>
      </c>
      <c r="CI296" s="3">
        <f>(CI167-CH167)*-1</f>
        <v>0</v>
      </c>
      <c r="CJ296" s="3">
        <f>SUM(CF296:CI296)</f>
        <v>0</v>
      </c>
      <c r="CK296" s="3">
        <f>(CK167-CJ167)*-1</f>
        <v>0</v>
      </c>
      <c r="CL296" s="3">
        <f>(CL167-CK167)*-1</f>
        <v>0</v>
      </c>
      <c r="CM296" s="3">
        <f>(CM167-CL167)*-1</f>
        <v>0</v>
      </c>
      <c r="CN296" s="3">
        <f>(CN167-CM167)*-1</f>
        <v>0</v>
      </c>
      <c r="CO296" s="3">
        <f>SUM(CK296:CN296)</f>
        <v>0</v>
      </c>
      <c r="CP296" s="3">
        <f>(CP167-CO167)*-1</f>
        <v>0</v>
      </c>
      <c r="CQ296" s="3">
        <f>(CQ167-CP167)*-1</f>
        <v>0</v>
      </c>
      <c r="CR296" s="3">
        <f>(CR167-CQ167)*-1</f>
        <v>0</v>
      </c>
      <c r="CS296" s="3">
        <f>(CS167-CR167)*-1</f>
        <v>0</v>
      </c>
      <c r="CT296" s="3">
        <f>SUM(CP296:CS296)</f>
        <v>0</v>
      </c>
      <c r="CU296" s="3">
        <f>(CU167-CT167)*-1</f>
        <v>0</v>
      </c>
      <c r="CV296" s="3">
        <f>(CV167-CU167)*-1</f>
        <v>0</v>
      </c>
      <c r="CW296" s="3">
        <f>(CW167-CV167)*-1</f>
        <v>0</v>
      </c>
      <c r="CX296" s="3">
        <f>(CX167-CW167)*-1</f>
        <v>0</v>
      </c>
      <c r="CY296" s="3">
        <f>SUM(CU296:CX296)</f>
        <v>0</v>
      </c>
    </row>
    <row r="297">
      <c r="C297" s="29" t="inlineStr">
        <is>
          <t>Dividends received from affiliates</t>
        </is>
      </c>
      <c r="D297" s="3" t="n"/>
      <c r="E297" s="3">
        <f>-E170</f>
        <v>0</v>
      </c>
      <c r="F297" s="3">
        <f>-F170</f>
        <v>0</v>
      </c>
      <c r="G297" s="3">
        <f>-G170</f>
        <v>0</v>
      </c>
      <c r="H297" s="3">
        <f>SUM(D297:G297)</f>
        <v>0</v>
      </c>
      <c r="I297" s="3">
        <f>-I170</f>
        <v>0</v>
      </c>
      <c r="J297" s="3">
        <f>-J170</f>
        <v>0</v>
      </c>
      <c r="K297" s="3">
        <f>-K170</f>
        <v>0</v>
      </c>
      <c r="L297" s="3">
        <f>-L170</f>
        <v>0</v>
      </c>
      <c r="M297" s="3">
        <f>SUM(I297:L297)</f>
        <v>0</v>
      </c>
      <c r="N297" s="3">
        <f>-N170</f>
        <v>0</v>
      </c>
      <c r="O297" s="3">
        <f>-O170</f>
        <v>0</v>
      </c>
      <c r="P297" s="3">
        <f>-P170</f>
        <v>0</v>
      </c>
      <c r="Q297" s="3">
        <f>-Q170</f>
        <v>0</v>
      </c>
      <c r="R297" s="3">
        <f>SUM(N297:Q297)</f>
        <v>0</v>
      </c>
      <c r="S297" s="3">
        <f>-S170</f>
        <v>0</v>
      </c>
      <c r="T297" s="3">
        <f>-T170</f>
        <v>0</v>
      </c>
      <c r="U297" s="3">
        <f>-U170</f>
        <v>0</v>
      </c>
      <c r="V297" s="3">
        <f>-V170</f>
        <v>0</v>
      </c>
      <c r="W297" s="3">
        <f>SUM(S297:V297)</f>
        <v>0</v>
      </c>
      <c r="X297" s="3">
        <f>-X170</f>
        <v>0</v>
      </c>
      <c r="Y297" s="3">
        <f>-Y170</f>
        <v>0</v>
      </c>
      <c r="Z297" s="3">
        <f>-Z170</f>
        <v>0</v>
      </c>
      <c r="AA297" s="3">
        <f>-AA170</f>
        <v>0</v>
      </c>
      <c r="AB297" s="3">
        <f>SUM(X297:AA297)</f>
        <v>0</v>
      </c>
      <c r="AC297" s="3">
        <f>-AC170</f>
        <v>0</v>
      </c>
      <c r="AD297" s="3">
        <f>-AD170</f>
        <v>0</v>
      </c>
      <c r="AE297" s="3">
        <f>-AE170</f>
        <v>0</v>
      </c>
      <c r="AF297" s="3">
        <f>-AF170</f>
        <v>0</v>
      </c>
      <c r="AG297" s="3">
        <f>SUM(AC297:AF297)</f>
        <v>0</v>
      </c>
      <c r="AH297" s="3">
        <f>-AH170</f>
        <v>0</v>
      </c>
      <c r="AI297" s="3">
        <f>-AI170</f>
        <v>0</v>
      </c>
      <c r="AJ297" s="3">
        <f>-AJ170</f>
        <v>0</v>
      </c>
      <c r="AK297" s="3">
        <f>-AK170</f>
        <v>0</v>
      </c>
      <c r="AL297" s="3">
        <f>SUM(AH297:AK297)</f>
        <v>0</v>
      </c>
      <c r="AM297" s="3">
        <f>-AM170</f>
        <v>0</v>
      </c>
      <c r="AN297" s="3">
        <f>-AN170</f>
        <v>0</v>
      </c>
      <c r="AO297" s="3">
        <f>-AO170</f>
        <v>0</v>
      </c>
      <c r="AP297" s="3">
        <f>-AP170</f>
        <v>0</v>
      </c>
      <c r="AQ297" s="3">
        <f>SUM(AM297:AP297)</f>
        <v>0</v>
      </c>
      <c r="AR297" s="3">
        <f>-AR170</f>
        <v>0</v>
      </c>
      <c r="AS297" s="3">
        <f>-AS170</f>
        <v>0</v>
      </c>
      <c r="AT297" s="3">
        <f>-AT170</f>
        <v>0</v>
      </c>
      <c r="AU297" s="3">
        <f>-AU170</f>
        <v>0</v>
      </c>
      <c r="AV297" s="3">
        <f>SUM(AR297:AU297)</f>
        <v>0</v>
      </c>
      <c r="AW297" s="3">
        <f>-AW170</f>
        <v>0</v>
      </c>
      <c r="AX297" s="3">
        <f>-AX170</f>
        <v>0</v>
      </c>
      <c r="AY297" s="3">
        <f>-AY170</f>
        <v>0</v>
      </c>
      <c r="AZ297" s="3">
        <f>-AZ170</f>
        <v>0</v>
      </c>
      <c r="BA297" s="3">
        <f>SUM(AW297:AZ297)</f>
        <v>0</v>
      </c>
      <c r="BB297" s="3">
        <f>-BB170</f>
        <v>0</v>
      </c>
      <c r="BC297" s="3">
        <f>-BC170</f>
        <v>0</v>
      </c>
      <c r="BD297" s="3">
        <f>-BD170</f>
        <v>0</v>
      </c>
      <c r="BE297" s="3">
        <f>-BE170</f>
        <v>0</v>
      </c>
      <c r="BF297" s="3">
        <f>SUM(BB297:BE297)</f>
        <v>0</v>
      </c>
      <c r="BG297" s="3">
        <f>-BG170</f>
        <v>0</v>
      </c>
      <c r="BH297" s="3">
        <f>-BH170</f>
        <v>0</v>
      </c>
      <c r="BI297" s="3">
        <f>-BI170</f>
        <v>0</v>
      </c>
      <c r="BJ297" s="3">
        <f>-BJ170</f>
        <v>0</v>
      </c>
      <c r="BK297" s="3">
        <f>SUM(BG297:BJ297)</f>
        <v>0</v>
      </c>
      <c r="BL297" s="3">
        <f>-BL170</f>
        <v>0</v>
      </c>
      <c r="BM297" s="3">
        <f>-BM170</f>
        <v>0</v>
      </c>
      <c r="BN297" s="3">
        <f>-BN170</f>
        <v>0</v>
      </c>
      <c r="BO297" s="3">
        <f>-BO170</f>
        <v>0</v>
      </c>
      <c r="BP297" s="3">
        <f>SUM(BL297:BO297)</f>
        <v>0</v>
      </c>
      <c r="BQ297" s="3">
        <f>-BQ170</f>
        <v>0</v>
      </c>
      <c r="BR297" s="3">
        <f>-BR170</f>
        <v>0</v>
      </c>
      <c r="BS297" s="3">
        <f>-BS170</f>
        <v>0</v>
      </c>
      <c r="BT297" s="3">
        <f>-BT170</f>
        <v>0</v>
      </c>
      <c r="BU297" s="3">
        <f>SUM(BQ297:BT297)</f>
        <v>0</v>
      </c>
      <c r="BV297" s="3">
        <f>-BV170</f>
        <v>0</v>
      </c>
      <c r="BW297" s="3">
        <f>-BW170</f>
        <v>0</v>
      </c>
      <c r="BX297" s="3">
        <f>-BX170</f>
        <v>0</v>
      </c>
      <c r="BY297" s="3">
        <f>-BY170</f>
        <v>0</v>
      </c>
      <c r="BZ297" s="3">
        <f>SUM(BV297:BY297)</f>
        <v>0</v>
      </c>
      <c r="CA297" s="3">
        <f>-CA170</f>
        <v>0</v>
      </c>
      <c r="CB297" s="3">
        <f>-CB170</f>
        <v>0</v>
      </c>
      <c r="CC297" s="3">
        <f>-CC170</f>
        <v>0</v>
      </c>
      <c r="CD297" s="3">
        <f>-CD170</f>
        <v>0</v>
      </c>
      <c r="CE297" s="3">
        <f>SUM(CA297:CD297)</f>
        <v>0</v>
      </c>
      <c r="CF297" s="3">
        <f>-CF170</f>
        <v>0</v>
      </c>
      <c r="CG297" s="3">
        <f>-CG170</f>
        <v>0</v>
      </c>
      <c r="CH297" s="3">
        <f>-CH170</f>
        <v>0</v>
      </c>
      <c r="CI297" s="3">
        <f>-CI170</f>
        <v>0</v>
      </c>
      <c r="CJ297" s="3">
        <f>SUM(CF297:CI297)</f>
        <v>0</v>
      </c>
      <c r="CK297" s="3">
        <f>-CK170</f>
        <v>0</v>
      </c>
      <c r="CL297" s="3">
        <f>-CL170</f>
        <v>0</v>
      </c>
      <c r="CM297" s="3">
        <f>-CM170</f>
        <v>0</v>
      </c>
      <c r="CN297" s="3">
        <f>-CN170</f>
        <v>0</v>
      </c>
      <c r="CO297" s="3">
        <f>SUM(CK297:CN297)</f>
        <v>0</v>
      </c>
      <c r="CP297" s="3">
        <f>-CP170</f>
        <v>0</v>
      </c>
      <c r="CQ297" s="3">
        <f>-CQ170</f>
        <v>0</v>
      </c>
      <c r="CR297" s="3">
        <f>-CR170</f>
        <v>0</v>
      </c>
      <c r="CS297" s="3">
        <f>-CS170</f>
        <v>0</v>
      </c>
      <c r="CT297" s="3">
        <f>SUM(CP297:CS297)</f>
        <v>0</v>
      </c>
      <c r="CU297" s="3">
        <f>-CU170</f>
        <v>0</v>
      </c>
      <c r="CV297" s="3">
        <f>-CV170</f>
        <v>0</v>
      </c>
      <c r="CW297" s="3">
        <f>-CW170</f>
        <v>0</v>
      </c>
      <c r="CX297" s="3">
        <f>-CX170</f>
        <v>0</v>
      </c>
      <c r="CY297" s="3">
        <f>SUM(CU297:CX297)</f>
        <v>0</v>
      </c>
    </row>
    <row r="298">
      <c r="C298" s="30" t="inlineStr">
        <is>
          <t>Minority interest expense</t>
        </is>
      </c>
      <c r="D298" s="3" t="n"/>
      <c r="E298" s="3">
        <f>-E142</f>
        <v>0</v>
      </c>
      <c r="F298" s="3">
        <f>-F142</f>
        <v>0</v>
      </c>
      <c r="G298" s="3">
        <f>-G142</f>
        <v>0</v>
      </c>
      <c r="H298" s="3">
        <f>SUM(D298:G298)</f>
        <v>0</v>
      </c>
      <c r="I298" s="3">
        <f>-I142</f>
        <v>0</v>
      </c>
      <c r="J298" s="3">
        <f>-J142</f>
        <v>0</v>
      </c>
      <c r="K298" s="3">
        <f>-K142</f>
        <v>0</v>
      </c>
      <c r="L298" s="3">
        <f>-L142</f>
        <v>0</v>
      </c>
      <c r="M298" s="3">
        <f>SUM(I298:L298)</f>
        <v>0</v>
      </c>
      <c r="N298" s="3">
        <f>-N142</f>
        <v>0</v>
      </c>
      <c r="O298" s="3">
        <f>-O142</f>
        <v>0</v>
      </c>
      <c r="P298" s="3">
        <f>-P142</f>
        <v>0</v>
      </c>
      <c r="Q298" s="3">
        <f>-Q142</f>
        <v>0</v>
      </c>
      <c r="R298" s="3">
        <f>SUM(N298:Q298)</f>
        <v>0</v>
      </c>
      <c r="S298" s="3">
        <f>-S142</f>
        <v>0</v>
      </c>
      <c r="T298" s="3">
        <f>-T142</f>
        <v>0</v>
      </c>
      <c r="U298" s="3">
        <f>-U142</f>
        <v>0</v>
      </c>
      <c r="V298" s="3">
        <f>-V142</f>
        <v>0</v>
      </c>
      <c r="W298" s="3">
        <f>SUM(S298:V298)</f>
        <v>0</v>
      </c>
      <c r="X298" s="3">
        <f>-X142</f>
        <v>0</v>
      </c>
      <c r="Y298" s="3">
        <f>-Y142</f>
        <v>0</v>
      </c>
      <c r="Z298" s="3">
        <f>-Z142</f>
        <v>0</v>
      </c>
      <c r="AA298" s="3">
        <f>-AA142</f>
        <v>0</v>
      </c>
      <c r="AB298" s="3">
        <f>SUM(X298:AA298)</f>
        <v>0</v>
      </c>
      <c r="AC298" s="3">
        <f>-AC142</f>
        <v>0</v>
      </c>
      <c r="AD298" s="3">
        <f>-AD142</f>
        <v>0</v>
      </c>
      <c r="AE298" s="3">
        <f>-AE142</f>
        <v>0</v>
      </c>
      <c r="AF298" s="3">
        <f>-AF142</f>
        <v>0</v>
      </c>
      <c r="AG298" s="3">
        <f>SUM(AC298:AF298)</f>
        <v>0</v>
      </c>
      <c r="AH298" s="3">
        <f>-AH142</f>
        <v>0</v>
      </c>
      <c r="AI298" s="3">
        <f>-AI142</f>
        <v>0</v>
      </c>
      <c r="AJ298" s="3">
        <f>-AJ142</f>
        <v>0</v>
      </c>
      <c r="AK298" s="3">
        <f>-AK142</f>
        <v>0</v>
      </c>
      <c r="AL298" s="3">
        <f>SUM(AH298:AK298)</f>
        <v>0</v>
      </c>
      <c r="AM298" s="3">
        <f>-AM142</f>
        <v>0</v>
      </c>
      <c r="AN298" s="3">
        <f>-AN142</f>
        <v>0</v>
      </c>
      <c r="AO298" s="3">
        <f>-AO142</f>
        <v>0</v>
      </c>
      <c r="AP298" s="3">
        <f>-AP142</f>
        <v>0</v>
      </c>
      <c r="AQ298" s="3">
        <f>SUM(AM298:AP298)</f>
        <v>0</v>
      </c>
      <c r="AR298" s="3">
        <f>-AR142</f>
        <v>0</v>
      </c>
      <c r="AS298" s="3">
        <f>-AS142</f>
        <v>0</v>
      </c>
      <c r="AT298" s="3">
        <f>-AT142</f>
        <v>0</v>
      </c>
      <c r="AU298" s="3">
        <f>-AU142</f>
        <v>0</v>
      </c>
      <c r="AV298" s="3">
        <f>SUM(AR298:AU298)</f>
        <v>0</v>
      </c>
      <c r="AW298" s="3">
        <f>-AW142</f>
        <v>0</v>
      </c>
      <c r="AX298" s="3">
        <f>-AX142</f>
        <v>0</v>
      </c>
      <c r="AY298" s="3">
        <f>-AY142</f>
        <v>0</v>
      </c>
      <c r="AZ298" s="3">
        <f>-AZ142</f>
        <v>0</v>
      </c>
      <c r="BA298" s="3">
        <f>SUM(AW298:AZ298)</f>
        <v>0</v>
      </c>
      <c r="BB298" s="3">
        <f>-BB142</f>
        <v>0</v>
      </c>
      <c r="BC298" s="3">
        <f>-BC142</f>
        <v>0</v>
      </c>
      <c r="BD298" s="3">
        <f>-BD142</f>
        <v>0</v>
      </c>
      <c r="BE298" s="3">
        <f>-BE142</f>
        <v>0</v>
      </c>
      <c r="BF298" s="3">
        <f>SUM(BB298:BE298)</f>
        <v>0</v>
      </c>
      <c r="BG298" s="3">
        <f>-BG142</f>
        <v>0</v>
      </c>
      <c r="BH298" s="3">
        <f>-BH142</f>
        <v>0</v>
      </c>
      <c r="BI298" s="3">
        <f>-BI142</f>
        <v>0</v>
      </c>
      <c r="BJ298" s="3">
        <f>-BJ142</f>
        <v>0</v>
      </c>
      <c r="BK298" s="3">
        <f>SUM(BG298:BJ298)</f>
        <v>0</v>
      </c>
      <c r="BL298" s="3">
        <f>-BL142</f>
        <v>0</v>
      </c>
      <c r="BM298" s="3">
        <f>-BM142</f>
        <v>0</v>
      </c>
      <c r="BN298" s="3">
        <f>-BN142</f>
        <v>0</v>
      </c>
      <c r="BO298" s="3">
        <f>-BO142</f>
        <v>0</v>
      </c>
      <c r="BP298" s="3">
        <f>SUM(BL298:BO298)</f>
        <v>0</v>
      </c>
      <c r="BQ298" s="3">
        <f>-BQ142</f>
        <v>0</v>
      </c>
      <c r="BR298" s="3">
        <f>-BR142</f>
        <v>0</v>
      </c>
      <c r="BS298" s="3">
        <f>-BS142</f>
        <v>0</v>
      </c>
      <c r="BT298" s="3">
        <f>-BT142</f>
        <v>0</v>
      </c>
      <c r="BU298" s="3">
        <f>SUM(BQ298:BT298)</f>
        <v>0</v>
      </c>
      <c r="BV298" s="3">
        <f>-BV142</f>
        <v>0</v>
      </c>
      <c r="BW298" s="3">
        <f>-BW142</f>
        <v>0</v>
      </c>
      <c r="BX298" s="3">
        <f>-BX142</f>
        <v>0</v>
      </c>
      <c r="BY298" s="3">
        <f>-BY142</f>
        <v>0</v>
      </c>
      <c r="BZ298" s="3">
        <f>SUM(BV298:BY298)</f>
        <v>0</v>
      </c>
      <c r="CA298" s="3">
        <f>-CA142</f>
        <v>0</v>
      </c>
      <c r="CB298" s="3">
        <f>-CB142</f>
        <v>0</v>
      </c>
      <c r="CC298" s="3">
        <f>-CC142</f>
        <v>0</v>
      </c>
      <c r="CD298" s="3">
        <f>-CD142</f>
        <v>0</v>
      </c>
      <c r="CE298" s="3">
        <f>SUM(CA298:CD298)</f>
        <v>0</v>
      </c>
      <c r="CF298" s="3">
        <f>-CF142</f>
        <v>0</v>
      </c>
      <c r="CG298" s="3">
        <f>-CG142</f>
        <v>0</v>
      </c>
      <c r="CH298" s="3">
        <f>-CH142</f>
        <v>0</v>
      </c>
      <c r="CI298" s="3">
        <f>-CI142</f>
        <v>0</v>
      </c>
      <c r="CJ298" s="3">
        <f>SUM(CF298:CI298)</f>
        <v>0</v>
      </c>
      <c r="CK298" s="3">
        <f>-CK142</f>
        <v>0</v>
      </c>
      <c r="CL298" s="3">
        <f>-CL142</f>
        <v>0</v>
      </c>
      <c r="CM298" s="3">
        <f>-CM142</f>
        <v>0</v>
      </c>
      <c r="CN298" s="3">
        <f>-CN142</f>
        <v>0</v>
      </c>
      <c r="CO298" s="3">
        <f>SUM(CK298:CN298)</f>
        <v>0</v>
      </c>
      <c r="CP298" s="3">
        <f>-CP142</f>
        <v>0</v>
      </c>
      <c r="CQ298" s="3">
        <f>-CQ142</f>
        <v>0</v>
      </c>
      <c r="CR298" s="3">
        <f>-CR142</f>
        <v>0</v>
      </c>
      <c r="CS298" s="3">
        <f>-CS142</f>
        <v>0</v>
      </c>
      <c r="CT298" s="3">
        <f>SUM(CP298:CS298)</f>
        <v>0</v>
      </c>
      <c r="CU298" s="3">
        <f>-CU142</f>
        <v>0</v>
      </c>
      <c r="CV298" s="3">
        <f>-CV142</f>
        <v>0</v>
      </c>
      <c r="CW298" s="3">
        <f>-CW142</f>
        <v>0</v>
      </c>
      <c r="CX298" s="3">
        <f>-CX142</f>
        <v>0</v>
      </c>
      <c r="CY298" s="3">
        <f>SUM(CU298:CX298)</f>
        <v>0</v>
      </c>
    </row>
    <row r="299">
      <c r="C299" s="26" t="inlineStr">
        <is>
          <t>Cash from operations</t>
        </is>
      </c>
      <c r="D299" s="3" t="n"/>
      <c r="E299" s="3">
        <f>SUM(E283,E284,E285,E296,E297,E298)</f>
        <v>122.297327737884</v>
      </c>
      <c r="F299" s="3">
        <f>SUM(F283,F284,F285,F296,F297,F298)</f>
        <v>-19.5226382233334</v>
      </c>
      <c r="G299" s="3">
        <f>SUM(G283,G284,G285,G296,G297,G298)</f>
        <v>29.945784444465</v>
      </c>
      <c r="H299" s="3">
        <f>SUM(H283,H284,H285,H296,H297,H298)</f>
        <v>132.720473959016</v>
      </c>
      <c r="I299" s="3">
        <f>SUM(I283,I284,I285,I296,I297,I298)</f>
        <v>35.0065028089901</v>
      </c>
      <c r="J299" s="3">
        <f>SUM(J283,J284,J285,J296,J297,J298)</f>
        <v>26.9793662074424</v>
      </c>
      <c r="K299" s="3">
        <f>SUM(K283,K284,K285,K296,K297,K298)</f>
        <v>95.7663529699998</v>
      </c>
      <c r="L299" s="3">
        <f>SUM(L283,L284,L285,L296,L297,L298)</f>
        <v>128.429284231995</v>
      </c>
      <c r="M299" s="3">
        <f>SUM(M283,M284,M285,M296,M297,M298)</f>
        <v>286.181506218427</v>
      </c>
      <c r="N299" s="3">
        <f>SUM(N283,N284,N285,N296,N297,N298)</f>
        <v>-19.9981062450614</v>
      </c>
      <c r="O299" s="3">
        <f>SUM(O283,O284,O285,O296,O297,O298)</f>
        <v>-18.4645203579178</v>
      </c>
      <c r="P299" s="3">
        <f>SUM(P283,P284,P285,P296,P297,P298)</f>
        <v>47.9292464299014</v>
      </c>
      <c r="Q299" s="3">
        <f>SUM(Q283,Q284,Q285,Q296,Q297,Q298)</f>
        <v>224.410900495584</v>
      </c>
      <c r="R299" s="3">
        <f>SUM(R283,R284,R285,R296,R297,R298)</f>
        <v>233.877520322506</v>
      </c>
      <c r="S299" s="3">
        <f>SUM(S283,S284,S285,S296,S297,S298)</f>
        <v>38.6656913555723</v>
      </c>
      <c r="T299" s="3">
        <f>SUM(T283,T284,T285,T296,T297,T298)</f>
        <v>-75.881598605598</v>
      </c>
      <c r="U299" s="3">
        <f>SUM(U283,U284,U285,U296,U297,U298)</f>
        <v>77.8895275400012</v>
      </c>
      <c r="V299" s="3">
        <f>SUM(V283,V284,V285,V296,V297,V298)</f>
        <v>145.442410820001</v>
      </c>
      <c r="W299" s="3">
        <f>SUM(W283,W284,W285,W296,W297,W298)</f>
        <v>186.116031109976</v>
      </c>
      <c r="X299" s="3">
        <f>SUM(X283,X284,X285,X296,X297,X298)</f>
        <v>122.803548560954</v>
      </c>
      <c r="Y299" s="3">
        <f>SUM(Y283,Y284,Y285,Y296,Y297,Y298)</f>
        <v>89.7133717958512</v>
      </c>
      <c r="Z299" s="3">
        <f>SUM(Z283,Z284,Z285,Z296,Z297,Z298)</f>
        <v>-51.874132992381</v>
      </c>
      <c r="AA299" s="3">
        <f>SUM(AA283,AA284,AA285,AA296,AA297,AA298)</f>
        <v>-6.4254390622946</v>
      </c>
      <c r="AB299" s="3">
        <f>SUM(AB283,AB284,AB285,AB296,AB297,AB298)</f>
        <v>154.21734830213</v>
      </c>
      <c r="AC299" s="3">
        <f>SUM(AC283,AC284,AC285,AC296,AC297,AC298)</f>
        <v>115.84210662</v>
      </c>
      <c r="AD299" s="3">
        <f>SUM(AD283,AD284,AD285,AD296,AD297,AD298)</f>
        <v>27.4594444699988</v>
      </c>
      <c r="AE299" s="3">
        <f>SUM(AE283,AE284,AE285,AE296,AE297,AE298)</f>
        <v>2.56905170000012</v>
      </c>
      <c r="AF299" s="3">
        <f>SUM(AF283,AF284,AF285,AF296,AF297,AF298)</f>
        <v>403.23313921</v>
      </c>
      <c r="AG299" s="3">
        <f>SUM(AG283,AG284,AG285,AG296,AG297,AG298)</f>
        <v>549.103741999999</v>
      </c>
      <c r="AH299" s="3">
        <f>SUM(AH283,AH284,AH285,AH296,AH297,AH298)</f>
        <v>25.6875137300005</v>
      </c>
      <c r="AI299" s="3">
        <f>SUM(AI283,AI284,AI285,AI296,AI297,AI298)</f>
        <v>138.754090340001</v>
      </c>
      <c r="AJ299" s="3">
        <f>SUM(AJ283,AJ284,AJ285,AJ296,AJ297,AJ298)</f>
        <v>2202.63797407</v>
      </c>
      <c r="AK299" s="3">
        <f>SUM(AK283,AK284,AK285,AK296,AK297,AK298)</f>
        <v>11.195</v>
      </c>
      <c r="AL299" s="3">
        <f>SUM(AL283,AL284,AL285,AL296,AL297,AL298)</f>
        <v>2378.27457814</v>
      </c>
      <c r="AM299" s="3" t="e">
        <f>SUM(AM283,AM284,AM285,AM296,AM297,AM298)</f>
        <v>#DIV/0!</v>
      </c>
      <c r="AN299" s="3" t="e">
        <f>SUM(AN283,AN284,AN285,AN296,AN297,AN298)</f>
        <v>#DIV/0!</v>
      </c>
      <c r="AO299" s="3" t="e">
        <f>SUM(AO283,AO284,AO285,AO296,AO297,AO298)</f>
        <v>#DIV/0!</v>
      </c>
      <c r="AP299" s="3" t="e">
        <f>SUM(AP283,AP284,AP285,AP296,AP297,AP298)</f>
        <v>#DIV/0!</v>
      </c>
      <c r="AQ299" s="3" t="e">
        <f>SUM(AQ283,AQ284,AQ285,AQ296,AQ297,AQ298)</f>
        <v>#DIV/0!</v>
      </c>
      <c r="AR299" s="3" t="e">
        <f>SUM(AR283,AR284,AR285,AR296,AR297,AR298)</f>
        <v>#DIV/0!</v>
      </c>
      <c r="AS299" s="3" t="e">
        <f>SUM(AS283,AS284,AS285,AS296,AS297,AS298)</f>
        <v>#DIV/0!</v>
      </c>
      <c r="AT299" s="3" t="e">
        <f>SUM(AT283,AT284,AT285,AT296,AT297,AT298)</f>
        <v>#DIV/0!</v>
      </c>
      <c r="AU299" s="3" t="e">
        <f>SUM(AU283,AU284,AU285,AU296,AU297,AU298)</f>
        <v>#DIV/0!</v>
      </c>
      <c r="AV299" s="3" t="e">
        <f>SUM(AV283,AV284,AV285,AV296,AV297,AV298)</f>
        <v>#DIV/0!</v>
      </c>
      <c r="AW299" s="3" t="e">
        <f>SUM(AW283,AW284,AW285,AW296,AW297,AW298)</f>
        <v>#DIV/0!</v>
      </c>
      <c r="AX299" s="3" t="e">
        <f>SUM(AX283,AX284,AX285,AX296,AX297,AX298)</f>
        <v>#DIV/0!</v>
      </c>
      <c r="AY299" s="3" t="e">
        <f>SUM(AY283,AY284,AY285,AY296,AY297,AY298)</f>
        <v>#DIV/0!</v>
      </c>
      <c r="AZ299" s="3" t="e">
        <f>SUM(AZ283,AZ284,AZ285,AZ296,AZ297,AZ298)</f>
        <v>#DIV/0!</v>
      </c>
      <c r="BA299" s="3" t="e">
        <f>SUM(BA283,BA284,BA285,BA296,BA297,BA298)</f>
        <v>#DIV/0!</v>
      </c>
      <c r="BB299" s="3" t="e">
        <f>SUM(BB283,BB284,BB285,BB296,BB297,BB298)</f>
        <v>#DIV/0!</v>
      </c>
      <c r="BC299" s="3" t="e">
        <f>SUM(BC283,BC284,BC285,BC296,BC297,BC298)</f>
        <v>#DIV/0!</v>
      </c>
      <c r="BD299" s="3" t="e">
        <f>SUM(BD283,BD284,BD285,BD296,BD297,BD298)</f>
        <v>#DIV/0!</v>
      </c>
      <c r="BE299" s="3" t="e">
        <f>SUM(BE283,BE284,BE285,BE296,BE297,BE298)</f>
        <v>#DIV/0!</v>
      </c>
      <c r="BF299" s="3" t="e">
        <f>SUM(BF283,BF284,BF285,BF296,BF297,BF298)</f>
        <v>#DIV/0!</v>
      </c>
      <c r="BG299" s="3" t="e">
        <f>SUM(BG283,BG284,BG285,BG296,BG297,BG298)</f>
        <v>#DIV/0!</v>
      </c>
      <c r="BH299" s="3" t="e">
        <f>SUM(BH283,BH284,BH285,BH296,BH297,BH298)</f>
        <v>#DIV/0!</v>
      </c>
      <c r="BI299" s="3" t="e">
        <f>SUM(BI283,BI284,BI285,BI296,BI297,BI298)</f>
        <v>#DIV/0!</v>
      </c>
      <c r="BJ299" s="3" t="e">
        <f>SUM(BJ283,BJ284,BJ285,BJ296,BJ297,BJ298)</f>
        <v>#DIV/0!</v>
      </c>
      <c r="BK299" s="3" t="e">
        <f>SUM(BK283,BK284,BK285,BK296,BK297,BK298)</f>
        <v>#DIV/0!</v>
      </c>
      <c r="BL299" s="3" t="e">
        <f>SUM(BL283,BL284,BL285,BL296,BL297,BL298)</f>
        <v>#DIV/0!</v>
      </c>
      <c r="BM299" s="3" t="e">
        <f>SUM(BM283,BM284,BM285,BM296,BM297,BM298)</f>
        <v>#DIV/0!</v>
      </c>
      <c r="BN299" s="3" t="e">
        <f>SUM(BN283,BN284,BN285,BN296,BN297,BN298)</f>
        <v>#DIV/0!</v>
      </c>
      <c r="BO299" s="3" t="e">
        <f>SUM(BO283,BO284,BO285,BO296,BO297,BO298)</f>
        <v>#DIV/0!</v>
      </c>
      <c r="BP299" s="3" t="e">
        <f>SUM(BP283,BP284,BP285,BP296,BP297,BP298)</f>
        <v>#DIV/0!</v>
      </c>
      <c r="BQ299" s="3" t="e">
        <f>SUM(BQ283,BQ284,BQ285,BQ296,BQ297,BQ298)</f>
        <v>#DIV/0!</v>
      </c>
      <c r="BR299" s="3" t="e">
        <f>SUM(BR283,BR284,BR285,BR296,BR297,BR298)</f>
        <v>#DIV/0!</v>
      </c>
      <c r="BS299" s="3" t="e">
        <f>SUM(BS283,BS284,BS285,BS296,BS297,BS298)</f>
        <v>#DIV/0!</v>
      </c>
      <c r="BT299" s="3" t="e">
        <f>SUM(BT283,BT284,BT285,BT296,BT297,BT298)</f>
        <v>#DIV/0!</v>
      </c>
      <c r="BU299" s="3" t="e">
        <f>SUM(BU283,BU284,BU285,BU296,BU297,BU298)</f>
        <v>#DIV/0!</v>
      </c>
      <c r="BV299" s="3" t="e">
        <f>SUM(BV283,BV284,BV285,BV296,BV297,BV298)</f>
        <v>#DIV/0!</v>
      </c>
      <c r="BW299" s="3" t="e">
        <f>SUM(BW283,BW284,BW285,BW296,BW297,BW298)</f>
        <v>#DIV/0!</v>
      </c>
      <c r="BX299" s="3" t="e">
        <f>SUM(BX283,BX284,BX285,BX296,BX297,BX298)</f>
        <v>#DIV/0!</v>
      </c>
      <c r="BY299" s="3" t="e">
        <f>SUM(BY283,BY284,BY285,BY296,BY297,BY298)</f>
        <v>#DIV/0!</v>
      </c>
      <c r="BZ299" s="3" t="e">
        <f>SUM(BZ283,BZ284,BZ285,BZ296,BZ297,BZ298)</f>
        <v>#DIV/0!</v>
      </c>
      <c r="CA299" s="3" t="e">
        <f>SUM(CA283,CA284,CA285,CA296,CA297,CA298)</f>
        <v>#DIV/0!</v>
      </c>
      <c r="CB299" s="3" t="e">
        <f>SUM(CB283,CB284,CB285,CB296,CB297,CB298)</f>
        <v>#DIV/0!</v>
      </c>
      <c r="CC299" s="3" t="e">
        <f>SUM(CC283,CC284,CC285,CC296,CC297,CC298)</f>
        <v>#DIV/0!</v>
      </c>
      <c r="CD299" s="3" t="e">
        <f>SUM(CD283,CD284,CD285,CD296,CD297,CD298)</f>
        <v>#DIV/0!</v>
      </c>
      <c r="CE299" s="3" t="e">
        <f>SUM(CE283,CE284,CE285,CE296,CE297,CE298)</f>
        <v>#DIV/0!</v>
      </c>
      <c r="CF299" s="3" t="e">
        <f>SUM(CF283,CF284,CF285,CF296,CF297,CF298)</f>
        <v>#DIV/0!</v>
      </c>
      <c r="CG299" s="3" t="e">
        <f>SUM(CG283,CG284,CG285,CG296,CG297,CG298)</f>
        <v>#DIV/0!</v>
      </c>
      <c r="CH299" s="3" t="e">
        <f>SUM(CH283,CH284,CH285,CH296,CH297,CH298)</f>
        <v>#DIV/0!</v>
      </c>
      <c r="CI299" s="3" t="e">
        <f>SUM(CI283,CI284,CI285,CI296,CI297,CI298)</f>
        <v>#DIV/0!</v>
      </c>
      <c r="CJ299" s="3" t="e">
        <f>SUM(CJ283,CJ284,CJ285,CJ296,CJ297,CJ298)</f>
        <v>#DIV/0!</v>
      </c>
      <c r="CK299" s="3" t="e">
        <f>SUM(CK283,CK284,CK285,CK296,CK297,CK298)</f>
        <v>#DIV/0!</v>
      </c>
      <c r="CL299" s="3" t="e">
        <f>SUM(CL283,CL284,CL285,CL296,CL297,CL298)</f>
        <v>#DIV/0!</v>
      </c>
      <c r="CM299" s="3" t="e">
        <f>SUM(CM283,CM284,CM285,CM296,CM297,CM298)</f>
        <v>#DIV/0!</v>
      </c>
      <c r="CN299" s="3" t="e">
        <f>SUM(CN283,CN284,CN285,CN296,CN297,CN298)</f>
        <v>#DIV/0!</v>
      </c>
      <c r="CO299" s="3" t="e">
        <f>SUM(CO283,CO284,CO285,CO296,CO297,CO298)</f>
        <v>#DIV/0!</v>
      </c>
      <c r="CP299" s="3" t="e">
        <f>SUM(CP283,CP284,CP285,CP296,CP297,CP298)</f>
        <v>#DIV/0!</v>
      </c>
      <c r="CQ299" s="3" t="e">
        <f>SUM(CQ283,CQ284,CQ285,CQ296,CQ297,CQ298)</f>
        <v>#DIV/0!</v>
      </c>
      <c r="CR299" s="3" t="e">
        <f>SUM(CR283,CR284,CR285,CR296,CR297,CR298)</f>
        <v>#DIV/0!</v>
      </c>
      <c r="CS299" s="3" t="e">
        <f>SUM(CS283,CS284,CS285,CS296,CS297,CS298)</f>
        <v>#DIV/0!</v>
      </c>
      <c r="CT299" s="3" t="e">
        <f>SUM(CT283,CT284,CT285,CT296,CT297,CT298)</f>
        <v>#DIV/0!</v>
      </c>
      <c r="CU299" s="3" t="e">
        <f>SUM(CU283,CU284,CU285,CU296,CU297,CU298)</f>
        <v>#DIV/0!</v>
      </c>
      <c r="CV299" s="3" t="e">
        <f>SUM(CV283,CV284,CV285,CV296,CV297,CV298)</f>
        <v>#DIV/0!</v>
      </c>
      <c r="CW299" s="3" t="e">
        <f>SUM(CW283,CW284,CW285,CW296,CW297,CW298)</f>
        <v>#DIV/0!</v>
      </c>
      <c r="CX299" s="3" t="e">
        <f>SUM(CX283,CX284,CX285,CX296,CX297,CX298)</f>
        <v>#DIV/0!</v>
      </c>
      <c r="CY299" s="3" t="e">
        <f>SUM(CY283,CY284,CY285,CY296,CY297,CY298)</f>
        <v>#DIV/0!</v>
      </c>
    </row>
    <row r="300">
      <c r="C300" s="26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n"/>
      <c r="BE300" s="3" t="n"/>
      <c r="BF300" s="3" t="n"/>
      <c r="BG300" s="3" t="n"/>
      <c r="BH300" s="3" t="n"/>
      <c r="BI300" s="3" t="n"/>
      <c r="BJ300" s="3" t="n"/>
      <c r="BK300" s="3" t="n"/>
      <c r="BL300" s="3" t="n"/>
      <c r="BM300" s="3" t="n"/>
      <c r="BN300" s="3" t="n"/>
      <c r="BO300" s="3" t="n"/>
      <c r="BP300" s="3" t="n"/>
      <c r="BQ300" s="3" t="n"/>
      <c r="BR300" s="3" t="n"/>
      <c r="BS300" s="3" t="n"/>
      <c r="BT300" s="3" t="n"/>
      <c r="BU300" s="3" t="n"/>
      <c r="BV300" s="3" t="n"/>
      <c r="BW300" s="3" t="n"/>
      <c r="BX300" s="3" t="n"/>
      <c r="BY300" s="3" t="n"/>
      <c r="BZ300" s="3" t="n"/>
      <c r="CA300" s="3" t="n"/>
      <c r="CB300" s="3" t="n"/>
      <c r="CC300" s="3" t="n"/>
      <c r="CD300" s="3" t="n"/>
      <c r="CE300" s="3" t="n"/>
      <c r="CF300" s="3" t="n"/>
      <c r="CG300" s="3" t="n"/>
      <c r="CH300" s="3" t="n"/>
      <c r="CI300" s="3" t="n"/>
      <c r="CJ300" s="3" t="n"/>
      <c r="CK300" s="3" t="n"/>
      <c r="CL300" s="3" t="n"/>
      <c r="CM300" s="3" t="n"/>
      <c r="CN300" s="3" t="n"/>
      <c r="CO300" s="3" t="n"/>
      <c r="CP300" s="3" t="n"/>
      <c r="CQ300" s="3" t="n"/>
      <c r="CR300" s="3" t="n"/>
      <c r="CS300" s="3" t="n"/>
      <c r="CT300" s="3" t="n"/>
      <c r="CU300" s="3" t="n"/>
      <c r="CV300" s="3" t="n"/>
      <c r="CW300" s="3" t="n"/>
      <c r="CX300" s="3" t="n"/>
      <c r="CY300" s="3" t="n"/>
    </row>
    <row r="301">
      <c r="C301" s="29" t="inlineStr">
        <is>
          <t>Purchase of fixed assets (capital expenditures)</t>
        </is>
      </c>
      <c r="D301" s="3" t="n"/>
      <c r="E301" s="3">
        <f>-E174</f>
        <v>-16.9384769299999</v>
      </c>
      <c r="F301" s="3">
        <f>-F174</f>
        <v>-24.0509627800002</v>
      </c>
      <c r="G301" s="3">
        <f>-G174</f>
        <v>-21.5764325899998</v>
      </c>
      <c r="H301" s="3">
        <f>SUM(D301:G301)</f>
        <v>-62.5658722999999</v>
      </c>
      <c r="I301" s="3">
        <f>-I174</f>
        <v>-34.1074542900001</v>
      </c>
      <c r="J301" s="3">
        <f>-J174</f>
        <v>-47.53635122</v>
      </c>
      <c r="K301" s="3">
        <f>-K174</f>
        <v>-60.7836403</v>
      </c>
      <c r="L301" s="3">
        <f>-L174</f>
        <v>-69.4831718300001</v>
      </c>
      <c r="M301" s="3">
        <f>SUM(I301:L301)</f>
        <v>-211.91061764</v>
      </c>
      <c r="N301" s="3">
        <f>-N174</f>
        <v>-54.3715846399999</v>
      </c>
      <c r="O301" s="3">
        <f>-O174</f>
        <v>-67.1845110100001</v>
      </c>
      <c r="P301" s="3">
        <f>-P174</f>
        <v>-96.7724636799999</v>
      </c>
      <c r="Q301" s="3">
        <f>-Q174</f>
        <v>-66.7733804700001</v>
      </c>
      <c r="R301" s="3">
        <f>SUM(N301:Q301)</f>
        <v>-285.1019398</v>
      </c>
      <c r="S301" s="3">
        <f>-S174</f>
        <v>-55.1720997200005</v>
      </c>
      <c r="T301" s="3">
        <f>-T174</f>
        <v>-58.1385325300001</v>
      </c>
      <c r="U301" s="3">
        <f>-U174</f>
        <v>-70.7503795999999</v>
      </c>
      <c r="V301" s="3">
        <f>-V174</f>
        <v>-63.6058927399999</v>
      </c>
      <c r="W301" s="3">
        <f>SUM(S301:V301)</f>
        <v>-247.66690459</v>
      </c>
      <c r="X301" s="3">
        <f>-X174</f>
        <v>-60.7848390800001</v>
      </c>
      <c r="Y301" s="3">
        <f>-Y174</f>
        <v>-51.7789982300001</v>
      </c>
      <c r="Z301" s="3">
        <f>-Z174</f>
        <v>-72.2291316736192</v>
      </c>
      <c r="AA301" s="3">
        <f>-AA174</f>
        <v>-52.2748885174917</v>
      </c>
      <c r="AB301" s="3">
        <f>SUM(X301:AA301)</f>
        <v>-237.067857501111</v>
      </c>
      <c r="AC301" s="3">
        <f>-AC174</f>
        <v>-60.43295948</v>
      </c>
      <c r="AD301" s="3">
        <f>-AD174</f>
        <v>-28.9675473700002</v>
      </c>
      <c r="AE301" s="3">
        <f>-AE174</f>
        <v>-127.06282006</v>
      </c>
      <c r="AF301" s="3">
        <f>-AF174</f>
        <v>-38.5484089899999</v>
      </c>
      <c r="AG301" s="3">
        <f>SUM(AC301:AF301)</f>
        <v>-255.0117359</v>
      </c>
      <c r="AH301" s="3">
        <f>-AH174</f>
        <v>-40.8617934600003</v>
      </c>
      <c r="AI301" s="3">
        <f>-AI174</f>
        <v>-48.2449415099999</v>
      </c>
      <c r="AJ301" s="3">
        <f>-AJ174</f>
        <v>0</v>
      </c>
      <c r="AK301" s="3">
        <f>-AK174</f>
        <v>0</v>
      </c>
      <c r="AL301" s="3">
        <f>SUM(AH301:AK301)</f>
        <v>-89.1067349700003</v>
      </c>
      <c r="AM301" s="3">
        <f>-AM174</f>
        <v>0</v>
      </c>
      <c r="AN301" s="3">
        <f>-AN174</f>
        <v>0</v>
      </c>
      <c r="AO301" s="3">
        <f>-AO174</f>
        <v>0</v>
      </c>
      <c r="AP301" s="3">
        <f>-AP174</f>
        <v>0</v>
      </c>
      <c r="AQ301" s="3">
        <f>SUM(AM301:AP301)</f>
        <v>0</v>
      </c>
      <c r="AR301" s="3">
        <f>-AR174</f>
        <v>0</v>
      </c>
      <c r="AS301" s="3">
        <f>-AS174</f>
        <v>0</v>
      </c>
      <c r="AT301" s="3">
        <f>-AT174</f>
        <v>0</v>
      </c>
      <c r="AU301" s="3">
        <f>-AU174</f>
        <v>0</v>
      </c>
      <c r="AV301" s="3">
        <f>SUM(AR301:AU301)</f>
        <v>0</v>
      </c>
      <c r="AW301" s="3">
        <f>-AW174</f>
        <v>0</v>
      </c>
      <c r="AX301" s="3">
        <f>-AX174</f>
        <v>0</v>
      </c>
      <c r="AY301" s="3">
        <f>-AY174</f>
        <v>0</v>
      </c>
      <c r="AZ301" s="3">
        <f>-AZ174</f>
        <v>0</v>
      </c>
      <c r="BA301" s="3">
        <f>SUM(AW301:AZ301)</f>
        <v>0</v>
      </c>
      <c r="BB301" s="3">
        <f>-BB174</f>
        <v>0</v>
      </c>
      <c r="BC301" s="3">
        <f>-BC174</f>
        <v>0</v>
      </c>
      <c r="BD301" s="3">
        <f>-BD174</f>
        <v>0</v>
      </c>
      <c r="BE301" s="3">
        <f>-BE174</f>
        <v>0</v>
      </c>
      <c r="BF301" s="3">
        <f>SUM(BB301:BE301)</f>
        <v>0</v>
      </c>
      <c r="BG301" s="3">
        <f>-BG174</f>
        <v>0</v>
      </c>
      <c r="BH301" s="3">
        <f>-BH174</f>
        <v>0</v>
      </c>
      <c r="BI301" s="3">
        <f>-BI174</f>
        <v>0</v>
      </c>
      <c r="BJ301" s="3">
        <f>-BJ174</f>
        <v>0</v>
      </c>
      <c r="BK301" s="3">
        <f>SUM(BG301:BJ301)</f>
        <v>0</v>
      </c>
      <c r="BL301" s="3">
        <f>-BL174</f>
        <v>0</v>
      </c>
      <c r="BM301" s="3">
        <f>-BM174</f>
        <v>0</v>
      </c>
      <c r="BN301" s="3">
        <f>-BN174</f>
        <v>0</v>
      </c>
      <c r="BO301" s="3">
        <f>-BO174</f>
        <v>0</v>
      </c>
      <c r="BP301" s="3">
        <f>SUM(BL301:BO301)</f>
        <v>0</v>
      </c>
      <c r="BQ301" s="3">
        <f>-BQ174</f>
        <v>0</v>
      </c>
      <c r="BR301" s="3">
        <f>-BR174</f>
        <v>0</v>
      </c>
      <c r="BS301" s="3">
        <f>-BS174</f>
        <v>0</v>
      </c>
      <c r="BT301" s="3">
        <f>-BT174</f>
        <v>0</v>
      </c>
      <c r="BU301" s="3">
        <f>SUM(BQ301:BT301)</f>
        <v>0</v>
      </c>
      <c r="BV301" s="3">
        <f>-BV174</f>
        <v>0</v>
      </c>
      <c r="BW301" s="3">
        <f>-BW174</f>
        <v>0</v>
      </c>
      <c r="BX301" s="3">
        <f>-BX174</f>
        <v>0</v>
      </c>
      <c r="BY301" s="3">
        <f>-BY174</f>
        <v>0</v>
      </c>
      <c r="BZ301" s="3">
        <f>SUM(BV301:BY301)</f>
        <v>0</v>
      </c>
      <c r="CA301" s="3">
        <f>-CA174</f>
        <v>0</v>
      </c>
      <c r="CB301" s="3">
        <f>-CB174</f>
        <v>0</v>
      </c>
      <c r="CC301" s="3">
        <f>-CC174</f>
        <v>0</v>
      </c>
      <c r="CD301" s="3">
        <f>-CD174</f>
        <v>0</v>
      </c>
      <c r="CE301" s="3">
        <f>SUM(CA301:CD301)</f>
        <v>0</v>
      </c>
      <c r="CF301" s="3">
        <f>-CF174</f>
        <v>0</v>
      </c>
      <c r="CG301" s="3">
        <f>-CG174</f>
        <v>0</v>
      </c>
      <c r="CH301" s="3">
        <f>-CH174</f>
        <v>0</v>
      </c>
      <c r="CI301" s="3">
        <f>-CI174</f>
        <v>0</v>
      </c>
      <c r="CJ301" s="3">
        <f>SUM(CF301:CI301)</f>
        <v>0</v>
      </c>
      <c r="CK301" s="3">
        <f>-CK174</f>
        <v>0</v>
      </c>
      <c r="CL301" s="3">
        <f>-CL174</f>
        <v>0</v>
      </c>
      <c r="CM301" s="3">
        <f>-CM174</f>
        <v>0</v>
      </c>
      <c r="CN301" s="3">
        <f>-CN174</f>
        <v>0</v>
      </c>
      <c r="CO301" s="3">
        <f>SUM(CK301:CN301)</f>
        <v>0</v>
      </c>
      <c r="CP301" s="3">
        <f>-CP174</f>
        <v>0</v>
      </c>
      <c r="CQ301" s="3">
        <f>-CQ174</f>
        <v>0</v>
      </c>
      <c r="CR301" s="3">
        <f>-CR174</f>
        <v>0</v>
      </c>
      <c r="CS301" s="3">
        <f>-CS174</f>
        <v>0</v>
      </c>
      <c r="CT301" s="3">
        <f>SUM(CP301:CS301)</f>
        <v>0</v>
      </c>
      <c r="CU301" s="3">
        <f>-CU174</f>
        <v>0</v>
      </c>
      <c r="CV301" s="3">
        <f>-CV174</f>
        <v>0</v>
      </c>
      <c r="CW301" s="3">
        <f>-CW174</f>
        <v>0</v>
      </c>
      <c r="CX301" s="3">
        <f>-CX174</f>
        <v>0</v>
      </c>
      <c r="CY301" s="3">
        <f>SUM(CU301:CX301)</f>
        <v>0</v>
      </c>
    </row>
    <row r="302">
      <c r="C302" s="29" t="inlineStr">
        <is>
          <t>Proceeds from sale of fixed assets</t>
        </is>
      </c>
      <c r="D302" s="3" t="n"/>
      <c r="E302" s="3">
        <f>-E175</f>
        <v>0</v>
      </c>
      <c r="F302" s="3">
        <f>-F175</f>
        <v>0</v>
      </c>
      <c r="G302" s="3">
        <f>-G175</f>
        <v>0</v>
      </c>
      <c r="H302" s="3">
        <f>SUM(D302:G302)</f>
        <v>0</v>
      </c>
      <c r="I302" s="3">
        <f>-I175</f>
        <v>0</v>
      </c>
      <c r="J302" s="3">
        <f>-J175</f>
        <v>0</v>
      </c>
      <c r="K302" s="3">
        <f>-K175</f>
        <v>0</v>
      </c>
      <c r="L302" s="3">
        <f>-L175</f>
        <v>0</v>
      </c>
      <c r="M302" s="3">
        <f>SUM(I302:L302)</f>
        <v>0</v>
      </c>
      <c r="N302" s="3">
        <f>-N175</f>
        <v>0</v>
      </c>
      <c r="O302" s="3">
        <f>-O175</f>
        <v>0</v>
      </c>
      <c r="P302" s="3">
        <f>-P175</f>
        <v>0</v>
      </c>
      <c r="Q302" s="3">
        <f>-Q175</f>
        <v>0</v>
      </c>
      <c r="R302" s="3">
        <f>SUM(N302:Q302)</f>
        <v>0</v>
      </c>
      <c r="S302" s="3">
        <f>-S175</f>
        <v>0</v>
      </c>
      <c r="T302" s="3">
        <f>-T175</f>
        <v>0</v>
      </c>
      <c r="U302" s="3">
        <f>-U175</f>
        <v>0</v>
      </c>
      <c r="V302" s="3">
        <f>-V175</f>
        <v>0</v>
      </c>
      <c r="W302" s="3">
        <f>SUM(S302:V302)</f>
        <v>0</v>
      </c>
      <c r="X302" s="3">
        <f>-X175</f>
        <v>0</v>
      </c>
      <c r="Y302" s="3">
        <f>-Y175</f>
        <v>0</v>
      </c>
      <c r="Z302" s="3">
        <f>-Z175</f>
        <v>0</v>
      </c>
      <c r="AA302" s="3">
        <f>-AA175</f>
        <v>0</v>
      </c>
      <c r="AB302" s="3">
        <f>SUM(X302:AA302)</f>
        <v>0</v>
      </c>
      <c r="AC302" s="3">
        <f>-AC175</f>
        <v>0</v>
      </c>
      <c r="AD302" s="3">
        <f>-AD175</f>
        <v>0</v>
      </c>
      <c r="AE302" s="3">
        <f>-AE175</f>
        <v>0</v>
      </c>
      <c r="AF302" s="3">
        <f>-AF175</f>
        <v>0</v>
      </c>
      <c r="AG302" s="3">
        <f>SUM(AC302:AF302)</f>
        <v>0</v>
      </c>
      <c r="AH302" s="3">
        <f>-AH175</f>
        <v>0</v>
      </c>
      <c r="AI302" s="3">
        <f>-AI175</f>
        <v>0</v>
      </c>
      <c r="AJ302" s="3">
        <f>-AJ175</f>
        <v>0</v>
      </c>
      <c r="AK302" s="3">
        <f>-AK175</f>
        <v>0</v>
      </c>
      <c r="AL302" s="3">
        <f>SUM(AH302:AK302)</f>
        <v>0</v>
      </c>
      <c r="AM302" s="3">
        <f>-AM175</f>
        <v>0</v>
      </c>
      <c r="AN302" s="3">
        <f>-AN175</f>
        <v>0</v>
      </c>
      <c r="AO302" s="3">
        <f>-AO175</f>
        <v>0</v>
      </c>
      <c r="AP302" s="3">
        <f>-AP175</f>
        <v>0</v>
      </c>
      <c r="AQ302" s="3">
        <f>SUM(AM302:AP302)</f>
        <v>0</v>
      </c>
      <c r="AR302" s="3">
        <f>-AR175</f>
        <v>0</v>
      </c>
      <c r="AS302" s="3">
        <f>-AS175</f>
        <v>0</v>
      </c>
      <c r="AT302" s="3">
        <f>-AT175</f>
        <v>0</v>
      </c>
      <c r="AU302" s="3">
        <f>-AU175</f>
        <v>0</v>
      </c>
      <c r="AV302" s="3">
        <f>SUM(AR302:AU302)</f>
        <v>0</v>
      </c>
      <c r="AW302" s="3">
        <f>-AW175</f>
        <v>0</v>
      </c>
      <c r="AX302" s="3">
        <f>-AX175</f>
        <v>0</v>
      </c>
      <c r="AY302" s="3">
        <f>-AY175</f>
        <v>0</v>
      </c>
      <c r="AZ302" s="3">
        <f>-AZ175</f>
        <v>0</v>
      </c>
      <c r="BA302" s="3">
        <f>SUM(AW302:AZ302)</f>
        <v>0</v>
      </c>
      <c r="BB302" s="3">
        <f>-BB175</f>
        <v>0</v>
      </c>
      <c r="BC302" s="3">
        <f>-BC175</f>
        <v>0</v>
      </c>
      <c r="BD302" s="3">
        <f>-BD175</f>
        <v>0</v>
      </c>
      <c r="BE302" s="3">
        <f>-BE175</f>
        <v>0</v>
      </c>
      <c r="BF302" s="3">
        <f>SUM(BB302:BE302)</f>
        <v>0</v>
      </c>
      <c r="BG302" s="3">
        <f>-BG175</f>
        <v>0</v>
      </c>
      <c r="BH302" s="3">
        <f>-BH175</f>
        <v>0</v>
      </c>
      <c r="BI302" s="3">
        <f>-BI175</f>
        <v>0</v>
      </c>
      <c r="BJ302" s="3">
        <f>-BJ175</f>
        <v>0</v>
      </c>
      <c r="BK302" s="3">
        <f>SUM(BG302:BJ302)</f>
        <v>0</v>
      </c>
      <c r="BL302" s="3">
        <f>-BL175</f>
        <v>0</v>
      </c>
      <c r="BM302" s="3">
        <f>-BM175</f>
        <v>0</v>
      </c>
      <c r="BN302" s="3">
        <f>-BN175</f>
        <v>0</v>
      </c>
      <c r="BO302" s="3">
        <f>-BO175</f>
        <v>0</v>
      </c>
      <c r="BP302" s="3">
        <f>SUM(BL302:BO302)</f>
        <v>0</v>
      </c>
      <c r="BQ302" s="3">
        <f>-BQ175</f>
        <v>0</v>
      </c>
      <c r="BR302" s="3">
        <f>-BR175</f>
        <v>0</v>
      </c>
      <c r="BS302" s="3">
        <f>-BS175</f>
        <v>0</v>
      </c>
      <c r="BT302" s="3">
        <f>-BT175</f>
        <v>0</v>
      </c>
      <c r="BU302" s="3">
        <f>SUM(BQ302:BT302)</f>
        <v>0</v>
      </c>
      <c r="BV302" s="3">
        <f>-BV175</f>
        <v>0</v>
      </c>
      <c r="BW302" s="3">
        <f>-BW175</f>
        <v>0</v>
      </c>
      <c r="BX302" s="3">
        <f>-BX175</f>
        <v>0</v>
      </c>
      <c r="BY302" s="3">
        <f>-BY175</f>
        <v>0</v>
      </c>
      <c r="BZ302" s="3">
        <f>SUM(BV302:BY302)</f>
        <v>0</v>
      </c>
      <c r="CA302" s="3">
        <f>-CA175</f>
        <v>0</v>
      </c>
      <c r="CB302" s="3">
        <f>-CB175</f>
        <v>0</v>
      </c>
      <c r="CC302" s="3">
        <f>-CC175</f>
        <v>0</v>
      </c>
      <c r="CD302" s="3">
        <f>-CD175</f>
        <v>0</v>
      </c>
      <c r="CE302" s="3">
        <f>SUM(CA302:CD302)</f>
        <v>0</v>
      </c>
      <c r="CF302" s="3">
        <f>-CF175</f>
        <v>0</v>
      </c>
      <c r="CG302" s="3">
        <f>-CG175</f>
        <v>0</v>
      </c>
      <c r="CH302" s="3">
        <f>-CH175</f>
        <v>0</v>
      </c>
      <c r="CI302" s="3">
        <f>-CI175</f>
        <v>0</v>
      </c>
      <c r="CJ302" s="3">
        <f>SUM(CF302:CI302)</f>
        <v>0</v>
      </c>
      <c r="CK302" s="3">
        <f>-CK175</f>
        <v>0</v>
      </c>
      <c r="CL302" s="3">
        <f>-CL175</f>
        <v>0</v>
      </c>
      <c r="CM302" s="3">
        <f>-CM175</f>
        <v>0</v>
      </c>
      <c r="CN302" s="3">
        <f>-CN175</f>
        <v>0</v>
      </c>
      <c r="CO302" s="3">
        <f>SUM(CK302:CN302)</f>
        <v>0</v>
      </c>
      <c r="CP302" s="3">
        <f>-CP175</f>
        <v>0</v>
      </c>
      <c r="CQ302" s="3">
        <f>-CQ175</f>
        <v>0</v>
      </c>
      <c r="CR302" s="3">
        <f>-CR175</f>
        <v>0</v>
      </c>
      <c r="CS302" s="3">
        <f>-CS175</f>
        <v>0</v>
      </c>
      <c r="CT302" s="3">
        <f>SUM(CP302:CS302)</f>
        <v>0</v>
      </c>
      <c r="CU302" s="3">
        <f>-CU175</f>
        <v>0</v>
      </c>
      <c r="CV302" s="3">
        <f>-CV175</f>
        <v>0</v>
      </c>
      <c r="CW302" s="3">
        <f>-CW175</f>
        <v>0</v>
      </c>
      <c r="CX302" s="3">
        <f>-CX175</f>
        <v>0</v>
      </c>
      <c r="CY302" s="3">
        <f>SUM(CU302:CX302)</f>
        <v>0</v>
      </c>
    </row>
    <row r="303">
      <c r="C303" s="29" t="inlineStr">
        <is>
          <t>Var.Right-of-use-assets</t>
        </is>
      </c>
      <c r="D303" s="3" t="n"/>
      <c r="E303" s="3">
        <f>(E182-D182)*-1</f>
        <v>0</v>
      </c>
      <c r="F303" s="3">
        <f>(F182-E182)*-1</f>
        <v>0</v>
      </c>
      <c r="G303" s="3">
        <f>(G182-F182)*-1</f>
        <v>0</v>
      </c>
      <c r="H303" s="3">
        <f>SUM(D303:G303)</f>
        <v>0</v>
      </c>
      <c r="I303" s="3">
        <f>(I182-H182)*-1</f>
        <v>0</v>
      </c>
      <c r="J303" s="3">
        <f>(J182-I182)*-1</f>
        <v>0</v>
      </c>
      <c r="K303" s="3">
        <f>(K182-J182)*-1</f>
        <v>0</v>
      </c>
      <c r="L303" s="3">
        <f>(L182-K182)*-1</f>
        <v>0</v>
      </c>
      <c r="M303" s="3">
        <f>SUM(I303:L303)</f>
        <v>0</v>
      </c>
      <c r="N303" s="3">
        <f>(N182-M182)*-1</f>
        <v>0</v>
      </c>
      <c r="O303" s="3">
        <f>(O182-N182)*-1</f>
        <v>0</v>
      </c>
      <c r="P303" s="3">
        <f>(P182-O182)*-1</f>
        <v>0</v>
      </c>
      <c r="Q303" s="3">
        <f>(Q182-P182)*-1</f>
        <v>0</v>
      </c>
      <c r="R303" s="3">
        <f>SUM(N303:Q303)</f>
        <v>0</v>
      </c>
      <c r="S303" s="3">
        <f>(S182-R182)*-1</f>
        <v>0</v>
      </c>
      <c r="T303" s="3">
        <f>(T182-S182)*-1</f>
        <v>0</v>
      </c>
      <c r="U303" s="3">
        <f>(U182-T182)*-1</f>
        <v>0</v>
      </c>
      <c r="V303" s="3">
        <f>(V182-U182)*-1</f>
        <v>0</v>
      </c>
      <c r="W303" s="3">
        <f>SUM(S303:V303)</f>
        <v>0</v>
      </c>
      <c r="X303" s="3">
        <f>(X182-W182)*-1</f>
        <v>0</v>
      </c>
      <c r="Y303" s="3">
        <f>(Y182-X182)*-1</f>
        <v>0</v>
      </c>
      <c r="Z303" s="3">
        <f>(Z182-Y182)*-1</f>
        <v>0</v>
      </c>
      <c r="AA303" s="3">
        <f>(AA182-Z182)*-1</f>
        <v>0</v>
      </c>
      <c r="AB303" s="3">
        <f>SUM(X303:AA303)</f>
        <v>0</v>
      </c>
      <c r="AC303" s="3">
        <f>(AC182-AB182)*-1</f>
        <v>0</v>
      </c>
      <c r="AD303" s="3">
        <f>(AD182-AC182)*-1</f>
        <v>0</v>
      </c>
      <c r="AE303" s="3">
        <f>(AE182-AD182)*-1</f>
        <v>0</v>
      </c>
      <c r="AF303" s="3">
        <f>(AF182-AE182)*-1</f>
        <v>0</v>
      </c>
      <c r="AG303" s="3">
        <f>SUM(AC303:AF303)</f>
        <v>0</v>
      </c>
      <c r="AH303" s="3">
        <f>(AH182-AG182)*-1</f>
        <v>0</v>
      </c>
      <c r="AI303" s="3">
        <f>(AI182-AH182)*-1</f>
        <v>0</v>
      </c>
      <c r="AJ303" s="3">
        <f>(AJ182-AI182)*-1</f>
        <v>0</v>
      </c>
      <c r="AK303" s="3">
        <f>(AK182-AJ182)*-1</f>
        <v>0</v>
      </c>
      <c r="AL303" s="3">
        <f>SUM(AH303:AK303)</f>
        <v>0</v>
      </c>
      <c r="AM303" s="3">
        <f>(AM182-AL182)*-1</f>
        <v>0</v>
      </c>
      <c r="AN303" s="3">
        <f>(AN182-AM182)*-1</f>
        <v>0</v>
      </c>
      <c r="AO303" s="3">
        <f>(AO182-AN182)*-1</f>
        <v>0</v>
      </c>
      <c r="AP303" s="3">
        <f>(AP182-AO182)*-1</f>
        <v>0</v>
      </c>
      <c r="AQ303" s="3">
        <f>SUM(AM303:AP303)</f>
        <v>0</v>
      </c>
      <c r="AR303" s="3">
        <f>(AR182-AQ182)*-1</f>
        <v>0</v>
      </c>
      <c r="AS303" s="3">
        <f>(AS182-AR182)*-1</f>
        <v>0</v>
      </c>
      <c r="AT303" s="3">
        <f>(AT182-AS182)*-1</f>
        <v>0</v>
      </c>
      <c r="AU303" s="3">
        <f>(AU182-AT182)*-1</f>
        <v>0</v>
      </c>
      <c r="AV303" s="3">
        <f>SUM(AR303:AU303)</f>
        <v>0</v>
      </c>
      <c r="AW303" s="3">
        <f>(AW182-AV182)*-1</f>
        <v>0</v>
      </c>
      <c r="AX303" s="3">
        <f>(AX182-AW182)*-1</f>
        <v>0</v>
      </c>
      <c r="AY303" s="3">
        <f>(AY182-AX182)*-1</f>
        <v>0</v>
      </c>
      <c r="AZ303" s="3">
        <f>(AZ182-AY182)*-1</f>
        <v>0</v>
      </c>
      <c r="BA303" s="3">
        <f>SUM(AW303:AZ303)</f>
        <v>0</v>
      </c>
      <c r="BB303" s="3">
        <f>(BB182-BA182)*-1</f>
        <v>0</v>
      </c>
      <c r="BC303" s="3">
        <f>(BC182-BB182)*-1</f>
        <v>0</v>
      </c>
      <c r="BD303" s="3">
        <f>(BD182-BC182)*-1</f>
        <v>0</v>
      </c>
      <c r="BE303" s="3">
        <f>(BE182-BD182)*-1</f>
        <v>0</v>
      </c>
      <c r="BF303" s="3">
        <f>SUM(BB303:BE303)</f>
        <v>0</v>
      </c>
      <c r="BG303" s="3">
        <f>(BG182-BF182)*-1</f>
        <v>0</v>
      </c>
      <c r="BH303" s="3">
        <f>(BH182-BG182)*-1</f>
        <v>0</v>
      </c>
      <c r="BI303" s="3">
        <f>(BI182-BH182)*-1</f>
        <v>0</v>
      </c>
      <c r="BJ303" s="3">
        <f>(BJ182-BI182)*-1</f>
        <v>0</v>
      </c>
      <c r="BK303" s="3">
        <f>SUM(BG303:BJ303)</f>
        <v>0</v>
      </c>
      <c r="BL303" s="3">
        <f>(BL182-BK182)*-1</f>
        <v>0</v>
      </c>
      <c r="BM303" s="3">
        <f>(BM182-BL182)*-1</f>
        <v>0</v>
      </c>
      <c r="BN303" s="3">
        <f>(BN182-BM182)*-1</f>
        <v>0</v>
      </c>
      <c r="BO303" s="3">
        <f>(BO182-BN182)*-1</f>
        <v>0</v>
      </c>
      <c r="BP303" s="3">
        <f>SUM(BL303:BO303)</f>
        <v>0</v>
      </c>
      <c r="BQ303" s="3">
        <f>(BQ182-BP182)*-1</f>
        <v>0</v>
      </c>
      <c r="BR303" s="3">
        <f>(BR182-BQ182)*-1</f>
        <v>0</v>
      </c>
      <c r="BS303" s="3">
        <f>(BS182-BR182)*-1</f>
        <v>0</v>
      </c>
      <c r="BT303" s="3">
        <f>(BT182-BS182)*-1</f>
        <v>0</v>
      </c>
      <c r="BU303" s="3">
        <f>SUM(BQ303:BT303)</f>
        <v>0</v>
      </c>
      <c r="BV303" s="3">
        <f>(BV182-BU182)*-1</f>
        <v>0</v>
      </c>
      <c r="BW303" s="3">
        <f>(BW182-BV182)*-1</f>
        <v>0</v>
      </c>
      <c r="BX303" s="3">
        <f>(BX182-BW182)*-1</f>
        <v>0</v>
      </c>
      <c r="BY303" s="3">
        <f>(BY182-BX182)*-1</f>
        <v>0</v>
      </c>
      <c r="BZ303" s="3">
        <f>SUM(BV303:BY303)</f>
        <v>0</v>
      </c>
      <c r="CA303" s="3">
        <f>(CA182-BZ182)*-1</f>
        <v>0</v>
      </c>
      <c r="CB303" s="3">
        <f>(CB182-CA182)*-1</f>
        <v>0</v>
      </c>
      <c r="CC303" s="3">
        <f>(CC182-CB182)*-1</f>
        <v>0</v>
      </c>
      <c r="CD303" s="3">
        <f>(CD182-CC182)*-1</f>
        <v>0</v>
      </c>
      <c r="CE303" s="3">
        <f>SUM(CA303:CD303)</f>
        <v>0</v>
      </c>
      <c r="CF303" s="3">
        <f>(CF182-CE182)*-1</f>
        <v>0</v>
      </c>
      <c r="CG303" s="3">
        <f>(CG182-CF182)*-1</f>
        <v>0</v>
      </c>
      <c r="CH303" s="3">
        <f>(CH182-CG182)*-1</f>
        <v>0</v>
      </c>
      <c r="CI303" s="3">
        <f>(CI182-CH182)*-1</f>
        <v>0</v>
      </c>
      <c r="CJ303" s="3">
        <f>SUM(CF303:CI303)</f>
        <v>0</v>
      </c>
      <c r="CK303" s="3">
        <f>(CK182-CJ182)*-1</f>
        <v>0</v>
      </c>
      <c r="CL303" s="3">
        <f>(CL182-CK182)*-1</f>
        <v>0</v>
      </c>
      <c r="CM303" s="3">
        <f>(CM182-CL182)*-1</f>
        <v>0</v>
      </c>
      <c r="CN303" s="3">
        <f>(CN182-CM182)*-1</f>
        <v>0</v>
      </c>
      <c r="CO303" s="3">
        <f>SUM(CK303:CN303)</f>
        <v>0</v>
      </c>
      <c r="CP303" s="3">
        <f>(CP182-CO182)*-1</f>
        <v>0</v>
      </c>
      <c r="CQ303" s="3">
        <f>(CQ182-CP182)*-1</f>
        <v>0</v>
      </c>
      <c r="CR303" s="3">
        <f>(CR182-CQ182)*-1</f>
        <v>0</v>
      </c>
      <c r="CS303" s="3">
        <f>(CS182-CR182)*-1</f>
        <v>0</v>
      </c>
      <c r="CT303" s="3">
        <f>SUM(CP303:CS303)</f>
        <v>0</v>
      </c>
      <c r="CU303" s="3">
        <f>(CU182-CT182)*-1</f>
        <v>0</v>
      </c>
      <c r="CV303" s="3">
        <f>(CV182-CU182)*-1</f>
        <v>0</v>
      </c>
      <c r="CW303" s="3">
        <f>(CW182-CV182)*-1</f>
        <v>0</v>
      </c>
      <c r="CX303" s="3">
        <f>(CX182-CW182)*-1</f>
        <v>0</v>
      </c>
      <c r="CY303" s="3">
        <f>SUM(CU303:CX303)</f>
        <v>0</v>
      </c>
      <c r="CZ303" s="3" t="n"/>
      <c r="DA303" s="3" t="n"/>
      <c r="DB303" s="3" t="n"/>
      <c r="DC303" s="3" t="n"/>
    </row>
    <row r="304">
      <c r="C304" s="29" t="inlineStr">
        <is>
          <t>Purchases of intangible assets</t>
        </is>
      </c>
      <c r="D304" s="3" t="n"/>
      <c r="E304" s="3">
        <f>((E186-D186)*-1)+((E185-D185)*-1)</f>
        <v>0.685985999999994</v>
      </c>
      <c r="F304" s="3">
        <f>((F186-E186)*-1)+((F185-E185)*-1)</f>
        <v>-5.88279650999998</v>
      </c>
      <c r="G304" s="3">
        <f>((G186-F186)*-1)+((G185-F185)*-1)</f>
        <v>4.92323475999999</v>
      </c>
      <c r="H304" s="3">
        <f>SUM(D304:G304)</f>
        <v>-0.273575749999999</v>
      </c>
      <c r="I304" s="3">
        <f>((I186-H186)*-1)+((I185-H185)*-1)</f>
        <v>-1.43130099000001</v>
      </c>
      <c r="J304" s="3">
        <f>((J186-I186)*-1)+((J185-I185)*-1)</f>
        <v>-0.951259039999989</v>
      </c>
      <c r="K304" s="3">
        <f>((K186-J186)*-1)+((K185-J185)*-1)</f>
        <v>-2.51246125</v>
      </c>
      <c r="L304" s="3">
        <f>((L186-K186)*-1)+((L185-K185)*-1)</f>
        <v>-15.99833395</v>
      </c>
      <c r="M304" s="3">
        <f>SUM(I304:L304)</f>
        <v>-20.89335523</v>
      </c>
      <c r="N304" s="3">
        <f>((N186-M186)*-1)+((N185-M185)*-1)</f>
        <v>9.21075482</v>
      </c>
      <c r="O304" s="3">
        <f>((O186-N186)*-1)+((O185-N185)*-1)</f>
        <v>-5.57881432</v>
      </c>
      <c r="P304" s="3">
        <f>((P186-O186)*-1)+((P185-O185)*-1)</f>
        <v>-10.68473239</v>
      </c>
      <c r="Q304" s="3">
        <f>((Q186-P186)*-1)+((Q185-P185)*-1)</f>
        <v>-5.31327713</v>
      </c>
      <c r="R304" s="3">
        <f>SUM(N304:Q304)</f>
        <v>-12.36606902</v>
      </c>
      <c r="S304" s="3">
        <f>((S186-R186)*-1)+((S185-R185)*-1)</f>
        <v>-1.655</v>
      </c>
      <c r="T304" s="3">
        <f>((T186-S186)*-1)+((T185-S185)*-1)</f>
        <v>-6.50908397</v>
      </c>
      <c r="U304" s="3">
        <f>((U186-T186)*-1)+((U185-T185)*-1)</f>
        <v>-5.33295882000001</v>
      </c>
      <c r="V304" s="3">
        <f>((V186-U186)*-1)+((V185-U185)*-1)</f>
        <v>-3.45382204000001</v>
      </c>
      <c r="W304" s="3">
        <f>SUM(S304:V304)</f>
        <v>-16.95086483</v>
      </c>
      <c r="X304" s="3">
        <f>((X186-W186)*-1)+((X185-W185)*-1)</f>
        <v>-3.72065361999999</v>
      </c>
      <c r="Y304" s="3">
        <f>((Y186-X186)*-1)+((Y185-X185)*-1)</f>
        <v>-9.84420728000001</v>
      </c>
      <c r="Z304" s="3">
        <f>((Z186-Y186)*-1)+((Z185-Y185)*-1)</f>
        <v>-5.73250923999997</v>
      </c>
      <c r="AA304" s="3">
        <f>((AA186-Z186)*-1)+((AA185-Z185)*-1)</f>
        <v>11.16219568</v>
      </c>
      <c r="AB304" s="3">
        <f>SUM(X304:AA304)</f>
        <v>-8.13517445999997</v>
      </c>
      <c r="AC304" s="3">
        <f>((AC186-AB186)*-1)+((AC185-AB185)*-1)</f>
        <v>-0.595164810000014</v>
      </c>
      <c r="AD304" s="3">
        <f>((AD186-AC186)*-1)+((AD185-AC185)*-1)</f>
        <v>2.74220561999998</v>
      </c>
      <c r="AE304" s="3">
        <f>((AE186-AD186)*-1)+((AE185-AD185)*-1)</f>
        <v>2.71999848000002</v>
      </c>
      <c r="AF304" s="3">
        <f>((AF186-AE186)*-1)+((AF185-AE185)*-1)</f>
        <v>2.52114932</v>
      </c>
      <c r="AG304" s="3">
        <f>SUM(AC304:AF304)</f>
        <v>7.38818860999998</v>
      </c>
      <c r="AH304" s="3">
        <f>((AH186-AG186)*-1)+((AH185-AG185)*-1)</f>
        <v>4.09481814</v>
      </c>
      <c r="AI304" s="3">
        <f>((AI186-AH186)*-1)+((AI185-AH185)*-1)</f>
        <v>4.28701890999998</v>
      </c>
      <c r="AJ304" s="3">
        <f>((AJ186-AI186)*-1)+((AJ185-AI185)*-1)</f>
        <v>51.55601363</v>
      </c>
      <c r="AK304" s="3">
        <f>((AK186-AJ186)*-1)+((AK185-AJ185)*-1)</f>
        <v>0</v>
      </c>
      <c r="AL304" s="3">
        <f>SUM(AH304:AK304)</f>
        <v>59.93785068</v>
      </c>
      <c r="AM304" s="3">
        <f>((AM186-AL186)*-1)+((AM185-AL185)*-1)</f>
        <v>0</v>
      </c>
      <c r="AN304" s="3">
        <f>((AN186-AM186)*-1)+((AN185-AM185)*-1)</f>
        <v>0</v>
      </c>
      <c r="AO304" s="3">
        <f>((AO186-AN186)*-1)+((AO185-AN185)*-1)</f>
        <v>0</v>
      </c>
      <c r="AP304" s="3">
        <f>((AP186-AO186)*-1)+((AP185-AO185)*-1)</f>
        <v>0</v>
      </c>
      <c r="AQ304" s="3">
        <f>SUM(AM304:AP304)</f>
        <v>0</v>
      </c>
      <c r="AR304" s="3">
        <f>((AR186-AQ186)*-1)+((AR185-AQ185)*-1)</f>
        <v>0</v>
      </c>
      <c r="AS304" s="3">
        <f>((AS186-AR186)*-1)+((AS185-AR185)*-1)</f>
        <v>0</v>
      </c>
      <c r="AT304" s="3">
        <f>((AT186-AS186)*-1)+((AT185-AS185)*-1)</f>
        <v>0</v>
      </c>
      <c r="AU304" s="3">
        <f>((AU186-AT186)*-1)+((AU185-AT185)*-1)</f>
        <v>0</v>
      </c>
      <c r="AV304" s="3">
        <f>SUM(AR304:AU304)</f>
        <v>0</v>
      </c>
      <c r="AW304" s="3">
        <f>((AW186-AV186)*-1)+((AW185-AV185)*-1)</f>
        <v>0</v>
      </c>
      <c r="AX304" s="3">
        <f>((AX186-AW186)*-1)+((AX185-AW185)*-1)</f>
        <v>0</v>
      </c>
      <c r="AY304" s="3">
        <f>((AY186-AX186)*-1)+((AY185-AX185)*-1)</f>
        <v>0</v>
      </c>
      <c r="AZ304" s="3">
        <f>((AZ186-AY186)*-1)+((AZ185-AY185)*-1)</f>
        <v>0</v>
      </c>
      <c r="BA304" s="3">
        <f>SUM(AW304:AZ304)</f>
        <v>0</v>
      </c>
      <c r="BB304" s="3">
        <f>((BB186-BA186)*-1)+((BB185-BA185)*-1)</f>
        <v>0</v>
      </c>
      <c r="BC304" s="3">
        <f>((BC186-BB186)*-1)+((BC185-BB185)*-1)</f>
        <v>0</v>
      </c>
      <c r="BD304" s="3">
        <f>((BD186-BC186)*-1)+((BD185-BC185)*-1)</f>
        <v>0</v>
      </c>
      <c r="BE304" s="3">
        <f>((BE186-BD186)*-1)+((BE185-BD185)*-1)</f>
        <v>0</v>
      </c>
      <c r="BF304" s="3">
        <f>SUM(BB304:BE304)</f>
        <v>0</v>
      </c>
      <c r="BG304" s="3">
        <f>((BG186-BF186)*-1)+((BG185-BF185)*-1)</f>
        <v>0</v>
      </c>
      <c r="BH304" s="3">
        <f>((BH186-BG186)*-1)+((BH185-BG185)*-1)</f>
        <v>0</v>
      </c>
      <c r="BI304" s="3">
        <f>((BI186-BH186)*-1)+((BI185-BH185)*-1)</f>
        <v>0</v>
      </c>
      <c r="BJ304" s="3">
        <f>((BJ186-BI186)*-1)+((BJ185-BI185)*-1)</f>
        <v>0</v>
      </c>
      <c r="BK304" s="3">
        <f>SUM(BG304:BJ304)</f>
        <v>0</v>
      </c>
      <c r="BL304" s="3">
        <f>((BL186-BK186)*-1)+((BL185-BK185)*-1)</f>
        <v>0</v>
      </c>
      <c r="BM304" s="3">
        <f>((BM186-BL186)*-1)+((BM185-BL185)*-1)</f>
        <v>0</v>
      </c>
      <c r="BN304" s="3">
        <f>((BN186-BM186)*-1)+((BN185-BM185)*-1)</f>
        <v>0</v>
      </c>
      <c r="BO304" s="3">
        <f>((BO186-BN186)*-1)+((BO185-BN185)*-1)</f>
        <v>0</v>
      </c>
      <c r="BP304" s="3">
        <f>SUM(BL304:BO304)</f>
        <v>0</v>
      </c>
      <c r="BQ304" s="3">
        <f>((BQ186-BP186)*-1)+((BQ185-BP185)*-1)</f>
        <v>0</v>
      </c>
      <c r="BR304" s="3">
        <f>((BR186-BQ186)*-1)+((BR185-BQ185)*-1)</f>
        <v>0</v>
      </c>
      <c r="BS304" s="3">
        <f>((BS186-BR186)*-1)+((BS185-BR185)*-1)</f>
        <v>0</v>
      </c>
      <c r="BT304" s="3">
        <f>((BT186-BS186)*-1)+((BT185-BS185)*-1)</f>
        <v>0</v>
      </c>
      <c r="BU304" s="3">
        <f>SUM(BQ304:BT304)</f>
        <v>0</v>
      </c>
      <c r="BV304" s="3">
        <f>((BV186-BU186)*-1)+((BV185-BU185)*-1)</f>
        <v>0</v>
      </c>
      <c r="BW304" s="3">
        <f>((BW186-BV186)*-1)+((BW185-BV185)*-1)</f>
        <v>0</v>
      </c>
      <c r="BX304" s="3">
        <f>((BX186-BW186)*-1)+((BX185-BW185)*-1)</f>
        <v>0</v>
      </c>
      <c r="BY304" s="3">
        <f>((BY186-BX186)*-1)+((BY185-BX185)*-1)</f>
        <v>0</v>
      </c>
      <c r="BZ304" s="3">
        <f>SUM(BV304:BY304)</f>
        <v>0</v>
      </c>
      <c r="CA304" s="3">
        <f>((CA186-BZ186)*-1)+((CA185-BZ185)*-1)</f>
        <v>0</v>
      </c>
      <c r="CB304" s="3">
        <f>((CB186-CA186)*-1)+((CB185-CA185)*-1)</f>
        <v>0</v>
      </c>
      <c r="CC304" s="3">
        <f>((CC186-CB186)*-1)+((CC185-CB185)*-1)</f>
        <v>0</v>
      </c>
      <c r="CD304" s="3">
        <f>((CD186-CC186)*-1)+((CD185-CC185)*-1)</f>
        <v>0</v>
      </c>
      <c r="CE304" s="3">
        <f>SUM(CA304:CD304)</f>
        <v>0</v>
      </c>
      <c r="CF304" s="3">
        <f>((CF186-CE186)*-1)+((CF185-CE185)*-1)</f>
        <v>0</v>
      </c>
      <c r="CG304" s="3">
        <f>((CG186-CF186)*-1)+((CG185-CF185)*-1)</f>
        <v>0</v>
      </c>
      <c r="CH304" s="3">
        <f>((CH186-CG186)*-1)+((CH185-CG185)*-1)</f>
        <v>0</v>
      </c>
      <c r="CI304" s="3">
        <f>((CI186-CH186)*-1)+((CI185-CH185)*-1)</f>
        <v>0</v>
      </c>
      <c r="CJ304" s="3">
        <f>SUM(CF304:CI304)</f>
        <v>0</v>
      </c>
      <c r="CK304" s="3">
        <f>((CK186-CJ186)*-1)+((CK185-CJ185)*-1)</f>
        <v>0</v>
      </c>
      <c r="CL304" s="3">
        <f>((CL186-CK186)*-1)+((CL185-CK185)*-1)</f>
        <v>0</v>
      </c>
      <c r="CM304" s="3">
        <f>((CM186-CL186)*-1)+((CM185-CL185)*-1)</f>
        <v>0</v>
      </c>
      <c r="CN304" s="3">
        <f>((CN186-CM186)*-1)+((CN185-CM185)*-1)</f>
        <v>0</v>
      </c>
      <c r="CO304" s="3">
        <f>SUM(CK304:CN304)</f>
        <v>0</v>
      </c>
      <c r="CP304" s="3">
        <f>((CP186-CO186)*-1)+((CP185-CO185)*-1)</f>
        <v>0</v>
      </c>
      <c r="CQ304" s="3">
        <f>((CQ186-CP186)*-1)+((CQ185-CP185)*-1)</f>
        <v>0</v>
      </c>
      <c r="CR304" s="3">
        <f>((CR186-CQ186)*-1)+((CR185-CQ185)*-1)</f>
        <v>0</v>
      </c>
      <c r="CS304" s="3">
        <f>((CS186-CR186)*-1)+((CS185-CR185)*-1)</f>
        <v>0</v>
      </c>
      <c r="CT304" s="3">
        <f>SUM(CP304:CS304)</f>
        <v>0</v>
      </c>
      <c r="CU304" s="3">
        <f>((CU186-CT186)*-1)+((CU185-CT185)*-1)</f>
        <v>0</v>
      </c>
      <c r="CV304" s="3">
        <f>((CV186-CU186)*-1)+((CV185-CU185)*-1)</f>
        <v>0</v>
      </c>
      <c r="CW304" s="3">
        <f>((CW186-CV186)*-1)+((CW185-CV185)*-1)</f>
        <v>0</v>
      </c>
      <c r="CX304" s="3">
        <f>((CX186-CW186)*-1)+((CX185-CW185)*-1)</f>
        <v>0</v>
      </c>
      <c r="CY304" s="3">
        <f>SUM(CU304:CX304)</f>
        <v>0</v>
      </c>
      <c r="CZ304" s="3" t="n"/>
      <c r="DA304" s="3" t="n"/>
      <c r="DB304" s="3" t="n"/>
      <c r="DC304" s="3" t="n"/>
    </row>
    <row r="305">
      <c r="C305" s="30" t="inlineStr">
        <is>
          <t>Purchases/Proceeds from other long-term assets</t>
        </is>
      </c>
      <c r="D305" s="3" t="n"/>
      <c r="E305" s="3">
        <f>((E195-D195)*-1)+(E246-D246)</f>
        <v>5.95073280455568</v>
      </c>
      <c r="F305" s="3">
        <f>((F195-E195)*-1)+(F246-E246)</f>
        <v>41.575544942111</v>
      </c>
      <c r="G305" s="3">
        <f>((G195-F195)*-1)+(G246-F246)</f>
        <v>46.9988015771334</v>
      </c>
      <c r="H305" s="3">
        <f>SUM(D305:G305)</f>
        <v>94.5250793238</v>
      </c>
      <c r="I305" s="3">
        <f>((I195-H195)*-1)+(I246-H246)</f>
        <v>-8.06729302899053</v>
      </c>
      <c r="J305" s="3">
        <f>((J195-I195)*-1)+(J246-I246)</f>
        <v>-12.8174756974421</v>
      </c>
      <c r="K305" s="3">
        <f>((K195-J195)*-1)+(K246-J246)</f>
        <v>-55.4003365928684</v>
      </c>
      <c r="L305" s="3">
        <f>((L195-K195)*-1)+(L246-K246)</f>
        <v>-19.4664775119941</v>
      </c>
      <c r="M305" s="3">
        <f>SUM(I305:L305)</f>
        <v>-95.7515828312951</v>
      </c>
      <c r="N305" s="3">
        <f>((N195-M195)*-1)+(N246-M246)</f>
        <v>-30.9147056049387</v>
      </c>
      <c r="O305" s="3">
        <f>((O195-N195)*-1)+(O246-N246)</f>
        <v>-41.5325661320823</v>
      </c>
      <c r="P305" s="3">
        <f>((P195-O195)*-1)+(P246-O246)</f>
        <v>-43.610341479903</v>
      </c>
      <c r="Q305" s="3">
        <f>((Q195-P195)*-1)+(Q246-P246)</f>
        <v>-7.59188327558091</v>
      </c>
      <c r="R305" s="3">
        <f>SUM(N305:Q305)</f>
        <v>-123.649496492505</v>
      </c>
      <c r="S305" s="3">
        <f>((S195-R195)*-1)+(S246-R246)</f>
        <v>-29.405</v>
      </c>
      <c r="T305" s="3">
        <f>((T195-S195)*-1)+(T246-S246)</f>
        <v>-16.0438471518096</v>
      </c>
      <c r="U305" s="3">
        <f>((U195-T195)*-1)+(U246-T246)</f>
        <v>-44.97380783</v>
      </c>
      <c r="V305" s="3">
        <f>((V195-U195)*-1)+(V246-U246)</f>
        <v>62.5724192099996</v>
      </c>
      <c r="W305" s="3">
        <f>SUM(S305:V305)</f>
        <v>-27.8502357718099</v>
      </c>
      <c r="X305" s="3">
        <f>((X195-W195)*-1)+(X246-W246)</f>
        <v>76.2999564102976</v>
      </c>
      <c r="Y305" s="3">
        <f>((Y195-X195)*-1)+(Y246-X246)</f>
        <v>-95.6286310317736</v>
      </c>
      <c r="Z305" s="3">
        <f>((Z195-Y195)*-1)+(Z246-Y246)</f>
        <v>1.46818056328589</v>
      </c>
      <c r="AA305" s="3">
        <f>((AA195-Z195)*-1)+(AA246-Z246)</f>
        <v>-117.47925283</v>
      </c>
      <c r="AB305" s="3">
        <f>SUM(X305:AA305)</f>
        <v>-135.33974688819</v>
      </c>
      <c r="AC305" s="3">
        <f>((AC195-AB195)*-1)+(AC246-AB246)</f>
        <v>-46.86159255</v>
      </c>
      <c r="AD305" s="3">
        <f>((AD195-AC195)*-1)+(AD246-AC246)</f>
        <v>0.36358969000009</v>
      </c>
      <c r="AE305" s="3">
        <f>((AE195-AD195)*-1)+(AE246-AD246)</f>
        <v>13.4429855199999</v>
      </c>
      <c r="AF305" s="3">
        <f>((AF195-AE195)*-1)+(AF246-AE246)</f>
        <v>-30.83089863</v>
      </c>
      <c r="AG305" s="3">
        <f>SUM(AC305:AF305)</f>
        <v>-63.88591597</v>
      </c>
      <c r="AH305" s="3">
        <f>((AH195-AG195)*-1)+(AH246-AG246)</f>
        <v>-55.0065522100001</v>
      </c>
      <c r="AI305" s="3">
        <f>((AI195-AH195)*-1)+(AI246-AH246)</f>
        <v>-8.27066098999988</v>
      </c>
      <c r="AJ305" s="3">
        <f>((AJ195-AI195)*-1)+(AJ246-AI246)</f>
        <v>0</v>
      </c>
      <c r="AK305" s="3">
        <f>((AK195-AJ195)*-1)+(AK246-AJ246)</f>
        <v>0</v>
      </c>
      <c r="AL305" s="3">
        <f>SUM(AH305:AK305)</f>
        <v>-63.2772131999999</v>
      </c>
      <c r="AM305" s="3">
        <f>((AM195-AL195)*-1)+(AM246-AL246)</f>
        <v>0</v>
      </c>
      <c r="AN305" s="3">
        <f>((AN195-AM195)*-1)+(AN246-AM246)</f>
        <v>0</v>
      </c>
      <c r="AO305" s="3">
        <f>((AO195-AN195)*-1)+(AO246-AN246)</f>
        <v>0</v>
      </c>
      <c r="AP305" s="3">
        <f>((AP195-AO195)*-1)+(AP246-AO246)</f>
        <v>0</v>
      </c>
      <c r="AQ305" s="3">
        <f>SUM(AM305:AP305)</f>
        <v>0</v>
      </c>
      <c r="AR305" s="3">
        <f>((AR195-AQ195)*-1)+(AR246-AQ246)</f>
        <v>0</v>
      </c>
      <c r="AS305" s="3">
        <f>((AS195-AR195)*-1)+(AS246-AR246)</f>
        <v>0</v>
      </c>
      <c r="AT305" s="3">
        <f>((AT195-AS195)*-1)+(AT246-AS246)</f>
        <v>0</v>
      </c>
      <c r="AU305" s="3">
        <f>((AU195-AT195)*-1)+(AU246-AT246)</f>
        <v>0</v>
      </c>
      <c r="AV305" s="3">
        <f>SUM(AR305:AU305)</f>
        <v>0</v>
      </c>
      <c r="AW305" s="3">
        <f>((AW195-AV195)*-1)+(AW246-AV246)</f>
        <v>0</v>
      </c>
      <c r="AX305" s="3">
        <f>((AX195-AW195)*-1)+(AX246-AW246)</f>
        <v>0</v>
      </c>
      <c r="AY305" s="3">
        <f>((AY195-AX195)*-1)+(AY246-AX246)</f>
        <v>0</v>
      </c>
      <c r="AZ305" s="3">
        <f>((AZ195-AY195)*-1)+(AZ246-AY246)</f>
        <v>0</v>
      </c>
      <c r="BA305" s="3">
        <f>SUM(AW305:AZ305)</f>
        <v>0</v>
      </c>
      <c r="BB305" s="3">
        <f>((BB195-BA195)*-1)+(BB246-BA246)</f>
        <v>0</v>
      </c>
      <c r="BC305" s="3">
        <f>((BC195-BB195)*-1)+(BC246-BB246)</f>
        <v>0</v>
      </c>
      <c r="BD305" s="3">
        <f>((BD195-BC195)*-1)+(BD246-BC246)</f>
        <v>0</v>
      </c>
      <c r="BE305" s="3">
        <f>((BE195-BD195)*-1)+(BE246-BD246)</f>
        <v>0</v>
      </c>
      <c r="BF305" s="3">
        <f>SUM(BB305:BE305)</f>
        <v>0</v>
      </c>
      <c r="BG305" s="3">
        <f>((BG195-BF195)*-1)+(BG246-BF246)</f>
        <v>0</v>
      </c>
      <c r="BH305" s="3">
        <f>((BH195-BG195)*-1)+(BH246-BG246)</f>
        <v>0</v>
      </c>
      <c r="BI305" s="3">
        <f>((BI195-BH195)*-1)+(BI246-BH246)</f>
        <v>0</v>
      </c>
      <c r="BJ305" s="3">
        <f>((BJ195-BI195)*-1)+(BJ246-BI246)</f>
        <v>0</v>
      </c>
      <c r="BK305" s="3">
        <f>SUM(BG305:BJ305)</f>
        <v>0</v>
      </c>
      <c r="BL305" s="3">
        <f>((BL195-BK195)*-1)+(BL246-BK246)</f>
        <v>0</v>
      </c>
      <c r="BM305" s="3">
        <f>((BM195-BL195)*-1)+(BM246-BL246)</f>
        <v>0</v>
      </c>
      <c r="BN305" s="3">
        <f>((BN195-BM195)*-1)+(BN246-BM246)</f>
        <v>0</v>
      </c>
      <c r="BO305" s="3">
        <f>((BO195-BN195)*-1)+(BO246-BN246)</f>
        <v>0</v>
      </c>
      <c r="BP305" s="3">
        <f>SUM(BL305:BO305)</f>
        <v>0</v>
      </c>
      <c r="BQ305" s="3">
        <f>((BQ195-BP195)*-1)+(BQ246-BP246)</f>
        <v>0</v>
      </c>
      <c r="BR305" s="3">
        <f>((BR195-BQ195)*-1)+(BR246-BQ246)</f>
        <v>0</v>
      </c>
      <c r="BS305" s="3">
        <f>((BS195-BR195)*-1)+(BS246-BR246)</f>
        <v>0</v>
      </c>
      <c r="BT305" s="3">
        <f>((BT195-BS195)*-1)+(BT246-BS246)</f>
        <v>0</v>
      </c>
      <c r="BU305" s="3">
        <f>SUM(BQ305:BT305)</f>
        <v>0</v>
      </c>
      <c r="BV305" s="3">
        <f>((BV195-BU195)*-1)+(BV246-BU246)</f>
        <v>0</v>
      </c>
      <c r="BW305" s="3">
        <f>((BW195-BV195)*-1)+(BW246-BV246)</f>
        <v>0</v>
      </c>
      <c r="BX305" s="3">
        <f>((BX195-BW195)*-1)+(BX246-BW246)</f>
        <v>0</v>
      </c>
      <c r="BY305" s="3">
        <f>((BY195-BX195)*-1)+(BY246-BX246)</f>
        <v>0</v>
      </c>
      <c r="BZ305" s="3">
        <f>SUM(BV305:BY305)</f>
        <v>0</v>
      </c>
      <c r="CA305" s="3">
        <f>((CA195-BZ195)*-1)+(CA246-BZ246)</f>
        <v>0</v>
      </c>
      <c r="CB305" s="3">
        <f>((CB195-CA195)*-1)+(CB246-CA246)</f>
        <v>0</v>
      </c>
      <c r="CC305" s="3">
        <f>((CC195-CB195)*-1)+(CC246-CB246)</f>
        <v>0</v>
      </c>
      <c r="CD305" s="3">
        <f>((CD195-CC195)*-1)+(CD246-CC246)</f>
        <v>0</v>
      </c>
      <c r="CE305" s="3">
        <f>SUM(CA305:CD305)</f>
        <v>0</v>
      </c>
      <c r="CF305" s="3">
        <f>((CF195-CE195)*-1)+(CF246-CE246)</f>
        <v>0</v>
      </c>
      <c r="CG305" s="3">
        <f>((CG195-CF195)*-1)+(CG246-CF246)</f>
        <v>0</v>
      </c>
      <c r="CH305" s="3">
        <f>((CH195-CG195)*-1)+(CH246-CG246)</f>
        <v>0</v>
      </c>
      <c r="CI305" s="3">
        <f>((CI195-CH195)*-1)+(CI246-CH246)</f>
        <v>0</v>
      </c>
      <c r="CJ305" s="3">
        <f>SUM(CF305:CI305)</f>
        <v>0</v>
      </c>
      <c r="CK305" s="3">
        <f>((CK195-CJ195)*-1)+(CK246-CJ246)</f>
        <v>0</v>
      </c>
      <c r="CL305" s="3">
        <f>((CL195-CK195)*-1)+(CL246-CK246)</f>
        <v>0</v>
      </c>
      <c r="CM305" s="3">
        <f>((CM195-CL195)*-1)+(CM246-CL246)</f>
        <v>0</v>
      </c>
      <c r="CN305" s="3">
        <f>((CN195-CM195)*-1)+(CN246-CM246)</f>
        <v>0</v>
      </c>
      <c r="CO305" s="3">
        <f>SUM(CK305:CN305)</f>
        <v>0</v>
      </c>
      <c r="CP305" s="3">
        <f>((CP195-CO195)*-1)+(CP246-CO246)</f>
        <v>0</v>
      </c>
      <c r="CQ305" s="3">
        <f>((CQ195-CP195)*-1)+(CQ246-CP246)</f>
        <v>0</v>
      </c>
      <c r="CR305" s="3">
        <f>((CR195-CQ195)*-1)+(CR246-CQ246)</f>
        <v>0</v>
      </c>
      <c r="CS305" s="3">
        <f>((CS195-CR195)*-1)+(CS246-CR246)</f>
        <v>0</v>
      </c>
      <c r="CT305" s="3">
        <f>SUM(CP305:CS305)</f>
        <v>0</v>
      </c>
      <c r="CU305" s="3">
        <f>((CU195-CT195)*-1)+(CU246-CT246)</f>
        <v>0</v>
      </c>
      <c r="CV305" s="3">
        <f>((CV195-CU195)*-1)+(CV246-CU246)</f>
        <v>0</v>
      </c>
      <c r="CW305" s="3">
        <f>((CW195-CV195)*-1)+(CW246-CV246)</f>
        <v>0</v>
      </c>
      <c r="CX305" s="3">
        <f>((CX195-CW195)*-1)+(CX246-CW246)</f>
        <v>0</v>
      </c>
      <c r="CY305" s="3">
        <f>SUM(CU305:CX305)</f>
        <v>0</v>
      </c>
    </row>
    <row r="306">
      <c r="C306" s="26" t="inlineStr">
        <is>
          <t>Cash from investing</t>
        </is>
      </c>
      <c r="D306" s="3" t="n"/>
      <c r="E306" s="3">
        <f>SUM(E301,E302,E304,E305,E303)</f>
        <v>-10.3017581254442</v>
      </c>
      <c r="F306" s="3">
        <f>SUM(F301,F302,F304,F305,F303)</f>
        <v>11.6417856521108</v>
      </c>
      <c r="G306" s="3">
        <f>SUM(G301,G302,G304,G305,G303)</f>
        <v>30.3456037471335</v>
      </c>
      <c r="H306" s="3">
        <f>SUM(H301,H302,H304,H305)</f>
        <v>31.6856312738001</v>
      </c>
      <c r="I306" s="3">
        <f>SUM(I301,I302,I304,I305,I303)</f>
        <v>-43.6060483089907</v>
      </c>
      <c r="J306" s="3">
        <f>SUM(J301,J302,J304,J305,J303)</f>
        <v>-61.3050859574421</v>
      </c>
      <c r="K306" s="3">
        <f>SUM(K301,K302,K304,K305,K303)</f>
        <v>-118.696438142868</v>
      </c>
      <c r="L306" s="3">
        <f>SUM(L301,L302,L304,L305,L303)</f>
        <v>-104.947983291994</v>
      </c>
      <c r="M306" s="3">
        <f>SUM(M301,M302,M304,M305)</f>
        <v>-328.555555701295</v>
      </c>
      <c r="N306" s="3">
        <f>SUM(N301,N302,N304,N305,N303)</f>
        <v>-76.0755354249385</v>
      </c>
      <c r="O306" s="3">
        <f>SUM(O301,O302,O304,O305,O303)</f>
        <v>-114.295891462082</v>
      </c>
      <c r="P306" s="3">
        <f>SUM(P301,P302,P304,P305,P303)</f>
        <v>-151.067537549903</v>
      </c>
      <c r="Q306" s="3">
        <f>SUM(Q301,Q302,Q304,Q305,Q303)</f>
        <v>-79.678540875581</v>
      </c>
      <c r="R306" s="3">
        <f>SUM(R301,R302,R304,R305)</f>
        <v>-421.117505312505</v>
      </c>
      <c r="S306" s="3">
        <f>SUM(S301,S302,S304,S305,S303)</f>
        <v>-86.2320997200005</v>
      </c>
      <c r="T306" s="3">
        <f>SUM(T301,T302,T304,T305,T303)</f>
        <v>-80.6914636518098</v>
      </c>
      <c r="U306" s="3">
        <f>SUM(U301,U302,U304,U305,U303)</f>
        <v>-121.05714625</v>
      </c>
      <c r="V306" s="3">
        <f>SUM(V301,V302,V304,V305,V303)</f>
        <v>-4.48729557000024</v>
      </c>
      <c r="W306" s="3">
        <f>SUM(W301,W302,W304,W305)</f>
        <v>-292.46800519181</v>
      </c>
      <c r="X306" s="3">
        <f>SUM(X301,X302,X304,X305,X303)</f>
        <v>11.7944637102976</v>
      </c>
      <c r="Y306" s="3">
        <f>SUM(Y301,Y302,Y304,Y305,Y303)</f>
        <v>-157.251836541774</v>
      </c>
      <c r="Z306" s="3">
        <f>SUM(Z301,Z302,Z304,Z305,Z303)</f>
        <v>-76.4934603503332</v>
      </c>
      <c r="AA306" s="3">
        <f>SUM(AA301,AA302,AA304,AA305,AA303)</f>
        <v>-158.591945667492</v>
      </c>
      <c r="AB306" s="3">
        <f>SUM(AB301,AB302,AB304,AB305)</f>
        <v>-380.542778849301</v>
      </c>
      <c r="AC306" s="3">
        <f>SUM(AC301,AC302,AC304,AC305,AC303)</f>
        <v>-107.88971684</v>
      </c>
      <c r="AD306" s="3">
        <f>SUM(AD301,AD302,AD304,AD305,AD303)</f>
        <v>-25.8617520600001</v>
      </c>
      <c r="AE306" s="3">
        <f>SUM(AE301,AE302,AE304,AE305,AE303)</f>
        <v>-110.89983606</v>
      </c>
      <c r="AF306" s="3">
        <f>SUM(AF301,AF302,AF304,AF305,AF303)</f>
        <v>-66.8581582999999</v>
      </c>
      <c r="AG306" s="3">
        <f>SUM(AG301,AG302,AG304,AG305)</f>
        <v>-311.50946326</v>
      </c>
      <c r="AH306" s="3">
        <f>SUM(AH301,AH302,AH304,AH305,AH303)</f>
        <v>-91.7735275300004</v>
      </c>
      <c r="AI306" s="3">
        <f>SUM(AI301,AI302,AI304,AI305,AI303)</f>
        <v>-52.2285835899998</v>
      </c>
      <c r="AJ306" s="3">
        <f>SUM(AJ301,AJ302,AJ304,AJ305,AJ303)</f>
        <v>51.55601363</v>
      </c>
      <c r="AK306" s="3">
        <f>SUM(AK301,AK302,AK304,AK305,AK303)</f>
        <v>0</v>
      </c>
      <c r="AL306" s="3">
        <f>SUM(AL301,AL302,AL304,AL305)</f>
        <v>-92.4460974900002</v>
      </c>
      <c r="AM306" s="3">
        <f>SUM(AM301,AM302,AM304,AM305,AM303)</f>
        <v>0</v>
      </c>
      <c r="AN306" s="3">
        <f>SUM(AN301,AN302,AN304,AN305,AN303)</f>
        <v>0</v>
      </c>
      <c r="AO306" s="3">
        <f>SUM(AO301,AO302,AO304,AO305,AO303)</f>
        <v>0</v>
      </c>
      <c r="AP306" s="3">
        <f>SUM(AP301,AP302,AP304,AP305,AP303)</f>
        <v>0</v>
      </c>
      <c r="AQ306" s="3">
        <f>SUM(AQ301,AQ302,AQ304,AQ305)</f>
        <v>0</v>
      </c>
      <c r="AR306" s="3">
        <f>SUM(AR301,AR302,AR304,AR305,AR303)</f>
        <v>0</v>
      </c>
      <c r="AS306" s="3">
        <f>SUM(AS301,AS302,AS304,AS305,AS303)</f>
        <v>0</v>
      </c>
      <c r="AT306" s="3">
        <f>SUM(AT301,AT302,AT304,AT305,AT303)</f>
        <v>0</v>
      </c>
      <c r="AU306" s="3">
        <f>SUM(AU301,AU302,AU304,AU305,AU303)</f>
        <v>0</v>
      </c>
      <c r="AV306" s="3">
        <f>SUM(AV301,AV302,AV304,AV305)</f>
        <v>0</v>
      </c>
      <c r="AW306" s="3">
        <f>SUM(AW301,AW302,AW304,AW305,AW303)</f>
        <v>0</v>
      </c>
      <c r="AX306" s="3">
        <f>SUM(AX301,AX302,AX304,AX305,AX303)</f>
        <v>0</v>
      </c>
      <c r="AY306" s="3">
        <f>SUM(AY301,AY302,AY304,AY305,AY303)</f>
        <v>0</v>
      </c>
      <c r="AZ306" s="3">
        <f>SUM(AZ301,AZ302,AZ304,AZ305,AZ303)</f>
        <v>0</v>
      </c>
      <c r="BA306" s="3">
        <f>SUM(BA301,BA302,BA304,BA305)</f>
        <v>0</v>
      </c>
      <c r="BB306" s="3">
        <f>SUM(BB301,BB302,BB304,BB305,BB303)</f>
        <v>0</v>
      </c>
      <c r="BC306" s="3">
        <f>SUM(BC301,BC302,BC304,BC305,BC303)</f>
        <v>0</v>
      </c>
      <c r="BD306" s="3">
        <f>SUM(BD301,BD302,BD304,BD305,BD303)</f>
        <v>0</v>
      </c>
      <c r="BE306" s="3">
        <f>SUM(BE301,BE302,BE304,BE305,BE303)</f>
        <v>0</v>
      </c>
      <c r="BF306" s="3">
        <f>SUM(BF301,BF302,BF304,BF305)</f>
        <v>0</v>
      </c>
      <c r="BG306" s="3">
        <f>SUM(BG301,BG302,BG304,BG305,BG303)</f>
        <v>0</v>
      </c>
      <c r="BH306" s="3">
        <f>SUM(BH301,BH302,BH304,BH305,BH303)</f>
        <v>0</v>
      </c>
      <c r="BI306" s="3">
        <f>SUM(BI301,BI302,BI304,BI305,BI303)</f>
        <v>0</v>
      </c>
      <c r="BJ306" s="3">
        <f>SUM(BJ301,BJ302,BJ304,BJ305,BJ303)</f>
        <v>0</v>
      </c>
      <c r="BK306" s="3">
        <f>SUM(BK301,BK302,BK304,BK305)</f>
        <v>0</v>
      </c>
      <c r="BL306" s="3">
        <f>SUM(BL301,BL302,BL304,BL305,BL303)</f>
        <v>0</v>
      </c>
      <c r="BM306" s="3">
        <f>SUM(BM301,BM302,BM304,BM305,BM303)</f>
        <v>0</v>
      </c>
      <c r="BN306" s="3">
        <f>SUM(BN301,BN302,BN304,BN305,BN303)</f>
        <v>0</v>
      </c>
      <c r="BO306" s="3">
        <f>SUM(BO301,BO302,BO304,BO305,BO303)</f>
        <v>0</v>
      </c>
      <c r="BP306" s="3">
        <f>SUM(BP301,BP302,BP304,BP305)</f>
        <v>0</v>
      </c>
      <c r="BQ306" s="3">
        <f>SUM(BQ301,BQ302,BQ304,BQ305,BQ303)</f>
        <v>0</v>
      </c>
      <c r="BR306" s="3">
        <f>SUM(BR301,BR302,BR304,BR305,BR303)</f>
        <v>0</v>
      </c>
      <c r="BS306" s="3">
        <f>SUM(BS301,BS302,BS304,BS305,BS303)</f>
        <v>0</v>
      </c>
      <c r="BT306" s="3">
        <f>SUM(BT301,BT302,BT304,BT305,BT303)</f>
        <v>0</v>
      </c>
      <c r="BU306" s="3">
        <f>SUM(BU301,BU302,BU304,BU305)</f>
        <v>0</v>
      </c>
      <c r="BV306" s="3">
        <f>SUM(BV301,BV302,BV304,BV305,BV303)</f>
        <v>0</v>
      </c>
      <c r="BW306" s="3">
        <f>SUM(BW301,BW302,BW304,BW305,BW303)</f>
        <v>0</v>
      </c>
      <c r="BX306" s="3">
        <f>SUM(BX301,BX302,BX304,BX305,BX303)</f>
        <v>0</v>
      </c>
      <c r="BY306" s="3">
        <f>SUM(BY301,BY302,BY304,BY305,BY303)</f>
        <v>0</v>
      </c>
      <c r="BZ306" s="3">
        <f>SUM(BZ301,BZ302,BZ304,BZ305)</f>
        <v>0</v>
      </c>
      <c r="CA306" s="3">
        <f>SUM(CA301,CA302,CA304,CA305,CA303)</f>
        <v>0</v>
      </c>
      <c r="CB306" s="3">
        <f>SUM(CB301,CB302,CB304,CB305,CB303)</f>
        <v>0</v>
      </c>
      <c r="CC306" s="3">
        <f>SUM(CC301,CC302,CC304,CC305,CC303)</f>
        <v>0</v>
      </c>
      <c r="CD306" s="3">
        <f>SUM(CD301,CD302,CD304,CD305,CD303)</f>
        <v>0</v>
      </c>
      <c r="CE306" s="3">
        <f>SUM(CE301,CE302,CE304,CE305)</f>
        <v>0</v>
      </c>
      <c r="CF306" s="3">
        <f>SUM(CF301,CF302,CF304,CF305,CF303)</f>
        <v>0</v>
      </c>
      <c r="CG306" s="3">
        <f>SUM(CG301,CG302,CG304,CG305,CG303)</f>
        <v>0</v>
      </c>
      <c r="CH306" s="3">
        <f>SUM(CH301,CH302,CH304,CH305,CH303)</f>
        <v>0</v>
      </c>
      <c r="CI306" s="3">
        <f>SUM(CI301,CI302,CI304,CI305,CI303)</f>
        <v>0</v>
      </c>
      <c r="CJ306" s="3">
        <f>SUM(CJ301,CJ302,CJ304,CJ305)</f>
        <v>0</v>
      </c>
      <c r="CK306" s="3">
        <f>SUM(CK301,CK302,CK304,CK305,CK303)</f>
        <v>0</v>
      </c>
      <c r="CL306" s="3">
        <f>SUM(CL301,CL302,CL304,CL305,CL303)</f>
        <v>0</v>
      </c>
      <c r="CM306" s="3">
        <f>SUM(CM301,CM302,CM304,CM305,CM303)</f>
        <v>0</v>
      </c>
      <c r="CN306" s="3">
        <f>SUM(CN301,CN302,CN304,CN305,CN303)</f>
        <v>0</v>
      </c>
      <c r="CO306" s="3">
        <f>SUM(CO301,CO302,CO304,CO305)</f>
        <v>0</v>
      </c>
      <c r="CP306" s="3">
        <f>SUM(CP301,CP302,CP304,CP305,CP303)</f>
        <v>0</v>
      </c>
      <c r="CQ306" s="3">
        <f>SUM(CQ301,CQ302,CQ304,CQ305,CQ303)</f>
        <v>0</v>
      </c>
      <c r="CR306" s="3">
        <f>SUM(CR301,CR302,CR304,CR305,CR303)</f>
        <v>0</v>
      </c>
      <c r="CS306" s="3">
        <f>SUM(CS301,CS302,CS304,CS305,CS303)</f>
        <v>0</v>
      </c>
      <c r="CT306" s="3">
        <f>SUM(CT301,CT302,CT304,CT305)</f>
        <v>0</v>
      </c>
      <c r="CU306" s="3">
        <f>SUM(CU301,CU302,CU304,CU305,CU303)</f>
        <v>0</v>
      </c>
      <c r="CV306" s="3">
        <f>SUM(CV301,CV302,CV304,CV305,CV303)</f>
        <v>0</v>
      </c>
      <c r="CW306" s="3">
        <f>SUM(CW301,CW302,CW304,CW305,CW303)</f>
        <v>0</v>
      </c>
      <c r="CX306" s="3">
        <f>SUM(CX301,CX302,CX304,CX305,CX303)</f>
        <v>0</v>
      </c>
      <c r="CY306" s="3">
        <f>SUM(CY301,CY302,CY304,CY305)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Convertible preferred stock</t>
        </is>
      </c>
      <c r="D308" s="3" t="n"/>
      <c r="E308" s="3">
        <f>E259-D259</f>
        <v>0</v>
      </c>
      <c r="F308" s="3">
        <f>F259-E259</f>
        <v>0</v>
      </c>
      <c r="G308" s="3">
        <f>G259-F259</f>
        <v>0</v>
      </c>
      <c r="H308" s="3">
        <f>SUM(D308:G308)</f>
        <v>0</v>
      </c>
      <c r="I308" s="3">
        <f>I259-H259</f>
        <v>0</v>
      </c>
      <c r="J308" s="3">
        <f>J259-I259</f>
        <v>0</v>
      </c>
      <c r="K308" s="3">
        <f>K259-J259</f>
        <v>0</v>
      </c>
      <c r="L308" s="3">
        <f>L259-K259</f>
        <v>0</v>
      </c>
      <c r="M308" s="3">
        <f>SUM(I308:L308)</f>
        <v>0</v>
      </c>
      <c r="N308" s="3">
        <f>N259-M259</f>
        <v>0</v>
      </c>
      <c r="O308" s="3">
        <f>O259-N259</f>
        <v>0</v>
      </c>
      <c r="P308" s="3">
        <f>P259-O259</f>
        <v>0</v>
      </c>
      <c r="Q308" s="3">
        <f>Q259-P259</f>
        <v>0</v>
      </c>
      <c r="R308" s="3">
        <f>SUM(N308:Q308)</f>
        <v>0</v>
      </c>
      <c r="S308" s="3">
        <f>S259-R259</f>
        <v>0</v>
      </c>
      <c r="T308" s="3">
        <f>T259-S259</f>
        <v>0</v>
      </c>
      <c r="U308" s="3">
        <f>U259-T259</f>
        <v>0</v>
      </c>
      <c r="V308" s="3">
        <f>V259-U259</f>
        <v>0</v>
      </c>
      <c r="W308" s="3">
        <f>SUM(S308:V308)</f>
        <v>0</v>
      </c>
      <c r="X308" s="3">
        <f>X259-W259</f>
        <v>0</v>
      </c>
      <c r="Y308" s="3">
        <f>Y259-X259</f>
        <v>0</v>
      </c>
      <c r="Z308" s="3">
        <f>Z259-Y259</f>
        <v>0</v>
      </c>
      <c r="AA308" s="3">
        <f>AA259-Z259</f>
        <v>0</v>
      </c>
      <c r="AB308" s="3">
        <f>SUM(X308:AA308)</f>
        <v>0</v>
      </c>
      <c r="AC308" s="3">
        <f>AC259-AB259</f>
        <v>0</v>
      </c>
      <c r="AD308" s="3">
        <f>AD259-AC259</f>
        <v>0</v>
      </c>
      <c r="AE308" s="3">
        <f>AE259-AD259</f>
        <v>0</v>
      </c>
      <c r="AF308" s="3">
        <f>AF259-AE259</f>
        <v>0</v>
      </c>
      <c r="AG308" s="3">
        <f>SUM(AC308:AF308)</f>
        <v>0</v>
      </c>
      <c r="AH308" s="3">
        <f>AH259-AG259</f>
        <v>0</v>
      </c>
      <c r="AI308" s="3">
        <f>AI259-AH259</f>
        <v>0</v>
      </c>
      <c r="AJ308" s="3">
        <f>AJ259-AI259</f>
        <v>0</v>
      </c>
      <c r="AK308" s="3">
        <f>AK259-AJ259</f>
        <v>0</v>
      </c>
      <c r="AL308" s="3">
        <f>SUM(AH308:AK308)</f>
        <v>0</v>
      </c>
      <c r="AM308" s="3">
        <f>AM259-AL259</f>
        <v>0</v>
      </c>
      <c r="AN308" s="3">
        <f>AN259-AM259</f>
        <v>0</v>
      </c>
      <c r="AO308" s="3">
        <f>AO259-AN259</f>
        <v>0</v>
      </c>
      <c r="AP308" s="3">
        <f>AP259-AO259</f>
        <v>0</v>
      </c>
      <c r="AQ308" s="3">
        <f>SUM(AM308:AP308)</f>
        <v>0</v>
      </c>
      <c r="AR308" s="3">
        <f>AR259-AQ259</f>
        <v>0</v>
      </c>
      <c r="AS308" s="3">
        <f>AS259-AR259</f>
        <v>0</v>
      </c>
      <c r="AT308" s="3">
        <f>AT259-AS259</f>
        <v>0</v>
      </c>
      <c r="AU308" s="3">
        <f>AU259-AT259</f>
        <v>0</v>
      </c>
      <c r="AV308" s="3">
        <f>SUM(AR308:AU308)</f>
        <v>0</v>
      </c>
      <c r="AW308" s="3">
        <f>AW259-AV259</f>
        <v>0</v>
      </c>
      <c r="AX308" s="3">
        <f>AX259-AW259</f>
        <v>0</v>
      </c>
      <c r="AY308" s="3">
        <f>AY259-AX259</f>
        <v>0</v>
      </c>
      <c r="AZ308" s="3">
        <f>AZ259-AY259</f>
        <v>0</v>
      </c>
      <c r="BA308" s="3">
        <f>SUM(AW308:AZ308)</f>
        <v>0</v>
      </c>
      <c r="BB308" s="3">
        <f>BB259-BA259</f>
        <v>0</v>
      </c>
      <c r="BC308" s="3">
        <f>BC259-BB259</f>
        <v>0</v>
      </c>
      <c r="BD308" s="3">
        <f>BD259-BC259</f>
        <v>0</v>
      </c>
      <c r="BE308" s="3">
        <f>BE259-BD259</f>
        <v>0</v>
      </c>
      <c r="BF308" s="3">
        <f>SUM(BB308:BE308)</f>
        <v>0</v>
      </c>
      <c r="BG308" s="3">
        <f>BG259-BF259</f>
        <v>0</v>
      </c>
      <c r="BH308" s="3">
        <f>BH259-BG259</f>
        <v>0</v>
      </c>
      <c r="BI308" s="3">
        <f>BI259-BH259</f>
        <v>0</v>
      </c>
      <c r="BJ308" s="3">
        <f>BJ259-BI259</f>
        <v>0</v>
      </c>
      <c r="BK308" s="3">
        <f>SUM(BG308:BJ308)</f>
        <v>0</v>
      </c>
      <c r="BL308" s="3">
        <f>BL259-BK259</f>
        <v>0</v>
      </c>
      <c r="BM308" s="3">
        <f>BM259-BL259</f>
        <v>0</v>
      </c>
      <c r="BN308" s="3">
        <f>BN259-BM259</f>
        <v>0</v>
      </c>
      <c r="BO308" s="3">
        <f>BO259-BN259</f>
        <v>0</v>
      </c>
      <c r="BP308" s="3">
        <f>SUM(BL308:BO308)</f>
        <v>0</v>
      </c>
      <c r="BQ308" s="3">
        <f>BQ259-BP259</f>
        <v>0</v>
      </c>
      <c r="BR308" s="3">
        <f>BR259-BQ259</f>
        <v>0</v>
      </c>
      <c r="BS308" s="3">
        <f>BS259-BR259</f>
        <v>0</v>
      </c>
      <c r="BT308" s="3">
        <f>BT259-BS259</f>
        <v>0</v>
      </c>
      <c r="BU308" s="3">
        <f>SUM(BQ308:BT308)</f>
        <v>0</v>
      </c>
      <c r="BV308" s="3">
        <f>BV259-BU259</f>
        <v>0</v>
      </c>
      <c r="BW308" s="3">
        <f>BW259-BV259</f>
        <v>0</v>
      </c>
      <c r="BX308" s="3">
        <f>BX259-BW259</f>
        <v>0</v>
      </c>
      <c r="BY308" s="3">
        <f>BY259-BX259</f>
        <v>0</v>
      </c>
      <c r="BZ308" s="3">
        <f>SUM(BV308:BY308)</f>
        <v>0</v>
      </c>
      <c r="CA308" s="3">
        <f>CA259-BZ259</f>
        <v>0</v>
      </c>
      <c r="CB308" s="3">
        <f>CB259-CA259</f>
        <v>0</v>
      </c>
      <c r="CC308" s="3">
        <f>CC259-CB259</f>
        <v>0</v>
      </c>
      <c r="CD308" s="3">
        <f>CD259-CC259</f>
        <v>0</v>
      </c>
      <c r="CE308" s="3">
        <f>SUM(CA308:CD308)</f>
        <v>0</v>
      </c>
      <c r="CF308" s="3">
        <f>CF259-CE259</f>
        <v>0</v>
      </c>
      <c r="CG308" s="3">
        <f>CG259-CF259</f>
        <v>0</v>
      </c>
      <c r="CH308" s="3">
        <f>CH259-CG259</f>
        <v>0</v>
      </c>
      <c r="CI308" s="3">
        <f>CI259-CH259</f>
        <v>0</v>
      </c>
      <c r="CJ308" s="3">
        <f>SUM(CF308:CI308)</f>
        <v>0</v>
      </c>
      <c r="CK308" s="3">
        <f>CK259-CJ259</f>
        <v>0</v>
      </c>
      <c r="CL308" s="3">
        <f>CL259-CK259</f>
        <v>0</v>
      </c>
      <c r="CM308" s="3">
        <f>CM259-CL259</f>
        <v>0</v>
      </c>
      <c r="CN308" s="3">
        <f>CN259-CM259</f>
        <v>0</v>
      </c>
      <c r="CO308" s="3">
        <f>SUM(CK308:CN308)</f>
        <v>0</v>
      </c>
      <c r="CP308" s="3">
        <f>CP259-CO259</f>
        <v>0</v>
      </c>
      <c r="CQ308" s="3">
        <f>CQ259-CP259</f>
        <v>0</v>
      </c>
      <c r="CR308" s="3">
        <f>CR259-CQ259</f>
        <v>0</v>
      </c>
      <c r="CS308" s="3">
        <f>CS259-CR259</f>
        <v>0</v>
      </c>
      <c r="CT308" s="3">
        <f>SUM(CP308:CS308)</f>
        <v>0</v>
      </c>
      <c r="CU308" s="3">
        <f>CU259-CT259</f>
        <v>0</v>
      </c>
      <c r="CV308" s="3">
        <f>CV259-CU259</f>
        <v>0</v>
      </c>
      <c r="CW308" s="3">
        <f>CW259-CV259</f>
        <v>0</v>
      </c>
      <c r="CX308" s="3">
        <f>CX259-CW259</f>
        <v>0</v>
      </c>
      <c r="CY308" s="3">
        <f>SUM(CU308:CX308)</f>
        <v>0</v>
      </c>
    </row>
    <row r="309">
      <c r="C309" s="26" t="inlineStr">
        <is>
          <t>Common stock and APIC</t>
        </is>
      </c>
      <c r="D309" s="3" t="n"/>
      <c r="E309" s="3">
        <f>E260-D260</f>
        <v>8.22800000150892e-05</v>
      </c>
      <c r="F309" s="3">
        <f>F260-E260</f>
        <v>0</v>
      </c>
      <c r="G309" s="3">
        <f>G260-F260</f>
        <v>53.0411267200002</v>
      </c>
      <c r="H309" s="3">
        <f>SUM(D309:G309)</f>
        <v>53.0412090000002</v>
      </c>
      <c r="I309" s="3">
        <f>I260-H260</f>
        <v>0</v>
      </c>
      <c r="J309" s="3">
        <f>J260-I260</f>
        <v>0</v>
      </c>
      <c r="K309" s="3">
        <f>K260-J260</f>
        <v>0</v>
      </c>
      <c r="L309" s="3">
        <f>L260-K260</f>
        <v>0</v>
      </c>
      <c r="M309" s="3">
        <f>SUM(I309:L309)</f>
        <v>0</v>
      </c>
      <c r="N309" s="3">
        <f>N260-M260</f>
        <v>0</v>
      </c>
      <c r="O309" s="3">
        <f>O260-N260</f>
        <v>0</v>
      </c>
      <c r="P309" s="3">
        <f>P260-O260</f>
        <v>0</v>
      </c>
      <c r="Q309" s="3">
        <f>Q260-P260</f>
        <v>-0.00020900000004076</v>
      </c>
      <c r="R309" s="3">
        <f>SUM(N309:Q309)</f>
        <v>-0.00020900000004076</v>
      </c>
      <c r="S309" s="3">
        <f>S260-R260</f>
        <v>0</v>
      </c>
      <c r="T309" s="3">
        <f>T260-S260</f>
        <v>0.00020900000004076</v>
      </c>
      <c r="U309" s="3">
        <f>U260-T260</f>
        <v>0</v>
      </c>
      <c r="V309" s="3">
        <f>V260-U260</f>
        <v>0</v>
      </c>
      <c r="W309" s="3">
        <f>SUM(S309:V309)</f>
        <v>0.00020900000004076</v>
      </c>
      <c r="X309" s="3">
        <f>X260-W260</f>
        <v>0</v>
      </c>
      <c r="Y309" s="3">
        <f>Y260-X260</f>
        <v>0</v>
      </c>
      <c r="Z309" s="3">
        <f>Z260-Y260</f>
        <v>-2.00000158656621e-08</v>
      </c>
      <c r="AA309" s="3">
        <f>AA260-Z260</f>
        <v>600</v>
      </c>
      <c r="AB309" s="3">
        <f>SUM(X309:AA309)</f>
        <v>599.99999998</v>
      </c>
      <c r="AC309" s="3">
        <f>AC260-AB260</f>
        <v>0</v>
      </c>
      <c r="AD309" s="3">
        <f>AD260-AC260</f>
        <v>0</v>
      </c>
      <c r="AE309" s="3">
        <f>AE260-AD260</f>
        <v>-0.000208980000024894</v>
      </c>
      <c r="AF309" s="3">
        <f>AF260-AE260</f>
        <v>866.64434023</v>
      </c>
      <c r="AG309" s="3">
        <f>SUM(AC309:AF309)</f>
        <v>866.64413125</v>
      </c>
      <c r="AH309" s="3">
        <f>AH260-AG260</f>
        <v>0</v>
      </c>
      <c r="AI309" s="3">
        <f>AI260-AH260</f>
        <v>0</v>
      </c>
      <c r="AJ309" s="3">
        <f>AJ260-AI260</f>
        <v>0</v>
      </c>
      <c r="AK309" s="3">
        <f>AK260-AJ260</f>
        <v>0</v>
      </c>
      <c r="AL309" s="3">
        <f>SUM(AH309:AK309)</f>
        <v>0</v>
      </c>
      <c r="AM309" s="3">
        <f>AM260-AL260</f>
        <v>0</v>
      </c>
      <c r="AN309" s="3">
        <f>AN260-AM260</f>
        <v>0</v>
      </c>
      <c r="AO309" s="3">
        <f>AO260-AN260</f>
        <v>0</v>
      </c>
      <c r="AP309" s="3">
        <f>AP260-AO260</f>
        <v>0</v>
      </c>
      <c r="AQ309" s="3">
        <f>SUM(AM309:AP309)</f>
        <v>0</v>
      </c>
      <c r="AR309" s="3">
        <f>AR260-AQ260</f>
        <v>0</v>
      </c>
      <c r="AS309" s="3">
        <f>AS260-AR260</f>
        <v>0</v>
      </c>
      <c r="AT309" s="3">
        <f>AT260-AS260</f>
        <v>0</v>
      </c>
      <c r="AU309" s="3">
        <f>AU260-AT260</f>
        <v>0</v>
      </c>
      <c r="AV309" s="3">
        <f>SUM(AR309:AU309)</f>
        <v>0</v>
      </c>
      <c r="AW309" s="3">
        <f>AW260-AV260</f>
        <v>0</v>
      </c>
      <c r="AX309" s="3">
        <f>AX260-AW260</f>
        <v>0</v>
      </c>
      <c r="AY309" s="3">
        <f>AY260-AX260</f>
        <v>0</v>
      </c>
      <c r="AZ309" s="3">
        <f>AZ260-AY260</f>
        <v>0</v>
      </c>
      <c r="BA309" s="3">
        <f>SUM(AW309:AZ309)</f>
        <v>0</v>
      </c>
      <c r="BB309" s="3">
        <f>BB260-BA260</f>
        <v>0</v>
      </c>
      <c r="BC309" s="3">
        <f>BC260-BB260</f>
        <v>0</v>
      </c>
      <c r="BD309" s="3">
        <f>BD260-BC260</f>
        <v>0</v>
      </c>
      <c r="BE309" s="3">
        <f>BE260-BD260</f>
        <v>0</v>
      </c>
      <c r="BF309" s="3">
        <f>SUM(BB309:BE309)</f>
        <v>0</v>
      </c>
      <c r="BG309" s="3">
        <f>BG260-BF260</f>
        <v>0</v>
      </c>
      <c r="BH309" s="3">
        <f>BH260-BG260</f>
        <v>0</v>
      </c>
      <c r="BI309" s="3">
        <f>BI260-BH260</f>
        <v>0</v>
      </c>
      <c r="BJ309" s="3">
        <f>BJ260-BI260</f>
        <v>0</v>
      </c>
      <c r="BK309" s="3">
        <f>SUM(BG309:BJ309)</f>
        <v>0</v>
      </c>
      <c r="BL309" s="3">
        <f>BL260-BK260</f>
        <v>0</v>
      </c>
      <c r="BM309" s="3">
        <f>BM260-BL260</f>
        <v>0</v>
      </c>
      <c r="BN309" s="3">
        <f>BN260-BM260</f>
        <v>0</v>
      </c>
      <c r="BO309" s="3">
        <f>BO260-BN260</f>
        <v>0</v>
      </c>
      <c r="BP309" s="3">
        <f>SUM(BL309:BO309)</f>
        <v>0</v>
      </c>
      <c r="BQ309" s="3">
        <f>BQ260-BP260</f>
        <v>0</v>
      </c>
      <c r="BR309" s="3">
        <f>BR260-BQ260</f>
        <v>0</v>
      </c>
      <c r="BS309" s="3">
        <f>BS260-BR260</f>
        <v>0</v>
      </c>
      <c r="BT309" s="3">
        <f>BT260-BS260</f>
        <v>0</v>
      </c>
      <c r="BU309" s="3">
        <f>SUM(BQ309:BT309)</f>
        <v>0</v>
      </c>
      <c r="BV309" s="3">
        <f>BV260-BU260</f>
        <v>0</v>
      </c>
      <c r="BW309" s="3">
        <f>BW260-BV260</f>
        <v>0</v>
      </c>
      <c r="BX309" s="3">
        <f>BX260-BW260</f>
        <v>0</v>
      </c>
      <c r="BY309" s="3">
        <f>BY260-BX260</f>
        <v>0</v>
      </c>
      <c r="BZ309" s="3">
        <f>SUM(BV309:BY309)</f>
        <v>0</v>
      </c>
      <c r="CA309" s="3">
        <f>CA260-BZ260</f>
        <v>0</v>
      </c>
      <c r="CB309" s="3">
        <f>CB260-CA260</f>
        <v>0</v>
      </c>
      <c r="CC309" s="3">
        <f>CC260-CB260</f>
        <v>0</v>
      </c>
      <c r="CD309" s="3">
        <f>CD260-CC260</f>
        <v>0</v>
      </c>
      <c r="CE309" s="3">
        <f>SUM(CA309:CD309)</f>
        <v>0</v>
      </c>
      <c r="CF309" s="3">
        <f>CF260-CE260</f>
        <v>0</v>
      </c>
      <c r="CG309" s="3">
        <f>CG260-CF260</f>
        <v>0</v>
      </c>
      <c r="CH309" s="3">
        <f>CH260-CG260</f>
        <v>0</v>
      </c>
      <c r="CI309" s="3">
        <f>CI260-CH260</f>
        <v>0</v>
      </c>
      <c r="CJ309" s="3">
        <f>SUM(CF309:CI309)</f>
        <v>0</v>
      </c>
      <c r="CK309" s="3">
        <f>CK260-CJ260</f>
        <v>0</v>
      </c>
      <c r="CL309" s="3">
        <f>CL260-CK260</f>
        <v>0</v>
      </c>
      <c r="CM309" s="3">
        <f>CM260-CL260</f>
        <v>0</v>
      </c>
      <c r="CN309" s="3">
        <f>CN260-CM260</f>
        <v>0</v>
      </c>
      <c r="CO309" s="3">
        <f>SUM(CK309:CN309)</f>
        <v>0</v>
      </c>
      <c r="CP309" s="3">
        <f>CP260-CO260</f>
        <v>0</v>
      </c>
      <c r="CQ309" s="3">
        <f>CQ260-CP260</f>
        <v>0</v>
      </c>
      <c r="CR309" s="3">
        <f>CR260-CQ260</f>
        <v>0</v>
      </c>
      <c r="CS309" s="3">
        <f>CS260-CR260</f>
        <v>0</v>
      </c>
      <c r="CT309" s="3">
        <f>SUM(CP309:CS309)</f>
        <v>0</v>
      </c>
      <c r="CU309" s="3">
        <f>CU260-CT260</f>
        <v>0</v>
      </c>
      <c r="CV309" s="3">
        <f>CV260-CU260</f>
        <v>0</v>
      </c>
      <c r="CW309" s="3">
        <f>CW260-CV260</f>
        <v>0</v>
      </c>
      <c r="CX309" s="3">
        <f>CX260-CW260</f>
        <v>0</v>
      </c>
      <c r="CY309" s="3">
        <f>SUM(CU309:CX309)</f>
        <v>0</v>
      </c>
    </row>
    <row r="310">
      <c r="C310" s="26" t="inlineStr">
        <is>
          <t>Treasury stock repurchases</t>
        </is>
      </c>
      <c r="D310" s="3" t="n"/>
      <c r="E310" s="3">
        <f>E273-D273</f>
        <v>0</v>
      </c>
      <c r="F310" s="3">
        <f>F273-E273</f>
        <v>0</v>
      </c>
      <c r="G310" s="3">
        <f>G273-F273</f>
        <v>0</v>
      </c>
      <c r="H310" s="3">
        <f>SUM(D310:G310)</f>
        <v>0</v>
      </c>
      <c r="I310" s="3">
        <f>I273-H273</f>
        <v>0</v>
      </c>
      <c r="J310" s="3">
        <f>J273-I273</f>
        <v>0</v>
      </c>
      <c r="K310" s="3">
        <f>K273-J273</f>
        <v>0</v>
      </c>
      <c r="L310" s="3">
        <f>L273-K273</f>
        <v>0</v>
      </c>
      <c r="M310" s="3">
        <f>SUM(I310:L310)</f>
        <v>0</v>
      </c>
      <c r="N310" s="3">
        <f>N273-M273</f>
        <v>-1.9076291</v>
      </c>
      <c r="O310" s="3">
        <f>O273-N273</f>
        <v>-8.82319484</v>
      </c>
      <c r="P310" s="3">
        <f>P273-O273</f>
        <v>-3.96311737</v>
      </c>
      <c r="Q310" s="3">
        <f>Q273-P273</f>
        <v>-5.86900000012491e-05</v>
      </c>
      <c r="R310" s="3">
        <f>SUM(N310:Q310)</f>
        <v>-14.694</v>
      </c>
      <c r="S310" s="3">
        <f>S273-R273</f>
        <v>-5.919</v>
      </c>
      <c r="T310" s="3">
        <f>T273-S273</f>
        <v>1.06306185</v>
      </c>
      <c r="U310" s="3">
        <f>U273-T273</f>
        <v>-4.62610933</v>
      </c>
      <c r="V310" s="3">
        <f>V273-U273</f>
        <v>0</v>
      </c>
      <c r="W310" s="3">
        <f>SUM(S310:V310)</f>
        <v>-9.48204748</v>
      </c>
      <c r="X310" s="3">
        <f>X273-W273</f>
        <v>0.311976250000001</v>
      </c>
      <c r="Y310" s="3">
        <f>Y273-X273</f>
        <v>-5.05899888</v>
      </c>
      <c r="Z310" s="3">
        <f>Z273-Y273</f>
        <v>0.0176307700000002</v>
      </c>
      <c r="AA310" s="3">
        <f>AA273-Z273</f>
        <v>2.05524243</v>
      </c>
      <c r="AB310" s="3">
        <f>SUM(X310:AA310)</f>
        <v>-2.67414943</v>
      </c>
      <c r="AC310" s="3">
        <f>AC273-AB273</f>
        <v>0.0370672199999973</v>
      </c>
      <c r="AD310" s="3">
        <f>AD273-AC273</f>
        <v>1.45198881</v>
      </c>
      <c r="AE310" s="3">
        <f>AE273-AD273</f>
        <v>-1.45685912</v>
      </c>
      <c r="AF310" s="3">
        <f>AF273-AE273</f>
        <v>0.000113049999999504</v>
      </c>
      <c r="AG310" s="3">
        <f>SUM(AC310:AF310)</f>
        <v>0.0323099599999992</v>
      </c>
      <c r="AH310" s="3">
        <f>AH273-AG273</f>
        <v>0</v>
      </c>
      <c r="AI310" s="3">
        <f>AI273-AH273</f>
        <v>1.66851977</v>
      </c>
      <c r="AJ310" s="3">
        <f>AJ273-AI273</f>
        <v>0</v>
      </c>
      <c r="AK310" s="3">
        <f>AK273-AJ273</f>
        <v>0</v>
      </c>
      <c r="AL310" s="3">
        <f>SUM(AH310:AK310)</f>
        <v>1.66851977</v>
      </c>
      <c r="AM310" s="3">
        <f>AM273-AL273</f>
        <v>0</v>
      </c>
      <c r="AN310" s="3">
        <f>AN273-AM273</f>
        <v>0</v>
      </c>
      <c r="AO310" s="3">
        <f>AO273-AN273</f>
        <v>0</v>
      </c>
      <c r="AP310" s="3">
        <f>AP273-AO273</f>
        <v>0</v>
      </c>
      <c r="AQ310" s="3">
        <f>SUM(AM310:AP310)</f>
        <v>0</v>
      </c>
      <c r="AR310" s="3">
        <f>AR273-AQ273</f>
        <v>0</v>
      </c>
      <c r="AS310" s="3">
        <f>AS273-AR273</f>
        <v>0</v>
      </c>
      <c r="AT310" s="3">
        <f>AT273-AS273</f>
        <v>0</v>
      </c>
      <c r="AU310" s="3">
        <f>AU273-AT273</f>
        <v>0</v>
      </c>
      <c r="AV310" s="3">
        <f>SUM(AR310:AU310)</f>
        <v>0</v>
      </c>
      <c r="AW310" s="3">
        <f>AW273-AV273</f>
        <v>0</v>
      </c>
      <c r="AX310" s="3">
        <f>AX273-AW273</f>
        <v>0</v>
      </c>
      <c r="AY310" s="3">
        <f>AY273-AX273</f>
        <v>0</v>
      </c>
      <c r="AZ310" s="3">
        <f>AZ273-AY273</f>
        <v>0</v>
      </c>
      <c r="BA310" s="3">
        <f>SUM(AW310:AZ310)</f>
        <v>0</v>
      </c>
      <c r="BB310" s="3">
        <f>BB273-BA273</f>
        <v>0</v>
      </c>
      <c r="BC310" s="3">
        <f>BC273-BB273</f>
        <v>0</v>
      </c>
      <c r="BD310" s="3">
        <f>BD273-BC273</f>
        <v>0</v>
      </c>
      <c r="BE310" s="3">
        <f>BE273-BD273</f>
        <v>0</v>
      </c>
      <c r="BF310" s="3">
        <f>SUM(BB310:BE310)</f>
        <v>0</v>
      </c>
      <c r="BG310" s="3">
        <f>BG273-BF273</f>
        <v>0</v>
      </c>
      <c r="BH310" s="3">
        <f>BH273-BG273</f>
        <v>0</v>
      </c>
      <c r="BI310" s="3">
        <f>BI273-BH273</f>
        <v>0</v>
      </c>
      <c r="BJ310" s="3">
        <f>BJ273-BI273</f>
        <v>0</v>
      </c>
      <c r="BK310" s="3">
        <f>SUM(BG310:BJ310)</f>
        <v>0</v>
      </c>
      <c r="BL310" s="3">
        <f>BL273-BK273</f>
        <v>0</v>
      </c>
      <c r="BM310" s="3">
        <f>BM273-BL273</f>
        <v>0</v>
      </c>
      <c r="BN310" s="3">
        <f>BN273-BM273</f>
        <v>0</v>
      </c>
      <c r="BO310" s="3">
        <f>BO273-BN273</f>
        <v>0</v>
      </c>
      <c r="BP310" s="3">
        <f>SUM(BL310:BO310)</f>
        <v>0</v>
      </c>
      <c r="BQ310" s="3">
        <f>BQ273-BP273</f>
        <v>0</v>
      </c>
      <c r="BR310" s="3">
        <f>BR273-BQ273</f>
        <v>0</v>
      </c>
      <c r="BS310" s="3">
        <f>BS273-BR273</f>
        <v>0</v>
      </c>
      <c r="BT310" s="3">
        <f>BT273-BS273</f>
        <v>0</v>
      </c>
      <c r="BU310" s="3">
        <f>SUM(BQ310:BT310)</f>
        <v>0</v>
      </c>
      <c r="BV310" s="3">
        <f>BV273-BU273</f>
        <v>0</v>
      </c>
      <c r="BW310" s="3">
        <f>BW273-BV273</f>
        <v>0</v>
      </c>
      <c r="BX310" s="3">
        <f>BX273-BW273</f>
        <v>0</v>
      </c>
      <c r="BY310" s="3">
        <f>BY273-BX273</f>
        <v>0</v>
      </c>
      <c r="BZ310" s="3">
        <f>SUM(BV310:BY310)</f>
        <v>0</v>
      </c>
      <c r="CA310" s="3">
        <f>CA273-BZ273</f>
        <v>0</v>
      </c>
      <c r="CB310" s="3">
        <f>CB273-CA273</f>
        <v>0</v>
      </c>
      <c r="CC310" s="3">
        <f>CC273-CB273</f>
        <v>0</v>
      </c>
      <c r="CD310" s="3">
        <f>CD273-CC273</f>
        <v>0</v>
      </c>
      <c r="CE310" s="3">
        <f>SUM(CA310:CD310)</f>
        <v>0</v>
      </c>
      <c r="CF310" s="3">
        <f>CF273-CE273</f>
        <v>0</v>
      </c>
      <c r="CG310" s="3">
        <f>CG273-CF273</f>
        <v>0</v>
      </c>
      <c r="CH310" s="3">
        <f>CH273-CG273</f>
        <v>0</v>
      </c>
      <c r="CI310" s="3">
        <f>CI273-CH273</f>
        <v>0</v>
      </c>
      <c r="CJ310" s="3">
        <f>SUM(CF310:CI310)</f>
        <v>0</v>
      </c>
      <c r="CK310" s="3">
        <f>CK273-CJ273</f>
        <v>0</v>
      </c>
      <c r="CL310" s="3">
        <f>CL273-CK273</f>
        <v>0</v>
      </c>
      <c r="CM310" s="3">
        <f>CM273-CL273</f>
        <v>0</v>
      </c>
      <c r="CN310" s="3">
        <f>CN273-CM273</f>
        <v>0</v>
      </c>
      <c r="CO310" s="3">
        <f>SUM(CK310:CN310)</f>
        <v>0</v>
      </c>
      <c r="CP310" s="3">
        <f>CP273-CO273</f>
        <v>0</v>
      </c>
      <c r="CQ310" s="3">
        <f>CQ273-CP273</f>
        <v>0</v>
      </c>
      <c r="CR310" s="3">
        <f>CR273-CQ273</f>
        <v>0</v>
      </c>
      <c r="CS310" s="3">
        <f>CS273-CR273</f>
        <v>0</v>
      </c>
      <c r="CT310" s="3">
        <f>SUM(CP310:CS310)</f>
        <v>0</v>
      </c>
      <c r="CU310" s="3">
        <f>CU273-CT273</f>
        <v>0</v>
      </c>
      <c r="CV310" s="3">
        <f>CV273-CU273</f>
        <v>0</v>
      </c>
      <c r="CW310" s="3">
        <f>CW273-CV273</f>
        <v>0</v>
      </c>
      <c r="CX310" s="3">
        <f>CX273-CW273</f>
        <v>0</v>
      </c>
      <c r="CY310" s="3">
        <f>SUM(CU310:CX310)</f>
        <v>0</v>
      </c>
    </row>
    <row r="311">
      <c r="C311" s="26" t="inlineStr">
        <is>
          <t>Comprehensive accumulated loss</t>
        </is>
      </c>
      <c r="D311" s="3" t="n"/>
      <c r="E311" s="3">
        <f>E274-D274</f>
        <v>0</v>
      </c>
      <c r="F311" s="3">
        <f>F274-E274</f>
        <v>0</v>
      </c>
      <c r="G311" s="3">
        <f>G274-F274</f>
        <v>0</v>
      </c>
      <c r="H311" s="3">
        <f>SUM(D311:G311)</f>
        <v>0</v>
      </c>
      <c r="I311" s="3">
        <f>I274-H274</f>
        <v>0</v>
      </c>
      <c r="J311" s="3">
        <f>J274-I274</f>
        <v>0</v>
      </c>
      <c r="K311" s="3">
        <f>K274-J274</f>
        <v>0</v>
      </c>
      <c r="L311" s="3">
        <f>L274-K274</f>
        <v>0</v>
      </c>
      <c r="M311" s="3">
        <f>SUM(I311:L311)</f>
        <v>0</v>
      </c>
      <c r="N311" s="3">
        <f>N274-M274</f>
        <v>0</v>
      </c>
      <c r="O311" s="3">
        <f>O274-N274</f>
        <v>0</v>
      </c>
      <c r="P311" s="3">
        <f>P274-O274</f>
        <v>0</v>
      </c>
      <c r="Q311" s="3">
        <f>Q274-P274</f>
        <v>0</v>
      </c>
      <c r="R311" s="3">
        <f>SUM(N311:Q311)</f>
        <v>0</v>
      </c>
      <c r="S311" s="3">
        <f>S274-R274</f>
        <v>0</v>
      </c>
      <c r="T311" s="3">
        <f>T274-S274</f>
        <v>0</v>
      </c>
      <c r="U311" s="3">
        <f>U274-T274</f>
        <v>0</v>
      </c>
      <c r="V311" s="3">
        <f>V274-U274</f>
        <v>0</v>
      </c>
      <c r="W311" s="3">
        <f>SUM(S311:V311)</f>
        <v>0</v>
      </c>
      <c r="X311" s="3">
        <f>X274-W274</f>
        <v>0</v>
      </c>
      <c r="Y311" s="3">
        <f>Y274-X274</f>
        <v>0</v>
      </c>
      <c r="Z311" s="3">
        <f>Z274-Y274</f>
        <v>-0.0270072</v>
      </c>
      <c r="AA311" s="3">
        <f>AA274-Z274</f>
        <v>0.49275217</v>
      </c>
      <c r="AB311" s="3">
        <f>SUM(X311:AA311)</f>
        <v>0.46574497</v>
      </c>
      <c r="AC311" s="3">
        <f>AC274-AB274</f>
        <v>-0.36156902</v>
      </c>
      <c r="AD311" s="3">
        <f>AD274-AC274</f>
        <v>-0.1978209</v>
      </c>
      <c r="AE311" s="3">
        <f>AE274-AD274</f>
        <v>-0.08835505</v>
      </c>
      <c r="AF311" s="3">
        <f>AF274-AE274</f>
        <v>0.10391904</v>
      </c>
      <c r="AG311" s="3">
        <f>SUM(AC311:AF311)</f>
        <v>-0.54382593</v>
      </c>
      <c r="AH311" s="3">
        <f>AH274-AG274</f>
        <v>-0.15484863</v>
      </c>
      <c r="AI311" s="3">
        <f>AI274-AH274</f>
        <v>-0.0309367100000001</v>
      </c>
      <c r="AJ311" s="3">
        <f>AJ274-AI274</f>
        <v>0</v>
      </c>
      <c r="AK311" s="3">
        <f>AK274-AJ274</f>
        <v>0</v>
      </c>
      <c r="AL311" s="3">
        <f>SUM(AH311:AK311)</f>
        <v>-0.18578534</v>
      </c>
      <c r="AM311" s="3">
        <f>AM274-AL274</f>
        <v>0</v>
      </c>
      <c r="AN311" s="3">
        <f>AN274-AM274</f>
        <v>0</v>
      </c>
      <c r="AO311" s="3">
        <f>AO274-AN274</f>
        <v>0</v>
      </c>
      <c r="AP311" s="3">
        <f>AP274-AO274</f>
        <v>0</v>
      </c>
      <c r="AQ311" s="3">
        <f>SUM(AM311:AP311)</f>
        <v>0</v>
      </c>
      <c r="AR311" s="3">
        <f>AR274-AQ274</f>
        <v>0</v>
      </c>
      <c r="AS311" s="3">
        <f>AS274-AR274</f>
        <v>0</v>
      </c>
      <c r="AT311" s="3">
        <f>AT274-AS274</f>
        <v>0</v>
      </c>
      <c r="AU311" s="3">
        <f>AU274-AT274</f>
        <v>0</v>
      </c>
      <c r="AV311" s="3">
        <f>SUM(AR311:AU311)</f>
        <v>0</v>
      </c>
      <c r="AW311" s="3">
        <f>AW274-AV274</f>
        <v>0</v>
      </c>
      <c r="AX311" s="3">
        <f>AX274-AW274</f>
        <v>0</v>
      </c>
      <c r="AY311" s="3">
        <f>AY274-AX274</f>
        <v>0</v>
      </c>
      <c r="AZ311" s="3">
        <f>AZ274-AY274</f>
        <v>0</v>
      </c>
      <c r="BA311" s="3">
        <f>SUM(AW311:AZ311)</f>
        <v>0</v>
      </c>
      <c r="BB311" s="3">
        <f>BB274-BA274</f>
        <v>0</v>
      </c>
      <c r="BC311" s="3">
        <f>BC274-BB274</f>
        <v>0</v>
      </c>
      <c r="BD311" s="3">
        <f>BD274-BC274</f>
        <v>0</v>
      </c>
      <c r="BE311" s="3">
        <f>BE274-BD274</f>
        <v>0</v>
      </c>
      <c r="BF311" s="3">
        <f>SUM(BB311:BE311)</f>
        <v>0</v>
      </c>
      <c r="BG311" s="3">
        <f>BG274-BF274</f>
        <v>0</v>
      </c>
      <c r="BH311" s="3">
        <f>BH274-BG274</f>
        <v>0</v>
      </c>
      <c r="BI311" s="3">
        <f>BI274-BH274</f>
        <v>0</v>
      </c>
      <c r="BJ311" s="3">
        <f>BJ274-BI274</f>
        <v>0</v>
      </c>
      <c r="BK311" s="3">
        <f>SUM(BG311:BJ311)</f>
        <v>0</v>
      </c>
      <c r="BL311" s="3">
        <f>BL274-BK274</f>
        <v>0</v>
      </c>
      <c r="BM311" s="3">
        <f>BM274-BL274</f>
        <v>0</v>
      </c>
      <c r="BN311" s="3">
        <f>BN274-BM274</f>
        <v>0</v>
      </c>
      <c r="BO311" s="3">
        <f>BO274-BN274</f>
        <v>0</v>
      </c>
      <c r="BP311" s="3">
        <f>SUM(BL311:BO311)</f>
        <v>0</v>
      </c>
      <c r="BQ311" s="3">
        <f>BQ274-BP274</f>
        <v>0</v>
      </c>
      <c r="BR311" s="3">
        <f>BR274-BQ274</f>
        <v>0</v>
      </c>
      <c r="BS311" s="3">
        <f>BS274-BR274</f>
        <v>0</v>
      </c>
      <c r="BT311" s="3">
        <f>BT274-BS274</f>
        <v>0</v>
      </c>
      <c r="BU311" s="3">
        <f>SUM(BQ311:BT311)</f>
        <v>0</v>
      </c>
      <c r="BV311" s="3">
        <f>BV274-BU274</f>
        <v>0</v>
      </c>
      <c r="BW311" s="3">
        <f>BW274-BV274</f>
        <v>0</v>
      </c>
      <c r="BX311" s="3">
        <f>BX274-BW274</f>
        <v>0</v>
      </c>
      <c r="BY311" s="3">
        <f>BY274-BX274</f>
        <v>0</v>
      </c>
      <c r="BZ311" s="3">
        <f>SUM(BV311:BY311)</f>
        <v>0</v>
      </c>
      <c r="CA311" s="3">
        <f>CA274-BZ274</f>
        <v>0</v>
      </c>
      <c r="CB311" s="3">
        <f>CB274-CA274</f>
        <v>0</v>
      </c>
      <c r="CC311" s="3">
        <f>CC274-CB274</f>
        <v>0</v>
      </c>
      <c r="CD311" s="3">
        <f>CD274-CC274</f>
        <v>0</v>
      </c>
      <c r="CE311" s="3">
        <f>SUM(CA311:CD311)</f>
        <v>0</v>
      </c>
      <c r="CF311" s="3">
        <f>CF274-CE274</f>
        <v>0</v>
      </c>
      <c r="CG311" s="3">
        <f>CG274-CF274</f>
        <v>0</v>
      </c>
      <c r="CH311" s="3">
        <f>CH274-CG274</f>
        <v>0</v>
      </c>
      <c r="CI311" s="3">
        <f>CI274-CH274</f>
        <v>0</v>
      </c>
      <c r="CJ311" s="3">
        <f>SUM(CF311:CI311)</f>
        <v>0</v>
      </c>
      <c r="CK311" s="3">
        <f>CK274-CJ274</f>
        <v>0</v>
      </c>
      <c r="CL311" s="3">
        <f>CL274-CK274</f>
        <v>0</v>
      </c>
      <c r="CM311" s="3">
        <f>CM274-CL274</f>
        <v>0</v>
      </c>
      <c r="CN311" s="3">
        <f>CN274-CM274</f>
        <v>0</v>
      </c>
      <c r="CO311" s="3">
        <f>SUM(CK311:CN311)</f>
        <v>0</v>
      </c>
      <c r="CP311" s="3">
        <f>CP274-CO274</f>
        <v>0</v>
      </c>
      <c r="CQ311" s="3">
        <f>CQ274-CP274</f>
        <v>0</v>
      </c>
      <c r="CR311" s="3">
        <f>CR274-CQ274</f>
        <v>0</v>
      </c>
      <c r="CS311" s="3">
        <f>CS274-CR274</f>
        <v>0</v>
      </c>
      <c r="CT311" s="3">
        <f>SUM(CP311:CS311)</f>
        <v>0</v>
      </c>
      <c r="CU311" s="3">
        <f>CU274-CT274</f>
        <v>0</v>
      </c>
      <c r="CV311" s="3">
        <f>CV274-CU274</f>
        <v>0</v>
      </c>
      <c r="CW311" s="3">
        <f>CW274-CV274</f>
        <v>0</v>
      </c>
      <c r="CX311" s="3">
        <f>CX274-CW274</f>
        <v>0</v>
      </c>
      <c r="CY311" s="3">
        <f>SUM(CU311:CX311)</f>
        <v>0</v>
      </c>
    </row>
    <row r="312">
      <c r="C312" s="26" t="inlineStr">
        <is>
          <t>Other equity account</t>
        </is>
      </c>
      <c r="D312" s="3" t="n"/>
      <c r="E312" s="3">
        <f>E275-D275</f>
        <v>0</v>
      </c>
      <c r="F312" s="3">
        <f>F275-E275</f>
        <v>0</v>
      </c>
      <c r="G312" s="3">
        <f>G275-F275</f>
        <v>-53.04112672</v>
      </c>
      <c r="H312" s="3">
        <f>SUM(D312:G312)</f>
        <v>-53.04112672</v>
      </c>
      <c r="I312" s="3">
        <f>I275-H275</f>
        <v>0</v>
      </c>
      <c r="J312" s="3">
        <f>J275-I275</f>
        <v>0</v>
      </c>
      <c r="K312" s="3">
        <f>K275-J275</f>
        <v>0</v>
      </c>
      <c r="L312" s="3">
        <f>L275-K275</f>
        <v>0.473491760000002</v>
      </c>
      <c r="M312" s="3">
        <f>SUM(I312:L312)</f>
        <v>0.473491760000002</v>
      </c>
      <c r="N312" s="3">
        <f>N275-M275</f>
        <v>0.504185450000001</v>
      </c>
      <c r="O312" s="3">
        <f>O275-N275</f>
        <v>1.36348247999999</v>
      </c>
      <c r="P312" s="3">
        <f>P275-O275</f>
        <v>1.36348248</v>
      </c>
      <c r="Q312" s="3">
        <f>Q275-P275</f>
        <v>1.53348455</v>
      </c>
      <c r="R312" s="3">
        <f>SUM(N312:Q312)</f>
        <v>4.76463496</v>
      </c>
      <c r="S312" s="3">
        <f>S275-R275</f>
        <v>1.484</v>
      </c>
      <c r="T312" s="3">
        <f>T275-S275</f>
        <v>0.278844919999997</v>
      </c>
      <c r="U312" s="3">
        <f>U275-T275</f>
        <v>1.27142856</v>
      </c>
      <c r="V312" s="3">
        <f>V275-U275</f>
        <v>0.667391120000005</v>
      </c>
      <c r="W312" s="3">
        <f>SUM(S312:V312)</f>
        <v>3.70166460000001</v>
      </c>
      <c r="X312" s="3">
        <f>X275-W275</f>
        <v>0.101372929999997</v>
      </c>
      <c r="Y312" s="3">
        <f>Y275-X275</f>
        <v>-1.838379721083</v>
      </c>
      <c r="Z312" s="3">
        <f>Z275-Y275</f>
        <v>1.017729471083</v>
      </c>
      <c r="AA312" s="3">
        <f>AA275-Z275</f>
        <v>-3.874167</v>
      </c>
      <c r="AB312" s="3">
        <f>SUM(X312:AA312)</f>
        <v>-4.59344432</v>
      </c>
      <c r="AC312" s="3">
        <f>AC275-AB275</f>
        <v>0.282505129999997</v>
      </c>
      <c r="AD312" s="3">
        <f>AD275-AC275</f>
        <v>-1.77494462</v>
      </c>
      <c r="AE312" s="3">
        <f>AE275-AD275</f>
        <v>-0.959780790000004</v>
      </c>
      <c r="AF312" s="3">
        <f>AF275-AE275</f>
        <v>0.0821701900000065</v>
      </c>
      <c r="AG312" s="3">
        <f>SUM(AC312:AF312)</f>
        <v>-2.37005009</v>
      </c>
      <c r="AH312" s="3">
        <f>AH275-AG275</f>
        <v>0.0817696999999953</v>
      </c>
      <c r="AI312" s="3">
        <f>AI275-AH275</f>
        <v>0.693451380000006</v>
      </c>
      <c r="AJ312" s="3">
        <f>AJ275-AI275</f>
        <v>0</v>
      </c>
      <c r="AK312" s="3">
        <f>AK275-AJ275</f>
        <v>0</v>
      </c>
      <c r="AL312" s="3">
        <f>SUM(AH312:AK312)</f>
        <v>0.775221080000002</v>
      </c>
      <c r="AM312" s="3">
        <f>AM275-AL275</f>
        <v>0</v>
      </c>
      <c r="AN312" s="3">
        <f>AN275-AM275</f>
        <v>0</v>
      </c>
      <c r="AO312" s="3">
        <f>AO275-AN275</f>
        <v>0</v>
      </c>
      <c r="AP312" s="3">
        <f>AP275-AO275</f>
        <v>0</v>
      </c>
      <c r="AQ312" s="3">
        <f>SUM(AM312:AP312)</f>
        <v>0</v>
      </c>
      <c r="AR312" s="3">
        <f>AR275-AQ275</f>
        <v>0</v>
      </c>
      <c r="AS312" s="3">
        <f>AS275-AR275</f>
        <v>0</v>
      </c>
      <c r="AT312" s="3">
        <f>AT275-AS275</f>
        <v>0</v>
      </c>
      <c r="AU312" s="3">
        <f>AU275-AT275</f>
        <v>0</v>
      </c>
      <c r="AV312" s="3">
        <f>SUM(AR312:AU312)</f>
        <v>0</v>
      </c>
      <c r="AW312" s="3">
        <f>AW275-AV275</f>
        <v>0</v>
      </c>
      <c r="AX312" s="3">
        <f>AX275-AW275</f>
        <v>0</v>
      </c>
      <c r="AY312" s="3">
        <f>AY275-AX275</f>
        <v>0</v>
      </c>
      <c r="AZ312" s="3">
        <f>AZ275-AY275</f>
        <v>0</v>
      </c>
      <c r="BA312" s="3">
        <f>SUM(AW312:AZ312)</f>
        <v>0</v>
      </c>
      <c r="BB312" s="3">
        <f>BB275-BA275</f>
        <v>0</v>
      </c>
      <c r="BC312" s="3">
        <f>BC275-BB275</f>
        <v>0</v>
      </c>
      <c r="BD312" s="3">
        <f>BD275-BC275</f>
        <v>0</v>
      </c>
      <c r="BE312" s="3">
        <f>BE275-BD275</f>
        <v>0</v>
      </c>
      <c r="BF312" s="3">
        <f>SUM(BB312:BE312)</f>
        <v>0</v>
      </c>
      <c r="BG312" s="3">
        <f>BG275-BF275</f>
        <v>0</v>
      </c>
      <c r="BH312" s="3">
        <f>BH275-BG275</f>
        <v>0</v>
      </c>
      <c r="BI312" s="3">
        <f>BI275-BH275</f>
        <v>0</v>
      </c>
      <c r="BJ312" s="3">
        <f>BJ275-BI275</f>
        <v>0</v>
      </c>
      <c r="BK312" s="3">
        <f>SUM(BG312:BJ312)</f>
        <v>0</v>
      </c>
      <c r="BL312" s="3">
        <f>BL275-BK275</f>
        <v>0</v>
      </c>
      <c r="BM312" s="3">
        <f>BM275-BL275</f>
        <v>0</v>
      </c>
      <c r="BN312" s="3">
        <f>BN275-BM275</f>
        <v>0</v>
      </c>
      <c r="BO312" s="3">
        <f>BO275-BN275</f>
        <v>0</v>
      </c>
      <c r="BP312" s="3">
        <f>SUM(BL312:BO312)</f>
        <v>0</v>
      </c>
      <c r="BQ312" s="3">
        <f>BQ275-BP275</f>
        <v>0</v>
      </c>
      <c r="BR312" s="3">
        <f>BR275-BQ275</f>
        <v>0</v>
      </c>
      <c r="BS312" s="3">
        <f>BS275-BR275</f>
        <v>0</v>
      </c>
      <c r="BT312" s="3">
        <f>BT275-BS275</f>
        <v>0</v>
      </c>
      <c r="BU312" s="3">
        <f>SUM(BQ312:BT312)</f>
        <v>0</v>
      </c>
      <c r="BV312" s="3">
        <f>BV275-BU275</f>
        <v>0</v>
      </c>
      <c r="BW312" s="3">
        <f>BW275-BV275</f>
        <v>0</v>
      </c>
      <c r="BX312" s="3">
        <f>BX275-BW275</f>
        <v>0</v>
      </c>
      <c r="BY312" s="3">
        <f>BY275-BX275</f>
        <v>0</v>
      </c>
      <c r="BZ312" s="3">
        <f>SUM(BV312:BY312)</f>
        <v>0</v>
      </c>
      <c r="CA312" s="3">
        <f>CA275-BZ275</f>
        <v>0</v>
      </c>
      <c r="CB312" s="3">
        <f>CB275-CA275</f>
        <v>0</v>
      </c>
      <c r="CC312" s="3">
        <f>CC275-CB275</f>
        <v>0</v>
      </c>
      <c r="CD312" s="3">
        <f>CD275-CC275</f>
        <v>0</v>
      </c>
      <c r="CE312" s="3">
        <f>SUM(CA312:CD312)</f>
        <v>0</v>
      </c>
      <c r="CF312" s="3">
        <f>CF275-CE275</f>
        <v>0</v>
      </c>
      <c r="CG312" s="3">
        <f>CG275-CF275</f>
        <v>0</v>
      </c>
      <c r="CH312" s="3">
        <f>CH275-CG275</f>
        <v>0</v>
      </c>
      <c r="CI312" s="3">
        <f>CI275-CH275</f>
        <v>0</v>
      </c>
      <c r="CJ312" s="3">
        <f>SUM(CF312:CI312)</f>
        <v>0</v>
      </c>
      <c r="CK312" s="3">
        <f>CK275-CJ275</f>
        <v>0</v>
      </c>
      <c r="CL312" s="3">
        <f>CL275-CK275</f>
        <v>0</v>
      </c>
      <c r="CM312" s="3">
        <f>CM275-CL275</f>
        <v>0</v>
      </c>
      <c r="CN312" s="3">
        <f>CN275-CM275</f>
        <v>0</v>
      </c>
      <c r="CO312" s="3">
        <f>SUM(CK312:CN312)</f>
        <v>0</v>
      </c>
      <c r="CP312" s="3">
        <f>CP275-CO275</f>
        <v>0</v>
      </c>
      <c r="CQ312" s="3">
        <f>CQ275-CP275</f>
        <v>0</v>
      </c>
      <c r="CR312" s="3">
        <f>CR275-CQ275</f>
        <v>0</v>
      </c>
      <c r="CS312" s="3">
        <f>CS275-CR275</f>
        <v>0</v>
      </c>
      <c r="CT312" s="3">
        <f>SUM(CP312:CS312)</f>
        <v>0</v>
      </c>
      <c r="CU312" s="3">
        <f>CU275-CT275</f>
        <v>0</v>
      </c>
      <c r="CV312" s="3">
        <f>CV275-CU275</f>
        <v>0</v>
      </c>
      <c r="CW312" s="3">
        <f>CW275-CV275</f>
        <v>0</v>
      </c>
      <c r="CX312" s="3">
        <f>CX275-CW275</f>
        <v>0</v>
      </c>
      <c r="CY312" s="3">
        <f>SUM(CU312:CX312)</f>
        <v>0</v>
      </c>
    </row>
    <row r="313">
      <c r="C313" s="29" t="inlineStr">
        <is>
          <t>Common and preferred dividends</t>
        </is>
      </c>
      <c r="D313" s="3" t="n"/>
      <c r="E313" s="3">
        <f>(E276-D276)-E283</f>
        <v>-24.6522954524387</v>
      </c>
      <c r="F313" s="3">
        <f>(F276-E276)-F283</f>
        <v>5.55950572122191</v>
      </c>
      <c r="G313" s="3">
        <f>(G276-F276)-G283</f>
        <v>-29.8099252815992</v>
      </c>
      <c r="H313" s="3">
        <f>SUM(D313:G313)</f>
        <v>-48.902715012816</v>
      </c>
      <c r="I313" s="3">
        <f>(I276-H276)-I283</f>
        <v>-0.000205301570016303</v>
      </c>
      <c r="J313" s="3">
        <f>(J276-I276)-J283</f>
        <v>0.000680481569901303</v>
      </c>
      <c r="K313" s="3">
        <f>(K276-J276)-K283</f>
        <v>-0.466152687131654</v>
      </c>
      <c r="L313" s="3">
        <f>(L276-K276)-L283</f>
        <v>-77.7088956799999</v>
      </c>
      <c r="M313" s="3">
        <f>SUM(I313:L313)</f>
        <v>-78.1745731871316</v>
      </c>
      <c r="N313" s="3">
        <f>(N276-M276)-N283</f>
        <v>-4.9737991503207e-13</v>
      </c>
      <c r="O313" s="3">
        <f>(O276-N276)-O283</f>
        <v>-1.49048702269283e-08</v>
      </c>
      <c r="P313" s="3">
        <f>(P276-O276)-P283</f>
        <v>1.49053960285528e-08</v>
      </c>
      <c r="Q313" s="3">
        <f>(Q276-P276)-Q283</f>
        <v>-85.7042071606045</v>
      </c>
      <c r="R313" s="3">
        <f>SUM(N313:Q313)</f>
        <v>-85.7042071606044</v>
      </c>
      <c r="S313" s="3">
        <f>(S276-R276)-S283</f>
        <v>0.000832965030902244</v>
      </c>
      <c r="T313" s="3">
        <f>(T276-S276)-T283</f>
        <v>0.000450027381390328</v>
      </c>
      <c r="U313" s="3">
        <f>(U276-T276)-U283</f>
        <v>0</v>
      </c>
      <c r="V313" s="3">
        <f>(V276-U276)-V283</f>
        <v>-27.76422491</v>
      </c>
      <c r="W313" s="3">
        <f>SUM(S313:V313)</f>
        <v>-27.7629419175877</v>
      </c>
      <c r="X313" s="3">
        <f>(X276-W276)-X283</f>
        <v>-71.8088058112268</v>
      </c>
      <c r="Y313" s="3">
        <f>(Y276-X276)-Y283</f>
        <v>0.00350944177444035</v>
      </c>
      <c r="Z313" s="3">
        <f>(Z276-Y276)-Z283</f>
        <v>-0.00138826313764184</v>
      </c>
      <c r="AA313" s="3">
        <f>(AA276-Z276)-AA283</f>
        <v>-683.372810342335</v>
      </c>
      <c r="AB313" s="3">
        <f>SUM(X313:AA313)</f>
        <v>-755.179494974925</v>
      </c>
      <c r="AC313" s="3">
        <f>(AC276-AB276)-AC283</f>
        <v>0.00190735212115101</v>
      </c>
      <c r="AD313" s="3">
        <f>(AD276-AC276)-AD283</f>
        <v>0.000518240000502601</v>
      </c>
      <c r="AE313" s="3">
        <f>(AE276-AD276)-AE283</f>
        <v>-0.00245729999889477</v>
      </c>
      <c r="AF313" s="3">
        <f>(AF276-AE276)-AF283</f>
        <v>-1030.64293876</v>
      </c>
      <c r="AG313" s="3">
        <f>SUM(AC313:AF313)</f>
        <v>-1030.64297046788</v>
      </c>
      <c r="AH313" s="3">
        <f>(AH276-AG276)-AH283</f>
        <v>0.000998370002747606</v>
      </c>
      <c r="AI313" s="3">
        <f>(AI276-AH276)-AI283</f>
        <v>-0.000886109999271412</v>
      </c>
      <c r="AJ313" s="3">
        <f>(AJ276-AI276)-AJ283</f>
        <v>0</v>
      </c>
      <c r="AK313" s="3">
        <f>(AK276-AJ276)-AK283</f>
        <v>4.9737991503207e-14</v>
      </c>
      <c r="AL313" s="3">
        <f>SUM(AH313:AK313)</f>
        <v>0.000112260003525932</v>
      </c>
      <c r="AM313" s="3">
        <f>(AM276-AL276)-AM283</f>
        <v>4.9737991503207e-14</v>
      </c>
      <c r="AN313" s="3">
        <f>(AN276-AM276)-AN283</f>
        <v>0</v>
      </c>
      <c r="AO313" s="3">
        <f>(AO276-AN276)-AO283</f>
        <v>4.9737991503207e-14</v>
      </c>
      <c r="AP313" s="3">
        <f>(AP276-AO276)-AP283</f>
        <v>0</v>
      </c>
      <c r="AQ313" s="3">
        <f>SUM(AM313:AP313)</f>
        <v>9.9475983006414e-14</v>
      </c>
      <c r="AR313" s="3">
        <f>(AR276-AQ276)-AR283</f>
        <v>0</v>
      </c>
      <c r="AS313" s="3">
        <f>(AS276-AR276)-AS283</f>
        <v>0</v>
      </c>
      <c r="AT313" s="3">
        <f>(AT276-AS276)-AT283</f>
        <v>0</v>
      </c>
      <c r="AU313" s="3">
        <f>(AU276-AT276)-AU283</f>
        <v>0</v>
      </c>
      <c r="AV313" s="3">
        <f>SUM(AR313:AU313)</f>
        <v>0</v>
      </c>
      <c r="AW313" s="3">
        <f>(AW276-AV276)-AW283</f>
        <v>0</v>
      </c>
      <c r="AX313" s="3">
        <f>(AX276-AW276)-AX283</f>
        <v>0</v>
      </c>
      <c r="AY313" s="3">
        <f>(AY276-AX276)-AY283</f>
        <v>0</v>
      </c>
      <c r="AZ313" s="3">
        <f>(AZ276-AY276)-AZ283</f>
        <v>0</v>
      </c>
      <c r="BA313" s="3">
        <f>SUM(AW313:AZ313)</f>
        <v>0</v>
      </c>
      <c r="BB313" s="3">
        <f>(BB276-BA276)-BB283</f>
        <v>0</v>
      </c>
      <c r="BC313" s="3">
        <f>(BC276-BB276)-BC283</f>
        <v>0</v>
      </c>
      <c r="BD313" s="3">
        <f>(BD276-BC276)-BD283</f>
        <v>0</v>
      </c>
      <c r="BE313" s="3">
        <f>(BE276-BD276)-BE283</f>
        <v>0</v>
      </c>
      <c r="BF313" s="3">
        <f>SUM(BB313:BE313)</f>
        <v>0</v>
      </c>
      <c r="BG313" s="3">
        <f>(BG276-BF276)-BG283</f>
        <v>0</v>
      </c>
      <c r="BH313" s="3">
        <f>(BH276-BG276)-BH283</f>
        <v>0</v>
      </c>
      <c r="BI313" s="3">
        <f>(BI276-BH276)-BI283</f>
        <v>0</v>
      </c>
      <c r="BJ313" s="3">
        <f>(BJ276-BI276)-BJ283</f>
        <v>0</v>
      </c>
      <c r="BK313" s="3">
        <f>SUM(BG313:BJ313)</f>
        <v>0</v>
      </c>
      <c r="BL313" s="3">
        <f>(BL276-BK276)-BL283</f>
        <v>0</v>
      </c>
      <c r="BM313" s="3">
        <f>(BM276-BL276)-BM283</f>
        <v>0</v>
      </c>
      <c r="BN313" s="3">
        <f>(BN276-BM276)-BN283</f>
        <v>0</v>
      </c>
      <c r="BO313" s="3">
        <f>(BO276-BN276)-BO283</f>
        <v>0</v>
      </c>
      <c r="BP313" s="3">
        <f>SUM(BL313:BO313)</f>
        <v>0</v>
      </c>
      <c r="BQ313" s="3">
        <f>(BQ276-BP276)-BQ283</f>
        <v>0</v>
      </c>
      <c r="BR313" s="3">
        <f>(BR276-BQ276)-BR283</f>
        <v>0</v>
      </c>
      <c r="BS313" s="3">
        <f>(BS276-BR276)-BS283</f>
        <v>0</v>
      </c>
      <c r="BT313" s="3">
        <f>(BT276-BS276)-BT283</f>
        <v>0</v>
      </c>
      <c r="BU313" s="3">
        <f>SUM(BQ313:BT313)</f>
        <v>0</v>
      </c>
      <c r="BV313" s="3">
        <f>(BV276-BU276)-BV283</f>
        <v>0</v>
      </c>
      <c r="BW313" s="3">
        <f>(BW276-BV276)-BW283</f>
        <v>0</v>
      </c>
      <c r="BX313" s="3">
        <f>(BX276-BW276)-BX283</f>
        <v>0</v>
      </c>
      <c r="BY313" s="3">
        <f>(BY276-BX276)-BY283</f>
        <v>0</v>
      </c>
      <c r="BZ313" s="3">
        <f>SUM(BV313:BY313)</f>
        <v>0</v>
      </c>
      <c r="CA313" s="3">
        <f>(CA276-BZ276)-CA283</f>
        <v>0</v>
      </c>
      <c r="CB313" s="3">
        <f>(CB276-CA276)-CB283</f>
        <v>0</v>
      </c>
      <c r="CC313" s="3">
        <f>(CC276-CB276)-CC283</f>
        <v>0</v>
      </c>
      <c r="CD313" s="3">
        <f>(CD276-CC276)-CD283</f>
        <v>0</v>
      </c>
      <c r="CE313" s="3">
        <f>SUM(CA313:CD313)</f>
        <v>0</v>
      </c>
      <c r="CF313" s="3">
        <f>(CF276-CE276)-CF283</f>
        <v>0</v>
      </c>
      <c r="CG313" s="3">
        <f>(CG276-CF276)-CG283</f>
        <v>0</v>
      </c>
      <c r="CH313" s="3">
        <f>(CH276-CG276)-CH283</f>
        <v>0</v>
      </c>
      <c r="CI313" s="3">
        <f>(CI276-CH276)-CI283</f>
        <v>0</v>
      </c>
      <c r="CJ313" s="3">
        <f>SUM(CF313:CI313)</f>
        <v>0</v>
      </c>
      <c r="CK313" s="3">
        <f>(CK276-CJ276)-CK283</f>
        <v>0</v>
      </c>
      <c r="CL313" s="3">
        <f>(CL276-CK276)-CL283</f>
        <v>0</v>
      </c>
      <c r="CM313" s="3">
        <f>(CM276-CL276)-CM283</f>
        <v>0</v>
      </c>
      <c r="CN313" s="3">
        <f>(CN276-CM276)-CN283</f>
        <v>0</v>
      </c>
      <c r="CO313" s="3">
        <f>SUM(CK313:CN313)</f>
        <v>0</v>
      </c>
      <c r="CP313" s="3">
        <f>(CP276-CO276)-CP283</f>
        <v>0</v>
      </c>
      <c r="CQ313" s="3">
        <f>(CQ276-CP276)-CQ283</f>
        <v>0</v>
      </c>
      <c r="CR313" s="3">
        <f>(CR276-CQ276)-CR283</f>
        <v>0</v>
      </c>
      <c r="CS313" s="3">
        <f>(CS276-CR276)-CS283</f>
        <v>0</v>
      </c>
      <c r="CT313" s="3">
        <f>SUM(CP313:CS313)</f>
        <v>0</v>
      </c>
      <c r="CU313" s="3">
        <f>(CU276-CT276)-CU283</f>
        <v>0</v>
      </c>
      <c r="CV313" s="3">
        <f>(CV276-CU276)-CV283</f>
        <v>0</v>
      </c>
      <c r="CW313" s="3">
        <f>(CW276-CV276)-CW283</f>
        <v>0</v>
      </c>
      <c r="CX313" s="3">
        <f>(CX276-CW276)-CX283</f>
        <v>0</v>
      </c>
      <c r="CY313" s="3">
        <f>SUM(CU313:CX313)</f>
        <v>0</v>
      </c>
    </row>
    <row r="314">
      <c r="C314" s="26" t="inlineStr">
        <is>
          <t>Dividends to minority interests</t>
        </is>
      </c>
      <c r="D314" s="3" t="n"/>
      <c r="E314" s="3">
        <f>(E254-D254)+E142</f>
        <v>0</v>
      </c>
      <c r="F314" s="3">
        <f>(F254-E254)+F142</f>
        <v>0</v>
      </c>
      <c r="G314" s="3">
        <f>(G254-F254)+G142</f>
        <v>0</v>
      </c>
      <c r="H314" s="3">
        <f>SUM(D314:G314)</f>
        <v>0</v>
      </c>
      <c r="I314" s="3">
        <f>(I254-H254)+I142</f>
        <v>0</v>
      </c>
      <c r="J314" s="3">
        <f>(J254-I254)+J142</f>
        <v>0</v>
      </c>
      <c r="K314" s="3">
        <f>(K254-J254)+K142</f>
        <v>0</v>
      </c>
      <c r="L314" s="3">
        <f>(L254-K254)+L142</f>
        <v>0</v>
      </c>
      <c r="M314" s="3">
        <f>SUM(I314:L314)</f>
        <v>0</v>
      </c>
      <c r="N314" s="3">
        <f>(N254-M254)+N142</f>
        <v>0</v>
      </c>
      <c r="O314" s="3">
        <f>(O254-N254)+O142</f>
        <v>0</v>
      </c>
      <c r="P314" s="3">
        <f>(P254-O254)+P142</f>
        <v>0</v>
      </c>
      <c r="Q314" s="3">
        <f>(Q254-P254)+Q142</f>
        <v>0</v>
      </c>
      <c r="R314" s="3">
        <f>SUM(N314:Q314)</f>
        <v>0</v>
      </c>
      <c r="S314" s="3">
        <f>(S254-R254)+S142</f>
        <v>0</v>
      </c>
      <c r="T314" s="3">
        <f>(T254-S254)+T142</f>
        <v>0</v>
      </c>
      <c r="U314" s="3">
        <f>(U254-T254)+U142</f>
        <v>0</v>
      </c>
      <c r="V314" s="3">
        <f>(V254-U254)+V142</f>
        <v>0</v>
      </c>
      <c r="W314" s="3">
        <f>SUM(S314:V314)</f>
        <v>0</v>
      </c>
      <c r="X314" s="3">
        <f>(X254-W254)+X142</f>
        <v>0</v>
      </c>
      <c r="Y314" s="3">
        <f>(Y254-X254)+Y142</f>
        <v>0</v>
      </c>
      <c r="Z314" s="3">
        <f>(Z254-Y254)+Z142</f>
        <v>0</v>
      </c>
      <c r="AA314" s="3">
        <f>(AA254-Z254)+AA142</f>
        <v>0</v>
      </c>
      <c r="AB314" s="3">
        <f>SUM(X314:AA314)</f>
        <v>0</v>
      </c>
      <c r="AC314" s="3">
        <f>(AC254-AB254)+AC142</f>
        <v>0</v>
      </c>
      <c r="AD314" s="3">
        <f>(AD254-AC254)+AD142</f>
        <v>0</v>
      </c>
      <c r="AE314" s="3">
        <f>(AE254-AD254)+AE142</f>
        <v>0</v>
      </c>
      <c r="AF314" s="3">
        <f>(AF254-AE254)+AF142</f>
        <v>0</v>
      </c>
      <c r="AG314" s="3">
        <f>SUM(AC314:AF314)</f>
        <v>0</v>
      </c>
      <c r="AH314" s="3">
        <f>(AH254-AG254)+AH142</f>
        <v>0</v>
      </c>
      <c r="AI314" s="3">
        <f>(AI254-AH254)+AI142</f>
        <v>0</v>
      </c>
      <c r="AJ314" s="3">
        <f>(AJ254-AI254)+AJ142</f>
        <v>0</v>
      </c>
      <c r="AK314" s="3">
        <f>(AK254-AJ254)+AK142</f>
        <v>0</v>
      </c>
      <c r="AL314" s="3">
        <f>SUM(AH314:AK314)</f>
        <v>0</v>
      </c>
      <c r="AM314" s="3">
        <f>(AM254-AL254)+AM142</f>
        <v>0</v>
      </c>
      <c r="AN314" s="3">
        <f>(AN254-AM254)+AN142</f>
        <v>0</v>
      </c>
      <c r="AO314" s="3">
        <f>(AO254-AN254)+AO142</f>
        <v>0</v>
      </c>
      <c r="AP314" s="3">
        <f>(AP254-AO254)+AP142</f>
        <v>0</v>
      </c>
      <c r="AQ314" s="3">
        <f>SUM(AM314:AP314)</f>
        <v>0</v>
      </c>
      <c r="AR314" s="3">
        <f>(AR254-AQ254)+AR142</f>
        <v>0</v>
      </c>
      <c r="AS314" s="3">
        <f>(AS254-AR254)+AS142</f>
        <v>0</v>
      </c>
      <c r="AT314" s="3">
        <f>(AT254-AS254)+AT142</f>
        <v>0</v>
      </c>
      <c r="AU314" s="3">
        <f>(AU254-AT254)+AU142</f>
        <v>0</v>
      </c>
      <c r="AV314" s="3">
        <f>SUM(AR314:AU314)</f>
        <v>0</v>
      </c>
      <c r="AW314" s="3">
        <f>(AW254-AV254)+AW142</f>
        <v>0</v>
      </c>
      <c r="AX314" s="3">
        <f>(AX254-AW254)+AX142</f>
        <v>0</v>
      </c>
      <c r="AY314" s="3">
        <f>(AY254-AX254)+AY142</f>
        <v>0</v>
      </c>
      <c r="AZ314" s="3">
        <f>(AZ254-AY254)+AZ142</f>
        <v>0</v>
      </c>
      <c r="BA314" s="3">
        <f>SUM(AW314:AZ314)</f>
        <v>0</v>
      </c>
      <c r="BB314" s="3">
        <f>(BB254-BA254)+BB142</f>
        <v>0</v>
      </c>
      <c r="BC314" s="3">
        <f>(BC254-BB254)+BC142</f>
        <v>0</v>
      </c>
      <c r="BD314" s="3">
        <f>(BD254-BC254)+BD142</f>
        <v>0</v>
      </c>
      <c r="BE314" s="3">
        <f>(BE254-BD254)+BE142</f>
        <v>0</v>
      </c>
      <c r="BF314" s="3">
        <f>SUM(BB314:BE314)</f>
        <v>0</v>
      </c>
      <c r="BG314" s="3">
        <f>(BG254-BF254)+BG142</f>
        <v>0</v>
      </c>
      <c r="BH314" s="3">
        <f>(BH254-BG254)+BH142</f>
        <v>0</v>
      </c>
      <c r="BI314" s="3">
        <f>(BI254-BH254)+BI142</f>
        <v>0</v>
      </c>
      <c r="BJ314" s="3">
        <f>(BJ254-BI254)+BJ142</f>
        <v>0</v>
      </c>
      <c r="BK314" s="3">
        <f>SUM(BG314:BJ314)</f>
        <v>0</v>
      </c>
      <c r="BL314" s="3">
        <f>(BL254-BK254)+BL142</f>
        <v>0</v>
      </c>
      <c r="BM314" s="3">
        <f>(BM254-BL254)+BM142</f>
        <v>0</v>
      </c>
      <c r="BN314" s="3">
        <f>(BN254-BM254)+BN142</f>
        <v>0</v>
      </c>
      <c r="BO314" s="3">
        <f>(BO254-BN254)+BO142</f>
        <v>0</v>
      </c>
      <c r="BP314" s="3">
        <f>SUM(BL314:BO314)</f>
        <v>0</v>
      </c>
      <c r="BQ314" s="3">
        <f>(BQ254-BP254)+BQ142</f>
        <v>0</v>
      </c>
      <c r="BR314" s="3">
        <f>(BR254-BQ254)+BR142</f>
        <v>0</v>
      </c>
      <c r="BS314" s="3">
        <f>(BS254-BR254)+BS142</f>
        <v>0</v>
      </c>
      <c r="BT314" s="3">
        <f>(BT254-BS254)+BT142</f>
        <v>0</v>
      </c>
      <c r="BU314" s="3">
        <f>SUM(BQ314:BT314)</f>
        <v>0</v>
      </c>
      <c r="BV314" s="3">
        <f>(BV254-BU254)+BV142</f>
        <v>0</v>
      </c>
      <c r="BW314" s="3">
        <f>(BW254-BV254)+BW142</f>
        <v>0</v>
      </c>
      <c r="BX314" s="3">
        <f>(BX254-BW254)+BX142</f>
        <v>0</v>
      </c>
      <c r="BY314" s="3">
        <f>(BY254-BX254)+BY142</f>
        <v>0</v>
      </c>
      <c r="BZ314" s="3">
        <f>SUM(BV314:BY314)</f>
        <v>0</v>
      </c>
      <c r="CA314" s="3">
        <f>(CA254-BZ254)+CA142</f>
        <v>0</v>
      </c>
      <c r="CB314" s="3">
        <f>(CB254-CA254)+CB142</f>
        <v>0</v>
      </c>
      <c r="CC314" s="3">
        <f>(CC254-CB254)+CC142</f>
        <v>0</v>
      </c>
      <c r="CD314" s="3">
        <f>(CD254-CC254)+CD142</f>
        <v>0</v>
      </c>
      <c r="CE314" s="3">
        <f>SUM(CA314:CD314)</f>
        <v>0</v>
      </c>
      <c r="CF314" s="3">
        <f>(CF254-CE254)+CF142</f>
        <v>0</v>
      </c>
      <c r="CG314" s="3">
        <f>(CG254-CF254)+CG142</f>
        <v>0</v>
      </c>
      <c r="CH314" s="3">
        <f>(CH254-CG254)+CH142</f>
        <v>0</v>
      </c>
      <c r="CI314" s="3">
        <f>(CI254-CH254)+CI142</f>
        <v>0</v>
      </c>
      <c r="CJ314" s="3">
        <f>SUM(CF314:CI314)</f>
        <v>0</v>
      </c>
      <c r="CK314" s="3">
        <f>(CK254-CJ254)+CK142</f>
        <v>0</v>
      </c>
      <c r="CL314" s="3">
        <f>(CL254-CK254)+CL142</f>
        <v>0</v>
      </c>
      <c r="CM314" s="3">
        <f>(CM254-CL254)+CM142</f>
        <v>0</v>
      </c>
      <c r="CN314" s="3">
        <f>(CN254-CM254)+CN142</f>
        <v>0</v>
      </c>
      <c r="CO314" s="3">
        <f>SUM(CK314:CN314)</f>
        <v>0</v>
      </c>
      <c r="CP314" s="3">
        <f>(CP254-CO254)+CP142</f>
        <v>0</v>
      </c>
      <c r="CQ314" s="3">
        <f>(CQ254-CP254)+CQ142</f>
        <v>0</v>
      </c>
      <c r="CR314" s="3">
        <f>(CR254-CQ254)+CR142</f>
        <v>0</v>
      </c>
      <c r="CS314" s="3">
        <f>(CS254-CR254)+CS142</f>
        <v>0</v>
      </c>
      <c r="CT314" s="3">
        <f>SUM(CP314:CS314)</f>
        <v>0</v>
      </c>
      <c r="CU314" s="3">
        <f>(CU254-CT254)+CU142</f>
        <v>0</v>
      </c>
      <c r="CV314" s="3">
        <f>(CV254-CU254)+CV142</f>
        <v>0</v>
      </c>
      <c r="CW314" s="3">
        <f>(CW254-CV254)+CW142</f>
        <v>0</v>
      </c>
      <c r="CX314" s="3">
        <f>(CX254-CW254)+CX142</f>
        <v>0</v>
      </c>
      <c r="CY314" s="3">
        <f>SUM(CU314:CX314)</f>
        <v>0</v>
      </c>
    </row>
    <row r="315">
      <c r="C315" s="28" t="inlineStr">
        <is>
          <t>Increases / (decreases) in debt</t>
        </is>
      </c>
      <c r="D315" s="3" t="n"/>
      <c r="E315" s="3">
        <f>SUM(E218:E220,E223,E244,E241)-SUM(D218:D220,D223,D244,D241)</f>
        <v>24.5465351300001</v>
      </c>
      <c r="F315" s="3">
        <f>SUM(F218:F220,F223,F244,F241)-SUM(E218:E220,E223,E244,E241)</f>
        <v>29.88778638</v>
      </c>
      <c r="G315" s="3">
        <f>SUM(G218:G220,G223,G244,G241)-SUM(F218:F220,F223,F244,F241)</f>
        <v>59.1940439800001</v>
      </c>
      <c r="H315" s="3">
        <f>SUM(D315:G315)</f>
        <v>113.62836549</v>
      </c>
      <c r="I315" s="3">
        <f>SUM(I218:I220,I223,I244,I241)-SUM(H218:H220,H223,H244,H241)</f>
        <v>-72.5375876700001</v>
      </c>
      <c r="J315" s="3">
        <f>SUM(J218:J220,J223,J244,J241)-SUM(I218:I220,I223,I244,I241)</f>
        <v>84.4067218700001</v>
      </c>
      <c r="K315" s="3">
        <f>SUM(K218:K220,K223,K244,K241)-SUM(J218:J220,J223,J244,J241)</f>
        <v>66.04833192</v>
      </c>
      <c r="L315" s="3">
        <f>SUM(L218:L220,L223,L244,L241)-SUM(K218:K220,K223,K244,K241)</f>
        <v>-6.06330360000004</v>
      </c>
      <c r="M315" s="3">
        <f>SUM(I315:L315)</f>
        <v>71.8541625199999</v>
      </c>
      <c r="N315" s="3">
        <f>SUM(N218:N220,N223,N244,N241)-SUM(M218:M220,M223,M244,M241)</f>
        <v>23.38262398</v>
      </c>
      <c r="O315" s="3">
        <f>SUM(O218:O220,O223,O244,O241)-SUM(N218:N220,N223,N244,N241)</f>
        <v>-18.27780073</v>
      </c>
      <c r="P315" s="3">
        <f>SUM(P218:P220,P223,P244,P241)-SUM(O218:O220,O223,O244,O241)</f>
        <v>22.2666967900001</v>
      </c>
      <c r="Q315" s="3">
        <f>SUM(Q218:Q220,Q223,Q244,Q241)-SUM(P218:P220,P223,P244,P241)</f>
        <v>-15.3300480500001</v>
      </c>
      <c r="R315" s="3">
        <f>SUM(N315:Q315)</f>
        <v>12.04147199</v>
      </c>
      <c r="S315" s="3">
        <f>SUM(S218:S220,S223,S244,S241)-SUM(R218:R220,R223,R244,R241)</f>
        <v>5.98000000000002</v>
      </c>
      <c r="T315" s="3">
        <f>SUM(T218:T220,T223,T244,T241)-SUM(S218:S220,S223,S244,S241)</f>
        <v>42.95258744</v>
      </c>
      <c r="U315" s="3">
        <f>SUM(U218:U220,U223,U244,U241)-SUM(T218:T220,T223,T244,T241)</f>
        <v>28.7872759999999</v>
      </c>
      <c r="V315" s="3">
        <f>SUM(V218:V220,V223,V244,V241)-SUM(U218:U220,U223,U244,U241)</f>
        <v>-16.2029150899999</v>
      </c>
      <c r="W315" s="3">
        <f>SUM(S315:V315)</f>
        <v>61.51694835</v>
      </c>
      <c r="X315" s="3">
        <f>SUM(X218:X220,X223,X244,X241)-SUM(W218:W220,W223,W244,W241)</f>
        <v>-2.20392668</v>
      </c>
      <c r="Y315" s="3">
        <f>SUM(Y218:Y220,Y223,Y244,Y241)-SUM(X218:X220,X223,X244,X241)</f>
        <v>50.80503416</v>
      </c>
      <c r="Z315" s="3">
        <f>SUM(Z218:Z220,Z223,Z244,Z241)-SUM(Y218:Y220,Y223,Y244,Y241)</f>
        <v>99.5571588393588</v>
      </c>
      <c r="AA315" s="3">
        <f>SUM(AA218:AA220,AA223,AA244,AA241)-SUM(Z218:Z220,Z223,Z244,Z241)</f>
        <v>218.341938160641</v>
      </c>
      <c r="AB315" s="3">
        <f>SUM(X315:AA315)</f>
        <v>366.50020448</v>
      </c>
      <c r="AC315" s="3">
        <f>SUM(AC218:AC220,AC223,AC244,AC241)-SUM(AB218:AB220,AB223,AB244,AB241)</f>
        <v>-113.51736856</v>
      </c>
      <c r="AD315" s="3">
        <f>SUM(AD218:AD220,AD223,AD244,AD241)-SUM(AC218:AC220,AC223,AC244,AC241)</f>
        <v>7.93004810999992</v>
      </c>
      <c r="AE315" s="3">
        <f>SUM(AE218:AE220,AE223,AE244,AE241)-SUM(AD218:AD220,AD223,AD244,AD241)</f>
        <v>159.11616762</v>
      </c>
      <c r="AF315" s="3">
        <f>SUM(AF218:AF220,AF223,AF244,AF241)-SUM(AE218:AE220,AE223,AE244,AE241)</f>
        <v>-8.28132901000004</v>
      </c>
      <c r="AG315" s="3">
        <f>SUM(AC315:AF315)</f>
        <v>45.2475181599998</v>
      </c>
      <c r="AH315" s="3">
        <f>SUM(AH218:AH220,AH223,AH244,AH241)-SUM(AG218:AG220,AG223,AG244,AG241)</f>
        <v>-24.0114780499998</v>
      </c>
      <c r="AI315" s="3">
        <f>SUM(AI218:AI220,AI223,AI244,AI241)-SUM(AH218:AH220,AH223,AH244,AH241)</f>
        <v>19.3288900899997</v>
      </c>
      <c r="AJ315" s="3">
        <f>SUM(AJ218:AJ220,AJ223,AJ244,AJ241)-SUM(AI218:AI220,AI223,AI244,AI241)</f>
        <v>0</v>
      </c>
      <c r="AK315" s="3">
        <f>SUM(AK218:AK220,AK223,AK244,AK241)-SUM(AJ218:AJ220,AJ223,AJ244,AJ241)</f>
        <v>0</v>
      </c>
      <c r="AL315" s="3">
        <f>SUM(AH315:AK315)</f>
        <v>-4.68258796000009</v>
      </c>
      <c r="AM315" s="3">
        <f>SUM(AM218:AM220,AM223,AM244,AM241)-SUM(AL218:AL220,AL223,AL244,AL241)</f>
        <v>0</v>
      </c>
      <c r="AN315" s="3">
        <f>SUM(AN218:AN220,AN223,AN244,AN241)-SUM(AM218:AM220,AM223,AM244,AM241)</f>
        <v>0</v>
      </c>
      <c r="AO315" s="3">
        <f>SUM(AO218:AO220,AO223,AO244,AO241)-SUM(AN218:AN220,AN223,AN244,AN241)</f>
        <v>0</v>
      </c>
      <c r="AP315" s="3">
        <f>SUM(AP218:AP220,AP223,AP244,AP241)-SUM(AO218:AO220,AO223,AO244,AO241)</f>
        <v>0</v>
      </c>
      <c r="AQ315" s="3">
        <f>SUM(AM315:AP315)</f>
        <v>0</v>
      </c>
      <c r="AR315" s="3">
        <f>SUM(AR218:AR220,AR223,AR244,AR241)-SUM(AQ218:AQ220,AQ223,AQ244,AQ241)</f>
        <v>0</v>
      </c>
      <c r="AS315" s="3">
        <f>SUM(AS218:AS220,AS223,AS244,AS241)-SUM(AR218:AR220,AR223,AR244,AR241)</f>
        <v>0</v>
      </c>
      <c r="AT315" s="3">
        <f>SUM(AT218:AT220,AT223,AT244,AT241)-SUM(AS218:AS220,AS223,AS244,AS241)</f>
        <v>0</v>
      </c>
      <c r="AU315" s="3">
        <f>SUM(AU218:AU220,AU223,AU244,AU241)-SUM(AT218:AT220,AT223,AT244,AT241)</f>
        <v>0</v>
      </c>
      <c r="AV315" s="3">
        <f>SUM(AR315:AU315)</f>
        <v>0</v>
      </c>
      <c r="AW315" s="3">
        <f>SUM(AW218:AW220,AW223,AW244,AW241)-SUM(AV218:AV220,AV223,AV244,AV241)</f>
        <v>0</v>
      </c>
      <c r="AX315" s="3">
        <f>SUM(AX218:AX220,AX223,AX244,AX241)-SUM(AW218:AW220,AW223,AW244,AW241)</f>
        <v>0</v>
      </c>
      <c r="AY315" s="3">
        <f>SUM(AY218:AY220,AY223,AY244,AY241)-SUM(AX218:AX220,AX223,AX244,AX241)</f>
        <v>0</v>
      </c>
      <c r="AZ315" s="3">
        <f>SUM(AZ218:AZ220,AZ223,AZ244,AZ241)-SUM(AY218:AY220,AY223,AY244,AY241)</f>
        <v>0</v>
      </c>
      <c r="BA315" s="3">
        <f>SUM(AW315:AZ315)</f>
        <v>0</v>
      </c>
      <c r="BB315" s="3">
        <f>SUM(BB218:BB220,BB223,BB244,BB241)-SUM(BA218:BA220,BA223,BA244,BA241)</f>
        <v>0</v>
      </c>
      <c r="BC315" s="3">
        <f>SUM(BC218:BC220,BC223,BC244,BC241)-SUM(BB218:BB220,BB223,BB244,BB241)</f>
        <v>0</v>
      </c>
      <c r="BD315" s="3">
        <f>SUM(BD218:BD220,BD223,BD244,BD241)-SUM(BC218:BC220,BC223,BC244,BC241)</f>
        <v>0</v>
      </c>
      <c r="BE315" s="3">
        <f>SUM(BE218:BE220,BE223,BE244,BE241)-SUM(BD218:BD220,BD223,BD244,BD241)</f>
        <v>0</v>
      </c>
      <c r="BF315" s="3">
        <f>SUM(BB315:BE315)</f>
        <v>0</v>
      </c>
      <c r="BG315" s="3">
        <f>SUM(BG218:BG220,BG223,BG244,BG241)-SUM(BF218:BF220,BF223,BF244,BF241)</f>
        <v>0</v>
      </c>
      <c r="BH315" s="3">
        <f>SUM(BH218:BH220,BH223,BH244,BH241)-SUM(BG218:BG220,BG223,BG244,BG241)</f>
        <v>0</v>
      </c>
      <c r="BI315" s="3">
        <f>SUM(BI218:BI220,BI223,BI244,BI241)-SUM(BH218:BH220,BH223,BH244,BH241)</f>
        <v>0</v>
      </c>
      <c r="BJ315" s="3">
        <f>SUM(BJ218:BJ220,BJ223,BJ244,BJ241)-SUM(BI218:BI220,BI223,BI244,BI241)</f>
        <v>0</v>
      </c>
      <c r="BK315" s="3">
        <f>SUM(BG315:BJ315)</f>
        <v>0</v>
      </c>
      <c r="BL315" s="3">
        <f>SUM(BL218:BL220,BL223,BL244,BL241)-SUM(BK218:BK220,BK223,BK244,BK241)</f>
        <v>0</v>
      </c>
      <c r="BM315" s="3">
        <f>SUM(BM218:BM220,BM223,BM244,BM241)-SUM(BL218:BL220,BL223,BL244,BL241)</f>
        <v>0</v>
      </c>
      <c r="BN315" s="3">
        <f>SUM(BN218:BN220,BN223,BN244,BN241)-SUM(BM218:BM220,BM223,BM244,BM241)</f>
        <v>0</v>
      </c>
      <c r="BO315" s="3">
        <f>SUM(BO218:BO220,BO223,BO244,BO241)-SUM(BN218:BN220,BN223,BN244,BN241)</f>
        <v>0</v>
      </c>
      <c r="BP315" s="3">
        <f>SUM(BL315:BO315)</f>
        <v>0</v>
      </c>
      <c r="BQ315" s="3">
        <f>SUM(BQ218:BQ220,BQ223,BQ244,BQ241)-SUM(BP218:BP220,BP223,BP244,BP241)</f>
        <v>0</v>
      </c>
      <c r="BR315" s="3">
        <f>SUM(BR218:BR220,BR223,BR244,BR241)-SUM(BQ218:BQ220,BQ223,BQ244,BQ241)</f>
        <v>0</v>
      </c>
      <c r="BS315" s="3">
        <f>SUM(BS218:BS220,BS223,BS244,BS241)-SUM(BR218:BR220,BR223,BR244,BR241)</f>
        <v>0</v>
      </c>
      <c r="BT315" s="3">
        <f>SUM(BT218:BT220,BT223,BT244,BT241)-SUM(BS218:BS220,BS223,BS244,BS241)</f>
        <v>0</v>
      </c>
      <c r="BU315" s="3">
        <f>SUM(BQ315:BT315)</f>
        <v>0</v>
      </c>
      <c r="BV315" s="3">
        <f>SUM(BV218:BV220,BV223,BV244,BV241)-SUM(BU218:BU220,BU223,BU244,BU241)</f>
        <v>0</v>
      </c>
      <c r="BW315" s="3">
        <f>SUM(BW218:BW220,BW223,BW244,BW241)-SUM(BV218:BV220,BV223,BV244,BV241)</f>
        <v>0</v>
      </c>
      <c r="BX315" s="3">
        <f>SUM(BX218:BX220,BX223,BX244,BX241)-SUM(BW218:BW220,BW223,BW244,BW241)</f>
        <v>0</v>
      </c>
      <c r="BY315" s="3">
        <f>SUM(BY218:BY220,BY223,BY244,BY241)-SUM(BX218:BX220,BX223,BX244,BX241)</f>
        <v>0</v>
      </c>
      <c r="BZ315" s="3">
        <f>SUM(BV315:BY315)</f>
        <v>0</v>
      </c>
      <c r="CA315" s="3">
        <f>SUM(CA218:CA220,CA223,CA244,CA241)-SUM(BZ218:BZ220,BZ223,BZ244,BZ241)</f>
        <v>0</v>
      </c>
      <c r="CB315" s="3">
        <f>SUM(CB218:CB220,CB223,CB244,CB241)-SUM(CA218:CA220,CA223,CA244,CA241)</f>
        <v>0</v>
      </c>
      <c r="CC315" s="3">
        <f>SUM(CC218:CC220,CC223,CC244,CC241)-SUM(CB218:CB220,CB223,CB244,CB241)</f>
        <v>0</v>
      </c>
      <c r="CD315" s="3">
        <f>SUM(CD218:CD220,CD223,CD244,CD241)-SUM(CC218:CC220,CC223,CC244,CC241)</f>
        <v>0</v>
      </c>
      <c r="CE315" s="3">
        <f>SUM(CA315:CD315)</f>
        <v>0</v>
      </c>
      <c r="CF315" s="3">
        <f>SUM(CF218:CF220,CF223,CF244,CF241)-SUM(CE218:CE220,CE223,CE244,CE241)</f>
        <v>0</v>
      </c>
      <c r="CG315" s="3">
        <f>SUM(CG218:CG220,CG223,CG244,CG241)-SUM(CF218:CF220,CF223,CF244,CF241)</f>
        <v>0</v>
      </c>
      <c r="CH315" s="3">
        <f>SUM(CH218:CH220,CH223,CH244,CH241)-SUM(CG218:CG220,CG223,CG244,CG241)</f>
        <v>0</v>
      </c>
      <c r="CI315" s="3">
        <f>SUM(CI218:CI220,CI223,CI244,CI241)-SUM(CH218:CH220,CH223,CH244,CH241)</f>
        <v>0</v>
      </c>
      <c r="CJ315" s="3">
        <f>SUM(CF315:CI315)</f>
        <v>0</v>
      </c>
      <c r="CK315" s="3">
        <f>SUM(CK218:CK220,CK223,CK244,CK241)-SUM(CJ218:CJ220,CJ223,CJ244,CJ241)</f>
        <v>0</v>
      </c>
      <c r="CL315" s="3">
        <f>SUM(CL218:CL220,CL223,CL244,CL241)-SUM(CK218:CK220,CK223,CK244,CK241)</f>
        <v>0</v>
      </c>
      <c r="CM315" s="3">
        <f>SUM(CM218:CM220,CM223,CM244,CM241)-SUM(CL218:CL220,CL223,CL244,CL241)</f>
        <v>0</v>
      </c>
      <c r="CN315" s="3">
        <f>SUM(CN218:CN220,CN223,CN244,CN241)-SUM(CM218:CM220,CM223,CM244,CM241)</f>
        <v>0</v>
      </c>
      <c r="CO315" s="3">
        <f>SUM(CK315:CN315)</f>
        <v>0</v>
      </c>
      <c r="CP315" s="3">
        <f>SUM(CP218:CP220,CP223,CP244,CP241)-SUM(CO218:CO220,CO223,CO244,CO241)</f>
        <v>0</v>
      </c>
      <c r="CQ315" s="3">
        <f>SUM(CQ218:CQ220,CQ223,CQ244,CQ241)-SUM(CP218:CP220,CP223,CP244,CP241)</f>
        <v>0</v>
      </c>
      <c r="CR315" s="3">
        <f>SUM(CR218:CR220,CR223,CR244,CR241)-SUM(CQ218:CQ220,CQ223,CQ244,CQ241)</f>
        <v>0</v>
      </c>
      <c r="CS315" s="3">
        <f>SUM(CS218:CS220,CS223,CS244,CS241)-SUM(CR218:CR220,CR223,CR244,CR241)</f>
        <v>0</v>
      </c>
      <c r="CT315" s="3">
        <f>SUM(CP315:CS315)</f>
        <v>0</v>
      </c>
      <c r="CU315" s="3">
        <f>SUM(CU218:CU220,CU223,CU244,CU241)-SUM(CT218:CT220,CT223,CT244,CT241)</f>
        <v>0</v>
      </c>
      <c r="CV315" s="3">
        <f>SUM(CV218:CV220,CV223,CV244,CV241)-SUM(CU218:CU220,CU223,CU244,CU241)</f>
        <v>0</v>
      </c>
      <c r="CW315" s="3">
        <f>SUM(CW218:CW220,CW223,CW244,CW241)-SUM(CV218:CV220,CV223,CV244,CV241)</f>
        <v>0</v>
      </c>
      <c r="CX315" s="3">
        <f>SUM(CX218:CX220,CX223,CX244,CX241)-SUM(CW218:CW220,CW223,CW244,CW241)</f>
        <v>0</v>
      </c>
      <c r="CY315" s="3">
        <f>SUM(CU315:CX315)</f>
        <v>0</v>
      </c>
      <c r="CZ315" s="3" t="n"/>
      <c r="DA315" s="3" t="n"/>
      <c r="DB315" s="3" t="n"/>
      <c r="DC315" s="3" t="n"/>
    </row>
    <row r="316">
      <c r="C316" s="26" t="inlineStr">
        <is>
          <t>Cash from financing</t>
        </is>
      </c>
      <c r="D316" s="3" t="n"/>
      <c r="E316" s="3">
        <f>SUM(E308,E309,E310,E311,E312,E313,E314,E315)</f>
        <v>-0.105678042438662</v>
      </c>
      <c r="F316" s="3">
        <f>SUM(F308,F309,F310,F311,F312,F313,F314,F315)</f>
        <v>35.4472921012219</v>
      </c>
      <c r="G316" s="3">
        <f>SUM(G308,G309,G310,G311,G312,G313,G314,G315)</f>
        <v>29.3841186984011</v>
      </c>
      <c r="H316" s="3">
        <f>SUM(H308,H309,H310,H311,H312,H313,H314,H315)</f>
        <v>64.7257327571843</v>
      </c>
      <c r="I316" s="3">
        <f>SUM(I308,I309,I310,I311,I312,I313,I314,I315)</f>
        <v>-72.5377929715701</v>
      </c>
      <c r="J316" s="3">
        <f>SUM(J308,J309,J310,J311,J312,J313,J314,J315)</f>
        <v>84.40740235157</v>
      </c>
      <c r="K316" s="3">
        <f>SUM(K308,K309,K310,K311,K312,K313,K314,K315)</f>
        <v>65.5821792328684</v>
      </c>
      <c r="L316" s="3">
        <f>SUM(L308,L309,L310,L311,L312,L313,L314,L315)</f>
        <v>-83.2987075199999</v>
      </c>
      <c r="M316" s="3">
        <f>SUM(M308,M309,M310,M311,M312,M313,M314,M315)</f>
        <v>-5.84691890713171</v>
      </c>
      <c r="N316" s="3">
        <f>SUM(N308,N309,N310,N311,N312,N313,N314,N315)</f>
        <v>21.9791803299995</v>
      </c>
      <c r="O316" s="3">
        <f>SUM(O308,O309,O310,O311,O312,O313,O314,O315)</f>
        <v>-25.7375131049048</v>
      </c>
      <c r="P316" s="3">
        <f>SUM(P308,P309,P310,P311,P312,P313,P314,P315)</f>
        <v>19.6670619149055</v>
      </c>
      <c r="Q316" s="3">
        <f>SUM(Q308,Q309,Q310,Q311,Q312,Q313,Q314,Q315)</f>
        <v>-99.5010383506046</v>
      </c>
      <c r="R316" s="3">
        <f>SUM(R308,R309,R310,R311,R312,R313,R314,R315)</f>
        <v>-83.5923092106045</v>
      </c>
      <c r="S316" s="3">
        <f>SUM(S308,S309,S310,S311,S312,S313,S314,S315)</f>
        <v>1.54583296503092</v>
      </c>
      <c r="T316" s="3">
        <f>SUM(T308,T309,T310,T311,T312,T313,T314,T315)</f>
        <v>44.2951532373814</v>
      </c>
      <c r="U316" s="3">
        <f>SUM(U308,U309,U310,U311,U312,U313,U314,U315)</f>
        <v>25.4325952299999</v>
      </c>
      <c r="V316" s="3">
        <f>SUM(V308,V309,V310,V311,V312,V313,V314,V315)</f>
        <v>-43.2997488799999</v>
      </c>
      <c r="W316" s="3">
        <f>SUM(W308,W309,W310,W311,W312,W313,W314,W315)</f>
        <v>27.9738325524124</v>
      </c>
      <c r="X316" s="3">
        <f>SUM(X308,X309,X310,X311,X312,X313,X314,X315)</f>
        <v>-73.5993833112268</v>
      </c>
      <c r="Y316" s="3">
        <f>SUM(Y308,Y309,Y310,Y311,Y312,Y313,Y314,Y315)</f>
        <v>43.9111650006914</v>
      </c>
      <c r="Z316" s="3">
        <f>SUM(Z308,Z309,Z310,Z311,Z312,Z313,Z314,Z315)</f>
        <v>100.564123597304</v>
      </c>
      <c r="AA316" s="3">
        <f>SUM(AA308,AA309,AA310,AA311,AA312,AA313,AA314,AA315)</f>
        <v>133.642955418306</v>
      </c>
      <c r="AB316" s="3">
        <f>SUM(AB308,AB309,AB310,AB311,AB312,AB313,AB314,AB315)</f>
        <v>204.518860705075</v>
      </c>
      <c r="AC316" s="3">
        <f>SUM(AC308,AC309,AC310,AC311,AC312,AC313,AC314,AC315)</f>
        <v>-113.557457877879</v>
      </c>
      <c r="AD316" s="3">
        <f>SUM(AD308,AD309,AD310,AD311,AD312,AD313,AD314,AD315)</f>
        <v>7.40978964000042</v>
      </c>
      <c r="AE316" s="3">
        <f>SUM(AE308,AE309,AE310,AE311,AE312,AE313,AE314,AE315)</f>
        <v>156.608506380001</v>
      </c>
      <c r="AF316" s="3">
        <f>SUM(AF308,AF309,AF310,AF311,AF312,AF313,AF314,AF315)</f>
        <v>-172.093725260003</v>
      </c>
      <c r="AG316" s="3">
        <f>SUM(AG308,AG309,AG310,AG311,AG312,AG313,AG314,AG315)</f>
        <v>-121.632887117881</v>
      </c>
      <c r="AH316" s="3">
        <f>SUM(AH308,AH309,AH310,AH311,AH312,AH313,AH314,AH315)</f>
        <v>-24.0835586099971</v>
      </c>
      <c r="AI316" s="3">
        <f>SUM(AI308,AI309,AI310,AI311,AI312,AI313,AI314,AI315)</f>
        <v>21.6590384200005</v>
      </c>
      <c r="AJ316" s="3">
        <f>SUM(AJ308,AJ309,AJ310,AJ311,AJ312,AJ313,AJ314,AJ315)</f>
        <v>0</v>
      </c>
      <c r="AK316" s="3">
        <f>SUM(AK308,AK309,AK310,AK311,AK312,AK313,AK314,AK315)</f>
        <v>4.9737991503207e-14</v>
      </c>
      <c r="AL316" s="3">
        <f>SUM(AL308,AL309,AL310,AL311,AL312,AL313,AL314,AL315)</f>
        <v>-2.42452018999657</v>
      </c>
      <c r="AM316" s="3">
        <f>SUM(AM308,AM309,AM310,AM311,AM312,AM313,AM314,AM315)</f>
        <v>4.9737991503207e-14</v>
      </c>
      <c r="AN316" s="3">
        <f>SUM(AN308,AN309,AN310,AN311,AN312,AN313,AN314,AN315)</f>
        <v>0</v>
      </c>
      <c r="AO316" s="3">
        <f>SUM(AO308,AO309,AO310,AO311,AO312,AO313,AO314,AO315)</f>
        <v>4.9737991503207e-14</v>
      </c>
      <c r="AP316" s="3">
        <f>SUM(AP308,AP309,AP310,AP311,AP312,AP313,AP314,AP315)</f>
        <v>0</v>
      </c>
      <c r="AQ316" s="3">
        <f>SUM(AQ308,AQ309,AQ310,AQ311,AQ312,AQ313,AQ314,AQ315)</f>
        <v>9.9475983006414e-14</v>
      </c>
      <c r="AR316" s="3">
        <f>SUM(AR308,AR309,AR310,AR311,AR312,AR313,AR314,AR315)</f>
        <v>0</v>
      </c>
      <c r="AS316" s="3">
        <f>SUM(AS308,AS309,AS310,AS311,AS312,AS313,AS314,AS315)</f>
        <v>0</v>
      </c>
      <c r="AT316" s="3">
        <f>SUM(AT308,AT309,AT310,AT311,AT312,AT313,AT314,AT315)</f>
        <v>0</v>
      </c>
      <c r="AU316" s="3">
        <f>SUM(AU308,AU309,AU310,AU311,AU312,AU313,AU314,AU315)</f>
        <v>0</v>
      </c>
      <c r="AV316" s="3">
        <f>SUM(AV308,AV309,AV310,AV311,AV312,AV313,AV314,AV315)</f>
        <v>0</v>
      </c>
      <c r="AW316" s="3">
        <f>SUM(AW308,AW309,AW310,AW311,AW312,AW313,AW314,AW315)</f>
        <v>0</v>
      </c>
      <c r="AX316" s="3">
        <f>SUM(AX308,AX309,AX310,AX311,AX312,AX313,AX314,AX315)</f>
        <v>0</v>
      </c>
      <c r="AY316" s="3">
        <f>SUM(AY308,AY309,AY310,AY311,AY312,AY313,AY314,AY315)</f>
        <v>0</v>
      </c>
      <c r="AZ316" s="3">
        <f>SUM(AZ308,AZ309,AZ310,AZ311,AZ312,AZ313,AZ314,AZ315)</f>
        <v>0</v>
      </c>
      <c r="BA316" s="3">
        <f>SUM(BA308,BA309,BA310,BA311,BA312,BA313,BA314,BA315)</f>
        <v>0</v>
      </c>
      <c r="BB316" s="3">
        <f>SUM(BB308,BB309,BB310,BB311,BB312,BB313,BB314,BB315)</f>
        <v>0</v>
      </c>
      <c r="BC316" s="3">
        <f>SUM(BC308,BC309,BC310,BC311,BC312,BC313,BC314,BC315)</f>
        <v>0</v>
      </c>
      <c r="BD316" s="3">
        <f>SUM(BD308,BD309,BD310,BD311,BD312,BD313,BD314,BD315)</f>
        <v>0</v>
      </c>
      <c r="BE316" s="3">
        <f>SUM(BE308,BE309,BE310,BE311,BE312,BE313,BE314,BE315)</f>
        <v>0</v>
      </c>
      <c r="BF316" s="3">
        <f>SUM(BF308,BF309,BF310,BF311,BF312,BF313,BF314,BF315)</f>
        <v>0</v>
      </c>
      <c r="BG316" s="3">
        <f>SUM(BG308,BG309,BG310,BG311,BG312,BG313,BG314,BG315)</f>
        <v>0</v>
      </c>
      <c r="BH316" s="3">
        <f>SUM(BH308,BH309,BH310,BH311,BH312,BH313,BH314,BH315)</f>
        <v>0</v>
      </c>
      <c r="BI316" s="3">
        <f>SUM(BI308,BI309,BI310,BI311,BI312,BI313,BI314,BI315)</f>
        <v>0</v>
      </c>
      <c r="BJ316" s="3">
        <f>SUM(BJ308,BJ309,BJ310,BJ311,BJ312,BJ313,BJ314,BJ315)</f>
        <v>0</v>
      </c>
      <c r="BK316" s="3">
        <f>SUM(BK308,BK309,BK310,BK311,BK312,BK313,BK314,BK315)</f>
        <v>0</v>
      </c>
      <c r="BL316" s="3">
        <f>SUM(BL308,BL309,BL310,BL311,BL312,BL313,BL314,BL315)</f>
        <v>0</v>
      </c>
      <c r="BM316" s="3">
        <f>SUM(BM308,BM309,BM310,BM311,BM312,BM313,BM314,BM315)</f>
        <v>0</v>
      </c>
      <c r="BN316" s="3">
        <f>SUM(BN308,BN309,BN310,BN311,BN312,BN313,BN314,BN315)</f>
        <v>0</v>
      </c>
      <c r="BO316" s="3">
        <f>SUM(BO308,BO309,BO310,BO311,BO312,BO313,BO314,BO315)</f>
        <v>0</v>
      </c>
      <c r="BP316" s="3">
        <f>SUM(BP308,BP309,BP310,BP311,BP312,BP313,BP314,BP315)</f>
        <v>0</v>
      </c>
      <c r="BQ316" s="3">
        <f>SUM(BQ308,BQ309,BQ310,BQ311,BQ312,BQ313,BQ314,BQ315)</f>
        <v>0</v>
      </c>
      <c r="BR316" s="3">
        <f>SUM(BR308,BR309,BR310,BR311,BR312,BR313,BR314,BR315)</f>
        <v>0</v>
      </c>
      <c r="BS316" s="3">
        <f>SUM(BS308,BS309,BS310,BS311,BS312,BS313,BS314,BS315)</f>
        <v>0</v>
      </c>
      <c r="BT316" s="3">
        <f>SUM(BT308,BT309,BT310,BT311,BT312,BT313,BT314,BT315)</f>
        <v>0</v>
      </c>
      <c r="BU316" s="3">
        <f>SUM(BU308,BU309,BU310,BU311,BU312,BU313,BU314,BU315)</f>
        <v>0</v>
      </c>
      <c r="BV316" s="3">
        <f>SUM(BV308,BV309,BV310,BV311,BV312,BV313,BV314,BV315)</f>
        <v>0</v>
      </c>
      <c r="BW316" s="3">
        <f>SUM(BW308,BW309,BW310,BW311,BW312,BW313,BW314,BW315)</f>
        <v>0</v>
      </c>
      <c r="BX316" s="3">
        <f>SUM(BX308,BX309,BX310,BX311,BX312,BX313,BX314,BX315)</f>
        <v>0</v>
      </c>
      <c r="BY316" s="3">
        <f>SUM(BY308,BY309,BY310,BY311,BY312,BY313,BY314,BY315)</f>
        <v>0</v>
      </c>
      <c r="BZ316" s="3">
        <f>SUM(BZ308,BZ309,BZ310,BZ311,BZ312,BZ313,BZ314,BZ315)</f>
        <v>0</v>
      </c>
      <c r="CA316" s="3">
        <f>SUM(CA308,CA309,CA310,CA311,CA312,CA313,CA314,CA315)</f>
        <v>0</v>
      </c>
      <c r="CB316" s="3">
        <f>SUM(CB308,CB309,CB310,CB311,CB312,CB313,CB314,CB315)</f>
        <v>0</v>
      </c>
      <c r="CC316" s="3">
        <f>SUM(CC308,CC309,CC310,CC311,CC312,CC313,CC314,CC315)</f>
        <v>0</v>
      </c>
      <c r="CD316" s="3">
        <f>SUM(CD308,CD309,CD310,CD311,CD312,CD313,CD314,CD315)</f>
        <v>0</v>
      </c>
      <c r="CE316" s="3">
        <f>SUM(CE308,CE309,CE310,CE311,CE312,CE313,CE314,CE315)</f>
        <v>0</v>
      </c>
      <c r="CF316" s="3">
        <f>SUM(CF308,CF309,CF310,CF311,CF312,CF313,CF314,CF315)</f>
        <v>0</v>
      </c>
      <c r="CG316" s="3">
        <f>SUM(CG308,CG309,CG310,CG311,CG312,CG313,CG314,CG315)</f>
        <v>0</v>
      </c>
      <c r="CH316" s="3">
        <f>SUM(CH308,CH309,CH310,CH311,CH312,CH313,CH314,CH315)</f>
        <v>0</v>
      </c>
      <c r="CI316" s="3">
        <f>SUM(CI308,CI309,CI310,CI311,CI312,CI313,CI314,CI315)</f>
        <v>0</v>
      </c>
      <c r="CJ316" s="3">
        <f>SUM(CJ308,CJ309,CJ310,CJ311,CJ312,CJ313,CJ314,CJ315)</f>
        <v>0</v>
      </c>
      <c r="CK316" s="3">
        <f>SUM(CK308,CK309,CK310,CK311,CK312,CK313,CK314,CK315)</f>
        <v>0</v>
      </c>
      <c r="CL316" s="3">
        <f>SUM(CL308,CL309,CL310,CL311,CL312,CL313,CL314,CL315)</f>
        <v>0</v>
      </c>
      <c r="CM316" s="3">
        <f>SUM(CM308,CM309,CM310,CM311,CM312,CM313,CM314,CM315)</f>
        <v>0</v>
      </c>
      <c r="CN316" s="3">
        <f>SUM(CN308,CN309,CN310,CN311,CN312,CN313,CN314,CN315)</f>
        <v>0</v>
      </c>
      <c r="CO316" s="3">
        <f>SUM(CO308,CO309,CO310,CO311,CO312,CO313,CO314,CO315)</f>
        <v>0</v>
      </c>
      <c r="CP316" s="3">
        <f>SUM(CP308,CP309,CP310,CP311,CP312,CP313,CP314,CP315)</f>
        <v>0</v>
      </c>
      <c r="CQ316" s="3">
        <f>SUM(CQ308,CQ309,CQ310,CQ311,CQ312,CQ313,CQ314,CQ315)</f>
        <v>0</v>
      </c>
      <c r="CR316" s="3">
        <f>SUM(CR308,CR309,CR310,CR311,CR312,CR313,CR314,CR315)</f>
        <v>0</v>
      </c>
      <c r="CS316" s="3">
        <f>SUM(CS308,CS309,CS310,CS311,CS312,CS313,CS314,CS315)</f>
        <v>0</v>
      </c>
      <c r="CT316" s="3">
        <f>SUM(CT308,CT309,CT310,CT311,CT312,CT313,CT314,CT315)</f>
        <v>0</v>
      </c>
      <c r="CU316" s="3">
        <f>SUM(CU308,CU309,CU310,CU311,CU312,CU313,CU314,CU315)</f>
        <v>0</v>
      </c>
      <c r="CV316" s="3">
        <f>SUM(CV308,CV309,CV310,CV311,CV312,CV313,CV314,CV315)</f>
        <v>0</v>
      </c>
      <c r="CW316" s="3">
        <f>SUM(CW308,CW309,CW310,CW311,CW312,CW313,CW314,CW315)</f>
        <v>0</v>
      </c>
      <c r="CX316" s="3">
        <f>SUM(CX308,CX309,CX310,CX311,CX312,CX313,CX314,CX315)</f>
        <v>0</v>
      </c>
      <c r="CY316" s="3">
        <f>SUM(CY308,CY309,CY310,CY311,CY312,CY313,CY314,CY315)</f>
        <v>0</v>
      </c>
    </row>
    <row r="317">
      <c r="C317" s="26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/>
      <c r="BA317" s="3" t="n"/>
      <c r="BB317" s="3" t="n"/>
      <c r="BC317" s="3" t="n"/>
      <c r="BD317" s="3" t="n"/>
      <c r="BE317" s="3" t="n"/>
      <c r="BF317" s="3" t="n"/>
      <c r="BG317" s="3" t="n"/>
      <c r="BH317" s="3" t="n"/>
      <c r="BI317" s="3" t="n"/>
      <c r="BJ317" s="3" t="n"/>
      <c r="BK317" s="3" t="n"/>
      <c r="BL317" s="3" t="n"/>
      <c r="BM317" s="3" t="n"/>
      <c r="BN317" s="3" t="n"/>
      <c r="BO317" s="3" t="n"/>
      <c r="BP317" s="3" t="n"/>
      <c r="BQ317" s="3" t="n"/>
      <c r="BR317" s="3" t="n"/>
      <c r="BS317" s="3" t="n"/>
      <c r="BT317" s="3" t="n"/>
      <c r="BU317" s="3" t="n"/>
      <c r="BV317" s="3" t="n"/>
      <c r="BW317" s="3" t="n"/>
      <c r="BX317" s="3" t="n"/>
      <c r="BY317" s="3" t="n"/>
      <c r="BZ317" s="3" t="n"/>
      <c r="CA317" s="3" t="n"/>
      <c r="CB317" s="3" t="n"/>
      <c r="CC317" s="3" t="n"/>
      <c r="CD317" s="3" t="n"/>
      <c r="CE317" s="3" t="n"/>
      <c r="CF317" s="3" t="n"/>
      <c r="CG317" s="3" t="n"/>
      <c r="CH317" s="3" t="n"/>
      <c r="CI317" s="3" t="n"/>
      <c r="CJ317" s="3" t="n"/>
      <c r="CK317" s="3" t="n"/>
      <c r="CL317" s="3" t="n"/>
      <c r="CM317" s="3" t="n"/>
      <c r="CN317" s="3" t="n"/>
      <c r="CO317" s="3" t="n"/>
      <c r="CP317" s="3" t="n"/>
      <c r="CQ317" s="3" t="n"/>
      <c r="CR317" s="3" t="n"/>
      <c r="CS317" s="3" t="n"/>
      <c r="CT317" s="3" t="n"/>
      <c r="CU317" s="3" t="n"/>
      <c r="CV317" s="3" t="n"/>
      <c r="CW317" s="3" t="n"/>
      <c r="CX317" s="3" t="n"/>
      <c r="CY317" s="3" t="n"/>
    </row>
    <row r="318">
      <c r="C318" s="26" t="inlineStr">
        <is>
          <t>Others</t>
        </is>
      </c>
      <c r="D318" s="3" t="n"/>
      <c r="E318" s="3" t="n"/>
      <c r="F318" s="3" t="n"/>
      <c r="G318" s="3" t="n"/>
      <c r="H318" s="3">
        <f>SUM(D318:G318)</f>
        <v>0</v>
      </c>
      <c r="I318" s="3" t="n"/>
      <c r="J318" s="3" t="n"/>
      <c r="K318" s="3" t="n"/>
      <c r="L318" s="3" t="n"/>
      <c r="M318" s="3">
        <f>SUM(I318:L318)</f>
        <v>0</v>
      </c>
      <c r="N318" s="3" t="n"/>
      <c r="O318" s="3" t="n"/>
      <c r="P318" s="3" t="n"/>
      <c r="Q318" s="3" t="n"/>
      <c r="R318" s="3">
        <f>SUM(N318:Q318)</f>
        <v>0</v>
      </c>
      <c r="S318" s="3" t="n"/>
      <c r="T318" s="3" t="n"/>
      <c r="U318" s="3" t="n"/>
      <c r="V318" s="3" t="n"/>
      <c r="W318" s="3">
        <f>SUM(S318:V318)</f>
        <v>0</v>
      </c>
      <c r="X318" s="3" t="n"/>
      <c r="Y318" s="3" t="n"/>
      <c r="Z318" s="3" t="n"/>
      <c r="AA318" s="3" t="n"/>
      <c r="AB318" s="3">
        <f>SUM(X318:AA318)</f>
        <v>0</v>
      </c>
      <c r="AC318" s="3" t="n"/>
      <c r="AD318" s="3" t="n"/>
      <c r="AE318" s="3" t="n"/>
      <c r="AF318" s="3" t="n"/>
      <c r="AG318" s="3">
        <f>SUM(AC318:AF318)</f>
        <v>0</v>
      </c>
      <c r="AH318" s="3" t="n"/>
      <c r="AI318" s="3" t="n"/>
      <c r="AJ318" s="3" t="n"/>
      <c r="AK318" s="3" t="n"/>
      <c r="AL318" s="3">
        <f>SUM(AH318:AK318)</f>
        <v>0</v>
      </c>
      <c r="AM318" s="3" t="n"/>
      <c r="AN318" s="3" t="n"/>
      <c r="AO318" s="3" t="n"/>
      <c r="AP318" s="3" t="n"/>
      <c r="AQ318" s="3">
        <f>SUM(AM318:AP318)</f>
        <v>0</v>
      </c>
      <c r="AR318" s="3" t="n"/>
      <c r="AS318" s="3" t="n"/>
      <c r="AT318" s="3" t="n"/>
      <c r="AU318" s="3" t="n"/>
      <c r="AV318" s="3">
        <f>SUM(AR318:AU318)</f>
        <v>0</v>
      </c>
      <c r="AW318" s="3" t="n"/>
      <c r="AX318" s="3" t="n"/>
      <c r="AY318" s="3" t="n"/>
      <c r="AZ318" s="3" t="n"/>
      <c r="BA318" s="3">
        <f>SUM(AW318:AZ318)</f>
        <v>0</v>
      </c>
      <c r="BB318" s="3" t="n"/>
      <c r="BC318" s="3" t="n"/>
      <c r="BD318" s="3" t="n"/>
      <c r="BE318" s="3" t="n"/>
      <c r="BF318" s="3">
        <f>SUM(BB318:BE318)</f>
        <v>0</v>
      </c>
      <c r="BG318" s="3" t="n"/>
      <c r="BH318" s="3" t="n"/>
      <c r="BI318" s="3" t="n"/>
      <c r="BJ318" s="3" t="n"/>
      <c r="BK318" s="3">
        <f>SUM(BG318:BJ318)</f>
        <v>0</v>
      </c>
      <c r="BL318" s="3" t="n"/>
      <c r="BM318" s="3" t="n"/>
      <c r="BN318" s="3" t="n"/>
      <c r="BO318" s="3" t="n"/>
      <c r="BP318" s="3">
        <f>SUM(BL318:BO318)</f>
        <v>0</v>
      </c>
      <c r="BQ318" s="3" t="n"/>
      <c r="BR318" s="3" t="n"/>
      <c r="BS318" s="3" t="n"/>
      <c r="BT318" s="3" t="n"/>
      <c r="BU318" s="3">
        <f>SUM(BQ318:BT318)</f>
        <v>0</v>
      </c>
      <c r="BV318" s="3" t="n"/>
      <c r="BW318" s="3" t="n"/>
      <c r="BX318" s="3" t="n"/>
      <c r="BY318" s="3" t="n"/>
      <c r="BZ318" s="3">
        <f>SUM(BV318:BY318)</f>
        <v>0</v>
      </c>
      <c r="CA318" s="3" t="n"/>
      <c r="CB318" s="3" t="n"/>
      <c r="CC318" s="3" t="n"/>
      <c r="CD318" s="3" t="n"/>
      <c r="CE318" s="3">
        <f>SUM(CA318:CD318)</f>
        <v>0</v>
      </c>
      <c r="CF318" s="3" t="n"/>
      <c r="CG318" s="3" t="n"/>
      <c r="CH318" s="3" t="n"/>
      <c r="CI318" s="3" t="n"/>
      <c r="CJ318" s="3">
        <f>SUM(CF318:CI318)</f>
        <v>0</v>
      </c>
      <c r="CK318" s="3" t="n"/>
      <c r="CL318" s="3" t="n"/>
      <c r="CM318" s="3" t="n"/>
      <c r="CN318" s="3" t="n"/>
      <c r="CO318" s="3">
        <f>SUM(CK318:CN318)</f>
        <v>0</v>
      </c>
      <c r="CP318" s="3" t="n"/>
      <c r="CQ318" s="3" t="n"/>
      <c r="CR318" s="3" t="n"/>
      <c r="CS318" s="3" t="n"/>
      <c r="CT318" s="3">
        <f>SUM(CP318:CS318)</f>
        <v>0</v>
      </c>
      <c r="CU318" s="3" t="n"/>
      <c r="CV318" s="3" t="n"/>
      <c r="CW318" s="3" t="n"/>
      <c r="CX318" s="3" t="n"/>
      <c r="CY318" s="3">
        <f>SUM(CU318:CX318)</f>
        <v>0</v>
      </c>
    </row>
    <row r="319">
      <c r="C319" s="26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  <c r="AY319" s="3" t="n"/>
      <c r="AZ319" s="3" t="n"/>
      <c r="BA319" s="3" t="n"/>
      <c r="BB319" s="3" t="n"/>
      <c r="BC319" s="3" t="n"/>
      <c r="BD319" s="3" t="n"/>
      <c r="BE319" s="3" t="n"/>
      <c r="BF319" s="3" t="n"/>
      <c r="BG319" s="3" t="n"/>
      <c r="BH319" s="3" t="n"/>
      <c r="BI319" s="3" t="n"/>
      <c r="BJ319" s="3" t="n"/>
      <c r="BK319" s="3" t="n"/>
      <c r="BL319" s="3" t="n"/>
      <c r="BM319" s="3" t="n"/>
      <c r="BN319" s="3" t="n"/>
      <c r="BO319" s="3" t="n"/>
      <c r="BP319" s="3" t="n"/>
      <c r="BQ319" s="3" t="n"/>
      <c r="BR319" s="3" t="n"/>
      <c r="BS319" s="3" t="n"/>
      <c r="BT319" s="3" t="n"/>
      <c r="BU319" s="3" t="n"/>
      <c r="BV319" s="3" t="n"/>
      <c r="BW319" s="3" t="n"/>
      <c r="BX319" s="3" t="n"/>
      <c r="BY319" s="3" t="n"/>
      <c r="BZ319" s="3" t="n"/>
      <c r="CA319" s="3" t="n"/>
      <c r="CB319" s="3" t="n"/>
      <c r="CC319" s="3" t="n"/>
      <c r="CD319" s="3" t="n"/>
      <c r="CE319" s="3" t="n"/>
      <c r="CF319" s="3" t="n"/>
      <c r="CG319" s="3" t="n"/>
      <c r="CH319" s="3" t="n"/>
      <c r="CI319" s="3" t="n"/>
      <c r="CJ319" s="3" t="n"/>
      <c r="CK319" s="3" t="n"/>
      <c r="CL319" s="3" t="n"/>
      <c r="CM319" s="3" t="n"/>
      <c r="CN319" s="3" t="n"/>
      <c r="CO319" s="3" t="n"/>
      <c r="CP319" s="3" t="n"/>
      <c r="CQ319" s="3" t="n"/>
      <c r="CR319" s="3" t="n"/>
      <c r="CS319" s="3" t="n"/>
      <c r="CT319" s="3" t="n"/>
      <c r="CU319" s="3" t="n"/>
      <c r="CV319" s="3" t="n"/>
      <c r="CW319" s="3" t="n"/>
      <c r="CX319" s="3" t="n"/>
      <c r="CY319" s="3" t="n"/>
    </row>
    <row r="320">
      <c r="C320" s="26" t="inlineStr">
        <is>
          <t>Total increase/decrease of cash</t>
        </is>
      </c>
      <c r="D320" s="3" t="n"/>
      <c r="E320" s="3">
        <f>SUM(E299,E306,E316,E318)</f>
        <v>111.889891570001</v>
      </c>
      <c r="F320" s="3">
        <f>SUM(F299,F306,F316,F318)</f>
        <v>27.5664395299993</v>
      </c>
      <c r="G320" s="3">
        <f>SUM(G299,G306,G316,G318)</f>
        <v>89.6755068899996</v>
      </c>
      <c r="H320" s="3">
        <f>SUM(D320:G320)</f>
        <v>229.13183799</v>
      </c>
      <c r="I320" s="3">
        <f>SUM(I299,I306,I316,I318)</f>
        <v>-81.1373384715707</v>
      </c>
      <c r="J320" s="3">
        <f>SUM(J299,J306,J316,J318)</f>
        <v>50.0816826015703</v>
      </c>
      <c r="K320" s="3">
        <f>SUM(K299,K306,K316,K318)</f>
        <v>42.6520940599998</v>
      </c>
      <c r="L320" s="3">
        <f>SUM(L299,L306,L316,L318)</f>
        <v>-59.8174065799991</v>
      </c>
      <c r="M320" s="3">
        <f>SUM(I320:L320)</f>
        <v>-48.2209683899998</v>
      </c>
      <c r="N320" s="3">
        <f>SUM(N299,N306,N316,N318)</f>
        <v>-74.0944613400005</v>
      </c>
      <c r="O320" s="3">
        <f>SUM(O299,O306,O316,O318)</f>
        <v>-158.497924924905</v>
      </c>
      <c r="P320" s="3">
        <f>SUM(P299,P306,P316,P318)</f>
        <v>-83.4712292050961</v>
      </c>
      <c r="Q320" s="3">
        <f>SUM(Q299,Q306,Q316,Q318)</f>
        <v>45.2313212693985</v>
      </c>
      <c r="R320" s="3">
        <f>SUM(N320:Q320)</f>
        <v>-270.832294200603</v>
      </c>
      <c r="S320" s="3">
        <f>SUM(S299,S306,S316,S318)</f>
        <v>-46.0205753993973</v>
      </c>
      <c r="T320" s="3">
        <f>SUM(T299,T306,T316,T318)</f>
        <v>-112.277909020026</v>
      </c>
      <c r="U320" s="3">
        <f>SUM(U299,U306,U316,U318)</f>
        <v>-17.7350234799988</v>
      </c>
      <c r="V320" s="3">
        <f>SUM(V299,V306,V316,V318)</f>
        <v>97.6553663700006</v>
      </c>
      <c r="W320" s="3">
        <f>SUM(S320:V320)</f>
        <v>-78.3781415294219</v>
      </c>
      <c r="X320" s="3">
        <f>SUM(X299,X306,X316,X318)</f>
        <v>60.9986289600248</v>
      </c>
      <c r="Y320" s="3">
        <f>SUM(Y299,Y306,Y316,Y318)</f>
        <v>-23.6272997452311</v>
      </c>
      <c r="Z320" s="3">
        <f>SUM(Z299,Z306,Z316,Z318)</f>
        <v>-27.8034697454101</v>
      </c>
      <c r="AA320" s="3">
        <f>SUM(AA299,AA306,AA316,AA318)</f>
        <v>-31.3744293114802</v>
      </c>
      <c r="AB320" s="3">
        <f>SUM(X320:AA320)</f>
        <v>-21.8065698420966</v>
      </c>
      <c r="AC320" s="3">
        <f>SUM(AC299,AC306,AC316,AC318)</f>
        <v>-105.605068097879</v>
      </c>
      <c r="AD320" s="3">
        <f>SUM(AD299,AD306,AD316,AD318)</f>
        <v>9.00748204999906</v>
      </c>
      <c r="AE320" s="3">
        <f>SUM(AE299,AE306,AE316,AE318)</f>
        <v>48.2777220200014</v>
      </c>
      <c r="AF320" s="3">
        <f>SUM(AF299,AF306,AF316,AF318)</f>
        <v>164.281255649997</v>
      </c>
      <c r="AG320" s="3">
        <f>SUM(AC320:AF320)</f>
        <v>115.961391622118</v>
      </c>
      <c r="AH320" s="3">
        <f>SUM(AH299,AH306,AH316,AH318)</f>
        <v>-90.169572409997</v>
      </c>
      <c r="AI320" s="3">
        <f>SUM(AI299,AI306,AI316,AI318)</f>
        <v>108.184545170001</v>
      </c>
      <c r="AJ320" s="3">
        <f>SUM(AJ299,AJ306,AJ316,AJ318)</f>
        <v>2254.1939877</v>
      </c>
      <c r="AK320" s="3">
        <f>SUM(AK299,AK306,AK316,AK318)</f>
        <v>11.1950000000001</v>
      </c>
      <c r="AL320" s="3">
        <f>SUM(AH320:AK320)</f>
        <v>2283.40396046001</v>
      </c>
      <c r="AM320" s="3" t="e">
        <f>SUM(AM299,AM306,AM316,AM318)</f>
        <v>#DIV/0!</v>
      </c>
      <c r="AN320" s="3" t="e">
        <f>SUM(AN299,AN306,AN316,AN318)</f>
        <v>#DIV/0!</v>
      </c>
      <c r="AO320" s="3" t="e">
        <f>SUM(AO299,AO306,AO316,AO318)</f>
        <v>#DIV/0!</v>
      </c>
      <c r="AP320" s="3" t="e">
        <f>SUM(AP299,AP306,AP316,AP318)</f>
        <v>#DIV/0!</v>
      </c>
      <c r="AQ320" s="3" t="e">
        <f>SUM(AM320:AP320)</f>
        <v>#DIV/0!</v>
      </c>
      <c r="AR320" s="3" t="e">
        <f>SUM(AR299,AR306,AR316,AR318)</f>
        <v>#DIV/0!</v>
      </c>
      <c r="AS320" s="3" t="e">
        <f>SUM(AS299,AS306,AS316,AS318)</f>
        <v>#DIV/0!</v>
      </c>
      <c r="AT320" s="3" t="e">
        <f>SUM(AT299,AT306,AT316,AT318)</f>
        <v>#DIV/0!</v>
      </c>
      <c r="AU320" s="3" t="e">
        <f>SUM(AU299,AU306,AU316,AU318)</f>
        <v>#DIV/0!</v>
      </c>
      <c r="AV320" s="3" t="e">
        <f>SUM(AR320:AU320)</f>
        <v>#DIV/0!</v>
      </c>
      <c r="AW320" s="3" t="e">
        <f>SUM(AW299,AW306,AW316,AW318)</f>
        <v>#DIV/0!</v>
      </c>
      <c r="AX320" s="3" t="e">
        <f>SUM(AX299,AX306,AX316,AX318)</f>
        <v>#DIV/0!</v>
      </c>
      <c r="AY320" s="3" t="e">
        <f>SUM(AY299,AY306,AY316,AY318)</f>
        <v>#DIV/0!</v>
      </c>
      <c r="AZ320" s="3" t="e">
        <f>SUM(AZ299,AZ306,AZ316,AZ318)</f>
        <v>#DIV/0!</v>
      </c>
      <c r="BA320" s="3" t="e">
        <f>SUM(AW320:AZ320)</f>
        <v>#DIV/0!</v>
      </c>
      <c r="BB320" s="3" t="e">
        <f>SUM(BB299,BB306,BB316,BB318)</f>
        <v>#DIV/0!</v>
      </c>
      <c r="BC320" s="3" t="e">
        <f>SUM(BC299,BC306,BC316,BC318)</f>
        <v>#DIV/0!</v>
      </c>
      <c r="BD320" s="3" t="e">
        <f>SUM(BD299,BD306,BD316,BD318)</f>
        <v>#DIV/0!</v>
      </c>
      <c r="BE320" s="3" t="e">
        <f>SUM(BE299,BE306,BE316,BE318)</f>
        <v>#DIV/0!</v>
      </c>
      <c r="BF320" s="3" t="e">
        <f>SUM(BB320:BE320)</f>
        <v>#DIV/0!</v>
      </c>
      <c r="BG320" s="3" t="e">
        <f>SUM(BG299,BG306,BG316,BG318)</f>
        <v>#DIV/0!</v>
      </c>
      <c r="BH320" s="3" t="e">
        <f>SUM(BH299,BH306,BH316,BH318)</f>
        <v>#DIV/0!</v>
      </c>
      <c r="BI320" s="3" t="e">
        <f>SUM(BI299,BI306,BI316,BI318)</f>
        <v>#DIV/0!</v>
      </c>
      <c r="BJ320" s="3" t="e">
        <f>SUM(BJ299,BJ306,BJ316,BJ318)</f>
        <v>#DIV/0!</v>
      </c>
      <c r="BK320" s="3" t="e">
        <f>SUM(BG320:BJ320)</f>
        <v>#DIV/0!</v>
      </c>
      <c r="BL320" s="3" t="e">
        <f>SUM(BL299,BL306,BL316,BL318)</f>
        <v>#DIV/0!</v>
      </c>
      <c r="BM320" s="3" t="e">
        <f>SUM(BM299,BM306,BM316,BM318)</f>
        <v>#DIV/0!</v>
      </c>
      <c r="BN320" s="3" t="e">
        <f>SUM(BN299,BN306,BN316,BN318)</f>
        <v>#DIV/0!</v>
      </c>
      <c r="BO320" s="3" t="e">
        <f>SUM(BO299,BO306,BO316,BO318)</f>
        <v>#DIV/0!</v>
      </c>
      <c r="BP320" s="3" t="e">
        <f>SUM(BL320:BO320)</f>
        <v>#DIV/0!</v>
      </c>
      <c r="BQ320" s="3" t="e">
        <f>SUM(BQ299,BQ306,BQ316,BQ318)</f>
        <v>#DIV/0!</v>
      </c>
      <c r="BR320" s="3" t="e">
        <f>SUM(BR299,BR306,BR316,BR318)</f>
        <v>#DIV/0!</v>
      </c>
      <c r="BS320" s="3" t="e">
        <f>SUM(BS299,BS306,BS316,BS318)</f>
        <v>#DIV/0!</v>
      </c>
      <c r="BT320" s="3" t="e">
        <f>SUM(BT299,BT306,BT316,BT318)</f>
        <v>#DIV/0!</v>
      </c>
      <c r="BU320" s="3" t="e">
        <f>SUM(BQ320:BT320)</f>
        <v>#DIV/0!</v>
      </c>
      <c r="BV320" s="3" t="e">
        <f>SUM(BV299,BV306,BV316,BV318)</f>
        <v>#DIV/0!</v>
      </c>
      <c r="BW320" s="3" t="e">
        <f>SUM(BW299,BW306,BW316,BW318)</f>
        <v>#DIV/0!</v>
      </c>
      <c r="BX320" s="3" t="e">
        <f>SUM(BX299,BX306,BX316,BX318)</f>
        <v>#DIV/0!</v>
      </c>
      <c r="BY320" s="3" t="e">
        <f>SUM(BY299,BY306,BY316,BY318)</f>
        <v>#DIV/0!</v>
      </c>
      <c r="BZ320" s="3" t="e">
        <f>SUM(BV320:BY320)</f>
        <v>#DIV/0!</v>
      </c>
      <c r="CA320" s="3" t="e">
        <f>SUM(CA299,CA306,CA316,CA318)</f>
        <v>#DIV/0!</v>
      </c>
      <c r="CB320" s="3" t="e">
        <f>SUM(CB299,CB306,CB316,CB318)</f>
        <v>#DIV/0!</v>
      </c>
      <c r="CC320" s="3" t="e">
        <f>SUM(CC299,CC306,CC316,CC318)</f>
        <v>#DIV/0!</v>
      </c>
      <c r="CD320" s="3" t="e">
        <f>SUM(CD299,CD306,CD316,CD318)</f>
        <v>#DIV/0!</v>
      </c>
      <c r="CE320" s="3" t="e">
        <f>SUM(CA320:CD320)</f>
        <v>#DIV/0!</v>
      </c>
      <c r="CF320" s="3" t="e">
        <f>SUM(CF299,CF306,CF316,CF318)</f>
        <v>#DIV/0!</v>
      </c>
      <c r="CG320" s="3" t="e">
        <f>SUM(CG299,CG306,CG316,CG318)</f>
        <v>#DIV/0!</v>
      </c>
      <c r="CH320" s="3" t="e">
        <f>SUM(CH299,CH306,CH316,CH318)</f>
        <v>#DIV/0!</v>
      </c>
      <c r="CI320" s="3" t="e">
        <f>SUM(CI299,CI306,CI316,CI318)</f>
        <v>#DIV/0!</v>
      </c>
      <c r="CJ320" s="3" t="e">
        <f>SUM(CF320:CI320)</f>
        <v>#DIV/0!</v>
      </c>
      <c r="CK320" s="3" t="e">
        <f>SUM(CK299,CK306,CK316,CK318)</f>
        <v>#DIV/0!</v>
      </c>
      <c r="CL320" s="3" t="e">
        <f>SUM(CL299,CL306,CL316,CL318)</f>
        <v>#DIV/0!</v>
      </c>
      <c r="CM320" s="3" t="e">
        <f>SUM(CM299,CM306,CM316,CM318)</f>
        <v>#DIV/0!</v>
      </c>
      <c r="CN320" s="3" t="e">
        <f>SUM(CN299,CN306,CN316,CN318)</f>
        <v>#DIV/0!</v>
      </c>
      <c r="CO320" s="3" t="e">
        <f>SUM(CK320:CN320)</f>
        <v>#DIV/0!</v>
      </c>
      <c r="CP320" s="3" t="e">
        <f>SUM(CP299,CP306,CP316,CP318)</f>
        <v>#DIV/0!</v>
      </c>
      <c r="CQ320" s="3" t="e">
        <f>SUM(CQ299,CQ306,CQ316,CQ318)</f>
        <v>#DIV/0!</v>
      </c>
      <c r="CR320" s="3" t="e">
        <f>SUM(CR299,CR306,CR316,CR318)</f>
        <v>#DIV/0!</v>
      </c>
      <c r="CS320" s="3" t="e">
        <f>SUM(CS299,CS306,CS316,CS318)</f>
        <v>#DIV/0!</v>
      </c>
      <c r="CT320" s="3" t="e">
        <f>SUM(CP320:CS320)</f>
        <v>#DIV/0!</v>
      </c>
      <c r="CU320" s="3" t="e">
        <f>SUM(CU299,CU306,CU316,CU318)</f>
        <v>#DIV/0!</v>
      </c>
      <c r="CV320" s="3" t="e">
        <f>SUM(CV299,CV306,CV316,CV318)</f>
        <v>#DIV/0!</v>
      </c>
      <c r="CW320" s="3" t="e">
        <f>SUM(CW299,CW306,CW316,CW318)</f>
        <v>#DIV/0!</v>
      </c>
      <c r="CX320" s="3" t="e">
        <f>SUM(CX299,CX306,CX316,CX318)</f>
        <v>#DIV/0!</v>
      </c>
      <c r="CY320" s="3" t="e">
        <f>SUM(CU320:CX320)</f>
        <v>#DIV/0!</v>
      </c>
    </row>
    <row r="321">
      <c r="C321" s="4" t="inlineStr">
        <is>
          <t>Check</t>
        </is>
      </c>
      <c r="E321" s="51">
        <f>(E320)-(E150-D150)</f>
        <v>1.32160948851379e-12</v>
      </c>
      <c r="F321" s="51">
        <f>(F320)-(F150-E150)</f>
        <v>-6.3593574850529e-13</v>
      </c>
      <c r="G321" s="51">
        <f>(G320)-(G150-F150)</f>
        <v>-3.41060513164848e-13</v>
      </c>
      <c r="I321" s="51">
        <f>(I320)-(I150-H150)</f>
        <v>-1.57064050654299e-09</v>
      </c>
      <c r="J321" s="51">
        <f>(J320)-(J150-I150)</f>
        <v>1.57034918402132e-09</v>
      </c>
      <c r="K321" s="51">
        <f>(K320)-(K150-J150)</f>
        <v>-3.12638803734444e-13</v>
      </c>
      <c r="L321" s="51">
        <f>(L320)-(L150-K150)</f>
        <v>7.67386154620908e-13</v>
      </c>
      <c r="N321" s="51">
        <f>(N320)-(N150-M150)</f>
        <v>-5.6843418860808e-13</v>
      </c>
      <c r="O321" s="51">
        <f>(O320)-(O150-N150)</f>
        <v>-4.90496177008026e-09</v>
      </c>
      <c r="P321" s="51">
        <f>(P320)-(P150-O150)</f>
        <v>1.49040033647907e-08</v>
      </c>
      <c r="Q321" s="51">
        <f>(Q320)-(Q150-P150)</f>
        <v>0.000378189398446693</v>
      </c>
      <c r="S321" s="51">
        <f>(S320)-(S150-R150)</f>
        <v>-0.000378199397225387</v>
      </c>
      <c r="T321" s="51">
        <f>(T320)-(T150-S150)</f>
        <v>-2.64037680608453e-11</v>
      </c>
      <c r="U321" s="51">
        <f>(U320)-(U150-T150)</f>
        <v>1.24344978758018e-12</v>
      </c>
      <c r="V321" s="51">
        <f>(V320)-(V150-U150)</f>
        <v>-0.000299999999484157</v>
      </c>
      <c r="X321" s="51">
        <f>(X320)-(X150-W150)</f>
        <v>0.000700000024750125</v>
      </c>
      <c r="Y321" s="51">
        <f>(Y320)-(Y150-X150)</f>
        <v>9.58699999671353e-05</v>
      </c>
      <c r="Z321" s="51">
        <f>(Z320)-(Z150-Y150)</f>
        <v>-0.000481160641157885</v>
      </c>
      <c r="AA321" s="51">
        <f>(AA320)-(AA150-Z150)</f>
        <v>-0.00021475148022887</v>
      </c>
      <c r="AC321" s="51">
        <f>(AC320)-(AC150-AB150)</f>
        <v>0.000200062121351152</v>
      </c>
      <c r="AD321" s="51">
        <f>(AD320)-(AD150-AC150)</f>
        <v>4.19999057754694e-07</v>
      </c>
      <c r="AE321" s="51">
        <f>(AE320)-(AE150-AD150)</f>
        <v>-4.39998629531146e-07</v>
      </c>
      <c r="AF321" s="51">
        <f>(AF320)-(AF150-AE150)</f>
        <v>2.37799966384955e-05</v>
      </c>
      <c r="AH321" s="51">
        <f>(AH320)-(AH150-AG150)</f>
        <v>0.000976590002949251</v>
      </c>
      <c r="AI321" s="51">
        <f>(AI320)-(AI150-AH150)</f>
        <v>-0.000999999998697376</v>
      </c>
      <c r="AJ321" s="51">
        <f>(AJ320)-(AJ150-AI150)</f>
        <v>0</v>
      </c>
      <c r="AK321" s="51">
        <f>(AK320)-(AK150-AJ150)</f>
        <v>-1.13686837721616e-13</v>
      </c>
      <c r="AM321" s="51" t="e">
        <f>(AM320)-(AM150-AL150)</f>
        <v>#DIV/0!</v>
      </c>
      <c r="AN321" s="51" t="e">
        <f>(AN320)-(AN150-AM150)</f>
        <v>#DIV/0!</v>
      </c>
      <c r="AO321" s="51" t="e">
        <f>(AO320)-(AO150-AN150)</f>
        <v>#DIV/0!</v>
      </c>
      <c r="AP321" s="51" t="e">
        <f>(AP320)-(AP150-AO150)</f>
        <v>#DIV/0!</v>
      </c>
      <c r="AR321" s="51" t="e">
        <f>(AR320)-(AR150-AQ150)</f>
        <v>#DIV/0!</v>
      </c>
      <c r="AS321" s="51" t="e">
        <f>(AS320)-(AS150-AR150)</f>
        <v>#DIV/0!</v>
      </c>
      <c r="AT321" s="51" t="e">
        <f>(AT320)-(AT150-AS150)</f>
        <v>#DIV/0!</v>
      </c>
      <c r="AU321" s="51" t="e">
        <f>(AU320)-(AU150-AT150)</f>
        <v>#DIV/0!</v>
      </c>
      <c r="AW321" s="51" t="e">
        <f>(AW320)-(AW150-AV150)</f>
        <v>#DIV/0!</v>
      </c>
      <c r="AX321" s="51" t="e">
        <f>(AX320)-(AX150-AW150)</f>
        <v>#DIV/0!</v>
      </c>
      <c r="AY321" s="51" t="e">
        <f>(AY320)-(AY150-AX150)</f>
        <v>#DIV/0!</v>
      </c>
      <c r="AZ321" s="51" t="e">
        <f>(AZ320)-(AZ150-AY150)</f>
        <v>#DIV/0!</v>
      </c>
      <c r="BB321" s="51" t="e">
        <f>(BB320)-(BB150-BA150)</f>
        <v>#DIV/0!</v>
      </c>
      <c r="BC321" s="51" t="e">
        <f>(BC320)-(BC150-BB150)</f>
        <v>#DIV/0!</v>
      </c>
      <c r="BD321" s="51" t="e">
        <f>(BD320)-(BD150-BC150)</f>
        <v>#DIV/0!</v>
      </c>
      <c r="BE321" s="51" t="e">
        <f>(BE320)-(BE150-BD150)</f>
        <v>#DIV/0!</v>
      </c>
      <c r="BG321" s="51" t="e">
        <f>(BG320)-(BG150-BF150)</f>
        <v>#DIV/0!</v>
      </c>
      <c r="BH321" s="51" t="e">
        <f>(BH320)-(BH150-BG150)</f>
        <v>#DIV/0!</v>
      </c>
      <c r="BI321" s="51" t="e">
        <f>(BI320)-(BI150-BH150)</f>
        <v>#DIV/0!</v>
      </c>
      <c r="BJ321" s="51" t="e">
        <f>(BJ320)-(BJ150-BI150)</f>
        <v>#DIV/0!</v>
      </c>
      <c r="BL321" s="51" t="e">
        <f>(BL320)-(BL150-BK150)</f>
        <v>#DIV/0!</v>
      </c>
      <c r="BM321" s="51" t="e">
        <f>(BM320)-(BM150-BL150)</f>
        <v>#DIV/0!</v>
      </c>
      <c r="BN321" s="51" t="e">
        <f>(BN320)-(BN150-BM150)</f>
        <v>#DIV/0!</v>
      </c>
      <c r="BO321" s="51" t="e">
        <f>(BO320)-(BO150-BN150)</f>
        <v>#DIV/0!</v>
      </c>
      <c r="BQ321" s="51" t="e">
        <f>(BQ320)-(BQ150-BP150)</f>
        <v>#DIV/0!</v>
      </c>
      <c r="BR321" s="51" t="e">
        <f>(BR320)-(BR150-BQ150)</f>
        <v>#DIV/0!</v>
      </c>
      <c r="BS321" s="51" t="e">
        <f>(BS320)-(BS150-BR150)</f>
        <v>#DIV/0!</v>
      </c>
      <c r="BT321" s="51" t="e">
        <f>(BT320)-(BT150-BS150)</f>
        <v>#DIV/0!</v>
      </c>
      <c r="BV321" s="51" t="e">
        <f>(BV320)-(BV150-BU150)</f>
        <v>#DIV/0!</v>
      </c>
      <c r="BW321" s="51" t="e">
        <f>(BW320)-(BW150-BV150)</f>
        <v>#DIV/0!</v>
      </c>
      <c r="BX321" s="51" t="e">
        <f>(BX320)-(BX150-BW150)</f>
        <v>#DIV/0!</v>
      </c>
      <c r="BY321" s="51" t="e">
        <f>(BY320)-(BY150-BX150)</f>
        <v>#DIV/0!</v>
      </c>
      <c r="CA321" s="51" t="e">
        <f>(CA320)-(CA150-BZ150)</f>
        <v>#DIV/0!</v>
      </c>
      <c r="CB321" s="51" t="e">
        <f>(CB320)-(CB150-CA150)</f>
        <v>#DIV/0!</v>
      </c>
      <c r="CC321" s="51" t="e">
        <f>(CC320)-(CC150-CB150)</f>
        <v>#DIV/0!</v>
      </c>
      <c r="CD321" s="51" t="e">
        <f>(CD320)-(CD150-CC150)</f>
        <v>#DIV/0!</v>
      </c>
      <c r="CF321" s="51" t="e">
        <f>(CF320)-(CF150-CE150)</f>
        <v>#DIV/0!</v>
      </c>
      <c r="CG321" s="51" t="e">
        <f>(CG320)-(CG150-CF150)</f>
        <v>#DIV/0!</v>
      </c>
      <c r="CH321" s="51" t="e">
        <f>(CH320)-(CH150-CG150)</f>
        <v>#DIV/0!</v>
      </c>
      <c r="CI321" s="51" t="e">
        <f>(CI320)-(CI150-CH150)</f>
        <v>#DIV/0!</v>
      </c>
      <c r="CK321" s="51" t="e">
        <f>(CK320)-(CK150-CJ150)</f>
        <v>#DIV/0!</v>
      </c>
      <c r="CL321" s="51" t="e">
        <f>(CL320)-(CL150-CK150)</f>
        <v>#DIV/0!</v>
      </c>
      <c r="CM321" s="51" t="e">
        <f>(CM320)-(CM150-CL150)</f>
        <v>#DIV/0!</v>
      </c>
      <c r="CN321" s="51" t="e">
        <f>(CN320)-(CN150-CM150)</f>
        <v>#DIV/0!</v>
      </c>
      <c r="CP321" s="51" t="e">
        <f>(CP320)-(CP150-CO150)</f>
        <v>#DIV/0!</v>
      </c>
      <c r="CQ321" s="51" t="e">
        <f>(CQ320)-(CQ150-CP150)</f>
        <v>#DIV/0!</v>
      </c>
      <c r="CR321" s="51" t="e">
        <f>(CR320)-(CR150-CQ150)</f>
        <v>#DIV/0!</v>
      </c>
      <c r="CS321" s="51" t="e">
        <f>(CS320)-(CS150-CR150)</f>
        <v>#DIV/0!</v>
      </c>
      <c r="CU321" s="51" t="e">
        <f>(CU320)-(CU150-CT150)</f>
        <v>#DIV/0!</v>
      </c>
      <c r="CV321" s="51" t="e">
        <f>(CV320)-(CV150-CU150)</f>
        <v>#DIV/0!</v>
      </c>
      <c r="CW321" s="51" t="e">
        <f>(CW320)-(CW150-CV150)</f>
        <v>#DIV/0!</v>
      </c>
      <c r="CX321" s="51" t="e">
        <f>(CX320)-(CX150-CW150)</f>
        <v>#DIV/0!</v>
      </c>
    </row>
    <row r="323">
      <c r="C323" s="53" t="inlineStr">
        <is>
          <t>Ratio Analysis</t>
        </is>
      </c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  <c r="AJ323" s="53" t="n"/>
      <c r="AK323" s="53" t="n"/>
      <c r="AL323" s="53" t="n"/>
      <c r="AM323" s="53" t="n"/>
      <c r="AN323" s="53" t="n"/>
      <c r="AO323" s="53" t="n"/>
      <c r="AP323" s="53" t="n"/>
      <c r="AQ323" s="53" t="n"/>
      <c r="AR323" s="53" t="n"/>
      <c r="AS323" s="53" t="n"/>
      <c r="AT323" s="53" t="n"/>
      <c r="AU323" s="53" t="n"/>
      <c r="AV323" s="53" t="n"/>
      <c r="AW323" s="53" t="n"/>
      <c r="AX323" s="53" t="n"/>
      <c r="AY323" s="53" t="n"/>
      <c r="AZ323" s="53" t="n"/>
      <c r="BA323" s="53" t="n"/>
      <c r="BB323" s="53" t="n"/>
      <c r="BC323" s="53" t="n"/>
      <c r="BD323" s="53" t="n"/>
      <c r="BE323" s="53" t="n"/>
      <c r="BF323" s="53" t="n"/>
      <c r="BG323" s="53" t="n"/>
      <c r="BH323" s="53" t="n"/>
      <c r="BI323" s="53" t="n"/>
      <c r="BJ323" s="53" t="n"/>
      <c r="BK323" s="53" t="n"/>
      <c r="BL323" s="53" t="n"/>
      <c r="BM323" s="53" t="n"/>
      <c r="BN323" s="53" t="n"/>
      <c r="BO323" s="53" t="n"/>
      <c r="BP323" s="53" t="n"/>
      <c r="BQ323" s="53" t="n"/>
      <c r="BR323" s="53" t="n"/>
      <c r="BS323" s="53" t="n"/>
      <c r="BT323" s="53" t="n"/>
      <c r="BU323" s="53" t="n"/>
      <c r="BV323" s="53" t="n"/>
      <c r="BW323" s="53" t="n"/>
      <c r="BX323" s="53" t="n"/>
      <c r="BY323" s="53" t="n"/>
      <c r="BZ323" s="53" t="n"/>
      <c r="CA323" s="53" t="n"/>
      <c r="CB323" s="53" t="n"/>
      <c r="CC323" s="53" t="n"/>
      <c r="CD323" s="53" t="n"/>
      <c r="CE323" s="53" t="n"/>
      <c r="CF323" s="53" t="n"/>
      <c r="CG323" s="53" t="n"/>
      <c r="CH323" s="53" t="n"/>
      <c r="CI323" s="53" t="n"/>
      <c r="CJ323" s="53" t="n"/>
      <c r="CK323" s="53" t="n"/>
      <c r="CL323" s="53" t="n"/>
      <c r="CM323" s="53" t="n"/>
      <c r="CN323" s="53" t="n"/>
      <c r="CO323" s="53" t="n"/>
      <c r="CP323" s="53" t="n"/>
      <c r="CQ323" s="53" t="n"/>
      <c r="CR323" s="53" t="n"/>
      <c r="CS323" s="53" t="n"/>
      <c r="CT323" s="53" t="n"/>
      <c r="CU323" s="53" t="n"/>
      <c r="CV323" s="53" t="n"/>
      <c r="CW323" s="53" t="n"/>
      <c r="CX323" s="53" t="n"/>
      <c r="CY323" s="53" t="n"/>
    </row>
    <row r="325" customFormat="1" s="234">
      <c r="C325" s="234" t="inlineStr">
        <is>
          <t>YEAR</t>
        </is>
      </c>
      <c r="D325" s="234" t="str">
        <f>D281</f>
        <v>1Q20</v>
      </c>
      <c r="E325" s="235" t="str">
        <f>E281</f>
        <v>2Q20</v>
      </c>
      <c r="F325" s="235" t="str">
        <f>F281</f>
        <v>3Q20</v>
      </c>
      <c r="G325" s="235" t="str">
        <f>G281</f>
        <v>4Q20</v>
      </c>
      <c r="H325" s="235">
        <f>H281</f>
        <v>2020</v>
      </c>
      <c r="I325" s="235" t="str">
        <f>I281</f>
        <v>1Q21</v>
      </c>
      <c r="J325" s="235" t="str">
        <f>J281</f>
        <v>2Q21</v>
      </c>
      <c r="K325" s="235" t="str">
        <f>K281</f>
        <v>3Q21</v>
      </c>
      <c r="L325" s="235" t="str">
        <f>L281</f>
        <v>4Q21</v>
      </c>
      <c r="M325" s="235">
        <f>M281</f>
        <v>2021</v>
      </c>
      <c r="N325" s="235" t="str">
        <f>N281</f>
        <v>1Q22</v>
      </c>
      <c r="O325" s="235" t="str">
        <f>O281</f>
        <v>2Q22</v>
      </c>
      <c r="P325" s="235" t="str">
        <f>P281</f>
        <v>3Q22</v>
      </c>
      <c r="Q325" s="235" t="str">
        <f>Q281</f>
        <v>4Q22</v>
      </c>
      <c r="R325" s="235">
        <f>R281</f>
        <v>2022</v>
      </c>
      <c r="S325" s="235" t="str">
        <f>S281</f>
        <v>1Q23</v>
      </c>
      <c r="T325" s="235" t="str">
        <f>T281</f>
        <v>2Q23</v>
      </c>
      <c r="U325" s="235" t="str">
        <f>U281</f>
        <v>3Q23</v>
      </c>
      <c r="V325" s="235" t="str">
        <f>V281</f>
        <v>4Q23</v>
      </c>
      <c r="W325" s="235">
        <f>W281</f>
        <v>2023</v>
      </c>
      <c r="X325" s="235" t="str">
        <f>X281</f>
        <v>1Q24</v>
      </c>
      <c r="Y325" s="235" t="str">
        <f>Y281</f>
        <v>2Q24</v>
      </c>
      <c r="Z325" s="235" t="str">
        <f>Z281</f>
        <v>3Q24</v>
      </c>
      <c r="AA325" s="235" t="str">
        <f>AA281</f>
        <v>4Q24</v>
      </c>
      <c r="AB325" s="235">
        <f>AB281</f>
        <v>2024</v>
      </c>
      <c r="AC325" s="235" t="str">
        <f>AC281</f>
        <v>1Q25</v>
      </c>
      <c r="AD325" s="235" t="str">
        <f>AD281</f>
        <v>2Q25</v>
      </c>
      <c r="AE325" s="235" t="str">
        <f>AE281</f>
        <v>3Q25</v>
      </c>
      <c r="AF325" s="235" t="str">
        <f>AF281</f>
        <v>4Q25</v>
      </c>
      <c r="AG325" s="235">
        <f>AG281</f>
        <v>2025</v>
      </c>
      <c r="AH325" s="235" t="str">
        <f>AH281</f>
        <v>1Q26</v>
      </c>
      <c r="AI325" s="235" t="str">
        <f>AI281</f>
        <v>2Q26</v>
      </c>
      <c r="AJ325" s="235" t="str">
        <f>AJ281</f>
        <v>3Q26</v>
      </c>
      <c r="AK325" s="235" t="str">
        <f>AK281</f>
        <v>4Q26</v>
      </c>
      <c r="AL325" s="235">
        <f>AL281</f>
        <v>2026</v>
      </c>
      <c r="AM325" s="235" t="str">
        <f>AM281</f>
        <v>1Q27</v>
      </c>
      <c r="AN325" s="235" t="str">
        <f>AN281</f>
        <v>2Q27</v>
      </c>
      <c r="AO325" s="235" t="str">
        <f>AO281</f>
        <v>3Q27</v>
      </c>
      <c r="AP325" s="235" t="str">
        <f>AP281</f>
        <v>4Q27</v>
      </c>
      <c r="AQ325" s="235">
        <f>AQ281</f>
        <v>2027</v>
      </c>
      <c r="AR325" s="235" t="str">
        <f>AR281</f>
        <v>1Q28</v>
      </c>
      <c r="AS325" s="235" t="str">
        <f>AS281</f>
        <v>2Q28</v>
      </c>
      <c r="AT325" s="235" t="str">
        <f>AT281</f>
        <v>3Q28</v>
      </c>
      <c r="AU325" s="235" t="str">
        <f>AU281</f>
        <v>4Q28</v>
      </c>
      <c r="AV325" s="235">
        <f>AV281</f>
        <v>2028</v>
      </c>
      <c r="AW325" s="235" t="str">
        <f>AW281</f>
        <v>1Q29</v>
      </c>
      <c r="AX325" s="235" t="str">
        <f>AX281</f>
        <v>2Q29</v>
      </c>
      <c r="AY325" s="235" t="str">
        <f>AY281</f>
        <v>3Q29</v>
      </c>
      <c r="AZ325" s="235" t="str">
        <f>AZ281</f>
        <v>4Q29</v>
      </c>
      <c r="BA325" s="235">
        <f>BA281</f>
        <v>2029</v>
      </c>
      <c r="BB325" s="235" t="str">
        <f>BB281</f>
        <v>1Q30</v>
      </c>
      <c r="BC325" s="235" t="str">
        <f>BC281</f>
        <v>2Q30</v>
      </c>
      <c r="BD325" s="235" t="str">
        <f>BD281</f>
        <v>3Q30</v>
      </c>
      <c r="BE325" s="235" t="str">
        <f>BE281</f>
        <v>4Q30</v>
      </c>
      <c r="BF325" s="235">
        <f>BF281</f>
        <v>2030</v>
      </c>
      <c r="BG325" s="235" t="str">
        <f>BG281</f>
        <v>1Q31</v>
      </c>
      <c r="BH325" s="235" t="str">
        <f>BH281</f>
        <v>2Q31</v>
      </c>
      <c r="BI325" s="235" t="str">
        <f>BI281</f>
        <v>3Q31</v>
      </c>
      <c r="BJ325" s="235" t="str">
        <f>BJ281</f>
        <v>4Q31</v>
      </c>
      <c r="BK325" s="235">
        <f>BK281</f>
        <v>2031</v>
      </c>
      <c r="BL325" s="235" t="str">
        <f>BL281</f>
        <v>1Q32</v>
      </c>
      <c r="BM325" s="235" t="str">
        <f>BM281</f>
        <v>2Q32</v>
      </c>
      <c r="BN325" s="235" t="str">
        <f>BN281</f>
        <v>3Q32</v>
      </c>
      <c r="BO325" s="235" t="str">
        <f>BO281</f>
        <v>4Q32</v>
      </c>
      <c r="BP325" s="235">
        <f>BP281</f>
        <v>2032</v>
      </c>
      <c r="BQ325" s="235" t="str">
        <f>BQ281</f>
        <v>1Q33</v>
      </c>
      <c r="BR325" s="235" t="str">
        <f>BR281</f>
        <v>2Q33</v>
      </c>
      <c r="BS325" s="235" t="str">
        <f>BS281</f>
        <v>3Q33</v>
      </c>
      <c r="BT325" s="235" t="str">
        <f>BT281</f>
        <v>4Q33</v>
      </c>
      <c r="BU325" s="235">
        <f>BU281</f>
        <v>2033</v>
      </c>
      <c r="BV325" s="235" t="str">
        <f>BV281</f>
        <v>1Q34</v>
      </c>
      <c r="BW325" s="235" t="str">
        <f>BW281</f>
        <v>2Q34</v>
      </c>
      <c r="BX325" s="235" t="str">
        <f>BX281</f>
        <v>3Q34</v>
      </c>
      <c r="BY325" s="235" t="str">
        <f>BY281</f>
        <v>4Q34</v>
      </c>
      <c r="BZ325" s="235">
        <f>BZ281</f>
        <v>2034</v>
      </c>
      <c r="CA325" s="235" t="str">
        <f>CA281</f>
        <v>1Q35</v>
      </c>
      <c r="CB325" s="235" t="str">
        <f>CB281</f>
        <v>2Q35</v>
      </c>
      <c r="CC325" s="235" t="str">
        <f>CC281</f>
        <v>3Q35</v>
      </c>
      <c r="CD325" s="235" t="str">
        <f>CD281</f>
        <v>4Q35</v>
      </c>
      <c r="CE325" s="235">
        <f>CE281</f>
        <v>2035</v>
      </c>
      <c r="CF325" s="235" t="str">
        <f>CF281</f>
        <v>1Q36</v>
      </c>
      <c r="CG325" s="235" t="str">
        <f>CG281</f>
        <v>2Q36</v>
      </c>
      <c r="CH325" s="235" t="str">
        <f>CH281</f>
        <v>3Q36</v>
      </c>
      <c r="CI325" s="235" t="str">
        <f>CI281</f>
        <v>4Q36</v>
      </c>
      <c r="CJ325" s="235">
        <f>CJ281</f>
        <v>2036</v>
      </c>
      <c r="CK325" s="235" t="str">
        <f>CK281</f>
        <v>1Q37</v>
      </c>
      <c r="CL325" s="235" t="str">
        <f>CL281</f>
        <v>2Q37</v>
      </c>
      <c r="CM325" s="235" t="str">
        <f>CM281</f>
        <v>3Q37</v>
      </c>
      <c r="CN325" s="235" t="str">
        <f>CN281</f>
        <v>4Q37</v>
      </c>
      <c r="CO325" s="235">
        <f>CO281</f>
        <v>2037</v>
      </c>
      <c r="CP325" s="235" t="str">
        <f>CP281</f>
        <v>1Q38</v>
      </c>
      <c r="CQ325" s="235" t="str">
        <f>CQ281</f>
        <v>2Q38</v>
      </c>
      <c r="CR325" s="235" t="str">
        <f>CR281</f>
        <v>3Q38</v>
      </c>
      <c r="CS325" s="235" t="str">
        <f>CS281</f>
        <v>4Q38</v>
      </c>
      <c r="CT325" s="235">
        <f>CT281</f>
        <v>2038</v>
      </c>
      <c r="CU325" s="235" t="str">
        <f>CU281</f>
        <v>1Q39</v>
      </c>
      <c r="CV325" s="235" t="str">
        <f>CV281</f>
        <v>2Q39</v>
      </c>
      <c r="CW325" s="235" t="str">
        <f>CW281</f>
        <v>3Q39</v>
      </c>
      <c r="CX325" s="235" t="str">
        <f>CX281</f>
        <v>4Q39</v>
      </c>
      <c r="CY325" s="235">
        <f>CY281</f>
        <v>2039</v>
      </c>
    </row>
    <row r="326" customFormat="1" s="233">
      <c r="A326" s="224" t="n"/>
      <c r="B326" s="224" t="n"/>
      <c r="C326" s="234" t="inlineStr">
        <is>
          <t>GROWTH &amp; MARGINS</t>
        </is>
      </c>
    </row>
    <row r="327" customFormat="1" s="233">
      <c r="A327" s="224" t="n"/>
      <c r="B327" s="224" t="n"/>
      <c r="C327" s="233" t="inlineStr">
        <is>
          <t>NET REVENUE GROWTH</t>
        </is>
      </c>
      <c r="E327" s="236">
        <f>E15/D15-1</f>
        <v>-0.332532115516568</v>
      </c>
      <c r="F327" s="236">
        <f>F15/E15-1</f>
        <v>0.762594263988707</v>
      </c>
      <c r="G327" s="236">
        <f>G15/F15-1</f>
        <v>0.900195116095137</v>
      </c>
      <c r="H327" s="236" t="n"/>
      <c r="I327" s="220">
        <f>I15/H15-1</f>
        <v>-0.792152500875484</v>
      </c>
      <c r="J327" s="220">
        <f>J15/I15-1</f>
        <v>0.662586806259063</v>
      </c>
      <c r="K327" s="220">
        <f>K15/J15-1</f>
        <v>-0.068454246642943</v>
      </c>
      <c r="L327" s="220">
        <f>L15/K15-1</f>
        <v>0.629366507289559</v>
      </c>
      <c r="M327" s="236" t="n"/>
      <c r="N327" s="220">
        <f>N15/M15-1</f>
        <v>-0.769894459964197</v>
      </c>
      <c r="O327" s="220">
        <f>O15/N15-1</f>
        <v>0.391100095035463</v>
      </c>
      <c r="P327" s="220">
        <f>P15/O15-1</f>
        <v>-0.163007911197678</v>
      </c>
      <c r="Q327" s="220">
        <f>Q15/P15-1</f>
        <v>0.639309687014848</v>
      </c>
      <c r="R327" s="236" t="n"/>
      <c r="S327" s="220">
        <f>S15/R15-1</f>
        <v>-0.787590094653793</v>
      </c>
      <c r="T327" s="220">
        <f>T15/S15-1</f>
        <v>0.429698146659206</v>
      </c>
      <c r="U327" s="220">
        <f>U15/T15-1</f>
        <v>-0.183241496402538</v>
      </c>
      <c r="V327" s="220">
        <f>V15/U15-1</f>
        <v>0.701528807101571</v>
      </c>
      <c r="W327" s="236" t="n"/>
      <c r="X327" s="220">
        <f>X15/W15-1</f>
        <v>-0.796709827088763</v>
      </c>
      <c r="Y327" s="220">
        <f>Y15/X15-1</f>
        <v>0.476239560047174</v>
      </c>
      <c r="Z327" s="220">
        <f>Z15/Y15-1</f>
        <v>-0.142342508238874</v>
      </c>
      <c r="AA327" s="220">
        <f>AA15/Z15-1</f>
        <v>0.622494047558422</v>
      </c>
      <c r="AB327" s="236" t="n"/>
      <c r="AC327" s="220">
        <f>AC15/AB15-1</f>
        <v>-0.791595989104201</v>
      </c>
      <c r="AD327" s="220">
        <f>AD15/AC15-1</f>
        <v>0.416959100487481</v>
      </c>
      <c r="AE327" s="220">
        <f>AE15/AD15-1</f>
        <v>-0.126828066043872</v>
      </c>
      <c r="AF327" s="220">
        <f>AF15/AE15-1</f>
        <v>0.601163700325971</v>
      </c>
      <c r="AG327" s="236" t="n"/>
      <c r="AH327" s="220">
        <f>AH15/AG15-1</f>
        <v>-0.803239346866938</v>
      </c>
      <c r="AI327" s="220">
        <f>AI15/AH15-1</f>
        <v>0.399015810287791</v>
      </c>
      <c r="AJ327" s="220">
        <f>AJ15/AI15-1</f>
        <v>-0.202403353000912</v>
      </c>
      <c r="AK327" s="220">
        <f>AK15/AJ15-1</f>
        <v>0.601163700325971</v>
      </c>
      <c r="AL327" s="236" t="n"/>
      <c r="AM327" s="220">
        <f>AM15/AL15-1</f>
        <v>-0.811375034435975</v>
      </c>
      <c r="AN327" s="220">
        <f>AN15/AM15-1</f>
        <v>0.399015810287791</v>
      </c>
      <c r="AO327" s="220">
        <f>AO15/AN15-1</f>
        <v>-0.202403353000912</v>
      </c>
      <c r="AP327" s="220">
        <f>AP15/AO15-1</f>
        <v>0.601163700325971</v>
      </c>
      <c r="AQ327" s="236" t="n"/>
      <c r="AR327" s="220">
        <f>AR15/AQ15-1</f>
        <v>-0.811375034435975</v>
      </c>
      <c r="AS327" s="220">
        <f>AS15/AR15-1</f>
        <v>0.399015810287791</v>
      </c>
      <c r="AT327" s="220">
        <f>AT15/AS15-1</f>
        <v>-0.202403353000912</v>
      </c>
      <c r="AU327" s="220">
        <f>AU15/AT15-1</f>
        <v>0.601163700325971</v>
      </c>
      <c r="AV327" s="236" t="n"/>
      <c r="AW327" s="220">
        <f>AW15/AV15-1</f>
        <v>-0.811375034435975</v>
      </c>
      <c r="AX327" s="220">
        <f>AX15/AW15-1</f>
        <v>0.399015810287791</v>
      </c>
      <c r="AY327" s="220">
        <f>AY15/AX15-1</f>
        <v>-0.202403353000912</v>
      </c>
      <c r="AZ327" s="220">
        <f>AZ15/AY15-1</f>
        <v>0.601163700325971</v>
      </c>
      <c r="BA327" s="236" t="n"/>
      <c r="BB327" s="220">
        <f>BB15/BA15-1</f>
        <v>-0.811375034435975</v>
      </c>
      <c r="BC327" s="220">
        <f>BC15/BB15-1</f>
        <v>0.399015810287791</v>
      </c>
      <c r="BD327" s="220">
        <f>BD15/BC15-1</f>
        <v>-0.202403353000912</v>
      </c>
      <c r="BE327" s="220">
        <f>BE15/BD15-1</f>
        <v>0.601163700325971</v>
      </c>
      <c r="BF327" s="236" t="n"/>
      <c r="BG327" s="220">
        <f>BG15/BF15-1</f>
        <v>-0.811375034435975</v>
      </c>
      <c r="BH327" s="220">
        <f>BH15/BG15-1</f>
        <v>0.399015810287791</v>
      </c>
      <c r="BI327" s="220">
        <f>BI15/BH15-1</f>
        <v>-0.202403353000912</v>
      </c>
      <c r="BJ327" s="220">
        <f>BJ15/BI15-1</f>
        <v>0.601163700325971</v>
      </c>
      <c r="BK327" s="236" t="n"/>
      <c r="BL327" s="220">
        <f>BL15/BK15-1</f>
        <v>-0.811375034435975</v>
      </c>
      <c r="BM327" s="220">
        <f>BM15/BL15-1</f>
        <v>0.399015810287791</v>
      </c>
      <c r="BN327" s="220">
        <f>BN15/BM15-1</f>
        <v>-0.202403353000912</v>
      </c>
      <c r="BO327" s="220">
        <f>BO15/BN15-1</f>
        <v>0.601163700325971</v>
      </c>
      <c r="BP327" s="236" t="n"/>
      <c r="BQ327" s="220">
        <f>BQ15/BP15-1</f>
        <v>-0.811375034435975</v>
      </c>
      <c r="BR327" s="220">
        <f>BR15/BQ15-1</f>
        <v>0.399015810287791</v>
      </c>
      <c r="BS327" s="220">
        <f>BS15/BR15-1</f>
        <v>-0.202403353000912</v>
      </c>
      <c r="BT327" s="220">
        <f>BT15/BS15-1</f>
        <v>0.601163700325971</v>
      </c>
      <c r="BU327" s="236" t="n"/>
      <c r="BV327" s="220">
        <f>BV15/BU15-1</f>
        <v>-0.811375034435975</v>
      </c>
      <c r="BW327" s="220">
        <f>BW15/BV15-1</f>
        <v>0.399015810287791</v>
      </c>
      <c r="BX327" s="220">
        <f>BX15/BW15-1</f>
        <v>-0.202403353000912</v>
      </c>
      <c r="BY327" s="220">
        <f>BY15/BX15-1</f>
        <v>0.601163700325971</v>
      </c>
      <c r="BZ327" s="236" t="n"/>
      <c r="CA327" s="220">
        <f>CA15/BZ15-1</f>
        <v>-0.811375034435975</v>
      </c>
      <c r="CB327" s="220">
        <f>CB15/CA15-1</f>
        <v>0.399015810287791</v>
      </c>
      <c r="CC327" s="220">
        <f>CC15/CB15-1</f>
        <v>-0.202403353000912</v>
      </c>
      <c r="CD327" s="220">
        <f>CD15/CC15-1</f>
        <v>0.601163700325971</v>
      </c>
      <c r="CE327" s="236" t="n"/>
      <c r="CF327" s="220">
        <f>CF15/CE15-1</f>
        <v>-0.811375034435975</v>
      </c>
      <c r="CG327" s="220">
        <f>CG15/CF15-1</f>
        <v>0.399015810287791</v>
      </c>
      <c r="CH327" s="220">
        <f>CH15/CG15-1</f>
        <v>-0.202403353000912</v>
      </c>
      <c r="CI327" s="220">
        <f>CI15/CH15-1</f>
        <v>0.601163700325971</v>
      </c>
      <c r="CJ327" s="236" t="n"/>
      <c r="CK327" s="220">
        <f>CK15/CJ15-1</f>
        <v>-0.811375034435975</v>
      </c>
      <c r="CL327" s="220">
        <f>CL15/CK15-1</f>
        <v>0.399015810287791</v>
      </c>
      <c r="CM327" s="220">
        <f>CM15/CL15-1</f>
        <v>-0.202403353000912</v>
      </c>
      <c r="CN327" s="220">
        <f>CN15/CM15-1</f>
        <v>0.601163700325971</v>
      </c>
      <c r="CO327" s="236" t="n"/>
      <c r="CP327" s="220">
        <f>CP15/CO15-1</f>
        <v>-0.811375034435975</v>
      </c>
      <c r="CQ327" s="220">
        <f>CQ15/CP15-1</f>
        <v>0.399015810287791</v>
      </c>
      <c r="CR327" s="220">
        <f>CR15/CQ15-1</f>
        <v>-0.202403353000912</v>
      </c>
      <c r="CS327" s="220">
        <f>CS15/CR15-1</f>
        <v>0.601163700325971</v>
      </c>
      <c r="CT327" s="236" t="n"/>
      <c r="CU327" s="220">
        <f>CU15/CT15-1</f>
        <v>-0.811375034435975</v>
      </c>
      <c r="CV327" s="220">
        <f>CV15/CU15-1</f>
        <v>0.399015810287791</v>
      </c>
      <c r="CW327" s="220">
        <f>CW15/CV15-1</f>
        <v>-0.202403353000912</v>
      </c>
      <c r="CX327" s="220">
        <f>CX15/CW15-1</f>
        <v>0.601163700325971</v>
      </c>
      <c r="CY327" s="236" t="n"/>
    </row>
    <row r="328" customFormat="1" s="233">
      <c r="A328" s="224" t="n"/>
      <c r="B328" s="224" t="n"/>
      <c r="C328" s="233" t="inlineStr">
        <is>
          <t>GROSS MARGIN</t>
        </is>
      </c>
      <c r="D328" s="220">
        <f>SUM(D15,D60)/D15</f>
        <v>0.633323963295209</v>
      </c>
      <c r="E328" s="220">
        <f>SUM(E15,E60)/E15</f>
        <v>0.659118862013337</v>
      </c>
      <c r="F328" s="220">
        <f>SUM(F15,F60)/F15</f>
        <v>0.677323618891088</v>
      </c>
      <c r="G328" s="220">
        <f>SUM(G15,G60)/G15</f>
        <v>0.675198954785158</v>
      </c>
      <c r="I328" s="221">
        <f>SUM(I15,I60)/I15</f>
        <v>0.658644737454067</v>
      </c>
      <c r="J328" s="221">
        <f>SUM(J15,J60)/J15</f>
        <v>0.682355797320013</v>
      </c>
      <c r="K328" s="221">
        <f>SUM(K15,K60)/K15</f>
        <v>0.679801246412765</v>
      </c>
      <c r="L328" s="221">
        <f>SUM(L15,L60)/L15</f>
        <v>0.68260477105194</v>
      </c>
      <c r="N328" s="221">
        <f>SUM(N15,N60)/N15</f>
        <v>0.679333461206864</v>
      </c>
      <c r="O328" s="221">
        <f>SUM(O15,O60)/O15</f>
        <v>0.678542536320004</v>
      </c>
      <c r="P328" s="221">
        <f>SUM(P15,P60)/P15</f>
        <v>0.688209407775223</v>
      </c>
      <c r="Q328" s="221">
        <f>SUM(Q15,Q60)/Q15</f>
        <v>0.710671722733905</v>
      </c>
      <c r="S328" s="221">
        <f>SUM(S15,S60)/S15</f>
        <v>0.700184715706545</v>
      </c>
      <c r="T328" s="221">
        <f>SUM(T15,T60)/T15</f>
        <v>0.699770959309195</v>
      </c>
      <c r="U328" s="221">
        <f>SUM(U15,U60)/U15</f>
        <v>0.67968619370134</v>
      </c>
      <c r="V328" s="221">
        <f>SUM(V15,V60)/V15</f>
        <v>0.701945662205865</v>
      </c>
      <c r="X328" s="221">
        <f>SUM(X15,X60)/X15</f>
        <v>0.688546418761058</v>
      </c>
      <c r="Y328" s="221">
        <f>SUM(Y15,Y60)/Y15</f>
        <v>0.693176587422642</v>
      </c>
      <c r="Z328" s="221">
        <f>SUM(Z15,Z60)/Z15</f>
        <v>0.674903097155904</v>
      </c>
      <c r="AA328" s="221">
        <f>SUM(AA15,AA60)/AA15</f>
        <v>0.738415952105793</v>
      </c>
      <c r="AC328" s="221">
        <f>SUM(AC15,AC60)/AC15</f>
        <v>0.679532173387663</v>
      </c>
      <c r="AD328" s="221">
        <f>SUM(AD15,AD60)/AD15</f>
        <v>0.723698127937005</v>
      </c>
      <c r="AE328" s="221">
        <f>SUM(AE15,AE60)/AE15</f>
        <v>0.71412393489249</v>
      </c>
      <c r="AF328" s="221">
        <f>SUM(AF15,AF60)/AF15</f>
        <v>0.673413419704773</v>
      </c>
      <c r="AH328" s="221">
        <f>SUM(AH15,AH60)/AH15</f>
        <v>0.699408363445801</v>
      </c>
      <c r="AI328" s="221">
        <f>SUM(AI15,AI60)/AI15</f>
        <v>0.719070709692681</v>
      </c>
      <c r="AJ328" s="221">
        <f>SUM(AJ15,AJ60)/AJ15</f>
        <v>0</v>
      </c>
      <c r="AK328" s="221">
        <f>SUM(AK15,AK60)/AK15</f>
        <v>0</v>
      </c>
      <c r="AM328" s="221">
        <f>SUM(AM15,AM60)/AM15</f>
        <v>0</v>
      </c>
      <c r="AN328" s="221">
        <f>SUM(AN15,AN60)/AN15</f>
        <v>0</v>
      </c>
      <c r="AO328" s="221">
        <f>SUM(AO15,AO60)/AO15</f>
        <v>0</v>
      </c>
      <c r="AP328" s="221">
        <f>SUM(AP15,AP60)/AP15</f>
        <v>0</v>
      </c>
      <c r="AR328" s="221">
        <f>SUM(AR15,AR60)/AR15</f>
        <v>0</v>
      </c>
      <c r="AS328" s="221">
        <f>SUM(AS15,AS60)/AS15</f>
        <v>0</v>
      </c>
      <c r="AT328" s="221">
        <f>SUM(AT15,AT60)/AT15</f>
        <v>0</v>
      </c>
      <c r="AU328" s="221">
        <f>SUM(AU15,AU60)/AU15</f>
        <v>0</v>
      </c>
      <c r="AW328" s="221">
        <f>SUM(AW15,AW60)/AW15</f>
        <v>0</v>
      </c>
      <c r="AX328" s="221">
        <f>SUM(AX15,AX60)/AX15</f>
        <v>0</v>
      </c>
      <c r="AY328" s="221">
        <f>SUM(AY15,AY60)/AY15</f>
        <v>0</v>
      </c>
      <c r="AZ328" s="221">
        <f>SUM(AZ15,AZ60)/AZ15</f>
        <v>0</v>
      </c>
      <c r="BB328" s="221">
        <f>SUM(BB15,BB60)/BB15</f>
        <v>0</v>
      </c>
      <c r="BC328" s="221">
        <f>SUM(BC15,BC60)/BC15</f>
        <v>0</v>
      </c>
      <c r="BD328" s="221">
        <f>SUM(BD15,BD60)/BD15</f>
        <v>0</v>
      </c>
      <c r="BE328" s="221">
        <f>SUM(BE15,BE60)/BE15</f>
        <v>0</v>
      </c>
      <c r="BG328" s="221">
        <f>SUM(BG15,BG60)/BG15</f>
        <v>0</v>
      </c>
      <c r="BH328" s="221">
        <f>SUM(BH15,BH60)/BH15</f>
        <v>0</v>
      </c>
      <c r="BI328" s="221">
        <f>SUM(BI15,BI60)/BI15</f>
        <v>0</v>
      </c>
      <c r="BJ328" s="221">
        <f>SUM(BJ15,BJ60)/BJ15</f>
        <v>0</v>
      </c>
      <c r="BL328" s="221">
        <f>SUM(BL15,BL60)/BL15</f>
        <v>0</v>
      </c>
      <c r="BM328" s="221">
        <f>SUM(BM15,BM60)/BM15</f>
        <v>0</v>
      </c>
      <c r="BN328" s="221">
        <f>SUM(BN15,BN60)/BN15</f>
        <v>0</v>
      </c>
      <c r="BO328" s="221">
        <f>SUM(BO15,BO60)/BO15</f>
        <v>0</v>
      </c>
      <c r="BQ328" s="221">
        <f>SUM(BQ15,BQ60)/BQ15</f>
        <v>0</v>
      </c>
      <c r="BR328" s="221">
        <f>SUM(BR15,BR60)/BR15</f>
        <v>0</v>
      </c>
      <c r="BS328" s="221">
        <f>SUM(BS15,BS60)/BS15</f>
        <v>0</v>
      </c>
      <c r="BT328" s="221">
        <f>SUM(BT15,BT60)/BT15</f>
        <v>0</v>
      </c>
      <c r="BV328" s="221">
        <f>SUM(BV15,BV60)/BV15</f>
        <v>0</v>
      </c>
      <c r="BW328" s="221">
        <f>SUM(BW15,BW60)/BW15</f>
        <v>0</v>
      </c>
      <c r="BX328" s="221">
        <f>SUM(BX15,BX60)/BX15</f>
        <v>0</v>
      </c>
      <c r="BY328" s="221">
        <f>SUM(BY15,BY60)/BY15</f>
        <v>0</v>
      </c>
      <c r="CA328" s="221">
        <f>SUM(CA15,CA60)/CA15</f>
        <v>0</v>
      </c>
      <c r="CB328" s="221">
        <f>SUM(CB15,CB60)/CB15</f>
        <v>0</v>
      </c>
      <c r="CC328" s="221">
        <f>SUM(CC15,CC60)/CC15</f>
        <v>0</v>
      </c>
      <c r="CD328" s="221">
        <f>SUM(CD15,CD60)/CD15</f>
        <v>0</v>
      </c>
      <c r="CF328" s="221">
        <f>SUM(CF15,CF60)/CF15</f>
        <v>0</v>
      </c>
      <c r="CG328" s="221">
        <f>SUM(CG15,CG60)/CG15</f>
        <v>0</v>
      </c>
      <c r="CH328" s="221">
        <f>SUM(CH15,CH60)/CH15</f>
        <v>0</v>
      </c>
      <c r="CI328" s="221">
        <f>SUM(CI15,CI60)/CI15</f>
        <v>0</v>
      </c>
      <c r="CK328" s="221">
        <f>SUM(CK15,CK60)/CK15</f>
        <v>0</v>
      </c>
      <c r="CL328" s="221">
        <f>SUM(CL15,CL60)/CL15</f>
        <v>0</v>
      </c>
      <c r="CM328" s="221">
        <f>SUM(CM15,CM60)/CM15</f>
        <v>0</v>
      </c>
      <c r="CN328" s="221">
        <f>SUM(CN15,CN60)/CN15</f>
        <v>0</v>
      </c>
      <c r="CP328" s="221">
        <f>SUM(CP15,CP60)/CP15</f>
        <v>0</v>
      </c>
      <c r="CQ328" s="221">
        <f>SUM(CQ15,CQ60)/CQ15</f>
        <v>0</v>
      </c>
      <c r="CR328" s="221">
        <f>SUM(CR15,CR60)/CR15</f>
        <v>0</v>
      </c>
      <c r="CS328" s="221">
        <f>SUM(CS15,CS60)/CS15</f>
        <v>0</v>
      </c>
      <c r="CU328" s="221">
        <f>SUM(CU15,CU60)/CU15</f>
        <v>0</v>
      </c>
      <c r="CV328" s="221">
        <f>SUM(CV15,CV60)/CV15</f>
        <v>0</v>
      </c>
      <c r="CW328" s="221">
        <f>SUM(CW15,CW60)/CW15</f>
        <v>0</v>
      </c>
      <c r="CX328" s="221">
        <f>SUM(CX15,CX60)/CX15</f>
        <v>0</v>
      </c>
    </row>
    <row r="329" customFormat="1" s="233">
      <c r="A329" s="224" t="n"/>
      <c r="B329" s="224" t="n"/>
      <c r="C329" s="233" t="inlineStr">
        <is>
          <t>EBIT MARGIN</t>
        </is>
      </c>
      <c r="D329" s="236">
        <f>(D79/D15)</f>
        <v>0.101559985317001</v>
      </c>
      <c r="E329" s="236">
        <f>(E79/E15)</f>
        <v>-0.0331144777351801</v>
      </c>
      <c r="F329" s="236">
        <f>(F79/F15)</f>
        <v>0.174650167009354</v>
      </c>
      <c r="G329" s="236">
        <f>(G79/G15)</f>
        <v>0.267395664154796</v>
      </c>
      <c r="I329" s="222">
        <f>(I79/I15)</f>
        <v>0.0415875929780402</v>
      </c>
      <c r="J329" s="222">
        <f>(J79/J15)</f>
        <v>0.241023736318078</v>
      </c>
      <c r="K329" s="222">
        <f>(K79/K15)</f>
        <v>0.195971438629888</v>
      </c>
      <c r="L329" s="222">
        <f>(L79/L15)</f>
        <v>0.240784094243428</v>
      </c>
      <c r="N329" s="222">
        <f>(N79/N15)</f>
        <v>0.131885774789138</v>
      </c>
      <c r="O329" s="222">
        <f>(O79/O15)</f>
        <v>0.188511076218238</v>
      </c>
      <c r="P329" s="222">
        <f>(P79/P15)</f>
        <v>0.160731003976139</v>
      </c>
      <c r="Q329" s="222">
        <f>(Q79/Q15)</f>
        <v>0.279853547286842</v>
      </c>
      <c r="S329" s="222">
        <f>(S79/S15)</f>
        <v>0.12316301545924</v>
      </c>
      <c r="T329" s="222">
        <f>(T79/T15)</f>
        <v>0.225457400808847</v>
      </c>
      <c r="U329" s="222">
        <f>(U79/U15)</f>
        <v>0.190720664279857</v>
      </c>
      <c r="V329" s="222">
        <f>(V79/V15)</f>
        <v>0.242836639186387</v>
      </c>
      <c r="X329" s="222">
        <f>(X79/X15)</f>
        <v>0.0929983910311504</v>
      </c>
      <c r="Y329" s="222">
        <f>(Y79/Y15)</f>
        <v>0.341142925244229</v>
      </c>
      <c r="Z329" s="222">
        <f>(Z79/Z15)</f>
        <v>0.188751606576856</v>
      </c>
      <c r="AA329" s="222">
        <f>(AA79/AA15)</f>
        <v>0.341718440064695</v>
      </c>
      <c r="AC329" s="222">
        <f>(AC79/AC15)</f>
        <v>0.168357603381459</v>
      </c>
      <c r="AD329" s="222">
        <f>(AD79/AD15)</f>
        <v>0.247849703267213</v>
      </c>
      <c r="AE329" s="222">
        <f>(AE79/AE15)</f>
        <v>0.306756602416669</v>
      </c>
      <c r="AF329" s="222">
        <f>(AF79/AF15)</f>
        <v>0.228804238098961</v>
      </c>
      <c r="AH329" s="222">
        <f>(AH79/AH15)</f>
        <v>0.151756613917866</v>
      </c>
      <c r="AI329" s="222">
        <f>(AI79/AI15)</f>
        <v>0.239882806966033</v>
      </c>
      <c r="AJ329" s="222">
        <f>(AJ79/AJ15)</f>
        <v>0</v>
      </c>
      <c r="AK329" s="222">
        <f>(AK79/AK15)</f>
        <v>0</v>
      </c>
      <c r="AM329" s="222">
        <f>(AM79/AM15)</f>
        <v>0</v>
      </c>
      <c r="AN329" s="222">
        <f>(AN79/AN15)</f>
        <v>0</v>
      </c>
      <c r="AO329" s="222">
        <f>(AO79/AO15)</f>
        <v>0</v>
      </c>
      <c r="AP329" s="222">
        <f>(AP79/AP15)</f>
        <v>0</v>
      </c>
      <c r="AR329" s="222">
        <f>(AR79/AR15)</f>
        <v>0</v>
      </c>
      <c r="AS329" s="222">
        <f>(AS79/AS15)</f>
        <v>0</v>
      </c>
      <c r="AT329" s="222">
        <f>(AT79/AT15)</f>
        <v>0</v>
      </c>
      <c r="AU329" s="222">
        <f>(AU79/AU15)</f>
        <v>0</v>
      </c>
      <c r="AW329" s="222">
        <f>(AW79/AW15)</f>
        <v>0</v>
      </c>
      <c r="AX329" s="222">
        <f>(AX79/AX15)</f>
        <v>0</v>
      </c>
      <c r="AY329" s="222">
        <f>(AY79/AY15)</f>
        <v>0</v>
      </c>
      <c r="AZ329" s="222">
        <f>(AZ79/AZ15)</f>
        <v>0</v>
      </c>
      <c r="BB329" s="222">
        <f>(BB79/BB15)</f>
        <v>0</v>
      </c>
      <c r="BC329" s="222">
        <f>(BC79/BC15)</f>
        <v>0</v>
      </c>
      <c r="BD329" s="222">
        <f>(BD79/BD15)</f>
        <v>0</v>
      </c>
      <c r="BE329" s="222">
        <f>(BE79/BE15)</f>
        <v>0</v>
      </c>
      <c r="BG329" s="222">
        <f>(BG79/BG15)</f>
        <v>0</v>
      </c>
      <c r="BH329" s="222">
        <f>(BH79/BH15)</f>
        <v>0</v>
      </c>
      <c r="BI329" s="222">
        <f>(BI79/BI15)</f>
        <v>0</v>
      </c>
      <c r="BJ329" s="222">
        <f>(BJ79/BJ15)</f>
        <v>0</v>
      </c>
      <c r="BL329" s="222">
        <f>(BL79/BL15)</f>
        <v>0</v>
      </c>
      <c r="BM329" s="222">
        <f>(BM79/BM15)</f>
        <v>0</v>
      </c>
      <c r="BN329" s="222">
        <f>(BN79/BN15)</f>
        <v>0</v>
      </c>
      <c r="BO329" s="222">
        <f>(BO79/BO15)</f>
        <v>0</v>
      </c>
      <c r="BQ329" s="222">
        <f>(BQ79/BQ15)</f>
        <v>0</v>
      </c>
      <c r="BR329" s="222">
        <f>(BR79/BR15)</f>
        <v>0</v>
      </c>
      <c r="BS329" s="222">
        <f>(BS79/BS15)</f>
        <v>0</v>
      </c>
      <c r="BT329" s="222">
        <f>(BT79/BT15)</f>
        <v>0</v>
      </c>
      <c r="BV329" s="222">
        <f>(BV79/BV15)</f>
        <v>0</v>
      </c>
      <c r="BW329" s="222">
        <f>(BW79/BW15)</f>
        <v>0</v>
      </c>
      <c r="BX329" s="222">
        <f>(BX79/BX15)</f>
        <v>0</v>
      </c>
      <c r="BY329" s="222">
        <f>(BY79/BY15)</f>
        <v>0</v>
      </c>
      <c r="CA329" s="222">
        <f>(CA79/CA15)</f>
        <v>0</v>
      </c>
      <c r="CB329" s="222">
        <f>(CB79/CB15)</f>
        <v>0</v>
      </c>
      <c r="CC329" s="222">
        <f>(CC79/CC15)</f>
        <v>0</v>
      </c>
      <c r="CD329" s="222">
        <f>(CD79/CD15)</f>
        <v>0</v>
      </c>
      <c r="CF329" s="222">
        <f>(CF79/CF15)</f>
        <v>0</v>
      </c>
      <c r="CG329" s="222">
        <f>(CG79/CG15)</f>
        <v>0</v>
      </c>
      <c r="CH329" s="222">
        <f>(CH79/CH15)</f>
        <v>0</v>
      </c>
      <c r="CI329" s="222">
        <f>(CI79/CI15)</f>
        <v>0</v>
      </c>
      <c r="CK329" s="222">
        <f>(CK79/CK15)</f>
        <v>0</v>
      </c>
      <c r="CL329" s="222">
        <f>(CL79/CL15)</f>
        <v>0</v>
      </c>
      <c r="CM329" s="222">
        <f>(CM79/CM15)</f>
        <v>0</v>
      </c>
      <c r="CN329" s="222">
        <f>(CN79/CN15)</f>
        <v>0</v>
      </c>
      <c r="CP329" s="222">
        <f>(CP79/CP15)</f>
        <v>0</v>
      </c>
      <c r="CQ329" s="222">
        <f>(CQ79/CQ15)</f>
        <v>0</v>
      </c>
      <c r="CR329" s="222">
        <f>(CR79/CR15)</f>
        <v>0</v>
      </c>
      <c r="CS329" s="222">
        <f>(CS79/CS15)</f>
        <v>0</v>
      </c>
      <c r="CU329" s="222">
        <f>(CU79/CU15)</f>
        <v>0</v>
      </c>
      <c r="CV329" s="222">
        <f>(CV79/CV15)</f>
        <v>0</v>
      </c>
      <c r="CW329" s="222">
        <f>(CW79/CW15)</f>
        <v>0</v>
      </c>
      <c r="CX329" s="222">
        <f>(CX79/CX15)</f>
        <v>0</v>
      </c>
    </row>
    <row r="330" customFormat="1" s="233">
      <c r="A330" s="224" t="n"/>
      <c r="B330" s="224" t="n"/>
      <c r="C330" s="233" t="inlineStr">
        <is>
          <t>EBITDA MARTGIN</t>
        </is>
      </c>
      <c r="D330" s="236">
        <f>D75/D15</f>
        <v>0.166808189916365</v>
      </c>
      <c r="E330" s="236">
        <f>E75/E15</f>
        <v>0.0706785699561505</v>
      </c>
      <c r="F330" s="236">
        <f>F75/F15</f>
        <v>0.239149008128361</v>
      </c>
      <c r="G330" s="236">
        <f>G75/G15</f>
        <v>0.299670777476078</v>
      </c>
      <c r="I330" s="222">
        <f>I75/I15</f>
        <v>0.114816524520233</v>
      </c>
      <c r="J330" s="222">
        <f>J75/J15</f>
        <v>0.289340863926586</v>
      </c>
      <c r="K330" s="222">
        <f>K75/K15</f>
        <v>0.24813423370988</v>
      </c>
      <c r="L330" s="222">
        <f>L75/L15</f>
        <v>0.278649894513284</v>
      </c>
      <c r="N330" s="222">
        <f>N75/N15</f>
        <v>0.210151011704519</v>
      </c>
      <c r="O330" s="222">
        <f>O75/O15</f>
        <v>0.243284688813164</v>
      </c>
      <c r="P330" s="222">
        <f>P75/P15</f>
        <v>0.240586540113376</v>
      </c>
      <c r="Q330" s="222">
        <f>Q75/Q15</f>
        <v>0.327107728122381</v>
      </c>
      <c r="S330" s="222">
        <f>S75/S15</f>
        <v>0.204579902503298</v>
      </c>
      <c r="T330" s="222">
        <f>T75/T15</f>
        <v>0.28293956209058</v>
      </c>
      <c r="U330" s="222">
        <f>U75/U15</f>
        <v>0.264801241742729</v>
      </c>
      <c r="V330" s="222">
        <f>V75/V15</f>
        <v>0.289277877836819</v>
      </c>
      <c r="X330" s="222">
        <f>X75/X15</f>
        <v>0.180231640135987</v>
      </c>
      <c r="Y330" s="222">
        <f>Y75/Y15</f>
        <v>0.403492023051286</v>
      </c>
      <c r="Z330" s="222">
        <f>Z75/Z15</f>
        <v>0.265933624449286</v>
      </c>
      <c r="AA330" s="222">
        <f>AA75/AA15</f>
        <v>0.370725741689082</v>
      </c>
      <c r="AC330" s="222">
        <f>AC75/AC15</f>
        <v>0.239855392394242</v>
      </c>
      <c r="AD330" s="222">
        <f>AD75/AD15</f>
        <v>0.298406459003648</v>
      </c>
      <c r="AE330" s="222">
        <f>AE75/AE15</f>
        <v>0.362610464301788</v>
      </c>
      <c r="AF330" s="222">
        <f>AF75/AF15</f>
        <v>0.265314511542514</v>
      </c>
      <c r="AH330" s="222">
        <f>AH75/AH15</f>
        <v>0.216808018322915</v>
      </c>
      <c r="AI330" s="222">
        <f>AI75/AI15</f>
        <v>0.287173640381921</v>
      </c>
      <c r="AJ330" s="222">
        <f>AJ75/AJ15</f>
        <v>0</v>
      </c>
      <c r="AK330" s="222">
        <f>AK75/AK15</f>
        <v>0</v>
      </c>
      <c r="AM330" s="222">
        <f>AM75/AM15</f>
        <v>0</v>
      </c>
      <c r="AN330" s="222">
        <f>AN75/AN15</f>
        <v>0</v>
      </c>
      <c r="AO330" s="222">
        <f>AO75/AO15</f>
        <v>0</v>
      </c>
      <c r="AP330" s="222">
        <f>AP75/AP15</f>
        <v>0</v>
      </c>
      <c r="AR330" s="222">
        <f>AR75/AR15</f>
        <v>0</v>
      </c>
      <c r="AS330" s="222">
        <f>AS75/AS15</f>
        <v>0</v>
      </c>
      <c r="AT330" s="222">
        <f>AT75/AT15</f>
        <v>0</v>
      </c>
      <c r="AU330" s="222">
        <f>AU75/AU15</f>
        <v>0</v>
      </c>
      <c r="AW330" s="222">
        <f>AW75/AW15</f>
        <v>0</v>
      </c>
      <c r="AX330" s="222">
        <f>AX75/AX15</f>
        <v>0</v>
      </c>
      <c r="AY330" s="222">
        <f>AY75/AY15</f>
        <v>0</v>
      </c>
      <c r="AZ330" s="222">
        <f>AZ75/AZ15</f>
        <v>0</v>
      </c>
      <c r="BB330" s="222">
        <f>BB75/BB15</f>
        <v>0</v>
      </c>
      <c r="BC330" s="222">
        <f>BC75/BC15</f>
        <v>0</v>
      </c>
      <c r="BD330" s="222">
        <f>BD75/BD15</f>
        <v>0</v>
      </c>
      <c r="BE330" s="222">
        <f>BE75/BE15</f>
        <v>0</v>
      </c>
      <c r="BG330" s="222">
        <f>BG75/BG15</f>
        <v>0</v>
      </c>
      <c r="BH330" s="222">
        <f>BH75/BH15</f>
        <v>0</v>
      </c>
      <c r="BI330" s="222">
        <f>BI75/BI15</f>
        <v>0</v>
      </c>
      <c r="BJ330" s="222">
        <f>BJ75/BJ15</f>
        <v>0</v>
      </c>
      <c r="BL330" s="222">
        <f>BL75/BL15</f>
        <v>0</v>
      </c>
      <c r="BM330" s="222">
        <f>BM75/BM15</f>
        <v>0</v>
      </c>
      <c r="BN330" s="222">
        <f>BN75/BN15</f>
        <v>0</v>
      </c>
      <c r="BO330" s="222">
        <f>BO75/BO15</f>
        <v>0</v>
      </c>
      <c r="BQ330" s="222">
        <f>BQ75/BQ15</f>
        <v>0</v>
      </c>
      <c r="BR330" s="222">
        <f>BR75/BR15</f>
        <v>0</v>
      </c>
      <c r="BS330" s="222">
        <f>BS75/BS15</f>
        <v>0</v>
      </c>
      <c r="BT330" s="222">
        <f>BT75/BT15</f>
        <v>0</v>
      </c>
      <c r="BV330" s="222">
        <f>BV75/BV15</f>
        <v>0</v>
      </c>
      <c r="BW330" s="222">
        <f>BW75/BW15</f>
        <v>0</v>
      </c>
      <c r="BX330" s="222">
        <f>BX75/BX15</f>
        <v>0</v>
      </c>
      <c r="BY330" s="222">
        <f>BY75/BY15</f>
        <v>0</v>
      </c>
      <c r="CA330" s="222">
        <f>CA75/CA15</f>
        <v>0</v>
      </c>
      <c r="CB330" s="222">
        <f>CB75/CB15</f>
        <v>0</v>
      </c>
      <c r="CC330" s="222">
        <f>CC75/CC15</f>
        <v>0</v>
      </c>
      <c r="CD330" s="222">
        <f>CD75/CD15</f>
        <v>0</v>
      </c>
      <c r="CF330" s="222">
        <f>CF75/CF15</f>
        <v>0</v>
      </c>
      <c r="CG330" s="222">
        <f>CG75/CG15</f>
        <v>0</v>
      </c>
      <c r="CH330" s="222">
        <f>CH75/CH15</f>
        <v>0</v>
      </c>
      <c r="CI330" s="222">
        <f>CI75/CI15</f>
        <v>0</v>
      </c>
      <c r="CK330" s="222">
        <f>CK75/CK15</f>
        <v>0</v>
      </c>
      <c r="CL330" s="222">
        <f>CL75/CL15</f>
        <v>0</v>
      </c>
      <c r="CM330" s="222">
        <f>CM75/CM15</f>
        <v>0</v>
      </c>
      <c r="CN330" s="222">
        <f>CN75/CN15</f>
        <v>0</v>
      </c>
      <c r="CP330" s="222">
        <f>CP75/CP15</f>
        <v>0</v>
      </c>
      <c r="CQ330" s="222">
        <f>CQ75/CQ15</f>
        <v>0</v>
      </c>
      <c r="CR330" s="222">
        <f>CR75/CR15</f>
        <v>0</v>
      </c>
      <c r="CS330" s="222">
        <f>CS75/CS15</f>
        <v>0</v>
      </c>
      <c r="CU330" s="222">
        <f>CU75/CU15</f>
        <v>0</v>
      </c>
      <c r="CV330" s="222">
        <f>CV75/CV15</f>
        <v>0</v>
      </c>
      <c r="CW330" s="222">
        <f>CW75/CW15</f>
        <v>0</v>
      </c>
      <c r="CX330" s="222">
        <f>CX75/CX15</f>
        <v>0</v>
      </c>
    </row>
    <row r="331" customFormat="1" s="233">
      <c r="A331" s="224" t="n"/>
      <c r="B331" s="224" t="n"/>
      <c r="C331" s="233" t="inlineStr">
        <is>
          <t>ETR</t>
        </is>
      </c>
      <c r="D331" s="236">
        <f>-D137/D136</f>
        <v>-0.658686854092006</v>
      </c>
      <c r="E331" s="236">
        <f>-E137/E136</f>
        <v>0.597752770521541</v>
      </c>
      <c r="F331" s="236">
        <f>-F137/F136</f>
        <v>-0.0201088724751279</v>
      </c>
      <c r="G331" s="236">
        <f>-G137/G136</f>
        <v>0.2522608815621</v>
      </c>
      <c r="I331" s="222">
        <f>-I137/I136</f>
        <v>-9.55990078888996</v>
      </c>
      <c r="J331" s="222">
        <f>-J137/J136</f>
        <v>-0.0027891604346145</v>
      </c>
      <c r="K331" s="222">
        <f>-K137/K136</f>
        <v>-0.415688809679895</v>
      </c>
      <c r="L331" s="222">
        <f>-L137/L136</f>
        <v>-0.0554753251427114</v>
      </c>
      <c r="N331" s="222">
        <f>-N137/N136</f>
        <v>-0.322813574365516</v>
      </c>
      <c r="O331" s="222">
        <f>-O137/O136</f>
        <v>-0.141313986301939</v>
      </c>
      <c r="P331" s="222">
        <f>-P137/P136</f>
        <v>-0.353460172669366</v>
      </c>
      <c r="Q331" s="222">
        <f>-Q137/Q136</f>
        <v>0.0607564488233333</v>
      </c>
      <c r="S331" s="222">
        <f>-S137/S136</f>
        <v>-0.114170419902347</v>
      </c>
      <c r="T331" s="222">
        <f>-T137/T136</f>
        <v>0.0567407829001712</v>
      </c>
      <c r="U331" s="222">
        <f>-U137/U136</f>
        <v>0.0177188654042418</v>
      </c>
      <c r="V331" s="222">
        <f>-V137/V136</f>
        <v>0.0913070788998274</v>
      </c>
      <c r="X331" s="222">
        <f>-X137/X136</f>
        <v>-0.385457948692854</v>
      </c>
      <c r="Y331" s="222">
        <f>-Y137/Y136</f>
        <v>0.0722691336472873</v>
      </c>
      <c r="Z331" s="222">
        <f>-Z137/Z136</f>
        <v>-0.173074595071624</v>
      </c>
      <c r="AA331" s="222">
        <f>-AA137/AA136</f>
        <v>-0.0632536201780113</v>
      </c>
      <c r="AC331" s="222">
        <f>-AC137/AC136</f>
        <v>-0.629227496447607</v>
      </c>
      <c r="AD331" s="222">
        <f>-AD137/AD136</f>
        <v>0.0265548525390282</v>
      </c>
      <c r="AE331" s="222">
        <f>-AE137/AE136</f>
        <v>-0.00339506187919865</v>
      </c>
      <c r="AF331" s="222">
        <f>-AF137/AF136</f>
        <v>0.049265816145097</v>
      </c>
      <c r="AH331" s="222">
        <f>-AH137/AH136</f>
        <v>-0.482073915091412</v>
      </c>
      <c r="AI331" s="222">
        <f>-AI137/AI136</f>
        <v>0.0705376158305449</v>
      </c>
      <c r="AJ331" s="222">
        <f>-AJ137/AJ136</f>
        <v>0</v>
      </c>
      <c r="AK331" s="222">
        <f>-AK137/AK136</f>
        <v>0</v>
      </c>
      <c r="AM331" s="222">
        <f>-AM137/AM136</f>
        <v>0</v>
      </c>
      <c r="AN331" s="222">
        <f>-AN137/AN136</f>
        <v>0</v>
      </c>
      <c r="AO331" s="222">
        <f>-AO137/AO136</f>
        <v>0</v>
      </c>
      <c r="AP331" s="222">
        <f>-AP137/AP136</f>
        <v>0</v>
      </c>
      <c r="AR331" s="222">
        <f>-AR137/AR136</f>
        <v>0</v>
      </c>
      <c r="AS331" s="222">
        <f>-AS137/AS136</f>
        <v>0</v>
      </c>
      <c r="AT331" s="222">
        <f>-AT137/AT136</f>
        <v>0</v>
      </c>
      <c r="AU331" s="222">
        <f>-AU137/AU136</f>
        <v>0</v>
      </c>
      <c r="AW331" s="222">
        <f>-AW137/AW136</f>
        <v>0</v>
      </c>
      <c r="AX331" s="222">
        <f>-AX137/AX136</f>
        <v>0</v>
      </c>
      <c r="AY331" s="222">
        <f>-AY137/AY136</f>
        <v>0</v>
      </c>
      <c r="AZ331" s="222">
        <f>-AZ137/AZ136</f>
        <v>0</v>
      </c>
      <c r="BB331" s="222">
        <f>-BB137/BB136</f>
        <v>0</v>
      </c>
      <c r="BC331" s="222">
        <f>-BC137/BC136</f>
        <v>0</v>
      </c>
      <c r="BD331" s="222">
        <f>-BD137/BD136</f>
        <v>0</v>
      </c>
      <c r="BE331" s="222">
        <f>-BE137/BE136</f>
        <v>0</v>
      </c>
      <c r="BG331" s="222">
        <f>-BG137/BG136</f>
        <v>0</v>
      </c>
      <c r="BH331" s="222">
        <f>-BH137/BH136</f>
        <v>0</v>
      </c>
      <c r="BI331" s="222">
        <f>-BI137/BI136</f>
        <v>0</v>
      </c>
      <c r="BJ331" s="222">
        <f>-BJ137/BJ136</f>
        <v>0</v>
      </c>
      <c r="BL331" s="222">
        <f>-BL137/BL136</f>
        <v>0</v>
      </c>
      <c r="BM331" s="222">
        <f>-BM137/BM136</f>
        <v>0</v>
      </c>
      <c r="BN331" s="222">
        <f>-BN137/BN136</f>
        <v>0</v>
      </c>
      <c r="BO331" s="222">
        <f>-BO137/BO136</f>
        <v>0</v>
      </c>
      <c r="BQ331" s="222">
        <f>-BQ137/BQ136</f>
        <v>0</v>
      </c>
      <c r="BR331" s="222">
        <f>-BR137/BR136</f>
        <v>0</v>
      </c>
      <c r="BS331" s="222">
        <f>-BS137/BS136</f>
        <v>0</v>
      </c>
      <c r="BT331" s="222">
        <f>-BT137/BT136</f>
        <v>0</v>
      </c>
      <c r="BV331" s="222">
        <f>-BV137/BV136</f>
        <v>0</v>
      </c>
      <c r="BW331" s="222">
        <f>-BW137/BW136</f>
        <v>0</v>
      </c>
      <c r="BX331" s="222">
        <f>-BX137/BX136</f>
        <v>0</v>
      </c>
      <c r="BY331" s="222">
        <f>-BY137/BY136</f>
        <v>0</v>
      </c>
      <c r="CA331" s="222">
        <f>-CA137/CA136</f>
        <v>0</v>
      </c>
      <c r="CB331" s="222">
        <f>-CB137/CB136</f>
        <v>0</v>
      </c>
      <c r="CC331" s="222">
        <f>-CC137/CC136</f>
        <v>0</v>
      </c>
      <c r="CD331" s="222">
        <f>-CD137/CD136</f>
        <v>0</v>
      </c>
      <c r="CF331" s="222">
        <f>-CF137/CF136</f>
        <v>0</v>
      </c>
      <c r="CG331" s="222">
        <f>-CG137/CG136</f>
        <v>0</v>
      </c>
      <c r="CH331" s="222">
        <f>-CH137/CH136</f>
        <v>0</v>
      </c>
      <c r="CI331" s="222">
        <f>-CI137/CI136</f>
        <v>0</v>
      </c>
      <c r="CK331" s="222">
        <f>-CK137/CK136</f>
        <v>0</v>
      </c>
      <c r="CL331" s="222">
        <f>-CL137/CL136</f>
        <v>0</v>
      </c>
      <c r="CM331" s="222">
        <f>-CM137/CM136</f>
        <v>0</v>
      </c>
      <c r="CN331" s="222">
        <f>-CN137/CN136</f>
        <v>0</v>
      </c>
      <c r="CP331" s="222">
        <f>-CP137/CP136</f>
        <v>0</v>
      </c>
      <c r="CQ331" s="222">
        <f>-CQ137/CQ136</f>
        <v>0</v>
      </c>
      <c r="CR331" s="222">
        <f>-CR137/CR136</f>
        <v>0</v>
      </c>
      <c r="CS331" s="222">
        <f>-CS137/CS136</f>
        <v>0</v>
      </c>
      <c r="CU331" s="222">
        <f>-CU137/CU136</f>
        <v>0</v>
      </c>
      <c r="CV331" s="222">
        <f>-CV137/CV136</f>
        <v>0</v>
      </c>
      <c r="CW331" s="222">
        <f>-CW137/CW136</f>
        <v>0</v>
      </c>
      <c r="CX331" s="222">
        <f>-CX137/CX136</f>
        <v>0</v>
      </c>
    </row>
    <row r="332" customFormat="1" s="233">
      <c r="A332" s="224" t="n"/>
      <c r="B332" s="224" t="n"/>
    </row>
    <row r="333" customFormat="1" s="233">
      <c r="A333" s="224" t="n"/>
      <c r="B333" s="224" t="n"/>
      <c r="C333" s="234" t="inlineStr">
        <is>
          <t>CAPITAL STRUCTURE</t>
        </is>
      </c>
    </row>
    <row r="334" customFormat="1" s="233">
      <c r="A334" s="224" t="n"/>
      <c r="B334" s="224" t="n"/>
      <c r="C334" s="233" t="inlineStr">
        <is>
          <t>MARKET DEBT / EQUITY</t>
        </is>
      </c>
    </row>
    <row r="335" customFormat="1" s="233">
      <c r="A335" s="224" t="n"/>
      <c r="B335" s="224" t="n"/>
      <c r="C335" s="233" t="inlineStr">
        <is>
          <t>NET DEBT / (NET DEBT + MARKET CAP)</t>
        </is>
      </c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FINANCIAL RISK RATIOS</t>
        </is>
      </c>
    </row>
    <row r="338" customFormat="1" s="233">
      <c r="A338" s="224" t="n"/>
      <c r="B338" s="224" t="n"/>
      <c r="C338" s="233" t="inlineStr">
        <is>
          <t>EBITDA / TOTAL INTEREST</t>
        </is>
      </c>
      <c r="D338" s="219">
        <f>D75/-D80</f>
        <v>1.86900014500324</v>
      </c>
      <c r="E338" s="219">
        <f>E75/-E80</f>
        <v>0.779792645376806</v>
      </c>
      <c r="F338" s="219">
        <f>F75/-F80</f>
        <v>3.31022131876995</v>
      </c>
      <c r="G338" s="219">
        <f>G75/-G80</f>
        <v>10.2916701675008</v>
      </c>
      <c r="I338" s="219">
        <f>I75/-I80</f>
        <v>1.76942460909139</v>
      </c>
      <c r="J338" s="219">
        <f>J75/-J80</f>
        <v>8.13657687383038</v>
      </c>
      <c r="K338" s="219">
        <f>K75/-K80</f>
        <v>5.33527041629366</v>
      </c>
      <c r="L338" s="219">
        <f>L75/-L80</f>
        <v>6.28191598434588</v>
      </c>
      <c r="N338" s="219">
        <f>N75/-N80</f>
        <v>3.25600350135714</v>
      </c>
      <c r="O338" s="219">
        <f>O75/-O80</f>
        <v>5.26611665766378</v>
      </c>
      <c r="P338" s="219">
        <f>P75/-P80</f>
        <v>4.04895820586524</v>
      </c>
      <c r="Q338" s="219">
        <f>Q75/-Q80</f>
        <v>9.35935232184491</v>
      </c>
      <c r="S338" s="219">
        <f>S75/-S80</f>
        <v>3.52503486761147</v>
      </c>
      <c r="T338" s="219">
        <f>T75/-T80</f>
        <v>10.1034168691489</v>
      </c>
      <c r="U338" s="219">
        <f>U75/-U80</f>
        <v>5.01005319403522</v>
      </c>
      <c r="V338" s="219">
        <f>V75/-V80</f>
        <v>9.69147847720818</v>
      </c>
      <c r="X338" s="219">
        <f>X75/-X80</f>
        <v>3.41532767026695</v>
      </c>
      <c r="Y338" s="219">
        <f>Y75/-Y80</f>
        <v>10.8458132548941</v>
      </c>
      <c r="Z338" s="219">
        <f>Z75/-Z80</f>
        <v>5.76766228738227</v>
      </c>
      <c r="AA338" s="219">
        <f>AA75/-AA80</f>
        <v>8.9584397287394</v>
      </c>
      <c r="AC338" s="219">
        <f>AC75/-AC80</f>
        <v>4.51537015906288</v>
      </c>
      <c r="AD338" s="219">
        <f>AD75/-AD80</f>
        <v>5.71952401964485</v>
      </c>
      <c r="AE338" s="219">
        <f>AE75/-AE80</f>
        <v>5.11420078679826</v>
      </c>
      <c r="AF338" s="219">
        <f>AF75/-AF80</f>
        <v>3.93219886807171</v>
      </c>
      <c r="AH338" s="219">
        <f>AH75/-AH80</f>
        <v>2.94379328074055</v>
      </c>
      <c r="AI338" s="219">
        <f>AI75/-AI80</f>
        <v>4.99756182834108</v>
      </c>
      <c r="AJ338" s="219" t="e">
        <f>AJ75/-AJ80</f>
        <v>#DIV/0!</v>
      </c>
      <c r="AK338" s="219" t="e">
        <f>AK75/-AK80</f>
        <v>#DIV/0!</v>
      </c>
      <c r="AM338" s="219" t="e">
        <f>AM75/-AM80</f>
        <v>#DIV/0!</v>
      </c>
      <c r="AN338" s="219" t="e">
        <f>AN75/-AN80</f>
        <v>#DIV/0!</v>
      </c>
      <c r="AO338" s="219" t="e">
        <f>AO75/-AO80</f>
        <v>#DIV/0!</v>
      </c>
      <c r="AP338" s="219" t="e">
        <f>AP75/-AP80</f>
        <v>#DIV/0!</v>
      </c>
      <c r="AR338" s="219" t="e">
        <f>AR75/-AR80</f>
        <v>#DIV/0!</v>
      </c>
      <c r="AS338" s="219" t="e">
        <f>AS75/-AS80</f>
        <v>#DIV/0!</v>
      </c>
      <c r="AT338" s="219" t="e">
        <f>AT75/-AT80</f>
        <v>#DIV/0!</v>
      </c>
      <c r="AU338" s="219" t="e">
        <f>AU75/-AU80</f>
        <v>#DIV/0!</v>
      </c>
      <c r="AW338" s="219" t="e">
        <f>AW75/-AW80</f>
        <v>#DIV/0!</v>
      </c>
      <c r="AX338" s="219" t="e">
        <f>AX75/-AX80</f>
        <v>#DIV/0!</v>
      </c>
      <c r="AY338" s="219" t="e">
        <f>AY75/-AY80</f>
        <v>#DIV/0!</v>
      </c>
      <c r="AZ338" s="219" t="e">
        <f>AZ75/-AZ80</f>
        <v>#DIV/0!</v>
      </c>
      <c r="BB338" s="219" t="e">
        <f>BB75/-BB80</f>
        <v>#DIV/0!</v>
      </c>
      <c r="BC338" s="219" t="e">
        <f>BC75/-BC80</f>
        <v>#DIV/0!</v>
      </c>
      <c r="BD338" s="219" t="e">
        <f>BD75/-BD80</f>
        <v>#DIV/0!</v>
      </c>
      <c r="BE338" s="219" t="e">
        <f>BE75/-BE80</f>
        <v>#DIV/0!</v>
      </c>
      <c r="BG338" s="219" t="e">
        <f>BG75/-BG80</f>
        <v>#DIV/0!</v>
      </c>
      <c r="BH338" s="219" t="e">
        <f>BH75/-BH80</f>
        <v>#DIV/0!</v>
      </c>
      <c r="BI338" s="219" t="e">
        <f>BI75/-BI80</f>
        <v>#DIV/0!</v>
      </c>
      <c r="BJ338" s="219" t="e">
        <f>BJ75/-BJ80</f>
        <v>#DIV/0!</v>
      </c>
      <c r="BL338" s="219" t="e">
        <f>BL75/-BL80</f>
        <v>#DIV/0!</v>
      </c>
      <c r="BM338" s="219" t="e">
        <f>BM75/-BM80</f>
        <v>#DIV/0!</v>
      </c>
      <c r="BN338" s="219" t="e">
        <f>BN75/-BN80</f>
        <v>#DIV/0!</v>
      </c>
      <c r="BO338" s="219" t="e">
        <f>BO75/-BO80</f>
        <v>#DIV/0!</v>
      </c>
      <c r="BQ338" s="219" t="e">
        <f>BQ75/-BQ80</f>
        <v>#DIV/0!</v>
      </c>
      <c r="BR338" s="219" t="e">
        <f>BR75/-BR80</f>
        <v>#DIV/0!</v>
      </c>
      <c r="BS338" s="219" t="e">
        <f>BS75/-BS80</f>
        <v>#DIV/0!</v>
      </c>
      <c r="BT338" s="219" t="e">
        <f>BT75/-BT80</f>
        <v>#DIV/0!</v>
      </c>
      <c r="BV338" s="219" t="e">
        <f>BV75/-BV80</f>
        <v>#DIV/0!</v>
      </c>
      <c r="BW338" s="219" t="e">
        <f>BW75/-BW80</f>
        <v>#DIV/0!</v>
      </c>
      <c r="BX338" s="219" t="e">
        <f>BX75/-BX80</f>
        <v>#DIV/0!</v>
      </c>
      <c r="BY338" s="219" t="e">
        <f>BY75/-BY80</f>
        <v>#DIV/0!</v>
      </c>
      <c r="CA338" s="219" t="e">
        <f>CA75/-CA80</f>
        <v>#DIV/0!</v>
      </c>
      <c r="CB338" s="219" t="e">
        <f>CB75/-CB80</f>
        <v>#DIV/0!</v>
      </c>
      <c r="CC338" s="219" t="e">
        <f>CC75/-CC80</f>
        <v>#DIV/0!</v>
      </c>
      <c r="CD338" s="219" t="e">
        <f>CD75/-CD80</f>
        <v>#DIV/0!</v>
      </c>
      <c r="CF338" s="219" t="e">
        <f>CF75/-CF80</f>
        <v>#DIV/0!</v>
      </c>
      <c r="CG338" s="219" t="e">
        <f>CG75/-CG80</f>
        <v>#DIV/0!</v>
      </c>
      <c r="CH338" s="219" t="e">
        <f>CH75/-CH80</f>
        <v>#DIV/0!</v>
      </c>
      <c r="CI338" s="219" t="e">
        <f>CI75/-CI80</f>
        <v>#DIV/0!</v>
      </c>
      <c r="CK338" s="219" t="e">
        <f>CK75/-CK80</f>
        <v>#DIV/0!</v>
      </c>
      <c r="CL338" s="219" t="e">
        <f>CL75/-CL80</f>
        <v>#DIV/0!</v>
      </c>
      <c r="CM338" s="219" t="e">
        <f>CM75/-CM80</f>
        <v>#DIV/0!</v>
      </c>
      <c r="CN338" s="219" t="e">
        <f>CN75/-CN80</f>
        <v>#DIV/0!</v>
      </c>
      <c r="CP338" s="219" t="e">
        <f>CP75/-CP80</f>
        <v>#DIV/0!</v>
      </c>
      <c r="CQ338" s="219" t="e">
        <f>CQ75/-CQ80</f>
        <v>#DIV/0!</v>
      </c>
      <c r="CR338" s="219" t="e">
        <f>CR75/-CR80</f>
        <v>#DIV/0!</v>
      </c>
      <c r="CS338" s="219" t="e">
        <f>CS75/-CS80</f>
        <v>#DIV/0!</v>
      </c>
      <c r="CU338" s="219" t="e">
        <f>CU75/-CU80</f>
        <v>#DIV/0!</v>
      </c>
      <c r="CV338" s="219" t="e">
        <f>CV75/-CV80</f>
        <v>#DIV/0!</v>
      </c>
      <c r="CW338" s="219" t="e">
        <f>CW75/-CW80</f>
        <v>#DIV/0!</v>
      </c>
      <c r="CX338" s="219" t="e">
        <f>CX75/-CX80</f>
        <v>#DIV/0!</v>
      </c>
    </row>
    <row r="339" customFormat="1" s="233">
      <c r="A339" s="224" t="n"/>
      <c r="B339" s="224" t="n"/>
      <c r="C339" s="233" t="inlineStr">
        <is>
          <t>(EBITDA - CAPEX) / TOTAL INTEREST</t>
        </is>
      </c>
      <c r="D339" s="219">
        <f>(D75-D174)/-D80</f>
        <v>1.86900014500324</v>
      </c>
      <c r="E339" s="219">
        <f>(E75-E174)/-E80</f>
        <v>-0.577834980564307</v>
      </c>
      <c r="F339" s="219">
        <f>(F75-F174)/-F80</f>
        <v>1.93812850460678</v>
      </c>
      <c r="G339" s="219">
        <f>(G75-G174)/-G80</f>
        <v>8.68441258152137</v>
      </c>
      <c r="I339" s="219">
        <f>(I75-I174)/-I80</f>
        <v>-0.6446941700562</v>
      </c>
      <c r="J339" s="219">
        <f>(J75-J174)/-J80</f>
        <v>4.44378242941027</v>
      </c>
      <c r="K339" s="219">
        <f>(K75-K174)/-K80</f>
        <v>1.45957535969812</v>
      </c>
      <c r="L339" s="219">
        <f>(L75-L174)/-L80</f>
        <v>3.43098152550526</v>
      </c>
      <c r="N339" s="219">
        <f>(N75-N174)/-N80</f>
        <v>0.759399132625289</v>
      </c>
      <c r="O339" s="219">
        <f>(O75-O174)/-O80</f>
        <v>2.16790676725529</v>
      </c>
      <c r="P339" s="219">
        <f>(P75-P174)/-P80</f>
        <v>-0.0964603693613911</v>
      </c>
      <c r="Q339" s="219">
        <f>(Q75-Q174)/-Q80</f>
        <v>6.39286857209192</v>
      </c>
      <c r="S339" s="219">
        <f>(S75-S174)/-S80</f>
        <v>1.09760508560531</v>
      </c>
      <c r="T339" s="219">
        <f>(T75-T174)/-T80</f>
        <v>6.39557656902475</v>
      </c>
      <c r="U339" s="219">
        <f>(U75-U174)/-U80</f>
        <v>2.08293817102051</v>
      </c>
      <c r="V339" s="219">
        <f>(V75-V174)/-V80</f>
        <v>6.95292293287124</v>
      </c>
      <c r="X339" s="219">
        <f>(X75-X174)/-X80</f>
        <v>0.824512286810196</v>
      </c>
      <c r="Y339" s="219">
        <f>(Y75-Y174)/-Y80</f>
        <v>8.72518849558037</v>
      </c>
      <c r="Z339" s="219">
        <f>(Z75-Z174)/-Z80</f>
        <v>2.98469505020807</v>
      </c>
      <c r="AA339" s="219">
        <f>(AA75-AA174)/-AA80</f>
        <v>7.57532321815621</v>
      </c>
      <c r="AC339" s="219">
        <f>(AC75-AC174)/-AC80</f>
        <v>2.39711545237229</v>
      </c>
      <c r="AD339" s="219">
        <f>(AD75-AD174)/-AD80</f>
        <v>4.9899547621206</v>
      </c>
      <c r="AE339" s="219">
        <f>(AE75-AE174)/-AE80</f>
        <v>2.41733524376526</v>
      </c>
      <c r="AF339" s="219">
        <f>(AF75-AF174)/-AF80</f>
        <v>3.3952306836702</v>
      </c>
      <c r="AH339" s="219">
        <f>(AH75-AH174)/-AH80</f>
        <v>2.01213060124489</v>
      </c>
      <c r="AI339" s="219">
        <f>(AI75-AI174)/-AI80</f>
        <v>3.98981354096171</v>
      </c>
      <c r="AJ339" s="219" t="e">
        <f>(AJ75-AJ174)/-AJ80</f>
        <v>#DIV/0!</v>
      </c>
      <c r="AK339" s="219" t="e">
        <f>(AK75-AK174)/-AK80</f>
        <v>#DIV/0!</v>
      </c>
      <c r="AM339" s="219" t="e">
        <f>(AM75-AM174)/-AM80</f>
        <v>#DIV/0!</v>
      </c>
      <c r="AN339" s="219" t="e">
        <f>(AN75-AN174)/-AN80</f>
        <v>#DIV/0!</v>
      </c>
      <c r="AO339" s="219" t="e">
        <f>(AO75-AO174)/-AO80</f>
        <v>#DIV/0!</v>
      </c>
      <c r="AP339" s="219" t="e">
        <f>(AP75-AP174)/-AP80</f>
        <v>#DIV/0!</v>
      </c>
      <c r="AR339" s="219" t="e">
        <f>(AR75-AR174)/-AR80</f>
        <v>#DIV/0!</v>
      </c>
      <c r="AS339" s="219" t="e">
        <f>(AS75-AS174)/-AS80</f>
        <v>#DIV/0!</v>
      </c>
      <c r="AT339" s="219" t="e">
        <f>(AT75-AT174)/-AT80</f>
        <v>#DIV/0!</v>
      </c>
      <c r="AU339" s="219" t="e">
        <f>(AU75-AU174)/-AU80</f>
        <v>#DIV/0!</v>
      </c>
      <c r="AW339" s="219" t="e">
        <f>(AW75-AW174)/-AW80</f>
        <v>#DIV/0!</v>
      </c>
      <c r="AX339" s="219" t="e">
        <f>(AX75-AX174)/-AX80</f>
        <v>#DIV/0!</v>
      </c>
      <c r="AY339" s="219" t="e">
        <f>(AY75-AY174)/-AY80</f>
        <v>#DIV/0!</v>
      </c>
      <c r="AZ339" s="219" t="e">
        <f>(AZ75-AZ174)/-AZ80</f>
        <v>#DIV/0!</v>
      </c>
      <c r="BB339" s="219" t="e">
        <f>(BB75-BB174)/-BB80</f>
        <v>#DIV/0!</v>
      </c>
      <c r="BC339" s="219" t="e">
        <f>(BC75-BC174)/-BC80</f>
        <v>#DIV/0!</v>
      </c>
      <c r="BD339" s="219" t="e">
        <f>(BD75-BD174)/-BD80</f>
        <v>#DIV/0!</v>
      </c>
      <c r="BE339" s="219" t="e">
        <f>(BE75-BE174)/-BE80</f>
        <v>#DIV/0!</v>
      </c>
      <c r="BG339" s="219" t="e">
        <f>(BG75-BG174)/-BG80</f>
        <v>#DIV/0!</v>
      </c>
      <c r="BH339" s="219" t="e">
        <f>(BH75-BH174)/-BH80</f>
        <v>#DIV/0!</v>
      </c>
      <c r="BI339" s="219" t="e">
        <f>(BI75-BI174)/-BI80</f>
        <v>#DIV/0!</v>
      </c>
      <c r="BJ339" s="219" t="e">
        <f>(BJ75-BJ174)/-BJ80</f>
        <v>#DIV/0!</v>
      </c>
      <c r="BL339" s="219" t="e">
        <f>(BL75-BL174)/-BL80</f>
        <v>#DIV/0!</v>
      </c>
      <c r="BM339" s="219" t="e">
        <f>(BM75-BM174)/-BM80</f>
        <v>#DIV/0!</v>
      </c>
      <c r="BN339" s="219" t="e">
        <f>(BN75-BN174)/-BN80</f>
        <v>#DIV/0!</v>
      </c>
      <c r="BO339" s="219" t="e">
        <f>(BO75-BO174)/-BO80</f>
        <v>#DIV/0!</v>
      </c>
      <c r="BQ339" s="219" t="e">
        <f>(BQ75-BQ174)/-BQ80</f>
        <v>#DIV/0!</v>
      </c>
      <c r="BR339" s="219" t="e">
        <f>(BR75-BR174)/-BR80</f>
        <v>#DIV/0!</v>
      </c>
      <c r="BS339" s="219" t="e">
        <f>(BS75-BS174)/-BS80</f>
        <v>#DIV/0!</v>
      </c>
      <c r="BT339" s="219" t="e">
        <f>(BT75-BT174)/-BT80</f>
        <v>#DIV/0!</v>
      </c>
      <c r="BV339" s="219" t="e">
        <f>(BV75-BV174)/-BV80</f>
        <v>#DIV/0!</v>
      </c>
      <c r="BW339" s="219" t="e">
        <f>(BW75-BW174)/-BW80</f>
        <v>#DIV/0!</v>
      </c>
      <c r="BX339" s="219" t="e">
        <f>(BX75-BX174)/-BX80</f>
        <v>#DIV/0!</v>
      </c>
      <c r="BY339" s="219" t="e">
        <f>(BY75-BY174)/-BY80</f>
        <v>#DIV/0!</v>
      </c>
      <c r="CA339" s="219" t="e">
        <f>(CA75-CA174)/-CA80</f>
        <v>#DIV/0!</v>
      </c>
      <c r="CB339" s="219" t="e">
        <f>(CB75-CB174)/-CB80</f>
        <v>#DIV/0!</v>
      </c>
      <c r="CC339" s="219" t="e">
        <f>(CC75-CC174)/-CC80</f>
        <v>#DIV/0!</v>
      </c>
      <c r="CD339" s="219" t="e">
        <f>(CD75-CD174)/-CD80</f>
        <v>#DIV/0!</v>
      </c>
      <c r="CF339" s="219" t="e">
        <f>(CF75-CF174)/-CF80</f>
        <v>#DIV/0!</v>
      </c>
      <c r="CG339" s="219" t="e">
        <f>(CG75-CG174)/-CG80</f>
        <v>#DIV/0!</v>
      </c>
      <c r="CH339" s="219" t="e">
        <f>(CH75-CH174)/-CH80</f>
        <v>#DIV/0!</v>
      </c>
      <c r="CI339" s="219" t="e">
        <f>(CI75-CI174)/-CI80</f>
        <v>#DIV/0!</v>
      </c>
      <c r="CK339" s="219" t="e">
        <f>(CK75-CK174)/-CK80</f>
        <v>#DIV/0!</v>
      </c>
      <c r="CL339" s="219" t="e">
        <f>(CL75-CL174)/-CL80</f>
        <v>#DIV/0!</v>
      </c>
      <c r="CM339" s="219" t="e">
        <f>(CM75-CM174)/-CM80</f>
        <v>#DIV/0!</v>
      </c>
      <c r="CN339" s="219" t="e">
        <f>(CN75-CN174)/-CN80</f>
        <v>#DIV/0!</v>
      </c>
      <c r="CP339" s="219" t="e">
        <f>(CP75-CP174)/-CP80</f>
        <v>#DIV/0!</v>
      </c>
      <c r="CQ339" s="219" t="e">
        <f>(CQ75-CQ174)/-CQ80</f>
        <v>#DIV/0!</v>
      </c>
      <c r="CR339" s="219" t="e">
        <f>(CR75-CR174)/-CR80</f>
        <v>#DIV/0!</v>
      </c>
      <c r="CS339" s="219" t="e">
        <f>(CS75-CS174)/-CS80</f>
        <v>#DIV/0!</v>
      </c>
      <c r="CU339" s="219" t="e">
        <f>(CU75-CU174)/-CU80</f>
        <v>#DIV/0!</v>
      </c>
      <c r="CV339" s="219" t="e">
        <f>(CV75-CV174)/-CV80</f>
        <v>#DIV/0!</v>
      </c>
      <c r="CW339" s="219" t="e">
        <f>(CW75-CW174)/-CW80</f>
        <v>#DIV/0!</v>
      </c>
      <c r="CX339" s="219" t="e">
        <f>(CX75-CX174)/-CX80</f>
        <v>#DIV/0!</v>
      </c>
    </row>
    <row r="340" customFormat="1" s="233">
      <c r="A340" s="224" t="n"/>
      <c r="B340" s="224" t="n"/>
      <c r="C340" s="233" t="inlineStr">
        <is>
          <t>TOTAL DEBT / EBITDA LTM</t>
        </is>
      </c>
      <c r="D340" s="219" t="str">
        <f>""</f>
        <v/>
      </c>
      <c r="E340" s="219" t="str">
        <f>""</f>
        <v/>
      </c>
      <c r="F340" s="219" t="str">
        <f>""</f>
        <v/>
      </c>
      <c r="G340" s="219">
        <f>IFERROR(SUM(G218,G219,G220,G223,G241,G244)/(G75+F75+E75+D75),"")</f>
        <v>2.8126473696177</v>
      </c>
      <c r="I340" s="219">
        <f>IFERROR(SUM(I218,I219,I220,I223,I241,I244)/(I75+G75+F75+E75),"")</f>
        <v>2.61303435995927</v>
      </c>
      <c r="J340" s="219">
        <f>IFERROR(SUM(J218,J219,J220,J223,J241,J244)/(J75+I75+G75+F75),"")</f>
        <v>2.11027626167233</v>
      </c>
      <c r="K340" s="219">
        <f>IFERROR(SUM(K218,K219,K220,K223,K241,K244)/(K75+J75+I75+G75),"")</f>
        <v>2.14417550824986</v>
      </c>
      <c r="L340" s="219">
        <f>IFERROR(SUM(L218,L219,L220,L223,L241,L244)/(L75+K75+J75+I75),"")</f>
        <v>2.04020779936142</v>
      </c>
      <c r="N340" s="219">
        <f>IFERROR(SUM(N218,N219,N220,N223,N241,N244)/(N75+L75+K75+J75),"")</f>
        <v>1.86978953783099</v>
      </c>
      <c r="O340" s="219">
        <f>IFERROR(SUM(O218,O219,O220,O223,O241,O244)/(O75+N75+L75+K75),"")</f>
        <v>1.78455847248035</v>
      </c>
      <c r="P340" s="219">
        <f>IFERROR(SUM(P218,P219,P220,P223,P241,P244)/(P75+O75+N75+L75),"")</f>
        <v>1.79128611986899</v>
      </c>
      <c r="Q340" s="219">
        <f>IFERROR(SUM(Q218,Q219,Q220,Q223,Q241,Q244)/(Q75+P75+O75+N75),"")</f>
        <v>1.54969357049314</v>
      </c>
      <c r="S340" s="219">
        <f>IFERROR(SUM(S218,S219,S220,S223,S241,S244)/(S75+Q75+P75+O75),"")</f>
        <v>1.53309436074184</v>
      </c>
      <c r="T340" s="219">
        <f>IFERROR(SUM(T218,T219,T220,T223,T241,T244)/(T75+S75+Q75+P75),"")</f>
        <v>1.48739439742847</v>
      </c>
      <c r="U340" s="219">
        <f>IFERROR(SUM(U218,U219,U220,U223,U241,U244)/(U75+T75+S75+Q75),"")</f>
        <v>1.46856005170777</v>
      </c>
      <c r="V340" s="219">
        <f>IFERROR(SUM(V218,V219,V220,V223,V241,V244)/(V75+U75+T75+S75),"")</f>
        <v>1.4046269229971</v>
      </c>
      <c r="X340" s="219">
        <f>IFERROR(SUM(X218,X219,X220,X223,X241,X244)/(X75+V75+U75+T75),"")</f>
        <v>1.40083351686172</v>
      </c>
      <c r="Y340" s="219">
        <f>IFERROR(SUM(Y218,Y219,Y220,Y223,Y241,Y244)/(Y75+X75+V75+U75),"")</f>
        <v>1.25868608802667</v>
      </c>
      <c r="Z340" s="219">
        <f>IFERROR(SUM(Z218,Z219,Z220,Z223,Z241,Z244)/(Z75+Y75+X75+V75),"")</f>
        <v>1.34699854206255</v>
      </c>
      <c r="AA340" s="219">
        <f>IFERROR(SUM(AA218,AA219,AA220,AA223,AA241,AA244)/(AA75+Z75+Y75+X75),"")</f>
        <v>1.42557498568417</v>
      </c>
      <c r="AC340" s="219">
        <f>IFERROR(SUM(AC218,AC219,AC220,AC223,AC241,AC244)/(AC75+AA75+Z75+Y75),"")</f>
        <v>1.21815030641005</v>
      </c>
      <c r="AD340" s="219">
        <f>IFERROR(SUM(AD218,AD219,AD220,AD223,AD241,AD244)/(AD75+AC75+AA75+Z75),"")</f>
        <v>1.2819830740504</v>
      </c>
      <c r="AE340" s="219">
        <f>IFERROR(SUM(AE218,AE219,AE220,AE223,AE241,AE244)/(AE75+AD75+AC75+AA75),"")</f>
        <v>1.32700955957765</v>
      </c>
      <c r="AF340" s="219">
        <f>IFERROR(SUM(AF218,AF219,AF220,AF223,AF241,AF244)/(AF75+AE75+AD75+AC75),"")</f>
        <v>1.40256293688795</v>
      </c>
      <c r="AH340" s="219">
        <f>IFERROR(SUM(AH218,AH219,AH220,AH223,AH241,AH244)/(AH75+AF75+AE75+AD75),"")</f>
        <v>1.37479739676286</v>
      </c>
      <c r="AI340" s="219">
        <f>IFERROR(SUM(AI218,AI219,AI220,AI223,AI241,AI244)/(AI75+AH75+AF75+AE75),"")</f>
        <v>1.37772686343391</v>
      </c>
      <c r="AJ340" s="219">
        <f>IFERROR(SUM(AJ218,AJ219,AJ220,AJ223,AJ241,AJ244)/(AJ75+AI75+AH75+AF75),"")</f>
        <v>1.88793828154809</v>
      </c>
      <c r="AK340" s="219">
        <f>IFERROR(SUM(AK218,AK219,AK220,AK223,AK241,AK244)/(AK75+AJ75+AI75+AH75),"")</f>
        <v>3.33471891914789</v>
      </c>
      <c r="AM340" s="219">
        <f>IFERROR(SUM(AM218,AM219,AM220,AM223,AM241,AM244)/(AM75+AK75+AJ75+AI75),"")</f>
        <v>5.13428325352714</v>
      </c>
      <c r="AN340" s="219" t="str">
        <f>IFERROR(SUM(AN218,AN219,AN220,AN223,AN241,AN244)/(AN75+AM75+AK75+AJ75),"")</f>
        <v/>
      </c>
      <c r="AO340" s="219" t="str">
        <f>IFERROR(SUM(AO218,AO219,AO220,AO223,AO241,AO244)/(AO75+AN75+AM75+AK75),"")</f>
        <v/>
      </c>
      <c r="AP340" s="219" t="str">
        <f>IFERROR(SUM(AP218,AP219,AP220,AP223,AP241,AP244)/(AP75+AO75+AN75+AM75),"")</f>
        <v/>
      </c>
      <c r="AR340" s="219" t="str">
        <f>IFERROR(SUM(AR218,AR219,AR220,AR223,AR241,AR244)/(AR75+AP75+AO75+AN75),"")</f>
        <v/>
      </c>
      <c r="AS340" s="219" t="str">
        <f>IFERROR(SUM(AS218,AS219,AS220,AS223,AS241,AS244)/(AS75+AR75+AP75+AO75),"")</f>
        <v/>
      </c>
      <c r="AT340" s="219" t="str">
        <f>IFERROR(SUM(AT218,AT219,AT220,AT223,AT241,AT244)/(AT75+AS75+AR75+AP75),"")</f>
        <v/>
      </c>
      <c r="AU340" s="219" t="str">
        <f>IFERROR(SUM(AU218,AU219,AU220,AU223,AU241,AU244)/(AU75+AT75+AS75+AR75),"")</f>
        <v/>
      </c>
      <c r="AW340" s="219" t="str">
        <f>IFERROR(SUM(AW218,AW219,AW220,AW223,AW241,AW244)/(AW75+AU75+AT75+AS75),"")</f>
        <v/>
      </c>
      <c r="AX340" s="219" t="str">
        <f>IFERROR(SUM(AX218,AX219,AX220,AX223,AX241,AX244)/(AX75+AW75+AU75+AT75),"")</f>
        <v/>
      </c>
      <c r="AY340" s="219" t="str">
        <f>IFERROR(SUM(AY218,AY219,AY220,AY223,AY241,AY244)/(AY75+AX75+AW75+AU75),"")</f>
        <v/>
      </c>
      <c r="AZ340" s="219" t="str">
        <f>IFERROR(SUM(AZ218,AZ219,AZ220,AZ223,AZ241,AZ244)/(AZ75+AY75+AX75+AW75),"")</f>
        <v/>
      </c>
      <c r="BB340" s="219" t="str">
        <f>IFERROR(SUM(BB218,BB219,BB220,BB223,BB241,BB244)/(BB75+AZ75+AY75+AX75),"")</f>
        <v/>
      </c>
      <c r="BC340" s="219" t="str">
        <f>IFERROR(SUM(BC218,BC219,BC220,BC223,BC241,BC244)/(BC75+BB75+AZ75+AY75),"")</f>
        <v/>
      </c>
      <c r="BD340" s="219" t="str">
        <f>IFERROR(SUM(BD218,BD219,BD220,BD223,BD241,BD244)/(BD75+BC75+BB75+AZ75),"")</f>
        <v/>
      </c>
      <c r="BE340" s="219" t="str">
        <f>IFERROR(SUM(BE218,BE219,BE220,BE223,BE241,BE244)/(BE75+BD75+BC75+BB75),"")</f>
        <v/>
      </c>
      <c r="BG340" s="219" t="str">
        <f>IFERROR(SUM(BG218,BG219,BG220,BG223,BG241,BG244)/(BG75+BE75+BD75+BC75),"")</f>
        <v/>
      </c>
      <c r="BH340" s="219" t="str">
        <f>IFERROR(SUM(BH218,BH219,BH220,BH223,BH241,BH244)/(BH75+BG75+BE75+BD75),"")</f>
        <v/>
      </c>
      <c r="BI340" s="219" t="str">
        <f>IFERROR(SUM(BI218,BI219,BI220,BI223,BI241,BI244)/(BI75+BH75+BG75+BE75),"")</f>
        <v/>
      </c>
      <c r="BJ340" s="219" t="str">
        <f>IFERROR(SUM(BJ218,BJ219,BJ220,BJ223,BJ241,BJ244)/(BJ75+BI75+BH75+BG75),"")</f>
        <v/>
      </c>
      <c r="BL340" s="219" t="str">
        <f>IFERROR(SUM(BL218,BL219,BL220,BL223,BL241,BL244)/(BL75+BJ75+BI75+BH75),"")</f>
        <v/>
      </c>
      <c r="BM340" s="219" t="str">
        <f>IFERROR(SUM(BM218,BM219,BM220,BM223,BM241,BM244)/(BM75+BL75+BJ75+BI75),"")</f>
        <v/>
      </c>
      <c r="BN340" s="219" t="str">
        <f>IFERROR(SUM(BN218,BN219,BN220,BN223,BN241,BN244)/(BN75+BM75+BL75+BJ75),"")</f>
        <v/>
      </c>
      <c r="BO340" s="219" t="str">
        <f>IFERROR(SUM(BO218,BO219,BO220,BO223,BO241,BO244)/(BO75+BN75+BM75+BL75),"")</f>
        <v/>
      </c>
      <c r="BQ340" s="219" t="str">
        <f>IFERROR(SUM(BQ218,BQ219,BQ220,BQ223,BQ241,BQ244)/(BQ75+BO75+BN75+BM75),"")</f>
        <v/>
      </c>
      <c r="BR340" s="219" t="str">
        <f>IFERROR(SUM(BR218,BR219,BR220,BR223,BR241,BR244)/(BR75+BQ75+BO75+BN75),"")</f>
        <v/>
      </c>
      <c r="BS340" s="219" t="str">
        <f>IFERROR(SUM(BS218,BS219,BS220,BS223,BS241,BS244)/(BS75+BR75+BQ75+BO75),"")</f>
        <v/>
      </c>
      <c r="BT340" s="219" t="str">
        <f>IFERROR(SUM(BT218,BT219,BT220,BT223,BT241,BT244)/(BT75+BS75+BR75+BQ75),"")</f>
        <v/>
      </c>
      <c r="BV340" s="219" t="str">
        <f>IFERROR(SUM(BV218,BV219,BV220,BV223,BV241,BV244)/(BV75+BT75+BS75+BR75),"")</f>
        <v/>
      </c>
      <c r="BW340" s="219" t="str">
        <f>IFERROR(SUM(BW218,BW219,BW220,BW223,BW241,BW244)/(BW75+BV75+BT75+BS75),"")</f>
        <v/>
      </c>
      <c r="BX340" s="219" t="str">
        <f>IFERROR(SUM(BX218,BX219,BX220,BX223,BX241,BX244)/(BX75+BW75+BV75+BT75),"")</f>
        <v/>
      </c>
      <c r="BY340" s="219" t="str">
        <f>IFERROR(SUM(BY218,BY219,BY220,BY223,BY241,BY244)/(BY75+BX75+BW75+BV75),"")</f>
        <v/>
      </c>
      <c r="CA340" s="219" t="str">
        <f>IFERROR(SUM(CA218,CA219,CA220,CA223,CA241,CA244)/(CA75+BY75+BX75+BW75),"")</f>
        <v/>
      </c>
      <c r="CB340" s="219" t="str">
        <f>IFERROR(SUM(CB218,CB219,CB220,CB223,CB241,CB244)/(CB75+CA75+BY75+BX75),"")</f>
        <v/>
      </c>
      <c r="CC340" s="219" t="str">
        <f>IFERROR(SUM(CC218,CC219,CC220,CC223,CC241,CC244)/(CC75+CB75+CA75+BY75),"")</f>
        <v/>
      </c>
      <c r="CD340" s="219" t="str">
        <f>IFERROR(SUM(CD218,CD219,CD220,CD223,CD241,CD244)/(CD75+CC75+CB75+CA75),"")</f>
        <v/>
      </c>
      <c r="CF340" s="219" t="str">
        <f>IFERROR(SUM(CF218,CF219,CF220,CF223,CF241,CF244)/(CF75+CD75+CC75+CB75),"")</f>
        <v/>
      </c>
      <c r="CG340" s="219" t="str">
        <f>IFERROR(SUM(CG218,CG219,CG220,CG223,CG241,CG244)/(CG75+CF75+CD75+CC75),"")</f>
        <v/>
      </c>
      <c r="CH340" s="219" t="str">
        <f>IFERROR(SUM(CH218,CH219,CH220,CH223,CH241,CH244)/(CH75+CG75+CF75+CD75),"")</f>
        <v/>
      </c>
      <c r="CI340" s="219" t="str">
        <f>IFERROR(SUM(CI218,CI219,CI220,CI223,CI241,CI244)/(CI75+CH75+CG75+CF75),"")</f>
        <v/>
      </c>
      <c r="CK340" s="219" t="str">
        <f>IFERROR(SUM(CK218,CK219,CK220,CK223,CK241,CK244)/(CK75+CI75+CH75+CG75),"")</f>
        <v/>
      </c>
      <c r="CL340" s="219" t="str">
        <f>IFERROR(SUM(CL218,CL219,CL220,CL223,CL241,CL244)/(CL75+CK75+CI75+CH75),"")</f>
        <v/>
      </c>
      <c r="CM340" s="219" t="str">
        <f>IFERROR(SUM(CM218,CM219,CM220,CM223,CM241,CM244)/(CM75+CL75+CK75+CI75),"")</f>
        <v/>
      </c>
      <c r="CN340" s="219" t="str">
        <f>IFERROR(SUM(CN218,CN219,CN220,CN223,CN241,CN244)/(CN75+CM75+CL75+CK75),"")</f>
        <v/>
      </c>
      <c r="CP340" s="219" t="str">
        <f>IFERROR(SUM(CP218,CP219,CP220,CP223,CP241,CP244)/(CP75+CN75+CM75+CL75),"")</f>
        <v/>
      </c>
      <c r="CQ340" s="219" t="str">
        <f>IFERROR(SUM(CQ218,CQ219,CQ220,CQ223,CQ241,CQ244)/(CQ75+CP75+CN75+CM75),"")</f>
        <v/>
      </c>
      <c r="CR340" s="219" t="str">
        <f>IFERROR(SUM(CR218,CR219,CR220,CR223,CR241,CR244)/(CR75+CQ75+CP75+CN75),"")</f>
        <v/>
      </c>
      <c r="CS340" s="219" t="str">
        <f>IFERROR(SUM(CS218,CS219,CS220,CS223,CS241,CS244)/(CS75+CR75+CQ75+CP75),"")</f>
        <v/>
      </c>
      <c r="CU340" s="219" t="str">
        <f>IFERROR(SUM(CU218,CU219,CU220,CU223,CU241,CU244)/(CU75+CS75+CR75+CQ75),"")</f>
        <v/>
      </c>
      <c r="CV340" s="219" t="str">
        <f>IFERROR(SUM(CV218,CV219,CV220,CV223,CV241,CV244)/(CV75+CU75+CS75+CR75),"")</f>
        <v/>
      </c>
      <c r="CW340" s="219" t="str">
        <f>IFERROR(SUM(CW218,CW219,CW220,CW223,CW241,CW244)/(CW75+CV75+CU75+CS75),"")</f>
        <v/>
      </c>
      <c r="CX340" s="219" t="str">
        <f>IFERROR(SUM(CX218,CX219,CX220,CX223,CX241,CX244)/(CX75+CW75+CV75+CU75),"")</f>
        <v/>
      </c>
    </row>
    <row r="341" customFormat="1" s="233">
      <c r="A341" s="224" t="n"/>
      <c r="B341" s="224" t="n"/>
      <c r="C341" s="233" t="inlineStr">
        <is>
          <t>TOTAL DEBT / TOTAL CAPITALIZATION</t>
        </is>
      </c>
      <c r="D341" s="221">
        <f>SUM(D218+D219+D220+D223+D241+D244)/(SUM(D218+D219+D220+D223+D241+D244)+D277)</f>
        <v>0.336493273880731</v>
      </c>
      <c r="E341" s="221">
        <f>SUM(E218+E219+E220+E223+E241+E244)/(SUM(E218+E219+E220+E223+E241+E244)+E277)</f>
        <v>0.352143720050398</v>
      </c>
      <c r="F341" s="221">
        <f>SUM(F218+F219+F220+F223+F241+F244)/(SUM(F218+F219+F220+F223+F241+F244)+F277)</f>
        <v>0.355972964758762</v>
      </c>
      <c r="G341" s="221">
        <f>SUM(G218+G219+G220+G223+G241+G244)/(SUM(G218+G219+G220+G223+G241+G244)+G277)</f>
        <v>0.365875948376086</v>
      </c>
      <c r="I341" s="221">
        <f>SUM(I218+I219+I220+I223+I241+I244)/(SUM(I218+I219+I220+I223+I241+I244)+I277)</f>
        <v>0.339211765177188</v>
      </c>
      <c r="J341" s="221">
        <f>SUM(J218+J219+J220+J223+J241+J244)/(SUM(J218+J219+J220+J223+J241+J244)+J277)</f>
        <v>0.353647864958391</v>
      </c>
      <c r="K341" s="221">
        <f>SUM(K218+K219+K220+K223+K241+K244)/(SUM(K218+K219+K220+K223+K241+K244)+K277)</f>
        <v>0.35953829933896</v>
      </c>
      <c r="L341" s="221">
        <f>SUM(L218+L219+L220+L223+L241+L244)/(SUM(L218+L219+L220+L223+L241+L244)+L277)</f>
        <v>0.34934354924974</v>
      </c>
      <c r="N341" s="221">
        <f>SUM(N218+N219+N220+N223+N241+N244)/(SUM(N218+N219+N220+N223+N241+N244)+N277)</f>
        <v>0.349190453773405</v>
      </c>
      <c r="O341" s="221">
        <f>SUM(O218+O219+O220+O223+O241+O244)/(SUM(O218+O219+O220+O223+O241+O244)+O277)</f>
        <v>0.331412437299372</v>
      </c>
      <c r="P341" s="221">
        <f>SUM(P218+P219+P220+P223+P241+P244)/(SUM(P218+P219+P220+P223+P241+P244)+P277)</f>
        <v>0.328517992041842</v>
      </c>
      <c r="Q341" s="221">
        <f>SUM(Q218+Q219+Q220+Q223+Q241+Q244)/(SUM(Q218+Q219+Q220+Q223+Q241+Q244)+Q277)</f>
        <v>0.314262268773958</v>
      </c>
      <c r="S341" s="221">
        <f>SUM(S218+S219+S220+S223+S241+S244)/(SUM(S218+S219+S220+S223+S241+S244)+S277)</f>
        <v>0.311565938302139</v>
      </c>
      <c r="T341" s="221">
        <f>SUM(T218+T219+T220+T223+T241+T244)/(SUM(T218+T219+T220+T223+T241+T244)+T277)</f>
        <v>0.309607545178157</v>
      </c>
      <c r="U341" s="221">
        <f>SUM(U218+U219+U220+U223+U241+U244)/(SUM(U218+U219+U220+U223+U241+U244)+U277)</f>
        <v>0.30858185734766</v>
      </c>
      <c r="V341" s="221">
        <f>SUM(V218+V219+V220+V223+V241+V244)/(SUM(V218+V219+V220+V223+V241+V244)+V277)</f>
        <v>0.290544775155191</v>
      </c>
      <c r="X341" s="221">
        <f>SUM(X218+X219+X220+X223+X241+X244)/(SUM(X218+X219+X220+X223+X241+X244)+X277)</f>
        <v>0.29369128045727</v>
      </c>
      <c r="Y341" s="221">
        <f>SUM(Y218+Y219+Y220+Y223+Y241+Y244)/(SUM(Y218+Y219+Y220+Y223+Y241+Y244)+Y277)</f>
        <v>0.285790778904815</v>
      </c>
      <c r="Z341" s="221">
        <f>SUM(Z218+Z219+Z220+Z223+Z241+Z244)/(SUM(Z218+Z219+Z220+Z223+Z241+Z244)+Z277)</f>
        <v>0.298150613124044</v>
      </c>
      <c r="AA341" s="221">
        <f>SUM(AA218+AA219+AA220+AA223+AA241+AA244)/(SUM(AA218+AA219+AA220+AA223+AA241+AA244)+AA277)</f>
        <v>0.322361717332133</v>
      </c>
      <c r="AC341" s="221">
        <f>SUM(AC218+AC219+AC220+AC223+AC241+AC244)/(SUM(AC218+AC219+AC220+AC223+AC241+AC244)+AC277)</f>
        <v>0.291437435768744</v>
      </c>
      <c r="AD341" s="221">
        <f>SUM(AD218+AD219+AD220+AD223+AD241+AD244)/(SUM(AD218+AD219+AD220+AD223+AD241+AD244)+AD277)</f>
        <v>0.28148554868168</v>
      </c>
      <c r="AE341" s="221">
        <f>SUM(AE218+AE219+AE220+AE223+AE241+AE244)/(SUM(AE218+AE219+AE220+AE223+AE241+AE244)+AE277)</f>
        <v>0.297174022176051</v>
      </c>
      <c r="AF341" s="221">
        <f>SUM(AF218+AF219+AF220+AF223+AF241+AF244)/(SUM(AF218+AF219+AF220+AF223+AF241+AF244)+AF277)</f>
        <v>0.294807976660104</v>
      </c>
      <c r="AH341" s="221">
        <f>SUM(AH218+AH219+AH220+AH223+AH241+AH244)/(SUM(AH218+AH219+AH220+AH223+AH241+AH244)+AH277)</f>
        <v>0.285200264004106</v>
      </c>
      <c r="AI341" s="221">
        <f>SUM(AI218+AI219+AI220+AI223+AI241+AI244)/(SUM(AI218+AI219+AI220+AI223+AI241+AI244)+AI277)</f>
        <v>0.278378301862049</v>
      </c>
      <c r="AJ341" s="221">
        <f>SUM(AJ218+AJ219+AJ220+AJ223+AJ241+AJ244)/(SUM(AJ218+AJ219+AJ220+AJ223+AJ241+AJ244)+AJ277)</f>
        <v>0.277874464262447</v>
      </c>
      <c r="AK341" s="221">
        <f>SUM(AK218+AK219+AK220+AK223+AK241+AK244)/(SUM(AK218+AK219+AK220+AK223+AK241+AK244)+AK277)</f>
        <v>0.277172548112594</v>
      </c>
      <c r="AM341" s="221">
        <f>SUM(AM218+AM219+AM220+AM223+AM241+AM244)/(SUM(AM218+AM219+AM220+AM223+AM241+AM244)+AM277)</f>
        <v>0.276474169134707</v>
      </c>
      <c r="AN341" s="221">
        <f>SUM(AN218+AN219+AN220+AN223+AN241+AN244)/(SUM(AN218+AN219+AN220+AN223+AN241+AN244)+AN277)</f>
        <v>0.274105657177561</v>
      </c>
      <c r="AO341" s="221">
        <f>SUM(AO218+AO219+AO220+AO223+AO241+AO244)/(SUM(AO218+AO219+AO220+AO223+AO241+AO244)+AO277)</f>
        <v>0.273422628662127</v>
      </c>
      <c r="AP341" s="221">
        <f>SUM(AP218+AP219+AP220+AP223+AP241+AP244)/(SUM(AP218+AP219+AP220+AP223+AP241+AP244)+AP277)</f>
        <v>0.271105893268183</v>
      </c>
      <c r="AR341" s="221">
        <f>SUM(AR218+AR219+AR220+AR223+AR241+AR244)/(SUM(AR218+AR219+AR220+AR223+AR241+AR244)+AR277)</f>
        <v>0.268828087846418</v>
      </c>
      <c r="AS341" s="221">
        <f>SUM(AS218+AS219+AS220+AS223+AS241+AS244)/(SUM(AS218+AS219+AS220+AS223+AS241+AS244)+AS277)</f>
        <v>0.263117452709658</v>
      </c>
      <c r="AT341" s="221">
        <f>SUM(AT218+AT219+AT220+AT223+AT241+AT244)/(SUM(AT218+AT219+AT220+AT223+AT241+AT244)+AT277)</f>
        <v>0.260971374475106</v>
      </c>
      <c r="AU341" s="221">
        <f>SUM(AU218+AU219+AU220+AU223+AU241+AU244)/(SUM(AU218+AU219+AU220+AU223+AU241+AU244)+AU277)</f>
        <v>0.255586314036715</v>
      </c>
      <c r="AW341" s="221">
        <f>SUM(AW218+AW219+AW220+AW223+AW241+AW244)/(SUM(AW218+AW219+AW220+AW223+AW241+AW244)+AW277)</f>
        <v>0.25041899848543</v>
      </c>
      <c r="AX341" s="221">
        <f>SUM(AX218+AX219+AX220+AX223+AX241+AX244)/(SUM(AX218+AX219+AX220+AX223+AX241+AX244)+AX277)</f>
        <v>0.237119422583438</v>
      </c>
      <c r="AY341" s="221">
        <f>SUM(AY218+AY219+AY220+AY223+AY241+AY244)/(SUM(AY218+AY219+AY220+AY223+AY241+AY244)+AY277)</f>
        <v>0.232665333263361</v>
      </c>
      <c r="AZ341" s="221">
        <f>SUM(AZ218+AZ219+AZ220+AZ223+AZ241+AZ244)/(SUM(AZ218+AZ219+AZ220+AZ223+AZ241+AZ244)+AZ277)</f>
        <v>0.221141289321019</v>
      </c>
      <c r="BB341" s="221">
        <f>SUM(BB218+BB219+BB220+BB223+BB241+BB244)/(SUM(BB218+BB219+BB220+BB223+BB241+BB244)+BB277)</f>
        <v>0.210704955174286</v>
      </c>
      <c r="BC341" s="221">
        <f>SUM(BC218+BC219+BC220+BC223+BC241+BC244)/(SUM(BC218+BC219+BC220+BC223+BC241+BC244)+BC277)</f>
        <v>0.186727548310493</v>
      </c>
      <c r="BD341" s="221">
        <f>SUM(BD218+BD219+BD220+BD223+BD241+BD244)/(SUM(BD218+BD219+BD220+BD223+BD241+BD244)+BD277)</f>
        <v>0.179231603595318</v>
      </c>
      <c r="BE341" s="221">
        <f>SUM(BE218+BE219+BE220+BE223+BE241+BE244)/(SUM(BE218+BE219+BE220+BE223+BE241+BE244)+BE277)</f>
        <v>0.161582304725379</v>
      </c>
      <c r="BG341" s="221">
        <f>SUM(BG218+BG219+BG220+BG223+BG241+BG244)/(SUM(BG218+BG219+BG220+BG223+BG241+BG244)+BG277)</f>
        <v>0.147097332579871</v>
      </c>
      <c r="BH341" s="221">
        <f>SUM(BH218+BH219+BH220+BH223+BH241+BH244)/(SUM(BH218+BH219+BH220+BH223+BH241+BH244)+BH277)</f>
        <v>0.118133205984654</v>
      </c>
      <c r="BI341" s="221">
        <f>SUM(BI218+BI219+BI220+BI223+BI241+BI244)/(SUM(BI218+BI219+BI220+BI223+BI241+BI244)+BI277)</f>
        <v>0.110199592345292</v>
      </c>
      <c r="BJ341" s="221">
        <f>SUM(BJ218+BJ219+BJ220+BJ223+BJ241+BJ244)/(SUM(BJ218+BJ219+BJ220+BJ223+BJ241+BJ244)+BJ277)</f>
        <v>0.093099083188756</v>
      </c>
      <c r="BL341" s="221">
        <f>SUM(BL218+BL219+BL220+BL223+BL241+BL244)/(SUM(BL218+BL219+BL220+BL223+BL241+BL244)+BL277)</f>
        <v>0.0805928738004505</v>
      </c>
      <c r="BM341" s="221">
        <f>SUM(BM218+BM219+BM220+BM223+BM241+BM244)/(SUM(BM218+BM219+BM220+BM223+BM241+BM244)+BM277)</f>
        <v>0.0589605509969494</v>
      </c>
      <c r="BN341" s="221">
        <f>SUM(BN218+BN219+BN220+BN223+BN241+BN244)/(SUM(BN218+BN219+BN220+BN223+BN241+BN244)+BN277)</f>
        <v>0.0536846646960202</v>
      </c>
      <c r="BO341" s="221">
        <f>SUM(BO218+BO219+BO220+BO223+BO241+BO244)/(SUM(BO218+BO219+BO220+BO223+BO241+BO244)+BO277)</f>
        <v>0.0431411200665934</v>
      </c>
      <c r="BQ341" s="221">
        <f>SUM(BQ218+BQ219+BQ220+BQ223+BQ241+BQ244)/(SUM(BQ218+BQ219+BQ220+BQ223+BQ241+BQ244)+BQ277)</f>
        <v>0.0360591800660434</v>
      </c>
      <c r="BR341" s="221">
        <f>SUM(BR218+BR219+BR220+BR223+BR241+BR244)/(SUM(BR218+BR219+BR220+BR223+BR241+BR244)+BR277)</f>
        <v>0.0248937745334326</v>
      </c>
      <c r="BS341" s="221">
        <f>SUM(BS218+BS219+BS220+BS223+BS241+BS244)/(SUM(BS218+BS219+BS220+BS223+BS241+BS244)+BS277)</f>
        <v>0.0223597926638623</v>
      </c>
      <c r="BT341" s="221">
        <f>SUM(BT218+BT219+BT220+BT223+BT241+BT244)/(SUM(BT218+BT219+BT220+BT223+BT241+BT244)+BT277)</f>
        <v>0.0174942524717839</v>
      </c>
      <c r="BV341" s="221">
        <f>SUM(BV218+BV219+BV220+BV223+BV241+BV244)/(SUM(BV218+BV219+BV220+BV223+BV241+BV244)+BV277)</f>
        <v>0.0143677897400984</v>
      </c>
      <c r="BW341" s="221">
        <f>SUM(BW218+BW219+BW220+BW223+BW241+BW244)/(SUM(BW218+BW219+BW220+BW223+BW241+BW244)+BW277)</f>
        <v>0.00965418542160102</v>
      </c>
      <c r="BX341" s="221">
        <f>SUM(BX218+BX219+BX220+BX223+BX241+BX244)/(SUM(BX218+BX219+BX220+BX223+BX241+BX244)+BX277)</f>
        <v>0.00861916539556461</v>
      </c>
      <c r="BY341" s="221">
        <f>SUM(BY218+BY219+BY220+BY223+BY241+BY244)/(SUM(BY218+BY219+BY220+BY223+BY241+BY244)+BY277)</f>
        <v>0.00666655984300114</v>
      </c>
      <c r="CA341" s="221">
        <f>SUM(CA218+CA219+CA220+CA223+CA241+CA244)/(SUM(CA218+CA219+CA220+CA223+CA241+CA244)+CA277)</f>
        <v>0.00543524658150396</v>
      </c>
      <c r="CB341" s="221">
        <f>SUM(CB218+CB219+CB220+CB223+CB241+CB244)/(SUM(CB218+CB219+CB220+CB223+CB241+CB244)+CB277)</f>
        <v>0.00361238963945015</v>
      </c>
      <c r="CC341" s="221">
        <f>SUM(CC218+CC219+CC220+CC223+CC241+CC244)/(SUM(CC218+CC219+CC220+CC223+CC241+CC244)+CC277)</f>
        <v>0.00321743121446424</v>
      </c>
      <c r="CD341" s="221">
        <f>SUM(CD218+CD219+CD220+CD223+CD241+CD244)/(SUM(CD218+CD219+CD220+CD223+CD241+CD244)+CD277)</f>
        <v>0.00247740772475968</v>
      </c>
      <c r="CF341" s="221">
        <f>SUM(CF218+CF219+CF220+CF223+CF241+CF244)/(SUM(CF218+CF219+CF220+CF223+CF241+CF244)+CF277)</f>
        <v>0.00201414533846718</v>
      </c>
      <c r="CG341" s="221">
        <f>SUM(CG218+CG219+CG220+CG223+CG241+CG244)/(SUM(CG218+CG219+CG220+CG223+CG241+CG244)+CG277)</f>
        <v>0.00133309546339828</v>
      </c>
      <c r="CH341" s="221">
        <f>SUM(CH218+CH219+CH220+CH223+CH241+CH244)/(SUM(CH218+CH219+CH220+CH223+CH241+CH244)+CH277)</f>
        <v>0.00118627536551643</v>
      </c>
      <c r="CI341" s="221">
        <f>SUM(CI218+CI219+CI220+CI223+CI241+CI244)/(SUM(CI218+CI219+CI220+CI223+CI241+CI244)+CI277)</f>
        <v>0.000911892971163168</v>
      </c>
      <c r="CK341" s="221">
        <f>SUM(CK218+CK219+CK220+CK223+CK241+CK244)/(SUM(CK218+CK219+CK220+CK223+CK241+CK244)+CK277)</f>
        <v>0.000740595228669417</v>
      </c>
      <c r="CL341" s="221">
        <f>SUM(CL218+CL219+CL220+CL223+CL241+CL244)/(SUM(CL218+CL219+CL220+CL223+CL241+CL244)+CL277)</f>
        <v>0.000489419378796848</v>
      </c>
      <c r="CM341" s="221">
        <f>SUM(CM218+CM219+CM220+CM223+CM241+CM244)/(SUM(CM218+CM219+CM220+CM223+CM241+CM244)+CM277)</f>
        <v>0.000435372677333824</v>
      </c>
      <c r="CN341" s="221">
        <f>SUM(CN218+CN219+CN220+CN223+CN241+CN244)/(SUM(CN218+CN219+CN220+CN223+CN241+CN244)+CN277)</f>
        <v>0.000334464384580652</v>
      </c>
      <c r="CP341" s="221">
        <f>SUM(CP218+CP219+CP220+CP223+CP241+CP244)/(SUM(CP218+CP219+CP220+CP223+CP241+CP244)+CP277)</f>
        <v>0.000271530527298156</v>
      </c>
      <c r="CQ341" s="221">
        <f>SUM(CQ218+CQ219+CQ220+CQ223+CQ241+CQ244)/(SUM(CQ218+CQ219+CQ220+CQ223+CQ241+CQ244)+CQ277)</f>
        <v>0.000179338028295063</v>
      </c>
      <c r="CR341" s="221">
        <f>SUM(CR218+CR219+CR220+CR223+CR241+CR244)/(SUM(CR218+CR219+CR220+CR223+CR241+CR244)+CR277)</f>
        <v>0.000159514199082322</v>
      </c>
      <c r="CS341" s="221">
        <f>SUM(CS218+CS219+CS220+CS223+CS241+CS244)/(SUM(CS218+CS219+CS220+CS223+CS241+CS244)+CS277)</f>
        <v>0.000122514946176245</v>
      </c>
      <c r="CU341" s="221">
        <f>SUM(CU218+CU219+CU220+CU223+CU241+CU244)/(SUM(CU218+CU219+CU220+CU223+CU241+CU244)+CU277)</f>
        <v>9.94480190397923e-05</v>
      </c>
      <c r="CV341" s="221">
        <f>SUM(CV218+CV219+CV220+CV223+CV241+CV244)/(SUM(CV218+CV219+CV220+CV223+CV241+CV244)+CV277)</f>
        <v>6.56688549521922e-05</v>
      </c>
      <c r="CW341" s="221">
        <f>SUM(CW218+CW219+CW220+CW223+CW241+CW244)/(SUM(CW218+CW219+CW220+CW223+CW241+CW244)+CW277)</f>
        <v>5.8407277996336e-05</v>
      </c>
      <c r="CX341" s="221">
        <f>SUM(CX218+CX219+CX220+CX223+CX241+CX244)/(SUM(CX218+CX219+CX220+CX223+CX241+CX244)+CX277)</f>
        <v>4.4855986263994e-05</v>
      </c>
    </row>
    <row r="342" customFormat="1" s="233">
      <c r="A342" s="224" t="n"/>
      <c r="B342" s="224" t="n"/>
      <c r="C342" s="233" t="inlineStr">
        <is>
          <t>NET DEBT / EBITDA LTM (com arrendamentos)</t>
        </is>
      </c>
      <c r="D342" s="219" t="str">
        <f>""</f>
        <v/>
      </c>
      <c r="E342" s="219" t="str">
        <f>""</f>
        <v/>
      </c>
      <c r="F342" s="219" t="str">
        <f>""</f>
        <v/>
      </c>
      <c r="G342" s="219">
        <f>IFERROR((SUM(G218,G219,G220,G223,G241,G244)-G150)/(G75+F75+E75+D75),"")</f>
        <v>-0.10821074160913</v>
      </c>
      <c r="I342" s="219">
        <f>IFERROR((SUM(I218,I219,I220,I223,I241,I244)-I150)/(I75+G75+F75+E75),"")</f>
        <v>-0.0753741057846686</v>
      </c>
      <c r="J342" s="219">
        <f>IFERROR((SUM(J218,J219,J220,J223,J241,J244)-J150)/(J75+I75+G75+F75),"")</f>
        <v>0.0519152330545239</v>
      </c>
      <c r="K342" s="219">
        <f>IFERROR((SUM(K218,K219,K220,K223,K241,K244)-K150)/(K75+J75+I75+G75),"")</f>
        <v>0.114674835627074</v>
      </c>
      <c r="L342" s="219">
        <f>IFERROR((SUM(L218,L219,L220,L223,L241,L244)-L150)/(L75+K75+J75+I75),"")</f>
        <v>0.256661213286785</v>
      </c>
      <c r="N342" s="219">
        <f>IFERROR((SUM(N218,N219,N220,N223,N241,N244)-N150)/(N75+L75+K75+J75),"")</f>
        <v>0.464439477809629</v>
      </c>
      <c r="O342" s="219">
        <f>IFERROR((SUM(O218,O219,O220,O223,O241,O244)-O150)/(O75+N75+L75+K75),"")</f>
        <v>0.786397321419167</v>
      </c>
      <c r="P342" s="219">
        <f>IFERROR((SUM(P218,P219,P220,P223,P241,P244)-P150)/(P75+O75+N75+L75),"")</f>
        <v>1.01103798716712</v>
      </c>
      <c r="Q342" s="219">
        <f>IFERROR((SUM(Q218,Q219,Q220,Q223,Q241,Q244)-Q150)/(Q75+P75+O75+N75),"")</f>
        <v>0.768807201426095</v>
      </c>
      <c r="S342" s="219">
        <f>IFERROR((SUM(S218,S219,S220,S223,S241,S244)-S150)/(S75+Q75+P75+O75),"")</f>
        <v>0.858736002163</v>
      </c>
      <c r="T342" s="219">
        <f>IFERROR((SUM(T218,T219,T220,T223,T241,T244)-T150)/(T75+S75+Q75+P75),"")</f>
        <v>1.07438043362987</v>
      </c>
      <c r="U342" s="219">
        <f>IFERROR((SUM(U218,U219,U220,U223,U241,U244)-U150)/(U75+T75+S75+Q75),"")</f>
        <v>1.10588937358557</v>
      </c>
      <c r="V342" s="219">
        <f>IFERROR((SUM(V218,V219,V220,V223,V241,V244)-V150)/(V75+U75+T75+S75),"")</f>
        <v>0.883892229754841</v>
      </c>
      <c r="X342" s="219">
        <f>IFERROR((SUM(X218,X219,X220,X223,X241,X244)-X150)/(X75+V75+U75+T75),"")</f>
        <v>0.775791728920852</v>
      </c>
      <c r="Y342" s="219">
        <f>IFERROR((SUM(Y218,Y219,Y220,Y223,Y241,Y244)-Y150)/(Y75+X75+V75+U75),"")</f>
        <v>0.764054640925139</v>
      </c>
      <c r="Z342" s="219">
        <f>IFERROR((SUM(Z218,Z219,Z220,Z223,Z241,Z244)-Z150)/(Z75+Y75+X75+V75),"")</f>
        <v>0.910649624781557</v>
      </c>
      <c r="AA342" s="219">
        <f>IFERROR((SUM(AA218,AA219,AA220,AA223,AA241,AA244)-AA150)/(AA75+Z75+Y75+X75),"")</f>
        <v>1.08631247132793</v>
      </c>
      <c r="AC342" s="219">
        <f>IFERROR((SUM(AC218,AC219,AC220,AC223,AC241,AC244)-AC150)/(AC75+AA75+Z75+Y75),"")</f>
        <v>1.0173637428588</v>
      </c>
      <c r="AD342" s="219">
        <f>IFERROR((SUM(AD218,AD219,AD220,AD223,AD241,AD244)-AD150)/(AD75+AC75+AA75+Z75),"")</f>
        <v>1.06155343531464</v>
      </c>
      <c r="AE342" s="219">
        <f>IFERROR((SUM(AE218,AE219,AE220,AE223,AE241,AE244)-AE150)/(AE75+AD75+AC75+AA75),"")</f>
        <v>1.07647591705769</v>
      </c>
      <c r="AF342" s="219">
        <f>IFERROR((SUM(AF218,AF219,AF220,AF223,AF241,AF244)-AF150)/(AF75+AE75+AD75+AC75),"")</f>
        <v>0.949125094960305</v>
      </c>
      <c r="AH342" s="219">
        <f>IFERROR((SUM(AH218,AH219,AH220,AH223,AH241,AH244)-AH150)/(AH75+AF75+AE75+AD75),"")</f>
        <v>1.02403978778042</v>
      </c>
      <c r="AI342" s="219">
        <f>IFERROR((SUM(AI218,AI219,AI220,AI223,AI241,AI244)-AI150)/(AI75+AH75+AF75+AE75),"")</f>
        <v>0.910415420552008</v>
      </c>
      <c r="AJ342" s="219">
        <f>IFERROR((SUM(AJ218,AJ219,AJ220,AJ223,AJ241,AJ244)-AJ150)/(AJ75+AI75+AH75+AF75),"")</f>
        <v>-2.21693823979887</v>
      </c>
      <c r="AK342" s="219">
        <f>IFERROR((SUM(AK218,AK219,AK220,AK223,AK241,AK244)-AK150)/(AK75+AJ75+AI75+AH75),"")</f>
        <v>-3.94623191792692</v>
      </c>
      <c r="AM342" s="219" t="str">
        <f>IFERROR((SUM(AM218,AM219,AM220,AM223,AM241,AM244)-AM150)/(AM75+AK75+AJ75+AI75),"")</f>
        <v/>
      </c>
      <c r="AN342" s="219" t="str">
        <f>IFERROR((SUM(AN218,AN219,AN220,AN223,AN241,AN244)-AN150)/(AN75+AM75+AK75+AJ75),"")</f>
        <v/>
      </c>
      <c r="AO342" s="219" t="str">
        <f>IFERROR((SUM(AO218,AO219,AO220,AO223,AO241,AO244)-AO150)/(AO75+AN75+AM75+AK75),"")</f>
        <v/>
      </c>
      <c r="AP342" s="219" t="str">
        <f>IFERROR((SUM(AP218,AP219,AP220,AP223,AP241,AP244)-AP150)/(AP75+AO75+AN75+AM75),"")</f>
        <v/>
      </c>
      <c r="AR342" s="219" t="str">
        <f>IFERROR((SUM(AR218,AR219,AR220,AR223,AR241,AR244)-AR150)/(AR75+AP75+AO75+AN75),"")</f>
        <v/>
      </c>
      <c r="AS342" s="219" t="str">
        <f>IFERROR((SUM(AS218,AS219,AS220,AS223,AS241,AS244)-AS150)/(AS75+AR75+AP75+AO75),"")</f>
        <v/>
      </c>
      <c r="AT342" s="219" t="str">
        <f>IFERROR((SUM(AT218,AT219,AT220,AT223,AT241,AT244)-AT150)/(AT75+AS75+AR75+AP75),"")</f>
        <v/>
      </c>
      <c r="AU342" s="219" t="str">
        <f>IFERROR((SUM(AU218,AU219,AU220,AU223,AU241,AU244)-AU150)/(AU75+AT75+AS75+AR75),"")</f>
        <v/>
      </c>
      <c r="AW342" s="219" t="str">
        <f>IFERROR((SUM(AW218,AW219,AW220,AW223,AW241,AW244)-AW150)/(AW75+AU75+AT75+AS75),"")</f>
        <v/>
      </c>
      <c r="AX342" s="219" t="str">
        <f>IFERROR((SUM(AX218,AX219,AX220,AX223,AX241,AX244)-AX150)/(AX75+AW75+AU75+AT75),"")</f>
        <v/>
      </c>
      <c r="AY342" s="219" t="str">
        <f>IFERROR((SUM(AY218,AY219,AY220,AY223,AY241,AY244)-AY150)/(AY75+AX75+AW75+AU75),"")</f>
        <v/>
      </c>
      <c r="AZ342" s="219" t="str">
        <f>IFERROR((SUM(AZ218,AZ219,AZ220,AZ223,AZ241,AZ244)-AZ150)/(AZ75+AY75+AX75+AW75),"")</f>
        <v/>
      </c>
      <c r="BB342" s="219" t="str">
        <f>IFERROR((SUM(BB218,BB219,BB220,BB223,BB241,BB244)-BB150)/(BB75+AZ75+AY75+AX75),"")</f>
        <v/>
      </c>
      <c r="BC342" s="219" t="str">
        <f>IFERROR((SUM(BC218,BC219,BC220,BC223,BC241,BC244)-BC150)/(BC75+BB75+AZ75+AY75),"")</f>
        <v/>
      </c>
      <c r="BD342" s="219" t="str">
        <f>IFERROR((SUM(BD218,BD219,BD220,BD223,BD241,BD244)-BD150)/(BD75+BC75+BB75+AZ75),"")</f>
        <v/>
      </c>
      <c r="BE342" s="219" t="str">
        <f>IFERROR((SUM(BE218,BE219,BE220,BE223,BE241,BE244)-BE150)/(BE75+BD75+BC75+BB75),"")</f>
        <v/>
      </c>
      <c r="BG342" s="219" t="str">
        <f>IFERROR((SUM(BG218,BG219,BG220,BG223,BG241,BG244)-BG150)/(BG75+BE75+BD75+BC75),"")</f>
        <v/>
      </c>
      <c r="BH342" s="219" t="str">
        <f>IFERROR((SUM(BH218,BH219,BH220,BH223,BH241,BH244)-BH150)/(BH75+BG75+BE75+BD75),"")</f>
        <v/>
      </c>
      <c r="BI342" s="219" t="str">
        <f>IFERROR((SUM(BI218,BI219,BI220,BI223,BI241,BI244)-BI150)/(BI75+BH75+BG75+BE75),"")</f>
        <v/>
      </c>
      <c r="BJ342" s="219" t="str">
        <f>IFERROR((SUM(BJ218,BJ219,BJ220,BJ223,BJ241,BJ244)-BJ150)/(BJ75+BI75+BH75+BG75),"")</f>
        <v/>
      </c>
      <c r="BL342" s="219" t="str">
        <f>IFERROR((SUM(BL218,BL219,BL220,BL223,BL241,BL244)-BL150)/(BL75+BJ75+BI75+BH75),"")</f>
        <v/>
      </c>
      <c r="BM342" s="219" t="str">
        <f>IFERROR((SUM(BM218,BM219,BM220,BM223,BM241,BM244)-BM150)/(BM75+BL75+BJ75+BI75),"")</f>
        <v/>
      </c>
      <c r="BN342" s="219" t="str">
        <f>IFERROR((SUM(BN218,BN219,BN220,BN223,BN241,BN244)-BN150)/(BN75+BM75+BL75+BJ75),"")</f>
        <v/>
      </c>
      <c r="BO342" s="219" t="str">
        <f>IFERROR((SUM(BO218,BO219,BO220,BO223,BO241,BO244)-BO150)/(BO75+BN75+BM75+BL75),"")</f>
        <v/>
      </c>
      <c r="BQ342" s="219" t="str">
        <f>IFERROR((SUM(BQ218,BQ219,BQ220,BQ223,BQ241,BQ244)-BQ150)/(BQ75+BO75+BN75+BM75),"")</f>
        <v/>
      </c>
      <c r="BR342" s="219" t="str">
        <f>IFERROR((SUM(BR218,BR219,BR220,BR223,BR241,BR244)-BR150)/(BR75+BQ75+BO75+BN75),"")</f>
        <v/>
      </c>
      <c r="BS342" s="219" t="str">
        <f>IFERROR((SUM(BS218,BS219,BS220,BS223,BS241,BS244)-BS150)/(BS75+BR75+BQ75+BO75),"")</f>
        <v/>
      </c>
      <c r="BT342" s="219" t="str">
        <f>IFERROR((SUM(BT218,BT219,BT220,BT223,BT241,BT244)-BT150)/(BT75+BS75+BR75+BQ75),"")</f>
        <v/>
      </c>
      <c r="BV342" s="219" t="str">
        <f>IFERROR((SUM(BV218,BV219,BV220,BV223,BV241,BV244)-BV150)/(BV75+BT75+BS75+BR75),"")</f>
        <v/>
      </c>
      <c r="BW342" s="219" t="str">
        <f>IFERROR((SUM(BW218,BW219,BW220,BW223,BW241,BW244)-BW150)/(BW75+BV75+BT75+BS75),"")</f>
        <v/>
      </c>
      <c r="BX342" s="219" t="str">
        <f>IFERROR((SUM(BX218,BX219,BX220,BX223,BX241,BX244)-BX150)/(BX75+BW75+BV75+BT75),"")</f>
        <v/>
      </c>
      <c r="BY342" s="219" t="str">
        <f>IFERROR((SUM(BY218,BY219,BY220,BY223,BY241,BY244)-BY150)/(BY75+BX75+BW75+BV75),"")</f>
        <v/>
      </c>
      <c r="CA342" s="219" t="str">
        <f>IFERROR((SUM(CA218,CA219,CA220,CA223,CA241,CA244)-CA150)/(CA75+BY75+BX75+BW75),"")</f>
        <v/>
      </c>
      <c r="CB342" s="219" t="str">
        <f>IFERROR((SUM(CB218,CB219,CB220,CB223,CB241,CB244)-CB150)/(CB75+CA75+BY75+BX75),"")</f>
        <v/>
      </c>
      <c r="CC342" s="219" t="str">
        <f>IFERROR((SUM(CC218,CC219,CC220,CC223,CC241,CC244)-CC150)/(CC75+CB75+CA75+BY75),"")</f>
        <v/>
      </c>
      <c r="CD342" s="219" t="str">
        <f>IFERROR((SUM(CD218,CD219,CD220,CD223,CD241,CD244)-CD150)/(CD75+CC75+CB75+CA75),"")</f>
        <v/>
      </c>
      <c r="CF342" s="219" t="str">
        <f>IFERROR((SUM(CF218,CF219,CF220,CF223,CF241,CF244)-CF150)/(CF75+CD75+CC75+CB75),"")</f>
        <v/>
      </c>
      <c r="CG342" s="219" t="str">
        <f>IFERROR((SUM(CG218,CG219,CG220,CG223,CG241,CG244)-CG150)/(CG75+CF75+CD75+CC75),"")</f>
        <v/>
      </c>
      <c r="CH342" s="219" t="str">
        <f>IFERROR((SUM(CH218,CH219,CH220,CH223,CH241,CH244)-CH150)/(CH75+CG75+CF75+CD75),"")</f>
        <v/>
      </c>
      <c r="CI342" s="219" t="str">
        <f>IFERROR((SUM(CI218,CI219,CI220,CI223,CI241,CI244)-CI150)/(CI75+CH75+CG75+CF75),"")</f>
        <v/>
      </c>
      <c r="CK342" s="219" t="str">
        <f>IFERROR((SUM(CK218,CK219,CK220,CK223,CK241,CK244)-CK150)/(CK75+CI75+CH75+CG75),"")</f>
        <v/>
      </c>
      <c r="CL342" s="219" t="str">
        <f>IFERROR((SUM(CL218,CL219,CL220,CL223,CL241,CL244)-CL150)/(CL75+CK75+CI75+CH75),"")</f>
        <v/>
      </c>
      <c r="CM342" s="219" t="str">
        <f>IFERROR((SUM(CM218,CM219,CM220,CM223,CM241,CM244)-CM150)/(CM75+CL75+CK75+CI75),"")</f>
        <v/>
      </c>
      <c r="CN342" s="219" t="str">
        <f>IFERROR((SUM(CN218,CN219,CN220,CN223,CN241,CN244)-CN150)/(CN75+CM75+CL75+CK75),"")</f>
        <v/>
      </c>
      <c r="CP342" s="219" t="str">
        <f>IFERROR((SUM(CP218,CP219,CP220,CP223,CP241,CP244)-CP150)/(CP75+CN75+CM75+CL75),"")</f>
        <v/>
      </c>
      <c r="CQ342" s="219" t="str">
        <f>IFERROR((SUM(CQ218,CQ219,CQ220,CQ223,CQ241,CQ244)-CQ150)/(CQ75+CP75+CN75+CM75),"")</f>
        <v/>
      </c>
      <c r="CR342" s="219" t="str">
        <f>IFERROR((SUM(CR218,CR219,CR220,CR223,CR241,CR244)-CR150)/(CR75+CQ75+CP75+CN75),"")</f>
        <v/>
      </c>
      <c r="CS342" s="219" t="str">
        <f>IFERROR((SUM(CS218,CS219,CS220,CS223,CS241,CS244)-CS150)/(CS75+CR75+CQ75+CP75),"")</f>
        <v/>
      </c>
      <c r="CU342" s="219" t="str">
        <f>IFERROR((SUM(CU218,CU219,CU220,CU223,CU241,CU244)-CU150)/(CU75+CS75+CR75+CQ75),"")</f>
        <v/>
      </c>
      <c r="CV342" s="219" t="str">
        <f>IFERROR((SUM(CV218,CV219,CV220,CV223,CV241,CV244)-CV150)/(CV75+CU75+CS75+CR75),"")</f>
        <v/>
      </c>
      <c r="CW342" s="219" t="str">
        <f>IFERROR((SUM(CW218,CW219,CW220,CW223,CW241,CW244)-CW150)/(CW75+CV75+CU75+CS75),"")</f>
        <v/>
      </c>
      <c r="CX342" s="219" t="str">
        <f>IFERROR((SUM(CX218,CX219,CX220,CX223,CX241,CX244)-CX150)/(CX75+CW75+CV75+CU75),"")</f>
        <v/>
      </c>
    </row>
    <row r="343" customFormat="1" s="233">
      <c r="A343" s="224" t="n"/>
      <c r="B343" s="224" t="n"/>
      <c r="C343" s="237" t="inlineStr">
        <is>
          <t>NET DEBT (EX IFRS 16) / EBITDA LTM</t>
        </is>
      </c>
      <c r="D343" s="219" t="str">
        <f>""</f>
        <v/>
      </c>
      <c r="E343" s="219" t="str">
        <f>""</f>
        <v/>
      </c>
      <c r="F343" s="219" t="str">
        <f>""</f>
        <v/>
      </c>
      <c r="G343" s="219">
        <f>IFERROR((SUM(G218,G219,G223,G244)-G150)/(G75+F75+E75+D75),"")</f>
        <v>-1.25350119330212</v>
      </c>
      <c r="I343" s="219">
        <f>IFERROR((SUM(I218,I219,I223,I244)-I150)/(I75+G75+F75+E75),"")</f>
        <v>-1.31952083730127</v>
      </c>
      <c r="J343" s="219">
        <f>IFERROR((SUM(J218,J219,J223,J244)-J150)/(J75+I75+G75+F75),"")</f>
        <v>-0.898029325931937</v>
      </c>
      <c r="K343" s="219">
        <f>IFERROR((SUM(K218,K219,K223,K244)-K150)/(K75+J75+I75+G75),"")</f>
        <v>-0.849312787223909</v>
      </c>
      <c r="L343" s="219">
        <f>IFERROR((SUM(L218,L219,L223,L244)-L150)/(L75+K75+J75+I75),"")</f>
        <v>-0.753027978951089</v>
      </c>
      <c r="N343" s="219">
        <f>IFERROR((SUM(N218,N219,N223,N244)-N150)/(N75+L75+K75+J75),"")</f>
        <v>-0.447690909549638</v>
      </c>
      <c r="O343" s="219">
        <f>IFERROR((SUM(O218,O219,O223,O244)-O150)/(O75+N75+L75+K75),"")</f>
        <v>-0.178837827473751</v>
      </c>
      <c r="P343" s="219">
        <f>IFERROR((SUM(P218,P219,P223,P244)-P150)/(P75+O75+N75+L75),"")</f>
        <v>-0.0250233735770083</v>
      </c>
      <c r="Q343" s="219">
        <f>IFERROR((SUM(Q218,Q219,Q223,Q244)-Q150)/(Q75+P75+O75+N75),"")</f>
        <v>-0.199262801916278</v>
      </c>
      <c r="S343" s="219">
        <f>IFERROR((SUM(S218,S219,S223,S244)-S150)/(S75+Q75+P75+O75),"")</f>
        <v>-0.076845706193164</v>
      </c>
      <c r="T343" s="219">
        <f>IFERROR((SUM(T218,T219,T223,T244)-T150)/(T75+S75+Q75+P75),"")</f>
        <v>0.206429755166475</v>
      </c>
      <c r="U343" s="219">
        <f>IFERROR((SUM(U218,U219,U223,U244)-U150)/(U75+T75+S75+Q75),"")</f>
        <v>0.252465342293112</v>
      </c>
      <c r="V343" s="219">
        <f>IFERROR((SUM(V218,V219,V223,V244)-V150)/(V75+U75+T75+S75),"")</f>
        <v>0.0242086845886826</v>
      </c>
      <c r="X343" s="219">
        <f>IFERROR((SUM(X218,X219,X223,X244)-X150)/(X75+V75+U75+T75),"")</f>
        <v>-0.0954472763770304</v>
      </c>
      <c r="Y343" s="219">
        <f>IFERROR((SUM(Y218,Y219,Y223,Y244)-Y150)/(Y75+X75+V75+U75),"")</f>
        <v>0.0145577779044117</v>
      </c>
      <c r="Z343" s="219">
        <f>IFERROR((SUM(Z218,Z219,Z223,Z244)-Z150)/(Z75+Y75+X75+V75),"")</f>
        <v>0.14947249985483</v>
      </c>
      <c r="AA343" s="219">
        <f>IFERROR((SUM(AA218,AA219,AA223,AA244)-AA150)/(AA75+Z75+Y75+X75),"")</f>
        <v>0.413987541159866</v>
      </c>
      <c r="AC343" s="219">
        <f>IFERROR((SUM(AC218,AC219,AC223,AC244)-AC150)/(AC75+AA75+Z75+Y75),"")</f>
        <v>0.357467838295333</v>
      </c>
      <c r="AD343" s="219">
        <f>IFERROR((SUM(AD218,AD219,AD223,AD244)-AD150)/(AD75+AC75+AA75+Z75),"")</f>
        <v>0.374210439776776</v>
      </c>
      <c r="AE343" s="219">
        <f>IFERROR((SUM(AE218,AE219,AE223,AE244)-AE150)/(AE75+AD75+AC75+AA75),"")</f>
        <v>0.351735709131865</v>
      </c>
      <c r="AF343" s="219">
        <f>IFERROR((SUM(AF218,AF219,AF223,AF244)-AF150)/(AF75+AE75+AD75+AC75),"")</f>
        <v>0.172583143923157</v>
      </c>
      <c r="AH343" s="219">
        <f>IFERROR((SUM(AH218,AH219,AH223,AH244)-AH150)/(AH75+AF75+AE75+AD75),"")</f>
        <v>0.248270643535691</v>
      </c>
      <c r="AI343" s="219">
        <f>IFERROR((SUM(AI218,AI219,AI223,AI244)-AI150)/(AI75+AH75+AF75+AE75),"")</f>
        <v>0.134080484908977</v>
      </c>
      <c r="AJ343" s="219">
        <f>IFERROR((SUM(AJ218,AJ219,AJ223,AJ244)-AJ150)/(AJ75+AI75+AH75+AF75),"")</f>
        <v>-3.28077206869768</v>
      </c>
      <c r="AK343" s="219">
        <f>IFERROR((SUM(AK218,AK219,AK223,AK244)-AK150)/(AK75+AJ75+AI75+AH75),"")</f>
        <v>-5.8253117748963</v>
      </c>
      <c r="AM343" s="219" t="str">
        <f>IFERROR((SUM(AM218,AM219,AM223,AM244)-AM150)/(AM75+AK75+AJ75+AI75),"")</f>
        <v/>
      </c>
      <c r="AN343" s="219" t="str">
        <f>IFERROR((SUM(AN218,AN219,AN223,AN244)-AN150)/(AN75+AM75+AK75+AJ75),"")</f>
        <v/>
      </c>
      <c r="AO343" s="219" t="str">
        <f>IFERROR((SUM(AO218,AO219,AO223,AO244)-AO150)/(AO75+AN75+AM75+AK75),"")</f>
        <v/>
      </c>
      <c r="AP343" s="219" t="str">
        <f>IFERROR((SUM(AP218,AP219,AP223,AP244)-AP150)/(AP75+AO75+AN75+AM75),"")</f>
        <v/>
      </c>
      <c r="AR343" s="219" t="str">
        <f>IFERROR((SUM(AR218,AR219,AR223,AR244)-AR150)/(AR75+AP75+AO75+AN75),"")</f>
        <v/>
      </c>
      <c r="AS343" s="219" t="str">
        <f>IFERROR((SUM(AS218,AS219,AS223,AS244)-AS150)/(AS75+AR75+AP75+AO75),"")</f>
        <v/>
      </c>
      <c r="AT343" s="219" t="str">
        <f>IFERROR((SUM(AT218,AT219,AT223,AT244)-AT150)/(AT75+AS75+AR75+AP75),"")</f>
        <v/>
      </c>
      <c r="AU343" s="219" t="str">
        <f>IFERROR((SUM(AU218,AU219,AU223,AU244)-AU150)/(AU75+AT75+AS75+AR75),"")</f>
        <v/>
      </c>
      <c r="AW343" s="219" t="str">
        <f>IFERROR((SUM(AW218,AW219,AW223,AW244)-AW150)/(AW75+AU75+AT75+AS75),"")</f>
        <v/>
      </c>
      <c r="AX343" s="219" t="str">
        <f>IFERROR((SUM(AX218,AX219,AX223,AX244)-AX150)/(AX75+AW75+AU75+AT75),"")</f>
        <v/>
      </c>
      <c r="AY343" s="219" t="str">
        <f>IFERROR((SUM(AY218,AY219,AY223,AY244)-AY150)/(AY75+AX75+AW75+AU75),"")</f>
        <v/>
      </c>
      <c r="AZ343" s="219" t="str">
        <f>IFERROR((SUM(AZ218,AZ219,AZ223,AZ244)-AZ150)/(AZ75+AY75+AX75+AW75),"")</f>
        <v/>
      </c>
      <c r="BB343" s="219" t="str">
        <f>IFERROR((SUM(BB218,BB219,BB223,BB244)-BB150)/(BB75+AZ75+AY75+AX75),"")</f>
        <v/>
      </c>
      <c r="BC343" s="219" t="str">
        <f>IFERROR((SUM(BC218,BC219,BC223,BC244)-BC150)/(BC75+BB75+AZ75+AY75),"")</f>
        <v/>
      </c>
      <c r="BD343" s="219" t="str">
        <f>IFERROR((SUM(BD218,BD219,BD223,BD244)-BD150)/(BD75+BC75+BB75+AZ75),"")</f>
        <v/>
      </c>
      <c r="BE343" s="219" t="str">
        <f>IFERROR((SUM(BE218,BE219,BE223,BE244)-BE150)/(BE75+BD75+BC75+BB75),"")</f>
        <v/>
      </c>
      <c r="BG343" s="219" t="str">
        <f>IFERROR((SUM(BG218,BG219,BG223,BG244)-BG150)/(BG75+BE75+BD75+BC75),"")</f>
        <v/>
      </c>
      <c r="BH343" s="219" t="str">
        <f>IFERROR((SUM(BH218,BH219,BH223,BH244)-BH150)/(BH75+BG75+BE75+BD75),"")</f>
        <v/>
      </c>
      <c r="BI343" s="219" t="str">
        <f>IFERROR((SUM(BI218,BI219,BI223,BI244)-BI150)/(BI75+BH75+BG75+BE75),"")</f>
        <v/>
      </c>
      <c r="BJ343" s="219" t="str">
        <f>IFERROR((SUM(BJ218,BJ219,BJ223,BJ244)-BJ150)/(BJ75+BI75+BH75+BG75),"")</f>
        <v/>
      </c>
      <c r="BL343" s="219" t="str">
        <f>IFERROR((SUM(BL218,BL219,BL223,BL244)-BL150)/(BL75+BJ75+BI75+BH75),"")</f>
        <v/>
      </c>
      <c r="BM343" s="219" t="str">
        <f>IFERROR((SUM(BM218,BM219,BM223,BM244)-BM150)/(BM75+BL75+BJ75+BI75),"")</f>
        <v/>
      </c>
      <c r="BN343" s="219" t="str">
        <f>IFERROR((SUM(BN218,BN219,BN223,BN244)-BN150)/(BN75+BM75+BL75+BJ75),"")</f>
        <v/>
      </c>
      <c r="BO343" s="219" t="str">
        <f>IFERROR((SUM(BO218,BO219,BO223,BO244)-BO150)/(BO75+BN75+BM75+BL75),"")</f>
        <v/>
      </c>
      <c r="BQ343" s="219" t="str">
        <f>IFERROR((SUM(BQ218,BQ219,BQ223,BQ244)-BQ150)/(BQ75+BO75+BN75+BM75),"")</f>
        <v/>
      </c>
      <c r="BR343" s="219" t="str">
        <f>IFERROR((SUM(BR218,BR219,BR223,BR244)-BR150)/(BR75+BQ75+BO75+BN75),"")</f>
        <v/>
      </c>
      <c r="BS343" s="219" t="str">
        <f>IFERROR((SUM(BS218,BS219,BS223,BS244)-BS150)/(BS75+BR75+BQ75+BO75),"")</f>
        <v/>
      </c>
      <c r="BT343" s="219" t="str">
        <f>IFERROR((SUM(BT218,BT219,BT223,BT244)-BT150)/(BT75+BS75+BR75+BQ75),"")</f>
        <v/>
      </c>
      <c r="BV343" s="219" t="str">
        <f>IFERROR((SUM(BV218,BV219,BV223,BV244)-BV150)/(BV75+BT75+BS75+BR75),"")</f>
        <v/>
      </c>
      <c r="BW343" s="219" t="str">
        <f>IFERROR((SUM(BW218,BW219,BW223,BW244)-BW150)/(BW75+BV75+BT75+BS75),"")</f>
        <v/>
      </c>
      <c r="BX343" s="219" t="str">
        <f>IFERROR((SUM(BX218,BX219,BX223,BX244)-BX150)/(BX75+BW75+BV75+BT75),"")</f>
        <v/>
      </c>
      <c r="BY343" s="219" t="str">
        <f>IFERROR((SUM(BY218,BY219,BY223,BY244)-BY150)/(BY75+BX75+BW75+BV75),"")</f>
        <v/>
      </c>
      <c r="CA343" s="219" t="str">
        <f>IFERROR((SUM(CA218,CA219,CA223,CA244)-CA150)/(CA75+BY75+BX75+BW75),"")</f>
        <v/>
      </c>
      <c r="CB343" s="219" t="str">
        <f>IFERROR((SUM(CB218,CB219,CB223,CB244)-CB150)/(CB75+CA75+BY75+BX75),"")</f>
        <v/>
      </c>
      <c r="CC343" s="219" t="str">
        <f>IFERROR((SUM(CC218,CC219,CC223,CC244)-CC150)/(CC75+CB75+CA75+BY75),"")</f>
        <v/>
      </c>
      <c r="CD343" s="219" t="str">
        <f>IFERROR((SUM(CD218,CD219,CD223,CD244)-CD150)/(CD75+CC75+CB75+CA75),"")</f>
        <v/>
      </c>
      <c r="CF343" s="219" t="str">
        <f>IFERROR((SUM(CF218,CF219,CF223,CF244)-CF150)/(CF75+CD75+CC75+CB75),"")</f>
        <v/>
      </c>
      <c r="CG343" s="219" t="str">
        <f>IFERROR((SUM(CG218,CG219,CG223,CG244)-CG150)/(CG75+CF75+CD75+CC75),"")</f>
        <v/>
      </c>
      <c r="CH343" s="219" t="str">
        <f>IFERROR((SUM(CH218,CH219,CH223,CH244)-CH150)/(CH75+CG75+CF75+CD75),"")</f>
        <v/>
      </c>
      <c r="CI343" s="219" t="str">
        <f>IFERROR((SUM(CI218,CI219,CI223,CI244)-CI150)/(CI75+CH75+CG75+CF75),"")</f>
        <v/>
      </c>
      <c r="CK343" s="219" t="str">
        <f>IFERROR((SUM(CK218,CK219,CK223,CK244)-CK150)/(CK75+CI75+CH75+CG75),"")</f>
        <v/>
      </c>
      <c r="CL343" s="219" t="str">
        <f>IFERROR((SUM(CL218,CL219,CL223,CL244)-CL150)/(CL75+CK75+CI75+CH75),"")</f>
        <v/>
      </c>
      <c r="CM343" s="219" t="str">
        <f>IFERROR((SUM(CM218,CM219,CM223,CM244)-CM150)/(CM75+CL75+CK75+CI75),"")</f>
        <v/>
      </c>
      <c r="CN343" s="219" t="str">
        <f>IFERROR((SUM(CN218,CN219,CN223,CN244)-CN150)/(CN75+CM75+CL75+CK75),"")</f>
        <v/>
      </c>
      <c r="CP343" s="219" t="str">
        <f>IFERROR((SUM(CP218,CP219,CP223,CP244)-CP150)/(CP75+CN75+CM75+CL75),"")</f>
        <v/>
      </c>
      <c r="CQ343" s="219" t="str">
        <f>IFERROR((SUM(CQ218,CQ219,CQ223,CQ244)-CQ150)/(CQ75+CP75+CN75+CM75),"")</f>
        <v/>
      </c>
      <c r="CR343" s="219" t="str">
        <f>IFERROR((SUM(CR218,CR219,CR223,CR244)-CR150)/(CR75+CQ75+CP75+CN75),"")</f>
        <v/>
      </c>
      <c r="CS343" s="219" t="str">
        <f>IFERROR((SUM(CS218,CS219,CS223,CS244)-CS150)/(CS75+CR75+CQ75+CP75),"")</f>
        <v/>
      </c>
      <c r="CU343" s="219" t="str">
        <f>IFERROR((SUM(CU218,CU219,CU223,CU244)-CU150)/(CU75+CS75+CR75+CQ75),"")</f>
        <v/>
      </c>
      <c r="CV343" s="219" t="str">
        <f>IFERROR((SUM(CV218,CV219,CV223,CV244)-CV150)/(CV75+CU75+CS75+CR75),"")</f>
        <v/>
      </c>
      <c r="CW343" s="219" t="str">
        <f>IFERROR((SUM(CW218,CW219,CW223,CW244)-CW150)/(CW75+CV75+CU75+CS75),"")</f>
        <v/>
      </c>
      <c r="CX343" s="219" t="str">
        <f>IFERROR((SUM(CX218,CX219,CX223,CX244)-CX150)/(CX75+CW75+CV75+CU75),"")</f>
        <v/>
      </c>
    </row>
    <row r="344" customFormat="1" s="233">
      <c r="A344" s="224" t="n"/>
      <c r="B344" s="224" t="n"/>
      <c r="C344" s="233" t="inlineStr">
        <is>
          <t>INTEREST COVERAGE</t>
        </is>
      </c>
      <c r="D344" s="219">
        <f>D79/-D80</f>
        <v>1.13792750451385</v>
      </c>
      <c r="E344" s="219">
        <f>E79/-E80</f>
        <v>-0.365350150822348</v>
      </c>
      <c r="F344" s="219">
        <f>F79/-F80</f>
        <v>2.41744973431288</v>
      </c>
      <c r="G344" s="219">
        <f>G79/-G80</f>
        <v>9.183237694642</v>
      </c>
      <c r="I344" s="219">
        <f>I79/-I80</f>
        <v>0.640901740892297</v>
      </c>
      <c r="J344" s="219">
        <f>J79/-J80</f>
        <v>6.77784718119684</v>
      </c>
      <c r="K344" s="219">
        <f>K79/-K80</f>
        <v>4.21368951526062</v>
      </c>
      <c r="L344" s="219">
        <f>L79/-L80</f>
        <v>5.42826493096673</v>
      </c>
      <c r="N344" s="219">
        <f>N79/-N80</f>
        <v>2.0433903268399</v>
      </c>
      <c r="O344" s="219">
        <f>O79/-O80</f>
        <v>4.08049237898969</v>
      </c>
      <c r="P344" s="219">
        <f>P79/-P80</f>
        <v>2.70502712736739</v>
      </c>
      <c r="Q344" s="219">
        <f>Q79/-Q80</f>
        <v>8.00729460783542</v>
      </c>
      <c r="S344" s="219">
        <f>S79/-S80</f>
        <v>2.12217289470549</v>
      </c>
      <c r="T344" s="219">
        <f>T79/-T80</f>
        <v>8.05080099006206</v>
      </c>
      <c r="U344" s="219">
        <f>U79/-U80</f>
        <v>3.60844483566344</v>
      </c>
      <c r="V344" s="219">
        <f>V79/-V80</f>
        <v>8.13558948838811</v>
      </c>
      <c r="X344" s="219">
        <f>X79/-X80</f>
        <v>1.76228756471031</v>
      </c>
      <c r="Y344" s="219">
        <f>Y79/-Y80</f>
        <v>9.16987759125272</v>
      </c>
      <c r="Z344" s="219">
        <f>Z79/-Z80</f>
        <v>4.09371144845113</v>
      </c>
      <c r="AA344" s="219">
        <f>AA79/-AA80</f>
        <v>8.25748985104415</v>
      </c>
      <c r="AC344" s="219">
        <f>AC79/-AC80</f>
        <v>3.16939673847514</v>
      </c>
      <c r="AD344" s="219">
        <f>AD79/-AD80</f>
        <v>4.7505082022415</v>
      </c>
      <c r="AE344" s="219">
        <f>AE79/-AE80</f>
        <v>4.32644672970392</v>
      </c>
      <c r="AF344" s="219">
        <f>AF79/-AF80</f>
        <v>3.39108389070749</v>
      </c>
      <c r="AH344" s="219">
        <f>AH79/-AH80</f>
        <v>2.06053311042203</v>
      </c>
      <c r="AI344" s="219">
        <f>AI79/-AI80</f>
        <v>4.17457938609685</v>
      </c>
      <c r="AJ344" s="219" t="e">
        <f>AJ79/-AJ80</f>
        <v>#DIV/0!</v>
      </c>
      <c r="AK344" s="219" t="e">
        <f>AK79/-AK80</f>
        <v>#DIV/0!</v>
      </c>
      <c r="AM344" s="219" t="e">
        <f>AM79/-AM80</f>
        <v>#DIV/0!</v>
      </c>
      <c r="AN344" s="219" t="e">
        <f>AN79/-AN80</f>
        <v>#DIV/0!</v>
      </c>
      <c r="AO344" s="219" t="e">
        <f>AO79/-AO80</f>
        <v>#DIV/0!</v>
      </c>
      <c r="AP344" s="219" t="e">
        <f>AP79/-AP80</f>
        <v>#DIV/0!</v>
      </c>
      <c r="AR344" s="219" t="e">
        <f>AR79/-AR80</f>
        <v>#DIV/0!</v>
      </c>
      <c r="AS344" s="219" t="e">
        <f>AS79/-AS80</f>
        <v>#DIV/0!</v>
      </c>
      <c r="AT344" s="219" t="e">
        <f>AT79/-AT80</f>
        <v>#DIV/0!</v>
      </c>
      <c r="AU344" s="219" t="e">
        <f>AU79/-AU80</f>
        <v>#DIV/0!</v>
      </c>
      <c r="AW344" s="219" t="e">
        <f>AW79/-AW80</f>
        <v>#DIV/0!</v>
      </c>
      <c r="AX344" s="219" t="e">
        <f>AX79/-AX80</f>
        <v>#DIV/0!</v>
      </c>
      <c r="AY344" s="219" t="e">
        <f>AY79/-AY80</f>
        <v>#DIV/0!</v>
      </c>
      <c r="AZ344" s="219" t="e">
        <f>AZ79/-AZ80</f>
        <v>#DIV/0!</v>
      </c>
      <c r="BB344" s="219" t="e">
        <f>BB79/-BB80</f>
        <v>#DIV/0!</v>
      </c>
      <c r="BC344" s="219" t="e">
        <f>BC79/-BC80</f>
        <v>#DIV/0!</v>
      </c>
      <c r="BD344" s="219" t="e">
        <f>BD79/-BD80</f>
        <v>#DIV/0!</v>
      </c>
      <c r="BE344" s="219" t="e">
        <f>BE79/-BE80</f>
        <v>#DIV/0!</v>
      </c>
      <c r="BG344" s="219" t="e">
        <f>BG79/-BG80</f>
        <v>#DIV/0!</v>
      </c>
      <c r="BH344" s="219" t="e">
        <f>BH79/-BH80</f>
        <v>#DIV/0!</v>
      </c>
      <c r="BI344" s="219" t="e">
        <f>BI79/-BI80</f>
        <v>#DIV/0!</v>
      </c>
      <c r="BJ344" s="219" t="e">
        <f>BJ79/-BJ80</f>
        <v>#DIV/0!</v>
      </c>
      <c r="BL344" s="219" t="e">
        <f>BL79/-BL80</f>
        <v>#DIV/0!</v>
      </c>
      <c r="BM344" s="219" t="e">
        <f>BM79/-BM80</f>
        <v>#DIV/0!</v>
      </c>
      <c r="BN344" s="219" t="e">
        <f>BN79/-BN80</f>
        <v>#DIV/0!</v>
      </c>
      <c r="BO344" s="219" t="e">
        <f>BO79/-BO80</f>
        <v>#DIV/0!</v>
      </c>
      <c r="BQ344" s="219" t="e">
        <f>BQ79/-BQ80</f>
        <v>#DIV/0!</v>
      </c>
      <c r="BR344" s="219" t="e">
        <f>BR79/-BR80</f>
        <v>#DIV/0!</v>
      </c>
      <c r="BS344" s="219" t="e">
        <f>BS79/-BS80</f>
        <v>#DIV/0!</v>
      </c>
      <c r="BT344" s="219" t="e">
        <f>BT79/-BT80</f>
        <v>#DIV/0!</v>
      </c>
      <c r="BV344" s="219" t="e">
        <f>BV79/-BV80</f>
        <v>#DIV/0!</v>
      </c>
      <c r="BW344" s="219" t="e">
        <f>BW79/-BW80</f>
        <v>#DIV/0!</v>
      </c>
      <c r="BX344" s="219" t="e">
        <f>BX79/-BX80</f>
        <v>#DIV/0!</v>
      </c>
      <c r="BY344" s="219" t="e">
        <f>BY79/-BY80</f>
        <v>#DIV/0!</v>
      </c>
      <c r="CA344" s="219" t="e">
        <f>CA79/-CA80</f>
        <v>#DIV/0!</v>
      </c>
      <c r="CB344" s="219" t="e">
        <f>CB79/-CB80</f>
        <v>#DIV/0!</v>
      </c>
      <c r="CC344" s="219" t="e">
        <f>CC79/-CC80</f>
        <v>#DIV/0!</v>
      </c>
      <c r="CD344" s="219" t="e">
        <f>CD79/-CD80</f>
        <v>#DIV/0!</v>
      </c>
      <c r="CF344" s="219" t="e">
        <f>CF79/-CF80</f>
        <v>#DIV/0!</v>
      </c>
      <c r="CG344" s="219" t="e">
        <f>CG79/-CG80</f>
        <v>#DIV/0!</v>
      </c>
      <c r="CH344" s="219" t="e">
        <f>CH79/-CH80</f>
        <v>#DIV/0!</v>
      </c>
      <c r="CI344" s="219" t="e">
        <f>CI79/-CI80</f>
        <v>#DIV/0!</v>
      </c>
      <c r="CK344" s="219" t="e">
        <f>CK79/-CK80</f>
        <v>#DIV/0!</v>
      </c>
      <c r="CL344" s="219" t="e">
        <f>CL79/-CL80</f>
        <v>#DIV/0!</v>
      </c>
      <c r="CM344" s="219" t="e">
        <f>CM79/-CM80</f>
        <v>#DIV/0!</v>
      </c>
      <c r="CN344" s="219" t="e">
        <f>CN79/-CN80</f>
        <v>#DIV/0!</v>
      </c>
      <c r="CP344" s="219" t="e">
        <f>CP79/-CP80</f>
        <v>#DIV/0!</v>
      </c>
      <c r="CQ344" s="219" t="e">
        <f>CQ79/-CQ80</f>
        <v>#DIV/0!</v>
      </c>
      <c r="CR344" s="219" t="e">
        <f>CR79/-CR80</f>
        <v>#DIV/0!</v>
      </c>
      <c r="CS344" s="219" t="e">
        <f>CS79/-CS80</f>
        <v>#DIV/0!</v>
      </c>
      <c r="CU344" s="219" t="e">
        <f>CU79/-CU80</f>
        <v>#DIV/0!</v>
      </c>
      <c r="CV344" s="219" t="e">
        <f>CV79/-CV80</f>
        <v>#DIV/0!</v>
      </c>
      <c r="CW344" s="219" t="e">
        <f>CW79/-CW80</f>
        <v>#DIV/0!</v>
      </c>
      <c r="CX344" s="219" t="e">
        <f>CX79/-CX80</f>
        <v>#DIV/0!</v>
      </c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INTERNAL LIQUIDITY</t>
        </is>
      </c>
    </row>
    <row r="347" customFormat="1" s="233">
      <c r="A347" s="224" t="n"/>
      <c r="B347" s="224" t="n"/>
      <c r="C347" s="233" t="inlineStr">
        <is>
          <t>CURRENT RATIO</t>
        </is>
      </c>
      <c r="D347" s="219">
        <f>SUM(D150,D151,D155,D159,D160,D161)/SUM(D204,D208,D210,D211)</f>
        <v>9.13756067412343</v>
      </c>
      <c r="E347" s="219">
        <f>SUM(E150,E151,E155,E159,E160,E161)/SUM(E204,E208,E210,E211)</f>
        <v>7.6141545388644</v>
      </c>
      <c r="F347" s="219">
        <f>SUM(F150,F151,F155,F159,F160,F161)/SUM(F204,F208,F210,F211)</f>
        <v>8.69343908368101</v>
      </c>
      <c r="G347" s="219">
        <f>SUM(G150,G151,G155,G159,G160,G161)/SUM(G204,G208,G210,G211)</f>
        <v>6.10743690043085</v>
      </c>
      <c r="I347" s="219">
        <f>SUM(I150,I151,I155,I159,I160,I161)/SUM(I204,I208,I210,I211)</f>
        <v>8.07712904703007</v>
      </c>
      <c r="J347" s="219">
        <f>SUM(J150,J151,J155,J159,J160,J161)/SUM(J204,J208,J210,J211)</f>
        <v>7.90016343039269</v>
      </c>
      <c r="K347" s="219">
        <f>SUM(K150,K151,K155,K159,K160,K161)/SUM(K204,K208,K210,K211)</f>
        <v>6.89356511405728</v>
      </c>
      <c r="L347" s="219">
        <f>SUM(L150,L151,L155,L159,L160,L161)/SUM(L204,L208,L210,L211)</f>
        <v>4.41621887945779</v>
      </c>
      <c r="N347" s="219">
        <f>SUM(N150,N151,N155,N159,N160,N161)/SUM(N204,N208,N210,N211)</f>
        <v>5.70016760340839</v>
      </c>
      <c r="O347" s="219">
        <f>SUM(O150,O151,O155,O159,O160,O161)/SUM(O204,O208,O210,O211)</f>
        <v>6.34704862875472</v>
      </c>
      <c r="P347" s="219">
        <f>SUM(P150,P151,P155,P159,P160,P161)/SUM(P204,P208,P210,P211)</f>
        <v>5.46567821543722</v>
      </c>
      <c r="Q347" s="219">
        <f>SUM(Q150,Q151,Q155,Q159,Q160,Q161)/SUM(Q204,Q208,Q210,Q211)</f>
        <v>3.73415071745343</v>
      </c>
      <c r="S347" s="219">
        <f>SUM(S150,S151,S155,S159,S160,S161)/SUM(S204,S208,S210,S211)</f>
        <v>4.29256017179158</v>
      </c>
      <c r="T347" s="219">
        <f>SUM(T150,T151,T155,T159,T160,T161)/SUM(T204,T208,T210,T211)</f>
        <v>5.24654188088218</v>
      </c>
      <c r="U347" s="219">
        <f>SUM(U150,U151,U155,U159,U160,U161)/SUM(U204,U208,U210,U211)</f>
        <v>6.01252928126309</v>
      </c>
      <c r="V347" s="219">
        <f>SUM(V150,V151,V155,V159,V160,V161)/SUM(V204,V208,V210,V211)</f>
        <v>4.40491095801991</v>
      </c>
      <c r="X347" s="219">
        <f>SUM(X150,X151,X155,X159,X160,X161)/SUM(X204,X208,X210,X211)</f>
        <v>5.00461918896143</v>
      </c>
      <c r="Y347" s="219">
        <f>SUM(Y150,Y151,Y155,Y159,Y160,Y161)/SUM(Y204,Y208,Y210,Y211)</f>
        <v>5.5901613954681</v>
      </c>
      <c r="Z347" s="219">
        <f>SUM(Z150,Z151,Z155,Z159,Z160,Z161)/SUM(Z204,Z208,Z210,Z211)</f>
        <v>6.71981859310507</v>
      </c>
      <c r="AA347" s="219">
        <f>SUM(AA150,AA151,AA155,AA159,AA160,AA161)/SUM(AA204,AA208,AA210,AA211)</f>
        <v>4.92213320795449</v>
      </c>
      <c r="AC347" s="219">
        <f>SUM(AC150,AC151,AC155,AC159,AC160,AC161)/SUM(AC204,AC208,AC210,AC211)</f>
        <v>5.32339023087853</v>
      </c>
      <c r="AD347" s="219">
        <f>SUM(AD150,AD151,AD155,AD159,AD160,AD161)/SUM(AD204,AD208,AD210,AD211)</f>
        <v>7.0308322243257</v>
      </c>
      <c r="AE347" s="219">
        <f>SUM(AE150,AE151,AE155,AE159,AE160,AE161)/SUM(AE204,AE208,AE210,AE211)</f>
        <v>6.73384019426457</v>
      </c>
      <c r="AF347" s="219">
        <f>SUM(AF150,AF151,AF155,AF159,AF160,AF161)/SUM(AF204,AF208,AF210,AF211)</f>
        <v>6.02446520773832</v>
      </c>
      <c r="AH347" s="219">
        <f>SUM(AH150,AH151,AH155,AH159,AH160,AH161)/SUM(AH204,AH208,AH210,AH211)</f>
        <v>7.34515877203873</v>
      </c>
      <c r="AI347" s="219">
        <f>SUM(AI150,AI151,AI155,AI159,AI160,AI161)/SUM(AI204,AI208,AI210,AI211)</f>
        <v>7.31503682404534</v>
      </c>
      <c r="AJ347" s="219">
        <f>SUM(AJ150,AJ151,AJ155,AJ159,AJ160,AJ161)/SUM(AJ204,AJ208,AJ210,AJ211)</f>
        <v>39.670705010058</v>
      </c>
      <c r="AK347" s="219">
        <f>SUM(AK150,AK151,AK155,AK159,AK160,AK161)/SUM(AK204,AK208,AK210,AK211)</f>
        <v>39.8264514858407</v>
      </c>
      <c r="AM347" s="219" t="e">
        <f>SUM(AM150,AM151,AM155,AM159,AM160,AM161)/SUM(AM204,AM208,AM210,AM211)</f>
        <v>#DIV/0!</v>
      </c>
      <c r="AN347" s="219" t="e">
        <f>SUM(AN150,AN151,AN155,AN159,AN160,AN161)/SUM(AN204,AN208,AN210,AN211)</f>
        <v>#DIV/0!</v>
      </c>
      <c r="AO347" s="219" t="e">
        <f>SUM(AO150,AO151,AO155,AO159,AO160,AO161)/SUM(AO204,AO208,AO210,AO211)</f>
        <v>#DIV/0!</v>
      </c>
      <c r="AP347" s="219" t="e">
        <f>SUM(AP150,AP151,AP155,AP159,AP160,AP161)/SUM(AP204,AP208,AP210,AP211)</f>
        <v>#DIV/0!</v>
      </c>
      <c r="AR347" s="219" t="e">
        <f>SUM(AR150,AR151,AR155,AR159,AR160,AR161)/SUM(AR204,AR208,AR210,AR211)</f>
        <v>#DIV/0!</v>
      </c>
      <c r="AS347" s="219" t="e">
        <f>SUM(AS150,AS151,AS155,AS159,AS160,AS161)/SUM(AS204,AS208,AS210,AS211)</f>
        <v>#DIV/0!</v>
      </c>
      <c r="AT347" s="219" t="e">
        <f>SUM(AT150,AT151,AT155,AT159,AT160,AT161)/SUM(AT204,AT208,AT210,AT211)</f>
        <v>#DIV/0!</v>
      </c>
      <c r="AU347" s="219" t="e">
        <f>SUM(AU150,AU151,AU155,AU159,AU160,AU161)/SUM(AU204,AU208,AU210,AU211)</f>
        <v>#DIV/0!</v>
      </c>
      <c r="AW347" s="219" t="e">
        <f>SUM(AW150,AW151,AW155,AW159,AW160,AW161)/SUM(AW204,AW208,AW210,AW211)</f>
        <v>#DIV/0!</v>
      </c>
      <c r="AX347" s="219" t="e">
        <f>SUM(AX150,AX151,AX155,AX159,AX160,AX161)/SUM(AX204,AX208,AX210,AX211)</f>
        <v>#DIV/0!</v>
      </c>
      <c r="AY347" s="219" t="e">
        <f>SUM(AY150,AY151,AY155,AY159,AY160,AY161)/SUM(AY204,AY208,AY210,AY211)</f>
        <v>#DIV/0!</v>
      </c>
      <c r="AZ347" s="219" t="e">
        <f>SUM(AZ150,AZ151,AZ155,AZ159,AZ160,AZ161)/SUM(AZ204,AZ208,AZ210,AZ211)</f>
        <v>#DIV/0!</v>
      </c>
      <c r="BB347" s="219" t="e">
        <f>SUM(BB150,BB151,BB155,BB159,BB160,BB161)/SUM(BB204,BB208,BB210,BB211)</f>
        <v>#DIV/0!</v>
      </c>
      <c r="BC347" s="219" t="e">
        <f>SUM(BC150,BC151,BC155,BC159,BC160,BC161)/SUM(BC204,BC208,BC210,BC211)</f>
        <v>#DIV/0!</v>
      </c>
      <c r="BD347" s="219" t="e">
        <f>SUM(BD150,BD151,BD155,BD159,BD160,BD161)/SUM(BD204,BD208,BD210,BD211)</f>
        <v>#DIV/0!</v>
      </c>
      <c r="BE347" s="219" t="e">
        <f>SUM(BE150,BE151,BE155,BE159,BE160,BE161)/SUM(BE204,BE208,BE210,BE211)</f>
        <v>#DIV/0!</v>
      </c>
      <c r="BG347" s="219" t="e">
        <f>SUM(BG150,BG151,BG155,BG159,BG160,BG161)/SUM(BG204,BG208,BG210,BG211)</f>
        <v>#DIV/0!</v>
      </c>
      <c r="BH347" s="219" t="e">
        <f>SUM(BH150,BH151,BH155,BH159,BH160,BH161)/SUM(BH204,BH208,BH210,BH211)</f>
        <v>#DIV/0!</v>
      </c>
      <c r="BI347" s="219" t="e">
        <f>SUM(BI150,BI151,BI155,BI159,BI160,BI161)/SUM(BI204,BI208,BI210,BI211)</f>
        <v>#DIV/0!</v>
      </c>
      <c r="BJ347" s="219" t="e">
        <f>SUM(BJ150,BJ151,BJ155,BJ159,BJ160,BJ161)/SUM(BJ204,BJ208,BJ210,BJ211)</f>
        <v>#DIV/0!</v>
      </c>
      <c r="BL347" s="219" t="e">
        <f>SUM(BL150,BL151,BL155,BL159,BL160,BL161)/SUM(BL204,BL208,BL210,BL211)</f>
        <v>#DIV/0!</v>
      </c>
      <c r="BM347" s="219" t="e">
        <f>SUM(BM150,BM151,BM155,BM159,BM160,BM161)/SUM(BM204,BM208,BM210,BM211)</f>
        <v>#DIV/0!</v>
      </c>
      <c r="BN347" s="219" t="e">
        <f>SUM(BN150,BN151,BN155,BN159,BN160,BN161)/SUM(BN204,BN208,BN210,BN211)</f>
        <v>#DIV/0!</v>
      </c>
      <c r="BO347" s="219" t="e">
        <f>SUM(BO150,BO151,BO155,BO159,BO160,BO161)/SUM(BO204,BO208,BO210,BO211)</f>
        <v>#DIV/0!</v>
      </c>
      <c r="BQ347" s="219" t="e">
        <f>SUM(BQ150,BQ151,BQ155,BQ159,BQ160,BQ161)/SUM(BQ204,BQ208,BQ210,BQ211)</f>
        <v>#DIV/0!</v>
      </c>
      <c r="BR347" s="219" t="e">
        <f>SUM(BR150,BR151,BR155,BR159,BR160,BR161)/SUM(BR204,BR208,BR210,BR211)</f>
        <v>#DIV/0!</v>
      </c>
      <c r="BS347" s="219" t="e">
        <f>SUM(BS150,BS151,BS155,BS159,BS160,BS161)/SUM(BS204,BS208,BS210,BS211)</f>
        <v>#DIV/0!</v>
      </c>
      <c r="BT347" s="219" t="e">
        <f>SUM(BT150,BT151,BT155,BT159,BT160,BT161)/SUM(BT204,BT208,BT210,BT211)</f>
        <v>#DIV/0!</v>
      </c>
      <c r="BV347" s="219" t="e">
        <f>SUM(BV150,BV151,BV155,BV159,BV160,BV161)/SUM(BV204,BV208,BV210,BV211)</f>
        <v>#DIV/0!</v>
      </c>
      <c r="BW347" s="219" t="e">
        <f>SUM(BW150,BW151,BW155,BW159,BW160,BW161)/SUM(BW204,BW208,BW210,BW211)</f>
        <v>#DIV/0!</v>
      </c>
      <c r="BX347" s="219" t="e">
        <f>SUM(BX150,BX151,BX155,BX159,BX160,BX161)/SUM(BX204,BX208,BX210,BX211)</f>
        <v>#DIV/0!</v>
      </c>
      <c r="BY347" s="219" t="e">
        <f>SUM(BY150,BY151,BY155,BY159,BY160,BY161)/SUM(BY204,BY208,BY210,BY211)</f>
        <v>#DIV/0!</v>
      </c>
      <c r="CA347" s="219" t="e">
        <f>SUM(CA150,CA151,CA155,CA159,CA160,CA161)/SUM(CA204,CA208,CA210,CA211)</f>
        <v>#DIV/0!</v>
      </c>
      <c r="CB347" s="219" t="e">
        <f>SUM(CB150,CB151,CB155,CB159,CB160,CB161)/SUM(CB204,CB208,CB210,CB211)</f>
        <v>#DIV/0!</v>
      </c>
      <c r="CC347" s="219" t="e">
        <f>SUM(CC150,CC151,CC155,CC159,CC160,CC161)/SUM(CC204,CC208,CC210,CC211)</f>
        <v>#DIV/0!</v>
      </c>
      <c r="CD347" s="219" t="e">
        <f>SUM(CD150,CD151,CD155,CD159,CD160,CD161)/SUM(CD204,CD208,CD210,CD211)</f>
        <v>#DIV/0!</v>
      </c>
      <c r="CF347" s="219" t="e">
        <f>SUM(CF150,CF151,CF155,CF159,CF160,CF161)/SUM(CF204,CF208,CF210,CF211)</f>
        <v>#DIV/0!</v>
      </c>
      <c r="CG347" s="219" t="e">
        <f>SUM(CG150,CG151,CG155,CG159,CG160,CG161)/SUM(CG204,CG208,CG210,CG211)</f>
        <v>#DIV/0!</v>
      </c>
      <c r="CH347" s="219" t="e">
        <f>SUM(CH150,CH151,CH155,CH159,CH160,CH161)/SUM(CH204,CH208,CH210,CH211)</f>
        <v>#DIV/0!</v>
      </c>
      <c r="CI347" s="219" t="e">
        <f>SUM(CI150,CI151,CI155,CI159,CI160,CI161)/SUM(CI204,CI208,CI210,CI211)</f>
        <v>#DIV/0!</v>
      </c>
      <c r="CK347" s="219" t="e">
        <f>SUM(CK150,CK151,CK155,CK159,CK160,CK161)/SUM(CK204,CK208,CK210,CK211)</f>
        <v>#DIV/0!</v>
      </c>
      <c r="CL347" s="219" t="e">
        <f>SUM(CL150,CL151,CL155,CL159,CL160,CL161)/SUM(CL204,CL208,CL210,CL211)</f>
        <v>#DIV/0!</v>
      </c>
      <c r="CM347" s="219" t="e">
        <f>SUM(CM150,CM151,CM155,CM159,CM160,CM161)/SUM(CM204,CM208,CM210,CM211)</f>
        <v>#DIV/0!</v>
      </c>
      <c r="CN347" s="219" t="e">
        <f>SUM(CN150,CN151,CN155,CN159,CN160,CN161)/SUM(CN204,CN208,CN210,CN211)</f>
        <v>#DIV/0!</v>
      </c>
      <c r="CP347" s="219" t="e">
        <f>SUM(CP150,CP151,CP155,CP159,CP160,CP161)/SUM(CP204,CP208,CP210,CP211)</f>
        <v>#DIV/0!</v>
      </c>
      <c r="CQ347" s="219" t="e">
        <f>SUM(CQ150,CQ151,CQ155,CQ159,CQ160,CQ161)/SUM(CQ204,CQ208,CQ210,CQ211)</f>
        <v>#DIV/0!</v>
      </c>
      <c r="CR347" s="219" t="e">
        <f>SUM(CR150,CR151,CR155,CR159,CR160,CR161)/SUM(CR204,CR208,CR210,CR211)</f>
        <v>#DIV/0!</v>
      </c>
      <c r="CS347" s="219" t="e">
        <f>SUM(CS150,CS151,CS155,CS159,CS160,CS161)/SUM(CS204,CS208,CS210,CS211)</f>
        <v>#DIV/0!</v>
      </c>
      <c r="CU347" s="219" t="e">
        <f>SUM(CU150,CU151,CU155,CU159,CU160,CU161)/SUM(CU204,CU208,CU210,CU211)</f>
        <v>#DIV/0!</v>
      </c>
      <c r="CV347" s="219" t="e">
        <f>SUM(CV150,CV151,CV155,CV159,CV160,CV161)/SUM(CV204,CV208,CV210,CV211)</f>
        <v>#DIV/0!</v>
      </c>
      <c r="CW347" s="219" t="e">
        <f>SUM(CW150,CW151,CW155,CW159,CW160,CW161)/SUM(CW204,CW208,CW210,CW211)</f>
        <v>#DIV/0!</v>
      </c>
      <c r="CX347" s="219" t="e">
        <f>SUM(CX150,CX151,CX155,CX159,CX160,CX161)/SUM(CX204,CX208,CX210,CX211)</f>
        <v>#DIV/0!</v>
      </c>
    </row>
    <row r="348" customFormat="1" s="233">
      <c r="A348" s="224" t="n"/>
      <c r="B348" s="224" t="n"/>
      <c r="C348" s="233" t="inlineStr">
        <is>
          <t>CASH RATIO</t>
        </is>
      </c>
      <c r="D348" s="219">
        <f>SUM(D150)/SUM(D204,D208,D210,D211)</f>
        <v>3.56348548343333</v>
      </c>
      <c r="E348" s="219">
        <f>SUM(E150)/SUM(E204,E208,E210,E211)</f>
        <v>3.58373738191706</v>
      </c>
      <c r="F348" s="219">
        <f>SUM(F150)/SUM(F204,F208,F210,F211)</f>
        <v>4.01759748824208</v>
      </c>
      <c r="G348" s="219">
        <f>SUM(G150)/SUM(G204,G208,G210,G211)</f>
        <v>2.69038258268014</v>
      </c>
      <c r="I348" s="219">
        <f>SUM(I150)/SUM(I204,I208,I210,I211)</f>
        <v>3.55380229046207</v>
      </c>
      <c r="J348" s="219">
        <f>SUM(J150)/SUM(J204,J208,J210,J211)</f>
        <v>3.40751018682123</v>
      </c>
      <c r="K348" s="219">
        <f>SUM(K150)/SUM(K204,K208,K210,K211)</f>
        <v>2.9840188380363</v>
      </c>
      <c r="L348" s="219">
        <f>SUM(L150)/SUM(L204,L208,L210,L211)</f>
        <v>1.63135230722734</v>
      </c>
      <c r="N348" s="219">
        <f>SUM(N150)/SUM(N204,N208,N210,N211)</f>
        <v>1.9639157881638</v>
      </c>
      <c r="O348" s="219">
        <f>SUM(O150)/SUM(O204,O208,O210,O211)</f>
        <v>1.65336655643623</v>
      </c>
      <c r="P348" s="219">
        <f>SUM(P150)/SUM(P204,P208,P210,P211)</f>
        <v>1.1336845616632</v>
      </c>
      <c r="Q348" s="219">
        <f>SUM(Q150)/SUM(Q204,Q208,Q210,Q211)</f>
        <v>0.781798838366085</v>
      </c>
      <c r="S348" s="219">
        <f>SUM(S150)/SUM(S204,S208,S210,S211)</f>
        <v>0.837203117699106</v>
      </c>
      <c r="T348" s="219">
        <f>SUM(T150)/SUM(T204,T208,T210,T211)</f>
        <v>0.666636507909367</v>
      </c>
      <c r="U348" s="219">
        <f>SUM(U150)/SUM(U204,U208,U210,U211)</f>
        <v>0.717323413199095</v>
      </c>
      <c r="V348" s="219">
        <f>SUM(V150)/SUM(V204,V208,V210,V211)</f>
        <v>0.652175011163123</v>
      </c>
      <c r="X348" s="219">
        <f>SUM(X150)/SUM(X204,X208,X210,X211)</f>
        <v>0.913356737623857</v>
      </c>
      <c r="Y348" s="219">
        <f>SUM(Y150)/SUM(Y204,Y208,Y210,Y211)</f>
        <v>0.901304857286344</v>
      </c>
      <c r="Z348" s="219">
        <f>SUM(Z150)/SUM(Z204,Z208,Z210,Z211)</f>
        <v>0.93769626969441</v>
      </c>
      <c r="AA348" s="219">
        <f>SUM(AA150)/SUM(AA204,AA208,AA210,AA211)</f>
        <v>0.500165224468101</v>
      </c>
      <c r="AC348" s="219">
        <f>SUM(AC150)/SUM(AC204,AC208,AC210,AC211)</f>
        <v>0.356297550550528</v>
      </c>
      <c r="AD348" s="219">
        <f>SUM(AD150)/SUM(AD204,AD208,AD210,AD211)</f>
        <v>0.483767307336329</v>
      </c>
      <c r="AE348" s="219">
        <f>SUM(AE150)/SUM(AE204,AE208,AE210,AE211)</f>
        <v>0.521158738347684</v>
      </c>
      <c r="AF348" s="219">
        <f>SUM(AF150)/SUM(AF204,AF208,AF210,AF211)</f>
        <v>0.783664559629573</v>
      </c>
      <c r="AH348" s="219">
        <f>SUM(AH150)/SUM(AH204,AH208,AH210,AH211)</f>
        <v>0.76470041101722</v>
      </c>
      <c r="AI348" s="219">
        <f>SUM(AI150)/SUM(AI204,AI208,AI210,AI211)</f>
        <v>0.96733153150697</v>
      </c>
      <c r="AJ348" s="219">
        <f>SUM(AJ150)/SUM(AJ204,AJ208,AJ210,AJ211)</f>
        <v>37.1573001951125</v>
      </c>
      <c r="AK348" s="219">
        <f>SUM(AK150)/SUM(AK204,AK208,AK210,AK211)</f>
        <v>37.3130466708952</v>
      </c>
      <c r="AM348" s="219" t="e">
        <f>SUM(AM150)/SUM(AM204,AM208,AM210,AM211)</f>
        <v>#DIV/0!</v>
      </c>
      <c r="AN348" s="219" t="e">
        <f>SUM(AN150)/SUM(AN204,AN208,AN210,AN211)</f>
        <v>#DIV/0!</v>
      </c>
      <c r="AO348" s="219" t="e">
        <f>SUM(AO150)/SUM(AO204,AO208,AO210,AO211)</f>
        <v>#DIV/0!</v>
      </c>
      <c r="AP348" s="219" t="e">
        <f>SUM(AP150)/SUM(AP204,AP208,AP210,AP211)</f>
        <v>#DIV/0!</v>
      </c>
      <c r="AR348" s="219" t="e">
        <f>SUM(AR150)/SUM(AR204,AR208,AR210,AR211)</f>
        <v>#DIV/0!</v>
      </c>
      <c r="AS348" s="219" t="e">
        <f>SUM(AS150)/SUM(AS204,AS208,AS210,AS211)</f>
        <v>#DIV/0!</v>
      </c>
      <c r="AT348" s="219" t="e">
        <f>SUM(AT150)/SUM(AT204,AT208,AT210,AT211)</f>
        <v>#DIV/0!</v>
      </c>
      <c r="AU348" s="219" t="e">
        <f>SUM(AU150)/SUM(AU204,AU208,AU210,AU211)</f>
        <v>#DIV/0!</v>
      </c>
      <c r="AW348" s="219" t="e">
        <f>SUM(AW150)/SUM(AW204,AW208,AW210,AW211)</f>
        <v>#DIV/0!</v>
      </c>
      <c r="AX348" s="219" t="e">
        <f>SUM(AX150)/SUM(AX204,AX208,AX210,AX211)</f>
        <v>#DIV/0!</v>
      </c>
      <c r="AY348" s="219" t="e">
        <f>SUM(AY150)/SUM(AY204,AY208,AY210,AY211)</f>
        <v>#DIV/0!</v>
      </c>
      <c r="AZ348" s="219" t="e">
        <f>SUM(AZ150)/SUM(AZ204,AZ208,AZ210,AZ211)</f>
        <v>#DIV/0!</v>
      </c>
      <c r="BB348" s="219" t="e">
        <f>SUM(BB150)/SUM(BB204,BB208,BB210,BB211)</f>
        <v>#DIV/0!</v>
      </c>
      <c r="BC348" s="219" t="e">
        <f>SUM(BC150)/SUM(BC204,BC208,BC210,BC211)</f>
        <v>#DIV/0!</v>
      </c>
      <c r="BD348" s="219" t="e">
        <f>SUM(BD150)/SUM(BD204,BD208,BD210,BD211)</f>
        <v>#DIV/0!</v>
      </c>
      <c r="BE348" s="219" t="e">
        <f>SUM(BE150)/SUM(BE204,BE208,BE210,BE211)</f>
        <v>#DIV/0!</v>
      </c>
      <c r="BG348" s="219" t="e">
        <f>SUM(BG150)/SUM(BG204,BG208,BG210,BG211)</f>
        <v>#DIV/0!</v>
      </c>
      <c r="BH348" s="219" t="e">
        <f>SUM(BH150)/SUM(BH204,BH208,BH210,BH211)</f>
        <v>#DIV/0!</v>
      </c>
      <c r="BI348" s="219" t="e">
        <f>SUM(BI150)/SUM(BI204,BI208,BI210,BI211)</f>
        <v>#DIV/0!</v>
      </c>
      <c r="BJ348" s="219" t="e">
        <f>SUM(BJ150)/SUM(BJ204,BJ208,BJ210,BJ211)</f>
        <v>#DIV/0!</v>
      </c>
      <c r="BL348" s="219" t="e">
        <f>SUM(BL150)/SUM(BL204,BL208,BL210,BL211)</f>
        <v>#DIV/0!</v>
      </c>
      <c r="BM348" s="219" t="e">
        <f>SUM(BM150)/SUM(BM204,BM208,BM210,BM211)</f>
        <v>#DIV/0!</v>
      </c>
      <c r="BN348" s="219" t="e">
        <f>SUM(BN150)/SUM(BN204,BN208,BN210,BN211)</f>
        <v>#DIV/0!</v>
      </c>
      <c r="BO348" s="219" t="e">
        <f>SUM(BO150)/SUM(BO204,BO208,BO210,BO211)</f>
        <v>#DIV/0!</v>
      </c>
      <c r="BQ348" s="219" t="e">
        <f>SUM(BQ150)/SUM(BQ204,BQ208,BQ210,BQ211)</f>
        <v>#DIV/0!</v>
      </c>
      <c r="BR348" s="219" t="e">
        <f>SUM(BR150)/SUM(BR204,BR208,BR210,BR211)</f>
        <v>#DIV/0!</v>
      </c>
      <c r="BS348" s="219" t="e">
        <f>SUM(BS150)/SUM(BS204,BS208,BS210,BS211)</f>
        <v>#DIV/0!</v>
      </c>
      <c r="BT348" s="219" t="e">
        <f>SUM(BT150)/SUM(BT204,BT208,BT210,BT211)</f>
        <v>#DIV/0!</v>
      </c>
      <c r="BV348" s="219" t="e">
        <f>SUM(BV150)/SUM(BV204,BV208,BV210,BV211)</f>
        <v>#DIV/0!</v>
      </c>
      <c r="BW348" s="219" t="e">
        <f>SUM(BW150)/SUM(BW204,BW208,BW210,BW211)</f>
        <v>#DIV/0!</v>
      </c>
      <c r="BX348" s="219" t="e">
        <f>SUM(BX150)/SUM(BX204,BX208,BX210,BX211)</f>
        <v>#DIV/0!</v>
      </c>
      <c r="BY348" s="219" t="e">
        <f>SUM(BY150)/SUM(BY204,BY208,BY210,BY211)</f>
        <v>#DIV/0!</v>
      </c>
      <c r="CA348" s="219" t="e">
        <f>SUM(CA150)/SUM(CA204,CA208,CA210,CA211)</f>
        <v>#DIV/0!</v>
      </c>
      <c r="CB348" s="219" t="e">
        <f>SUM(CB150)/SUM(CB204,CB208,CB210,CB211)</f>
        <v>#DIV/0!</v>
      </c>
      <c r="CC348" s="219" t="e">
        <f>SUM(CC150)/SUM(CC204,CC208,CC210,CC211)</f>
        <v>#DIV/0!</v>
      </c>
      <c r="CD348" s="219" t="e">
        <f>SUM(CD150)/SUM(CD204,CD208,CD210,CD211)</f>
        <v>#DIV/0!</v>
      </c>
      <c r="CF348" s="219" t="e">
        <f>SUM(CF150)/SUM(CF204,CF208,CF210,CF211)</f>
        <v>#DIV/0!</v>
      </c>
      <c r="CG348" s="219" t="e">
        <f>SUM(CG150)/SUM(CG204,CG208,CG210,CG211)</f>
        <v>#DIV/0!</v>
      </c>
      <c r="CH348" s="219" t="e">
        <f>SUM(CH150)/SUM(CH204,CH208,CH210,CH211)</f>
        <v>#DIV/0!</v>
      </c>
      <c r="CI348" s="219" t="e">
        <f>SUM(CI150)/SUM(CI204,CI208,CI210,CI211)</f>
        <v>#DIV/0!</v>
      </c>
      <c r="CK348" s="219" t="e">
        <f>SUM(CK150)/SUM(CK204,CK208,CK210,CK211)</f>
        <v>#DIV/0!</v>
      </c>
      <c r="CL348" s="219" t="e">
        <f>SUM(CL150)/SUM(CL204,CL208,CL210,CL211)</f>
        <v>#DIV/0!</v>
      </c>
      <c r="CM348" s="219" t="e">
        <f>SUM(CM150)/SUM(CM204,CM208,CM210,CM211)</f>
        <v>#DIV/0!</v>
      </c>
      <c r="CN348" s="219" t="e">
        <f>SUM(CN150)/SUM(CN204,CN208,CN210,CN211)</f>
        <v>#DIV/0!</v>
      </c>
      <c r="CP348" s="219" t="e">
        <f>SUM(CP150)/SUM(CP204,CP208,CP210,CP211)</f>
        <v>#DIV/0!</v>
      </c>
      <c r="CQ348" s="219" t="e">
        <f>SUM(CQ150)/SUM(CQ204,CQ208,CQ210,CQ211)</f>
        <v>#DIV/0!</v>
      </c>
      <c r="CR348" s="219" t="e">
        <f>SUM(CR150)/SUM(CR204,CR208,CR210,CR211)</f>
        <v>#DIV/0!</v>
      </c>
      <c r="CS348" s="219" t="e">
        <f>SUM(CS150)/SUM(CS204,CS208,CS210,CS211)</f>
        <v>#DIV/0!</v>
      </c>
      <c r="CU348" s="219" t="e">
        <f>SUM(CU150)/SUM(CU204,CU208,CU210,CU211)</f>
        <v>#DIV/0!</v>
      </c>
      <c r="CV348" s="219" t="e">
        <f>SUM(CV150)/SUM(CV204,CV208,CV210,CV211)</f>
        <v>#DIV/0!</v>
      </c>
      <c r="CW348" s="219" t="e">
        <f>SUM(CW150)/SUM(CW204,CW208,CW210,CW211)</f>
        <v>#DIV/0!</v>
      </c>
      <c r="CX348" s="219" t="e">
        <f>SUM(CX150)/SUM(CX204,CX208,CX210,CX211)</f>
        <v>#DIV/0!</v>
      </c>
    </row>
    <row r="349" customFormat="1" s="233">
      <c r="A349" s="224" t="n"/>
      <c r="B349" s="224" t="n"/>
    </row>
    <row r="350" customFormat="1" s="233">
      <c r="A350" s="224" t="n"/>
      <c r="B350" s="224" t="n"/>
      <c r="C350" s="234" t="inlineStr">
        <is>
          <t>OPERATING EFFICIENCY</t>
        </is>
      </c>
    </row>
    <row r="351" customFormat="1" s="238">
      <c r="A351" s="222" t="n"/>
      <c r="B351" s="222" t="n"/>
      <c r="C351" s="238" t="inlineStr">
        <is>
          <t>RETURN ON CAPITAL (ROIC)</t>
        </is>
      </c>
      <c r="D351" s="238">
        <f>D353/D356</f>
        <v>0.0289934629726517</v>
      </c>
      <c r="E351" s="238">
        <f>E353/E356</f>
        <v>-0.00169494411246983</v>
      </c>
      <c r="F351" s="238">
        <f>F353/F356</f>
        <v>0.0385866526822901</v>
      </c>
      <c r="G351" s="238">
        <f>G353/G356</f>
        <v>0.0804740495073282</v>
      </c>
      <c r="H351" s="238">
        <f>H353/H356</f>
        <v>0.139845844803346</v>
      </c>
      <c r="I351" s="222">
        <f>I353/I356</f>
        <v>0.0825732724632033</v>
      </c>
      <c r="J351" s="222">
        <f>J353/J356</f>
        <v>0.0686774521091062</v>
      </c>
      <c r="K351" s="222">
        <f>K353/K356</f>
        <v>0.0676389286968211</v>
      </c>
      <c r="L351" s="222">
        <f>L353/L356</f>
        <v>0.0939179013395344</v>
      </c>
      <c r="M351" s="222">
        <f>M353/M356</f>
        <v>0.225147562802352</v>
      </c>
      <c r="N351" s="222">
        <f>N353/N356</f>
        <v>0.0361414184535272</v>
      </c>
      <c r="O351" s="222">
        <f>O353/O356</f>
        <v>0.0545709085973092</v>
      </c>
      <c r="P351" s="222">
        <f>P353/P356</f>
        <v>0.0422713496613448</v>
      </c>
      <c r="Q351" s="222">
        <f>Q353/Q356</f>
        <v>0.0831922960097073</v>
      </c>
      <c r="R351" s="222">
        <f>R353/R356</f>
        <v>0.201620187358122</v>
      </c>
      <c r="S351" s="222">
        <f>S353/S356</f>
        <v>0.0253371401495982</v>
      </c>
      <c r="T351" s="222">
        <f>T353/T356</f>
        <v>0.0498715876308177</v>
      </c>
      <c r="U351" s="222">
        <f>U353/U356</f>
        <v>0.0341695243744607</v>
      </c>
      <c r="V351" s="222">
        <f>V353/V356</f>
        <v>0.0680727584625856</v>
      </c>
      <c r="W351" s="222">
        <f>W353/W356</f>
        <v>0.169869558537725</v>
      </c>
      <c r="X351" s="222">
        <f>X353/X356</f>
        <v>0.0236358670532068</v>
      </c>
      <c r="Y351" s="222">
        <f>Y353/Y356</f>
        <v>0.0768736035533648</v>
      </c>
      <c r="Z351" s="222">
        <f>Z353/Z356</f>
        <v>0.0424280149485809</v>
      </c>
      <c r="AA351" s="222">
        <f>AA353/AA356</f>
        <v>0.0975379649086376</v>
      </c>
      <c r="AB351" s="222">
        <f>AB353/AB356</f>
        <v>0.209644089886612</v>
      </c>
      <c r="AC351" s="222">
        <f>AC353/AC356</f>
        <v>0.0419806454753054</v>
      </c>
      <c r="AD351" s="222">
        <f>AD353/AD356</f>
        <v>0.0501850118342188</v>
      </c>
      <c r="AE351" s="222">
        <f>AE353/AE356</f>
        <v>0.051874353933397</v>
      </c>
      <c r="AF351" s="222">
        <f>AF353/AF356</f>
        <v>0.0611652146898895</v>
      </c>
      <c r="AG351" s="222">
        <f>AG353/AG356</f>
        <v>0.202298680513108</v>
      </c>
      <c r="AH351" s="222">
        <f>AH353/AH356</f>
        <v>0.0340736262009694</v>
      </c>
      <c r="AI351" s="222">
        <f>AI353/AI356</f>
        <v>0.0464854062884001</v>
      </c>
      <c r="AJ351" s="222">
        <f>AJ353/AJ356</f>
        <v>0</v>
      </c>
      <c r="AK351" s="222">
        <f>AK353/AK356</f>
        <v>0</v>
      </c>
      <c r="AL351" s="222">
        <f>AL353/AL356</f>
        <v>0.176201958289988</v>
      </c>
      <c r="AM351" s="222" t="e">
        <f>AM353/AM356</f>
        <v>#DIV/0!</v>
      </c>
      <c r="AN351" s="222">
        <f>AN353/AN356</f>
        <v>0</v>
      </c>
      <c r="AO351" s="222" t="e">
        <f>AO353/AO356</f>
        <v>#DIV/0!</v>
      </c>
      <c r="AP351" s="222" t="e">
        <f>AP353/AP356</f>
        <v>#DIV/0!</v>
      </c>
      <c r="AQ351" s="222" t="e">
        <f>AQ353/AQ356</f>
        <v>#DIV/0!</v>
      </c>
      <c r="AR351" s="222" t="e">
        <f>AR353/AR356</f>
        <v>#DIV/0!</v>
      </c>
      <c r="AS351" s="222" t="e">
        <f>AS353/AS356</f>
        <v>#DIV/0!</v>
      </c>
      <c r="AT351" s="222" t="e">
        <f>AT353/AT356</f>
        <v>#DIV/0!</v>
      </c>
      <c r="AU351" s="222" t="e">
        <f>AU353/AU356</f>
        <v>#DIV/0!</v>
      </c>
      <c r="AV351" s="222" t="e">
        <f>AV353/AV356</f>
        <v>#DIV/0!</v>
      </c>
      <c r="AW351" s="222" t="e">
        <f>AW353/AW356</f>
        <v>#DIV/0!</v>
      </c>
      <c r="AX351" s="222" t="e">
        <f>AX353/AX356</f>
        <v>#DIV/0!</v>
      </c>
      <c r="AY351" s="222" t="e">
        <f>AY353/AY356</f>
        <v>#DIV/0!</v>
      </c>
      <c r="AZ351" s="222" t="e">
        <f>AZ353/AZ356</f>
        <v>#DIV/0!</v>
      </c>
      <c r="BA351" s="222" t="e">
        <f>BA353/BA356</f>
        <v>#DIV/0!</v>
      </c>
      <c r="BB351" s="222" t="e">
        <f>BB353/BB356</f>
        <v>#DIV/0!</v>
      </c>
      <c r="BC351" s="222" t="e">
        <f>BC353/BC356</f>
        <v>#DIV/0!</v>
      </c>
      <c r="BD351" s="222" t="e">
        <f>BD353/BD356</f>
        <v>#DIV/0!</v>
      </c>
      <c r="BE351" s="222" t="e">
        <f>BE353/BE356</f>
        <v>#DIV/0!</v>
      </c>
      <c r="BF351" s="222" t="e">
        <f>BF353/BF356</f>
        <v>#DIV/0!</v>
      </c>
      <c r="BG351" s="222" t="e">
        <f>BG353/BG356</f>
        <v>#DIV/0!</v>
      </c>
      <c r="BH351" s="222" t="e">
        <f>BH353/BH356</f>
        <v>#DIV/0!</v>
      </c>
      <c r="BI351" s="222" t="e">
        <f>BI353/BI356</f>
        <v>#DIV/0!</v>
      </c>
      <c r="BJ351" s="222" t="e">
        <f>BJ353/BJ356</f>
        <v>#DIV/0!</v>
      </c>
      <c r="BK351" s="222" t="e">
        <f>BK353/BK356</f>
        <v>#DIV/0!</v>
      </c>
      <c r="BL351" s="222" t="e">
        <f>BL353/BL356</f>
        <v>#DIV/0!</v>
      </c>
      <c r="BM351" s="222" t="e">
        <f>BM353/BM356</f>
        <v>#DIV/0!</v>
      </c>
      <c r="BN351" s="222" t="e">
        <f>BN353/BN356</f>
        <v>#DIV/0!</v>
      </c>
      <c r="BO351" s="222" t="e">
        <f>BO353/BO356</f>
        <v>#DIV/0!</v>
      </c>
      <c r="BP351" s="222" t="e">
        <f>BP353/BP356</f>
        <v>#DIV/0!</v>
      </c>
      <c r="BQ351" s="222" t="e">
        <f>BQ353/BQ356</f>
        <v>#DIV/0!</v>
      </c>
      <c r="BR351" s="222" t="e">
        <f>BR353/BR356</f>
        <v>#DIV/0!</v>
      </c>
      <c r="BS351" s="222" t="e">
        <f>BS353/BS356</f>
        <v>#DIV/0!</v>
      </c>
      <c r="BT351" s="222" t="e">
        <f>BT353/BT356</f>
        <v>#DIV/0!</v>
      </c>
      <c r="BU351" s="222" t="e">
        <f>BU353/BU356</f>
        <v>#DIV/0!</v>
      </c>
      <c r="BV351" s="222" t="e">
        <f>BV353/BV356</f>
        <v>#DIV/0!</v>
      </c>
      <c r="BW351" s="222" t="e">
        <f>BW353/BW356</f>
        <v>#DIV/0!</v>
      </c>
      <c r="BX351" s="222" t="e">
        <f>BX353/BX356</f>
        <v>#DIV/0!</v>
      </c>
      <c r="BY351" s="222" t="e">
        <f>BY353/BY356</f>
        <v>#DIV/0!</v>
      </c>
      <c r="BZ351" s="222" t="e">
        <f>BZ353/BZ356</f>
        <v>#DIV/0!</v>
      </c>
      <c r="CA351" s="222" t="e">
        <f>CA353/CA356</f>
        <v>#DIV/0!</v>
      </c>
      <c r="CB351" s="222" t="e">
        <f>CB353/CB356</f>
        <v>#DIV/0!</v>
      </c>
      <c r="CC351" s="222" t="e">
        <f>CC353/CC356</f>
        <v>#DIV/0!</v>
      </c>
      <c r="CD351" s="222" t="e">
        <f>CD353/CD356</f>
        <v>#DIV/0!</v>
      </c>
      <c r="CE351" s="222" t="e">
        <f>CE353/CE356</f>
        <v>#DIV/0!</v>
      </c>
      <c r="CF351" s="222" t="e">
        <f>CF353/CF356</f>
        <v>#DIV/0!</v>
      </c>
      <c r="CG351" s="222" t="e">
        <f>CG353/CG356</f>
        <v>#DIV/0!</v>
      </c>
      <c r="CH351" s="222" t="e">
        <f>CH353/CH356</f>
        <v>#DIV/0!</v>
      </c>
      <c r="CI351" s="222" t="e">
        <f>CI353/CI356</f>
        <v>#DIV/0!</v>
      </c>
      <c r="CJ351" s="222" t="e">
        <f>CJ353/CJ356</f>
        <v>#DIV/0!</v>
      </c>
      <c r="CK351" s="222" t="e">
        <f>CK353/CK356</f>
        <v>#DIV/0!</v>
      </c>
      <c r="CL351" s="222" t="e">
        <f>CL353/CL356</f>
        <v>#DIV/0!</v>
      </c>
      <c r="CM351" s="222" t="e">
        <f>CM353/CM356</f>
        <v>#DIV/0!</v>
      </c>
      <c r="CN351" s="222" t="e">
        <f>CN353/CN356</f>
        <v>#DIV/0!</v>
      </c>
      <c r="CO351" s="222" t="e">
        <f>CO353/CO356</f>
        <v>#DIV/0!</v>
      </c>
      <c r="CP351" s="222" t="e">
        <f>CP353/CP356</f>
        <v>#DIV/0!</v>
      </c>
      <c r="CQ351" s="222" t="e">
        <f>CQ353/CQ356</f>
        <v>#DIV/0!</v>
      </c>
      <c r="CR351" s="222" t="e">
        <f>CR353/CR356</f>
        <v>#DIV/0!</v>
      </c>
      <c r="CS351" s="222" t="e">
        <f>CS353/CS356</f>
        <v>#DIV/0!</v>
      </c>
      <c r="CT351" s="222" t="e">
        <f>CT353/CT356</f>
        <v>#DIV/0!</v>
      </c>
      <c r="CU351" s="222" t="e">
        <f>CU353/CU356</f>
        <v>#DIV/0!</v>
      </c>
      <c r="CV351" s="222" t="e">
        <f>CV353/CV356</f>
        <v>#DIV/0!</v>
      </c>
      <c r="CW351" s="222" t="e">
        <f>CW353/CW356</f>
        <v>#DIV/0!</v>
      </c>
      <c r="CX351" s="222" t="e">
        <f>CX353/CX356</f>
        <v>#DIV/0!</v>
      </c>
      <c r="CY351" s="222" t="e">
        <f>CY353/CY356</f>
        <v>#DIV/0!</v>
      </c>
    </row>
    <row r="352" customFormat="1" s="238">
      <c r="A352" s="222" t="n"/>
      <c r="B352" s="222" t="n"/>
      <c r="C352" s="238" t="inlineStr">
        <is>
          <t>RETURN ON CAPITAL (ROIC) - EX GOODWILL</t>
        </is>
      </c>
      <c r="D352" s="238">
        <f>D353/D357</f>
        <v>0.0289934629726517</v>
      </c>
      <c r="E352" s="238">
        <f>E353/E357</f>
        <v>-0.00169494411246983</v>
      </c>
      <c r="F352" s="238">
        <f>F353/F357</f>
        <v>0.0385866526822901</v>
      </c>
      <c r="G352" s="238">
        <f>G353/G357</f>
        <v>0.0804740495073282</v>
      </c>
      <c r="H352" s="238">
        <f>H353/H357</f>
        <v>0.139845844803346</v>
      </c>
      <c r="I352" s="222">
        <f>I353/I357</f>
        <v>0.0825732724632033</v>
      </c>
      <c r="J352" s="222">
        <f>J353/J357</f>
        <v>0.0686774521091062</v>
      </c>
      <c r="K352" s="222">
        <f>K353/K357</f>
        <v>0.0676389286968211</v>
      </c>
      <c r="L352" s="222">
        <f>L353/L357</f>
        <v>0.0939179013395344</v>
      </c>
      <c r="M352" s="222">
        <f>M353/M357</f>
        <v>0.225147562802352</v>
      </c>
      <c r="N352" s="222">
        <f>N353/N357</f>
        <v>0.0361414184535272</v>
      </c>
      <c r="O352" s="222">
        <f>O353/O357</f>
        <v>0.0545709085973092</v>
      </c>
      <c r="P352" s="222">
        <f>P353/P357</f>
        <v>0.0422713496613448</v>
      </c>
      <c r="Q352" s="222">
        <f>Q353/Q357</f>
        <v>0.0831922960097073</v>
      </c>
      <c r="R352" s="222">
        <f>R353/R357</f>
        <v>0.201620187358122</v>
      </c>
      <c r="S352" s="222">
        <f>S353/S357</f>
        <v>0.0253371401495982</v>
      </c>
      <c r="T352" s="222">
        <f>T353/T357</f>
        <v>0.0498715876308177</v>
      </c>
      <c r="U352" s="222">
        <f>U353/U357</f>
        <v>0.0341695243744607</v>
      </c>
      <c r="V352" s="222">
        <f>V353/V357</f>
        <v>0.0680727584625856</v>
      </c>
      <c r="W352" s="222">
        <f>W353/W357</f>
        <v>0.169869558537725</v>
      </c>
      <c r="X352" s="222">
        <f>X353/X357</f>
        <v>0.0236358670532068</v>
      </c>
      <c r="Y352" s="222">
        <f>Y353/Y357</f>
        <v>0.0768736035533648</v>
      </c>
      <c r="Z352" s="222">
        <f>Z353/Z357</f>
        <v>0.0424280149485809</v>
      </c>
      <c r="AA352" s="222">
        <f>AA353/AA357</f>
        <v>0.0975379649086376</v>
      </c>
      <c r="AB352" s="222">
        <f>AB353/AB357</f>
        <v>0.209644089886612</v>
      </c>
      <c r="AC352" s="222">
        <f>AC353/AC357</f>
        <v>0.0419806454753054</v>
      </c>
      <c r="AD352" s="222">
        <f>AD353/AD357</f>
        <v>0.0501850118342188</v>
      </c>
      <c r="AE352" s="222">
        <f>AE353/AE357</f>
        <v>0.051874353933397</v>
      </c>
      <c r="AF352" s="222">
        <f>AF353/AF357</f>
        <v>0.0611652146898895</v>
      </c>
      <c r="AG352" s="222">
        <f>AG353/AG357</f>
        <v>0.202298680513108</v>
      </c>
      <c r="AH352" s="222">
        <f>AH353/AH357</f>
        <v>0.0340736262009694</v>
      </c>
      <c r="AI352" s="222">
        <f>AI353/AI357</f>
        <v>0.0464854062884001</v>
      </c>
      <c r="AJ352" s="222">
        <f>AJ353/AJ357</f>
        <v>0</v>
      </c>
      <c r="AK352" s="222">
        <f>AK353/AK357</f>
        <v>0</v>
      </c>
      <c r="AL352" s="222">
        <f>AL353/AL357</f>
        <v>0.176201958289988</v>
      </c>
      <c r="AM352" s="222" t="e">
        <f>AM353/AM357</f>
        <v>#DIV/0!</v>
      </c>
      <c r="AN352" s="222">
        <f>AN353/AN357</f>
        <v>0</v>
      </c>
      <c r="AO352" s="222" t="e">
        <f>AO353/AO357</f>
        <v>#DIV/0!</v>
      </c>
      <c r="AP352" s="222" t="e">
        <f>AP353/AP357</f>
        <v>#DIV/0!</v>
      </c>
      <c r="AQ352" s="222" t="e">
        <f>AQ353/AQ357</f>
        <v>#DIV/0!</v>
      </c>
      <c r="AR352" s="222" t="e">
        <f>AR353/AR357</f>
        <v>#DIV/0!</v>
      </c>
      <c r="AS352" s="222" t="e">
        <f>AS353/AS357</f>
        <v>#DIV/0!</v>
      </c>
      <c r="AT352" s="222" t="e">
        <f>AT353/AT357</f>
        <v>#DIV/0!</v>
      </c>
      <c r="AU352" s="222" t="e">
        <f>AU353/AU357</f>
        <v>#DIV/0!</v>
      </c>
      <c r="AV352" s="222" t="e">
        <f>AV353/AV357</f>
        <v>#DIV/0!</v>
      </c>
      <c r="AW352" s="222" t="e">
        <f>AW353/AW357</f>
        <v>#DIV/0!</v>
      </c>
      <c r="AX352" s="222" t="e">
        <f>AX353/AX357</f>
        <v>#DIV/0!</v>
      </c>
      <c r="AY352" s="222" t="e">
        <f>AY353/AY357</f>
        <v>#DIV/0!</v>
      </c>
      <c r="AZ352" s="222" t="e">
        <f>AZ353/AZ357</f>
        <v>#DIV/0!</v>
      </c>
      <c r="BA352" s="222" t="e">
        <f>BA353/BA357</f>
        <v>#DIV/0!</v>
      </c>
      <c r="BB352" s="222" t="e">
        <f>BB353/BB357</f>
        <v>#DIV/0!</v>
      </c>
      <c r="BC352" s="222" t="e">
        <f>BC353/BC357</f>
        <v>#DIV/0!</v>
      </c>
      <c r="BD352" s="222" t="e">
        <f>BD353/BD357</f>
        <v>#DIV/0!</v>
      </c>
      <c r="BE352" s="222" t="e">
        <f>BE353/BE357</f>
        <v>#DIV/0!</v>
      </c>
      <c r="BF352" s="222" t="e">
        <f>BF353/BF357</f>
        <v>#DIV/0!</v>
      </c>
      <c r="BG352" s="222" t="e">
        <f>BG353/BG357</f>
        <v>#DIV/0!</v>
      </c>
      <c r="BH352" s="222" t="e">
        <f>BH353/BH357</f>
        <v>#DIV/0!</v>
      </c>
      <c r="BI352" s="222" t="e">
        <f>BI353/BI357</f>
        <v>#DIV/0!</v>
      </c>
      <c r="BJ352" s="222" t="e">
        <f>BJ353/BJ357</f>
        <v>#DIV/0!</v>
      </c>
      <c r="BK352" s="222" t="e">
        <f>BK353/BK357</f>
        <v>#DIV/0!</v>
      </c>
      <c r="BL352" s="222" t="e">
        <f>BL353/BL357</f>
        <v>#DIV/0!</v>
      </c>
      <c r="BM352" s="222" t="e">
        <f>BM353/BM357</f>
        <v>#DIV/0!</v>
      </c>
      <c r="BN352" s="222" t="e">
        <f>BN353/BN357</f>
        <v>#DIV/0!</v>
      </c>
      <c r="BO352" s="222" t="e">
        <f>BO353/BO357</f>
        <v>#DIV/0!</v>
      </c>
      <c r="BP352" s="222" t="e">
        <f>BP353/BP357</f>
        <v>#DIV/0!</v>
      </c>
      <c r="BQ352" s="222" t="e">
        <f>BQ353/BQ357</f>
        <v>#DIV/0!</v>
      </c>
      <c r="BR352" s="222" t="e">
        <f>BR353/BR357</f>
        <v>#DIV/0!</v>
      </c>
      <c r="BS352" s="222" t="e">
        <f>BS353/BS357</f>
        <v>#DIV/0!</v>
      </c>
      <c r="BT352" s="222" t="e">
        <f>BT353/BT357</f>
        <v>#DIV/0!</v>
      </c>
      <c r="BU352" s="222" t="e">
        <f>BU353/BU357</f>
        <v>#DIV/0!</v>
      </c>
      <c r="BV352" s="222" t="e">
        <f>BV353/BV357</f>
        <v>#DIV/0!</v>
      </c>
      <c r="BW352" s="222" t="e">
        <f>BW353/BW357</f>
        <v>#DIV/0!</v>
      </c>
      <c r="BX352" s="222" t="e">
        <f>BX353/BX357</f>
        <v>#DIV/0!</v>
      </c>
      <c r="BY352" s="222" t="e">
        <f>BY353/BY357</f>
        <v>#DIV/0!</v>
      </c>
      <c r="BZ352" s="222" t="e">
        <f>BZ353/BZ357</f>
        <v>#DIV/0!</v>
      </c>
      <c r="CA352" s="222" t="e">
        <f>CA353/CA357</f>
        <v>#DIV/0!</v>
      </c>
      <c r="CB352" s="222" t="e">
        <f>CB353/CB357</f>
        <v>#DIV/0!</v>
      </c>
      <c r="CC352" s="222" t="e">
        <f>CC353/CC357</f>
        <v>#DIV/0!</v>
      </c>
      <c r="CD352" s="222" t="e">
        <f>CD353/CD357</f>
        <v>#DIV/0!</v>
      </c>
      <c r="CE352" s="222" t="e">
        <f>CE353/CE357</f>
        <v>#DIV/0!</v>
      </c>
      <c r="CF352" s="222" t="e">
        <f>CF353/CF357</f>
        <v>#DIV/0!</v>
      </c>
      <c r="CG352" s="222" t="e">
        <f>CG353/CG357</f>
        <v>#DIV/0!</v>
      </c>
      <c r="CH352" s="222" t="e">
        <f>CH353/CH357</f>
        <v>#DIV/0!</v>
      </c>
      <c r="CI352" s="222" t="e">
        <f>CI353/CI357</f>
        <v>#DIV/0!</v>
      </c>
      <c r="CJ352" s="222" t="e">
        <f>CJ353/CJ357</f>
        <v>#DIV/0!</v>
      </c>
      <c r="CK352" s="222" t="e">
        <f>CK353/CK357</f>
        <v>#DIV/0!</v>
      </c>
      <c r="CL352" s="222" t="e">
        <f>CL353/CL357</f>
        <v>#DIV/0!</v>
      </c>
      <c r="CM352" s="222" t="e">
        <f>CM353/CM357</f>
        <v>#DIV/0!</v>
      </c>
      <c r="CN352" s="222" t="e">
        <f>CN353/CN357</f>
        <v>#DIV/0!</v>
      </c>
      <c r="CO352" s="222" t="e">
        <f>CO353/CO357</f>
        <v>#DIV/0!</v>
      </c>
      <c r="CP352" s="222" t="e">
        <f>CP353/CP357</f>
        <v>#DIV/0!</v>
      </c>
      <c r="CQ352" s="222" t="e">
        <f>CQ353/CQ357</f>
        <v>#DIV/0!</v>
      </c>
      <c r="CR352" s="222" t="e">
        <f>CR353/CR357</f>
        <v>#DIV/0!</v>
      </c>
      <c r="CS352" s="222" t="e">
        <f>CS353/CS357</f>
        <v>#DIV/0!</v>
      </c>
      <c r="CT352" s="222" t="e">
        <f>CT353/CT357</f>
        <v>#DIV/0!</v>
      </c>
      <c r="CU352" s="222" t="e">
        <f>CU353/CU357</f>
        <v>#DIV/0!</v>
      </c>
      <c r="CV352" s="222" t="e">
        <f>CV353/CV357</f>
        <v>#DIV/0!</v>
      </c>
      <c r="CW352" s="222" t="e">
        <f>CW353/CW357</f>
        <v>#DIV/0!</v>
      </c>
      <c r="CX352" s="222" t="e">
        <f>CX353/CX357</f>
        <v>#DIV/0!</v>
      </c>
      <c r="CY352" s="222" t="e">
        <f>CY353/CY357</f>
        <v>#DIV/0!</v>
      </c>
    </row>
    <row r="353" customFormat="1" s="233">
      <c r="A353" s="224" t="n"/>
      <c r="B353" s="224" t="n"/>
      <c r="C353" s="233" t="inlineStr">
        <is>
          <t>NOPLAT</t>
        </is>
      </c>
      <c r="D353" s="233">
        <f>D354*(1-D355)</f>
        <v>34.7409531115723</v>
      </c>
      <c r="E353" s="233">
        <f>E354*(1-E355)</f>
        <v>-1.8335638701951</v>
      </c>
      <c r="F353" s="233">
        <f>F354*(1-F355)</f>
        <v>43.2267867775795</v>
      </c>
      <c r="G353" s="233">
        <f>G354*(1-G355)</f>
        <v>92.1807174003442</v>
      </c>
      <c r="H353" s="233">
        <f>H354*(1-H355)</f>
        <v>160.18940737232</v>
      </c>
      <c r="I353" s="223">
        <f>I354*(1-I355)</f>
        <v>95.6185075193709</v>
      </c>
      <c r="J353" s="224">
        <f>J354*(1-J355)</f>
        <v>87.49275923341</v>
      </c>
      <c r="K353" s="224">
        <f>K354*(1-K355)</f>
        <v>93.5550936684989</v>
      </c>
      <c r="L353" s="224">
        <f>L354*(1-L355)</f>
        <v>139.637325619712</v>
      </c>
      <c r="M353" s="224">
        <f>M354*(1-M355)</f>
        <v>334.749851637522</v>
      </c>
      <c r="N353" s="223">
        <f>N354*(1-N355)</f>
        <v>58.8670456417315</v>
      </c>
      <c r="O353" s="224">
        <f>O354*(1-O355)</f>
        <v>100.989456521869</v>
      </c>
      <c r="P353" s="224">
        <f>P354*(1-P355)</f>
        <v>85.4674042228623</v>
      </c>
      <c r="Q353" s="224">
        <f>Q354*(1-Q355)</f>
        <v>169.287705704468</v>
      </c>
      <c r="R353" s="224">
        <f>R354*(1-R355)</f>
        <v>410.276198382347</v>
      </c>
      <c r="S353" s="223">
        <f>S354*(1-S355)</f>
        <v>53.7409357200629</v>
      </c>
      <c r="T353" s="224">
        <f>T354*(1-T355)</f>
        <v>119.072972155732</v>
      </c>
      <c r="U353" s="224">
        <f>U354*(1-U355)</f>
        <v>85.6731744737795</v>
      </c>
      <c r="V353" s="224">
        <f>V354*(1-V355)</f>
        <v>171.704615757449</v>
      </c>
      <c r="W353" s="224">
        <f>W354*(1-W355)</f>
        <v>428.473708666276</v>
      </c>
      <c r="X353" s="223">
        <f>X354*(1-X355)</f>
        <v>57.2834187784258</v>
      </c>
      <c r="Y353" s="224">
        <f>Y354*(1-Y355)</f>
        <v>207.718587473498</v>
      </c>
      <c r="Z353" s="224">
        <f>Z354*(1-Z355)</f>
        <v>124.637048863641</v>
      </c>
      <c r="AA353" s="224">
        <f>AA354*(1-AA355)</f>
        <v>331.832766927394</v>
      </c>
      <c r="AB353" s="224">
        <f>AB354*(1-AB355)</f>
        <v>713.227700436561</v>
      </c>
      <c r="AC353" s="223">
        <f>AC354*(1-AC355)</f>
        <v>147.317391516118</v>
      </c>
      <c r="AD353" s="224">
        <f>AD354*(1-AD355)</f>
        <v>183.610180346375</v>
      </c>
      <c r="AE353" s="224">
        <f>AE354*(1-AE355)</f>
        <v>204.532588908879</v>
      </c>
      <c r="AF353" s="224">
        <f>AF354*(1-AF355)</f>
        <v>231.449126927331</v>
      </c>
      <c r="AG353" s="224">
        <f>AG354*(1-AG355)</f>
        <v>765.498056709174</v>
      </c>
      <c r="AH353" s="223">
        <f>AH354*(1-AH355)</f>
        <v>133.939349867348</v>
      </c>
      <c r="AI353" s="224">
        <f>AI354*(1-AI355)</f>
        <v>185.756602008952</v>
      </c>
      <c r="AJ353" s="224">
        <f>AJ354*(1-AJ355)</f>
        <v>0</v>
      </c>
      <c r="AK353" s="224">
        <f>AK354*(1-AK355)</f>
        <v>0</v>
      </c>
      <c r="AL353" s="224">
        <f>AL354*(1-AL355)</f>
        <v>308.322903677919</v>
      </c>
      <c r="AM353" s="223">
        <f>AM354*(1-AM355)</f>
        <v>0</v>
      </c>
      <c r="AN353" s="224">
        <f>AN354*(1-AN355)</f>
        <v>0</v>
      </c>
      <c r="AO353" s="224">
        <f>AO354*(1-AO355)</f>
        <v>0</v>
      </c>
      <c r="AP353" s="224">
        <f>AP354*(1-AP355)</f>
        <v>0</v>
      </c>
      <c r="AQ353" s="224">
        <f>AQ354*(1-AQ355)</f>
        <v>0</v>
      </c>
      <c r="AR353" s="223">
        <f>AR354*(1-AR355)</f>
        <v>0</v>
      </c>
      <c r="AS353" s="224">
        <f>AS354*(1-AS355)</f>
        <v>0</v>
      </c>
      <c r="AT353" s="224">
        <f>AT354*(1-AT355)</f>
        <v>0</v>
      </c>
      <c r="AU353" s="224">
        <f>AU354*(1-AU355)</f>
        <v>0</v>
      </c>
      <c r="AV353" s="224">
        <f>AV354*(1-AV355)</f>
        <v>0</v>
      </c>
      <c r="AW353" s="223">
        <f>AW354*(1-AW355)</f>
        <v>0</v>
      </c>
      <c r="AX353" s="224">
        <f>AX354*(1-AX355)</f>
        <v>0</v>
      </c>
      <c r="AY353" s="224">
        <f>AY354*(1-AY355)</f>
        <v>0</v>
      </c>
      <c r="AZ353" s="224">
        <f>AZ354*(1-AZ355)</f>
        <v>0</v>
      </c>
      <c r="BA353" s="224">
        <f>BA354*(1-BA355)</f>
        <v>0</v>
      </c>
      <c r="BB353" s="223">
        <f>BB354*(1-BB355)</f>
        <v>0</v>
      </c>
      <c r="BC353" s="224">
        <f>BC354*(1-BC355)</f>
        <v>0</v>
      </c>
      <c r="BD353" s="224">
        <f>BD354*(1-BD355)</f>
        <v>0</v>
      </c>
      <c r="BE353" s="224">
        <f>BE354*(1-BE355)</f>
        <v>0</v>
      </c>
      <c r="BF353" s="224">
        <f>BF354*(1-BF355)</f>
        <v>0</v>
      </c>
      <c r="BG353" s="223">
        <f>BG354*(1-BG355)</f>
        <v>0</v>
      </c>
      <c r="BH353" s="224">
        <f>BH354*(1-BH355)</f>
        <v>0</v>
      </c>
      <c r="BI353" s="224">
        <f>BI354*(1-BI355)</f>
        <v>0</v>
      </c>
      <c r="BJ353" s="224">
        <f>BJ354*(1-BJ355)</f>
        <v>0</v>
      </c>
      <c r="BK353" s="224">
        <f>BK354*(1-BK355)</f>
        <v>0</v>
      </c>
      <c r="BL353" s="223">
        <f>BL354*(1-BL355)</f>
        <v>0</v>
      </c>
      <c r="BM353" s="224">
        <f>BM354*(1-BM355)</f>
        <v>0</v>
      </c>
      <c r="BN353" s="224">
        <f>BN354*(1-BN355)</f>
        <v>0</v>
      </c>
      <c r="BO353" s="224">
        <f>BO354*(1-BO355)</f>
        <v>0</v>
      </c>
      <c r="BP353" s="224">
        <f>BP354*(1-BP355)</f>
        <v>0</v>
      </c>
      <c r="BQ353" s="223">
        <f>BQ354*(1-BQ355)</f>
        <v>0</v>
      </c>
      <c r="BR353" s="224">
        <f>BR354*(1-BR355)</f>
        <v>0</v>
      </c>
      <c r="BS353" s="224">
        <f>BS354*(1-BS355)</f>
        <v>0</v>
      </c>
      <c r="BT353" s="224">
        <f>BT354*(1-BT355)</f>
        <v>0</v>
      </c>
      <c r="BU353" s="224">
        <f>BU354*(1-BU355)</f>
        <v>0</v>
      </c>
      <c r="BV353" s="223">
        <f>BV354*(1-BV355)</f>
        <v>0</v>
      </c>
      <c r="BW353" s="224">
        <f>BW354*(1-BW355)</f>
        <v>0</v>
      </c>
      <c r="BX353" s="224">
        <f>BX354*(1-BX355)</f>
        <v>0</v>
      </c>
      <c r="BY353" s="224">
        <f>BY354*(1-BY355)</f>
        <v>0</v>
      </c>
      <c r="BZ353" s="224">
        <f>BZ354*(1-BZ355)</f>
        <v>0</v>
      </c>
      <c r="CA353" s="223">
        <f>CA354*(1-CA355)</f>
        <v>0</v>
      </c>
      <c r="CB353" s="224">
        <f>CB354*(1-CB355)</f>
        <v>0</v>
      </c>
      <c r="CC353" s="224">
        <f>CC354*(1-CC355)</f>
        <v>0</v>
      </c>
      <c r="CD353" s="224">
        <f>CD354*(1-CD355)</f>
        <v>0</v>
      </c>
      <c r="CE353" s="224">
        <f>CE354*(1-CE355)</f>
        <v>0</v>
      </c>
      <c r="CF353" s="223">
        <f>CF354*(1-CF355)</f>
        <v>0</v>
      </c>
      <c r="CG353" s="224">
        <f>CG354*(1-CG355)</f>
        <v>0</v>
      </c>
      <c r="CH353" s="224">
        <f>CH354*(1-CH355)</f>
        <v>0</v>
      </c>
      <c r="CI353" s="224">
        <f>CI354*(1-CI355)</f>
        <v>0</v>
      </c>
      <c r="CJ353" s="224">
        <f>CJ354*(1-CJ355)</f>
        <v>0</v>
      </c>
      <c r="CK353" s="223">
        <f>CK354*(1-CK355)</f>
        <v>0</v>
      </c>
      <c r="CL353" s="224">
        <f>CL354*(1-CL355)</f>
        <v>0</v>
      </c>
      <c r="CM353" s="224">
        <f>CM354*(1-CM355)</f>
        <v>0</v>
      </c>
      <c r="CN353" s="224">
        <f>CN354*(1-CN355)</f>
        <v>0</v>
      </c>
      <c r="CO353" s="224">
        <f>CO354*(1-CO355)</f>
        <v>0</v>
      </c>
      <c r="CP353" s="223">
        <f>CP354*(1-CP355)</f>
        <v>0</v>
      </c>
      <c r="CQ353" s="224">
        <f>CQ354*(1-CQ355)</f>
        <v>0</v>
      </c>
      <c r="CR353" s="224">
        <f>CR354*(1-CR355)</f>
        <v>0</v>
      </c>
      <c r="CS353" s="224">
        <f>CS354*(1-CS355)</f>
        <v>0</v>
      </c>
      <c r="CT353" s="224">
        <f>CT354*(1-CT355)</f>
        <v>0</v>
      </c>
      <c r="CU353" s="223">
        <f>CU354*(1-CU355)</f>
        <v>0</v>
      </c>
      <c r="CV353" s="224">
        <f>CV354*(1-CV355)</f>
        <v>0</v>
      </c>
      <c r="CW353" s="224">
        <f>CW354*(1-CW355)</f>
        <v>0</v>
      </c>
      <c r="CX353" s="224">
        <f>CX354*(1-CX355)</f>
        <v>0</v>
      </c>
      <c r="CY353" s="224">
        <f>CY354*(1-CY355)</f>
        <v>0</v>
      </c>
    </row>
    <row r="354" customFormat="1" s="233">
      <c r="A354" s="224" t="n"/>
      <c r="B354" s="224" t="n"/>
      <c r="C354" s="233" t="inlineStr">
        <is>
          <t>EBIT</t>
        </is>
      </c>
      <c r="D354" s="239">
        <f>D79</f>
        <v>20.94485347</v>
      </c>
      <c r="E354" s="239">
        <f>E79</f>
        <v>-4.55830080563251</v>
      </c>
      <c r="F354" s="239">
        <f>F79</f>
        <v>42.374679746385</v>
      </c>
      <c r="G354" s="239">
        <f>G79</f>
        <v>123.279249576936</v>
      </c>
      <c r="H354" s="239">
        <f>H79</f>
        <v>182.040481987689</v>
      </c>
      <c r="I354" s="36">
        <f>I79</f>
        <v>9.05486797943886</v>
      </c>
      <c r="J354" s="36">
        <f>J79</f>
        <v>87.2494066404648</v>
      </c>
      <c r="K354" s="36">
        <f>K79</f>
        <v>66.0845046092106</v>
      </c>
      <c r="L354" s="36">
        <f>L79</f>
        <v>132.298048370606</v>
      </c>
      <c r="M354" s="36">
        <f>M79</f>
        <v>294.686827599721</v>
      </c>
      <c r="N354" s="36">
        <f>N79</f>
        <v>44.5013921708257</v>
      </c>
      <c r="O354" s="36">
        <f>O79</f>
        <v>88.4852527297007</v>
      </c>
      <c r="P354" s="36">
        <f>P79</f>
        <v>63.147335953225</v>
      </c>
      <c r="Q354" s="36">
        <f>Q79</f>
        <v>180.238347649433</v>
      </c>
      <c r="R354" s="36">
        <f>R79</f>
        <v>376.372328503185</v>
      </c>
      <c r="S354" s="36">
        <f>S79</f>
        <v>48.2340356197691</v>
      </c>
      <c r="T354" s="36">
        <f>T79</f>
        <v>126.235683677533</v>
      </c>
      <c r="U354" s="36">
        <f>U79</f>
        <v>87.2185889114494</v>
      </c>
      <c r="V354" s="36">
        <f>V79</f>
        <v>188.957800562112</v>
      </c>
      <c r="W354" s="36">
        <f>W79</f>
        <v>450.646108770864</v>
      </c>
      <c r="X354" s="36">
        <f>X79</f>
        <v>41.3461980801881</v>
      </c>
      <c r="Y354" s="36">
        <f>Y79</f>
        <v>223.899618959671</v>
      </c>
      <c r="Z354" s="36">
        <f>Z79</f>
        <v>106.248186933101</v>
      </c>
      <c r="AA354" s="36">
        <f>AA79</f>
        <v>312.091828920214</v>
      </c>
      <c r="AB354" s="36">
        <f>AB79</f>
        <v>683.585832893173</v>
      </c>
      <c r="AC354" s="36">
        <f>AC79</f>
        <v>90.4216211900004</v>
      </c>
      <c r="AD354" s="36">
        <f>AD79</f>
        <v>188.618928169999</v>
      </c>
      <c r="AE354" s="36">
        <f>AE79</f>
        <v>203.84053767</v>
      </c>
      <c r="AF354" s="36">
        <f>AF79</f>
        <v>243.44252143</v>
      </c>
      <c r="AG354" s="36">
        <f>AG79</f>
        <v>726.323608459999</v>
      </c>
      <c r="AH354" s="36">
        <f>AH79</f>
        <v>90.37292169</v>
      </c>
      <c r="AI354" s="36">
        <f>AI79</f>
        <v>199.853813530001</v>
      </c>
      <c r="AJ354" s="36">
        <f>AJ79</f>
        <v>0</v>
      </c>
      <c r="AK354" s="36">
        <f>AK79</f>
        <v>0</v>
      </c>
      <c r="AL354" s="36">
        <f>AL79</f>
        <v>290.226735220001</v>
      </c>
      <c r="AM354" s="36">
        <f>AM79</f>
        <v>0</v>
      </c>
      <c r="AN354" s="36">
        <f>AN79</f>
        <v>0</v>
      </c>
      <c r="AO354" s="36">
        <f>AO79</f>
        <v>0</v>
      </c>
      <c r="AP354" s="36">
        <f>AP79</f>
        <v>0</v>
      </c>
      <c r="AQ354" s="36">
        <f>AQ79</f>
        <v>0</v>
      </c>
      <c r="AR354" s="36">
        <f>AR79</f>
        <v>0</v>
      </c>
      <c r="AS354" s="36">
        <f>AS79</f>
        <v>0</v>
      </c>
      <c r="AT354" s="36">
        <f>AT79</f>
        <v>0</v>
      </c>
      <c r="AU354" s="36">
        <f>AU79</f>
        <v>0</v>
      </c>
      <c r="AV354" s="36">
        <f>AV79</f>
        <v>0</v>
      </c>
      <c r="AW354" s="36">
        <f>AW79</f>
        <v>0</v>
      </c>
      <c r="AX354" s="36">
        <f>AX79</f>
        <v>0</v>
      </c>
      <c r="AY354" s="36">
        <f>AY79</f>
        <v>0</v>
      </c>
      <c r="AZ354" s="36">
        <f>AZ79</f>
        <v>0</v>
      </c>
      <c r="BA354" s="36">
        <f>BA79</f>
        <v>0</v>
      </c>
      <c r="BB354" s="36">
        <f>BB79</f>
        <v>0</v>
      </c>
      <c r="BC354" s="36">
        <f>BC79</f>
        <v>0</v>
      </c>
      <c r="BD354" s="36">
        <f>BD79</f>
        <v>0</v>
      </c>
      <c r="BE354" s="36">
        <f>BE79</f>
        <v>0</v>
      </c>
      <c r="BF354" s="36">
        <f>BF79</f>
        <v>0</v>
      </c>
      <c r="BG354" s="36">
        <f>BG79</f>
        <v>0</v>
      </c>
      <c r="BH354" s="36">
        <f>BH79</f>
        <v>0</v>
      </c>
      <c r="BI354" s="36">
        <f>BI79</f>
        <v>0</v>
      </c>
      <c r="BJ354" s="36">
        <f>BJ79</f>
        <v>0</v>
      </c>
      <c r="BK354" s="36">
        <f>BK79</f>
        <v>0</v>
      </c>
      <c r="BL354" s="36">
        <f>BL79</f>
        <v>0</v>
      </c>
      <c r="BM354" s="36">
        <f>BM79</f>
        <v>0</v>
      </c>
      <c r="BN354" s="36">
        <f>BN79</f>
        <v>0</v>
      </c>
      <c r="BO354" s="36">
        <f>BO79</f>
        <v>0</v>
      </c>
      <c r="BP354" s="36">
        <f>BP79</f>
        <v>0</v>
      </c>
      <c r="BQ354" s="36">
        <f>BQ79</f>
        <v>0</v>
      </c>
      <c r="BR354" s="36">
        <f>BR79</f>
        <v>0</v>
      </c>
      <c r="BS354" s="36">
        <f>BS79</f>
        <v>0</v>
      </c>
      <c r="BT354" s="36">
        <f>BT79</f>
        <v>0</v>
      </c>
      <c r="BU354" s="36">
        <f>BU79</f>
        <v>0</v>
      </c>
      <c r="BV354" s="36">
        <f>BV79</f>
        <v>0</v>
      </c>
      <c r="BW354" s="36">
        <f>BW79</f>
        <v>0</v>
      </c>
      <c r="BX354" s="36">
        <f>BX79</f>
        <v>0</v>
      </c>
      <c r="BY354" s="36">
        <f>BY79</f>
        <v>0</v>
      </c>
      <c r="BZ354" s="36">
        <f>BZ79</f>
        <v>0</v>
      </c>
      <c r="CA354" s="36">
        <f>CA79</f>
        <v>0</v>
      </c>
      <c r="CB354" s="36">
        <f>CB79</f>
        <v>0</v>
      </c>
      <c r="CC354" s="36">
        <f>CC79</f>
        <v>0</v>
      </c>
      <c r="CD354" s="36">
        <f>CD79</f>
        <v>0</v>
      </c>
      <c r="CE354" s="36">
        <f>CE79</f>
        <v>0</v>
      </c>
      <c r="CF354" s="36">
        <f>CF79</f>
        <v>0</v>
      </c>
      <c r="CG354" s="36">
        <f>CG79</f>
        <v>0</v>
      </c>
      <c r="CH354" s="36">
        <f>CH79</f>
        <v>0</v>
      </c>
      <c r="CI354" s="36">
        <f>CI79</f>
        <v>0</v>
      </c>
      <c r="CJ354" s="36">
        <f>CJ79</f>
        <v>0</v>
      </c>
      <c r="CK354" s="36">
        <f>CK79</f>
        <v>0</v>
      </c>
      <c r="CL354" s="36">
        <f>CL79</f>
        <v>0</v>
      </c>
      <c r="CM354" s="36">
        <f>CM79</f>
        <v>0</v>
      </c>
      <c r="CN354" s="36">
        <f>CN79</f>
        <v>0</v>
      </c>
      <c r="CO354" s="36">
        <f>CO79</f>
        <v>0</v>
      </c>
      <c r="CP354" s="36">
        <f>CP79</f>
        <v>0</v>
      </c>
      <c r="CQ354" s="36">
        <f>CQ79</f>
        <v>0</v>
      </c>
      <c r="CR354" s="36">
        <f>CR79</f>
        <v>0</v>
      </c>
      <c r="CS354" s="36">
        <f>CS79</f>
        <v>0</v>
      </c>
      <c r="CT354" s="36">
        <f>CT79</f>
        <v>0</v>
      </c>
      <c r="CU354" s="36">
        <f>CU79</f>
        <v>0</v>
      </c>
      <c r="CV354" s="36">
        <f>CV79</f>
        <v>0</v>
      </c>
      <c r="CW354" s="36">
        <f>CW79</f>
        <v>0</v>
      </c>
      <c r="CX354" s="36">
        <f>CX79</f>
        <v>0</v>
      </c>
      <c r="CY354" s="36">
        <f>CY79</f>
        <v>0</v>
      </c>
    </row>
    <row r="355" customFormat="1" s="233">
      <c r="A355" s="224" t="n"/>
      <c r="B355" s="224" t="n"/>
      <c r="C355" s="233" t="inlineStr">
        <is>
          <t>ETR</t>
        </is>
      </c>
      <c r="D355" s="240">
        <f>D138</f>
        <v>-0.658686854092006</v>
      </c>
      <c r="E355" s="240">
        <f>E138</f>
        <v>0.597752770521541</v>
      </c>
      <c r="F355" s="240">
        <f>F138</f>
        <v>-0.0201088724751279</v>
      </c>
      <c r="G355" s="240">
        <f>G138</f>
        <v>0.2522608815621</v>
      </c>
      <c r="H355" s="240">
        <f>H138</f>
        <v>0.120034150518491</v>
      </c>
      <c r="I355" s="225">
        <f>I138</f>
        <v>-9.55990078888996</v>
      </c>
      <c r="J355" s="225">
        <f>J138</f>
        <v>-0.0027891604346145</v>
      </c>
      <c r="K355" s="225">
        <f>K138</f>
        <v>-0.415688809679895</v>
      </c>
      <c r="L355" s="225">
        <f>L138</f>
        <v>-0.0554753251427114</v>
      </c>
      <c r="M355" s="225">
        <f>M138</f>
        <v>-0.135951187109792</v>
      </c>
      <c r="N355" s="225">
        <f>N138</f>
        <v>-0.322813574365516</v>
      </c>
      <c r="O355" s="225">
        <f>O138</f>
        <v>-0.141313986301939</v>
      </c>
      <c r="P355" s="225">
        <f>P138</f>
        <v>-0.353460172669366</v>
      </c>
      <c r="Q355" s="225">
        <f>Q138</f>
        <v>0.0607564488233333</v>
      </c>
      <c r="R355" s="225">
        <f>R138</f>
        <v>-0.090080665637659</v>
      </c>
      <c r="S355" s="225">
        <f>S138</f>
        <v>-0.114170419902347</v>
      </c>
      <c r="T355" s="225">
        <f>T138</f>
        <v>0.0567407829001712</v>
      </c>
      <c r="U355" s="225">
        <f>U138</f>
        <v>0.0177188654042418</v>
      </c>
      <c r="V355" s="225">
        <f>V138</f>
        <v>0.0913070788998274</v>
      </c>
      <c r="W355" s="225">
        <f>W138</f>
        <v>0.0492013570583425</v>
      </c>
      <c r="X355" s="225">
        <f>X138</f>
        <v>-0.385457948692854</v>
      </c>
      <c r="Y355" s="225">
        <f>Y138</f>
        <v>0.0722691336472873</v>
      </c>
      <c r="Z355" s="225">
        <f>Z138</f>
        <v>-0.173074595071624</v>
      </c>
      <c r="AA355" s="225">
        <f>AA138</f>
        <v>-0.0632536201780113</v>
      </c>
      <c r="AB355" s="225">
        <f>AB138</f>
        <v>-0.043362319868353</v>
      </c>
      <c r="AC355" s="225">
        <f>AC138</f>
        <v>-0.629227496447607</v>
      </c>
      <c r="AD355" s="225">
        <f>AD138</f>
        <v>0.0265548525390282</v>
      </c>
      <c r="AE355" s="225">
        <f>AE138</f>
        <v>-0.00339506187919865</v>
      </c>
      <c r="AF355" s="225">
        <f>AF138</f>
        <v>0.049265816145097</v>
      </c>
      <c r="AG355" s="225">
        <f>AG138</f>
        <v>-0.0539352539183394</v>
      </c>
      <c r="AH355" s="225">
        <f>AH138</f>
        <v>-0.482073915091412</v>
      </c>
      <c r="AI355" s="225">
        <f>AI138</f>
        <v>0.0705376158305449</v>
      </c>
      <c r="AJ355" s="225">
        <f>AJ138</f>
        <v>0</v>
      </c>
      <c r="AK355" s="225">
        <f>AK138</f>
        <v>0</v>
      </c>
      <c r="AL355" s="225">
        <f>AL138</f>
        <v>-0.0623518313852143</v>
      </c>
      <c r="AM355" s="225">
        <f>AM138</f>
        <v>0</v>
      </c>
      <c r="AN355" s="225">
        <f>AN138</f>
        <v>0</v>
      </c>
      <c r="AO355" s="225">
        <f>AO138</f>
        <v>0</v>
      </c>
      <c r="AP355" s="225">
        <f>AP138</f>
        <v>0</v>
      </c>
      <c r="AQ355" s="225">
        <f>AQ138</f>
        <v>0</v>
      </c>
      <c r="AR355" s="225">
        <f>AR138</f>
        <v>0</v>
      </c>
      <c r="AS355" s="225">
        <f>AS138</f>
        <v>0</v>
      </c>
      <c r="AT355" s="225">
        <f>AT138</f>
        <v>0</v>
      </c>
      <c r="AU355" s="225">
        <f>AU138</f>
        <v>0</v>
      </c>
      <c r="AV355" s="225">
        <f>AV138</f>
        <v>0</v>
      </c>
      <c r="AW355" s="225">
        <f>AW138</f>
        <v>0</v>
      </c>
      <c r="AX355" s="225">
        <f>AX138</f>
        <v>0</v>
      </c>
      <c r="AY355" s="225">
        <f>AY138</f>
        <v>0</v>
      </c>
      <c r="AZ355" s="225">
        <f>AZ138</f>
        <v>0</v>
      </c>
      <c r="BA355" s="225">
        <f>BA138</f>
        <v>0</v>
      </c>
      <c r="BB355" s="225">
        <f>BB138</f>
        <v>0</v>
      </c>
      <c r="BC355" s="225">
        <f>BC138</f>
        <v>0</v>
      </c>
      <c r="BD355" s="225">
        <f>BD138</f>
        <v>0</v>
      </c>
      <c r="BE355" s="225">
        <f>BE138</f>
        <v>0</v>
      </c>
      <c r="BF355" s="225">
        <f>BF138</f>
        <v>0</v>
      </c>
      <c r="BG355" s="225">
        <f>BG138</f>
        <v>0</v>
      </c>
      <c r="BH355" s="225">
        <f>BH138</f>
        <v>0</v>
      </c>
      <c r="BI355" s="225">
        <f>BI138</f>
        <v>0</v>
      </c>
      <c r="BJ355" s="225">
        <f>BJ138</f>
        <v>0</v>
      </c>
      <c r="BK355" s="225">
        <f>BK138</f>
        <v>0</v>
      </c>
      <c r="BL355" s="225">
        <f>BL138</f>
        <v>0</v>
      </c>
      <c r="BM355" s="225">
        <f>BM138</f>
        <v>0</v>
      </c>
      <c r="BN355" s="225">
        <f>BN138</f>
        <v>0</v>
      </c>
      <c r="BO355" s="225">
        <f>BO138</f>
        <v>0</v>
      </c>
      <c r="BP355" s="225">
        <f>BP138</f>
        <v>0</v>
      </c>
      <c r="BQ355" s="225">
        <f>BQ138</f>
        <v>0</v>
      </c>
      <c r="BR355" s="225">
        <f>BR138</f>
        <v>0</v>
      </c>
      <c r="BS355" s="225">
        <f>BS138</f>
        <v>0</v>
      </c>
      <c r="BT355" s="225">
        <f>BT138</f>
        <v>0</v>
      </c>
      <c r="BU355" s="225">
        <f>BU138</f>
        <v>0</v>
      </c>
      <c r="BV355" s="225">
        <f>BV138</f>
        <v>0</v>
      </c>
      <c r="BW355" s="225">
        <f>BW138</f>
        <v>0</v>
      </c>
      <c r="BX355" s="225">
        <f>BX138</f>
        <v>0</v>
      </c>
      <c r="BY355" s="225">
        <f>BY138</f>
        <v>0</v>
      </c>
      <c r="BZ355" s="225">
        <f>BZ138</f>
        <v>0</v>
      </c>
      <c r="CA355" s="225">
        <f>CA138</f>
        <v>0</v>
      </c>
      <c r="CB355" s="225">
        <f>CB138</f>
        <v>0</v>
      </c>
      <c r="CC355" s="225">
        <f>CC138</f>
        <v>0</v>
      </c>
      <c r="CD355" s="225">
        <f>CD138</f>
        <v>0</v>
      </c>
      <c r="CE355" s="225">
        <f>CE138</f>
        <v>0</v>
      </c>
      <c r="CF355" s="225">
        <f>CF138</f>
        <v>0</v>
      </c>
      <c r="CG355" s="225">
        <f>CG138</f>
        <v>0</v>
      </c>
      <c r="CH355" s="225">
        <f>CH138</f>
        <v>0</v>
      </c>
      <c r="CI355" s="225">
        <f>CI138</f>
        <v>0</v>
      </c>
      <c r="CJ355" s="225">
        <f>CJ138</f>
        <v>0</v>
      </c>
      <c r="CK355" s="225">
        <f>CK138</f>
        <v>0</v>
      </c>
      <c r="CL355" s="225">
        <f>CL138</f>
        <v>0</v>
      </c>
      <c r="CM355" s="225">
        <f>CM138</f>
        <v>0</v>
      </c>
      <c r="CN355" s="225">
        <f>CN138</f>
        <v>0</v>
      </c>
      <c r="CO355" s="225">
        <f>CO138</f>
        <v>0</v>
      </c>
      <c r="CP355" s="225">
        <f>CP138</f>
        <v>0</v>
      </c>
      <c r="CQ355" s="225">
        <f>CQ138</f>
        <v>0</v>
      </c>
      <c r="CR355" s="225">
        <f>CR138</f>
        <v>0</v>
      </c>
      <c r="CS355" s="225">
        <f>CS138</f>
        <v>0</v>
      </c>
      <c r="CT355" s="225">
        <f>CT138</f>
        <v>0</v>
      </c>
      <c r="CU355" s="225">
        <f>CU138</f>
        <v>0</v>
      </c>
      <c r="CV355" s="225">
        <f>CV138</f>
        <v>0</v>
      </c>
      <c r="CW355" s="225">
        <f>CW138</f>
        <v>0</v>
      </c>
      <c r="CX355" s="225">
        <f>CX138</f>
        <v>0</v>
      </c>
      <c r="CY355" s="225">
        <f>CY138</f>
        <v>0</v>
      </c>
    </row>
    <row r="356" customFormat="1" s="233">
      <c r="A356" s="224" t="n"/>
      <c r="B356" s="224" t="n"/>
      <c r="C356" s="233" t="inlineStr">
        <is>
          <t>INVESTED CAPITAL</t>
        </is>
      </c>
      <c r="D356" s="239">
        <f>D359-D360+D361</f>
        <v>1198.234</v>
      </c>
      <c r="E356" s="239">
        <f>E359-E360+E361</f>
        <v>1081.78426456981</v>
      </c>
      <c r="F356" s="239">
        <f>F359-F360+F361</f>
        <v>1120.25230935409</v>
      </c>
      <c r="G356" s="239">
        <f>G359-G360+G361</f>
        <v>1145.47134094389</v>
      </c>
      <c r="H356" s="239">
        <f>H359-H360+H361</f>
        <v>1145.47134094389</v>
      </c>
      <c r="I356" s="36">
        <f>I359-I360+I361</f>
        <v>1157.98374785232</v>
      </c>
      <c r="J356" s="36">
        <f>J359-J360+J361</f>
        <v>1273.96629529023</v>
      </c>
      <c r="K356" s="36">
        <f>K359-K360+K361</f>
        <v>1383.15457490231</v>
      </c>
      <c r="L356" s="36">
        <f>L359-L360+L361</f>
        <v>1486.80202206491</v>
      </c>
      <c r="M356" s="36">
        <f>M359-M360+M361</f>
        <v>1486.80202206491</v>
      </c>
      <c r="N356" s="36">
        <f>N359-N360+N361</f>
        <v>1628.79732342067</v>
      </c>
      <c r="O356" s="36">
        <f>O359-O360+O361</f>
        <v>1850.60976842245</v>
      </c>
      <c r="P356" s="36">
        <f>P359-P360+P361</f>
        <v>2021.87545246558</v>
      </c>
      <c r="Q356" s="36">
        <f>Q359-Q360+Q361</f>
        <v>2034.8964246006</v>
      </c>
      <c r="R356" s="36">
        <f>R359-R360+R361</f>
        <v>2034.8964246006</v>
      </c>
      <c r="S356" s="36">
        <f>S359-S360+S361</f>
        <v>2121.034</v>
      </c>
      <c r="T356" s="36">
        <f>T359-T360+T361</f>
        <v>2387.59136839974</v>
      </c>
      <c r="U356" s="36">
        <f>U359-U360+U361</f>
        <v>2507.29783461119</v>
      </c>
      <c r="V356" s="36">
        <f>V359-V360+V361</f>
        <v>2522.3690009833</v>
      </c>
      <c r="W356" s="36">
        <f>W359-W360+W361</f>
        <v>2522.3690009833</v>
      </c>
      <c r="X356" s="36">
        <f>X359-X360+X361</f>
        <v>2423.58017370274</v>
      </c>
      <c r="Y356" s="36">
        <f>Y359-Y360+Y361</f>
        <v>2702.07948986419</v>
      </c>
      <c r="Z356" s="36">
        <f>Z359-Z360+Z361</f>
        <v>2937.61207105</v>
      </c>
      <c r="AA356" s="36">
        <f>AA359-AA360+AA361</f>
        <v>3402.08827648</v>
      </c>
      <c r="AB356" s="36">
        <f>AB359-AB360+AB361</f>
        <v>3402.08827648</v>
      </c>
      <c r="AC356" s="36">
        <f>AC359-AC360+AC361</f>
        <v>3509.17404552</v>
      </c>
      <c r="AD356" s="36">
        <f>AD359-AD360+AD361</f>
        <v>3658.66567797</v>
      </c>
      <c r="AE356" s="36">
        <f>AE359-AE360+AE361</f>
        <v>3942.846</v>
      </c>
      <c r="AF356" s="36">
        <f>AF359-AF360+AF361</f>
        <v>3783.99925678</v>
      </c>
      <c r="AG356" s="36">
        <f>AG359-AG360+AG361</f>
        <v>3783.99925678</v>
      </c>
      <c r="AH356" s="36">
        <f>AH359-AH360+AH361</f>
        <v>3930.880414</v>
      </c>
      <c r="AI356" s="36">
        <f>AI359-AI360+AI361</f>
        <v>3996.01975847</v>
      </c>
      <c r="AJ356" s="36">
        <f>AJ359-AJ360+AJ361</f>
        <v>1749.82677077</v>
      </c>
      <c r="AK356" s="36">
        <f>AK359-AK360+AK361</f>
        <v>1749.82677077</v>
      </c>
      <c r="AL356" s="36">
        <f>AL359-AL360+AL361</f>
        <v>1749.82677077</v>
      </c>
      <c r="AM356" s="36" t="e">
        <f>AM359-AM360+AM361</f>
        <v>#DIV/0!</v>
      </c>
      <c r="AN356" s="36">
        <f>AN359-AN360+AN361</f>
        <v>1749.82677077</v>
      </c>
      <c r="AO356" s="36" t="e">
        <f>AO359-AO360+AO361</f>
        <v>#DIV/0!</v>
      </c>
      <c r="AP356" s="36" t="e">
        <f>AP359-AP360+AP361</f>
        <v>#DIV/0!</v>
      </c>
      <c r="AQ356" s="36" t="e">
        <f>AQ359-AQ360+AQ361</f>
        <v>#DIV/0!</v>
      </c>
      <c r="AR356" s="36" t="e">
        <f>AR359-AR360+AR361</f>
        <v>#DIV/0!</v>
      </c>
      <c r="AS356" s="36" t="e">
        <f>AS359-AS360+AS361</f>
        <v>#DIV/0!</v>
      </c>
      <c r="AT356" s="36" t="e">
        <f>AT359-AT360+AT361</f>
        <v>#DIV/0!</v>
      </c>
      <c r="AU356" s="36" t="e">
        <f>AU359-AU360+AU361</f>
        <v>#DIV/0!</v>
      </c>
      <c r="AV356" s="36" t="e">
        <f>AV359-AV360+AV361</f>
        <v>#DIV/0!</v>
      </c>
      <c r="AW356" s="36" t="e">
        <f>AW359-AW360+AW361</f>
        <v>#DIV/0!</v>
      </c>
      <c r="AX356" s="36" t="e">
        <f>AX359-AX360+AX361</f>
        <v>#DIV/0!</v>
      </c>
      <c r="AY356" s="36" t="e">
        <f>AY359-AY360+AY361</f>
        <v>#DIV/0!</v>
      </c>
      <c r="AZ356" s="36" t="e">
        <f>AZ359-AZ360+AZ361</f>
        <v>#DIV/0!</v>
      </c>
      <c r="BA356" s="36" t="e">
        <f>BA359-BA360+BA361</f>
        <v>#DIV/0!</v>
      </c>
      <c r="BB356" s="36" t="e">
        <f>BB359-BB360+BB361</f>
        <v>#DIV/0!</v>
      </c>
      <c r="BC356" s="36" t="e">
        <f>BC359-BC360+BC361</f>
        <v>#DIV/0!</v>
      </c>
      <c r="BD356" s="36" t="e">
        <f>BD359-BD360+BD361</f>
        <v>#DIV/0!</v>
      </c>
      <c r="BE356" s="36" t="e">
        <f>BE359-BE360+BE361</f>
        <v>#DIV/0!</v>
      </c>
      <c r="BF356" s="36" t="e">
        <f>BF359-BF360+BF361</f>
        <v>#DIV/0!</v>
      </c>
      <c r="BG356" s="36" t="e">
        <f>BG359-BG360+BG361</f>
        <v>#DIV/0!</v>
      </c>
      <c r="BH356" s="36" t="e">
        <f>BH359-BH360+BH361</f>
        <v>#DIV/0!</v>
      </c>
      <c r="BI356" s="36" t="e">
        <f>BI359-BI360+BI361</f>
        <v>#DIV/0!</v>
      </c>
      <c r="BJ356" s="36" t="e">
        <f>BJ359-BJ360+BJ361</f>
        <v>#DIV/0!</v>
      </c>
      <c r="BK356" s="36" t="e">
        <f>BK359-BK360+BK361</f>
        <v>#DIV/0!</v>
      </c>
      <c r="BL356" s="36" t="e">
        <f>BL359-BL360+BL361</f>
        <v>#DIV/0!</v>
      </c>
      <c r="BM356" s="36" t="e">
        <f>BM359-BM360+BM361</f>
        <v>#DIV/0!</v>
      </c>
      <c r="BN356" s="36" t="e">
        <f>BN359-BN360+BN361</f>
        <v>#DIV/0!</v>
      </c>
      <c r="BO356" s="36" t="e">
        <f>BO359-BO360+BO361</f>
        <v>#DIV/0!</v>
      </c>
      <c r="BP356" s="36" t="e">
        <f>BP359-BP360+BP361</f>
        <v>#DIV/0!</v>
      </c>
      <c r="BQ356" s="36" t="e">
        <f>BQ359-BQ360+BQ361</f>
        <v>#DIV/0!</v>
      </c>
      <c r="BR356" s="36" t="e">
        <f>BR359-BR360+BR361</f>
        <v>#DIV/0!</v>
      </c>
      <c r="BS356" s="36" t="e">
        <f>BS359-BS360+BS361</f>
        <v>#DIV/0!</v>
      </c>
      <c r="BT356" s="36" t="e">
        <f>BT359-BT360+BT361</f>
        <v>#DIV/0!</v>
      </c>
      <c r="BU356" s="36" t="e">
        <f>BU359-BU360+BU361</f>
        <v>#DIV/0!</v>
      </c>
      <c r="BV356" s="36" t="e">
        <f>BV359-BV360+BV361</f>
        <v>#DIV/0!</v>
      </c>
      <c r="BW356" s="36" t="e">
        <f>BW359-BW360+BW361</f>
        <v>#DIV/0!</v>
      </c>
      <c r="BX356" s="36" t="e">
        <f>BX359-BX360+BX361</f>
        <v>#DIV/0!</v>
      </c>
      <c r="BY356" s="36" t="e">
        <f>BY359-BY360+BY361</f>
        <v>#DIV/0!</v>
      </c>
      <c r="BZ356" s="36" t="e">
        <f>BZ359-BZ360+BZ361</f>
        <v>#DIV/0!</v>
      </c>
      <c r="CA356" s="36" t="e">
        <f>CA359-CA360+CA361</f>
        <v>#DIV/0!</v>
      </c>
      <c r="CB356" s="36" t="e">
        <f>CB359-CB360+CB361</f>
        <v>#DIV/0!</v>
      </c>
      <c r="CC356" s="36" t="e">
        <f>CC359-CC360+CC361</f>
        <v>#DIV/0!</v>
      </c>
      <c r="CD356" s="36" t="e">
        <f>CD359-CD360+CD361</f>
        <v>#DIV/0!</v>
      </c>
      <c r="CE356" s="36" t="e">
        <f>CE359-CE360+CE361</f>
        <v>#DIV/0!</v>
      </c>
      <c r="CF356" s="36" t="e">
        <f>CF359-CF360+CF361</f>
        <v>#DIV/0!</v>
      </c>
      <c r="CG356" s="36" t="e">
        <f>CG359-CG360+CG361</f>
        <v>#DIV/0!</v>
      </c>
      <c r="CH356" s="36" t="e">
        <f>CH359-CH360+CH361</f>
        <v>#DIV/0!</v>
      </c>
      <c r="CI356" s="36" t="e">
        <f>CI359-CI360+CI361</f>
        <v>#DIV/0!</v>
      </c>
      <c r="CJ356" s="36" t="e">
        <f>CJ359-CJ360+CJ361</f>
        <v>#DIV/0!</v>
      </c>
      <c r="CK356" s="36" t="e">
        <f>CK359-CK360+CK361</f>
        <v>#DIV/0!</v>
      </c>
      <c r="CL356" s="36" t="e">
        <f>CL359-CL360+CL361</f>
        <v>#DIV/0!</v>
      </c>
      <c r="CM356" s="36" t="e">
        <f>CM359-CM360+CM361</f>
        <v>#DIV/0!</v>
      </c>
      <c r="CN356" s="36" t="e">
        <f>CN359-CN360+CN361</f>
        <v>#DIV/0!</v>
      </c>
      <c r="CO356" s="36" t="e">
        <f>CO359-CO360+CO361</f>
        <v>#DIV/0!</v>
      </c>
      <c r="CP356" s="36" t="e">
        <f>CP359-CP360+CP361</f>
        <v>#DIV/0!</v>
      </c>
      <c r="CQ356" s="36" t="e">
        <f>CQ359-CQ360+CQ361</f>
        <v>#DIV/0!</v>
      </c>
      <c r="CR356" s="36" t="e">
        <f>CR359-CR360+CR361</f>
        <v>#DIV/0!</v>
      </c>
      <c r="CS356" s="36" t="e">
        <f>CS359-CS360+CS361</f>
        <v>#DIV/0!</v>
      </c>
      <c r="CT356" s="36" t="e">
        <f>CT359-CT360+CT361</f>
        <v>#DIV/0!</v>
      </c>
      <c r="CU356" s="36" t="e">
        <f>CU359-CU360+CU361</f>
        <v>#DIV/0!</v>
      </c>
      <c r="CV356" s="36" t="e">
        <f>CV359-CV360+CV361</f>
        <v>#DIV/0!</v>
      </c>
      <c r="CW356" s="36" t="e">
        <f>CW359-CW360+CW361</f>
        <v>#DIV/0!</v>
      </c>
      <c r="CX356" s="36" t="e">
        <f>CX359-CX360+CX361</f>
        <v>#DIV/0!</v>
      </c>
      <c r="CY356" s="36" t="e">
        <f>CY359-CY360+CY361</f>
        <v>#DIV/0!</v>
      </c>
    </row>
    <row r="357" customFormat="1" s="233">
      <c r="A357" s="224" t="n"/>
      <c r="B357" s="224" t="n"/>
      <c r="C357" s="233" t="inlineStr">
        <is>
          <t>INVESTED CAPITAL - EX GOODWILL</t>
        </is>
      </c>
      <c r="D357" s="241">
        <f>D356-D185</f>
        <v>1198.234</v>
      </c>
      <c r="E357" s="241">
        <f>E356-E185</f>
        <v>1081.78426456981</v>
      </c>
      <c r="F357" s="241">
        <f>F356-F185</f>
        <v>1120.25230935409</v>
      </c>
      <c r="G357" s="241">
        <f>G356-G185</f>
        <v>1145.47134094389</v>
      </c>
      <c r="H357" s="241">
        <f>H356-H185</f>
        <v>1145.47134094389</v>
      </c>
      <c r="I357" s="226">
        <f>I356-I185</f>
        <v>1157.98374785232</v>
      </c>
      <c r="J357" s="226">
        <f>J356-J185</f>
        <v>1273.96629529023</v>
      </c>
      <c r="K357" s="226">
        <f>K356-K185</f>
        <v>1383.15457490231</v>
      </c>
      <c r="L357" s="226">
        <f>L356-L185</f>
        <v>1486.80202206491</v>
      </c>
      <c r="M357" s="226">
        <f>M356-M185</f>
        <v>1486.80202206491</v>
      </c>
      <c r="N357" s="226">
        <f>N356-N185</f>
        <v>1628.79732342067</v>
      </c>
      <c r="O357" s="226">
        <f>O356-O185</f>
        <v>1850.60976842245</v>
      </c>
      <c r="P357" s="226">
        <f>P356-P185</f>
        <v>2021.87545246558</v>
      </c>
      <c r="Q357" s="226">
        <f>Q356-Q185</f>
        <v>2034.8964246006</v>
      </c>
      <c r="R357" s="226">
        <f>R356-R185</f>
        <v>2034.8964246006</v>
      </c>
      <c r="S357" s="226">
        <f>S356-S185</f>
        <v>2121.034</v>
      </c>
      <c r="T357" s="226">
        <f>T356-T185</f>
        <v>2387.59136839974</v>
      </c>
      <c r="U357" s="226">
        <f>U356-U185</f>
        <v>2507.29783461119</v>
      </c>
      <c r="V357" s="226">
        <f>V356-V185</f>
        <v>2522.3690009833</v>
      </c>
      <c r="W357" s="226">
        <f>W356-W185</f>
        <v>2522.3690009833</v>
      </c>
      <c r="X357" s="226">
        <f>X356-X185</f>
        <v>2423.58017370274</v>
      </c>
      <c r="Y357" s="226">
        <f>Y356-Y185</f>
        <v>2702.07948986419</v>
      </c>
      <c r="Z357" s="226">
        <f>Z356-Z185</f>
        <v>2937.61207105</v>
      </c>
      <c r="AA357" s="226">
        <f>AA356-AA185</f>
        <v>3402.08827648</v>
      </c>
      <c r="AB357" s="226">
        <f>AB356-AB185</f>
        <v>3402.08827648</v>
      </c>
      <c r="AC357" s="226">
        <f>AC356-AC185</f>
        <v>3509.17404552</v>
      </c>
      <c r="AD357" s="226">
        <f>AD356-AD185</f>
        <v>3658.66567797</v>
      </c>
      <c r="AE357" s="226">
        <f>AE356-AE185</f>
        <v>3942.846</v>
      </c>
      <c r="AF357" s="226">
        <f>AF356-AF185</f>
        <v>3783.99925678</v>
      </c>
      <c r="AG357" s="226">
        <f>AG356-AG185</f>
        <v>3783.99925678</v>
      </c>
      <c r="AH357" s="226">
        <f>AH356-AH185</f>
        <v>3930.880414</v>
      </c>
      <c r="AI357" s="226">
        <f>AI356-AI185</f>
        <v>3996.01975847</v>
      </c>
      <c r="AJ357" s="226">
        <f>AJ356-AJ185</f>
        <v>1749.82677077</v>
      </c>
      <c r="AK357" s="226">
        <f>AK356-AK185</f>
        <v>1749.82677077</v>
      </c>
      <c r="AL357" s="226">
        <f>AL356-AL185</f>
        <v>1749.82677077</v>
      </c>
      <c r="AM357" s="226" t="e">
        <f>AM356-AM185</f>
        <v>#DIV/0!</v>
      </c>
      <c r="AN357" s="226">
        <f>AN356-AN185</f>
        <v>1749.82677077</v>
      </c>
      <c r="AO357" s="226" t="e">
        <f>AO356-AO185</f>
        <v>#DIV/0!</v>
      </c>
      <c r="AP357" s="226" t="e">
        <f>AP356-AP185</f>
        <v>#DIV/0!</v>
      </c>
      <c r="AQ357" s="226" t="e">
        <f>AQ356-AQ185</f>
        <v>#DIV/0!</v>
      </c>
      <c r="AR357" s="226" t="e">
        <f>AR356-AR185</f>
        <v>#DIV/0!</v>
      </c>
      <c r="AS357" s="226" t="e">
        <f>AS356-AS185</f>
        <v>#DIV/0!</v>
      </c>
      <c r="AT357" s="226" t="e">
        <f>AT356-AT185</f>
        <v>#DIV/0!</v>
      </c>
      <c r="AU357" s="226" t="e">
        <f>AU356-AU185</f>
        <v>#DIV/0!</v>
      </c>
      <c r="AV357" s="226" t="e">
        <f>AV356-AV185</f>
        <v>#DIV/0!</v>
      </c>
      <c r="AW357" s="226" t="e">
        <f>AW356-AW185</f>
        <v>#DIV/0!</v>
      </c>
      <c r="AX357" s="226" t="e">
        <f>AX356-AX185</f>
        <v>#DIV/0!</v>
      </c>
      <c r="AY357" s="226" t="e">
        <f>AY356-AY185</f>
        <v>#DIV/0!</v>
      </c>
      <c r="AZ357" s="226" t="e">
        <f>AZ356-AZ185</f>
        <v>#DIV/0!</v>
      </c>
      <c r="BA357" s="226" t="e">
        <f>BA356-BA185</f>
        <v>#DIV/0!</v>
      </c>
      <c r="BB357" s="226" t="e">
        <f>BB356-BB185</f>
        <v>#DIV/0!</v>
      </c>
      <c r="BC357" s="226" t="e">
        <f>BC356-BC185</f>
        <v>#DIV/0!</v>
      </c>
      <c r="BD357" s="226" t="e">
        <f>BD356-BD185</f>
        <v>#DIV/0!</v>
      </c>
      <c r="BE357" s="226" t="e">
        <f>BE356-BE185</f>
        <v>#DIV/0!</v>
      </c>
      <c r="BF357" s="226" t="e">
        <f>BF356-BF185</f>
        <v>#DIV/0!</v>
      </c>
      <c r="BG357" s="226" t="e">
        <f>BG356-BG185</f>
        <v>#DIV/0!</v>
      </c>
      <c r="BH357" s="226" t="e">
        <f>BH356-BH185</f>
        <v>#DIV/0!</v>
      </c>
      <c r="BI357" s="226" t="e">
        <f>BI356-BI185</f>
        <v>#DIV/0!</v>
      </c>
      <c r="BJ357" s="226" t="e">
        <f>BJ356-BJ185</f>
        <v>#DIV/0!</v>
      </c>
      <c r="BK357" s="226" t="e">
        <f>BK356-BK185</f>
        <v>#DIV/0!</v>
      </c>
      <c r="BL357" s="226" t="e">
        <f>BL356-BL185</f>
        <v>#DIV/0!</v>
      </c>
      <c r="BM357" s="226" t="e">
        <f>BM356-BM185</f>
        <v>#DIV/0!</v>
      </c>
      <c r="BN357" s="226" t="e">
        <f>BN356-BN185</f>
        <v>#DIV/0!</v>
      </c>
      <c r="BO357" s="226" t="e">
        <f>BO356-BO185</f>
        <v>#DIV/0!</v>
      </c>
      <c r="BP357" s="226" t="e">
        <f>BP356-BP185</f>
        <v>#DIV/0!</v>
      </c>
      <c r="BQ357" s="226" t="e">
        <f>BQ356-BQ185</f>
        <v>#DIV/0!</v>
      </c>
      <c r="BR357" s="226" t="e">
        <f>BR356-BR185</f>
        <v>#DIV/0!</v>
      </c>
      <c r="BS357" s="226" t="e">
        <f>BS356-BS185</f>
        <v>#DIV/0!</v>
      </c>
      <c r="BT357" s="226" t="e">
        <f>BT356-BT185</f>
        <v>#DIV/0!</v>
      </c>
      <c r="BU357" s="226" t="e">
        <f>BU356-BU185</f>
        <v>#DIV/0!</v>
      </c>
      <c r="BV357" s="226" t="e">
        <f>BV356-BV185</f>
        <v>#DIV/0!</v>
      </c>
      <c r="BW357" s="226" t="e">
        <f>BW356-BW185</f>
        <v>#DIV/0!</v>
      </c>
      <c r="BX357" s="226" t="e">
        <f>BX356-BX185</f>
        <v>#DIV/0!</v>
      </c>
      <c r="BY357" s="226" t="e">
        <f>BY356-BY185</f>
        <v>#DIV/0!</v>
      </c>
      <c r="BZ357" s="226" t="e">
        <f>BZ356-BZ185</f>
        <v>#DIV/0!</v>
      </c>
      <c r="CA357" s="226" t="e">
        <f>CA356-CA185</f>
        <v>#DIV/0!</v>
      </c>
      <c r="CB357" s="226" t="e">
        <f>CB356-CB185</f>
        <v>#DIV/0!</v>
      </c>
      <c r="CC357" s="226" t="e">
        <f>CC356-CC185</f>
        <v>#DIV/0!</v>
      </c>
      <c r="CD357" s="226" t="e">
        <f>CD356-CD185</f>
        <v>#DIV/0!</v>
      </c>
      <c r="CE357" s="226" t="e">
        <f>CE356-CE185</f>
        <v>#DIV/0!</v>
      </c>
      <c r="CF357" s="226" t="e">
        <f>CF356-CF185</f>
        <v>#DIV/0!</v>
      </c>
      <c r="CG357" s="226" t="e">
        <f>CG356-CG185</f>
        <v>#DIV/0!</v>
      </c>
      <c r="CH357" s="226" t="e">
        <f>CH356-CH185</f>
        <v>#DIV/0!</v>
      </c>
      <c r="CI357" s="226" t="e">
        <f>CI356-CI185</f>
        <v>#DIV/0!</v>
      </c>
      <c r="CJ357" s="226" t="e">
        <f>CJ356-CJ185</f>
        <v>#DIV/0!</v>
      </c>
      <c r="CK357" s="226" t="e">
        <f>CK356-CK185</f>
        <v>#DIV/0!</v>
      </c>
      <c r="CL357" s="226" t="e">
        <f>CL356-CL185</f>
        <v>#DIV/0!</v>
      </c>
      <c r="CM357" s="226" t="e">
        <f>CM356-CM185</f>
        <v>#DIV/0!</v>
      </c>
      <c r="CN357" s="226" t="e">
        <f>CN356-CN185</f>
        <v>#DIV/0!</v>
      </c>
      <c r="CO357" s="226" t="e">
        <f>CO356-CO185</f>
        <v>#DIV/0!</v>
      </c>
      <c r="CP357" s="226" t="e">
        <f>CP356-CP185</f>
        <v>#DIV/0!</v>
      </c>
      <c r="CQ357" s="226" t="e">
        <f>CQ356-CQ185</f>
        <v>#DIV/0!</v>
      </c>
      <c r="CR357" s="226" t="e">
        <f>CR356-CR185</f>
        <v>#DIV/0!</v>
      </c>
      <c r="CS357" s="226" t="e">
        <f>CS356-CS185</f>
        <v>#DIV/0!</v>
      </c>
      <c r="CT357" s="226" t="e">
        <f>CT356-CT185</f>
        <v>#DIV/0!</v>
      </c>
      <c r="CU357" s="226" t="e">
        <f>CU356-CU185</f>
        <v>#DIV/0!</v>
      </c>
      <c r="CV357" s="226" t="e">
        <f>CV356-CV185</f>
        <v>#DIV/0!</v>
      </c>
      <c r="CW357" s="226" t="e">
        <f>CW356-CW185</f>
        <v>#DIV/0!</v>
      </c>
      <c r="CX357" s="226" t="e">
        <f>CX356-CX185</f>
        <v>#DIV/0!</v>
      </c>
      <c r="CY357" s="226" t="e">
        <f>CY356-CY185</f>
        <v>#DIV/0!</v>
      </c>
    </row>
    <row r="358" customFormat="1" s="233">
      <c r="A358" s="224" t="n"/>
      <c r="B358" s="224" t="n"/>
      <c r="C358" s="233" t="inlineStr">
        <is>
          <t>OPERATING WORKING CAPITAL</t>
        </is>
      </c>
      <c r="D358" s="242">
        <f>D359-D360</f>
        <v>606.87</v>
      </c>
      <c r="E358" s="242">
        <f>E359-E360</f>
        <v>494.405910784367</v>
      </c>
      <c r="F358" s="242">
        <f>F359-F360</f>
        <v>560.164840120752</v>
      </c>
      <c r="G358" s="242">
        <f>G359-G360</f>
        <v>630.60949141769</v>
      </c>
      <c r="H358" s="242">
        <f>H359-H360</f>
        <v>630.60949141769</v>
      </c>
      <c r="I358" s="36">
        <f>I359-I360</f>
        <v>615.459987677129</v>
      </c>
      <c r="J358" s="36">
        <f>J359-J360</f>
        <v>687.628011617593</v>
      </c>
      <c r="K358" s="36">
        <f>K359-K360</f>
        <v>695.709928946804</v>
      </c>
      <c r="L358" s="36">
        <f>L359-L360</f>
        <v>715.21463533741</v>
      </c>
      <c r="M358" s="36">
        <f>M359-M360</f>
        <v>715.21463533741</v>
      </c>
      <c r="N358" s="36">
        <f>N359-N360</f>
        <v>807.542950688236</v>
      </c>
      <c r="O358" s="36">
        <f>O359-O360</f>
        <v>940.769701477937</v>
      </c>
      <c r="P358" s="36">
        <f>P359-P360</f>
        <v>992.341162661163</v>
      </c>
      <c r="Q358" s="36">
        <f>Q359-Q360</f>
        <v>956.117424600603</v>
      </c>
      <c r="R358" s="36">
        <f>R359-R360</f>
        <v>956.117424600603</v>
      </c>
      <c r="S358" s="36">
        <f>S359-S360</f>
        <v>987.908</v>
      </c>
      <c r="T358" s="36">
        <f>T359-T360</f>
        <v>1205.95869842793</v>
      </c>
      <c r="U358" s="36">
        <f>U359-U360</f>
        <v>1238.48585462938</v>
      </c>
      <c r="V358" s="36">
        <f>V359-V360</f>
        <v>1285.20691766149</v>
      </c>
      <c r="W358" s="36">
        <f>W359-W360</f>
        <v>1285.20691766149</v>
      </c>
      <c r="X358" s="36">
        <f>X359-X360</f>
        <v>1236.99562503123</v>
      </c>
      <c r="Y358" s="36">
        <f>Y359-Y360</f>
        <v>1399.1641914109</v>
      </c>
      <c r="Z358" s="36">
        <f>Z359-Z360</f>
        <v>1601.64903232</v>
      </c>
      <c r="AA358" s="36">
        <f>AA359-AA360</f>
        <v>1934.02569271</v>
      </c>
      <c r="AB358" s="36">
        <f>AB359-AB360</f>
        <v>1934.02569271</v>
      </c>
      <c r="AC358" s="36">
        <f>AC359-AC360</f>
        <v>1971.62182821</v>
      </c>
      <c r="AD358" s="36">
        <f>AD359-AD360</f>
        <v>2133.72648163</v>
      </c>
      <c r="AE358" s="36">
        <f>AE359-AE360</f>
        <v>2344.122</v>
      </c>
      <c r="AF358" s="36">
        <f>AF359-AF360</f>
        <v>2157.26320159</v>
      </c>
      <c r="AG358" s="36">
        <f>AG359-AG360</f>
        <v>2157.26320159</v>
      </c>
      <c r="AH358" s="36">
        <f>AH359-AH360</f>
        <v>2251.10973909</v>
      </c>
      <c r="AI358" s="36">
        <f>AI359-AI360</f>
        <v>2303.41996141</v>
      </c>
      <c r="AJ358" s="36">
        <f>AJ359-AJ360</f>
        <v>108.78298734</v>
      </c>
      <c r="AK358" s="36">
        <f>AK359-AK360</f>
        <v>108.78298734</v>
      </c>
      <c r="AL358" s="36">
        <f>AL359-AL360</f>
        <v>108.78298734</v>
      </c>
      <c r="AM358" s="36" t="e">
        <f>AM359-AM360</f>
        <v>#DIV/0!</v>
      </c>
      <c r="AN358" s="36">
        <f>AN359-AN360</f>
        <v>108.78298734</v>
      </c>
      <c r="AO358" s="36" t="e">
        <f>AO359-AO360</f>
        <v>#DIV/0!</v>
      </c>
      <c r="AP358" s="36" t="e">
        <f>AP359-AP360</f>
        <v>#DIV/0!</v>
      </c>
      <c r="AQ358" s="36" t="e">
        <f>AQ359-AQ360</f>
        <v>#DIV/0!</v>
      </c>
      <c r="AR358" s="36" t="e">
        <f>AR359-AR360</f>
        <v>#DIV/0!</v>
      </c>
      <c r="AS358" s="36" t="e">
        <f>AS359-AS360</f>
        <v>#DIV/0!</v>
      </c>
      <c r="AT358" s="36" t="e">
        <f>AT359-AT360</f>
        <v>#DIV/0!</v>
      </c>
      <c r="AU358" s="36" t="e">
        <f>AU359-AU360</f>
        <v>#DIV/0!</v>
      </c>
      <c r="AV358" s="36" t="e">
        <f>AV359-AV360</f>
        <v>#DIV/0!</v>
      </c>
      <c r="AW358" s="36" t="e">
        <f>AW359-AW360</f>
        <v>#DIV/0!</v>
      </c>
      <c r="AX358" s="36" t="e">
        <f>AX359-AX360</f>
        <v>#DIV/0!</v>
      </c>
      <c r="AY358" s="36" t="e">
        <f>AY359-AY360</f>
        <v>#DIV/0!</v>
      </c>
      <c r="AZ358" s="36" t="e">
        <f>AZ359-AZ360</f>
        <v>#DIV/0!</v>
      </c>
      <c r="BA358" s="36" t="e">
        <f>BA359-BA360</f>
        <v>#DIV/0!</v>
      </c>
      <c r="BB358" s="36" t="e">
        <f>BB359-BB360</f>
        <v>#DIV/0!</v>
      </c>
      <c r="BC358" s="36" t="e">
        <f>BC359-BC360</f>
        <v>#DIV/0!</v>
      </c>
      <c r="BD358" s="36" t="e">
        <f>BD359-BD360</f>
        <v>#DIV/0!</v>
      </c>
      <c r="BE358" s="36" t="e">
        <f>BE359-BE360</f>
        <v>#DIV/0!</v>
      </c>
      <c r="BF358" s="36" t="e">
        <f>BF359-BF360</f>
        <v>#DIV/0!</v>
      </c>
      <c r="BG358" s="36" t="e">
        <f>BG359-BG360</f>
        <v>#DIV/0!</v>
      </c>
      <c r="BH358" s="36" t="e">
        <f>BH359-BH360</f>
        <v>#DIV/0!</v>
      </c>
      <c r="BI358" s="36" t="e">
        <f>BI359-BI360</f>
        <v>#DIV/0!</v>
      </c>
      <c r="BJ358" s="36" t="e">
        <f>BJ359-BJ360</f>
        <v>#DIV/0!</v>
      </c>
      <c r="BK358" s="36" t="e">
        <f>BK359-BK360</f>
        <v>#DIV/0!</v>
      </c>
      <c r="BL358" s="36" t="e">
        <f>BL359-BL360</f>
        <v>#DIV/0!</v>
      </c>
      <c r="BM358" s="36" t="e">
        <f>BM359-BM360</f>
        <v>#DIV/0!</v>
      </c>
      <c r="BN358" s="36" t="e">
        <f>BN359-BN360</f>
        <v>#DIV/0!</v>
      </c>
      <c r="BO358" s="36" t="e">
        <f>BO359-BO360</f>
        <v>#DIV/0!</v>
      </c>
      <c r="BP358" s="36" t="e">
        <f>BP359-BP360</f>
        <v>#DIV/0!</v>
      </c>
      <c r="BQ358" s="36" t="e">
        <f>BQ359-BQ360</f>
        <v>#DIV/0!</v>
      </c>
      <c r="BR358" s="36" t="e">
        <f>BR359-BR360</f>
        <v>#DIV/0!</v>
      </c>
      <c r="BS358" s="36" t="e">
        <f>BS359-BS360</f>
        <v>#DIV/0!</v>
      </c>
      <c r="BT358" s="36" t="e">
        <f>BT359-BT360</f>
        <v>#DIV/0!</v>
      </c>
      <c r="BU358" s="36" t="e">
        <f>BU359-BU360</f>
        <v>#DIV/0!</v>
      </c>
      <c r="BV358" s="36" t="e">
        <f>BV359-BV360</f>
        <v>#DIV/0!</v>
      </c>
      <c r="BW358" s="36" t="e">
        <f>BW359-BW360</f>
        <v>#DIV/0!</v>
      </c>
      <c r="BX358" s="36" t="e">
        <f>BX359-BX360</f>
        <v>#DIV/0!</v>
      </c>
      <c r="BY358" s="36" t="e">
        <f>BY359-BY360</f>
        <v>#DIV/0!</v>
      </c>
      <c r="BZ358" s="36" t="e">
        <f>BZ359-BZ360</f>
        <v>#DIV/0!</v>
      </c>
      <c r="CA358" s="36" t="e">
        <f>CA359-CA360</f>
        <v>#DIV/0!</v>
      </c>
      <c r="CB358" s="36" t="e">
        <f>CB359-CB360</f>
        <v>#DIV/0!</v>
      </c>
      <c r="CC358" s="36" t="e">
        <f>CC359-CC360</f>
        <v>#DIV/0!</v>
      </c>
      <c r="CD358" s="36" t="e">
        <f>CD359-CD360</f>
        <v>#DIV/0!</v>
      </c>
      <c r="CE358" s="36" t="e">
        <f>CE359-CE360</f>
        <v>#DIV/0!</v>
      </c>
      <c r="CF358" s="36" t="e">
        <f>CF359-CF360</f>
        <v>#DIV/0!</v>
      </c>
      <c r="CG358" s="36" t="e">
        <f>CG359-CG360</f>
        <v>#DIV/0!</v>
      </c>
      <c r="CH358" s="36" t="e">
        <f>CH359-CH360</f>
        <v>#DIV/0!</v>
      </c>
      <c r="CI358" s="36" t="e">
        <f>CI359-CI360</f>
        <v>#DIV/0!</v>
      </c>
      <c r="CJ358" s="36" t="e">
        <f>CJ359-CJ360</f>
        <v>#DIV/0!</v>
      </c>
      <c r="CK358" s="36" t="e">
        <f>CK359-CK360</f>
        <v>#DIV/0!</v>
      </c>
      <c r="CL358" s="36" t="e">
        <f>CL359-CL360</f>
        <v>#DIV/0!</v>
      </c>
      <c r="CM358" s="36" t="e">
        <f>CM359-CM360</f>
        <v>#DIV/0!</v>
      </c>
      <c r="CN358" s="36" t="e">
        <f>CN359-CN360</f>
        <v>#DIV/0!</v>
      </c>
      <c r="CO358" s="36" t="e">
        <f>CO359-CO360</f>
        <v>#DIV/0!</v>
      </c>
      <c r="CP358" s="36" t="e">
        <f>CP359-CP360</f>
        <v>#DIV/0!</v>
      </c>
      <c r="CQ358" s="36" t="e">
        <f>CQ359-CQ360</f>
        <v>#DIV/0!</v>
      </c>
      <c r="CR358" s="36" t="e">
        <f>CR359-CR360</f>
        <v>#DIV/0!</v>
      </c>
      <c r="CS358" s="36" t="e">
        <f>CS359-CS360</f>
        <v>#DIV/0!</v>
      </c>
      <c r="CT358" s="36" t="e">
        <f>CT359-CT360</f>
        <v>#DIV/0!</v>
      </c>
      <c r="CU358" s="36" t="e">
        <f>CU359-CU360</f>
        <v>#DIV/0!</v>
      </c>
      <c r="CV358" s="36" t="e">
        <f>CV359-CV360</f>
        <v>#DIV/0!</v>
      </c>
      <c r="CW358" s="36" t="e">
        <f>CW359-CW360</f>
        <v>#DIV/0!</v>
      </c>
      <c r="CX358" s="36" t="e">
        <f>CX359-CX360</f>
        <v>#DIV/0!</v>
      </c>
      <c r="CY358" s="36" t="e">
        <f>CY359-CY360</f>
        <v>#DIV/0!</v>
      </c>
    </row>
    <row r="359" customFormat="1" s="233">
      <c r="A359" s="224" t="n"/>
      <c r="B359" s="224" t="n"/>
      <c r="C359" s="233" t="inlineStr">
        <is>
          <t>CURRENT ASSETS</t>
        </is>
      </c>
      <c r="D359" s="241">
        <f>D151+D155+D159+D160+D161</f>
        <v>739.546</v>
      </c>
      <c r="E359" s="241">
        <f>E151+E155+E159+E160+E161</f>
        <v>657.553716904367</v>
      </c>
      <c r="F359" s="241">
        <f>F151+F155+F159+F160+F161</f>
        <v>712.555748590752</v>
      </c>
      <c r="G359" s="241">
        <f>G151+G155+G159+G160+G161</f>
        <v>891.50949965769</v>
      </c>
      <c r="H359" s="241">
        <f>H151+H155+H159+H160+H161</f>
        <v>891.50949965769</v>
      </c>
      <c r="I359" s="226">
        <f>I151+I155+I159+I160+I161</f>
        <v>790.141483377129</v>
      </c>
      <c r="J359" s="226">
        <f>J151+J155+J159+J160+J161</f>
        <v>884.506419997593</v>
      </c>
      <c r="K359" s="226">
        <f>K151+K155+K159+K160+K161</f>
        <v>934.822788116804</v>
      </c>
      <c r="L359" s="226">
        <f>L151+L155+L159+L160+L161</f>
        <v>1115.92505619741</v>
      </c>
      <c r="M359" s="226">
        <f>M151+M155+M159+M160+M161</f>
        <v>1115.92505619741</v>
      </c>
      <c r="N359" s="226">
        <f>N151+N155+N159+N160+N161</f>
        <v>1102.67037506824</v>
      </c>
      <c r="O359" s="226">
        <f>O151+O155+O159+O160+O161</f>
        <v>1195.46669029794</v>
      </c>
      <c r="P359" s="226">
        <f>P151+P155+P159+P160+P161</f>
        <v>1290.16320729116</v>
      </c>
      <c r="Q359" s="226">
        <f>Q151+Q155+Q159+Q160+Q161</f>
        <v>1445.8433981006</v>
      </c>
      <c r="R359" s="226">
        <f>R151+R155+R159+R160+R161</f>
        <v>1445.8433981006</v>
      </c>
      <c r="S359" s="226">
        <f>S151+S155+S159+S160+S161</f>
        <v>1390.256</v>
      </c>
      <c r="T359" s="226">
        <f>T151+T155+T159+T160+T161</f>
        <v>1542.82757421793</v>
      </c>
      <c r="U359" s="226">
        <f>U151+U155+U159+U160+U161</f>
        <v>1526.82729684938</v>
      </c>
      <c r="V359" s="226">
        <f>V151+V155+V159+V160+V161</f>
        <v>1752.09039013149</v>
      </c>
      <c r="W359" s="226">
        <f>W151+W155+W159+W160+W161</f>
        <v>1752.09039013149</v>
      </c>
      <c r="X359" s="226">
        <f>X151+X155+X159+X160+X161</f>
        <v>1637.15434481123</v>
      </c>
      <c r="Y359" s="226">
        <f>Y151+Y155+Y159+Y160+Y161</f>
        <v>1778.4590154109</v>
      </c>
      <c r="Z359" s="226">
        <f>Z151+Z155+Z159+Z160+Z161</f>
        <v>1936.573345</v>
      </c>
      <c r="AA359" s="226">
        <f>AA151+AA155+AA159+AA160+AA161</f>
        <v>2499.20505793</v>
      </c>
      <c r="AB359" s="226">
        <f>AB151+AB155+AB159+AB160+AB161</f>
        <v>2499.20505793</v>
      </c>
      <c r="AC359" s="226">
        <f>AC151+AC155+AC159+AC160+AC161</f>
        <v>2468.61597155</v>
      </c>
      <c r="AD359" s="226">
        <f>AD151+AD155+AD159+AD160+AD161</f>
        <v>2518.38512788</v>
      </c>
      <c r="AE359" s="226">
        <f>AE151+AE155+AE159+AE160+AE161</f>
        <v>2793.818</v>
      </c>
      <c r="AF359" s="226">
        <f>AF151+AF155+AF159+AF160+AF161</f>
        <v>2665.95563507</v>
      </c>
      <c r="AG359" s="226">
        <f>AG151+AG155+AG159+AG160+AG161</f>
        <v>2665.95563507</v>
      </c>
      <c r="AH359" s="226">
        <f>AH151+AH155+AH159+AH160+AH161</f>
        <v>2654.5012875</v>
      </c>
      <c r="AI359" s="226">
        <f>AI151+AI155+AI159+AI160+AI161</f>
        <v>2734.15049636</v>
      </c>
      <c r="AJ359" s="226">
        <f>AJ151+AJ155+AJ159+AJ160+AJ161</f>
        <v>180.66262342</v>
      </c>
      <c r="AK359" s="226">
        <f>AK151+AK155+AK159+AK160+AK161</f>
        <v>180.66262342</v>
      </c>
      <c r="AL359" s="226">
        <f>AL151+AL155+AL159+AL160+AL161</f>
        <v>180.66262342</v>
      </c>
      <c r="AM359" s="226">
        <f>AM151+AM155+AM159+AM160+AM161</f>
        <v>180.66262342</v>
      </c>
      <c r="AN359" s="226">
        <f>AN151+AN155+AN159+AN160+AN161</f>
        <v>180.66262342</v>
      </c>
      <c r="AO359" s="226">
        <f>AO151+AO155+AO159+AO160+AO161</f>
        <v>180.66262342</v>
      </c>
      <c r="AP359" s="226">
        <f>AP151+AP155+AP159+AP160+AP161</f>
        <v>180.66262342</v>
      </c>
      <c r="AQ359" s="226">
        <f>AQ151+AQ155+AQ159+AQ160+AQ161</f>
        <v>180.66262342</v>
      </c>
      <c r="AR359" s="226">
        <f>AR151+AR155+AR159+AR160+AR161</f>
        <v>180.66262342</v>
      </c>
      <c r="AS359" s="226">
        <f>AS151+AS155+AS159+AS160+AS161</f>
        <v>180.66262342</v>
      </c>
      <c r="AT359" s="226">
        <f>AT151+AT155+AT159+AT160+AT161</f>
        <v>180.66262342</v>
      </c>
      <c r="AU359" s="226">
        <f>AU151+AU155+AU159+AU160+AU161</f>
        <v>180.66262342</v>
      </c>
      <c r="AV359" s="226">
        <f>AV151+AV155+AV159+AV160+AV161</f>
        <v>180.66262342</v>
      </c>
      <c r="AW359" s="226">
        <f>AW151+AW155+AW159+AW160+AW161</f>
        <v>180.66262342</v>
      </c>
      <c r="AX359" s="226">
        <f>AX151+AX155+AX159+AX160+AX161</f>
        <v>180.66262342</v>
      </c>
      <c r="AY359" s="226">
        <f>AY151+AY155+AY159+AY160+AY161</f>
        <v>180.66262342</v>
      </c>
      <c r="AZ359" s="226">
        <f>AZ151+AZ155+AZ159+AZ160+AZ161</f>
        <v>180.66262342</v>
      </c>
      <c r="BA359" s="226">
        <f>BA151+BA155+BA159+BA160+BA161</f>
        <v>180.66262342</v>
      </c>
      <c r="BB359" s="226">
        <f>BB151+BB155+BB159+BB160+BB161</f>
        <v>180.66262342</v>
      </c>
      <c r="BC359" s="226">
        <f>BC151+BC155+BC159+BC160+BC161</f>
        <v>180.66262342</v>
      </c>
      <c r="BD359" s="226">
        <f>BD151+BD155+BD159+BD160+BD161</f>
        <v>180.66262342</v>
      </c>
      <c r="BE359" s="226">
        <f>BE151+BE155+BE159+BE160+BE161</f>
        <v>180.66262342</v>
      </c>
      <c r="BF359" s="226">
        <f>BF151+BF155+BF159+BF160+BF161</f>
        <v>180.66262342</v>
      </c>
      <c r="BG359" s="226">
        <f>BG151+BG155+BG159+BG160+BG161</f>
        <v>180.66262342</v>
      </c>
      <c r="BH359" s="226">
        <f>BH151+BH155+BH159+BH160+BH161</f>
        <v>180.66262342</v>
      </c>
      <c r="BI359" s="226">
        <f>BI151+BI155+BI159+BI160+BI161</f>
        <v>180.66262342</v>
      </c>
      <c r="BJ359" s="226">
        <f>BJ151+BJ155+BJ159+BJ160+BJ161</f>
        <v>180.66262342</v>
      </c>
      <c r="BK359" s="226">
        <f>BK151+BK155+BK159+BK160+BK161</f>
        <v>180.66262342</v>
      </c>
      <c r="BL359" s="226">
        <f>BL151+BL155+BL159+BL160+BL161</f>
        <v>180.66262342</v>
      </c>
      <c r="BM359" s="226">
        <f>BM151+BM155+BM159+BM160+BM161</f>
        <v>180.66262342</v>
      </c>
      <c r="BN359" s="226">
        <f>BN151+BN155+BN159+BN160+BN161</f>
        <v>180.66262342</v>
      </c>
      <c r="BO359" s="226">
        <f>BO151+BO155+BO159+BO160+BO161</f>
        <v>180.66262342</v>
      </c>
      <c r="BP359" s="226">
        <f>BP151+BP155+BP159+BP160+BP161</f>
        <v>180.66262342</v>
      </c>
      <c r="BQ359" s="226">
        <f>BQ151+BQ155+BQ159+BQ160+BQ161</f>
        <v>180.66262342</v>
      </c>
      <c r="BR359" s="226">
        <f>BR151+BR155+BR159+BR160+BR161</f>
        <v>180.66262342</v>
      </c>
      <c r="BS359" s="226">
        <f>BS151+BS155+BS159+BS160+BS161</f>
        <v>180.66262342</v>
      </c>
      <c r="BT359" s="226">
        <f>BT151+BT155+BT159+BT160+BT161</f>
        <v>180.66262342</v>
      </c>
      <c r="BU359" s="226">
        <f>BU151+BU155+BU159+BU160+BU161</f>
        <v>180.66262342</v>
      </c>
      <c r="BV359" s="226">
        <f>BV151+BV155+BV159+BV160+BV161</f>
        <v>180.66262342</v>
      </c>
      <c r="BW359" s="226">
        <f>BW151+BW155+BW159+BW160+BW161</f>
        <v>180.66262342</v>
      </c>
      <c r="BX359" s="226">
        <f>BX151+BX155+BX159+BX160+BX161</f>
        <v>180.66262342</v>
      </c>
      <c r="BY359" s="226">
        <f>BY151+BY155+BY159+BY160+BY161</f>
        <v>180.66262342</v>
      </c>
      <c r="BZ359" s="226">
        <f>BZ151+BZ155+BZ159+BZ160+BZ161</f>
        <v>180.66262342</v>
      </c>
      <c r="CA359" s="226">
        <f>CA151+CA155+CA159+CA160+CA161</f>
        <v>180.66262342</v>
      </c>
      <c r="CB359" s="226">
        <f>CB151+CB155+CB159+CB160+CB161</f>
        <v>180.66262342</v>
      </c>
      <c r="CC359" s="226">
        <f>CC151+CC155+CC159+CC160+CC161</f>
        <v>180.66262342</v>
      </c>
      <c r="CD359" s="226">
        <f>CD151+CD155+CD159+CD160+CD161</f>
        <v>180.66262342</v>
      </c>
      <c r="CE359" s="226">
        <f>CE151+CE155+CE159+CE160+CE161</f>
        <v>180.66262342</v>
      </c>
      <c r="CF359" s="226">
        <f>CF151+CF155+CF159+CF160+CF161</f>
        <v>180.66262342</v>
      </c>
      <c r="CG359" s="226">
        <f>CG151+CG155+CG159+CG160+CG161</f>
        <v>180.66262342</v>
      </c>
      <c r="CH359" s="226">
        <f>CH151+CH155+CH159+CH160+CH161</f>
        <v>180.66262342</v>
      </c>
      <c r="CI359" s="226">
        <f>CI151+CI155+CI159+CI160+CI161</f>
        <v>180.66262342</v>
      </c>
      <c r="CJ359" s="226">
        <f>CJ151+CJ155+CJ159+CJ160+CJ161</f>
        <v>180.66262342</v>
      </c>
      <c r="CK359" s="226">
        <f>CK151+CK155+CK159+CK160+CK161</f>
        <v>180.66262342</v>
      </c>
      <c r="CL359" s="226">
        <f>CL151+CL155+CL159+CL160+CL161</f>
        <v>180.66262342</v>
      </c>
      <c r="CM359" s="226">
        <f>CM151+CM155+CM159+CM160+CM161</f>
        <v>180.66262342</v>
      </c>
      <c r="CN359" s="226">
        <f>CN151+CN155+CN159+CN160+CN161</f>
        <v>180.66262342</v>
      </c>
      <c r="CO359" s="226">
        <f>CO151+CO155+CO159+CO160+CO161</f>
        <v>180.66262342</v>
      </c>
      <c r="CP359" s="226">
        <f>CP151+CP155+CP159+CP160+CP161</f>
        <v>180.66262342</v>
      </c>
      <c r="CQ359" s="226">
        <f>CQ151+CQ155+CQ159+CQ160+CQ161</f>
        <v>180.66262342</v>
      </c>
      <c r="CR359" s="226">
        <f>CR151+CR155+CR159+CR160+CR161</f>
        <v>180.66262342</v>
      </c>
      <c r="CS359" s="226">
        <f>CS151+CS155+CS159+CS160+CS161</f>
        <v>180.66262342</v>
      </c>
      <c r="CT359" s="226">
        <f>CT151+CT155+CT159+CT160+CT161</f>
        <v>180.66262342</v>
      </c>
      <c r="CU359" s="226">
        <f>CU151+CU155+CU159+CU160+CU161</f>
        <v>180.66262342</v>
      </c>
      <c r="CV359" s="226">
        <f>CV151+CV155+CV159+CV160+CV161</f>
        <v>180.66262342</v>
      </c>
      <c r="CW359" s="226">
        <f>CW151+CW155+CW159+CW160+CW161</f>
        <v>180.66262342</v>
      </c>
      <c r="CX359" s="226">
        <f>CX151+CX155+CX159+CX160+CX161</f>
        <v>180.66262342</v>
      </c>
      <c r="CY359" s="226">
        <f>CY151+CY155+CY159+CY160+CY161</f>
        <v>180.66262342</v>
      </c>
    </row>
    <row r="360" customFormat="1" s="233">
      <c r="A360" s="224" t="n"/>
      <c r="B360" s="224" t="n"/>
      <c r="C360" s="233" t="inlineStr">
        <is>
          <t>CURRENT LIABILITIES</t>
        </is>
      </c>
      <c r="D360" s="241">
        <f>D204+D208+D210+D211</f>
        <v>132.676</v>
      </c>
      <c r="E360" s="241">
        <f>E204+E208+E210+E211</f>
        <v>163.14780612</v>
      </c>
      <c r="F360" s="241">
        <f>F204+F208+F210+F211</f>
        <v>152.39090847</v>
      </c>
      <c r="G360" s="241">
        <f>G204+G208+G210+G211</f>
        <v>260.90000824</v>
      </c>
      <c r="H360" s="241">
        <f>H204+H208+H210+H211</f>
        <v>260.90000824</v>
      </c>
      <c r="I360" s="226">
        <f>I204+I208+I210+I211</f>
        <v>174.6814957</v>
      </c>
      <c r="J360" s="226">
        <f>J204+J208+J210+J211</f>
        <v>196.87840838</v>
      </c>
      <c r="K360" s="226">
        <f>K204+K208+K210+K211</f>
        <v>239.11285917</v>
      </c>
      <c r="L360" s="226">
        <f>L204+L208+L210+L211</f>
        <v>400.71042086</v>
      </c>
      <c r="M360" s="226">
        <f>M204+M208+M210+M211</f>
        <v>400.71042086</v>
      </c>
      <c r="N360" s="226">
        <f>N204+N208+N210+N211</f>
        <v>295.12742438</v>
      </c>
      <c r="O360" s="226">
        <f>O204+O208+O210+O211</f>
        <v>254.69698882</v>
      </c>
      <c r="P360" s="226">
        <f>P204+P208+P210+P211</f>
        <v>297.82204463</v>
      </c>
      <c r="Q360" s="226">
        <f>Q204+Q208+Q210+Q211</f>
        <v>489.7259735</v>
      </c>
      <c r="R360" s="226">
        <f>R204+R208+R210+R211</f>
        <v>489.7259735</v>
      </c>
      <c r="S360" s="226">
        <f>S204+S208+S210+S211</f>
        <v>402.348</v>
      </c>
      <c r="T360" s="226">
        <f>T204+T208+T210+T211</f>
        <v>336.86887579</v>
      </c>
      <c r="U360" s="226">
        <f>U204+U208+U210+U211</f>
        <v>288.34144222</v>
      </c>
      <c r="V360" s="226">
        <f>V204+V208+V210+V211</f>
        <v>466.88347247</v>
      </c>
      <c r="W360" s="226">
        <f>W204+W208+W210+W211</f>
        <v>466.88347247</v>
      </c>
      <c r="X360" s="226">
        <f>X204+X208+X210+X211</f>
        <v>400.15871978</v>
      </c>
      <c r="Y360" s="226">
        <f>Y204+Y208+Y210+Y211</f>
        <v>379.294824</v>
      </c>
      <c r="Z360" s="226">
        <f>Z204+Z208+Z210+Z211</f>
        <v>334.92431268</v>
      </c>
      <c r="AA360" s="226">
        <f>AA204+AA208+AA210+AA211</f>
        <v>565.17936522</v>
      </c>
      <c r="AB360" s="226">
        <f>AB204+AB208+AB210+AB211</f>
        <v>565.17936522</v>
      </c>
      <c r="AC360" s="226">
        <f>AC204+AC208+AC210+AC211</f>
        <v>496.99414334</v>
      </c>
      <c r="AD360" s="226">
        <f>AD204+AD208+AD210+AD211</f>
        <v>384.65864625</v>
      </c>
      <c r="AE360" s="226">
        <f>AE204+AE208+AE210+AE211</f>
        <v>449.696</v>
      </c>
      <c r="AF360" s="226">
        <f>AF204+AF208+AF210+AF211</f>
        <v>508.69243348</v>
      </c>
      <c r="AG360" s="226">
        <f>AG204+AG208+AG210+AG211</f>
        <v>508.69243348</v>
      </c>
      <c r="AH360" s="226">
        <f>AH204+AH208+AH210+AH211</f>
        <v>403.39154841</v>
      </c>
      <c r="AI360" s="226">
        <f>AI204+AI208+AI210+AI211</f>
        <v>430.73053495</v>
      </c>
      <c r="AJ360" s="226">
        <f>AJ204+AJ208+AJ210+AJ211</f>
        <v>71.87963608</v>
      </c>
      <c r="AK360" s="226">
        <f>AK204+AK208+AK210+AK211</f>
        <v>71.87963608</v>
      </c>
      <c r="AL360" s="226">
        <f>AL204+AL208+AL210+AL211</f>
        <v>71.87963608</v>
      </c>
      <c r="AM360" s="226" t="e">
        <f>AM204+AM208+AM210+AM211</f>
        <v>#DIV/0!</v>
      </c>
      <c r="AN360" s="226">
        <f>AN204+AN208+AN210+AN211</f>
        <v>71.87963608</v>
      </c>
      <c r="AO360" s="226" t="e">
        <f>AO204+AO208+AO210+AO211</f>
        <v>#DIV/0!</v>
      </c>
      <c r="AP360" s="226" t="e">
        <f>AP204+AP208+AP210+AP211</f>
        <v>#DIV/0!</v>
      </c>
      <c r="AQ360" s="226" t="e">
        <f>AQ204+AQ208+AQ210+AQ211</f>
        <v>#DIV/0!</v>
      </c>
      <c r="AR360" s="226" t="e">
        <f>AR204+AR208+AR210+AR211</f>
        <v>#DIV/0!</v>
      </c>
      <c r="AS360" s="226" t="e">
        <f>AS204+AS208+AS210+AS211</f>
        <v>#DIV/0!</v>
      </c>
      <c r="AT360" s="226" t="e">
        <f>AT204+AT208+AT210+AT211</f>
        <v>#DIV/0!</v>
      </c>
      <c r="AU360" s="226" t="e">
        <f>AU204+AU208+AU210+AU211</f>
        <v>#DIV/0!</v>
      </c>
      <c r="AV360" s="226" t="e">
        <f>AV204+AV208+AV210+AV211</f>
        <v>#DIV/0!</v>
      </c>
      <c r="AW360" s="226" t="e">
        <f>AW204+AW208+AW210+AW211</f>
        <v>#DIV/0!</v>
      </c>
      <c r="AX360" s="226" t="e">
        <f>AX204+AX208+AX210+AX211</f>
        <v>#DIV/0!</v>
      </c>
      <c r="AY360" s="226" t="e">
        <f>AY204+AY208+AY210+AY211</f>
        <v>#DIV/0!</v>
      </c>
      <c r="AZ360" s="226" t="e">
        <f>AZ204+AZ208+AZ210+AZ211</f>
        <v>#DIV/0!</v>
      </c>
      <c r="BA360" s="226" t="e">
        <f>BA204+BA208+BA210+BA211</f>
        <v>#DIV/0!</v>
      </c>
      <c r="BB360" s="226" t="e">
        <f>BB204+BB208+BB210+BB211</f>
        <v>#DIV/0!</v>
      </c>
      <c r="BC360" s="226" t="e">
        <f>BC204+BC208+BC210+BC211</f>
        <v>#DIV/0!</v>
      </c>
      <c r="BD360" s="226" t="e">
        <f>BD204+BD208+BD210+BD211</f>
        <v>#DIV/0!</v>
      </c>
      <c r="BE360" s="226" t="e">
        <f>BE204+BE208+BE210+BE211</f>
        <v>#DIV/0!</v>
      </c>
      <c r="BF360" s="226" t="e">
        <f>BF204+BF208+BF210+BF211</f>
        <v>#DIV/0!</v>
      </c>
      <c r="BG360" s="226" t="e">
        <f>BG204+BG208+BG210+BG211</f>
        <v>#DIV/0!</v>
      </c>
      <c r="BH360" s="226" t="e">
        <f>BH204+BH208+BH210+BH211</f>
        <v>#DIV/0!</v>
      </c>
      <c r="BI360" s="226" t="e">
        <f>BI204+BI208+BI210+BI211</f>
        <v>#DIV/0!</v>
      </c>
      <c r="BJ360" s="226" t="e">
        <f>BJ204+BJ208+BJ210+BJ211</f>
        <v>#DIV/0!</v>
      </c>
      <c r="BK360" s="226" t="e">
        <f>BK204+BK208+BK210+BK211</f>
        <v>#DIV/0!</v>
      </c>
      <c r="BL360" s="226" t="e">
        <f>BL204+BL208+BL210+BL211</f>
        <v>#DIV/0!</v>
      </c>
      <c r="BM360" s="226" t="e">
        <f>BM204+BM208+BM210+BM211</f>
        <v>#DIV/0!</v>
      </c>
      <c r="BN360" s="226" t="e">
        <f>BN204+BN208+BN210+BN211</f>
        <v>#DIV/0!</v>
      </c>
      <c r="BO360" s="226" t="e">
        <f>BO204+BO208+BO210+BO211</f>
        <v>#DIV/0!</v>
      </c>
      <c r="BP360" s="226" t="e">
        <f>BP204+BP208+BP210+BP211</f>
        <v>#DIV/0!</v>
      </c>
      <c r="BQ360" s="226" t="e">
        <f>BQ204+BQ208+BQ210+BQ211</f>
        <v>#DIV/0!</v>
      </c>
      <c r="BR360" s="226" t="e">
        <f>BR204+BR208+BR210+BR211</f>
        <v>#DIV/0!</v>
      </c>
      <c r="BS360" s="226" t="e">
        <f>BS204+BS208+BS210+BS211</f>
        <v>#DIV/0!</v>
      </c>
      <c r="BT360" s="226" t="e">
        <f>BT204+BT208+BT210+BT211</f>
        <v>#DIV/0!</v>
      </c>
      <c r="BU360" s="226" t="e">
        <f>BU204+BU208+BU210+BU211</f>
        <v>#DIV/0!</v>
      </c>
      <c r="BV360" s="226" t="e">
        <f>BV204+BV208+BV210+BV211</f>
        <v>#DIV/0!</v>
      </c>
      <c r="BW360" s="226" t="e">
        <f>BW204+BW208+BW210+BW211</f>
        <v>#DIV/0!</v>
      </c>
      <c r="BX360" s="226" t="e">
        <f>BX204+BX208+BX210+BX211</f>
        <v>#DIV/0!</v>
      </c>
      <c r="BY360" s="226" t="e">
        <f>BY204+BY208+BY210+BY211</f>
        <v>#DIV/0!</v>
      </c>
      <c r="BZ360" s="226" t="e">
        <f>BZ204+BZ208+BZ210+BZ211</f>
        <v>#DIV/0!</v>
      </c>
      <c r="CA360" s="226" t="e">
        <f>CA204+CA208+CA210+CA211</f>
        <v>#DIV/0!</v>
      </c>
      <c r="CB360" s="226" t="e">
        <f>CB204+CB208+CB210+CB211</f>
        <v>#DIV/0!</v>
      </c>
      <c r="CC360" s="226" t="e">
        <f>CC204+CC208+CC210+CC211</f>
        <v>#DIV/0!</v>
      </c>
      <c r="CD360" s="226" t="e">
        <f>CD204+CD208+CD210+CD211</f>
        <v>#DIV/0!</v>
      </c>
      <c r="CE360" s="226" t="e">
        <f>CE204+CE208+CE210+CE211</f>
        <v>#DIV/0!</v>
      </c>
      <c r="CF360" s="226" t="e">
        <f>CF204+CF208+CF210+CF211</f>
        <v>#DIV/0!</v>
      </c>
      <c r="CG360" s="226" t="e">
        <f>CG204+CG208+CG210+CG211</f>
        <v>#DIV/0!</v>
      </c>
      <c r="CH360" s="226" t="e">
        <f>CH204+CH208+CH210+CH211</f>
        <v>#DIV/0!</v>
      </c>
      <c r="CI360" s="226" t="e">
        <f>CI204+CI208+CI210+CI211</f>
        <v>#DIV/0!</v>
      </c>
      <c r="CJ360" s="226" t="e">
        <f>CJ204+CJ208+CJ210+CJ211</f>
        <v>#DIV/0!</v>
      </c>
      <c r="CK360" s="226" t="e">
        <f>CK204+CK208+CK210+CK211</f>
        <v>#DIV/0!</v>
      </c>
      <c r="CL360" s="226" t="e">
        <f>CL204+CL208+CL210+CL211</f>
        <v>#DIV/0!</v>
      </c>
      <c r="CM360" s="226" t="e">
        <f>CM204+CM208+CM210+CM211</f>
        <v>#DIV/0!</v>
      </c>
      <c r="CN360" s="226" t="e">
        <f>CN204+CN208+CN210+CN211</f>
        <v>#DIV/0!</v>
      </c>
      <c r="CO360" s="226" t="e">
        <f>CO204+CO208+CO210+CO211</f>
        <v>#DIV/0!</v>
      </c>
      <c r="CP360" s="226" t="e">
        <f>CP204+CP208+CP210+CP211</f>
        <v>#DIV/0!</v>
      </c>
      <c r="CQ360" s="226" t="e">
        <f>CQ204+CQ208+CQ210+CQ211</f>
        <v>#DIV/0!</v>
      </c>
      <c r="CR360" s="226" t="e">
        <f>CR204+CR208+CR210+CR211</f>
        <v>#DIV/0!</v>
      </c>
      <c r="CS360" s="226" t="e">
        <f>CS204+CS208+CS210+CS211</f>
        <v>#DIV/0!</v>
      </c>
      <c r="CT360" s="226" t="e">
        <f>CT204+CT208+CT210+CT211</f>
        <v>#DIV/0!</v>
      </c>
      <c r="CU360" s="226" t="e">
        <f>CU204+CU208+CU210+CU211</f>
        <v>#DIV/0!</v>
      </c>
      <c r="CV360" s="226" t="e">
        <f>CV204+CV208+CV210+CV211</f>
        <v>#DIV/0!</v>
      </c>
      <c r="CW360" s="226" t="e">
        <f>CW204+CW208+CW210+CW211</f>
        <v>#DIV/0!</v>
      </c>
      <c r="CX360" s="226" t="e">
        <f>CX204+CX208+CX210+CX211</f>
        <v>#DIV/0!</v>
      </c>
      <c r="CY360" s="226" t="e">
        <f>CY204+CY208+CY210+CY211</f>
        <v>#DIV/0!</v>
      </c>
    </row>
    <row r="361" customFormat="1" s="233">
      <c r="A361" s="224" t="n"/>
      <c r="B361" s="224" t="n"/>
      <c r="C361" s="233" t="inlineStr">
        <is>
          <t>FIXED ASSETS</t>
        </is>
      </c>
      <c r="D361" s="241">
        <f>D172+D182+D185+D186+D195-D246</f>
        <v>591.364</v>
      </c>
      <c r="E361" s="241">
        <f>E172+E182+E185+E186+E195-E246</f>
        <v>587.378353785444</v>
      </c>
      <c r="F361" s="241">
        <f>F172+F182+F185+F186+F195-F246</f>
        <v>560.087469233333</v>
      </c>
      <c r="G361" s="241">
        <f>G172+G182+G185+G186+G195-G246</f>
        <v>514.8618495262</v>
      </c>
      <c r="H361" s="241">
        <f>H172+H182+H185+H186+H195-H246</f>
        <v>514.8618495262</v>
      </c>
      <c r="I361" s="226">
        <f>I172+I182+I185+I186+I195-I246</f>
        <v>542.523760175191</v>
      </c>
      <c r="J361" s="226">
        <f>J172+J182+J185+J186+J195-J246</f>
        <v>586.338283672633</v>
      </c>
      <c r="K361" s="226">
        <f>K172+K182+K185+K186+K195-K246</f>
        <v>687.444645955501</v>
      </c>
      <c r="L361" s="226">
        <f>L172+L182+L185+L186+L195-L246</f>
        <v>771.587386727495</v>
      </c>
      <c r="M361" s="226">
        <f>M172+M182+M185+M186+M195-M246</f>
        <v>771.587386727495</v>
      </c>
      <c r="N361" s="226">
        <f>N172+N182+N185+N186+N195-N246</f>
        <v>821.254372732434</v>
      </c>
      <c r="O361" s="226">
        <f>O172+O182+O185+O186+O195-O246</f>
        <v>909.840066944516</v>
      </c>
      <c r="P361" s="226">
        <f>P172+P182+P185+P186+P195-P246</f>
        <v>1029.53428980442</v>
      </c>
      <c r="Q361" s="226">
        <f>Q172+Q182+Q185+Q186+Q195-Q246</f>
        <v>1078.779</v>
      </c>
      <c r="R361" s="226">
        <f>R172+R182+R185+R186+R195-R246</f>
        <v>1078.779</v>
      </c>
      <c r="S361" s="226">
        <f>S172+S182+S185+S186+S195-S246</f>
        <v>1133.126</v>
      </c>
      <c r="T361" s="226">
        <f>T172+T182+T185+T186+T195-T246</f>
        <v>1181.63266997181</v>
      </c>
      <c r="U361" s="226">
        <f>U172+U182+U185+U186+U195-U246</f>
        <v>1268.81197998181</v>
      </c>
      <c r="V361" s="226">
        <f>V172+V182+V185+V186+V195-V246</f>
        <v>1237.16208332181</v>
      </c>
      <c r="W361" s="226">
        <f>W172+W182+W185+W186+W195-W246</f>
        <v>1237.16208332181</v>
      </c>
      <c r="X361" s="226">
        <f>X172+X182+X185+X186+X195-X246</f>
        <v>1186.58454867151</v>
      </c>
      <c r="Y361" s="226">
        <f>Y172+Y182+Y185+Y186+Y195-Y246</f>
        <v>1302.91529845329</v>
      </c>
      <c r="Z361" s="226">
        <f>Z172+Z182+Z185+Z186+Z195-Z246</f>
        <v>1335.96303873</v>
      </c>
      <c r="AA361" s="226">
        <f>AA172+AA182+AA185+AA186+AA195-AA246</f>
        <v>1468.06258377</v>
      </c>
      <c r="AB361" s="226">
        <f>AB172+AB182+AB185+AB186+AB195-AB246</f>
        <v>1468.06258377</v>
      </c>
      <c r="AC361" s="226">
        <f>AC172+AC182+AC185+AC186+AC195-AC246</f>
        <v>1537.55221731</v>
      </c>
      <c r="AD361" s="226">
        <f>AD172+AD182+AD185+AD186+AD195-AD246</f>
        <v>1524.93919634</v>
      </c>
      <c r="AE361" s="226">
        <f>AE172+AE182+AE185+AE186+AE195-AE246</f>
        <v>1598.724</v>
      </c>
      <c r="AF361" s="226">
        <f>AF172+AF182+AF185+AF186+AF195-AF246</f>
        <v>1626.73605519</v>
      </c>
      <c r="AG361" s="226">
        <f>AG172+AG182+AG185+AG186+AG195-AG246</f>
        <v>1626.73605519</v>
      </c>
      <c r="AH361" s="226">
        <f>AH172+AH182+AH185+AH186+AH195-AH246</f>
        <v>1679.77067491</v>
      </c>
      <c r="AI361" s="226">
        <f>AI172+AI182+AI185+AI186+AI195-AI246</f>
        <v>1692.59979706</v>
      </c>
      <c r="AJ361" s="226">
        <f>AJ172+AJ182+AJ185+AJ186+AJ195-AJ246</f>
        <v>1641.04378343</v>
      </c>
      <c r="AK361" s="226">
        <f>AK172+AK182+AK185+AK186+AK195-AK246</f>
        <v>1641.04378343</v>
      </c>
      <c r="AL361" s="226">
        <f>AL172+AL182+AL185+AL186+AL195-AL246</f>
        <v>1641.04378343</v>
      </c>
      <c r="AM361" s="226">
        <f>AM172+AM182+AM185+AM186+AM195-AM246</f>
        <v>1641.04378343</v>
      </c>
      <c r="AN361" s="226">
        <f>AN172+AN182+AN185+AN186+AN195-AN246</f>
        <v>1641.04378343</v>
      </c>
      <c r="AO361" s="226">
        <f>AO172+AO182+AO185+AO186+AO195-AO246</f>
        <v>1641.04378343</v>
      </c>
      <c r="AP361" s="226">
        <f>AP172+AP182+AP185+AP186+AP195-AP246</f>
        <v>1641.04378343</v>
      </c>
      <c r="AQ361" s="226">
        <f>AQ172+AQ182+AQ185+AQ186+AQ195-AQ246</f>
        <v>1641.04378343</v>
      </c>
      <c r="AR361" s="226">
        <f>AR172+AR182+AR185+AR186+AR195-AR246</f>
        <v>1641.04378343</v>
      </c>
      <c r="AS361" s="226">
        <f>AS172+AS182+AS185+AS186+AS195-AS246</f>
        <v>1641.04378343</v>
      </c>
      <c r="AT361" s="226">
        <f>AT172+AT182+AT185+AT186+AT195-AT246</f>
        <v>1641.04378343</v>
      </c>
      <c r="AU361" s="226">
        <f>AU172+AU182+AU185+AU186+AU195-AU246</f>
        <v>1641.04378343</v>
      </c>
      <c r="AV361" s="226">
        <f>AV172+AV182+AV185+AV186+AV195-AV246</f>
        <v>1641.04378343</v>
      </c>
      <c r="AW361" s="226">
        <f>AW172+AW182+AW185+AW186+AW195-AW246</f>
        <v>1641.04378343</v>
      </c>
      <c r="AX361" s="226">
        <f>AX172+AX182+AX185+AX186+AX195-AX246</f>
        <v>1641.04378343</v>
      </c>
      <c r="AY361" s="226">
        <f>AY172+AY182+AY185+AY186+AY195-AY246</f>
        <v>1641.04378343</v>
      </c>
      <c r="AZ361" s="226">
        <f>AZ172+AZ182+AZ185+AZ186+AZ195-AZ246</f>
        <v>1641.04378343</v>
      </c>
      <c r="BA361" s="226">
        <f>BA172+BA182+BA185+BA186+BA195-BA246</f>
        <v>1641.04378343</v>
      </c>
      <c r="BB361" s="226">
        <f>BB172+BB182+BB185+BB186+BB195-BB246</f>
        <v>1641.04378343</v>
      </c>
      <c r="BC361" s="226">
        <f>BC172+BC182+BC185+BC186+BC195-BC246</f>
        <v>1641.04378343</v>
      </c>
      <c r="BD361" s="226">
        <f>BD172+BD182+BD185+BD186+BD195-BD246</f>
        <v>1641.04378343</v>
      </c>
      <c r="BE361" s="226">
        <f>BE172+BE182+BE185+BE186+BE195-BE246</f>
        <v>1641.04378343</v>
      </c>
      <c r="BF361" s="226">
        <f>BF172+BF182+BF185+BF186+BF195-BF246</f>
        <v>1641.04378343</v>
      </c>
      <c r="BG361" s="226">
        <f>BG172+BG182+BG185+BG186+BG195-BG246</f>
        <v>1641.04378343</v>
      </c>
      <c r="BH361" s="226">
        <f>BH172+BH182+BH185+BH186+BH195-BH246</f>
        <v>1641.04378343</v>
      </c>
      <c r="BI361" s="226">
        <f>BI172+BI182+BI185+BI186+BI195-BI246</f>
        <v>1641.04378343</v>
      </c>
      <c r="BJ361" s="226">
        <f>BJ172+BJ182+BJ185+BJ186+BJ195-BJ246</f>
        <v>1641.04378343</v>
      </c>
      <c r="BK361" s="226">
        <f>BK172+BK182+BK185+BK186+BK195-BK246</f>
        <v>1641.04378343</v>
      </c>
      <c r="BL361" s="226">
        <f>BL172+BL182+BL185+BL186+BL195-BL246</f>
        <v>1641.04378343</v>
      </c>
      <c r="BM361" s="226">
        <f>BM172+BM182+BM185+BM186+BM195-BM246</f>
        <v>1641.04378343</v>
      </c>
      <c r="BN361" s="226">
        <f>BN172+BN182+BN185+BN186+BN195-BN246</f>
        <v>1641.04378343</v>
      </c>
      <c r="BO361" s="226">
        <f>BO172+BO182+BO185+BO186+BO195-BO246</f>
        <v>1641.04378343</v>
      </c>
      <c r="BP361" s="226">
        <f>BP172+BP182+BP185+BP186+BP195-BP246</f>
        <v>1641.04378343</v>
      </c>
      <c r="BQ361" s="226">
        <f>BQ172+BQ182+BQ185+BQ186+BQ195-BQ246</f>
        <v>1641.04378343</v>
      </c>
      <c r="BR361" s="226">
        <f>BR172+BR182+BR185+BR186+BR195-BR246</f>
        <v>1641.04378343</v>
      </c>
      <c r="BS361" s="226">
        <f>BS172+BS182+BS185+BS186+BS195-BS246</f>
        <v>1641.04378343</v>
      </c>
      <c r="BT361" s="226">
        <f>BT172+BT182+BT185+BT186+BT195-BT246</f>
        <v>1641.04378343</v>
      </c>
      <c r="BU361" s="226">
        <f>BU172+BU182+BU185+BU186+BU195-BU246</f>
        <v>1641.04378343</v>
      </c>
      <c r="BV361" s="226">
        <f>BV172+BV182+BV185+BV186+BV195-BV246</f>
        <v>1641.04378343</v>
      </c>
      <c r="BW361" s="226">
        <f>BW172+BW182+BW185+BW186+BW195-BW246</f>
        <v>1641.04378343</v>
      </c>
      <c r="BX361" s="226">
        <f>BX172+BX182+BX185+BX186+BX195-BX246</f>
        <v>1641.04378343</v>
      </c>
      <c r="BY361" s="226">
        <f>BY172+BY182+BY185+BY186+BY195-BY246</f>
        <v>1641.04378343</v>
      </c>
      <c r="BZ361" s="226">
        <f>BZ172+BZ182+BZ185+BZ186+BZ195-BZ246</f>
        <v>1641.04378343</v>
      </c>
      <c r="CA361" s="226">
        <f>CA172+CA182+CA185+CA186+CA195-CA246</f>
        <v>1641.04378343</v>
      </c>
      <c r="CB361" s="226">
        <f>CB172+CB182+CB185+CB186+CB195-CB246</f>
        <v>1641.04378343</v>
      </c>
      <c r="CC361" s="226">
        <f>CC172+CC182+CC185+CC186+CC195-CC246</f>
        <v>1641.04378343</v>
      </c>
      <c r="CD361" s="226">
        <f>CD172+CD182+CD185+CD186+CD195-CD246</f>
        <v>1641.04378343</v>
      </c>
      <c r="CE361" s="226">
        <f>CE172+CE182+CE185+CE186+CE195-CE246</f>
        <v>1641.04378343</v>
      </c>
      <c r="CF361" s="226">
        <f>CF172+CF182+CF185+CF186+CF195-CF246</f>
        <v>1641.04378343</v>
      </c>
      <c r="CG361" s="226">
        <f>CG172+CG182+CG185+CG186+CG195-CG246</f>
        <v>1641.04378343</v>
      </c>
      <c r="CH361" s="226">
        <f>CH172+CH182+CH185+CH186+CH195-CH246</f>
        <v>1641.04378343</v>
      </c>
      <c r="CI361" s="226">
        <f>CI172+CI182+CI185+CI186+CI195-CI246</f>
        <v>1641.04378343</v>
      </c>
      <c r="CJ361" s="226">
        <f>CJ172+CJ182+CJ185+CJ186+CJ195-CJ246</f>
        <v>1641.04378343</v>
      </c>
      <c r="CK361" s="226">
        <f>CK172+CK182+CK185+CK186+CK195-CK246</f>
        <v>1641.04378343</v>
      </c>
      <c r="CL361" s="226">
        <f>CL172+CL182+CL185+CL186+CL195-CL246</f>
        <v>1641.04378343</v>
      </c>
      <c r="CM361" s="226">
        <f>CM172+CM182+CM185+CM186+CM195-CM246</f>
        <v>1641.04378343</v>
      </c>
      <c r="CN361" s="226">
        <f>CN172+CN182+CN185+CN186+CN195-CN246</f>
        <v>1641.04378343</v>
      </c>
      <c r="CO361" s="226">
        <f>CO172+CO182+CO185+CO186+CO195-CO246</f>
        <v>1641.04378343</v>
      </c>
      <c r="CP361" s="226">
        <f>CP172+CP182+CP185+CP186+CP195-CP246</f>
        <v>1641.04378343</v>
      </c>
      <c r="CQ361" s="226">
        <f>CQ172+CQ182+CQ185+CQ186+CQ195-CQ246</f>
        <v>1641.04378343</v>
      </c>
      <c r="CR361" s="226">
        <f>CR172+CR182+CR185+CR186+CR195-CR246</f>
        <v>1641.04378343</v>
      </c>
      <c r="CS361" s="226">
        <f>CS172+CS182+CS185+CS186+CS195-CS246</f>
        <v>1641.04378343</v>
      </c>
      <c r="CT361" s="226">
        <f>CT172+CT182+CT185+CT186+CT195-CT246</f>
        <v>1641.04378343</v>
      </c>
      <c r="CU361" s="226">
        <f>CU172+CU182+CU185+CU186+CU195-CU246</f>
        <v>1641.04378343</v>
      </c>
      <c r="CV361" s="226">
        <f>CV172+CV182+CV185+CV186+CV195-CV246</f>
        <v>1641.04378343</v>
      </c>
      <c r="CW361" s="226">
        <f>CW172+CW182+CW185+CW186+CW195-CW246</f>
        <v>1641.04378343</v>
      </c>
      <c r="CX361" s="226">
        <f>CX172+CX182+CX185+CX186+CX195-CX246</f>
        <v>1641.04378343</v>
      </c>
      <c r="CY361" s="226">
        <f>CY172+CY182+CY185+CY186+CY195-CY246</f>
        <v>1641.04378343</v>
      </c>
    </row>
    <row r="362" customFormat="1" s="233">
      <c r="A362" s="224" t="n"/>
      <c r="B362" s="224" t="n"/>
    </row>
    <row r="363" customFormat="1" s="233">
      <c r="A363" s="224" t="n"/>
      <c r="B363" s="224" t="n"/>
    </row>
    <row r="364" customFormat="1" s="233">
      <c r="A364" s="224" t="n"/>
      <c r="B364" s="224" t="n"/>
    </row>
    <row r="365" customFormat="1" s="233">
      <c r="A365" s="224" t="n"/>
      <c r="B365" s="224" t="n"/>
    </row>
    <row r="366" customFormat="1" s="233">
      <c r="A366" s="224" t="n"/>
      <c r="B366" s="224" t="n"/>
    </row>
    <row r="367" customFormat="1" s="233">
      <c r="A367" s="224" t="n"/>
      <c r="B367" s="224" t="n"/>
    </row>
    <row r="368" customFormat="1" s="233">
      <c r="A368" s="224" t="n"/>
      <c r="B368" s="224" t="n"/>
    </row>
    <row r="369" customFormat="1" s="233">
      <c r="A369" s="224" t="n"/>
      <c r="B369" s="224" t="n"/>
      <c r="C369" s="234" t="inlineStr">
        <is>
          <t>DUPONT ANALYSIS</t>
        </is>
      </c>
    </row>
    <row r="370" customFormat="1" s="233">
      <c r="A370" s="224" t="n"/>
      <c r="B370" s="224" t="n"/>
      <c r="C370" s="233" t="inlineStr">
        <is>
          <t>NET PROFIT MARGIN</t>
        </is>
      </c>
      <c r="D370" s="238">
        <f>D143/D15</f>
        <v>0.0581410562867267</v>
      </c>
      <c r="E370" s="238">
        <f>E143/E15</f>
        <v>-0.0323579730890947</v>
      </c>
      <c r="F370" s="238">
        <f>F143/F15</f>
        <v>0.126067223642261</v>
      </c>
      <c r="G370" s="238">
        <f>G143/G15</f>
        <v>0.185474161856688</v>
      </c>
      <c r="I370" s="222">
        <f>I143/I15</f>
        <v>0.0179711607063462</v>
      </c>
      <c r="J370" s="222">
        <f>J143/J15</f>
        <v>0.225574413202863</v>
      </c>
      <c r="K370" s="222">
        <f>K143/K15</f>
        <v>0.255795856499659</v>
      </c>
      <c r="L370" s="222">
        <f>L143/L15</f>
        <v>0.231375903433104</v>
      </c>
      <c r="N370" s="222">
        <f>N143/N15</f>
        <v>0.136094925839885</v>
      </c>
      <c r="O370" s="222">
        <f>O143/O15</f>
        <v>0.189718558704929</v>
      </c>
      <c r="P370" s="222">
        <f>P143/P15</f>
        <v>0.173406907789782</v>
      </c>
      <c r="Q370" s="222">
        <f>Q143/Q15</f>
        <v>0.244941379366336</v>
      </c>
      <c r="S370" s="222">
        <f>S143/S15</f>
        <v>0.0984894002910628</v>
      </c>
      <c r="T370" s="222">
        <f>T143/T15</f>
        <v>0.196432380054738</v>
      </c>
      <c r="U370" s="222">
        <f>U143/U15</f>
        <v>0.167367301178326</v>
      </c>
      <c r="V370" s="222">
        <f>V143/V15</f>
        <v>0.20051512952178</v>
      </c>
      <c r="X370" s="222">
        <f>X143/X15</f>
        <v>0.0805442034068617</v>
      </c>
      <c r="Y370" s="222">
        <f>Y143/Y15</f>
        <v>0.321428872002089</v>
      </c>
      <c r="Z370" s="222">
        <f>Z143/Z15</f>
        <v>0.190380318084023</v>
      </c>
      <c r="AA370" s="222">
        <f>AA143/AA15</f>
        <v>0.32788619114873</v>
      </c>
      <c r="AC370" s="222">
        <f>AC143/AC15</f>
        <v>0.214191566811819</v>
      </c>
      <c r="AD370" s="222">
        <f>AD143/AD15</f>
        <v>0.198534922749871</v>
      </c>
      <c r="AE370" s="222">
        <f>AE143/AE15</f>
        <v>0.264633361591306</v>
      </c>
      <c r="AF370" s="222">
        <f>AF143/AF15</f>
        <v>0.166853403124119</v>
      </c>
      <c r="AH370" s="222">
        <f>AH143/AH15</f>
        <v>0.13567335388897</v>
      </c>
      <c r="AI370" s="222">
        <f>AI143/AI15</f>
        <v>0.18204201153899</v>
      </c>
      <c r="AJ370" s="222">
        <f>AJ143/AJ15</f>
        <v>0.0120405862542865</v>
      </c>
      <c r="AK370" s="222">
        <f>AK143/AK15</f>
        <v>0.0105218407633623</v>
      </c>
      <c r="AM370" s="222">
        <f>AM143/AM15</f>
        <v>0.0187989417741543</v>
      </c>
      <c r="AN370" s="222">
        <f>AN143/AN15</f>
        <v>0.0460815861472539</v>
      </c>
      <c r="AO370" s="222">
        <f>AO143/AO15</f>
        <v>0.0168471894909058</v>
      </c>
      <c r="AP370" s="222">
        <f>AP143/AP15</f>
        <v>0.0360834757112108</v>
      </c>
      <c r="AR370" s="222">
        <f>AR143/AR15</f>
        <v>0.064468867583147</v>
      </c>
      <c r="AS370" s="222">
        <f>AS143/AS15</f>
        <v>0.119037695993117</v>
      </c>
      <c r="AT370" s="222">
        <f>AT143/AT15</f>
        <v>0.0577755514903846</v>
      </c>
      <c r="AU370" s="222">
        <f>AU143/AU15</f>
        <v>0.0932106329491461</v>
      </c>
      <c r="AW370" s="222">
        <f>AW143/AW15</f>
        <v>0.166535618714603</v>
      </c>
      <c r="AX370" s="222">
        <f>AX143/AX15</f>
        <v>0.330238564280742</v>
      </c>
      <c r="AY370" s="222">
        <f>AY143/AY15</f>
        <v>0.149245481962581</v>
      </c>
      <c r="AZ370" s="222">
        <f>AZ143/AZ15</f>
        <v>0.258588217320714</v>
      </c>
      <c r="BB370" s="222">
        <f>BB143/BB15</f>
        <v>0.462008972595499</v>
      </c>
      <c r="BC370" s="222">
        <f>BC143/BC15</f>
        <v>0.898552520547719</v>
      </c>
      <c r="BD370" s="222">
        <f>BD143/BD15</f>
        <v>0.41404206690593</v>
      </c>
      <c r="BE370" s="222">
        <f>BE143/BE15</f>
        <v>0.70359770053972</v>
      </c>
      <c r="BG370" s="222">
        <f>BG143/BG15</f>
        <v>1.2570891826202</v>
      </c>
      <c r="BH370" s="222">
        <f>BH143/BH15</f>
        <v>2.45758216965692</v>
      </c>
      <c r="BI370" s="222">
        <f>BI143/BI15</f>
        <v>1.12657509773702</v>
      </c>
      <c r="BJ370" s="222">
        <f>BJ143/BJ15</f>
        <v>1.92437183572087</v>
      </c>
      <c r="BL370" s="222">
        <f>BL143/BL15</f>
        <v>3.43819631043141</v>
      </c>
      <c r="BM370" s="222">
        <f>BM143/BM15</f>
        <v>6.71226938040928</v>
      </c>
      <c r="BN370" s="222">
        <f>BN143/BN15</f>
        <v>3.08123432928591</v>
      </c>
      <c r="BO370" s="222">
        <f>BO143/BO15</f>
        <v>5.25593907252117</v>
      </c>
      <c r="BQ370" s="222">
        <f>BQ143/BQ15</f>
        <v>9.39057098610322</v>
      </c>
      <c r="BR370" s="222">
        <f>BR143/BR15</f>
        <v>18.3397031001324</v>
      </c>
      <c r="BS370" s="222">
        <f>BS143/BS15</f>
        <v>8.41561885404586</v>
      </c>
      <c r="BT370" s="222">
        <f>BT143/BT15</f>
        <v>14.3606218164841</v>
      </c>
      <c r="BV370" s="222">
        <f>BV143/BV15</f>
        <v>25.6575345930693</v>
      </c>
      <c r="BW370" s="222">
        <f>BW143/BW15</f>
        <v>50.1039449610834</v>
      </c>
      <c r="BX370" s="222">
        <f>BX143/BX15</f>
        <v>22.9937063666635</v>
      </c>
      <c r="BY370" s="222">
        <f>BY143/BY15</f>
        <v>39.2331217780105</v>
      </c>
      <c r="CA370" s="222">
        <f>CA143/CA15</f>
        <v>70.0962111583449</v>
      </c>
      <c r="CB370" s="222">
        <f>CB143/CB15</f>
        <v>136.887296122432</v>
      </c>
      <c r="CC370" s="222">
        <f>CC143/CC15</f>
        <v>62.8186504414188</v>
      </c>
      <c r="CD370" s="222">
        <f>CD143/CD15</f>
        <v>107.187487188989</v>
      </c>
      <c r="CF370" s="222">
        <f>CF143/CF15</f>
        <v>191.507491502828</v>
      </c>
      <c r="CG370" s="222">
        <f>CG143/CG15</f>
        <v>373.98248216703</v>
      </c>
      <c r="CH370" s="222">
        <f>CH143/CH15</f>
        <v>171.624713616165</v>
      </c>
      <c r="CI370" s="222">
        <f>CI143/CI15</f>
        <v>292.841217933999</v>
      </c>
      <c r="CK370" s="222">
        <f>CK143/CK15</f>
        <v>523.207405322347</v>
      </c>
      <c r="CL370" s="222">
        <f>CL143/CL15</f>
        <v>1021.73955657892</v>
      </c>
      <c r="CM370" s="222">
        <f>CM143/CM15</f>
        <v>468.886728115167</v>
      </c>
      <c r="CN370" s="222">
        <f>CN143/CN15</f>
        <v>800.057410245977</v>
      </c>
      <c r="CP370" s="222">
        <f>CP143/CP15</f>
        <v>1429.42979365035</v>
      </c>
      <c r="CQ370" s="222">
        <f>CQ143/CQ15</f>
        <v>2791.44407749191</v>
      </c>
      <c r="CR370" s="222">
        <f>CR143/CR15</f>
        <v>1281.02288346266</v>
      </c>
      <c r="CS370" s="222">
        <f>CS143/CS15</f>
        <v>2185.79725635995</v>
      </c>
      <c r="CU370" s="222">
        <f>CU143/CU15</f>
        <v>3905.27439794539</v>
      </c>
      <c r="CV370" s="222">
        <f>CV143/CV15</f>
        <v>7626.36726814166</v>
      </c>
      <c r="CW370" s="222">
        <f>CW143/CW15</f>
        <v>3499.81922315566</v>
      </c>
      <c r="CX370" s="222">
        <f>CX143/CX15</f>
        <v>5971.70933321186</v>
      </c>
    </row>
    <row r="371" customFormat="1" s="233">
      <c r="A371" s="224" t="n"/>
      <c r="B371" s="224" t="n"/>
      <c r="C371" s="233" t="inlineStr">
        <is>
          <t>ASSET TURNOVER</t>
        </is>
      </c>
      <c r="D371" s="238">
        <f>D143/D203</f>
        <v>0.00655508490491976</v>
      </c>
      <c r="E371" s="238">
        <f>E143/E203</f>
        <v>-0.00240306053438123</v>
      </c>
      <c r="F371" s="238">
        <f>F143/F203</f>
        <v>0.0160087173010737</v>
      </c>
      <c r="G371" s="238">
        <f>G143/G203</f>
        <v>0.0399451352052641</v>
      </c>
      <c r="I371" s="222">
        <f>I143/I203</f>
        <v>0.00196982859281354</v>
      </c>
      <c r="J371" s="222">
        <f>J143/J203</f>
        <v>0.0375329464211977</v>
      </c>
      <c r="K371" s="222">
        <f>K143/K203</f>
        <v>0.0364139589091067</v>
      </c>
      <c r="L371" s="222">
        <f>L143/L203</f>
        <v>0.0495847316376317</v>
      </c>
      <c r="N371" s="222">
        <f>N143/N203</f>
        <v>0.0181397599410509</v>
      </c>
      <c r="O371" s="222">
        <f>O143/O203</f>
        <v>0.0348750765645321</v>
      </c>
      <c r="P371" s="222">
        <f>P143/P203</f>
        <v>0.0254227943796412</v>
      </c>
      <c r="Q371" s="222">
        <f>Q143/Q203</f>
        <v>0.0538008158888871</v>
      </c>
      <c r="S371" s="222">
        <f>S143/S203</f>
        <v>0.0133827385712265</v>
      </c>
      <c r="T371" s="222">
        <f>T143/T203</f>
        <v>0.0369996912959255</v>
      </c>
      <c r="U371" s="222">
        <f>U143/U203</f>
        <v>0.0253209240962151</v>
      </c>
      <c r="V371" s="222">
        <f>V143/V203</f>
        <v>0.0470895014453227</v>
      </c>
      <c r="X371" s="222">
        <f>X143/X203</f>
        <v>0.0111556772360705</v>
      </c>
      <c r="Y371" s="222">
        <f>Y143/Y203</f>
        <v>0.0612532692425863</v>
      </c>
      <c r="Z371" s="222">
        <f>Z143/Z203</f>
        <v>0.0297009892615079</v>
      </c>
      <c r="AA371" s="222">
        <f>AA143/AA203</f>
        <v>0.0700696677048286</v>
      </c>
      <c r="AC371" s="222">
        <f>AC143/AC203</f>
        <v>0.0272069486043564</v>
      </c>
      <c r="AD371" s="222">
        <f>AD143/AD203</f>
        <v>0.0352501770207731</v>
      </c>
      <c r="AE371" s="222">
        <f>AE143/AE203</f>
        <v>0.0374212205521246</v>
      </c>
      <c r="AF371" s="222">
        <f>AF143/AF203</f>
        <v>0.0375904645862758</v>
      </c>
      <c r="AH371" s="222">
        <f>AH143/AH203</f>
        <v>0.0172799171381768</v>
      </c>
      <c r="AI371" s="222">
        <f>AI143/AI203</f>
        <v>0.0310768710835666</v>
      </c>
      <c r="AJ371" s="222">
        <f>AJ143/AJ203</f>
        <v>0.00176643460909411</v>
      </c>
      <c r="AK371" s="222">
        <f>AK143/AK203</f>
        <v>0.00246550175865912</v>
      </c>
      <c r="AM371" s="222" t="e">
        <f>AM143/AM203</f>
        <v>#DIV/0!</v>
      </c>
      <c r="AN371" s="222" t="e">
        <f>AN143/AN203</f>
        <v>#DIV/0!</v>
      </c>
      <c r="AO371" s="222" t="e">
        <f>AO143/AO203</f>
        <v>#DIV/0!</v>
      </c>
      <c r="AP371" s="222" t="e">
        <f>AP143/AP203</f>
        <v>#DIV/0!</v>
      </c>
      <c r="AR371" s="222" t="e">
        <f>AR143/AR203</f>
        <v>#DIV/0!</v>
      </c>
      <c r="AS371" s="222" t="e">
        <f>AS143/AS203</f>
        <v>#DIV/0!</v>
      </c>
      <c r="AT371" s="222" t="e">
        <f>AT143/AT203</f>
        <v>#DIV/0!</v>
      </c>
      <c r="AU371" s="222" t="e">
        <f>AU143/AU203</f>
        <v>#DIV/0!</v>
      </c>
      <c r="AW371" s="222" t="e">
        <f>AW143/AW203</f>
        <v>#DIV/0!</v>
      </c>
      <c r="AX371" s="222" t="e">
        <f>AX143/AX203</f>
        <v>#DIV/0!</v>
      </c>
      <c r="AY371" s="222" t="e">
        <f>AY143/AY203</f>
        <v>#DIV/0!</v>
      </c>
      <c r="AZ371" s="222" t="e">
        <f>AZ143/AZ203</f>
        <v>#DIV/0!</v>
      </c>
      <c r="BB371" s="222" t="e">
        <f>BB143/BB203</f>
        <v>#DIV/0!</v>
      </c>
      <c r="BC371" s="222" t="e">
        <f>BC143/BC203</f>
        <v>#DIV/0!</v>
      </c>
      <c r="BD371" s="222" t="e">
        <f>BD143/BD203</f>
        <v>#DIV/0!</v>
      </c>
      <c r="BE371" s="222" t="e">
        <f>BE143/BE203</f>
        <v>#DIV/0!</v>
      </c>
      <c r="BG371" s="222" t="e">
        <f>BG143/BG203</f>
        <v>#DIV/0!</v>
      </c>
      <c r="BH371" s="222" t="e">
        <f>BH143/BH203</f>
        <v>#DIV/0!</v>
      </c>
      <c r="BI371" s="222" t="e">
        <f>BI143/BI203</f>
        <v>#DIV/0!</v>
      </c>
      <c r="BJ371" s="222" t="e">
        <f>BJ143/BJ203</f>
        <v>#DIV/0!</v>
      </c>
      <c r="BL371" s="222" t="e">
        <f>BL143/BL203</f>
        <v>#DIV/0!</v>
      </c>
      <c r="BM371" s="222" t="e">
        <f>BM143/BM203</f>
        <v>#DIV/0!</v>
      </c>
      <c r="BN371" s="222" t="e">
        <f>BN143/BN203</f>
        <v>#DIV/0!</v>
      </c>
      <c r="BO371" s="222" t="e">
        <f>BO143/BO203</f>
        <v>#DIV/0!</v>
      </c>
      <c r="BQ371" s="222" t="e">
        <f>BQ143/BQ203</f>
        <v>#DIV/0!</v>
      </c>
      <c r="BR371" s="222" t="e">
        <f>BR143/BR203</f>
        <v>#DIV/0!</v>
      </c>
      <c r="BS371" s="222" t="e">
        <f>BS143/BS203</f>
        <v>#DIV/0!</v>
      </c>
      <c r="BT371" s="222" t="e">
        <f>BT143/BT203</f>
        <v>#DIV/0!</v>
      </c>
      <c r="BV371" s="222" t="e">
        <f>BV143/BV203</f>
        <v>#DIV/0!</v>
      </c>
      <c r="BW371" s="222" t="e">
        <f>BW143/BW203</f>
        <v>#DIV/0!</v>
      </c>
      <c r="BX371" s="222" t="e">
        <f>BX143/BX203</f>
        <v>#DIV/0!</v>
      </c>
      <c r="BY371" s="222" t="e">
        <f>BY143/BY203</f>
        <v>#DIV/0!</v>
      </c>
      <c r="CA371" s="222" t="e">
        <f>CA143/CA203</f>
        <v>#DIV/0!</v>
      </c>
      <c r="CB371" s="222" t="e">
        <f>CB143/CB203</f>
        <v>#DIV/0!</v>
      </c>
      <c r="CC371" s="222" t="e">
        <f>CC143/CC203</f>
        <v>#DIV/0!</v>
      </c>
      <c r="CD371" s="222" t="e">
        <f>CD143/CD203</f>
        <v>#DIV/0!</v>
      </c>
      <c r="CF371" s="222" t="e">
        <f>CF143/CF203</f>
        <v>#DIV/0!</v>
      </c>
      <c r="CG371" s="222" t="e">
        <f>CG143/CG203</f>
        <v>#DIV/0!</v>
      </c>
      <c r="CH371" s="222" t="e">
        <f>CH143/CH203</f>
        <v>#DIV/0!</v>
      </c>
      <c r="CI371" s="222" t="e">
        <f>CI143/CI203</f>
        <v>#DIV/0!</v>
      </c>
      <c r="CK371" s="222" t="e">
        <f>CK143/CK203</f>
        <v>#DIV/0!</v>
      </c>
      <c r="CL371" s="222" t="e">
        <f>CL143/CL203</f>
        <v>#DIV/0!</v>
      </c>
      <c r="CM371" s="222" t="e">
        <f>CM143/CM203</f>
        <v>#DIV/0!</v>
      </c>
      <c r="CN371" s="222" t="e">
        <f>CN143/CN203</f>
        <v>#DIV/0!</v>
      </c>
      <c r="CP371" s="222" t="e">
        <f>CP143/CP203</f>
        <v>#DIV/0!</v>
      </c>
      <c r="CQ371" s="222" t="e">
        <f>CQ143/CQ203</f>
        <v>#DIV/0!</v>
      </c>
      <c r="CR371" s="222" t="e">
        <f>CR143/CR203</f>
        <v>#DIV/0!</v>
      </c>
      <c r="CS371" s="222" t="e">
        <f>CS143/CS203</f>
        <v>#DIV/0!</v>
      </c>
      <c r="CU371" s="222" t="e">
        <f>CU143/CU203</f>
        <v>#DIV/0!</v>
      </c>
      <c r="CV371" s="222" t="e">
        <f>CV143/CV203</f>
        <v>#DIV/0!</v>
      </c>
      <c r="CW371" s="222" t="e">
        <f>CW143/CW203</f>
        <v>#DIV/0!</v>
      </c>
      <c r="CX371" s="222" t="e">
        <f>CX143/CX203</f>
        <v>#DIV/0!</v>
      </c>
    </row>
    <row r="372" customFormat="1" s="233">
      <c r="A372" s="224" t="n"/>
      <c r="B372" s="224" t="n"/>
      <c r="C372" s="233" t="inlineStr">
        <is>
          <t>EQUITY MULTIPLIER</t>
        </is>
      </c>
      <c r="D372" s="238">
        <f>D203/D277</f>
        <v>1.64980089922299</v>
      </c>
      <c r="E372" s="238">
        <f>E203/E277</f>
        <v>1.71682994816878</v>
      </c>
      <c r="F372" s="238">
        <f>F203/F277</f>
        <v>1.71240436517474</v>
      </c>
      <c r="G372" s="238">
        <f>G203/G277</f>
        <v>1.82735033204885</v>
      </c>
      <c r="I372" s="222">
        <f>I203/I277</f>
        <v>1.689991820161</v>
      </c>
      <c r="J372" s="222">
        <f>J203/J277</f>
        <v>1.73072745189949</v>
      </c>
      <c r="K372" s="222">
        <f>K203/K277</f>
        <v>1.76404165710409</v>
      </c>
      <c r="L372" s="222">
        <f>L203/L277</f>
        <v>1.8408925807247</v>
      </c>
      <c r="N372" s="222">
        <f>N203/N277</f>
        <v>1.76138320152128</v>
      </c>
      <c r="O372" s="222">
        <f>O203/O277</f>
        <v>1.68118729826059</v>
      </c>
      <c r="P372" s="222">
        <f>P203/P277</f>
        <v>1.69138302673352</v>
      </c>
      <c r="Q372" s="222">
        <f>Q203/Q277</f>
        <v>1.76855155957507</v>
      </c>
      <c r="S372" s="222">
        <f>S203/S277</f>
        <v>1.70331347819175</v>
      </c>
      <c r="T372" s="222">
        <f>T203/T277</f>
        <v>1.64830179335868</v>
      </c>
      <c r="U372" s="222">
        <f>U203/U277</f>
        <v>1.61075929501825</v>
      </c>
      <c r="V372" s="222">
        <f>V203/V277</f>
        <v>1.65213151109553</v>
      </c>
      <c r="X372" s="222">
        <f>X203/X277</f>
        <v>1.62946407044347</v>
      </c>
      <c r="Y372" s="222">
        <f>Y203/Y277</f>
        <v>1.58420368696666</v>
      </c>
      <c r="Z372" s="222">
        <f>Z203/Z277</f>
        <v>1.5809993817245</v>
      </c>
      <c r="AA372" s="222">
        <f>AA203/AA277</f>
        <v>1.71158550416885</v>
      </c>
      <c r="AC372" s="222">
        <f>AC203/AC277</f>
        <v>1.61882118848282</v>
      </c>
      <c r="AD372" s="222">
        <f>AD203/AD277</f>
        <v>1.5515606520716</v>
      </c>
      <c r="AE372" s="222">
        <f>AE203/AE277</f>
        <v>1.60062380549967</v>
      </c>
      <c r="AF372" s="222">
        <f>AF203/AF277</f>
        <v>1.60114810713167</v>
      </c>
      <c r="AH372" s="222">
        <f>AH203/AH277</f>
        <v>1.54297689081668</v>
      </c>
      <c r="AI372" s="222">
        <f>AI203/AI277</f>
        <v>1.53262441359735</v>
      </c>
      <c r="AJ372" s="222">
        <f>AJ203/AJ277</f>
        <v>1.41887757583283</v>
      </c>
      <c r="AK372" s="222">
        <f>AK203/AK277</f>
        <v>1.41741375113645</v>
      </c>
      <c r="AM372" s="222" t="e">
        <f>AM203/AM277</f>
        <v>#DIV/0!</v>
      </c>
      <c r="AN372" s="222" t="e">
        <f>AN203/AN277</f>
        <v>#DIV/0!</v>
      </c>
      <c r="AO372" s="222" t="e">
        <f>AO203/AO277</f>
        <v>#DIV/0!</v>
      </c>
      <c r="AP372" s="222" t="e">
        <f>AP203/AP277</f>
        <v>#DIV/0!</v>
      </c>
      <c r="AR372" s="222" t="e">
        <f>AR203/AR277</f>
        <v>#DIV/0!</v>
      </c>
      <c r="AS372" s="222" t="e">
        <f>AS203/AS277</f>
        <v>#DIV/0!</v>
      </c>
      <c r="AT372" s="222" t="e">
        <f>AT203/AT277</f>
        <v>#DIV/0!</v>
      </c>
      <c r="AU372" s="222" t="e">
        <f>AU203/AU277</f>
        <v>#DIV/0!</v>
      </c>
      <c r="AW372" s="222" t="e">
        <f>AW203/AW277</f>
        <v>#DIV/0!</v>
      </c>
      <c r="AX372" s="222" t="e">
        <f>AX203/AX277</f>
        <v>#DIV/0!</v>
      </c>
      <c r="AY372" s="222" t="e">
        <f>AY203/AY277</f>
        <v>#DIV/0!</v>
      </c>
      <c r="AZ372" s="222" t="e">
        <f>AZ203/AZ277</f>
        <v>#DIV/0!</v>
      </c>
      <c r="BB372" s="222" t="e">
        <f>BB203/BB277</f>
        <v>#DIV/0!</v>
      </c>
      <c r="BC372" s="222" t="e">
        <f>BC203/BC277</f>
        <v>#DIV/0!</v>
      </c>
      <c r="BD372" s="222" t="e">
        <f>BD203/BD277</f>
        <v>#DIV/0!</v>
      </c>
      <c r="BE372" s="222" t="e">
        <f>BE203/BE277</f>
        <v>#DIV/0!</v>
      </c>
      <c r="BG372" s="222" t="e">
        <f>BG203/BG277</f>
        <v>#DIV/0!</v>
      </c>
      <c r="BH372" s="222" t="e">
        <f>BH203/BH277</f>
        <v>#DIV/0!</v>
      </c>
      <c r="BI372" s="222" t="e">
        <f>BI203/BI277</f>
        <v>#DIV/0!</v>
      </c>
      <c r="BJ372" s="222" t="e">
        <f>BJ203/BJ277</f>
        <v>#DIV/0!</v>
      </c>
      <c r="BL372" s="222" t="e">
        <f>BL203/BL277</f>
        <v>#DIV/0!</v>
      </c>
      <c r="BM372" s="222" t="e">
        <f>BM203/BM277</f>
        <v>#DIV/0!</v>
      </c>
      <c r="BN372" s="222" t="e">
        <f>BN203/BN277</f>
        <v>#DIV/0!</v>
      </c>
      <c r="BO372" s="222" t="e">
        <f>BO203/BO277</f>
        <v>#DIV/0!</v>
      </c>
      <c r="BQ372" s="222" t="e">
        <f>BQ203/BQ277</f>
        <v>#DIV/0!</v>
      </c>
      <c r="BR372" s="222" t="e">
        <f>BR203/BR277</f>
        <v>#DIV/0!</v>
      </c>
      <c r="BS372" s="222" t="e">
        <f>BS203/BS277</f>
        <v>#DIV/0!</v>
      </c>
      <c r="BT372" s="222" t="e">
        <f>BT203/BT277</f>
        <v>#DIV/0!</v>
      </c>
      <c r="BV372" s="222" t="e">
        <f>BV203/BV277</f>
        <v>#DIV/0!</v>
      </c>
      <c r="BW372" s="222" t="e">
        <f>BW203/BW277</f>
        <v>#DIV/0!</v>
      </c>
      <c r="BX372" s="222" t="e">
        <f>BX203/BX277</f>
        <v>#DIV/0!</v>
      </c>
      <c r="BY372" s="222" t="e">
        <f>BY203/BY277</f>
        <v>#DIV/0!</v>
      </c>
      <c r="CA372" s="222" t="e">
        <f>CA203/CA277</f>
        <v>#DIV/0!</v>
      </c>
      <c r="CB372" s="222" t="e">
        <f>CB203/CB277</f>
        <v>#DIV/0!</v>
      </c>
      <c r="CC372" s="222" t="e">
        <f>CC203/CC277</f>
        <v>#DIV/0!</v>
      </c>
      <c r="CD372" s="222" t="e">
        <f>CD203/CD277</f>
        <v>#DIV/0!</v>
      </c>
      <c r="CF372" s="222" t="e">
        <f>CF203/CF277</f>
        <v>#DIV/0!</v>
      </c>
      <c r="CG372" s="222" t="e">
        <f>CG203/CG277</f>
        <v>#DIV/0!</v>
      </c>
      <c r="CH372" s="222" t="e">
        <f>CH203/CH277</f>
        <v>#DIV/0!</v>
      </c>
      <c r="CI372" s="222" t="e">
        <f>CI203/CI277</f>
        <v>#DIV/0!</v>
      </c>
      <c r="CK372" s="222" t="e">
        <f>CK203/CK277</f>
        <v>#DIV/0!</v>
      </c>
      <c r="CL372" s="222" t="e">
        <f>CL203/CL277</f>
        <v>#DIV/0!</v>
      </c>
      <c r="CM372" s="222" t="e">
        <f>CM203/CM277</f>
        <v>#DIV/0!</v>
      </c>
      <c r="CN372" s="222" t="e">
        <f>CN203/CN277</f>
        <v>#DIV/0!</v>
      </c>
      <c r="CP372" s="222" t="e">
        <f>CP203/CP277</f>
        <v>#DIV/0!</v>
      </c>
      <c r="CQ372" s="222" t="e">
        <f>CQ203/CQ277</f>
        <v>#DIV/0!</v>
      </c>
      <c r="CR372" s="222" t="e">
        <f>CR203/CR277</f>
        <v>#DIV/0!</v>
      </c>
      <c r="CS372" s="222" t="e">
        <f>CS203/CS277</f>
        <v>#DIV/0!</v>
      </c>
      <c r="CU372" s="222" t="e">
        <f>CU203/CU277</f>
        <v>#DIV/0!</v>
      </c>
      <c r="CV372" s="222" t="e">
        <f>CV203/CV277</f>
        <v>#DIV/0!</v>
      </c>
      <c r="CW372" s="222" t="e">
        <f>CW203/CW277</f>
        <v>#DIV/0!</v>
      </c>
      <c r="CX372" s="222" t="e">
        <f>CX203/CX277</f>
        <v>#DIV/0!</v>
      </c>
    </row>
    <row r="373" customFormat="1" s="233">
      <c r="A373" s="224" t="n"/>
      <c r="B373" s="224" t="n"/>
      <c r="C373" s="233" t="inlineStr">
        <is>
          <t>ROE - DUPONT</t>
        </is>
      </c>
      <c r="D373" s="238">
        <f>PRODUCT(D370:D372)</f>
        <v>0.000628771393494387</v>
      </c>
      <c r="E373" s="238">
        <f>PRODUCT(E370:E372)</f>
        <v>0.000133497551713927</v>
      </c>
      <c r="F373" s="238">
        <f>PRODUCT(F370:F372)</f>
        <v>0.00345593089920717</v>
      </c>
      <c r="G373" s="238">
        <f>PRODUCT(G370:G372)</f>
        <v>0.013538455729909</v>
      </c>
      <c r="I373" s="222">
        <f>PRODUCT(I370:I372)</f>
        <v>5.982588991997e-05</v>
      </c>
      <c r="J373" s="222">
        <f>PRODUCT(J370:J372)</f>
        <v>0.0146531561423973</v>
      </c>
      <c r="K373" s="222">
        <f>PRODUCT(K370:K372)</f>
        <v>0.0164312362375342</v>
      </c>
      <c r="L373" s="222">
        <f>PRODUCT(L370:L372)</f>
        <v>0.0211200305472888</v>
      </c>
      <c r="N373" s="222">
        <f>PRODUCT(N370:N372)</f>
        <v>0.00434837828981911</v>
      </c>
      <c r="O373" s="222">
        <f>PRODUCT(O370:O372)</f>
        <v>0.0111234904564174</v>
      </c>
      <c r="P373" s="222">
        <f>PRODUCT(P370:P372)</f>
        <v>0.00745644204864656</v>
      </c>
      <c r="Q373" s="222">
        <f>PRODUCT(Q370:Q372)</f>
        <v>0.0233060539024717</v>
      </c>
      <c r="S373" s="222">
        <f>PRODUCT(S370:S372)</f>
        <v>0.00224506577951899</v>
      </c>
      <c r="T373" s="222">
        <f>PRODUCT(T370:T372)</f>
        <v>0.0119797542876066</v>
      </c>
      <c r="U373" s="222">
        <f>PRODUCT(U370:U372)</f>
        <v>0.0068262283265687</v>
      </c>
      <c r="V373" s="222">
        <f>PRODUCT(V370:V372)</f>
        <v>0.0155996859077885</v>
      </c>
      <c r="X373" s="222">
        <f>PRODUCT(X370:X372)</f>
        <v>0.00146411442622477</v>
      </c>
      <c r="Y373" s="222">
        <f>PRODUCT(Y370:Y372)</f>
        <v>0.0311907039796564</v>
      </c>
      <c r="Z373" s="222">
        <f>PRODUCT(Z370:Z372)</f>
        <v>0.00893973536491953</v>
      </c>
      <c r="AA373" s="222">
        <f>PRODUCT(AA370:AA372)</f>
        <v>0.039323465506941</v>
      </c>
      <c r="AC373" s="222">
        <f>PRODUCT(AC370:AC372)</f>
        <v>0.00943367877569353</v>
      </c>
      <c r="AD373" s="222">
        <f>PRODUCT(AD370:AD372)</f>
        <v>0.0108584283698746</v>
      </c>
      <c r="AE373" s="222">
        <f>PRODUCT(AE370:AE372)</f>
        <v>0.0158508229088905</v>
      </c>
      <c r="AF373" s="222">
        <f>PRODUCT(AF370:AF372)</f>
        <v>0.0100425561452076</v>
      </c>
      <c r="AH373" s="222">
        <f>PRODUCT(AH370:AH372)</f>
        <v>0.00361739253732027</v>
      </c>
      <c r="AI373" s="222">
        <f>PRODUCT(AI370:AI372)</f>
        <v>0.0086705101551903</v>
      </c>
      <c r="AJ373" s="222">
        <f>PRODUCT(AJ370:AJ372)</f>
        <v>3.01779770115079e-05</v>
      </c>
      <c r="AK373" s="222">
        <f>PRODUCT(AK370:AK372)</f>
        <v>3.67700045298463e-05</v>
      </c>
      <c r="AM373" s="222" t="e">
        <f>PRODUCT(AM370:AM372)</f>
        <v>#DIV/0!</v>
      </c>
      <c r="AN373" s="222" t="e">
        <f>PRODUCT(AN370:AN372)</f>
        <v>#DIV/0!</v>
      </c>
      <c r="AO373" s="222" t="e">
        <f>PRODUCT(AO370:AO372)</f>
        <v>#DIV/0!</v>
      </c>
      <c r="AP373" s="222" t="e">
        <f>PRODUCT(AP370:AP372)</f>
        <v>#DIV/0!</v>
      </c>
      <c r="AR373" s="222" t="e">
        <f>PRODUCT(AR370:AR372)</f>
        <v>#DIV/0!</v>
      </c>
      <c r="AS373" s="222" t="e">
        <f>PRODUCT(AS370:AS372)</f>
        <v>#DIV/0!</v>
      </c>
      <c r="AT373" s="222" t="e">
        <f>PRODUCT(AT370:AT372)</f>
        <v>#DIV/0!</v>
      </c>
      <c r="AU373" s="222" t="e">
        <f>PRODUCT(AU370:AU372)</f>
        <v>#DIV/0!</v>
      </c>
      <c r="AW373" s="222" t="e">
        <f>PRODUCT(AW370:AW372)</f>
        <v>#DIV/0!</v>
      </c>
      <c r="AX373" s="222" t="e">
        <f>PRODUCT(AX370:AX372)</f>
        <v>#DIV/0!</v>
      </c>
      <c r="AY373" s="222" t="e">
        <f>PRODUCT(AY370:AY372)</f>
        <v>#DIV/0!</v>
      </c>
      <c r="AZ373" s="222" t="e">
        <f>PRODUCT(AZ370:AZ372)</f>
        <v>#DIV/0!</v>
      </c>
      <c r="BB373" s="222" t="e">
        <f>PRODUCT(BB370:BB372)</f>
        <v>#DIV/0!</v>
      </c>
      <c r="BC373" s="222" t="e">
        <f>PRODUCT(BC370:BC372)</f>
        <v>#DIV/0!</v>
      </c>
      <c r="BD373" s="222" t="e">
        <f>PRODUCT(BD370:BD372)</f>
        <v>#DIV/0!</v>
      </c>
      <c r="BE373" s="222" t="e">
        <f>PRODUCT(BE370:BE372)</f>
        <v>#DIV/0!</v>
      </c>
      <c r="BG373" s="222" t="e">
        <f>PRODUCT(BG370:BG372)</f>
        <v>#DIV/0!</v>
      </c>
      <c r="BH373" s="222" t="e">
        <f>PRODUCT(BH370:BH372)</f>
        <v>#DIV/0!</v>
      </c>
      <c r="BI373" s="222" t="e">
        <f>PRODUCT(BI370:BI372)</f>
        <v>#DIV/0!</v>
      </c>
      <c r="BJ373" s="222" t="e">
        <f>PRODUCT(BJ370:BJ372)</f>
        <v>#DIV/0!</v>
      </c>
      <c r="BL373" s="222" t="e">
        <f>PRODUCT(BL370:BL372)</f>
        <v>#DIV/0!</v>
      </c>
      <c r="BM373" s="222" t="e">
        <f>PRODUCT(BM370:BM372)</f>
        <v>#DIV/0!</v>
      </c>
      <c r="BN373" s="222" t="e">
        <f>PRODUCT(BN370:BN372)</f>
        <v>#DIV/0!</v>
      </c>
      <c r="BO373" s="222" t="e">
        <f>PRODUCT(BO370:BO372)</f>
        <v>#DIV/0!</v>
      </c>
      <c r="BQ373" s="222" t="e">
        <f>PRODUCT(BQ370:BQ372)</f>
        <v>#DIV/0!</v>
      </c>
      <c r="BR373" s="222" t="e">
        <f>PRODUCT(BR370:BR372)</f>
        <v>#DIV/0!</v>
      </c>
      <c r="BS373" s="222" t="e">
        <f>PRODUCT(BS370:BS372)</f>
        <v>#DIV/0!</v>
      </c>
      <c r="BT373" s="222" t="e">
        <f>PRODUCT(BT370:BT372)</f>
        <v>#DIV/0!</v>
      </c>
      <c r="BV373" s="222" t="e">
        <f>PRODUCT(BV370:BV372)</f>
        <v>#DIV/0!</v>
      </c>
      <c r="BW373" s="222" t="e">
        <f>PRODUCT(BW370:BW372)</f>
        <v>#DIV/0!</v>
      </c>
      <c r="BX373" s="222" t="e">
        <f>PRODUCT(BX370:BX372)</f>
        <v>#DIV/0!</v>
      </c>
      <c r="BY373" s="222" t="e">
        <f>PRODUCT(BY370:BY372)</f>
        <v>#DIV/0!</v>
      </c>
      <c r="CA373" s="222" t="e">
        <f>PRODUCT(CA370:CA372)</f>
        <v>#DIV/0!</v>
      </c>
      <c r="CB373" s="222" t="e">
        <f>PRODUCT(CB370:CB372)</f>
        <v>#DIV/0!</v>
      </c>
      <c r="CC373" s="222" t="e">
        <f>PRODUCT(CC370:CC372)</f>
        <v>#DIV/0!</v>
      </c>
      <c r="CD373" s="222" t="e">
        <f>PRODUCT(CD370:CD372)</f>
        <v>#DIV/0!</v>
      </c>
      <c r="CF373" s="222" t="e">
        <f>PRODUCT(CF370:CF372)</f>
        <v>#DIV/0!</v>
      </c>
      <c r="CG373" s="222" t="e">
        <f>PRODUCT(CG370:CG372)</f>
        <v>#DIV/0!</v>
      </c>
      <c r="CH373" s="222" t="e">
        <f>PRODUCT(CH370:CH372)</f>
        <v>#DIV/0!</v>
      </c>
      <c r="CI373" s="222" t="e">
        <f>PRODUCT(CI370:CI372)</f>
        <v>#DIV/0!</v>
      </c>
      <c r="CK373" s="222" t="e">
        <f>PRODUCT(CK370:CK372)</f>
        <v>#DIV/0!</v>
      </c>
      <c r="CL373" s="222" t="e">
        <f>PRODUCT(CL370:CL372)</f>
        <v>#DIV/0!</v>
      </c>
      <c r="CM373" s="222" t="e">
        <f>PRODUCT(CM370:CM372)</f>
        <v>#DIV/0!</v>
      </c>
      <c r="CN373" s="222" t="e">
        <f>PRODUCT(CN370:CN372)</f>
        <v>#DIV/0!</v>
      </c>
      <c r="CP373" s="222" t="e">
        <f>PRODUCT(CP370:CP372)</f>
        <v>#DIV/0!</v>
      </c>
      <c r="CQ373" s="222" t="e">
        <f>PRODUCT(CQ370:CQ372)</f>
        <v>#DIV/0!</v>
      </c>
      <c r="CR373" s="222" t="e">
        <f>PRODUCT(CR370:CR372)</f>
        <v>#DIV/0!</v>
      </c>
      <c r="CS373" s="222" t="e">
        <f>PRODUCT(CS370:CS372)</f>
        <v>#DIV/0!</v>
      </c>
      <c r="CU373" s="222" t="e">
        <f>PRODUCT(CU370:CU372)</f>
        <v>#DIV/0!</v>
      </c>
      <c r="CV373" s="222" t="e">
        <f>PRODUCT(CV370:CV372)</f>
        <v>#DIV/0!</v>
      </c>
      <c r="CW373" s="222" t="e">
        <f>PRODUCT(CW370:CW372)</f>
        <v>#DIV/0!</v>
      </c>
      <c r="CX373" s="222" t="e">
        <f>PRODUCT(CX370:CX372)</f>
        <v>#DIV/0!</v>
      </c>
    </row>
    <row r="374" customFormat="1" s="233">
      <c r="A374" s="224" t="n"/>
      <c r="B374" s="224" t="n"/>
      <c r="C374" s="233" t="inlineStr">
        <is>
          <t>ROE</t>
        </is>
      </c>
      <c r="D374" s="238">
        <f>D143/D277</f>
        <v>0.0108145849706197</v>
      </c>
      <c r="E374" s="238">
        <f>E143/E277</f>
        <v>-0.00412564629268817</v>
      </c>
      <c r="F374" s="238">
        <f>F143/F277</f>
        <v>0.0274133973872069</v>
      </c>
      <c r="G374" s="238">
        <f>G143/G277</f>
        <v>0.0729937560810757</v>
      </c>
      <c r="I374" s="222">
        <f>I143/I277</f>
        <v>0.00332899420897414</v>
      </c>
      <c r="J374" s="222">
        <f>J143/J277</f>
        <v>0.0649593007218395</v>
      </c>
      <c r="K374" s="222">
        <f>K143/K277</f>
        <v>0.0642357404157409</v>
      </c>
      <c r="L374" s="222">
        <f>L143/L277</f>
        <v>0.0912801645889414</v>
      </c>
      <c r="N374" s="222">
        <f>N143/N277</f>
        <v>0.0319510684397958</v>
      </c>
      <c r="O374" s="222">
        <f>O143/O277</f>
        <v>0.058631535746157</v>
      </c>
      <c r="P374" s="222">
        <f>P143/P277</f>
        <v>0.0429996829058615</v>
      </c>
      <c r="Q374" s="222">
        <f>Q143/Q277</f>
        <v>0.0951495168467023</v>
      </c>
      <c r="S374" s="222">
        <f>S143/S277</f>
        <v>0.0227949989834867</v>
      </c>
      <c r="T374" s="222">
        <f>T143/T277</f>
        <v>0.0609866575167915</v>
      </c>
      <c r="U374" s="222">
        <f>U143/U277</f>
        <v>0.04078591384643</v>
      </c>
      <c r="V374" s="222">
        <f>V143/V277</f>
        <v>0.0777980491795962</v>
      </c>
      <c r="X374" s="222">
        <f>X143/X277</f>
        <v>0.018177775237641</v>
      </c>
      <c r="Y374" s="222">
        <f>Y143/Y277</f>
        <v>0.0970376549728666</v>
      </c>
      <c r="Z374" s="222">
        <f>Z143/Z277</f>
        <v>0.0469572456590499</v>
      </c>
      <c r="AA374" s="222">
        <f>AA143/AA277</f>
        <v>0.119930227525513</v>
      </c>
      <c r="AC374" s="222">
        <f>AC143/AC277</f>
        <v>0.0440431848746951</v>
      </c>
      <c r="AD374" s="222">
        <f>AD143/AD277</f>
        <v>0.0546927876439899</v>
      </c>
      <c r="AE374" s="222">
        <f>AE143/AE277</f>
        <v>0.059897296446584</v>
      </c>
      <c r="AF374" s="222">
        <f>AF143/AF277</f>
        <v>0.0601879012185157</v>
      </c>
      <c r="AH374" s="222">
        <f>AH143/AH277</f>
        <v>0.0266625128194339</v>
      </c>
      <c r="AI374" s="222">
        <f>AI143/AI277</f>
        <v>0.0476291713208917</v>
      </c>
      <c r="AJ374" s="222">
        <f>AJ143/AJ277</f>
        <v>0.00250635445601866</v>
      </c>
      <c r="AK374" s="222">
        <f>AK143/AK277</f>
        <v>0.00349463609617452</v>
      </c>
      <c r="AM374" s="222">
        <f>AM143/AM277</f>
        <v>0.00348246614428301</v>
      </c>
      <c r="AN374" s="222">
        <f>AN143/AN277</f>
        <v>0.0118017825433533</v>
      </c>
      <c r="AO374" s="222">
        <f>AO143/AO277</f>
        <v>0.00342956444678404</v>
      </c>
      <c r="AP374" s="222">
        <f>AP143/AP277</f>
        <v>0.0116245872238257</v>
      </c>
      <c r="AR374" s="222">
        <f>AR143/AR277</f>
        <v>0.01149100898756</v>
      </c>
      <c r="AS374" s="222">
        <f>AS143/AS277</f>
        <v>0.0288277999500012</v>
      </c>
      <c r="AT374" s="222">
        <f>AT143/AT277</f>
        <v>0.0110365829890153</v>
      </c>
      <c r="AU374" s="222">
        <f>AU143/AU277</f>
        <v>0.0277193702881746</v>
      </c>
      <c r="AW374" s="222">
        <f>AW143/AW277</f>
        <v>0.0269717308922591</v>
      </c>
      <c r="AX374" s="222">
        <f>AX143/AX277</f>
        <v>0.0696167844971395</v>
      </c>
      <c r="AY374" s="222">
        <f>AY143/AY277</f>
        <v>0.02447974975575</v>
      </c>
      <c r="AZ374" s="222">
        <f>AZ143/AZ277</f>
        <v>0.063593766112312</v>
      </c>
      <c r="BB374" s="222">
        <f>BB143/BB277</f>
        <v>0.0597914054580842</v>
      </c>
      <c r="BC374" s="222">
        <f>BC143/BC277</f>
        <v>0.139923739132518</v>
      </c>
      <c r="BD374" s="222">
        <f>BD143/BD277</f>
        <v>0.0489099652377338</v>
      </c>
      <c r="BE374" s="222">
        <f>BE143/BE277</f>
        <v>0.117449840465136</v>
      </c>
      <c r="BG374" s="222">
        <f>BG143/BG277</f>
        <v>0.105105246080887</v>
      </c>
      <c r="BH374" s="222">
        <f>BH143/BH277</f>
        <v>0.223281453012803</v>
      </c>
      <c r="BI374" s="222">
        <f>BI143/BI277</f>
        <v>0.0754755794903067</v>
      </c>
      <c r="BJ374" s="222">
        <f>BJ143/BJ277</f>
        <v>0.171107565610378</v>
      </c>
      <c r="BL374" s="222">
        <f>BL143/BL277</f>
        <v>0.146107471794188</v>
      </c>
      <c r="BM374" s="222">
        <f>BM143/BM277</f>
        <v>0.285232286274074</v>
      </c>
      <c r="BN374" s="222">
        <f>BN143/BN277</f>
        <v>0.0945579430264966</v>
      </c>
      <c r="BO374" s="222">
        <f>BO143/BO277</f>
        <v>0.205252522951621</v>
      </c>
      <c r="BQ374" s="222">
        <f>BQ143/BQ277</f>
        <v>0.17029835577441</v>
      </c>
      <c r="BR374" s="222">
        <f>BR143/BR277</f>
        <v>0.317546057448216</v>
      </c>
      <c r="BS374" s="222">
        <f>BS143/BS277</f>
        <v>0.104119889131386</v>
      </c>
      <c r="BT374" s="222">
        <f>BT143/BT277</f>
        <v>0.221476775860698</v>
      </c>
      <c r="BV374" s="222">
        <f>BV143/BV277</f>
        <v>0.181318859463895</v>
      </c>
      <c r="BW374" s="222">
        <f>BW143/BW277</f>
        <v>0.331265561426192</v>
      </c>
      <c r="BX374" s="222">
        <f>BX143/BX277</f>
        <v>0.108141552020188</v>
      </c>
      <c r="BY374" s="222">
        <f>BY143/BY277</f>
        <v>0.228062693568159</v>
      </c>
      <c r="CA374" s="222">
        <f>CA143/CA277</f>
        <v>0.185709324745888</v>
      </c>
      <c r="CB374" s="222">
        <f>CB143/CB277</f>
        <v>0.336592950753229</v>
      </c>
      <c r="CC374" s="222">
        <f>CC143/CC277</f>
        <v>0.109687303378503</v>
      </c>
      <c r="CD374" s="222">
        <f>CD143/CD277</f>
        <v>0.230575677730102</v>
      </c>
      <c r="CF374" s="222">
        <f>CF143/CF277</f>
        <v>0.187372204654181</v>
      </c>
      <c r="CG374" s="222">
        <f>CG143/CG277</f>
        <v>0.338584797473301</v>
      </c>
      <c r="CH374" s="222">
        <f>CH143/CH277</f>
        <v>0.110265526994055</v>
      </c>
      <c r="CI374" s="222">
        <f>CI143/CI277</f>
        <v>0.231508499699073</v>
      </c>
      <c r="CK374" s="222">
        <f>CK143/CK277</f>
        <v>0.187987740040482</v>
      </c>
      <c r="CL374" s="222">
        <f>CL143/CL277</f>
        <v>0.339320091011687</v>
      </c>
      <c r="CM374" s="222">
        <f>CM143/CM277</f>
        <v>0.110478343342358</v>
      </c>
      <c r="CN374" s="222">
        <f>CN143/CN277</f>
        <v>0.231852064978885</v>
      </c>
      <c r="CP374" s="222">
        <f>CP143/CP277</f>
        <v>0.188214211406026</v>
      </c>
      <c r="CQ374" s="222">
        <f>CQ143/CQ277</f>
        <v>0.339589940428599</v>
      </c>
      <c r="CR374" s="222">
        <f>CR143/CR277</f>
        <v>0.110556540004181</v>
      </c>
      <c r="CS374" s="222">
        <f>CS143/CS277</f>
        <v>0.231978009706091</v>
      </c>
      <c r="CU374" s="222">
        <f>CU143/CU277</f>
        <v>0.188297200013687</v>
      </c>
      <c r="CV374" s="222">
        <f>CV143/CV277</f>
        <v>0.339688842457372</v>
      </c>
      <c r="CW374" s="222">
        <f>CW143/CW277</f>
        <v>0.110585164228319</v>
      </c>
      <c r="CX374" s="222">
        <f>CX143/CX277</f>
        <v>0.232024160020181</v>
      </c>
    </row>
    <row r="376">
      <c r="C376" s="53" t="inlineStr">
        <is>
          <t>Scenario Analysis</t>
        </is>
      </c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  <c r="AJ376" s="53" t="n"/>
      <c r="AK376" s="53" t="n"/>
      <c r="AL376" s="53" t="n"/>
      <c r="AM376" s="53" t="n"/>
      <c r="AN376" s="53" t="n"/>
      <c r="AO376" s="53" t="n"/>
      <c r="AP376" s="53" t="n"/>
      <c r="AQ376" s="53" t="n"/>
      <c r="AR376" s="53" t="n"/>
      <c r="AS376" s="53" t="n"/>
      <c r="AT376" s="53" t="n"/>
      <c r="AU376" s="53" t="n"/>
      <c r="AV376" s="53" t="n"/>
      <c r="AW376" s="53" t="n"/>
      <c r="AX376" s="53" t="n"/>
      <c r="AY376" s="53" t="n"/>
      <c r="AZ376" s="53" t="n"/>
      <c r="BA376" s="53" t="n"/>
      <c r="BB376" s="53" t="n"/>
      <c r="BC376" s="53" t="n"/>
      <c r="BD376" s="53" t="n"/>
      <c r="BE376" s="53" t="n"/>
      <c r="BF376" s="53" t="n"/>
      <c r="BG376" s="53" t="n"/>
      <c r="BH376" s="53" t="n"/>
      <c r="BI376" s="53" t="n"/>
      <c r="BJ376" s="53" t="n"/>
      <c r="BK376" s="53" t="n"/>
      <c r="BL376" s="53" t="n"/>
      <c r="BM376" s="53" t="n"/>
      <c r="BN376" s="53" t="n"/>
      <c r="BO376" s="53" t="n"/>
      <c r="BP376" s="53" t="n"/>
      <c r="BQ376" s="53" t="n"/>
      <c r="BR376" s="53" t="n"/>
      <c r="BS376" s="53" t="n"/>
      <c r="BT376" s="53" t="n"/>
      <c r="BU376" s="53" t="n"/>
      <c r="BV376" s="53" t="n"/>
      <c r="BW376" s="53" t="n"/>
      <c r="BX376" s="53" t="n"/>
      <c r="BY376" s="53" t="n"/>
      <c r="BZ376" s="53" t="n"/>
      <c r="CA376" s="53" t="n"/>
      <c r="CB376" s="53" t="n"/>
      <c r="CC376" s="53" t="n"/>
      <c r="CD376" s="53" t="n"/>
      <c r="CE376" s="53" t="n"/>
      <c r="CF376" s="53" t="n"/>
      <c r="CG376" s="53" t="n"/>
      <c r="CH376" s="53" t="n"/>
      <c r="CI376" s="53" t="n"/>
      <c r="CJ376" s="53" t="n"/>
      <c r="CK376" s="53" t="n"/>
      <c r="CL376" s="53" t="n"/>
      <c r="CM376" s="53" t="n"/>
      <c r="CN376" s="53" t="n"/>
      <c r="CO376" s="53" t="n"/>
      <c r="CP376" s="53" t="n"/>
      <c r="CQ376" s="53" t="n"/>
      <c r="CR376" s="53" t="n"/>
      <c r="CS376" s="53" t="n"/>
      <c r="CT376" s="53" t="n"/>
      <c r="CU376" s="53" t="n"/>
      <c r="CV376" s="53" t="n"/>
      <c r="CW376" s="53" t="n"/>
      <c r="CX376" s="53" t="n"/>
      <c r="CY376" s="53" t="n"/>
    </row>
    <row r="379">
      <c r="C379" s="4" t="inlineStr">
        <is>
          <t>Bull case</t>
        </is>
      </c>
    </row>
    <row r="380">
      <c r="C380" s="4" t="inlineStr">
        <is>
          <t>Base case</t>
        </is>
      </c>
    </row>
    <row r="381">
      <c r="C381" s="4" t="inlineStr">
        <is>
          <t>Bear case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% Gross Margin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  <row r="395">
      <c r="C395" s="4" t="inlineStr">
        <is>
          <t>Capital expenditures</t>
        </is>
      </c>
    </row>
    <row r="396">
      <c r="C396" s="4" t="inlineStr">
        <is>
          <t>Bull case</t>
        </is>
      </c>
    </row>
    <row r="397">
      <c r="C397" s="4" t="inlineStr">
        <is>
          <t>Base case</t>
        </is>
      </c>
    </row>
    <row r="398">
      <c r="C39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21:G32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21:L32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21:Q321">
    <cfRule type="cellIs" priority="44" operator="notEqual" dxfId="0">
      <formula>0</formula>
    </cfRule>
  </conditionalFormatting>
  <conditionalFormatting sqref="S321:V321">
    <cfRule type="cellIs" priority="43" operator="notEqual" dxfId="0">
      <formula>0</formula>
    </cfRule>
  </conditionalFormatting>
  <conditionalFormatting sqref="X321:AA321">
    <cfRule type="cellIs" priority="42" operator="notEqual" dxfId="0">
      <formula>0</formula>
    </cfRule>
  </conditionalFormatting>
  <conditionalFormatting sqref="AC321:AF321">
    <cfRule type="cellIs" priority="41" operator="notEqual" dxfId="0">
      <formula>0</formula>
    </cfRule>
  </conditionalFormatting>
  <conditionalFormatting sqref="AH321:AK321">
    <cfRule type="cellIs" priority="14" operator="notEqual" dxfId="0">
      <formula>0</formula>
    </cfRule>
  </conditionalFormatting>
  <conditionalFormatting sqref="AM321:AP321">
    <cfRule type="cellIs" priority="13" operator="notEqual" dxfId="0">
      <formula>0</formula>
    </cfRule>
  </conditionalFormatting>
  <conditionalFormatting sqref="AR321:AU321">
    <cfRule type="cellIs" priority="12" operator="notEqual" dxfId="0">
      <formula>0</formula>
    </cfRule>
  </conditionalFormatting>
  <conditionalFormatting sqref="AW321:AZ321">
    <cfRule type="cellIs" priority="11" operator="notEqual" dxfId="0">
      <formula>0</formula>
    </cfRule>
  </conditionalFormatting>
  <conditionalFormatting sqref="BB321:BE321">
    <cfRule type="cellIs" priority="10" operator="notEqual" dxfId="0">
      <formula>0</formula>
    </cfRule>
  </conditionalFormatting>
  <conditionalFormatting sqref="BG321:BJ321">
    <cfRule type="cellIs" priority="9" operator="notEqual" dxfId="0">
      <formula>0</formula>
    </cfRule>
  </conditionalFormatting>
  <conditionalFormatting sqref="BL321:BO321">
    <cfRule type="cellIs" priority="8" operator="notEqual" dxfId="0">
      <formula>0</formula>
    </cfRule>
  </conditionalFormatting>
  <conditionalFormatting sqref="BQ321:BT321">
    <cfRule type="cellIs" priority="7" operator="notEqual" dxfId="0">
      <formula>0</formula>
    </cfRule>
  </conditionalFormatting>
  <conditionalFormatting sqref="BV321:BY321">
    <cfRule type="cellIs" priority="6" operator="notEqual" dxfId="0">
      <formula>0</formula>
    </cfRule>
  </conditionalFormatting>
  <conditionalFormatting sqref="CA321:CD321">
    <cfRule type="cellIs" priority="5" operator="notEqual" dxfId="0">
      <formula>0</formula>
    </cfRule>
  </conditionalFormatting>
  <conditionalFormatting sqref="CF321:CI321">
    <cfRule type="cellIs" priority="4" operator="notEqual" dxfId="0">
      <formula>0</formula>
    </cfRule>
  </conditionalFormatting>
  <conditionalFormatting sqref="CK321:CN321">
    <cfRule type="cellIs" priority="3" operator="notEqual" dxfId="0">
      <formula>0</formula>
    </cfRule>
  </conditionalFormatting>
  <conditionalFormatting sqref="CP321:CS321">
    <cfRule type="cellIs" priority="2" operator="notEqual" dxfId="0">
      <formula>0</formula>
    </cfRule>
  </conditionalFormatting>
  <conditionalFormatting sqref="CU321:CX32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2186.97470927</v>
      </c>
      <c r="E18" s="83">
        <f>Model!AB15</f>
        <v>2577.11311736</v>
      </c>
      <c r="F18" s="83">
        <f>Model!AG15</f>
        <v>3026.58196381</v>
      </c>
      <c r="G18" s="83">
        <f>Model!AL15</f>
        <v>3157.1231421</v>
      </c>
      <c r="H18" s="83">
        <f>Model!AQ15</f>
        <v>3157.1231421</v>
      </c>
      <c r="I18" s="83">
        <f>Model!AV15</f>
        <v>3157.1231421</v>
      </c>
      <c r="J18" s="83">
        <f>Model!BA15</f>
        <v>3157.1231421</v>
      </c>
      <c r="K18" s="83">
        <f>Model!BF15</f>
        <v>3157.1231421</v>
      </c>
      <c r="L18" s="83">
        <f>Model!BK15</f>
        <v>3157.1231421</v>
      </c>
      <c r="M18" s="83">
        <f>Model!BP15</f>
        <v>3157.1231421</v>
      </c>
      <c r="N18" s="83">
        <f>Model!BU15</f>
        <v>3157.1231421</v>
      </c>
      <c r="O18" s="83">
        <f>Model!BZ15</f>
        <v>3157.1231421</v>
      </c>
      <c r="P18" s="83">
        <f>Model!CE15</f>
        <v>3157.1231421</v>
      </c>
      <c r="Q18" s="83">
        <f>Model!CJ15</f>
        <v>3157.1231421</v>
      </c>
      <c r="R18" s="83">
        <f>Model!CO15</f>
        <v>3157.1231421</v>
      </c>
      <c r="S18" s="83" t="n"/>
      <c r="T18" s="83" t="n"/>
      <c r="U18" s="83" t="n"/>
      <c r="V18" s="84" t="n"/>
      <c r="X18" s="85">
        <f>((L18/F18)^(1/6))-1</f>
        <v>0.00706270690556421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0.178391824302452</v>
      </c>
      <c r="F19" s="87">
        <f>F18/E18-1</f>
        <v>0.174407884319193</v>
      </c>
      <c r="G19" s="87">
        <f>G18/F18-1</f>
        <v>0.0431315523091498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Model!W75</f>
        <v>584.731030640864</v>
      </c>
      <c r="E20" s="83">
        <f>Model!AB75</f>
        <v>833.228111294284</v>
      </c>
      <c r="F20" s="83">
        <f>Model!AG75</f>
        <v>879.159600299999</v>
      </c>
      <c r="G20" s="83">
        <f>Model!AL75</f>
        <v>368.365104470001</v>
      </c>
      <c r="H20" s="83">
        <f>Model!AQ75</f>
        <v>0</v>
      </c>
      <c r="I20" s="83">
        <f>Model!BA75</f>
        <v>0</v>
      </c>
      <c r="J20" s="83">
        <f>Model!BA75</f>
        <v>0</v>
      </c>
      <c r="K20" s="83">
        <f>Model!BF75</f>
        <v>0</v>
      </c>
      <c r="L20" s="83">
        <f>Model!BK75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0.267369818298468</v>
      </c>
      <c r="E21" s="92">
        <f>E20/E18</f>
        <v>0.32331840837</v>
      </c>
      <c r="F21" s="92">
        <f>F20/F18</f>
        <v>0.29047936279686</v>
      </c>
      <c r="G21" s="92">
        <f>G20/G18</f>
        <v>0.116677458524782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Model!W79</f>
        <v>450.646108770864</v>
      </c>
      <c r="E22" s="83">
        <f>Model!AB79</f>
        <v>683.585832893173</v>
      </c>
      <c r="F22" s="83">
        <f>Model!AG79</f>
        <v>726.323608459999</v>
      </c>
      <c r="G22" s="83">
        <f>Model!AL79</f>
        <v>290.226735220001</v>
      </c>
      <c r="H22" s="83">
        <f>Model!AQ79</f>
        <v>0</v>
      </c>
      <c r="I22" s="83">
        <f>Model!AV79</f>
        <v>0</v>
      </c>
      <c r="J22" s="83">
        <f>Model!BA79</f>
        <v>0</v>
      </c>
      <c r="K22" s="83">
        <f>Model!BF79</f>
        <v>0</v>
      </c>
      <c r="L22" s="83">
        <f>Model!BK79</f>
        <v>0</v>
      </c>
      <c r="M22" s="83">
        <f>Model!BP79</f>
        <v>0</v>
      </c>
      <c r="N22" s="83">
        <f>Model!BU79</f>
        <v>0</v>
      </c>
      <c r="O22" s="83">
        <f>Model!BZ79</f>
        <v>0</v>
      </c>
      <c r="P22" s="83">
        <f>Model!CE79</f>
        <v>0</v>
      </c>
      <c r="Q22" s="83">
        <f>Model!CJ79</f>
        <v>0</v>
      </c>
      <c r="R22" s="83">
        <f>Model!CO79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0.206059131301654</v>
      </c>
      <c r="E23" s="92">
        <f>E22/E18</f>
        <v>0.265252552667707</v>
      </c>
      <c r="F23" s="92">
        <f>F22/F18</f>
        <v>0.239981476512095</v>
      </c>
      <c r="G23" s="92">
        <f>G22/G18</f>
        <v>0.0919275942549877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Model!W138</f>
        <v>0.0492013570583425</v>
      </c>
      <c r="E24" s="95">
        <f>Model!AB138</f>
        <v>-0.043362319868353</v>
      </c>
      <c r="F24" s="95">
        <f>Model!AG138</f>
        <v>-0.0539352539183394</v>
      </c>
      <c r="G24" s="95">
        <f>Model!AL138</f>
        <v>-0.0623518313852143</v>
      </c>
      <c r="H24" s="95">
        <f>Model!AQ138</f>
        <v>0</v>
      </c>
      <c r="I24" s="95">
        <f>Model!AV138</f>
        <v>0</v>
      </c>
      <c r="J24" s="95">
        <f>Model!BA138</f>
        <v>0</v>
      </c>
      <c r="K24" s="95">
        <f>Model!BF138</f>
        <v>0</v>
      </c>
      <c r="L24" s="95">
        <f>Model!BK138</f>
        <v>0</v>
      </c>
      <c r="M24" s="95">
        <f>Model!BP138</f>
        <v>0</v>
      </c>
      <c r="N24" s="95">
        <f>Model!BU138</f>
        <v>0</v>
      </c>
      <c r="O24" s="95">
        <f>Model!BZ138</f>
        <v>0</v>
      </c>
      <c r="P24" s="95">
        <f>Model!CE138</f>
        <v>0</v>
      </c>
      <c r="Q24" s="95">
        <f>Model!CJ138</f>
        <v>0</v>
      </c>
      <c r="R24" s="95">
        <f>Model!CO138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428.473708666276</v>
      </c>
      <c r="E25" s="97">
        <f>E22*(1-E24)</f>
        <v>713.227700436561</v>
      </c>
      <c r="F25" s="97">
        <f>F22*(1-F24)</f>
        <v>765.498056709174</v>
      </c>
      <c r="G25" s="97">
        <f>G22*(1-G24)</f>
        <v>308.322903677919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Model!W76</f>
        <v>-134.08492187</v>
      </c>
      <c r="E26" s="100">
        <f>Model!AB76</f>
        <v>-149.642278401111</v>
      </c>
      <c r="F26" s="100">
        <f>Model!AG76</f>
        <v>-152.83599184</v>
      </c>
      <c r="G26" s="100">
        <f>Model!AL76</f>
        <v>-78.1383692500001</v>
      </c>
      <c r="H26" s="100">
        <f>Model!AQ76</f>
        <v>0</v>
      </c>
      <c r="I26" s="100">
        <f>Model!AV76</f>
        <v>0</v>
      </c>
      <c r="J26" s="100">
        <f>Model!BA76</f>
        <v>0</v>
      </c>
      <c r="K26" s="100">
        <f>Model!BF76</f>
        <v>0</v>
      </c>
      <c r="L26" s="101">
        <f>Model!BK76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-356.939728832698</v>
      </c>
      <c r="E27" s="103">
        <f>SUM(E28:E39)</f>
        <v>-784.158521936699</v>
      </c>
      <c r="F27" s="103">
        <f>SUM(F28:F39)</f>
        <v>-287.12342485</v>
      </c>
      <c r="G27" s="103">
        <f>SUM(G28:G39)</f>
        <v>1985.20300105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Model!W286</f>
        <v>-167.03514061</v>
      </c>
      <c r="E28" s="106">
        <f>Model!AB286</f>
        <v>-124.37576619</v>
      </c>
      <c r="F28" s="106">
        <f>Model!AG286</f>
        <v>-34.3932876000001</v>
      </c>
      <c r="G28" s="106">
        <f>Model!AL286</f>
        <v>989.60140321</v>
      </c>
      <c r="H28" s="106">
        <f>Model!AQ286</f>
        <v>0</v>
      </c>
      <c r="I28" s="106">
        <f>Model!AV286</f>
        <v>0</v>
      </c>
      <c r="J28" s="106">
        <f>Model!BA286</f>
        <v>0</v>
      </c>
      <c r="K28" s="106">
        <f>Model!BF286</f>
        <v>0</v>
      </c>
      <c r="L28" s="107">
        <f>Model!BK286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Model!W287</f>
        <v>-72.9945873108883</v>
      </c>
      <c r="E29" s="106">
        <f>Model!AB287</f>
        <v>-549.871314318509</v>
      </c>
      <c r="F29" s="106">
        <f>Model!AG287</f>
        <v>-146.34867647</v>
      </c>
      <c r="G29" s="106">
        <f>Model!AL287</f>
        <v>1478.92640926</v>
      </c>
      <c r="H29" s="106">
        <f>Model!AQ287</f>
        <v>0</v>
      </c>
      <c r="I29" s="106">
        <f>Model!AV287</f>
        <v>0</v>
      </c>
      <c r="J29" s="106">
        <f>Model!BA287</f>
        <v>0</v>
      </c>
      <c r="K29" s="106">
        <f>Model!BF287</f>
        <v>0</v>
      </c>
      <c r="L29" s="107">
        <f>Model!BK287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Model!W288</f>
        <v>0</v>
      </c>
      <c r="E30" s="106">
        <f>Model!AB288</f>
        <v>0</v>
      </c>
      <c r="F30" s="106">
        <f>Model!AG288</f>
        <v>0</v>
      </c>
      <c r="G30" s="106">
        <f>Model!AL288</f>
        <v>0</v>
      </c>
      <c r="H30" s="106">
        <f>Model!AQ288</f>
        <v>0</v>
      </c>
      <c r="I30" s="106">
        <f>Model!AV288</f>
        <v>0</v>
      </c>
      <c r="J30" s="106">
        <f>Model!BA288</f>
        <v>0</v>
      </c>
      <c r="K30" s="106">
        <f>Model!BF288</f>
        <v>0</v>
      </c>
      <c r="L30" s="107">
        <f>Model!BK288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Model!W289</f>
        <v>-3.7336547</v>
      </c>
      <c r="E31" s="106">
        <f>Model!AB289</f>
        <v>-1.31708489000001</v>
      </c>
      <c r="F31" s="106">
        <f>Model!AG289</f>
        <v>-7.43897248</v>
      </c>
      <c r="G31" s="106">
        <f>Model!AL289</f>
        <v>-8.07927772999999</v>
      </c>
      <c r="H31" s="106">
        <f>Model!AQ289</f>
        <v>0</v>
      </c>
      <c r="I31" s="106">
        <f>Model!AV289</f>
        <v>0</v>
      </c>
      <c r="J31" s="106">
        <f>Model!BA289</f>
        <v>0</v>
      </c>
      <c r="K31" s="106">
        <f>Model!BF289</f>
        <v>0</v>
      </c>
      <c r="L31" s="107">
        <f>Model!BK289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Model!W290</f>
        <v>-62.48360941</v>
      </c>
      <c r="E32" s="106">
        <f>Model!AB290</f>
        <v>-71.5505024</v>
      </c>
      <c r="F32" s="106">
        <f>Model!AG290</f>
        <v>21.4303594100003</v>
      </c>
      <c r="G32" s="106">
        <f>Model!AL290</f>
        <v>24.84447691</v>
      </c>
      <c r="H32" s="106">
        <f>Model!AQ290</f>
        <v>0</v>
      </c>
      <c r="I32" s="106">
        <f>Model!AV290</f>
        <v>0</v>
      </c>
      <c r="J32" s="106">
        <f>Model!BA290</f>
        <v>0</v>
      </c>
      <c r="K32" s="106">
        <f>Model!BF290</f>
        <v>0</v>
      </c>
      <c r="L32" s="107">
        <f>Model!BK290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Model!W291</f>
        <v>37.22192441</v>
      </c>
      <c r="E33" s="106">
        <f>Model!AB291</f>
        <v>16.5528613100001</v>
      </c>
      <c r="F33" s="106">
        <f>Model!AG291</f>
        <v>30.7362226699998</v>
      </c>
      <c r="G33" s="106">
        <f>Model!AL291</f>
        <v>-189.47200839</v>
      </c>
      <c r="H33" s="106">
        <f>Model!AQ291</f>
        <v>0</v>
      </c>
      <c r="I33" s="106">
        <f>Model!AV291</f>
        <v>0</v>
      </c>
      <c r="J33" s="106">
        <f>Model!BA291</f>
        <v>0</v>
      </c>
      <c r="K33" s="106">
        <f>Model!BF291</f>
        <v>0</v>
      </c>
      <c r="L33" s="107">
        <f>Model!BK291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Model!W292</f>
        <v>25.52076958</v>
      </c>
      <c r="E34" s="106">
        <f>Model!AB292</f>
        <v>7.43398541000001</v>
      </c>
      <c r="F34" s="106">
        <f>Model!AG292</f>
        <v>18.32736646</v>
      </c>
      <c r="G34" s="106">
        <f>Model!AL292</f>
        <v>-143.62012145</v>
      </c>
      <c r="H34" s="106" t="e">
        <f>Model!AQ292</f>
        <v>#DIV/0!</v>
      </c>
      <c r="I34" s="106" t="e">
        <f>Model!AV292</f>
        <v>#DIV/0!</v>
      </c>
      <c r="J34" s="106" t="e">
        <f>Model!BA292</f>
        <v>#DIV/0!</v>
      </c>
      <c r="K34" s="106" t="e">
        <f>Model!BF292</f>
        <v>#DIV/0!</v>
      </c>
      <c r="L34" s="107" t="e">
        <f>Model!BK292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Model!W293</f>
        <v>-26.78917423</v>
      </c>
      <c r="E35" s="106">
        <f>Model!AB293</f>
        <v>21.90023224</v>
      </c>
      <c r="F35" s="106">
        <f>Model!AG293</f>
        <v>16.92820366</v>
      </c>
      <c r="G35" s="106">
        <f>Model!AL293</f>
        <v>-123.90926167</v>
      </c>
      <c r="H35" s="106" t="e">
        <f>Model!AQ293</f>
        <v>#DIV/0!</v>
      </c>
      <c r="I35" s="106" t="e">
        <f>Model!AV293</f>
        <v>#DIV/0!</v>
      </c>
      <c r="J35" s="106" t="e">
        <f>Model!BA293</f>
        <v>#DIV/0!</v>
      </c>
      <c r="K35" s="106" t="e">
        <f>Model!BF293</f>
        <v>#DIV/0!</v>
      </c>
      <c r="L35" s="107" t="e">
        <f>Model!BK293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Model!W294</f>
        <v>-58.7960207899999</v>
      </c>
      <c r="E36" s="106">
        <f>Model!AB294</f>
        <v>52.4088137899997</v>
      </c>
      <c r="F36" s="106">
        <f>Model!AG294</f>
        <v>-122.47872453</v>
      </c>
      <c r="G36" s="106">
        <f>Model!AL294</f>
        <v>20.18859411</v>
      </c>
      <c r="H36" s="106">
        <f>Model!AQ294</f>
        <v>0</v>
      </c>
      <c r="I36" s="106">
        <f>Model!AV294</f>
        <v>0</v>
      </c>
      <c r="J36" s="106">
        <f>Model!BA294</f>
        <v>0</v>
      </c>
      <c r="K36" s="106">
        <f>Model!BF294</f>
        <v>0</v>
      </c>
      <c r="L36" s="107">
        <f>Model!BK294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Model!W295</f>
        <v>0</v>
      </c>
      <c r="E37" s="106">
        <f>Model!AB295</f>
        <v>0</v>
      </c>
      <c r="F37" s="106">
        <f>Model!AG295</f>
        <v>0</v>
      </c>
      <c r="G37" s="106">
        <f>Model!AL295</f>
        <v>0</v>
      </c>
      <c r="H37" s="106">
        <f>Model!AQ295</f>
        <v>0</v>
      </c>
      <c r="I37" s="106">
        <f>Model!AV295</f>
        <v>0</v>
      </c>
      <c r="J37" s="106">
        <f>Model!BA295</f>
        <v>0</v>
      </c>
      <c r="K37" s="106">
        <f>Model!BF295</f>
        <v>0</v>
      </c>
      <c r="L37" s="107">
        <f>Model!BK295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(Model!W195-Model!R195)*-1</f>
        <v>-22.8224895318099</v>
      </c>
      <c r="E38" s="106">
        <f>(Model!AB195-Model!W195)*-1</f>
        <v>-139.46249821819</v>
      </c>
      <c r="F38" s="106">
        <f>(Model!AG195-Model!AB195)*-1</f>
        <v>-71.46435378</v>
      </c>
      <c r="G38" s="106">
        <f>(Model!AL195-Model!AG195)*-1</f>
        <v>-68.8230323299999</v>
      </c>
      <c r="H38" s="106">
        <f>(Model!AQ195-Model!AL195)*-1</f>
        <v>0</v>
      </c>
      <c r="I38" s="106">
        <f>(Model!AV195-Model!AQ195)*-1</f>
        <v>0</v>
      </c>
      <c r="J38" s="106">
        <f>(Model!BA195-Model!AV195)*-1</f>
        <v>0</v>
      </c>
      <c r="K38" s="106">
        <f>(Model!BF195-Model!BA195)*-1</f>
        <v>0</v>
      </c>
      <c r="L38" s="107">
        <f>(Model!BK195-Model!BF195)*-1</f>
        <v>0</v>
      </c>
      <c r="M38">
        <f>(Model!BP195-Model!BK195)*-1</f>
        <v>0</v>
      </c>
      <c r="N38">
        <f>(Model!BU195-Model!BP195)*-1</f>
        <v>0</v>
      </c>
      <c r="O38">
        <f>(Model!BZ195-Model!BU195)*-1</f>
        <v>0</v>
      </c>
      <c r="P38">
        <f>(Model!CE195-Model!BZ195)*-1</f>
        <v>0</v>
      </c>
      <c r="Q38">
        <f>(Model!CJ195-Model!CE195)*-1</f>
        <v>0</v>
      </c>
      <c r="R38">
        <f>(Model!CO195-Model!CJ195)*-1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Model!W246-Model!R246</f>
        <v>-5.02774624</v>
      </c>
      <c r="E39" s="106">
        <f>Model!AB246-Model!W246</f>
        <v>4.12275133</v>
      </c>
      <c r="F39" s="106">
        <f>Model!AG246-Model!AB246</f>
        <v>7.57843781</v>
      </c>
      <c r="G39" s="106">
        <f>Model!AL246-Model!AG246</f>
        <v>5.54581913</v>
      </c>
      <c r="H39" s="106">
        <f>Model!AQ246-Model!AL246</f>
        <v>0</v>
      </c>
      <c r="I39" s="106">
        <f>Model!AV246-Model!AQ246</f>
        <v>0</v>
      </c>
      <c r="J39" s="106">
        <f>Model!BA246-Model!AV246</f>
        <v>0</v>
      </c>
      <c r="K39" s="106">
        <f>Model!BF246-Model!BA246</f>
        <v>0</v>
      </c>
      <c r="L39" s="107">
        <f>Model!BK246-Model!BF246</f>
        <v>0</v>
      </c>
      <c r="M39">
        <f>Model!BP246-Model!BK246</f>
        <v>0</v>
      </c>
      <c r="N39">
        <f>Model!BU246-Model!BP246</f>
        <v>0</v>
      </c>
      <c r="O39">
        <f>Model!BZ246-Model!BU246</f>
        <v>0</v>
      </c>
      <c r="P39">
        <f>Model!CE246-Model!BZ246</f>
        <v>0</v>
      </c>
      <c r="Q39">
        <f>Model!CJ246-Model!CE246</f>
        <v>0</v>
      </c>
      <c r="R39">
        <f>Model!CO246-Model!CJ246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-491.024650702699</v>
      </c>
      <c r="E44" s="103">
        <f>SUM(E27+E40+E41+E42+E26)</f>
        <v>-933.80080033781</v>
      </c>
      <c r="F44" s="103">
        <f>SUM(F27+F40+F41+F42+F26)</f>
        <v>-439.95941669</v>
      </c>
      <c r="G44" s="103">
        <f>SUM(G27+G40+G41+G42+G26)</f>
        <v>1907.0646318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Model!W356</f>
        <v>2522.3690009833</v>
      </c>
      <c r="E46" s="106">
        <f>Model!AB356</f>
        <v>3402.08827648</v>
      </c>
      <c r="F46" s="106">
        <f>Model!AG356</f>
        <v>3783.99925678</v>
      </c>
      <c r="G46" s="106">
        <f>Model!AL356</f>
        <v>1749.82677077</v>
      </c>
      <c r="H46" s="106" t="e">
        <f>Model!AQ356</f>
        <v>#DIV/0!</v>
      </c>
      <c r="I46" s="106" t="e">
        <f>Model!AV356</f>
        <v>#DIV/0!</v>
      </c>
      <c r="J46" s="106" t="e">
        <f>Model!BA356</f>
        <v>#DIV/0!</v>
      </c>
      <c r="K46" s="106" t="e">
        <f>Model!BF356</f>
        <v>#DIV/0!</v>
      </c>
      <c r="L46" s="106" t="e">
        <f>Model!BK356</f>
        <v>#DIV/0!</v>
      </c>
      <c r="M46" s="115" t="e">
        <f>Model!BP356</f>
        <v>#DIV/0!</v>
      </c>
      <c r="N46" s="115" t="e">
        <f>Model!BU356</f>
        <v>#DIV/0!</v>
      </c>
      <c r="O46" s="115" t="e">
        <f>Model!BZ356</f>
        <v>#DIV/0!</v>
      </c>
      <c r="P46" s="115" t="e">
        <f>Model!CE356</f>
        <v>#DIV/0!</v>
      </c>
      <c r="Q46" s="115" t="e">
        <f>Model!CJ356</f>
        <v>#DIV/0!</v>
      </c>
      <c r="R46" s="115" t="e">
        <f>Model!CO356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Model!W357</f>
        <v>2522.3690009833</v>
      </c>
      <c r="E47" s="106">
        <f>Model!AB357</f>
        <v>3402.08827648</v>
      </c>
      <c r="F47" s="106">
        <f>Model!AG357</f>
        <v>3783.99925678</v>
      </c>
      <c r="G47" s="106">
        <f>Model!AL357</f>
        <v>1749.82677077</v>
      </c>
      <c r="H47" s="106" t="e">
        <f>Model!AQ357</f>
        <v>#DIV/0!</v>
      </c>
      <c r="I47" s="106" t="e">
        <f>Model!AV357</f>
        <v>#DIV/0!</v>
      </c>
      <c r="J47" s="106" t="e">
        <f>Model!BA357</f>
        <v>#DIV/0!</v>
      </c>
      <c r="K47" s="106" t="e">
        <f>Model!BF357</f>
        <v>#DIV/0!</v>
      </c>
      <c r="L47" s="106" t="e">
        <f>Model!BK357</f>
        <v>#DIV/0!</v>
      </c>
      <c r="M47" t="e">
        <f>Model!BP357</f>
        <v>#DIV/0!</v>
      </c>
      <c r="N47" t="e">
        <f>Model!BU357</f>
        <v>#DIV/0!</v>
      </c>
      <c r="O47" t="e">
        <f>Model!BZ357</f>
        <v>#DIV/0!</v>
      </c>
      <c r="P47" t="e">
        <f>Model!CE357</f>
        <v>#DIV/0!</v>
      </c>
      <c r="Q47" t="e">
        <f>Model!CJ357</f>
        <v>#DIV/0!</v>
      </c>
      <c r="R47" t="e">
        <f>Model!CO357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1.15335993154912</v>
      </c>
      <c r="E48" s="92">
        <f>E46/E18</f>
        <v>1.32011600638047</v>
      </c>
      <c r="F48" s="92">
        <f>F46/F18</f>
        <v>1.2502550078031</v>
      </c>
      <c r="G48" s="92">
        <f>G46/G18</f>
        <v>0.554247234590311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0.111432091338955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0.867032027596853</v>
      </c>
      <c r="E51" s="124">
        <f>E18/E46</f>
        <v>0.757509184925217</v>
      </c>
      <c r="F51" s="124">
        <f>F18/F46</f>
        <v>0.799836828294061</v>
      </c>
      <c r="G51" s="124">
        <f>G18/G46</f>
        <v>1.80424896614808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-62.5509420364228</v>
      </c>
      <c r="E53" s="125">
        <f>E25+E44</f>
        <v>-220.573099901249</v>
      </c>
      <c r="F53" s="125">
        <f>F25+F44</f>
        <v>325.538640019174</v>
      </c>
      <c r="G53" s="126">
        <f>(G25+G44)*stub_year_fraction</f>
        <v>576.607714713431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-0.0539352539183394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2026-10-12T15:06:16Z</dcterms:modified>
  <cp:lastModifiedBy>Lucas Nascimento</cp:lastModifiedBy>
</cp:coreProperties>
</file>