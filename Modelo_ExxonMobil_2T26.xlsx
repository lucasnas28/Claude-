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500" firstSheet="0" activeTab="1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Inputs (2)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  <sheet xmlns:r="http://schemas.openxmlformats.org/officeDocument/2006/relationships" name="Control" sheetId="5" state="visible" r:id="rId5"/>
  </sheets>
  <definedNames>
    <definedName name="aaa" hidden="1">{#N/A,#N/A,FALSE,"Aging Summary";#N/A,#N/A,FALSE,"Ratio Analysis";#N/A,#N/A,FALSE,"Test 120 Day Accts";#N/A,#N/A,FALSE,"Tickmarks"}</definedName>
    <definedName name="AAAA" hidden="1">{#N/A,#N/A,FALSE,"Aging Summary";#N/A,#N/A,FALSE,"Ratio Analysis";#N/A,#N/A,FALSE,"Test 120 Day Accts";#N/A,#N/A,FALSE,"Tickmarks"}</definedName>
    <definedName name="BalType" hidden="1">TRUE()</definedName>
    <definedName name="beta_observed">Valuation!$D$93</definedName>
    <definedName name="GrpAcct1" hidden="1">"5611"</definedName>
    <definedName name="GrpAcct2" hidden="1">"5612"</definedName>
    <definedName name="GrpLevel" hidden="1">2</definedName>
    <definedName name="last_close">Valuation!$G$7</definedName>
    <definedName name="NumofGrpAccts" hidden="1">2</definedName>
    <definedName name="nvnvnvnv" hidden="1">{#N/A,#N/A,FALSE,"Aging Summary";#N/A,#N/A,FALSE,"Ratio Analysis";#N/A,#N/A,FALSE,"Test 120 Day Accts";#N/A,#N/A,FALSE,"Tickmarks"}</definedName>
    <definedName name="RowLevel" hidden="1">1</definedName>
    <definedName name="TBdbName" hidden="1">"88D5BF544BE111D2B8C5006097494125.mdb"</definedName>
    <definedName name="TextRefCopyRangeCount" hidden="1">68</definedName>
    <definedName name="ticker">Valuation!$D$7</definedName>
    <definedName name="Useful_Life_of_Depreciable_PP_E">"PPElife"</definedName>
    <definedName name="wrn.Aging._.and._.Trend._.Analysis." hidden="1">{#N/A,#N/A,FALSE,"Aging Summary";#N/A,#N/A,FALSE,"Ratio Analysis";#N/A,#N/A,FALSE,"Test 120 Day Accts";#N/A,#N/A,FALSE,"Tickmarks"}</definedName>
    <definedName name="wrn.EXPENSES._.98._.US.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9._.REAL." hidden="1">{"Reais 99 MKT",#N/A,TRUE,"MKT";"Reais 99 BUSS",#N/A,TRUE,"BusOper";"Reais 99 TECH",#N/A,TRUE,"Tech";"Reais 99 LOCAL",#N/A,TRUE,"LocalProg";"Reais 99 GA",#N/A,TRUE,"G&amp;A";"Reais 99 CONSOL",#N/A,TRUE,"Consolidate"}</definedName>
    <definedName name="wrn.FINANCIAL._.MONTH.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S.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US._.MONTH.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S.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grafico." hidden="1">{#N/A,#N/A,FALSE,"Graficos    ( 9 )"}</definedName>
    <definedName name="wrn.WORK._.PAPER.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_.99.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XRefColumnsCount" hidden="1">2</definedName>
    <definedName name="XRefCopyRangeCount" hidden="1">5</definedName>
    <definedName name="XRefPasteRangeCount" hidden="1">35</definedName>
    <definedName name="beta_observed" localSheetId="1">#REF!</definedName>
    <definedName name="ticker" localSheetId="1">#REF!</definedName>
    <definedName name="costdebtfirm" localSheetId="3">Valuation!$D$86</definedName>
    <definedName name="costequity" localSheetId="3">Valuation!$D$94</definedName>
    <definedName name="debt" localSheetId="3">Valuation!$G$88</definedName>
    <definedName name="debt_weight" localSheetId="3">Valuation!$J$88</definedName>
    <definedName name="g" localSheetId="3">Valuation!$D$63</definedName>
    <definedName name="market_equity" localSheetId="3">Valuation!$G$89</definedName>
    <definedName name="noplat_t1" localSheetId="3">Valuation!$D$65</definedName>
    <definedName name="relevered_beta" localSheetId="3">Valuation!$M$102</definedName>
    <definedName name="risk_free_rate" localSheetId="3">Valuation!$D$91</definedName>
    <definedName name="risk_premium" localSheetId="3">Valuation!$D$92</definedName>
    <definedName name="ronic" localSheetId="3">Valuation!$D$64</definedName>
    <definedName name="stub_year_fraction" localSheetId="3">Valuation!$D$11</definedName>
    <definedName name="totalcap" localSheetId="3">Valuation!$G$90</definedName>
    <definedName name="wacc" localSheetId="3">Valuation!$D$12</definedName>
  </definedNames>
  <calcPr calcId="191029" fullCalcOnLoad="1"/>
</workbook>
</file>

<file path=xl/styles.xml><?xml version="1.0" encoding="utf-8"?>
<styleSheet xmlns="http://schemas.openxmlformats.org/spreadsheetml/2006/main">
  <numFmts count="38">
    <numFmt numFmtId="164" formatCode="#,##0_ ;[Red]\-#,##0\ "/>
    <numFmt numFmtId="165" formatCode="#,##0_);[Red]\(#,##0\)"/>
    <numFmt numFmtId="166" formatCode="#,##0.0_);[Red]\(#,##0.0\)"/>
    <numFmt numFmtId="167" formatCode="#,##0.0_ ;[Red]\-#,##0.0\ "/>
    <numFmt numFmtId="168" formatCode="[$-409]d\-mmm;@"/>
    <numFmt numFmtId="169" formatCode="[$-409]d\-mmm"/>
    <numFmt numFmtId="170" formatCode="[$-416]d\-mmm"/>
    <numFmt numFmtId="171" formatCode="0.0%"/>
    <numFmt numFmtId="172" formatCode="#,##0.0;[Red]#,##0.0"/>
    <numFmt numFmtId="173" formatCode="#,##0.00_);[Red]\(#,##0.00\)"/>
    <numFmt numFmtId="174" formatCode="0.0\x"/>
    <numFmt numFmtId="175" formatCode="0.0"/>
    <numFmt numFmtId="176" formatCode="[$-409]d\-mmm\-yy;@"/>
    <numFmt numFmtId="177" formatCode="[$BRL]\ #,##0.00_);[Red]\([$BRL]\ #,##0.00\)"/>
    <numFmt numFmtId="178" formatCode="#,##0.0_);\(#,##0.0\)"/>
    <numFmt numFmtId="179" formatCode="#,##0.000_);\(#,##0.000\)"/>
    <numFmt numFmtId="180" formatCode="&quot;R$ &quot;#,##0.00"/>
    <numFmt numFmtId="181" formatCode="#,##0.0\x"/>
    <numFmt numFmtId="182" formatCode="\$#,##0.00_);&quot;($&quot;#,##0.00\)"/>
    <numFmt numFmtId="183" formatCode="#,##0.000_);[Red]\(#,##0.000\)"/>
    <numFmt numFmtId="184" formatCode="\$#,##0.00_);[Red]&quot;($&quot;#,##0.00\)"/>
    <numFmt numFmtId="185" formatCode="\$#,##0.0_);&quot;($&quot;#,##0.0\)"/>
    <numFmt numFmtId="186" formatCode="#,##0_);\(#,##0\)"/>
    <numFmt numFmtId="187" formatCode="0.0%;\(0.0%\)"/>
    <numFmt numFmtId="188" formatCode="0.000"/>
    <numFmt numFmtId="189" formatCode="#,##0.00_);\(#,##0.00\)"/>
    <numFmt numFmtId="190" formatCode="#,##0.0"/>
    <numFmt numFmtId="191" formatCode="0.00\x"/>
    <numFmt numFmtId="192" formatCode="0.0&quot;x&quot;"/>
    <numFmt numFmtId="193" formatCode="#,##0.0;\(#,##0.0\)"/>
    <numFmt numFmtId="194" formatCode="_(* #,##0.00_);_(* \(#,##0.00\);_(* \-??_);_(@_)"/>
    <numFmt numFmtId="195" formatCode="_(* #,##0_);_(* \(#,##0\);_(* \-_);_(@_)"/>
    <numFmt numFmtId="196" formatCode="_(\$* #,##0.00_);_(\$* \(#,##0.00\);_(\$* \-??_);_(@_)"/>
    <numFmt numFmtId="197" formatCode="_(\$* #,##0_);_(\$* \(#,##0\);_(\$* \-_);_(@_)"/>
    <numFmt numFmtId="198" formatCode="m/d/yyyy"/>
    <numFmt numFmtId="199" formatCode="0_);\(0\)"/>
    <numFmt numFmtId="200" formatCode="#,##0.0;(#,##0.0)"/>
    <numFmt numFmtId="201" formatCode="dd/mm/yyyy"/>
  </numFmts>
  <fonts count="26">
    <font>
      <name val="Arial"/>
      <family val="2"/>
      <sz val="10"/>
    </font>
    <font>
      <name val="Arial"/>
      <charset val="1"/>
      <sz val="10"/>
    </font>
    <font>
      <name val="Arial"/>
      <charset val="1"/>
      <b val="1"/>
      <sz val="8"/>
    </font>
    <font>
      <name val="Aptos Narrow"/>
      <charset val="1"/>
      <color theme="1"/>
      <sz val="11"/>
    </font>
    <font>
      <name val="Verdana"/>
      <charset val="1"/>
      <color theme="1"/>
      <sz val="10"/>
    </font>
    <font>
      <name val="Arial"/>
      <charset val="1"/>
      <sz val="8"/>
    </font>
    <font>
      <name val="Arial"/>
      <charset val="1"/>
      <b val="1"/>
      <color rgb="FF333333"/>
      <sz val="10"/>
    </font>
    <font>
      <name val="Calibri"/>
      <charset val="1"/>
      <color rgb="FF000000"/>
      <sz val="11"/>
    </font>
    <font>
      <name val="Cambria"/>
      <charset val="1"/>
      <b val="1"/>
      <color rgb="FFFFFFFF"/>
      <sz val="11"/>
    </font>
    <font>
      <name val="Cambria"/>
      <charset val="1"/>
      <b val="1"/>
      <color rgb="FF17365D"/>
      <sz val="11"/>
    </font>
    <font>
      <name val="Verdana"/>
      <charset val="1"/>
      <color rgb="FF0000FF"/>
      <sz val="10"/>
    </font>
    <font>
      <name val="Verdana"/>
      <charset val="1"/>
      <b val="1"/>
      <color theme="1"/>
      <sz val="10"/>
    </font>
    <font>
      <name val="Verdana"/>
      <charset val="1"/>
      <b val="1"/>
      <color rgb="FFFFFFFF"/>
      <sz val="10"/>
    </font>
    <font>
      <name val="Verdana"/>
      <charset val="1"/>
      <i val="1"/>
      <color theme="1"/>
      <sz val="10"/>
    </font>
    <font>
      <name val="Verdana"/>
      <charset val="1"/>
      <sz val="10"/>
    </font>
    <font>
      <name val="Verdana"/>
      <charset val="1"/>
      <b val="1"/>
      <color theme="0"/>
      <sz val="10"/>
    </font>
    <font>
      <name val="Verdana"/>
      <charset val="1"/>
      <b val="1"/>
      <sz val="10"/>
    </font>
    <font>
      <name val="Verdana"/>
      <charset val="1"/>
      <b val="1"/>
      <color theme="0" tint="-0.0499893185216834"/>
      <sz val="10"/>
    </font>
    <font>
      <name val="Verdana"/>
      <charset val="1"/>
      <b val="1"/>
      <color rgb="FF333333"/>
      <sz val="10"/>
    </font>
    <font>
      <name val="Verdana"/>
      <charset val="1"/>
      <b val="1"/>
      <color rgb="FF0000FF"/>
      <sz val="10"/>
    </font>
    <font>
      <name val="Verdana"/>
      <charset val="1"/>
      <color rgb="FF008000"/>
      <sz val="10"/>
    </font>
    <font>
      <name val="Cambria"/>
      <charset val="1"/>
      <b val="1"/>
      <color rgb="FFFFFFFF"/>
      <sz val="14"/>
    </font>
    <font>
      <name val="Cambria"/>
      <charset val="1"/>
      <color rgb="FF0000FF"/>
      <sz val="11"/>
    </font>
    <font>
      <name val="Verdana"/>
      <family val="2"/>
      <b val="1"/>
      <color rgb="FFFFFFFF"/>
      <sz val="10"/>
    </font>
    <font>
      <name val="Verdana"/>
      <family val="2"/>
      <b val="1"/>
      <color theme="1"/>
      <sz val="10"/>
    </font>
    <font>
      <name val="Verdana"/>
      <b val="1"/>
      <sz val="10"/>
    </font>
  </fonts>
  <fills count="18">
    <fill>
      <patternFill/>
    </fill>
    <fill>
      <patternFill patternType="gray125"/>
    </fill>
    <fill>
      <patternFill patternType="solid">
        <fgColor rgb="FFC0C0C0"/>
        <bgColor rgb="FFD8D8D8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  <fill>
      <patternFill patternType="solid">
        <fgColor rgb="FFE2F0D9"/>
        <bgColor rgb="FFD9EAF7"/>
      </patternFill>
    </fill>
    <fill>
      <patternFill patternType="solid">
        <fgColor rgb="FFFFFFCC"/>
        <bgColor rgb="FFFFF2CC"/>
      </patternFill>
    </fill>
    <fill>
      <patternFill patternType="solid">
        <fgColor rgb="FFD9D9D9"/>
        <bgColor rgb="FFD8D8D8"/>
      </patternFill>
    </fill>
    <fill>
      <patternFill patternType="solid">
        <fgColor rgb="FFD8D8D8"/>
        <bgColor rgb="FFD9D9D9"/>
      </patternFill>
    </fill>
    <fill>
      <patternFill patternType="solid">
        <fgColor rgb="FF00B050"/>
        <bgColor rgb="FF008080"/>
      </patternFill>
    </fill>
    <fill>
      <patternFill patternType="solid">
        <fgColor theme="0"/>
        <bgColor rgb="FFF2F2F2"/>
      </patternFill>
    </fill>
    <fill>
      <patternFill patternType="solid">
        <fgColor theme="4" tint="0.3998840296639912"/>
        <bgColor rgb="FF00CCFF"/>
      </patternFill>
    </fill>
    <fill>
      <patternFill patternType="solid">
        <fgColor theme="0" tint="-0.0499893185216834"/>
        <bgColor rgb="FFE2F0D9"/>
      </patternFill>
    </fill>
    <fill>
      <patternFill patternType="solid">
        <fgColor rgb="FFFFF2CC"/>
        <bgColor rgb="FFFFFFCC"/>
      </patternFill>
    </fill>
    <fill>
      <patternFill patternType="solid">
        <fgColor rgb="FF4472C4"/>
        <bgColor rgb="FF666699"/>
      </patternFill>
    </fill>
    <fill>
      <patternFill patternType="solid">
        <fgColor rgb="FF00B050"/>
        <bgColor rgb="FF00B050"/>
      </patternFill>
    </fill>
    <fill>
      <patternFill patternType="solid">
        <fgColor rgb="FFD9D9D9"/>
        <bgColor rgb="FFD9D9D9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medium">
        <color auto="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hair">
        <color rgb="FF0000FF"/>
      </left>
      <right style="hair">
        <color rgb="FF0000FF"/>
      </right>
      <top style="thin">
        <color auto="1"/>
      </top>
      <bottom style="hair">
        <color rgb="FF0000FF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thin">
        <color rgb="FFFFFF00"/>
      </right>
      <top/>
      <bottom style="thin">
        <color rgb="FFFFFF00"/>
      </bottom>
      <diagonal/>
    </border>
    <border>
      <left style="thin">
        <color rgb="FFFFFF00"/>
      </left>
      <right/>
      <top/>
      <bottom style="thin">
        <color rgb="FFFFFF00"/>
      </bottom>
      <diagonal/>
    </border>
    <border>
      <left/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/>
      <top style="thin">
        <color rgb="FFFFFF00"/>
      </top>
      <bottom style="thin">
        <color rgb="FFFFFF00"/>
      </bottom>
      <diagonal/>
    </border>
    <border>
      <left/>
      <right style="thin">
        <color rgb="FFFFFF00"/>
      </right>
      <top/>
      <bottom style="thin">
        <color auto="1"/>
      </bottom>
      <diagonal/>
    </border>
    <border>
      <left style="thin">
        <color rgb="FFFFFF00"/>
      </left>
      <right/>
      <top/>
      <bottom style="thin">
        <color auto="1"/>
      </bottom>
      <diagonal/>
    </border>
    <border>
      <left style="medium">
        <color rgb="FF00B050"/>
      </left>
      <right style="thin">
        <color auto="1"/>
      </right>
      <top style="medium">
        <color rgb="FF00B050"/>
      </top>
      <bottom style="medium">
        <color rgb="FF00B050"/>
      </bottom>
      <diagonal/>
    </border>
    <border>
      <left/>
      <right style="thin">
        <color auto="1"/>
      </right>
      <top style="thin">
        <color rgb="FFFFFF00"/>
      </top>
      <bottom style="thin">
        <color rgb="FFFFFF00"/>
      </bottom>
      <diagonal/>
    </border>
    <border>
      <left/>
      <right style="thin">
        <color auto="1"/>
      </right>
      <top style="thin">
        <color rgb="FFFFFF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5">
    <xf numFmtId="0" fontId="0" fillId="0" borderId="0"/>
    <xf numFmtId="194" fontId="1" fillId="0" borderId="0"/>
    <xf numFmtId="194" fontId="1" fillId="0" borderId="0"/>
    <xf numFmtId="194" fontId="1" fillId="0" borderId="0"/>
    <xf numFmtId="194" fontId="1" fillId="0" borderId="0"/>
    <xf numFmtId="195" fontId="1" fillId="0" borderId="0"/>
    <xf numFmtId="195" fontId="1" fillId="0" borderId="0"/>
    <xf numFmtId="195" fontId="1" fillId="0" borderId="0"/>
    <xf numFmtId="195" fontId="1" fillId="0" borderId="0"/>
    <xf numFmtId="196" fontId="1" fillId="0" borderId="0"/>
    <xf numFmtId="196" fontId="1" fillId="0" borderId="0"/>
    <xf numFmtId="196" fontId="1" fillId="0" borderId="0"/>
    <xf numFmtId="196" fontId="1" fillId="0" borderId="0"/>
    <xf numFmtId="196" fontId="1" fillId="0" borderId="0"/>
    <xf numFmtId="197" fontId="1" fillId="0" borderId="0"/>
    <xf numFmtId="197" fontId="1" fillId="0" borderId="0"/>
    <xf numFmtId="197" fontId="1" fillId="0" borderId="0"/>
    <xf numFmtId="197" fontId="1" fillId="0" borderId="0"/>
    <xf numFmtId="198" fontId="2" fillId="0" borderId="1"/>
    <xf numFmtId="0" fontId="1" fillId="0" borderId="0"/>
    <xf numFmtId="0" fontId="1" fillId="0" borderId="0"/>
    <xf numFmtId="0" fontId="3" fillId="0" borderId="0"/>
    <xf numFmtId="0" fontId="1" fillId="0" borderId="0"/>
    <xf numFmtId="0" fontId="4" fillId="0" borderId="0"/>
    <xf numFmtId="0" fontId="3" fillId="0" borderId="0"/>
    <xf numFmtId="0" fontId="1" fillId="0" borderId="0"/>
    <xf numFmtId="0" fontId="1" fillId="0" borderId="0"/>
    <xf numFmtId="199" fontId="5" fillId="0" borderId="0"/>
    <xf numFmtId="0" fontId="6" fillId="2" borderId="2"/>
    <xf numFmtId="9" fontId="1" fillId="0" borderId="0"/>
    <xf numFmtId="9" fontId="3" fillId="0" borderId="0"/>
    <xf numFmtId="9" fontId="1" fillId="0" borderId="0"/>
    <xf numFmtId="9" fontId="1" fillId="0" borderId="0"/>
    <xf numFmtId="9" fontId="4" fillId="0" borderId="0"/>
    <xf numFmtId="194" fontId="7" fillId="0" borderId="0"/>
  </cellStyleXfs>
  <cellXfs count="275">
    <xf numFmtId="0" fontId="0" fillId="0" borderId="0" pivotButton="0" quotePrefix="0" xfId="0"/>
    <xf numFmtId="0" fontId="8" fillId="3" borderId="0" pivotButton="0" quotePrefix="0" xfId="24"/>
    <xf numFmtId="0" fontId="9" fillId="4" borderId="0" pivotButton="0" quotePrefix="0" xfId="24"/>
    <xf numFmtId="0" fontId="4" fillId="0" borderId="0" applyAlignment="1" pivotButton="0" quotePrefix="0" xfId="24">
      <alignment horizontal="center"/>
    </xf>
    <xf numFmtId="0" fontId="4" fillId="0" borderId="0" pivotButton="0" quotePrefix="0" xfId="24"/>
    <xf numFmtId="0" fontId="8" fillId="3" borderId="0" applyAlignment="1" pivotButton="0" quotePrefix="0" xfId="24">
      <alignment horizontal="center"/>
    </xf>
    <xf numFmtId="0" fontId="8" fillId="3" borderId="0" applyAlignment="1" pivotButton="0" quotePrefix="0" xfId="21">
      <alignment horizontal="center"/>
    </xf>
    <xf numFmtId="164" fontId="8" fillId="3" borderId="0" applyAlignment="1" pivotButton="0" quotePrefix="0" xfId="21">
      <alignment horizontal="center"/>
    </xf>
    <xf numFmtId="0" fontId="3" fillId="5" borderId="0" pivotButton="0" quotePrefix="0" xfId="24"/>
    <xf numFmtId="165" fontId="10" fillId="6" borderId="0" applyAlignment="1" pivotButton="0" quotePrefix="0" xfId="24">
      <alignment horizontal="center"/>
    </xf>
    <xf numFmtId="0" fontId="4" fillId="7" borderId="0" pivotButton="0" quotePrefix="0" xfId="20"/>
    <xf numFmtId="166" fontId="10" fillId="6" borderId="0" applyAlignment="1" pivotButton="0" quotePrefix="0" xfId="24">
      <alignment horizontal="center"/>
    </xf>
    <xf numFmtId="166" fontId="4" fillId="0" borderId="0" applyAlignment="1" pivotButton="0" quotePrefix="0" xfId="24">
      <alignment horizontal="center"/>
    </xf>
    <xf numFmtId="167" fontId="4" fillId="7" borderId="0" applyAlignment="1" pivotButton="0" quotePrefix="0" xfId="20">
      <alignment horizontal="left"/>
    </xf>
    <xf numFmtId="0" fontId="4" fillId="7" borderId="0" applyAlignment="1" pivotButton="0" quotePrefix="0" xfId="20">
      <alignment horizontal="left"/>
    </xf>
    <xf numFmtId="0" fontId="4" fillId="7" borderId="1" applyAlignment="1" pivotButton="0" quotePrefix="0" xfId="20">
      <alignment horizontal="left"/>
    </xf>
    <xf numFmtId="166" fontId="4" fillId="0" borderId="0" pivotButton="0" quotePrefix="0" xfId="24"/>
    <xf numFmtId="0" fontId="11" fillId="0" borderId="0" pivotButton="0" quotePrefix="0" xfId="20"/>
    <xf numFmtId="0" fontId="4" fillId="0" borderId="0" pivotButton="0" quotePrefix="0" xfId="20"/>
    <xf numFmtId="168" fontId="10" fillId="6" borderId="0" applyAlignment="1" pivotButton="0" quotePrefix="0" xfId="24">
      <alignment horizontal="center"/>
    </xf>
    <xf numFmtId="169" fontId="10" fillId="6" borderId="0" applyAlignment="1" pivotButton="0" quotePrefix="0" xfId="21">
      <alignment horizontal="center"/>
    </xf>
    <xf numFmtId="170" fontId="4" fillId="7" borderId="0" applyAlignment="1" pivotButton="0" quotePrefix="0" xfId="21">
      <alignment horizontal="center"/>
    </xf>
    <xf numFmtId="170" fontId="11" fillId="7" borderId="0" applyAlignment="1" pivotButton="0" quotePrefix="0" xfId="21">
      <alignment horizontal="center"/>
    </xf>
    <xf numFmtId="168" fontId="10" fillId="0" borderId="0" applyAlignment="1" pivotButton="0" quotePrefix="0" xfId="24">
      <alignment horizontal="center"/>
    </xf>
    <xf numFmtId="164" fontId="4" fillId="0" borderId="0" applyAlignment="1" pivotButton="0" quotePrefix="0" xfId="21">
      <alignment horizontal="center"/>
    </xf>
    <xf numFmtId="0" fontId="4" fillId="0" borderId="0" applyAlignment="1" pivotButton="0" quotePrefix="0" xfId="21">
      <alignment horizontal="center"/>
    </xf>
    <xf numFmtId="0" fontId="11" fillId="8" borderId="0" applyAlignment="1" pivotButton="0" quotePrefix="0" xfId="21">
      <alignment horizontal="center"/>
    </xf>
    <xf numFmtId="10" fontId="11" fillId="0" borderId="0" applyAlignment="1" pivotButton="0" quotePrefix="0" xfId="30">
      <alignment horizontal="center"/>
    </xf>
    <xf numFmtId="0" fontId="11" fillId="0" borderId="0" applyAlignment="1" pivotButton="0" quotePrefix="0" xfId="21">
      <alignment horizontal="center"/>
    </xf>
    <xf numFmtId="10" fontId="11" fillId="0" borderId="0" applyAlignment="1" pivotButton="0" quotePrefix="0" xfId="21">
      <alignment horizontal="center"/>
    </xf>
    <xf numFmtId="0" fontId="11" fillId="0" borderId="0" applyAlignment="1" pivotButton="0" quotePrefix="0" xfId="24">
      <alignment horizontal="center"/>
    </xf>
    <xf numFmtId="0" fontId="12" fillId="9" borderId="0" applyAlignment="1" pivotButton="0" quotePrefix="0" xfId="20">
      <alignment horizontal="left"/>
    </xf>
    <xf numFmtId="0" fontId="11" fillId="0" borderId="0" pivotButton="0" quotePrefix="0" xfId="24"/>
    <xf numFmtId="0" fontId="11" fillId="7" borderId="0" pivotButton="0" quotePrefix="0" xfId="20"/>
    <xf numFmtId="166" fontId="11" fillId="7" borderId="0" applyAlignment="1" pivotButton="0" quotePrefix="0" xfId="24">
      <alignment horizontal="center"/>
    </xf>
    <xf numFmtId="166" fontId="11" fillId="0" borderId="0" applyAlignment="1" pivotButton="0" quotePrefix="0" xfId="24">
      <alignment horizontal="center"/>
    </xf>
    <xf numFmtId="0" fontId="11" fillId="10" borderId="0" applyAlignment="1" pivotButton="0" quotePrefix="0" xfId="24">
      <alignment horizontal="center"/>
    </xf>
    <xf numFmtId="0" fontId="4" fillId="10" borderId="0" applyAlignment="1" pivotButton="0" quotePrefix="0" xfId="24">
      <alignment horizontal="center"/>
    </xf>
    <xf numFmtId="171" fontId="4" fillId="10" borderId="0" pivotButton="0" quotePrefix="0" xfId="20"/>
    <xf numFmtId="166" fontId="11" fillId="10" borderId="0" applyAlignment="1" pivotButton="0" quotePrefix="0" xfId="24">
      <alignment horizontal="center"/>
    </xf>
    <xf numFmtId="9" fontId="4" fillId="10" borderId="0" applyAlignment="1" pivotButton="0" quotePrefix="0" xfId="30">
      <alignment horizontal="center"/>
    </xf>
    <xf numFmtId="10" fontId="10" fillId="6" borderId="0" applyAlignment="1" pivotButton="0" quotePrefix="0" xfId="24">
      <alignment horizontal="center"/>
    </xf>
    <xf numFmtId="166" fontId="4" fillId="10" borderId="0" applyAlignment="1" pivotButton="0" quotePrefix="0" xfId="24">
      <alignment horizontal="center"/>
    </xf>
    <xf numFmtId="0" fontId="11" fillId="10" borderId="0" pivotButton="0" quotePrefix="0" xfId="24"/>
    <xf numFmtId="171" fontId="13" fillId="10" borderId="0" pivotButton="0" quotePrefix="0" xfId="20"/>
    <xf numFmtId="0" fontId="11" fillId="10" borderId="0" pivotButton="0" quotePrefix="0" xfId="20"/>
    <xf numFmtId="166" fontId="4" fillId="7" borderId="0" applyAlignment="1" pivotButton="0" quotePrefix="0" xfId="24">
      <alignment horizontal="center"/>
    </xf>
    <xf numFmtId="171" fontId="4" fillId="10" borderId="0" applyAlignment="1" pivotButton="0" quotePrefix="0" xfId="20">
      <alignment horizontal="left"/>
    </xf>
    <xf numFmtId="171" fontId="4" fillId="10" borderId="0" applyAlignment="1" pivotButton="0" quotePrefix="0" xfId="30">
      <alignment horizontal="center"/>
    </xf>
    <xf numFmtId="171" fontId="10" fillId="6" borderId="0" applyAlignment="1" pivotButton="0" quotePrefix="0" xfId="30">
      <alignment horizontal="center"/>
    </xf>
    <xf numFmtId="167" fontId="4" fillId="0" borderId="0" applyAlignment="1" pivotButton="0" quotePrefix="0" xfId="20">
      <alignment horizontal="left"/>
    </xf>
    <xf numFmtId="171" fontId="4" fillId="0" borderId="0" applyAlignment="1" pivotButton="0" quotePrefix="0" xfId="30">
      <alignment horizontal="center"/>
    </xf>
    <xf numFmtId="171" fontId="10" fillId="6" borderId="0" applyAlignment="1" pivotButton="0" quotePrefix="0" xfId="24">
      <alignment horizontal="center"/>
    </xf>
    <xf numFmtId="9" fontId="4" fillId="0" borderId="0" applyAlignment="1" pivotButton="0" quotePrefix="0" xfId="30">
      <alignment horizontal="center"/>
    </xf>
    <xf numFmtId="9" fontId="4" fillId="0" borderId="0" applyAlignment="1" pivotButton="0" quotePrefix="0" xfId="30">
      <alignment horizontal="left"/>
    </xf>
    <xf numFmtId="9" fontId="10" fillId="6" borderId="0" applyAlignment="1" pivotButton="0" quotePrefix="0" xfId="30">
      <alignment horizontal="center"/>
    </xf>
    <xf numFmtId="9" fontId="4" fillId="0" borderId="0" pivotButton="0" quotePrefix="0" xfId="30"/>
    <xf numFmtId="0" fontId="4" fillId="0" borderId="0" applyAlignment="1" pivotButton="0" quotePrefix="0" xfId="20">
      <alignment horizontal="left"/>
    </xf>
    <xf numFmtId="171" fontId="4" fillId="0" borderId="0" applyAlignment="1" pivotButton="0" quotePrefix="0" xfId="24">
      <alignment horizontal="center"/>
    </xf>
    <xf numFmtId="0" fontId="4" fillId="10" borderId="0" applyAlignment="1" pivotButton="0" quotePrefix="0" xfId="20">
      <alignment horizontal="left"/>
    </xf>
    <xf numFmtId="0" fontId="14" fillId="10" borderId="0" applyAlignment="1" pivotButton="0" quotePrefix="0" xfId="20">
      <alignment horizontal="left"/>
    </xf>
    <xf numFmtId="166" fontId="14" fillId="10" borderId="0" applyAlignment="1" pivotButton="0" quotePrefix="0" xfId="24">
      <alignment horizontal="center"/>
    </xf>
    <xf numFmtId="164" fontId="10" fillId="6" borderId="0" applyAlignment="1" pivotButton="0" quotePrefix="0" xfId="24">
      <alignment horizontal="center"/>
    </xf>
    <xf numFmtId="166" fontId="4" fillId="0" borderId="0" applyAlignment="1" pivotButton="0" quotePrefix="0" xfId="24">
      <alignment horizontal="center" vertical="center"/>
    </xf>
    <xf numFmtId="172" fontId="4" fillId="0" borderId="0" applyAlignment="1" pivotButton="0" quotePrefix="0" xfId="24">
      <alignment horizontal="center"/>
    </xf>
    <xf numFmtId="0" fontId="11" fillId="7" borderId="0" applyAlignment="1" pivotButton="0" quotePrefix="0" xfId="20">
      <alignment horizontal="left"/>
    </xf>
    <xf numFmtId="0" fontId="4" fillId="10" borderId="0" pivotButton="0" quotePrefix="0" xfId="24"/>
    <xf numFmtId="167" fontId="4" fillId="10" borderId="0" applyAlignment="1" pivotButton="0" quotePrefix="0" xfId="20">
      <alignment horizontal="left"/>
    </xf>
    <xf numFmtId="173" fontId="4" fillId="0" borderId="0" applyAlignment="1" pivotButton="0" quotePrefix="0" xfId="24">
      <alignment horizontal="center"/>
    </xf>
    <xf numFmtId="165" fontId="4" fillId="0" borderId="0" applyAlignment="1" pivotButton="0" quotePrefix="0" xfId="24">
      <alignment horizontal="center"/>
    </xf>
    <xf numFmtId="0" fontId="12" fillId="9" borderId="0" applyAlignment="1" pivotButton="0" quotePrefix="0" xfId="20">
      <alignment horizontal="center"/>
    </xf>
    <xf numFmtId="0" fontId="4" fillId="7" borderId="1" pivotButton="0" quotePrefix="0" xfId="20"/>
    <xf numFmtId="172" fontId="4" fillId="0" borderId="0" pivotButton="0" quotePrefix="0" xfId="24"/>
    <xf numFmtId="0" fontId="15" fillId="11" borderId="0" pivotButton="0" quotePrefix="0" xfId="24"/>
    <xf numFmtId="0" fontId="11" fillId="0" borderId="0" applyAlignment="1" pivotButton="0" quotePrefix="0" xfId="24">
      <alignment vertical="center"/>
    </xf>
    <xf numFmtId="0" fontId="11" fillId="0" borderId="0" applyAlignment="1" pivotButton="0" quotePrefix="0" xfId="24">
      <alignment horizontal="center" vertical="center"/>
    </xf>
    <xf numFmtId="0" fontId="4" fillId="0" borderId="0" applyAlignment="1" pivotButton="0" quotePrefix="0" xfId="24">
      <alignment horizontal="center" vertical="center"/>
    </xf>
    <xf numFmtId="0" fontId="4" fillId="0" borderId="0" applyAlignment="1" pivotButton="0" quotePrefix="0" xfId="24">
      <alignment vertical="center"/>
    </xf>
    <xf numFmtId="9" fontId="4" fillId="0" borderId="0" applyAlignment="1" pivotButton="0" quotePrefix="0" xfId="30">
      <alignment vertical="center"/>
    </xf>
    <xf numFmtId="9" fontId="4" fillId="0" borderId="0" applyAlignment="1" pivotButton="0" quotePrefix="0" xfId="30">
      <alignment horizontal="center" vertical="center"/>
    </xf>
    <xf numFmtId="171" fontId="4" fillId="0" borderId="0" applyAlignment="1" pivotButton="0" quotePrefix="0" xfId="24">
      <alignment horizontal="center" vertical="center"/>
    </xf>
    <xf numFmtId="171" fontId="4" fillId="0" borderId="0" applyAlignment="1" pivotButton="0" quotePrefix="0" xfId="30">
      <alignment horizontal="center" vertical="center"/>
    </xf>
    <xf numFmtId="174" fontId="4" fillId="0" borderId="0" applyAlignment="1" pivotButton="0" quotePrefix="0" xfId="24">
      <alignment horizontal="center" vertical="center"/>
    </xf>
    <xf numFmtId="174" fontId="4" fillId="0" borderId="0" applyAlignment="1" pivotButton="0" quotePrefix="0" xfId="24">
      <alignment vertical="center"/>
    </xf>
    <xf numFmtId="171" fontId="4" fillId="0" borderId="0" applyAlignment="1" pivotButton="0" quotePrefix="0" xfId="30">
      <alignment vertical="center"/>
    </xf>
    <xf numFmtId="175" fontId="4" fillId="0" borderId="0" applyAlignment="1" pivotButton="0" quotePrefix="0" xfId="24">
      <alignment horizontal="center" vertical="center"/>
    </xf>
    <xf numFmtId="166" fontId="4" fillId="0" borderId="0" applyAlignment="1" pivotButton="0" quotePrefix="0" xfId="24">
      <alignment vertical="center"/>
    </xf>
    <xf numFmtId="9" fontId="4" fillId="0" borderId="0" applyAlignment="1" pivotButton="0" quotePrefix="0" xfId="24">
      <alignment vertical="center"/>
    </xf>
    <xf numFmtId="9" fontId="4" fillId="0" borderId="0" applyAlignment="1" pivotButton="0" quotePrefix="0" xfId="24">
      <alignment horizontal="center" vertical="center"/>
    </xf>
    <xf numFmtId="172" fontId="4" fillId="0" borderId="0" applyAlignment="1" pivotButton="0" quotePrefix="0" xfId="24">
      <alignment vertical="center"/>
    </xf>
    <xf numFmtId="172" fontId="4" fillId="0" borderId="0" applyAlignment="1" pivotButton="0" quotePrefix="0" xfId="24">
      <alignment horizontal="center" vertical="center"/>
    </xf>
    <xf numFmtId="166" fontId="4" fillId="0" borderId="0" applyAlignment="1" pivotButton="0" quotePrefix="0" xfId="24">
      <alignment horizontal="right" vertical="center"/>
    </xf>
    <xf numFmtId="0" fontId="14" fillId="0" borderId="0" pivotButton="0" quotePrefix="0" xfId="22"/>
    <xf numFmtId="0" fontId="12" fillId="0" borderId="0" pivotButton="0" quotePrefix="0" xfId="22"/>
    <xf numFmtId="0" fontId="14" fillId="0" borderId="3" pivotButton="0" quotePrefix="0" xfId="22"/>
    <xf numFmtId="176" fontId="10" fillId="6" borderId="4" applyAlignment="1" pivotButton="0" quotePrefix="0" xfId="18">
      <alignment horizontal="center"/>
    </xf>
    <xf numFmtId="177" fontId="10" fillId="6" borderId="0" applyAlignment="1" pivotButton="0" quotePrefix="0" xfId="22">
      <alignment horizontal="center"/>
    </xf>
    <xf numFmtId="171" fontId="14" fillId="0" borderId="0" applyAlignment="1" pivotButton="0" quotePrefix="0" xfId="22">
      <alignment horizontal="right"/>
    </xf>
    <xf numFmtId="176" fontId="10" fillId="6" borderId="4" applyAlignment="1" pivotButton="0" quotePrefix="0" xfId="18">
      <alignment horizontal="right"/>
    </xf>
    <xf numFmtId="171" fontId="14" fillId="0" borderId="0" applyAlignment="1" pivotButton="0" quotePrefix="0" xfId="22">
      <alignment horizontal="center"/>
    </xf>
    <xf numFmtId="178" fontId="10" fillId="0" borderId="0" applyAlignment="1" pivotButton="0" quotePrefix="0" xfId="22">
      <alignment horizontal="center"/>
    </xf>
    <xf numFmtId="179" fontId="14" fillId="0" borderId="0" applyAlignment="1" pivotButton="0" quotePrefix="0" xfId="22">
      <alignment horizontal="center"/>
    </xf>
    <xf numFmtId="0" fontId="16" fillId="0" borderId="0" pivotButton="0" quotePrefix="0" xfId="22"/>
    <xf numFmtId="180" fontId="14" fillId="0" borderId="0" pivotButton="0" quotePrefix="0" xfId="22"/>
    <xf numFmtId="0" fontId="11" fillId="7" borderId="0" pivotButton="0" quotePrefix="0" xfId="22"/>
    <xf numFmtId="0" fontId="11" fillId="7" borderId="1" pivotButton="0" quotePrefix="0" xfId="22"/>
    <xf numFmtId="0" fontId="16" fillId="0" borderId="0" applyAlignment="1" pivotButton="0" quotePrefix="0" xfId="22">
      <alignment horizontal="center"/>
    </xf>
    <xf numFmtId="0" fontId="14" fillId="0" borderId="0" applyAlignment="1" pivotButton="0" quotePrefix="0" xfId="22">
      <alignment horizontal="center"/>
    </xf>
    <xf numFmtId="1" fontId="16" fillId="0" borderId="0" applyAlignment="1" pivotButton="0" quotePrefix="0" xfId="22">
      <alignment horizontal="center"/>
    </xf>
    <xf numFmtId="0" fontId="14" fillId="0" borderId="1" pivotButton="0" quotePrefix="0" xfId="22"/>
    <xf numFmtId="168" fontId="14" fillId="0" borderId="1" applyAlignment="1" pivotButton="0" quotePrefix="0" xfId="22">
      <alignment horizontal="center"/>
    </xf>
    <xf numFmtId="168" fontId="14" fillId="0" borderId="0" applyAlignment="1" pivotButton="0" quotePrefix="0" xfId="22">
      <alignment horizontal="center"/>
    </xf>
    <xf numFmtId="0" fontId="14" fillId="0" borderId="5" pivotButton="0" quotePrefix="0" xfId="22"/>
    <xf numFmtId="178" fontId="14" fillId="12" borderId="6" applyAlignment="1" pivotButton="0" quotePrefix="0" xfId="22">
      <alignment horizontal="center"/>
    </xf>
    <xf numFmtId="178" fontId="14" fillId="12" borderId="7" applyAlignment="1" pivotButton="0" quotePrefix="0" xfId="22">
      <alignment horizontal="center"/>
    </xf>
    <xf numFmtId="171" fontId="16" fillId="0" borderId="0" applyAlignment="1" pivotButton="0" quotePrefix="0" xfId="33">
      <alignment horizontal="center"/>
    </xf>
    <xf numFmtId="0" fontId="14" fillId="0" borderId="8" pivotButton="0" quotePrefix="0" xfId="22"/>
    <xf numFmtId="171" fontId="16" fillId="0" borderId="1" applyAlignment="1" pivotButton="0" quotePrefix="0" xfId="33">
      <alignment horizontal="center"/>
    </xf>
    <xf numFmtId="171" fontId="16" fillId="0" borderId="9" applyAlignment="1" pivotButton="0" quotePrefix="0" xfId="33">
      <alignment horizontal="center"/>
    </xf>
    <xf numFmtId="178" fontId="14" fillId="0" borderId="5" pivotButton="0" quotePrefix="0" xfId="22"/>
    <xf numFmtId="0" fontId="14" fillId="0" borderId="6" pivotButton="0" quotePrefix="0" xfId="22"/>
    <xf numFmtId="0" fontId="14" fillId="0" borderId="7" pivotButton="0" quotePrefix="0" xfId="22"/>
    <xf numFmtId="171" fontId="14" fillId="0" borderId="1" applyAlignment="1" pivotButton="0" quotePrefix="0" xfId="33">
      <alignment horizontal="center"/>
    </xf>
    <xf numFmtId="0" fontId="14" fillId="0" borderId="9" pivotButton="0" quotePrefix="0" xfId="22"/>
    <xf numFmtId="171" fontId="14" fillId="0" borderId="9" applyAlignment="1" pivotButton="0" quotePrefix="0" xfId="33">
      <alignment horizontal="center"/>
    </xf>
    <xf numFmtId="171" fontId="14" fillId="12" borderId="6" applyAlignment="1" pivotButton="0" quotePrefix="0" xfId="22">
      <alignment horizontal="center"/>
    </xf>
    <xf numFmtId="171" fontId="14" fillId="12" borderId="7" applyAlignment="1" pivotButton="0" quotePrefix="0" xfId="22">
      <alignment horizontal="center"/>
    </xf>
    <xf numFmtId="178" fontId="14" fillId="0" borderId="1" applyAlignment="1" pivotButton="0" quotePrefix="0" xfId="22">
      <alignment horizontal="center"/>
    </xf>
    <xf numFmtId="178" fontId="14" fillId="0" borderId="9" applyAlignment="1" pivotButton="0" quotePrefix="0" xfId="22">
      <alignment horizontal="center"/>
    </xf>
    <xf numFmtId="178" fontId="14" fillId="0" borderId="10" applyAlignment="1" pivotButton="0" quotePrefix="0" xfId="22">
      <alignment horizontal="left"/>
    </xf>
    <xf numFmtId="178" fontId="14" fillId="12" borderId="11" applyAlignment="1" pivotButton="0" quotePrefix="0" xfId="22">
      <alignment horizontal="center"/>
    </xf>
    <xf numFmtId="178" fontId="14" fillId="12" borderId="12" applyAlignment="1" pivotButton="0" quotePrefix="0" xfId="22">
      <alignment horizontal="center"/>
    </xf>
    <xf numFmtId="178" fontId="14" fillId="0" borderId="5" applyAlignment="1" pivotButton="0" quotePrefix="0" xfId="22">
      <alignment horizontal="left"/>
    </xf>
    <xf numFmtId="178" fontId="14" fillId="0" borderId="6" applyAlignment="1" pivotButton="0" quotePrefix="0" xfId="22">
      <alignment horizontal="center"/>
    </xf>
    <xf numFmtId="178" fontId="14" fillId="0" borderId="7" applyAlignment="1" pivotButton="0" quotePrefix="0" xfId="22">
      <alignment horizontal="center"/>
    </xf>
    <xf numFmtId="178" fontId="14" fillId="0" borderId="13" applyAlignment="1" pivotButton="0" quotePrefix="0" xfId="22">
      <alignment horizontal="left"/>
    </xf>
    <xf numFmtId="178" fontId="14" fillId="12" borderId="0" applyAlignment="1" pivotButton="0" quotePrefix="0" xfId="22">
      <alignment horizontal="center"/>
    </xf>
    <xf numFmtId="178" fontId="14" fillId="12" borderId="14" applyAlignment="1" pivotButton="0" quotePrefix="0" xfId="22">
      <alignment horizontal="center"/>
    </xf>
    <xf numFmtId="178" fontId="14" fillId="0" borderId="8" applyAlignment="1" pivotButton="0" quotePrefix="0" xfId="22">
      <alignment horizontal="left"/>
    </xf>
    <xf numFmtId="178" fontId="14" fillId="12" borderId="1" applyAlignment="1" pivotButton="0" quotePrefix="0" xfId="22">
      <alignment horizontal="center"/>
    </xf>
    <xf numFmtId="178" fontId="14" fillId="12" borderId="9" applyAlignment="1" pivotButton="0" quotePrefix="0" xfId="22">
      <alignment horizontal="center"/>
    </xf>
    <xf numFmtId="178" fontId="14" fillId="0" borderId="0" applyAlignment="1" pivotButton="0" quotePrefix="0" xfId="22">
      <alignment horizontal="center"/>
    </xf>
    <xf numFmtId="178" fontId="14" fillId="0" borderId="15" applyAlignment="1" pivotButton="0" quotePrefix="0" xfId="22">
      <alignment horizontal="center"/>
    </xf>
    <xf numFmtId="0" fontId="14" fillId="0" borderId="13" pivotButton="0" quotePrefix="0" xfId="22"/>
    <xf numFmtId="0" fontId="14" fillId="0" borderId="14" pivotButton="0" quotePrefix="0" xfId="22"/>
    <xf numFmtId="178" fontId="4" fillId="0" borderId="0" applyAlignment="1" pivotButton="0" quotePrefix="0" xfId="22">
      <alignment horizontal="center"/>
    </xf>
    <xf numFmtId="178" fontId="4" fillId="0" borderId="14" applyAlignment="1" pivotButton="0" quotePrefix="0" xfId="22">
      <alignment horizontal="center"/>
    </xf>
    <xf numFmtId="171" fontId="10" fillId="6" borderId="1" applyAlignment="1" pivotButton="0" quotePrefix="0" xfId="33">
      <alignment horizontal="center"/>
    </xf>
    <xf numFmtId="171" fontId="10" fillId="6" borderId="9" applyAlignment="1" pivotButton="0" quotePrefix="0" xfId="33">
      <alignment horizontal="center"/>
    </xf>
    <xf numFmtId="0" fontId="16" fillId="0" borderId="10" pivotButton="0" quotePrefix="0" xfId="22"/>
    <xf numFmtId="171" fontId="16" fillId="12" borderId="11" applyAlignment="1" pivotButton="0" quotePrefix="0" xfId="22">
      <alignment horizontal="center"/>
    </xf>
    <xf numFmtId="171" fontId="16" fillId="0" borderId="11" applyAlignment="1" pivotButton="0" quotePrefix="0" xfId="33">
      <alignment horizontal="center"/>
    </xf>
    <xf numFmtId="171" fontId="16" fillId="0" borderId="12" applyAlignment="1" pivotButton="0" quotePrefix="0" xfId="33">
      <alignment horizontal="center"/>
    </xf>
    <xf numFmtId="171" fontId="16" fillId="0" borderId="0" applyAlignment="1" pivotButton="0" quotePrefix="0" xfId="22">
      <alignment horizontal="center"/>
    </xf>
    <xf numFmtId="181" fontId="14" fillId="0" borderId="0" applyAlignment="1" pivotButton="0" quotePrefix="0" xfId="23">
      <alignment horizontal="center" vertical="center"/>
    </xf>
    <xf numFmtId="178" fontId="16" fillId="0" borderId="0" applyAlignment="1" pivotButton="0" quotePrefix="0" xfId="22">
      <alignment horizontal="center"/>
    </xf>
    <xf numFmtId="178" fontId="18" fillId="2" borderId="2" applyAlignment="1" pivotButton="0" quotePrefix="0" xfId="28">
      <alignment horizontal="center"/>
    </xf>
    <xf numFmtId="0" fontId="14" fillId="0" borderId="0" applyAlignment="1" pivotButton="0" quotePrefix="0" xfId="22">
      <alignment horizontal="left"/>
    </xf>
    <xf numFmtId="173" fontId="14" fillId="0" borderId="0" applyAlignment="1" pivotButton="0" quotePrefix="0" xfId="22">
      <alignment horizontal="center"/>
    </xf>
    <xf numFmtId="173" fontId="18" fillId="2" borderId="2" applyAlignment="1" pivotButton="0" quotePrefix="0" xfId="28">
      <alignment horizontal="center"/>
    </xf>
    <xf numFmtId="10" fontId="14" fillId="0" borderId="0" pivotButton="0" quotePrefix="0" xfId="22"/>
    <xf numFmtId="178" fontId="16" fillId="0" borderId="0" pivotButton="0" quotePrefix="0" xfId="22"/>
    <xf numFmtId="179" fontId="14" fillId="0" borderId="0" pivotButton="0" quotePrefix="0" xfId="22"/>
    <xf numFmtId="0" fontId="11" fillId="7" borderId="5" pivotButton="0" quotePrefix="0" xfId="22"/>
    <xf numFmtId="171" fontId="4" fillId="7" borderId="7" applyAlignment="1" pivotButton="0" quotePrefix="0" xfId="22">
      <alignment horizontal="center"/>
    </xf>
    <xf numFmtId="0" fontId="11" fillId="7" borderId="6" pivotButton="0" quotePrefix="0" xfId="22"/>
    <xf numFmtId="0" fontId="4" fillId="7" borderId="6" pivotButton="0" quotePrefix="0" xfId="22"/>
    <xf numFmtId="0" fontId="11" fillId="7" borderId="16" pivotButton="0" quotePrefix="0" xfId="22"/>
    <xf numFmtId="171" fontId="4" fillId="7" borderId="17" applyAlignment="1" pivotButton="0" quotePrefix="0" xfId="22">
      <alignment horizontal="center"/>
    </xf>
    <xf numFmtId="0" fontId="4" fillId="7" borderId="17" pivotButton="0" quotePrefix="0" xfId="22"/>
    <xf numFmtId="0" fontId="4" fillId="7" borderId="18" pivotButton="0" quotePrefix="0" xfId="22"/>
    <xf numFmtId="0" fontId="16" fillId="0" borderId="13" applyAlignment="1" pivotButton="0" quotePrefix="0" xfId="22">
      <alignment horizontal="left"/>
    </xf>
    <xf numFmtId="178" fontId="14" fillId="0" borderId="14" applyAlignment="1" pivotButton="0" quotePrefix="0" xfId="22">
      <alignment horizontal="right"/>
    </xf>
    <xf numFmtId="0" fontId="16" fillId="0" borderId="0" applyAlignment="1" pivotButton="0" quotePrefix="0" xfId="22">
      <alignment horizontal="left"/>
    </xf>
    <xf numFmtId="0" fontId="14" fillId="0" borderId="13" applyAlignment="1" pivotButton="0" quotePrefix="0" xfId="22">
      <alignment horizontal="left"/>
    </xf>
    <xf numFmtId="178" fontId="4" fillId="12" borderId="14" applyAlignment="1" pivotButton="0" quotePrefix="0" xfId="22">
      <alignment horizontal="center"/>
    </xf>
    <xf numFmtId="171" fontId="19" fillId="6" borderId="14" applyAlignment="1" pivotButton="0" quotePrefix="0" xfId="22">
      <alignment horizontal="center"/>
    </xf>
    <xf numFmtId="182" fontId="4" fillId="12" borderId="14" applyAlignment="1" pivotButton="0" quotePrefix="0" xfId="18">
      <alignment horizontal="center"/>
    </xf>
    <xf numFmtId="171" fontId="11" fillId="0" borderId="19" applyAlignment="1" pivotButton="0" quotePrefix="0" xfId="24">
      <alignment horizontal="center"/>
    </xf>
    <xf numFmtId="0" fontId="14" fillId="0" borderId="1" applyAlignment="1" pivotButton="0" quotePrefix="0" xfId="22">
      <alignment horizontal="left"/>
    </xf>
    <xf numFmtId="0" fontId="14" fillId="0" borderId="9" applyAlignment="1" pivotButton="0" quotePrefix="0" xfId="22">
      <alignment horizontal="right"/>
    </xf>
    <xf numFmtId="178" fontId="16" fillId="0" borderId="14" applyAlignment="1" pivotButton="0" quotePrefix="0" xfId="22">
      <alignment horizontal="center"/>
    </xf>
    <xf numFmtId="0" fontId="14" fillId="0" borderId="1" applyAlignment="1" pivotButton="0" quotePrefix="0" xfId="22">
      <alignment horizontal="right"/>
    </xf>
    <xf numFmtId="183" fontId="10" fillId="6" borderId="20" pivotButton="0" quotePrefix="0" xfId="22"/>
    <xf numFmtId="182" fontId="10" fillId="6" borderId="21" pivotButton="0" quotePrefix="0" xfId="10"/>
    <xf numFmtId="179" fontId="14" fillId="0" borderId="14" applyAlignment="1" pivotButton="0" quotePrefix="0" xfId="22">
      <alignment horizontal="right"/>
    </xf>
    <xf numFmtId="183" fontId="10" fillId="6" borderId="22" pivotButton="0" quotePrefix="0" xfId="22"/>
    <xf numFmtId="182" fontId="10" fillId="6" borderId="23" pivotButton="0" quotePrefix="0" xfId="10"/>
    <xf numFmtId="178" fontId="14" fillId="0" borderId="14" applyAlignment="1" pivotButton="0" quotePrefix="0" xfId="22">
      <alignment horizontal="center"/>
    </xf>
    <xf numFmtId="183" fontId="10" fillId="6" borderId="24" pivotButton="0" quotePrefix="0" xfId="22"/>
    <xf numFmtId="182" fontId="10" fillId="6" borderId="25" pivotButton="0" quotePrefix="0" xfId="10"/>
    <xf numFmtId="179" fontId="14" fillId="0" borderId="9" applyAlignment="1" pivotButton="0" quotePrefix="0" xfId="22">
      <alignment horizontal="right"/>
    </xf>
    <xf numFmtId="174" fontId="10" fillId="6" borderId="14" applyAlignment="1" pivotButton="0" quotePrefix="0" xfId="22">
      <alignment horizontal="center"/>
    </xf>
    <xf numFmtId="184" fontId="14" fillId="0" borderId="0" applyAlignment="1" pivotButton="0" quotePrefix="0" xfId="22">
      <alignment horizontal="right"/>
    </xf>
    <xf numFmtId="185" fontId="14" fillId="0" borderId="14" applyAlignment="1" pivotButton="0" quotePrefix="0" xfId="22">
      <alignment horizontal="right"/>
    </xf>
    <xf numFmtId="0" fontId="14" fillId="0" borderId="0" applyAlignment="1" pivotButton="0" quotePrefix="0" xfId="22">
      <alignment horizontal="right"/>
    </xf>
    <xf numFmtId="178" fontId="20" fillId="0" borderId="0" pivotButton="0" quotePrefix="0" xfId="22"/>
    <xf numFmtId="178" fontId="14" fillId="0" borderId="14" pivotButton="0" quotePrefix="0" xfId="22"/>
    <xf numFmtId="182" fontId="16" fillId="0" borderId="26" applyAlignment="1" pivotButton="0" quotePrefix="0" xfId="22">
      <alignment horizontal="center"/>
    </xf>
    <xf numFmtId="183" fontId="10" fillId="6" borderId="27" applyAlignment="1" pivotButton="0" quotePrefix="0" xfId="22">
      <alignment horizontal="right"/>
    </xf>
    <xf numFmtId="0" fontId="14" fillId="0" borderId="14" applyAlignment="1" pivotButton="0" quotePrefix="0" xfId="22">
      <alignment horizontal="right"/>
    </xf>
    <xf numFmtId="182" fontId="16" fillId="0" borderId="14" applyAlignment="1" pivotButton="0" quotePrefix="0" xfId="22">
      <alignment horizontal="center"/>
    </xf>
    <xf numFmtId="183" fontId="10" fillId="6" borderId="28" applyAlignment="1" pivotButton="0" quotePrefix="0" xfId="22">
      <alignment horizontal="right"/>
    </xf>
    <xf numFmtId="186" fontId="10" fillId="6" borderId="14" applyAlignment="1" pivotButton="0" quotePrefix="0" xfId="22">
      <alignment horizontal="right"/>
    </xf>
    <xf numFmtId="0" fontId="16" fillId="0" borderId="0" applyAlignment="1" pivotButton="0" quotePrefix="0" xfId="22">
      <alignment horizontal="right"/>
    </xf>
    <xf numFmtId="178" fontId="16" fillId="0" borderId="14" applyAlignment="1" pivotButton="0" quotePrefix="0" xfId="27">
      <alignment horizontal="right"/>
    </xf>
    <xf numFmtId="0" fontId="14" fillId="0" borderId="8" applyAlignment="1" pivotButton="0" quotePrefix="0" xfId="22">
      <alignment horizontal="left"/>
    </xf>
    <xf numFmtId="171" fontId="14" fillId="0" borderId="9" applyAlignment="1" pivotButton="0" quotePrefix="0" xfId="22">
      <alignment horizontal="right"/>
    </xf>
    <xf numFmtId="0" fontId="11" fillId="7" borderId="3" pivotButton="0" quotePrefix="0" xfId="22"/>
    <xf numFmtId="171" fontId="4" fillId="7" borderId="3" applyAlignment="1" pivotButton="0" quotePrefix="0" xfId="22">
      <alignment horizontal="center"/>
    </xf>
    <xf numFmtId="0" fontId="4" fillId="7" borderId="3" pivotButton="0" quotePrefix="0" xfId="22"/>
    <xf numFmtId="0" fontId="16" fillId="0" borderId="1" pivotButton="0" quotePrefix="0" xfId="22"/>
    <xf numFmtId="171" fontId="10" fillId="6" borderId="0" applyAlignment="1" pivotButton="0" quotePrefix="0" xfId="22">
      <alignment horizontal="center"/>
    </xf>
    <xf numFmtId="0" fontId="14" fillId="0" borderId="11" applyAlignment="1" pivotButton="0" quotePrefix="0" xfId="22">
      <alignment horizontal="right"/>
    </xf>
    <xf numFmtId="178" fontId="14" fillId="0" borderId="0" pivotButton="0" quotePrefix="0" xfId="22"/>
    <xf numFmtId="9" fontId="14" fillId="0" borderId="0" pivotButton="0" quotePrefix="0" xfId="22"/>
    <xf numFmtId="187" fontId="14" fillId="0" borderId="0" applyAlignment="1" pivotButton="0" quotePrefix="0" xfId="22">
      <alignment horizontal="center"/>
    </xf>
    <xf numFmtId="178" fontId="14" fillId="0" borderId="0" applyAlignment="1" pivotButton="0" quotePrefix="0" xfId="22">
      <alignment horizontal="right"/>
    </xf>
    <xf numFmtId="188" fontId="14" fillId="0" borderId="0" pivotButton="0" quotePrefix="0" xfId="22"/>
    <xf numFmtId="189" fontId="10" fillId="6" borderId="0" applyAlignment="1" pivotButton="0" quotePrefix="0" xfId="22">
      <alignment horizontal="center"/>
    </xf>
    <xf numFmtId="0" fontId="16" fillId="0" borderId="1" applyAlignment="1" pivotButton="0" quotePrefix="0" xfId="22">
      <alignment horizontal="left" wrapText="1"/>
    </xf>
    <xf numFmtId="0" fontId="16" fillId="0" borderId="1" applyAlignment="1" pivotButton="0" quotePrefix="0" xfId="22">
      <alignment horizontal="center" wrapText="1"/>
    </xf>
    <xf numFmtId="189" fontId="14" fillId="0" borderId="0" applyAlignment="1" pivotButton="0" quotePrefix="0" xfId="22">
      <alignment horizontal="center"/>
    </xf>
    <xf numFmtId="182" fontId="14" fillId="0" borderId="0" applyAlignment="1" pivotButton="0" quotePrefix="0" xfId="22">
      <alignment horizontal="center"/>
    </xf>
    <xf numFmtId="10" fontId="14" fillId="0" borderId="0" applyAlignment="1" pivotButton="0" quotePrefix="0" xfId="22">
      <alignment horizontal="center"/>
    </xf>
    <xf numFmtId="2" fontId="14" fillId="0" borderId="0" applyAlignment="1" pivotButton="0" quotePrefix="0" xfId="22">
      <alignment horizontal="center"/>
    </xf>
    <xf numFmtId="189" fontId="10" fillId="6" borderId="0" applyAlignment="1" pivotButton="0" quotePrefix="0" xfId="22">
      <alignment horizontal="left"/>
    </xf>
    <xf numFmtId="182" fontId="10" fillId="6" borderId="0" applyAlignment="1" pivotButton="0" quotePrefix="0" xfId="22">
      <alignment horizontal="center"/>
    </xf>
    <xf numFmtId="178" fontId="10" fillId="6" borderId="0" applyAlignment="1" pivotButton="0" quotePrefix="0" xfId="22">
      <alignment horizontal="center"/>
    </xf>
    <xf numFmtId="10" fontId="10" fillId="6" borderId="0" applyAlignment="1" pivotButton="0" quotePrefix="0" xfId="22">
      <alignment horizontal="center"/>
    </xf>
    <xf numFmtId="189" fontId="10" fillId="6" borderId="1" applyAlignment="1" pivotButton="0" quotePrefix="0" xfId="22">
      <alignment horizontal="left"/>
    </xf>
    <xf numFmtId="189" fontId="10" fillId="6" borderId="1" applyAlignment="1" pivotButton="0" quotePrefix="0" xfId="22">
      <alignment horizontal="center"/>
    </xf>
    <xf numFmtId="182" fontId="10" fillId="6" borderId="1" applyAlignment="1" pivotButton="0" quotePrefix="0" xfId="22">
      <alignment horizontal="center"/>
    </xf>
    <xf numFmtId="178" fontId="10" fillId="6" borderId="1" applyAlignment="1" pivotButton="0" quotePrefix="0" xfId="22">
      <alignment horizontal="center"/>
    </xf>
    <xf numFmtId="10" fontId="14" fillId="0" borderId="1" applyAlignment="1" pivotButton="0" quotePrefix="0" xfId="22">
      <alignment horizontal="center"/>
    </xf>
    <xf numFmtId="10" fontId="10" fillId="6" borderId="1" applyAlignment="1" pivotButton="0" quotePrefix="0" xfId="22">
      <alignment horizontal="center"/>
    </xf>
    <xf numFmtId="189" fontId="14" fillId="0" borderId="1" applyAlignment="1" pivotButton="0" quotePrefix="0" xfId="22">
      <alignment horizontal="center"/>
    </xf>
    <xf numFmtId="189" fontId="16" fillId="0" borderId="0" applyAlignment="1" pivotButton="0" quotePrefix="0" xfId="22">
      <alignment horizontal="right"/>
    </xf>
    <xf numFmtId="189" fontId="16" fillId="0" borderId="29" applyAlignment="1" pivotButton="0" quotePrefix="0" xfId="22">
      <alignment horizontal="center"/>
    </xf>
    <xf numFmtId="0" fontId="21" fillId="3" borderId="0" pivotButton="0" quotePrefix="0" xfId="24"/>
    <xf numFmtId="0" fontId="22" fillId="13" borderId="0" pivotButton="0" quotePrefix="0" xfId="24"/>
    <xf numFmtId="0" fontId="8" fillId="14" borderId="0" pivotButton="0" quotePrefix="0" xfId="24"/>
    <xf numFmtId="180" fontId="22" fillId="13" borderId="0" pivotButton="0" quotePrefix="0" xfId="24"/>
    <xf numFmtId="190" fontId="22" fillId="13" borderId="0" pivotButton="0" quotePrefix="0" xfId="24"/>
    <xf numFmtId="171" fontId="22" fillId="13" borderId="0" pivotButton="0" quotePrefix="0" xfId="24"/>
    <xf numFmtId="14" fontId="22" fillId="13" borderId="0" pivotButton="0" quotePrefix="0" xfId="24"/>
    <xf numFmtId="191" fontId="22" fillId="13" borderId="0" pivotButton="0" quotePrefix="0" xfId="24"/>
    <xf numFmtId="171" fontId="3" fillId="0" borderId="0" pivotButton="0" quotePrefix="0" xfId="24"/>
    <xf numFmtId="174" fontId="22" fillId="13" borderId="0" pivotButton="0" quotePrefix="0" xfId="24"/>
    <xf numFmtId="175" fontId="3" fillId="0" borderId="0" pivotButton="0" quotePrefix="0" xfId="24"/>
    <xf numFmtId="0" fontId="17" fillId="9" borderId="0" applyAlignment="1" pivotButton="0" quotePrefix="0" xfId="22">
      <alignment horizontal="center" wrapText="1"/>
    </xf>
    <xf numFmtId="0" fontId="14" fillId="0" borderId="0" pivotButton="0" quotePrefix="0" xfId="22"/>
    <xf numFmtId="0" fontId="16" fillId="0" borderId="1" applyAlignment="1" pivotButton="0" quotePrefix="0" xfId="22">
      <alignment horizontal="center"/>
    </xf>
    <xf numFmtId="0" fontId="0" fillId="0" borderId="1" pivotButton="0" quotePrefix="0" xfId="0"/>
    <xf numFmtId="0" fontId="16" fillId="0" borderId="10" applyAlignment="1" pivotButton="0" quotePrefix="0" xfId="22">
      <alignment horizontal="center"/>
    </xf>
    <xf numFmtId="0" fontId="0" fillId="0" borderId="11" pivotButton="0" quotePrefix="0" xfId="0"/>
    <xf numFmtId="0" fontId="15" fillId="9" borderId="1" applyAlignment="1" pivotButton="0" quotePrefix="0" xfId="22">
      <alignment horizontal="center"/>
    </xf>
    <xf numFmtId="171" fontId="4" fillId="0" borderId="0" applyAlignment="1" pivotButton="0" quotePrefix="0" xfId="30">
      <alignment horizontal="right" vertical="center"/>
    </xf>
    <xf numFmtId="171" fontId="4" fillId="0" borderId="0" applyAlignment="1" pivotButton="0" quotePrefix="0" xfId="24">
      <alignment horizontal="right" vertical="center"/>
    </xf>
    <xf numFmtId="192" fontId="4" fillId="0" borderId="0" applyAlignment="1" pivotButton="0" quotePrefix="0" xfId="24">
      <alignment horizontal="right" vertical="center"/>
    </xf>
    <xf numFmtId="193" fontId="4" fillId="0" borderId="0" applyAlignment="1" pivotButton="0" quotePrefix="0" xfId="24">
      <alignment horizontal="right" vertical="center"/>
    </xf>
    <xf numFmtId="192" fontId="4" fillId="0" borderId="0" applyAlignment="1" pivotButton="0" quotePrefix="0" xfId="30">
      <alignment horizontal="right" vertical="center"/>
    </xf>
    <xf numFmtId="192" fontId="4" fillId="0" borderId="0" applyAlignment="1" pivotButton="0" quotePrefix="0" xfId="24">
      <alignment horizontal="right" vertical="center"/>
    </xf>
    <xf numFmtId="193" fontId="4" fillId="0" borderId="0" applyAlignment="1" pivotButton="0" quotePrefix="0" xfId="24">
      <alignment horizontal="right" vertical="center"/>
    </xf>
    <xf numFmtId="192" fontId="4" fillId="0" borderId="0" applyAlignment="1" pivotButton="0" quotePrefix="0" xfId="30">
      <alignment horizontal="right" vertical="center"/>
    </xf>
    <xf numFmtId="200" fontId="0" fillId="0" borderId="0" pivotButton="0" quotePrefix="0" xfId="0"/>
    <xf numFmtId="169" fontId="11" fillId="7" borderId="0" applyAlignment="1" pivotButton="0" quotePrefix="0" xfId="21">
      <alignment horizontal="center"/>
    </xf>
    <xf numFmtId="0" fontId="23" fillId="15" borderId="0" applyAlignment="1" pivotButton="0" quotePrefix="0" xfId="0">
      <alignment horizontal="left"/>
    </xf>
    <xf numFmtId="0" fontId="24" fillId="16" borderId="0" pivotButton="0" quotePrefix="0" xfId="0"/>
    <xf numFmtId="3" fontId="24" fillId="17" borderId="0" applyAlignment="1" pivotButton="0" quotePrefix="0" xfId="0">
      <alignment horizontal="center"/>
    </xf>
    <xf numFmtId="3" fontId="24" fillId="0" borderId="0" applyAlignment="1" pivotButton="0" quotePrefix="0" xfId="0">
      <alignment horizontal="center"/>
    </xf>
    <xf numFmtId="0" fontId="25" fillId="16" borderId="0" pivotButton="0" quotePrefix="0" xfId="0"/>
    <xf numFmtId="171" fontId="24" fillId="17" borderId="0" applyAlignment="1" pivotButton="0" quotePrefix="0" xfId="0">
      <alignment horizontal="center"/>
    </xf>
    <xf numFmtId="171" fontId="24" fillId="0" borderId="0" applyAlignment="1" pivotButton="0" quotePrefix="0" xfId="0">
      <alignment horizontal="center"/>
    </xf>
    <xf numFmtId="201" fontId="22" fillId="13" borderId="0" pivotButton="0" quotePrefix="0" xfId="24"/>
  </cellXfs>
  <cellStyles count="35">
    <cellStyle name="Normal" xfId="0" builtinId="0"/>
    <cellStyle name="Comma" xfId="1"/>
    <cellStyle name="Comma 1" xfId="2"/>
    <cellStyle name="Comma 2" xfId="3"/>
    <cellStyle name="Comma 3" xfId="4"/>
    <cellStyle name="Comma [0]" xfId="5"/>
    <cellStyle name="Comma [0] 2" xfId="6"/>
    <cellStyle name="Comma [0] 3" xfId="7"/>
    <cellStyle name="Comma [0] 4" xfId="8"/>
    <cellStyle name="Currency" xfId="9"/>
    <cellStyle name="Currency 2" xfId="10"/>
    <cellStyle name="Currency 3" xfId="11"/>
    <cellStyle name="Currency 4" xfId="12"/>
    <cellStyle name="Currency 5" xfId="13"/>
    <cellStyle name="Currency [0]" xfId="14"/>
    <cellStyle name="Currency [0] 4" xfId="15"/>
    <cellStyle name="Currency [0] 5" xfId="16"/>
    <cellStyle name="Currency [0] 6" xfId="17"/>
    <cellStyle name="m/d/yy" xfId="18"/>
    <cellStyle name="Normal 3" xfId="19"/>
    <cellStyle name="Normal 2" xfId="20"/>
    <cellStyle name="Normal 2 2" xfId="21"/>
    <cellStyle name="Normal 2 3" xfId="22"/>
    <cellStyle name="Normal 4" xfId="23"/>
    <cellStyle name="Normal 5" xfId="24"/>
    <cellStyle name="Normal 6" xfId="25"/>
    <cellStyle name="Normal 7" xfId="26"/>
    <cellStyle name="Normal [3] 2" xfId="27"/>
    <cellStyle name="Output_dcfmodel" xfId="28"/>
    <cellStyle name="Percent" xfId="29"/>
    <cellStyle name="Percent 6" xfId="30"/>
    <cellStyle name="Percent 7" xfId="31"/>
    <cellStyle name="Percent 8" xfId="32"/>
    <cellStyle name="Porcentagem 3" xfId="33"/>
    <cellStyle name="Separador de milhares 2 17" xfId="34"/>
  </cellStyles>
  <dxfs count="24"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</font>
      <fill>
        <patternFill>
          <bgColor rgb="FF00B05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</font>
      <fill>
        <patternFill>
          <bgColor rgb="FF00B05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FF2CC"/>
      <rgbColor rgb="FF99CCFF"/>
      <rgbColor rgb="FFFF99CC"/>
      <rgbColor rgb="FFCC99FF"/>
      <rgbColor rgb="FFD9D9D9"/>
      <rgbColor rgb="FF4472C4"/>
      <rgbColor rgb="FF46B1E1"/>
      <rgbColor rgb="FF99CC00"/>
      <rgbColor rgb="FFFFCC00"/>
      <rgbColor rgb="FFFF9900"/>
      <rgbColor rgb="FFFF6600"/>
      <rgbColor rgb="FF666699"/>
      <rgbColor rgb="FF70AD47"/>
      <rgbColor rgb="FF17365D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None</author>
  </authors>
  <commentList>
    <comment ref="D64" authorId="0" shapeId="0">
      <text>
        <t>MG: 
- expected rate of return on new invested capital</t>
      </text>
    </comment>
  </commentList>
</comment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1"/>
  <sheetViews>
    <sheetView showGridLines="0" tabSelected="1" zoomScaleNormal="100" workbookViewId="0">
      <pane xSplit="3" ySplit="2" topLeftCell="D3" activePane="bottomRight" state="frozen"/>
      <selection activeCell="C3" sqref="C3"/>
      <selection pane="topRight" activeCell="C3" sqref="C3"/>
      <selection pane="bottomLeft" activeCell="C3" sqref="C3"/>
      <selection pane="bottomRight" activeCell="C3" sqref="C3"/>
    </sheetView>
  </sheetViews>
  <sheetFormatPr baseColWidth="8" defaultColWidth="9.7109375" defaultRowHeight="12.75"/>
  <cols>
    <col width="90" customWidth="1" min="1" max="1"/>
    <col width="10.140625" customWidth="1" min="2" max="2"/>
    <col width="45" customWidth="1" min="3" max="3"/>
    <col width="12.42578125" customWidth="1" min="4" max="33"/>
  </cols>
  <sheetData>
    <row r="1" ht="14.25" customHeight="1">
      <c r="A1" s="1" t="inlineStr">
        <is>
          <t>Base histórica normalizada (US$ mil) — convertida da máscara anterior; linhas de origem auditáveis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</row>
    <row r="2" ht="14.25" customHeight="1">
      <c r="A2" s="2" t="inlineStr">
        <is>
          <t>Fonte / conta original</t>
        </is>
      </c>
      <c r="B2" s="2" t="inlineStr">
        <is>
          <t>Código</t>
        </is>
      </c>
      <c r="C2" s="2" t="inlineStr">
        <is>
          <t>Conta padronizada</t>
        </is>
      </c>
      <c r="D2" s="2" t="inlineStr">
        <is>
          <t>1Q21</t>
        </is>
      </c>
      <c r="E2" s="2" t="inlineStr">
        <is>
          <t>2Q21</t>
        </is>
      </c>
      <c r="F2" s="2" t="inlineStr">
        <is>
          <t>3Q21</t>
        </is>
      </c>
      <c r="G2" s="2" t="inlineStr">
        <is>
          <t>4Q21</t>
        </is>
      </c>
      <c r="H2" s="2" t="inlineStr">
        <is>
          <t>2021</t>
        </is>
      </c>
      <c r="I2" s="2" t="inlineStr">
        <is>
          <t>1Q22</t>
        </is>
      </c>
      <c r="J2" s="2" t="inlineStr">
        <is>
          <t>2Q22</t>
        </is>
      </c>
      <c r="K2" s="2" t="inlineStr">
        <is>
          <t>3Q22</t>
        </is>
      </c>
      <c r="L2" s="2" t="inlineStr">
        <is>
          <t>4Q22</t>
        </is>
      </c>
      <c r="M2" s="2" t="inlineStr">
        <is>
          <t>2022</t>
        </is>
      </c>
      <c r="N2" s="2" t="inlineStr">
        <is>
          <t>1Q23</t>
        </is>
      </c>
      <c r="O2" s="2" t="inlineStr">
        <is>
          <t>2Q23</t>
        </is>
      </c>
      <c r="P2" s="2" t="inlineStr">
        <is>
          <t>3Q23</t>
        </is>
      </c>
      <c r="Q2" s="2" t="inlineStr">
        <is>
          <t>4Q23</t>
        </is>
      </c>
      <c r="R2" s="2" t="inlineStr">
        <is>
          <t>2023</t>
        </is>
      </c>
      <c r="S2" s="2" t="inlineStr">
        <is>
          <t>1Q24</t>
        </is>
      </c>
      <c r="T2" s="2" t="inlineStr">
        <is>
          <t>2Q24</t>
        </is>
      </c>
      <c r="U2" s="2" t="inlineStr">
        <is>
          <t>3Q24</t>
        </is>
      </c>
      <c r="V2" s="2" t="inlineStr">
        <is>
          <t>4Q24</t>
        </is>
      </c>
      <c r="W2" s="2" t="inlineStr">
        <is>
          <t>2024</t>
        </is>
      </c>
      <c r="X2" s="2" t="inlineStr">
        <is>
          <t>1Q25</t>
        </is>
      </c>
      <c r="Y2" s="2" t="inlineStr">
        <is>
          <t>2Q25</t>
        </is>
      </c>
      <c r="Z2" s="2" t="inlineStr">
        <is>
          <t>3Q25</t>
        </is>
      </c>
      <c r="AA2" s="2" t="inlineStr">
        <is>
          <t>4Q25</t>
        </is>
      </c>
      <c r="AB2" s="2" t="inlineStr">
        <is>
          <t>2025</t>
        </is>
      </c>
      <c r="AC2" s="2" t="inlineStr">
        <is>
          <t>1Q26</t>
        </is>
      </c>
      <c r="AD2" s="2" t="inlineStr">
        <is>
          <t>2Q26</t>
        </is>
      </c>
      <c r="AE2" s="2" t="inlineStr">
        <is>
          <t>3Q26</t>
        </is>
      </c>
      <c r="AF2" s="2" t="inlineStr">
        <is>
          <t>4Q26</t>
        </is>
      </c>
      <c r="AG2" s="2" t="inlineStr">
        <is>
          <t>2026</t>
        </is>
      </c>
    </row>
    <row r="3">
      <c r="A3" t="inlineStr">
        <is>
          <t>Fonte: ver coluna A de cada linha</t>
        </is>
      </c>
      <c r="C3" t="inlineStr">
        <is>
          <t>Unidade: US$ mil (monetário); demais unidades × 1.000</t>
        </is>
      </c>
    </row>
    <row r="4">
      <c r="A4" t="inlineStr">
        <is>
          <t>DRE - trimestre isolado (USD). Brutos SEC XBRL; linhas "derivada" são fórmulas nesta aba</t>
        </is>
      </c>
      <c r="C4" t="inlineStr">
        <is>
          <t>[linha bruta, sem código; lançada nas linhas abaixo]</t>
        </is>
      </c>
      <c r="D4" s="265" t="n"/>
      <c r="E4" s="265" t="n"/>
      <c r="F4" s="265" t="n"/>
      <c r="G4" s="265" t="n"/>
      <c r="I4" s="265" t="n"/>
      <c r="J4" s="265" t="n"/>
      <c r="K4" s="265" t="n"/>
      <c r="L4" s="265" t="n"/>
      <c r="N4" s="265" t="n"/>
      <c r="O4" s="265" t="n"/>
      <c r="P4" s="265" t="n"/>
      <c r="Q4" s="265" t="n"/>
      <c r="S4" s="265" t="n"/>
      <c r="T4" s="265" t="n"/>
      <c r="U4" s="265" t="n"/>
      <c r="V4" s="265" t="n"/>
      <c r="X4" s="265" t="n"/>
      <c r="Y4" s="265" t="n"/>
      <c r="Z4" s="265" t="n"/>
      <c r="AA4" s="265" t="n"/>
      <c r="AC4" s="265" t="n"/>
      <c r="AD4" s="265" t="n"/>
    </row>
    <row r="5">
      <c r="A5" t="inlineStr">
        <is>
          <t>Receita [us-gaap:Revenues] · fonte · unid. moeda</t>
        </is>
      </c>
      <c r="B5" t="n">
        <v>1</v>
      </c>
      <c r="C5" t="inlineStr">
        <is>
          <t>Net Revenues</t>
        </is>
      </c>
      <c r="D5" s="265" t="n">
        <v>59147000</v>
      </c>
      <c r="E5" s="265" t="n">
        <v>67742000</v>
      </c>
      <c r="F5" s="265" t="n">
        <v>73786000</v>
      </c>
      <c r="G5" s="265" t="n">
        <v>84965000</v>
      </c>
      <c r="I5" s="265" t="n">
        <v>90500000</v>
      </c>
      <c r="J5" s="265" t="n">
        <v>115681000</v>
      </c>
      <c r="K5" s="265" t="n">
        <v>112070000</v>
      </c>
      <c r="L5" s="265" t="n">
        <v>95429000</v>
      </c>
      <c r="N5" s="265" t="n">
        <v>86564000</v>
      </c>
      <c r="O5" s="265" t="n">
        <v>82914000</v>
      </c>
      <c r="P5" s="265" t="n">
        <v>90760000</v>
      </c>
      <c r="Q5" s="265" t="n">
        <v>84344000</v>
      </c>
      <c r="S5" s="265" t="n">
        <v>83083000</v>
      </c>
      <c r="T5" s="265" t="n">
        <v>93060000</v>
      </c>
      <c r="U5" s="265" t="n">
        <v>90016000</v>
      </c>
      <c r="V5" s="265" t="n">
        <v>83426000</v>
      </c>
      <c r="X5" s="265" t="n">
        <v>83130000</v>
      </c>
      <c r="Y5" s="265" t="n">
        <v>81506000</v>
      </c>
      <c r="Z5" s="265" t="n">
        <v>85294000</v>
      </c>
      <c r="AA5" s="265" t="n">
        <v>82308000</v>
      </c>
      <c r="AC5" s="265" t="n">
        <v>85138000</v>
      </c>
      <c r="AD5" s="265" t="n">
        <v>116017000</v>
      </c>
    </row>
    <row r="6">
      <c r="A6" t="inlineStr">
        <is>
          <t>Custo da receita (divulgado positivo) [us-gaap:CrudeOilAndProductPurchases] · fonte · unid. moeda</t>
        </is>
      </c>
      <c r="C6" t="inlineStr">
        <is>
          <t>[linha bruta, sem código; lançada nas linhas abaixo]</t>
        </is>
      </c>
      <c r="D6" s="265" t="n">
        <v>32601000</v>
      </c>
      <c r="E6" s="265" t="n">
        <v>37329000</v>
      </c>
      <c r="F6" s="265" t="n">
        <v>39745000</v>
      </c>
      <c r="G6" s="265" t="n">
        <v>45489000</v>
      </c>
      <c r="I6" s="265" t="n">
        <v>52388000</v>
      </c>
      <c r="J6" s="265" t="n">
        <v>65613000</v>
      </c>
      <c r="K6" s="265" t="n">
        <v>60197000</v>
      </c>
      <c r="L6" s="265" t="n">
        <v>50761000</v>
      </c>
      <c r="N6" s="265" t="n">
        <v>46003000</v>
      </c>
      <c r="O6" s="265" t="n">
        <v>47598000</v>
      </c>
      <c r="P6" s="265" t="n">
        <v>53076000</v>
      </c>
      <c r="Q6" s="265" t="n">
        <v>46352000</v>
      </c>
      <c r="S6" s="265" t="n">
        <v>47601000</v>
      </c>
      <c r="T6" s="265" t="n">
        <v>54199000</v>
      </c>
      <c r="U6" s="265" t="n">
        <v>51261000</v>
      </c>
      <c r="V6" s="265" t="n">
        <v>46393000</v>
      </c>
      <c r="X6" s="265" t="n">
        <v>46788000</v>
      </c>
      <c r="Y6" s="265" t="n">
        <v>45327000</v>
      </c>
      <c r="Z6" s="265" t="n">
        <v>47928000</v>
      </c>
      <c r="AA6" s="265" t="n">
        <v>44205000</v>
      </c>
      <c r="AC6" s="265" t="n">
        <v>51802000</v>
      </c>
      <c r="AD6" s="265" t="n">
        <v>67801000</v>
      </c>
    </row>
    <row r="7">
      <c r="A7" t="inlineStr">
        <is>
          <t>(lançamento) código 2, sinal -1 sobre a linha bruta 6: Custo da receita (divulgado positivo) [us-gaap:CrudeOilAndProductPurchases]</t>
        </is>
      </c>
      <c r="B7" t="n">
        <v>2</v>
      </c>
      <c r="C7" t="inlineStr">
        <is>
          <t>COGS (cash)</t>
        </is>
      </c>
      <c r="D7" s="265">
        <f>IF(D6="","",-1*D6)</f>
        <v>-32601000</v>
      </c>
      <c r="E7" s="265">
        <f>IF(E6="","",-1*E6)</f>
        <v>-37329000</v>
      </c>
      <c r="F7" s="265">
        <f>IF(F6="","",-1*F6)</f>
        <v>-39745000</v>
      </c>
      <c r="G7" s="265">
        <f>IF(G6="","",-1*G6)</f>
        <v>-45489000</v>
      </c>
      <c r="I7" s="265">
        <f>IF(I6="","",-1*I6)</f>
        <v>-52388000</v>
      </c>
      <c r="J7" s="265">
        <f>IF(J6="","",-1*J6)</f>
        <v>-65613000</v>
      </c>
      <c r="K7" s="265">
        <f>IF(K6="","",-1*K6)</f>
        <v>-60197000</v>
      </c>
      <c r="L7" s="265">
        <f>IF(L6="","",-1*L6)</f>
        <v>-50761000</v>
      </c>
      <c r="N7" s="265">
        <f>IF(N6="","",-1*N6)</f>
        <v>-46003000</v>
      </c>
      <c r="O7" s="265">
        <f>IF(O6="","",-1*O6)</f>
        <v>-47598000</v>
      </c>
      <c r="P7" s="265">
        <f>IF(P6="","",-1*P6)</f>
        <v>-53076000</v>
      </c>
      <c r="Q7" s="265">
        <f>IF(Q6="","",-1*Q6)</f>
        <v>-46352000</v>
      </c>
      <c r="S7" s="265">
        <f>IF(S6="","",-1*S6)</f>
        <v>-47601000</v>
      </c>
      <c r="T7" s="265">
        <f>IF(T6="","",-1*T6)</f>
        <v>-54199000</v>
      </c>
      <c r="U7" s="265">
        <f>IF(U6="","",-1*U6)</f>
        <v>-51261000</v>
      </c>
      <c r="V7" s="265">
        <f>IF(V6="","",-1*V6)</f>
        <v>-46393000</v>
      </c>
      <c r="X7" s="265">
        <f>IF(X6="","",-1*X6)</f>
        <v>-46788000</v>
      </c>
      <c r="Y7" s="265">
        <f>IF(Y6="","",-1*Y6)</f>
        <v>-45327000</v>
      </c>
      <c r="Z7" s="265">
        <f>IF(Z6="","",-1*Z6)</f>
        <v>-47928000</v>
      </c>
      <c r="AA7" s="265">
        <f>IF(AA6="","",-1*AA6)</f>
        <v>-44205000</v>
      </c>
      <c r="AC7" s="265">
        <f>IF(AC6="","",-1*AC6)</f>
        <v>-51802000</v>
      </c>
      <c r="AD7" s="265">
        <f>IF(AD6="","",-1*AD6)</f>
        <v>-67801000</v>
      </c>
    </row>
    <row r="8">
      <c r="A8" t="inlineStr">
        <is>
          <t>Lucro operacional DERIVADO = receita - custos e despesas totais [us-gaap:CostsAndExpenses] + despesa de juros (a companhia não divulga lucro operacional) · memoria · unid. moeda</t>
        </is>
      </c>
      <c r="C8" t="inlineStr">
        <is>
          <t>[linha bruta, sem código; lançada nas linhas abaixo]</t>
        </is>
      </c>
      <c r="D8" s="265" t="n">
        <v>3850000</v>
      </c>
      <c r="E8" s="265" t="n">
        <v>6561000</v>
      </c>
      <c r="F8" s="265" t="n">
        <v>9820000</v>
      </c>
      <c r="G8" s="265" t="n">
        <v>11950000</v>
      </c>
      <c r="I8" s="265" t="n">
        <v>8744000</v>
      </c>
      <c r="J8" s="265" t="n">
        <v>25127000</v>
      </c>
      <c r="K8" s="265" t="n">
        <v>25631000</v>
      </c>
      <c r="L8" s="265" t="n">
        <v>19049000</v>
      </c>
      <c r="N8" s="265" t="n">
        <v>16962000</v>
      </c>
      <c r="O8" s="265" t="n">
        <v>11905000</v>
      </c>
      <c r="P8" s="265" t="n">
        <v>13868000</v>
      </c>
      <c r="Q8" s="265" t="n">
        <v>10897000</v>
      </c>
      <c r="S8" s="265" t="n">
        <v>12590000</v>
      </c>
      <c r="T8" s="265" t="n">
        <v>13936000</v>
      </c>
      <c r="U8" s="265" t="n">
        <v>13233000</v>
      </c>
      <c r="V8" s="265" t="n">
        <v>10110000</v>
      </c>
      <c r="X8" s="265" t="n">
        <v>11805000</v>
      </c>
      <c r="Y8" s="265" t="n">
        <v>10850000</v>
      </c>
      <c r="Z8" s="265" t="n">
        <v>11022000</v>
      </c>
      <c r="AA8" s="265" t="n">
        <v>8194000</v>
      </c>
      <c r="AC8" s="265" t="n">
        <v>7262000</v>
      </c>
      <c r="AD8" s="265" t="n">
        <v>19651000</v>
      </c>
    </row>
    <row r="9">
      <c r="A9" t="inlineStr">
        <is>
          <t>Despesas operacionais = receita - custo - lucro operacional (P&amp;D + SG&amp;A + outras operacionais) · derivada · unid. moeda</t>
        </is>
      </c>
      <c r="C9" t="inlineStr">
        <is>
          <t>[linha bruta, sem código; lançada nas linhas abaixo]</t>
        </is>
      </c>
      <c r="D9" s="265">
        <f>N(D5)-N(D6)-N(D8)</f>
        <v>22696000</v>
      </c>
      <c r="E9" s="265">
        <f>N(E5)-N(E6)-N(E8)</f>
        <v>23852000</v>
      </c>
      <c r="F9" s="265">
        <f>N(F5)-N(F6)-N(F8)</f>
        <v>24221000</v>
      </c>
      <c r="G9" s="265">
        <f>N(G5)-N(G6)-N(G8)</f>
        <v>27526000</v>
      </c>
      <c r="I9" s="265">
        <f>N(I5)-N(I6)-N(I8)</f>
        <v>29368000</v>
      </c>
      <c r="J9" s="265">
        <f>N(J5)-N(J6)-N(J8)</f>
        <v>24941000</v>
      </c>
      <c r="K9" s="265">
        <f>N(K5)-N(K6)-N(K8)</f>
        <v>26242000</v>
      </c>
      <c r="L9" s="265">
        <f>N(L5)-N(L6)-N(L8)</f>
        <v>25619000</v>
      </c>
      <c r="N9" s="265">
        <f>N(N5)-N(N6)-N(N8)</f>
        <v>23599000</v>
      </c>
      <c r="O9" s="265">
        <f>N(O5)-N(O6)-N(O8)</f>
        <v>23411000</v>
      </c>
      <c r="P9" s="265">
        <f>N(P5)-N(P6)-N(P8)</f>
        <v>23816000</v>
      </c>
      <c r="Q9" s="265">
        <f>N(Q5)-N(Q6)-N(Q8)</f>
        <v>27095000</v>
      </c>
      <c r="S9" s="265">
        <f>N(S5)-N(S6)-N(S8)</f>
        <v>22892000</v>
      </c>
      <c r="T9" s="265">
        <f>N(T5)-N(T6)-N(T8)</f>
        <v>24925000</v>
      </c>
      <c r="U9" s="265">
        <f>N(U5)-N(U6)-N(U8)</f>
        <v>25522000</v>
      </c>
      <c r="V9" s="265">
        <f>N(V5)-N(V6)-N(V8)</f>
        <v>26923000</v>
      </c>
      <c r="X9" s="265">
        <f>N(X5)-N(X6)-N(X8)</f>
        <v>24537000</v>
      </c>
      <c r="Y9" s="265">
        <f>N(Y5)-N(Y6)-N(Y8)</f>
        <v>25329000</v>
      </c>
      <c r="Z9" s="265">
        <f>N(Z5)-N(Z6)-N(Z8)</f>
        <v>26344000</v>
      </c>
      <c r="AA9" s="265">
        <f>N(AA5)-N(AA6)-N(AA8)</f>
        <v>29909000</v>
      </c>
      <c r="AC9" s="265">
        <f>N(AC5)-N(AC6)-N(AC8)</f>
        <v>26074000</v>
      </c>
      <c r="AD9" s="265">
        <f>N(AD5)-N(AD6)-N(AD8)</f>
        <v>28565000</v>
      </c>
    </row>
    <row r="10">
      <c r="A10" t="inlineStr">
        <is>
          <t>(lançamento) código 3, sinal -1 sobre a linha bruta 9: Despesas operacionais = receita - custo - lucro operacional (P&amp;D + SG&amp;A + outras operacion</t>
        </is>
      </c>
      <c r="B10" t="n">
        <v>3</v>
      </c>
      <c r="C10" t="inlineStr">
        <is>
          <t>SG&amp;A and Other (cash)</t>
        </is>
      </c>
      <c r="D10" s="265">
        <f>IF(D9="","",-1*D9)</f>
        <v>-22696000</v>
      </c>
      <c r="E10" s="265">
        <f>IF(E9="","",-1*E9)</f>
        <v>-23852000</v>
      </c>
      <c r="F10" s="265">
        <f>IF(F9="","",-1*F9)</f>
        <v>-24221000</v>
      </c>
      <c r="G10" s="265">
        <f>IF(G9="","",-1*G9)</f>
        <v>-27526000</v>
      </c>
      <c r="I10" s="265">
        <f>IF(I9="","",-1*I9)</f>
        <v>-29368000</v>
      </c>
      <c r="J10" s="265">
        <f>IF(J9="","",-1*J9)</f>
        <v>-24941000</v>
      </c>
      <c r="K10" s="265">
        <f>IF(K9="","",-1*K9)</f>
        <v>-26242000</v>
      </c>
      <c r="L10" s="265">
        <f>IF(L9="","",-1*L9)</f>
        <v>-25619000</v>
      </c>
      <c r="N10" s="265">
        <f>IF(N9="","",-1*N9)</f>
        <v>-23599000</v>
      </c>
      <c r="O10" s="265">
        <f>IF(O9="","",-1*O9)</f>
        <v>-23411000</v>
      </c>
      <c r="P10" s="265">
        <f>IF(P9="","",-1*P9)</f>
        <v>-23816000</v>
      </c>
      <c r="Q10" s="265">
        <f>IF(Q9="","",-1*Q9)</f>
        <v>-27095000</v>
      </c>
      <c r="S10" s="265">
        <f>IF(S9="","",-1*S9)</f>
        <v>-22892000</v>
      </c>
      <c r="T10" s="265">
        <f>IF(T9="","",-1*T9)</f>
        <v>-24925000</v>
      </c>
      <c r="U10" s="265">
        <f>IF(U9="","",-1*U9)</f>
        <v>-25522000</v>
      </c>
      <c r="V10" s="265">
        <f>IF(V9="","",-1*V9)</f>
        <v>-26923000</v>
      </c>
      <c r="X10" s="265">
        <f>IF(X9="","",-1*X9)</f>
        <v>-24537000</v>
      </c>
      <c r="Y10" s="265">
        <f>IF(Y9="","",-1*Y9)</f>
        <v>-25329000</v>
      </c>
      <c r="Z10" s="265">
        <f>IF(Z9="","",-1*Z9)</f>
        <v>-26344000</v>
      </c>
      <c r="AA10" s="265">
        <f>IF(AA9="","",-1*AA9)</f>
        <v>-29909000</v>
      </c>
      <c r="AC10" s="265">
        <f>IF(AC9="","",-1*AC9)</f>
        <v>-26074000</v>
      </c>
      <c r="AD10" s="265">
        <f>IF(AD9="","",-1*AD9)</f>
        <v>-28565000</v>
      </c>
    </row>
    <row r="11">
      <c r="A11" t="inlineStr">
        <is>
          <t>Lucro antes do IR [us-gaap:IncomeLossFromContinuingOperationsBeforeIncomeTaxesExtraordi] · memoria · unid. moeda</t>
        </is>
      </c>
      <c r="C11" t="inlineStr">
        <is>
          <t>[linha bruta, sem código; lançada nas linhas abaixo]</t>
        </is>
      </c>
      <c r="D11" s="265" t="n">
        <v>3592000</v>
      </c>
      <c r="E11" s="265" t="n">
        <v>6307000</v>
      </c>
      <c r="F11" s="265" t="n">
        <v>9606000</v>
      </c>
      <c r="G11" s="265" t="n">
        <v>11729000</v>
      </c>
      <c r="I11" s="265" t="n">
        <v>8556000</v>
      </c>
      <c r="J11" s="265" t="n">
        <v>24933000</v>
      </c>
      <c r="K11" s="265" t="n">
        <v>25422000</v>
      </c>
      <c r="L11" s="265" t="n">
        <v>18842000</v>
      </c>
      <c r="N11" s="265" t="n">
        <v>16803000</v>
      </c>
      <c r="O11" s="265" t="n">
        <v>11656000</v>
      </c>
      <c r="P11" s="265" t="n">
        <v>13699000</v>
      </c>
      <c r="Q11" s="265" t="n">
        <v>10625000</v>
      </c>
      <c r="S11" s="265" t="n">
        <v>12369000</v>
      </c>
      <c r="T11" s="265" t="n">
        <v>13665000</v>
      </c>
      <c r="U11" s="265" t="n">
        <v>13026000</v>
      </c>
      <c r="V11" s="265" t="n">
        <v>9813000</v>
      </c>
      <c r="X11" s="265" t="n">
        <v>11600000</v>
      </c>
      <c r="Y11" s="265" t="n">
        <v>10705000</v>
      </c>
      <c r="Z11" s="265" t="n">
        <v>10932000</v>
      </c>
      <c r="AA11" s="265" t="n">
        <v>8031000</v>
      </c>
      <c r="AC11" s="265" t="n">
        <v>6967000</v>
      </c>
      <c r="AD11" s="265" t="n">
        <v>19424000</v>
      </c>
    </row>
    <row r="12">
      <c r="A12" t="inlineStr">
        <is>
          <t>Resultado não operacional total = lucro antes do IR - lucro operacional · derivada · unid. moeda</t>
        </is>
      </c>
      <c r="B12" t="n">
        <v>6</v>
      </c>
      <c r="C12" t="inlineStr">
        <is>
          <t>Nonoperating Income / (Loss)</t>
        </is>
      </c>
      <c r="D12" s="265">
        <f>N(D11)-N(D8)</f>
        <v>-258000</v>
      </c>
      <c r="E12" s="265">
        <f>N(E11)-N(E8)</f>
        <v>-254000</v>
      </c>
      <c r="F12" s="265">
        <f>N(F11)-N(F8)</f>
        <v>-214000</v>
      </c>
      <c r="G12" s="265">
        <f>N(G11)-N(G8)</f>
        <v>-221000</v>
      </c>
      <c r="I12" s="265">
        <f>N(I11)-N(I8)</f>
        <v>-188000</v>
      </c>
      <c r="J12" s="265">
        <f>N(J11)-N(J8)</f>
        <v>-194000</v>
      </c>
      <c r="K12" s="265">
        <f>N(K11)-N(K8)</f>
        <v>-209000</v>
      </c>
      <c r="L12" s="265">
        <f>N(L11)-N(L8)</f>
        <v>-207000</v>
      </c>
      <c r="N12" s="265">
        <f>N(N11)-N(N8)</f>
        <v>-159000</v>
      </c>
      <c r="O12" s="265">
        <f>N(O11)-N(O8)</f>
        <v>-249000</v>
      </c>
      <c r="P12" s="265">
        <f>N(P11)-N(P8)</f>
        <v>-169000</v>
      </c>
      <c r="Q12" s="265">
        <f>N(Q11)-N(Q8)</f>
        <v>-272000</v>
      </c>
      <c r="S12" s="265">
        <f>N(S11)-N(S8)</f>
        <v>-221000</v>
      </c>
      <c r="T12" s="265">
        <f>N(T11)-N(T8)</f>
        <v>-271000</v>
      </c>
      <c r="U12" s="265">
        <f>N(U11)-N(U8)</f>
        <v>-207000</v>
      </c>
      <c r="V12" s="265">
        <f>N(V11)-N(V8)</f>
        <v>-297000</v>
      </c>
      <c r="X12" s="265">
        <f>N(X11)-N(X8)</f>
        <v>-205000</v>
      </c>
      <c r="Y12" s="265">
        <f>N(Y11)-N(Y8)</f>
        <v>-145000</v>
      </c>
      <c r="Z12" s="265">
        <f>N(Z11)-N(Z8)</f>
        <v>-90000</v>
      </c>
      <c r="AA12" s="265">
        <f>N(AA11)-N(AA8)</f>
        <v>-163000</v>
      </c>
      <c r="AC12" s="265">
        <f>N(AC11)-N(AC8)</f>
        <v>-295000</v>
      </c>
      <c r="AD12" s="265">
        <f>N(AD11)-N(AD8)</f>
        <v>-227000</v>
      </c>
    </row>
    <row r="13">
      <c r="A13" t="inlineStr">
        <is>
          <t>Despesa de juros (divulgado positivo): COD1=5 lança; COD2=6 devolve ao não operacional, que já a contém [us-gaap:InterestExpense/InterestExpenseNonoperating] · fonte · unid. moeda</t>
        </is>
      </c>
      <c r="C13" t="inlineStr">
        <is>
          <t>[linha bruta, sem código; lançada nas linhas abaixo]</t>
        </is>
      </c>
      <c r="D13" s="265" t="n">
        <v>258000</v>
      </c>
      <c r="E13" s="265" t="n">
        <v>254000</v>
      </c>
      <c r="F13" s="265" t="n">
        <v>214000</v>
      </c>
      <c r="G13" s="265" t="n">
        <v>221000</v>
      </c>
      <c r="I13" s="265" t="n">
        <v>188000</v>
      </c>
      <c r="J13" s="265" t="n">
        <v>194000</v>
      </c>
      <c r="K13" s="265" t="n">
        <v>209000</v>
      </c>
      <c r="L13" s="265" t="n">
        <v>207000</v>
      </c>
      <c r="N13" s="265" t="n">
        <v>159000</v>
      </c>
      <c r="O13" s="265" t="n">
        <v>249000</v>
      </c>
      <c r="P13" s="265" t="n">
        <v>169000</v>
      </c>
      <c r="Q13" s="265" t="n">
        <v>272000</v>
      </c>
      <c r="S13" s="265" t="n">
        <v>221000</v>
      </c>
      <c r="T13" s="265" t="n">
        <v>271000</v>
      </c>
      <c r="U13" s="265" t="n">
        <v>207000</v>
      </c>
      <c r="V13" s="265" t="n">
        <v>297000</v>
      </c>
      <c r="X13" s="265" t="n">
        <v>205000</v>
      </c>
      <c r="Y13" s="265" t="n">
        <v>145000</v>
      </c>
      <c r="Z13" s="265" t="n">
        <v>90000</v>
      </c>
      <c r="AA13" s="265" t="n">
        <v>163000</v>
      </c>
      <c r="AC13" s="265" t="n">
        <v>295000</v>
      </c>
      <c r="AD13" s="265" t="n">
        <v>227000</v>
      </c>
    </row>
    <row r="14">
      <c r="A14" t="inlineStr">
        <is>
          <t>(lançamento) código 5, sinal -1 sobre a linha bruta 13: Despesa de juros (divulgado positivo): COD1=5 lança; COD2=6 devolve ao não operacional, qu</t>
        </is>
      </c>
      <c r="B14" t="n">
        <v>5</v>
      </c>
      <c r="C14" t="inlineStr">
        <is>
          <t>Interest Expense</t>
        </is>
      </c>
      <c r="D14" s="265">
        <f>IF(D13="","",-1*D13)</f>
        <v>-258000</v>
      </c>
      <c r="E14" s="265">
        <f>IF(E13="","",-1*E13)</f>
        <v>-254000</v>
      </c>
      <c r="F14" s="265">
        <f>IF(F13="","",-1*F13)</f>
        <v>-214000</v>
      </c>
      <c r="G14" s="265">
        <f>IF(G13="","",-1*G13)</f>
        <v>-221000</v>
      </c>
      <c r="I14" s="265">
        <f>IF(I13="","",-1*I13)</f>
        <v>-188000</v>
      </c>
      <c r="J14" s="265">
        <f>IF(J13="","",-1*J13)</f>
        <v>-194000</v>
      </c>
      <c r="K14" s="265">
        <f>IF(K13="","",-1*K13)</f>
        <v>-209000</v>
      </c>
      <c r="L14" s="265">
        <f>IF(L13="","",-1*L13)</f>
        <v>-207000</v>
      </c>
      <c r="N14" s="265">
        <f>IF(N13="","",-1*N13)</f>
        <v>-159000</v>
      </c>
      <c r="O14" s="265">
        <f>IF(O13="","",-1*O13)</f>
        <v>-249000</v>
      </c>
      <c r="P14" s="265">
        <f>IF(P13="","",-1*P13)</f>
        <v>-169000</v>
      </c>
      <c r="Q14" s="265">
        <f>IF(Q13="","",-1*Q13)</f>
        <v>-272000</v>
      </c>
      <c r="S14" s="265">
        <f>IF(S13="","",-1*S13)</f>
        <v>-221000</v>
      </c>
      <c r="T14" s="265">
        <f>IF(T13="","",-1*T13)</f>
        <v>-271000</v>
      </c>
      <c r="U14" s="265">
        <f>IF(U13="","",-1*U13)</f>
        <v>-207000</v>
      </c>
      <c r="V14" s="265">
        <f>IF(V13="","",-1*V13)</f>
        <v>-297000</v>
      </c>
      <c r="X14" s="265">
        <f>IF(X13="","",-1*X13)</f>
        <v>-205000</v>
      </c>
      <c r="Y14" s="265">
        <f>IF(Y13="","",-1*Y13)</f>
        <v>-145000</v>
      </c>
      <c r="Z14" s="265">
        <f>IF(Z13="","",-1*Z13)</f>
        <v>-90000</v>
      </c>
      <c r="AA14" s="265">
        <f>IF(AA13="","",-1*AA13)</f>
        <v>-163000</v>
      </c>
      <c r="AC14" s="265">
        <f>IF(AC13="","",-1*AC13)</f>
        <v>-295000</v>
      </c>
      <c r="AD14" s="265">
        <f>IF(AD13="","",-1*AD13)</f>
        <v>-227000</v>
      </c>
    </row>
    <row r="15">
      <c r="A15" t="inlineStr">
        <is>
          <t>(lançamento) código 6, sinal +1 sobre a linha bruta 13: Despesa de juros (divulgado positivo): COD1=5 lança; COD2=6 devolve ao não operacional, qu</t>
        </is>
      </c>
      <c r="B15" t="n">
        <v>6</v>
      </c>
      <c r="C15" t="inlineStr">
        <is>
          <t>Nonoperating Income / (Loss)</t>
        </is>
      </c>
      <c r="D15" s="265">
        <f>IF(D13="","",D13)</f>
        <v>258000</v>
      </c>
      <c r="E15" s="265">
        <f>IF(E13="","",E13)</f>
        <v>254000</v>
      </c>
      <c r="F15" s="265">
        <f>IF(F13="","",F13)</f>
        <v>214000</v>
      </c>
      <c r="G15" s="265">
        <f>IF(G13="","",G13)</f>
        <v>221000</v>
      </c>
      <c r="I15" s="265">
        <f>IF(I13="","",I13)</f>
        <v>188000</v>
      </c>
      <c r="J15" s="265">
        <f>IF(J13="","",J13)</f>
        <v>194000</v>
      </c>
      <c r="K15" s="265">
        <f>IF(K13="","",K13)</f>
        <v>209000</v>
      </c>
      <c r="L15" s="265">
        <f>IF(L13="","",L13)</f>
        <v>207000</v>
      </c>
      <c r="N15" s="265">
        <f>IF(N13="","",N13)</f>
        <v>159000</v>
      </c>
      <c r="O15" s="265">
        <f>IF(O13="","",O13)</f>
        <v>249000</v>
      </c>
      <c r="P15" s="265">
        <f>IF(P13="","",P13)</f>
        <v>169000</v>
      </c>
      <c r="Q15" s="265">
        <f>IF(Q13="","",Q13)</f>
        <v>272000</v>
      </c>
      <c r="S15" s="265">
        <f>IF(S13="","",S13)</f>
        <v>221000</v>
      </c>
      <c r="T15" s="265">
        <f>IF(T13="","",T13)</f>
        <v>271000</v>
      </c>
      <c r="U15" s="265">
        <f>IF(U13="","",U13)</f>
        <v>207000</v>
      </c>
      <c r="V15" s="265">
        <f>IF(V13="","",V13)</f>
        <v>297000</v>
      </c>
      <c r="X15" s="265">
        <f>IF(X13="","",X13)</f>
        <v>205000</v>
      </c>
      <c r="Y15" s="265">
        <f>IF(Y13="","",Y13)</f>
        <v>145000</v>
      </c>
      <c r="Z15" s="265">
        <f>IF(Z13="","",Z13)</f>
        <v>90000</v>
      </c>
      <c r="AA15" s="265">
        <f>IF(AA13="","",AA13)</f>
        <v>163000</v>
      </c>
      <c r="AC15" s="265">
        <f>IF(AC13="","",AC13)</f>
        <v>295000</v>
      </c>
      <c r="AD15" s="265">
        <f>IF(AD13="","",AD13)</f>
        <v>227000</v>
      </c>
    </row>
    <row r="16">
      <c r="A16" t="inlineStr">
        <is>
          <t>Imposto de renda (divulgado positivo) [us-gaap:IncomeTaxExpenseBenefit] · fonte · unid. moeda</t>
        </is>
      </c>
      <c r="C16" t="inlineStr">
        <is>
          <t>[linha bruta, sem código; lançada nas linhas abaixo]</t>
        </is>
      </c>
      <c r="D16" s="265" t="n">
        <v>796000</v>
      </c>
      <c r="E16" s="265" t="n">
        <v>1526000</v>
      </c>
      <c r="F16" s="265" t="n">
        <v>2664000</v>
      </c>
      <c r="G16" s="265" t="n">
        <v>2650000</v>
      </c>
      <c r="I16" s="265" t="n">
        <v>2806000</v>
      </c>
      <c r="J16" s="265" t="n">
        <v>6359000</v>
      </c>
      <c r="K16" s="265" t="n">
        <v>5224000</v>
      </c>
      <c r="L16" s="265" t="n">
        <v>5787000</v>
      </c>
      <c r="N16" s="265" t="n">
        <v>4960000</v>
      </c>
      <c r="O16" s="265" t="n">
        <v>3503000</v>
      </c>
      <c r="P16" s="265" t="n">
        <v>4353000</v>
      </c>
      <c r="Q16" s="265" t="n">
        <v>2613000</v>
      </c>
      <c r="S16" s="265" t="n">
        <v>3803000</v>
      </c>
      <c r="T16" s="265" t="n">
        <v>4094000</v>
      </c>
      <c r="U16" s="265" t="n">
        <v>4055000</v>
      </c>
      <c r="V16" s="265" t="n">
        <v>1858000</v>
      </c>
      <c r="X16" s="265" t="n">
        <v>3567000</v>
      </c>
      <c r="Y16" s="265" t="n">
        <v>3351000</v>
      </c>
      <c r="Z16" s="265" t="n">
        <v>3164000</v>
      </c>
      <c r="AA16" s="265" t="n">
        <v>1422000</v>
      </c>
      <c r="AC16" s="265" t="n">
        <v>2495000</v>
      </c>
      <c r="AD16" s="265" t="n">
        <v>4543000</v>
      </c>
    </row>
    <row r="17">
      <c r="A17" t="inlineStr">
        <is>
          <t>(lançamento) código 7, sinal -1 sobre a linha bruta 16: Imposto de renda (divulgado positivo) [us-gaap:IncomeTaxExpenseBenefit]</t>
        </is>
      </c>
      <c r="B17" t="n">
        <v>7</v>
      </c>
      <c r="C17" t="inlineStr">
        <is>
          <t>Taxes</t>
        </is>
      </c>
      <c r="D17" s="265">
        <f>IF(D16="","",-1*D16)</f>
        <v>-796000</v>
      </c>
      <c r="E17" s="265">
        <f>IF(E16="","",-1*E16)</f>
        <v>-1526000</v>
      </c>
      <c r="F17" s="265">
        <f>IF(F16="","",-1*F16)</f>
        <v>-2664000</v>
      </c>
      <c r="G17" s="265">
        <f>IF(G16="","",-1*G16)</f>
        <v>-2650000</v>
      </c>
      <c r="I17" s="265">
        <f>IF(I16="","",-1*I16)</f>
        <v>-2806000</v>
      </c>
      <c r="J17" s="265">
        <f>IF(J16="","",-1*J16)</f>
        <v>-6359000</v>
      </c>
      <c r="K17" s="265">
        <f>IF(K16="","",-1*K16)</f>
        <v>-5224000</v>
      </c>
      <c r="L17" s="265">
        <f>IF(L16="","",-1*L16)</f>
        <v>-5787000</v>
      </c>
      <c r="N17" s="265">
        <f>IF(N16="","",-1*N16)</f>
        <v>-4960000</v>
      </c>
      <c r="O17" s="265">
        <f>IF(O16="","",-1*O16)</f>
        <v>-3503000</v>
      </c>
      <c r="P17" s="265">
        <f>IF(P16="","",-1*P16)</f>
        <v>-4353000</v>
      </c>
      <c r="Q17" s="265">
        <f>IF(Q16="","",-1*Q16)</f>
        <v>-2613000</v>
      </c>
      <c r="S17" s="265">
        <f>IF(S16="","",-1*S16)</f>
        <v>-3803000</v>
      </c>
      <c r="T17" s="265">
        <f>IF(T16="","",-1*T16)</f>
        <v>-4094000</v>
      </c>
      <c r="U17" s="265">
        <f>IF(U16="","",-1*U16)</f>
        <v>-4055000</v>
      </c>
      <c r="V17" s="265">
        <f>IF(V16="","",-1*V16)</f>
        <v>-1858000</v>
      </c>
      <c r="X17" s="265">
        <f>IF(X16="","",-1*X16)</f>
        <v>-3567000</v>
      </c>
      <c r="Y17" s="265">
        <f>IF(Y16="","",-1*Y16)</f>
        <v>-3351000</v>
      </c>
      <c r="Z17" s="265">
        <f>IF(Z16="","",-1*Z16)</f>
        <v>-3164000</v>
      </c>
      <c r="AA17" s="265">
        <f>IF(AA16="","",-1*AA16)</f>
        <v>-1422000</v>
      </c>
      <c r="AC17" s="265">
        <f>IF(AC16="","",-1*AC16)</f>
        <v>-2495000</v>
      </c>
      <c r="AD17" s="265">
        <f>IF(AD16="","",-1*AD16)</f>
        <v>-4543000</v>
      </c>
    </row>
    <row r="18">
      <c r="A18" t="inlineStr">
        <is>
          <t>Lucro atribuído a não controladores (divulgado positivo) [us-gaap:NetIncomeLossAttributableToNoncontrollingInterest] · fonte · unid. moeda</t>
        </is>
      </c>
      <c r="C18" t="inlineStr">
        <is>
          <t>[linha bruta, sem código; lançada nas linhas abaixo]</t>
        </is>
      </c>
      <c r="D18" s="265" t="n">
        <v>66000</v>
      </c>
      <c r="E18" s="265" t="n">
        <v>91000</v>
      </c>
      <c r="F18" s="265" t="n">
        <v>192000</v>
      </c>
      <c r="G18" s="265" t="n">
        <v>209000</v>
      </c>
      <c r="I18" s="265" t="n">
        <v>270000</v>
      </c>
      <c r="J18" s="265" t="n">
        <v>724000</v>
      </c>
      <c r="K18" s="265" t="n">
        <v>538000</v>
      </c>
      <c r="L18" s="265" t="n">
        <v>305000</v>
      </c>
      <c r="N18" s="265" t="n">
        <v>413000</v>
      </c>
      <c r="O18" s="265" t="n">
        <v>273000</v>
      </c>
      <c r="P18" s="265" t="n">
        <v>276000</v>
      </c>
      <c r="Q18" s="265" t="n">
        <v>382000</v>
      </c>
      <c r="S18" s="265" t="n">
        <v>346000</v>
      </c>
      <c r="T18" s="265" t="n">
        <v>331000</v>
      </c>
      <c r="U18" s="265" t="n">
        <v>361000</v>
      </c>
      <c r="V18" s="265" t="n">
        <v>345000</v>
      </c>
      <c r="X18" s="265" t="n">
        <v>320000</v>
      </c>
      <c r="Y18" s="265" t="n">
        <v>272000</v>
      </c>
      <c r="Z18" s="265" t="n">
        <v>220000</v>
      </c>
      <c r="AA18" s="265" t="n">
        <v>108000</v>
      </c>
      <c r="AC18" s="265" t="n">
        <v>289000</v>
      </c>
      <c r="AD18" s="265" t="n">
        <v>356000</v>
      </c>
    </row>
    <row r="19">
      <c r="A19" t="inlineStr">
        <is>
          <t>(lançamento) código 9, sinal -1 sobre a linha bruta 18: Lucro atribuído a não controladores (divulgado positivo) [us-gaap:NetIncomeLossAttributabl</t>
        </is>
      </c>
      <c r="B19" t="n">
        <v>9</v>
      </c>
      <c r="C19" t="inlineStr">
        <is>
          <t>Minority Interest Expense, after tax (enter as - )</t>
        </is>
      </c>
      <c r="D19" s="265">
        <f>IF(D18="","",-1*D18)</f>
        <v>-66000</v>
      </c>
      <c r="E19" s="265">
        <f>IF(E18="","",-1*E18)</f>
        <v>-91000</v>
      </c>
      <c r="F19" s="265">
        <f>IF(F18="","",-1*F18)</f>
        <v>-192000</v>
      </c>
      <c r="G19" s="265">
        <f>IF(G18="","",-1*G18)</f>
        <v>-209000</v>
      </c>
      <c r="I19" s="265">
        <f>IF(I18="","",-1*I18)</f>
        <v>-270000</v>
      </c>
      <c r="J19" s="265">
        <f>IF(J18="","",-1*J18)</f>
        <v>-724000</v>
      </c>
      <c r="K19" s="265">
        <f>IF(K18="","",-1*K18)</f>
        <v>-538000</v>
      </c>
      <c r="L19" s="265">
        <f>IF(L18="","",-1*L18)</f>
        <v>-305000</v>
      </c>
      <c r="N19" s="265">
        <f>IF(N18="","",-1*N18)</f>
        <v>-413000</v>
      </c>
      <c r="O19" s="265">
        <f>IF(O18="","",-1*O18)</f>
        <v>-273000</v>
      </c>
      <c r="P19" s="265">
        <f>IF(P18="","",-1*P18)</f>
        <v>-276000</v>
      </c>
      <c r="Q19" s="265">
        <f>IF(Q18="","",-1*Q18)</f>
        <v>-382000</v>
      </c>
      <c r="S19" s="265">
        <f>IF(S18="","",-1*S18)</f>
        <v>-346000</v>
      </c>
      <c r="T19" s="265">
        <f>IF(T18="","",-1*T18)</f>
        <v>-331000</v>
      </c>
      <c r="U19" s="265">
        <f>IF(U18="","",-1*U18)</f>
        <v>-361000</v>
      </c>
      <c r="V19" s="265">
        <f>IF(V18="","",-1*V18)</f>
        <v>-345000</v>
      </c>
      <c r="X19" s="265">
        <f>IF(X18="","",-1*X18)</f>
        <v>-320000</v>
      </c>
      <c r="Y19" s="265">
        <f>IF(Y18="","",-1*Y18)</f>
        <v>-272000</v>
      </c>
      <c r="Z19" s="265">
        <f>IF(Z18="","",-1*Z18)</f>
        <v>-220000</v>
      </c>
      <c r="AA19" s="265">
        <f>IF(AA18="","",-1*AA18)</f>
        <v>-108000</v>
      </c>
      <c r="AC19" s="265">
        <f>IF(AC18="","",-1*AC18)</f>
        <v>-289000</v>
      </c>
      <c r="AD19" s="265">
        <f>IF(AD18="","",-1*AD18)</f>
        <v>-356000</v>
      </c>
    </row>
    <row r="20">
      <c r="A20" t="inlineStr">
        <is>
          <t>Lucro líquido atribuído à companhia [us-gaap:NetIncomeLoss] · memoria · unid. moeda</t>
        </is>
      </c>
      <c r="C20" t="inlineStr">
        <is>
          <t>[linha bruta, sem código; lançada nas linhas abaixo]</t>
        </is>
      </c>
      <c r="D20" s="265" t="n">
        <v>2730000</v>
      </c>
      <c r="E20" s="265" t="n">
        <v>4690000</v>
      </c>
      <c r="F20" s="265" t="n">
        <v>6750000</v>
      </c>
      <c r="G20" s="265" t="n">
        <v>8870000</v>
      </c>
      <c r="I20" s="265" t="n">
        <v>5480000</v>
      </c>
      <c r="J20" s="265" t="n">
        <v>17850000</v>
      </c>
      <c r="K20" s="265" t="n">
        <v>19660000</v>
      </c>
      <c r="L20" s="265" t="n">
        <v>12750000</v>
      </c>
      <c r="N20" s="265" t="n">
        <v>11430000</v>
      </c>
      <c r="O20" s="265" t="n">
        <v>7880000</v>
      </c>
      <c r="P20" s="265" t="n">
        <v>9070000</v>
      </c>
      <c r="Q20" s="265" t="n">
        <v>7630000</v>
      </c>
      <c r="S20" s="265" t="n">
        <v>8220000</v>
      </c>
      <c r="T20" s="265" t="n">
        <v>9240000</v>
      </c>
      <c r="U20" s="265" t="n">
        <v>8610000</v>
      </c>
      <c r="V20" s="265" t="n">
        <v>7610000</v>
      </c>
      <c r="X20" s="265" t="n">
        <v>7713000</v>
      </c>
      <c r="Y20" s="265" t="n">
        <v>7082000</v>
      </c>
      <c r="Z20" s="265" t="n">
        <v>7548000</v>
      </c>
      <c r="AA20" s="265" t="n">
        <v>6501000</v>
      </c>
      <c r="AC20" s="265" t="n">
        <v>4183000</v>
      </c>
      <c r="AD20" s="265" t="n">
        <v>14525000</v>
      </c>
    </row>
    <row r="21">
      <c r="A21" t="inlineStr">
        <is>
          <t>Resultado após IR não classificado acima (equivalência patrimonial, operações descontinuadas): lucro - (LAIR - IR - minoritários); zero quando não há · derivada · unid. moeda</t>
        </is>
      </c>
      <c r="B21" t="n">
        <v>8</v>
      </c>
      <c r="C21" t="inlineStr">
        <is>
          <t>Equity in Income of Affiliates, after tax (enter as +)</t>
        </is>
      </c>
      <c r="D21" s="265">
        <f>N(D20)-(N(D11)-N(D16)-N(D18))</f>
        <v>0</v>
      </c>
      <c r="E21" s="265">
        <f>N(E20)-(N(E11)-N(E16)-N(E18))</f>
        <v>0</v>
      </c>
      <c r="F21" s="265">
        <f>N(F20)-(N(F11)-N(F16)-N(F18))</f>
        <v>0</v>
      </c>
      <c r="G21" s="265">
        <f>N(G20)-(N(G11)-N(G16)-N(G18))</f>
        <v>0</v>
      </c>
      <c r="I21" s="265">
        <f>N(I20)-(N(I11)-N(I16)-N(I18))</f>
        <v>0</v>
      </c>
      <c r="J21" s="265">
        <f>N(J20)-(N(J11)-N(J16)-N(J18))</f>
        <v>0</v>
      </c>
      <c r="K21" s="265">
        <f>N(K20)-(N(K11)-N(K16)-N(K18))</f>
        <v>0</v>
      </c>
      <c r="L21" s="265">
        <f>N(L20)-(N(L11)-N(L16)-N(L18))</f>
        <v>0</v>
      </c>
      <c r="N21" s="265">
        <f>N(N20)-(N(N11)-N(N16)-N(N18))</f>
        <v>0</v>
      </c>
      <c r="O21" s="265">
        <f>N(O20)-(N(O11)-N(O16)-N(O18))</f>
        <v>0</v>
      </c>
      <c r="P21" s="265">
        <f>N(P20)-(N(P11)-N(P16)-N(P18))</f>
        <v>0</v>
      </c>
      <c r="Q21" s="265">
        <f>N(Q20)-(N(Q11)-N(Q16)-N(Q18))</f>
        <v>0</v>
      </c>
      <c r="S21" s="265">
        <f>N(S20)-(N(S11)-N(S16)-N(S18))</f>
        <v>0</v>
      </c>
      <c r="T21" s="265">
        <f>N(T20)-(N(T11)-N(T16)-N(T18))</f>
        <v>0</v>
      </c>
      <c r="U21" s="265">
        <f>N(U20)-(N(U11)-N(U16)-N(U18))</f>
        <v>0</v>
      </c>
      <c r="V21" s="265">
        <f>N(V20)-(N(V11)-N(V16)-N(V18))</f>
        <v>0</v>
      </c>
      <c r="X21" s="265">
        <f>N(X20)-(N(X11)-N(X16)-N(X18))</f>
        <v>0</v>
      </c>
      <c r="Y21" s="265">
        <f>N(Y20)-(N(Y11)-N(Y16)-N(Y18))</f>
        <v>0</v>
      </c>
      <c r="Z21" s="265">
        <f>N(Z20)-(N(Z11)-N(Z16)-N(Z18))</f>
        <v>0</v>
      </c>
      <c r="AA21" s="265">
        <f>N(AA20)-(N(AA11)-N(AA16)-N(AA18))</f>
        <v>0</v>
      </c>
      <c r="AC21" s="265">
        <f>N(AC20)-(N(AC11)-N(AC16)-N(AC18))</f>
        <v>0</v>
      </c>
      <c r="AD21" s="265">
        <f>N(AD20)-(N(AD11)-N(AD16)-N(AD18))</f>
        <v>0</v>
      </c>
    </row>
    <row r="22">
      <c r="A22" t="inlineStr">
        <is>
          <t>Lucro líquido (check IS, código 44) · derivada · unid. moeda</t>
        </is>
      </c>
      <c r="B22" t="n">
        <v>44</v>
      </c>
      <c r="C22" t="inlineStr">
        <is>
          <t>Lucro líquido (check IS, código 44)</t>
        </is>
      </c>
      <c r="D22" s="265">
        <f>N(D20)</f>
        <v>2730000</v>
      </c>
      <c r="E22" s="265">
        <f>N(E20)</f>
        <v>4690000</v>
      </c>
      <c r="F22" s="265">
        <f>N(F20)</f>
        <v>6750000</v>
      </c>
      <c r="G22" s="265">
        <f>N(G20)</f>
        <v>8870000</v>
      </c>
      <c r="I22" s="265">
        <f>N(I20)</f>
        <v>5480000</v>
      </c>
      <c r="J22" s="265">
        <f>N(J20)</f>
        <v>17850000</v>
      </c>
      <c r="K22" s="265">
        <f>N(K20)</f>
        <v>19660000</v>
      </c>
      <c r="L22" s="265">
        <f>N(L20)</f>
        <v>12750000</v>
      </c>
      <c r="N22" s="265">
        <f>N(N20)</f>
        <v>11430000</v>
      </c>
      <c r="O22" s="265">
        <f>N(O20)</f>
        <v>7880000</v>
      </c>
      <c r="P22" s="265">
        <f>N(P20)</f>
        <v>9070000</v>
      </c>
      <c r="Q22" s="265">
        <f>N(Q20)</f>
        <v>7630000</v>
      </c>
      <c r="S22" s="265">
        <f>N(S20)</f>
        <v>8220000</v>
      </c>
      <c r="T22" s="265">
        <f>N(T20)</f>
        <v>9240000</v>
      </c>
      <c r="U22" s="265">
        <f>N(U20)</f>
        <v>8610000</v>
      </c>
      <c r="V22" s="265">
        <f>N(V20)</f>
        <v>7610000</v>
      </c>
      <c r="X22" s="265">
        <f>N(X20)</f>
        <v>7713000</v>
      </c>
      <c r="Y22" s="265">
        <f>N(Y20)</f>
        <v>7082000</v>
      </c>
      <c r="Z22" s="265">
        <f>N(Z20)</f>
        <v>7548000</v>
      </c>
      <c r="AA22" s="265">
        <f>N(AA20)</f>
        <v>6501000</v>
      </c>
      <c r="AC22" s="265">
        <f>N(AC20)</f>
        <v>4183000</v>
      </c>
      <c r="AD22" s="265">
        <f>N(AD20)</f>
        <v>14525000</v>
      </c>
    </row>
    <row r="23">
      <c r="A23" t="inlineStr">
        <is>
          <t>DFC - trimestre isolado (desacumulado na extração)</t>
        </is>
      </c>
      <c r="C23" t="inlineStr">
        <is>
          <t>[linha bruta, sem código; lançada nas linhas abaixo]</t>
        </is>
      </c>
      <c r="D23" s="265" t="n"/>
      <c r="E23" s="265" t="n"/>
      <c r="F23" s="265" t="n"/>
      <c r="G23" s="265" t="n"/>
      <c r="I23" s="265" t="n"/>
      <c r="J23" s="265" t="n"/>
      <c r="K23" s="265" t="n"/>
      <c r="L23" s="265" t="n"/>
      <c r="N23" s="265" t="n"/>
      <c r="O23" s="265" t="n"/>
      <c r="P23" s="265" t="n"/>
      <c r="Q23" s="265" t="n"/>
      <c r="S23" s="265" t="n"/>
      <c r="T23" s="265" t="n"/>
      <c r="U23" s="265" t="n"/>
      <c r="V23" s="265" t="n"/>
      <c r="X23" s="265" t="n"/>
      <c r="Y23" s="265" t="n"/>
      <c r="Z23" s="265" t="n"/>
      <c r="AA23" s="265" t="n"/>
      <c r="AC23" s="265" t="n"/>
      <c r="AD23" s="265" t="n"/>
    </row>
    <row r="24">
      <c r="A24" t="inlineStr">
        <is>
          <t>D&amp;A (fluxo de caixa). COD1=4 lança (positivo -&gt; -1); COD2=3 devolve às despesas operacionais (a companhia não abre D&amp;A entre custo e despesa) [us-gaap:DepreciationDepletionAndAmortization/DepreciationAmortizationAndImpairment] · fonte · unid. moeda</t>
        </is>
      </c>
      <c r="C24" t="inlineStr">
        <is>
          <t>[linha bruta, sem código; lançada nas linhas abaixo]</t>
        </is>
      </c>
      <c r="D24" s="265" t="n">
        <v>5004000</v>
      </c>
      <c r="E24" s="265" t="n">
        <v>4952000</v>
      </c>
      <c r="F24" s="265" t="n">
        <v>4990000</v>
      </c>
      <c r="G24" s="265" t="n">
        <v>5661000</v>
      </c>
      <c r="I24" s="265" t="n">
        <v>8883000</v>
      </c>
      <c r="J24" s="265" t="n">
        <v>4451000</v>
      </c>
      <c r="K24" s="265" t="n">
        <v>5642000</v>
      </c>
      <c r="L24" s="265" t="n">
        <v>5064000</v>
      </c>
      <c r="N24" s="265" t="n">
        <v>4244000</v>
      </c>
      <c r="O24" s="265" t="n">
        <v>4242000</v>
      </c>
      <c r="P24" s="265" t="n">
        <v>4415000</v>
      </c>
      <c r="Q24" s="265" t="n">
        <v>7740000</v>
      </c>
      <c r="S24" s="265" t="n">
        <v>4812000</v>
      </c>
      <c r="T24" s="265" t="n">
        <v>5787000</v>
      </c>
      <c r="U24" s="265" t="n">
        <v>6258000</v>
      </c>
      <c r="V24" s="265" t="n">
        <v>6585000</v>
      </c>
      <c r="X24" s="265" t="n">
        <v>5702000</v>
      </c>
      <c r="Y24" s="265" t="n">
        <v>6101000</v>
      </c>
      <c r="Z24" s="265" t="n">
        <v>6475000</v>
      </c>
      <c r="AA24" s="265" t="n">
        <v>7715000</v>
      </c>
      <c r="AC24" s="265" t="n">
        <v>6771000</v>
      </c>
      <c r="AD24" s="265" t="n">
        <v>8689000</v>
      </c>
    </row>
    <row r="25">
      <c r="A25" t="inlineStr">
        <is>
          <t>(lançamento) código 4, sinal -1 sobre a linha bruta 24: D&amp;A (fluxo de caixa). COD1=4 lança (positivo -&gt; -1); COD2=3 devolve às despesas operaciona</t>
        </is>
      </c>
      <c r="B25" t="n">
        <v>4</v>
      </c>
      <c r="C25" t="inlineStr">
        <is>
          <t>D&amp;A</t>
        </is>
      </c>
      <c r="D25" s="265">
        <f>IF(D24="","",-1*D24)</f>
        <v>-5004000</v>
      </c>
      <c r="E25" s="265">
        <f>IF(E24="","",-1*E24)</f>
        <v>-4952000</v>
      </c>
      <c r="F25" s="265">
        <f>IF(F24="","",-1*F24)</f>
        <v>-4990000</v>
      </c>
      <c r="G25" s="265">
        <f>IF(G24="","",-1*G24)</f>
        <v>-5661000</v>
      </c>
      <c r="I25" s="265">
        <f>IF(I24="","",-1*I24)</f>
        <v>-8883000</v>
      </c>
      <c r="J25" s="265">
        <f>IF(J24="","",-1*J24)</f>
        <v>-4451000</v>
      </c>
      <c r="K25" s="265">
        <f>IF(K24="","",-1*K24)</f>
        <v>-5642000</v>
      </c>
      <c r="L25" s="265">
        <f>IF(L24="","",-1*L24)</f>
        <v>-5064000</v>
      </c>
      <c r="N25" s="265">
        <f>IF(N24="","",-1*N24)</f>
        <v>-4244000</v>
      </c>
      <c r="O25" s="265">
        <f>IF(O24="","",-1*O24)</f>
        <v>-4242000</v>
      </c>
      <c r="P25" s="265">
        <f>IF(P24="","",-1*P24)</f>
        <v>-4415000</v>
      </c>
      <c r="Q25" s="265">
        <f>IF(Q24="","",-1*Q24)</f>
        <v>-7740000</v>
      </c>
      <c r="S25" s="265">
        <f>IF(S24="","",-1*S24)</f>
        <v>-4812000</v>
      </c>
      <c r="T25" s="265">
        <f>IF(T24="","",-1*T24)</f>
        <v>-5787000</v>
      </c>
      <c r="U25" s="265">
        <f>IF(U24="","",-1*U24)</f>
        <v>-6258000</v>
      </c>
      <c r="V25" s="265">
        <f>IF(V24="","",-1*V24)</f>
        <v>-6585000</v>
      </c>
      <c r="X25" s="265">
        <f>IF(X24="","",-1*X24)</f>
        <v>-5702000</v>
      </c>
      <c r="Y25" s="265">
        <f>IF(Y24="","",-1*Y24)</f>
        <v>-6101000</v>
      </c>
      <c r="Z25" s="265">
        <f>IF(Z24="","",-1*Z24)</f>
        <v>-6475000</v>
      </c>
      <c r="AA25" s="265">
        <f>IF(AA24="","",-1*AA24)</f>
        <v>-7715000</v>
      </c>
      <c r="AC25" s="265">
        <f>IF(AC24="","",-1*AC24)</f>
        <v>-6771000</v>
      </c>
      <c r="AD25" s="265">
        <f>IF(AD24="","",-1*AD24)</f>
        <v>-8689000</v>
      </c>
    </row>
    <row r="26">
      <c r="A26" t="inlineStr">
        <is>
          <t>(lançamento) código 3, sinal +1 sobre a linha bruta 24: D&amp;A (fluxo de caixa). COD1=4 lança (positivo -&gt; -1); COD2=3 devolve às despesas operaciona</t>
        </is>
      </c>
      <c r="B26" t="n">
        <v>3</v>
      </c>
      <c r="C26" t="inlineStr">
        <is>
          <t>SG&amp;A and Other (cash)</t>
        </is>
      </c>
      <c r="D26" s="265">
        <f>IF(D24="","",D24)</f>
        <v>5004000</v>
      </c>
      <c r="E26" s="265">
        <f>IF(E24="","",E24)</f>
        <v>4952000</v>
      </c>
      <c r="F26" s="265">
        <f>IF(F24="","",F24)</f>
        <v>4990000</v>
      </c>
      <c r="G26" s="265">
        <f>IF(G24="","",G24)</f>
        <v>5661000</v>
      </c>
      <c r="I26" s="265">
        <f>IF(I24="","",I24)</f>
        <v>8883000</v>
      </c>
      <c r="J26" s="265">
        <f>IF(J24="","",J24)</f>
        <v>4451000</v>
      </c>
      <c r="K26" s="265">
        <f>IF(K24="","",K24)</f>
        <v>5642000</v>
      </c>
      <c r="L26" s="265">
        <f>IF(L24="","",L24)</f>
        <v>5064000</v>
      </c>
      <c r="N26" s="265">
        <f>IF(N24="","",N24)</f>
        <v>4244000</v>
      </c>
      <c r="O26" s="265">
        <f>IF(O24="","",O24)</f>
        <v>4242000</v>
      </c>
      <c r="P26" s="265">
        <f>IF(P24="","",P24)</f>
        <v>4415000</v>
      </c>
      <c r="Q26" s="265">
        <f>IF(Q24="","",Q24)</f>
        <v>7740000</v>
      </c>
      <c r="S26" s="265">
        <f>IF(S24="","",S24)</f>
        <v>4812000</v>
      </c>
      <c r="T26" s="265">
        <f>IF(T24="","",T24)</f>
        <v>5787000</v>
      </c>
      <c r="U26" s="265">
        <f>IF(U24="","",U24)</f>
        <v>6258000</v>
      </c>
      <c r="V26" s="265">
        <f>IF(V24="","",V24)</f>
        <v>6585000</v>
      </c>
      <c r="X26" s="265">
        <f>IF(X24="","",X24)</f>
        <v>5702000</v>
      </c>
      <c r="Y26" s="265">
        <f>IF(Y24="","",Y24)</f>
        <v>6101000</v>
      </c>
      <c r="Z26" s="265">
        <f>IF(Z24="","",Z24)</f>
        <v>6475000</v>
      </c>
      <c r="AA26" s="265">
        <f>IF(AA24="","",AA24)</f>
        <v>7715000</v>
      </c>
      <c r="AC26" s="265">
        <f>IF(AC24="","",AC24)</f>
        <v>6771000</v>
      </c>
      <c r="AD26" s="265">
        <f>IF(AD24="","",AD24)</f>
        <v>8689000</v>
      </c>
    </row>
    <row r="27">
      <c r="A27" t="inlineStr">
        <is>
          <t>Dividendos pagos [us-gaap:PaymentsOfDividends] · fonte · unid. moeda</t>
        </is>
      </c>
      <c r="C27" t="inlineStr">
        <is>
          <t>[linha bruta, sem código; lançada nas linhas abaixo]</t>
        </is>
      </c>
      <c r="D27" s="265" t="n">
        <v>3720000</v>
      </c>
      <c r="E27" s="265" t="n">
        <v>3721000</v>
      </c>
      <c r="F27" s="265" t="n">
        <v>3720000</v>
      </c>
      <c r="G27" s="265" t="n">
        <v>3763000</v>
      </c>
      <c r="I27" s="265" t="n">
        <v>3760000</v>
      </c>
      <c r="J27" s="265" t="n">
        <v>3727000</v>
      </c>
      <c r="K27" s="265" t="n">
        <v>3685000</v>
      </c>
      <c r="L27" s="265" t="n">
        <v>3767000</v>
      </c>
      <c r="N27" s="265" t="n">
        <v>3738000</v>
      </c>
      <c r="O27" s="265" t="n">
        <v>3701000</v>
      </c>
      <c r="P27" s="265" t="n">
        <v>3663000</v>
      </c>
      <c r="Q27" s="265" t="n">
        <v>3839000</v>
      </c>
      <c r="S27" s="265" t="n">
        <v>3808000</v>
      </c>
      <c r="T27" s="265" t="n">
        <v>4285000</v>
      </c>
      <c r="U27" s="265" t="n">
        <v>4240000</v>
      </c>
      <c r="V27" s="265" t="n">
        <v>4371000</v>
      </c>
      <c r="X27" s="265" t="n">
        <v>4335000</v>
      </c>
      <c r="Y27" s="265" t="n">
        <v>4288000</v>
      </c>
      <c r="Z27" s="265" t="n">
        <v>4242000</v>
      </c>
      <c r="AA27" s="265" t="n">
        <v>4366000</v>
      </c>
      <c r="AC27" s="265" t="n">
        <v>4334000</v>
      </c>
      <c r="AD27" s="265" t="n">
        <v>4299000</v>
      </c>
    </row>
    <row r="28">
      <c r="A28" t="inlineStr">
        <is>
          <t>(lançamento) código 10, sinal -1 sobre a linha bruta 27: Dividendos pagos [us-gaap:PaymentsOfDividends]</t>
        </is>
      </c>
      <c r="B28" t="n">
        <v>10</v>
      </c>
      <c r="C28" t="inlineStr">
        <is>
          <t>Common Dividends</t>
        </is>
      </c>
      <c r="D28" s="265">
        <f>IF(D27="","",-1*D27)</f>
        <v>-3720000</v>
      </c>
      <c r="E28" s="265">
        <f>IF(E27="","",-1*E27)</f>
        <v>-3721000</v>
      </c>
      <c r="F28" s="265">
        <f>IF(F27="","",-1*F27)</f>
        <v>-3720000</v>
      </c>
      <c r="G28" s="265">
        <f>IF(G27="","",-1*G27)</f>
        <v>-3763000</v>
      </c>
      <c r="I28" s="265">
        <f>IF(I27="","",-1*I27)</f>
        <v>-3760000</v>
      </c>
      <c r="J28" s="265">
        <f>IF(J27="","",-1*J27)</f>
        <v>-3727000</v>
      </c>
      <c r="K28" s="265">
        <f>IF(K27="","",-1*K27)</f>
        <v>-3685000</v>
      </c>
      <c r="L28" s="265">
        <f>IF(L27="","",-1*L27)</f>
        <v>-3767000</v>
      </c>
      <c r="N28" s="265">
        <f>IF(N27="","",-1*N27)</f>
        <v>-3738000</v>
      </c>
      <c r="O28" s="265">
        <f>IF(O27="","",-1*O27)</f>
        <v>-3701000</v>
      </c>
      <c r="P28" s="265">
        <f>IF(P27="","",-1*P27)</f>
        <v>-3663000</v>
      </c>
      <c r="Q28" s="265">
        <f>IF(Q27="","",-1*Q27)</f>
        <v>-3839000</v>
      </c>
      <c r="S28" s="265">
        <f>IF(S27="","",-1*S27)</f>
        <v>-3808000</v>
      </c>
      <c r="T28" s="265">
        <f>IF(T27="","",-1*T27)</f>
        <v>-4285000</v>
      </c>
      <c r="U28" s="265">
        <f>IF(U27="","",-1*U27)</f>
        <v>-4240000</v>
      </c>
      <c r="V28" s="265">
        <f>IF(V27="","",-1*V27)</f>
        <v>-4371000</v>
      </c>
      <c r="X28" s="265">
        <f>IF(X27="","",-1*X27)</f>
        <v>-4335000</v>
      </c>
      <c r="Y28" s="265">
        <f>IF(Y27="","",-1*Y27)</f>
        <v>-4288000</v>
      </c>
      <c r="Z28" s="265">
        <f>IF(Z27="","",-1*Z27)</f>
        <v>-4242000</v>
      </c>
      <c r="AA28" s="265">
        <f>IF(AA27="","",-1*AA27)</f>
        <v>-4366000</v>
      </c>
      <c r="AC28" s="265">
        <f>IF(AC27="","",-1*AC27)</f>
        <v>-4334000</v>
      </c>
      <c r="AD28" s="265">
        <f>IF(AD27="","",-1*AD27)</f>
        <v>-4299000</v>
      </c>
    </row>
    <row r="29">
      <c r="A29" t="inlineStr">
        <is>
          <t>BALANÇO DE FACE (USD, saldo no fim do trimestre; cada trimestre lido da instância do próprio 10-Q/10-K)</t>
        </is>
      </c>
      <c r="C29" t="inlineStr">
        <is>
          <t>[linha bruta, sem código; lançada nas linhas abaixo]</t>
        </is>
      </c>
      <c r="D29" s="265" t="n"/>
      <c r="E29" s="265" t="n"/>
      <c r="F29" s="265" t="n"/>
      <c r="G29" s="265" t="n"/>
      <c r="I29" s="265" t="n"/>
      <c r="J29" s="265" t="n"/>
      <c r="K29" s="265" t="n"/>
      <c r="L29" s="265" t="n"/>
      <c r="N29" s="265" t="n"/>
      <c r="O29" s="265" t="n"/>
      <c r="P29" s="265" t="n"/>
      <c r="Q29" s="265" t="n"/>
      <c r="S29" s="265" t="n"/>
      <c r="T29" s="265" t="n"/>
      <c r="U29" s="265" t="n"/>
      <c r="V29" s="265" t="n"/>
      <c r="X29" s="265" t="n"/>
      <c r="Y29" s="265" t="n"/>
      <c r="Z29" s="265" t="n"/>
      <c r="AA29" s="265" t="n"/>
      <c r="AC29" s="265" t="n"/>
      <c r="AD29" s="265" t="n"/>
    </row>
    <row r="30">
      <c r="A30" t="inlineStr">
        <is>
          <t>CashAndCashEquivalentsAtCarryingValue · fonte · unid. moeda</t>
        </is>
      </c>
      <c r="B30" t="n">
        <v>11</v>
      </c>
      <c r="C30" t="inlineStr">
        <is>
          <t>Cash and equivalents (inc. investment securities)</t>
        </is>
      </c>
      <c r="D30" s="265" t="n">
        <v>3515000</v>
      </c>
      <c r="E30" s="265" t="n">
        <v>3465000</v>
      </c>
      <c r="F30" s="265" t="n">
        <v>4768000</v>
      </c>
      <c r="G30" s="265" t="n">
        <v>6802000</v>
      </c>
      <c r="I30" s="265" t="n">
        <v>11074000</v>
      </c>
      <c r="J30" s="265" t="n">
        <v>18861000</v>
      </c>
      <c r="K30" s="265" t="n">
        <v>30407000</v>
      </c>
      <c r="L30" s="265" t="n">
        <v>29640000</v>
      </c>
      <c r="N30" s="265" t="n">
        <v>32651000</v>
      </c>
      <c r="O30" s="265" t="n">
        <v>29528000</v>
      </c>
      <c r="P30" s="265" t="n">
        <v>32944000</v>
      </c>
      <c r="Q30" s="265" t="n">
        <v>31539000</v>
      </c>
      <c r="S30" s="265" t="n">
        <v>33320000</v>
      </c>
      <c r="T30" s="265" t="n">
        <v>26460000</v>
      </c>
      <c r="U30" s="265" t="n">
        <v>26926000</v>
      </c>
      <c r="V30" s="265" t="n">
        <v>23029000</v>
      </c>
      <c r="X30" s="265" t="n">
        <v>17036000</v>
      </c>
      <c r="Y30" s="265" t="n">
        <v>14352000</v>
      </c>
      <c r="Z30" s="265" t="n">
        <v>13814000</v>
      </c>
      <c r="AA30" s="265" t="n">
        <v>10681000</v>
      </c>
      <c r="AC30" s="265" t="n">
        <v>8435000</v>
      </c>
      <c r="AD30" s="265" t="n">
        <v>10588000</v>
      </c>
    </row>
    <row r="31">
      <c r="A31" t="inlineStr">
        <is>
          <t>ReceivablesNetCurrent · fonte · unid. moeda</t>
        </is>
      </c>
      <c r="B31" t="n">
        <v>12</v>
      </c>
      <c r="C31" t="inlineStr">
        <is>
          <t>Accounts receivable</t>
        </is>
      </c>
      <c r="D31" s="265" t="n">
        <v>24755000</v>
      </c>
      <c r="E31" s="265" t="n">
        <v>28540000</v>
      </c>
      <c r="F31" s="265" t="n">
        <v>29516000</v>
      </c>
      <c r="G31" s="265" t="n">
        <v>32383000</v>
      </c>
      <c r="I31" s="265" t="n">
        <v>42142000</v>
      </c>
      <c r="J31" s="265" t="n">
        <v>48063000</v>
      </c>
      <c r="K31" s="265" t="n">
        <v>42411000</v>
      </c>
      <c r="L31" s="265" t="n">
        <v>41749000</v>
      </c>
      <c r="N31" s="265" t="n">
        <v>38808000</v>
      </c>
      <c r="O31" s="265" t="n">
        <v>35915000</v>
      </c>
      <c r="P31" s="265" t="n">
        <v>41814000</v>
      </c>
      <c r="Q31" s="265" t="n">
        <v>38015000</v>
      </c>
      <c r="S31" s="265" t="n">
        <v>40366000</v>
      </c>
      <c r="T31" s="265" t="n">
        <v>43071000</v>
      </c>
      <c r="U31" s="265" t="n">
        <v>41505000</v>
      </c>
      <c r="V31" s="265" t="n">
        <v>43681000</v>
      </c>
      <c r="X31" s="265" t="n">
        <v>46303000</v>
      </c>
      <c r="Y31" s="265" t="n">
        <v>41792000</v>
      </c>
      <c r="Z31" s="265" t="n">
        <v>45285000</v>
      </c>
      <c r="AA31" s="265" t="n">
        <v>44562000</v>
      </c>
      <c r="AC31" s="265" t="n">
        <v>61783000</v>
      </c>
      <c r="AD31" s="265" t="n">
        <v>60558000</v>
      </c>
    </row>
    <row r="32">
      <c r="A32" t="inlineStr">
        <is>
          <t>EnergyRelatedInventory · fonte · unid. moeda</t>
        </is>
      </c>
      <c r="B32" t="n">
        <v>16</v>
      </c>
      <c r="C32" t="inlineStr">
        <is>
          <t>Other current assets</t>
        </is>
      </c>
      <c r="D32" s="265" t="n">
        <v>13740000</v>
      </c>
      <c r="E32" s="265" t="n">
        <v>14711000</v>
      </c>
      <c r="F32" s="265" t="n">
        <v>15087000</v>
      </c>
      <c r="G32" s="265" t="n">
        <v>14519000</v>
      </c>
      <c r="I32" s="265" t="n">
        <v>18074000</v>
      </c>
      <c r="J32" s="265" t="n">
        <v>19580000</v>
      </c>
      <c r="K32" s="265" t="n">
        <v>20078000</v>
      </c>
      <c r="L32" s="265" t="n">
        <v>20434000</v>
      </c>
      <c r="N32" s="265" t="n">
        <v>19458000</v>
      </c>
      <c r="O32" s="265" t="n">
        <v>20006000</v>
      </c>
      <c r="P32" s="265" t="n">
        <v>20052000</v>
      </c>
      <c r="Q32" s="265" t="n">
        <v>20528000</v>
      </c>
      <c r="S32" s="265" t="n">
        <v>18891000</v>
      </c>
      <c r="T32" s="265" t="n">
        <v>19685000</v>
      </c>
      <c r="U32" s="265" t="n">
        <v>19183000</v>
      </c>
      <c r="V32" s="265" t="n">
        <v>19444000</v>
      </c>
      <c r="X32" s="265" t="n">
        <v>20502000</v>
      </c>
      <c r="Y32" s="265" t="n">
        <v>21364000</v>
      </c>
      <c r="Z32" s="265" t="n">
        <v>23174000</v>
      </c>
      <c r="AA32" s="265" t="n">
        <v>22979000</v>
      </c>
      <c r="AC32" s="265" t="n">
        <v>21838000</v>
      </c>
      <c r="AD32" s="265" t="n">
        <v>22363000</v>
      </c>
    </row>
    <row r="33">
      <c r="A33" t="inlineStr">
        <is>
          <t>InventoryPartsAndComponentsNetOfReserves · fonte · unid. moeda</t>
        </is>
      </c>
      <c r="B33" t="n">
        <v>16</v>
      </c>
      <c r="C33" t="inlineStr">
        <is>
          <t>Other current assets</t>
        </is>
      </c>
      <c r="D33" s="265" t="n">
        <v>4617000</v>
      </c>
      <c r="E33" s="265" t="n">
        <v>4564000</v>
      </c>
      <c r="F33" s="265" t="n">
        <v>4520000</v>
      </c>
      <c r="G33" s="265" t="n">
        <v>4261000</v>
      </c>
      <c r="I33" s="265" t="n">
        <v>4103000</v>
      </c>
      <c r="J33" s="265" t="n">
        <v>4005000</v>
      </c>
      <c r="K33" s="265" t="n">
        <v>4018000</v>
      </c>
      <c r="L33" s="265" t="n">
        <v>4001000</v>
      </c>
      <c r="N33" s="265" t="n">
        <v>4184000</v>
      </c>
      <c r="O33" s="265" t="n">
        <v>4243000</v>
      </c>
      <c r="P33" s="265" t="n">
        <v>4398000</v>
      </c>
      <c r="Q33" s="265" t="n">
        <v>4592000</v>
      </c>
      <c r="S33" s="265" t="n">
        <v>4600000</v>
      </c>
      <c r="T33" s="265" t="n">
        <v>4818000</v>
      </c>
      <c r="U33" s="265" t="n">
        <v>4692000</v>
      </c>
      <c r="V33" s="265" t="n">
        <v>4080000</v>
      </c>
      <c r="X33" s="265" t="n">
        <v>3976000</v>
      </c>
      <c r="Y33" s="265" t="n">
        <v>4007000</v>
      </c>
      <c r="Z33" s="265" t="n">
        <v>4064000</v>
      </c>
      <c r="AA33" s="265" t="n">
        <v>3323000</v>
      </c>
      <c r="AC33" s="265" t="n">
        <v>3137000</v>
      </c>
      <c r="AD33" s="265" t="n">
        <v>3200000</v>
      </c>
    </row>
    <row r="34">
      <c r="A34" t="inlineStr">
        <is>
          <t>OtherAssetsCurrent · fonte · unid. moeda</t>
        </is>
      </c>
      <c r="B34" t="n">
        <v>16</v>
      </c>
      <c r="C34" t="inlineStr">
        <is>
          <t>Other current assets</t>
        </is>
      </c>
      <c r="D34" s="265" t="n">
        <v>1568000</v>
      </c>
      <c r="E34" s="265" t="n">
        <v>1562000</v>
      </c>
      <c r="F34" s="265" t="n">
        <v>1664000</v>
      </c>
      <c r="G34" s="265" t="n">
        <v>1189000</v>
      </c>
      <c r="I34" s="265" t="n">
        <v>1862000</v>
      </c>
      <c r="J34" s="265" t="n">
        <v>2654000</v>
      </c>
      <c r="K34" s="265" t="n">
        <v>2318000</v>
      </c>
      <c r="L34" s="265" t="n">
        <v>1782000</v>
      </c>
      <c r="N34" s="265" t="n">
        <v>2098000</v>
      </c>
      <c r="O34" s="265" t="n">
        <v>2039000</v>
      </c>
      <c r="P34" s="265" t="n">
        <v>1905000</v>
      </c>
      <c r="Q34" s="265" t="n">
        <v>1906000</v>
      </c>
      <c r="S34" s="265" t="n">
        <v>2171000</v>
      </c>
      <c r="T34" s="265" t="n">
        <v>2176000</v>
      </c>
      <c r="U34" s="265" t="n">
        <v>1997000</v>
      </c>
      <c r="V34" s="265" t="n">
        <v>1598000</v>
      </c>
      <c r="X34" s="265" t="n">
        <v>1940000</v>
      </c>
      <c r="Y34" s="265" t="n">
        <v>2234000</v>
      </c>
      <c r="Z34" s="265" t="n">
        <v>2113000</v>
      </c>
      <c r="AA34" s="265" t="n">
        <v>1837000</v>
      </c>
      <c r="AC34" s="265" t="n">
        <v>2594000</v>
      </c>
      <c r="AD34" s="265" t="n">
        <v>4084000</v>
      </c>
    </row>
    <row r="35">
      <c r="A35" t="inlineStr">
        <is>
          <t>RestrictedCashAndCashEquivalents · fonte · unid. moeda</t>
        </is>
      </c>
      <c r="B35" t="n">
        <v>16</v>
      </c>
      <c r="C35" t="inlineStr">
        <is>
          <t>Other current assets</t>
        </is>
      </c>
      <c r="D35" s="265" t="n">
        <v>0</v>
      </c>
      <c r="E35" s="265" t="n">
        <v>0</v>
      </c>
      <c r="F35" s="265" t="n">
        <v>0</v>
      </c>
      <c r="G35" s="265" t="n">
        <v>0</v>
      </c>
      <c r="I35" s="265" t="n">
        <v>0</v>
      </c>
      <c r="J35" s="265" t="n">
        <v>0</v>
      </c>
      <c r="K35" s="265" t="n">
        <v>57000</v>
      </c>
      <c r="L35" s="265" t="n">
        <v>0</v>
      </c>
      <c r="N35" s="265" t="n">
        <v>0</v>
      </c>
      <c r="O35" s="265" t="n">
        <v>0</v>
      </c>
      <c r="P35" s="265" t="n">
        <v>0</v>
      </c>
      <c r="Q35" s="265" t="n">
        <v>0</v>
      </c>
      <c r="S35" s="265" t="n">
        <v>0</v>
      </c>
      <c r="T35" s="265" t="n">
        <v>0</v>
      </c>
      <c r="U35" s="265" t="n">
        <v>0</v>
      </c>
      <c r="V35" s="265" t="n">
        <v>0</v>
      </c>
      <c r="X35" s="265" t="n">
        <v>0</v>
      </c>
      <c r="Y35" s="265" t="n">
        <v>0</v>
      </c>
      <c r="Z35" s="265" t="n">
        <v>0</v>
      </c>
      <c r="AA35" s="265" t="n">
        <v>0</v>
      </c>
      <c r="AC35" s="265" t="n">
        <v>0</v>
      </c>
      <c r="AD35" s="265" t="n">
        <v>0</v>
      </c>
    </row>
    <row r="36">
      <c r="A36" t="inlineStr">
        <is>
          <t>RestrictedCashAndCashEquivalentsAtCarryingValue · fonte · unid. moeda</t>
        </is>
      </c>
      <c r="B36" t="n">
        <v>16</v>
      </c>
      <c r="C36" t="inlineStr">
        <is>
          <t>Other current assets</t>
        </is>
      </c>
      <c r="D36" s="265" t="n">
        <v>0</v>
      </c>
      <c r="E36" s="265" t="n">
        <v>0</v>
      </c>
      <c r="F36" s="265" t="n">
        <v>0</v>
      </c>
      <c r="G36" s="265" t="n">
        <v>0</v>
      </c>
      <c r="I36" s="265" t="n">
        <v>0</v>
      </c>
      <c r="J36" s="265" t="n">
        <v>0</v>
      </c>
      <c r="K36" s="265" t="n">
        <v>0</v>
      </c>
      <c r="L36" s="265" t="n">
        <v>25000</v>
      </c>
      <c r="N36" s="265" t="n">
        <v>25000</v>
      </c>
      <c r="O36" s="265" t="n">
        <v>29000</v>
      </c>
      <c r="P36" s="265" t="n">
        <v>29000</v>
      </c>
      <c r="Q36" s="265" t="n">
        <v>29000</v>
      </c>
      <c r="S36" s="265" t="n">
        <v>29000</v>
      </c>
      <c r="T36" s="265" t="n">
        <v>28000</v>
      </c>
      <c r="U36" s="265" t="n">
        <v>46000</v>
      </c>
      <c r="V36" s="265" t="n">
        <v>158000</v>
      </c>
      <c r="X36" s="265" t="n">
        <v>1476000</v>
      </c>
      <c r="Y36" s="265" t="n">
        <v>1359000</v>
      </c>
      <c r="Z36" s="265" t="n">
        <v>55000</v>
      </c>
      <c r="AA36" s="265" t="n">
        <v>0</v>
      </c>
      <c r="AC36" s="265" t="n">
        <v>0</v>
      </c>
      <c r="AD36" s="265" t="n">
        <v>0</v>
      </c>
    </row>
    <row r="37">
      <c r="A37" t="inlineStr">
        <is>
          <t>PropertyPlantAndEquipmentNet · fonte · unid. moeda</t>
        </is>
      </c>
      <c r="B37" t="n">
        <v>18</v>
      </c>
      <c r="C37" t="inlineStr">
        <is>
          <t>PP&amp;E</t>
        </is>
      </c>
      <c r="D37" s="265" t="n">
        <v>224641000</v>
      </c>
      <c r="E37" s="265" t="n">
        <v>223012000</v>
      </c>
      <c r="F37" s="265" t="n">
        <v>218795000</v>
      </c>
      <c r="G37" s="265" t="n">
        <v>216552000</v>
      </c>
      <c r="I37" s="265" t="n">
        <v>212773000</v>
      </c>
      <c r="J37" s="265" t="n">
        <v>209159000</v>
      </c>
      <c r="K37" s="265" t="n">
        <v>203102000</v>
      </c>
      <c r="L37" s="265" t="n">
        <v>204692000</v>
      </c>
      <c r="N37" s="265" t="n">
        <v>206023000</v>
      </c>
      <c r="O37" s="265" t="n">
        <v>206736000</v>
      </c>
      <c r="P37" s="265" t="n">
        <v>205862000</v>
      </c>
      <c r="Q37" s="265" t="n">
        <v>214940000</v>
      </c>
      <c r="S37" s="265" t="n">
        <v>213723000</v>
      </c>
      <c r="T37" s="265" t="n">
        <v>298283000</v>
      </c>
      <c r="U37" s="265" t="n">
        <v>299543000</v>
      </c>
      <c r="V37" s="265" t="n">
        <v>294318000</v>
      </c>
      <c r="X37" s="265" t="n">
        <v>292646000</v>
      </c>
      <c r="Y37" s="265" t="n">
        <v>295356000</v>
      </c>
      <c r="Z37" s="265" t="n">
        <v>298388000</v>
      </c>
      <c r="AA37" s="265" t="n">
        <v>299373000</v>
      </c>
      <c r="AC37" s="265" t="n">
        <v>298781000</v>
      </c>
      <c r="AD37" s="265" t="n">
        <v>296298000</v>
      </c>
    </row>
    <row r="38">
      <c r="A38" t="inlineStr">
        <is>
          <t>LongTermInvestmentsAndReceivablesNet · fonte · unid. moeda</t>
        </is>
      </c>
      <c r="B38" t="n">
        <v>22</v>
      </c>
      <c r="C38" t="inlineStr">
        <is>
          <t>Other non-current assets</t>
        </is>
      </c>
      <c r="D38" s="265" t="n">
        <v>44181000</v>
      </c>
      <c r="E38" s="265" t="n">
        <v>44774000</v>
      </c>
      <c r="F38" s="265" t="n">
        <v>45641000</v>
      </c>
      <c r="G38" s="265" t="n">
        <v>45195000</v>
      </c>
      <c r="I38" s="265" t="n">
        <v>46329000</v>
      </c>
      <c r="J38" s="265" t="n">
        <v>46820000</v>
      </c>
      <c r="K38" s="265" t="n">
        <v>50235000</v>
      </c>
      <c r="L38" s="265" t="n">
        <v>49793000</v>
      </c>
      <c r="N38" s="265" t="n">
        <v>49044000</v>
      </c>
      <c r="O38" s="265" t="n">
        <v>47273000</v>
      </c>
      <c r="P38" s="265" t="n">
        <v>48066000</v>
      </c>
      <c r="Q38" s="265" t="n">
        <v>47630000</v>
      </c>
      <c r="S38" s="265" t="n">
        <v>47608000</v>
      </c>
      <c r="T38" s="265" t="n">
        <v>47948000</v>
      </c>
      <c r="U38" s="265" t="n">
        <v>48869000</v>
      </c>
      <c r="V38" s="265" t="n">
        <v>47200000</v>
      </c>
      <c r="X38" s="265" t="n">
        <v>47853000</v>
      </c>
      <c r="Y38" s="265" t="n">
        <v>46092000</v>
      </c>
      <c r="Z38" s="265" t="n">
        <v>46138000</v>
      </c>
      <c r="AA38" s="265" t="n">
        <v>45317000</v>
      </c>
      <c r="AC38" s="265" t="n">
        <v>46125000</v>
      </c>
      <c r="AD38" s="265" t="n">
        <v>45605000</v>
      </c>
    </row>
    <row r="39">
      <c r="A39" t="inlineStr">
        <is>
          <t>OtherAssetsNoncurrent · fonte · unid. moeda</t>
        </is>
      </c>
      <c r="B39" t="n">
        <v>22</v>
      </c>
      <c r="C39" t="inlineStr">
        <is>
          <t>Other non-current assets</t>
        </is>
      </c>
      <c r="D39" s="265" t="n">
        <v>16753000</v>
      </c>
      <c r="E39" s="265" t="n">
        <v>16661000</v>
      </c>
      <c r="F39" s="265" t="n">
        <v>16697000</v>
      </c>
      <c r="G39" s="265" t="n">
        <v>18022000</v>
      </c>
      <c r="I39" s="265" t="n">
        <v>18414000</v>
      </c>
      <c r="J39" s="265" t="n">
        <v>18632000</v>
      </c>
      <c r="K39" s="265" t="n">
        <v>17526000</v>
      </c>
      <c r="L39" s="265" t="n">
        <v>16951000</v>
      </c>
      <c r="N39" s="265" t="n">
        <v>17080000</v>
      </c>
      <c r="O39" s="265" t="n">
        <v>17479000</v>
      </c>
      <c r="P39" s="265" t="n">
        <v>17189000</v>
      </c>
      <c r="Q39" s="265" t="n">
        <v>17138000</v>
      </c>
      <c r="S39" s="265" t="n">
        <v>17210000</v>
      </c>
      <c r="T39" s="265" t="n">
        <v>18238000</v>
      </c>
      <c r="U39" s="265" t="n">
        <v>19155000</v>
      </c>
      <c r="V39" s="265" t="n">
        <v>19967000</v>
      </c>
      <c r="X39" s="265" t="n">
        <v>20176000</v>
      </c>
      <c r="Y39" s="265" t="n">
        <v>21041000</v>
      </c>
      <c r="Z39" s="265" t="n">
        <v>21309000</v>
      </c>
      <c r="AA39" s="265" t="n">
        <v>20908000</v>
      </c>
      <c r="AC39" s="265" t="n">
        <v>21717000</v>
      </c>
      <c r="AD39" s="265" t="n">
        <v>21786000</v>
      </c>
    </row>
    <row r="40">
      <c r="A40" t="inlineStr">
        <is>
          <t>AccountsPayableAndAccruedLiabilitiesCurrent · fonte · unid. moeda</t>
        </is>
      </c>
      <c r="B40" t="n">
        <v>23</v>
      </c>
      <c r="C40" t="inlineStr">
        <is>
          <t>Accounts payable</t>
        </is>
      </c>
      <c r="D40" s="265" t="n">
        <v>41017000</v>
      </c>
      <c r="E40" s="265" t="n">
        <v>45780000</v>
      </c>
      <c r="F40" s="265" t="n">
        <v>47257000</v>
      </c>
      <c r="G40" s="265" t="n">
        <v>50766000</v>
      </c>
      <c r="I40" s="265" t="n">
        <v>63501000</v>
      </c>
      <c r="J40" s="265" t="n">
        <v>67958000</v>
      </c>
      <c r="K40" s="265" t="n">
        <v>62550000</v>
      </c>
      <c r="L40" s="265" t="n">
        <v>63197000</v>
      </c>
      <c r="N40" s="265" t="n">
        <v>59935000</v>
      </c>
      <c r="O40" s="265" t="n">
        <v>54404000</v>
      </c>
      <c r="P40" s="265" t="n">
        <v>62257000</v>
      </c>
      <c r="Q40" s="265" t="n">
        <v>58037000</v>
      </c>
      <c r="S40" s="265" t="n">
        <v>59531000</v>
      </c>
      <c r="T40" s="265" t="n">
        <v>60107000</v>
      </c>
      <c r="U40" s="265" t="n">
        <v>60518000</v>
      </c>
      <c r="V40" s="265" t="n">
        <v>61297000</v>
      </c>
      <c r="X40" s="265" t="n">
        <v>63987000</v>
      </c>
      <c r="Y40" s="265" t="n">
        <v>59725000</v>
      </c>
      <c r="Z40" s="265" t="n">
        <v>65382000</v>
      </c>
      <c r="AA40" s="265" t="n">
        <v>60911000</v>
      </c>
      <c r="AC40" s="265" t="n">
        <v>77088000</v>
      </c>
      <c r="AD40" s="265" t="n">
        <v>74491000</v>
      </c>
    </row>
    <row r="41">
      <c r="A41" t="inlineStr">
        <is>
          <t>AccruedIncomeTaxesCurrent · fonte · unid. moeda</t>
        </is>
      </c>
      <c r="B41" t="n">
        <v>25</v>
      </c>
      <c r="C41" t="inlineStr">
        <is>
          <t>Taxes payable</t>
        </is>
      </c>
      <c r="D41" s="265" t="n">
        <v>948000</v>
      </c>
      <c r="E41" s="265" t="n">
        <v>1165000</v>
      </c>
      <c r="F41" s="265" t="n">
        <v>1633000</v>
      </c>
      <c r="G41" s="265" t="n">
        <v>1601000</v>
      </c>
      <c r="I41" s="265" t="n">
        <v>3672000</v>
      </c>
      <c r="J41" s="265" t="n">
        <v>4785000</v>
      </c>
      <c r="K41" s="265" t="n">
        <v>5325000</v>
      </c>
      <c r="L41" s="265" t="n">
        <v>5214000</v>
      </c>
      <c r="N41" s="265" t="n">
        <v>4435000</v>
      </c>
      <c r="O41" s="265" t="n">
        <v>3482000</v>
      </c>
      <c r="P41" s="265" t="n">
        <v>4186000</v>
      </c>
      <c r="Q41" s="265" t="n">
        <v>3189000</v>
      </c>
      <c r="S41" s="265" t="n">
        <v>4163000</v>
      </c>
      <c r="T41" s="265" t="n">
        <v>4035000</v>
      </c>
      <c r="U41" s="265" t="n">
        <v>3843000</v>
      </c>
      <c r="V41" s="265" t="n">
        <v>4055000</v>
      </c>
      <c r="X41" s="265" t="n">
        <v>5114000</v>
      </c>
      <c r="Y41" s="265" t="n">
        <v>3017000</v>
      </c>
      <c r="Z41" s="265" t="n">
        <v>3256000</v>
      </c>
      <c r="AA41" s="265" t="n">
        <v>2123000</v>
      </c>
      <c r="AC41" s="265" t="n">
        <v>2759000</v>
      </c>
      <c r="AD41" s="265" t="n">
        <v>4200000</v>
      </c>
    </row>
    <row r="42">
      <c r="A42" t="inlineStr">
        <is>
          <t>DebtCurrent · fonte · unid. moeda</t>
        </is>
      </c>
      <c r="B42" t="n">
        <v>27</v>
      </c>
      <c r="C42" t="inlineStr">
        <is>
          <t>Current portion of long-term debt</t>
        </is>
      </c>
      <c r="D42" s="265" t="n">
        <v>18185000</v>
      </c>
      <c r="E42" s="265" t="n">
        <v>15293000</v>
      </c>
      <c r="F42" s="265" t="n">
        <v>12966000</v>
      </c>
      <c r="G42" s="265" t="n">
        <v>4276000</v>
      </c>
      <c r="I42" s="265" t="n">
        <v>4886000</v>
      </c>
      <c r="J42" s="265" t="n">
        <v>7367000</v>
      </c>
      <c r="K42" s="265" t="n">
        <v>6182000</v>
      </c>
      <c r="L42" s="265" t="n">
        <v>634000</v>
      </c>
      <c r="N42" s="265" t="n">
        <v>2296000</v>
      </c>
      <c r="O42" s="265" t="n">
        <v>3929000</v>
      </c>
      <c r="P42" s="265" t="n">
        <v>4743000</v>
      </c>
      <c r="Q42" s="265" t="n">
        <v>4090000</v>
      </c>
      <c r="S42" s="265" t="n">
        <v>8227000</v>
      </c>
      <c r="T42" s="265" t="n">
        <v>6621000</v>
      </c>
      <c r="U42" s="265" t="n">
        <v>5632000</v>
      </c>
      <c r="V42" s="265" t="n">
        <v>4955000</v>
      </c>
      <c r="X42" s="265" t="n">
        <v>4728000</v>
      </c>
      <c r="Y42" s="265" t="n">
        <v>5419000</v>
      </c>
      <c r="Z42" s="265" t="n">
        <v>9212000</v>
      </c>
      <c r="AA42" s="265" t="n">
        <v>9296000</v>
      </c>
      <c r="AC42" s="265" t="n">
        <v>14531000</v>
      </c>
      <c r="AD42" s="265" t="n">
        <v>10139000</v>
      </c>
    </row>
    <row r="43">
      <c r="A43" t="inlineStr">
        <is>
          <t>LongTermDebtAndCapitalLeaseObligations · fonte · unid. moeda</t>
        </is>
      </c>
      <c r="B43" t="n">
        <v>30</v>
      </c>
      <c r="C43" t="inlineStr">
        <is>
          <t>Long term debt</t>
        </is>
      </c>
      <c r="D43" s="265" t="n">
        <v>45137000</v>
      </c>
      <c r="E43" s="265" t="n">
        <v>45319000</v>
      </c>
      <c r="F43" s="265" t="n">
        <v>43639000</v>
      </c>
      <c r="G43" s="265" t="n">
        <v>43428000</v>
      </c>
      <c r="I43" s="265" t="n">
        <v>42651000</v>
      </c>
      <c r="J43" s="265" t="n">
        <v>39516000</v>
      </c>
      <c r="K43" s="265" t="n">
        <v>39246000</v>
      </c>
      <c r="L43" s="265" t="n">
        <v>40559000</v>
      </c>
      <c r="N43" s="265" t="n">
        <v>39150000</v>
      </c>
      <c r="O43" s="265" t="n">
        <v>37567000</v>
      </c>
      <c r="P43" s="265" t="n">
        <v>36510000</v>
      </c>
      <c r="Q43" s="265" t="n">
        <v>37483000</v>
      </c>
      <c r="S43" s="265" t="n">
        <v>32213000</v>
      </c>
      <c r="T43" s="265" t="n">
        <v>36565000</v>
      </c>
      <c r="U43" s="265" t="n">
        <v>36918000</v>
      </c>
      <c r="V43" s="265" t="n">
        <v>36755000</v>
      </c>
      <c r="X43" s="265" t="n">
        <v>32823000</v>
      </c>
      <c r="Y43" s="265" t="n">
        <v>33570000</v>
      </c>
      <c r="Z43" s="265" t="n">
        <v>32824000</v>
      </c>
      <c r="AA43" s="265" t="n">
        <v>34241000</v>
      </c>
      <c r="AC43" s="265" t="n">
        <v>33130000</v>
      </c>
      <c r="AD43" s="265" t="n">
        <v>32229000</v>
      </c>
    </row>
    <row r="44">
      <c r="A44" t="inlineStr">
        <is>
          <t>DeferredIncomeTaxLiabilitiesNet · fonte · unid. moeda</t>
        </is>
      </c>
      <c r="B44" t="n">
        <v>33</v>
      </c>
      <c r="C44" t="inlineStr">
        <is>
          <t>Deferred income taxes</t>
        </is>
      </c>
      <c r="D44" s="265" t="n">
        <v>18113000</v>
      </c>
      <c r="E44" s="265" t="n">
        <v>18511000</v>
      </c>
      <c r="F44" s="265" t="n">
        <v>19008000</v>
      </c>
      <c r="G44" s="265" t="n">
        <v>20165000</v>
      </c>
      <c r="I44" s="265" t="n">
        <v>19533000</v>
      </c>
      <c r="J44" s="265" t="n">
        <v>20807000</v>
      </c>
      <c r="K44" s="265" t="n">
        <v>21274000</v>
      </c>
      <c r="L44" s="265" t="n">
        <v>22874000</v>
      </c>
      <c r="N44" s="265" t="n">
        <v>23195000</v>
      </c>
      <c r="O44" s="265" t="n">
        <v>23460000</v>
      </c>
      <c r="P44" s="265" t="n">
        <v>23912000</v>
      </c>
      <c r="Q44" s="265" t="n">
        <v>24452000</v>
      </c>
      <c r="S44" s="265" t="n">
        <v>24106000</v>
      </c>
      <c r="T44" s="265" t="n">
        <v>40080000</v>
      </c>
      <c r="U44" s="265" t="n">
        <v>40281000</v>
      </c>
      <c r="V44" s="265" t="n">
        <v>39042000</v>
      </c>
      <c r="X44" s="265" t="n">
        <v>39091000</v>
      </c>
      <c r="Y44" s="265" t="n">
        <v>39368000</v>
      </c>
      <c r="Z44" s="265" t="n">
        <v>39942000</v>
      </c>
      <c r="AA44" s="265" t="n">
        <v>40216000</v>
      </c>
      <c r="AC44" s="265" t="n">
        <v>40018000</v>
      </c>
      <c r="AD44" s="265" t="n">
        <v>39546000</v>
      </c>
    </row>
    <row r="45">
      <c r="A45" t="inlineStr">
        <is>
          <t>PensionAndOtherPostretirementDefinedBenefitPlansLiabilitiesNoncurrent · fonte · unid. moeda</t>
        </is>
      </c>
      <c r="B45" t="n">
        <v>34</v>
      </c>
      <c r="C45" t="inlineStr">
        <is>
          <t>Other non-current liabilities</t>
        </is>
      </c>
      <c r="D45" s="265" t="n">
        <v>21835000</v>
      </c>
      <c r="E45" s="265" t="n">
        <v>22082000</v>
      </c>
      <c r="F45" s="265" t="n">
        <v>21060000</v>
      </c>
      <c r="G45" s="265" t="n">
        <v>18430000</v>
      </c>
      <c r="I45" s="265" t="n">
        <v>18255000</v>
      </c>
      <c r="J45" s="265" t="n">
        <v>17408000</v>
      </c>
      <c r="K45" s="265" t="n">
        <v>16799000</v>
      </c>
      <c r="L45" s="265" t="n">
        <v>10045000</v>
      </c>
      <c r="N45" s="265" t="n">
        <v>10183000</v>
      </c>
      <c r="O45" s="265" t="n">
        <v>10278000</v>
      </c>
      <c r="P45" s="265" t="n">
        <v>10174000</v>
      </c>
      <c r="Q45" s="265" t="n">
        <v>10496000</v>
      </c>
      <c r="S45" s="265" t="n">
        <v>10475000</v>
      </c>
      <c r="T45" s="265" t="n">
        <v>10398000</v>
      </c>
      <c r="U45" s="265" t="n">
        <v>10677000</v>
      </c>
      <c r="V45" s="265" t="n">
        <v>9700000</v>
      </c>
      <c r="X45" s="265" t="n">
        <v>10015000</v>
      </c>
      <c r="Y45" s="265" t="n">
        <v>10352000</v>
      </c>
      <c r="Z45" s="265" t="n">
        <v>10394000</v>
      </c>
      <c r="AA45" s="265" t="n">
        <v>8847000</v>
      </c>
      <c r="AC45" s="265" t="n">
        <v>8940000</v>
      </c>
      <c r="AD45" s="265" t="n">
        <v>9068000</v>
      </c>
    </row>
    <row r="46">
      <c r="A46" t="inlineStr">
        <is>
          <t>DueToRelatedPartiesNoncurrent · fonte · unid. moeda</t>
        </is>
      </c>
      <c r="B46" t="n">
        <v>34</v>
      </c>
      <c r="C46" t="inlineStr">
        <is>
          <t>Other non-current liabilities</t>
        </is>
      </c>
      <c r="D46" s="265" t="n">
        <v>3279000</v>
      </c>
      <c r="E46" s="265" t="n">
        <v>3038000</v>
      </c>
      <c r="F46" s="265" t="n">
        <v>3060000</v>
      </c>
      <c r="G46" s="265" t="n">
        <v>2857000</v>
      </c>
      <c r="I46" s="265" t="n">
        <v>2875000</v>
      </c>
      <c r="J46" s="265" t="n">
        <v>2617000</v>
      </c>
      <c r="K46" s="265" t="n">
        <v>2647000</v>
      </c>
      <c r="L46" s="265" t="n">
        <v>2338000</v>
      </c>
      <c r="N46" s="265" t="n">
        <v>2376000</v>
      </c>
      <c r="O46" s="265" t="n">
        <v>0</v>
      </c>
      <c r="P46" s="265" t="n">
        <v>0</v>
      </c>
      <c r="Q46" s="265" t="n">
        <v>0</v>
      </c>
      <c r="S46" s="265" t="n">
        <v>0</v>
      </c>
      <c r="T46" s="265" t="n">
        <v>0</v>
      </c>
      <c r="U46" s="265" t="n">
        <v>0</v>
      </c>
      <c r="V46" s="265" t="n">
        <v>0</v>
      </c>
      <c r="X46" s="265" t="n">
        <v>0</v>
      </c>
      <c r="Y46" s="265" t="n">
        <v>0</v>
      </c>
      <c r="Z46" s="265" t="n">
        <v>0</v>
      </c>
      <c r="AA46" s="265" t="n">
        <v>0</v>
      </c>
      <c r="AC46" s="265" t="n">
        <v>0</v>
      </c>
      <c r="AD46" s="265" t="n">
        <v>0</v>
      </c>
    </row>
    <row r="47">
      <c r="A47" t="inlineStr">
        <is>
          <t>OtherLiabilitiesNoncurrent · fonte · unid. moeda</t>
        </is>
      </c>
      <c r="B47" t="n">
        <v>34</v>
      </c>
      <c r="C47" t="inlineStr">
        <is>
          <t>Other non-current liabilities</t>
        </is>
      </c>
      <c r="D47" s="265" t="n">
        <v>21155000</v>
      </c>
      <c r="E47" s="265" t="n">
        <v>20545000</v>
      </c>
      <c r="F47" s="265" t="n">
        <v>20559000</v>
      </c>
      <c r="G47" s="265" t="n">
        <v>21717000</v>
      </c>
      <c r="I47" s="265" t="n">
        <v>22872000</v>
      </c>
      <c r="J47" s="265" t="n">
        <v>22808000</v>
      </c>
      <c r="K47" s="265" t="n">
        <v>23086000</v>
      </c>
      <c r="L47" s="265" t="n">
        <v>21733000</v>
      </c>
      <c r="N47" s="265" t="n">
        <v>21387000</v>
      </c>
      <c r="O47" s="265" t="n">
        <v>0</v>
      </c>
      <c r="P47" s="265" t="n">
        <v>0</v>
      </c>
      <c r="Q47" s="265" t="n">
        <v>0</v>
      </c>
      <c r="S47" s="265" t="n">
        <v>0</v>
      </c>
      <c r="T47" s="265" t="n">
        <v>0</v>
      </c>
      <c r="U47" s="265" t="n">
        <v>0</v>
      </c>
      <c r="V47" s="265" t="n">
        <v>0</v>
      </c>
      <c r="X47" s="265" t="n">
        <v>0</v>
      </c>
      <c r="Y47" s="265" t="n">
        <v>0</v>
      </c>
      <c r="Z47" s="265" t="n">
        <v>0</v>
      </c>
      <c r="AA47" s="265" t="n">
        <v>0</v>
      </c>
      <c r="AC47" s="265" t="n">
        <v>0</v>
      </c>
      <c r="AD47" s="265" t="n">
        <v>0</v>
      </c>
    </row>
    <row r="48">
      <c r="A48" t="inlineStr">
        <is>
          <t>OtherLiabilitiesNoncurrent[RelatedPartyMember] · fonte · unid. moeda</t>
        </is>
      </c>
      <c r="B48" t="n">
        <v>34</v>
      </c>
      <c r="C48" t="inlineStr">
        <is>
          <t>Other non-current liabilities</t>
        </is>
      </c>
      <c r="D48" s="265" t="n">
        <v>0</v>
      </c>
      <c r="E48" s="265" t="n">
        <v>0</v>
      </c>
      <c r="F48" s="265" t="n">
        <v>0</v>
      </c>
      <c r="G48" s="265" t="n">
        <v>0</v>
      </c>
      <c r="I48" s="265" t="n">
        <v>0</v>
      </c>
      <c r="J48" s="265" t="n">
        <v>0</v>
      </c>
      <c r="K48" s="265" t="n">
        <v>0</v>
      </c>
      <c r="L48" s="265" t="n">
        <v>0</v>
      </c>
      <c r="N48" s="265" t="n">
        <v>0</v>
      </c>
      <c r="O48" s="265" t="n">
        <v>2036000</v>
      </c>
      <c r="P48" s="265" t="n">
        <v>2076000</v>
      </c>
      <c r="Q48" s="265" t="n">
        <v>1804000</v>
      </c>
      <c r="S48" s="265" t="n">
        <v>1909000</v>
      </c>
      <c r="T48" s="265" t="n">
        <v>1612000</v>
      </c>
      <c r="U48" s="265" t="n">
        <v>1637000</v>
      </c>
      <c r="V48" s="265" t="n">
        <v>1346000</v>
      </c>
      <c r="X48" s="265" t="n">
        <v>1381000</v>
      </c>
      <c r="Y48" s="265" t="n">
        <v>1113000</v>
      </c>
      <c r="Z48" s="265" t="n">
        <v>1145000</v>
      </c>
      <c r="AA48" s="265" t="n">
        <v>542000</v>
      </c>
      <c r="AC48" s="265" t="n">
        <v>562000</v>
      </c>
      <c r="AD48" s="265" t="n">
        <v>549000</v>
      </c>
    </row>
    <row r="49">
      <c r="A49" t="inlineStr">
        <is>
          <t>OtherLiabilitiesNoncurrent[NonrelatedPartyMember] · fonte · unid. moeda</t>
        </is>
      </c>
      <c r="B49" t="n">
        <v>34</v>
      </c>
      <c r="C49" t="inlineStr">
        <is>
          <t>Other non-current liabilities</t>
        </is>
      </c>
      <c r="D49" s="265" t="n">
        <v>0</v>
      </c>
      <c r="E49" s="265" t="n">
        <v>0</v>
      </c>
      <c r="F49" s="265" t="n">
        <v>0</v>
      </c>
      <c r="G49" s="265" t="n">
        <v>0</v>
      </c>
      <c r="I49" s="265" t="n">
        <v>0</v>
      </c>
      <c r="J49" s="265" t="n">
        <v>0</v>
      </c>
      <c r="K49" s="265" t="n">
        <v>0</v>
      </c>
      <c r="L49" s="265" t="n">
        <v>0</v>
      </c>
      <c r="N49" s="265" t="n">
        <v>0</v>
      </c>
      <c r="O49" s="265" t="n">
        <v>21095000</v>
      </c>
      <c r="P49" s="265" t="n">
        <v>20868000</v>
      </c>
      <c r="Q49" s="265" t="n">
        <v>24228000</v>
      </c>
      <c r="S49" s="265" t="n">
        <v>24242000</v>
      </c>
      <c r="T49" s="265" t="n">
        <v>25023000</v>
      </c>
      <c r="U49" s="265" t="n">
        <v>26010000</v>
      </c>
      <c r="V49" s="265" t="n">
        <v>25719000</v>
      </c>
      <c r="X49" s="265" t="n">
        <v>24963000</v>
      </c>
      <c r="Y49" s="265" t="n">
        <v>25071000</v>
      </c>
      <c r="Z49" s="265" t="n">
        <v>23962000</v>
      </c>
      <c r="AA49" s="265" t="n">
        <v>26178000</v>
      </c>
      <c r="AC49" s="265" t="n">
        <v>26386000</v>
      </c>
      <c r="AD49" s="265" t="n">
        <v>28149000</v>
      </c>
    </row>
    <row r="50">
      <c r="A50" t="inlineStr">
        <is>
          <t>MinorityInterest · fonte · unid. moeda</t>
        </is>
      </c>
      <c r="B50" t="n">
        <v>35</v>
      </c>
      <c r="C50" t="inlineStr">
        <is>
          <t>Minority interest</t>
        </is>
      </c>
      <c r="D50" s="265" t="n">
        <v>7127000</v>
      </c>
      <c r="E50" s="265" t="n">
        <v>6985000</v>
      </c>
      <c r="F50" s="265" t="n">
        <v>6917000</v>
      </c>
      <c r="G50" s="265" t="n">
        <v>7106000</v>
      </c>
      <c r="I50" s="265" t="n">
        <v>7311000</v>
      </c>
      <c r="J50" s="265" t="n">
        <v>7192000</v>
      </c>
      <c r="K50" s="265" t="n">
        <v>6943000</v>
      </c>
      <c r="L50" s="265" t="n">
        <v>7424000</v>
      </c>
      <c r="N50" s="265" t="n">
        <v>7729000</v>
      </c>
      <c r="O50" s="265" t="n">
        <v>7951000</v>
      </c>
      <c r="P50" s="265" t="n">
        <v>7830000</v>
      </c>
      <c r="Q50" s="265" t="n">
        <v>7736000</v>
      </c>
      <c r="S50" s="265" t="n">
        <v>7802000</v>
      </c>
      <c r="T50" s="265" t="n">
        <v>7861000</v>
      </c>
      <c r="U50" s="265" t="n">
        <v>7808000</v>
      </c>
      <c r="V50" s="265" t="n">
        <v>6901000</v>
      </c>
      <c r="X50" s="265" t="n">
        <v>7086000</v>
      </c>
      <c r="Y50" s="265" t="n">
        <v>7369000</v>
      </c>
      <c r="Z50" s="265" t="n">
        <v>7662000</v>
      </c>
      <c r="AA50" s="265" t="n">
        <v>7240000</v>
      </c>
      <c r="AC50" s="265" t="n">
        <v>6615000</v>
      </c>
      <c r="AD50" s="265" t="n">
        <v>6731000</v>
      </c>
    </row>
    <row r="51">
      <c r="A51" t="inlineStr">
        <is>
          <t>CommonStockValue · fonte · unid. moeda</t>
        </is>
      </c>
      <c r="B51" t="n">
        <v>37</v>
      </c>
      <c r="C51" t="inlineStr">
        <is>
          <t>Common Stock and APIC</t>
        </is>
      </c>
      <c r="D51" s="265" t="n">
        <v>15884000</v>
      </c>
      <c r="E51" s="265" t="n">
        <v>16006000</v>
      </c>
      <c r="F51" s="265" t="n">
        <v>16104000</v>
      </c>
      <c r="G51" s="265" t="n">
        <v>15746000</v>
      </c>
      <c r="I51" s="265" t="n">
        <v>15879000</v>
      </c>
      <c r="J51" s="265" t="n">
        <v>16018000</v>
      </c>
      <c r="K51" s="265" t="n">
        <v>16106000</v>
      </c>
      <c r="L51" s="265" t="n">
        <v>15752000</v>
      </c>
      <c r="N51" s="265" t="n">
        <v>15904000</v>
      </c>
      <c r="O51" s="265" t="n">
        <v>16029000</v>
      </c>
      <c r="P51" s="265" t="n">
        <v>16165000</v>
      </c>
      <c r="Q51" s="265" t="n">
        <v>17781000</v>
      </c>
      <c r="S51" s="265" t="n">
        <v>17971000</v>
      </c>
      <c r="T51" s="265" t="n">
        <v>46781000</v>
      </c>
      <c r="U51" s="265" t="n">
        <v>46936000</v>
      </c>
      <c r="V51" s="265" t="n">
        <v>46238000</v>
      </c>
      <c r="X51" s="265" t="n">
        <v>46426000</v>
      </c>
      <c r="Y51" s="265" t="n">
        <v>46629000</v>
      </c>
      <c r="Z51" s="265" t="n">
        <v>46808000</v>
      </c>
      <c r="AA51" s="265" t="n">
        <v>46150000</v>
      </c>
      <c r="AC51" s="265" t="n">
        <v>46426000</v>
      </c>
      <c r="AD51" s="265" t="n">
        <v>46636000</v>
      </c>
    </row>
    <row r="52">
      <c r="A52" t="inlineStr">
        <is>
          <t>TreasuryStockValue (divulgado positivo, lançado negativo) · fonte · unid. moeda</t>
        </is>
      </c>
      <c r="B52" t="n">
        <v>38</v>
      </c>
      <c r="C52" t="inlineStr">
        <is>
          <t>Treasury stock (contra account)</t>
        </is>
      </c>
      <c r="D52" s="265" t="n">
        <v>-225773000</v>
      </c>
      <c r="E52" s="265" t="n">
        <v>-225771000</v>
      </c>
      <c r="F52" s="265" t="n">
        <v>-225771000</v>
      </c>
      <c r="G52" s="265" t="n">
        <v>-225464000</v>
      </c>
      <c r="I52" s="265" t="n">
        <v>-227529000</v>
      </c>
      <c r="J52" s="265" t="n">
        <v>-231587000</v>
      </c>
      <c r="K52" s="265" t="n">
        <v>-236080000</v>
      </c>
      <c r="L52" s="265" t="n">
        <v>0</v>
      </c>
      <c r="N52" s="265" t="n">
        <v>0</v>
      </c>
      <c r="O52" s="265" t="n">
        <v>0</v>
      </c>
      <c r="P52" s="265" t="n">
        <v>0</v>
      </c>
      <c r="Q52" s="265" t="n">
        <v>0</v>
      </c>
      <c r="S52" s="265" t="n">
        <v>0</v>
      </c>
      <c r="T52" s="265" t="n">
        <v>0</v>
      </c>
      <c r="U52" s="265" t="n">
        <v>0</v>
      </c>
      <c r="V52" s="265" t="n">
        <v>0</v>
      </c>
      <c r="X52" s="265" t="n">
        <v>0</v>
      </c>
      <c r="Y52" s="265" t="n">
        <v>0</v>
      </c>
      <c r="Z52" s="265" t="n">
        <v>0</v>
      </c>
      <c r="AA52" s="265" t="n">
        <v>0</v>
      </c>
      <c r="AC52" s="265" t="n">
        <v>0</v>
      </c>
      <c r="AD52" s="265" t="n">
        <v>0</v>
      </c>
    </row>
    <row r="53">
      <c r="A53" t="inlineStr">
        <is>
          <t>TreasuryStockCommonValue (divulgado positivo, lançado negativo) · fonte · unid. moeda</t>
        </is>
      </c>
      <c r="B53" t="n">
        <v>38</v>
      </c>
      <c r="C53" t="inlineStr">
        <is>
          <t>Treasury stock (contra account)</t>
        </is>
      </c>
      <c r="D53" s="265" t="n">
        <v>0</v>
      </c>
      <c r="E53" s="265" t="n">
        <v>0</v>
      </c>
      <c r="F53" s="265" t="n">
        <v>0</v>
      </c>
      <c r="G53" s="265" t="n">
        <v>0</v>
      </c>
      <c r="I53" s="265" t="n">
        <v>0</v>
      </c>
      <c r="J53" s="265" t="n">
        <v>0</v>
      </c>
      <c r="K53" s="265" t="n">
        <v>0</v>
      </c>
      <c r="L53" s="265" t="n">
        <v>-240293000</v>
      </c>
      <c r="N53" s="265" t="n">
        <v>-244676000</v>
      </c>
      <c r="O53" s="265" t="n">
        <v>-249057000</v>
      </c>
      <c r="P53" s="265" t="n">
        <v>-253512000</v>
      </c>
      <c r="Q53" s="265" t="n">
        <v>-254917000</v>
      </c>
      <c r="S53" s="265" t="n">
        <v>-257891000</v>
      </c>
      <c r="T53" s="265" t="n">
        <v>-228483000</v>
      </c>
      <c r="U53" s="265" t="n">
        <v>-234049000</v>
      </c>
      <c r="V53" s="265" t="n">
        <v>-238817000</v>
      </c>
      <c r="X53" s="265" t="n">
        <v>-243658000</v>
      </c>
      <c r="Y53" s="265" t="n">
        <v>-248661000</v>
      </c>
      <c r="Z53" s="265" t="n">
        <v>-253832000</v>
      </c>
      <c r="AA53" s="265" t="n">
        <v>-258395000</v>
      </c>
      <c r="AC53" s="265" t="n">
        <v>-263291000</v>
      </c>
      <c r="AD53" s="265" t="n">
        <v>-268276000</v>
      </c>
    </row>
    <row r="54">
      <c r="A54" t="inlineStr">
        <is>
          <t>AccumulatedOtherComprehensiveIncomeLossNetOfTax · fonte · unid. moeda</t>
        </is>
      </c>
      <c r="B54" t="n">
        <v>39</v>
      </c>
      <c r="C54" t="inlineStr">
        <is>
          <t>Comprehensive (accumulated) loss</t>
        </is>
      </c>
      <c r="D54" s="265" t="n">
        <v>-16090000</v>
      </c>
      <c r="E54" s="265" t="n">
        <v>-15586000</v>
      </c>
      <c r="F54" s="265" t="n">
        <v>-16696000</v>
      </c>
      <c r="G54" s="265" t="n">
        <v>-13764000</v>
      </c>
      <c r="I54" s="265" t="n">
        <v>-12914000</v>
      </c>
      <c r="J54" s="265" t="n">
        <v>-15017000</v>
      </c>
      <c r="K54" s="265" t="n">
        <v>-17803000</v>
      </c>
      <c r="L54" s="265" t="n">
        <v>-13270000</v>
      </c>
      <c r="N54" s="265" t="n">
        <v>-13095000</v>
      </c>
      <c r="O54" s="265" t="n">
        <v>-12657000</v>
      </c>
      <c r="P54" s="265" t="n">
        <v>-13088000</v>
      </c>
      <c r="Q54" s="265" t="n">
        <v>-11989000</v>
      </c>
      <c r="S54" s="265" t="n">
        <v>-13169000</v>
      </c>
      <c r="T54" s="265" t="n">
        <v>-13187000</v>
      </c>
      <c r="U54" s="265" t="n">
        <v>-11959000</v>
      </c>
      <c r="V54" s="265" t="n">
        <v>-14619000</v>
      </c>
      <c r="X54" s="265" t="n">
        <v>-14338000</v>
      </c>
      <c r="Y54" s="265" t="n">
        <v>-12436000</v>
      </c>
      <c r="Z54" s="265" t="n">
        <v>-12782000</v>
      </c>
      <c r="AA54" s="265" t="n">
        <v>-10863000</v>
      </c>
      <c r="AC54" s="265" t="n">
        <v>-11098000</v>
      </c>
      <c r="AD54" s="265" t="n">
        <v>-11549000</v>
      </c>
    </row>
    <row r="55">
      <c r="A55" t="inlineStr">
        <is>
          <t>RetainedEarningsAccumulatedDeficit · fonte · unid. moeda</t>
        </is>
      </c>
      <c r="B55" t="n">
        <v>41</v>
      </c>
      <c r="C55" t="inlineStr">
        <is>
          <t>Retained earnings</t>
        </is>
      </c>
      <c r="D55" s="265" t="n">
        <v>382953000</v>
      </c>
      <c r="E55" s="265" t="n">
        <v>383922000</v>
      </c>
      <c r="F55" s="265" t="n">
        <v>386952000</v>
      </c>
      <c r="G55" s="265" t="n">
        <v>392059000</v>
      </c>
      <c r="I55" s="265" t="n">
        <v>393779000</v>
      </c>
      <c r="J55" s="265" t="n">
        <v>407902000</v>
      </c>
      <c r="K55" s="265" t="n">
        <v>423877000</v>
      </c>
      <c r="L55" s="265" t="n">
        <v>432860000</v>
      </c>
      <c r="N55" s="265" t="n">
        <v>440552000</v>
      </c>
      <c r="O55" s="265" t="n">
        <v>444731000</v>
      </c>
      <c r="P55" s="265" t="n">
        <v>450138000</v>
      </c>
      <c r="Q55" s="265" t="n">
        <v>453927000</v>
      </c>
      <c r="S55" s="265" t="n">
        <v>458339000</v>
      </c>
      <c r="T55" s="265" t="n">
        <v>463294000</v>
      </c>
      <c r="U55" s="265" t="n">
        <v>467664000</v>
      </c>
      <c r="V55" s="265" t="n">
        <v>470903000</v>
      </c>
      <c r="X55" s="265" t="n">
        <v>474290000</v>
      </c>
      <c r="Y55" s="265" t="n">
        <v>477061000</v>
      </c>
      <c r="Z55" s="265" t="n">
        <v>480367000</v>
      </c>
      <c r="AA55" s="265" t="n">
        <v>482494000</v>
      </c>
      <c r="AC55" s="265" t="n">
        <v>482344000</v>
      </c>
      <c r="AD55" s="265" t="n">
        <v>492569000</v>
      </c>
    </row>
    <row r="56">
      <c r="A56" t="inlineStr">
        <is>
          <t>[vazio] Estoques: não aparece como linha própria nas demonstrações (zero) · derivada · unid. moeda</t>
        </is>
      </c>
      <c r="B56" t="n">
        <v>13</v>
      </c>
      <c r="C56" t="inlineStr">
        <is>
          <t>Inventories</t>
        </is>
      </c>
      <c r="D56" s="265" t="n">
        <v>0</v>
      </c>
      <c r="E56" s="265" t="n">
        <v>0</v>
      </c>
      <c r="F56" s="265" t="n">
        <v>0</v>
      </c>
      <c r="G56" s="265" t="n">
        <v>0</v>
      </c>
      <c r="I56" s="265" t="n">
        <v>0</v>
      </c>
      <c r="J56" s="265" t="n">
        <v>0</v>
      </c>
      <c r="K56" s="265" t="n">
        <v>0</v>
      </c>
      <c r="L56" s="265" t="n">
        <v>0</v>
      </c>
      <c r="N56" s="265" t="n">
        <v>0</v>
      </c>
      <c r="O56" s="265" t="n">
        <v>0</v>
      </c>
      <c r="P56" s="265" t="n">
        <v>0</v>
      </c>
      <c r="Q56" s="265" t="n">
        <v>0</v>
      </c>
      <c r="S56" s="265" t="n">
        <v>0</v>
      </c>
      <c r="T56" s="265" t="n">
        <v>0</v>
      </c>
      <c r="U56" s="265" t="n">
        <v>0</v>
      </c>
      <c r="V56" s="265" t="n">
        <v>0</v>
      </c>
      <c r="X56" s="265" t="n">
        <v>0</v>
      </c>
      <c r="Y56" s="265" t="n">
        <v>0</v>
      </c>
      <c r="Z56" s="265" t="n">
        <v>0</v>
      </c>
      <c r="AA56" s="265" t="n">
        <v>0</v>
      </c>
      <c r="AC56" s="265" t="n">
        <v>0</v>
      </c>
      <c r="AD56" s="265" t="n">
        <v>0</v>
      </c>
    </row>
    <row r="57">
      <c r="A57" t="inlineStr">
        <is>
          <t>[vazio] IR diferido ativo: não aparece como linha própria nas demonstrações (zero) · derivada · unid. moeda</t>
        </is>
      </c>
      <c r="B57" t="n">
        <v>14</v>
      </c>
      <c r="C57" t="inlineStr">
        <is>
          <t>Deferred income taxes</t>
        </is>
      </c>
      <c r="D57" s="265" t="n">
        <v>0</v>
      </c>
      <c r="E57" s="265" t="n">
        <v>0</v>
      </c>
      <c r="F57" s="265" t="n">
        <v>0</v>
      </c>
      <c r="G57" s="265" t="n">
        <v>0</v>
      </c>
      <c r="I57" s="265" t="n">
        <v>0</v>
      </c>
      <c r="J57" s="265" t="n">
        <v>0</v>
      </c>
      <c r="K57" s="265" t="n">
        <v>0</v>
      </c>
      <c r="L57" s="265" t="n">
        <v>0</v>
      </c>
      <c r="N57" s="265" t="n">
        <v>0</v>
      </c>
      <c r="O57" s="265" t="n">
        <v>0</v>
      </c>
      <c r="P57" s="265" t="n">
        <v>0</v>
      </c>
      <c r="Q57" s="265" t="n">
        <v>0</v>
      </c>
      <c r="S57" s="265" t="n">
        <v>0</v>
      </c>
      <c r="T57" s="265" t="n">
        <v>0</v>
      </c>
      <c r="U57" s="265" t="n">
        <v>0</v>
      </c>
      <c r="V57" s="265" t="n">
        <v>0</v>
      </c>
      <c r="X57" s="265" t="n">
        <v>0</v>
      </c>
      <c r="Y57" s="265" t="n">
        <v>0</v>
      </c>
      <c r="Z57" s="265" t="n">
        <v>0</v>
      </c>
      <c r="AA57" s="265" t="n">
        <v>0</v>
      </c>
      <c r="AC57" s="265" t="n">
        <v>0</v>
      </c>
      <c r="AD57" s="265" t="n">
        <v>0</v>
      </c>
    </row>
    <row r="58">
      <c r="A58" t="inlineStr">
        <is>
          <t>[vazio] Despesas antecipadas: não aparece como linha própria nas demonstrações (zero) · derivada · unid. moeda</t>
        </is>
      </c>
      <c r="B58" t="n">
        <v>15</v>
      </c>
      <c r="C58" t="inlineStr">
        <is>
          <t>Prepaid expenses</t>
        </is>
      </c>
      <c r="D58" s="265" t="n">
        <v>0</v>
      </c>
      <c r="E58" s="265" t="n">
        <v>0</v>
      </c>
      <c r="F58" s="265" t="n">
        <v>0</v>
      </c>
      <c r="G58" s="265" t="n">
        <v>0</v>
      </c>
      <c r="I58" s="265" t="n">
        <v>0</v>
      </c>
      <c r="J58" s="265" t="n">
        <v>0</v>
      </c>
      <c r="K58" s="265" t="n">
        <v>0</v>
      </c>
      <c r="L58" s="265" t="n">
        <v>0</v>
      </c>
      <c r="N58" s="265" t="n">
        <v>0</v>
      </c>
      <c r="O58" s="265" t="n">
        <v>0</v>
      </c>
      <c r="P58" s="265" t="n">
        <v>0</v>
      </c>
      <c r="Q58" s="265" t="n">
        <v>0</v>
      </c>
      <c r="S58" s="265" t="n">
        <v>0</v>
      </c>
      <c r="T58" s="265" t="n">
        <v>0</v>
      </c>
      <c r="U58" s="265" t="n">
        <v>0</v>
      </c>
      <c r="V58" s="265" t="n">
        <v>0</v>
      </c>
      <c r="X58" s="265" t="n">
        <v>0</v>
      </c>
      <c r="Y58" s="265" t="n">
        <v>0</v>
      </c>
      <c r="Z58" s="265" t="n">
        <v>0</v>
      </c>
      <c r="AA58" s="265" t="n">
        <v>0</v>
      </c>
      <c r="AC58" s="265" t="n">
        <v>0</v>
      </c>
      <c r="AD58" s="265" t="n">
        <v>0</v>
      </c>
    </row>
    <row r="59">
      <c r="A59" t="inlineStr">
        <is>
          <t>[vazio] Investimentos em coligadas: não aparece como linha própria nas demonstrações (zero) · derivada · unid. moeda</t>
        </is>
      </c>
      <c r="B59" t="n">
        <v>17</v>
      </c>
      <c r="C59" t="inlineStr">
        <is>
          <t>Equity in affiliates</t>
        </is>
      </c>
      <c r="D59" s="265" t="n">
        <v>0</v>
      </c>
      <c r="E59" s="265" t="n">
        <v>0</v>
      </c>
      <c r="F59" s="265" t="n">
        <v>0</v>
      </c>
      <c r="G59" s="265" t="n">
        <v>0</v>
      </c>
      <c r="I59" s="265" t="n">
        <v>0</v>
      </c>
      <c r="J59" s="265" t="n">
        <v>0</v>
      </c>
      <c r="K59" s="265" t="n">
        <v>0</v>
      </c>
      <c r="L59" s="265" t="n">
        <v>0</v>
      </c>
      <c r="N59" s="265" t="n">
        <v>0</v>
      </c>
      <c r="O59" s="265" t="n">
        <v>0</v>
      </c>
      <c r="P59" s="265" t="n">
        <v>0</v>
      </c>
      <c r="Q59" s="265" t="n">
        <v>0</v>
      </c>
      <c r="S59" s="265" t="n">
        <v>0</v>
      </c>
      <c r="T59" s="265" t="n">
        <v>0</v>
      </c>
      <c r="U59" s="265" t="n">
        <v>0</v>
      </c>
      <c r="V59" s="265" t="n">
        <v>0</v>
      </c>
      <c r="X59" s="265" t="n">
        <v>0</v>
      </c>
      <c r="Y59" s="265" t="n">
        <v>0</v>
      </c>
      <c r="Z59" s="265" t="n">
        <v>0</v>
      </c>
      <c r="AA59" s="265" t="n">
        <v>0</v>
      </c>
      <c r="AC59" s="265" t="n">
        <v>0</v>
      </c>
      <c r="AD59" s="265" t="n">
        <v>0</v>
      </c>
    </row>
    <row r="60">
      <c r="A60" t="inlineStr">
        <is>
          <t>[vazio] Direito de uso: não aparece como linha própria nas demonstrações (zero) · derivada · unid. moeda</t>
        </is>
      </c>
      <c r="B60" t="n">
        <v>19</v>
      </c>
      <c r="C60" t="inlineStr">
        <is>
          <t>Right-of-use-assets</t>
        </is>
      </c>
      <c r="D60" s="265" t="n">
        <v>0</v>
      </c>
      <c r="E60" s="265" t="n">
        <v>0</v>
      </c>
      <c r="F60" s="265" t="n">
        <v>0</v>
      </c>
      <c r="G60" s="265" t="n">
        <v>0</v>
      </c>
      <c r="I60" s="265" t="n">
        <v>0</v>
      </c>
      <c r="J60" s="265" t="n">
        <v>0</v>
      </c>
      <c r="K60" s="265" t="n">
        <v>0</v>
      </c>
      <c r="L60" s="265" t="n">
        <v>0</v>
      </c>
      <c r="N60" s="265" t="n">
        <v>0</v>
      </c>
      <c r="O60" s="265" t="n">
        <v>0</v>
      </c>
      <c r="P60" s="265" t="n">
        <v>0</v>
      </c>
      <c r="Q60" s="265" t="n">
        <v>0</v>
      </c>
      <c r="S60" s="265" t="n">
        <v>0</v>
      </c>
      <c r="T60" s="265" t="n">
        <v>0</v>
      </c>
      <c r="U60" s="265" t="n">
        <v>0</v>
      </c>
      <c r="V60" s="265" t="n">
        <v>0</v>
      </c>
      <c r="X60" s="265" t="n">
        <v>0</v>
      </c>
      <c r="Y60" s="265" t="n">
        <v>0</v>
      </c>
      <c r="Z60" s="265" t="n">
        <v>0</v>
      </c>
      <c r="AA60" s="265" t="n">
        <v>0</v>
      </c>
      <c r="AC60" s="265" t="n">
        <v>0</v>
      </c>
      <c r="AD60" s="265" t="n">
        <v>0</v>
      </c>
    </row>
    <row r="61">
      <c r="A61" t="inlineStr">
        <is>
          <t>[vazio] Goodwill: não aparece como linha própria nas demonstrações (zero) · derivada · unid. moeda</t>
        </is>
      </c>
      <c r="B61" t="n">
        <v>20</v>
      </c>
      <c r="C61" t="inlineStr">
        <is>
          <t>Goodwill</t>
        </is>
      </c>
      <c r="D61" s="265" t="n">
        <v>0</v>
      </c>
      <c r="E61" s="265" t="n">
        <v>0</v>
      </c>
      <c r="F61" s="265" t="n">
        <v>0</v>
      </c>
      <c r="G61" s="265" t="n">
        <v>0</v>
      </c>
      <c r="I61" s="265" t="n">
        <v>0</v>
      </c>
      <c r="J61" s="265" t="n">
        <v>0</v>
      </c>
      <c r="K61" s="265" t="n">
        <v>0</v>
      </c>
      <c r="L61" s="265" t="n">
        <v>0</v>
      </c>
      <c r="N61" s="265" t="n">
        <v>0</v>
      </c>
      <c r="O61" s="265" t="n">
        <v>0</v>
      </c>
      <c r="P61" s="265" t="n">
        <v>0</v>
      </c>
      <c r="Q61" s="265" t="n">
        <v>0</v>
      </c>
      <c r="S61" s="265" t="n">
        <v>0</v>
      </c>
      <c r="T61" s="265" t="n">
        <v>0</v>
      </c>
      <c r="U61" s="265" t="n">
        <v>0</v>
      </c>
      <c r="V61" s="265" t="n">
        <v>0</v>
      </c>
      <c r="X61" s="265" t="n">
        <v>0</v>
      </c>
      <c r="Y61" s="265" t="n">
        <v>0</v>
      </c>
      <c r="Z61" s="265" t="n">
        <v>0</v>
      </c>
      <c r="AA61" s="265" t="n">
        <v>0</v>
      </c>
      <c r="AC61" s="265" t="n">
        <v>0</v>
      </c>
      <c r="AD61" s="265" t="n">
        <v>0</v>
      </c>
    </row>
    <row r="62">
      <c r="A62" t="inlineStr">
        <is>
          <t>[vazio] Intangíveis: não aparece como linha própria nas demonstrações (zero) · derivada · unid. moeda</t>
        </is>
      </c>
      <c r="B62" t="n">
        <v>21</v>
      </c>
      <c r="C62" t="inlineStr">
        <is>
          <t>Intangibles</t>
        </is>
      </c>
      <c r="D62" s="265" t="n">
        <v>0</v>
      </c>
      <c r="E62" s="265" t="n">
        <v>0</v>
      </c>
      <c r="F62" s="265" t="n">
        <v>0</v>
      </c>
      <c r="G62" s="265" t="n">
        <v>0</v>
      </c>
      <c r="I62" s="265" t="n">
        <v>0</v>
      </c>
      <c r="J62" s="265" t="n">
        <v>0</v>
      </c>
      <c r="K62" s="265" t="n">
        <v>0</v>
      </c>
      <c r="L62" s="265" t="n">
        <v>0</v>
      </c>
      <c r="N62" s="265" t="n">
        <v>0</v>
      </c>
      <c r="O62" s="265" t="n">
        <v>0</v>
      </c>
      <c r="P62" s="265" t="n">
        <v>0</v>
      </c>
      <c r="Q62" s="265" t="n">
        <v>0</v>
      </c>
      <c r="S62" s="265" t="n">
        <v>0</v>
      </c>
      <c r="T62" s="265" t="n">
        <v>0</v>
      </c>
      <c r="U62" s="265" t="n">
        <v>0</v>
      </c>
      <c r="V62" s="265" t="n">
        <v>0</v>
      </c>
      <c r="X62" s="265" t="n">
        <v>0</v>
      </c>
      <c r="Y62" s="265" t="n">
        <v>0</v>
      </c>
      <c r="Z62" s="265" t="n">
        <v>0</v>
      </c>
      <c r="AA62" s="265" t="n">
        <v>0</v>
      </c>
      <c r="AC62" s="265" t="n">
        <v>0</v>
      </c>
      <c r="AD62" s="265" t="n">
        <v>0</v>
      </c>
    </row>
    <row r="63">
      <c r="A63" t="inlineStr">
        <is>
          <t>[vazio] Despesas provisionadas: não aparece como linha própria nas demonstrações (zero) · derivada · unid. moeda</t>
        </is>
      </c>
      <c r="B63" t="n">
        <v>24</v>
      </c>
      <c r="C63" t="inlineStr">
        <is>
          <t>Accrued expenses</t>
        </is>
      </c>
      <c r="D63" s="265" t="n">
        <v>0</v>
      </c>
      <c r="E63" s="265" t="n">
        <v>0</v>
      </c>
      <c r="F63" s="265" t="n">
        <v>0</v>
      </c>
      <c r="G63" s="265" t="n">
        <v>0</v>
      </c>
      <c r="I63" s="265" t="n">
        <v>0</v>
      </c>
      <c r="J63" s="265" t="n">
        <v>0</v>
      </c>
      <c r="K63" s="265" t="n">
        <v>0</v>
      </c>
      <c r="L63" s="265" t="n">
        <v>0</v>
      </c>
      <c r="N63" s="265" t="n">
        <v>0</v>
      </c>
      <c r="O63" s="265" t="n">
        <v>0</v>
      </c>
      <c r="P63" s="265" t="n">
        <v>0</v>
      </c>
      <c r="Q63" s="265" t="n">
        <v>0</v>
      </c>
      <c r="S63" s="265" t="n">
        <v>0</v>
      </c>
      <c r="T63" s="265" t="n">
        <v>0</v>
      </c>
      <c r="U63" s="265" t="n">
        <v>0</v>
      </c>
      <c r="V63" s="265" t="n">
        <v>0</v>
      </c>
      <c r="X63" s="265" t="n">
        <v>0</v>
      </c>
      <c r="Y63" s="265" t="n">
        <v>0</v>
      </c>
      <c r="Z63" s="265" t="n">
        <v>0</v>
      </c>
      <c r="AA63" s="265" t="n">
        <v>0</v>
      </c>
      <c r="AC63" s="265" t="n">
        <v>0</v>
      </c>
      <c r="AD63" s="265" t="n">
        <v>0</v>
      </c>
    </row>
    <row r="64">
      <c r="A64" t="inlineStr">
        <is>
          <t>[vazio] Outros passivos circulantes: não aparece como linha própria nas demonstrações (zero) · derivada · unid. moeda</t>
        </is>
      </c>
      <c r="B64" t="n">
        <v>26</v>
      </c>
      <c r="C64" t="inlineStr">
        <is>
          <t>Other current liabilities (non-debt)</t>
        </is>
      </c>
      <c r="D64" s="265" t="n">
        <v>0</v>
      </c>
      <c r="E64" s="265" t="n">
        <v>0</v>
      </c>
      <c r="F64" s="265" t="n">
        <v>0</v>
      </c>
      <c r="G64" s="265" t="n">
        <v>0</v>
      </c>
      <c r="I64" s="265" t="n">
        <v>0</v>
      </c>
      <c r="J64" s="265" t="n">
        <v>0</v>
      </c>
      <c r="K64" s="265" t="n">
        <v>0</v>
      </c>
      <c r="L64" s="265" t="n">
        <v>0</v>
      </c>
      <c r="N64" s="265" t="n">
        <v>0</v>
      </c>
      <c r="O64" s="265" t="n">
        <v>0</v>
      </c>
      <c r="P64" s="265" t="n">
        <v>0</v>
      </c>
      <c r="Q64" s="265" t="n">
        <v>0</v>
      </c>
      <c r="S64" s="265" t="n">
        <v>0</v>
      </c>
      <c r="T64" s="265" t="n">
        <v>0</v>
      </c>
      <c r="U64" s="265" t="n">
        <v>0</v>
      </c>
      <c r="V64" s="265" t="n">
        <v>0</v>
      </c>
      <c r="X64" s="265" t="n">
        <v>0</v>
      </c>
      <c r="Y64" s="265" t="n">
        <v>0</v>
      </c>
      <c r="Z64" s="265" t="n">
        <v>0</v>
      </c>
      <c r="AA64" s="265" t="n">
        <v>0</v>
      </c>
      <c r="AC64" s="265" t="n">
        <v>0</v>
      </c>
      <c r="AD64" s="265" t="n">
        <v>0</v>
      </c>
    </row>
    <row r="65">
      <c r="A65" t="inlineStr">
        <is>
          <t>[vazio] Revolving: não aparece como linha própria nas demonstrações (zero) · derivada · unid. moeda</t>
        </is>
      </c>
      <c r="B65" t="n">
        <v>28</v>
      </c>
      <c r="C65" t="inlineStr">
        <is>
          <t>Short term debt (Revolving credit facility)</t>
        </is>
      </c>
      <c r="D65" s="265" t="n">
        <v>0</v>
      </c>
      <c r="E65" s="265" t="n">
        <v>0</v>
      </c>
      <c r="F65" s="265" t="n">
        <v>0</v>
      </c>
      <c r="G65" s="265" t="n">
        <v>0</v>
      </c>
      <c r="I65" s="265" t="n">
        <v>0</v>
      </c>
      <c r="J65" s="265" t="n">
        <v>0</v>
      </c>
      <c r="K65" s="265" t="n">
        <v>0</v>
      </c>
      <c r="L65" s="265" t="n">
        <v>0</v>
      </c>
      <c r="N65" s="265" t="n">
        <v>0</v>
      </c>
      <c r="O65" s="265" t="n">
        <v>0</v>
      </c>
      <c r="P65" s="265" t="n">
        <v>0</v>
      </c>
      <c r="Q65" s="265" t="n">
        <v>0</v>
      </c>
      <c r="S65" s="265" t="n">
        <v>0</v>
      </c>
      <c r="T65" s="265" t="n">
        <v>0</v>
      </c>
      <c r="U65" s="265" t="n">
        <v>0</v>
      </c>
      <c r="V65" s="265" t="n">
        <v>0</v>
      </c>
      <c r="X65" s="265" t="n">
        <v>0</v>
      </c>
      <c r="Y65" s="265" t="n">
        <v>0</v>
      </c>
      <c r="Z65" s="265" t="n">
        <v>0</v>
      </c>
      <c r="AA65" s="265" t="n">
        <v>0</v>
      </c>
      <c r="AC65" s="265" t="n">
        <v>0</v>
      </c>
      <c r="AD65" s="265" t="n">
        <v>0</v>
      </c>
    </row>
    <row r="66">
      <c r="A66" t="inlineStr">
        <is>
          <t>[vazio] Arrendamento CP: não aparece como linha própria nas demonstrações (zero) · derivada · unid. moeda</t>
        </is>
      </c>
      <c r="B66" t="n">
        <v>29</v>
      </c>
      <c r="C66" t="inlineStr">
        <is>
          <t>Short term operating leases</t>
        </is>
      </c>
      <c r="D66" s="265" t="n">
        <v>0</v>
      </c>
      <c r="E66" s="265" t="n">
        <v>0</v>
      </c>
      <c r="F66" s="265" t="n">
        <v>0</v>
      </c>
      <c r="G66" s="265" t="n">
        <v>0</v>
      </c>
      <c r="I66" s="265" t="n">
        <v>0</v>
      </c>
      <c r="J66" s="265" t="n">
        <v>0</v>
      </c>
      <c r="K66" s="265" t="n">
        <v>0</v>
      </c>
      <c r="L66" s="265" t="n">
        <v>0</v>
      </c>
      <c r="N66" s="265" t="n">
        <v>0</v>
      </c>
      <c r="O66" s="265" t="n">
        <v>0</v>
      </c>
      <c r="P66" s="265" t="n">
        <v>0</v>
      </c>
      <c r="Q66" s="265" t="n">
        <v>0</v>
      </c>
      <c r="S66" s="265" t="n">
        <v>0</v>
      </c>
      <c r="T66" s="265" t="n">
        <v>0</v>
      </c>
      <c r="U66" s="265" t="n">
        <v>0</v>
      </c>
      <c r="V66" s="265" t="n">
        <v>0</v>
      </c>
      <c r="X66" s="265" t="n">
        <v>0</v>
      </c>
      <c r="Y66" s="265" t="n">
        <v>0</v>
      </c>
      <c r="Z66" s="265" t="n">
        <v>0</v>
      </c>
      <c r="AA66" s="265" t="n">
        <v>0</v>
      </c>
      <c r="AC66" s="265" t="n">
        <v>0</v>
      </c>
      <c r="AD66" s="265" t="n">
        <v>0</v>
      </c>
    </row>
    <row r="67">
      <c r="A67" t="inlineStr">
        <is>
          <t>[vazio] Arrendamento LP: não aparece como linha própria nas demonstrações (zero) · derivada · unid. moeda</t>
        </is>
      </c>
      <c r="B67" t="n">
        <v>31</v>
      </c>
      <c r="C67" t="inlineStr">
        <is>
          <t>Long term operating leases</t>
        </is>
      </c>
      <c r="D67" s="265" t="n">
        <v>0</v>
      </c>
      <c r="E67" s="265" t="n">
        <v>0</v>
      </c>
      <c r="F67" s="265" t="n">
        <v>0</v>
      </c>
      <c r="G67" s="265" t="n">
        <v>0</v>
      </c>
      <c r="I67" s="265" t="n">
        <v>0</v>
      </c>
      <c r="J67" s="265" t="n">
        <v>0</v>
      </c>
      <c r="K67" s="265" t="n">
        <v>0</v>
      </c>
      <c r="L67" s="265" t="n">
        <v>0</v>
      </c>
      <c r="N67" s="265" t="n">
        <v>0</v>
      </c>
      <c r="O67" s="265" t="n">
        <v>0</v>
      </c>
      <c r="P67" s="265" t="n">
        <v>0</v>
      </c>
      <c r="Q67" s="265" t="n">
        <v>0</v>
      </c>
      <c r="S67" s="265" t="n">
        <v>0</v>
      </c>
      <c r="T67" s="265" t="n">
        <v>0</v>
      </c>
      <c r="U67" s="265" t="n">
        <v>0</v>
      </c>
      <c r="V67" s="265" t="n">
        <v>0</v>
      </c>
      <c r="X67" s="265" t="n">
        <v>0</v>
      </c>
      <c r="Y67" s="265" t="n">
        <v>0</v>
      </c>
      <c r="Z67" s="265" t="n">
        <v>0</v>
      </c>
      <c r="AA67" s="265" t="n">
        <v>0</v>
      </c>
      <c r="AC67" s="265" t="n">
        <v>0</v>
      </c>
      <c r="AD67" s="265" t="n">
        <v>0</v>
      </c>
    </row>
    <row r="68">
      <c r="A68" t="inlineStr">
        <is>
          <t>[vazio] Dívida conversível: não aparece como linha própria nas demonstrações (zero) · derivada · unid. moeda</t>
        </is>
      </c>
      <c r="B68" t="n">
        <v>32</v>
      </c>
      <c r="C68" t="inlineStr">
        <is>
          <t>Convertible debt</t>
        </is>
      </c>
      <c r="D68" s="265" t="n">
        <v>0</v>
      </c>
      <c r="E68" s="265" t="n">
        <v>0</v>
      </c>
      <c r="F68" s="265" t="n">
        <v>0</v>
      </c>
      <c r="G68" s="265" t="n">
        <v>0</v>
      </c>
      <c r="I68" s="265" t="n">
        <v>0</v>
      </c>
      <c r="J68" s="265" t="n">
        <v>0</v>
      </c>
      <c r="K68" s="265" t="n">
        <v>0</v>
      </c>
      <c r="L68" s="265" t="n">
        <v>0</v>
      </c>
      <c r="N68" s="265" t="n">
        <v>0</v>
      </c>
      <c r="O68" s="265" t="n">
        <v>0</v>
      </c>
      <c r="P68" s="265" t="n">
        <v>0</v>
      </c>
      <c r="Q68" s="265" t="n">
        <v>0</v>
      </c>
      <c r="S68" s="265" t="n">
        <v>0</v>
      </c>
      <c r="T68" s="265" t="n">
        <v>0</v>
      </c>
      <c r="U68" s="265" t="n">
        <v>0</v>
      </c>
      <c r="V68" s="265" t="n">
        <v>0</v>
      </c>
      <c r="X68" s="265" t="n">
        <v>0</v>
      </c>
      <c r="Y68" s="265" t="n">
        <v>0</v>
      </c>
      <c r="Z68" s="265" t="n">
        <v>0</v>
      </c>
      <c r="AA68" s="265" t="n">
        <v>0</v>
      </c>
      <c r="AC68" s="265" t="n">
        <v>0</v>
      </c>
      <c r="AD68" s="265" t="n">
        <v>0</v>
      </c>
    </row>
    <row r="69">
      <c r="A69" t="inlineStr">
        <is>
          <t>[vazio] Outras contas do PL: não aparece como linha própria nas demonstrações (zero) · derivada · unid. moeda</t>
        </is>
      </c>
      <c r="B69" t="n">
        <v>40</v>
      </c>
      <c r="C69" t="inlineStr">
        <is>
          <t>Other equity account</t>
        </is>
      </c>
      <c r="D69" s="265" t="n">
        <v>0</v>
      </c>
      <c r="E69" s="265" t="n">
        <v>0</v>
      </c>
      <c r="F69" s="265" t="n">
        <v>0</v>
      </c>
      <c r="G69" s="265" t="n">
        <v>0</v>
      </c>
      <c r="I69" s="265" t="n">
        <v>0</v>
      </c>
      <c r="J69" s="265" t="n">
        <v>0</v>
      </c>
      <c r="K69" s="265" t="n">
        <v>0</v>
      </c>
      <c r="L69" s="265" t="n">
        <v>0</v>
      </c>
      <c r="N69" s="265" t="n">
        <v>0</v>
      </c>
      <c r="O69" s="265" t="n">
        <v>0</v>
      </c>
      <c r="P69" s="265" t="n">
        <v>0</v>
      </c>
      <c r="Q69" s="265" t="n">
        <v>0</v>
      </c>
      <c r="S69" s="265" t="n">
        <v>0</v>
      </c>
      <c r="T69" s="265" t="n">
        <v>0</v>
      </c>
      <c r="U69" s="265" t="n">
        <v>0</v>
      </c>
      <c r="V69" s="265" t="n">
        <v>0</v>
      </c>
      <c r="X69" s="265" t="n">
        <v>0</v>
      </c>
      <c r="Y69" s="265" t="n">
        <v>0</v>
      </c>
      <c r="Z69" s="265" t="n">
        <v>0</v>
      </c>
      <c r="AA69" s="265" t="n">
        <v>0</v>
      </c>
      <c r="AC69" s="265" t="n">
        <v>0</v>
      </c>
      <c r="AD69" s="265" t="n">
        <v>0</v>
      </c>
    </row>
    <row r="70">
      <c r="A70" t="inlineStr">
        <is>
          <t>BALANÇO - totais divulgados (memória)</t>
        </is>
      </c>
      <c r="C70" t="inlineStr">
        <is>
          <t>[linha bruta, sem código; lançada nas linhas abaixo]</t>
        </is>
      </c>
      <c r="D70" s="265" t="n"/>
      <c r="E70" s="265" t="n"/>
      <c r="F70" s="265" t="n"/>
      <c r="G70" s="265" t="n"/>
      <c r="I70" s="265" t="n"/>
      <c r="J70" s="265" t="n"/>
      <c r="K70" s="265" t="n"/>
      <c r="L70" s="265" t="n"/>
      <c r="N70" s="265" t="n"/>
      <c r="O70" s="265" t="n"/>
      <c r="P70" s="265" t="n"/>
      <c r="Q70" s="265" t="n"/>
      <c r="S70" s="265" t="n"/>
      <c r="T70" s="265" t="n"/>
      <c r="U70" s="265" t="n"/>
      <c r="V70" s="265" t="n"/>
      <c r="X70" s="265" t="n"/>
      <c r="Y70" s="265" t="n"/>
      <c r="Z70" s="265" t="n"/>
      <c r="AA70" s="265" t="n"/>
      <c r="AC70" s="265" t="n"/>
      <c r="AD70" s="265" t="n"/>
    </row>
    <row r="71">
      <c r="A71" t="inlineStr">
        <is>
          <t>Total do ativo [us-gaap:Assets] · memoria · unid. moeda</t>
        </is>
      </c>
      <c r="C71" t="inlineStr">
        <is>
          <t>[linha bruta, sem código; lançada nas linhas abaixo]</t>
        </is>
      </c>
      <c r="D71" s="265" t="n">
        <v>333770000</v>
      </c>
      <c r="E71" s="265" t="n">
        <v>337289000</v>
      </c>
      <c r="F71" s="265" t="n">
        <v>336688000</v>
      </c>
      <c r="G71" s="265" t="n">
        <v>338923000</v>
      </c>
      <c r="I71" s="265" t="n">
        <v>354771000</v>
      </c>
      <c r="J71" s="265" t="n">
        <v>367774000</v>
      </c>
      <c r="K71" s="265" t="n">
        <v>370152000</v>
      </c>
      <c r="L71" s="265" t="n">
        <v>369067000</v>
      </c>
      <c r="N71" s="265" t="n">
        <v>369371000</v>
      </c>
      <c r="O71" s="265" t="n">
        <v>363248000</v>
      </c>
      <c r="P71" s="265" t="n">
        <v>372259000</v>
      </c>
      <c r="Q71" s="265" t="n">
        <v>376317000</v>
      </c>
      <c r="S71" s="265" t="n">
        <v>377918000</v>
      </c>
      <c r="T71" s="265" t="n">
        <v>460707000</v>
      </c>
      <c r="U71" s="265" t="n">
        <v>461916000</v>
      </c>
      <c r="V71" s="265" t="n">
        <v>453475000</v>
      </c>
      <c r="X71" s="265" t="n">
        <v>451908000</v>
      </c>
      <c r="Y71" s="265" t="n">
        <v>447597000</v>
      </c>
      <c r="Z71" s="265" t="n">
        <v>454340000</v>
      </c>
      <c r="AA71" s="265" t="n">
        <v>448980000</v>
      </c>
      <c r="AC71" s="265" t="n">
        <v>464410000</v>
      </c>
      <c r="AD71" s="265" t="n">
        <v>464482000</v>
      </c>
    </row>
    <row r="72">
      <c r="A72" t="inlineStr">
        <is>
          <t>Total do passivo + PL [us-gaap:LiabilitiesAndStockholdersEquity] · memoria · unid. moeda</t>
        </is>
      </c>
      <c r="C72" t="inlineStr">
        <is>
          <t>[linha bruta, sem código; lançada nas linhas abaixo]</t>
        </is>
      </c>
      <c r="D72" s="265" t="n">
        <v>333770000</v>
      </c>
      <c r="E72" s="265" t="n">
        <v>337289000</v>
      </c>
      <c r="F72" s="265" t="n">
        <v>336688000</v>
      </c>
      <c r="G72" s="265" t="n">
        <v>338923000</v>
      </c>
      <c r="I72" s="265" t="n">
        <v>354771000</v>
      </c>
      <c r="J72" s="265" t="n">
        <v>367774000</v>
      </c>
      <c r="K72" s="265" t="n">
        <v>370152000</v>
      </c>
      <c r="L72" s="265" t="n">
        <v>369067000</v>
      </c>
      <c r="N72" s="265" t="n">
        <v>369371000</v>
      </c>
      <c r="O72" s="265" t="n">
        <v>363248000</v>
      </c>
      <c r="P72" s="265" t="n">
        <v>372259000</v>
      </c>
      <c r="Q72" s="265" t="n">
        <v>376317000</v>
      </c>
      <c r="S72" s="265" t="n">
        <v>377918000</v>
      </c>
      <c r="T72" s="265" t="n">
        <v>460707000</v>
      </c>
      <c r="U72" s="265" t="n">
        <v>461916000</v>
      </c>
      <c r="V72" s="265" t="n">
        <v>453475000</v>
      </c>
      <c r="X72" s="265" t="n">
        <v>451908000</v>
      </c>
      <c r="Y72" s="265" t="n">
        <v>447597000</v>
      </c>
      <c r="Z72" s="265" t="n">
        <v>454340000</v>
      </c>
      <c r="AA72" s="265" t="n">
        <v>448980000</v>
      </c>
      <c r="AC72" s="265" t="n">
        <v>464410000</v>
      </c>
      <c r="AD72" s="265" t="n">
        <v>464482000</v>
      </c>
    </row>
    <row r="73">
      <c r="A73" t="inlineStr">
        <is>
          <t>CHECKS (devem ser 0)</t>
        </is>
      </c>
      <c r="C73" t="inlineStr">
        <is>
          <t>[linha bruta, sem código; lançada nas linhas abaixo]</t>
        </is>
      </c>
      <c r="D73" s="265" t="n"/>
      <c r="E73" s="265" t="n"/>
      <c r="F73" s="265" t="n"/>
      <c r="G73" s="265" t="n"/>
      <c r="I73" s="265" t="n"/>
      <c r="J73" s="265" t="n"/>
      <c r="K73" s="265" t="n"/>
      <c r="L73" s="265" t="n"/>
      <c r="N73" s="265" t="n"/>
      <c r="O73" s="265" t="n"/>
      <c r="P73" s="265" t="n"/>
      <c r="Q73" s="265" t="n"/>
      <c r="S73" s="265" t="n"/>
      <c r="T73" s="265" t="n"/>
      <c r="U73" s="265" t="n"/>
      <c r="V73" s="265" t="n"/>
      <c r="X73" s="265" t="n"/>
      <c r="Y73" s="265" t="n"/>
      <c r="Z73" s="265" t="n"/>
      <c r="AA73" s="265" t="n"/>
      <c r="AC73" s="265" t="n"/>
      <c r="AD73" s="265" t="n"/>
    </row>
    <row r="74">
      <c r="A74" t="inlineStr">
        <is>
          <t>CHECK: contas de ativo - ativo total (USD, arredondado a 100 mil) · derivada · unid. moeda</t>
        </is>
      </c>
      <c r="C74" t="inlineStr">
        <is>
          <t>[linha bruta, sem código; lançada nas linhas abaixo]</t>
        </is>
      </c>
      <c r="D74" s="265">
        <f>ROUND(N(D30)+N(D31)+N(D32)+N(D33)+N(D34)+N(D35)+N(D36)+N(D37)+N(D38)+N(D39)-N(D71),-2)</f>
        <v>0</v>
      </c>
      <c r="E74" s="265">
        <f>ROUND(N(E30)+N(E31)+N(E32)+N(E33)+N(E34)+N(E35)+N(E36)+N(E37)+N(E38)+N(E39)-N(E71),-2)</f>
        <v>0</v>
      </c>
      <c r="F74" s="265">
        <f>ROUND(N(F30)+N(F31)+N(F32)+N(F33)+N(F34)+N(F35)+N(F36)+N(F37)+N(F38)+N(F39)-N(F71),-2)</f>
        <v>0</v>
      </c>
      <c r="G74" s="265">
        <f>ROUND(N(G30)+N(G31)+N(G32)+N(G33)+N(G34)+N(G35)+N(G36)+N(G37)+N(G38)+N(G39)-N(G71),-2)</f>
        <v>0</v>
      </c>
      <c r="I74" s="265">
        <f>ROUND(N(I30)+N(I31)+N(I32)+N(I33)+N(I34)+N(I35)+N(I36)+N(I37)+N(I38)+N(I39)-N(I71),-2)</f>
        <v>0</v>
      </c>
      <c r="J74" s="265">
        <f>ROUND(N(J30)+N(J31)+N(J32)+N(J33)+N(J34)+N(J35)+N(J36)+N(J37)+N(J38)+N(J39)-N(J71),-2)</f>
        <v>0</v>
      </c>
      <c r="K74" s="265">
        <f>ROUND(N(K30)+N(K31)+N(K32)+N(K33)+N(K34)+N(K35)+N(K36)+N(K37)+N(K38)+N(K39)-N(K71),-2)</f>
        <v>0</v>
      </c>
      <c r="L74" s="265">
        <f>ROUND(N(L30)+N(L31)+N(L32)+N(L33)+N(L34)+N(L35)+N(L36)+N(L37)+N(L38)+N(L39)-N(L71),-2)</f>
        <v>0</v>
      </c>
      <c r="N74" s="265">
        <f>ROUND(N(N30)+N(N31)+N(N32)+N(N33)+N(N34)+N(N35)+N(N36)+N(N37)+N(N38)+N(N39)-N(N71),-2)</f>
        <v>0</v>
      </c>
      <c r="O74" s="265">
        <f>ROUND(N(O30)+N(O31)+N(O32)+N(O33)+N(O34)+N(O35)+N(O36)+N(O37)+N(O38)+N(O39)-N(O71),-2)</f>
        <v>0</v>
      </c>
      <c r="P74" s="265">
        <f>ROUND(N(P30)+N(P31)+N(P32)+N(P33)+N(P34)+N(P35)+N(P36)+N(P37)+N(P38)+N(P39)-N(P71),-2)</f>
        <v>0</v>
      </c>
      <c r="Q74" s="265">
        <f>ROUND(N(Q30)+N(Q31)+N(Q32)+N(Q33)+N(Q34)+N(Q35)+N(Q36)+N(Q37)+N(Q38)+N(Q39)-N(Q71),-2)</f>
        <v>0</v>
      </c>
      <c r="S74" s="265">
        <f>ROUND(N(S30)+N(S31)+N(S32)+N(S33)+N(S34)+N(S35)+N(S36)+N(S37)+N(S38)+N(S39)-N(S71),-2)</f>
        <v>0</v>
      </c>
      <c r="T74" s="265">
        <f>ROUND(N(T30)+N(T31)+N(T32)+N(T33)+N(T34)+N(T35)+N(T36)+N(T37)+N(T38)+N(T39)-N(T71),-2)</f>
        <v>0</v>
      </c>
      <c r="U74" s="265">
        <f>ROUND(N(U30)+N(U31)+N(U32)+N(U33)+N(U34)+N(U35)+N(U36)+N(U37)+N(U38)+N(U39)-N(U71),-2)</f>
        <v>0</v>
      </c>
      <c r="V74" s="265">
        <f>ROUND(N(V30)+N(V31)+N(V32)+N(V33)+N(V34)+N(V35)+N(V36)+N(V37)+N(V38)+N(V39)-N(V71),-2)</f>
        <v>0</v>
      </c>
      <c r="X74" s="265">
        <f>ROUND(N(X30)+N(X31)+N(X32)+N(X33)+N(X34)+N(X35)+N(X36)+N(X37)+N(X38)+N(X39)-N(X71),-2)</f>
        <v>0</v>
      </c>
      <c r="Y74" s="265">
        <f>ROUND(N(Y30)+N(Y31)+N(Y32)+N(Y33)+N(Y34)+N(Y35)+N(Y36)+N(Y37)+N(Y38)+N(Y39)-N(Y71),-2)</f>
        <v>0</v>
      </c>
      <c r="Z74" s="265">
        <f>ROUND(N(Z30)+N(Z31)+N(Z32)+N(Z33)+N(Z34)+N(Z35)+N(Z36)+N(Z37)+N(Z38)+N(Z39)-N(Z71),-2)</f>
        <v>0</v>
      </c>
      <c r="AA74" s="265">
        <f>ROUND(N(AA30)+N(AA31)+N(AA32)+N(AA33)+N(AA34)+N(AA35)+N(AA36)+N(AA37)+N(AA38)+N(AA39)-N(AA71),-2)</f>
        <v>0</v>
      </c>
      <c r="AC74" s="265">
        <f>ROUND(N(AC30)+N(AC31)+N(AC32)+N(AC33)+N(AC34)+N(AC35)+N(AC36)+N(AC37)+N(AC38)+N(AC39)-N(AC71),-2)</f>
        <v>0</v>
      </c>
      <c r="AD74" s="265">
        <f>ROUND(N(AD30)+N(AD31)+N(AD32)+N(AD33)+N(AD34)+N(AD35)+N(AD36)+N(AD37)+N(AD38)+N(AD39)-N(AD71),-2)</f>
        <v>0</v>
      </c>
    </row>
    <row r="75">
      <c r="A75" t="inlineStr">
        <is>
          <t>CHECK: passivo + PL (contas) - passivo + PL total · derivada · unid. moeda</t>
        </is>
      </c>
      <c r="C75" t="inlineStr">
        <is>
          <t>[linha bruta, sem código; lançada nas linhas abaixo]</t>
        </is>
      </c>
      <c r="D75" s="265">
        <f>ROUND(N(D40)+N(D41)+N(D42)+N(D43)+N(D44)+N(D45)+N(D46)+N(D47)+N(D48)+N(D49)+N(D50)+N(D51)+N(D52)+N(D53)+N(D54)+N(D55)-N(D72),-2)</f>
        <v>0</v>
      </c>
      <c r="E75" s="265">
        <f>ROUND(N(E40)+N(E41)+N(E42)+N(E43)+N(E44)+N(E45)+N(E46)+N(E47)+N(E48)+N(E49)+N(E50)+N(E51)+N(E52)+N(E53)+N(E54)+N(E55)-N(E72),-2)</f>
        <v>0</v>
      </c>
      <c r="F75" s="265">
        <f>ROUND(N(F40)+N(F41)+N(F42)+N(F43)+N(F44)+N(F45)+N(F46)+N(F47)+N(F48)+N(F49)+N(F50)+N(F51)+N(F52)+N(F53)+N(F54)+N(F55)-N(F72),-2)</f>
        <v>0</v>
      </c>
      <c r="G75" s="265">
        <f>ROUND(N(G40)+N(G41)+N(G42)+N(G43)+N(G44)+N(G45)+N(G46)+N(G47)+N(G48)+N(G49)+N(G50)+N(G51)+N(G52)+N(G53)+N(G54)+N(G55)-N(G72),-2)</f>
        <v>0</v>
      </c>
      <c r="I75" s="265">
        <f>ROUND(N(I40)+N(I41)+N(I42)+N(I43)+N(I44)+N(I45)+N(I46)+N(I47)+N(I48)+N(I49)+N(I50)+N(I51)+N(I52)+N(I53)+N(I54)+N(I55)-N(I72),-2)</f>
        <v>0</v>
      </c>
      <c r="J75" s="265">
        <f>ROUND(N(J40)+N(J41)+N(J42)+N(J43)+N(J44)+N(J45)+N(J46)+N(J47)+N(J48)+N(J49)+N(J50)+N(J51)+N(J52)+N(J53)+N(J54)+N(J55)-N(J72),-2)</f>
        <v>0</v>
      </c>
      <c r="K75" s="265">
        <f>ROUND(N(K40)+N(K41)+N(K42)+N(K43)+N(K44)+N(K45)+N(K46)+N(K47)+N(K48)+N(K49)+N(K50)+N(K51)+N(K52)+N(K53)+N(K54)+N(K55)-N(K72),-2)</f>
        <v>0</v>
      </c>
      <c r="L75" s="265">
        <f>ROUND(N(L40)+N(L41)+N(L42)+N(L43)+N(L44)+N(L45)+N(L46)+N(L47)+N(L48)+N(L49)+N(L50)+N(L51)+N(L52)+N(L53)+N(L54)+N(L55)-N(L72),-2)</f>
        <v>0</v>
      </c>
      <c r="N75" s="265">
        <f>ROUND(N(N40)+N(N41)+N(N42)+N(N43)+N(N44)+N(N45)+N(N46)+N(N47)+N(N48)+N(N49)+N(N50)+N(N51)+N(N52)+N(N53)+N(N54)+N(N55)-N(N72),-2)</f>
        <v>0</v>
      </c>
      <c r="O75" s="265">
        <f>ROUND(N(O40)+N(O41)+N(O42)+N(O43)+N(O44)+N(O45)+N(O46)+N(O47)+N(O48)+N(O49)+N(O50)+N(O51)+N(O52)+N(O53)+N(O54)+N(O55)-N(O72),-2)</f>
        <v>0</v>
      </c>
      <c r="P75" s="265">
        <f>ROUND(N(P40)+N(P41)+N(P42)+N(P43)+N(P44)+N(P45)+N(P46)+N(P47)+N(P48)+N(P49)+N(P50)+N(P51)+N(P52)+N(P53)+N(P54)+N(P55)-N(P72),-2)</f>
        <v>0</v>
      </c>
      <c r="Q75" s="265">
        <f>ROUND(N(Q40)+N(Q41)+N(Q42)+N(Q43)+N(Q44)+N(Q45)+N(Q46)+N(Q47)+N(Q48)+N(Q49)+N(Q50)+N(Q51)+N(Q52)+N(Q53)+N(Q54)+N(Q55)-N(Q72),-2)</f>
        <v>0</v>
      </c>
      <c r="S75" s="265">
        <f>ROUND(N(S40)+N(S41)+N(S42)+N(S43)+N(S44)+N(S45)+N(S46)+N(S47)+N(S48)+N(S49)+N(S50)+N(S51)+N(S52)+N(S53)+N(S54)+N(S55)-N(S72),-2)</f>
        <v>0</v>
      </c>
      <c r="T75" s="265">
        <f>ROUND(N(T40)+N(T41)+N(T42)+N(T43)+N(T44)+N(T45)+N(T46)+N(T47)+N(T48)+N(T49)+N(T50)+N(T51)+N(T52)+N(T53)+N(T54)+N(T55)-N(T72),-2)</f>
        <v>0</v>
      </c>
      <c r="U75" s="265">
        <f>ROUND(N(U40)+N(U41)+N(U42)+N(U43)+N(U44)+N(U45)+N(U46)+N(U47)+N(U48)+N(U49)+N(U50)+N(U51)+N(U52)+N(U53)+N(U54)+N(U55)-N(U72),-2)</f>
        <v>0</v>
      </c>
      <c r="V75" s="265">
        <f>ROUND(N(V40)+N(V41)+N(V42)+N(V43)+N(V44)+N(V45)+N(V46)+N(V47)+N(V48)+N(V49)+N(V50)+N(V51)+N(V52)+N(V53)+N(V54)+N(V55)-N(V72),-2)</f>
        <v>0</v>
      </c>
      <c r="X75" s="265">
        <f>ROUND(N(X40)+N(X41)+N(X42)+N(X43)+N(X44)+N(X45)+N(X46)+N(X47)+N(X48)+N(X49)+N(X50)+N(X51)+N(X52)+N(X53)+N(X54)+N(X55)-N(X72),-2)</f>
        <v>0</v>
      </c>
      <c r="Y75" s="265">
        <f>ROUND(N(Y40)+N(Y41)+N(Y42)+N(Y43)+N(Y44)+N(Y45)+N(Y46)+N(Y47)+N(Y48)+N(Y49)+N(Y50)+N(Y51)+N(Y52)+N(Y53)+N(Y54)+N(Y55)-N(Y72),-2)</f>
        <v>0</v>
      </c>
      <c r="Z75" s="265">
        <f>ROUND(N(Z40)+N(Z41)+N(Z42)+N(Z43)+N(Z44)+N(Z45)+N(Z46)+N(Z47)+N(Z48)+N(Z49)+N(Z50)+N(Z51)+N(Z52)+N(Z53)+N(Z54)+N(Z55)-N(Z72),-2)</f>
        <v>0</v>
      </c>
      <c r="AA75" s="265">
        <f>ROUND(N(AA40)+N(AA41)+N(AA42)+N(AA43)+N(AA44)+N(AA45)+N(AA46)+N(AA47)+N(AA48)+N(AA49)+N(AA50)+N(AA51)+N(AA52)+N(AA53)+N(AA54)+N(AA55)-N(AA72),-2)</f>
        <v>0</v>
      </c>
      <c r="AC75" s="265">
        <f>ROUND(N(AC40)+N(AC41)+N(AC42)+N(AC43)+N(AC44)+N(AC45)+N(AC46)+N(AC47)+N(AC48)+N(AC49)+N(AC50)+N(AC51)+N(AC52)+N(AC53)+N(AC54)+N(AC55)-N(AC72),-2)</f>
        <v>0</v>
      </c>
      <c r="AD75" s="265">
        <f>ROUND(N(AD40)+N(AD41)+N(AD42)+N(AD43)+N(AD44)+N(AD45)+N(AD46)+N(AD47)+N(AD48)+N(AD49)+N(AD50)+N(AD51)+N(AD52)+N(AD53)+N(AD54)+N(AD55)-N(AD72),-2)</f>
        <v>0</v>
      </c>
    </row>
    <row r="76">
      <c r="A76" t="inlineStr">
        <is>
          <t>CHECK: receita - custo - despesas + não operacional - IR - minoritários + outros após IR - lucro (deve ser 0) · derivada</t>
        </is>
      </c>
      <c r="C76" t="inlineStr">
        <is>
          <t>[linha bruta, sem código; lançada nas linhas abaixo]</t>
        </is>
      </c>
      <c r="D76" s="265">
        <f>ROUND(N(D5)-N(D6)-N(D9)+N(D12)-N(D16)-N(D18)+N(D21)-N(D22),-2)</f>
        <v>0</v>
      </c>
      <c r="E76" s="265">
        <f>ROUND(N(E5)-N(E6)-N(E9)+N(E12)-N(E16)-N(E18)+N(E21)-N(E22),-2)</f>
        <v>0</v>
      </c>
      <c r="F76" s="265">
        <f>ROUND(N(F5)-N(F6)-N(F9)+N(F12)-N(F16)-N(F18)+N(F21)-N(F22),-2)</f>
        <v>0</v>
      </c>
      <c r="G76" s="265">
        <f>ROUND(N(G5)-N(G6)-N(G9)+N(G12)-N(G16)-N(G18)+N(G21)-N(G22),-2)</f>
        <v>0</v>
      </c>
      <c r="I76" s="265">
        <f>ROUND(N(I5)-N(I6)-N(I9)+N(I12)-N(I16)-N(I18)+N(I21)-N(I22),-2)</f>
        <v>0</v>
      </c>
      <c r="J76" s="265">
        <f>ROUND(N(J5)-N(J6)-N(J9)+N(J12)-N(J16)-N(J18)+N(J21)-N(J22),-2)</f>
        <v>0</v>
      </c>
      <c r="K76" s="265">
        <f>ROUND(N(K5)-N(K6)-N(K9)+N(K12)-N(K16)-N(K18)+N(K21)-N(K22),-2)</f>
        <v>0</v>
      </c>
      <c r="L76" s="265">
        <f>ROUND(N(L5)-N(L6)-N(L9)+N(L12)-N(L16)-N(L18)+N(L21)-N(L22),-2)</f>
        <v>0</v>
      </c>
      <c r="N76" s="265">
        <f>ROUND(N(N5)-N(N6)-N(N9)+N(N12)-N(N16)-N(N18)+N(N21)-N(N22),-2)</f>
        <v>0</v>
      </c>
      <c r="O76" s="265">
        <f>ROUND(N(O5)-N(O6)-N(O9)+N(O12)-N(O16)-N(O18)+N(O21)-N(O22),-2)</f>
        <v>0</v>
      </c>
      <c r="P76" s="265">
        <f>ROUND(N(P5)-N(P6)-N(P9)+N(P12)-N(P16)-N(P18)+N(P21)-N(P22),-2)</f>
        <v>0</v>
      </c>
      <c r="Q76" s="265">
        <f>ROUND(N(Q5)-N(Q6)-N(Q9)+N(Q12)-N(Q16)-N(Q18)+N(Q21)-N(Q22),-2)</f>
        <v>0</v>
      </c>
      <c r="S76" s="265">
        <f>ROUND(N(S5)-N(S6)-N(S9)+N(S12)-N(S16)-N(S18)+N(S21)-N(S22),-2)</f>
        <v>0</v>
      </c>
      <c r="T76" s="265">
        <f>ROUND(N(T5)-N(T6)-N(T9)+N(T12)-N(T16)-N(T18)+N(T21)-N(T22),-2)</f>
        <v>0</v>
      </c>
      <c r="U76" s="265">
        <f>ROUND(N(U5)-N(U6)-N(U9)+N(U12)-N(U16)-N(U18)+N(U21)-N(U22),-2)</f>
        <v>0</v>
      </c>
      <c r="V76" s="265">
        <f>ROUND(N(V5)-N(V6)-N(V9)+N(V12)-N(V16)-N(V18)+N(V21)-N(V22),-2)</f>
        <v>0</v>
      </c>
      <c r="X76" s="265">
        <f>ROUND(N(X5)-N(X6)-N(X9)+N(X12)-N(X16)-N(X18)+N(X21)-N(X22),-2)</f>
        <v>0</v>
      </c>
      <c r="Y76" s="265">
        <f>ROUND(N(Y5)-N(Y6)-N(Y9)+N(Y12)-N(Y16)-N(Y18)+N(Y21)-N(Y22),-2)</f>
        <v>0</v>
      </c>
      <c r="Z76" s="265">
        <f>ROUND(N(Z5)-N(Z6)-N(Z9)+N(Z12)-N(Z16)-N(Z18)+N(Z21)-N(Z22),-2)</f>
        <v>0</v>
      </c>
      <c r="AA76" s="265">
        <f>ROUND(N(AA5)-N(AA6)-N(AA9)+N(AA12)-N(AA16)-N(AA18)+N(AA21)-N(AA22),-2)</f>
        <v>0</v>
      </c>
      <c r="AC76" s="265">
        <f>ROUND(N(AC5)-N(AC6)-N(AC9)+N(AC12)-N(AC16)-N(AC18)+N(AC21)-N(AC22),-2)</f>
        <v>0</v>
      </c>
      <c r="AD76" s="265">
        <f>ROUND(N(AD5)-N(AD6)-N(AD9)+N(AD12)-N(AD16)-N(AD18)+N(AD21)-N(AD22),-2)</f>
        <v>0</v>
      </c>
    </row>
    <row r="77">
      <c r="D77" s="265" t="n"/>
      <c r="E77" s="265" t="n"/>
      <c r="F77" s="265" t="n"/>
      <c r="G77" s="265" t="n"/>
      <c r="I77" s="265" t="n"/>
      <c r="J77" s="265" t="n"/>
      <c r="K77" s="265" t="n"/>
      <c r="L77" s="265" t="n"/>
      <c r="N77" s="265" t="n"/>
      <c r="O77" s="265" t="n"/>
      <c r="P77" s="265" t="n"/>
      <c r="Q77" s="265" t="n"/>
      <c r="S77" s="265" t="n"/>
      <c r="T77" s="265" t="n"/>
      <c r="U77" s="265" t="n"/>
      <c r="V77" s="265" t="n"/>
      <c r="X77" s="265" t="n"/>
      <c r="Y77" s="265" t="n"/>
      <c r="Z77" s="265" t="n"/>
      <c r="AA77" s="265" t="n"/>
      <c r="AC77" s="265" t="n"/>
      <c r="AD77" s="265" t="n"/>
    </row>
    <row r="78">
      <c r="A78" t="inlineStr">
        <is>
          <t>DRIVERS DE RECEITA (codigos 45+): composição da receita (vendas, equivalência, outras) e lucro por segmento (Upstream, Energy Products, Chemical Products, Specialty Products), EUA + exterior - SEC XBRL (USD, fator 0,000001).</t>
        </is>
      </c>
      <c r="C78" t="inlineStr">
        <is>
          <t>[linha bruta, sem código; lançada nas linhas abaixo]</t>
        </is>
      </c>
      <c r="D78" s="265" t="n"/>
      <c r="E78" s="265" t="n"/>
      <c r="F78" s="265" t="n"/>
      <c r="G78" s="265" t="n"/>
      <c r="I78" s="265" t="n"/>
      <c r="J78" s="265" t="n"/>
      <c r="K78" s="265" t="n"/>
      <c r="L78" s="265" t="n"/>
      <c r="N78" s="265" t="n"/>
      <c r="O78" s="265" t="n"/>
      <c r="P78" s="265" t="n"/>
      <c r="Q78" s="265" t="n"/>
      <c r="S78" s="265" t="n"/>
      <c r="T78" s="265" t="n"/>
      <c r="U78" s="265" t="n"/>
      <c r="V78" s="265" t="n"/>
      <c r="X78" s="265" t="n"/>
      <c r="Y78" s="265" t="n"/>
      <c r="Z78" s="265" t="n"/>
      <c r="AA78" s="265" t="n"/>
      <c r="AC78" s="265" t="n"/>
      <c r="AD78" s="265" t="n"/>
    </row>
    <row r="79">
      <c r="A79" t="inlineStr">
        <is>
          <t>Vendas e outras receitas operacionais (USD) · fonte · unid. moeda</t>
        </is>
      </c>
      <c r="B79" t="n">
        <v>45</v>
      </c>
      <c r="C79" t="inlineStr">
        <is>
          <t>Vendas e outras receitas operacionais (USD)</t>
        </is>
      </c>
      <c r="D79" s="265" t="n"/>
      <c r="E79" s="265" t="n"/>
      <c r="F79" s="265" t="n"/>
      <c r="G79" s="265" t="n"/>
      <c r="I79" s="265" t="n">
        <v>87734000</v>
      </c>
      <c r="J79" s="265" t="n">
        <v>111265000</v>
      </c>
      <c r="K79" s="265" t="n">
        <v>106512000</v>
      </c>
      <c r="L79" s="265" t="n">
        <v>93164000</v>
      </c>
      <c r="N79" s="265" t="n">
        <v>83644000</v>
      </c>
      <c r="O79" s="265" t="n">
        <v>80795000</v>
      </c>
      <c r="P79" s="265" t="n">
        <v>88570000</v>
      </c>
      <c r="Q79" s="265" t="n">
        <v>81688000</v>
      </c>
      <c r="S79" s="265" t="n">
        <v>80411000</v>
      </c>
      <c r="T79" s="265" t="n">
        <v>89986000</v>
      </c>
      <c r="U79" s="265" t="n">
        <v>87792000</v>
      </c>
      <c r="V79" s="265" t="n">
        <v>81058000</v>
      </c>
      <c r="X79" s="265" t="n">
        <v>81058000</v>
      </c>
      <c r="Y79" s="265" t="n">
        <v>79477000</v>
      </c>
      <c r="Z79" s="265" t="n">
        <v>83331000</v>
      </c>
      <c r="AA79" s="265" t="n">
        <v>80039000</v>
      </c>
      <c r="AC79" s="265" t="n">
        <v>83161000</v>
      </c>
      <c r="AD79" s="265" t="n">
        <v>114529000</v>
      </c>
    </row>
    <row r="80">
      <c r="A80" t="inlineStr">
        <is>
          <t>Receita de equivalência patrimonial (USD) · fonte · unid. moeda</t>
        </is>
      </c>
      <c r="B80" t="n">
        <v>46</v>
      </c>
      <c r="C80" t="inlineStr">
        <is>
          <t>Receita de equivalência patrimonial (USD)</t>
        </is>
      </c>
      <c r="D80" s="265" t="n"/>
      <c r="E80" s="265" t="n"/>
      <c r="F80" s="265" t="n"/>
      <c r="G80" s="265" t="n"/>
      <c r="I80" s="265" t="n">
        <v>2538000</v>
      </c>
      <c r="J80" s="265" t="n">
        <v>3688000</v>
      </c>
      <c r="K80" s="265" t="n">
        <v>4632000</v>
      </c>
      <c r="L80" s="265" t="n">
        <v>605000</v>
      </c>
      <c r="N80" s="265" t="n">
        <v>2381000</v>
      </c>
      <c r="O80" s="265" t="n">
        <v>1382000</v>
      </c>
      <c r="P80" s="265" t="n">
        <v>1457000</v>
      </c>
      <c r="Q80" s="265" t="n">
        <v>1165000</v>
      </c>
      <c r="S80" s="265" t="n">
        <v>1842000</v>
      </c>
      <c r="T80" s="265" t="n">
        <v>1744000</v>
      </c>
      <c r="U80" s="265" t="n">
        <v>1481000</v>
      </c>
      <c r="V80" s="265" t="n">
        <v>1127000</v>
      </c>
      <c r="X80" s="265" t="n">
        <v>1369000</v>
      </c>
      <c r="Y80" s="265" t="n">
        <v>1462000</v>
      </c>
      <c r="Z80" s="265" t="n">
        <v>1267000</v>
      </c>
      <c r="AA80" s="265" t="n">
        <v>966000</v>
      </c>
      <c r="AC80" s="265" t="n">
        <v>1369000</v>
      </c>
      <c r="AD80" s="265" t="n">
        <v>893000</v>
      </c>
    </row>
    <row r="81">
      <c r="A81" t="inlineStr">
        <is>
          <t>Outras receitas (USD) · fonte · unid. moeda</t>
        </is>
      </c>
      <c r="B81" t="n">
        <v>47</v>
      </c>
      <c r="C81" t="inlineStr">
        <is>
          <t>Outras receitas (USD)</t>
        </is>
      </c>
      <c r="D81" s="265" t="n"/>
      <c r="E81" s="265" t="n"/>
      <c r="F81" s="265" t="n"/>
      <c r="G81" s="265" t="n"/>
      <c r="I81" s="265" t="n">
        <v>228000</v>
      </c>
      <c r="J81" s="265" t="n">
        <v>728000</v>
      </c>
      <c r="K81" s="265" t="n">
        <v>926000</v>
      </c>
      <c r="L81" s="265" t="n">
        <v>1660000</v>
      </c>
      <c r="N81" s="265" t="n">
        <v>539000</v>
      </c>
      <c r="O81" s="265" t="n">
        <v>737000</v>
      </c>
      <c r="P81" s="265" t="n">
        <v>733000</v>
      </c>
      <c r="Q81" s="265" t="n">
        <v>1491000</v>
      </c>
      <c r="S81" s="265" t="n">
        <v>830000</v>
      </c>
      <c r="T81" s="265" t="n">
        <v>1330000</v>
      </c>
      <c r="U81" s="265" t="n">
        <v>743000</v>
      </c>
      <c r="V81" s="265" t="n">
        <v>1241000</v>
      </c>
      <c r="X81" s="265" t="n">
        <v>703000</v>
      </c>
      <c r="Y81" s="265" t="n">
        <v>567000</v>
      </c>
      <c r="Z81" s="265" t="n">
        <v>696000</v>
      </c>
      <c r="AA81" s="265" t="n">
        <v>1303000</v>
      </c>
      <c r="AC81" s="265" t="n">
        <v>608000</v>
      </c>
      <c r="AD81" s="265" t="n">
        <v>595000</v>
      </c>
    </row>
    <row r="82">
      <c r="A82" t="inlineStr">
        <is>
          <t>Lucro Upstream (EUA + exterior, USD) · fonte · unid. moeda</t>
        </is>
      </c>
      <c r="B82" t="n">
        <v>48</v>
      </c>
      <c r="C82" t="inlineStr">
        <is>
          <t>Lucro Upstream (EUA + exterior, USD)</t>
        </is>
      </c>
      <c r="D82" s="265" t="n">
        <v>2554000</v>
      </c>
      <c r="E82" s="265" t="n">
        <v>3185000</v>
      </c>
      <c r="F82" s="265" t="n">
        <v>3951000</v>
      </c>
      <c r="G82" s="265" t="n"/>
      <c r="I82" s="265" t="n">
        <v>4488000</v>
      </c>
      <c r="J82" s="265" t="n">
        <v>11371000</v>
      </c>
      <c r="K82" s="265" t="n">
        <v>12419000</v>
      </c>
      <c r="L82" s="265" t="n">
        <v>8201000</v>
      </c>
      <c r="N82" s="265" t="n">
        <v>6457000</v>
      </c>
      <c r="O82" s="265" t="n">
        <v>4577000</v>
      </c>
      <c r="P82" s="265" t="n">
        <v>6125000</v>
      </c>
      <c r="Q82" s="265" t="n">
        <v>4149000</v>
      </c>
      <c r="S82" s="265" t="n">
        <v>5660000</v>
      </c>
      <c r="T82" s="265" t="n">
        <v>7074000</v>
      </c>
      <c r="U82" s="265" t="n">
        <v>6158000</v>
      </c>
      <c r="V82" s="265" t="n">
        <v>6498000</v>
      </c>
      <c r="X82" s="265" t="n">
        <v>6756000</v>
      </c>
      <c r="Y82" s="265" t="n">
        <v>5402000</v>
      </c>
      <c r="Z82" s="265" t="n">
        <v>5679000</v>
      </c>
      <c r="AA82" s="265" t="n">
        <v>3517000</v>
      </c>
      <c r="AC82" s="265" t="n">
        <v>5737000</v>
      </c>
      <c r="AD82" s="265" t="n">
        <v>7927000</v>
      </c>
    </row>
    <row r="83">
      <c r="A83" t="inlineStr">
        <is>
          <t>Lucro Energy Products (USD) · fonte · unid. moeda</t>
        </is>
      </c>
      <c r="B83" t="n">
        <v>49</v>
      </c>
      <c r="C83" t="inlineStr">
        <is>
          <t>Lucro Energy Products (USD)</t>
        </is>
      </c>
      <c r="D83" s="265" t="n"/>
      <c r="E83" s="265" t="n"/>
      <c r="F83" s="265" t="n"/>
      <c r="G83" s="265" t="n"/>
      <c r="I83" s="265" t="n">
        <v>-195000</v>
      </c>
      <c r="J83" s="265" t="n">
        <v>5272000</v>
      </c>
      <c r="K83" s="265" t="n">
        <v>5819000</v>
      </c>
      <c r="L83" s="265" t="n">
        <v>4070000</v>
      </c>
      <c r="N83" s="265" t="n">
        <v>4183000</v>
      </c>
      <c r="O83" s="265" t="n">
        <v>2310000</v>
      </c>
      <c r="P83" s="265" t="n">
        <v>2442000</v>
      </c>
      <c r="Q83" s="265" t="n">
        <v>3207000</v>
      </c>
      <c r="S83" s="265" t="n">
        <v>1376000</v>
      </c>
      <c r="T83" s="265" t="n">
        <v>946000</v>
      </c>
      <c r="U83" s="265" t="n">
        <v>1309000</v>
      </c>
      <c r="V83" s="265" t="n">
        <v>402000</v>
      </c>
      <c r="X83" s="265" t="n">
        <v>827000</v>
      </c>
      <c r="Y83" s="265" t="n">
        <v>1366000</v>
      </c>
      <c r="Z83" s="265" t="n">
        <v>1840000</v>
      </c>
      <c r="AA83" s="265" t="n">
        <v>3390000</v>
      </c>
      <c r="AC83" s="265" t="n">
        <v>-1262000</v>
      </c>
      <c r="AD83" s="265" t="n">
        <v>5465000</v>
      </c>
    </row>
    <row r="84">
      <c r="A84" t="inlineStr">
        <is>
          <t>Lucro Chemical Products (USD) · fonte · unid. moeda</t>
        </is>
      </c>
      <c r="B84" t="n">
        <v>50</v>
      </c>
      <c r="C84" t="inlineStr">
        <is>
          <t>Lucro Chemical Products (USD)</t>
        </is>
      </c>
      <c r="D84" s="265" t="n"/>
      <c r="E84" s="265" t="n"/>
      <c r="F84" s="265" t="n"/>
      <c r="G84" s="265" t="n"/>
      <c r="I84" s="265" t="n">
        <v>1406000</v>
      </c>
      <c r="J84" s="265" t="n">
        <v>1075000</v>
      </c>
      <c r="K84" s="265" t="n">
        <v>812000</v>
      </c>
      <c r="L84" s="265" t="n">
        <v>250000</v>
      </c>
      <c r="N84" s="265" t="n">
        <v>371000</v>
      </c>
      <c r="O84" s="265" t="n">
        <v>828000</v>
      </c>
      <c r="P84" s="265" t="n">
        <v>249000</v>
      </c>
      <c r="Q84" s="265" t="n">
        <v>189000</v>
      </c>
      <c r="S84" s="265" t="n">
        <v>785000</v>
      </c>
      <c r="T84" s="265" t="n">
        <v>779000</v>
      </c>
      <c r="U84" s="265" t="n">
        <v>893000</v>
      </c>
      <c r="V84" s="265" t="n">
        <v>120000</v>
      </c>
      <c r="X84" s="265" t="n">
        <v>273000</v>
      </c>
      <c r="Y84" s="265" t="n">
        <v>293000</v>
      </c>
      <c r="Z84" s="265" t="n">
        <v>515000</v>
      </c>
      <c r="AA84" s="265" t="n">
        <v>-281000</v>
      </c>
      <c r="AC84" s="265" t="n">
        <v>110000</v>
      </c>
      <c r="AD84" s="265" t="n">
        <v>1131000</v>
      </c>
    </row>
    <row r="85">
      <c r="A85" t="inlineStr">
        <is>
          <t>Lucro Specialty Products (USD) · fonte · unid. moeda</t>
        </is>
      </c>
      <c r="B85" t="n">
        <v>51</v>
      </c>
      <c r="C85" t="inlineStr">
        <is>
          <t>Lucro Specialty Products (USD)</t>
        </is>
      </c>
      <c r="D85" s="265" t="n"/>
      <c r="E85" s="265" t="n"/>
      <c r="F85" s="265" t="n"/>
      <c r="G85" s="265" t="n"/>
      <c r="I85" s="265" t="n">
        <v>476000</v>
      </c>
      <c r="J85" s="265" t="n">
        <v>417000</v>
      </c>
      <c r="K85" s="265" t="n">
        <v>762000</v>
      </c>
      <c r="L85" s="265" t="n">
        <v>760000</v>
      </c>
      <c r="N85" s="265" t="n">
        <v>774000</v>
      </c>
      <c r="O85" s="265" t="n">
        <v>671000</v>
      </c>
      <c r="P85" s="265" t="n">
        <v>619000</v>
      </c>
      <c r="Q85" s="265" t="n">
        <v>650000</v>
      </c>
      <c r="S85" s="265" t="n">
        <v>761000</v>
      </c>
      <c r="T85" s="265" t="n">
        <v>751000</v>
      </c>
      <c r="U85" s="265" t="n">
        <v>794000</v>
      </c>
      <c r="V85" s="265" t="n">
        <v>746000</v>
      </c>
      <c r="X85" s="265" t="n">
        <v>655000</v>
      </c>
      <c r="Y85" s="265" t="n">
        <v>780000</v>
      </c>
      <c r="Z85" s="265" t="n">
        <v>740000</v>
      </c>
      <c r="AA85" s="265" t="n">
        <v>682000</v>
      </c>
      <c r="AC85" s="265" t="n">
        <v>651000</v>
      </c>
      <c r="AD85" s="265" t="n">
        <v>956000</v>
      </c>
    </row>
    <row r="86">
      <c r="A86" t="inlineStr">
        <is>
          <t>Corporate e financeiro (USD) · fonte · unid. moeda</t>
        </is>
      </c>
      <c r="B86" t="n">
        <v>52</v>
      </c>
      <c r="C86" t="inlineStr">
        <is>
          <t>Corporate e financeiro (USD)</t>
        </is>
      </c>
      <c r="D86" s="265" t="n">
        <v>-849000</v>
      </c>
      <c r="E86" s="265" t="n">
        <v>-588000</v>
      </c>
      <c r="F86" s="265" t="n">
        <v>-596000</v>
      </c>
      <c r="G86" s="265" t="n"/>
      <c r="I86" s="265" t="n">
        <v>-694000</v>
      </c>
      <c r="J86" s="265" t="n">
        <v>-286000</v>
      </c>
      <c r="K86" s="265" t="n">
        <v>-152000</v>
      </c>
      <c r="L86" s="265" t="n">
        <v>-531000</v>
      </c>
      <c r="N86" s="265" t="n">
        <v>-355000</v>
      </c>
      <c r="O86" s="265" t="n">
        <v>-506000</v>
      </c>
      <c r="P86" s="265" t="n">
        <v>-365000</v>
      </c>
      <c r="Q86" s="265" t="n">
        <v>-565000</v>
      </c>
      <c r="S86" s="265" t="n">
        <v>-362000</v>
      </c>
      <c r="T86" s="265" t="n">
        <v>-310000</v>
      </c>
      <c r="U86" s="265" t="n">
        <v>-544000</v>
      </c>
      <c r="V86" s="265" t="n">
        <v>-156000</v>
      </c>
      <c r="X86" s="265" t="n">
        <v>-798000</v>
      </c>
      <c r="Y86" s="265" t="n">
        <v>-759000</v>
      </c>
      <c r="Z86" s="265" t="n">
        <v>-1226000</v>
      </c>
      <c r="AA86" s="265" t="n">
        <v>-807000</v>
      </c>
      <c r="AC86" s="265" t="n">
        <v>-1053000</v>
      </c>
      <c r="AD86" s="265" t="n">
        <v>-954000</v>
      </c>
    </row>
    <row r="87">
      <c r="A87" t="inlineStr">
        <is>
          <t>Receita Upstream (USD; desde 4T22) · fonte · unid. moeda</t>
        </is>
      </c>
      <c r="B87" t="n">
        <v>53</v>
      </c>
      <c r="C87" t="inlineStr">
        <is>
          <t>Receita Upstream (USD; desde 4T22)</t>
        </is>
      </c>
      <c r="D87" s="265" t="n"/>
      <c r="E87" s="265" t="n"/>
      <c r="F87" s="265" t="n"/>
      <c r="G87" s="265" t="n"/>
      <c r="I87" s="265" t="n"/>
      <c r="J87" s="265" t="n"/>
      <c r="K87" s="265" t="n"/>
      <c r="L87" s="265" t="n"/>
      <c r="N87" s="265" t="n"/>
      <c r="O87" s="265" t="n"/>
      <c r="P87" s="265" t="n"/>
      <c r="Q87" s="265" t="n"/>
      <c r="S87" s="265" t="n">
        <v>23385000</v>
      </c>
      <c r="T87" s="265" t="n">
        <v>28830000</v>
      </c>
      <c r="U87" s="265" t="n">
        <v>29382000</v>
      </c>
      <c r="V87" s="265" t="n">
        <v>29149000</v>
      </c>
      <c r="X87" s="265" t="n">
        <v>29174000</v>
      </c>
      <c r="Y87" s="265" t="n">
        <v>25700000</v>
      </c>
      <c r="Z87" s="265" t="n">
        <v>27790000</v>
      </c>
      <c r="AA87" s="265" t="n">
        <v>24487000</v>
      </c>
      <c r="AC87" s="265" t="n">
        <v>28824000</v>
      </c>
      <c r="AD87" s="265" t="n">
        <v>35457000</v>
      </c>
    </row>
    <row r="88">
      <c r="A88" t="inlineStr">
        <is>
          <t>Receita Energy Products (USD; desde 4T22) · fonte · unid. moeda</t>
        </is>
      </c>
      <c r="B88" t="n">
        <v>54</v>
      </c>
      <c r="C88" t="inlineStr">
        <is>
          <t>Receita Energy Products (USD; desde 4T22)</t>
        </is>
      </c>
      <c r="D88" s="265" t="n"/>
      <c r="E88" s="265" t="n"/>
      <c r="F88" s="265" t="n"/>
      <c r="G88" s="265" t="n"/>
      <c r="I88" s="265" t="n"/>
      <c r="J88" s="265" t="n"/>
      <c r="K88" s="265" t="n"/>
      <c r="L88" s="265" t="n"/>
      <c r="N88" s="265" t="n"/>
      <c r="O88" s="265" t="n"/>
      <c r="P88" s="265" t="n"/>
      <c r="Q88" s="265" t="n"/>
      <c r="S88" s="265" t="n">
        <v>77642000</v>
      </c>
      <c r="T88" s="265" t="n">
        <v>82497000</v>
      </c>
      <c r="U88" s="265" t="n">
        <v>78704000</v>
      </c>
      <c r="V88" s="265" t="n">
        <v>72191000</v>
      </c>
      <c r="X88" s="265" t="n">
        <v>71375000</v>
      </c>
      <c r="Y88" s="265" t="n">
        <v>71147000</v>
      </c>
      <c r="Z88" s="265" t="n">
        <v>74990000</v>
      </c>
      <c r="AA88" s="265" t="n">
        <v>74104000</v>
      </c>
      <c r="AC88" s="265" t="n">
        <v>77272000</v>
      </c>
      <c r="AD88" s="265" t="n">
        <v>109543000</v>
      </c>
    </row>
    <row r="89">
      <c r="A89" t="inlineStr">
        <is>
          <t>Notas: valores dimensionais das instâncias XBRL. A linha "Revenues" da Exxon inclui equivalência patrimonial e outras receitas; o lucro operacional do modelo é receita total - custos totais + juros. Segmentos novos (Energy/Chemical/Specialty Products) a partir do 4T20; Upstream desde sempre. Lucro por segmento = EUA + exterior.</t>
        </is>
      </c>
      <c r="C89" t="inlineStr">
        <is>
          <t>[linha bruta, sem código; lançada nas linhas abaixo]</t>
        </is>
      </c>
      <c r="D89" s="265" t="n"/>
      <c r="E89" s="265" t="n"/>
      <c r="F89" s="265" t="n"/>
      <c r="G89" s="265" t="n"/>
      <c r="I89" s="265" t="n"/>
      <c r="J89" s="265" t="n"/>
      <c r="K89" s="265" t="n"/>
      <c r="L89" s="265" t="n"/>
      <c r="N89" s="265" t="n"/>
      <c r="O89" s="265" t="n"/>
      <c r="P89" s="265" t="n"/>
      <c r="Q89" s="265" t="n"/>
      <c r="S89" s="265" t="n"/>
      <c r="T89" s="265" t="n"/>
      <c r="U89" s="265" t="n"/>
      <c r="V89" s="265" t="n"/>
      <c r="X89" s="265" t="n"/>
      <c r="Y89" s="265" t="n"/>
      <c r="Z89" s="265" t="n"/>
      <c r="AA89" s="265" t="n"/>
      <c r="AC89" s="265" t="n"/>
      <c r="AD89" s="265" t="n"/>
    </row>
    <row r="91">
      <c r="A91" t="inlineStr">
        <is>
          <t>Linhas de origem: 4 a 89. A Inputs (2) varre as linhas 4 a 150; as linhas 90 a 150 estão livres. Linhas "(lançamento)" aplicam código e sinal sobre a linha bruta indicada (a máscara tem uma só coluna de código).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62"/>
  <sheetViews>
    <sheetView showGridLines="0" tabSelected="1" zoomScaleNormal="100" workbookViewId="0">
      <pane xSplit="3" ySplit="3" topLeftCell="D4" activePane="bottomRight" state="frozen"/>
      <selection activeCell="C3" sqref="C3"/>
      <selection pane="topRight" activeCell="C3" sqref="C3"/>
      <selection pane="bottomLeft" activeCell="C3" sqref="C3"/>
      <selection pane="bottomRight" activeCell="C3" sqref="C3"/>
    </sheetView>
  </sheetViews>
  <sheetFormatPr baseColWidth="8" defaultColWidth="10.42578125" defaultRowHeight="12.75"/>
  <cols>
    <col width="14.7109375" customWidth="1" style="3" min="1" max="1"/>
    <col width="10.140625" customWidth="1" style="3" min="2" max="2"/>
    <col width="50" customWidth="1" style="4" min="3" max="3"/>
    <col width="12.42578125" customWidth="1" style="3" min="4" max="33"/>
    <col width="10.42578125" customWidth="1" style="4" min="34" max="54"/>
    <col width="11" customWidth="1" style="4" min="55" max="55"/>
    <col width="10.42578125" customWidth="1" style="4" min="56" max="58"/>
    <col width="10.42578125" customWidth="1" style="4" min="59" max="16384"/>
  </cols>
  <sheetData>
    <row r="1" ht="14.25" customFormat="1" customHeight="1" s="3">
      <c r="A1" s="5" t="str">
        <f>IF(Control!B3="","EMPRESA",Control!B3)</f>
        <v>Exxon Mobil Corporation</v>
      </c>
      <c r="B1" s="5" t="inlineStr">
        <is>
          <t>Código</t>
        </is>
      </c>
      <c r="C1" s="1" t="inlineStr">
        <is>
          <t>Conta padronizada</t>
        </is>
      </c>
      <c r="D1" s="1" t="n">
        <v>2021</v>
      </c>
      <c r="E1" s="1" t="n">
        <v>2021</v>
      </c>
      <c r="F1" s="1" t="n">
        <v>2021</v>
      </c>
      <c r="G1" s="1" t="n">
        <v>2021</v>
      </c>
      <c r="H1" s="1" t="n">
        <v>2021</v>
      </c>
      <c r="I1" s="1" t="n">
        <v>2022</v>
      </c>
      <c r="J1" s="1" t="n">
        <v>2022</v>
      </c>
      <c r="K1" s="1" t="n">
        <v>2022</v>
      </c>
      <c r="L1" s="1" t="n">
        <v>2022</v>
      </c>
      <c r="M1" s="1" t="n">
        <v>2022</v>
      </c>
      <c r="N1" s="1" t="n">
        <v>2023</v>
      </c>
      <c r="O1" s="1" t="n">
        <v>2023</v>
      </c>
      <c r="P1" s="1" t="n">
        <v>2023</v>
      </c>
      <c r="Q1" s="1" t="n">
        <v>2023</v>
      </c>
      <c r="R1" s="1" t="n">
        <v>2023</v>
      </c>
      <c r="S1" s="1" t="n">
        <v>2024</v>
      </c>
      <c r="T1" s="1" t="n">
        <v>2024</v>
      </c>
      <c r="U1" s="1" t="n">
        <v>2024</v>
      </c>
      <c r="V1" s="1" t="n">
        <v>2024</v>
      </c>
      <c r="W1" s="1" t="n">
        <v>2024</v>
      </c>
      <c r="X1" s="1" t="n">
        <v>2025</v>
      </c>
      <c r="Y1" s="1" t="n">
        <v>2025</v>
      </c>
      <c r="Z1" s="1" t="n">
        <v>2025</v>
      </c>
      <c r="AA1" s="1" t="n">
        <v>2025</v>
      </c>
      <c r="AB1" s="1" t="n">
        <v>2025</v>
      </c>
      <c r="AC1" s="1" t="n">
        <v>2026</v>
      </c>
      <c r="AD1" s="1" t="n">
        <v>2026</v>
      </c>
      <c r="AE1" s="1" t="n">
        <v>2026</v>
      </c>
      <c r="AF1" s="1" t="n">
        <v>2026</v>
      </c>
      <c r="AG1" s="1" t="n">
        <v>2026</v>
      </c>
    </row>
    <row r="2" ht="14.25" customHeight="1">
      <c r="A2" s="1" t="inlineStr">
        <is>
          <t>US$ milhões</t>
        </is>
      </c>
      <c r="B2" s="1" t="n"/>
      <c r="C2" s="1" t="inlineStr">
        <is>
          <t>Período</t>
        </is>
      </c>
      <c r="D2" s="6" t="inlineStr">
        <is>
          <t>1Q21</t>
        </is>
      </c>
      <c r="E2" s="6" t="inlineStr">
        <is>
          <t>2Q21</t>
        </is>
      </c>
      <c r="F2" s="6" t="inlineStr">
        <is>
          <t>3Q21</t>
        </is>
      </c>
      <c r="G2" s="6" t="inlineStr">
        <is>
          <t>4Q21</t>
        </is>
      </c>
      <c r="H2" s="7" t="inlineStr">
        <is>
          <t>2021</t>
        </is>
      </c>
      <c r="I2" s="6" t="inlineStr">
        <is>
          <t>1Q22</t>
        </is>
      </c>
      <c r="J2" s="6" t="inlineStr">
        <is>
          <t>2Q22</t>
        </is>
      </c>
      <c r="K2" s="6" t="inlineStr">
        <is>
          <t>3Q22</t>
        </is>
      </c>
      <c r="L2" s="6" t="inlineStr">
        <is>
          <t>4Q22</t>
        </is>
      </c>
      <c r="M2" s="7" t="inlineStr">
        <is>
          <t>2022</t>
        </is>
      </c>
      <c r="N2" s="6" t="inlineStr">
        <is>
          <t>1Q23</t>
        </is>
      </c>
      <c r="O2" s="6" t="inlineStr">
        <is>
          <t>2Q23</t>
        </is>
      </c>
      <c r="P2" s="6" t="inlineStr">
        <is>
          <t>3Q23</t>
        </is>
      </c>
      <c r="Q2" s="6" t="inlineStr">
        <is>
          <t>4Q23</t>
        </is>
      </c>
      <c r="R2" s="7" t="inlineStr">
        <is>
          <t>2023</t>
        </is>
      </c>
      <c r="S2" s="6" t="inlineStr">
        <is>
          <t>1Q24</t>
        </is>
      </c>
      <c r="T2" s="6" t="inlineStr">
        <is>
          <t>2Q24</t>
        </is>
      </c>
      <c r="U2" s="6" t="inlineStr">
        <is>
          <t>3Q24</t>
        </is>
      </c>
      <c r="V2" s="6" t="inlineStr">
        <is>
          <t>4Q24</t>
        </is>
      </c>
      <c r="W2" s="7" t="inlineStr">
        <is>
          <t>2024</t>
        </is>
      </c>
      <c r="X2" s="6" t="inlineStr">
        <is>
          <t>1Q25</t>
        </is>
      </c>
      <c r="Y2" s="6" t="inlineStr">
        <is>
          <t>2Q25</t>
        </is>
      </c>
      <c r="Z2" s="6" t="inlineStr">
        <is>
          <t>3Q25</t>
        </is>
      </c>
      <c r="AA2" s="6" t="inlineStr">
        <is>
          <t>4Q25</t>
        </is>
      </c>
      <c r="AB2" s="7" t="inlineStr">
        <is>
          <t>2025</t>
        </is>
      </c>
      <c r="AC2" s="6" t="inlineStr">
        <is>
          <t>1Q26</t>
        </is>
      </c>
      <c r="AD2" s="6" t="inlineStr">
        <is>
          <t>2Q26</t>
        </is>
      </c>
      <c r="AE2" s="6" t="inlineStr">
        <is>
          <t>3Q26</t>
        </is>
      </c>
      <c r="AF2" s="6" t="inlineStr">
        <is>
          <t>4Q26</t>
        </is>
      </c>
      <c r="AG2" s="7" t="inlineStr">
        <is>
          <t>2026</t>
        </is>
      </c>
    </row>
    <row r="3" ht="15" customHeight="1">
      <c r="A3" s="8" t="inlineStr">
        <is>
          <t>Actual flag</t>
        </is>
      </c>
      <c r="B3" s="8" t="n"/>
      <c r="C3" s="8" t="inlineStr">
        <is>
          <t>0 = sem dados / 1 = realizado</t>
        </is>
      </c>
      <c r="D3" s="8" t="n">
        <v>1</v>
      </c>
      <c r="E3" s="8" t="n">
        <v>1</v>
      </c>
      <c r="F3" s="8" t="n">
        <v>1</v>
      </c>
      <c r="G3" s="8" t="n">
        <v>1</v>
      </c>
      <c r="H3" s="8" t="n">
        <v>1</v>
      </c>
      <c r="I3" s="8" t="n">
        <v>1</v>
      </c>
      <c r="J3" s="8" t="n">
        <v>1</v>
      </c>
      <c r="K3" s="8" t="n">
        <v>1</v>
      </c>
      <c r="L3" s="8" t="n">
        <v>1</v>
      </c>
      <c r="M3" s="8" t="n">
        <v>1</v>
      </c>
      <c r="N3" s="8" t="n">
        <v>1</v>
      </c>
      <c r="O3" s="8" t="n">
        <v>1</v>
      </c>
      <c r="P3" s="8" t="n">
        <v>1</v>
      </c>
      <c r="Q3" s="8" t="n">
        <v>1</v>
      </c>
      <c r="R3" s="8" t="n">
        <v>1</v>
      </c>
      <c r="S3" s="8" t="n">
        <v>1</v>
      </c>
      <c r="T3" s="8" t="n">
        <v>1</v>
      </c>
      <c r="U3" s="8" t="n">
        <v>1</v>
      </c>
      <c r="V3" s="8" t="n">
        <v>1</v>
      </c>
      <c r="W3" s="8" t="n">
        <v>1</v>
      </c>
      <c r="X3" s="8" t="n">
        <v>1</v>
      </c>
      <c r="Y3" s="8" t="n">
        <v>1</v>
      </c>
      <c r="Z3" s="8" t="n">
        <v>1</v>
      </c>
      <c r="AA3" s="8" t="n">
        <v>1</v>
      </c>
      <c r="AB3" s="8" t="n">
        <v>1</v>
      </c>
      <c r="AC3" s="8" t="n">
        <v>1</v>
      </c>
      <c r="AD3" s="8" t="n">
        <v>1</v>
      </c>
      <c r="AE3" s="8" t="n">
        <v>0</v>
      </c>
      <c r="AF3" s="8" t="n">
        <v>0</v>
      </c>
      <c r="AG3" s="8" t="n">
        <v>0</v>
      </c>
    </row>
    <row r="4">
      <c r="B4" s="9" t="n">
        <v>1</v>
      </c>
      <c r="C4" s="10" t="inlineStr">
        <is>
          <t>Net Revenues</t>
        </is>
      </c>
      <c r="D4" s="11">
        <f>IF(D$3=0,"",SUMIFS(INDEX(Inputs!$D$4:$AG$150,0,MATCH(D$2,Inputs!$D$2:$AG$2,0)),Inputs!$B$4:$B$150,$B4)/1000)</f>
        <v>59147</v>
      </c>
      <c r="E4" s="11">
        <f>IF(E$3=0,"",SUMIFS(INDEX(Inputs!$D$4:$AG$150,0,MATCH(E$2,Inputs!$D$2:$AG$2,0)),Inputs!$B$4:$B$150,$B4)/1000)</f>
        <v>67742</v>
      </c>
      <c r="F4" s="11">
        <f>IF(F$3=0,"",SUMIFS(INDEX(Inputs!$D$4:$AG$150,0,MATCH(F$2,Inputs!$D$2:$AG$2,0)),Inputs!$B$4:$B$150,$B4)/1000)</f>
        <v>73786</v>
      </c>
      <c r="G4" s="11">
        <f>IF(G$3=0,"",SUMIFS(INDEX(Inputs!$D$4:$AG$150,0,MATCH(G$2,Inputs!$D$2:$AG$2,0)),Inputs!$B$4:$B$150,$B4)/1000)</f>
        <v>84965</v>
      </c>
      <c r="H4" s="12">
        <f>IF(COUNT(D4:G4)=4,SUM(D4:G4),"")</f>
        <v>285640</v>
      </c>
      <c r="I4" s="11">
        <f>IF(I$3=0,"",SUMIFS(INDEX(Inputs!$D$4:$AG$150,0,MATCH(I$2,Inputs!$D$2:$AG$2,0)),Inputs!$B$4:$B$150,$B4)/1000)</f>
        <v>90500</v>
      </c>
      <c r="J4" s="11">
        <f>IF(J$3=0,"",SUMIFS(INDEX(Inputs!$D$4:$AG$150,0,MATCH(J$2,Inputs!$D$2:$AG$2,0)),Inputs!$B$4:$B$150,$B4)/1000)</f>
        <v>115681</v>
      </c>
      <c r="K4" s="11">
        <f>IF(K$3=0,"",SUMIFS(INDEX(Inputs!$D$4:$AG$150,0,MATCH(K$2,Inputs!$D$2:$AG$2,0)),Inputs!$B$4:$B$150,$B4)/1000)</f>
        <v>112070</v>
      </c>
      <c r="L4" s="11">
        <f>IF(L$3=0,"",SUMIFS(INDEX(Inputs!$D$4:$AG$150,0,MATCH(L$2,Inputs!$D$2:$AG$2,0)),Inputs!$B$4:$B$150,$B4)/1000)</f>
        <v>95429</v>
      </c>
      <c r="M4" s="12">
        <f>IF(COUNT(I4:L4)=4,SUM(I4:L4),"")</f>
        <v>413680</v>
      </c>
      <c r="N4" s="11">
        <f>IF(N$3=0,"",SUMIFS(INDEX(Inputs!$D$4:$AG$150,0,MATCH(N$2,Inputs!$D$2:$AG$2,0)),Inputs!$B$4:$B$150,$B4)/1000)</f>
        <v>86564</v>
      </c>
      <c r="O4" s="11">
        <f>IF(O$3=0,"",SUMIFS(INDEX(Inputs!$D$4:$AG$150,0,MATCH(O$2,Inputs!$D$2:$AG$2,0)),Inputs!$B$4:$B$150,$B4)/1000)</f>
        <v>82914</v>
      </c>
      <c r="P4" s="11">
        <f>IF(P$3=0,"",SUMIFS(INDEX(Inputs!$D$4:$AG$150,0,MATCH(P$2,Inputs!$D$2:$AG$2,0)),Inputs!$B$4:$B$150,$B4)/1000)</f>
        <v>90760</v>
      </c>
      <c r="Q4" s="11">
        <f>IF(Q$3=0,"",SUMIFS(INDEX(Inputs!$D$4:$AG$150,0,MATCH(Q$2,Inputs!$D$2:$AG$2,0)),Inputs!$B$4:$B$150,$B4)/1000)</f>
        <v>84344</v>
      </c>
      <c r="R4" s="12">
        <f>IF(COUNT(N4:Q4)=4,SUM(N4:Q4),"")</f>
        <v>344582</v>
      </c>
      <c r="S4" s="11">
        <f>IF(S$3=0,"",SUMIFS(INDEX(Inputs!$D$4:$AG$150,0,MATCH(S$2,Inputs!$D$2:$AG$2,0)),Inputs!$B$4:$B$150,$B4)/1000)</f>
        <v>83083</v>
      </c>
      <c r="T4" s="11">
        <f>IF(T$3=0,"",SUMIFS(INDEX(Inputs!$D$4:$AG$150,0,MATCH(T$2,Inputs!$D$2:$AG$2,0)),Inputs!$B$4:$B$150,$B4)/1000)</f>
        <v>93060</v>
      </c>
      <c r="U4" s="11">
        <f>IF(U$3=0,"",SUMIFS(INDEX(Inputs!$D$4:$AG$150,0,MATCH(U$2,Inputs!$D$2:$AG$2,0)),Inputs!$B$4:$B$150,$B4)/1000)</f>
        <v>90016</v>
      </c>
      <c r="V4" s="11">
        <f>IF(V$3=0,"",SUMIFS(INDEX(Inputs!$D$4:$AG$150,0,MATCH(V$2,Inputs!$D$2:$AG$2,0)),Inputs!$B$4:$B$150,$B4)/1000)</f>
        <v>83426</v>
      </c>
      <c r="W4" s="12">
        <f>IF(COUNT(S4:V4)=4,SUM(S4:V4),"")</f>
        <v>349585</v>
      </c>
      <c r="X4" s="11">
        <f>IF(X$3=0,"",SUMIFS(INDEX(Inputs!$D$4:$AG$150,0,MATCH(X$2,Inputs!$D$2:$AG$2,0)),Inputs!$B$4:$B$150,$B4)/1000)</f>
        <v>83130</v>
      </c>
      <c r="Y4" s="11">
        <f>IF(Y$3=0,"",SUMIFS(INDEX(Inputs!$D$4:$AG$150,0,MATCH(Y$2,Inputs!$D$2:$AG$2,0)),Inputs!$B$4:$B$150,$B4)/1000)</f>
        <v>81506</v>
      </c>
      <c r="Z4" s="11">
        <f>IF(Z$3=0,"",SUMIFS(INDEX(Inputs!$D$4:$AG$150,0,MATCH(Z$2,Inputs!$D$2:$AG$2,0)),Inputs!$B$4:$B$150,$B4)/1000)</f>
        <v>85294</v>
      </c>
      <c r="AA4" s="11">
        <f>IF(AA$3=0,"",SUMIFS(INDEX(Inputs!$D$4:$AG$150,0,MATCH(AA$2,Inputs!$D$2:$AG$2,0)),Inputs!$B$4:$B$150,$B4)/1000)</f>
        <v>82308</v>
      </c>
      <c r="AB4" s="12">
        <f>IF(COUNT(X4:AA4)=4,SUM(X4:AA4),"")</f>
        <v>332238</v>
      </c>
      <c r="AC4" s="11">
        <f>IF(AC$3=0,"",SUMIFS(INDEX(Inputs!$D$4:$AG$150,0,MATCH(AC$2,Inputs!$D$2:$AG$2,0)),Inputs!$B$4:$B$150,$B4)/1000)</f>
        <v>85138</v>
      </c>
      <c r="AD4" s="11">
        <f>IF(AD$3=0,"",SUMIFS(INDEX(Inputs!$D$4:$AG$150,0,MATCH(AD$2,Inputs!$D$2:$AG$2,0)),Inputs!$B$4:$B$150,$B4)/1000)</f>
        <v>116017</v>
      </c>
      <c r="AE4" s="11" t="str">
        <f>IF(AE$3=0,"",SUMIFS(INDEX(Inputs!$D$4:$AG$150,0,MATCH(AE$2,Inputs!$D$2:$AG$2,0)),Inputs!$B$4:$B$150,$B4)/1000)</f>
        <v/>
      </c>
      <c r="AF4" s="11" t="str">
        <f>IF(AF$3=0,"",SUMIFS(INDEX(Inputs!$D$4:$AG$150,0,MATCH(AF$2,Inputs!$D$2:$AG$2,0)),Inputs!$B$4:$B$150,$B4)/1000)</f>
        <v/>
      </c>
      <c r="AG4" s="12" t="str">
        <f>IF(COUNT(AC4:AF4)=4,SUM(AC4:AF4),"")</f>
        <v/>
      </c>
    </row>
    <row r="5">
      <c r="B5" s="9" t="n">
        <v>2</v>
      </c>
      <c r="C5" s="13" t="inlineStr">
        <is>
          <t>COGS (cash)</t>
        </is>
      </c>
      <c r="D5" s="11">
        <f>IF(D$3=0,"",SUMIFS(INDEX(Inputs!$D$4:$AG$150,0,MATCH(D$2,Inputs!$D$2:$AG$2,0)),Inputs!$B$4:$B$150,$B5)/1000)</f>
        <v>-32601</v>
      </c>
      <c r="E5" s="11">
        <f>IF(E$3=0,"",SUMIFS(INDEX(Inputs!$D$4:$AG$150,0,MATCH(E$2,Inputs!$D$2:$AG$2,0)),Inputs!$B$4:$B$150,$B5)/1000)</f>
        <v>-37329</v>
      </c>
      <c r="F5" s="11">
        <f>IF(F$3=0,"",SUMIFS(INDEX(Inputs!$D$4:$AG$150,0,MATCH(F$2,Inputs!$D$2:$AG$2,0)),Inputs!$B$4:$B$150,$B5)/1000)</f>
        <v>-39745</v>
      </c>
      <c r="G5" s="11">
        <f>IF(G$3=0,"",SUMIFS(INDEX(Inputs!$D$4:$AG$150,0,MATCH(G$2,Inputs!$D$2:$AG$2,0)),Inputs!$B$4:$B$150,$B5)/1000)</f>
        <v>-45489</v>
      </c>
      <c r="H5" s="12">
        <f>IF(COUNT(D5:G5)=4,SUM(D5:G5),"")</f>
        <v>-155164</v>
      </c>
      <c r="I5" s="11">
        <f>IF(I$3=0,"",SUMIFS(INDEX(Inputs!$D$4:$AG$150,0,MATCH(I$2,Inputs!$D$2:$AG$2,0)),Inputs!$B$4:$B$150,$B5)/1000)</f>
        <v>-52388</v>
      </c>
      <c r="J5" s="11">
        <f>IF(J$3=0,"",SUMIFS(INDEX(Inputs!$D$4:$AG$150,0,MATCH(J$2,Inputs!$D$2:$AG$2,0)),Inputs!$B$4:$B$150,$B5)/1000)</f>
        <v>-65613</v>
      </c>
      <c r="K5" s="11">
        <f>IF(K$3=0,"",SUMIFS(INDEX(Inputs!$D$4:$AG$150,0,MATCH(K$2,Inputs!$D$2:$AG$2,0)),Inputs!$B$4:$B$150,$B5)/1000)</f>
        <v>-60197</v>
      </c>
      <c r="L5" s="11">
        <f>IF(L$3=0,"",SUMIFS(INDEX(Inputs!$D$4:$AG$150,0,MATCH(L$2,Inputs!$D$2:$AG$2,0)),Inputs!$B$4:$B$150,$B5)/1000)</f>
        <v>-50761</v>
      </c>
      <c r="M5" s="12">
        <f>IF(COUNT(I5:L5)=4,SUM(I5:L5),"")</f>
        <v>-228959</v>
      </c>
      <c r="N5" s="11">
        <f>IF(N$3=0,"",SUMIFS(INDEX(Inputs!$D$4:$AG$150,0,MATCH(N$2,Inputs!$D$2:$AG$2,0)),Inputs!$B$4:$B$150,$B5)/1000)</f>
        <v>-46003</v>
      </c>
      <c r="O5" s="11">
        <f>IF(O$3=0,"",SUMIFS(INDEX(Inputs!$D$4:$AG$150,0,MATCH(O$2,Inputs!$D$2:$AG$2,0)),Inputs!$B$4:$B$150,$B5)/1000)</f>
        <v>-47598</v>
      </c>
      <c r="P5" s="11">
        <f>IF(P$3=0,"",SUMIFS(INDEX(Inputs!$D$4:$AG$150,0,MATCH(P$2,Inputs!$D$2:$AG$2,0)),Inputs!$B$4:$B$150,$B5)/1000)</f>
        <v>-53076</v>
      </c>
      <c r="Q5" s="11">
        <f>IF(Q$3=0,"",SUMIFS(INDEX(Inputs!$D$4:$AG$150,0,MATCH(Q$2,Inputs!$D$2:$AG$2,0)),Inputs!$B$4:$B$150,$B5)/1000)</f>
        <v>-46352</v>
      </c>
      <c r="R5" s="12">
        <f>IF(COUNT(N5:Q5)=4,SUM(N5:Q5),"")</f>
        <v>-193029</v>
      </c>
      <c r="S5" s="11">
        <f>IF(S$3=0,"",SUMIFS(INDEX(Inputs!$D$4:$AG$150,0,MATCH(S$2,Inputs!$D$2:$AG$2,0)),Inputs!$B$4:$B$150,$B5)/1000)</f>
        <v>-47601</v>
      </c>
      <c r="T5" s="11">
        <f>IF(T$3=0,"",SUMIFS(INDEX(Inputs!$D$4:$AG$150,0,MATCH(T$2,Inputs!$D$2:$AG$2,0)),Inputs!$B$4:$B$150,$B5)/1000)</f>
        <v>-54199</v>
      </c>
      <c r="U5" s="11">
        <f>IF(U$3=0,"",SUMIFS(INDEX(Inputs!$D$4:$AG$150,0,MATCH(U$2,Inputs!$D$2:$AG$2,0)),Inputs!$B$4:$B$150,$B5)/1000)</f>
        <v>-51261</v>
      </c>
      <c r="V5" s="11">
        <f>IF(V$3=0,"",SUMIFS(INDEX(Inputs!$D$4:$AG$150,0,MATCH(V$2,Inputs!$D$2:$AG$2,0)),Inputs!$B$4:$B$150,$B5)/1000)</f>
        <v>-46393</v>
      </c>
      <c r="W5" s="12">
        <f>IF(COUNT(S5:V5)=4,SUM(S5:V5),"")</f>
        <v>-199454</v>
      </c>
      <c r="X5" s="11">
        <f>IF(X$3=0,"",SUMIFS(INDEX(Inputs!$D$4:$AG$150,0,MATCH(X$2,Inputs!$D$2:$AG$2,0)),Inputs!$B$4:$B$150,$B5)/1000)</f>
        <v>-46788</v>
      </c>
      <c r="Y5" s="11">
        <f>IF(Y$3=0,"",SUMIFS(INDEX(Inputs!$D$4:$AG$150,0,MATCH(Y$2,Inputs!$D$2:$AG$2,0)),Inputs!$B$4:$B$150,$B5)/1000)</f>
        <v>-45327</v>
      </c>
      <c r="Z5" s="11">
        <f>IF(Z$3=0,"",SUMIFS(INDEX(Inputs!$D$4:$AG$150,0,MATCH(Z$2,Inputs!$D$2:$AG$2,0)),Inputs!$B$4:$B$150,$B5)/1000)</f>
        <v>-47928</v>
      </c>
      <c r="AA5" s="11">
        <f>IF(AA$3=0,"",SUMIFS(INDEX(Inputs!$D$4:$AG$150,0,MATCH(AA$2,Inputs!$D$2:$AG$2,0)),Inputs!$B$4:$B$150,$B5)/1000)</f>
        <v>-44205</v>
      </c>
      <c r="AB5" s="12">
        <f>IF(COUNT(X5:AA5)=4,SUM(X5:AA5),"")</f>
        <v>-184248</v>
      </c>
      <c r="AC5" s="11">
        <f>IF(AC$3=0,"",SUMIFS(INDEX(Inputs!$D$4:$AG$150,0,MATCH(AC$2,Inputs!$D$2:$AG$2,0)),Inputs!$B$4:$B$150,$B5)/1000)</f>
        <v>-51802</v>
      </c>
      <c r="AD5" s="11">
        <f>IF(AD$3=0,"",SUMIFS(INDEX(Inputs!$D$4:$AG$150,0,MATCH(AD$2,Inputs!$D$2:$AG$2,0)),Inputs!$B$4:$B$150,$B5)/1000)</f>
        <v>-67801</v>
      </c>
      <c r="AE5" s="11" t="str">
        <f>IF(AE$3=0,"",SUMIFS(INDEX(Inputs!$D$4:$AG$150,0,MATCH(AE$2,Inputs!$D$2:$AG$2,0)),Inputs!$B$4:$B$150,$B5)/1000)</f>
        <v/>
      </c>
      <c r="AF5" s="11" t="str">
        <f>IF(AF$3=0,"",SUMIFS(INDEX(Inputs!$D$4:$AG$150,0,MATCH(AF$2,Inputs!$D$2:$AG$2,0)),Inputs!$B$4:$B$150,$B5)/1000)</f>
        <v/>
      </c>
      <c r="AG5" s="12" t="str">
        <f>IF(COUNT(AC5:AF5)=4,SUM(AC5:AF5),"")</f>
        <v/>
      </c>
    </row>
    <row r="6">
      <c r="B6" s="9" t="n">
        <v>3</v>
      </c>
      <c r="C6" s="13" t="inlineStr">
        <is>
          <t>SG&amp;A and Other (cash)</t>
        </is>
      </c>
      <c r="D6" s="11">
        <f>IF(D$3=0,"",SUMIFS(INDEX(Inputs!$D$4:$AG$150,0,MATCH(D$2,Inputs!$D$2:$AG$2,0)),Inputs!$B$4:$B$150,$B6)/1000)</f>
        <v>-17692</v>
      </c>
      <c r="E6" s="11">
        <f>IF(E$3=0,"",SUMIFS(INDEX(Inputs!$D$4:$AG$150,0,MATCH(E$2,Inputs!$D$2:$AG$2,0)),Inputs!$B$4:$B$150,$B6)/1000)</f>
        <v>-18900</v>
      </c>
      <c r="F6" s="11">
        <f>IF(F$3=0,"",SUMIFS(INDEX(Inputs!$D$4:$AG$150,0,MATCH(F$2,Inputs!$D$2:$AG$2,0)),Inputs!$B$4:$B$150,$B6)/1000)</f>
        <v>-19231</v>
      </c>
      <c r="G6" s="11">
        <f>IF(G$3=0,"",SUMIFS(INDEX(Inputs!$D$4:$AG$150,0,MATCH(G$2,Inputs!$D$2:$AG$2,0)),Inputs!$B$4:$B$150,$B6)/1000)</f>
        <v>-21865</v>
      </c>
      <c r="H6" s="12">
        <f>IF(COUNT(D6:G6)=4,SUM(D6:G6),"")</f>
        <v>-77688</v>
      </c>
      <c r="I6" s="11">
        <f>IF(I$3=0,"",SUMIFS(INDEX(Inputs!$D$4:$AG$150,0,MATCH(I$2,Inputs!$D$2:$AG$2,0)),Inputs!$B$4:$B$150,$B6)/1000)</f>
        <v>-20485</v>
      </c>
      <c r="J6" s="11">
        <f>IF(J$3=0,"",SUMIFS(INDEX(Inputs!$D$4:$AG$150,0,MATCH(J$2,Inputs!$D$2:$AG$2,0)),Inputs!$B$4:$B$150,$B6)/1000)</f>
        <v>-20490</v>
      </c>
      <c r="K6" s="11">
        <f>IF(K$3=0,"",SUMIFS(INDEX(Inputs!$D$4:$AG$150,0,MATCH(K$2,Inputs!$D$2:$AG$2,0)),Inputs!$B$4:$B$150,$B6)/1000)</f>
        <v>-20600</v>
      </c>
      <c r="L6" s="11">
        <f>IF(L$3=0,"",SUMIFS(INDEX(Inputs!$D$4:$AG$150,0,MATCH(L$2,Inputs!$D$2:$AG$2,0)),Inputs!$B$4:$B$150,$B6)/1000)</f>
        <v>-20555</v>
      </c>
      <c r="M6" s="12">
        <f>IF(COUNT(I6:L6)=4,SUM(I6:L6),"")</f>
        <v>-82130</v>
      </c>
      <c r="N6" s="11">
        <f>IF(N$3=0,"",SUMIFS(INDEX(Inputs!$D$4:$AG$150,0,MATCH(N$2,Inputs!$D$2:$AG$2,0)),Inputs!$B$4:$B$150,$B6)/1000)</f>
        <v>-19355</v>
      </c>
      <c r="O6" s="11">
        <f>IF(O$3=0,"",SUMIFS(INDEX(Inputs!$D$4:$AG$150,0,MATCH(O$2,Inputs!$D$2:$AG$2,0)),Inputs!$B$4:$B$150,$B6)/1000)</f>
        <v>-19169</v>
      </c>
      <c r="P6" s="11">
        <f>IF(P$3=0,"",SUMIFS(INDEX(Inputs!$D$4:$AG$150,0,MATCH(P$2,Inputs!$D$2:$AG$2,0)),Inputs!$B$4:$B$150,$B6)/1000)</f>
        <v>-19401</v>
      </c>
      <c r="Q6" s="11">
        <f>IF(Q$3=0,"",SUMIFS(INDEX(Inputs!$D$4:$AG$150,0,MATCH(Q$2,Inputs!$D$2:$AG$2,0)),Inputs!$B$4:$B$150,$B6)/1000)</f>
        <v>-19355</v>
      </c>
      <c r="R6" s="12">
        <f>IF(COUNT(N6:Q6)=4,SUM(N6:Q6),"")</f>
        <v>-77280</v>
      </c>
      <c r="S6" s="11">
        <f>IF(S$3=0,"",SUMIFS(INDEX(Inputs!$D$4:$AG$150,0,MATCH(S$2,Inputs!$D$2:$AG$2,0)),Inputs!$B$4:$B$150,$B6)/1000)</f>
        <v>-18080</v>
      </c>
      <c r="T6" s="11">
        <f>IF(T$3=0,"",SUMIFS(INDEX(Inputs!$D$4:$AG$150,0,MATCH(T$2,Inputs!$D$2:$AG$2,0)),Inputs!$B$4:$B$150,$B6)/1000)</f>
        <v>-19138</v>
      </c>
      <c r="U6" s="11">
        <f>IF(U$3=0,"",SUMIFS(INDEX(Inputs!$D$4:$AG$150,0,MATCH(U$2,Inputs!$D$2:$AG$2,0)),Inputs!$B$4:$B$150,$B6)/1000)</f>
        <v>-19264</v>
      </c>
      <c r="V6" s="11">
        <f>IF(V$3=0,"",SUMIFS(INDEX(Inputs!$D$4:$AG$150,0,MATCH(V$2,Inputs!$D$2:$AG$2,0)),Inputs!$B$4:$B$150,$B6)/1000)</f>
        <v>-20338</v>
      </c>
      <c r="W6" s="12">
        <f>IF(COUNT(S6:V6)=4,SUM(S6:V6),"")</f>
        <v>-76820</v>
      </c>
      <c r="X6" s="11">
        <f>IF(X$3=0,"",SUMIFS(INDEX(Inputs!$D$4:$AG$150,0,MATCH(X$2,Inputs!$D$2:$AG$2,0)),Inputs!$B$4:$B$150,$B6)/1000)</f>
        <v>-18835</v>
      </c>
      <c r="Y6" s="11">
        <f>IF(Y$3=0,"",SUMIFS(INDEX(Inputs!$D$4:$AG$150,0,MATCH(Y$2,Inputs!$D$2:$AG$2,0)),Inputs!$B$4:$B$150,$B6)/1000)</f>
        <v>-19228</v>
      </c>
      <c r="Z6" s="11">
        <f>IF(Z$3=0,"",SUMIFS(INDEX(Inputs!$D$4:$AG$150,0,MATCH(Z$2,Inputs!$D$2:$AG$2,0)),Inputs!$B$4:$B$150,$B6)/1000)</f>
        <v>-19869</v>
      </c>
      <c r="AA6" s="11">
        <f>IF(AA$3=0,"",SUMIFS(INDEX(Inputs!$D$4:$AG$150,0,MATCH(AA$2,Inputs!$D$2:$AG$2,0)),Inputs!$B$4:$B$150,$B6)/1000)</f>
        <v>-22194</v>
      </c>
      <c r="AB6" s="12">
        <f>IF(COUNT(X6:AA6)=4,SUM(X6:AA6),"")</f>
        <v>-80126</v>
      </c>
      <c r="AC6" s="11">
        <f>IF(AC$3=0,"",SUMIFS(INDEX(Inputs!$D$4:$AG$150,0,MATCH(AC$2,Inputs!$D$2:$AG$2,0)),Inputs!$B$4:$B$150,$B6)/1000)</f>
        <v>-19303</v>
      </c>
      <c r="AD6" s="11">
        <f>IF(AD$3=0,"",SUMIFS(INDEX(Inputs!$D$4:$AG$150,0,MATCH(AD$2,Inputs!$D$2:$AG$2,0)),Inputs!$B$4:$B$150,$B6)/1000)</f>
        <v>-19876</v>
      </c>
      <c r="AE6" s="11" t="str">
        <f>IF(AE$3=0,"",SUMIFS(INDEX(Inputs!$D$4:$AG$150,0,MATCH(AE$2,Inputs!$D$2:$AG$2,0)),Inputs!$B$4:$B$150,$B6)/1000)</f>
        <v/>
      </c>
      <c r="AF6" s="11" t="str">
        <f>IF(AF$3=0,"",SUMIFS(INDEX(Inputs!$D$4:$AG$150,0,MATCH(AF$2,Inputs!$D$2:$AG$2,0)),Inputs!$B$4:$B$150,$B6)/1000)</f>
        <v/>
      </c>
      <c r="AG6" s="12" t="str">
        <f>IF(COUNT(AC6:AF6)=4,SUM(AC6:AF6),"")</f>
        <v/>
      </c>
    </row>
    <row r="7">
      <c r="B7" s="9" t="n">
        <v>4</v>
      </c>
      <c r="C7" s="13" t="inlineStr">
        <is>
          <t>D&amp;A</t>
        </is>
      </c>
      <c r="D7" s="11">
        <f>IF(D$3=0,"",SUMIFS(INDEX(Inputs!$D$4:$AG$150,0,MATCH(D$2,Inputs!$D$2:$AG$2,0)),Inputs!$B$4:$B$150,$B7)/1000)</f>
        <v>-5004</v>
      </c>
      <c r="E7" s="11">
        <f>IF(E$3=0,"",SUMIFS(INDEX(Inputs!$D$4:$AG$150,0,MATCH(E$2,Inputs!$D$2:$AG$2,0)),Inputs!$B$4:$B$150,$B7)/1000)</f>
        <v>-4952</v>
      </c>
      <c r="F7" s="11">
        <f>IF(F$3=0,"",SUMIFS(INDEX(Inputs!$D$4:$AG$150,0,MATCH(F$2,Inputs!$D$2:$AG$2,0)),Inputs!$B$4:$B$150,$B7)/1000)</f>
        <v>-4990</v>
      </c>
      <c r="G7" s="11">
        <f>IF(G$3=0,"",SUMIFS(INDEX(Inputs!$D$4:$AG$150,0,MATCH(G$2,Inputs!$D$2:$AG$2,0)),Inputs!$B$4:$B$150,$B7)/1000)</f>
        <v>-5661</v>
      </c>
      <c r="H7" s="12">
        <f>IF(COUNT(D7:G7)=4,SUM(D7:G7),"")</f>
        <v>-20607</v>
      </c>
      <c r="I7" s="11">
        <f>IF(I$3=0,"",SUMIFS(INDEX(Inputs!$D$4:$AG$150,0,MATCH(I$2,Inputs!$D$2:$AG$2,0)),Inputs!$B$4:$B$150,$B7)/1000)</f>
        <v>-8883</v>
      </c>
      <c r="J7" s="11">
        <f>IF(J$3=0,"",SUMIFS(INDEX(Inputs!$D$4:$AG$150,0,MATCH(J$2,Inputs!$D$2:$AG$2,0)),Inputs!$B$4:$B$150,$B7)/1000)</f>
        <v>-4451</v>
      </c>
      <c r="K7" s="11">
        <f>IF(K$3=0,"",SUMIFS(INDEX(Inputs!$D$4:$AG$150,0,MATCH(K$2,Inputs!$D$2:$AG$2,0)),Inputs!$B$4:$B$150,$B7)/1000)</f>
        <v>-5642</v>
      </c>
      <c r="L7" s="11">
        <f>IF(L$3=0,"",SUMIFS(INDEX(Inputs!$D$4:$AG$150,0,MATCH(L$2,Inputs!$D$2:$AG$2,0)),Inputs!$B$4:$B$150,$B7)/1000)</f>
        <v>-5064</v>
      </c>
      <c r="M7" s="12">
        <f>IF(COUNT(I7:L7)=4,SUM(I7:L7),"")</f>
        <v>-24040</v>
      </c>
      <c r="N7" s="11">
        <f>IF(N$3=0,"",SUMIFS(INDEX(Inputs!$D$4:$AG$150,0,MATCH(N$2,Inputs!$D$2:$AG$2,0)),Inputs!$B$4:$B$150,$B7)/1000)</f>
        <v>-4244</v>
      </c>
      <c r="O7" s="11">
        <f>IF(O$3=0,"",SUMIFS(INDEX(Inputs!$D$4:$AG$150,0,MATCH(O$2,Inputs!$D$2:$AG$2,0)),Inputs!$B$4:$B$150,$B7)/1000)</f>
        <v>-4242</v>
      </c>
      <c r="P7" s="11">
        <f>IF(P$3=0,"",SUMIFS(INDEX(Inputs!$D$4:$AG$150,0,MATCH(P$2,Inputs!$D$2:$AG$2,0)),Inputs!$B$4:$B$150,$B7)/1000)</f>
        <v>-4415</v>
      </c>
      <c r="Q7" s="11">
        <f>IF(Q$3=0,"",SUMIFS(INDEX(Inputs!$D$4:$AG$150,0,MATCH(Q$2,Inputs!$D$2:$AG$2,0)),Inputs!$B$4:$B$150,$B7)/1000)</f>
        <v>-7740</v>
      </c>
      <c r="R7" s="12">
        <f>IF(COUNT(N7:Q7)=4,SUM(N7:Q7),"")</f>
        <v>-20641</v>
      </c>
      <c r="S7" s="11">
        <f>IF(S$3=0,"",SUMIFS(INDEX(Inputs!$D$4:$AG$150,0,MATCH(S$2,Inputs!$D$2:$AG$2,0)),Inputs!$B$4:$B$150,$B7)/1000)</f>
        <v>-4812</v>
      </c>
      <c r="T7" s="11">
        <f>IF(T$3=0,"",SUMIFS(INDEX(Inputs!$D$4:$AG$150,0,MATCH(T$2,Inputs!$D$2:$AG$2,0)),Inputs!$B$4:$B$150,$B7)/1000)</f>
        <v>-5787</v>
      </c>
      <c r="U7" s="11">
        <f>IF(U$3=0,"",SUMIFS(INDEX(Inputs!$D$4:$AG$150,0,MATCH(U$2,Inputs!$D$2:$AG$2,0)),Inputs!$B$4:$B$150,$B7)/1000)</f>
        <v>-6258</v>
      </c>
      <c r="V7" s="11">
        <f>IF(V$3=0,"",SUMIFS(INDEX(Inputs!$D$4:$AG$150,0,MATCH(V$2,Inputs!$D$2:$AG$2,0)),Inputs!$B$4:$B$150,$B7)/1000)</f>
        <v>-6585</v>
      </c>
      <c r="W7" s="12">
        <f>IF(COUNT(S7:V7)=4,SUM(S7:V7),"")</f>
        <v>-23442</v>
      </c>
      <c r="X7" s="11">
        <f>IF(X$3=0,"",SUMIFS(INDEX(Inputs!$D$4:$AG$150,0,MATCH(X$2,Inputs!$D$2:$AG$2,0)),Inputs!$B$4:$B$150,$B7)/1000)</f>
        <v>-5702</v>
      </c>
      <c r="Y7" s="11">
        <f>IF(Y$3=0,"",SUMIFS(INDEX(Inputs!$D$4:$AG$150,0,MATCH(Y$2,Inputs!$D$2:$AG$2,0)),Inputs!$B$4:$B$150,$B7)/1000)</f>
        <v>-6101</v>
      </c>
      <c r="Z7" s="11">
        <f>IF(Z$3=0,"",SUMIFS(INDEX(Inputs!$D$4:$AG$150,0,MATCH(Z$2,Inputs!$D$2:$AG$2,0)),Inputs!$B$4:$B$150,$B7)/1000)</f>
        <v>-6475</v>
      </c>
      <c r="AA7" s="11">
        <f>IF(AA$3=0,"",SUMIFS(INDEX(Inputs!$D$4:$AG$150,0,MATCH(AA$2,Inputs!$D$2:$AG$2,0)),Inputs!$B$4:$B$150,$B7)/1000)</f>
        <v>-7715</v>
      </c>
      <c r="AB7" s="12">
        <f>IF(COUNT(X7:AA7)=4,SUM(X7:AA7),"")</f>
        <v>-25993</v>
      </c>
      <c r="AC7" s="11">
        <f>IF(AC$3=0,"",SUMIFS(INDEX(Inputs!$D$4:$AG$150,0,MATCH(AC$2,Inputs!$D$2:$AG$2,0)),Inputs!$B$4:$B$150,$B7)/1000)</f>
        <v>-6771</v>
      </c>
      <c r="AD7" s="11">
        <f>IF(AD$3=0,"",SUMIFS(INDEX(Inputs!$D$4:$AG$150,0,MATCH(AD$2,Inputs!$D$2:$AG$2,0)),Inputs!$B$4:$B$150,$B7)/1000)</f>
        <v>-8689</v>
      </c>
      <c r="AE7" s="11" t="str">
        <f>IF(AE$3=0,"",SUMIFS(INDEX(Inputs!$D$4:$AG$150,0,MATCH(AE$2,Inputs!$D$2:$AG$2,0)),Inputs!$B$4:$B$150,$B7)/1000)</f>
        <v/>
      </c>
      <c r="AF7" s="11" t="str">
        <f>IF(AF$3=0,"",SUMIFS(INDEX(Inputs!$D$4:$AG$150,0,MATCH(AF$2,Inputs!$D$2:$AG$2,0)),Inputs!$B$4:$B$150,$B7)/1000)</f>
        <v/>
      </c>
      <c r="AG7" s="12" t="str">
        <f>IF(COUNT(AC7:AF7)=4,SUM(AC7:AF7),"")</f>
        <v/>
      </c>
    </row>
    <row r="8">
      <c r="B8" s="9" t="n">
        <v>5</v>
      </c>
      <c r="C8" s="14" t="inlineStr">
        <is>
          <t>Interest Expense</t>
        </is>
      </c>
      <c r="D8" s="11">
        <f>IF(D$3=0,"",SUMIFS(INDEX(Inputs!$D$4:$AG$150,0,MATCH(D$2,Inputs!$D$2:$AG$2,0)),Inputs!$B$4:$B$150,$B8)/1000)</f>
        <v>-258</v>
      </c>
      <c r="E8" s="11">
        <f>IF(E$3=0,"",SUMIFS(INDEX(Inputs!$D$4:$AG$150,0,MATCH(E$2,Inputs!$D$2:$AG$2,0)),Inputs!$B$4:$B$150,$B8)/1000)</f>
        <v>-254</v>
      </c>
      <c r="F8" s="11">
        <f>IF(F$3=0,"",SUMIFS(INDEX(Inputs!$D$4:$AG$150,0,MATCH(F$2,Inputs!$D$2:$AG$2,0)),Inputs!$B$4:$B$150,$B8)/1000)</f>
        <v>-214</v>
      </c>
      <c r="G8" s="11">
        <f>IF(G$3=0,"",SUMIFS(INDEX(Inputs!$D$4:$AG$150,0,MATCH(G$2,Inputs!$D$2:$AG$2,0)),Inputs!$B$4:$B$150,$B8)/1000)</f>
        <v>-221</v>
      </c>
      <c r="H8" s="12">
        <f>IF(COUNT(D8:G8)=4,SUM(D8:G8),"")</f>
        <v>-947</v>
      </c>
      <c r="I8" s="11">
        <f>IF(I$3=0,"",SUMIFS(INDEX(Inputs!$D$4:$AG$150,0,MATCH(I$2,Inputs!$D$2:$AG$2,0)),Inputs!$B$4:$B$150,$B8)/1000)</f>
        <v>-188</v>
      </c>
      <c r="J8" s="11">
        <f>IF(J$3=0,"",SUMIFS(INDEX(Inputs!$D$4:$AG$150,0,MATCH(J$2,Inputs!$D$2:$AG$2,0)),Inputs!$B$4:$B$150,$B8)/1000)</f>
        <v>-194</v>
      </c>
      <c r="K8" s="11">
        <f>IF(K$3=0,"",SUMIFS(INDEX(Inputs!$D$4:$AG$150,0,MATCH(K$2,Inputs!$D$2:$AG$2,0)),Inputs!$B$4:$B$150,$B8)/1000)</f>
        <v>-209</v>
      </c>
      <c r="L8" s="11">
        <f>IF(L$3=0,"",SUMIFS(INDEX(Inputs!$D$4:$AG$150,0,MATCH(L$2,Inputs!$D$2:$AG$2,0)),Inputs!$B$4:$B$150,$B8)/1000)</f>
        <v>-207</v>
      </c>
      <c r="M8" s="12">
        <f>IF(COUNT(I8:L8)=4,SUM(I8:L8),"")</f>
        <v>-798</v>
      </c>
      <c r="N8" s="11">
        <f>IF(N$3=0,"",SUMIFS(INDEX(Inputs!$D$4:$AG$150,0,MATCH(N$2,Inputs!$D$2:$AG$2,0)),Inputs!$B$4:$B$150,$B8)/1000)</f>
        <v>-159</v>
      </c>
      <c r="O8" s="11">
        <f>IF(O$3=0,"",SUMIFS(INDEX(Inputs!$D$4:$AG$150,0,MATCH(O$2,Inputs!$D$2:$AG$2,0)),Inputs!$B$4:$B$150,$B8)/1000)</f>
        <v>-249</v>
      </c>
      <c r="P8" s="11">
        <f>IF(P$3=0,"",SUMIFS(INDEX(Inputs!$D$4:$AG$150,0,MATCH(P$2,Inputs!$D$2:$AG$2,0)),Inputs!$B$4:$B$150,$B8)/1000)</f>
        <v>-169</v>
      </c>
      <c r="Q8" s="11">
        <f>IF(Q$3=0,"",SUMIFS(INDEX(Inputs!$D$4:$AG$150,0,MATCH(Q$2,Inputs!$D$2:$AG$2,0)),Inputs!$B$4:$B$150,$B8)/1000)</f>
        <v>-272</v>
      </c>
      <c r="R8" s="12">
        <f>IF(COUNT(N8:Q8)=4,SUM(N8:Q8),"")</f>
        <v>-849</v>
      </c>
      <c r="S8" s="11">
        <f>IF(S$3=0,"",SUMIFS(INDEX(Inputs!$D$4:$AG$150,0,MATCH(S$2,Inputs!$D$2:$AG$2,0)),Inputs!$B$4:$B$150,$B8)/1000)</f>
        <v>-221</v>
      </c>
      <c r="T8" s="11">
        <f>IF(T$3=0,"",SUMIFS(INDEX(Inputs!$D$4:$AG$150,0,MATCH(T$2,Inputs!$D$2:$AG$2,0)),Inputs!$B$4:$B$150,$B8)/1000)</f>
        <v>-271</v>
      </c>
      <c r="U8" s="11">
        <f>IF(U$3=0,"",SUMIFS(INDEX(Inputs!$D$4:$AG$150,0,MATCH(U$2,Inputs!$D$2:$AG$2,0)),Inputs!$B$4:$B$150,$B8)/1000)</f>
        <v>-207</v>
      </c>
      <c r="V8" s="11">
        <f>IF(V$3=0,"",SUMIFS(INDEX(Inputs!$D$4:$AG$150,0,MATCH(V$2,Inputs!$D$2:$AG$2,0)),Inputs!$B$4:$B$150,$B8)/1000)</f>
        <v>-297</v>
      </c>
      <c r="W8" s="12">
        <f>IF(COUNT(S8:V8)=4,SUM(S8:V8),"")</f>
        <v>-996</v>
      </c>
      <c r="X8" s="11">
        <f>IF(X$3=0,"",SUMIFS(INDEX(Inputs!$D$4:$AG$150,0,MATCH(X$2,Inputs!$D$2:$AG$2,0)),Inputs!$B$4:$B$150,$B8)/1000)</f>
        <v>-205</v>
      </c>
      <c r="Y8" s="11">
        <f>IF(Y$3=0,"",SUMIFS(INDEX(Inputs!$D$4:$AG$150,0,MATCH(Y$2,Inputs!$D$2:$AG$2,0)),Inputs!$B$4:$B$150,$B8)/1000)</f>
        <v>-145</v>
      </c>
      <c r="Z8" s="11">
        <f>IF(Z$3=0,"",SUMIFS(INDEX(Inputs!$D$4:$AG$150,0,MATCH(Z$2,Inputs!$D$2:$AG$2,0)),Inputs!$B$4:$B$150,$B8)/1000)</f>
        <v>-90</v>
      </c>
      <c r="AA8" s="11">
        <f>IF(AA$3=0,"",SUMIFS(INDEX(Inputs!$D$4:$AG$150,0,MATCH(AA$2,Inputs!$D$2:$AG$2,0)),Inputs!$B$4:$B$150,$B8)/1000)</f>
        <v>-163</v>
      </c>
      <c r="AB8" s="12">
        <f>IF(COUNT(X8:AA8)=4,SUM(X8:AA8),"")</f>
        <v>-603</v>
      </c>
      <c r="AC8" s="11">
        <f>IF(AC$3=0,"",SUMIFS(INDEX(Inputs!$D$4:$AG$150,0,MATCH(AC$2,Inputs!$D$2:$AG$2,0)),Inputs!$B$4:$B$150,$B8)/1000)</f>
        <v>-295</v>
      </c>
      <c r="AD8" s="11">
        <f>IF(AD$3=0,"",SUMIFS(INDEX(Inputs!$D$4:$AG$150,0,MATCH(AD$2,Inputs!$D$2:$AG$2,0)),Inputs!$B$4:$B$150,$B8)/1000)</f>
        <v>-227</v>
      </c>
      <c r="AE8" s="11" t="str">
        <f>IF(AE$3=0,"",SUMIFS(INDEX(Inputs!$D$4:$AG$150,0,MATCH(AE$2,Inputs!$D$2:$AG$2,0)),Inputs!$B$4:$B$150,$B8)/1000)</f>
        <v/>
      </c>
      <c r="AF8" s="11" t="str">
        <f>IF(AF$3=0,"",SUMIFS(INDEX(Inputs!$D$4:$AG$150,0,MATCH(AF$2,Inputs!$D$2:$AG$2,0)),Inputs!$B$4:$B$150,$B8)/1000)</f>
        <v/>
      </c>
      <c r="AG8" s="12" t="str">
        <f>IF(COUNT(AC8:AF8)=4,SUM(AC8:AF8),"")</f>
        <v/>
      </c>
    </row>
    <row r="9">
      <c r="B9" s="9" t="n">
        <v>6</v>
      </c>
      <c r="C9" s="14" t="inlineStr">
        <is>
          <t>Nonoperating Income / (Loss)</t>
        </is>
      </c>
      <c r="D9" s="11">
        <f>IF(D$3=0,"",SUMIFS(INDEX(Inputs!$D$4:$AG$150,0,MATCH(D$2,Inputs!$D$2:$AG$2,0)),Inputs!$B$4:$B$150,$B9)/1000)</f>
        <v>0</v>
      </c>
      <c r="E9" s="11">
        <f>IF(E$3=0,"",SUMIFS(INDEX(Inputs!$D$4:$AG$150,0,MATCH(E$2,Inputs!$D$2:$AG$2,0)),Inputs!$B$4:$B$150,$B9)/1000)</f>
        <v>0</v>
      </c>
      <c r="F9" s="11">
        <f>IF(F$3=0,"",SUMIFS(INDEX(Inputs!$D$4:$AG$150,0,MATCH(F$2,Inputs!$D$2:$AG$2,0)),Inputs!$B$4:$B$150,$B9)/1000)</f>
        <v>0</v>
      </c>
      <c r="G9" s="11">
        <f>IF(G$3=0,"",SUMIFS(INDEX(Inputs!$D$4:$AG$150,0,MATCH(G$2,Inputs!$D$2:$AG$2,0)),Inputs!$B$4:$B$150,$B9)/1000)</f>
        <v>0</v>
      </c>
      <c r="H9" s="12">
        <f>IF(COUNT(D9:G9)=4,SUM(D9:G9),"")</f>
        <v>0</v>
      </c>
      <c r="I9" s="11">
        <f>IF(I$3=0,"",SUMIFS(INDEX(Inputs!$D$4:$AG$150,0,MATCH(I$2,Inputs!$D$2:$AG$2,0)),Inputs!$B$4:$B$150,$B9)/1000)</f>
        <v>0</v>
      </c>
      <c r="J9" s="11">
        <f>IF(J$3=0,"",SUMIFS(INDEX(Inputs!$D$4:$AG$150,0,MATCH(J$2,Inputs!$D$2:$AG$2,0)),Inputs!$B$4:$B$150,$B9)/1000)</f>
        <v>0</v>
      </c>
      <c r="K9" s="11">
        <f>IF(K$3=0,"",SUMIFS(INDEX(Inputs!$D$4:$AG$150,0,MATCH(K$2,Inputs!$D$2:$AG$2,0)),Inputs!$B$4:$B$150,$B9)/1000)</f>
        <v>0</v>
      </c>
      <c r="L9" s="11">
        <f>IF(L$3=0,"",SUMIFS(INDEX(Inputs!$D$4:$AG$150,0,MATCH(L$2,Inputs!$D$2:$AG$2,0)),Inputs!$B$4:$B$150,$B9)/1000)</f>
        <v>0</v>
      </c>
      <c r="M9" s="12">
        <f>IF(COUNT(I9:L9)=4,SUM(I9:L9),"")</f>
        <v>0</v>
      </c>
      <c r="N9" s="11">
        <f>IF(N$3=0,"",SUMIFS(INDEX(Inputs!$D$4:$AG$150,0,MATCH(N$2,Inputs!$D$2:$AG$2,0)),Inputs!$B$4:$B$150,$B9)/1000)</f>
        <v>0</v>
      </c>
      <c r="O9" s="11">
        <f>IF(O$3=0,"",SUMIFS(INDEX(Inputs!$D$4:$AG$150,0,MATCH(O$2,Inputs!$D$2:$AG$2,0)),Inputs!$B$4:$B$150,$B9)/1000)</f>
        <v>0</v>
      </c>
      <c r="P9" s="11">
        <f>IF(P$3=0,"",SUMIFS(INDEX(Inputs!$D$4:$AG$150,0,MATCH(P$2,Inputs!$D$2:$AG$2,0)),Inputs!$B$4:$B$150,$B9)/1000)</f>
        <v>0</v>
      </c>
      <c r="Q9" s="11">
        <f>IF(Q$3=0,"",SUMIFS(INDEX(Inputs!$D$4:$AG$150,0,MATCH(Q$2,Inputs!$D$2:$AG$2,0)),Inputs!$B$4:$B$150,$B9)/1000)</f>
        <v>0</v>
      </c>
      <c r="R9" s="12">
        <f>IF(COUNT(N9:Q9)=4,SUM(N9:Q9),"")</f>
        <v>0</v>
      </c>
      <c r="S9" s="11">
        <f>IF(S$3=0,"",SUMIFS(INDEX(Inputs!$D$4:$AG$150,0,MATCH(S$2,Inputs!$D$2:$AG$2,0)),Inputs!$B$4:$B$150,$B9)/1000)</f>
        <v>0</v>
      </c>
      <c r="T9" s="11">
        <f>IF(T$3=0,"",SUMIFS(INDEX(Inputs!$D$4:$AG$150,0,MATCH(T$2,Inputs!$D$2:$AG$2,0)),Inputs!$B$4:$B$150,$B9)/1000)</f>
        <v>0</v>
      </c>
      <c r="U9" s="11">
        <f>IF(U$3=0,"",SUMIFS(INDEX(Inputs!$D$4:$AG$150,0,MATCH(U$2,Inputs!$D$2:$AG$2,0)),Inputs!$B$4:$B$150,$B9)/1000)</f>
        <v>0</v>
      </c>
      <c r="V9" s="11">
        <f>IF(V$3=0,"",SUMIFS(INDEX(Inputs!$D$4:$AG$150,0,MATCH(V$2,Inputs!$D$2:$AG$2,0)),Inputs!$B$4:$B$150,$B9)/1000)</f>
        <v>0</v>
      </c>
      <c r="W9" s="12">
        <f>IF(COUNT(S9:V9)=4,SUM(S9:V9),"")</f>
        <v>0</v>
      </c>
      <c r="X9" s="11">
        <f>IF(X$3=0,"",SUMIFS(INDEX(Inputs!$D$4:$AG$150,0,MATCH(X$2,Inputs!$D$2:$AG$2,0)),Inputs!$B$4:$B$150,$B9)/1000)</f>
        <v>0</v>
      </c>
      <c r="Y9" s="11">
        <f>IF(Y$3=0,"",SUMIFS(INDEX(Inputs!$D$4:$AG$150,0,MATCH(Y$2,Inputs!$D$2:$AG$2,0)),Inputs!$B$4:$B$150,$B9)/1000)</f>
        <v>0</v>
      </c>
      <c r="Z9" s="11">
        <f>IF(Z$3=0,"",SUMIFS(INDEX(Inputs!$D$4:$AG$150,0,MATCH(Z$2,Inputs!$D$2:$AG$2,0)),Inputs!$B$4:$B$150,$B9)/1000)</f>
        <v>0</v>
      </c>
      <c r="AA9" s="11">
        <f>IF(AA$3=0,"",SUMIFS(INDEX(Inputs!$D$4:$AG$150,0,MATCH(AA$2,Inputs!$D$2:$AG$2,0)),Inputs!$B$4:$B$150,$B9)/1000)</f>
        <v>0</v>
      </c>
      <c r="AB9" s="12">
        <f>IF(COUNT(X9:AA9)=4,SUM(X9:AA9),"")</f>
        <v>0</v>
      </c>
      <c r="AC9" s="11">
        <f>IF(AC$3=0,"",SUMIFS(INDEX(Inputs!$D$4:$AG$150,0,MATCH(AC$2,Inputs!$D$2:$AG$2,0)),Inputs!$B$4:$B$150,$B9)/1000)</f>
        <v>0</v>
      </c>
      <c r="AD9" s="11">
        <f>IF(AD$3=0,"",SUMIFS(INDEX(Inputs!$D$4:$AG$150,0,MATCH(AD$2,Inputs!$D$2:$AG$2,0)),Inputs!$B$4:$B$150,$B9)/1000)</f>
        <v>0</v>
      </c>
      <c r="AE9" s="11" t="str">
        <f>IF(AE$3=0,"",SUMIFS(INDEX(Inputs!$D$4:$AG$150,0,MATCH(AE$2,Inputs!$D$2:$AG$2,0)),Inputs!$B$4:$B$150,$B9)/1000)</f>
        <v/>
      </c>
      <c r="AF9" s="11" t="str">
        <f>IF(AF$3=0,"",SUMIFS(INDEX(Inputs!$D$4:$AG$150,0,MATCH(AF$2,Inputs!$D$2:$AG$2,0)),Inputs!$B$4:$B$150,$B9)/1000)</f>
        <v/>
      </c>
      <c r="AG9" s="12" t="str">
        <f>IF(COUNT(AC9:AF9)=4,SUM(AC9:AF9),"")</f>
        <v/>
      </c>
    </row>
    <row r="10">
      <c r="B10" s="9" t="n">
        <v>7</v>
      </c>
      <c r="C10" s="14" t="inlineStr">
        <is>
          <t>Taxes</t>
        </is>
      </c>
      <c r="D10" s="11">
        <f>IF(D$3=0,"",SUMIFS(INDEX(Inputs!$D$4:$AG$150,0,MATCH(D$2,Inputs!$D$2:$AG$2,0)),Inputs!$B$4:$B$150,$B10)/1000)</f>
        <v>-796</v>
      </c>
      <c r="E10" s="11">
        <f>IF(E$3=0,"",SUMIFS(INDEX(Inputs!$D$4:$AG$150,0,MATCH(E$2,Inputs!$D$2:$AG$2,0)),Inputs!$B$4:$B$150,$B10)/1000)</f>
        <v>-1526</v>
      </c>
      <c r="F10" s="11">
        <f>IF(F$3=0,"",SUMIFS(INDEX(Inputs!$D$4:$AG$150,0,MATCH(F$2,Inputs!$D$2:$AG$2,0)),Inputs!$B$4:$B$150,$B10)/1000)</f>
        <v>-2664</v>
      </c>
      <c r="G10" s="11">
        <f>IF(G$3=0,"",SUMIFS(INDEX(Inputs!$D$4:$AG$150,0,MATCH(G$2,Inputs!$D$2:$AG$2,0)),Inputs!$B$4:$B$150,$B10)/1000)</f>
        <v>-2650</v>
      </c>
      <c r="H10" s="12">
        <f>IF(COUNT(D10:G10)=4,SUM(D10:G10),"")</f>
        <v>-7636</v>
      </c>
      <c r="I10" s="11">
        <f>IF(I$3=0,"",SUMIFS(INDEX(Inputs!$D$4:$AG$150,0,MATCH(I$2,Inputs!$D$2:$AG$2,0)),Inputs!$B$4:$B$150,$B10)/1000)</f>
        <v>-2806</v>
      </c>
      <c r="J10" s="11">
        <f>IF(J$3=0,"",SUMIFS(INDEX(Inputs!$D$4:$AG$150,0,MATCH(J$2,Inputs!$D$2:$AG$2,0)),Inputs!$B$4:$B$150,$B10)/1000)</f>
        <v>-6359</v>
      </c>
      <c r="K10" s="11">
        <f>IF(K$3=0,"",SUMIFS(INDEX(Inputs!$D$4:$AG$150,0,MATCH(K$2,Inputs!$D$2:$AG$2,0)),Inputs!$B$4:$B$150,$B10)/1000)</f>
        <v>-5224</v>
      </c>
      <c r="L10" s="11">
        <f>IF(L$3=0,"",SUMIFS(INDEX(Inputs!$D$4:$AG$150,0,MATCH(L$2,Inputs!$D$2:$AG$2,0)),Inputs!$B$4:$B$150,$B10)/1000)</f>
        <v>-5787</v>
      </c>
      <c r="M10" s="12">
        <f>IF(COUNT(I10:L10)=4,SUM(I10:L10),"")</f>
        <v>-20176</v>
      </c>
      <c r="N10" s="11">
        <f>IF(N$3=0,"",SUMIFS(INDEX(Inputs!$D$4:$AG$150,0,MATCH(N$2,Inputs!$D$2:$AG$2,0)),Inputs!$B$4:$B$150,$B10)/1000)</f>
        <v>-4960</v>
      </c>
      <c r="O10" s="11">
        <f>IF(O$3=0,"",SUMIFS(INDEX(Inputs!$D$4:$AG$150,0,MATCH(O$2,Inputs!$D$2:$AG$2,0)),Inputs!$B$4:$B$150,$B10)/1000)</f>
        <v>-3503</v>
      </c>
      <c r="P10" s="11">
        <f>IF(P$3=0,"",SUMIFS(INDEX(Inputs!$D$4:$AG$150,0,MATCH(P$2,Inputs!$D$2:$AG$2,0)),Inputs!$B$4:$B$150,$B10)/1000)</f>
        <v>-4353</v>
      </c>
      <c r="Q10" s="11">
        <f>IF(Q$3=0,"",SUMIFS(INDEX(Inputs!$D$4:$AG$150,0,MATCH(Q$2,Inputs!$D$2:$AG$2,0)),Inputs!$B$4:$B$150,$B10)/1000)</f>
        <v>-2613</v>
      </c>
      <c r="R10" s="12">
        <f>IF(COUNT(N10:Q10)=4,SUM(N10:Q10),"")</f>
        <v>-15429</v>
      </c>
      <c r="S10" s="11">
        <f>IF(S$3=0,"",SUMIFS(INDEX(Inputs!$D$4:$AG$150,0,MATCH(S$2,Inputs!$D$2:$AG$2,0)),Inputs!$B$4:$B$150,$B10)/1000)</f>
        <v>-3803</v>
      </c>
      <c r="T10" s="11">
        <f>IF(T$3=0,"",SUMIFS(INDEX(Inputs!$D$4:$AG$150,0,MATCH(T$2,Inputs!$D$2:$AG$2,0)),Inputs!$B$4:$B$150,$B10)/1000)</f>
        <v>-4094</v>
      </c>
      <c r="U10" s="11">
        <f>IF(U$3=0,"",SUMIFS(INDEX(Inputs!$D$4:$AG$150,0,MATCH(U$2,Inputs!$D$2:$AG$2,0)),Inputs!$B$4:$B$150,$B10)/1000)</f>
        <v>-4055</v>
      </c>
      <c r="V10" s="11">
        <f>IF(V$3=0,"",SUMIFS(INDEX(Inputs!$D$4:$AG$150,0,MATCH(V$2,Inputs!$D$2:$AG$2,0)),Inputs!$B$4:$B$150,$B10)/1000)</f>
        <v>-1858</v>
      </c>
      <c r="W10" s="12">
        <f>IF(COUNT(S10:V10)=4,SUM(S10:V10),"")</f>
        <v>-13810</v>
      </c>
      <c r="X10" s="11">
        <f>IF(X$3=0,"",SUMIFS(INDEX(Inputs!$D$4:$AG$150,0,MATCH(X$2,Inputs!$D$2:$AG$2,0)),Inputs!$B$4:$B$150,$B10)/1000)</f>
        <v>-3567</v>
      </c>
      <c r="Y10" s="11">
        <f>IF(Y$3=0,"",SUMIFS(INDEX(Inputs!$D$4:$AG$150,0,MATCH(Y$2,Inputs!$D$2:$AG$2,0)),Inputs!$B$4:$B$150,$B10)/1000)</f>
        <v>-3351</v>
      </c>
      <c r="Z10" s="11">
        <f>IF(Z$3=0,"",SUMIFS(INDEX(Inputs!$D$4:$AG$150,0,MATCH(Z$2,Inputs!$D$2:$AG$2,0)),Inputs!$B$4:$B$150,$B10)/1000)</f>
        <v>-3164</v>
      </c>
      <c r="AA10" s="11">
        <f>IF(AA$3=0,"",SUMIFS(INDEX(Inputs!$D$4:$AG$150,0,MATCH(AA$2,Inputs!$D$2:$AG$2,0)),Inputs!$B$4:$B$150,$B10)/1000)</f>
        <v>-1422</v>
      </c>
      <c r="AB10" s="12">
        <f>IF(COUNT(X10:AA10)=4,SUM(X10:AA10),"")</f>
        <v>-11504</v>
      </c>
      <c r="AC10" s="11">
        <f>IF(AC$3=0,"",SUMIFS(INDEX(Inputs!$D$4:$AG$150,0,MATCH(AC$2,Inputs!$D$2:$AG$2,0)),Inputs!$B$4:$B$150,$B10)/1000)</f>
        <v>-2495</v>
      </c>
      <c r="AD10" s="11">
        <f>IF(AD$3=0,"",SUMIFS(INDEX(Inputs!$D$4:$AG$150,0,MATCH(AD$2,Inputs!$D$2:$AG$2,0)),Inputs!$B$4:$B$150,$B10)/1000)</f>
        <v>-4543</v>
      </c>
      <c r="AE10" s="11" t="str">
        <f>IF(AE$3=0,"",SUMIFS(INDEX(Inputs!$D$4:$AG$150,0,MATCH(AE$2,Inputs!$D$2:$AG$2,0)),Inputs!$B$4:$B$150,$B10)/1000)</f>
        <v/>
      </c>
      <c r="AF10" s="11" t="str">
        <f>IF(AF$3=0,"",SUMIFS(INDEX(Inputs!$D$4:$AG$150,0,MATCH(AF$2,Inputs!$D$2:$AG$2,0)),Inputs!$B$4:$B$150,$B10)/1000)</f>
        <v/>
      </c>
      <c r="AG10" s="12" t="str">
        <f>IF(COUNT(AC10:AF10)=4,SUM(AC10:AF10),"")</f>
        <v/>
      </c>
    </row>
    <row r="11">
      <c r="B11" s="9" t="n">
        <v>8</v>
      </c>
      <c r="C11" s="14" t="inlineStr">
        <is>
          <t>Equity in Income of Affiliates, after tax (enter as +)</t>
        </is>
      </c>
      <c r="D11" s="11">
        <f>IF(D$3=0,"",SUMIFS(INDEX(Inputs!$D$4:$AG$150,0,MATCH(D$2,Inputs!$D$2:$AG$2,0)),Inputs!$B$4:$B$150,$B11)/1000)</f>
        <v>0</v>
      </c>
      <c r="E11" s="11">
        <f>IF(E$3=0,"",SUMIFS(INDEX(Inputs!$D$4:$AG$150,0,MATCH(E$2,Inputs!$D$2:$AG$2,0)),Inputs!$B$4:$B$150,$B11)/1000)</f>
        <v>0</v>
      </c>
      <c r="F11" s="11">
        <f>IF(F$3=0,"",SUMIFS(INDEX(Inputs!$D$4:$AG$150,0,MATCH(F$2,Inputs!$D$2:$AG$2,0)),Inputs!$B$4:$B$150,$B11)/1000)</f>
        <v>0</v>
      </c>
      <c r="G11" s="11">
        <f>IF(G$3=0,"",SUMIFS(INDEX(Inputs!$D$4:$AG$150,0,MATCH(G$2,Inputs!$D$2:$AG$2,0)),Inputs!$B$4:$B$150,$B11)/1000)</f>
        <v>0</v>
      </c>
      <c r="H11" s="12">
        <f>IF(COUNT(D11:G11)=4,SUM(D11:G11),"")</f>
        <v>0</v>
      </c>
      <c r="I11" s="11">
        <f>IF(I$3=0,"",SUMIFS(INDEX(Inputs!$D$4:$AG$150,0,MATCH(I$2,Inputs!$D$2:$AG$2,0)),Inputs!$B$4:$B$150,$B11)/1000)</f>
        <v>0</v>
      </c>
      <c r="J11" s="11">
        <f>IF(J$3=0,"",SUMIFS(INDEX(Inputs!$D$4:$AG$150,0,MATCH(J$2,Inputs!$D$2:$AG$2,0)),Inputs!$B$4:$B$150,$B11)/1000)</f>
        <v>0</v>
      </c>
      <c r="K11" s="11">
        <f>IF(K$3=0,"",SUMIFS(INDEX(Inputs!$D$4:$AG$150,0,MATCH(K$2,Inputs!$D$2:$AG$2,0)),Inputs!$B$4:$B$150,$B11)/1000)</f>
        <v>0</v>
      </c>
      <c r="L11" s="11">
        <f>IF(L$3=0,"",SUMIFS(INDEX(Inputs!$D$4:$AG$150,0,MATCH(L$2,Inputs!$D$2:$AG$2,0)),Inputs!$B$4:$B$150,$B11)/1000)</f>
        <v>0</v>
      </c>
      <c r="M11" s="12">
        <f>IF(COUNT(I11:L11)=4,SUM(I11:L11),"")</f>
        <v>0</v>
      </c>
      <c r="N11" s="11">
        <f>IF(N$3=0,"",SUMIFS(INDEX(Inputs!$D$4:$AG$150,0,MATCH(N$2,Inputs!$D$2:$AG$2,0)),Inputs!$B$4:$B$150,$B11)/1000)</f>
        <v>0</v>
      </c>
      <c r="O11" s="11">
        <f>IF(O$3=0,"",SUMIFS(INDEX(Inputs!$D$4:$AG$150,0,MATCH(O$2,Inputs!$D$2:$AG$2,0)),Inputs!$B$4:$B$150,$B11)/1000)</f>
        <v>0</v>
      </c>
      <c r="P11" s="11">
        <f>IF(P$3=0,"",SUMIFS(INDEX(Inputs!$D$4:$AG$150,0,MATCH(P$2,Inputs!$D$2:$AG$2,0)),Inputs!$B$4:$B$150,$B11)/1000)</f>
        <v>0</v>
      </c>
      <c r="Q11" s="11">
        <f>IF(Q$3=0,"",SUMIFS(INDEX(Inputs!$D$4:$AG$150,0,MATCH(Q$2,Inputs!$D$2:$AG$2,0)),Inputs!$B$4:$B$150,$B11)/1000)</f>
        <v>0</v>
      </c>
      <c r="R11" s="12">
        <f>IF(COUNT(N11:Q11)=4,SUM(N11:Q11),"")</f>
        <v>0</v>
      </c>
      <c r="S11" s="11">
        <f>IF(S$3=0,"",SUMIFS(INDEX(Inputs!$D$4:$AG$150,0,MATCH(S$2,Inputs!$D$2:$AG$2,0)),Inputs!$B$4:$B$150,$B11)/1000)</f>
        <v>0</v>
      </c>
      <c r="T11" s="11">
        <f>IF(T$3=0,"",SUMIFS(INDEX(Inputs!$D$4:$AG$150,0,MATCH(T$2,Inputs!$D$2:$AG$2,0)),Inputs!$B$4:$B$150,$B11)/1000)</f>
        <v>0</v>
      </c>
      <c r="U11" s="11">
        <f>IF(U$3=0,"",SUMIFS(INDEX(Inputs!$D$4:$AG$150,0,MATCH(U$2,Inputs!$D$2:$AG$2,0)),Inputs!$B$4:$B$150,$B11)/1000)</f>
        <v>0</v>
      </c>
      <c r="V11" s="11">
        <f>IF(V$3=0,"",SUMIFS(INDEX(Inputs!$D$4:$AG$150,0,MATCH(V$2,Inputs!$D$2:$AG$2,0)),Inputs!$B$4:$B$150,$B11)/1000)</f>
        <v>0</v>
      </c>
      <c r="W11" s="12">
        <f>IF(COUNT(S11:V11)=4,SUM(S11:V11),"")</f>
        <v>0</v>
      </c>
      <c r="X11" s="11">
        <f>IF(X$3=0,"",SUMIFS(INDEX(Inputs!$D$4:$AG$150,0,MATCH(X$2,Inputs!$D$2:$AG$2,0)),Inputs!$B$4:$B$150,$B11)/1000)</f>
        <v>0</v>
      </c>
      <c r="Y11" s="11">
        <f>IF(Y$3=0,"",SUMIFS(INDEX(Inputs!$D$4:$AG$150,0,MATCH(Y$2,Inputs!$D$2:$AG$2,0)),Inputs!$B$4:$B$150,$B11)/1000)</f>
        <v>0</v>
      </c>
      <c r="Z11" s="11">
        <f>IF(Z$3=0,"",SUMIFS(INDEX(Inputs!$D$4:$AG$150,0,MATCH(Z$2,Inputs!$D$2:$AG$2,0)),Inputs!$B$4:$B$150,$B11)/1000)</f>
        <v>0</v>
      </c>
      <c r="AA11" s="11">
        <f>IF(AA$3=0,"",SUMIFS(INDEX(Inputs!$D$4:$AG$150,0,MATCH(AA$2,Inputs!$D$2:$AG$2,0)),Inputs!$B$4:$B$150,$B11)/1000)</f>
        <v>0</v>
      </c>
      <c r="AB11" s="12">
        <f>IF(COUNT(X11:AA11)=4,SUM(X11:AA11),"")</f>
        <v>0</v>
      </c>
      <c r="AC11" s="11">
        <f>IF(AC$3=0,"",SUMIFS(INDEX(Inputs!$D$4:$AG$150,0,MATCH(AC$2,Inputs!$D$2:$AG$2,0)),Inputs!$B$4:$B$150,$B11)/1000)</f>
        <v>0</v>
      </c>
      <c r="AD11" s="11">
        <f>IF(AD$3=0,"",SUMIFS(INDEX(Inputs!$D$4:$AG$150,0,MATCH(AD$2,Inputs!$D$2:$AG$2,0)),Inputs!$B$4:$B$150,$B11)/1000)</f>
        <v>0</v>
      </c>
      <c r="AE11" s="11" t="str">
        <f>IF(AE$3=0,"",SUMIFS(INDEX(Inputs!$D$4:$AG$150,0,MATCH(AE$2,Inputs!$D$2:$AG$2,0)),Inputs!$B$4:$B$150,$B11)/1000)</f>
        <v/>
      </c>
      <c r="AF11" s="11" t="str">
        <f>IF(AF$3=0,"",SUMIFS(INDEX(Inputs!$D$4:$AG$150,0,MATCH(AF$2,Inputs!$D$2:$AG$2,0)),Inputs!$B$4:$B$150,$B11)/1000)</f>
        <v/>
      </c>
      <c r="AG11" s="12" t="str">
        <f>IF(COUNT(AC11:AF11)=4,SUM(AC11:AF11),"")</f>
        <v/>
      </c>
    </row>
    <row r="12">
      <c r="B12" s="9" t="n">
        <v>9</v>
      </c>
      <c r="C12" s="14" t="inlineStr">
        <is>
          <t>Minority Interest Expense, after tax (enter as - )</t>
        </is>
      </c>
      <c r="D12" s="11">
        <f>IF(D$3=0,"",SUMIFS(INDEX(Inputs!$D$4:$AG$150,0,MATCH(D$2,Inputs!$D$2:$AG$2,0)),Inputs!$B$4:$B$150,$B12)/1000)</f>
        <v>-66</v>
      </c>
      <c r="E12" s="11">
        <f>IF(E$3=0,"",SUMIFS(INDEX(Inputs!$D$4:$AG$150,0,MATCH(E$2,Inputs!$D$2:$AG$2,0)),Inputs!$B$4:$B$150,$B12)/1000)</f>
        <v>-91</v>
      </c>
      <c r="F12" s="11">
        <f>IF(F$3=0,"",SUMIFS(INDEX(Inputs!$D$4:$AG$150,0,MATCH(F$2,Inputs!$D$2:$AG$2,0)),Inputs!$B$4:$B$150,$B12)/1000)</f>
        <v>-192</v>
      </c>
      <c r="G12" s="11">
        <f>IF(G$3=0,"",SUMIFS(INDEX(Inputs!$D$4:$AG$150,0,MATCH(G$2,Inputs!$D$2:$AG$2,0)),Inputs!$B$4:$B$150,$B12)/1000)</f>
        <v>-209</v>
      </c>
      <c r="H12" s="12">
        <f>IF(COUNT(D12:G12)=4,SUM(D12:G12),"")</f>
        <v>-558</v>
      </c>
      <c r="I12" s="11">
        <f>IF(I$3=0,"",SUMIFS(INDEX(Inputs!$D$4:$AG$150,0,MATCH(I$2,Inputs!$D$2:$AG$2,0)),Inputs!$B$4:$B$150,$B12)/1000)</f>
        <v>-270</v>
      </c>
      <c r="J12" s="11">
        <f>IF(J$3=0,"",SUMIFS(INDEX(Inputs!$D$4:$AG$150,0,MATCH(J$2,Inputs!$D$2:$AG$2,0)),Inputs!$B$4:$B$150,$B12)/1000)</f>
        <v>-724</v>
      </c>
      <c r="K12" s="11">
        <f>IF(K$3=0,"",SUMIFS(INDEX(Inputs!$D$4:$AG$150,0,MATCH(K$2,Inputs!$D$2:$AG$2,0)),Inputs!$B$4:$B$150,$B12)/1000)</f>
        <v>-538</v>
      </c>
      <c r="L12" s="11">
        <f>IF(L$3=0,"",SUMIFS(INDEX(Inputs!$D$4:$AG$150,0,MATCH(L$2,Inputs!$D$2:$AG$2,0)),Inputs!$B$4:$B$150,$B12)/1000)</f>
        <v>-305</v>
      </c>
      <c r="M12" s="12">
        <f>IF(COUNT(I12:L12)=4,SUM(I12:L12),"")</f>
        <v>-1837</v>
      </c>
      <c r="N12" s="11">
        <f>IF(N$3=0,"",SUMIFS(INDEX(Inputs!$D$4:$AG$150,0,MATCH(N$2,Inputs!$D$2:$AG$2,0)),Inputs!$B$4:$B$150,$B12)/1000)</f>
        <v>-413</v>
      </c>
      <c r="O12" s="11">
        <f>IF(O$3=0,"",SUMIFS(INDEX(Inputs!$D$4:$AG$150,0,MATCH(O$2,Inputs!$D$2:$AG$2,0)),Inputs!$B$4:$B$150,$B12)/1000)</f>
        <v>-273</v>
      </c>
      <c r="P12" s="11">
        <f>IF(P$3=0,"",SUMIFS(INDEX(Inputs!$D$4:$AG$150,0,MATCH(P$2,Inputs!$D$2:$AG$2,0)),Inputs!$B$4:$B$150,$B12)/1000)</f>
        <v>-276</v>
      </c>
      <c r="Q12" s="11">
        <f>IF(Q$3=0,"",SUMIFS(INDEX(Inputs!$D$4:$AG$150,0,MATCH(Q$2,Inputs!$D$2:$AG$2,0)),Inputs!$B$4:$B$150,$B12)/1000)</f>
        <v>-382</v>
      </c>
      <c r="R12" s="12">
        <f>IF(COUNT(N12:Q12)=4,SUM(N12:Q12),"")</f>
        <v>-1344</v>
      </c>
      <c r="S12" s="11">
        <f>IF(S$3=0,"",SUMIFS(INDEX(Inputs!$D$4:$AG$150,0,MATCH(S$2,Inputs!$D$2:$AG$2,0)),Inputs!$B$4:$B$150,$B12)/1000)</f>
        <v>-346</v>
      </c>
      <c r="T12" s="11">
        <f>IF(T$3=0,"",SUMIFS(INDEX(Inputs!$D$4:$AG$150,0,MATCH(T$2,Inputs!$D$2:$AG$2,0)),Inputs!$B$4:$B$150,$B12)/1000)</f>
        <v>-331</v>
      </c>
      <c r="U12" s="11">
        <f>IF(U$3=0,"",SUMIFS(INDEX(Inputs!$D$4:$AG$150,0,MATCH(U$2,Inputs!$D$2:$AG$2,0)),Inputs!$B$4:$B$150,$B12)/1000)</f>
        <v>-361</v>
      </c>
      <c r="V12" s="11">
        <f>IF(V$3=0,"",SUMIFS(INDEX(Inputs!$D$4:$AG$150,0,MATCH(V$2,Inputs!$D$2:$AG$2,0)),Inputs!$B$4:$B$150,$B12)/1000)</f>
        <v>-345</v>
      </c>
      <c r="W12" s="12">
        <f>IF(COUNT(S12:V12)=4,SUM(S12:V12),"")</f>
        <v>-1383</v>
      </c>
      <c r="X12" s="11">
        <f>IF(X$3=0,"",SUMIFS(INDEX(Inputs!$D$4:$AG$150,0,MATCH(X$2,Inputs!$D$2:$AG$2,0)),Inputs!$B$4:$B$150,$B12)/1000)</f>
        <v>-320</v>
      </c>
      <c r="Y12" s="11">
        <f>IF(Y$3=0,"",SUMIFS(INDEX(Inputs!$D$4:$AG$150,0,MATCH(Y$2,Inputs!$D$2:$AG$2,0)),Inputs!$B$4:$B$150,$B12)/1000)</f>
        <v>-272</v>
      </c>
      <c r="Z12" s="11">
        <f>IF(Z$3=0,"",SUMIFS(INDEX(Inputs!$D$4:$AG$150,0,MATCH(Z$2,Inputs!$D$2:$AG$2,0)),Inputs!$B$4:$B$150,$B12)/1000)</f>
        <v>-220</v>
      </c>
      <c r="AA12" s="11">
        <f>IF(AA$3=0,"",SUMIFS(INDEX(Inputs!$D$4:$AG$150,0,MATCH(AA$2,Inputs!$D$2:$AG$2,0)),Inputs!$B$4:$B$150,$B12)/1000)</f>
        <v>-108</v>
      </c>
      <c r="AB12" s="12">
        <f>IF(COUNT(X12:AA12)=4,SUM(X12:AA12),"")</f>
        <v>-920</v>
      </c>
      <c r="AC12" s="11">
        <f>IF(AC$3=0,"",SUMIFS(INDEX(Inputs!$D$4:$AG$150,0,MATCH(AC$2,Inputs!$D$2:$AG$2,0)),Inputs!$B$4:$B$150,$B12)/1000)</f>
        <v>-289</v>
      </c>
      <c r="AD12" s="11">
        <f>IF(AD$3=0,"",SUMIFS(INDEX(Inputs!$D$4:$AG$150,0,MATCH(AD$2,Inputs!$D$2:$AG$2,0)),Inputs!$B$4:$B$150,$B12)/1000)</f>
        <v>-356</v>
      </c>
      <c r="AE12" s="11" t="str">
        <f>IF(AE$3=0,"",SUMIFS(INDEX(Inputs!$D$4:$AG$150,0,MATCH(AE$2,Inputs!$D$2:$AG$2,0)),Inputs!$B$4:$B$150,$B12)/1000)</f>
        <v/>
      </c>
      <c r="AF12" s="11" t="str">
        <f>IF(AF$3=0,"",SUMIFS(INDEX(Inputs!$D$4:$AG$150,0,MATCH(AF$2,Inputs!$D$2:$AG$2,0)),Inputs!$B$4:$B$150,$B12)/1000)</f>
        <v/>
      </c>
      <c r="AG12" s="12" t="str">
        <f>IF(COUNT(AC12:AF12)=4,SUM(AC12:AF12),"")</f>
        <v/>
      </c>
    </row>
    <row r="13">
      <c r="B13" s="9" t="n">
        <v>10</v>
      </c>
      <c r="C13" s="13" t="inlineStr">
        <is>
          <t>Common Dividends</t>
        </is>
      </c>
      <c r="D13" s="11">
        <f>IF(D$3=0,"",SUMIFS(INDEX(Inputs!$D$4:$AG$150,0,MATCH(D$2,Inputs!$D$2:$AG$2,0)),Inputs!$B$4:$B$150,$B13)/1000)</f>
        <v>-3720</v>
      </c>
      <c r="E13" s="11">
        <f>IF(E$3=0,"",SUMIFS(INDEX(Inputs!$D$4:$AG$150,0,MATCH(E$2,Inputs!$D$2:$AG$2,0)),Inputs!$B$4:$B$150,$B13)/1000)</f>
        <v>-3721</v>
      </c>
      <c r="F13" s="11">
        <f>IF(F$3=0,"",SUMIFS(INDEX(Inputs!$D$4:$AG$150,0,MATCH(F$2,Inputs!$D$2:$AG$2,0)),Inputs!$B$4:$B$150,$B13)/1000)</f>
        <v>-3720</v>
      </c>
      <c r="G13" s="11">
        <f>IF(G$3=0,"",SUMIFS(INDEX(Inputs!$D$4:$AG$150,0,MATCH(G$2,Inputs!$D$2:$AG$2,0)),Inputs!$B$4:$B$150,$B13)/1000)</f>
        <v>-3763</v>
      </c>
      <c r="H13" s="12">
        <f>IF(COUNT(D13:G13)=4,SUM(D13:G13),"")</f>
        <v>-14924</v>
      </c>
      <c r="I13" s="11">
        <f>IF(I$3=0,"",SUMIFS(INDEX(Inputs!$D$4:$AG$150,0,MATCH(I$2,Inputs!$D$2:$AG$2,0)),Inputs!$B$4:$B$150,$B13)/1000)</f>
        <v>-3760</v>
      </c>
      <c r="J13" s="11">
        <f>IF(J$3=0,"",SUMIFS(INDEX(Inputs!$D$4:$AG$150,0,MATCH(J$2,Inputs!$D$2:$AG$2,0)),Inputs!$B$4:$B$150,$B13)/1000)</f>
        <v>-3727</v>
      </c>
      <c r="K13" s="11">
        <f>IF(K$3=0,"",SUMIFS(INDEX(Inputs!$D$4:$AG$150,0,MATCH(K$2,Inputs!$D$2:$AG$2,0)),Inputs!$B$4:$B$150,$B13)/1000)</f>
        <v>-3685</v>
      </c>
      <c r="L13" s="11">
        <f>IF(L$3=0,"",SUMIFS(INDEX(Inputs!$D$4:$AG$150,0,MATCH(L$2,Inputs!$D$2:$AG$2,0)),Inputs!$B$4:$B$150,$B13)/1000)</f>
        <v>-3767</v>
      </c>
      <c r="M13" s="12">
        <f>IF(COUNT(I13:L13)=4,SUM(I13:L13),"")</f>
        <v>-14939</v>
      </c>
      <c r="N13" s="11">
        <f>IF(N$3=0,"",SUMIFS(INDEX(Inputs!$D$4:$AG$150,0,MATCH(N$2,Inputs!$D$2:$AG$2,0)),Inputs!$B$4:$B$150,$B13)/1000)</f>
        <v>-3738</v>
      </c>
      <c r="O13" s="11">
        <f>IF(O$3=0,"",SUMIFS(INDEX(Inputs!$D$4:$AG$150,0,MATCH(O$2,Inputs!$D$2:$AG$2,0)),Inputs!$B$4:$B$150,$B13)/1000)</f>
        <v>-3701</v>
      </c>
      <c r="P13" s="11">
        <f>IF(P$3=0,"",SUMIFS(INDEX(Inputs!$D$4:$AG$150,0,MATCH(P$2,Inputs!$D$2:$AG$2,0)),Inputs!$B$4:$B$150,$B13)/1000)</f>
        <v>-3663</v>
      </c>
      <c r="Q13" s="11">
        <f>IF(Q$3=0,"",SUMIFS(INDEX(Inputs!$D$4:$AG$150,0,MATCH(Q$2,Inputs!$D$2:$AG$2,0)),Inputs!$B$4:$B$150,$B13)/1000)</f>
        <v>-3839</v>
      </c>
      <c r="R13" s="12">
        <f>IF(COUNT(N13:Q13)=4,SUM(N13:Q13),"")</f>
        <v>-14941</v>
      </c>
      <c r="S13" s="11">
        <f>IF(S$3=0,"",SUMIFS(INDEX(Inputs!$D$4:$AG$150,0,MATCH(S$2,Inputs!$D$2:$AG$2,0)),Inputs!$B$4:$B$150,$B13)/1000)</f>
        <v>-3808</v>
      </c>
      <c r="T13" s="11">
        <f>IF(T$3=0,"",SUMIFS(INDEX(Inputs!$D$4:$AG$150,0,MATCH(T$2,Inputs!$D$2:$AG$2,0)),Inputs!$B$4:$B$150,$B13)/1000)</f>
        <v>-4285</v>
      </c>
      <c r="U13" s="11">
        <f>IF(U$3=0,"",SUMIFS(INDEX(Inputs!$D$4:$AG$150,0,MATCH(U$2,Inputs!$D$2:$AG$2,0)),Inputs!$B$4:$B$150,$B13)/1000)</f>
        <v>-4240</v>
      </c>
      <c r="V13" s="11">
        <f>IF(V$3=0,"",SUMIFS(INDEX(Inputs!$D$4:$AG$150,0,MATCH(V$2,Inputs!$D$2:$AG$2,0)),Inputs!$B$4:$B$150,$B13)/1000)</f>
        <v>-4371</v>
      </c>
      <c r="W13" s="12">
        <f>IF(COUNT(S13:V13)=4,SUM(S13:V13),"")</f>
        <v>-16704</v>
      </c>
      <c r="X13" s="11">
        <f>IF(X$3=0,"",SUMIFS(INDEX(Inputs!$D$4:$AG$150,0,MATCH(X$2,Inputs!$D$2:$AG$2,0)),Inputs!$B$4:$B$150,$B13)/1000)</f>
        <v>-4335</v>
      </c>
      <c r="Y13" s="11">
        <f>IF(Y$3=0,"",SUMIFS(INDEX(Inputs!$D$4:$AG$150,0,MATCH(Y$2,Inputs!$D$2:$AG$2,0)),Inputs!$B$4:$B$150,$B13)/1000)</f>
        <v>-4288</v>
      </c>
      <c r="Z13" s="11">
        <f>IF(Z$3=0,"",SUMIFS(INDEX(Inputs!$D$4:$AG$150,0,MATCH(Z$2,Inputs!$D$2:$AG$2,0)),Inputs!$B$4:$B$150,$B13)/1000)</f>
        <v>-4242</v>
      </c>
      <c r="AA13" s="11">
        <f>IF(AA$3=0,"",SUMIFS(INDEX(Inputs!$D$4:$AG$150,0,MATCH(AA$2,Inputs!$D$2:$AG$2,0)),Inputs!$B$4:$B$150,$B13)/1000)</f>
        <v>-4366</v>
      </c>
      <c r="AB13" s="12">
        <f>IF(COUNT(X13:AA13)=4,SUM(X13:AA13),"")</f>
        <v>-17231</v>
      </c>
      <c r="AC13" s="11">
        <f>IF(AC$3=0,"",SUMIFS(INDEX(Inputs!$D$4:$AG$150,0,MATCH(AC$2,Inputs!$D$2:$AG$2,0)),Inputs!$B$4:$B$150,$B13)/1000)</f>
        <v>-4334</v>
      </c>
      <c r="AD13" s="11">
        <f>IF(AD$3=0,"",SUMIFS(INDEX(Inputs!$D$4:$AG$150,0,MATCH(AD$2,Inputs!$D$2:$AG$2,0)),Inputs!$B$4:$B$150,$B13)/1000)</f>
        <v>-4299</v>
      </c>
      <c r="AE13" s="11" t="str">
        <f>IF(AE$3=0,"",SUMIFS(INDEX(Inputs!$D$4:$AG$150,0,MATCH(AE$2,Inputs!$D$2:$AG$2,0)),Inputs!$B$4:$B$150,$B13)/1000)</f>
        <v/>
      </c>
      <c r="AF13" s="11" t="str">
        <f>IF(AF$3=0,"",SUMIFS(INDEX(Inputs!$D$4:$AG$150,0,MATCH(AF$2,Inputs!$D$2:$AG$2,0)),Inputs!$B$4:$B$150,$B13)/1000)</f>
        <v/>
      </c>
      <c r="AG13" s="12" t="str">
        <f>IF(COUNT(AC13:AF13)=4,SUM(AC13:AF13),"")</f>
        <v/>
      </c>
    </row>
    <row r="14">
      <c r="D14" s="12" t="n"/>
    </row>
    <row r="15">
      <c r="B15" s="9" t="n">
        <v>11</v>
      </c>
      <c r="C15" s="13" t="inlineStr">
        <is>
          <t>Cash and equivalents (inc. investment securities)</t>
        </is>
      </c>
      <c r="D15" s="11">
        <f>IF(D$3=0,"",SUMIFS(INDEX(Inputs!$D$4:$AG$150,0,MATCH(D$2,Inputs!$D$2:$AG$2,0)),Inputs!$B$4:$B$150,$B15)/1000)</f>
        <v>3515</v>
      </c>
      <c r="E15" s="11">
        <f>IF(E$3=0,"",SUMIFS(INDEX(Inputs!$D$4:$AG$150,0,MATCH(E$2,Inputs!$D$2:$AG$2,0)),Inputs!$B$4:$B$150,$B15)/1000)</f>
        <v>3465</v>
      </c>
      <c r="F15" s="11">
        <f>IF(F$3=0,"",SUMIFS(INDEX(Inputs!$D$4:$AG$150,0,MATCH(F$2,Inputs!$D$2:$AG$2,0)),Inputs!$B$4:$B$150,$B15)/1000)</f>
        <v>4768</v>
      </c>
      <c r="G15" s="11">
        <f>IF(G$3=0,"",SUMIFS(INDEX(Inputs!$D$4:$AG$150,0,MATCH(G$2,Inputs!$D$2:$AG$2,0)),Inputs!$B$4:$B$150,$B15)/1000)</f>
        <v>6802</v>
      </c>
      <c r="H15" s="12">
        <f>IF(G15="","",G15)</f>
        <v>6802</v>
      </c>
      <c r="I15" s="11">
        <f>IF(I$3=0,"",SUMIFS(INDEX(Inputs!$D$4:$AG$150,0,MATCH(I$2,Inputs!$D$2:$AG$2,0)),Inputs!$B$4:$B$150,$B15)/1000)</f>
        <v>11074</v>
      </c>
      <c r="J15" s="11">
        <f>IF(J$3=0,"",SUMIFS(INDEX(Inputs!$D$4:$AG$150,0,MATCH(J$2,Inputs!$D$2:$AG$2,0)),Inputs!$B$4:$B$150,$B15)/1000)</f>
        <v>18861</v>
      </c>
      <c r="K15" s="11">
        <f>IF(K$3=0,"",SUMIFS(INDEX(Inputs!$D$4:$AG$150,0,MATCH(K$2,Inputs!$D$2:$AG$2,0)),Inputs!$B$4:$B$150,$B15)/1000)</f>
        <v>30407</v>
      </c>
      <c r="L15" s="11">
        <f>IF(L$3=0,"",SUMIFS(INDEX(Inputs!$D$4:$AG$150,0,MATCH(L$2,Inputs!$D$2:$AG$2,0)),Inputs!$B$4:$B$150,$B15)/1000)</f>
        <v>29640</v>
      </c>
      <c r="M15" s="12">
        <f>IF(L15="","",L15)</f>
        <v>29640</v>
      </c>
      <c r="N15" s="11">
        <f>IF(N$3=0,"",SUMIFS(INDEX(Inputs!$D$4:$AG$150,0,MATCH(N$2,Inputs!$D$2:$AG$2,0)),Inputs!$B$4:$B$150,$B15)/1000)</f>
        <v>32651</v>
      </c>
      <c r="O15" s="11">
        <f>IF(O$3=0,"",SUMIFS(INDEX(Inputs!$D$4:$AG$150,0,MATCH(O$2,Inputs!$D$2:$AG$2,0)),Inputs!$B$4:$B$150,$B15)/1000)</f>
        <v>29528</v>
      </c>
      <c r="P15" s="11">
        <f>IF(P$3=0,"",SUMIFS(INDEX(Inputs!$D$4:$AG$150,0,MATCH(P$2,Inputs!$D$2:$AG$2,0)),Inputs!$B$4:$B$150,$B15)/1000)</f>
        <v>32944</v>
      </c>
      <c r="Q15" s="11">
        <f>IF(Q$3=0,"",SUMIFS(INDEX(Inputs!$D$4:$AG$150,0,MATCH(Q$2,Inputs!$D$2:$AG$2,0)),Inputs!$B$4:$B$150,$B15)/1000)</f>
        <v>31539</v>
      </c>
      <c r="R15" s="12">
        <f>IF(Q15="","",Q15)</f>
        <v>31539</v>
      </c>
      <c r="S15" s="11">
        <f>IF(S$3=0,"",SUMIFS(INDEX(Inputs!$D$4:$AG$150,0,MATCH(S$2,Inputs!$D$2:$AG$2,0)),Inputs!$B$4:$B$150,$B15)/1000)</f>
        <v>33320</v>
      </c>
      <c r="T15" s="11">
        <f>IF(T$3=0,"",SUMIFS(INDEX(Inputs!$D$4:$AG$150,0,MATCH(T$2,Inputs!$D$2:$AG$2,0)),Inputs!$B$4:$B$150,$B15)/1000)</f>
        <v>26460</v>
      </c>
      <c r="U15" s="11">
        <f>IF(U$3=0,"",SUMIFS(INDEX(Inputs!$D$4:$AG$150,0,MATCH(U$2,Inputs!$D$2:$AG$2,0)),Inputs!$B$4:$B$150,$B15)/1000)</f>
        <v>26926</v>
      </c>
      <c r="V15" s="11">
        <f>IF(V$3=0,"",SUMIFS(INDEX(Inputs!$D$4:$AG$150,0,MATCH(V$2,Inputs!$D$2:$AG$2,0)),Inputs!$B$4:$B$150,$B15)/1000)</f>
        <v>23029</v>
      </c>
      <c r="W15" s="12">
        <f>IF(V15="","",V15)</f>
        <v>23029</v>
      </c>
      <c r="X15" s="11">
        <f>IF(X$3=0,"",SUMIFS(INDEX(Inputs!$D$4:$AG$150,0,MATCH(X$2,Inputs!$D$2:$AG$2,0)),Inputs!$B$4:$B$150,$B15)/1000)</f>
        <v>17036</v>
      </c>
      <c r="Y15" s="11">
        <f>IF(Y$3=0,"",SUMIFS(INDEX(Inputs!$D$4:$AG$150,0,MATCH(Y$2,Inputs!$D$2:$AG$2,0)),Inputs!$B$4:$B$150,$B15)/1000)</f>
        <v>14352</v>
      </c>
      <c r="Z15" s="11">
        <f>IF(Z$3=0,"",SUMIFS(INDEX(Inputs!$D$4:$AG$150,0,MATCH(Z$2,Inputs!$D$2:$AG$2,0)),Inputs!$B$4:$B$150,$B15)/1000)</f>
        <v>13814</v>
      </c>
      <c r="AA15" s="11">
        <f>IF(AA$3=0,"",SUMIFS(INDEX(Inputs!$D$4:$AG$150,0,MATCH(AA$2,Inputs!$D$2:$AG$2,0)),Inputs!$B$4:$B$150,$B15)/1000)</f>
        <v>10681</v>
      </c>
      <c r="AB15" s="12">
        <f>IF(AA15="","",AA15)</f>
        <v>10681</v>
      </c>
      <c r="AC15" s="11">
        <f>IF(AC$3=0,"",SUMIFS(INDEX(Inputs!$D$4:$AG$150,0,MATCH(AC$2,Inputs!$D$2:$AG$2,0)),Inputs!$B$4:$B$150,$B15)/1000)</f>
        <v>8435</v>
      </c>
      <c r="AD15" s="11">
        <f>IF(AD$3=0,"",SUMIFS(INDEX(Inputs!$D$4:$AG$150,0,MATCH(AD$2,Inputs!$D$2:$AG$2,0)),Inputs!$B$4:$B$150,$B15)/1000)</f>
        <v>10588</v>
      </c>
      <c r="AE15" s="11" t="str">
        <f>IF(AE$3=0,"",SUMIFS(INDEX(Inputs!$D$4:$AG$150,0,MATCH(AE$2,Inputs!$D$2:$AG$2,0)),Inputs!$B$4:$B$150,$B15)/1000)</f>
        <v/>
      </c>
      <c r="AF15" s="11" t="str">
        <f>IF(AF$3=0,"",SUMIFS(INDEX(Inputs!$D$4:$AG$150,0,MATCH(AF$2,Inputs!$D$2:$AG$2,0)),Inputs!$B$4:$B$150,$B15)/1000)</f>
        <v/>
      </c>
      <c r="AG15" s="12" t="str">
        <f>IF(AF15="","",AF15)</f>
        <v/>
      </c>
    </row>
    <row r="16">
      <c r="B16" s="9" t="n">
        <v>12</v>
      </c>
      <c r="C16" s="14" t="inlineStr">
        <is>
          <t>Accounts receivable</t>
        </is>
      </c>
      <c r="D16" s="11">
        <f>IF(D$3=0,"",SUMIFS(INDEX(Inputs!$D$4:$AG$150,0,MATCH(D$2,Inputs!$D$2:$AG$2,0)),Inputs!$B$4:$B$150,$B16)/1000)</f>
        <v>24755</v>
      </c>
      <c r="E16" s="11">
        <f>IF(E$3=0,"",SUMIFS(INDEX(Inputs!$D$4:$AG$150,0,MATCH(E$2,Inputs!$D$2:$AG$2,0)),Inputs!$B$4:$B$150,$B16)/1000)</f>
        <v>28540</v>
      </c>
      <c r="F16" s="11">
        <f>IF(F$3=0,"",SUMIFS(INDEX(Inputs!$D$4:$AG$150,0,MATCH(F$2,Inputs!$D$2:$AG$2,0)),Inputs!$B$4:$B$150,$B16)/1000)</f>
        <v>29516</v>
      </c>
      <c r="G16" s="11">
        <f>IF(G$3=0,"",SUMIFS(INDEX(Inputs!$D$4:$AG$150,0,MATCH(G$2,Inputs!$D$2:$AG$2,0)),Inputs!$B$4:$B$150,$B16)/1000)</f>
        <v>32383</v>
      </c>
      <c r="H16" s="12">
        <f>IF(G16="","",G16)</f>
        <v>32383</v>
      </c>
      <c r="I16" s="11">
        <f>IF(I$3=0,"",SUMIFS(INDEX(Inputs!$D$4:$AG$150,0,MATCH(I$2,Inputs!$D$2:$AG$2,0)),Inputs!$B$4:$B$150,$B16)/1000)</f>
        <v>42142</v>
      </c>
      <c r="J16" s="11">
        <f>IF(J$3=0,"",SUMIFS(INDEX(Inputs!$D$4:$AG$150,0,MATCH(J$2,Inputs!$D$2:$AG$2,0)),Inputs!$B$4:$B$150,$B16)/1000)</f>
        <v>48063</v>
      </c>
      <c r="K16" s="11">
        <f>IF(K$3=0,"",SUMIFS(INDEX(Inputs!$D$4:$AG$150,0,MATCH(K$2,Inputs!$D$2:$AG$2,0)),Inputs!$B$4:$B$150,$B16)/1000)</f>
        <v>42411</v>
      </c>
      <c r="L16" s="11">
        <f>IF(L$3=0,"",SUMIFS(INDEX(Inputs!$D$4:$AG$150,0,MATCH(L$2,Inputs!$D$2:$AG$2,0)),Inputs!$B$4:$B$150,$B16)/1000)</f>
        <v>41749</v>
      </c>
      <c r="M16" s="12">
        <f>IF(L16="","",L16)</f>
        <v>41749</v>
      </c>
      <c r="N16" s="11">
        <f>IF(N$3=0,"",SUMIFS(INDEX(Inputs!$D$4:$AG$150,0,MATCH(N$2,Inputs!$D$2:$AG$2,0)),Inputs!$B$4:$B$150,$B16)/1000)</f>
        <v>38808</v>
      </c>
      <c r="O16" s="11">
        <f>IF(O$3=0,"",SUMIFS(INDEX(Inputs!$D$4:$AG$150,0,MATCH(O$2,Inputs!$D$2:$AG$2,0)),Inputs!$B$4:$B$150,$B16)/1000)</f>
        <v>35915</v>
      </c>
      <c r="P16" s="11">
        <f>IF(P$3=0,"",SUMIFS(INDEX(Inputs!$D$4:$AG$150,0,MATCH(P$2,Inputs!$D$2:$AG$2,0)),Inputs!$B$4:$B$150,$B16)/1000)</f>
        <v>41814</v>
      </c>
      <c r="Q16" s="11">
        <f>IF(Q$3=0,"",SUMIFS(INDEX(Inputs!$D$4:$AG$150,0,MATCH(Q$2,Inputs!$D$2:$AG$2,0)),Inputs!$B$4:$B$150,$B16)/1000)</f>
        <v>38015</v>
      </c>
      <c r="R16" s="12">
        <f>IF(Q16="","",Q16)</f>
        <v>38015</v>
      </c>
      <c r="S16" s="11">
        <f>IF(S$3=0,"",SUMIFS(INDEX(Inputs!$D$4:$AG$150,0,MATCH(S$2,Inputs!$D$2:$AG$2,0)),Inputs!$B$4:$B$150,$B16)/1000)</f>
        <v>40366</v>
      </c>
      <c r="T16" s="11">
        <f>IF(T$3=0,"",SUMIFS(INDEX(Inputs!$D$4:$AG$150,0,MATCH(T$2,Inputs!$D$2:$AG$2,0)),Inputs!$B$4:$B$150,$B16)/1000)</f>
        <v>43071</v>
      </c>
      <c r="U16" s="11">
        <f>IF(U$3=0,"",SUMIFS(INDEX(Inputs!$D$4:$AG$150,0,MATCH(U$2,Inputs!$D$2:$AG$2,0)),Inputs!$B$4:$B$150,$B16)/1000)</f>
        <v>41505</v>
      </c>
      <c r="V16" s="11">
        <f>IF(V$3=0,"",SUMIFS(INDEX(Inputs!$D$4:$AG$150,0,MATCH(V$2,Inputs!$D$2:$AG$2,0)),Inputs!$B$4:$B$150,$B16)/1000)</f>
        <v>43681</v>
      </c>
      <c r="W16" s="12">
        <f>IF(V16="","",V16)</f>
        <v>43681</v>
      </c>
      <c r="X16" s="11">
        <f>IF(X$3=0,"",SUMIFS(INDEX(Inputs!$D$4:$AG$150,0,MATCH(X$2,Inputs!$D$2:$AG$2,0)),Inputs!$B$4:$B$150,$B16)/1000)</f>
        <v>46303</v>
      </c>
      <c r="Y16" s="11">
        <f>IF(Y$3=0,"",SUMIFS(INDEX(Inputs!$D$4:$AG$150,0,MATCH(Y$2,Inputs!$D$2:$AG$2,0)),Inputs!$B$4:$B$150,$B16)/1000)</f>
        <v>41792</v>
      </c>
      <c r="Z16" s="11">
        <f>IF(Z$3=0,"",SUMIFS(INDEX(Inputs!$D$4:$AG$150,0,MATCH(Z$2,Inputs!$D$2:$AG$2,0)),Inputs!$B$4:$B$150,$B16)/1000)</f>
        <v>45285</v>
      </c>
      <c r="AA16" s="11">
        <f>IF(AA$3=0,"",SUMIFS(INDEX(Inputs!$D$4:$AG$150,0,MATCH(AA$2,Inputs!$D$2:$AG$2,0)),Inputs!$B$4:$B$150,$B16)/1000)</f>
        <v>44562</v>
      </c>
      <c r="AB16" s="12">
        <f>IF(AA16="","",AA16)</f>
        <v>44562</v>
      </c>
      <c r="AC16" s="11">
        <f>IF(AC$3=0,"",SUMIFS(INDEX(Inputs!$D$4:$AG$150,0,MATCH(AC$2,Inputs!$D$2:$AG$2,0)),Inputs!$B$4:$B$150,$B16)/1000)</f>
        <v>61783</v>
      </c>
      <c r="AD16" s="11">
        <f>IF(AD$3=0,"",SUMIFS(INDEX(Inputs!$D$4:$AG$150,0,MATCH(AD$2,Inputs!$D$2:$AG$2,0)),Inputs!$B$4:$B$150,$B16)/1000)</f>
        <v>60558</v>
      </c>
      <c r="AE16" s="11" t="str">
        <f>IF(AE$3=0,"",SUMIFS(INDEX(Inputs!$D$4:$AG$150,0,MATCH(AE$2,Inputs!$D$2:$AG$2,0)),Inputs!$B$4:$B$150,$B16)/1000)</f>
        <v/>
      </c>
      <c r="AF16" s="11" t="str">
        <f>IF(AF$3=0,"",SUMIFS(INDEX(Inputs!$D$4:$AG$150,0,MATCH(AF$2,Inputs!$D$2:$AG$2,0)),Inputs!$B$4:$B$150,$B16)/1000)</f>
        <v/>
      </c>
      <c r="AG16" s="12" t="str">
        <f>IF(AF16="","",AF16)</f>
        <v/>
      </c>
    </row>
    <row r="17">
      <c r="B17" s="9" t="n">
        <v>13</v>
      </c>
      <c r="C17" s="14" t="inlineStr">
        <is>
          <t>Inventories</t>
        </is>
      </c>
      <c r="D17" s="11">
        <f>IF(D$3=0,"",SUMIFS(INDEX(Inputs!$D$4:$AG$150,0,MATCH(D$2,Inputs!$D$2:$AG$2,0)),Inputs!$B$4:$B$150,$B17)/1000)</f>
        <v>0</v>
      </c>
      <c r="E17" s="11">
        <f>IF(E$3=0,"",SUMIFS(INDEX(Inputs!$D$4:$AG$150,0,MATCH(E$2,Inputs!$D$2:$AG$2,0)),Inputs!$B$4:$B$150,$B17)/1000)</f>
        <v>0</v>
      </c>
      <c r="F17" s="11">
        <f>IF(F$3=0,"",SUMIFS(INDEX(Inputs!$D$4:$AG$150,0,MATCH(F$2,Inputs!$D$2:$AG$2,0)),Inputs!$B$4:$B$150,$B17)/1000)</f>
        <v>0</v>
      </c>
      <c r="G17" s="11">
        <f>IF(G$3=0,"",SUMIFS(INDEX(Inputs!$D$4:$AG$150,0,MATCH(G$2,Inputs!$D$2:$AG$2,0)),Inputs!$B$4:$B$150,$B17)/1000)</f>
        <v>0</v>
      </c>
      <c r="H17" s="12">
        <f>IF(G17="","",G17)</f>
        <v>0</v>
      </c>
      <c r="I17" s="11">
        <f>IF(I$3=0,"",SUMIFS(INDEX(Inputs!$D$4:$AG$150,0,MATCH(I$2,Inputs!$D$2:$AG$2,0)),Inputs!$B$4:$B$150,$B17)/1000)</f>
        <v>0</v>
      </c>
      <c r="J17" s="11">
        <f>IF(J$3=0,"",SUMIFS(INDEX(Inputs!$D$4:$AG$150,0,MATCH(J$2,Inputs!$D$2:$AG$2,0)),Inputs!$B$4:$B$150,$B17)/1000)</f>
        <v>0</v>
      </c>
      <c r="K17" s="11">
        <f>IF(K$3=0,"",SUMIFS(INDEX(Inputs!$D$4:$AG$150,0,MATCH(K$2,Inputs!$D$2:$AG$2,0)),Inputs!$B$4:$B$150,$B17)/1000)</f>
        <v>0</v>
      </c>
      <c r="L17" s="11">
        <f>IF(L$3=0,"",SUMIFS(INDEX(Inputs!$D$4:$AG$150,0,MATCH(L$2,Inputs!$D$2:$AG$2,0)),Inputs!$B$4:$B$150,$B17)/1000)</f>
        <v>0</v>
      </c>
      <c r="M17" s="12">
        <f>IF(L17="","",L17)</f>
        <v>0</v>
      </c>
      <c r="N17" s="11">
        <f>IF(N$3=0,"",SUMIFS(INDEX(Inputs!$D$4:$AG$150,0,MATCH(N$2,Inputs!$D$2:$AG$2,0)),Inputs!$B$4:$B$150,$B17)/1000)</f>
        <v>0</v>
      </c>
      <c r="O17" s="11">
        <f>IF(O$3=0,"",SUMIFS(INDEX(Inputs!$D$4:$AG$150,0,MATCH(O$2,Inputs!$D$2:$AG$2,0)),Inputs!$B$4:$B$150,$B17)/1000)</f>
        <v>0</v>
      </c>
      <c r="P17" s="11">
        <f>IF(P$3=0,"",SUMIFS(INDEX(Inputs!$D$4:$AG$150,0,MATCH(P$2,Inputs!$D$2:$AG$2,0)),Inputs!$B$4:$B$150,$B17)/1000)</f>
        <v>0</v>
      </c>
      <c r="Q17" s="11">
        <f>IF(Q$3=0,"",SUMIFS(INDEX(Inputs!$D$4:$AG$150,0,MATCH(Q$2,Inputs!$D$2:$AG$2,0)),Inputs!$B$4:$B$150,$B17)/1000)</f>
        <v>0</v>
      </c>
      <c r="R17" s="12">
        <f>IF(Q17="","",Q17)</f>
        <v>0</v>
      </c>
      <c r="S17" s="11">
        <f>IF(S$3=0,"",SUMIFS(INDEX(Inputs!$D$4:$AG$150,0,MATCH(S$2,Inputs!$D$2:$AG$2,0)),Inputs!$B$4:$B$150,$B17)/1000)</f>
        <v>0</v>
      </c>
      <c r="T17" s="11">
        <f>IF(T$3=0,"",SUMIFS(INDEX(Inputs!$D$4:$AG$150,0,MATCH(T$2,Inputs!$D$2:$AG$2,0)),Inputs!$B$4:$B$150,$B17)/1000)</f>
        <v>0</v>
      </c>
      <c r="U17" s="11">
        <f>IF(U$3=0,"",SUMIFS(INDEX(Inputs!$D$4:$AG$150,0,MATCH(U$2,Inputs!$D$2:$AG$2,0)),Inputs!$B$4:$B$150,$B17)/1000)</f>
        <v>0</v>
      </c>
      <c r="V17" s="11">
        <f>IF(V$3=0,"",SUMIFS(INDEX(Inputs!$D$4:$AG$150,0,MATCH(V$2,Inputs!$D$2:$AG$2,0)),Inputs!$B$4:$B$150,$B17)/1000)</f>
        <v>0</v>
      </c>
      <c r="W17" s="12">
        <f>IF(V17="","",V17)</f>
        <v>0</v>
      </c>
      <c r="X17" s="11">
        <f>IF(X$3=0,"",SUMIFS(INDEX(Inputs!$D$4:$AG$150,0,MATCH(X$2,Inputs!$D$2:$AG$2,0)),Inputs!$B$4:$B$150,$B17)/1000)</f>
        <v>0</v>
      </c>
      <c r="Y17" s="11">
        <f>IF(Y$3=0,"",SUMIFS(INDEX(Inputs!$D$4:$AG$150,0,MATCH(Y$2,Inputs!$D$2:$AG$2,0)),Inputs!$B$4:$B$150,$B17)/1000)</f>
        <v>0</v>
      </c>
      <c r="Z17" s="11">
        <f>IF(Z$3=0,"",SUMIFS(INDEX(Inputs!$D$4:$AG$150,0,MATCH(Z$2,Inputs!$D$2:$AG$2,0)),Inputs!$B$4:$B$150,$B17)/1000)</f>
        <v>0</v>
      </c>
      <c r="AA17" s="11">
        <f>IF(AA$3=0,"",SUMIFS(INDEX(Inputs!$D$4:$AG$150,0,MATCH(AA$2,Inputs!$D$2:$AG$2,0)),Inputs!$B$4:$B$150,$B17)/1000)</f>
        <v>0</v>
      </c>
      <c r="AB17" s="12">
        <f>IF(AA17="","",AA17)</f>
        <v>0</v>
      </c>
      <c r="AC17" s="11">
        <f>IF(AC$3=0,"",SUMIFS(INDEX(Inputs!$D$4:$AG$150,0,MATCH(AC$2,Inputs!$D$2:$AG$2,0)),Inputs!$B$4:$B$150,$B17)/1000)</f>
        <v>0</v>
      </c>
      <c r="AD17" s="11">
        <f>IF(AD$3=0,"",SUMIFS(INDEX(Inputs!$D$4:$AG$150,0,MATCH(AD$2,Inputs!$D$2:$AG$2,0)),Inputs!$B$4:$B$150,$B17)/1000)</f>
        <v>0</v>
      </c>
      <c r="AE17" s="11" t="str">
        <f>IF(AE$3=0,"",SUMIFS(INDEX(Inputs!$D$4:$AG$150,0,MATCH(AE$2,Inputs!$D$2:$AG$2,0)),Inputs!$B$4:$B$150,$B17)/1000)</f>
        <v/>
      </c>
      <c r="AF17" s="11" t="str">
        <f>IF(AF$3=0,"",SUMIFS(INDEX(Inputs!$D$4:$AG$150,0,MATCH(AF$2,Inputs!$D$2:$AG$2,0)),Inputs!$B$4:$B$150,$B17)/1000)</f>
        <v/>
      </c>
      <c r="AG17" s="12" t="str">
        <f>IF(AF17="","",AF17)</f>
        <v/>
      </c>
    </row>
    <row r="18">
      <c r="B18" s="9" t="n">
        <v>14</v>
      </c>
      <c r="C18" s="14" t="inlineStr">
        <is>
          <t>Deferred income taxes</t>
        </is>
      </c>
      <c r="D18" s="11">
        <f>IF(D$3=0,"",SUMIFS(INDEX(Inputs!$D$4:$AG$150,0,MATCH(D$2,Inputs!$D$2:$AG$2,0)),Inputs!$B$4:$B$150,$B18)/1000)</f>
        <v>0</v>
      </c>
      <c r="E18" s="11">
        <f>IF(E$3=0,"",SUMIFS(INDEX(Inputs!$D$4:$AG$150,0,MATCH(E$2,Inputs!$D$2:$AG$2,0)),Inputs!$B$4:$B$150,$B18)/1000)</f>
        <v>0</v>
      </c>
      <c r="F18" s="11">
        <f>IF(F$3=0,"",SUMIFS(INDEX(Inputs!$D$4:$AG$150,0,MATCH(F$2,Inputs!$D$2:$AG$2,0)),Inputs!$B$4:$B$150,$B18)/1000)</f>
        <v>0</v>
      </c>
      <c r="G18" s="11">
        <f>IF(G$3=0,"",SUMIFS(INDEX(Inputs!$D$4:$AG$150,0,MATCH(G$2,Inputs!$D$2:$AG$2,0)),Inputs!$B$4:$B$150,$B18)/1000)</f>
        <v>0</v>
      </c>
      <c r="H18" s="12">
        <f>IF(G18="","",G18)</f>
        <v>0</v>
      </c>
      <c r="I18" s="11">
        <f>IF(I$3=0,"",SUMIFS(INDEX(Inputs!$D$4:$AG$150,0,MATCH(I$2,Inputs!$D$2:$AG$2,0)),Inputs!$B$4:$B$150,$B18)/1000)</f>
        <v>0</v>
      </c>
      <c r="J18" s="11">
        <f>IF(J$3=0,"",SUMIFS(INDEX(Inputs!$D$4:$AG$150,0,MATCH(J$2,Inputs!$D$2:$AG$2,0)),Inputs!$B$4:$B$150,$B18)/1000)</f>
        <v>0</v>
      </c>
      <c r="K18" s="11">
        <f>IF(K$3=0,"",SUMIFS(INDEX(Inputs!$D$4:$AG$150,0,MATCH(K$2,Inputs!$D$2:$AG$2,0)),Inputs!$B$4:$B$150,$B18)/1000)</f>
        <v>0</v>
      </c>
      <c r="L18" s="11">
        <f>IF(L$3=0,"",SUMIFS(INDEX(Inputs!$D$4:$AG$150,0,MATCH(L$2,Inputs!$D$2:$AG$2,0)),Inputs!$B$4:$B$150,$B18)/1000)</f>
        <v>0</v>
      </c>
      <c r="M18" s="12">
        <f>IF(L18="","",L18)</f>
        <v>0</v>
      </c>
      <c r="N18" s="11">
        <f>IF(N$3=0,"",SUMIFS(INDEX(Inputs!$D$4:$AG$150,0,MATCH(N$2,Inputs!$D$2:$AG$2,0)),Inputs!$B$4:$B$150,$B18)/1000)</f>
        <v>0</v>
      </c>
      <c r="O18" s="11">
        <f>IF(O$3=0,"",SUMIFS(INDEX(Inputs!$D$4:$AG$150,0,MATCH(O$2,Inputs!$D$2:$AG$2,0)),Inputs!$B$4:$B$150,$B18)/1000)</f>
        <v>0</v>
      </c>
      <c r="P18" s="11">
        <f>IF(P$3=0,"",SUMIFS(INDEX(Inputs!$D$4:$AG$150,0,MATCH(P$2,Inputs!$D$2:$AG$2,0)),Inputs!$B$4:$B$150,$B18)/1000)</f>
        <v>0</v>
      </c>
      <c r="Q18" s="11">
        <f>IF(Q$3=0,"",SUMIFS(INDEX(Inputs!$D$4:$AG$150,0,MATCH(Q$2,Inputs!$D$2:$AG$2,0)),Inputs!$B$4:$B$150,$B18)/1000)</f>
        <v>0</v>
      </c>
      <c r="R18" s="12">
        <f>IF(Q18="","",Q18)</f>
        <v>0</v>
      </c>
      <c r="S18" s="11">
        <f>IF(S$3=0,"",SUMIFS(INDEX(Inputs!$D$4:$AG$150,0,MATCH(S$2,Inputs!$D$2:$AG$2,0)),Inputs!$B$4:$B$150,$B18)/1000)</f>
        <v>0</v>
      </c>
      <c r="T18" s="11">
        <f>IF(T$3=0,"",SUMIFS(INDEX(Inputs!$D$4:$AG$150,0,MATCH(T$2,Inputs!$D$2:$AG$2,0)),Inputs!$B$4:$B$150,$B18)/1000)</f>
        <v>0</v>
      </c>
      <c r="U18" s="11">
        <f>IF(U$3=0,"",SUMIFS(INDEX(Inputs!$D$4:$AG$150,0,MATCH(U$2,Inputs!$D$2:$AG$2,0)),Inputs!$B$4:$B$150,$B18)/1000)</f>
        <v>0</v>
      </c>
      <c r="V18" s="11">
        <f>IF(V$3=0,"",SUMIFS(INDEX(Inputs!$D$4:$AG$150,0,MATCH(V$2,Inputs!$D$2:$AG$2,0)),Inputs!$B$4:$B$150,$B18)/1000)</f>
        <v>0</v>
      </c>
      <c r="W18" s="12">
        <f>IF(V18="","",V18)</f>
        <v>0</v>
      </c>
      <c r="X18" s="11">
        <f>IF(X$3=0,"",SUMIFS(INDEX(Inputs!$D$4:$AG$150,0,MATCH(X$2,Inputs!$D$2:$AG$2,0)),Inputs!$B$4:$B$150,$B18)/1000)</f>
        <v>0</v>
      </c>
      <c r="Y18" s="11">
        <f>IF(Y$3=0,"",SUMIFS(INDEX(Inputs!$D$4:$AG$150,0,MATCH(Y$2,Inputs!$D$2:$AG$2,0)),Inputs!$B$4:$B$150,$B18)/1000)</f>
        <v>0</v>
      </c>
      <c r="Z18" s="11">
        <f>IF(Z$3=0,"",SUMIFS(INDEX(Inputs!$D$4:$AG$150,0,MATCH(Z$2,Inputs!$D$2:$AG$2,0)),Inputs!$B$4:$B$150,$B18)/1000)</f>
        <v>0</v>
      </c>
      <c r="AA18" s="11">
        <f>IF(AA$3=0,"",SUMIFS(INDEX(Inputs!$D$4:$AG$150,0,MATCH(AA$2,Inputs!$D$2:$AG$2,0)),Inputs!$B$4:$B$150,$B18)/1000)</f>
        <v>0</v>
      </c>
      <c r="AB18" s="12">
        <f>IF(AA18="","",AA18)</f>
        <v>0</v>
      </c>
      <c r="AC18" s="11">
        <f>IF(AC$3=0,"",SUMIFS(INDEX(Inputs!$D$4:$AG$150,0,MATCH(AC$2,Inputs!$D$2:$AG$2,0)),Inputs!$B$4:$B$150,$B18)/1000)</f>
        <v>0</v>
      </c>
      <c r="AD18" s="11">
        <f>IF(AD$3=0,"",SUMIFS(INDEX(Inputs!$D$4:$AG$150,0,MATCH(AD$2,Inputs!$D$2:$AG$2,0)),Inputs!$B$4:$B$150,$B18)/1000)</f>
        <v>0</v>
      </c>
      <c r="AE18" s="11" t="str">
        <f>IF(AE$3=0,"",SUMIFS(INDEX(Inputs!$D$4:$AG$150,0,MATCH(AE$2,Inputs!$D$2:$AG$2,0)),Inputs!$B$4:$B$150,$B18)/1000)</f>
        <v/>
      </c>
      <c r="AF18" s="11" t="str">
        <f>IF(AF$3=0,"",SUMIFS(INDEX(Inputs!$D$4:$AG$150,0,MATCH(AF$2,Inputs!$D$2:$AG$2,0)),Inputs!$B$4:$B$150,$B18)/1000)</f>
        <v/>
      </c>
      <c r="AG18" s="12" t="str">
        <f>IF(AF18="","",AF18)</f>
        <v/>
      </c>
    </row>
    <row r="19">
      <c r="B19" s="9" t="n">
        <v>15</v>
      </c>
      <c r="C19" s="14" t="inlineStr">
        <is>
          <t>Prepaid expenses</t>
        </is>
      </c>
      <c r="D19" s="11">
        <f>IF(D$3=0,"",SUMIFS(INDEX(Inputs!$D$4:$AG$150,0,MATCH(D$2,Inputs!$D$2:$AG$2,0)),Inputs!$B$4:$B$150,$B19)/1000)</f>
        <v>0</v>
      </c>
      <c r="E19" s="11">
        <f>IF(E$3=0,"",SUMIFS(INDEX(Inputs!$D$4:$AG$150,0,MATCH(E$2,Inputs!$D$2:$AG$2,0)),Inputs!$B$4:$B$150,$B19)/1000)</f>
        <v>0</v>
      </c>
      <c r="F19" s="11">
        <f>IF(F$3=0,"",SUMIFS(INDEX(Inputs!$D$4:$AG$150,0,MATCH(F$2,Inputs!$D$2:$AG$2,0)),Inputs!$B$4:$B$150,$B19)/1000)</f>
        <v>0</v>
      </c>
      <c r="G19" s="11">
        <f>IF(G$3=0,"",SUMIFS(INDEX(Inputs!$D$4:$AG$150,0,MATCH(G$2,Inputs!$D$2:$AG$2,0)),Inputs!$B$4:$B$150,$B19)/1000)</f>
        <v>0</v>
      </c>
      <c r="H19" s="12">
        <f>IF(G19="","",G19)</f>
        <v>0</v>
      </c>
      <c r="I19" s="11">
        <f>IF(I$3=0,"",SUMIFS(INDEX(Inputs!$D$4:$AG$150,0,MATCH(I$2,Inputs!$D$2:$AG$2,0)),Inputs!$B$4:$B$150,$B19)/1000)</f>
        <v>0</v>
      </c>
      <c r="J19" s="11">
        <f>IF(J$3=0,"",SUMIFS(INDEX(Inputs!$D$4:$AG$150,0,MATCH(J$2,Inputs!$D$2:$AG$2,0)),Inputs!$B$4:$B$150,$B19)/1000)</f>
        <v>0</v>
      </c>
      <c r="K19" s="11">
        <f>IF(K$3=0,"",SUMIFS(INDEX(Inputs!$D$4:$AG$150,0,MATCH(K$2,Inputs!$D$2:$AG$2,0)),Inputs!$B$4:$B$150,$B19)/1000)</f>
        <v>0</v>
      </c>
      <c r="L19" s="11">
        <f>IF(L$3=0,"",SUMIFS(INDEX(Inputs!$D$4:$AG$150,0,MATCH(L$2,Inputs!$D$2:$AG$2,0)),Inputs!$B$4:$B$150,$B19)/1000)</f>
        <v>0</v>
      </c>
      <c r="M19" s="12">
        <f>IF(L19="","",L19)</f>
        <v>0</v>
      </c>
      <c r="N19" s="11">
        <f>IF(N$3=0,"",SUMIFS(INDEX(Inputs!$D$4:$AG$150,0,MATCH(N$2,Inputs!$D$2:$AG$2,0)),Inputs!$B$4:$B$150,$B19)/1000)</f>
        <v>0</v>
      </c>
      <c r="O19" s="11">
        <f>IF(O$3=0,"",SUMIFS(INDEX(Inputs!$D$4:$AG$150,0,MATCH(O$2,Inputs!$D$2:$AG$2,0)),Inputs!$B$4:$B$150,$B19)/1000)</f>
        <v>0</v>
      </c>
      <c r="P19" s="11">
        <f>IF(P$3=0,"",SUMIFS(INDEX(Inputs!$D$4:$AG$150,0,MATCH(P$2,Inputs!$D$2:$AG$2,0)),Inputs!$B$4:$B$150,$B19)/1000)</f>
        <v>0</v>
      </c>
      <c r="Q19" s="11">
        <f>IF(Q$3=0,"",SUMIFS(INDEX(Inputs!$D$4:$AG$150,0,MATCH(Q$2,Inputs!$D$2:$AG$2,0)),Inputs!$B$4:$B$150,$B19)/1000)</f>
        <v>0</v>
      </c>
      <c r="R19" s="12">
        <f>IF(Q19="","",Q19)</f>
        <v>0</v>
      </c>
      <c r="S19" s="11">
        <f>IF(S$3=0,"",SUMIFS(INDEX(Inputs!$D$4:$AG$150,0,MATCH(S$2,Inputs!$D$2:$AG$2,0)),Inputs!$B$4:$B$150,$B19)/1000)</f>
        <v>0</v>
      </c>
      <c r="T19" s="11">
        <f>IF(T$3=0,"",SUMIFS(INDEX(Inputs!$D$4:$AG$150,0,MATCH(T$2,Inputs!$D$2:$AG$2,0)),Inputs!$B$4:$B$150,$B19)/1000)</f>
        <v>0</v>
      </c>
      <c r="U19" s="11">
        <f>IF(U$3=0,"",SUMIFS(INDEX(Inputs!$D$4:$AG$150,0,MATCH(U$2,Inputs!$D$2:$AG$2,0)),Inputs!$B$4:$B$150,$B19)/1000)</f>
        <v>0</v>
      </c>
      <c r="V19" s="11">
        <f>IF(V$3=0,"",SUMIFS(INDEX(Inputs!$D$4:$AG$150,0,MATCH(V$2,Inputs!$D$2:$AG$2,0)),Inputs!$B$4:$B$150,$B19)/1000)</f>
        <v>0</v>
      </c>
      <c r="W19" s="12">
        <f>IF(V19="","",V19)</f>
        <v>0</v>
      </c>
      <c r="X19" s="11">
        <f>IF(X$3=0,"",SUMIFS(INDEX(Inputs!$D$4:$AG$150,0,MATCH(X$2,Inputs!$D$2:$AG$2,0)),Inputs!$B$4:$B$150,$B19)/1000)</f>
        <v>0</v>
      </c>
      <c r="Y19" s="11">
        <f>IF(Y$3=0,"",SUMIFS(INDEX(Inputs!$D$4:$AG$150,0,MATCH(Y$2,Inputs!$D$2:$AG$2,0)),Inputs!$B$4:$B$150,$B19)/1000)</f>
        <v>0</v>
      </c>
      <c r="Z19" s="11">
        <f>IF(Z$3=0,"",SUMIFS(INDEX(Inputs!$D$4:$AG$150,0,MATCH(Z$2,Inputs!$D$2:$AG$2,0)),Inputs!$B$4:$B$150,$B19)/1000)</f>
        <v>0</v>
      </c>
      <c r="AA19" s="11">
        <f>IF(AA$3=0,"",SUMIFS(INDEX(Inputs!$D$4:$AG$150,0,MATCH(AA$2,Inputs!$D$2:$AG$2,0)),Inputs!$B$4:$B$150,$B19)/1000)</f>
        <v>0</v>
      </c>
      <c r="AB19" s="12">
        <f>IF(AA19="","",AA19)</f>
        <v>0</v>
      </c>
      <c r="AC19" s="11">
        <f>IF(AC$3=0,"",SUMIFS(INDEX(Inputs!$D$4:$AG$150,0,MATCH(AC$2,Inputs!$D$2:$AG$2,0)),Inputs!$B$4:$B$150,$B19)/1000)</f>
        <v>0</v>
      </c>
      <c r="AD19" s="11">
        <f>IF(AD$3=0,"",SUMIFS(INDEX(Inputs!$D$4:$AG$150,0,MATCH(AD$2,Inputs!$D$2:$AG$2,0)),Inputs!$B$4:$B$150,$B19)/1000)</f>
        <v>0</v>
      </c>
      <c r="AE19" s="11" t="str">
        <f>IF(AE$3=0,"",SUMIFS(INDEX(Inputs!$D$4:$AG$150,0,MATCH(AE$2,Inputs!$D$2:$AG$2,0)),Inputs!$B$4:$B$150,$B19)/1000)</f>
        <v/>
      </c>
      <c r="AF19" s="11" t="str">
        <f>IF(AF$3=0,"",SUMIFS(INDEX(Inputs!$D$4:$AG$150,0,MATCH(AF$2,Inputs!$D$2:$AG$2,0)),Inputs!$B$4:$B$150,$B19)/1000)</f>
        <v/>
      </c>
      <c r="AG19" s="12" t="str">
        <f>IF(AF19="","",AF19)</f>
        <v/>
      </c>
    </row>
    <row r="20">
      <c r="B20" s="9" t="n">
        <v>16</v>
      </c>
      <c r="C20" s="14" t="inlineStr">
        <is>
          <t>Other current assets</t>
        </is>
      </c>
      <c r="D20" s="11">
        <f>IF(D$3=0,"",SUMIFS(INDEX(Inputs!$D$4:$AG$150,0,MATCH(D$2,Inputs!$D$2:$AG$2,0)),Inputs!$B$4:$B$150,$B20)/1000)</f>
        <v>19925</v>
      </c>
      <c r="E20" s="11">
        <f>IF(E$3=0,"",SUMIFS(INDEX(Inputs!$D$4:$AG$150,0,MATCH(E$2,Inputs!$D$2:$AG$2,0)),Inputs!$B$4:$B$150,$B20)/1000)</f>
        <v>20837</v>
      </c>
      <c r="F20" s="11">
        <f>IF(F$3=0,"",SUMIFS(INDEX(Inputs!$D$4:$AG$150,0,MATCH(F$2,Inputs!$D$2:$AG$2,0)),Inputs!$B$4:$B$150,$B20)/1000)</f>
        <v>21271</v>
      </c>
      <c r="G20" s="11">
        <f>IF(G$3=0,"",SUMIFS(INDEX(Inputs!$D$4:$AG$150,0,MATCH(G$2,Inputs!$D$2:$AG$2,0)),Inputs!$B$4:$B$150,$B20)/1000)</f>
        <v>19969</v>
      </c>
      <c r="H20" s="12">
        <f>IF(G20="","",G20)</f>
        <v>19969</v>
      </c>
      <c r="I20" s="11">
        <f>IF(I$3=0,"",SUMIFS(INDEX(Inputs!$D$4:$AG$150,0,MATCH(I$2,Inputs!$D$2:$AG$2,0)),Inputs!$B$4:$B$150,$B20)/1000)</f>
        <v>24039</v>
      </c>
      <c r="J20" s="11">
        <f>IF(J$3=0,"",SUMIFS(INDEX(Inputs!$D$4:$AG$150,0,MATCH(J$2,Inputs!$D$2:$AG$2,0)),Inputs!$B$4:$B$150,$B20)/1000)</f>
        <v>26239</v>
      </c>
      <c r="K20" s="11">
        <f>IF(K$3=0,"",SUMIFS(INDEX(Inputs!$D$4:$AG$150,0,MATCH(K$2,Inputs!$D$2:$AG$2,0)),Inputs!$B$4:$B$150,$B20)/1000)</f>
        <v>26471</v>
      </c>
      <c r="L20" s="11">
        <f>IF(L$3=0,"",SUMIFS(INDEX(Inputs!$D$4:$AG$150,0,MATCH(L$2,Inputs!$D$2:$AG$2,0)),Inputs!$B$4:$B$150,$B20)/1000)</f>
        <v>26242</v>
      </c>
      <c r="M20" s="12">
        <f>IF(L20="","",L20)</f>
        <v>26242</v>
      </c>
      <c r="N20" s="11">
        <f>IF(N$3=0,"",SUMIFS(INDEX(Inputs!$D$4:$AG$150,0,MATCH(N$2,Inputs!$D$2:$AG$2,0)),Inputs!$B$4:$B$150,$B20)/1000)</f>
        <v>25765</v>
      </c>
      <c r="O20" s="11">
        <f>IF(O$3=0,"",SUMIFS(INDEX(Inputs!$D$4:$AG$150,0,MATCH(O$2,Inputs!$D$2:$AG$2,0)),Inputs!$B$4:$B$150,$B20)/1000)</f>
        <v>26317</v>
      </c>
      <c r="P20" s="11">
        <f>IF(P$3=0,"",SUMIFS(INDEX(Inputs!$D$4:$AG$150,0,MATCH(P$2,Inputs!$D$2:$AG$2,0)),Inputs!$B$4:$B$150,$B20)/1000)</f>
        <v>26384</v>
      </c>
      <c r="Q20" s="11">
        <f>IF(Q$3=0,"",SUMIFS(INDEX(Inputs!$D$4:$AG$150,0,MATCH(Q$2,Inputs!$D$2:$AG$2,0)),Inputs!$B$4:$B$150,$B20)/1000)</f>
        <v>27055</v>
      </c>
      <c r="R20" s="12">
        <f>IF(Q20="","",Q20)</f>
        <v>27055</v>
      </c>
      <c r="S20" s="11">
        <f>IF(S$3=0,"",SUMIFS(INDEX(Inputs!$D$4:$AG$150,0,MATCH(S$2,Inputs!$D$2:$AG$2,0)),Inputs!$B$4:$B$150,$B20)/1000)</f>
        <v>25691</v>
      </c>
      <c r="T20" s="11">
        <f>IF(T$3=0,"",SUMIFS(INDEX(Inputs!$D$4:$AG$150,0,MATCH(T$2,Inputs!$D$2:$AG$2,0)),Inputs!$B$4:$B$150,$B20)/1000)</f>
        <v>26707</v>
      </c>
      <c r="U20" s="11">
        <f>IF(U$3=0,"",SUMIFS(INDEX(Inputs!$D$4:$AG$150,0,MATCH(U$2,Inputs!$D$2:$AG$2,0)),Inputs!$B$4:$B$150,$B20)/1000)</f>
        <v>25918</v>
      </c>
      <c r="V20" s="11">
        <f>IF(V$3=0,"",SUMIFS(INDEX(Inputs!$D$4:$AG$150,0,MATCH(V$2,Inputs!$D$2:$AG$2,0)),Inputs!$B$4:$B$150,$B20)/1000)</f>
        <v>25280</v>
      </c>
      <c r="W20" s="12">
        <f>IF(V20="","",V20)</f>
        <v>25280</v>
      </c>
      <c r="X20" s="11">
        <f>IF(X$3=0,"",SUMIFS(INDEX(Inputs!$D$4:$AG$150,0,MATCH(X$2,Inputs!$D$2:$AG$2,0)),Inputs!$B$4:$B$150,$B20)/1000)</f>
        <v>27894</v>
      </c>
      <c r="Y20" s="11">
        <f>IF(Y$3=0,"",SUMIFS(INDEX(Inputs!$D$4:$AG$150,0,MATCH(Y$2,Inputs!$D$2:$AG$2,0)),Inputs!$B$4:$B$150,$B20)/1000)</f>
        <v>28964</v>
      </c>
      <c r="Z20" s="11">
        <f>IF(Z$3=0,"",SUMIFS(INDEX(Inputs!$D$4:$AG$150,0,MATCH(Z$2,Inputs!$D$2:$AG$2,0)),Inputs!$B$4:$B$150,$B20)/1000)</f>
        <v>29406</v>
      </c>
      <c r="AA20" s="11">
        <f>IF(AA$3=0,"",SUMIFS(INDEX(Inputs!$D$4:$AG$150,0,MATCH(AA$2,Inputs!$D$2:$AG$2,0)),Inputs!$B$4:$B$150,$B20)/1000)</f>
        <v>28139</v>
      </c>
      <c r="AB20" s="12">
        <f>IF(AA20="","",AA20)</f>
        <v>28139</v>
      </c>
      <c r="AC20" s="11">
        <f>IF(AC$3=0,"",SUMIFS(INDEX(Inputs!$D$4:$AG$150,0,MATCH(AC$2,Inputs!$D$2:$AG$2,0)),Inputs!$B$4:$B$150,$B20)/1000)</f>
        <v>27569</v>
      </c>
      <c r="AD20" s="11">
        <f>IF(AD$3=0,"",SUMIFS(INDEX(Inputs!$D$4:$AG$150,0,MATCH(AD$2,Inputs!$D$2:$AG$2,0)),Inputs!$B$4:$B$150,$B20)/1000)</f>
        <v>29647</v>
      </c>
      <c r="AE20" s="11" t="str">
        <f>IF(AE$3=0,"",SUMIFS(INDEX(Inputs!$D$4:$AG$150,0,MATCH(AE$2,Inputs!$D$2:$AG$2,0)),Inputs!$B$4:$B$150,$B20)/1000)</f>
        <v/>
      </c>
      <c r="AF20" s="11" t="str">
        <f>IF(AF$3=0,"",SUMIFS(INDEX(Inputs!$D$4:$AG$150,0,MATCH(AF$2,Inputs!$D$2:$AG$2,0)),Inputs!$B$4:$B$150,$B20)/1000)</f>
        <v/>
      </c>
      <c r="AG20" s="12" t="str">
        <f>IF(AF20="","",AF20)</f>
        <v/>
      </c>
    </row>
    <row r="21">
      <c r="B21" s="9" t="n">
        <v>17</v>
      </c>
      <c r="C21" s="14" t="inlineStr">
        <is>
          <t>Equity in affiliates</t>
        </is>
      </c>
      <c r="D21" s="11">
        <f>IF(D$3=0,"",SUMIFS(INDEX(Inputs!$D$4:$AG$150,0,MATCH(D$2,Inputs!$D$2:$AG$2,0)),Inputs!$B$4:$B$150,$B21)/1000)</f>
        <v>0</v>
      </c>
      <c r="E21" s="11">
        <f>IF(E$3=0,"",SUMIFS(INDEX(Inputs!$D$4:$AG$150,0,MATCH(E$2,Inputs!$D$2:$AG$2,0)),Inputs!$B$4:$B$150,$B21)/1000)</f>
        <v>0</v>
      </c>
      <c r="F21" s="11">
        <f>IF(F$3=0,"",SUMIFS(INDEX(Inputs!$D$4:$AG$150,0,MATCH(F$2,Inputs!$D$2:$AG$2,0)),Inputs!$B$4:$B$150,$B21)/1000)</f>
        <v>0</v>
      </c>
      <c r="G21" s="11">
        <f>IF(G$3=0,"",SUMIFS(INDEX(Inputs!$D$4:$AG$150,0,MATCH(G$2,Inputs!$D$2:$AG$2,0)),Inputs!$B$4:$B$150,$B21)/1000)</f>
        <v>0</v>
      </c>
      <c r="H21" s="12">
        <f>IF(G21="","",G21)</f>
        <v>0</v>
      </c>
      <c r="I21" s="11">
        <f>IF(I$3=0,"",SUMIFS(INDEX(Inputs!$D$4:$AG$150,0,MATCH(I$2,Inputs!$D$2:$AG$2,0)),Inputs!$B$4:$B$150,$B21)/1000)</f>
        <v>0</v>
      </c>
      <c r="J21" s="11">
        <f>IF(J$3=0,"",SUMIFS(INDEX(Inputs!$D$4:$AG$150,0,MATCH(J$2,Inputs!$D$2:$AG$2,0)),Inputs!$B$4:$B$150,$B21)/1000)</f>
        <v>0</v>
      </c>
      <c r="K21" s="11">
        <f>IF(K$3=0,"",SUMIFS(INDEX(Inputs!$D$4:$AG$150,0,MATCH(K$2,Inputs!$D$2:$AG$2,0)),Inputs!$B$4:$B$150,$B21)/1000)</f>
        <v>0</v>
      </c>
      <c r="L21" s="11">
        <f>IF(L$3=0,"",SUMIFS(INDEX(Inputs!$D$4:$AG$150,0,MATCH(L$2,Inputs!$D$2:$AG$2,0)),Inputs!$B$4:$B$150,$B21)/1000)</f>
        <v>0</v>
      </c>
      <c r="M21" s="12">
        <f>IF(L21="","",L21)</f>
        <v>0</v>
      </c>
      <c r="N21" s="11">
        <f>IF(N$3=0,"",SUMIFS(INDEX(Inputs!$D$4:$AG$150,0,MATCH(N$2,Inputs!$D$2:$AG$2,0)),Inputs!$B$4:$B$150,$B21)/1000)</f>
        <v>0</v>
      </c>
      <c r="O21" s="11">
        <f>IF(O$3=0,"",SUMIFS(INDEX(Inputs!$D$4:$AG$150,0,MATCH(O$2,Inputs!$D$2:$AG$2,0)),Inputs!$B$4:$B$150,$B21)/1000)</f>
        <v>0</v>
      </c>
      <c r="P21" s="11">
        <f>IF(P$3=0,"",SUMIFS(INDEX(Inputs!$D$4:$AG$150,0,MATCH(P$2,Inputs!$D$2:$AG$2,0)),Inputs!$B$4:$B$150,$B21)/1000)</f>
        <v>0</v>
      </c>
      <c r="Q21" s="11">
        <f>IF(Q$3=0,"",SUMIFS(INDEX(Inputs!$D$4:$AG$150,0,MATCH(Q$2,Inputs!$D$2:$AG$2,0)),Inputs!$B$4:$B$150,$B21)/1000)</f>
        <v>0</v>
      </c>
      <c r="R21" s="12">
        <f>IF(Q21="","",Q21)</f>
        <v>0</v>
      </c>
      <c r="S21" s="11">
        <f>IF(S$3=0,"",SUMIFS(INDEX(Inputs!$D$4:$AG$150,0,MATCH(S$2,Inputs!$D$2:$AG$2,0)),Inputs!$B$4:$B$150,$B21)/1000)</f>
        <v>0</v>
      </c>
      <c r="T21" s="11">
        <f>IF(T$3=0,"",SUMIFS(INDEX(Inputs!$D$4:$AG$150,0,MATCH(T$2,Inputs!$D$2:$AG$2,0)),Inputs!$B$4:$B$150,$B21)/1000)</f>
        <v>0</v>
      </c>
      <c r="U21" s="11">
        <f>IF(U$3=0,"",SUMIFS(INDEX(Inputs!$D$4:$AG$150,0,MATCH(U$2,Inputs!$D$2:$AG$2,0)),Inputs!$B$4:$B$150,$B21)/1000)</f>
        <v>0</v>
      </c>
      <c r="V21" s="11">
        <f>IF(V$3=0,"",SUMIFS(INDEX(Inputs!$D$4:$AG$150,0,MATCH(V$2,Inputs!$D$2:$AG$2,0)),Inputs!$B$4:$B$150,$B21)/1000)</f>
        <v>0</v>
      </c>
      <c r="W21" s="12">
        <f>IF(V21="","",V21)</f>
        <v>0</v>
      </c>
      <c r="X21" s="11">
        <f>IF(X$3=0,"",SUMIFS(INDEX(Inputs!$D$4:$AG$150,0,MATCH(X$2,Inputs!$D$2:$AG$2,0)),Inputs!$B$4:$B$150,$B21)/1000)</f>
        <v>0</v>
      </c>
      <c r="Y21" s="11">
        <f>IF(Y$3=0,"",SUMIFS(INDEX(Inputs!$D$4:$AG$150,0,MATCH(Y$2,Inputs!$D$2:$AG$2,0)),Inputs!$B$4:$B$150,$B21)/1000)</f>
        <v>0</v>
      </c>
      <c r="Z21" s="11">
        <f>IF(Z$3=0,"",SUMIFS(INDEX(Inputs!$D$4:$AG$150,0,MATCH(Z$2,Inputs!$D$2:$AG$2,0)),Inputs!$B$4:$B$150,$B21)/1000)</f>
        <v>0</v>
      </c>
      <c r="AA21" s="11">
        <f>IF(AA$3=0,"",SUMIFS(INDEX(Inputs!$D$4:$AG$150,0,MATCH(AA$2,Inputs!$D$2:$AG$2,0)),Inputs!$B$4:$B$150,$B21)/1000)</f>
        <v>0</v>
      </c>
      <c r="AB21" s="12">
        <f>IF(AA21="","",AA21)</f>
        <v>0</v>
      </c>
      <c r="AC21" s="11">
        <f>IF(AC$3=0,"",SUMIFS(INDEX(Inputs!$D$4:$AG$150,0,MATCH(AC$2,Inputs!$D$2:$AG$2,0)),Inputs!$B$4:$B$150,$B21)/1000)</f>
        <v>0</v>
      </c>
      <c r="AD21" s="11">
        <f>IF(AD$3=0,"",SUMIFS(INDEX(Inputs!$D$4:$AG$150,0,MATCH(AD$2,Inputs!$D$2:$AG$2,0)),Inputs!$B$4:$B$150,$B21)/1000)</f>
        <v>0</v>
      </c>
      <c r="AE21" s="11" t="str">
        <f>IF(AE$3=0,"",SUMIFS(INDEX(Inputs!$D$4:$AG$150,0,MATCH(AE$2,Inputs!$D$2:$AG$2,0)),Inputs!$B$4:$B$150,$B21)/1000)</f>
        <v/>
      </c>
      <c r="AF21" s="11" t="str">
        <f>IF(AF$3=0,"",SUMIFS(INDEX(Inputs!$D$4:$AG$150,0,MATCH(AF$2,Inputs!$D$2:$AG$2,0)),Inputs!$B$4:$B$150,$B21)/1000)</f>
        <v/>
      </c>
      <c r="AG21" s="12" t="str">
        <f>IF(AF21="","",AF21)</f>
        <v/>
      </c>
    </row>
    <row r="22">
      <c r="B22" s="9" t="n">
        <v>18</v>
      </c>
      <c r="C22" s="14" t="inlineStr">
        <is>
          <t>PP&amp;E</t>
        </is>
      </c>
      <c r="D22" s="11">
        <f>IF(D$3=0,"",SUMIFS(INDEX(Inputs!$D$4:$AG$150,0,MATCH(D$2,Inputs!$D$2:$AG$2,0)),Inputs!$B$4:$B$150,$B22)/1000)</f>
        <v>224641</v>
      </c>
      <c r="E22" s="11">
        <f>IF(E$3=0,"",SUMIFS(INDEX(Inputs!$D$4:$AG$150,0,MATCH(E$2,Inputs!$D$2:$AG$2,0)),Inputs!$B$4:$B$150,$B22)/1000)</f>
        <v>223012</v>
      </c>
      <c r="F22" s="11">
        <f>IF(F$3=0,"",SUMIFS(INDEX(Inputs!$D$4:$AG$150,0,MATCH(F$2,Inputs!$D$2:$AG$2,0)),Inputs!$B$4:$B$150,$B22)/1000)</f>
        <v>218795</v>
      </c>
      <c r="G22" s="11">
        <f>IF(G$3=0,"",SUMIFS(INDEX(Inputs!$D$4:$AG$150,0,MATCH(G$2,Inputs!$D$2:$AG$2,0)),Inputs!$B$4:$B$150,$B22)/1000)</f>
        <v>216552</v>
      </c>
      <c r="H22" s="12">
        <f>IF(G22="","",G22)</f>
        <v>216552</v>
      </c>
      <c r="I22" s="11">
        <f>IF(I$3=0,"",SUMIFS(INDEX(Inputs!$D$4:$AG$150,0,MATCH(I$2,Inputs!$D$2:$AG$2,0)),Inputs!$B$4:$B$150,$B22)/1000)</f>
        <v>212773</v>
      </c>
      <c r="J22" s="11">
        <f>IF(J$3=0,"",SUMIFS(INDEX(Inputs!$D$4:$AG$150,0,MATCH(J$2,Inputs!$D$2:$AG$2,0)),Inputs!$B$4:$B$150,$B22)/1000)</f>
        <v>209159</v>
      </c>
      <c r="K22" s="11">
        <f>IF(K$3=0,"",SUMIFS(INDEX(Inputs!$D$4:$AG$150,0,MATCH(K$2,Inputs!$D$2:$AG$2,0)),Inputs!$B$4:$B$150,$B22)/1000)</f>
        <v>203102</v>
      </c>
      <c r="L22" s="11">
        <f>IF(L$3=0,"",SUMIFS(INDEX(Inputs!$D$4:$AG$150,0,MATCH(L$2,Inputs!$D$2:$AG$2,0)),Inputs!$B$4:$B$150,$B22)/1000)</f>
        <v>204692</v>
      </c>
      <c r="M22" s="12">
        <f>IF(L22="","",L22)</f>
        <v>204692</v>
      </c>
      <c r="N22" s="11">
        <f>IF(N$3=0,"",SUMIFS(INDEX(Inputs!$D$4:$AG$150,0,MATCH(N$2,Inputs!$D$2:$AG$2,0)),Inputs!$B$4:$B$150,$B22)/1000)</f>
        <v>206023</v>
      </c>
      <c r="O22" s="11">
        <f>IF(O$3=0,"",SUMIFS(INDEX(Inputs!$D$4:$AG$150,0,MATCH(O$2,Inputs!$D$2:$AG$2,0)),Inputs!$B$4:$B$150,$B22)/1000)</f>
        <v>206736</v>
      </c>
      <c r="P22" s="11">
        <f>IF(P$3=0,"",SUMIFS(INDEX(Inputs!$D$4:$AG$150,0,MATCH(P$2,Inputs!$D$2:$AG$2,0)),Inputs!$B$4:$B$150,$B22)/1000)</f>
        <v>205862</v>
      </c>
      <c r="Q22" s="11">
        <f>IF(Q$3=0,"",SUMIFS(INDEX(Inputs!$D$4:$AG$150,0,MATCH(Q$2,Inputs!$D$2:$AG$2,0)),Inputs!$B$4:$B$150,$B22)/1000)</f>
        <v>214940</v>
      </c>
      <c r="R22" s="12">
        <f>IF(Q22="","",Q22)</f>
        <v>214940</v>
      </c>
      <c r="S22" s="11">
        <f>IF(S$3=0,"",SUMIFS(INDEX(Inputs!$D$4:$AG$150,0,MATCH(S$2,Inputs!$D$2:$AG$2,0)),Inputs!$B$4:$B$150,$B22)/1000)</f>
        <v>213723</v>
      </c>
      <c r="T22" s="11">
        <f>IF(T$3=0,"",SUMIFS(INDEX(Inputs!$D$4:$AG$150,0,MATCH(T$2,Inputs!$D$2:$AG$2,0)),Inputs!$B$4:$B$150,$B22)/1000)</f>
        <v>298283</v>
      </c>
      <c r="U22" s="11">
        <f>IF(U$3=0,"",SUMIFS(INDEX(Inputs!$D$4:$AG$150,0,MATCH(U$2,Inputs!$D$2:$AG$2,0)),Inputs!$B$4:$B$150,$B22)/1000)</f>
        <v>299543</v>
      </c>
      <c r="V22" s="11">
        <f>IF(V$3=0,"",SUMIFS(INDEX(Inputs!$D$4:$AG$150,0,MATCH(V$2,Inputs!$D$2:$AG$2,0)),Inputs!$B$4:$B$150,$B22)/1000)</f>
        <v>294318</v>
      </c>
      <c r="W22" s="12">
        <f>IF(V22="","",V22)</f>
        <v>294318</v>
      </c>
      <c r="X22" s="11">
        <f>IF(X$3=0,"",SUMIFS(INDEX(Inputs!$D$4:$AG$150,0,MATCH(X$2,Inputs!$D$2:$AG$2,0)),Inputs!$B$4:$B$150,$B22)/1000)</f>
        <v>292646</v>
      </c>
      <c r="Y22" s="11">
        <f>IF(Y$3=0,"",SUMIFS(INDEX(Inputs!$D$4:$AG$150,0,MATCH(Y$2,Inputs!$D$2:$AG$2,0)),Inputs!$B$4:$B$150,$B22)/1000)</f>
        <v>295356</v>
      </c>
      <c r="Z22" s="11">
        <f>IF(Z$3=0,"",SUMIFS(INDEX(Inputs!$D$4:$AG$150,0,MATCH(Z$2,Inputs!$D$2:$AG$2,0)),Inputs!$B$4:$B$150,$B22)/1000)</f>
        <v>298388</v>
      </c>
      <c r="AA22" s="11">
        <f>IF(AA$3=0,"",SUMIFS(INDEX(Inputs!$D$4:$AG$150,0,MATCH(AA$2,Inputs!$D$2:$AG$2,0)),Inputs!$B$4:$B$150,$B22)/1000)</f>
        <v>299373</v>
      </c>
      <c r="AB22" s="12">
        <f>IF(AA22="","",AA22)</f>
        <v>299373</v>
      </c>
      <c r="AC22" s="11">
        <f>IF(AC$3=0,"",SUMIFS(INDEX(Inputs!$D$4:$AG$150,0,MATCH(AC$2,Inputs!$D$2:$AG$2,0)),Inputs!$B$4:$B$150,$B22)/1000)</f>
        <v>298781</v>
      </c>
      <c r="AD22" s="11">
        <f>IF(AD$3=0,"",SUMIFS(INDEX(Inputs!$D$4:$AG$150,0,MATCH(AD$2,Inputs!$D$2:$AG$2,0)),Inputs!$B$4:$B$150,$B22)/1000)</f>
        <v>296298</v>
      </c>
      <c r="AE22" s="11" t="str">
        <f>IF(AE$3=0,"",SUMIFS(INDEX(Inputs!$D$4:$AG$150,0,MATCH(AE$2,Inputs!$D$2:$AG$2,0)),Inputs!$B$4:$B$150,$B22)/1000)</f>
        <v/>
      </c>
      <c r="AF22" s="11" t="str">
        <f>IF(AF$3=0,"",SUMIFS(INDEX(Inputs!$D$4:$AG$150,0,MATCH(AF$2,Inputs!$D$2:$AG$2,0)),Inputs!$B$4:$B$150,$B22)/1000)</f>
        <v/>
      </c>
      <c r="AG22" s="12" t="str">
        <f>IF(AF22="","",AF22)</f>
        <v/>
      </c>
    </row>
    <row r="23">
      <c r="B23" s="9" t="n">
        <v>19</v>
      </c>
      <c r="C23" s="14" t="inlineStr">
        <is>
          <t>Right-of-use-assets</t>
        </is>
      </c>
      <c r="D23" s="11">
        <f>IF(D$3=0,"",SUMIFS(INDEX(Inputs!$D$4:$AG$150,0,MATCH(D$2,Inputs!$D$2:$AG$2,0)),Inputs!$B$4:$B$150,$B23)/1000)</f>
        <v>0</v>
      </c>
      <c r="E23" s="11">
        <f>IF(E$3=0,"",SUMIFS(INDEX(Inputs!$D$4:$AG$150,0,MATCH(E$2,Inputs!$D$2:$AG$2,0)),Inputs!$B$4:$B$150,$B23)/1000)</f>
        <v>0</v>
      </c>
      <c r="F23" s="11">
        <f>IF(F$3=0,"",SUMIFS(INDEX(Inputs!$D$4:$AG$150,0,MATCH(F$2,Inputs!$D$2:$AG$2,0)),Inputs!$B$4:$B$150,$B23)/1000)</f>
        <v>0</v>
      </c>
      <c r="G23" s="11">
        <f>IF(G$3=0,"",SUMIFS(INDEX(Inputs!$D$4:$AG$150,0,MATCH(G$2,Inputs!$D$2:$AG$2,0)),Inputs!$B$4:$B$150,$B23)/1000)</f>
        <v>0</v>
      </c>
      <c r="H23" s="12">
        <f>IF(G23="","",G23)</f>
        <v>0</v>
      </c>
      <c r="I23" s="11">
        <f>IF(I$3=0,"",SUMIFS(INDEX(Inputs!$D$4:$AG$150,0,MATCH(I$2,Inputs!$D$2:$AG$2,0)),Inputs!$B$4:$B$150,$B23)/1000)</f>
        <v>0</v>
      </c>
      <c r="J23" s="11">
        <f>IF(J$3=0,"",SUMIFS(INDEX(Inputs!$D$4:$AG$150,0,MATCH(J$2,Inputs!$D$2:$AG$2,0)),Inputs!$B$4:$B$150,$B23)/1000)</f>
        <v>0</v>
      </c>
      <c r="K23" s="11">
        <f>IF(K$3=0,"",SUMIFS(INDEX(Inputs!$D$4:$AG$150,0,MATCH(K$2,Inputs!$D$2:$AG$2,0)),Inputs!$B$4:$B$150,$B23)/1000)</f>
        <v>0</v>
      </c>
      <c r="L23" s="11">
        <f>IF(L$3=0,"",SUMIFS(INDEX(Inputs!$D$4:$AG$150,0,MATCH(L$2,Inputs!$D$2:$AG$2,0)),Inputs!$B$4:$B$150,$B23)/1000)</f>
        <v>0</v>
      </c>
      <c r="M23" s="12">
        <f>IF(L23="","",L23)</f>
        <v>0</v>
      </c>
      <c r="N23" s="11">
        <f>IF(N$3=0,"",SUMIFS(INDEX(Inputs!$D$4:$AG$150,0,MATCH(N$2,Inputs!$D$2:$AG$2,0)),Inputs!$B$4:$B$150,$B23)/1000)</f>
        <v>0</v>
      </c>
      <c r="O23" s="11">
        <f>IF(O$3=0,"",SUMIFS(INDEX(Inputs!$D$4:$AG$150,0,MATCH(O$2,Inputs!$D$2:$AG$2,0)),Inputs!$B$4:$B$150,$B23)/1000)</f>
        <v>0</v>
      </c>
      <c r="P23" s="11">
        <f>IF(P$3=0,"",SUMIFS(INDEX(Inputs!$D$4:$AG$150,0,MATCH(P$2,Inputs!$D$2:$AG$2,0)),Inputs!$B$4:$B$150,$B23)/1000)</f>
        <v>0</v>
      </c>
      <c r="Q23" s="11">
        <f>IF(Q$3=0,"",SUMIFS(INDEX(Inputs!$D$4:$AG$150,0,MATCH(Q$2,Inputs!$D$2:$AG$2,0)),Inputs!$B$4:$B$150,$B23)/1000)</f>
        <v>0</v>
      </c>
      <c r="R23" s="12">
        <f>IF(Q23="","",Q23)</f>
        <v>0</v>
      </c>
      <c r="S23" s="11">
        <f>IF(S$3=0,"",SUMIFS(INDEX(Inputs!$D$4:$AG$150,0,MATCH(S$2,Inputs!$D$2:$AG$2,0)),Inputs!$B$4:$B$150,$B23)/1000)</f>
        <v>0</v>
      </c>
      <c r="T23" s="11">
        <f>IF(T$3=0,"",SUMIFS(INDEX(Inputs!$D$4:$AG$150,0,MATCH(T$2,Inputs!$D$2:$AG$2,0)),Inputs!$B$4:$B$150,$B23)/1000)</f>
        <v>0</v>
      </c>
      <c r="U23" s="11">
        <f>IF(U$3=0,"",SUMIFS(INDEX(Inputs!$D$4:$AG$150,0,MATCH(U$2,Inputs!$D$2:$AG$2,0)),Inputs!$B$4:$B$150,$B23)/1000)</f>
        <v>0</v>
      </c>
      <c r="V23" s="11">
        <f>IF(V$3=0,"",SUMIFS(INDEX(Inputs!$D$4:$AG$150,0,MATCH(V$2,Inputs!$D$2:$AG$2,0)),Inputs!$B$4:$B$150,$B23)/1000)</f>
        <v>0</v>
      </c>
      <c r="W23" s="12">
        <f>IF(V23="","",V23)</f>
        <v>0</v>
      </c>
      <c r="X23" s="11">
        <f>IF(X$3=0,"",SUMIFS(INDEX(Inputs!$D$4:$AG$150,0,MATCH(X$2,Inputs!$D$2:$AG$2,0)),Inputs!$B$4:$B$150,$B23)/1000)</f>
        <v>0</v>
      </c>
      <c r="Y23" s="11">
        <f>IF(Y$3=0,"",SUMIFS(INDEX(Inputs!$D$4:$AG$150,0,MATCH(Y$2,Inputs!$D$2:$AG$2,0)),Inputs!$B$4:$B$150,$B23)/1000)</f>
        <v>0</v>
      </c>
      <c r="Z23" s="11">
        <f>IF(Z$3=0,"",SUMIFS(INDEX(Inputs!$D$4:$AG$150,0,MATCH(Z$2,Inputs!$D$2:$AG$2,0)),Inputs!$B$4:$B$150,$B23)/1000)</f>
        <v>0</v>
      </c>
      <c r="AA23" s="11">
        <f>IF(AA$3=0,"",SUMIFS(INDEX(Inputs!$D$4:$AG$150,0,MATCH(AA$2,Inputs!$D$2:$AG$2,0)),Inputs!$B$4:$B$150,$B23)/1000)</f>
        <v>0</v>
      </c>
      <c r="AB23" s="12">
        <f>IF(AA23="","",AA23)</f>
        <v>0</v>
      </c>
      <c r="AC23" s="11">
        <f>IF(AC$3=0,"",SUMIFS(INDEX(Inputs!$D$4:$AG$150,0,MATCH(AC$2,Inputs!$D$2:$AG$2,0)),Inputs!$B$4:$B$150,$B23)/1000)</f>
        <v>0</v>
      </c>
      <c r="AD23" s="11">
        <f>IF(AD$3=0,"",SUMIFS(INDEX(Inputs!$D$4:$AG$150,0,MATCH(AD$2,Inputs!$D$2:$AG$2,0)),Inputs!$B$4:$B$150,$B23)/1000)</f>
        <v>0</v>
      </c>
      <c r="AE23" s="11" t="str">
        <f>IF(AE$3=0,"",SUMIFS(INDEX(Inputs!$D$4:$AG$150,0,MATCH(AE$2,Inputs!$D$2:$AG$2,0)),Inputs!$B$4:$B$150,$B23)/1000)</f>
        <v/>
      </c>
      <c r="AF23" s="11" t="str">
        <f>IF(AF$3=0,"",SUMIFS(INDEX(Inputs!$D$4:$AG$150,0,MATCH(AF$2,Inputs!$D$2:$AG$2,0)),Inputs!$B$4:$B$150,$B23)/1000)</f>
        <v/>
      </c>
      <c r="AG23" s="12" t="str">
        <f>IF(AF23="","",AF23)</f>
        <v/>
      </c>
    </row>
    <row r="24">
      <c r="B24" s="9" t="n">
        <v>20</v>
      </c>
      <c r="C24" s="14" t="inlineStr">
        <is>
          <t>Goodwill</t>
        </is>
      </c>
      <c r="D24" s="11">
        <f>IF(D$3=0,"",SUMIFS(INDEX(Inputs!$D$4:$AG$150,0,MATCH(D$2,Inputs!$D$2:$AG$2,0)),Inputs!$B$4:$B$150,$B24)/1000)</f>
        <v>0</v>
      </c>
      <c r="E24" s="11">
        <f>IF(E$3=0,"",SUMIFS(INDEX(Inputs!$D$4:$AG$150,0,MATCH(E$2,Inputs!$D$2:$AG$2,0)),Inputs!$B$4:$B$150,$B24)/1000)</f>
        <v>0</v>
      </c>
      <c r="F24" s="11">
        <f>IF(F$3=0,"",SUMIFS(INDEX(Inputs!$D$4:$AG$150,0,MATCH(F$2,Inputs!$D$2:$AG$2,0)),Inputs!$B$4:$B$150,$B24)/1000)</f>
        <v>0</v>
      </c>
      <c r="G24" s="11">
        <f>IF(G$3=0,"",SUMIFS(INDEX(Inputs!$D$4:$AG$150,0,MATCH(G$2,Inputs!$D$2:$AG$2,0)),Inputs!$B$4:$B$150,$B24)/1000)</f>
        <v>0</v>
      </c>
      <c r="H24" s="12">
        <f>IF(G24="","",G24)</f>
        <v>0</v>
      </c>
      <c r="I24" s="11">
        <f>IF(I$3=0,"",SUMIFS(INDEX(Inputs!$D$4:$AG$150,0,MATCH(I$2,Inputs!$D$2:$AG$2,0)),Inputs!$B$4:$B$150,$B24)/1000)</f>
        <v>0</v>
      </c>
      <c r="J24" s="11">
        <f>IF(J$3=0,"",SUMIFS(INDEX(Inputs!$D$4:$AG$150,0,MATCH(J$2,Inputs!$D$2:$AG$2,0)),Inputs!$B$4:$B$150,$B24)/1000)</f>
        <v>0</v>
      </c>
      <c r="K24" s="11">
        <f>IF(K$3=0,"",SUMIFS(INDEX(Inputs!$D$4:$AG$150,0,MATCH(K$2,Inputs!$D$2:$AG$2,0)),Inputs!$B$4:$B$150,$B24)/1000)</f>
        <v>0</v>
      </c>
      <c r="L24" s="11">
        <f>IF(L$3=0,"",SUMIFS(INDEX(Inputs!$D$4:$AG$150,0,MATCH(L$2,Inputs!$D$2:$AG$2,0)),Inputs!$B$4:$B$150,$B24)/1000)</f>
        <v>0</v>
      </c>
      <c r="M24" s="12">
        <f>IF(L24="","",L24)</f>
        <v>0</v>
      </c>
      <c r="N24" s="11">
        <f>IF(N$3=0,"",SUMIFS(INDEX(Inputs!$D$4:$AG$150,0,MATCH(N$2,Inputs!$D$2:$AG$2,0)),Inputs!$B$4:$B$150,$B24)/1000)</f>
        <v>0</v>
      </c>
      <c r="O24" s="11">
        <f>IF(O$3=0,"",SUMIFS(INDEX(Inputs!$D$4:$AG$150,0,MATCH(O$2,Inputs!$D$2:$AG$2,0)),Inputs!$B$4:$B$150,$B24)/1000)</f>
        <v>0</v>
      </c>
      <c r="P24" s="11">
        <f>IF(P$3=0,"",SUMIFS(INDEX(Inputs!$D$4:$AG$150,0,MATCH(P$2,Inputs!$D$2:$AG$2,0)),Inputs!$B$4:$B$150,$B24)/1000)</f>
        <v>0</v>
      </c>
      <c r="Q24" s="11">
        <f>IF(Q$3=0,"",SUMIFS(INDEX(Inputs!$D$4:$AG$150,0,MATCH(Q$2,Inputs!$D$2:$AG$2,0)),Inputs!$B$4:$B$150,$B24)/1000)</f>
        <v>0</v>
      </c>
      <c r="R24" s="12">
        <f>IF(Q24="","",Q24)</f>
        <v>0</v>
      </c>
      <c r="S24" s="11">
        <f>IF(S$3=0,"",SUMIFS(INDEX(Inputs!$D$4:$AG$150,0,MATCH(S$2,Inputs!$D$2:$AG$2,0)),Inputs!$B$4:$B$150,$B24)/1000)</f>
        <v>0</v>
      </c>
      <c r="T24" s="11">
        <f>IF(T$3=0,"",SUMIFS(INDEX(Inputs!$D$4:$AG$150,0,MATCH(T$2,Inputs!$D$2:$AG$2,0)),Inputs!$B$4:$B$150,$B24)/1000)</f>
        <v>0</v>
      </c>
      <c r="U24" s="11">
        <f>IF(U$3=0,"",SUMIFS(INDEX(Inputs!$D$4:$AG$150,0,MATCH(U$2,Inputs!$D$2:$AG$2,0)),Inputs!$B$4:$B$150,$B24)/1000)</f>
        <v>0</v>
      </c>
      <c r="V24" s="11">
        <f>IF(V$3=0,"",SUMIFS(INDEX(Inputs!$D$4:$AG$150,0,MATCH(V$2,Inputs!$D$2:$AG$2,0)),Inputs!$B$4:$B$150,$B24)/1000)</f>
        <v>0</v>
      </c>
      <c r="W24" s="12">
        <f>IF(V24="","",V24)</f>
        <v>0</v>
      </c>
      <c r="X24" s="11">
        <f>IF(X$3=0,"",SUMIFS(INDEX(Inputs!$D$4:$AG$150,0,MATCH(X$2,Inputs!$D$2:$AG$2,0)),Inputs!$B$4:$B$150,$B24)/1000)</f>
        <v>0</v>
      </c>
      <c r="Y24" s="11">
        <f>IF(Y$3=0,"",SUMIFS(INDEX(Inputs!$D$4:$AG$150,0,MATCH(Y$2,Inputs!$D$2:$AG$2,0)),Inputs!$B$4:$B$150,$B24)/1000)</f>
        <v>0</v>
      </c>
      <c r="Z24" s="11">
        <f>IF(Z$3=0,"",SUMIFS(INDEX(Inputs!$D$4:$AG$150,0,MATCH(Z$2,Inputs!$D$2:$AG$2,0)),Inputs!$B$4:$B$150,$B24)/1000)</f>
        <v>0</v>
      </c>
      <c r="AA24" s="11">
        <f>IF(AA$3=0,"",SUMIFS(INDEX(Inputs!$D$4:$AG$150,0,MATCH(AA$2,Inputs!$D$2:$AG$2,0)),Inputs!$B$4:$B$150,$B24)/1000)</f>
        <v>0</v>
      </c>
      <c r="AB24" s="12">
        <f>IF(AA24="","",AA24)</f>
        <v>0</v>
      </c>
      <c r="AC24" s="11">
        <f>IF(AC$3=0,"",SUMIFS(INDEX(Inputs!$D$4:$AG$150,0,MATCH(AC$2,Inputs!$D$2:$AG$2,0)),Inputs!$B$4:$B$150,$B24)/1000)</f>
        <v>0</v>
      </c>
      <c r="AD24" s="11">
        <f>IF(AD$3=0,"",SUMIFS(INDEX(Inputs!$D$4:$AG$150,0,MATCH(AD$2,Inputs!$D$2:$AG$2,0)),Inputs!$B$4:$B$150,$B24)/1000)</f>
        <v>0</v>
      </c>
      <c r="AE24" s="11" t="str">
        <f>IF(AE$3=0,"",SUMIFS(INDEX(Inputs!$D$4:$AG$150,0,MATCH(AE$2,Inputs!$D$2:$AG$2,0)),Inputs!$B$4:$B$150,$B24)/1000)</f>
        <v/>
      </c>
      <c r="AF24" s="11" t="str">
        <f>IF(AF$3=0,"",SUMIFS(INDEX(Inputs!$D$4:$AG$150,0,MATCH(AF$2,Inputs!$D$2:$AG$2,0)),Inputs!$B$4:$B$150,$B24)/1000)</f>
        <v/>
      </c>
      <c r="AG24" s="12" t="str">
        <f>IF(AF24="","",AF24)</f>
        <v/>
      </c>
    </row>
    <row r="25">
      <c r="B25" s="9" t="n">
        <v>21</v>
      </c>
      <c r="C25" s="14" t="inlineStr">
        <is>
          <t>Intangibles</t>
        </is>
      </c>
      <c r="D25" s="11">
        <f>IF(D$3=0,"",SUMIFS(INDEX(Inputs!$D$4:$AG$150,0,MATCH(D$2,Inputs!$D$2:$AG$2,0)),Inputs!$B$4:$B$150,$B25)/1000)</f>
        <v>0</v>
      </c>
      <c r="E25" s="11">
        <f>IF(E$3=0,"",SUMIFS(INDEX(Inputs!$D$4:$AG$150,0,MATCH(E$2,Inputs!$D$2:$AG$2,0)),Inputs!$B$4:$B$150,$B25)/1000)</f>
        <v>0</v>
      </c>
      <c r="F25" s="11">
        <f>IF(F$3=0,"",SUMIFS(INDEX(Inputs!$D$4:$AG$150,0,MATCH(F$2,Inputs!$D$2:$AG$2,0)),Inputs!$B$4:$B$150,$B25)/1000)</f>
        <v>0</v>
      </c>
      <c r="G25" s="11">
        <f>IF(G$3=0,"",SUMIFS(INDEX(Inputs!$D$4:$AG$150,0,MATCH(G$2,Inputs!$D$2:$AG$2,0)),Inputs!$B$4:$B$150,$B25)/1000)</f>
        <v>0</v>
      </c>
      <c r="H25" s="12">
        <f>IF(G25="","",G25)</f>
        <v>0</v>
      </c>
      <c r="I25" s="11">
        <f>IF(I$3=0,"",SUMIFS(INDEX(Inputs!$D$4:$AG$150,0,MATCH(I$2,Inputs!$D$2:$AG$2,0)),Inputs!$B$4:$B$150,$B25)/1000)</f>
        <v>0</v>
      </c>
      <c r="J25" s="11">
        <f>IF(J$3=0,"",SUMIFS(INDEX(Inputs!$D$4:$AG$150,0,MATCH(J$2,Inputs!$D$2:$AG$2,0)),Inputs!$B$4:$B$150,$B25)/1000)</f>
        <v>0</v>
      </c>
      <c r="K25" s="11">
        <f>IF(K$3=0,"",SUMIFS(INDEX(Inputs!$D$4:$AG$150,0,MATCH(K$2,Inputs!$D$2:$AG$2,0)),Inputs!$B$4:$B$150,$B25)/1000)</f>
        <v>0</v>
      </c>
      <c r="L25" s="11">
        <f>IF(L$3=0,"",SUMIFS(INDEX(Inputs!$D$4:$AG$150,0,MATCH(L$2,Inputs!$D$2:$AG$2,0)),Inputs!$B$4:$B$150,$B25)/1000)</f>
        <v>0</v>
      </c>
      <c r="M25" s="12">
        <f>IF(L25="","",L25)</f>
        <v>0</v>
      </c>
      <c r="N25" s="11">
        <f>IF(N$3=0,"",SUMIFS(INDEX(Inputs!$D$4:$AG$150,0,MATCH(N$2,Inputs!$D$2:$AG$2,0)),Inputs!$B$4:$B$150,$B25)/1000)</f>
        <v>0</v>
      </c>
      <c r="O25" s="11">
        <f>IF(O$3=0,"",SUMIFS(INDEX(Inputs!$D$4:$AG$150,0,MATCH(O$2,Inputs!$D$2:$AG$2,0)),Inputs!$B$4:$B$150,$B25)/1000)</f>
        <v>0</v>
      </c>
      <c r="P25" s="11">
        <f>IF(P$3=0,"",SUMIFS(INDEX(Inputs!$D$4:$AG$150,0,MATCH(P$2,Inputs!$D$2:$AG$2,0)),Inputs!$B$4:$B$150,$B25)/1000)</f>
        <v>0</v>
      </c>
      <c r="Q25" s="11">
        <f>IF(Q$3=0,"",SUMIFS(INDEX(Inputs!$D$4:$AG$150,0,MATCH(Q$2,Inputs!$D$2:$AG$2,0)),Inputs!$B$4:$B$150,$B25)/1000)</f>
        <v>0</v>
      </c>
      <c r="R25" s="12">
        <f>IF(Q25="","",Q25)</f>
        <v>0</v>
      </c>
      <c r="S25" s="11">
        <f>IF(S$3=0,"",SUMIFS(INDEX(Inputs!$D$4:$AG$150,0,MATCH(S$2,Inputs!$D$2:$AG$2,0)),Inputs!$B$4:$B$150,$B25)/1000)</f>
        <v>0</v>
      </c>
      <c r="T25" s="11">
        <f>IF(T$3=0,"",SUMIFS(INDEX(Inputs!$D$4:$AG$150,0,MATCH(T$2,Inputs!$D$2:$AG$2,0)),Inputs!$B$4:$B$150,$B25)/1000)</f>
        <v>0</v>
      </c>
      <c r="U25" s="11">
        <f>IF(U$3=0,"",SUMIFS(INDEX(Inputs!$D$4:$AG$150,0,MATCH(U$2,Inputs!$D$2:$AG$2,0)),Inputs!$B$4:$B$150,$B25)/1000)</f>
        <v>0</v>
      </c>
      <c r="V25" s="11">
        <f>IF(V$3=0,"",SUMIFS(INDEX(Inputs!$D$4:$AG$150,0,MATCH(V$2,Inputs!$D$2:$AG$2,0)),Inputs!$B$4:$B$150,$B25)/1000)</f>
        <v>0</v>
      </c>
      <c r="W25" s="12">
        <f>IF(V25="","",V25)</f>
        <v>0</v>
      </c>
      <c r="X25" s="11">
        <f>IF(X$3=0,"",SUMIFS(INDEX(Inputs!$D$4:$AG$150,0,MATCH(X$2,Inputs!$D$2:$AG$2,0)),Inputs!$B$4:$B$150,$B25)/1000)</f>
        <v>0</v>
      </c>
      <c r="Y25" s="11">
        <f>IF(Y$3=0,"",SUMIFS(INDEX(Inputs!$D$4:$AG$150,0,MATCH(Y$2,Inputs!$D$2:$AG$2,0)),Inputs!$B$4:$B$150,$B25)/1000)</f>
        <v>0</v>
      </c>
      <c r="Z25" s="11">
        <f>IF(Z$3=0,"",SUMIFS(INDEX(Inputs!$D$4:$AG$150,0,MATCH(Z$2,Inputs!$D$2:$AG$2,0)),Inputs!$B$4:$B$150,$B25)/1000)</f>
        <v>0</v>
      </c>
      <c r="AA25" s="11">
        <f>IF(AA$3=0,"",SUMIFS(INDEX(Inputs!$D$4:$AG$150,0,MATCH(AA$2,Inputs!$D$2:$AG$2,0)),Inputs!$B$4:$B$150,$B25)/1000)</f>
        <v>0</v>
      </c>
      <c r="AB25" s="12">
        <f>IF(AA25="","",AA25)</f>
        <v>0</v>
      </c>
      <c r="AC25" s="11">
        <f>IF(AC$3=0,"",SUMIFS(INDEX(Inputs!$D$4:$AG$150,0,MATCH(AC$2,Inputs!$D$2:$AG$2,0)),Inputs!$B$4:$B$150,$B25)/1000)</f>
        <v>0</v>
      </c>
      <c r="AD25" s="11">
        <f>IF(AD$3=0,"",SUMIFS(INDEX(Inputs!$D$4:$AG$150,0,MATCH(AD$2,Inputs!$D$2:$AG$2,0)),Inputs!$B$4:$B$150,$B25)/1000)</f>
        <v>0</v>
      </c>
      <c r="AE25" s="11" t="str">
        <f>IF(AE$3=0,"",SUMIFS(INDEX(Inputs!$D$4:$AG$150,0,MATCH(AE$2,Inputs!$D$2:$AG$2,0)),Inputs!$B$4:$B$150,$B25)/1000)</f>
        <v/>
      </c>
      <c r="AF25" s="11" t="str">
        <f>IF(AF$3=0,"",SUMIFS(INDEX(Inputs!$D$4:$AG$150,0,MATCH(AF$2,Inputs!$D$2:$AG$2,0)),Inputs!$B$4:$B$150,$B25)/1000)</f>
        <v/>
      </c>
      <c r="AG25" s="12" t="str">
        <f>IF(AF25="","",AF25)</f>
        <v/>
      </c>
    </row>
    <row r="26">
      <c r="B26" s="9" t="n">
        <v>22</v>
      </c>
      <c r="C26" s="14" t="inlineStr">
        <is>
          <t>Other non-current assets</t>
        </is>
      </c>
      <c r="D26" s="11">
        <f>IF(D$3=0,"",SUMIFS(INDEX(Inputs!$D$4:$AG$150,0,MATCH(D$2,Inputs!$D$2:$AG$2,0)),Inputs!$B$4:$B$150,$B26)/1000)</f>
        <v>60934</v>
      </c>
      <c r="E26" s="11">
        <f>IF(E$3=0,"",SUMIFS(INDEX(Inputs!$D$4:$AG$150,0,MATCH(E$2,Inputs!$D$2:$AG$2,0)),Inputs!$B$4:$B$150,$B26)/1000)</f>
        <v>61435</v>
      </c>
      <c r="F26" s="11">
        <f>IF(F$3=0,"",SUMIFS(INDEX(Inputs!$D$4:$AG$150,0,MATCH(F$2,Inputs!$D$2:$AG$2,0)),Inputs!$B$4:$B$150,$B26)/1000)</f>
        <v>62338</v>
      </c>
      <c r="G26" s="11">
        <f>IF(G$3=0,"",SUMIFS(INDEX(Inputs!$D$4:$AG$150,0,MATCH(G$2,Inputs!$D$2:$AG$2,0)),Inputs!$B$4:$B$150,$B26)/1000)</f>
        <v>63217</v>
      </c>
      <c r="H26" s="12">
        <f>IF(G26="","",G26)</f>
        <v>63217</v>
      </c>
      <c r="I26" s="11">
        <f>IF(I$3=0,"",SUMIFS(INDEX(Inputs!$D$4:$AG$150,0,MATCH(I$2,Inputs!$D$2:$AG$2,0)),Inputs!$B$4:$B$150,$B26)/1000)</f>
        <v>64743</v>
      </c>
      <c r="J26" s="11">
        <f>IF(J$3=0,"",SUMIFS(INDEX(Inputs!$D$4:$AG$150,0,MATCH(J$2,Inputs!$D$2:$AG$2,0)),Inputs!$B$4:$B$150,$B26)/1000)</f>
        <v>65452</v>
      </c>
      <c r="K26" s="11">
        <f>IF(K$3=0,"",SUMIFS(INDEX(Inputs!$D$4:$AG$150,0,MATCH(K$2,Inputs!$D$2:$AG$2,0)),Inputs!$B$4:$B$150,$B26)/1000)</f>
        <v>67761</v>
      </c>
      <c r="L26" s="11">
        <f>IF(L$3=0,"",SUMIFS(INDEX(Inputs!$D$4:$AG$150,0,MATCH(L$2,Inputs!$D$2:$AG$2,0)),Inputs!$B$4:$B$150,$B26)/1000)</f>
        <v>66744</v>
      </c>
      <c r="M26" s="12">
        <f>IF(L26="","",L26)</f>
        <v>66744</v>
      </c>
      <c r="N26" s="11">
        <f>IF(N$3=0,"",SUMIFS(INDEX(Inputs!$D$4:$AG$150,0,MATCH(N$2,Inputs!$D$2:$AG$2,0)),Inputs!$B$4:$B$150,$B26)/1000)</f>
        <v>66124</v>
      </c>
      <c r="O26" s="11">
        <f>IF(O$3=0,"",SUMIFS(INDEX(Inputs!$D$4:$AG$150,0,MATCH(O$2,Inputs!$D$2:$AG$2,0)),Inputs!$B$4:$B$150,$B26)/1000)</f>
        <v>64752</v>
      </c>
      <c r="P26" s="11">
        <f>IF(P$3=0,"",SUMIFS(INDEX(Inputs!$D$4:$AG$150,0,MATCH(P$2,Inputs!$D$2:$AG$2,0)),Inputs!$B$4:$B$150,$B26)/1000)</f>
        <v>65255</v>
      </c>
      <c r="Q26" s="11">
        <f>IF(Q$3=0,"",SUMIFS(INDEX(Inputs!$D$4:$AG$150,0,MATCH(Q$2,Inputs!$D$2:$AG$2,0)),Inputs!$B$4:$B$150,$B26)/1000)</f>
        <v>64768</v>
      </c>
      <c r="R26" s="12">
        <f>IF(Q26="","",Q26)</f>
        <v>64768</v>
      </c>
      <c r="S26" s="11">
        <f>IF(S$3=0,"",SUMIFS(INDEX(Inputs!$D$4:$AG$150,0,MATCH(S$2,Inputs!$D$2:$AG$2,0)),Inputs!$B$4:$B$150,$B26)/1000)</f>
        <v>64818</v>
      </c>
      <c r="T26" s="11">
        <f>IF(T$3=0,"",SUMIFS(INDEX(Inputs!$D$4:$AG$150,0,MATCH(T$2,Inputs!$D$2:$AG$2,0)),Inputs!$B$4:$B$150,$B26)/1000)</f>
        <v>66186</v>
      </c>
      <c r="U26" s="11">
        <f>IF(U$3=0,"",SUMIFS(INDEX(Inputs!$D$4:$AG$150,0,MATCH(U$2,Inputs!$D$2:$AG$2,0)),Inputs!$B$4:$B$150,$B26)/1000)</f>
        <v>68024</v>
      </c>
      <c r="V26" s="11">
        <f>IF(V$3=0,"",SUMIFS(INDEX(Inputs!$D$4:$AG$150,0,MATCH(V$2,Inputs!$D$2:$AG$2,0)),Inputs!$B$4:$B$150,$B26)/1000)</f>
        <v>67167</v>
      </c>
      <c r="W26" s="12">
        <f>IF(V26="","",V26)</f>
        <v>67167</v>
      </c>
      <c r="X26" s="11">
        <f>IF(X$3=0,"",SUMIFS(INDEX(Inputs!$D$4:$AG$150,0,MATCH(X$2,Inputs!$D$2:$AG$2,0)),Inputs!$B$4:$B$150,$B26)/1000)</f>
        <v>68029</v>
      </c>
      <c r="Y26" s="11">
        <f>IF(Y$3=0,"",SUMIFS(INDEX(Inputs!$D$4:$AG$150,0,MATCH(Y$2,Inputs!$D$2:$AG$2,0)),Inputs!$B$4:$B$150,$B26)/1000)</f>
        <v>67133</v>
      </c>
      <c r="Z26" s="11">
        <f>IF(Z$3=0,"",SUMIFS(INDEX(Inputs!$D$4:$AG$150,0,MATCH(Z$2,Inputs!$D$2:$AG$2,0)),Inputs!$B$4:$B$150,$B26)/1000)</f>
        <v>67447</v>
      </c>
      <c r="AA26" s="11">
        <f>IF(AA$3=0,"",SUMIFS(INDEX(Inputs!$D$4:$AG$150,0,MATCH(AA$2,Inputs!$D$2:$AG$2,0)),Inputs!$B$4:$B$150,$B26)/1000)</f>
        <v>66225</v>
      </c>
      <c r="AB26" s="12">
        <f>IF(AA26="","",AA26)</f>
        <v>66225</v>
      </c>
      <c r="AC26" s="11">
        <f>IF(AC$3=0,"",SUMIFS(INDEX(Inputs!$D$4:$AG$150,0,MATCH(AC$2,Inputs!$D$2:$AG$2,0)),Inputs!$B$4:$B$150,$B26)/1000)</f>
        <v>67842</v>
      </c>
      <c r="AD26" s="11">
        <f>IF(AD$3=0,"",SUMIFS(INDEX(Inputs!$D$4:$AG$150,0,MATCH(AD$2,Inputs!$D$2:$AG$2,0)),Inputs!$B$4:$B$150,$B26)/1000)</f>
        <v>67391</v>
      </c>
      <c r="AE26" s="11" t="str">
        <f>IF(AE$3=0,"",SUMIFS(INDEX(Inputs!$D$4:$AG$150,0,MATCH(AE$2,Inputs!$D$2:$AG$2,0)),Inputs!$B$4:$B$150,$B26)/1000)</f>
        <v/>
      </c>
      <c r="AF26" s="11" t="str">
        <f>IF(AF$3=0,"",SUMIFS(INDEX(Inputs!$D$4:$AG$150,0,MATCH(AF$2,Inputs!$D$2:$AG$2,0)),Inputs!$B$4:$B$150,$B26)/1000)</f>
        <v/>
      </c>
      <c r="AG26" s="12" t="str">
        <f>IF(AF26="","",AF26)</f>
        <v/>
      </c>
    </row>
    <row r="27">
      <c r="C27" s="3" t="n"/>
    </row>
    <row r="28">
      <c r="B28" s="9" t="n">
        <v>23</v>
      </c>
      <c r="C28" s="14" t="inlineStr">
        <is>
          <t>Accounts payable</t>
        </is>
      </c>
      <c r="D28" s="11">
        <f>IF(D$3=0,"",SUMIFS(INDEX(Inputs!$D$4:$AG$150,0,MATCH(D$2,Inputs!$D$2:$AG$2,0)),Inputs!$B$4:$B$150,$B28)/1000)</f>
        <v>41017</v>
      </c>
      <c r="E28" s="11">
        <f>IF(E$3=0,"",SUMIFS(INDEX(Inputs!$D$4:$AG$150,0,MATCH(E$2,Inputs!$D$2:$AG$2,0)),Inputs!$B$4:$B$150,$B28)/1000)</f>
        <v>45780</v>
      </c>
      <c r="F28" s="11">
        <f>IF(F$3=0,"",SUMIFS(INDEX(Inputs!$D$4:$AG$150,0,MATCH(F$2,Inputs!$D$2:$AG$2,0)),Inputs!$B$4:$B$150,$B28)/1000)</f>
        <v>47257</v>
      </c>
      <c r="G28" s="11">
        <f>IF(G$3=0,"",SUMIFS(INDEX(Inputs!$D$4:$AG$150,0,MATCH(G$2,Inputs!$D$2:$AG$2,0)),Inputs!$B$4:$B$150,$B28)/1000)</f>
        <v>50766</v>
      </c>
      <c r="H28" s="12">
        <f>IF(G28="","",G28)</f>
        <v>50766</v>
      </c>
      <c r="I28" s="11">
        <f>IF(I$3=0,"",SUMIFS(INDEX(Inputs!$D$4:$AG$150,0,MATCH(I$2,Inputs!$D$2:$AG$2,0)),Inputs!$B$4:$B$150,$B28)/1000)</f>
        <v>63501</v>
      </c>
      <c r="J28" s="11">
        <f>IF(J$3=0,"",SUMIFS(INDEX(Inputs!$D$4:$AG$150,0,MATCH(J$2,Inputs!$D$2:$AG$2,0)),Inputs!$B$4:$B$150,$B28)/1000)</f>
        <v>67958</v>
      </c>
      <c r="K28" s="11">
        <f>IF(K$3=0,"",SUMIFS(INDEX(Inputs!$D$4:$AG$150,0,MATCH(K$2,Inputs!$D$2:$AG$2,0)),Inputs!$B$4:$B$150,$B28)/1000)</f>
        <v>62550</v>
      </c>
      <c r="L28" s="11">
        <f>IF(L$3=0,"",SUMIFS(INDEX(Inputs!$D$4:$AG$150,0,MATCH(L$2,Inputs!$D$2:$AG$2,0)),Inputs!$B$4:$B$150,$B28)/1000)</f>
        <v>63197</v>
      </c>
      <c r="M28" s="12">
        <f>IF(L28="","",L28)</f>
        <v>63197</v>
      </c>
      <c r="N28" s="11">
        <f>IF(N$3=0,"",SUMIFS(INDEX(Inputs!$D$4:$AG$150,0,MATCH(N$2,Inputs!$D$2:$AG$2,0)),Inputs!$B$4:$B$150,$B28)/1000)</f>
        <v>59935</v>
      </c>
      <c r="O28" s="11">
        <f>IF(O$3=0,"",SUMIFS(INDEX(Inputs!$D$4:$AG$150,0,MATCH(O$2,Inputs!$D$2:$AG$2,0)),Inputs!$B$4:$B$150,$B28)/1000)</f>
        <v>54404</v>
      </c>
      <c r="P28" s="11">
        <f>IF(P$3=0,"",SUMIFS(INDEX(Inputs!$D$4:$AG$150,0,MATCH(P$2,Inputs!$D$2:$AG$2,0)),Inputs!$B$4:$B$150,$B28)/1000)</f>
        <v>62257</v>
      </c>
      <c r="Q28" s="11">
        <f>IF(Q$3=0,"",SUMIFS(INDEX(Inputs!$D$4:$AG$150,0,MATCH(Q$2,Inputs!$D$2:$AG$2,0)),Inputs!$B$4:$B$150,$B28)/1000)</f>
        <v>58037</v>
      </c>
      <c r="R28" s="12">
        <f>IF(Q28="","",Q28)</f>
        <v>58037</v>
      </c>
      <c r="S28" s="11">
        <f>IF(S$3=0,"",SUMIFS(INDEX(Inputs!$D$4:$AG$150,0,MATCH(S$2,Inputs!$D$2:$AG$2,0)),Inputs!$B$4:$B$150,$B28)/1000)</f>
        <v>59531</v>
      </c>
      <c r="T28" s="11">
        <f>IF(T$3=0,"",SUMIFS(INDEX(Inputs!$D$4:$AG$150,0,MATCH(T$2,Inputs!$D$2:$AG$2,0)),Inputs!$B$4:$B$150,$B28)/1000)</f>
        <v>60107</v>
      </c>
      <c r="U28" s="11">
        <f>IF(U$3=0,"",SUMIFS(INDEX(Inputs!$D$4:$AG$150,0,MATCH(U$2,Inputs!$D$2:$AG$2,0)),Inputs!$B$4:$B$150,$B28)/1000)</f>
        <v>60518</v>
      </c>
      <c r="V28" s="11">
        <f>IF(V$3=0,"",SUMIFS(INDEX(Inputs!$D$4:$AG$150,0,MATCH(V$2,Inputs!$D$2:$AG$2,0)),Inputs!$B$4:$B$150,$B28)/1000)</f>
        <v>61297</v>
      </c>
      <c r="W28" s="12">
        <f>IF(V28="","",V28)</f>
        <v>61297</v>
      </c>
      <c r="X28" s="11">
        <f>IF(X$3=0,"",SUMIFS(INDEX(Inputs!$D$4:$AG$150,0,MATCH(X$2,Inputs!$D$2:$AG$2,0)),Inputs!$B$4:$B$150,$B28)/1000)</f>
        <v>63987</v>
      </c>
      <c r="Y28" s="11">
        <f>IF(Y$3=0,"",SUMIFS(INDEX(Inputs!$D$4:$AG$150,0,MATCH(Y$2,Inputs!$D$2:$AG$2,0)),Inputs!$B$4:$B$150,$B28)/1000)</f>
        <v>59725</v>
      </c>
      <c r="Z28" s="11">
        <f>IF(Z$3=0,"",SUMIFS(INDEX(Inputs!$D$4:$AG$150,0,MATCH(Z$2,Inputs!$D$2:$AG$2,0)),Inputs!$B$4:$B$150,$B28)/1000)</f>
        <v>65382</v>
      </c>
      <c r="AA28" s="11">
        <f>IF(AA$3=0,"",SUMIFS(INDEX(Inputs!$D$4:$AG$150,0,MATCH(AA$2,Inputs!$D$2:$AG$2,0)),Inputs!$B$4:$B$150,$B28)/1000)</f>
        <v>60911</v>
      </c>
      <c r="AB28" s="12">
        <f>IF(AA28="","",AA28)</f>
        <v>60911</v>
      </c>
      <c r="AC28" s="11">
        <f>IF(AC$3=0,"",SUMIFS(INDEX(Inputs!$D$4:$AG$150,0,MATCH(AC$2,Inputs!$D$2:$AG$2,0)),Inputs!$B$4:$B$150,$B28)/1000)</f>
        <v>77088</v>
      </c>
      <c r="AD28" s="11">
        <f>IF(AD$3=0,"",SUMIFS(INDEX(Inputs!$D$4:$AG$150,0,MATCH(AD$2,Inputs!$D$2:$AG$2,0)),Inputs!$B$4:$B$150,$B28)/1000)</f>
        <v>74491</v>
      </c>
      <c r="AE28" s="11" t="str">
        <f>IF(AE$3=0,"",SUMIFS(INDEX(Inputs!$D$4:$AG$150,0,MATCH(AE$2,Inputs!$D$2:$AG$2,0)),Inputs!$B$4:$B$150,$B28)/1000)</f>
        <v/>
      </c>
      <c r="AF28" s="11" t="str">
        <f>IF(AF$3=0,"",SUMIFS(INDEX(Inputs!$D$4:$AG$150,0,MATCH(AF$2,Inputs!$D$2:$AG$2,0)),Inputs!$B$4:$B$150,$B28)/1000)</f>
        <v/>
      </c>
      <c r="AG28" s="12" t="str">
        <f>IF(AF28="","",AF28)</f>
        <v/>
      </c>
    </row>
    <row r="29">
      <c r="B29" s="9" t="n">
        <v>24</v>
      </c>
      <c r="C29" s="14" t="inlineStr">
        <is>
          <t>Accrued expenses</t>
        </is>
      </c>
      <c r="D29" s="11">
        <f>IF(D$3=0,"",SUMIFS(INDEX(Inputs!$D$4:$AG$150,0,MATCH(D$2,Inputs!$D$2:$AG$2,0)),Inputs!$B$4:$B$150,$B29)/1000)</f>
        <v>0</v>
      </c>
      <c r="E29" s="11">
        <f>IF(E$3=0,"",SUMIFS(INDEX(Inputs!$D$4:$AG$150,0,MATCH(E$2,Inputs!$D$2:$AG$2,0)),Inputs!$B$4:$B$150,$B29)/1000)</f>
        <v>0</v>
      </c>
      <c r="F29" s="11">
        <f>IF(F$3=0,"",SUMIFS(INDEX(Inputs!$D$4:$AG$150,0,MATCH(F$2,Inputs!$D$2:$AG$2,0)),Inputs!$B$4:$B$150,$B29)/1000)</f>
        <v>0</v>
      </c>
      <c r="G29" s="11">
        <f>IF(G$3=0,"",SUMIFS(INDEX(Inputs!$D$4:$AG$150,0,MATCH(G$2,Inputs!$D$2:$AG$2,0)),Inputs!$B$4:$B$150,$B29)/1000)</f>
        <v>0</v>
      </c>
      <c r="H29" s="12">
        <f>IF(G29="","",G29)</f>
        <v>0</v>
      </c>
      <c r="I29" s="11">
        <f>IF(I$3=0,"",SUMIFS(INDEX(Inputs!$D$4:$AG$150,0,MATCH(I$2,Inputs!$D$2:$AG$2,0)),Inputs!$B$4:$B$150,$B29)/1000)</f>
        <v>0</v>
      </c>
      <c r="J29" s="11">
        <f>IF(J$3=0,"",SUMIFS(INDEX(Inputs!$D$4:$AG$150,0,MATCH(J$2,Inputs!$D$2:$AG$2,0)),Inputs!$B$4:$B$150,$B29)/1000)</f>
        <v>0</v>
      </c>
      <c r="K29" s="11">
        <f>IF(K$3=0,"",SUMIFS(INDEX(Inputs!$D$4:$AG$150,0,MATCH(K$2,Inputs!$D$2:$AG$2,0)),Inputs!$B$4:$B$150,$B29)/1000)</f>
        <v>0</v>
      </c>
      <c r="L29" s="11">
        <f>IF(L$3=0,"",SUMIFS(INDEX(Inputs!$D$4:$AG$150,0,MATCH(L$2,Inputs!$D$2:$AG$2,0)),Inputs!$B$4:$B$150,$B29)/1000)</f>
        <v>0</v>
      </c>
      <c r="M29" s="12">
        <f>IF(L29="","",L29)</f>
        <v>0</v>
      </c>
      <c r="N29" s="11">
        <f>IF(N$3=0,"",SUMIFS(INDEX(Inputs!$D$4:$AG$150,0,MATCH(N$2,Inputs!$D$2:$AG$2,0)),Inputs!$B$4:$B$150,$B29)/1000)</f>
        <v>0</v>
      </c>
      <c r="O29" s="11">
        <f>IF(O$3=0,"",SUMIFS(INDEX(Inputs!$D$4:$AG$150,0,MATCH(O$2,Inputs!$D$2:$AG$2,0)),Inputs!$B$4:$B$150,$B29)/1000)</f>
        <v>0</v>
      </c>
      <c r="P29" s="11">
        <f>IF(P$3=0,"",SUMIFS(INDEX(Inputs!$D$4:$AG$150,0,MATCH(P$2,Inputs!$D$2:$AG$2,0)),Inputs!$B$4:$B$150,$B29)/1000)</f>
        <v>0</v>
      </c>
      <c r="Q29" s="11">
        <f>IF(Q$3=0,"",SUMIFS(INDEX(Inputs!$D$4:$AG$150,0,MATCH(Q$2,Inputs!$D$2:$AG$2,0)),Inputs!$B$4:$B$150,$B29)/1000)</f>
        <v>0</v>
      </c>
      <c r="R29" s="12">
        <f>IF(Q29="","",Q29)</f>
        <v>0</v>
      </c>
      <c r="S29" s="11">
        <f>IF(S$3=0,"",SUMIFS(INDEX(Inputs!$D$4:$AG$150,0,MATCH(S$2,Inputs!$D$2:$AG$2,0)),Inputs!$B$4:$B$150,$B29)/1000)</f>
        <v>0</v>
      </c>
      <c r="T29" s="11">
        <f>IF(T$3=0,"",SUMIFS(INDEX(Inputs!$D$4:$AG$150,0,MATCH(T$2,Inputs!$D$2:$AG$2,0)),Inputs!$B$4:$B$150,$B29)/1000)</f>
        <v>0</v>
      </c>
      <c r="U29" s="11">
        <f>IF(U$3=0,"",SUMIFS(INDEX(Inputs!$D$4:$AG$150,0,MATCH(U$2,Inputs!$D$2:$AG$2,0)),Inputs!$B$4:$B$150,$B29)/1000)</f>
        <v>0</v>
      </c>
      <c r="V29" s="11">
        <f>IF(V$3=0,"",SUMIFS(INDEX(Inputs!$D$4:$AG$150,0,MATCH(V$2,Inputs!$D$2:$AG$2,0)),Inputs!$B$4:$B$150,$B29)/1000)</f>
        <v>0</v>
      </c>
      <c r="W29" s="12">
        <f>IF(V29="","",V29)</f>
        <v>0</v>
      </c>
      <c r="X29" s="11">
        <f>IF(X$3=0,"",SUMIFS(INDEX(Inputs!$D$4:$AG$150,0,MATCH(X$2,Inputs!$D$2:$AG$2,0)),Inputs!$B$4:$B$150,$B29)/1000)</f>
        <v>0</v>
      </c>
      <c r="Y29" s="11">
        <f>IF(Y$3=0,"",SUMIFS(INDEX(Inputs!$D$4:$AG$150,0,MATCH(Y$2,Inputs!$D$2:$AG$2,0)),Inputs!$B$4:$B$150,$B29)/1000)</f>
        <v>0</v>
      </c>
      <c r="Z29" s="11">
        <f>IF(Z$3=0,"",SUMIFS(INDEX(Inputs!$D$4:$AG$150,0,MATCH(Z$2,Inputs!$D$2:$AG$2,0)),Inputs!$B$4:$B$150,$B29)/1000)</f>
        <v>0</v>
      </c>
      <c r="AA29" s="11">
        <f>IF(AA$3=0,"",SUMIFS(INDEX(Inputs!$D$4:$AG$150,0,MATCH(AA$2,Inputs!$D$2:$AG$2,0)),Inputs!$B$4:$B$150,$B29)/1000)</f>
        <v>0</v>
      </c>
      <c r="AB29" s="12">
        <f>IF(AA29="","",AA29)</f>
        <v>0</v>
      </c>
      <c r="AC29" s="11">
        <f>IF(AC$3=0,"",SUMIFS(INDEX(Inputs!$D$4:$AG$150,0,MATCH(AC$2,Inputs!$D$2:$AG$2,0)),Inputs!$B$4:$B$150,$B29)/1000)</f>
        <v>0</v>
      </c>
      <c r="AD29" s="11">
        <f>IF(AD$3=0,"",SUMIFS(INDEX(Inputs!$D$4:$AG$150,0,MATCH(AD$2,Inputs!$D$2:$AG$2,0)),Inputs!$B$4:$B$150,$B29)/1000)</f>
        <v>0</v>
      </c>
      <c r="AE29" s="11" t="str">
        <f>IF(AE$3=0,"",SUMIFS(INDEX(Inputs!$D$4:$AG$150,0,MATCH(AE$2,Inputs!$D$2:$AG$2,0)),Inputs!$B$4:$B$150,$B29)/1000)</f>
        <v/>
      </c>
      <c r="AF29" s="11" t="str">
        <f>IF(AF$3=0,"",SUMIFS(INDEX(Inputs!$D$4:$AG$150,0,MATCH(AF$2,Inputs!$D$2:$AG$2,0)),Inputs!$B$4:$B$150,$B29)/1000)</f>
        <v/>
      </c>
      <c r="AG29" s="12" t="str">
        <f>IF(AF29="","",AF29)</f>
        <v/>
      </c>
    </row>
    <row r="30">
      <c r="B30" s="9" t="n">
        <v>25</v>
      </c>
      <c r="C30" s="14" t="inlineStr">
        <is>
          <t>Taxes payable</t>
        </is>
      </c>
      <c r="D30" s="11">
        <f>IF(D$3=0,"",SUMIFS(INDEX(Inputs!$D$4:$AG$150,0,MATCH(D$2,Inputs!$D$2:$AG$2,0)),Inputs!$B$4:$B$150,$B30)/1000)</f>
        <v>948</v>
      </c>
      <c r="E30" s="11">
        <f>IF(E$3=0,"",SUMIFS(INDEX(Inputs!$D$4:$AG$150,0,MATCH(E$2,Inputs!$D$2:$AG$2,0)),Inputs!$B$4:$B$150,$B30)/1000)</f>
        <v>1165</v>
      </c>
      <c r="F30" s="11">
        <f>IF(F$3=0,"",SUMIFS(INDEX(Inputs!$D$4:$AG$150,0,MATCH(F$2,Inputs!$D$2:$AG$2,0)),Inputs!$B$4:$B$150,$B30)/1000)</f>
        <v>1633</v>
      </c>
      <c r="G30" s="11">
        <f>IF(G$3=0,"",SUMIFS(INDEX(Inputs!$D$4:$AG$150,0,MATCH(G$2,Inputs!$D$2:$AG$2,0)),Inputs!$B$4:$B$150,$B30)/1000)</f>
        <v>1601</v>
      </c>
      <c r="H30" s="12">
        <f>IF(G30="","",G30)</f>
        <v>1601</v>
      </c>
      <c r="I30" s="11">
        <f>IF(I$3=0,"",SUMIFS(INDEX(Inputs!$D$4:$AG$150,0,MATCH(I$2,Inputs!$D$2:$AG$2,0)),Inputs!$B$4:$B$150,$B30)/1000)</f>
        <v>3672</v>
      </c>
      <c r="J30" s="11">
        <f>IF(J$3=0,"",SUMIFS(INDEX(Inputs!$D$4:$AG$150,0,MATCH(J$2,Inputs!$D$2:$AG$2,0)),Inputs!$B$4:$B$150,$B30)/1000)</f>
        <v>4785</v>
      </c>
      <c r="K30" s="11">
        <f>IF(K$3=0,"",SUMIFS(INDEX(Inputs!$D$4:$AG$150,0,MATCH(K$2,Inputs!$D$2:$AG$2,0)),Inputs!$B$4:$B$150,$B30)/1000)</f>
        <v>5325</v>
      </c>
      <c r="L30" s="11">
        <f>IF(L$3=0,"",SUMIFS(INDEX(Inputs!$D$4:$AG$150,0,MATCH(L$2,Inputs!$D$2:$AG$2,0)),Inputs!$B$4:$B$150,$B30)/1000)</f>
        <v>5214</v>
      </c>
      <c r="M30" s="12">
        <f>IF(L30="","",L30)</f>
        <v>5214</v>
      </c>
      <c r="N30" s="11">
        <f>IF(N$3=0,"",SUMIFS(INDEX(Inputs!$D$4:$AG$150,0,MATCH(N$2,Inputs!$D$2:$AG$2,0)),Inputs!$B$4:$B$150,$B30)/1000)</f>
        <v>4435</v>
      </c>
      <c r="O30" s="11">
        <f>IF(O$3=0,"",SUMIFS(INDEX(Inputs!$D$4:$AG$150,0,MATCH(O$2,Inputs!$D$2:$AG$2,0)),Inputs!$B$4:$B$150,$B30)/1000)</f>
        <v>3482</v>
      </c>
      <c r="P30" s="11">
        <f>IF(P$3=0,"",SUMIFS(INDEX(Inputs!$D$4:$AG$150,0,MATCH(P$2,Inputs!$D$2:$AG$2,0)),Inputs!$B$4:$B$150,$B30)/1000)</f>
        <v>4186</v>
      </c>
      <c r="Q30" s="11">
        <f>IF(Q$3=0,"",SUMIFS(INDEX(Inputs!$D$4:$AG$150,0,MATCH(Q$2,Inputs!$D$2:$AG$2,0)),Inputs!$B$4:$B$150,$B30)/1000)</f>
        <v>3189</v>
      </c>
      <c r="R30" s="12">
        <f>IF(Q30="","",Q30)</f>
        <v>3189</v>
      </c>
      <c r="S30" s="11">
        <f>IF(S$3=0,"",SUMIFS(INDEX(Inputs!$D$4:$AG$150,0,MATCH(S$2,Inputs!$D$2:$AG$2,0)),Inputs!$B$4:$B$150,$B30)/1000)</f>
        <v>4163</v>
      </c>
      <c r="T30" s="11">
        <f>IF(T$3=0,"",SUMIFS(INDEX(Inputs!$D$4:$AG$150,0,MATCH(T$2,Inputs!$D$2:$AG$2,0)),Inputs!$B$4:$B$150,$B30)/1000)</f>
        <v>4035</v>
      </c>
      <c r="U30" s="11">
        <f>IF(U$3=0,"",SUMIFS(INDEX(Inputs!$D$4:$AG$150,0,MATCH(U$2,Inputs!$D$2:$AG$2,0)),Inputs!$B$4:$B$150,$B30)/1000)</f>
        <v>3843</v>
      </c>
      <c r="V30" s="11">
        <f>IF(V$3=0,"",SUMIFS(INDEX(Inputs!$D$4:$AG$150,0,MATCH(V$2,Inputs!$D$2:$AG$2,0)),Inputs!$B$4:$B$150,$B30)/1000)</f>
        <v>4055</v>
      </c>
      <c r="W30" s="12">
        <f>IF(V30="","",V30)</f>
        <v>4055</v>
      </c>
      <c r="X30" s="11">
        <f>IF(X$3=0,"",SUMIFS(INDEX(Inputs!$D$4:$AG$150,0,MATCH(X$2,Inputs!$D$2:$AG$2,0)),Inputs!$B$4:$B$150,$B30)/1000)</f>
        <v>5114</v>
      </c>
      <c r="Y30" s="11">
        <f>IF(Y$3=0,"",SUMIFS(INDEX(Inputs!$D$4:$AG$150,0,MATCH(Y$2,Inputs!$D$2:$AG$2,0)),Inputs!$B$4:$B$150,$B30)/1000)</f>
        <v>3017</v>
      </c>
      <c r="Z30" s="11">
        <f>IF(Z$3=0,"",SUMIFS(INDEX(Inputs!$D$4:$AG$150,0,MATCH(Z$2,Inputs!$D$2:$AG$2,0)),Inputs!$B$4:$B$150,$B30)/1000)</f>
        <v>3256</v>
      </c>
      <c r="AA30" s="11">
        <f>IF(AA$3=0,"",SUMIFS(INDEX(Inputs!$D$4:$AG$150,0,MATCH(AA$2,Inputs!$D$2:$AG$2,0)),Inputs!$B$4:$B$150,$B30)/1000)</f>
        <v>2123</v>
      </c>
      <c r="AB30" s="12">
        <f>IF(AA30="","",AA30)</f>
        <v>2123</v>
      </c>
      <c r="AC30" s="11">
        <f>IF(AC$3=0,"",SUMIFS(INDEX(Inputs!$D$4:$AG$150,0,MATCH(AC$2,Inputs!$D$2:$AG$2,0)),Inputs!$B$4:$B$150,$B30)/1000)</f>
        <v>2759</v>
      </c>
      <c r="AD30" s="11">
        <f>IF(AD$3=0,"",SUMIFS(INDEX(Inputs!$D$4:$AG$150,0,MATCH(AD$2,Inputs!$D$2:$AG$2,0)),Inputs!$B$4:$B$150,$B30)/1000)</f>
        <v>4200</v>
      </c>
      <c r="AE30" s="11" t="str">
        <f>IF(AE$3=0,"",SUMIFS(INDEX(Inputs!$D$4:$AG$150,0,MATCH(AE$2,Inputs!$D$2:$AG$2,0)),Inputs!$B$4:$B$150,$B30)/1000)</f>
        <v/>
      </c>
      <c r="AF30" s="11" t="str">
        <f>IF(AF$3=0,"",SUMIFS(INDEX(Inputs!$D$4:$AG$150,0,MATCH(AF$2,Inputs!$D$2:$AG$2,0)),Inputs!$B$4:$B$150,$B30)/1000)</f>
        <v/>
      </c>
      <c r="AG30" s="12" t="str">
        <f>IF(AF30="","",AF30)</f>
        <v/>
      </c>
    </row>
    <row r="31">
      <c r="B31" s="9" t="n">
        <v>26</v>
      </c>
      <c r="C31" s="14" t="inlineStr">
        <is>
          <t>Other current liabilities (non-debt)</t>
        </is>
      </c>
      <c r="D31" s="11">
        <f>IF(D$3=0,"",SUMIFS(INDEX(Inputs!$D$4:$AG$150,0,MATCH(D$2,Inputs!$D$2:$AG$2,0)),Inputs!$B$4:$B$150,$B31)/1000)</f>
        <v>0</v>
      </c>
      <c r="E31" s="11">
        <f>IF(E$3=0,"",SUMIFS(INDEX(Inputs!$D$4:$AG$150,0,MATCH(E$2,Inputs!$D$2:$AG$2,0)),Inputs!$B$4:$B$150,$B31)/1000)</f>
        <v>0</v>
      </c>
      <c r="F31" s="11">
        <f>IF(F$3=0,"",SUMIFS(INDEX(Inputs!$D$4:$AG$150,0,MATCH(F$2,Inputs!$D$2:$AG$2,0)),Inputs!$B$4:$B$150,$B31)/1000)</f>
        <v>0</v>
      </c>
      <c r="G31" s="11">
        <f>IF(G$3=0,"",SUMIFS(INDEX(Inputs!$D$4:$AG$150,0,MATCH(G$2,Inputs!$D$2:$AG$2,0)),Inputs!$B$4:$B$150,$B31)/1000)</f>
        <v>0</v>
      </c>
      <c r="H31" s="12">
        <f>IF(G31="","",G31)</f>
        <v>0</v>
      </c>
      <c r="I31" s="11">
        <f>IF(I$3=0,"",SUMIFS(INDEX(Inputs!$D$4:$AG$150,0,MATCH(I$2,Inputs!$D$2:$AG$2,0)),Inputs!$B$4:$B$150,$B31)/1000)</f>
        <v>0</v>
      </c>
      <c r="J31" s="11">
        <f>IF(J$3=0,"",SUMIFS(INDEX(Inputs!$D$4:$AG$150,0,MATCH(J$2,Inputs!$D$2:$AG$2,0)),Inputs!$B$4:$B$150,$B31)/1000)</f>
        <v>0</v>
      </c>
      <c r="K31" s="11">
        <f>IF(K$3=0,"",SUMIFS(INDEX(Inputs!$D$4:$AG$150,0,MATCH(K$2,Inputs!$D$2:$AG$2,0)),Inputs!$B$4:$B$150,$B31)/1000)</f>
        <v>0</v>
      </c>
      <c r="L31" s="11">
        <f>IF(L$3=0,"",SUMIFS(INDEX(Inputs!$D$4:$AG$150,0,MATCH(L$2,Inputs!$D$2:$AG$2,0)),Inputs!$B$4:$B$150,$B31)/1000)</f>
        <v>0</v>
      </c>
      <c r="M31" s="12">
        <f>IF(L31="","",L31)</f>
        <v>0</v>
      </c>
      <c r="N31" s="11">
        <f>IF(N$3=0,"",SUMIFS(INDEX(Inputs!$D$4:$AG$150,0,MATCH(N$2,Inputs!$D$2:$AG$2,0)),Inputs!$B$4:$B$150,$B31)/1000)</f>
        <v>0</v>
      </c>
      <c r="O31" s="11">
        <f>IF(O$3=0,"",SUMIFS(INDEX(Inputs!$D$4:$AG$150,0,MATCH(O$2,Inputs!$D$2:$AG$2,0)),Inputs!$B$4:$B$150,$B31)/1000)</f>
        <v>0</v>
      </c>
      <c r="P31" s="11">
        <f>IF(P$3=0,"",SUMIFS(INDEX(Inputs!$D$4:$AG$150,0,MATCH(P$2,Inputs!$D$2:$AG$2,0)),Inputs!$B$4:$B$150,$B31)/1000)</f>
        <v>0</v>
      </c>
      <c r="Q31" s="11">
        <f>IF(Q$3=0,"",SUMIFS(INDEX(Inputs!$D$4:$AG$150,0,MATCH(Q$2,Inputs!$D$2:$AG$2,0)),Inputs!$B$4:$B$150,$B31)/1000)</f>
        <v>0</v>
      </c>
      <c r="R31" s="12">
        <f>IF(Q31="","",Q31)</f>
        <v>0</v>
      </c>
      <c r="S31" s="11">
        <f>IF(S$3=0,"",SUMIFS(INDEX(Inputs!$D$4:$AG$150,0,MATCH(S$2,Inputs!$D$2:$AG$2,0)),Inputs!$B$4:$B$150,$B31)/1000)</f>
        <v>0</v>
      </c>
      <c r="T31" s="11">
        <f>IF(T$3=0,"",SUMIFS(INDEX(Inputs!$D$4:$AG$150,0,MATCH(T$2,Inputs!$D$2:$AG$2,0)),Inputs!$B$4:$B$150,$B31)/1000)</f>
        <v>0</v>
      </c>
      <c r="U31" s="11">
        <f>IF(U$3=0,"",SUMIFS(INDEX(Inputs!$D$4:$AG$150,0,MATCH(U$2,Inputs!$D$2:$AG$2,0)),Inputs!$B$4:$B$150,$B31)/1000)</f>
        <v>0</v>
      </c>
      <c r="V31" s="11">
        <f>IF(V$3=0,"",SUMIFS(INDEX(Inputs!$D$4:$AG$150,0,MATCH(V$2,Inputs!$D$2:$AG$2,0)),Inputs!$B$4:$B$150,$B31)/1000)</f>
        <v>0</v>
      </c>
      <c r="W31" s="12">
        <f>IF(V31="","",V31)</f>
        <v>0</v>
      </c>
      <c r="X31" s="11">
        <f>IF(X$3=0,"",SUMIFS(INDEX(Inputs!$D$4:$AG$150,0,MATCH(X$2,Inputs!$D$2:$AG$2,0)),Inputs!$B$4:$B$150,$B31)/1000)</f>
        <v>0</v>
      </c>
      <c r="Y31" s="11">
        <f>IF(Y$3=0,"",SUMIFS(INDEX(Inputs!$D$4:$AG$150,0,MATCH(Y$2,Inputs!$D$2:$AG$2,0)),Inputs!$B$4:$B$150,$B31)/1000)</f>
        <v>0</v>
      </c>
      <c r="Z31" s="11">
        <f>IF(Z$3=0,"",SUMIFS(INDEX(Inputs!$D$4:$AG$150,0,MATCH(Z$2,Inputs!$D$2:$AG$2,0)),Inputs!$B$4:$B$150,$B31)/1000)</f>
        <v>0</v>
      </c>
      <c r="AA31" s="11">
        <f>IF(AA$3=0,"",SUMIFS(INDEX(Inputs!$D$4:$AG$150,0,MATCH(AA$2,Inputs!$D$2:$AG$2,0)),Inputs!$B$4:$B$150,$B31)/1000)</f>
        <v>0</v>
      </c>
      <c r="AB31" s="12">
        <f>IF(AA31="","",AA31)</f>
        <v>0</v>
      </c>
      <c r="AC31" s="11">
        <f>IF(AC$3=0,"",SUMIFS(INDEX(Inputs!$D$4:$AG$150,0,MATCH(AC$2,Inputs!$D$2:$AG$2,0)),Inputs!$B$4:$B$150,$B31)/1000)</f>
        <v>0</v>
      </c>
      <c r="AD31" s="11">
        <f>IF(AD$3=0,"",SUMIFS(INDEX(Inputs!$D$4:$AG$150,0,MATCH(AD$2,Inputs!$D$2:$AG$2,0)),Inputs!$B$4:$B$150,$B31)/1000)</f>
        <v>0</v>
      </c>
      <c r="AE31" s="11" t="str">
        <f>IF(AE$3=0,"",SUMIFS(INDEX(Inputs!$D$4:$AG$150,0,MATCH(AE$2,Inputs!$D$2:$AG$2,0)),Inputs!$B$4:$B$150,$B31)/1000)</f>
        <v/>
      </c>
      <c r="AF31" s="11" t="str">
        <f>IF(AF$3=0,"",SUMIFS(INDEX(Inputs!$D$4:$AG$150,0,MATCH(AF$2,Inputs!$D$2:$AG$2,0)),Inputs!$B$4:$B$150,$B31)/1000)</f>
        <v/>
      </c>
      <c r="AG31" s="12" t="str">
        <f>IF(AF31="","",AF31)</f>
        <v/>
      </c>
    </row>
    <row r="32">
      <c r="B32" s="9" t="n">
        <v>27</v>
      </c>
      <c r="C32" s="14" t="inlineStr">
        <is>
          <t>Current portion of long-term debt</t>
        </is>
      </c>
      <c r="D32" s="11">
        <f>IF(D$3=0,"",SUMIFS(INDEX(Inputs!$D$4:$AG$150,0,MATCH(D$2,Inputs!$D$2:$AG$2,0)),Inputs!$B$4:$B$150,$B32)/1000)</f>
        <v>18185</v>
      </c>
      <c r="E32" s="11">
        <f>IF(E$3=0,"",SUMIFS(INDEX(Inputs!$D$4:$AG$150,0,MATCH(E$2,Inputs!$D$2:$AG$2,0)),Inputs!$B$4:$B$150,$B32)/1000)</f>
        <v>15293</v>
      </c>
      <c r="F32" s="11">
        <f>IF(F$3=0,"",SUMIFS(INDEX(Inputs!$D$4:$AG$150,0,MATCH(F$2,Inputs!$D$2:$AG$2,0)),Inputs!$B$4:$B$150,$B32)/1000)</f>
        <v>12966</v>
      </c>
      <c r="G32" s="11">
        <f>IF(G$3=0,"",SUMIFS(INDEX(Inputs!$D$4:$AG$150,0,MATCH(G$2,Inputs!$D$2:$AG$2,0)),Inputs!$B$4:$B$150,$B32)/1000)</f>
        <v>4276</v>
      </c>
      <c r="H32" s="12">
        <f>IF(G32="","",G32)</f>
        <v>4276</v>
      </c>
      <c r="I32" s="11">
        <f>IF(I$3=0,"",SUMIFS(INDEX(Inputs!$D$4:$AG$150,0,MATCH(I$2,Inputs!$D$2:$AG$2,0)),Inputs!$B$4:$B$150,$B32)/1000)</f>
        <v>4886</v>
      </c>
      <c r="J32" s="11">
        <f>IF(J$3=0,"",SUMIFS(INDEX(Inputs!$D$4:$AG$150,0,MATCH(J$2,Inputs!$D$2:$AG$2,0)),Inputs!$B$4:$B$150,$B32)/1000)</f>
        <v>7367</v>
      </c>
      <c r="K32" s="11">
        <f>IF(K$3=0,"",SUMIFS(INDEX(Inputs!$D$4:$AG$150,0,MATCH(K$2,Inputs!$D$2:$AG$2,0)),Inputs!$B$4:$B$150,$B32)/1000)</f>
        <v>6182</v>
      </c>
      <c r="L32" s="11">
        <f>IF(L$3=0,"",SUMIFS(INDEX(Inputs!$D$4:$AG$150,0,MATCH(L$2,Inputs!$D$2:$AG$2,0)),Inputs!$B$4:$B$150,$B32)/1000)</f>
        <v>634</v>
      </c>
      <c r="M32" s="12">
        <f>IF(L32="","",L32)</f>
        <v>634</v>
      </c>
      <c r="N32" s="11">
        <f>IF(N$3=0,"",SUMIFS(INDEX(Inputs!$D$4:$AG$150,0,MATCH(N$2,Inputs!$D$2:$AG$2,0)),Inputs!$B$4:$B$150,$B32)/1000)</f>
        <v>2296</v>
      </c>
      <c r="O32" s="11">
        <f>IF(O$3=0,"",SUMIFS(INDEX(Inputs!$D$4:$AG$150,0,MATCH(O$2,Inputs!$D$2:$AG$2,0)),Inputs!$B$4:$B$150,$B32)/1000)</f>
        <v>3929</v>
      </c>
      <c r="P32" s="11">
        <f>IF(P$3=0,"",SUMIFS(INDEX(Inputs!$D$4:$AG$150,0,MATCH(P$2,Inputs!$D$2:$AG$2,0)),Inputs!$B$4:$B$150,$B32)/1000)</f>
        <v>4743</v>
      </c>
      <c r="Q32" s="11">
        <f>IF(Q$3=0,"",SUMIFS(INDEX(Inputs!$D$4:$AG$150,0,MATCH(Q$2,Inputs!$D$2:$AG$2,0)),Inputs!$B$4:$B$150,$B32)/1000)</f>
        <v>4090</v>
      </c>
      <c r="R32" s="12">
        <f>IF(Q32="","",Q32)</f>
        <v>4090</v>
      </c>
      <c r="S32" s="11">
        <f>IF(S$3=0,"",SUMIFS(INDEX(Inputs!$D$4:$AG$150,0,MATCH(S$2,Inputs!$D$2:$AG$2,0)),Inputs!$B$4:$B$150,$B32)/1000)</f>
        <v>8227</v>
      </c>
      <c r="T32" s="11">
        <f>IF(T$3=0,"",SUMIFS(INDEX(Inputs!$D$4:$AG$150,0,MATCH(T$2,Inputs!$D$2:$AG$2,0)),Inputs!$B$4:$B$150,$B32)/1000)</f>
        <v>6621</v>
      </c>
      <c r="U32" s="11">
        <f>IF(U$3=0,"",SUMIFS(INDEX(Inputs!$D$4:$AG$150,0,MATCH(U$2,Inputs!$D$2:$AG$2,0)),Inputs!$B$4:$B$150,$B32)/1000)</f>
        <v>5632</v>
      </c>
      <c r="V32" s="11">
        <f>IF(V$3=0,"",SUMIFS(INDEX(Inputs!$D$4:$AG$150,0,MATCH(V$2,Inputs!$D$2:$AG$2,0)),Inputs!$B$4:$B$150,$B32)/1000)</f>
        <v>4955</v>
      </c>
      <c r="W32" s="12">
        <f>IF(V32="","",V32)</f>
        <v>4955</v>
      </c>
      <c r="X32" s="11">
        <f>IF(X$3=0,"",SUMIFS(INDEX(Inputs!$D$4:$AG$150,0,MATCH(X$2,Inputs!$D$2:$AG$2,0)),Inputs!$B$4:$B$150,$B32)/1000)</f>
        <v>4728</v>
      </c>
      <c r="Y32" s="11">
        <f>IF(Y$3=0,"",SUMIFS(INDEX(Inputs!$D$4:$AG$150,0,MATCH(Y$2,Inputs!$D$2:$AG$2,0)),Inputs!$B$4:$B$150,$B32)/1000)</f>
        <v>5419</v>
      </c>
      <c r="Z32" s="11">
        <f>IF(Z$3=0,"",SUMIFS(INDEX(Inputs!$D$4:$AG$150,0,MATCH(Z$2,Inputs!$D$2:$AG$2,0)),Inputs!$B$4:$B$150,$B32)/1000)</f>
        <v>9212</v>
      </c>
      <c r="AA32" s="11">
        <f>IF(AA$3=0,"",SUMIFS(INDEX(Inputs!$D$4:$AG$150,0,MATCH(AA$2,Inputs!$D$2:$AG$2,0)),Inputs!$B$4:$B$150,$B32)/1000)</f>
        <v>9296</v>
      </c>
      <c r="AB32" s="12">
        <f>IF(AA32="","",AA32)</f>
        <v>9296</v>
      </c>
      <c r="AC32" s="11">
        <f>IF(AC$3=0,"",SUMIFS(INDEX(Inputs!$D$4:$AG$150,0,MATCH(AC$2,Inputs!$D$2:$AG$2,0)),Inputs!$B$4:$B$150,$B32)/1000)</f>
        <v>14531</v>
      </c>
      <c r="AD32" s="11">
        <f>IF(AD$3=0,"",SUMIFS(INDEX(Inputs!$D$4:$AG$150,0,MATCH(AD$2,Inputs!$D$2:$AG$2,0)),Inputs!$B$4:$B$150,$B32)/1000)</f>
        <v>10139</v>
      </c>
      <c r="AE32" s="11" t="str">
        <f>IF(AE$3=0,"",SUMIFS(INDEX(Inputs!$D$4:$AG$150,0,MATCH(AE$2,Inputs!$D$2:$AG$2,0)),Inputs!$B$4:$B$150,$B32)/1000)</f>
        <v/>
      </c>
      <c r="AF32" s="11" t="str">
        <f>IF(AF$3=0,"",SUMIFS(INDEX(Inputs!$D$4:$AG$150,0,MATCH(AF$2,Inputs!$D$2:$AG$2,0)),Inputs!$B$4:$B$150,$B32)/1000)</f>
        <v/>
      </c>
      <c r="AG32" s="12" t="str">
        <f>IF(AF32="","",AF32)</f>
        <v/>
      </c>
    </row>
    <row r="33">
      <c r="B33" s="9" t="n">
        <v>28</v>
      </c>
      <c r="C33" s="14" t="inlineStr">
        <is>
          <t>Short term debt (Revolving credit facility)</t>
        </is>
      </c>
      <c r="D33" s="11">
        <f>IF(D$3=0,"",SUMIFS(INDEX(Inputs!$D$4:$AG$150,0,MATCH(D$2,Inputs!$D$2:$AG$2,0)),Inputs!$B$4:$B$150,$B33)/1000)</f>
        <v>0</v>
      </c>
      <c r="E33" s="11">
        <f>IF(E$3=0,"",SUMIFS(INDEX(Inputs!$D$4:$AG$150,0,MATCH(E$2,Inputs!$D$2:$AG$2,0)),Inputs!$B$4:$B$150,$B33)/1000)</f>
        <v>0</v>
      </c>
      <c r="F33" s="11">
        <f>IF(F$3=0,"",SUMIFS(INDEX(Inputs!$D$4:$AG$150,0,MATCH(F$2,Inputs!$D$2:$AG$2,0)),Inputs!$B$4:$B$150,$B33)/1000)</f>
        <v>0</v>
      </c>
      <c r="G33" s="11">
        <f>IF(G$3=0,"",SUMIFS(INDEX(Inputs!$D$4:$AG$150,0,MATCH(G$2,Inputs!$D$2:$AG$2,0)),Inputs!$B$4:$B$150,$B33)/1000)</f>
        <v>0</v>
      </c>
      <c r="H33" s="12">
        <f>IF(G33="","",G33)</f>
        <v>0</v>
      </c>
      <c r="I33" s="11">
        <f>IF(I$3=0,"",SUMIFS(INDEX(Inputs!$D$4:$AG$150,0,MATCH(I$2,Inputs!$D$2:$AG$2,0)),Inputs!$B$4:$B$150,$B33)/1000)</f>
        <v>0</v>
      </c>
      <c r="J33" s="11">
        <f>IF(J$3=0,"",SUMIFS(INDEX(Inputs!$D$4:$AG$150,0,MATCH(J$2,Inputs!$D$2:$AG$2,0)),Inputs!$B$4:$B$150,$B33)/1000)</f>
        <v>0</v>
      </c>
      <c r="K33" s="11">
        <f>IF(K$3=0,"",SUMIFS(INDEX(Inputs!$D$4:$AG$150,0,MATCH(K$2,Inputs!$D$2:$AG$2,0)),Inputs!$B$4:$B$150,$B33)/1000)</f>
        <v>0</v>
      </c>
      <c r="L33" s="11">
        <f>IF(L$3=0,"",SUMIFS(INDEX(Inputs!$D$4:$AG$150,0,MATCH(L$2,Inputs!$D$2:$AG$2,0)),Inputs!$B$4:$B$150,$B33)/1000)</f>
        <v>0</v>
      </c>
      <c r="M33" s="12">
        <f>IF(L33="","",L33)</f>
        <v>0</v>
      </c>
      <c r="N33" s="11">
        <f>IF(N$3=0,"",SUMIFS(INDEX(Inputs!$D$4:$AG$150,0,MATCH(N$2,Inputs!$D$2:$AG$2,0)),Inputs!$B$4:$B$150,$B33)/1000)</f>
        <v>0</v>
      </c>
      <c r="O33" s="11">
        <f>IF(O$3=0,"",SUMIFS(INDEX(Inputs!$D$4:$AG$150,0,MATCH(O$2,Inputs!$D$2:$AG$2,0)),Inputs!$B$4:$B$150,$B33)/1000)</f>
        <v>0</v>
      </c>
      <c r="P33" s="11">
        <f>IF(P$3=0,"",SUMIFS(INDEX(Inputs!$D$4:$AG$150,0,MATCH(P$2,Inputs!$D$2:$AG$2,0)),Inputs!$B$4:$B$150,$B33)/1000)</f>
        <v>0</v>
      </c>
      <c r="Q33" s="11">
        <f>IF(Q$3=0,"",SUMIFS(INDEX(Inputs!$D$4:$AG$150,0,MATCH(Q$2,Inputs!$D$2:$AG$2,0)),Inputs!$B$4:$B$150,$B33)/1000)</f>
        <v>0</v>
      </c>
      <c r="R33" s="12">
        <f>IF(Q33="","",Q33)</f>
        <v>0</v>
      </c>
      <c r="S33" s="11">
        <f>IF(S$3=0,"",SUMIFS(INDEX(Inputs!$D$4:$AG$150,0,MATCH(S$2,Inputs!$D$2:$AG$2,0)),Inputs!$B$4:$B$150,$B33)/1000)</f>
        <v>0</v>
      </c>
      <c r="T33" s="11">
        <f>IF(T$3=0,"",SUMIFS(INDEX(Inputs!$D$4:$AG$150,0,MATCH(T$2,Inputs!$D$2:$AG$2,0)),Inputs!$B$4:$B$150,$B33)/1000)</f>
        <v>0</v>
      </c>
      <c r="U33" s="11">
        <f>IF(U$3=0,"",SUMIFS(INDEX(Inputs!$D$4:$AG$150,0,MATCH(U$2,Inputs!$D$2:$AG$2,0)),Inputs!$B$4:$B$150,$B33)/1000)</f>
        <v>0</v>
      </c>
      <c r="V33" s="11">
        <f>IF(V$3=0,"",SUMIFS(INDEX(Inputs!$D$4:$AG$150,0,MATCH(V$2,Inputs!$D$2:$AG$2,0)),Inputs!$B$4:$B$150,$B33)/1000)</f>
        <v>0</v>
      </c>
      <c r="W33" s="12">
        <f>IF(V33="","",V33)</f>
        <v>0</v>
      </c>
      <c r="X33" s="11">
        <f>IF(X$3=0,"",SUMIFS(INDEX(Inputs!$D$4:$AG$150,0,MATCH(X$2,Inputs!$D$2:$AG$2,0)),Inputs!$B$4:$B$150,$B33)/1000)</f>
        <v>0</v>
      </c>
      <c r="Y33" s="11">
        <f>IF(Y$3=0,"",SUMIFS(INDEX(Inputs!$D$4:$AG$150,0,MATCH(Y$2,Inputs!$D$2:$AG$2,0)),Inputs!$B$4:$B$150,$B33)/1000)</f>
        <v>0</v>
      </c>
      <c r="Z33" s="11">
        <f>IF(Z$3=0,"",SUMIFS(INDEX(Inputs!$D$4:$AG$150,0,MATCH(Z$2,Inputs!$D$2:$AG$2,0)),Inputs!$B$4:$B$150,$B33)/1000)</f>
        <v>0</v>
      </c>
      <c r="AA33" s="11">
        <f>IF(AA$3=0,"",SUMIFS(INDEX(Inputs!$D$4:$AG$150,0,MATCH(AA$2,Inputs!$D$2:$AG$2,0)),Inputs!$B$4:$B$150,$B33)/1000)</f>
        <v>0</v>
      </c>
      <c r="AB33" s="12">
        <f>IF(AA33="","",AA33)</f>
        <v>0</v>
      </c>
      <c r="AC33" s="11">
        <f>IF(AC$3=0,"",SUMIFS(INDEX(Inputs!$D$4:$AG$150,0,MATCH(AC$2,Inputs!$D$2:$AG$2,0)),Inputs!$B$4:$B$150,$B33)/1000)</f>
        <v>0</v>
      </c>
      <c r="AD33" s="11">
        <f>IF(AD$3=0,"",SUMIFS(INDEX(Inputs!$D$4:$AG$150,0,MATCH(AD$2,Inputs!$D$2:$AG$2,0)),Inputs!$B$4:$B$150,$B33)/1000)</f>
        <v>0</v>
      </c>
      <c r="AE33" s="11" t="str">
        <f>IF(AE$3=0,"",SUMIFS(INDEX(Inputs!$D$4:$AG$150,0,MATCH(AE$2,Inputs!$D$2:$AG$2,0)),Inputs!$B$4:$B$150,$B33)/1000)</f>
        <v/>
      </c>
      <c r="AF33" s="11" t="str">
        <f>IF(AF$3=0,"",SUMIFS(INDEX(Inputs!$D$4:$AG$150,0,MATCH(AF$2,Inputs!$D$2:$AG$2,0)),Inputs!$B$4:$B$150,$B33)/1000)</f>
        <v/>
      </c>
      <c r="AG33" s="12" t="str">
        <f>IF(AF33="","",AF33)</f>
        <v/>
      </c>
    </row>
    <row r="34">
      <c r="B34" s="9" t="n">
        <v>29</v>
      </c>
      <c r="C34" s="14" t="inlineStr">
        <is>
          <t>Short term operating leases</t>
        </is>
      </c>
      <c r="D34" s="11">
        <f>IF(D$3=0,"",SUMIFS(INDEX(Inputs!$D$4:$AG$150,0,MATCH(D$2,Inputs!$D$2:$AG$2,0)),Inputs!$B$4:$B$150,$B34)/1000)</f>
        <v>0</v>
      </c>
      <c r="E34" s="11">
        <f>IF(E$3=0,"",SUMIFS(INDEX(Inputs!$D$4:$AG$150,0,MATCH(E$2,Inputs!$D$2:$AG$2,0)),Inputs!$B$4:$B$150,$B34)/1000)</f>
        <v>0</v>
      </c>
      <c r="F34" s="11">
        <f>IF(F$3=0,"",SUMIFS(INDEX(Inputs!$D$4:$AG$150,0,MATCH(F$2,Inputs!$D$2:$AG$2,0)),Inputs!$B$4:$B$150,$B34)/1000)</f>
        <v>0</v>
      </c>
      <c r="G34" s="11">
        <f>IF(G$3=0,"",SUMIFS(INDEX(Inputs!$D$4:$AG$150,0,MATCH(G$2,Inputs!$D$2:$AG$2,0)),Inputs!$B$4:$B$150,$B34)/1000)</f>
        <v>0</v>
      </c>
      <c r="H34" s="12">
        <f>IF(G34="","",G34)</f>
        <v>0</v>
      </c>
      <c r="I34" s="11">
        <f>IF(I$3=0,"",SUMIFS(INDEX(Inputs!$D$4:$AG$150,0,MATCH(I$2,Inputs!$D$2:$AG$2,0)),Inputs!$B$4:$B$150,$B34)/1000)</f>
        <v>0</v>
      </c>
      <c r="J34" s="11">
        <f>IF(J$3=0,"",SUMIFS(INDEX(Inputs!$D$4:$AG$150,0,MATCH(J$2,Inputs!$D$2:$AG$2,0)),Inputs!$B$4:$B$150,$B34)/1000)</f>
        <v>0</v>
      </c>
      <c r="K34" s="11">
        <f>IF(K$3=0,"",SUMIFS(INDEX(Inputs!$D$4:$AG$150,0,MATCH(K$2,Inputs!$D$2:$AG$2,0)),Inputs!$B$4:$B$150,$B34)/1000)</f>
        <v>0</v>
      </c>
      <c r="L34" s="11">
        <f>IF(L$3=0,"",SUMIFS(INDEX(Inputs!$D$4:$AG$150,0,MATCH(L$2,Inputs!$D$2:$AG$2,0)),Inputs!$B$4:$B$150,$B34)/1000)</f>
        <v>0</v>
      </c>
      <c r="M34" s="12">
        <f>IF(L34="","",L34)</f>
        <v>0</v>
      </c>
      <c r="N34" s="11">
        <f>IF(N$3=0,"",SUMIFS(INDEX(Inputs!$D$4:$AG$150,0,MATCH(N$2,Inputs!$D$2:$AG$2,0)),Inputs!$B$4:$B$150,$B34)/1000)</f>
        <v>0</v>
      </c>
      <c r="O34" s="11">
        <f>IF(O$3=0,"",SUMIFS(INDEX(Inputs!$D$4:$AG$150,0,MATCH(O$2,Inputs!$D$2:$AG$2,0)),Inputs!$B$4:$B$150,$B34)/1000)</f>
        <v>0</v>
      </c>
      <c r="P34" s="11">
        <f>IF(P$3=0,"",SUMIFS(INDEX(Inputs!$D$4:$AG$150,0,MATCH(P$2,Inputs!$D$2:$AG$2,0)),Inputs!$B$4:$B$150,$B34)/1000)</f>
        <v>0</v>
      </c>
      <c r="Q34" s="11">
        <f>IF(Q$3=0,"",SUMIFS(INDEX(Inputs!$D$4:$AG$150,0,MATCH(Q$2,Inputs!$D$2:$AG$2,0)),Inputs!$B$4:$B$150,$B34)/1000)</f>
        <v>0</v>
      </c>
      <c r="R34" s="12">
        <f>IF(Q34="","",Q34)</f>
        <v>0</v>
      </c>
      <c r="S34" s="11">
        <f>IF(S$3=0,"",SUMIFS(INDEX(Inputs!$D$4:$AG$150,0,MATCH(S$2,Inputs!$D$2:$AG$2,0)),Inputs!$B$4:$B$150,$B34)/1000)</f>
        <v>0</v>
      </c>
      <c r="T34" s="11">
        <f>IF(T$3=0,"",SUMIFS(INDEX(Inputs!$D$4:$AG$150,0,MATCH(T$2,Inputs!$D$2:$AG$2,0)),Inputs!$B$4:$B$150,$B34)/1000)</f>
        <v>0</v>
      </c>
      <c r="U34" s="11">
        <f>IF(U$3=0,"",SUMIFS(INDEX(Inputs!$D$4:$AG$150,0,MATCH(U$2,Inputs!$D$2:$AG$2,0)),Inputs!$B$4:$B$150,$B34)/1000)</f>
        <v>0</v>
      </c>
      <c r="V34" s="11">
        <f>IF(V$3=0,"",SUMIFS(INDEX(Inputs!$D$4:$AG$150,0,MATCH(V$2,Inputs!$D$2:$AG$2,0)),Inputs!$B$4:$B$150,$B34)/1000)</f>
        <v>0</v>
      </c>
      <c r="W34" s="12">
        <f>IF(V34="","",V34)</f>
        <v>0</v>
      </c>
      <c r="X34" s="11">
        <f>IF(X$3=0,"",SUMIFS(INDEX(Inputs!$D$4:$AG$150,0,MATCH(X$2,Inputs!$D$2:$AG$2,0)),Inputs!$B$4:$B$150,$B34)/1000)</f>
        <v>0</v>
      </c>
      <c r="Y34" s="11">
        <f>IF(Y$3=0,"",SUMIFS(INDEX(Inputs!$D$4:$AG$150,0,MATCH(Y$2,Inputs!$D$2:$AG$2,0)),Inputs!$B$4:$B$150,$B34)/1000)</f>
        <v>0</v>
      </c>
      <c r="Z34" s="11">
        <f>IF(Z$3=0,"",SUMIFS(INDEX(Inputs!$D$4:$AG$150,0,MATCH(Z$2,Inputs!$D$2:$AG$2,0)),Inputs!$B$4:$B$150,$B34)/1000)</f>
        <v>0</v>
      </c>
      <c r="AA34" s="11">
        <f>IF(AA$3=0,"",SUMIFS(INDEX(Inputs!$D$4:$AG$150,0,MATCH(AA$2,Inputs!$D$2:$AG$2,0)),Inputs!$B$4:$B$150,$B34)/1000)</f>
        <v>0</v>
      </c>
      <c r="AB34" s="12">
        <f>IF(AA34="","",AA34)</f>
        <v>0</v>
      </c>
      <c r="AC34" s="11">
        <f>IF(AC$3=0,"",SUMIFS(INDEX(Inputs!$D$4:$AG$150,0,MATCH(AC$2,Inputs!$D$2:$AG$2,0)),Inputs!$B$4:$B$150,$B34)/1000)</f>
        <v>0</v>
      </c>
      <c r="AD34" s="11">
        <f>IF(AD$3=0,"",SUMIFS(INDEX(Inputs!$D$4:$AG$150,0,MATCH(AD$2,Inputs!$D$2:$AG$2,0)),Inputs!$B$4:$B$150,$B34)/1000)</f>
        <v>0</v>
      </c>
      <c r="AE34" s="11" t="str">
        <f>IF(AE$3=0,"",SUMIFS(INDEX(Inputs!$D$4:$AG$150,0,MATCH(AE$2,Inputs!$D$2:$AG$2,0)),Inputs!$B$4:$B$150,$B34)/1000)</f>
        <v/>
      </c>
      <c r="AF34" s="11" t="str">
        <f>IF(AF$3=0,"",SUMIFS(INDEX(Inputs!$D$4:$AG$150,0,MATCH(AF$2,Inputs!$D$2:$AG$2,0)),Inputs!$B$4:$B$150,$B34)/1000)</f>
        <v/>
      </c>
      <c r="AG34" s="12" t="str">
        <f>IF(AF34="","",AF34)</f>
        <v/>
      </c>
    </row>
    <row r="35">
      <c r="B35" s="9" t="n">
        <v>30</v>
      </c>
      <c r="C35" s="14" t="inlineStr">
        <is>
          <t>Long term debt</t>
        </is>
      </c>
      <c r="D35" s="11">
        <f>IF(D$3=0,"",SUMIFS(INDEX(Inputs!$D$4:$AG$150,0,MATCH(D$2,Inputs!$D$2:$AG$2,0)),Inputs!$B$4:$B$150,$B35)/1000)</f>
        <v>45137</v>
      </c>
      <c r="E35" s="11">
        <f>IF(E$3=0,"",SUMIFS(INDEX(Inputs!$D$4:$AG$150,0,MATCH(E$2,Inputs!$D$2:$AG$2,0)),Inputs!$B$4:$B$150,$B35)/1000)</f>
        <v>45319</v>
      </c>
      <c r="F35" s="11">
        <f>IF(F$3=0,"",SUMIFS(INDEX(Inputs!$D$4:$AG$150,0,MATCH(F$2,Inputs!$D$2:$AG$2,0)),Inputs!$B$4:$B$150,$B35)/1000)</f>
        <v>43639</v>
      </c>
      <c r="G35" s="11">
        <f>IF(G$3=0,"",SUMIFS(INDEX(Inputs!$D$4:$AG$150,0,MATCH(G$2,Inputs!$D$2:$AG$2,0)),Inputs!$B$4:$B$150,$B35)/1000)</f>
        <v>43428</v>
      </c>
      <c r="H35" s="12">
        <f>IF(G35="","",G35)</f>
        <v>43428</v>
      </c>
      <c r="I35" s="11">
        <f>IF(I$3=0,"",SUMIFS(INDEX(Inputs!$D$4:$AG$150,0,MATCH(I$2,Inputs!$D$2:$AG$2,0)),Inputs!$B$4:$B$150,$B35)/1000)</f>
        <v>42651</v>
      </c>
      <c r="J35" s="11">
        <f>IF(J$3=0,"",SUMIFS(INDEX(Inputs!$D$4:$AG$150,0,MATCH(J$2,Inputs!$D$2:$AG$2,0)),Inputs!$B$4:$B$150,$B35)/1000)</f>
        <v>39516</v>
      </c>
      <c r="K35" s="11">
        <f>IF(K$3=0,"",SUMIFS(INDEX(Inputs!$D$4:$AG$150,0,MATCH(K$2,Inputs!$D$2:$AG$2,0)),Inputs!$B$4:$B$150,$B35)/1000)</f>
        <v>39246</v>
      </c>
      <c r="L35" s="11">
        <f>IF(L$3=0,"",SUMIFS(INDEX(Inputs!$D$4:$AG$150,0,MATCH(L$2,Inputs!$D$2:$AG$2,0)),Inputs!$B$4:$B$150,$B35)/1000)</f>
        <v>40559</v>
      </c>
      <c r="M35" s="12">
        <f>IF(L35="","",L35)</f>
        <v>40559</v>
      </c>
      <c r="N35" s="11">
        <f>IF(N$3=0,"",SUMIFS(INDEX(Inputs!$D$4:$AG$150,0,MATCH(N$2,Inputs!$D$2:$AG$2,0)),Inputs!$B$4:$B$150,$B35)/1000)</f>
        <v>39150</v>
      </c>
      <c r="O35" s="11">
        <f>IF(O$3=0,"",SUMIFS(INDEX(Inputs!$D$4:$AG$150,0,MATCH(O$2,Inputs!$D$2:$AG$2,0)),Inputs!$B$4:$B$150,$B35)/1000)</f>
        <v>37567</v>
      </c>
      <c r="P35" s="11">
        <f>IF(P$3=0,"",SUMIFS(INDEX(Inputs!$D$4:$AG$150,0,MATCH(P$2,Inputs!$D$2:$AG$2,0)),Inputs!$B$4:$B$150,$B35)/1000)</f>
        <v>36510</v>
      </c>
      <c r="Q35" s="11">
        <f>IF(Q$3=0,"",SUMIFS(INDEX(Inputs!$D$4:$AG$150,0,MATCH(Q$2,Inputs!$D$2:$AG$2,0)),Inputs!$B$4:$B$150,$B35)/1000)</f>
        <v>37483</v>
      </c>
      <c r="R35" s="12">
        <f>IF(Q35="","",Q35)</f>
        <v>37483</v>
      </c>
      <c r="S35" s="11">
        <f>IF(S$3=0,"",SUMIFS(INDEX(Inputs!$D$4:$AG$150,0,MATCH(S$2,Inputs!$D$2:$AG$2,0)),Inputs!$B$4:$B$150,$B35)/1000)</f>
        <v>32213</v>
      </c>
      <c r="T35" s="11">
        <f>IF(T$3=0,"",SUMIFS(INDEX(Inputs!$D$4:$AG$150,0,MATCH(T$2,Inputs!$D$2:$AG$2,0)),Inputs!$B$4:$B$150,$B35)/1000)</f>
        <v>36565</v>
      </c>
      <c r="U35" s="11">
        <f>IF(U$3=0,"",SUMIFS(INDEX(Inputs!$D$4:$AG$150,0,MATCH(U$2,Inputs!$D$2:$AG$2,0)),Inputs!$B$4:$B$150,$B35)/1000)</f>
        <v>36918</v>
      </c>
      <c r="V35" s="11">
        <f>IF(V$3=0,"",SUMIFS(INDEX(Inputs!$D$4:$AG$150,0,MATCH(V$2,Inputs!$D$2:$AG$2,0)),Inputs!$B$4:$B$150,$B35)/1000)</f>
        <v>36755</v>
      </c>
      <c r="W35" s="12">
        <f>IF(V35="","",V35)</f>
        <v>36755</v>
      </c>
      <c r="X35" s="11">
        <f>IF(X$3=0,"",SUMIFS(INDEX(Inputs!$D$4:$AG$150,0,MATCH(X$2,Inputs!$D$2:$AG$2,0)),Inputs!$B$4:$B$150,$B35)/1000)</f>
        <v>32823</v>
      </c>
      <c r="Y35" s="11">
        <f>IF(Y$3=0,"",SUMIFS(INDEX(Inputs!$D$4:$AG$150,0,MATCH(Y$2,Inputs!$D$2:$AG$2,0)),Inputs!$B$4:$B$150,$B35)/1000)</f>
        <v>33570</v>
      </c>
      <c r="Z35" s="11">
        <f>IF(Z$3=0,"",SUMIFS(INDEX(Inputs!$D$4:$AG$150,0,MATCH(Z$2,Inputs!$D$2:$AG$2,0)),Inputs!$B$4:$B$150,$B35)/1000)</f>
        <v>32824</v>
      </c>
      <c r="AA35" s="11">
        <f>IF(AA$3=0,"",SUMIFS(INDEX(Inputs!$D$4:$AG$150,0,MATCH(AA$2,Inputs!$D$2:$AG$2,0)),Inputs!$B$4:$B$150,$B35)/1000)</f>
        <v>34241</v>
      </c>
      <c r="AB35" s="12">
        <f>IF(AA35="","",AA35)</f>
        <v>34241</v>
      </c>
      <c r="AC35" s="11">
        <f>IF(AC$3=0,"",SUMIFS(INDEX(Inputs!$D$4:$AG$150,0,MATCH(AC$2,Inputs!$D$2:$AG$2,0)),Inputs!$B$4:$B$150,$B35)/1000)</f>
        <v>33130</v>
      </c>
      <c r="AD35" s="11">
        <f>IF(AD$3=0,"",SUMIFS(INDEX(Inputs!$D$4:$AG$150,0,MATCH(AD$2,Inputs!$D$2:$AG$2,0)),Inputs!$B$4:$B$150,$B35)/1000)</f>
        <v>32229</v>
      </c>
      <c r="AE35" s="11" t="str">
        <f>IF(AE$3=0,"",SUMIFS(INDEX(Inputs!$D$4:$AG$150,0,MATCH(AE$2,Inputs!$D$2:$AG$2,0)),Inputs!$B$4:$B$150,$B35)/1000)</f>
        <v/>
      </c>
      <c r="AF35" s="11" t="str">
        <f>IF(AF$3=0,"",SUMIFS(INDEX(Inputs!$D$4:$AG$150,0,MATCH(AF$2,Inputs!$D$2:$AG$2,0)),Inputs!$B$4:$B$150,$B35)/1000)</f>
        <v/>
      </c>
      <c r="AG35" s="12" t="str">
        <f>IF(AF35="","",AF35)</f>
        <v/>
      </c>
    </row>
    <row r="36">
      <c r="B36" s="9" t="n">
        <v>31</v>
      </c>
      <c r="C36" s="14" t="inlineStr">
        <is>
          <t>Long term operating leases</t>
        </is>
      </c>
      <c r="D36" s="11">
        <f>IF(D$3=0,"",SUMIFS(INDEX(Inputs!$D$4:$AG$150,0,MATCH(D$2,Inputs!$D$2:$AG$2,0)),Inputs!$B$4:$B$150,$B36)/1000)</f>
        <v>0</v>
      </c>
      <c r="E36" s="11">
        <f>IF(E$3=0,"",SUMIFS(INDEX(Inputs!$D$4:$AG$150,0,MATCH(E$2,Inputs!$D$2:$AG$2,0)),Inputs!$B$4:$B$150,$B36)/1000)</f>
        <v>0</v>
      </c>
      <c r="F36" s="11">
        <f>IF(F$3=0,"",SUMIFS(INDEX(Inputs!$D$4:$AG$150,0,MATCH(F$2,Inputs!$D$2:$AG$2,0)),Inputs!$B$4:$B$150,$B36)/1000)</f>
        <v>0</v>
      </c>
      <c r="G36" s="11">
        <f>IF(G$3=0,"",SUMIFS(INDEX(Inputs!$D$4:$AG$150,0,MATCH(G$2,Inputs!$D$2:$AG$2,0)),Inputs!$B$4:$B$150,$B36)/1000)</f>
        <v>0</v>
      </c>
      <c r="H36" s="12">
        <f>IF(G36="","",G36)</f>
        <v>0</v>
      </c>
      <c r="I36" s="11">
        <f>IF(I$3=0,"",SUMIFS(INDEX(Inputs!$D$4:$AG$150,0,MATCH(I$2,Inputs!$D$2:$AG$2,0)),Inputs!$B$4:$B$150,$B36)/1000)</f>
        <v>0</v>
      </c>
      <c r="J36" s="11">
        <f>IF(J$3=0,"",SUMIFS(INDEX(Inputs!$D$4:$AG$150,0,MATCH(J$2,Inputs!$D$2:$AG$2,0)),Inputs!$B$4:$B$150,$B36)/1000)</f>
        <v>0</v>
      </c>
      <c r="K36" s="11">
        <f>IF(K$3=0,"",SUMIFS(INDEX(Inputs!$D$4:$AG$150,0,MATCH(K$2,Inputs!$D$2:$AG$2,0)),Inputs!$B$4:$B$150,$B36)/1000)</f>
        <v>0</v>
      </c>
      <c r="L36" s="11">
        <f>IF(L$3=0,"",SUMIFS(INDEX(Inputs!$D$4:$AG$150,0,MATCH(L$2,Inputs!$D$2:$AG$2,0)),Inputs!$B$4:$B$150,$B36)/1000)</f>
        <v>0</v>
      </c>
      <c r="M36" s="12">
        <f>IF(L36="","",L36)</f>
        <v>0</v>
      </c>
      <c r="N36" s="11">
        <f>IF(N$3=0,"",SUMIFS(INDEX(Inputs!$D$4:$AG$150,0,MATCH(N$2,Inputs!$D$2:$AG$2,0)),Inputs!$B$4:$B$150,$B36)/1000)</f>
        <v>0</v>
      </c>
      <c r="O36" s="11">
        <f>IF(O$3=0,"",SUMIFS(INDEX(Inputs!$D$4:$AG$150,0,MATCH(O$2,Inputs!$D$2:$AG$2,0)),Inputs!$B$4:$B$150,$B36)/1000)</f>
        <v>0</v>
      </c>
      <c r="P36" s="11">
        <f>IF(P$3=0,"",SUMIFS(INDEX(Inputs!$D$4:$AG$150,0,MATCH(P$2,Inputs!$D$2:$AG$2,0)),Inputs!$B$4:$B$150,$B36)/1000)</f>
        <v>0</v>
      </c>
      <c r="Q36" s="11">
        <f>IF(Q$3=0,"",SUMIFS(INDEX(Inputs!$D$4:$AG$150,0,MATCH(Q$2,Inputs!$D$2:$AG$2,0)),Inputs!$B$4:$B$150,$B36)/1000)</f>
        <v>0</v>
      </c>
      <c r="R36" s="12">
        <f>IF(Q36="","",Q36)</f>
        <v>0</v>
      </c>
      <c r="S36" s="11">
        <f>IF(S$3=0,"",SUMIFS(INDEX(Inputs!$D$4:$AG$150,0,MATCH(S$2,Inputs!$D$2:$AG$2,0)),Inputs!$B$4:$B$150,$B36)/1000)</f>
        <v>0</v>
      </c>
      <c r="T36" s="11">
        <f>IF(T$3=0,"",SUMIFS(INDEX(Inputs!$D$4:$AG$150,0,MATCH(T$2,Inputs!$D$2:$AG$2,0)),Inputs!$B$4:$B$150,$B36)/1000)</f>
        <v>0</v>
      </c>
      <c r="U36" s="11">
        <f>IF(U$3=0,"",SUMIFS(INDEX(Inputs!$D$4:$AG$150,0,MATCH(U$2,Inputs!$D$2:$AG$2,0)),Inputs!$B$4:$B$150,$B36)/1000)</f>
        <v>0</v>
      </c>
      <c r="V36" s="11">
        <f>IF(V$3=0,"",SUMIFS(INDEX(Inputs!$D$4:$AG$150,0,MATCH(V$2,Inputs!$D$2:$AG$2,0)),Inputs!$B$4:$B$150,$B36)/1000)</f>
        <v>0</v>
      </c>
      <c r="W36" s="12">
        <f>IF(V36="","",V36)</f>
        <v>0</v>
      </c>
      <c r="X36" s="11">
        <f>IF(X$3=0,"",SUMIFS(INDEX(Inputs!$D$4:$AG$150,0,MATCH(X$2,Inputs!$D$2:$AG$2,0)),Inputs!$B$4:$B$150,$B36)/1000)</f>
        <v>0</v>
      </c>
      <c r="Y36" s="11">
        <f>IF(Y$3=0,"",SUMIFS(INDEX(Inputs!$D$4:$AG$150,0,MATCH(Y$2,Inputs!$D$2:$AG$2,0)),Inputs!$B$4:$B$150,$B36)/1000)</f>
        <v>0</v>
      </c>
      <c r="Z36" s="11">
        <f>IF(Z$3=0,"",SUMIFS(INDEX(Inputs!$D$4:$AG$150,0,MATCH(Z$2,Inputs!$D$2:$AG$2,0)),Inputs!$B$4:$B$150,$B36)/1000)</f>
        <v>0</v>
      </c>
      <c r="AA36" s="11">
        <f>IF(AA$3=0,"",SUMIFS(INDEX(Inputs!$D$4:$AG$150,0,MATCH(AA$2,Inputs!$D$2:$AG$2,0)),Inputs!$B$4:$B$150,$B36)/1000)</f>
        <v>0</v>
      </c>
      <c r="AB36" s="12">
        <f>IF(AA36="","",AA36)</f>
        <v>0</v>
      </c>
      <c r="AC36" s="11">
        <f>IF(AC$3=0,"",SUMIFS(INDEX(Inputs!$D$4:$AG$150,0,MATCH(AC$2,Inputs!$D$2:$AG$2,0)),Inputs!$B$4:$B$150,$B36)/1000)</f>
        <v>0</v>
      </c>
      <c r="AD36" s="11">
        <f>IF(AD$3=0,"",SUMIFS(INDEX(Inputs!$D$4:$AG$150,0,MATCH(AD$2,Inputs!$D$2:$AG$2,0)),Inputs!$B$4:$B$150,$B36)/1000)</f>
        <v>0</v>
      </c>
      <c r="AE36" s="11" t="str">
        <f>IF(AE$3=0,"",SUMIFS(INDEX(Inputs!$D$4:$AG$150,0,MATCH(AE$2,Inputs!$D$2:$AG$2,0)),Inputs!$B$4:$B$150,$B36)/1000)</f>
        <v/>
      </c>
      <c r="AF36" s="11" t="str">
        <f>IF(AF$3=0,"",SUMIFS(INDEX(Inputs!$D$4:$AG$150,0,MATCH(AF$2,Inputs!$D$2:$AG$2,0)),Inputs!$B$4:$B$150,$B36)/1000)</f>
        <v/>
      </c>
      <c r="AG36" s="12" t="str">
        <f>IF(AF36="","",AF36)</f>
        <v/>
      </c>
    </row>
    <row r="37">
      <c r="B37" s="9" t="n">
        <v>32</v>
      </c>
      <c r="C37" s="14" t="inlineStr">
        <is>
          <t>Convertible debt</t>
        </is>
      </c>
      <c r="D37" s="11">
        <f>IF(D$3=0,"",SUMIFS(INDEX(Inputs!$D$4:$AG$150,0,MATCH(D$2,Inputs!$D$2:$AG$2,0)),Inputs!$B$4:$B$150,$B37)/1000)</f>
        <v>0</v>
      </c>
      <c r="E37" s="11">
        <f>IF(E$3=0,"",SUMIFS(INDEX(Inputs!$D$4:$AG$150,0,MATCH(E$2,Inputs!$D$2:$AG$2,0)),Inputs!$B$4:$B$150,$B37)/1000)</f>
        <v>0</v>
      </c>
      <c r="F37" s="11">
        <f>IF(F$3=0,"",SUMIFS(INDEX(Inputs!$D$4:$AG$150,0,MATCH(F$2,Inputs!$D$2:$AG$2,0)),Inputs!$B$4:$B$150,$B37)/1000)</f>
        <v>0</v>
      </c>
      <c r="G37" s="11">
        <f>IF(G$3=0,"",SUMIFS(INDEX(Inputs!$D$4:$AG$150,0,MATCH(G$2,Inputs!$D$2:$AG$2,0)),Inputs!$B$4:$B$150,$B37)/1000)</f>
        <v>0</v>
      </c>
      <c r="H37" s="12">
        <f>IF(G37="","",G37)</f>
        <v>0</v>
      </c>
      <c r="I37" s="11">
        <f>IF(I$3=0,"",SUMIFS(INDEX(Inputs!$D$4:$AG$150,0,MATCH(I$2,Inputs!$D$2:$AG$2,0)),Inputs!$B$4:$B$150,$B37)/1000)</f>
        <v>0</v>
      </c>
      <c r="J37" s="11">
        <f>IF(J$3=0,"",SUMIFS(INDEX(Inputs!$D$4:$AG$150,0,MATCH(J$2,Inputs!$D$2:$AG$2,0)),Inputs!$B$4:$B$150,$B37)/1000)</f>
        <v>0</v>
      </c>
      <c r="K37" s="11">
        <f>IF(K$3=0,"",SUMIFS(INDEX(Inputs!$D$4:$AG$150,0,MATCH(K$2,Inputs!$D$2:$AG$2,0)),Inputs!$B$4:$B$150,$B37)/1000)</f>
        <v>0</v>
      </c>
      <c r="L37" s="11">
        <f>IF(L$3=0,"",SUMIFS(INDEX(Inputs!$D$4:$AG$150,0,MATCH(L$2,Inputs!$D$2:$AG$2,0)),Inputs!$B$4:$B$150,$B37)/1000)</f>
        <v>0</v>
      </c>
      <c r="M37" s="12">
        <f>IF(L37="","",L37)</f>
        <v>0</v>
      </c>
      <c r="N37" s="11">
        <f>IF(N$3=0,"",SUMIFS(INDEX(Inputs!$D$4:$AG$150,0,MATCH(N$2,Inputs!$D$2:$AG$2,0)),Inputs!$B$4:$B$150,$B37)/1000)</f>
        <v>0</v>
      </c>
      <c r="O37" s="11">
        <f>IF(O$3=0,"",SUMIFS(INDEX(Inputs!$D$4:$AG$150,0,MATCH(O$2,Inputs!$D$2:$AG$2,0)),Inputs!$B$4:$B$150,$B37)/1000)</f>
        <v>0</v>
      </c>
      <c r="P37" s="11">
        <f>IF(P$3=0,"",SUMIFS(INDEX(Inputs!$D$4:$AG$150,0,MATCH(P$2,Inputs!$D$2:$AG$2,0)),Inputs!$B$4:$B$150,$B37)/1000)</f>
        <v>0</v>
      </c>
      <c r="Q37" s="11">
        <f>IF(Q$3=0,"",SUMIFS(INDEX(Inputs!$D$4:$AG$150,0,MATCH(Q$2,Inputs!$D$2:$AG$2,0)),Inputs!$B$4:$B$150,$B37)/1000)</f>
        <v>0</v>
      </c>
      <c r="R37" s="12">
        <f>IF(Q37="","",Q37)</f>
        <v>0</v>
      </c>
      <c r="S37" s="11">
        <f>IF(S$3=0,"",SUMIFS(INDEX(Inputs!$D$4:$AG$150,0,MATCH(S$2,Inputs!$D$2:$AG$2,0)),Inputs!$B$4:$B$150,$B37)/1000)</f>
        <v>0</v>
      </c>
      <c r="T37" s="11">
        <f>IF(T$3=0,"",SUMIFS(INDEX(Inputs!$D$4:$AG$150,0,MATCH(T$2,Inputs!$D$2:$AG$2,0)),Inputs!$B$4:$B$150,$B37)/1000)</f>
        <v>0</v>
      </c>
      <c r="U37" s="11">
        <f>IF(U$3=0,"",SUMIFS(INDEX(Inputs!$D$4:$AG$150,0,MATCH(U$2,Inputs!$D$2:$AG$2,0)),Inputs!$B$4:$B$150,$B37)/1000)</f>
        <v>0</v>
      </c>
      <c r="V37" s="11">
        <f>IF(V$3=0,"",SUMIFS(INDEX(Inputs!$D$4:$AG$150,0,MATCH(V$2,Inputs!$D$2:$AG$2,0)),Inputs!$B$4:$B$150,$B37)/1000)</f>
        <v>0</v>
      </c>
      <c r="W37" s="12">
        <f>IF(V37="","",V37)</f>
        <v>0</v>
      </c>
      <c r="X37" s="11">
        <f>IF(X$3=0,"",SUMIFS(INDEX(Inputs!$D$4:$AG$150,0,MATCH(X$2,Inputs!$D$2:$AG$2,0)),Inputs!$B$4:$B$150,$B37)/1000)</f>
        <v>0</v>
      </c>
      <c r="Y37" s="11">
        <f>IF(Y$3=0,"",SUMIFS(INDEX(Inputs!$D$4:$AG$150,0,MATCH(Y$2,Inputs!$D$2:$AG$2,0)),Inputs!$B$4:$B$150,$B37)/1000)</f>
        <v>0</v>
      </c>
      <c r="Z37" s="11">
        <f>IF(Z$3=0,"",SUMIFS(INDEX(Inputs!$D$4:$AG$150,0,MATCH(Z$2,Inputs!$D$2:$AG$2,0)),Inputs!$B$4:$B$150,$B37)/1000)</f>
        <v>0</v>
      </c>
      <c r="AA37" s="11">
        <f>IF(AA$3=0,"",SUMIFS(INDEX(Inputs!$D$4:$AG$150,0,MATCH(AA$2,Inputs!$D$2:$AG$2,0)),Inputs!$B$4:$B$150,$B37)/1000)</f>
        <v>0</v>
      </c>
      <c r="AB37" s="12">
        <f>IF(AA37="","",AA37)</f>
        <v>0</v>
      </c>
      <c r="AC37" s="11">
        <f>IF(AC$3=0,"",SUMIFS(INDEX(Inputs!$D$4:$AG$150,0,MATCH(AC$2,Inputs!$D$2:$AG$2,0)),Inputs!$B$4:$B$150,$B37)/1000)</f>
        <v>0</v>
      </c>
      <c r="AD37" s="11">
        <f>IF(AD$3=0,"",SUMIFS(INDEX(Inputs!$D$4:$AG$150,0,MATCH(AD$2,Inputs!$D$2:$AG$2,0)),Inputs!$B$4:$B$150,$B37)/1000)</f>
        <v>0</v>
      </c>
      <c r="AE37" s="11" t="str">
        <f>IF(AE$3=0,"",SUMIFS(INDEX(Inputs!$D$4:$AG$150,0,MATCH(AE$2,Inputs!$D$2:$AG$2,0)),Inputs!$B$4:$B$150,$B37)/1000)</f>
        <v/>
      </c>
      <c r="AF37" s="11" t="str">
        <f>IF(AF$3=0,"",SUMIFS(INDEX(Inputs!$D$4:$AG$150,0,MATCH(AF$2,Inputs!$D$2:$AG$2,0)),Inputs!$B$4:$B$150,$B37)/1000)</f>
        <v/>
      </c>
      <c r="AG37" s="12" t="str">
        <f>IF(AF37="","",AF37)</f>
        <v/>
      </c>
    </row>
    <row r="38">
      <c r="B38" s="9" t="n">
        <v>33</v>
      </c>
      <c r="C38" s="14" t="inlineStr">
        <is>
          <t>Deferred income taxes</t>
        </is>
      </c>
      <c r="D38" s="11">
        <f>IF(D$3=0,"",SUMIFS(INDEX(Inputs!$D$4:$AG$150,0,MATCH(D$2,Inputs!$D$2:$AG$2,0)),Inputs!$B$4:$B$150,$B38)/1000)</f>
        <v>18113</v>
      </c>
      <c r="E38" s="11">
        <f>IF(E$3=0,"",SUMIFS(INDEX(Inputs!$D$4:$AG$150,0,MATCH(E$2,Inputs!$D$2:$AG$2,0)),Inputs!$B$4:$B$150,$B38)/1000)</f>
        <v>18511</v>
      </c>
      <c r="F38" s="11">
        <f>IF(F$3=0,"",SUMIFS(INDEX(Inputs!$D$4:$AG$150,0,MATCH(F$2,Inputs!$D$2:$AG$2,0)),Inputs!$B$4:$B$150,$B38)/1000)</f>
        <v>19008</v>
      </c>
      <c r="G38" s="11">
        <f>IF(G$3=0,"",SUMIFS(INDEX(Inputs!$D$4:$AG$150,0,MATCH(G$2,Inputs!$D$2:$AG$2,0)),Inputs!$B$4:$B$150,$B38)/1000)</f>
        <v>20165</v>
      </c>
      <c r="H38" s="12">
        <f>IF(G38="","",G38)</f>
        <v>20165</v>
      </c>
      <c r="I38" s="11">
        <f>IF(I$3=0,"",SUMIFS(INDEX(Inputs!$D$4:$AG$150,0,MATCH(I$2,Inputs!$D$2:$AG$2,0)),Inputs!$B$4:$B$150,$B38)/1000)</f>
        <v>19533</v>
      </c>
      <c r="J38" s="11">
        <f>IF(J$3=0,"",SUMIFS(INDEX(Inputs!$D$4:$AG$150,0,MATCH(J$2,Inputs!$D$2:$AG$2,0)),Inputs!$B$4:$B$150,$B38)/1000)</f>
        <v>20807</v>
      </c>
      <c r="K38" s="11">
        <f>IF(K$3=0,"",SUMIFS(INDEX(Inputs!$D$4:$AG$150,0,MATCH(K$2,Inputs!$D$2:$AG$2,0)),Inputs!$B$4:$B$150,$B38)/1000)</f>
        <v>21274</v>
      </c>
      <c r="L38" s="11">
        <f>IF(L$3=0,"",SUMIFS(INDEX(Inputs!$D$4:$AG$150,0,MATCH(L$2,Inputs!$D$2:$AG$2,0)),Inputs!$B$4:$B$150,$B38)/1000)</f>
        <v>22874</v>
      </c>
      <c r="M38" s="12">
        <f>IF(L38="","",L38)</f>
        <v>22874</v>
      </c>
      <c r="N38" s="11">
        <f>IF(N$3=0,"",SUMIFS(INDEX(Inputs!$D$4:$AG$150,0,MATCH(N$2,Inputs!$D$2:$AG$2,0)),Inputs!$B$4:$B$150,$B38)/1000)</f>
        <v>23195</v>
      </c>
      <c r="O38" s="11">
        <f>IF(O$3=0,"",SUMIFS(INDEX(Inputs!$D$4:$AG$150,0,MATCH(O$2,Inputs!$D$2:$AG$2,0)),Inputs!$B$4:$B$150,$B38)/1000)</f>
        <v>23460</v>
      </c>
      <c r="P38" s="11">
        <f>IF(P$3=0,"",SUMIFS(INDEX(Inputs!$D$4:$AG$150,0,MATCH(P$2,Inputs!$D$2:$AG$2,0)),Inputs!$B$4:$B$150,$B38)/1000)</f>
        <v>23912</v>
      </c>
      <c r="Q38" s="11">
        <f>IF(Q$3=0,"",SUMIFS(INDEX(Inputs!$D$4:$AG$150,0,MATCH(Q$2,Inputs!$D$2:$AG$2,0)),Inputs!$B$4:$B$150,$B38)/1000)</f>
        <v>24452</v>
      </c>
      <c r="R38" s="12">
        <f>IF(Q38="","",Q38)</f>
        <v>24452</v>
      </c>
      <c r="S38" s="11">
        <f>IF(S$3=0,"",SUMIFS(INDEX(Inputs!$D$4:$AG$150,0,MATCH(S$2,Inputs!$D$2:$AG$2,0)),Inputs!$B$4:$B$150,$B38)/1000)</f>
        <v>24106</v>
      </c>
      <c r="T38" s="11">
        <f>IF(T$3=0,"",SUMIFS(INDEX(Inputs!$D$4:$AG$150,0,MATCH(T$2,Inputs!$D$2:$AG$2,0)),Inputs!$B$4:$B$150,$B38)/1000)</f>
        <v>40080</v>
      </c>
      <c r="U38" s="11">
        <f>IF(U$3=0,"",SUMIFS(INDEX(Inputs!$D$4:$AG$150,0,MATCH(U$2,Inputs!$D$2:$AG$2,0)),Inputs!$B$4:$B$150,$B38)/1000)</f>
        <v>40281</v>
      </c>
      <c r="V38" s="11">
        <f>IF(V$3=0,"",SUMIFS(INDEX(Inputs!$D$4:$AG$150,0,MATCH(V$2,Inputs!$D$2:$AG$2,0)),Inputs!$B$4:$B$150,$B38)/1000)</f>
        <v>39042</v>
      </c>
      <c r="W38" s="12">
        <f>IF(V38="","",V38)</f>
        <v>39042</v>
      </c>
      <c r="X38" s="11">
        <f>IF(X$3=0,"",SUMIFS(INDEX(Inputs!$D$4:$AG$150,0,MATCH(X$2,Inputs!$D$2:$AG$2,0)),Inputs!$B$4:$B$150,$B38)/1000)</f>
        <v>39091</v>
      </c>
      <c r="Y38" s="11">
        <f>IF(Y$3=0,"",SUMIFS(INDEX(Inputs!$D$4:$AG$150,0,MATCH(Y$2,Inputs!$D$2:$AG$2,0)),Inputs!$B$4:$B$150,$B38)/1000)</f>
        <v>39368</v>
      </c>
      <c r="Z38" s="11">
        <f>IF(Z$3=0,"",SUMIFS(INDEX(Inputs!$D$4:$AG$150,0,MATCH(Z$2,Inputs!$D$2:$AG$2,0)),Inputs!$B$4:$B$150,$B38)/1000)</f>
        <v>39942</v>
      </c>
      <c r="AA38" s="11">
        <f>IF(AA$3=0,"",SUMIFS(INDEX(Inputs!$D$4:$AG$150,0,MATCH(AA$2,Inputs!$D$2:$AG$2,0)),Inputs!$B$4:$B$150,$B38)/1000)</f>
        <v>40216</v>
      </c>
      <c r="AB38" s="12">
        <f>IF(AA38="","",AA38)</f>
        <v>40216</v>
      </c>
      <c r="AC38" s="11">
        <f>IF(AC$3=0,"",SUMIFS(INDEX(Inputs!$D$4:$AG$150,0,MATCH(AC$2,Inputs!$D$2:$AG$2,0)),Inputs!$B$4:$B$150,$B38)/1000)</f>
        <v>40018</v>
      </c>
      <c r="AD38" s="11">
        <f>IF(AD$3=0,"",SUMIFS(INDEX(Inputs!$D$4:$AG$150,0,MATCH(AD$2,Inputs!$D$2:$AG$2,0)),Inputs!$B$4:$B$150,$B38)/1000)</f>
        <v>39546</v>
      </c>
      <c r="AE38" s="11" t="str">
        <f>IF(AE$3=0,"",SUMIFS(INDEX(Inputs!$D$4:$AG$150,0,MATCH(AE$2,Inputs!$D$2:$AG$2,0)),Inputs!$B$4:$B$150,$B38)/1000)</f>
        <v/>
      </c>
      <c r="AF38" s="11" t="str">
        <f>IF(AF$3=0,"",SUMIFS(INDEX(Inputs!$D$4:$AG$150,0,MATCH(AF$2,Inputs!$D$2:$AG$2,0)),Inputs!$B$4:$B$150,$B38)/1000)</f>
        <v/>
      </c>
      <c r="AG38" s="12" t="str">
        <f>IF(AF38="","",AF38)</f>
        <v/>
      </c>
    </row>
    <row r="39">
      <c r="B39" s="9" t="n">
        <v>34</v>
      </c>
      <c r="C39" s="14" t="inlineStr">
        <is>
          <t>Other non-current liabilities</t>
        </is>
      </c>
      <c r="D39" s="11">
        <f>IF(D$3=0,"",SUMIFS(INDEX(Inputs!$D$4:$AG$150,0,MATCH(D$2,Inputs!$D$2:$AG$2,0)),Inputs!$B$4:$B$150,$B39)/1000)</f>
        <v>46269</v>
      </c>
      <c r="E39" s="11">
        <f>IF(E$3=0,"",SUMIFS(INDEX(Inputs!$D$4:$AG$150,0,MATCH(E$2,Inputs!$D$2:$AG$2,0)),Inputs!$B$4:$B$150,$B39)/1000)</f>
        <v>45665</v>
      </c>
      <c r="F39" s="11">
        <f>IF(F$3=0,"",SUMIFS(INDEX(Inputs!$D$4:$AG$150,0,MATCH(F$2,Inputs!$D$2:$AG$2,0)),Inputs!$B$4:$B$150,$B39)/1000)</f>
        <v>44679</v>
      </c>
      <c r="G39" s="11">
        <f>IF(G$3=0,"",SUMIFS(INDEX(Inputs!$D$4:$AG$150,0,MATCH(G$2,Inputs!$D$2:$AG$2,0)),Inputs!$B$4:$B$150,$B39)/1000)</f>
        <v>43004</v>
      </c>
      <c r="H39" s="12">
        <f>IF(G39="","",G39)</f>
        <v>43004</v>
      </c>
      <c r="I39" s="11">
        <f>IF(I$3=0,"",SUMIFS(INDEX(Inputs!$D$4:$AG$150,0,MATCH(I$2,Inputs!$D$2:$AG$2,0)),Inputs!$B$4:$B$150,$B39)/1000)</f>
        <v>44002</v>
      </c>
      <c r="J39" s="11">
        <f>IF(J$3=0,"",SUMIFS(INDEX(Inputs!$D$4:$AG$150,0,MATCH(J$2,Inputs!$D$2:$AG$2,0)),Inputs!$B$4:$B$150,$B39)/1000)</f>
        <v>42833</v>
      </c>
      <c r="K39" s="11">
        <f>IF(K$3=0,"",SUMIFS(INDEX(Inputs!$D$4:$AG$150,0,MATCH(K$2,Inputs!$D$2:$AG$2,0)),Inputs!$B$4:$B$150,$B39)/1000)</f>
        <v>42532</v>
      </c>
      <c r="L39" s="11">
        <f>IF(L$3=0,"",SUMIFS(INDEX(Inputs!$D$4:$AG$150,0,MATCH(L$2,Inputs!$D$2:$AG$2,0)),Inputs!$B$4:$B$150,$B39)/1000)</f>
        <v>34116</v>
      </c>
      <c r="M39" s="12">
        <f>IF(L39="","",L39)</f>
        <v>34116</v>
      </c>
      <c r="N39" s="11">
        <f>IF(N$3=0,"",SUMIFS(INDEX(Inputs!$D$4:$AG$150,0,MATCH(N$2,Inputs!$D$2:$AG$2,0)),Inputs!$B$4:$B$150,$B39)/1000)</f>
        <v>33946</v>
      </c>
      <c r="O39" s="11">
        <f>IF(O$3=0,"",SUMIFS(INDEX(Inputs!$D$4:$AG$150,0,MATCH(O$2,Inputs!$D$2:$AG$2,0)),Inputs!$B$4:$B$150,$B39)/1000)</f>
        <v>33409</v>
      </c>
      <c r="P39" s="11">
        <f>IF(P$3=0,"",SUMIFS(INDEX(Inputs!$D$4:$AG$150,0,MATCH(P$2,Inputs!$D$2:$AG$2,0)),Inputs!$B$4:$B$150,$B39)/1000)</f>
        <v>33118</v>
      </c>
      <c r="Q39" s="11">
        <f>IF(Q$3=0,"",SUMIFS(INDEX(Inputs!$D$4:$AG$150,0,MATCH(Q$2,Inputs!$D$2:$AG$2,0)),Inputs!$B$4:$B$150,$B39)/1000)</f>
        <v>36528</v>
      </c>
      <c r="R39" s="12">
        <f>IF(Q39="","",Q39)</f>
        <v>36528</v>
      </c>
      <c r="S39" s="11">
        <f>IF(S$3=0,"",SUMIFS(INDEX(Inputs!$D$4:$AG$150,0,MATCH(S$2,Inputs!$D$2:$AG$2,0)),Inputs!$B$4:$B$150,$B39)/1000)</f>
        <v>36626</v>
      </c>
      <c r="T39" s="11">
        <f>IF(T$3=0,"",SUMIFS(INDEX(Inputs!$D$4:$AG$150,0,MATCH(T$2,Inputs!$D$2:$AG$2,0)),Inputs!$B$4:$B$150,$B39)/1000)</f>
        <v>37033</v>
      </c>
      <c r="U39" s="11">
        <f>IF(U$3=0,"",SUMIFS(INDEX(Inputs!$D$4:$AG$150,0,MATCH(U$2,Inputs!$D$2:$AG$2,0)),Inputs!$B$4:$B$150,$B39)/1000)</f>
        <v>38324</v>
      </c>
      <c r="V39" s="11">
        <f>IF(V$3=0,"",SUMIFS(INDEX(Inputs!$D$4:$AG$150,0,MATCH(V$2,Inputs!$D$2:$AG$2,0)),Inputs!$B$4:$B$150,$B39)/1000)</f>
        <v>36765</v>
      </c>
      <c r="W39" s="12">
        <f>IF(V39="","",V39)</f>
        <v>36765</v>
      </c>
      <c r="X39" s="11">
        <f>IF(X$3=0,"",SUMIFS(INDEX(Inputs!$D$4:$AG$150,0,MATCH(X$2,Inputs!$D$2:$AG$2,0)),Inputs!$B$4:$B$150,$B39)/1000)</f>
        <v>36359</v>
      </c>
      <c r="Y39" s="11">
        <f>IF(Y$3=0,"",SUMIFS(INDEX(Inputs!$D$4:$AG$150,0,MATCH(Y$2,Inputs!$D$2:$AG$2,0)),Inputs!$B$4:$B$150,$B39)/1000)</f>
        <v>36536</v>
      </c>
      <c r="Z39" s="11">
        <f>IF(Z$3=0,"",SUMIFS(INDEX(Inputs!$D$4:$AG$150,0,MATCH(Z$2,Inputs!$D$2:$AG$2,0)),Inputs!$B$4:$B$150,$B39)/1000)</f>
        <v>35501</v>
      </c>
      <c r="AA39" s="11">
        <f>IF(AA$3=0,"",SUMIFS(INDEX(Inputs!$D$4:$AG$150,0,MATCH(AA$2,Inputs!$D$2:$AG$2,0)),Inputs!$B$4:$B$150,$B39)/1000)</f>
        <v>35567</v>
      </c>
      <c r="AB39" s="12">
        <f>IF(AA39="","",AA39)</f>
        <v>35567</v>
      </c>
      <c r="AC39" s="11">
        <f>IF(AC$3=0,"",SUMIFS(INDEX(Inputs!$D$4:$AG$150,0,MATCH(AC$2,Inputs!$D$2:$AG$2,0)),Inputs!$B$4:$B$150,$B39)/1000)</f>
        <v>35888</v>
      </c>
      <c r="AD39" s="11">
        <f>IF(AD$3=0,"",SUMIFS(INDEX(Inputs!$D$4:$AG$150,0,MATCH(AD$2,Inputs!$D$2:$AG$2,0)),Inputs!$B$4:$B$150,$B39)/1000)</f>
        <v>37766</v>
      </c>
      <c r="AE39" s="11" t="str">
        <f>IF(AE$3=0,"",SUMIFS(INDEX(Inputs!$D$4:$AG$150,0,MATCH(AE$2,Inputs!$D$2:$AG$2,0)),Inputs!$B$4:$B$150,$B39)/1000)</f>
        <v/>
      </c>
      <c r="AF39" s="11" t="str">
        <f>IF(AF$3=0,"",SUMIFS(INDEX(Inputs!$D$4:$AG$150,0,MATCH(AF$2,Inputs!$D$2:$AG$2,0)),Inputs!$B$4:$B$150,$B39)/1000)</f>
        <v/>
      </c>
      <c r="AG39" s="12" t="str">
        <f>IF(AF39="","",AF39)</f>
        <v/>
      </c>
    </row>
    <row r="40">
      <c r="C40" s="3" t="n"/>
    </row>
    <row r="41">
      <c r="B41" s="9" t="n">
        <v>35</v>
      </c>
      <c r="C41" s="14" t="inlineStr">
        <is>
          <t>Minority interest</t>
        </is>
      </c>
      <c r="D41" s="11">
        <f>IF(D$3=0,"",SUMIFS(INDEX(Inputs!$D$4:$AG$150,0,MATCH(D$2,Inputs!$D$2:$AG$2,0)),Inputs!$B$4:$B$150,$B41)/1000)</f>
        <v>7127</v>
      </c>
      <c r="E41" s="11">
        <f>IF(E$3=0,"",SUMIFS(INDEX(Inputs!$D$4:$AG$150,0,MATCH(E$2,Inputs!$D$2:$AG$2,0)),Inputs!$B$4:$B$150,$B41)/1000)</f>
        <v>6985</v>
      </c>
      <c r="F41" s="11">
        <f>IF(F$3=0,"",SUMIFS(INDEX(Inputs!$D$4:$AG$150,0,MATCH(F$2,Inputs!$D$2:$AG$2,0)),Inputs!$B$4:$B$150,$B41)/1000)</f>
        <v>6917</v>
      </c>
      <c r="G41" s="11">
        <f>IF(G$3=0,"",SUMIFS(INDEX(Inputs!$D$4:$AG$150,0,MATCH(G$2,Inputs!$D$2:$AG$2,0)),Inputs!$B$4:$B$150,$B41)/1000)</f>
        <v>7106</v>
      </c>
      <c r="H41" s="12">
        <f>IF(G41="","",G41)</f>
        <v>7106</v>
      </c>
      <c r="I41" s="11">
        <f>IF(I$3=0,"",SUMIFS(INDEX(Inputs!$D$4:$AG$150,0,MATCH(I$2,Inputs!$D$2:$AG$2,0)),Inputs!$B$4:$B$150,$B41)/1000)</f>
        <v>7311</v>
      </c>
      <c r="J41" s="11">
        <f>IF(J$3=0,"",SUMIFS(INDEX(Inputs!$D$4:$AG$150,0,MATCH(J$2,Inputs!$D$2:$AG$2,0)),Inputs!$B$4:$B$150,$B41)/1000)</f>
        <v>7192</v>
      </c>
      <c r="K41" s="11">
        <f>IF(K$3=0,"",SUMIFS(INDEX(Inputs!$D$4:$AG$150,0,MATCH(K$2,Inputs!$D$2:$AG$2,0)),Inputs!$B$4:$B$150,$B41)/1000)</f>
        <v>6943</v>
      </c>
      <c r="L41" s="11">
        <f>IF(L$3=0,"",SUMIFS(INDEX(Inputs!$D$4:$AG$150,0,MATCH(L$2,Inputs!$D$2:$AG$2,0)),Inputs!$B$4:$B$150,$B41)/1000)</f>
        <v>7424</v>
      </c>
      <c r="M41" s="12">
        <f>IF(L41="","",L41)</f>
        <v>7424</v>
      </c>
      <c r="N41" s="11">
        <f>IF(N$3=0,"",SUMIFS(INDEX(Inputs!$D$4:$AG$150,0,MATCH(N$2,Inputs!$D$2:$AG$2,0)),Inputs!$B$4:$B$150,$B41)/1000)</f>
        <v>7729</v>
      </c>
      <c r="O41" s="11">
        <f>IF(O$3=0,"",SUMIFS(INDEX(Inputs!$D$4:$AG$150,0,MATCH(O$2,Inputs!$D$2:$AG$2,0)),Inputs!$B$4:$B$150,$B41)/1000)</f>
        <v>7951</v>
      </c>
      <c r="P41" s="11">
        <f>IF(P$3=0,"",SUMIFS(INDEX(Inputs!$D$4:$AG$150,0,MATCH(P$2,Inputs!$D$2:$AG$2,0)),Inputs!$B$4:$B$150,$B41)/1000)</f>
        <v>7830</v>
      </c>
      <c r="Q41" s="11">
        <f>IF(Q$3=0,"",SUMIFS(INDEX(Inputs!$D$4:$AG$150,0,MATCH(Q$2,Inputs!$D$2:$AG$2,0)),Inputs!$B$4:$B$150,$B41)/1000)</f>
        <v>7736</v>
      </c>
      <c r="R41" s="12">
        <f>IF(Q41="","",Q41)</f>
        <v>7736</v>
      </c>
      <c r="S41" s="11">
        <f>IF(S$3=0,"",SUMIFS(INDEX(Inputs!$D$4:$AG$150,0,MATCH(S$2,Inputs!$D$2:$AG$2,0)),Inputs!$B$4:$B$150,$B41)/1000)</f>
        <v>7802</v>
      </c>
      <c r="T41" s="11">
        <f>IF(T$3=0,"",SUMIFS(INDEX(Inputs!$D$4:$AG$150,0,MATCH(T$2,Inputs!$D$2:$AG$2,0)),Inputs!$B$4:$B$150,$B41)/1000)</f>
        <v>7861</v>
      </c>
      <c r="U41" s="11">
        <f>IF(U$3=0,"",SUMIFS(INDEX(Inputs!$D$4:$AG$150,0,MATCH(U$2,Inputs!$D$2:$AG$2,0)),Inputs!$B$4:$B$150,$B41)/1000)</f>
        <v>7808</v>
      </c>
      <c r="V41" s="11">
        <f>IF(V$3=0,"",SUMIFS(INDEX(Inputs!$D$4:$AG$150,0,MATCH(V$2,Inputs!$D$2:$AG$2,0)),Inputs!$B$4:$B$150,$B41)/1000)</f>
        <v>6901</v>
      </c>
      <c r="W41" s="12">
        <f>IF(V41="","",V41)</f>
        <v>6901</v>
      </c>
      <c r="X41" s="11">
        <f>IF(X$3=0,"",SUMIFS(INDEX(Inputs!$D$4:$AG$150,0,MATCH(X$2,Inputs!$D$2:$AG$2,0)),Inputs!$B$4:$B$150,$B41)/1000)</f>
        <v>7086</v>
      </c>
      <c r="Y41" s="11">
        <f>IF(Y$3=0,"",SUMIFS(INDEX(Inputs!$D$4:$AG$150,0,MATCH(Y$2,Inputs!$D$2:$AG$2,0)),Inputs!$B$4:$B$150,$B41)/1000)</f>
        <v>7369</v>
      </c>
      <c r="Z41" s="11">
        <f>IF(Z$3=0,"",SUMIFS(INDEX(Inputs!$D$4:$AG$150,0,MATCH(Z$2,Inputs!$D$2:$AG$2,0)),Inputs!$B$4:$B$150,$B41)/1000)</f>
        <v>7662</v>
      </c>
      <c r="AA41" s="11">
        <f>IF(AA$3=0,"",SUMIFS(INDEX(Inputs!$D$4:$AG$150,0,MATCH(AA$2,Inputs!$D$2:$AG$2,0)),Inputs!$B$4:$B$150,$B41)/1000)</f>
        <v>7240</v>
      </c>
      <c r="AB41" s="12">
        <f>IF(AA41="","",AA41)</f>
        <v>7240</v>
      </c>
      <c r="AC41" s="11">
        <f>IF(AC$3=0,"",SUMIFS(INDEX(Inputs!$D$4:$AG$150,0,MATCH(AC$2,Inputs!$D$2:$AG$2,0)),Inputs!$B$4:$B$150,$B41)/1000)</f>
        <v>6615</v>
      </c>
      <c r="AD41" s="11">
        <f>IF(AD$3=0,"",SUMIFS(INDEX(Inputs!$D$4:$AG$150,0,MATCH(AD$2,Inputs!$D$2:$AG$2,0)),Inputs!$B$4:$B$150,$B41)/1000)</f>
        <v>6731</v>
      </c>
      <c r="AE41" s="11" t="str">
        <f>IF(AE$3=0,"",SUMIFS(INDEX(Inputs!$D$4:$AG$150,0,MATCH(AE$2,Inputs!$D$2:$AG$2,0)),Inputs!$B$4:$B$150,$B41)/1000)</f>
        <v/>
      </c>
      <c r="AF41" s="11" t="str">
        <f>IF(AF$3=0,"",SUMIFS(INDEX(Inputs!$D$4:$AG$150,0,MATCH(AF$2,Inputs!$D$2:$AG$2,0)),Inputs!$B$4:$B$150,$B41)/1000)</f>
        <v/>
      </c>
      <c r="AG41" s="12" t="str">
        <f>IF(AF41="","",AF41)</f>
        <v/>
      </c>
    </row>
    <row r="42">
      <c r="B42" s="9" t="n">
        <v>36</v>
      </c>
      <c r="C42" s="14" t="inlineStr">
        <is>
          <t>Convertible Preferred Stock</t>
        </is>
      </c>
      <c r="D42" s="11">
        <f>IF(D$3=0,"",SUMIFS(INDEX(Inputs!$D$4:$AG$150,0,MATCH(D$2,Inputs!$D$2:$AG$2,0)),Inputs!$B$4:$B$150,$B42)/1000)</f>
        <v>0</v>
      </c>
      <c r="E42" s="11">
        <f>IF(E$3=0,"",SUMIFS(INDEX(Inputs!$D$4:$AG$150,0,MATCH(E$2,Inputs!$D$2:$AG$2,0)),Inputs!$B$4:$B$150,$B42)/1000)</f>
        <v>0</v>
      </c>
      <c r="F42" s="11">
        <f>IF(F$3=0,"",SUMIFS(INDEX(Inputs!$D$4:$AG$150,0,MATCH(F$2,Inputs!$D$2:$AG$2,0)),Inputs!$B$4:$B$150,$B42)/1000)</f>
        <v>0</v>
      </c>
      <c r="G42" s="11">
        <f>IF(G$3=0,"",SUMIFS(INDEX(Inputs!$D$4:$AG$150,0,MATCH(G$2,Inputs!$D$2:$AG$2,0)),Inputs!$B$4:$B$150,$B42)/1000)</f>
        <v>0</v>
      </c>
      <c r="H42" s="12">
        <f>IF(G42="","",G42)</f>
        <v>0</v>
      </c>
      <c r="I42" s="11">
        <f>IF(I$3=0,"",SUMIFS(INDEX(Inputs!$D$4:$AG$150,0,MATCH(I$2,Inputs!$D$2:$AG$2,0)),Inputs!$B$4:$B$150,$B42)/1000)</f>
        <v>0</v>
      </c>
      <c r="J42" s="11">
        <f>IF(J$3=0,"",SUMIFS(INDEX(Inputs!$D$4:$AG$150,0,MATCH(J$2,Inputs!$D$2:$AG$2,0)),Inputs!$B$4:$B$150,$B42)/1000)</f>
        <v>0</v>
      </c>
      <c r="K42" s="11">
        <f>IF(K$3=0,"",SUMIFS(INDEX(Inputs!$D$4:$AG$150,0,MATCH(K$2,Inputs!$D$2:$AG$2,0)),Inputs!$B$4:$B$150,$B42)/1000)</f>
        <v>0</v>
      </c>
      <c r="L42" s="11">
        <f>IF(L$3=0,"",SUMIFS(INDEX(Inputs!$D$4:$AG$150,0,MATCH(L$2,Inputs!$D$2:$AG$2,0)),Inputs!$B$4:$B$150,$B42)/1000)</f>
        <v>0</v>
      </c>
      <c r="M42" s="12">
        <f>IF(L42="","",L42)</f>
        <v>0</v>
      </c>
      <c r="N42" s="11">
        <f>IF(N$3=0,"",SUMIFS(INDEX(Inputs!$D$4:$AG$150,0,MATCH(N$2,Inputs!$D$2:$AG$2,0)),Inputs!$B$4:$B$150,$B42)/1000)</f>
        <v>0</v>
      </c>
      <c r="O42" s="11">
        <f>IF(O$3=0,"",SUMIFS(INDEX(Inputs!$D$4:$AG$150,0,MATCH(O$2,Inputs!$D$2:$AG$2,0)),Inputs!$B$4:$B$150,$B42)/1000)</f>
        <v>0</v>
      </c>
      <c r="P42" s="11">
        <f>IF(P$3=0,"",SUMIFS(INDEX(Inputs!$D$4:$AG$150,0,MATCH(P$2,Inputs!$D$2:$AG$2,0)),Inputs!$B$4:$B$150,$B42)/1000)</f>
        <v>0</v>
      </c>
      <c r="Q42" s="11">
        <f>IF(Q$3=0,"",SUMIFS(INDEX(Inputs!$D$4:$AG$150,0,MATCH(Q$2,Inputs!$D$2:$AG$2,0)),Inputs!$B$4:$B$150,$B42)/1000)</f>
        <v>0</v>
      </c>
      <c r="R42" s="12">
        <f>IF(Q42="","",Q42)</f>
        <v>0</v>
      </c>
      <c r="S42" s="11">
        <f>IF(S$3=0,"",SUMIFS(INDEX(Inputs!$D$4:$AG$150,0,MATCH(S$2,Inputs!$D$2:$AG$2,0)),Inputs!$B$4:$B$150,$B42)/1000)</f>
        <v>0</v>
      </c>
      <c r="T42" s="11">
        <f>IF(T$3=0,"",SUMIFS(INDEX(Inputs!$D$4:$AG$150,0,MATCH(T$2,Inputs!$D$2:$AG$2,0)),Inputs!$B$4:$B$150,$B42)/1000)</f>
        <v>0</v>
      </c>
      <c r="U42" s="11">
        <f>IF(U$3=0,"",SUMIFS(INDEX(Inputs!$D$4:$AG$150,0,MATCH(U$2,Inputs!$D$2:$AG$2,0)),Inputs!$B$4:$B$150,$B42)/1000)</f>
        <v>0</v>
      </c>
      <c r="V42" s="11">
        <f>IF(V$3=0,"",SUMIFS(INDEX(Inputs!$D$4:$AG$150,0,MATCH(V$2,Inputs!$D$2:$AG$2,0)),Inputs!$B$4:$B$150,$B42)/1000)</f>
        <v>0</v>
      </c>
      <c r="W42" s="12">
        <f>IF(V42="","",V42)</f>
        <v>0</v>
      </c>
      <c r="X42" s="11">
        <f>IF(X$3=0,"",SUMIFS(INDEX(Inputs!$D$4:$AG$150,0,MATCH(X$2,Inputs!$D$2:$AG$2,0)),Inputs!$B$4:$B$150,$B42)/1000)</f>
        <v>0</v>
      </c>
      <c r="Y42" s="11">
        <f>IF(Y$3=0,"",SUMIFS(INDEX(Inputs!$D$4:$AG$150,0,MATCH(Y$2,Inputs!$D$2:$AG$2,0)),Inputs!$B$4:$B$150,$B42)/1000)</f>
        <v>0</v>
      </c>
      <c r="Z42" s="11">
        <f>IF(Z$3=0,"",SUMIFS(INDEX(Inputs!$D$4:$AG$150,0,MATCH(Z$2,Inputs!$D$2:$AG$2,0)),Inputs!$B$4:$B$150,$B42)/1000)</f>
        <v>0</v>
      </c>
      <c r="AA42" s="11">
        <f>IF(AA$3=0,"",SUMIFS(INDEX(Inputs!$D$4:$AG$150,0,MATCH(AA$2,Inputs!$D$2:$AG$2,0)),Inputs!$B$4:$B$150,$B42)/1000)</f>
        <v>0</v>
      </c>
      <c r="AB42" s="12">
        <f>IF(AA42="","",AA42)</f>
        <v>0</v>
      </c>
      <c r="AC42" s="11">
        <f>IF(AC$3=0,"",SUMIFS(INDEX(Inputs!$D$4:$AG$150,0,MATCH(AC$2,Inputs!$D$2:$AG$2,0)),Inputs!$B$4:$B$150,$B42)/1000)</f>
        <v>0</v>
      </c>
      <c r="AD42" s="11">
        <f>IF(AD$3=0,"",SUMIFS(INDEX(Inputs!$D$4:$AG$150,0,MATCH(AD$2,Inputs!$D$2:$AG$2,0)),Inputs!$B$4:$B$150,$B42)/1000)</f>
        <v>0</v>
      </c>
      <c r="AE42" s="11" t="str">
        <f>IF(AE$3=0,"",SUMIFS(INDEX(Inputs!$D$4:$AG$150,0,MATCH(AE$2,Inputs!$D$2:$AG$2,0)),Inputs!$B$4:$B$150,$B42)/1000)</f>
        <v/>
      </c>
      <c r="AF42" s="11" t="str">
        <f>IF(AF$3=0,"",SUMIFS(INDEX(Inputs!$D$4:$AG$150,0,MATCH(AF$2,Inputs!$D$2:$AG$2,0)),Inputs!$B$4:$B$150,$B42)/1000)</f>
        <v/>
      </c>
      <c r="AG42" s="12" t="str">
        <f>IF(AF42="","",AF42)</f>
        <v/>
      </c>
    </row>
    <row r="43">
      <c r="B43" s="9" t="n">
        <v>37</v>
      </c>
      <c r="C43" s="13" t="inlineStr">
        <is>
          <t>Common Stock and APIC</t>
        </is>
      </c>
      <c r="D43" s="11">
        <f>IF(D$3=0,"",SUMIFS(INDEX(Inputs!$D$4:$AG$150,0,MATCH(D$2,Inputs!$D$2:$AG$2,0)),Inputs!$B$4:$B$150,$B43)/1000)</f>
        <v>15884</v>
      </c>
      <c r="E43" s="11">
        <f>IF(E$3=0,"",SUMIFS(INDEX(Inputs!$D$4:$AG$150,0,MATCH(E$2,Inputs!$D$2:$AG$2,0)),Inputs!$B$4:$B$150,$B43)/1000)</f>
        <v>16006</v>
      </c>
      <c r="F43" s="11">
        <f>IF(F$3=0,"",SUMIFS(INDEX(Inputs!$D$4:$AG$150,0,MATCH(F$2,Inputs!$D$2:$AG$2,0)),Inputs!$B$4:$B$150,$B43)/1000)</f>
        <v>16104</v>
      </c>
      <c r="G43" s="11">
        <f>IF(G$3=0,"",SUMIFS(INDEX(Inputs!$D$4:$AG$150,0,MATCH(G$2,Inputs!$D$2:$AG$2,0)),Inputs!$B$4:$B$150,$B43)/1000)</f>
        <v>15746</v>
      </c>
      <c r="H43" s="12">
        <f>IF(G43="","",G43)</f>
        <v>15746</v>
      </c>
      <c r="I43" s="11">
        <f>IF(I$3=0,"",SUMIFS(INDEX(Inputs!$D$4:$AG$150,0,MATCH(I$2,Inputs!$D$2:$AG$2,0)),Inputs!$B$4:$B$150,$B43)/1000)</f>
        <v>15879</v>
      </c>
      <c r="J43" s="11">
        <f>IF(J$3=0,"",SUMIFS(INDEX(Inputs!$D$4:$AG$150,0,MATCH(J$2,Inputs!$D$2:$AG$2,0)),Inputs!$B$4:$B$150,$B43)/1000)</f>
        <v>16018</v>
      </c>
      <c r="K43" s="11">
        <f>IF(K$3=0,"",SUMIFS(INDEX(Inputs!$D$4:$AG$150,0,MATCH(K$2,Inputs!$D$2:$AG$2,0)),Inputs!$B$4:$B$150,$B43)/1000)</f>
        <v>16106</v>
      </c>
      <c r="L43" s="11">
        <f>IF(L$3=0,"",SUMIFS(INDEX(Inputs!$D$4:$AG$150,0,MATCH(L$2,Inputs!$D$2:$AG$2,0)),Inputs!$B$4:$B$150,$B43)/1000)</f>
        <v>15752</v>
      </c>
      <c r="M43" s="12">
        <f>IF(L43="","",L43)</f>
        <v>15752</v>
      </c>
      <c r="N43" s="11">
        <f>IF(N$3=0,"",SUMIFS(INDEX(Inputs!$D$4:$AG$150,0,MATCH(N$2,Inputs!$D$2:$AG$2,0)),Inputs!$B$4:$B$150,$B43)/1000)</f>
        <v>15904</v>
      </c>
      <c r="O43" s="11">
        <f>IF(O$3=0,"",SUMIFS(INDEX(Inputs!$D$4:$AG$150,0,MATCH(O$2,Inputs!$D$2:$AG$2,0)),Inputs!$B$4:$B$150,$B43)/1000)</f>
        <v>16029</v>
      </c>
      <c r="P43" s="11">
        <f>IF(P$3=0,"",SUMIFS(INDEX(Inputs!$D$4:$AG$150,0,MATCH(P$2,Inputs!$D$2:$AG$2,0)),Inputs!$B$4:$B$150,$B43)/1000)</f>
        <v>16165</v>
      </c>
      <c r="Q43" s="11">
        <f>IF(Q$3=0,"",SUMIFS(INDEX(Inputs!$D$4:$AG$150,0,MATCH(Q$2,Inputs!$D$2:$AG$2,0)),Inputs!$B$4:$B$150,$B43)/1000)</f>
        <v>17781</v>
      </c>
      <c r="R43" s="12">
        <f>IF(Q43="","",Q43)</f>
        <v>17781</v>
      </c>
      <c r="S43" s="11">
        <f>IF(S$3=0,"",SUMIFS(INDEX(Inputs!$D$4:$AG$150,0,MATCH(S$2,Inputs!$D$2:$AG$2,0)),Inputs!$B$4:$B$150,$B43)/1000)</f>
        <v>17971</v>
      </c>
      <c r="T43" s="11">
        <f>IF(T$3=0,"",SUMIFS(INDEX(Inputs!$D$4:$AG$150,0,MATCH(T$2,Inputs!$D$2:$AG$2,0)),Inputs!$B$4:$B$150,$B43)/1000)</f>
        <v>46781</v>
      </c>
      <c r="U43" s="11">
        <f>IF(U$3=0,"",SUMIFS(INDEX(Inputs!$D$4:$AG$150,0,MATCH(U$2,Inputs!$D$2:$AG$2,0)),Inputs!$B$4:$B$150,$B43)/1000)</f>
        <v>46936</v>
      </c>
      <c r="V43" s="11">
        <f>IF(V$3=0,"",SUMIFS(INDEX(Inputs!$D$4:$AG$150,0,MATCH(V$2,Inputs!$D$2:$AG$2,0)),Inputs!$B$4:$B$150,$B43)/1000)</f>
        <v>46238</v>
      </c>
      <c r="W43" s="12">
        <f>IF(V43="","",V43)</f>
        <v>46238</v>
      </c>
      <c r="X43" s="11">
        <f>IF(X$3=0,"",SUMIFS(INDEX(Inputs!$D$4:$AG$150,0,MATCH(X$2,Inputs!$D$2:$AG$2,0)),Inputs!$B$4:$B$150,$B43)/1000)</f>
        <v>46426</v>
      </c>
      <c r="Y43" s="11">
        <f>IF(Y$3=0,"",SUMIFS(INDEX(Inputs!$D$4:$AG$150,0,MATCH(Y$2,Inputs!$D$2:$AG$2,0)),Inputs!$B$4:$B$150,$B43)/1000)</f>
        <v>46629</v>
      </c>
      <c r="Z43" s="11">
        <f>IF(Z$3=0,"",SUMIFS(INDEX(Inputs!$D$4:$AG$150,0,MATCH(Z$2,Inputs!$D$2:$AG$2,0)),Inputs!$B$4:$B$150,$B43)/1000)</f>
        <v>46808</v>
      </c>
      <c r="AA43" s="11">
        <f>IF(AA$3=0,"",SUMIFS(INDEX(Inputs!$D$4:$AG$150,0,MATCH(AA$2,Inputs!$D$2:$AG$2,0)),Inputs!$B$4:$B$150,$B43)/1000)</f>
        <v>46150</v>
      </c>
      <c r="AB43" s="12">
        <f>IF(AA43="","",AA43)</f>
        <v>46150</v>
      </c>
      <c r="AC43" s="11">
        <f>IF(AC$3=0,"",SUMIFS(INDEX(Inputs!$D$4:$AG$150,0,MATCH(AC$2,Inputs!$D$2:$AG$2,0)),Inputs!$B$4:$B$150,$B43)/1000)</f>
        <v>46426</v>
      </c>
      <c r="AD43" s="11">
        <f>IF(AD$3=0,"",SUMIFS(INDEX(Inputs!$D$4:$AG$150,0,MATCH(AD$2,Inputs!$D$2:$AG$2,0)),Inputs!$B$4:$B$150,$B43)/1000)</f>
        <v>46636</v>
      </c>
      <c r="AE43" s="11" t="str">
        <f>IF(AE$3=0,"",SUMIFS(INDEX(Inputs!$D$4:$AG$150,0,MATCH(AE$2,Inputs!$D$2:$AG$2,0)),Inputs!$B$4:$B$150,$B43)/1000)</f>
        <v/>
      </c>
      <c r="AF43" s="11" t="str">
        <f>IF(AF$3=0,"",SUMIFS(INDEX(Inputs!$D$4:$AG$150,0,MATCH(AF$2,Inputs!$D$2:$AG$2,0)),Inputs!$B$4:$B$150,$B43)/1000)</f>
        <v/>
      </c>
      <c r="AG43" s="12" t="str">
        <f>IF(AF43="","",AF43)</f>
        <v/>
      </c>
    </row>
    <row r="44">
      <c r="B44" s="9" t="n">
        <v>38</v>
      </c>
      <c r="C44" s="14" t="inlineStr">
        <is>
          <t>Treasury stock (contra account)</t>
        </is>
      </c>
      <c r="D44" s="11">
        <f>IF(D$3=0,"",SUMIFS(INDEX(Inputs!$D$4:$AG$150,0,MATCH(D$2,Inputs!$D$2:$AG$2,0)),Inputs!$B$4:$B$150,$B44)/1000)</f>
        <v>-225773</v>
      </c>
      <c r="E44" s="11">
        <f>IF(E$3=0,"",SUMIFS(INDEX(Inputs!$D$4:$AG$150,0,MATCH(E$2,Inputs!$D$2:$AG$2,0)),Inputs!$B$4:$B$150,$B44)/1000)</f>
        <v>-225771</v>
      </c>
      <c r="F44" s="11">
        <f>IF(F$3=0,"",SUMIFS(INDEX(Inputs!$D$4:$AG$150,0,MATCH(F$2,Inputs!$D$2:$AG$2,0)),Inputs!$B$4:$B$150,$B44)/1000)</f>
        <v>-225771</v>
      </c>
      <c r="G44" s="11">
        <f>IF(G$3=0,"",SUMIFS(INDEX(Inputs!$D$4:$AG$150,0,MATCH(G$2,Inputs!$D$2:$AG$2,0)),Inputs!$B$4:$B$150,$B44)/1000)</f>
        <v>-225464</v>
      </c>
      <c r="H44" s="12">
        <f>IF(G44="","",G44)</f>
        <v>-225464</v>
      </c>
      <c r="I44" s="11">
        <f>IF(I$3=0,"",SUMIFS(INDEX(Inputs!$D$4:$AG$150,0,MATCH(I$2,Inputs!$D$2:$AG$2,0)),Inputs!$B$4:$B$150,$B44)/1000)</f>
        <v>-227529</v>
      </c>
      <c r="J44" s="11">
        <f>IF(J$3=0,"",SUMIFS(INDEX(Inputs!$D$4:$AG$150,0,MATCH(J$2,Inputs!$D$2:$AG$2,0)),Inputs!$B$4:$B$150,$B44)/1000)</f>
        <v>-231587</v>
      </c>
      <c r="K44" s="11">
        <f>IF(K$3=0,"",SUMIFS(INDEX(Inputs!$D$4:$AG$150,0,MATCH(K$2,Inputs!$D$2:$AG$2,0)),Inputs!$B$4:$B$150,$B44)/1000)</f>
        <v>-236080</v>
      </c>
      <c r="L44" s="11">
        <f>IF(L$3=0,"",SUMIFS(INDEX(Inputs!$D$4:$AG$150,0,MATCH(L$2,Inputs!$D$2:$AG$2,0)),Inputs!$B$4:$B$150,$B44)/1000)</f>
        <v>-240293</v>
      </c>
      <c r="M44" s="12">
        <f>IF(L44="","",L44)</f>
        <v>-240293</v>
      </c>
      <c r="N44" s="11">
        <f>IF(N$3=0,"",SUMIFS(INDEX(Inputs!$D$4:$AG$150,0,MATCH(N$2,Inputs!$D$2:$AG$2,0)),Inputs!$B$4:$B$150,$B44)/1000)</f>
        <v>-244676</v>
      </c>
      <c r="O44" s="11">
        <f>IF(O$3=0,"",SUMIFS(INDEX(Inputs!$D$4:$AG$150,0,MATCH(O$2,Inputs!$D$2:$AG$2,0)),Inputs!$B$4:$B$150,$B44)/1000)</f>
        <v>-249057</v>
      </c>
      <c r="P44" s="11">
        <f>IF(P$3=0,"",SUMIFS(INDEX(Inputs!$D$4:$AG$150,0,MATCH(P$2,Inputs!$D$2:$AG$2,0)),Inputs!$B$4:$B$150,$B44)/1000)</f>
        <v>-253512</v>
      </c>
      <c r="Q44" s="11">
        <f>IF(Q$3=0,"",SUMIFS(INDEX(Inputs!$D$4:$AG$150,0,MATCH(Q$2,Inputs!$D$2:$AG$2,0)),Inputs!$B$4:$B$150,$B44)/1000)</f>
        <v>-254917</v>
      </c>
      <c r="R44" s="12">
        <f>IF(Q44="","",Q44)</f>
        <v>-254917</v>
      </c>
      <c r="S44" s="11">
        <f>IF(S$3=0,"",SUMIFS(INDEX(Inputs!$D$4:$AG$150,0,MATCH(S$2,Inputs!$D$2:$AG$2,0)),Inputs!$B$4:$B$150,$B44)/1000)</f>
        <v>-257891</v>
      </c>
      <c r="T44" s="11">
        <f>IF(T$3=0,"",SUMIFS(INDEX(Inputs!$D$4:$AG$150,0,MATCH(T$2,Inputs!$D$2:$AG$2,0)),Inputs!$B$4:$B$150,$B44)/1000)</f>
        <v>-228483</v>
      </c>
      <c r="U44" s="11">
        <f>IF(U$3=0,"",SUMIFS(INDEX(Inputs!$D$4:$AG$150,0,MATCH(U$2,Inputs!$D$2:$AG$2,0)),Inputs!$B$4:$B$150,$B44)/1000)</f>
        <v>-234049</v>
      </c>
      <c r="V44" s="11">
        <f>IF(V$3=0,"",SUMIFS(INDEX(Inputs!$D$4:$AG$150,0,MATCH(V$2,Inputs!$D$2:$AG$2,0)),Inputs!$B$4:$B$150,$B44)/1000)</f>
        <v>-238817</v>
      </c>
      <c r="W44" s="12">
        <f>IF(V44="","",V44)</f>
        <v>-238817</v>
      </c>
      <c r="X44" s="11">
        <f>IF(X$3=0,"",SUMIFS(INDEX(Inputs!$D$4:$AG$150,0,MATCH(X$2,Inputs!$D$2:$AG$2,0)),Inputs!$B$4:$B$150,$B44)/1000)</f>
        <v>-243658</v>
      </c>
      <c r="Y44" s="11">
        <f>IF(Y$3=0,"",SUMIFS(INDEX(Inputs!$D$4:$AG$150,0,MATCH(Y$2,Inputs!$D$2:$AG$2,0)),Inputs!$B$4:$B$150,$B44)/1000)</f>
        <v>-248661</v>
      </c>
      <c r="Z44" s="11">
        <f>IF(Z$3=0,"",SUMIFS(INDEX(Inputs!$D$4:$AG$150,0,MATCH(Z$2,Inputs!$D$2:$AG$2,0)),Inputs!$B$4:$B$150,$B44)/1000)</f>
        <v>-253832</v>
      </c>
      <c r="AA44" s="11">
        <f>IF(AA$3=0,"",SUMIFS(INDEX(Inputs!$D$4:$AG$150,0,MATCH(AA$2,Inputs!$D$2:$AG$2,0)),Inputs!$B$4:$B$150,$B44)/1000)</f>
        <v>-258395</v>
      </c>
      <c r="AB44" s="12">
        <f>IF(AA44="","",AA44)</f>
        <v>-258395</v>
      </c>
      <c r="AC44" s="11">
        <f>IF(AC$3=0,"",SUMIFS(INDEX(Inputs!$D$4:$AG$150,0,MATCH(AC$2,Inputs!$D$2:$AG$2,0)),Inputs!$B$4:$B$150,$B44)/1000)</f>
        <v>-263291</v>
      </c>
      <c r="AD44" s="11">
        <f>IF(AD$3=0,"",SUMIFS(INDEX(Inputs!$D$4:$AG$150,0,MATCH(AD$2,Inputs!$D$2:$AG$2,0)),Inputs!$B$4:$B$150,$B44)/1000)</f>
        <v>-268276</v>
      </c>
      <c r="AE44" s="11" t="str">
        <f>IF(AE$3=0,"",SUMIFS(INDEX(Inputs!$D$4:$AG$150,0,MATCH(AE$2,Inputs!$D$2:$AG$2,0)),Inputs!$B$4:$B$150,$B44)/1000)</f>
        <v/>
      </c>
      <c r="AF44" s="11" t="str">
        <f>IF(AF$3=0,"",SUMIFS(INDEX(Inputs!$D$4:$AG$150,0,MATCH(AF$2,Inputs!$D$2:$AG$2,0)),Inputs!$B$4:$B$150,$B44)/1000)</f>
        <v/>
      </c>
      <c r="AG44" s="12" t="str">
        <f>IF(AF44="","",AF44)</f>
        <v/>
      </c>
    </row>
    <row r="45">
      <c r="B45" s="9" t="n">
        <v>39</v>
      </c>
      <c r="C45" s="14" t="inlineStr">
        <is>
          <t>Comprehensive (accumulated) loss</t>
        </is>
      </c>
      <c r="D45" s="11">
        <f>IF(D$3=0,"",SUMIFS(INDEX(Inputs!$D$4:$AG$150,0,MATCH(D$2,Inputs!$D$2:$AG$2,0)),Inputs!$B$4:$B$150,$B45)/1000)</f>
        <v>-16090</v>
      </c>
      <c r="E45" s="11">
        <f>IF(E$3=0,"",SUMIFS(INDEX(Inputs!$D$4:$AG$150,0,MATCH(E$2,Inputs!$D$2:$AG$2,0)),Inputs!$B$4:$B$150,$B45)/1000)</f>
        <v>-15586</v>
      </c>
      <c r="F45" s="11">
        <f>IF(F$3=0,"",SUMIFS(INDEX(Inputs!$D$4:$AG$150,0,MATCH(F$2,Inputs!$D$2:$AG$2,0)),Inputs!$B$4:$B$150,$B45)/1000)</f>
        <v>-16696</v>
      </c>
      <c r="G45" s="11">
        <f>IF(G$3=0,"",SUMIFS(INDEX(Inputs!$D$4:$AG$150,0,MATCH(G$2,Inputs!$D$2:$AG$2,0)),Inputs!$B$4:$B$150,$B45)/1000)</f>
        <v>-13764</v>
      </c>
      <c r="H45" s="12">
        <f>IF(G45="","",G45)</f>
        <v>-13764</v>
      </c>
      <c r="I45" s="11">
        <f>IF(I$3=0,"",SUMIFS(INDEX(Inputs!$D$4:$AG$150,0,MATCH(I$2,Inputs!$D$2:$AG$2,0)),Inputs!$B$4:$B$150,$B45)/1000)</f>
        <v>-12914</v>
      </c>
      <c r="J45" s="11">
        <f>IF(J$3=0,"",SUMIFS(INDEX(Inputs!$D$4:$AG$150,0,MATCH(J$2,Inputs!$D$2:$AG$2,0)),Inputs!$B$4:$B$150,$B45)/1000)</f>
        <v>-15017</v>
      </c>
      <c r="K45" s="11">
        <f>IF(K$3=0,"",SUMIFS(INDEX(Inputs!$D$4:$AG$150,0,MATCH(K$2,Inputs!$D$2:$AG$2,0)),Inputs!$B$4:$B$150,$B45)/1000)</f>
        <v>-17803</v>
      </c>
      <c r="L45" s="11">
        <f>IF(L$3=0,"",SUMIFS(INDEX(Inputs!$D$4:$AG$150,0,MATCH(L$2,Inputs!$D$2:$AG$2,0)),Inputs!$B$4:$B$150,$B45)/1000)</f>
        <v>-13270</v>
      </c>
      <c r="M45" s="12">
        <f>IF(L45="","",L45)</f>
        <v>-13270</v>
      </c>
      <c r="N45" s="11">
        <f>IF(N$3=0,"",SUMIFS(INDEX(Inputs!$D$4:$AG$150,0,MATCH(N$2,Inputs!$D$2:$AG$2,0)),Inputs!$B$4:$B$150,$B45)/1000)</f>
        <v>-13095</v>
      </c>
      <c r="O45" s="11">
        <f>IF(O$3=0,"",SUMIFS(INDEX(Inputs!$D$4:$AG$150,0,MATCH(O$2,Inputs!$D$2:$AG$2,0)),Inputs!$B$4:$B$150,$B45)/1000)</f>
        <v>-12657</v>
      </c>
      <c r="P45" s="11">
        <f>IF(P$3=0,"",SUMIFS(INDEX(Inputs!$D$4:$AG$150,0,MATCH(P$2,Inputs!$D$2:$AG$2,0)),Inputs!$B$4:$B$150,$B45)/1000)</f>
        <v>-13088</v>
      </c>
      <c r="Q45" s="11">
        <f>IF(Q$3=0,"",SUMIFS(INDEX(Inputs!$D$4:$AG$150,0,MATCH(Q$2,Inputs!$D$2:$AG$2,0)),Inputs!$B$4:$B$150,$B45)/1000)</f>
        <v>-11989</v>
      </c>
      <c r="R45" s="12">
        <f>IF(Q45="","",Q45)</f>
        <v>-11989</v>
      </c>
      <c r="S45" s="11">
        <f>IF(S$3=0,"",SUMIFS(INDEX(Inputs!$D$4:$AG$150,0,MATCH(S$2,Inputs!$D$2:$AG$2,0)),Inputs!$B$4:$B$150,$B45)/1000)</f>
        <v>-13169</v>
      </c>
      <c r="T45" s="11">
        <f>IF(T$3=0,"",SUMIFS(INDEX(Inputs!$D$4:$AG$150,0,MATCH(T$2,Inputs!$D$2:$AG$2,0)),Inputs!$B$4:$B$150,$B45)/1000)</f>
        <v>-13187</v>
      </c>
      <c r="U45" s="11">
        <f>IF(U$3=0,"",SUMIFS(INDEX(Inputs!$D$4:$AG$150,0,MATCH(U$2,Inputs!$D$2:$AG$2,0)),Inputs!$B$4:$B$150,$B45)/1000)</f>
        <v>-11959</v>
      </c>
      <c r="V45" s="11">
        <f>IF(V$3=0,"",SUMIFS(INDEX(Inputs!$D$4:$AG$150,0,MATCH(V$2,Inputs!$D$2:$AG$2,0)),Inputs!$B$4:$B$150,$B45)/1000)</f>
        <v>-14619</v>
      </c>
      <c r="W45" s="12">
        <f>IF(V45="","",V45)</f>
        <v>-14619</v>
      </c>
      <c r="X45" s="11">
        <f>IF(X$3=0,"",SUMIFS(INDEX(Inputs!$D$4:$AG$150,0,MATCH(X$2,Inputs!$D$2:$AG$2,0)),Inputs!$B$4:$B$150,$B45)/1000)</f>
        <v>-14338</v>
      </c>
      <c r="Y45" s="11">
        <f>IF(Y$3=0,"",SUMIFS(INDEX(Inputs!$D$4:$AG$150,0,MATCH(Y$2,Inputs!$D$2:$AG$2,0)),Inputs!$B$4:$B$150,$B45)/1000)</f>
        <v>-12436</v>
      </c>
      <c r="Z45" s="11">
        <f>IF(Z$3=0,"",SUMIFS(INDEX(Inputs!$D$4:$AG$150,0,MATCH(Z$2,Inputs!$D$2:$AG$2,0)),Inputs!$B$4:$B$150,$B45)/1000)</f>
        <v>-12782</v>
      </c>
      <c r="AA45" s="11">
        <f>IF(AA$3=0,"",SUMIFS(INDEX(Inputs!$D$4:$AG$150,0,MATCH(AA$2,Inputs!$D$2:$AG$2,0)),Inputs!$B$4:$B$150,$B45)/1000)</f>
        <v>-10863</v>
      </c>
      <c r="AB45" s="12">
        <f>IF(AA45="","",AA45)</f>
        <v>-10863</v>
      </c>
      <c r="AC45" s="11">
        <f>IF(AC$3=0,"",SUMIFS(INDEX(Inputs!$D$4:$AG$150,0,MATCH(AC$2,Inputs!$D$2:$AG$2,0)),Inputs!$B$4:$B$150,$B45)/1000)</f>
        <v>-11098</v>
      </c>
      <c r="AD45" s="11">
        <f>IF(AD$3=0,"",SUMIFS(INDEX(Inputs!$D$4:$AG$150,0,MATCH(AD$2,Inputs!$D$2:$AG$2,0)),Inputs!$B$4:$B$150,$B45)/1000)</f>
        <v>-11549</v>
      </c>
      <c r="AE45" s="11" t="str">
        <f>IF(AE$3=0,"",SUMIFS(INDEX(Inputs!$D$4:$AG$150,0,MATCH(AE$2,Inputs!$D$2:$AG$2,0)),Inputs!$B$4:$B$150,$B45)/1000)</f>
        <v/>
      </c>
      <c r="AF45" s="11" t="str">
        <f>IF(AF$3=0,"",SUMIFS(INDEX(Inputs!$D$4:$AG$150,0,MATCH(AF$2,Inputs!$D$2:$AG$2,0)),Inputs!$B$4:$B$150,$B45)/1000)</f>
        <v/>
      </c>
      <c r="AG45" s="12" t="str">
        <f>IF(AF45="","",AF45)</f>
        <v/>
      </c>
    </row>
    <row r="46">
      <c r="B46" s="9" t="n">
        <v>40</v>
      </c>
      <c r="C46" s="14" t="inlineStr">
        <is>
          <t>Other equity account</t>
        </is>
      </c>
      <c r="D46" s="11">
        <f>IF(D$3=0,"",SUMIFS(INDEX(Inputs!$D$4:$AG$150,0,MATCH(D$2,Inputs!$D$2:$AG$2,0)),Inputs!$B$4:$B$150,$B46)/1000)</f>
        <v>0</v>
      </c>
      <c r="E46" s="11">
        <f>IF(E$3=0,"",SUMIFS(INDEX(Inputs!$D$4:$AG$150,0,MATCH(E$2,Inputs!$D$2:$AG$2,0)),Inputs!$B$4:$B$150,$B46)/1000)</f>
        <v>0</v>
      </c>
      <c r="F46" s="11">
        <f>IF(F$3=0,"",SUMIFS(INDEX(Inputs!$D$4:$AG$150,0,MATCH(F$2,Inputs!$D$2:$AG$2,0)),Inputs!$B$4:$B$150,$B46)/1000)</f>
        <v>0</v>
      </c>
      <c r="G46" s="11">
        <f>IF(G$3=0,"",SUMIFS(INDEX(Inputs!$D$4:$AG$150,0,MATCH(G$2,Inputs!$D$2:$AG$2,0)),Inputs!$B$4:$B$150,$B46)/1000)</f>
        <v>0</v>
      </c>
      <c r="H46" s="12">
        <f>IF(G46="","",G46)</f>
        <v>0</v>
      </c>
      <c r="I46" s="11">
        <f>IF(I$3=0,"",SUMIFS(INDEX(Inputs!$D$4:$AG$150,0,MATCH(I$2,Inputs!$D$2:$AG$2,0)),Inputs!$B$4:$B$150,$B46)/1000)</f>
        <v>0</v>
      </c>
      <c r="J46" s="11">
        <f>IF(J$3=0,"",SUMIFS(INDEX(Inputs!$D$4:$AG$150,0,MATCH(J$2,Inputs!$D$2:$AG$2,0)),Inputs!$B$4:$B$150,$B46)/1000)</f>
        <v>0</v>
      </c>
      <c r="K46" s="11">
        <f>IF(K$3=0,"",SUMIFS(INDEX(Inputs!$D$4:$AG$150,0,MATCH(K$2,Inputs!$D$2:$AG$2,0)),Inputs!$B$4:$B$150,$B46)/1000)</f>
        <v>0</v>
      </c>
      <c r="L46" s="11">
        <f>IF(L$3=0,"",SUMIFS(INDEX(Inputs!$D$4:$AG$150,0,MATCH(L$2,Inputs!$D$2:$AG$2,0)),Inputs!$B$4:$B$150,$B46)/1000)</f>
        <v>0</v>
      </c>
      <c r="M46" s="12">
        <f>IF(L46="","",L46)</f>
        <v>0</v>
      </c>
      <c r="N46" s="11">
        <f>IF(N$3=0,"",SUMIFS(INDEX(Inputs!$D$4:$AG$150,0,MATCH(N$2,Inputs!$D$2:$AG$2,0)),Inputs!$B$4:$B$150,$B46)/1000)</f>
        <v>0</v>
      </c>
      <c r="O46" s="11">
        <f>IF(O$3=0,"",SUMIFS(INDEX(Inputs!$D$4:$AG$150,0,MATCH(O$2,Inputs!$D$2:$AG$2,0)),Inputs!$B$4:$B$150,$B46)/1000)</f>
        <v>0</v>
      </c>
      <c r="P46" s="11">
        <f>IF(P$3=0,"",SUMIFS(INDEX(Inputs!$D$4:$AG$150,0,MATCH(P$2,Inputs!$D$2:$AG$2,0)),Inputs!$B$4:$B$150,$B46)/1000)</f>
        <v>0</v>
      </c>
      <c r="Q46" s="11">
        <f>IF(Q$3=0,"",SUMIFS(INDEX(Inputs!$D$4:$AG$150,0,MATCH(Q$2,Inputs!$D$2:$AG$2,0)),Inputs!$B$4:$B$150,$B46)/1000)</f>
        <v>0</v>
      </c>
      <c r="R46" s="12">
        <f>IF(Q46="","",Q46)</f>
        <v>0</v>
      </c>
      <c r="S46" s="11">
        <f>IF(S$3=0,"",SUMIFS(INDEX(Inputs!$D$4:$AG$150,0,MATCH(S$2,Inputs!$D$2:$AG$2,0)),Inputs!$B$4:$B$150,$B46)/1000)</f>
        <v>0</v>
      </c>
      <c r="T46" s="11">
        <f>IF(T$3=0,"",SUMIFS(INDEX(Inputs!$D$4:$AG$150,0,MATCH(T$2,Inputs!$D$2:$AG$2,0)),Inputs!$B$4:$B$150,$B46)/1000)</f>
        <v>0</v>
      </c>
      <c r="U46" s="11">
        <f>IF(U$3=0,"",SUMIFS(INDEX(Inputs!$D$4:$AG$150,0,MATCH(U$2,Inputs!$D$2:$AG$2,0)),Inputs!$B$4:$B$150,$B46)/1000)</f>
        <v>0</v>
      </c>
      <c r="V46" s="11">
        <f>IF(V$3=0,"",SUMIFS(INDEX(Inputs!$D$4:$AG$150,0,MATCH(V$2,Inputs!$D$2:$AG$2,0)),Inputs!$B$4:$B$150,$B46)/1000)</f>
        <v>0</v>
      </c>
      <c r="W46" s="12">
        <f>IF(V46="","",V46)</f>
        <v>0</v>
      </c>
      <c r="X46" s="11">
        <f>IF(X$3=0,"",SUMIFS(INDEX(Inputs!$D$4:$AG$150,0,MATCH(X$2,Inputs!$D$2:$AG$2,0)),Inputs!$B$4:$B$150,$B46)/1000)</f>
        <v>0</v>
      </c>
      <c r="Y46" s="11">
        <f>IF(Y$3=0,"",SUMIFS(INDEX(Inputs!$D$4:$AG$150,0,MATCH(Y$2,Inputs!$D$2:$AG$2,0)),Inputs!$B$4:$B$150,$B46)/1000)</f>
        <v>0</v>
      </c>
      <c r="Z46" s="11">
        <f>IF(Z$3=0,"",SUMIFS(INDEX(Inputs!$D$4:$AG$150,0,MATCH(Z$2,Inputs!$D$2:$AG$2,0)),Inputs!$B$4:$B$150,$B46)/1000)</f>
        <v>0</v>
      </c>
      <c r="AA46" s="11">
        <f>IF(AA$3=0,"",SUMIFS(INDEX(Inputs!$D$4:$AG$150,0,MATCH(AA$2,Inputs!$D$2:$AG$2,0)),Inputs!$B$4:$B$150,$B46)/1000)</f>
        <v>0</v>
      </c>
      <c r="AB46" s="12">
        <f>IF(AA46="","",AA46)</f>
        <v>0</v>
      </c>
      <c r="AC46" s="11">
        <f>IF(AC$3=0,"",SUMIFS(INDEX(Inputs!$D$4:$AG$150,0,MATCH(AC$2,Inputs!$D$2:$AG$2,0)),Inputs!$B$4:$B$150,$B46)/1000)</f>
        <v>0</v>
      </c>
      <c r="AD46" s="11">
        <f>IF(AD$3=0,"",SUMIFS(INDEX(Inputs!$D$4:$AG$150,0,MATCH(AD$2,Inputs!$D$2:$AG$2,0)),Inputs!$B$4:$B$150,$B46)/1000)</f>
        <v>0</v>
      </c>
      <c r="AE46" s="11" t="str">
        <f>IF(AE$3=0,"",SUMIFS(INDEX(Inputs!$D$4:$AG$150,0,MATCH(AE$2,Inputs!$D$2:$AG$2,0)),Inputs!$B$4:$B$150,$B46)/1000)</f>
        <v/>
      </c>
      <c r="AF46" s="11" t="str">
        <f>IF(AF$3=0,"",SUMIFS(INDEX(Inputs!$D$4:$AG$150,0,MATCH(AF$2,Inputs!$D$2:$AG$2,0)),Inputs!$B$4:$B$150,$B46)/1000)</f>
        <v/>
      </c>
      <c r="AG46" s="12" t="str">
        <f>IF(AF46="","",AF46)</f>
        <v/>
      </c>
    </row>
    <row r="47">
      <c r="B47" s="9" t="n">
        <v>41</v>
      </c>
      <c r="C47" s="15" t="inlineStr">
        <is>
          <t>Retained earnings</t>
        </is>
      </c>
      <c r="D47" s="11">
        <f>IF(D$3=0,"",SUMIFS(INDEX(Inputs!$D$4:$AG$150,0,MATCH(D$2,Inputs!$D$2:$AG$2,0)),Inputs!$B$4:$B$150,$B47)/1000)</f>
        <v>382953</v>
      </c>
      <c r="E47" s="11">
        <f>IF(E$3=0,"",SUMIFS(INDEX(Inputs!$D$4:$AG$150,0,MATCH(E$2,Inputs!$D$2:$AG$2,0)),Inputs!$B$4:$B$150,$B47)/1000)</f>
        <v>383922</v>
      </c>
      <c r="F47" s="11">
        <f>IF(F$3=0,"",SUMIFS(INDEX(Inputs!$D$4:$AG$150,0,MATCH(F$2,Inputs!$D$2:$AG$2,0)),Inputs!$B$4:$B$150,$B47)/1000)</f>
        <v>386952</v>
      </c>
      <c r="G47" s="11">
        <f>IF(G$3=0,"",SUMIFS(INDEX(Inputs!$D$4:$AG$150,0,MATCH(G$2,Inputs!$D$2:$AG$2,0)),Inputs!$B$4:$B$150,$B47)/1000)</f>
        <v>392059</v>
      </c>
      <c r="H47" s="12">
        <f>IF(G47="","",G47)</f>
        <v>392059</v>
      </c>
      <c r="I47" s="11">
        <f>IF(I$3=0,"",SUMIFS(INDEX(Inputs!$D$4:$AG$150,0,MATCH(I$2,Inputs!$D$2:$AG$2,0)),Inputs!$B$4:$B$150,$B47)/1000)</f>
        <v>393779</v>
      </c>
      <c r="J47" s="11">
        <f>IF(J$3=0,"",SUMIFS(INDEX(Inputs!$D$4:$AG$150,0,MATCH(J$2,Inputs!$D$2:$AG$2,0)),Inputs!$B$4:$B$150,$B47)/1000)</f>
        <v>407902</v>
      </c>
      <c r="K47" s="11">
        <f>IF(K$3=0,"",SUMIFS(INDEX(Inputs!$D$4:$AG$150,0,MATCH(K$2,Inputs!$D$2:$AG$2,0)),Inputs!$B$4:$B$150,$B47)/1000)</f>
        <v>423877</v>
      </c>
      <c r="L47" s="11">
        <f>IF(L$3=0,"",SUMIFS(INDEX(Inputs!$D$4:$AG$150,0,MATCH(L$2,Inputs!$D$2:$AG$2,0)),Inputs!$B$4:$B$150,$B47)/1000)</f>
        <v>432860</v>
      </c>
      <c r="M47" s="12">
        <f>IF(L47="","",L47)</f>
        <v>432860</v>
      </c>
      <c r="N47" s="11">
        <f>IF(N$3=0,"",SUMIFS(INDEX(Inputs!$D$4:$AG$150,0,MATCH(N$2,Inputs!$D$2:$AG$2,0)),Inputs!$B$4:$B$150,$B47)/1000)</f>
        <v>440552</v>
      </c>
      <c r="O47" s="11">
        <f>IF(O$3=0,"",SUMIFS(INDEX(Inputs!$D$4:$AG$150,0,MATCH(O$2,Inputs!$D$2:$AG$2,0)),Inputs!$B$4:$B$150,$B47)/1000)</f>
        <v>444731</v>
      </c>
      <c r="P47" s="11">
        <f>IF(P$3=0,"",SUMIFS(INDEX(Inputs!$D$4:$AG$150,0,MATCH(P$2,Inputs!$D$2:$AG$2,0)),Inputs!$B$4:$B$150,$B47)/1000)</f>
        <v>450138</v>
      </c>
      <c r="Q47" s="11">
        <f>IF(Q$3=0,"",SUMIFS(INDEX(Inputs!$D$4:$AG$150,0,MATCH(Q$2,Inputs!$D$2:$AG$2,0)),Inputs!$B$4:$B$150,$B47)/1000)</f>
        <v>453927</v>
      </c>
      <c r="R47" s="12">
        <f>IF(Q47="","",Q47)</f>
        <v>453927</v>
      </c>
      <c r="S47" s="11">
        <f>IF(S$3=0,"",SUMIFS(INDEX(Inputs!$D$4:$AG$150,0,MATCH(S$2,Inputs!$D$2:$AG$2,0)),Inputs!$B$4:$B$150,$B47)/1000)</f>
        <v>458339</v>
      </c>
      <c r="T47" s="11">
        <f>IF(T$3=0,"",SUMIFS(INDEX(Inputs!$D$4:$AG$150,0,MATCH(T$2,Inputs!$D$2:$AG$2,0)),Inputs!$B$4:$B$150,$B47)/1000)</f>
        <v>463294</v>
      </c>
      <c r="U47" s="11">
        <f>IF(U$3=0,"",SUMIFS(INDEX(Inputs!$D$4:$AG$150,0,MATCH(U$2,Inputs!$D$2:$AG$2,0)),Inputs!$B$4:$B$150,$B47)/1000)</f>
        <v>467664</v>
      </c>
      <c r="V47" s="11">
        <f>IF(V$3=0,"",SUMIFS(INDEX(Inputs!$D$4:$AG$150,0,MATCH(V$2,Inputs!$D$2:$AG$2,0)),Inputs!$B$4:$B$150,$B47)/1000)</f>
        <v>470903</v>
      </c>
      <c r="W47" s="12">
        <f>IF(V47="","",V47)</f>
        <v>470903</v>
      </c>
      <c r="X47" s="11">
        <f>IF(X$3=0,"",SUMIFS(INDEX(Inputs!$D$4:$AG$150,0,MATCH(X$2,Inputs!$D$2:$AG$2,0)),Inputs!$B$4:$B$150,$B47)/1000)</f>
        <v>474290</v>
      </c>
      <c r="Y47" s="11">
        <f>IF(Y$3=0,"",SUMIFS(INDEX(Inputs!$D$4:$AG$150,0,MATCH(Y$2,Inputs!$D$2:$AG$2,0)),Inputs!$B$4:$B$150,$B47)/1000)</f>
        <v>477061</v>
      </c>
      <c r="Z47" s="11">
        <f>IF(Z$3=0,"",SUMIFS(INDEX(Inputs!$D$4:$AG$150,0,MATCH(Z$2,Inputs!$D$2:$AG$2,0)),Inputs!$B$4:$B$150,$B47)/1000)</f>
        <v>480367</v>
      </c>
      <c r="AA47" s="11">
        <f>IF(AA$3=0,"",SUMIFS(INDEX(Inputs!$D$4:$AG$150,0,MATCH(AA$2,Inputs!$D$2:$AG$2,0)),Inputs!$B$4:$B$150,$B47)/1000)</f>
        <v>482494</v>
      </c>
      <c r="AB47" s="12">
        <f>IF(AA47="","",AA47)</f>
        <v>482494</v>
      </c>
      <c r="AC47" s="11">
        <f>IF(AC$3=0,"",SUMIFS(INDEX(Inputs!$D$4:$AG$150,0,MATCH(AC$2,Inputs!$D$2:$AG$2,0)),Inputs!$B$4:$B$150,$B47)/1000)</f>
        <v>482344</v>
      </c>
      <c r="AD47" s="11">
        <f>IF(AD$3=0,"",SUMIFS(INDEX(Inputs!$D$4:$AG$150,0,MATCH(AD$2,Inputs!$D$2:$AG$2,0)),Inputs!$B$4:$B$150,$B47)/1000)</f>
        <v>492569</v>
      </c>
      <c r="AE47" s="11" t="str">
        <f>IF(AE$3=0,"",SUMIFS(INDEX(Inputs!$D$4:$AG$150,0,MATCH(AE$2,Inputs!$D$2:$AG$2,0)),Inputs!$B$4:$B$150,$B47)/1000)</f>
        <v/>
      </c>
      <c r="AF47" s="11" t="str">
        <f>IF(AF$3=0,"",SUMIFS(INDEX(Inputs!$D$4:$AG$150,0,MATCH(AF$2,Inputs!$D$2:$AG$2,0)),Inputs!$B$4:$B$150,$B47)/1000)</f>
        <v/>
      </c>
      <c r="AG47" s="12" t="str">
        <f>IF(AF47="","",AF47)</f>
        <v/>
      </c>
    </row>
    <row r="48"/>
    <row r="49" customFormat="1" s="3">
      <c r="C49" s="4" t="n"/>
      <c r="D49" s="16" t="n"/>
      <c r="E49" s="16" t="n"/>
      <c r="F49" s="16" t="n"/>
      <c r="G49" s="16" t="n"/>
      <c r="H49" s="12" t="n"/>
      <c r="I49" s="16" t="n"/>
      <c r="J49" s="16" t="n"/>
      <c r="K49" s="16" t="n"/>
      <c r="L49" s="16" t="n"/>
      <c r="M49" s="12" t="n"/>
      <c r="N49" s="16" t="n"/>
      <c r="O49" s="16" t="n"/>
      <c r="P49" s="16" t="n"/>
      <c r="Q49" s="16" t="n"/>
      <c r="R49" s="12" t="n"/>
      <c r="S49" s="16" t="n"/>
      <c r="T49" s="16" t="n"/>
      <c r="U49" s="16" t="n"/>
      <c r="V49" s="16" t="n"/>
      <c r="W49" s="12" t="n"/>
      <c r="X49" s="16" t="n"/>
      <c r="Y49" s="16" t="n"/>
      <c r="Z49" s="16" t="n"/>
      <c r="AA49" s="16" t="n"/>
      <c r="AC49" s="16" t="n"/>
      <c r="AD49" s="16" t="n"/>
      <c r="AE49" s="16" t="n"/>
      <c r="AF49" s="16" t="n"/>
    </row>
    <row r="50">
      <c r="B50" s="9" t="n">
        <v>44</v>
      </c>
      <c r="C50" s="10" t="inlineStr">
        <is>
          <t>Net income reported (lucro líquido reportado) — base do check de DRE [Model linha 4]</t>
        </is>
      </c>
      <c r="D50" s="11">
        <f>IF(SUMPRODUCT((Inputs!$B$4:$B$150=$B50)*ISNUMBER(INDEX(Inputs!$D$4:$AG$150,0,MATCH(D$2,Inputs!$D$2:$AG$2,0))))=0,"",SUMIFS(INDEX(Inputs!$D$4:$AG$150,0,MATCH(D$2,Inputs!$D$2:$AG$2,0)),Inputs!$B$4:$B$150,$B50)/1000)</f>
        <v>2730</v>
      </c>
      <c r="E50" s="11">
        <f>IF(SUMPRODUCT((Inputs!$B$4:$B$150=$B50)*ISNUMBER(INDEX(Inputs!$D$4:$AG$150,0,MATCH(E$2,Inputs!$D$2:$AG$2,0))))=0,"",SUMIFS(INDEX(Inputs!$D$4:$AG$150,0,MATCH(E$2,Inputs!$D$2:$AG$2,0)),Inputs!$B$4:$B$150,$B50)/1000)</f>
        <v>4690</v>
      </c>
      <c r="F50" s="11">
        <f>IF(SUMPRODUCT((Inputs!$B$4:$B$150=$B50)*ISNUMBER(INDEX(Inputs!$D$4:$AG$150,0,MATCH(F$2,Inputs!$D$2:$AG$2,0))))=0,"",SUMIFS(INDEX(Inputs!$D$4:$AG$150,0,MATCH(F$2,Inputs!$D$2:$AG$2,0)),Inputs!$B$4:$B$150,$B50)/1000)</f>
        <v>6750</v>
      </c>
      <c r="G50" s="11">
        <f>IF(SUMPRODUCT((Inputs!$B$4:$B$150=$B50)*ISNUMBER(INDEX(Inputs!$D$4:$AG$150,0,MATCH(G$2,Inputs!$D$2:$AG$2,0))))=0,"",SUMIFS(INDEX(Inputs!$D$4:$AG$150,0,MATCH(G$2,Inputs!$D$2:$AG$2,0)),Inputs!$B$4:$B$150,$B50)/1000)</f>
        <v>8870</v>
      </c>
      <c r="H50" s="12">
        <f>IF(COUNT(D50:G50)=4,SUM(D50:G50),"")</f>
        <v>23040</v>
      </c>
      <c r="I50" s="11">
        <f>IF(SUMPRODUCT((Inputs!$B$4:$B$150=$B50)*ISNUMBER(INDEX(Inputs!$D$4:$AG$150,0,MATCH(I$2,Inputs!$D$2:$AG$2,0))))=0,"",SUMIFS(INDEX(Inputs!$D$4:$AG$150,0,MATCH(I$2,Inputs!$D$2:$AG$2,0)),Inputs!$B$4:$B$150,$B50)/1000)</f>
        <v>5480</v>
      </c>
      <c r="J50" s="11">
        <f>IF(SUMPRODUCT((Inputs!$B$4:$B$150=$B50)*ISNUMBER(INDEX(Inputs!$D$4:$AG$150,0,MATCH(J$2,Inputs!$D$2:$AG$2,0))))=0,"",SUMIFS(INDEX(Inputs!$D$4:$AG$150,0,MATCH(J$2,Inputs!$D$2:$AG$2,0)),Inputs!$B$4:$B$150,$B50)/1000)</f>
        <v>17850</v>
      </c>
      <c r="K50" s="11">
        <f>IF(SUMPRODUCT((Inputs!$B$4:$B$150=$B50)*ISNUMBER(INDEX(Inputs!$D$4:$AG$150,0,MATCH(K$2,Inputs!$D$2:$AG$2,0))))=0,"",SUMIFS(INDEX(Inputs!$D$4:$AG$150,0,MATCH(K$2,Inputs!$D$2:$AG$2,0)),Inputs!$B$4:$B$150,$B50)/1000)</f>
        <v>19660</v>
      </c>
      <c r="L50" s="11">
        <f>IF(SUMPRODUCT((Inputs!$B$4:$B$150=$B50)*ISNUMBER(INDEX(Inputs!$D$4:$AG$150,0,MATCH(L$2,Inputs!$D$2:$AG$2,0))))=0,"",SUMIFS(INDEX(Inputs!$D$4:$AG$150,0,MATCH(L$2,Inputs!$D$2:$AG$2,0)),Inputs!$B$4:$B$150,$B50)/1000)</f>
        <v>12750</v>
      </c>
      <c r="M50" s="12">
        <f>IF(COUNT(I50:L50)=4,SUM(I50:L50),"")</f>
        <v>55740</v>
      </c>
      <c r="N50" s="11">
        <f>IF(SUMPRODUCT((Inputs!$B$4:$B$150=$B50)*ISNUMBER(INDEX(Inputs!$D$4:$AG$150,0,MATCH(N$2,Inputs!$D$2:$AG$2,0))))=0,"",SUMIFS(INDEX(Inputs!$D$4:$AG$150,0,MATCH(N$2,Inputs!$D$2:$AG$2,0)),Inputs!$B$4:$B$150,$B50)/1000)</f>
        <v>11430</v>
      </c>
      <c r="O50" s="11">
        <f>IF(SUMPRODUCT((Inputs!$B$4:$B$150=$B50)*ISNUMBER(INDEX(Inputs!$D$4:$AG$150,0,MATCH(O$2,Inputs!$D$2:$AG$2,0))))=0,"",SUMIFS(INDEX(Inputs!$D$4:$AG$150,0,MATCH(O$2,Inputs!$D$2:$AG$2,0)),Inputs!$B$4:$B$150,$B50)/1000)</f>
        <v>7880</v>
      </c>
      <c r="P50" s="11">
        <f>IF(SUMPRODUCT((Inputs!$B$4:$B$150=$B50)*ISNUMBER(INDEX(Inputs!$D$4:$AG$150,0,MATCH(P$2,Inputs!$D$2:$AG$2,0))))=0,"",SUMIFS(INDEX(Inputs!$D$4:$AG$150,0,MATCH(P$2,Inputs!$D$2:$AG$2,0)),Inputs!$B$4:$B$150,$B50)/1000)</f>
        <v>9070</v>
      </c>
      <c r="Q50" s="11">
        <f>IF(SUMPRODUCT((Inputs!$B$4:$B$150=$B50)*ISNUMBER(INDEX(Inputs!$D$4:$AG$150,0,MATCH(Q$2,Inputs!$D$2:$AG$2,0))))=0,"",SUMIFS(INDEX(Inputs!$D$4:$AG$150,0,MATCH(Q$2,Inputs!$D$2:$AG$2,0)),Inputs!$B$4:$B$150,$B50)/1000)</f>
        <v>7630</v>
      </c>
      <c r="R50" s="12">
        <f>IF(COUNT(N50:Q50)=4,SUM(N50:Q50),"")</f>
        <v>36010</v>
      </c>
      <c r="S50" s="11">
        <f>IF(SUMPRODUCT((Inputs!$B$4:$B$150=$B50)*ISNUMBER(INDEX(Inputs!$D$4:$AG$150,0,MATCH(S$2,Inputs!$D$2:$AG$2,0))))=0,"",SUMIFS(INDEX(Inputs!$D$4:$AG$150,0,MATCH(S$2,Inputs!$D$2:$AG$2,0)),Inputs!$B$4:$B$150,$B50)/1000)</f>
        <v>8220</v>
      </c>
      <c r="T50" s="11">
        <f>IF(SUMPRODUCT((Inputs!$B$4:$B$150=$B50)*ISNUMBER(INDEX(Inputs!$D$4:$AG$150,0,MATCH(T$2,Inputs!$D$2:$AG$2,0))))=0,"",SUMIFS(INDEX(Inputs!$D$4:$AG$150,0,MATCH(T$2,Inputs!$D$2:$AG$2,0)),Inputs!$B$4:$B$150,$B50)/1000)</f>
        <v>9240</v>
      </c>
      <c r="U50" s="11">
        <f>IF(SUMPRODUCT((Inputs!$B$4:$B$150=$B50)*ISNUMBER(INDEX(Inputs!$D$4:$AG$150,0,MATCH(U$2,Inputs!$D$2:$AG$2,0))))=0,"",SUMIFS(INDEX(Inputs!$D$4:$AG$150,0,MATCH(U$2,Inputs!$D$2:$AG$2,0)),Inputs!$B$4:$B$150,$B50)/1000)</f>
        <v>8610</v>
      </c>
      <c r="V50" s="11">
        <f>IF(SUMPRODUCT((Inputs!$B$4:$B$150=$B50)*ISNUMBER(INDEX(Inputs!$D$4:$AG$150,0,MATCH(V$2,Inputs!$D$2:$AG$2,0))))=0,"",SUMIFS(INDEX(Inputs!$D$4:$AG$150,0,MATCH(V$2,Inputs!$D$2:$AG$2,0)),Inputs!$B$4:$B$150,$B50)/1000)</f>
        <v>7610</v>
      </c>
      <c r="W50" s="12">
        <f>IF(COUNT(S50:V50)=4,SUM(S50:V50),"")</f>
        <v>33680</v>
      </c>
      <c r="X50" s="11">
        <f>IF(SUMPRODUCT((Inputs!$B$4:$B$150=$B50)*ISNUMBER(INDEX(Inputs!$D$4:$AG$150,0,MATCH(X$2,Inputs!$D$2:$AG$2,0))))=0,"",SUMIFS(INDEX(Inputs!$D$4:$AG$150,0,MATCH(X$2,Inputs!$D$2:$AG$2,0)),Inputs!$B$4:$B$150,$B50)/1000)</f>
        <v>7713</v>
      </c>
      <c r="Y50" s="11">
        <f>IF(SUMPRODUCT((Inputs!$B$4:$B$150=$B50)*ISNUMBER(INDEX(Inputs!$D$4:$AG$150,0,MATCH(Y$2,Inputs!$D$2:$AG$2,0))))=0,"",SUMIFS(INDEX(Inputs!$D$4:$AG$150,0,MATCH(Y$2,Inputs!$D$2:$AG$2,0)),Inputs!$B$4:$B$150,$B50)/1000)</f>
        <v>7082</v>
      </c>
      <c r="Z50" s="11">
        <f>IF(SUMPRODUCT((Inputs!$B$4:$B$150=$B50)*ISNUMBER(INDEX(Inputs!$D$4:$AG$150,0,MATCH(Z$2,Inputs!$D$2:$AG$2,0))))=0,"",SUMIFS(INDEX(Inputs!$D$4:$AG$150,0,MATCH(Z$2,Inputs!$D$2:$AG$2,0)),Inputs!$B$4:$B$150,$B50)/1000)</f>
        <v>7548</v>
      </c>
      <c r="AA50" s="11">
        <f>IF(SUMPRODUCT((Inputs!$B$4:$B$150=$B50)*ISNUMBER(INDEX(Inputs!$D$4:$AG$150,0,MATCH(AA$2,Inputs!$D$2:$AG$2,0))))=0,"",SUMIFS(INDEX(Inputs!$D$4:$AG$150,0,MATCH(AA$2,Inputs!$D$2:$AG$2,0)),Inputs!$B$4:$B$150,$B50)/1000)</f>
        <v>6501</v>
      </c>
      <c r="AB50" s="12">
        <f>IF(COUNT(X50:AA50)=4,SUM(X50:AA50),"")</f>
        <v>28844</v>
      </c>
      <c r="AC50" s="11">
        <f>IF(SUMPRODUCT((Inputs!$B$4:$B$150=$B50)*ISNUMBER(INDEX(Inputs!$D$4:$AG$150,0,MATCH(AC$2,Inputs!$D$2:$AG$2,0))))=0,"",SUMIFS(INDEX(Inputs!$D$4:$AG$150,0,MATCH(AC$2,Inputs!$D$2:$AG$2,0)),Inputs!$B$4:$B$150,$B50)/1000)</f>
        <v>4183</v>
      </c>
      <c r="AD50" s="11">
        <f>IF(SUMPRODUCT((Inputs!$B$4:$B$150=$B50)*ISNUMBER(INDEX(Inputs!$D$4:$AG$150,0,MATCH(AD$2,Inputs!$D$2:$AG$2,0))))=0,"",SUMIFS(INDEX(Inputs!$D$4:$AG$150,0,MATCH(AD$2,Inputs!$D$2:$AG$2,0)),Inputs!$B$4:$B$150,$B50)/1000)</f>
        <v>14525</v>
      </c>
      <c r="AE50" s="11" t="str">
        <f>IF(SUMPRODUCT((Inputs!$B$4:$B$150=$B50)*ISNUMBER(INDEX(Inputs!$D$4:$AG$150,0,MATCH(AE$2,Inputs!$D$2:$AG$2,0))))=0,"",SUMIFS(INDEX(Inputs!$D$4:$AG$150,0,MATCH(AE$2,Inputs!$D$2:$AG$2,0)),Inputs!$B$4:$B$150,$B50)/1000)</f>
        <v/>
      </c>
      <c r="AF50" s="11" t="str">
        <f>IF(SUMPRODUCT((Inputs!$B$4:$B$150=$B50)*ISNUMBER(INDEX(Inputs!$D$4:$AG$150,0,MATCH(AF$2,Inputs!$D$2:$AG$2,0))))=0,"",SUMIFS(INDEX(Inputs!$D$4:$AG$150,0,MATCH(AF$2,Inputs!$D$2:$AG$2,0)),Inputs!$B$4:$B$150,$B50)/1000)</f>
        <v/>
      </c>
      <c r="AG50" s="12" t="str">
        <f>IF(COUNT(AC50:AF50)=4,SUM(AC50:AF50),"")</f>
        <v/>
      </c>
    </row>
    <row r="52">
      <c r="C52" t="inlineStr">
        <is>
          <t>Drivers de receita (memo) - codigos 45+ [Model, bloco abaixo da receita liquida]</t>
        </is>
      </c>
    </row>
    <row r="53">
      <c r="B53" s="9" t="n">
        <v>45</v>
      </c>
      <c r="C53" s="10" t="inlineStr">
        <is>
          <t>Vendas e outras receitas operacionais (USD)</t>
        </is>
      </c>
      <c r="D53" s="11" t="str">
        <f>IF(SUMPRODUCT((Inputs!$B$4:$B$150=$B53)*ISNUMBER(INDEX(Inputs!$D$4:$AG$150,0,MATCH(D$2,Inputs!$D$2:$AG$2,0))))=0,"",SUMIFS(INDEX(Inputs!$D$4:$AG$150,0,MATCH(D$2,Inputs!$D$2:$AG$2,0)),Inputs!$B$4:$B$150,$B53)/1000)</f>
        <v/>
      </c>
      <c r="E53" s="11" t="str">
        <f>IF(SUMPRODUCT((Inputs!$B$4:$B$150=$B53)*ISNUMBER(INDEX(Inputs!$D$4:$AG$150,0,MATCH(E$2,Inputs!$D$2:$AG$2,0))))=0,"",SUMIFS(INDEX(Inputs!$D$4:$AG$150,0,MATCH(E$2,Inputs!$D$2:$AG$2,0)),Inputs!$B$4:$B$150,$B53)/1000)</f>
        <v/>
      </c>
      <c r="F53" s="11" t="str">
        <f>IF(SUMPRODUCT((Inputs!$B$4:$B$150=$B53)*ISNUMBER(INDEX(Inputs!$D$4:$AG$150,0,MATCH(F$2,Inputs!$D$2:$AG$2,0))))=0,"",SUMIFS(INDEX(Inputs!$D$4:$AG$150,0,MATCH(F$2,Inputs!$D$2:$AG$2,0)),Inputs!$B$4:$B$150,$B53)/1000)</f>
        <v/>
      </c>
      <c r="G53" s="11" t="str">
        <f>IF(SUMPRODUCT((Inputs!$B$4:$B$150=$B53)*ISNUMBER(INDEX(Inputs!$D$4:$AG$150,0,MATCH(G$2,Inputs!$D$2:$AG$2,0))))=0,"",SUMIFS(INDEX(Inputs!$D$4:$AG$150,0,MATCH(G$2,Inputs!$D$2:$AG$2,0)),Inputs!$B$4:$B$150,$B53)/1000)</f>
        <v/>
      </c>
      <c r="H53" s="12" t="str">
        <f>IF(COUNT(D53:G53)=4,SUM(D53:G53),"")</f>
        <v/>
      </c>
      <c r="I53" s="11">
        <f>IF(SUMPRODUCT((Inputs!$B$4:$B$150=$B53)*ISNUMBER(INDEX(Inputs!$D$4:$AG$150,0,MATCH(I$2,Inputs!$D$2:$AG$2,0))))=0,"",SUMIFS(INDEX(Inputs!$D$4:$AG$150,0,MATCH(I$2,Inputs!$D$2:$AG$2,0)),Inputs!$B$4:$B$150,$B53)/1000)</f>
        <v>87734</v>
      </c>
      <c r="J53" s="11">
        <f>IF(SUMPRODUCT((Inputs!$B$4:$B$150=$B53)*ISNUMBER(INDEX(Inputs!$D$4:$AG$150,0,MATCH(J$2,Inputs!$D$2:$AG$2,0))))=0,"",SUMIFS(INDEX(Inputs!$D$4:$AG$150,0,MATCH(J$2,Inputs!$D$2:$AG$2,0)),Inputs!$B$4:$B$150,$B53)/1000)</f>
        <v>111265</v>
      </c>
      <c r="K53" s="11">
        <f>IF(SUMPRODUCT((Inputs!$B$4:$B$150=$B53)*ISNUMBER(INDEX(Inputs!$D$4:$AG$150,0,MATCH(K$2,Inputs!$D$2:$AG$2,0))))=0,"",SUMIFS(INDEX(Inputs!$D$4:$AG$150,0,MATCH(K$2,Inputs!$D$2:$AG$2,0)),Inputs!$B$4:$B$150,$B53)/1000)</f>
        <v>106512</v>
      </c>
      <c r="L53" s="11">
        <f>IF(SUMPRODUCT((Inputs!$B$4:$B$150=$B53)*ISNUMBER(INDEX(Inputs!$D$4:$AG$150,0,MATCH(L$2,Inputs!$D$2:$AG$2,0))))=0,"",SUMIFS(INDEX(Inputs!$D$4:$AG$150,0,MATCH(L$2,Inputs!$D$2:$AG$2,0)),Inputs!$B$4:$B$150,$B53)/1000)</f>
        <v>93164</v>
      </c>
      <c r="M53" s="12">
        <f>IF(COUNT(I53:L53)=4,SUM(I53:L53),"")</f>
        <v>398675</v>
      </c>
      <c r="N53" s="11">
        <f>IF(SUMPRODUCT((Inputs!$B$4:$B$150=$B53)*ISNUMBER(INDEX(Inputs!$D$4:$AG$150,0,MATCH(N$2,Inputs!$D$2:$AG$2,0))))=0,"",SUMIFS(INDEX(Inputs!$D$4:$AG$150,0,MATCH(N$2,Inputs!$D$2:$AG$2,0)),Inputs!$B$4:$B$150,$B53)/1000)</f>
        <v>83644</v>
      </c>
      <c r="O53" s="11">
        <f>IF(SUMPRODUCT((Inputs!$B$4:$B$150=$B53)*ISNUMBER(INDEX(Inputs!$D$4:$AG$150,0,MATCH(O$2,Inputs!$D$2:$AG$2,0))))=0,"",SUMIFS(INDEX(Inputs!$D$4:$AG$150,0,MATCH(O$2,Inputs!$D$2:$AG$2,0)),Inputs!$B$4:$B$150,$B53)/1000)</f>
        <v>80795</v>
      </c>
      <c r="P53" s="11">
        <f>IF(SUMPRODUCT((Inputs!$B$4:$B$150=$B53)*ISNUMBER(INDEX(Inputs!$D$4:$AG$150,0,MATCH(P$2,Inputs!$D$2:$AG$2,0))))=0,"",SUMIFS(INDEX(Inputs!$D$4:$AG$150,0,MATCH(P$2,Inputs!$D$2:$AG$2,0)),Inputs!$B$4:$B$150,$B53)/1000)</f>
        <v>88570</v>
      </c>
      <c r="Q53" s="11">
        <f>IF(SUMPRODUCT((Inputs!$B$4:$B$150=$B53)*ISNUMBER(INDEX(Inputs!$D$4:$AG$150,0,MATCH(Q$2,Inputs!$D$2:$AG$2,0))))=0,"",SUMIFS(INDEX(Inputs!$D$4:$AG$150,0,MATCH(Q$2,Inputs!$D$2:$AG$2,0)),Inputs!$B$4:$B$150,$B53)/1000)</f>
        <v>81688</v>
      </c>
      <c r="R53" s="12">
        <f>IF(COUNT(N53:Q53)=4,SUM(N53:Q53),"")</f>
        <v>334697</v>
      </c>
      <c r="S53" s="11">
        <f>IF(SUMPRODUCT((Inputs!$B$4:$B$150=$B53)*ISNUMBER(INDEX(Inputs!$D$4:$AG$150,0,MATCH(S$2,Inputs!$D$2:$AG$2,0))))=0,"",SUMIFS(INDEX(Inputs!$D$4:$AG$150,0,MATCH(S$2,Inputs!$D$2:$AG$2,0)),Inputs!$B$4:$B$150,$B53)/1000)</f>
        <v>80411</v>
      </c>
      <c r="T53" s="11">
        <f>IF(SUMPRODUCT((Inputs!$B$4:$B$150=$B53)*ISNUMBER(INDEX(Inputs!$D$4:$AG$150,0,MATCH(T$2,Inputs!$D$2:$AG$2,0))))=0,"",SUMIFS(INDEX(Inputs!$D$4:$AG$150,0,MATCH(T$2,Inputs!$D$2:$AG$2,0)),Inputs!$B$4:$B$150,$B53)/1000)</f>
        <v>89986</v>
      </c>
      <c r="U53" s="11">
        <f>IF(SUMPRODUCT((Inputs!$B$4:$B$150=$B53)*ISNUMBER(INDEX(Inputs!$D$4:$AG$150,0,MATCH(U$2,Inputs!$D$2:$AG$2,0))))=0,"",SUMIFS(INDEX(Inputs!$D$4:$AG$150,0,MATCH(U$2,Inputs!$D$2:$AG$2,0)),Inputs!$B$4:$B$150,$B53)/1000)</f>
        <v>87792</v>
      </c>
      <c r="V53" s="11">
        <f>IF(SUMPRODUCT((Inputs!$B$4:$B$150=$B53)*ISNUMBER(INDEX(Inputs!$D$4:$AG$150,0,MATCH(V$2,Inputs!$D$2:$AG$2,0))))=0,"",SUMIFS(INDEX(Inputs!$D$4:$AG$150,0,MATCH(V$2,Inputs!$D$2:$AG$2,0)),Inputs!$B$4:$B$150,$B53)/1000)</f>
        <v>81058</v>
      </c>
      <c r="W53" s="12">
        <f>IF(COUNT(S53:V53)=4,SUM(S53:V53),"")</f>
        <v>339247</v>
      </c>
      <c r="X53" s="11">
        <f>IF(SUMPRODUCT((Inputs!$B$4:$B$150=$B53)*ISNUMBER(INDEX(Inputs!$D$4:$AG$150,0,MATCH(X$2,Inputs!$D$2:$AG$2,0))))=0,"",SUMIFS(INDEX(Inputs!$D$4:$AG$150,0,MATCH(X$2,Inputs!$D$2:$AG$2,0)),Inputs!$B$4:$B$150,$B53)/1000)</f>
        <v>81058</v>
      </c>
      <c r="Y53" s="11">
        <f>IF(SUMPRODUCT((Inputs!$B$4:$B$150=$B53)*ISNUMBER(INDEX(Inputs!$D$4:$AG$150,0,MATCH(Y$2,Inputs!$D$2:$AG$2,0))))=0,"",SUMIFS(INDEX(Inputs!$D$4:$AG$150,0,MATCH(Y$2,Inputs!$D$2:$AG$2,0)),Inputs!$B$4:$B$150,$B53)/1000)</f>
        <v>79477</v>
      </c>
      <c r="Z53" s="11">
        <f>IF(SUMPRODUCT((Inputs!$B$4:$B$150=$B53)*ISNUMBER(INDEX(Inputs!$D$4:$AG$150,0,MATCH(Z$2,Inputs!$D$2:$AG$2,0))))=0,"",SUMIFS(INDEX(Inputs!$D$4:$AG$150,0,MATCH(Z$2,Inputs!$D$2:$AG$2,0)),Inputs!$B$4:$B$150,$B53)/1000)</f>
        <v>83331</v>
      </c>
      <c r="AA53" s="11">
        <f>IF(SUMPRODUCT((Inputs!$B$4:$B$150=$B53)*ISNUMBER(INDEX(Inputs!$D$4:$AG$150,0,MATCH(AA$2,Inputs!$D$2:$AG$2,0))))=0,"",SUMIFS(INDEX(Inputs!$D$4:$AG$150,0,MATCH(AA$2,Inputs!$D$2:$AG$2,0)),Inputs!$B$4:$B$150,$B53)/1000)</f>
        <v>80039</v>
      </c>
      <c r="AB53" s="12">
        <f>IF(COUNT(X53:AA53)=4,SUM(X53:AA53),"")</f>
        <v>323905</v>
      </c>
      <c r="AC53" s="11">
        <f>IF(SUMPRODUCT((Inputs!$B$4:$B$150=$B53)*ISNUMBER(INDEX(Inputs!$D$4:$AG$150,0,MATCH(AC$2,Inputs!$D$2:$AG$2,0))))=0,"",SUMIFS(INDEX(Inputs!$D$4:$AG$150,0,MATCH(AC$2,Inputs!$D$2:$AG$2,0)),Inputs!$B$4:$B$150,$B53)/1000)</f>
        <v>83161</v>
      </c>
      <c r="AD53" s="11">
        <f>IF(SUMPRODUCT((Inputs!$B$4:$B$150=$B53)*ISNUMBER(INDEX(Inputs!$D$4:$AG$150,0,MATCH(AD$2,Inputs!$D$2:$AG$2,0))))=0,"",SUMIFS(INDEX(Inputs!$D$4:$AG$150,0,MATCH(AD$2,Inputs!$D$2:$AG$2,0)),Inputs!$B$4:$B$150,$B53)/1000)</f>
        <v>114529</v>
      </c>
      <c r="AE53" s="11" t="str">
        <f>IF(SUMPRODUCT((Inputs!$B$4:$B$150=$B53)*ISNUMBER(INDEX(Inputs!$D$4:$AG$150,0,MATCH(AE$2,Inputs!$D$2:$AG$2,0))))=0,"",SUMIFS(INDEX(Inputs!$D$4:$AG$150,0,MATCH(AE$2,Inputs!$D$2:$AG$2,0)),Inputs!$B$4:$B$150,$B53)/1000)</f>
        <v/>
      </c>
      <c r="AF53" s="11" t="str">
        <f>IF(SUMPRODUCT((Inputs!$B$4:$B$150=$B53)*ISNUMBER(INDEX(Inputs!$D$4:$AG$150,0,MATCH(AF$2,Inputs!$D$2:$AG$2,0))))=0,"",SUMIFS(INDEX(Inputs!$D$4:$AG$150,0,MATCH(AF$2,Inputs!$D$2:$AG$2,0)),Inputs!$B$4:$B$150,$B53)/1000)</f>
        <v/>
      </c>
      <c r="AG53" s="12" t="str">
        <f>IF(COUNT(AC53:AF53)=4,SUM(AC53:AF53),"")</f>
        <v/>
      </c>
    </row>
    <row r="54">
      <c r="B54" s="9" t="n">
        <v>46</v>
      </c>
      <c r="C54" s="10" t="inlineStr">
        <is>
          <t>Receita de equivalência patrimonial (USD)</t>
        </is>
      </c>
      <c r="D54" s="11" t="str">
        <f>IF(SUMPRODUCT((Inputs!$B$4:$B$150=$B54)*ISNUMBER(INDEX(Inputs!$D$4:$AG$150,0,MATCH(D$2,Inputs!$D$2:$AG$2,0))))=0,"",SUMIFS(INDEX(Inputs!$D$4:$AG$150,0,MATCH(D$2,Inputs!$D$2:$AG$2,0)),Inputs!$B$4:$B$150,$B54)/1000)</f>
        <v/>
      </c>
      <c r="E54" s="11" t="str">
        <f>IF(SUMPRODUCT((Inputs!$B$4:$B$150=$B54)*ISNUMBER(INDEX(Inputs!$D$4:$AG$150,0,MATCH(E$2,Inputs!$D$2:$AG$2,0))))=0,"",SUMIFS(INDEX(Inputs!$D$4:$AG$150,0,MATCH(E$2,Inputs!$D$2:$AG$2,0)),Inputs!$B$4:$B$150,$B54)/1000)</f>
        <v/>
      </c>
      <c r="F54" s="11" t="str">
        <f>IF(SUMPRODUCT((Inputs!$B$4:$B$150=$B54)*ISNUMBER(INDEX(Inputs!$D$4:$AG$150,0,MATCH(F$2,Inputs!$D$2:$AG$2,0))))=0,"",SUMIFS(INDEX(Inputs!$D$4:$AG$150,0,MATCH(F$2,Inputs!$D$2:$AG$2,0)),Inputs!$B$4:$B$150,$B54)/1000)</f>
        <v/>
      </c>
      <c r="G54" s="11" t="str">
        <f>IF(SUMPRODUCT((Inputs!$B$4:$B$150=$B54)*ISNUMBER(INDEX(Inputs!$D$4:$AG$150,0,MATCH(G$2,Inputs!$D$2:$AG$2,0))))=0,"",SUMIFS(INDEX(Inputs!$D$4:$AG$150,0,MATCH(G$2,Inputs!$D$2:$AG$2,0)),Inputs!$B$4:$B$150,$B54)/1000)</f>
        <v/>
      </c>
      <c r="H54" s="12" t="str">
        <f>IF(COUNT(D54:G54)=4,SUM(D54:G54),"")</f>
        <v/>
      </c>
      <c r="I54" s="11">
        <f>IF(SUMPRODUCT((Inputs!$B$4:$B$150=$B54)*ISNUMBER(INDEX(Inputs!$D$4:$AG$150,0,MATCH(I$2,Inputs!$D$2:$AG$2,0))))=0,"",SUMIFS(INDEX(Inputs!$D$4:$AG$150,0,MATCH(I$2,Inputs!$D$2:$AG$2,0)),Inputs!$B$4:$B$150,$B54)/1000)</f>
        <v>2538</v>
      </c>
      <c r="J54" s="11">
        <f>IF(SUMPRODUCT((Inputs!$B$4:$B$150=$B54)*ISNUMBER(INDEX(Inputs!$D$4:$AG$150,0,MATCH(J$2,Inputs!$D$2:$AG$2,0))))=0,"",SUMIFS(INDEX(Inputs!$D$4:$AG$150,0,MATCH(J$2,Inputs!$D$2:$AG$2,0)),Inputs!$B$4:$B$150,$B54)/1000)</f>
        <v>3688</v>
      </c>
      <c r="K54" s="11">
        <f>IF(SUMPRODUCT((Inputs!$B$4:$B$150=$B54)*ISNUMBER(INDEX(Inputs!$D$4:$AG$150,0,MATCH(K$2,Inputs!$D$2:$AG$2,0))))=0,"",SUMIFS(INDEX(Inputs!$D$4:$AG$150,0,MATCH(K$2,Inputs!$D$2:$AG$2,0)),Inputs!$B$4:$B$150,$B54)/1000)</f>
        <v>4632</v>
      </c>
      <c r="L54" s="11">
        <f>IF(SUMPRODUCT((Inputs!$B$4:$B$150=$B54)*ISNUMBER(INDEX(Inputs!$D$4:$AG$150,0,MATCH(L$2,Inputs!$D$2:$AG$2,0))))=0,"",SUMIFS(INDEX(Inputs!$D$4:$AG$150,0,MATCH(L$2,Inputs!$D$2:$AG$2,0)),Inputs!$B$4:$B$150,$B54)/1000)</f>
        <v>605</v>
      </c>
      <c r="M54" s="12">
        <f>IF(COUNT(I54:L54)=4,SUM(I54:L54),"")</f>
        <v>11463</v>
      </c>
      <c r="N54" s="11">
        <f>IF(SUMPRODUCT((Inputs!$B$4:$B$150=$B54)*ISNUMBER(INDEX(Inputs!$D$4:$AG$150,0,MATCH(N$2,Inputs!$D$2:$AG$2,0))))=0,"",SUMIFS(INDEX(Inputs!$D$4:$AG$150,0,MATCH(N$2,Inputs!$D$2:$AG$2,0)),Inputs!$B$4:$B$150,$B54)/1000)</f>
        <v>2381</v>
      </c>
      <c r="O54" s="11">
        <f>IF(SUMPRODUCT((Inputs!$B$4:$B$150=$B54)*ISNUMBER(INDEX(Inputs!$D$4:$AG$150,0,MATCH(O$2,Inputs!$D$2:$AG$2,0))))=0,"",SUMIFS(INDEX(Inputs!$D$4:$AG$150,0,MATCH(O$2,Inputs!$D$2:$AG$2,0)),Inputs!$B$4:$B$150,$B54)/1000)</f>
        <v>1382</v>
      </c>
      <c r="P54" s="11">
        <f>IF(SUMPRODUCT((Inputs!$B$4:$B$150=$B54)*ISNUMBER(INDEX(Inputs!$D$4:$AG$150,0,MATCH(P$2,Inputs!$D$2:$AG$2,0))))=0,"",SUMIFS(INDEX(Inputs!$D$4:$AG$150,0,MATCH(P$2,Inputs!$D$2:$AG$2,0)),Inputs!$B$4:$B$150,$B54)/1000)</f>
        <v>1457</v>
      </c>
      <c r="Q54" s="11">
        <f>IF(SUMPRODUCT((Inputs!$B$4:$B$150=$B54)*ISNUMBER(INDEX(Inputs!$D$4:$AG$150,0,MATCH(Q$2,Inputs!$D$2:$AG$2,0))))=0,"",SUMIFS(INDEX(Inputs!$D$4:$AG$150,0,MATCH(Q$2,Inputs!$D$2:$AG$2,0)),Inputs!$B$4:$B$150,$B54)/1000)</f>
        <v>1165</v>
      </c>
      <c r="R54" s="12">
        <f>IF(COUNT(N54:Q54)=4,SUM(N54:Q54),"")</f>
        <v>6385</v>
      </c>
      <c r="S54" s="11">
        <f>IF(SUMPRODUCT((Inputs!$B$4:$B$150=$B54)*ISNUMBER(INDEX(Inputs!$D$4:$AG$150,0,MATCH(S$2,Inputs!$D$2:$AG$2,0))))=0,"",SUMIFS(INDEX(Inputs!$D$4:$AG$150,0,MATCH(S$2,Inputs!$D$2:$AG$2,0)),Inputs!$B$4:$B$150,$B54)/1000)</f>
        <v>1842</v>
      </c>
      <c r="T54" s="11">
        <f>IF(SUMPRODUCT((Inputs!$B$4:$B$150=$B54)*ISNUMBER(INDEX(Inputs!$D$4:$AG$150,0,MATCH(T$2,Inputs!$D$2:$AG$2,0))))=0,"",SUMIFS(INDEX(Inputs!$D$4:$AG$150,0,MATCH(T$2,Inputs!$D$2:$AG$2,0)),Inputs!$B$4:$B$150,$B54)/1000)</f>
        <v>1744</v>
      </c>
      <c r="U54" s="11">
        <f>IF(SUMPRODUCT((Inputs!$B$4:$B$150=$B54)*ISNUMBER(INDEX(Inputs!$D$4:$AG$150,0,MATCH(U$2,Inputs!$D$2:$AG$2,0))))=0,"",SUMIFS(INDEX(Inputs!$D$4:$AG$150,0,MATCH(U$2,Inputs!$D$2:$AG$2,0)),Inputs!$B$4:$B$150,$B54)/1000)</f>
        <v>1481</v>
      </c>
      <c r="V54" s="11">
        <f>IF(SUMPRODUCT((Inputs!$B$4:$B$150=$B54)*ISNUMBER(INDEX(Inputs!$D$4:$AG$150,0,MATCH(V$2,Inputs!$D$2:$AG$2,0))))=0,"",SUMIFS(INDEX(Inputs!$D$4:$AG$150,0,MATCH(V$2,Inputs!$D$2:$AG$2,0)),Inputs!$B$4:$B$150,$B54)/1000)</f>
        <v>1127</v>
      </c>
      <c r="W54" s="12">
        <f>IF(COUNT(S54:V54)=4,SUM(S54:V54),"")</f>
        <v>6194</v>
      </c>
      <c r="X54" s="11">
        <f>IF(SUMPRODUCT((Inputs!$B$4:$B$150=$B54)*ISNUMBER(INDEX(Inputs!$D$4:$AG$150,0,MATCH(X$2,Inputs!$D$2:$AG$2,0))))=0,"",SUMIFS(INDEX(Inputs!$D$4:$AG$150,0,MATCH(X$2,Inputs!$D$2:$AG$2,0)),Inputs!$B$4:$B$150,$B54)/1000)</f>
        <v>1369</v>
      </c>
      <c r="Y54" s="11">
        <f>IF(SUMPRODUCT((Inputs!$B$4:$B$150=$B54)*ISNUMBER(INDEX(Inputs!$D$4:$AG$150,0,MATCH(Y$2,Inputs!$D$2:$AG$2,0))))=0,"",SUMIFS(INDEX(Inputs!$D$4:$AG$150,0,MATCH(Y$2,Inputs!$D$2:$AG$2,0)),Inputs!$B$4:$B$150,$B54)/1000)</f>
        <v>1462</v>
      </c>
      <c r="Z54" s="11">
        <f>IF(SUMPRODUCT((Inputs!$B$4:$B$150=$B54)*ISNUMBER(INDEX(Inputs!$D$4:$AG$150,0,MATCH(Z$2,Inputs!$D$2:$AG$2,0))))=0,"",SUMIFS(INDEX(Inputs!$D$4:$AG$150,0,MATCH(Z$2,Inputs!$D$2:$AG$2,0)),Inputs!$B$4:$B$150,$B54)/1000)</f>
        <v>1267</v>
      </c>
      <c r="AA54" s="11">
        <f>IF(SUMPRODUCT((Inputs!$B$4:$B$150=$B54)*ISNUMBER(INDEX(Inputs!$D$4:$AG$150,0,MATCH(AA$2,Inputs!$D$2:$AG$2,0))))=0,"",SUMIFS(INDEX(Inputs!$D$4:$AG$150,0,MATCH(AA$2,Inputs!$D$2:$AG$2,0)),Inputs!$B$4:$B$150,$B54)/1000)</f>
        <v>966</v>
      </c>
      <c r="AB54" s="12">
        <f>IF(COUNT(X54:AA54)=4,SUM(X54:AA54),"")</f>
        <v>5064</v>
      </c>
      <c r="AC54" s="11">
        <f>IF(SUMPRODUCT((Inputs!$B$4:$B$150=$B54)*ISNUMBER(INDEX(Inputs!$D$4:$AG$150,0,MATCH(AC$2,Inputs!$D$2:$AG$2,0))))=0,"",SUMIFS(INDEX(Inputs!$D$4:$AG$150,0,MATCH(AC$2,Inputs!$D$2:$AG$2,0)),Inputs!$B$4:$B$150,$B54)/1000)</f>
        <v>1369</v>
      </c>
      <c r="AD54" s="11">
        <f>IF(SUMPRODUCT((Inputs!$B$4:$B$150=$B54)*ISNUMBER(INDEX(Inputs!$D$4:$AG$150,0,MATCH(AD$2,Inputs!$D$2:$AG$2,0))))=0,"",SUMIFS(INDEX(Inputs!$D$4:$AG$150,0,MATCH(AD$2,Inputs!$D$2:$AG$2,0)),Inputs!$B$4:$B$150,$B54)/1000)</f>
        <v>893</v>
      </c>
      <c r="AE54" s="11" t="str">
        <f>IF(SUMPRODUCT((Inputs!$B$4:$B$150=$B54)*ISNUMBER(INDEX(Inputs!$D$4:$AG$150,0,MATCH(AE$2,Inputs!$D$2:$AG$2,0))))=0,"",SUMIFS(INDEX(Inputs!$D$4:$AG$150,0,MATCH(AE$2,Inputs!$D$2:$AG$2,0)),Inputs!$B$4:$B$150,$B54)/1000)</f>
        <v/>
      </c>
      <c r="AF54" s="11" t="str">
        <f>IF(SUMPRODUCT((Inputs!$B$4:$B$150=$B54)*ISNUMBER(INDEX(Inputs!$D$4:$AG$150,0,MATCH(AF$2,Inputs!$D$2:$AG$2,0))))=0,"",SUMIFS(INDEX(Inputs!$D$4:$AG$150,0,MATCH(AF$2,Inputs!$D$2:$AG$2,0)),Inputs!$B$4:$B$150,$B54)/1000)</f>
        <v/>
      </c>
      <c r="AG54" s="12" t="str">
        <f>IF(COUNT(AC54:AF54)=4,SUM(AC54:AF54),"")</f>
        <v/>
      </c>
    </row>
    <row r="55">
      <c r="B55" s="9" t="n">
        <v>47</v>
      </c>
      <c r="C55" s="10" t="inlineStr">
        <is>
          <t>Outras receitas (USD)</t>
        </is>
      </c>
      <c r="D55" s="11" t="str">
        <f>IF(SUMPRODUCT((Inputs!$B$4:$B$150=$B55)*ISNUMBER(INDEX(Inputs!$D$4:$AG$150,0,MATCH(D$2,Inputs!$D$2:$AG$2,0))))=0,"",SUMIFS(INDEX(Inputs!$D$4:$AG$150,0,MATCH(D$2,Inputs!$D$2:$AG$2,0)),Inputs!$B$4:$B$150,$B55)/1000)</f>
        <v/>
      </c>
      <c r="E55" s="11" t="str">
        <f>IF(SUMPRODUCT((Inputs!$B$4:$B$150=$B55)*ISNUMBER(INDEX(Inputs!$D$4:$AG$150,0,MATCH(E$2,Inputs!$D$2:$AG$2,0))))=0,"",SUMIFS(INDEX(Inputs!$D$4:$AG$150,0,MATCH(E$2,Inputs!$D$2:$AG$2,0)),Inputs!$B$4:$B$150,$B55)/1000)</f>
        <v/>
      </c>
      <c r="F55" s="11" t="str">
        <f>IF(SUMPRODUCT((Inputs!$B$4:$B$150=$B55)*ISNUMBER(INDEX(Inputs!$D$4:$AG$150,0,MATCH(F$2,Inputs!$D$2:$AG$2,0))))=0,"",SUMIFS(INDEX(Inputs!$D$4:$AG$150,0,MATCH(F$2,Inputs!$D$2:$AG$2,0)),Inputs!$B$4:$B$150,$B55)/1000)</f>
        <v/>
      </c>
      <c r="G55" s="11" t="str">
        <f>IF(SUMPRODUCT((Inputs!$B$4:$B$150=$B55)*ISNUMBER(INDEX(Inputs!$D$4:$AG$150,0,MATCH(G$2,Inputs!$D$2:$AG$2,0))))=0,"",SUMIFS(INDEX(Inputs!$D$4:$AG$150,0,MATCH(G$2,Inputs!$D$2:$AG$2,0)),Inputs!$B$4:$B$150,$B55)/1000)</f>
        <v/>
      </c>
      <c r="H55" s="12" t="str">
        <f>IF(COUNT(D55:G55)=4,SUM(D55:G55),"")</f>
        <v/>
      </c>
      <c r="I55" s="11">
        <f>IF(SUMPRODUCT((Inputs!$B$4:$B$150=$B55)*ISNUMBER(INDEX(Inputs!$D$4:$AG$150,0,MATCH(I$2,Inputs!$D$2:$AG$2,0))))=0,"",SUMIFS(INDEX(Inputs!$D$4:$AG$150,0,MATCH(I$2,Inputs!$D$2:$AG$2,0)),Inputs!$B$4:$B$150,$B55)/1000)</f>
        <v>228</v>
      </c>
      <c r="J55" s="11">
        <f>IF(SUMPRODUCT((Inputs!$B$4:$B$150=$B55)*ISNUMBER(INDEX(Inputs!$D$4:$AG$150,0,MATCH(J$2,Inputs!$D$2:$AG$2,0))))=0,"",SUMIFS(INDEX(Inputs!$D$4:$AG$150,0,MATCH(J$2,Inputs!$D$2:$AG$2,0)),Inputs!$B$4:$B$150,$B55)/1000)</f>
        <v>728</v>
      </c>
      <c r="K55" s="11">
        <f>IF(SUMPRODUCT((Inputs!$B$4:$B$150=$B55)*ISNUMBER(INDEX(Inputs!$D$4:$AG$150,0,MATCH(K$2,Inputs!$D$2:$AG$2,0))))=0,"",SUMIFS(INDEX(Inputs!$D$4:$AG$150,0,MATCH(K$2,Inputs!$D$2:$AG$2,0)),Inputs!$B$4:$B$150,$B55)/1000)</f>
        <v>926</v>
      </c>
      <c r="L55" s="11">
        <f>IF(SUMPRODUCT((Inputs!$B$4:$B$150=$B55)*ISNUMBER(INDEX(Inputs!$D$4:$AG$150,0,MATCH(L$2,Inputs!$D$2:$AG$2,0))))=0,"",SUMIFS(INDEX(Inputs!$D$4:$AG$150,0,MATCH(L$2,Inputs!$D$2:$AG$2,0)),Inputs!$B$4:$B$150,$B55)/1000)</f>
        <v>1660</v>
      </c>
      <c r="M55" s="12">
        <f>IF(COUNT(I55:L55)=4,SUM(I55:L55),"")</f>
        <v>3542</v>
      </c>
      <c r="N55" s="11">
        <f>IF(SUMPRODUCT((Inputs!$B$4:$B$150=$B55)*ISNUMBER(INDEX(Inputs!$D$4:$AG$150,0,MATCH(N$2,Inputs!$D$2:$AG$2,0))))=0,"",SUMIFS(INDEX(Inputs!$D$4:$AG$150,0,MATCH(N$2,Inputs!$D$2:$AG$2,0)),Inputs!$B$4:$B$150,$B55)/1000)</f>
        <v>539</v>
      </c>
      <c r="O55" s="11">
        <f>IF(SUMPRODUCT((Inputs!$B$4:$B$150=$B55)*ISNUMBER(INDEX(Inputs!$D$4:$AG$150,0,MATCH(O$2,Inputs!$D$2:$AG$2,0))))=0,"",SUMIFS(INDEX(Inputs!$D$4:$AG$150,0,MATCH(O$2,Inputs!$D$2:$AG$2,0)),Inputs!$B$4:$B$150,$B55)/1000)</f>
        <v>737</v>
      </c>
      <c r="P55" s="11">
        <f>IF(SUMPRODUCT((Inputs!$B$4:$B$150=$B55)*ISNUMBER(INDEX(Inputs!$D$4:$AG$150,0,MATCH(P$2,Inputs!$D$2:$AG$2,0))))=0,"",SUMIFS(INDEX(Inputs!$D$4:$AG$150,0,MATCH(P$2,Inputs!$D$2:$AG$2,0)),Inputs!$B$4:$B$150,$B55)/1000)</f>
        <v>733</v>
      </c>
      <c r="Q55" s="11">
        <f>IF(SUMPRODUCT((Inputs!$B$4:$B$150=$B55)*ISNUMBER(INDEX(Inputs!$D$4:$AG$150,0,MATCH(Q$2,Inputs!$D$2:$AG$2,0))))=0,"",SUMIFS(INDEX(Inputs!$D$4:$AG$150,0,MATCH(Q$2,Inputs!$D$2:$AG$2,0)),Inputs!$B$4:$B$150,$B55)/1000)</f>
        <v>1491</v>
      </c>
      <c r="R55" s="12">
        <f>IF(COUNT(N55:Q55)=4,SUM(N55:Q55),"")</f>
        <v>3500</v>
      </c>
      <c r="S55" s="11">
        <f>IF(SUMPRODUCT((Inputs!$B$4:$B$150=$B55)*ISNUMBER(INDEX(Inputs!$D$4:$AG$150,0,MATCH(S$2,Inputs!$D$2:$AG$2,0))))=0,"",SUMIFS(INDEX(Inputs!$D$4:$AG$150,0,MATCH(S$2,Inputs!$D$2:$AG$2,0)),Inputs!$B$4:$B$150,$B55)/1000)</f>
        <v>830</v>
      </c>
      <c r="T55" s="11">
        <f>IF(SUMPRODUCT((Inputs!$B$4:$B$150=$B55)*ISNUMBER(INDEX(Inputs!$D$4:$AG$150,0,MATCH(T$2,Inputs!$D$2:$AG$2,0))))=0,"",SUMIFS(INDEX(Inputs!$D$4:$AG$150,0,MATCH(T$2,Inputs!$D$2:$AG$2,0)),Inputs!$B$4:$B$150,$B55)/1000)</f>
        <v>1330</v>
      </c>
      <c r="U55" s="11">
        <f>IF(SUMPRODUCT((Inputs!$B$4:$B$150=$B55)*ISNUMBER(INDEX(Inputs!$D$4:$AG$150,0,MATCH(U$2,Inputs!$D$2:$AG$2,0))))=0,"",SUMIFS(INDEX(Inputs!$D$4:$AG$150,0,MATCH(U$2,Inputs!$D$2:$AG$2,0)),Inputs!$B$4:$B$150,$B55)/1000)</f>
        <v>743</v>
      </c>
      <c r="V55" s="11">
        <f>IF(SUMPRODUCT((Inputs!$B$4:$B$150=$B55)*ISNUMBER(INDEX(Inputs!$D$4:$AG$150,0,MATCH(V$2,Inputs!$D$2:$AG$2,0))))=0,"",SUMIFS(INDEX(Inputs!$D$4:$AG$150,0,MATCH(V$2,Inputs!$D$2:$AG$2,0)),Inputs!$B$4:$B$150,$B55)/1000)</f>
        <v>1241</v>
      </c>
      <c r="W55" s="12">
        <f>IF(COUNT(S55:V55)=4,SUM(S55:V55),"")</f>
        <v>4144</v>
      </c>
      <c r="X55" s="11">
        <f>IF(SUMPRODUCT((Inputs!$B$4:$B$150=$B55)*ISNUMBER(INDEX(Inputs!$D$4:$AG$150,0,MATCH(X$2,Inputs!$D$2:$AG$2,0))))=0,"",SUMIFS(INDEX(Inputs!$D$4:$AG$150,0,MATCH(X$2,Inputs!$D$2:$AG$2,0)),Inputs!$B$4:$B$150,$B55)/1000)</f>
        <v>703</v>
      </c>
      <c r="Y55" s="11">
        <f>IF(SUMPRODUCT((Inputs!$B$4:$B$150=$B55)*ISNUMBER(INDEX(Inputs!$D$4:$AG$150,0,MATCH(Y$2,Inputs!$D$2:$AG$2,0))))=0,"",SUMIFS(INDEX(Inputs!$D$4:$AG$150,0,MATCH(Y$2,Inputs!$D$2:$AG$2,0)),Inputs!$B$4:$B$150,$B55)/1000)</f>
        <v>567</v>
      </c>
      <c r="Z55" s="11">
        <f>IF(SUMPRODUCT((Inputs!$B$4:$B$150=$B55)*ISNUMBER(INDEX(Inputs!$D$4:$AG$150,0,MATCH(Z$2,Inputs!$D$2:$AG$2,0))))=0,"",SUMIFS(INDEX(Inputs!$D$4:$AG$150,0,MATCH(Z$2,Inputs!$D$2:$AG$2,0)),Inputs!$B$4:$B$150,$B55)/1000)</f>
        <v>696</v>
      </c>
      <c r="AA55" s="11">
        <f>IF(SUMPRODUCT((Inputs!$B$4:$B$150=$B55)*ISNUMBER(INDEX(Inputs!$D$4:$AG$150,0,MATCH(AA$2,Inputs!$D$2:$AG$2,0))))=0,"",SUMIFS(INDEX(Inputs!$D$4:$AG$150,0,MATCH(AA$2,Inputs!$D$2:$AG$2,0)),Inputs!$B$4:$B$150,$B55)/1000)</f>
        <v>1303</v>
      </c>
      <c r="AB55" s="12">
        <f>IF(COUNT(X55:AA55)=4,SUM(X55:AA55),"")</f>
        <v>3269</v>
      </c>
      <c r="AC55" s="11">
        <f>IF(SUMPRODUCT((Inputs!$B$4:$B$150=$B55)*ISNUMBER(INDEX(Inputs!$D$4:$AG$150,0,MATCH(AC$2,Inputs!$D$2:$AG$2,0))))=0,"",SUMIFS(INDEX(Inputs!$D$4:$AG$150,0,MATCH(AC$2,Inputs!$D$2:$AG$2,0)),Inputs!$B$4:$B$150,$B55)/1000)</f>
        <v>608</v>
      </c>
      <c r="AD55" s="11">
        <f>IF(SUMPRODUCT((Inputs!$B$4:$B$150=$B55)*ISNUMBER(INDEX(Inputs!$D$4:$AG$150,0,MATCH(AD$2,Inputs!$D$2:$AG$2,0))))=0,"",SUMIFS(INDEX(Inputs!$D$4:$AG$150,0,MATCH(AD$2,Inputs!$D$2:$AG$2,0)),Inputs!$B$4:$B$150,$B55)/1000)</f>
        <v>595</v>
      </c>
      <c r="AE55" s="11" t="str">
        <f>IF(SUMPRODUCT((Inputs!$B$4:$B$150=$B55)*ISNUMBER(INDEX(Inputs!$D$4:$AG$150,0,MATCH(AE$2,Inputs!$D$2:$AG$2,0))))=0,"",SUMIFS(INDEX(Inputs!$D$4:$AG$150,0,MATCH(AE$2,Inputs!$D$2:$AG$2,0)),Inputs!$B$4:$B$150,$B55)/1000)</f>
        <v/>
      </c>
      <c r="AF55" s="11" t="str">
        <f>IF(SUMPRODUCT((Inputs!$B$4:$B$150=$B55)*ISNUMBER(INDEX(Inputs!$D$4:$AG$150,0,MATCH(AF$2,Inputs!$D$2:$AG$2,0))))=0,"",SUMIFS(INDEX(Inputs!$D$4:$AG$150,0,MATCH(AF$2,Inputs!$D$2:$AG$2,0)),Inputs!$B$4:$B$150,$B55)/1000)</f>
        <v/>
      </c>
      <c r="AG55" s="12" t="str">
        <f>IF(COUNT(AC55:AF55)=4,SUM(AC55:AF55),"")</f>
        <v/>
      </c>
    </row>
    <row r="56">
      <c r="B56" s="9" t="n">
        <v>48</v>
      </c>
      <c r="C56" s="10" t="inlineStr">
        <is>
          <t>Lucro Upstream (EUA + exterior, USD)</t>
        </is>
      </c>
      <c r="D56" s="11">
        <f>IF(SUMPRODUCT((Inputs!$B$4:$B$150=$B56)*ISNUMBER(INDEX(Inputs!$D$4:$AG$150,0,MATCH(D$2,Inputs!$D$2:$AG$2,0))))=0,"",SUMIFS(INDEX(Inputs!$D$4:$AG$150,0,MATCH(D$2,Inputs!$D$2:$AG$2,0)),Inputs!$B$4:$B$150,$B56)/1000)</f>
        <v>2554</v>
      </c>
      <c r="E56" s="11">
        <f>IF(SUMPRODUCT((Inputs!$B$4:$B$150=$B56)*ISNUMBER(INDEX(Inputs!$D$4:$AG$150,0,MATCH(E$2,Inputs!$D$2:$AG$2,0))))=0,"",SUMIFS(INDEX(Inputs!$D$4:$AG$150,0,MATCH(E$2,Inputs!$D$2:$AG$2,0)),Inputs!$B$4:$B$150,$B56)/1000)</f>
        <v>3185</v>
      </c>
      <c r="F56" s="11">
        <f>IF(SUMPRODUCT((Inputs!$B$4:$B$150=$B56)*ISNUMBER(INDEX(Inputs!$D$4:$AG$150,0,MATCH(F$2,Inputs!$D$2:$AG$2,0))))=0,"",SUMIFS(INDEX(Inputs!$D$4:$AG$150,0,MATCH(F$2,Inputs!$D$2:$AG$2,0)),Inputs!$B$4:$B$150,$B56)/1000)</f>
        <v>3951</v>
      </c>
      <c r="G56" s="11" t="str">
        <f>IF(SUMPRODUCT((Inputs!$B$4:$B$150=$B56)*ISNUMBER(INDEX(Inputs!$D$4:$AG$150,0,MATCH(G$2,Inputs!$D$2:$AG$2,0))))=0,"",SUMIFS(INDEX(Inputs!$D$4:$AG$150,0,MATCH(G$2,Inputs!$D$2:$AG$2,0)),Inputs!$B$4:$B$150,$B56)/1000)</f>
        <v/>
      </c>
      <c r="H56" s="12" t="str">
        <f>IF(COUNT(D56:G56)=4,SUM(D56:G56),"")</f>
        <v/>
      </c>
      <c r="I56" s="11">
        <f>IF(SUMPRODUCT((Inputs!$B$4:$B$150=$B56)*ISNUMBER(INDEX(Inputs!$D$4:$AG$150,0,MATCH(I$2,Inputs!$D$2:$AG$2,0))))=0,"",SUMIFS(INDEX(Inputs!$D$4:$AG$150,0,MATCH(I$2,Inputs!$D$2:$AG$2,0)),Inputs!$B$4:$B$150,$B56)/1000)</f>
        <v>4488</v>
      </c>
      <c r="J56" s="11">
        <f>IF(SUMPRODUCT((Inputs!$B$4:$B$150=$B56)*ISNUMBER(INDEX(Inputs!$D$4:$AG$150,0,MATCH(J$2,Inputs!$D$2:$AG$2,0))))=0,"",SUMIFS(INDEX(Inputs!$D$4:$AG$150,0,MATCH(J$2,Inputs!$D$2:$AG$2,0)),Inputs!$B$4:$B$150,$B56)/1000)</f>
        <v>11371</v>
      </c>
      <c r="K56" s="11">
        <f>IF(SUMPRODUCT((Inputs!$B$4:$B$150=$B56)*ISNUMBER(INDEX(Inputs!$D$4:$AG$150,0,MATCH(K$2,Inputs!$D$2:$AG$2,0))))=0,"",SUMIFS(INDEX(Inputs!$D$4:$AG$150,0,MATCH(K$2,Inputs!$D$2:$AG$2,0)),Inputs!$B$4:$B$150,$B56)/1000)</f>
        <v>12419</v>
      </c>
      <c r="L56" s="11">
        <f>IF(SUMPRODUCT((Inputs!$B$4:$B$150=$B56)*ISNUMBER(INDEX(Inputs!$D$4:$AG$150,0,MATCH(L$2,Inputs!$D$2:$AG$2,0))))=0,"",SUMIFS(INDEX(Inputs!$D$4:$AG$150,0,MATCH(L$2,Inputs!$D$2:$AG$2,0)),Inputs!$B$4:$B$150,$B56)/1000)</f>
        <v>8201</v>
      </c>
      <c r="M56" s="12">
        <f>IF(COUNT(I56:L56)=4,SUM(I56:L56),"")</f>
        <v>36479</v>
      </c>
      <c r="N56" s="11">
        <f>IF(SUMPRODUCT((Inputs!$B$4:$B$150=$B56)*ISNUMBER(INDEX(Inputs!$D$4:$AG$150,0,MATCH(N$2,Inputs!$D$2:$AG$2,0))))=0,"",SUMIFS(INDEX(Inputs!$D$4:$AG$150,0,MATCH(N$2,Inputs!$D$2:$AG$2,0)),Inputs!$B$4:$B$150,$B56)/1000)</f>
        <v>6457</v>
      </c>
      <c r="O56" s="11">
        <f>IF(SUMPRODUCT((Inputs!$B$4:$B$150=$B56)*ISNUMBER(INDEX(Inputs!$D$4:$AG$150,0,MATCH(O$2,Inputs!$D$2:$AG$2,0))))=0,"",SUMIFS(INDEX(Inputs!$D$4:$AG$150,0,MATCH(O$2,Inputs!$D$2:$AG$2,0)),Inputs!$B$4:$B$150,$B56)/1000)</f>
        <v>4577</v>
      </c>
      <c r="P56" s="11">
        <f>IF(SUMPRODUCT((Inputs!$B$4:$B$150=$B56)*ISNUMBER(INDEX(Inputs!$D$4:$AG$150,0,MATCH(P$2,Inputs!$D$2:$AG$2,0))))=0,"",SUMIFS(INDEX(Inputs!$D$4:$AG$150,0,MATCH(P$2,Inputs!$D$2:$AG$2,0)),Inputs!$B$4:$B$150,$B56)/1000)</f>
        <v>6125</v>
      </c>
      <c r="Q56" s="11">
        <f>IF(SUMPRODUCT((Inputs!$B$4:$B$150=$B56)*ISNUMBER(INDEX(Inputs!$D$4:$AG$150,0,MATCH(Q$2,Inputs!$D$2:$AG$2,0))))=0,"",SUMIFS(INDEX(Inputs!$D$4:$AG$150,0,MATCH(Q$2,Inputs!$D$2:$AG$2,0)),Inputs!$B$4:$B$150,$B56)/1000)</f>
        <v>4149</v>
      </c>
      <c r="R56" s="12">
        <f>IF(COUNT(N56:Q56)=4,SUM(N56:Q56),"")</f>
        <v>21308</v>
      </c>
      <c r="S56" s="11">
        <f>IF(SUMPRODUCT((Inputs!$B$4:$B$150=$B56)*ISNUMBER(INDEX(Inputs!$D$4:$AG$150,0,MATCH(S$2,Inputs!$D$2:$AG$2,0))))=0,"",SUMIFS(INDEX(Inputs!$D$4:$AG$150,0,MATCH(S$2,Inputs!$D$2:$AG$2,0)),Inputs!$B$4:$B$150,$B56)/1000)</f>
        <v>5660</v>
      </c>
      <c r="T56" s="11">
        <f>IF(SUMPRODUCT((Inputs!$B$4:$B$150=$B56)*ISNUMBER(INDEX(Inputs!$D$4:$AG$150,0,MATCH(T$2,Inputs!$D$2:$AG$2,0))))=0,"",SUMIFS(INDEX(Inputs!$D$4:$AG$150,0,MATCH(T$2,Inputs!$D$2:$AG$2,0)),Inputs!$B$4:$B$150,$B56)/1000)</f>
        <v>7074</v>
      </c>
      <c r="U56" s="11">
        <f>IF(SUMPRODUCT((Inputs!$B$4:$B$150=$B56)*ISNUMBER(INDEX(Inputs!$D$4:$AG$150,0,MATCH(U$2,Inputs!$D$2:$AG$2,0))))=0,"",SUMIFS(INDEX(Inputs!$D$4:$AG$150,0,MATCH(U$2,Inputs!$D$2:$AG$2,0)),Inputs!$B$4:$B$150,$B56)/1000)</f>
        <v>6158</v>
      </c>
      <c r="V56" s="11">
        <f>IF(SUMPRODUCT((Inputs!$B$4:$B$150=$B56)*ISNUMBER(INDEX(Inputs!$D$4:$AG$150,0,MATCH(V$2,Inputs!$D$2:$AG$2,0))))=0,"",SUMIFS(INDEX(Inputs!$D$4:$AG$150,0,MATCH(V$2,Inputs!$D$2:$AG$2,0)),Inputs!$B$4:$B$150,$B56)/1000)</f>
        <v>6498</v>
      </c>
      <c r="W56" s="12">
        <f>IF(COUNT(S56:V56)=4,SUM(S56:V56),"")</f>
        <v>25390</v>
      </c>
      <c r="X56" s="11">
        <f>IF(SUMPRODUCT((Inputs!$B$4:$B$150=$B56)*ISNUMBER(INDEX(Inputs!$D$4:$AG$150,0,MATCH(X$2,Inputs!$D$2:$AG$2,0))))=0,"",SUMIFS(INDEX(Inputs!$D$4:$AG$150,0,MATCH(X$2,Inputs!$D$2:$AG$2,0)),Inputs!$B$4:$B$150,$B56)/1000)</f>
        <v>6756</v>
      </c>
      <c r="Y56" s="11">
        <f>IF(SUMPRODUCT((Inputs!$B$4:$B$150=$B56)*ISNUMBER(INDEX(Inputs!$D$4:$AG$150,0,MATCH(Y$2,Inputs!$D$2:$AG$2,0))))=0,"",SUMIFS(INDEX(Inputs!$D$4:$AG$150,0,MATCH(Y$2,Inputs!$D$2:$AG$2,0)),Inputs!$B$4:$B$150,$B56)/1000)</f>
        <v>5402</v>
      </c>
      <c r="Z56" s="11">
        <f>IF(SUMPRODUCT((Inputs!$B$4:$B$150=$B56)*ISNUMBER(INDEX(Inputs!$D$4:$AG$150,0,MATCH(Z$2,Inputs!$D$2:$AG$2,0))))=0,"",SUMIFS(INDEX(Inputs!$D$4:$AG$150,0,MATCH(Z$2,Inputs!$D$2:$AG$2,0)),Inputs!$B$4:$B$150,$B56)/1000)</f>
        <v>5679</v>
      </c>
      <c r="AA56" s="11">
        <f>IF(SUMPRODUCT((Inputs!$B$4:$B$150=$B56)*ISNUMBER(INDEX(Inputs!$D$4:$AG$150,0,MATCH(AA$2,Inputs!$D$2:$AG$2,0))))=0,"",SUMIFS(INDEX(Inputs!$D$4:$AG$150,0,MATCH(AA$2,Inputs!$D$2:$AG$2,0)),Inputs!$B$4:$B$150,$B56)/1000)</f>
        <v>3517</v>
      </c>
      <c r="AB56" s="12">
        <f>IF(COUNT(X56:AA56)=4,SUM(X56:AA56),"")</f>
        <v>21354</v>
      </c>
      <c r="AC56" s="11">
        <f>IF(SUMPRODUCT((Inputs!$B$4:$B$150=$B56)*ISNUMBER(INDEX(Inputs!$D$4:$AG$150,0,MATCH(AC$2,Inputs!$D$2:$AG$2,0))))=0,"",SUMIFS(INDEX(Inputs!$D$4:$AG$150,0,MATCH(AC$2,Inputs!$D$2:$AG$2,0)),Inputs!$B$4:$B$150,$B56)/1000)</f>
        <v>5737</v>
      </c>
      <c r="AD56" s="11">
        <f>IF(SUMPRODUCT((Inputs!$B$4:$B$150=$B56)*ISNUMBER(INDEX(Inputs!$D$4:$AG$150,0,MATCH(AD$2,Inputs!$D$2:$AG$2,0))))=0,"",SUMIFS(INDEX(Inputs!$D$4:$AG$150,0,MATCH(AD$2,Inputs!$D$2:$AG$2,0)),Inputs!$B$4:$B$150,$B56)/1000)</f>
        <v>7927</v>
      </c>
      <c r="AE56" s="11" t="str">
        <f>IF(SUMPRODUCT((Inputs!$B$4:$B$150=$B56)*ISNUMBER(INDEX(Inputs!$D$4:$AG$150,0,MATCH(AE$2,Inputs!$D$2:$AG$2,0))))=0,"",SUMIFS(INDEX(Inputs!$D$4:$AG$150,0,MATCH(AE$2,Inputs!$D$2:$AG$2,0)),Inputs!$B$4:$B$150,$B56)/1000)</f>
        <v/>
      </c>
      <c r="AF56" s="11" t="str">
        <f>IF(SUMPRODUCT((Inputs!$B$4:$B$150=$B56)*ISNUMBER(INDEX(Inputs!$D$4:$AG$150,0,MATCH(AF$2,Inputs!$D$2:$AG$2,0))))=0,"",SUMIFS(INDEX(Inputs!$D$4:$AG$150,0,MATCH(AF$2,Inputs!$D$2:$AG$2,0)),Inputs!$B$4:$B$150,$B56)/1000)</f>
        <v/>
      </c>
      <c r="AG56" s="12" t="str">
        <f>IF(COUNT(AC56:AF56)=4,SUM(AC56:AF56),"")</f>
        <v/>
      </c>
    </row>
    <row r="57">
      <c r="B57" s="9" t="n">
        <v>49</v>
      </c>
      <c r="C57" s="10" t="inlineStr">
        <is>
          <t>Lucro Energy Products (USD)</t>
        </is>
      </c>
      <c r="D57" s="11" t="str">
        <f>IF(SUMPRODUCT((Inputs!$B$4:$B$150=$B57)*ISNUMBER(INDEX(Inputs!$D$4:$AG$150,0,MATCH(D$2,Inputs!$D$2:$AG$2,0))))=0,"",SUMIFS(INDEX(Inputs!$D$4:$AG$150,0,MATCH(D$2,Inputs!$D$2:$AG$2,0)),Inputs!$B$4:$B$150,$B57)/1000)</f>
        <v/>
      </c>
      <c r="E57" s="11" t="str">
        <f>IF(SUMPRODUCT((Inputs!$B$4:$B$150=$B57)*ISNUMBER(INDEX(Inputs!$D$4:$AG$150,0,MATCH(E$2,Inputs!$D$2:$AG$2,0))))=0,"",SUMIFS(INDEX(Inputs!$D$4:$AG$150,0,MATCH(E$2,Inputs!$D$2:$AG$2,0)),Inputs!$B$4:$B$150,$B57)/1000)</f>
        <v/>
      </c>
      <c r="F57" s="11" t="str">
        <f>IF(SUMPRODUCT((Inputs!$B$4:$B$150=$B57)*ISNUMBER(INDEX(Inputs!$D$4:$AG$150,0,MATCH(F$2,Inputs!$D$2:$AG$2,0))))=0,"",SUMIFS(INDEX(Inputs!$D$4:$AG$150,0,MATCH(F$2,Inputs!$D$2:$AG$2,0)),Inputs!$B$4:$B$150,$B57)/1000)</f>
        <v/>
      </c>
      <c r="G57" s="11" t="str">
        <f>IF(SUMPRODUCT((Inputs!$B$4:$B$150=$B57)*ISNUMBER(INDEX(Inputs!$D$4:$AG$150,0,MATCH(G$2,Inputs!$D$2:$AG$2,0))))=0,"",SUMIFS(INDEX(Inputs!$D$4:$AG$150,0,MATCH(G$2,Inputs!$D$2:$AG$2,0)),Inputs!$B$4:$B$150,$B57)/1000)</f>
        <v/>
      </c>
      <c r="H57" s="12" t="str">
        <f>IF(COUNT(D57:G57)=4,SUM(D57:G57),"")</f>
        <v/>
      </c>
      <c r="I57" s="11">
        <f>IF(SUMPRODUCT((Inputs!$B$4:$B$150=$B57)*ISNUMBER(INDEX(Inputs!$D$4:$AG$150,0,MATCH(I$2,Inputs!$D$2:$AG$2,0))))=0,"",SUMIFS(INDEX(Inputs!$D$4:$AG$150,0,MATCH(I$2,Inputs!$D$2:$AG$2,0)),Inputs!$B$4:$B$150,$B57)/1000)</f>
        <v>-195</v>
      </c>
      <c r="J57" s="11">
        <f>IF(SUMPRODUCT((Inputs!$B$4:$B$150=$B57)*ISNUMBER(INDEX(Inputs!$D$4:$AG$150,0,MATCH(J$2,Inputs!$D$2:$AG$2,0))))=0,"",SUMIFS(INDEX(Inputs!$D$4:$AG$150,0,MATCH(J$2,Inputs!$D$2:$AG$2,0)),Inputs!$B$4:$B$150,$B57)/1000)</f>
        <v>5272</v>
      </c>
      <c r="K57" s="11">
        <f>IF(SUMPRODUCT((Inputs!$B$4:$B$150=$B57)*ISNUMBER(INDEX(Inputs!$D$4:$AG$150,0,MATCH(K$2,Inputs!$D$2:$AG$2,0))))=0,"",SUMIFS(INDEX(Inputs!$D$4:$AG$150,0,MATCH(K$2,Inputs!$D$2:$AG$2,0)),Inputs!$B$4:$B$150,$B57)/1000)</f>
        <v>5819</v>
      </c>
      <c r="L57" s="11">
        <f>IF(SUMPRODUCT((Inputs!$B$4:$B$150=$B57)*ISNUMBER(INDEX(Inputs!$D$4:$AG$150,0,MATCH(L$2,Inputs!$D$2:$AG$2,0))))=0,"",SUMIFS(INDEX(Inputs!$D$4:$AG$150,0,MATCH(L$2,Inputs!$D$2:$AG$2,0)),Inputs!$B$4:$B$150,$B57)/1000)</f>
        <v>4070</v>
      </c>
      <c r="M57" s="12">
        <f>IF(COUNT(I57:L57)=4,SUM(I57:L57),"")</f>
        <v>14966</v>
      </c>
      <c r="N57" s="11">
        <f>IF(SUMPRODUCT((Inputs!$B$4:$B$150=$B57)*ISNUMBER(INDEX(Inputs!$D$4:$AG$150,0,MATCH(N$2,Inputs!$D$2:$AG$2,0))))=0,"",SUMIFS(INDEX(Inputs!$D$4:$AG$150,0,MATCH(N$2,Inputs!$D$2:$AG$2,0)),Inputs!$B$4:$B$150,$B57)/1000)</f>
        <v>4183</v>
      </c>
      <c r="O57" s="11">
        <f>IF(SUMPRODUCT((Inputs!$B$4:$B$150=$B57)*ISNUMBER(INDEX(Inputs!$D$4:$AG$150,0,MATCH(O$2,Inputs!$D$2:$AG$2,0))))=0,"",SUMIFS(INDEX(Inputs!$D$4:$AG$150,0,MATCH(O$2,Inputs!$D$2:$AG$2,0)),Inputs!$B$4:$B$150,$B57)/1000)</f>
        <v>2310</v>
      </c>
      <c r="P57" s="11">
        <f>IF(SUMPRODUCT((Inputs!$B$4:$B$150=$B57)*ISNUMBER(INDEX(Inputs!$D$4:$AG$150,0,MATCH(P$2,Inputs!$D$2:$AG$2,0))))=0,"",SUMIFS(INDEX(Inputs!$D$4:$AG$150,0,MATCH(P$2,Inputs!$D$2:$AG$2,0)),Inputs!$B$4:$B$150,$B57)/1000)</f>
        <v>2442</v>
      </c>
      <c r="Q57" s="11">
        <f>IF(SUMPRODUCT((Inputs!$B$4:$B$150=$B57)*ISNUMBER(INDEX(Inputs!$D$4:$AG$150,0,MATCH(Q$2,Inputs!$D$2:$AG$2,0))))=0,"",SUMIFS(INDEX(Inputs!$D$4:$AG$150,0,MATCH(Q$2,Inputs!$D$2:$AG$2,0)),Inputs!$B$4:$B$150,$B57)/1000)</f>
        <v>3207</v>
      </c>
      <c r="R57" s="12">
        <f>IF(COUNT(N57:Q57)=4,SUM(N57:Q57),"")</f>
        <v>12142</v>
      </c>
      <c r="S57" s="11">
        <f>IF(SUMPRODUCT((Inputs!$B$4:$B$150=$B57)*ISNUMBER(INDEX(Inputs!$D$4:$AG$150,0,MATCH(S$2,Inputs!$D$2:$AG$2,0))))=0,"",SUMIFS(INDEX(Inputs!$D$4:$AG$150,0,MATCH(S$2,Inputs!$D$2:$AG$2,0)),Inputs!$B$4:$B$150,$B57)/1000)</f>
        <v>1376</v>
      </c>
      <c r="T57" s="11">
        <f>IF(SUMPRODUCT((Inputs!$B$4:$B$150=$B57)*ISNUMBER(INDEX(Inputs!$D$4:$AG$150,0,MATCH(T$2,Inputs!$D$2:$AG$2,0))))=0,"",SUMIFS(INDEX(Inputs!$D$4:$AG$150,0,MATCH(T$2,Inputs!$D$2:$AG$2,0)),Inputs!$B$4:$B$150,$B57)/1000)</f>
        <v>946</v>
      </c>
      <c r="U57" s="11">
        <f>IF(SUMPRODUCT((Inputs!$B$4:$B$150=$B57)*ISNUMBER(INDEX(Inputs!$D$4:$AG$150,0,MATCH(U$2,Inputs!$D$2:$AG$2,0))))=0,"",SUMIFS(INDEX(Inputs!$D$4:$AG$150,0,MATCH(U$2,Inputs!$D$2:$AG$2,0)),Inputs!$B$4:$B$150,$B57)/1000)</f>
        <v>1309</v>
      </c>
      <c r="V57" s="11">
        <f>IF(SUMPRODUCT((Inputs!$B$4:$B$150=$B57)*ISNUMBER(INDEX(Inputs!$D$4:$AG$150,0,MATCH(V$2,Inputs!$D$2:$AG$2,0))))=0,"",SUMIFS(INDEX(Inputs!$D$4:$AG$150,0,MATCH(V$2,Inputs!$D$2:$AG$2,0)),Inputs!$B$4:$B$150,$B57)/1000)</f>
        <v>402</v>
      </c>
      <c r="W57" s="12">
        <f>IF(COUNT(S57:V57)=4,SUM(S57:V57),"")</f>
        <v>4033</v>
      </c>
      <c r="X57" s="11">
        <f>IF(SUMPRODUCT((Inputs!$B$4:$B$150=$B57)*ISNUMBER(INDEX(Inputs!$D$4:$AG$150,0,MATCH(X$2,Inputs!$D$2:$AG$2,0))))=0,"",SUMIFS(INDEX(Inputs!$D$4:$AG$150,0,MATCH(X$2,Inputs!$D$2:$AG$2,0)),Inputs!$B$4:$B$150,$B57)/1000)</f>
        <v>827</v>
      </c>
      <c r="Y57" s="11">
        <f>IF(SUMPRODUCT((Inputs!$B$4:$B$150=$B57)*ISNUMBER(INDEX(Inputs!$D$4:$AG$150,0,MATCH(Y$2,Inputs!$D$2:$AG$2,0))))=0,"",SUMIFS(INDEX(Inputs!$D$4:$AG$150,0,MATCH(Y$2,Inputs!$D$2:$AG$2,0)),Inputs!$B$4:$B$150,$B57)/1000)</f>
        <v>1366</v>
      </c>
      <c r="Z57" s="11">
        <f>IF(SUMPRODUCT((Inputs!$B$4:$B$150=$B57)*ISNUMBER(INDEX(Inputs!$D$4:$AG$150,0,MATCH(Z$2,Inputs!$D$2:$AG$2,0))))=0,"",SUMIFS(INDEX(Inputs!$D$4:$AG$150,0,MATCH(Z$2,Inputs!$D$2:$AG$2,0)),Inputs!$B$4:$B$150,$B57)/1000)</f>
        <v>1840</v>
      </c>
      <c r="AA57" s="11">
        <f>IF(SUMPRODUCT((Inputs!$B$4:$B$150=$B57)*ISNUMBER(INDEX(Inputs!$D$4:$AG$150,0,MATCH(AA$2,Inputs!$D$2:$AG$2,0))))=0,"",SUMIFS(INDEX(Inputs!$D$4:$AG$150,0,MATCH(AA$2,Inputs!$D$2:$AG$2,0)),Inputs!$B$4:$B$150,$B57)/1000)</f>
        <v>3390</v>
      </c>
      <c r="AB57" s="12">
        <f>IF(COUNT(X57:AA57)=4,SUM(X57:AA57),"")</f>
        <v>7423</v>
      </c>
      <c r="AC57" s="11">
        <f>IF(SUMPRODUCT((Inputs!$B$4:$B$150=$B57)*ISNUMBER(INDEX(Inputs!$D$4:$AG$150,0,MATCH(AC$2,Inputs!$D$2:$AG$2,0))))=0,"",SUMIFS(INDEX(Inputs!$D$4:$AG$150,0,MATCH(AC$2,Inputs!$D$2:$AG$2,0)),Inputs!$B$4:$B$150,$B57)/1000)</f>
        <v>-1262</v>
      </c>
      <c r="AD57" s="11">
        <f>IF(SUMPRODUCT((Inputs!$B$4:$B$150=$B57)*ISNUMBER(INDEX(Inputs!$D$4:$AG$150,0,MATCH(AD$2,Inputs!$D$2:$AG$2,0))))=0,"",SUMIFS(INDEX(Inputs!$D$4:$AG$150,0,MATCH(AD$2,Inputs!$D$2:$AG$2,0)),Inputs!$B$4:$B$150,$B57)/1000)</f>
        <v>5465</v>
      </c>
      <c r="AE57" s="11" t="str">
        <f>IF(SUMPRODUCT((Inputs!$B$4:$B$150=$B57)*ISNUMBER(INDEX(Inputs!$D$4:$AG$150,0,MATCH(AE$2,Inputs!$D$2:$AG$2,0))))=0,"",SUMIFS(INDEX(Inputs!$D$4:$AG$150,0,MATCH(AE$2,Inputs!$D$2:$AG$2,0)),Inputs!$B$4:$B$150,$B57)/1000)</f>
        <v/>
      </c>
      <c r="AF57" s="11" t="str">
        <f>IF(SUMPRODUCT((Inputs!$B$4:$B$150=$B57)*ISNUMBER(INDEX(Inputs!$D$4:$AG$150,0,MATCH(AF$2,Inputs!$D$2:$AG$2,0))))=0,"",SUMIFS(INDEX(Inputs!$D$4:$AG$150,0,MATCH(AF$2,Inputs!$D$2:$AG$2,0)),Inputs!$B$4:$B$150,$B57)/1000)</f>
        <v/>
      </c>
      <c r="AG57" s="12" t="str">
        <f>IF(COUNT(AC57:AF57)=4,SUM(AC57:AF57),"")</f>
        <v/>
      </c>
    </row>
    <row r="58">
      <c r="B58" s="9" t="n">
        <v>50</v>
      </c>
      <c r="C58" s="10" t="inlineStr">
        <is>
          <t>Lucro Chemical Products (USD)</t>
        </is>
      </c>
      <c r="D58" s="11" t="str">
        <f>IF(SUMPRODUCT((Inputs!$B$4:$B$150=$B58)*ISNUMBER(INDEX(Inputs!$D$4:$AG$150,0,MATCH(D$2,Inputs!$D$2:$AG$2,0))))=0,"",SUMIFS(INDEX(Inputs!$D$4:$AG$150,0,MATCH(D$2,Inputs!$D$2:$AG$2,0)),Inputs!$B$4:$B$150,$B58)/1000)</f>
        <v/>
      </c>
      <c r="E58" s="11" t="str">
        <f>IF(SUMPRODUCT((Inputs!$B$4:$B$150=$B58)*ISNUMBER(INDEX(Inputs!$D$4:$AG$150,0,MATCH(E$2,Inputs!$D$2:$AG$2,0))))=0,"",SUMIFS(INDEX(Inputs!$D$4:$AG$150,0,MATCH(E$2,Inputs!$D$2:$AG$2,0)),Inputs!$B$4:$B$150,$B58)/1000)</f>
        <v/>
      </c>
      <c r="F58" s="11" t="str">
        <f>IF(SUMPRODUCT((Inputs!$B$4:$B$150=$B58)*ISNUMBER(INDEX(Inputs!$D$4:$AG$150,0,MATCH(F$2,Inputs!$D$2:$AG$2,0))))=0,"",SUMIFS(INDEX(Inputs!$D$4:$AG$150,0,MATCH(F$2,Inputs!$D$2:$AG$2,0)),Inputs!$B$4:$B$150,$B58)/1000)</f>
        <v/>
      </c>
      <c r="G58" s="11" t="str">
        <f>IF(SUMPRODUCT((Inputs!$B$4:$B$150=$B58)*ISNUMBER(INDEX(Inputs!$D$4:$AG$150,0,MATCH(G$2,Inputs!$D$2:$AG$2,0))))=0,"",SUMIFS(INDEX(Inputs!$D$4:$AG$150,0,MATCH(G$2,Inputs!$D$2:$AG$2,0)),Inputs!$B$4:$B$150,$B58)/1000)</f>
        <v/>
      </c>
      <c r="H58" s="12" t="str">
        <f>IF(COUNT(D58:G58)=4,SUM(D58:G58),"")</f>
        <v/>
      </c>
      <c r="I58" s="11">
        <f>IF(SUMPRODUCT((Inputs!$B$4:$B$150=$B58)*ISNUMBER(INDEX(Inputs!$D$4:$AG$150,0,MATCH(I$2,Inputs!$D$2:$AG$2,0))))=0,"",SUMIFS(INDEX(Inputs!$D$4:$AG$150,0,MATCH(I$2,Inputs!$D$2:$AG$2,0)),Inputs!$B$4:$B$150,$B58)/1000)</f>
        <v>1406</v>
      </c>
      <c r="J58" s="11">
        <f>IF(SUMPRODUCT((Inputs!$B$4:$B$150=$B58)*ISNUMBER(INDEX(Inputs!$D$4:$AG$150,0,MATCH(J$2,Inputs!$D$2:$AG$2,0))))=0,"",SUMIFS(INDEX(Inputs!$D$4:$AG$150,0,MATCH(J$2,Inputs!$D$2:$AG$2,0)),Inputs!$B$4:$B$150,$B58)/1000)</f>
        <v>1075</v>
      </c>
      <c r="K58" s="11">
        <f>IF(SUMPRODUCT((Inputs!$B$4:$B$150=$B58)*ISNUMBER(INDEX(Inputs!$D$4:$AG$150,0,MATCH(K$2,Inputs!$D$2:$AG$2,0))))=0,"",SUMIFS(INDEX(Inputs!$D$4:$AG$150,0,MATCH(K$2,Inputs!$D$2:$AG$2,0)),Inputs!$B$4:$B$150,$B58)/1000)</f>
        <v>812</v>
      </c>
      <c r="L58" s="11">
        <f>IF(SUMPRODUCT((Inputs!$B$4:$B$150=$B58)*ISNUMBER(INDEX(Inputs!$D$4:$AG$150,0,MATCH(L$2,Inputs!$D$2:$AG$2,0))))=0,"",SUMIFS(INDEX(Inputs!$D$4:$AG$150,0,MATCH(L$2,Inputs!$D$2:$AG$2,0)),Inputs!$B$4:$B$150,$B58)/1000)</f>
        <v>250</v>
      </c>
      <c r="M58" s="12">
        <f>IF(COUNT(I58:L58)=4,SUM(I58:L58),"")</f>
        <v>3543</v>
      </c>
      <c r="N58" s="11">
        <f>IF(SUMPRODUCT((Inputs!$B$4:$B$150=$B58)*ISNUMBER(INDEX(Inputs!$D$4:$AG$150,0,MATCH(N$2,Inputs!$D$2:$AG$2,0))))=0,"",SUMIFS(INDEX(Inputs!$D$4:$AG$150,0,MATCH(N$2,Inputs!$D$2:$AG$2,0)),Inputs!$B$4:$B$150,$B58)/1000)</f>
        <v>371</v>
      </c>
      <c r="O58" s="11">
        <f>IF(SUMPRODUCT((Inputs!$B$4:$B$150=$B58)*ISNUMBER(INDEX(Inputs!$D$4:$AG$150,0,MATCH(O$2,Inputs!$D$2:$AG$2,0))))=0,"",SUMIFS(INDEX(Inputs!$D$4:$AG$150,0,MATCH(O$2,Inputs!$D$2:$AG$2,0)),Inputs!$B$4:$B$150,$B58)/1000)</f>
        <v>828</v>
      </c>
      <c r="P58" s="11">
        <f>IF(SUMPRODUCT((Inputs!$B$4:$B$150=$B58)*ISNUMBER(INDEX(Inputs!$D$4:$AG$150,0,MATCH(P$2,Inputs!$D$2:$AG$2,0))))=0,"",SUMIFS(INDEX(Inputs!$D$4:$AG$150,0,MATCH(P$2,Inputs!$D$2:$AG$2,0)),Inputs!$B$4:$B$150,$B58)/1000)</f>
        <v>249</v>
      </c>
      <c r="Q58" s="11">
        <f>IF(SUMPRODUCT((Inputs!$B$4:$B$150=$B58)*ISNUMBER(INDEX(Inputs!$D$4:$AG$150,0,MATCH(Q$2,Inputs!$D$2:$AG$2,0))))=0,"",SUMIFS(INDEX(Inputs!$D$4:$AG$150,0,MATCH(Q$2,Inputs!$D$2:$AG$2,0)),Inputs!$B$4:$B$150,$B58)/1000)</f>
        <v>189</v>
      </c>
      <c r="R58" s="12">
        <f>IF(COUNT(N58:Q58)=4,SUM(N58:Q58),"")</f>
        <v>1637</v>
      </c>
      <c r="S58" s="11">
        <f>IF(SUMPRODUCT((Inputs!$B$4:$B$150=$B58)*ISNUMBER(INDEX(Inputs!$D$4:$AG$150,0,MATCH(S$2,Inputs!$D$2:$AG$2,0))))=0,"",SUMIFS(INDEX(Inputs!$D$4:$AG$150,0,MATCH(S$2,Inputs!$D$2:$AG$2,0)),Inputs!$B$4:$B$150,$B58)/1000)</f>
        <v>785</v>
      </c>
      <c r="T58" s="11">
        <f>IF(SUMPRODUCT((Inputs!$B$4:$B$150=$B58)*ISNUMBER(INDEX(Inputs!$D$4:$AG$150,0,MATCH(T$2,Inputs!$D$2:$AG$2,0))))=0,"",SUMIFS(INDEX(Inputs!$D$4:$AG$150,0,MATCH(T$2,Inputs!$D$2:$AG$2,0)),Inputs!$B$4:$B$150,$B58)/1000)</f>
        <v>779</v>
      </c>
      <c r="U58" s="11">
        <f>IF(SUMPRODUCT((Inputs!$B$4:$B$150=$B58)*ISNUMBER(INDEX(Inputs!$D$4:$AG$150,0,MATCH(U$2,Inputs!$D$2:$AG$2,0))))=0,"",SUMIFS(INDEX(Inputs!$D$4:$AG$150,0,MATCH(U$2,Inputs!$D$2:$AG$2,0)),Inputs!$B$4:$B$150,$B58)/1000)</f>
        <v>893</v>
      </c>
      <c r="V58" s="11">
        <f>IF(SUMPRODUCT((Inputs!$B$4:$B$150=$B58)*ISNUMBER(INDEX(Inputs!$D$4:$AG$150,0,MATCH(V$2,Inputs!$D$2:$AG$2,0))))=0,"",SUMIFS(INDEX(Inputs!$D$4:$AG$150,0,MATCH(V$2,Inputs!$D$2:$AG$2,0)),Inputs!$B$4:$B$150,$B58)/1000)</f>
        <v>120</v>
      </c>
      <c r="W58" s="12">
        <f>IF(COUNT(S58:V58)=4,SUM(S58:V58),"")</f>
        <v>2577</v>
      </c>
      <c r="X58" s="11">
        <f>IF(SUMPRODUCT((Inputs!$B$4:$B$150=$B58)*ISNUMBER(INDEX(Inputs!$D$4:$AG$150,0,MATCH(X$2,Inputs!$D$2:$AG$2,0))))=0,"",SUMIFS(INDEX(Inputs!$D$4:$AG$150,0,MATCH(X$2,Inputs!$D$2:$AG$2,0)),Inputs!$B$4:$B$150,$B58)/1000)</f>
        <v>273</v>
      </c>
      <c r="Y58" s="11">
        <f>IF(SUMPRODUCT((Inputs!$B$4:$B$150=$B58)*ISNUMBER(INDEX(Inputs!$D$4:$AG$150,0,MATCH(Y$2,Inputs!$D$2:$AG$2,0))))=0,"",SUMIFS(INDEX(Inputs!$D$4:$AG$150,0,MATCH(Y$2,Inputs!$D$2:$AG$2,0)),Inputs!$B$4:$B$150,$B58)/1000)</f>
        <v>293</v>
      </c>
      <c r="Z58" s="11">
        <f>IF(SUMPRODUCT((Inputs!$B$4:$B$150=$B58)*ISNUMBER(INDEX(Inputs!$D$4:$AG$150,0,MATCH(Z$2,Inputs!$D$2:$AG$2,0))))=0,"",SUMIFS(INDEX(Inputs!$D$4:$AG$150,0,MATCH(Z$2,Inputs!$D$2:$AG$2,0)),Inputs!$B$4:$B$150,$B58)/1000)</f>
        <v>515</v>
      </c>
      <c r="AA58" s="11">
        <f>IF(SUMPRODUCT((Inputs!$B$4:$B$150=$B58)*ISNUMBER(INDEX(Inputs!$D$4:$AG$150,0,MATCH(AA$2,Inputs!$D$2:$AG$2,0))))=0,"",SUMIFS(INDEX(Inputs!$D$4:$AG$150,0,MATCH(AA$2,Inputs!$D$2:$AG$2,0)),Inputs!$B$4:$B$150,$B58)/1000)</f>
        <v>-281</v>
      </c>
      <c r="AB58" s="12">
        <f>IF(COUNT(X58:AA58)=4,SUM(X58:AA58),"")</f>
        <v>800</v>
      </c>
      <c r="AC58" s="11">
        <f>IF(SUMPRODUCT((Inputs!$B$4:$B$150=$B58)*ISNUMBER(INDEX(Inputs!$D$4:$AG$150,0,MATCH(AC$2,Inputs!$D$2:$AG$2,0))))=0,"",SUMIFS(INDEX(Inputs!$D$4:$AG$150,0,MATCH(AC$2,Inputs!$D$2:$AG$2,0)),Inputs!$B$4:$B$150,$B58)/1000)</f>
        <v>110</v>
      </c>
      <c r="AD58" s="11">
        <f>IF(SUMPRODUCT((Inputs!$B$4:$B$150=$B58)*ISNUMBER(INDEX(Inputs!$D$4:$AG$150,0,MATCH(AD$2,Inputs!$D$2:$AG$2,0))))=0,"",SUMIFS(INDEX(Inputs!$D$4:$AG$150,0,MATCH(AD$2,Inputs!$D$2:$AG$2,0)),Inputs!$B$4:$B$150,$B58)/1000)</f>
        <v>1131</v>
      </c>
      <c r="AE58" s="11" t="str">
        <f>IF(SUMPRODUCT((Inputs!$B$4:$B$150=$B58)*ISNUMBER(INDEX(Inputs!$D$4:$AG$150,0,MATCH(AE$2,Inputs!$D$2:$AG$2,0))))=0,"",SUMIFS(INDEX(Inputs!$D$4:$AG$150,0,MATCH(AE$2,Inputs!$D$2:$AG$2,0)),Inputs!$B$4:$B$150,$B58)/1000)</f>
        <v/>
      </c>
      <c r="AF58" s="11" t="str">
        <f>IF(SUMPRODUCT((Inputs!$B$4:$B$150=$B58)*ISNUMBER(INDEX(Inputs!$D$4:$AG$150,0,MATCH(AF$2,Inputs!$D$2:$AG$2,0))))=0,"",SUMIFS(INDEX(Inputs!$D$4:$AG$150,0,MATCH(AF$2,Inputs!$D$2:$AG$2,0)),Inputs!$B$4:$B$150,$B58)/1000)</f>
        <v/>
      </c>
      <c r="AG58" s="12" t="str">
        <f>IF(COUNT(AC58:AF58)=4,SUM(AC58:AF58),"")</f>
        <v/>
      </c>
    </row>
    <row r="59">
      <c r="B59" s="9" t="n">
        <v>51</v>
      </c>
      <c r="C59" s="10" t="inlineStr">
        <is>
          <t>Lucro Specialty Products (USD)</t>
        </is>
      </c>
      <c r="D59" s="11" t="str">
        <f>IF(SUMPRODUCT((Inputs!$B$4:$B$150=$B59)*ISNUMBER(INDEX(Inputs!$D$4:$AG$150,0,MATCH(D$2,Inputs!$D$2:$AG$2,0))))=0,"",SUMIFS(INDEX(Inputs!$D$4:$AG$150,0,MATCH(D$2,Inputs!$D$2:$AG$2,0)),Inputs!$B$4:$B$150,$B59)/1000)</f>
        <v/>
      </c>
      <c r="E59" s="11" t="str">
        <f>IF(SUMPRODUCT((Inputs!$B$4:$B$150=$B59)*ISNUMBER(INDEX(Inputs!$D$4:$AG$150,0,MATCH(E$2,Inputs!$D$2:$AG$2,0))))=0,"",SUMIFS(INDEX(Inputs!$D$4:$AG$150,0,MATCH(E$2,Inputs!$D$2:$AG$2,0)),Inputs!$B$4:$B$150,$B59)/1000)</f>
        <v/>
      </c>
      <c r="F59" s="11" t="str">
        <f>IF(SUMPRODUCT((Inputs!$B$4:$B$150=$B59)*ISNUMBER(INDEX(Inputs!$D$4:$AG$150,0,MATCH(F$2,Inputs!$D$2:$AG$2,0))))=0,"",SUMIFS(INDEX(Inputs!$D$4:$AG$150,0,MATCH(F$2,Inputs!$D$2:$AG$2,0)),Inputs!$B$4:$B$150,$B59)/1000)</f>
        <v/>
      </c>
      <c r="G59" s="11" t="str">
        <f>IF(SUMPRODUCT((Inputs!$B$4:$B$150=$B59)*ISNUMBER(INDEX(Inputs!$D$4:$AG$150,0,MATCH(G$2,Inputs!$D$2:$AG$2,0))))=0,"",SUMIFS(INDEX(Inputs!$D$4:$AG$150,0,MATCH(G$2,Inputs!$D$2:$AG$2,0)),Inputs!$B$4:$B$150,$B59)/1000)</f>
        <v/>
      </c>
      <c r="H59" s="12" t="str">
        <f>IF(COUNT(D59:G59)=4,SUM(D59:G59),"")</f>
        <v/>
      </c>
      <c r="I59" s="11">
        <f>IF(SUMPRODUCT((Inputs!$B$4:$B$150=$B59)*ISNUMBER(INDEX(Inputs!$D$4:$AG$150,0,MATCH(I$2,Inputs!$D$2:$AG$2,0))))=0,"",SUMIFS(INDEX(Inputs!$D$4:$AG$150,0,MATCH(I$2,Inputs!$D$2:$AG$2,0)),Inputs!$B$4:$B$150,$B59)/1000)</f>
        <v>476</v>
      </c>
      <c r="J59" s="11">
        <f>IF(SUMPRODUCT((Inputs!$B$4:$B$150=$B59)*ISNUMBER(INDEX(Inputs!$D$4:$AG$150,0,MATCH(J$2,Inputs!$D$2:$AG$2,0))))=0,"",SUMIFS(INDEX(Inputs!$D$4:$AG$150,0,MATCH(J$2,Inputs!$D$2:$AG$2,0)),Inputs!$B$4:$B$150,$B59)/1000)</f>
        <v>417</v>
      </c>
      <c r="K59" s="11">
        <f>IF(SUMPRODUCT((Inputs!$B$4:$B$150=$B59)*ISNUMBER(INDEX(Inputs!$D$4:$AG$150,0,MATCH(K$2,Inputs!$D$2:$AG$2,0))))=0,"",SUMIFS(INDEX(Inputs!$D$4:$AG$150,0,MATCH(K$2,Inputs!$D$2:$AG$2,0)),Inputs!$B$4:$B$150,$B59)/1000)</f>
        <v>762</v>
      </c>
      <c r="L59" s="11">
        <f>IF(SUMPRODUCT((Inputs!$B$4:$B$150=$B59)*ISNUMBER(INDEX(Inputs!$D$4:$AG$150,0,MATCH(L$2,Inputs!$D$2:$AG$2,0))))=0,"",SUMIFS(INDEX(Inputs!$D$4:$AG$150,0,MATCH(L$2,Inputs!$D$2:$AG$2,0)),Inputs!$B$4:$B$150,$B59)/1000)</f>
        <v>760</v>
      </c>
      <c r="M59" s="12">
        <f>IF(COUNT(I59:L59)=4,SUM(I59:L59),"")</f>
        <v>2415</v>
      </c>
      <c r="N59" s="11">
        <f>IF(SUMPRODUCT((Inputs!$B$4:$B$150=$B59)*ISNUMBER(INDEX(Inputs!$D$4:$AG$150,0,MATCH(N$2,Inputs!$D$2:$AG$2,0))))=0,"",SUMIFS(INDEX(Inputs!$D$4:$AG$150,0,MATCH(N$2,Inputs!$D$2:$AG$2,0)),Inputs!$B$4:$B$150,$B59)/1000)</f>
        <v>774</v>
      </c>
      <c r="O59" s="11">
        <f>IF(SUMPRODUCT((Inputs!$B$4:$B$150=$B59)*ISNUMBER(INDEX(Inputs!$D$4:$AG$150,0,MATCH(O$2,Inputs!$D$2:$AG$2,0))))=0,"",SUMIFS(INDEX(Inputs!$D$4:$AG$150,0,MATCH(O$2,Inputs!$D$2:$AG$2,0)),Inputs!$B$4:$B$150,$B59)/1000)</f>
        <v>671</v>
      </c>
      <c r="P59" s="11">
        <f>IF(SUMPRODUCT((Inputs!$B$4:$B$150=$B59)*ISNUMBER(INDEX(Inputs!$D$4:$AG$150,0,MATCH(P$2,Inputs!$D$2:$AG$2,0))))=0,"",SUMIFS(INDEX(Inputs!$D$4:$AG$150,0,MATCH(P$2,Inputs!$D$2:$AG$2,0)),Inputs!$B$4:$B$150,$B59)/1000)</f>
        <v>619</v>
      </c>
      <c r="Q59" s="11">
        <f>IF(SUMPRODUCT((Inputs!$B$4:$B$150=$B59)*ISNUMBER(INDEX(Inputs!$D$4:$AG$150,0,MATCH(Q$2,Inputs!$D$2:$AG$2,0))))=0,"",SUMIFS(INDEX(Inputs!$D$4:$AG$150,0,MATCH(Q$2,Inputs!$D$2:$AG$2,0)),Inputs!$B$4:$B$150,$B59)/1000)</f>
        <v>650</v>
      </c>
      <c r="R59" s="12">
        <f>IF(COUNT(N59:Q59)=4,SUM(N59:Q59),"")</f>
        <v>2714</v>
      </c>
      <c r="S59" s="11">
        <f>IF(SUMPRODUCT((Inputs!$B$4:$B$150=$B59)*ISNUMBER(INDEX(Inputs!$D$4:$AG$150,0,MATCH(S$2,Inputs!$D$2:$AG$2,0))))=0,"",SUMIFS(INDEX(Inputs!$D$4:$AG$150,0,MATCH(S$2,Inputs!$D$2:$AG$2,0)),Inputs!$B$4:$B$150,$B59)/1000)</f>
        <v>761</v>
      </c>
      <c r="T59" s="11">
        <f>IF(SUMPRODUCT((Inputs!$B$4:$B$150=$B59)*ISNUMBER(INDEX(Inputs!$D$4:$AG$150,0,MATCH(T$2,Inputs!$D$2:$AG$2,0))))=0,"",SUMIFS(INDEX(Inputs!$D$4:$AG$150,0,MATCH(T$2,Inputs!$D$2:$AG$2,0)),Inputs!$B$4:$B$150,$B59)/1000)</f>
        <v>751</v>
      </c>
      <c r="U59" s="11">
        <f>IF(SUMPRODUCT((Inputs!$B$4:$B$150=$B59)*ISNUMBER(INDEX(Inputs!$D$4:$AG$150,0,MATCH(U$2,Inputs!$D$2:$AG$2,0))))=0,"",SUMIFS(INDEX(Inputs!$D$4:$AG$150,0,MATCH(U$2,Inputs!$D$2:$AG$2,0)),Inputs!$B$4:$B$150,$B59)/1000)</f>
        <v>794</v>
      </c>
      <c r="V59" s="11">
        <f>IF(SUMPRODUCT((Inputs!$B$4:$B$150=$B59)*ISNUMBER(INDEX(Inputs!$D$4:$AG$150,0,MATCH(V$2,Inputs!$D$2:$AG$2,0))))=0,"",SUMIFS(INDEX(Inputs!$D$4:$AG$150,0,MATCH(V$2,Inputs!$D$2:$AG$2,0)),Inputs!$B$4:$B$150,$B59)/1000)</f>
        <v>746</v>
      </c>
      <c r="W59" s="12">
        <f>IF(COUNT(S59:V59)=4,SUM(S59:V59),"")</f>
        <v>3052</v>
      </c>
      <c r="X59" s="11">
        <f>IF(SUMPRODUCT((Inputs!$B$4:$B$150=$B59)*ISNUMBER(INDEX(Inputs!$D$4:$AG$150,0,MATCH(X$2,Inputs!$D$2:$AG$2,0))))=0,"",SUMIFS(INDEX(Inputs!$D$4:$AG$150,0,MATCH(X$2,Inputs!$D$2:$AG$2,0)),Inputs!$B$4:$B$150,$B59)/1000)</f>
        <v>655</v>
      </c>
      <c r="Y59" s="11">
        <f>IF(SUMPRODUCT((Inputs!$B$4:$B$150=$B59)*ISNUMBER(INDEX(Inputs!$D$4:$AG$150,0,MATCH(Y$2,Inputs!$D$2:$AG$2,0))))=0,"",SUMIFS(INDEX(Inputs!$D$4:$AG$150,0,MATCH(Y$2,Inputs!$D$2:$AG$2,0)),Inputs!$B$4:$B$150,$B59)/1000)</f>
        <v>780</v>
      </c>
      <c r="Z59" s="11">
        <f>IF(SUMPRODUCT((Inputs!$B$4:$B$150=$B59)*ISNUMBER(INDEX(Inputs!$D$4:$AG$150,0,MATCH(Z$2,Inputs!$D$2:$AG$2,0))))=0,"",SUMIFS(INDEX(Inputs!$D$4:$AG$150,0,MATCH(Z$2,Inputs!$D$2:$AG$2,0)),Inputs!$B$4:$B$150,$B59)/1000)</f>
        <v>740</v>
      </c>
      <c r="AA59" s="11">
        <f>IF(SUMPRODUCT((Inputs!$B$4:$B$150=$B59)*ISNUMBER(INDEX(Inputs!$D$4:$AG$150,0,MATCH(AA$2,Inputs!$D$2:$AG$2,0))))=0,"",SUMIFS(INDEX(Inputs!$D$4:$AG$150,0,MATCH(AA$2,Inputs!$D$2:$AG$2,0)),Inputs!$B$4:$B$150,$B59)/1000)</f>
        <v>682</v>
      </c>
      <c r="AB59" s="12">
        <f>IF(COUNT(X59:AA59)=4,SUM(X59:AA59),"")</f>
        <v>2857</v>
      </c>
      <c r="AC59" s="11">
        <f>IF(SUMPRODUCT((Inputs!$B$4:$B$150=$B59)*ISNUMBER(INDEX(Inputs!$D$4:$AG$150,0,MATCH(AC$2,Inputs!$D$2:$AG$2,0))))=0,"",SUMIFS(INDEX(Inputs!$D$4:$AG$150,0,MATCH(AC$2,Inputs!$D$2:$AG$2,0)),Inputs!$B$4:$B$150,$B59)/1000)</f>
        <v>651</v>
      </c>
      <c r="AD59" s="11">
        <f>IF(SUMPRODUCT((Inputs!$B$4:$B$150=$B59)*ISNUMBER(INDEX(Inputs!$D$4:$AG$150,0,MATCH(AD$2,Inputs!$D$2:$AG$2,0))))=0,"",SUMIFS(INDEX(Inputs!$D$4:$AG$150,0,MATCH(AD$2,Inputs!$D$2:$AG$2,0)),Inputs!$B$4:$B$150,$B59)/1000)</f>
        <v>956</v>
      </c>
      <c r="AE59" s="11" t="str">
        <f>IF(SUMPRODUCT((Inputs!$B$4:$B$150=$B59)*ISNUMBER(INDEX(Inputs!$D$4:$AG$150,0,MATCH(AE$2,Inputs!$D$2:$AG$2,0))))=0,"",SUMIFS(INDEX(Inputs!$D$4:$AG$150,0,MATCH(AE$2,Inputs!$D$2:$AG$2,0)),Inputs!$B$4:$B$150,$B59)/1000)</f>
        <v/>
      </c>
      <c r="AF59" s="11" t="str">
        <f>IF(SUMPRODUCT((Inputs!$B$4:$B$150=$B59)*ISNUMBER(INDEX(Inputs!$D$4:$AG$150,0,MATCH(AF$2,Inputs!$D$2:$AG$2,0))))=0,"",SUMIFS(INDEX(Inputs!$D$4:$AG$150,0,MATCH(AF$2,Inputs!$D$2:$AG$2,0)),Inputs!$B$4:$B$150,$B59)/1000)</f>
        <v/>
      </c>
      <c r="AG59" s="12" t="str">
        <f>IF(COUNT(AC59:AF59)=4,SUM(AC59:AF59),"")</f>
        <v/>
      </c>
    </row>
    <row r="60">
      <c r="B60" s="9" t="n">
        <v>52</v>
      </c>
      <c r="C60" s="10" t="inlineStr">
        <is>
          <t>Corporate e financeiro (USD)</t>
        </is>
      </c>
      <c r="D60" s="11">
        <f>IF(SUMPRODUCT((Inputs!$B$4:$B$150=$B60)*ISNUMBER(INDEX(Inputs!$D$4:$AG$150,0,MATCH(D$2,Inputs!$D$2:$AG$2,0))))=0,"",SUMIFS(INDEX(Inputs!$D$4:$AG$150,0,MATCH(D$2,Inputs!$D$2:$AG$2,0)),Inputs!$B$4:$B$150,$B60)/1000)</f>
        <v>-849</v>
      </c>
      <c r="E60" s="11">
        <f>IF(SUMPRODUCT((Inputs!$B$4:$B$150=$B60)*ISNUMBER(INDEX(Inputs!$D$4:$AG$150,0,MATCH(E$2,Inputs!$D$2:$AG$2,0))))=0,"",SUMIFS(INDEX(Inputs!$D$4:$AG$150,0,MATCH(E$2,Inputs!$D$2:$AG$2,0)),Inputs!$B$4:$B$150,$B60)/1000)</f>
        <v>-588</v>
      </c>
      <c r="F60" s="11">
        <f>IF(SUMPRODUCT((Inputs!$B$4:$B$150=$B60)*ISNUMBER(INDEX(Inputs!$D$4:$AG$150,0,MATCH(F$2,Inputs!$D$2:$AG$2,0))))=0,"",SUMIFS(INDEX(Inputs!$D$4:$AG$150,0,MATCH(F$2,Inputs!$D$2:$AG$2,0)),Inputs!$B$4:$B$150,$B60)/1000)</f>
        <v>-596</v>
      </c>
      <c r="G60" s="11" t="str">
        <f>IF(SUMPRODUCT((Inputs!$B$4:$B$150=$B60)*ISNUMBER(INDEX(Inputs!$D$4:$AG$150,0,MATCH(G$2,Inputs!$D$2:$AG$2,0))))=0,"",SUMIFS(INDEX(Inputs!$D$4:$AG$150,0,MATCH(G$2,Inputs!$D$2:$AG$2,0)),Inputs!$B$4:$B$150,$B60)/1000)</f>
        <v/>
      </c>
      <c r="H60" s="12" t="str">
        <f>IF(COUNT(D60:G60)=4,SUM(D60:G60),"")</f>
        <v/>
      </c>
      <c r="I60" s="11">
        <f>IF(SUMPRODUCT((Inputs!$B$4:$B$150=$B60)*ISNUMBER(INDEX(Inputs!$D$4:$AG$150,0,MATCH(I$2,Inputs!$D$2:$AG$2,0))))=0,"",SUMIFS(INDEX(Inputs!$D$4:$AG$150,0,MATCH(I$2,Inputs!$D$2:$AG$2,0)),Inputs!$B$4:$B$150,$B60)/1000)</f>
        <v>-694</v>
      </c>
      <c r="J60" s="11">
        <f>IF(SUMPRODUCT((Inputs!$B$4:$B$150=$B60)*ISNUMBER(INDEX(Inputs!$D$4:$AG$150,0,MATCH(J$2,Inputs!$D$2:$AG$2,0))))=0,"",SUMIFS(INDEX(Inputs!$D$4:$AG$150,0,MATCH(J$2,Inputs!$D$2:$AG$2,0)),Inputs!$B$4:$B$150,$B60)/1000)</f>
        <v>-286</v>
      </c>
      <c r="K60" s="11">
        <f>IF(SUMPRODUCT((Inputs!$B$4:$B$150=$B60)*ISNUMBER(INDEX(Inputs!$D$4:$AG$150,0,MATCH(K$2,Inputs!$D$2:$AG$2,0))))=0,"",SUMIFS(INDEX(Inputs!$D$4:$AG$150,0,MATCH(K$2,Inputs!$D$2:$AG$2,0)),Inputs!$B$4:$B$150,$B60)/1000)</f>
        <v>-152</v>
      </c>
      <c r="L60" s="11">
        <f>IF(SUMPRODUCT((Inputs!$B$4:$B$150=$B60)*ISNUMBER(INDEX(Inputs!$D$4:$AG$150,0,MATCH(L$2,Inputs!$D$2:$AG$2,0))))=0,"",SUMIFS(INDEX(Inputs!$D$4:$AG$150,0,MATCH(L$2,Inputs!$D$2:$AG$2,0)),Inputs!$B$4:$B$150,$B60)/1000)</f>
        <v>-531</v>
      </c>
      <c r="M60" s="12">
        <f>IF(COUNT(I60:L60)=4,SUM(I60:L60),"")</f>
        <v>-1663</v>
      </c>
      <c r="N60" s="11">
        <f>IF(SUMPRODUCT((Inputs!$B$4:$B$150=$B60)*ISNUMBER(INDEX(Inputs!$D$4:$AG$150,0,MATCH(N$2,Inputs!$D$2:$AG$2,0))))=0,"",SUMIFS(INDEX(Inputs!$D$4:$AG$150,0,MATCH(N$2,Inputs!$D$2:$AG$2,0)),Inputs!$B$4:$B$150,$B60)/1000)</f>
        <v>-355</v>
      </c>
      <c r="O60" s="11">
        <f>IF(SUMPRODUCT((Inputs!$B$4:$B$150=$B60)*ISNUMBER(INDEX(Inputs!$D$4:$AG$150,0,MATCH(O$2,Inputs!$D$2:$AG$2,0))))=0,"",SUMIFS(INDEX(Inputs!$D$4:$AG$150,0,MATCH(O$2,Inputs!$D$2:$AG$2,0)),Inputs!$B$4:$B$150,$B60)/1000)</f>
        <v>-506</v>
      </c>
      <c r="P60" s="11">
        <f>IF(SUMPRODUCT((Inputs!$B$4:$B$150=$B60)*ISNUMBER(INDEX(Inputs!$D$4:$AG$150,0,MATCH(P$2,Inputs!$D$2:$AG$2,0))))=0,"",SUMIFS(INDEX(Inputs!$D$4:$AG$150,0,MATCH(P$2,Inputs!$D$2:$AG$2,0)),Inputs!$B$4:$B$150,$B60)/1000)</f>
        <v>-365</v>
      </c>
      <c r="Q60" s="11">
        <f>IF(SUMPRODUCT((Inputs!$B$4:$B$150=$B60)*ISNUMBER(INDEX(Inputs!$D$4:$AG$150,0,MATCH(Q$2,Inputs!$D$2:$AG$2,0))))=0,"",SUMIFS(INDEX(Inputs!$D$4:$AG$150,0,MATCH(Q$2,Inputs!$D$2:$AG$2,0)),Inputs!$B$4:$B$150,$B60)/1000)</f>
        <v>-565</v>
      </c>
      <c r="R60" s="12">
        <f>IF(COUNT(N60:Q60)=4,SUM(N60:Q60),"")</f>
        <v>-1791</v>
      </c>
      <c r="S60" s="11">
        <f>IF(SUMPRODUCT((Inputs!$B$4:$B$150=$B60)*ISNUMBER(INDEX(Inputs!$D$4:$AG$150,0,MATCH(S$2,Inputs!$D$2:$AG$2,0))))=0,"",SUMIFS(INDEX(Inputs!$D$4:$AG$150,0,MATCH(S$2,Inputs!$D$2:$AG$2,0)),Inputs!$B$4:$B$150,$B60)/1000)</f>
        <v>-362</v>
      </c>
      <c r="T60" s="11">
        <f>IF(SUMPRODUCT((Inputs!$B$4:$B$150=$B60)*ISNUMBER(INDEX(Inputs!$D$4:$AG$150,0,MATCH(T$2,Inputs!$D$2:$AG$2,0))))=0,"",SUMIFS(INDEX(Inputs!$D$4:$AG$150,0,MATCH(T$2,Inputs!$D$2:$AG$2,0)),Inputs!$B$4:$B$150,$B60)/1000)</f>
        <v>-310</v>
      </c>
      <c r="U60" s="11">
        <f>IF(SUMPRODUCT((Inputs!$B$4:$B$150=$B60)*ISNUMBER(INDEX(Inputs!$D$4:$AG$150,0,MATCH(U$2,Inputs!$D$2:$AG$2,0))))=0,"",SUMIFS(INDEX(Inputs!$D$4:$AG$150,0,MATCH(U$2,Inputs!$D$2:$AG$2,0)),Inputs!$B$4:$B$150,$B60)/1000)</f>
        <v>-544</v>
      </c>
      <c r="V60" s="11">
        <f>IF(SUMPRODUCT((Inputs!$B$4:$B$150=$B60)*ISNUMBER(INDEX(Inputs!$D$4:$AG$150,0,MATCH(V$2,Inputs!$D$2:$AG$2,0))))=0,"",SUMIFS(INDEX(Inputs!$D$4:$AG$150,0,MATCH(V$2,Inputs!$D$2:$AG$2,0)),Inputs!$B$4:$B$150,$B60)/1000)</f>
        <v>-156</v>
      </c>
      <c r="W60" s="12">
        <f>IF(COUNT(S60:V60)=4,SUM(S60:V60),"")</f>
        <v>-1372</v>
      </c>
      <c r="X60" s="11">
        <f>IF(SUMPRODUCT((Inputs!$B$4:$B$150=$B60)*ISNUMBER(INDEX(Inputs!$D$4:$AG$150,0,MATCH(X$2,Inputs!$D$2:$AG$2,0))))=0,"",SUMIFS(INDEX(Inputs!$D$4:$AG$150,0,MATCH(X$2,Inputs!$D$2:$AG$2,0)),Inputs!$B$4:$B$150,$B60)/1000)</f>
        <v>-798</v>
      </c>
      <c r="Y60" s="11">
        <f>IF(SUMPRODUCT((Inputs!$B$4:$B$150=$B60)*ISNUMBER(INDEX(Inputs!$D$4:$AG$150,0,MATCH(Y$2,Inputs!$D$2:$AG$2,0))))=0,"",SUMIFS(INDEX(Inputs!$D$4:$AG$150,0,MATCH(Y$2,Inputs!$D$2:$AG$2,0)),Inputs!$B$4:$B$150,$B60)/1000)</f>
        <v>-759</v>
      </c>
      <c r="Z60" s="11">
        <f>IF(SUMPRODUCT((Inputs!$B$4:$B$150=$B60)*ISNUMBER(INDEX(Inputs!$D$4:$AG$150,0,MATCH(Z$2,Inputs!$D$2:$AG$2,0))))=0,"",SUMIFS(INDEX(Inputs!$D$4:$AG$150,0,MATCH(Z$2,Inputs!$D$2:$AG$2,0)),Inputs!$B$4:$B$150,$B60)/1000)</f>
        <v>-1226</v>
      </c>
      <c r="AA60" s="11">
        <f>IF(SUMPRODUCT((Inputs!$B$4:$B$150=$B60)*ISNUMBER(INDEX(Inputs!$D$4:$AG$150,0,MATCH(AA$2,Inputs!$D$2:$AG$2,0))))=0,"",SUMIFS(INDEX(Inputs!$D$4:$AG$150,0,MATCH(AA$2,Inputs!$D$2:$AG$2,0)),Inputs!$B$4:$B$150,$B60)/1000)</f>
        <v>-807</v>
      </c>
      <c r="AB60" s="12">
        <f>IF(COUNT(X60:AA60)=4,SUM(X60:AA60),"")</f>
        <v>-3590</v>
      </c>
      <c r="AC60" s="11">
        <f>IF(SUMPRODUCT((Inputs!$B$4:$B$150=$B60)*ISNUMBER(INDEX(Inputs!$D$4:$AG$150,0,MATCH(AC$2,Inputs!$D$2:$AG$2,0))))=0,"",SUMIFS(INDEX(Inputs!$D$4:$AG$150,0,MATCH(AC$2,Inputs!$D$2:$AG$2,0)),Inputs!$B$4:$B$150,$B60)/1000)</f>
        <v>-1053</v>
      </c>
      <c r="AD60" s="11">
        <f>IF(SUMPRODUCT((Inputs!$B$4:$B$150=$B60)*ISNUMBER(INDEX(Inputs!$D$4:$AG$150,0,MATCH(AD$2,Inputs!$D$2:$AG$2,0))))=0,"",SUMIFS(INDEX(Inputs!$D$4:$AG$150,0,MATCH(AD$2,Inputs!$D$2:$AG$2,0)),Inputs!$B$4:$B$150,$B60)/1000)</f>
        <v>-954</v>
      </c>
      <c r="AE60" s="11" t="str">
        <f>IF(SUMPRODUCT((Inputs!$B$4:$B$150=$B60)*ISNUMBER(INDEX(Inputs!$D$4:$AG$150,0,MATCH(AE$2,Inputs!$D$2:$AG$2,0))))=0,"",SUMIFS(INDEX(Inputs!$D$4:$AG$150,0,MATCH(AE$2,Inputs!$D$2:$AG$2,0)),Inputs!$B$4:$B$150,$B60)/1000)</f>
        <v/>
      </c>
      <c r="AF60" s="11" t="str">
        <f>IF(SUMPRODUCT((Inputs!$B$4:$B$150=$B60)*ISNUMBER(INDEX(Inputs!$D$4:$AG$150,0,MATCH(AF$2,Inputs!$D$2:$AG$2,0))))=0,"",SUMIFS(INDEX(Inputs!$D$4:$AG$150,0,MATCH(AF$2,Inputs!$D$2:$AG$2,0)),Inputs!$B$4:$B$150,$B60)/1000)</f>
        <v/>
      </c>
      <c r="AG60" s="12" t="str">
        <f>IF(COUNT(AC60:AF60)=4,SUM(AC60:AF60),"")</f>
        <v/>
      </c>
    </row>
    <row r="61">
      <c r="B61" s="9" t="n">
        <v>53</v>
      </c>
      <c r="C61" s="10" t="inlineStr">
        <is>
          <t>Receita Upstream (USD; desde 4T22)</t>
        </is>
      </c>
      <c r="D61" s="11" t="str">
        <f>IF(SUMPRODUCT((Inputs!$B$4:$B$150=$B61)*ISNUMBER(INDEX(Inputs!$D$4:$AG$150,0,MATCH(D$2,Inputs!$D$2:$AG$2,0))))=0,"",SUMIFS(INDEX(Inputs!$D$4:$AG$150,0,MATCH(D$2,Inputs!$D$2:$AG$2,0)),Inputs!$B$4:$B$150,$B61)/1000)</f>
        <v/>
      </c>
      <c r="E61" s="11" t="str">
        <f>IF(SUMPRODUCT((Inputs!$B$4:$B$150=$B61)*ISNUMBER(INDEX(Inputs!$D$4:$AG$150,0,MATCH(E$2,Inputs!$D$2:$AG$2,0))))=0,"",SUMIFS(INDEX(Inputs!$D$4:$AG$150,0,MATCH(E$2,Inputs!$D$2:$AG$2,0)),Inputs!$B$4:$B$150,$B61)/1000)</f>
        <v/>
      </c>
      <c r="F61" s="11" t="str">
        <f>IF(SUMPRODUCT((Inputs!$B$4:$B$150=$B61)*ISNUMBER(INDEX(Inputs!$D$4:$AG$150,0,MATCH(F$2,Inputs!$D$2:$AG$2,0))))=0,"",SUMIFS(INDEX(Inputs!$D$4:$AG$150,0,MATCH(F$2,Inputs!$D$2:$AG$2,0)),Inputs!$B$4:$B$150,$B61)/1000)</f>
        <v/>
      </c>
      <c r="G61" s="11" t="str">
        <f>IF(SUMPRODUCT((Inputs!$B$4:$B$150=$B61)*ISNUMBER(INDEX(Inputs!$D$4:$AG$150,0,MATCH(G$2,Inputs!$D$2:$AG$2,0))))=0,"",SUMIFS(INDEX(Inputs!$D$4:$AG$150,0,MATCH(G$2,Inputs!$D$2:$AG$2,0)),Inputs!$B$4:$B$150,$B61)/1000)</f>
        <v/>
      </c>
      <c r="H61" s="12" t="str">
        <f>IF(COUNT(D61:G61)=4,SUM(D61:G61),"")</f>
        <v/>
      </c>
      <c r="I61" s="11" t="str">
        <f>IF(SUMPRODUCT((Inputs!$B$4:$B$150=$B61)*ISNUMBER(INDEX(Inputs!$D$4:$AG$150,0,MATCH(I$2,Inputs!$D$2:$AG$2,0))))=0,"",SUMIFS(INDEX(Inputs!$D$4:$AG$150,0,MATCH(I$2,Inputs!$D$2:$AG$2,0)),Inputs!$B$4:$B$150,$B61)/1000)</f>
        <v/>
      </c>
      <c r="J61" s="11" t="str">
        <f>IF(SUMPRODUCT((Inputs!$B$4:$B$150=$B61)*ISNUMBER(INDEX(Inputs!$D$4:$AG$150,0,MATCH(J$2,Inputs!$D$2:$AG$2,0))))=0,"",SUMIFS(INDEX(Inputs!$D$4:$AG$150,0,MATCH(J$2,Inputs!$D$2:$AG$2,0)),Inputs!$B$4:$B$150,$B61)/1000)</f>
        <v/>
      </c>
      <c r="K61" s="11" t="str">
        <f>IF(SUMPRODUCT((Inputs!$B$4:$B$150=$B61)*ISNUMBER(INDEX(Inputs!$D$4:$AG$150,0,MATCH(K$2,Inputs!$D$2:$AG$2,0))))=0,"",SUMIFS(INDEX(Inputs!$D$4:$AG$150,0,MATCH(K$2,Inputs!$D$2:$AG$2,0)),Inputs!$B$4:$B$150,$B61)/1000)</f>
        <v/>
      </c>
      <c r="L61" s="11" t="str">
        <f>IF(SUMPRODUCT((Inputs!$B$4:$B$150=$B61)*ISNUMBER(INDEX(Inputs!$D$4:$AG$150,0,MATCH(L$2,Inputs!$D$2:$AG$2,0))))=0,"",SUMIFS(INDEX(Inputs!$D$4:$AG$150,0,MATCH(L$2,Inputs!$D$2:$AG$2,0)),Inputs!$B$4:$B$150,$B61)/1000)</f>
        <v/>
      </c>
      <c r="M61" s="12" t="str">
        <f>IF(COUNT(I61:L61)=4,SUM(I61:L61),"")</f>
        <v/>
      </c>
      <c r="N61" s="11" t="str">
        <f>IF(SUMPRODUCT((Inputs!$B$4:$B$150=$B61)*ISNUMBER(INDEX(Inputs!$D$4:$AG$150,0,MATCH(N$2,Inputs!$D$2:$AG$2,0))))=0,"",SUMIFS(INDEX(Inputs!$D$4:$AG$150,0,MATCH(N$2,Inputs!$D$2:$AG$2,0)),Inputs!$B$4:$B$150,$B61)/1000)</f>
        <v/>
      </c>
      <c r="O61" s="11" t="str">
        <f>IF(SUMPRODUCT((Inputs!$B$4:$B$150=$B61)*ISNUMBER(INDEX(Inputs!$D$4:$AG$150,0,MATCH(O$2,Inputs!$D$2:$AG$2,0))))=0,"",SUMIFS(INDEX(Inputs!$D$4:$AG$150,0,MATCH(O$2,Inputs!$D$2:$AG$2,0)),Inputs!$B$4:$B$150,$B61)/1000)</f>
        <v/>
      </c>
      <c r="P61" s="11" t="str">
        <f>IF(SUMPRODUCT((Inputs!$B$4:$B$150=$B61)*ISNUMBER(INDEX(Inputs!$D$4:$AG$150,0,MATCH(P$2,Inputs!$D$2:$AG$2,0))))=0,"",SUMIFS(INDEX(Inputs!$D$4:$AG$150,0,MATCH(P$2,Inputs!$D$2:$AG$2,0)),Inputs!$B$4:$B$150,$B61)/1000)</f>
        <v/>
      </c>
      <c r="Q61" s="11" t="str">
        <f>IF(SUMPRODUCT((Inputs!$B$4:$B$150=$B61)*ISNUMBER(INDEX(Inputs!$D$4:$AG$150,0,MATCH(Q$2,Inputs!$D$2:$AG$2,0))))=0,"",SUMIFS(INDEX(Inputs!$D$4:$AG$150,0,MATCH(Q$2,Inputs!$D$2:$AG$2,0)),Inputs!$B$4:$B$150,$B61)/1000)</f>
        <v/>
      </c>
      <c r="R61" s="12" t="str">
        <f>IF(COUNT(N61:Q61)=4,SUM(N61:Q61),"")</f>
        <v/>
      </c>
      <c r="S61" s="11">
        <f>IF(SUMPRODUCT((Inputs!$B$4:$B$150=$B61)*ISNUMBER(INDEX(Inputs!$D$4:$AG$150,0,MATCH(S$2,Inputs!$D$2:$AG$2,0))))=0,"",SUMIFS(INDEX(Inputs!$D$4:$AG$150,0,MATCH(S$2,Inputs!$D$2:$AG$2,0)),Inputs!$B$4:$B$150,$B61)/1000)</f>
        <v>23385</v>
      </c>
      <c r="T61" s="11">
        <f>IF(SUMPRODUCT((Inputs!$B$4:$B$150=$B61)*ISNUMBER(INDEX(Inputs!$D$4:$AG$150,0,MATCH(T$2,Inputs!$D$2:$AG$2,0))))=0,"",SUMIFS(INDEX(Inputs!$D$4:$AG$150,0,MATCH(T$2,Inputs!$D$2:$AG$2,0)),Inputs!$B$4:$B$150,$B61)/1000)</f>
        <v>28830</v>
      </c>
      <c r="U61" s="11">
        <f>IF(SUMPRODUCT((Inputs!$B$4:$B$150=$B61)*ISNUMBER(INDEX(Inputs!$D$4:$AG$150,0,MATCH(U$2,Inputs!$D$2:$AG$2,0))))=0,"",SUMIFS(INDEX(Inputs!$D$4:$AG$150,0,MATCH(U$2,Inputs!$D$2:$AG$2,0)),Inputs!$B$4:$B$150,$B61)/1000)</f>
        <v>29382</v>
      </c>
      <c r="V61" s="11">
        <f>IF(SUMPRODUCT((Inputs!$B$4:$B$150=$B61)*ISNUMBER(INDEX(Inputs!$D$4:$AG$150,0,MATCH(V$2,Inputs!$D$2:$AG$2,0))))=0,"",SUMIFS(INDEX(Inputs!$D$4:$AG$150,0,MATCH(V$2,Inputs!$D$2:$AG$2,0)),Inputs!$B$4:$B$150,$B61)/1000)</f>
        <v>29149</v>
      </c>
      <c r="W61" s="12">
        <f>IF(COUNT(S61:V61)=4,SUM(S61:V61),"")</f>
        <v>110746</v>
      </c>
      <c r="X61" s="11">
        <f>IF(SUMPRODUCT((Inputs!$B$4:$B$150=$B61)*ISNUMBER(INDEX(Inputs!$D$4:$AG$150,0,MATCH(X$2,Inputs!$D$2:$AG$2,0))))=0,"",SUMIFS(INDEX(Inputs!$D$4:$AG$150,0,MATCH(X$2,Inputs!$D$2:$AG$2,0)),Inputs!$B$4:$B$150,$B61)/1000)</f>
        <v>29174</v>
      </c>
      <c r="Y61" s="11">
        <f>IF(SUMPRODUCT((Inputs!$B$4:$B$150=$B61)*ISNUMBER(INDEX(Inputs!$D$4:$AG$150,0,MATCH(Y$2,Inputs!$D$2:$AG$2,0))))=0,"",SUMIFS(INDEX(Inputs!$D$4:$AG$150,0,MATCH(Y$2,Inputs!$D$2:$AG$2,0)),Inputs!$B$4:$B$150,$B61)/1000)</f>
        <v>25700</v>
      </c>
      <c r="Z61" s="11">
        <f>IF(SUMPRODUCT((Inputs!$B$4:$B$150=$B61)*ISNUMBER(INDEX(Inputs!$D$4:$AG$150,0,MATCH(Z$2,Inputs!$D$2:$AG$2,0))))=0,"",SUMIFS(INDEX(Inputs!$D$4:$AG$150,0,MATCH(Z$2,Inputs!$D$2:$AG$2,0)),Inputs!$B$4:$B$150,$B61)/1000)</f>
        <v>27790</v>
      </c>
      <c r="AA61" s="11">
        <f>IF(SUMPRODUCT((Inputs!$B$4:$B$150=$B61)*ISNUMBER(INDEX(Inputs!$D$4:$AG$150,0,MATCH(AA$2,Inputs!$D$2:$AG$2,0))))=0,"",SUMIFS(INDEX(Inputs!$D$4:$AG$150,0,MATCH(AA$2,Inputs!$D$2:$AG$2,0)),Inputs!$B$4:$B$150,$B61)/1000)</f>
        <v>24487</v>
      </c>
      <c r="AB61" s="12">
        <f>IF(COUNT(X61:AA61)=4,SUM(X61:AA61),"")</f>
        <v>107151</v>
      </c>
      <c r="AC61" s="11">
        <f>IF(SUMPRODUCT((Inputs!$B$4:$B$150=$B61)*ISNUMBER(INDEX(Inputs!$D$4:$AG$150,0,MATCH(AC$2,Inputs!$D$2:$AG$2,0))))=0,"",SUMIFS(INDEX(Inputs!$D$4:$AG$150,0,MATCH(AC$2,Inputs!$D$2:$AG$2,0)),Inputs!$B$4:$B$150,$B61)/1000)</f>
        <v>28824</v>
      </c>
      <c r="AD61" s="11">
        <f>IF(SUMPRODUCT((Inputs!$B$4:$B$150=$B61)*ISNUMBER(INDEX(Inputs!$D$4:$AG$150,0,MATCH(AD$2,Inputs!$D$2:$AG$2,0))))=0,"",SUMIFS(INDEX(Inputs!$D$4:$AG$150,0,MATCH(AD$2,Inputs!$D$2:$AG$2,0)),Inputs!$B$4:$B$150,$B61)/1000)</f>
        <v>35457</v>
      </c>
      <c r="AE61" s="11" t="str">
        <f>IF(SUMPRODUCT((Inputs!$B$4:$B$150=$B61)*ISNUMBER(INDEX(Inputs!$D$4:$AG$150,0,MATCH(AE$2,Inputs!$D$2:$AG$2,0))))=0,"",SUMIFS(INDEX(Inputs!$D$4:$AG$150,0,MATCH(AE$2,Inputs!$D$2:$AG$2,0)),Inputs!$B$4:$B$150,$B61)/1000)</f>
        <v/>
      </c>
      <c r="AF61" s="11" t="str">
        <f>IF(SUMPRODUCT((Inputs!$B$4:$B$150=$B61)*ISNUMBER(INDEX(Inputs!$D$4:$AG$150,0,MATCH(AF$2,Inputs!$D$2:$AG$2,0))))=0,"",SUMIFS(INDEX(Inputs!$D$4:$AG$150,0,MATCH(AF$2,Inputs!$D$2:$AG$2,0)),Inputs!$B$4:$B$150,$B61)/1000)</f>
        <v/>
      </c>
      <c r="AG61" s="12" t="str">
        <f>IF(COUNT(AC61:AF61)=4,SUM(AC61:AF61),"")</f>
        <v/>
      </c>
    </row>
    <row r="62">
      <c r="B62" s="9" t="n">
        <v>54</v>
      </c>
      <c r="C62" s="10" t="inlineStr">
        <is>
          <t>Receita Energy Products (USD; desde 4T22)</t>
        </is>
      </c>
      <c r="D62" s="11" t="str">
        <f>IF(SUMPRODUCT((Inputs!$B$4:$B$150=$B62)*ISNUMBER(INDEX(Inputs!$D$4:$AG$150,0,MATCH(D$2,Inputs!$D$2:$AG$2,0))))=0,"",SUMIFS(INDEX(Inputs!$D$4:$AG$150,0,MATCH(D$2,Inputs!$D$2:$AG$2,0)),Inputs!$B$4:$B$150,$B62)/1000)</f>
        <v/>
      </c>
      <c r="E62" s="11" t="str">
        <f>IF(SUMPRODUCT((Inputs!$B$4:$B$150=$B62)*ISNUMBER(INDEX(Inputs!$D$4:$AG$150,0,MATCH(E$2,Inputs!$D$2:$AG$2,0))))=0,"",SUMIFS(INDEX(Inputs!$D$4:$AG$150,0,MATCH(E$2,Inputs!$D$2:$AG$2,0)),Inputs!$B$4:$B$150,$B62)/1000)</f>
        <v/>
      </c>
      <c r="F62" s="11" t="str">
        <f>IF(SUMPRODUCT((Inputs!$B$4:$B$150=$B62)*ISNUMBER(INDEX(Inputs!$D$4:$AG$150,0,MATCH(F$2,Inputs!$D$2:$AG$2,0))))=0,"",SUMIFS(INDEX(Inputs!$D$4:$AG$150,0,MATCH(F$2,Inputs!$D$2:$AG$2,0)),Inputs!$B$4:$B$150,$B62)/1000)</f>
        <v/>
      </c>
      <c r="G62" s="11" t="str">
        <f>IF(SUMPRODUCT((Inputs!$B$4:$B$150=$B62)*ISNUMBER(INDEX(Inputs!$D$4:$AG$150,0,MATCH(G$2,Inputs!$D$2:$AG$2,0))))=0,"",SUMIFS(INDEX(Inputs!$D$4:$AG$150,0,MATCH(G$2,Inputs!$D$2:$AG$2,0)),Inputs!$B$4:$B$150,$B62)/1000)</f>
        <v/>
      </c>
      <c r="H62" s="12" t="str">
        <f>IF(COUNT(D62:G62)=4,SUM(D62:G62),"")</f>
        <v/>
      </c>
      <c r="I62" s="11" t="str">
        <f>IF(SUMPRODUCT((Inputs!$B$4:$B$150=$B62)*ISNUMBER(INDEX(Inputs!$D$4:$AG$150,0,MATCH(I$2,Inputs!$D$2:$AG$2,0))))=0,"",SUMIFS(INDEX(Inputs!$D$4:$AG$150,0,MATCH(I$2,Inputs!$D$2:$AG$2,0)),Inputs!$B$4:$B$150,$B62)/1000)</f>
        <v/>
      </c>
      <c r="J62" s="11" t="str">
        <f>IF(SUMPRODUCT((Inputs!$B$4:$B$150=$B62)*ISNUMBER(INDEX(Inputs!$D$4:$AG$150,0,MATCH(J$2,Inputs!$D$2:$AG$2,0))))=0,"",SUMIFS(INDEX(Inputs!$D$4:$AG$150,0,MATCH(J$2,Inputs!$D$2:$AG$2,0)),Inputs!$B$4:$B$150,$B62)/1000)</f>
        <v/>
      </c>
      <c r="K62" s="11" t="str">
        <f>IF(SUMPRODUCT((Inputs!$B$4:$B$150=$B62)*ISNUMBER(INDEX(Inputs!$D$4:$AG$150,0,MATCH(K$2,Inputs!$D$2:$AG$2,0))))=0,"",SUMIFS(INDEX(Inputs!$D$4:$AG$150,0,MATCH(K$2,Inputs!$D$2:$AG$2,0)),Inputs!$B$4:$B$150,$B62)/1000)</f>
        <v/>
      </c>
      <c r="L62" s="11" t="str">
        <f>IF(SUMPRODUCT((Inputs!$B$4:$B$150=$B62)*ISNUMBER(INDEX(Inputs!$D$4:$AG$150,0,MATCH(L$2,Inputs!$D$2:$AG$2,0))))=0,"",SUMIFS(INDEX(Inputs!$D$4:$AG$150,0,MATCH(L$2,Inputs!$D$2:$AG$2,0)),Inputs!$B$4:$B$150,$B62)/1000)</f>
        <v/>
      </c>
      <c r="M62" s="12" t="str">
        <f>IF(COUNT(I62:L62)=4,SUM(I62:L62),"")</f>
        <v/>
      </c>
      <c r="N62" s="11" t="str">
        <f>IF(SUMPRODUCT((Inputs!$B$4:$B$150=$B62)*ISNUMBER(INDEX(Inputs!$D$4:$AG$150,0,MATCH(N$2,Inputs!$D$2:$AG$2,0))))=0,"",SUMIFS(INDEX(Inputs!$D$4:$AG$150,0,MATCH(N$2,Inputs!$D$2:$AG$2,0)),Inputs!$B$4:$B$150,$B62)/1000)</f>
        <v/>
      </c>
      <c r="O62" s="11" t="str">
        <f>IF(SUMPRODUCT((Inputs!$B$4:$B$150=$B62)*ISNUMBER(INDEX(Inputs!$D$4:$AG$150,0,MATCH(O$2,Inputs!$D$2:$AG$2,0))))=0,"",SUMIFS(INDEX(Inputs!$D$4:$AG$150,0,MATCH(O$2,Inputs!$D$2:$AG$2,0)),Inputs!$B$4:$B$150,$B62)/1000)</f>
        <v/>
      </c>
      <c r="P62" s="11" t="str">
        <f>IF(SUMPRODUCT((Inputs!$B$4:$B$150=$B62)*ISNUMBER(INDEX(Inputs!$D$4:$AG$150,0,MATCH(P$2,Inputs!$D$2:$AG$2,0))))=0,"",SUMIFS(INDEX(Inputs!$D$4:$AG$150,0,MATCH(P$2,Inputs!$D$2:$AG$2,0)),Inputs!$B$4:$B$150,$B62)/1000)</f>
        <v/>
      </c>
      <c r="Q62" s="11" t="str">
        <f>IF(SUMPRODUCT((Inputs!$B$4:$B$150=$B62)*ISNUMBER(INDEX(Inputs!$D$4:$AG$150,0,MATCH(Q$2,Inputs!$D$2:$AG$2,0))))=0,"",SUMIFS(INDEX(Inputs!$D$4:$AG$150,0,MATCH(Q$2,Inputs!$D$2:$AG$2,0)),Inputs!$B$4:$B$150,$B62)/1000)</f>
        <v/>
      </c>
      <c r="R62" s="12" t="str">
        <f>IF(COUNT(N62:Q62)=4,SUM(N62:Q62),"")</f>
        <v/>
      </c>
      <c r="S62" s="11">
        <f>IF(SUMPRODUCT((Inputs!$B$4:$B$150=$B62)*ISNUMBER(INDEX(Inputs!$D$4:$AG$150,0,MATCH(S$2,Inputs!$D$2:$AG$2,0))))=0,"",SUMIFS(INDEX(Inputs!$D$4:$AG$150,0,MATCH(S$2,Inputs!$D$2:$AG$2,0)),Inputs!$B$4:$B$150,$B62)/1000)</f>
        <v>77642</v>
      </c>
      <c r="T62" s="11">
        <f>IF(SUMPRODUCT((Inputs!$B$4:$B$150=$B62)*ISNUMBER(INDEX(Inputs!$D$4:$AG$150,0,MATCH(T$2,Inputs!$D$2:$AG$2,0))))=0,"",SUMIFS(INDEX(Inputs!$D$4:$AG$150,0,MATCH(T$2,Inputs!$D$2:$AG$2,0)),Inputs!$B$4:$B$150,$B62)/1000)</f>
        <v>82497</v>
      </c>
      <c r="U62" s="11">
        <f>IF(SUMPRODUCT((Inputs!$B$4:$B$150=$B62)*ISNUMBER(INDEX(Inputs!$D$4:$AG$150,0,MATCH(U$2,Inputs!$D$2:$AG$2,0))))=0,"",SUMIFS(INDEX(Inputs!$D$4:$AG$150,0,MATCH(U$2,Inputs!$D$2:$AG$2,0)),Inputs!$B$4:$B$150,$B62)/1000)</f>
        <v>78704</v>
      </c>
      <c r="V62" s="11">
        <f>IF(SUMPRODUCT((Inputs!$B$4:$B$150=$B62)*ISNUMBER(INDEX(Inputs!$D$4:$AG$150,0,MATCH(V$2,Inputs!$D$2:$AG$2,0))))=0,"",SUMIFS(INDEX(Inputs!$D$4:$AG$150,0,MATCH(V$2,Inputs!$D$2:$AG$2,0)),Inputs!$B$4:$B$150,$B62)/1000)</f>
        <v>72191</v>
      </c>
      <c r="W62" s="12">
        <f>IF(COUNT(S62:V62)=4,SUM(S62:V62),"")</f>
        <v>311034</v>
      </c>
      <c r="X62" s="11">
        <f>IF(SUMPRODUCT((Inputs!$B$4:$B$150=$B62)*ISNUMBER(INDEX(Inputs!$D$4:$AG$150,0,MATCH(X$2,Inputs!$D$2:$AG$2,0))))=0,"",SUMIFS(INDEX(Inputs!$D$4:$AG$150,0,MATCH(X$2,Inputs!$D$2:$AG$2,0)),Inputs!$B$4:$B$150,$B62)/1000)</f>
        <v>71375</v>
      </c>
      <c r="Y62" s="11">
        <f>IF(SUMPRODUCT((Inputs!$B$4:$B$150=$B62)*ISNUMBER(INDEX(Inputs!$D$4:$AG$150,0,MATCH(Y$2,Inputs!$D$2:$AG$2,0))))=0,"",SUMIFS(INDEX(Inputs!$D$4:$AG$150,0,MATCH(Y$2,Inputs!$D$2:$AG$2,0)),Inputs!$B$4:$B$150,$B62)/1000)</f>
        <v>71147</v>
      </c>
      <c r="Z62" s="11">
        <f>IF(SUMPRODUCT((Inputs!$B$4:$B$150=$B62)*ISNUMBER(INDEX(Inputs!$D$4:$AG$150,0,MATCH(Z$2,Inputs!$D$2:$AG$2,0))))=0,"",SUMIFS(INDEX(Inputs!$D$4:$AG$150,0,MATCH(Z$2,Inputs!$D$2:$AG$2,0)),Inputs!$B$4:$B$150,$B62)/1000)</f>
        <v>74990</v>
      </c>
      <c r="AA62" s="11">
        <f>IF(SUMPRODUCT((Inputs!$B$4:$B$150=$B62)*ISNUMBER(INDEX(Inputs!$D$4:$AG$150,0,MATCH(AA$2,Inputs!$D$2:$AG$2,0))))=0,"",SUMIFS(INDEX(Inputs!$D$4:$AG$150,0,MATCH(AA$2,Inputs!$D$2:$AG$2,0)),Inputs!$B$4:$B$150,$B62)/1000)</f>
        <v>74104</v>
      </c>
      <c r="AB62" s="12">
        <f>IF(COUNT(X62:AA62)=4,SUM(X62:AA62),"")</f>
        <v>291616</v>
      </c>
      <c r="AC62" s="11">
        <f>IF(SUMPRODUCT((Inputs!$B$4:$B$150=$B62)*ISNUMBER(INDEX(Inputs!$D$4:$AG$150,0,MATCH(AC$2,Inputs!$D$2:$AG$2,0))))=0,"",SUMIFS(INDEX(Inputs!$D$4:$AG$150,0,MATCH(AC$2,Inputs!$D$2:$AG$2,0)),Inputs!$B$4:$B$150,$B62)/1000)</f>
        <v>77272</v>
      </c>
      <c r="AD62" s="11">
        <f>IF(SUMPRODUCT((Inputs!$B$4:$B$150=$B62)*ISNUMBER(INDEX(Inputs!$D$4:$AG$150,0,MATCH(AD$2,Inputs!$D$2:$AG$2,0))))=0,"",SUMIFS(INDEX(Inputs!$D$4:$AG$150,0,MATCH(AD$2,Inputs!$D$2:$AG$2,0)),Inputs!$B$4:$B$150,$B62)/1000)</f>
        <v>109543</v>
      </c>
      <c r="AE62" s="11" t="str">
        <f>IF(SUMPRODUCT((Inputs!$B$4:$B$150=$B62)*ISNUMBER(INDEX(Inputs!$D$4:$AG$150,0,MATCH(AE$2,Inputs!$D$2:$AG$2,0))))=0,"",SUMIFS(INDEX(Inputs!$D$4:$AG$150,0,MATCH(AE$2,Inputs!$D$2:$AG$2,0)),Inputs!$B$4:$B$150,$B62)/1000)</f>
        <v/>
      </c>
      <c r="AF62" s="11" t="str">
        <f>IF(SUMPRODUCT((Inputs!$B$4:$B$150=$B62)*ISNUMBER(INDEX(Inputs!$D$4:$AG$150,0,MATCH(AF$2,Inputs!$D$2:$AG$2,0))))=0,"",SUMIFS(INDEX(Inputs!$D$4:$AG$150,0,MATCH(AF$2,Inputs!$D$2:$AG$2,0)),Inputs!$B$4:$B$150,$B62)/1000)</f>
        <v/>
      </c>
      <c r="AG62" s="12" t="str">
        <f>IF(COUNT(AC62:AF62)=4,SUM(AC62:AF62),"")</f>
        <v/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C378"/>
  <sheetViews>
    <sheetView showGridLines="0" zoomScaleNormal="100" workbookViewId="0">
      <pane xSplit="3" ySplit="11" topLeftCell="D270" activePane="bottomRight" state="frozen"/>
      <selection pane="topRight" activeCell="D1" sqref="D1"/>
      <selection pane="bottomLeft" activeCell="A12" sqref="A12"/>
      <selection pane="bottomRight" activeCell="O315" sqref="O315"/>
    </sheetView>
  </sheetViews>
  <sheetFormatPr baseColWidth="8" defaultColWidth="10.42578125" defaultRowHeight="12.75" outlineLevelRow="1"/>
  <cols>
    <col width="2" customWidth="1" style="3" min="1" max="1"/>
    <col width="8.85546875" customWidth="1" style="3" min="2" max="2"/>
    <col width="96.140625" customWidth="1" style="4" min="3" max="3"/>
    <col width="13" customWidth="1" style="4" min="4" max="24"/>
    <col width="12.7109375" customWidth="1" style="4" min="25" max="25"/>
    <col width="13" customWidth="1" style="4" min="26" max="27"/>
    <col width="12.7109375" customWidth="1" style="4" min="28" max="28"/>
    <col width="14" customWidth="1" style="4" min="29" max="29"/>
    <col width="15.140625" customWidth="1" style="4" min="30" max="30"/>
    <col width="12.42578125" customWidth="1" style="4" min="31" max="31"/>
    <col width="11.5703125" customWidth="1" style="4" min="32" max="32"/>
    <col width="12.42578125" customWidth="1" style="4" min="33" max="33"/>
    <col width="11.5703125" customWidth="1" style="4" min="34" max="34"/>
    <col width="12.7109375" customWidth="1" style="4" min="35" max="35"/>
    <col width="11.5703125" customWidth="1" style="4" min="36" max="37"/>
    <col width="11.28515625" customWidth="1" style="4" min="38" max="38"/>
    <col width="11.5703125" customWidth="1" style="4" min="39" max="39"/>
    <col width="12.7109375" customWidth="1" style="4" min="40" max="40"/>
    <col width="11.5703125" customWidth="1" style="4" min="41" max="42"/>
    <col width="11.28515625" customWidth="1" style="4" min="43" max="43"/>
    <col width="11.5703125" customWidth="1" style="4" min="44" max="44"/>
    <col width="12.7109375" customWidth="1" style="4" min="45" max="45"/>
    <col width="11.5703125" customWidth="1" style="4" min="46" max="47"/>
    <col width="11.28515625" customWidth="1" style="4" min="48" max="48"/>
    <col width="11.5703125" customWidth="1" style="4" min="49" max="49"/>
    <col width="12.7109375" customWidth="1" style="4" min="50" max="50"/>
    <col width="11.5703125" customWidth="1" style="4" min="51" max="52"/>
    <col width="11.28515625" customWidth="1" style="4" min="53" max="53"/>
    <col width="11.5703125" customWidth="1" style="4" min="54" max="54"/>
    <col width="12.7109375" customWidth="1" style="4" min="55" max="55"/>
    <col width="11.5703125" customWidth="1" style="4" min="56" max="57"/>
    <col width="11.28515625" customWidth="1" style="4" min="58" max="58"/>
    <col width="11.5703125" customWidth="1" style="4" min="59" max="59"/>
    <col width="12.7109375" customWidth="1" style="4" min="60" max="60"/>
    <col width="11.5703125" customWidth="1" style="4" min="61" max="62"/>
    <col width="11.28515625" customWidth="1" style="4" min="63" max="63"/>
    <col width="11.5703125" customWidth="1" style="4" min="64" max="64"/>
    <col width="12.7109375" customWidth="1" style="4" min="65" max="65"/>
    <col width="11.5703125" customWidth="1" style="4" min="66" max="67"/>
    <col width="11.28515625" customWidth="1" style="4" min="68" max="68"/>
    <col width="11.5703125" customWidth="1" style="4" min="69" max="69"/>
    <col width="12.7109375" customWidth="1" style="4" min="70" max="70"/>
    <col width="11.5703125" customWidth="1" style="4" min="71" max="72"/>
    <col width="11.28515625" customWidth="1" style="4" min="73" max="73"/>
    <col width="11.5703125" customWidth="1" style="4" min="74" max="74"/>
    <col width="12.7109375" customWidth="1" style="4" min="75" max="75"/>
    <col width="11.5703125" customWidth="1" style="4" min="76" max="77"/>
    <col width="11.28515625" customWidth="1" style="4" min="78" max="78"/>
    <col width="11.5703125" customWidth="1" style="4" min="79" max="79"/>
    <col width="12.7109375" customWidth="1" style="4" min="80" max="80"/>
    <col width="11.5703125" customWidth="1" style="4" min="81" max="82"/>
    <col width="11.28515625" customWidth="1" style="4" min="83" max="83"/>
    <col width="11.5703125" customWidth="1" style="4" min="84" max="84"/>
    <col width="12.7109375" customWidth="1" style="4" min="85" max="85"/>
    <col width="11.5703125" customWidth="1" style="4" min="86" max="87"/>
    <col width="11.28515625" customWidth="1" style="4" min="88" max="88"/>
    <col width="11.5703125" customWidth="1" style="4" min="89" max="89"/>
    <col width="12.7109375" customWidth="1" style="4" min="90" max="90"/>
    <col width="11.5703125" customWidth="1" style="4" min="91" max="92"/>
    <col width="11.28515625" customWidth="1" style="4" min="93" max="93"/>
    <col width="11.5703125" customWidth="1" style="4" min="94" max="94"/>
    <col width="12.7109375" customWidth="1" style="4" min="95" max="95"/>
    <col width="11.5703125" customWidth="1" style="4" min="96" max="97"/>
    <col width="11.28515625" customWidth="1" style="4" min="98" max="98"/>
    <col width="11.5703125" customWidth="1" style="4" min="99" max="99"/>
    <col width="12.7109375" customWidth="1" style="4" min="100" max="100"/>
    <col width="11.5703125" customWidth="1" style="4" min="101" max="102"/>
    <col width="11.28515625" customWidth="1" style="4" min="103" max="103"/>
    <col width="10.42578125" customWidth="1" style="4" min="104" max="106"/>
    <col width="10.42578125" customWidth="1" style="4" min="107" max="16384"/>
  </cols>
  <sheetData>
    <row r="1">
      <c r="C1" s="17" t="inlineStr">
        <is>
          <t>CHECKS</t>
        </is>
      </c>
      <c r="D1" s="12" t="n"/>
      <c r="E1" s="12" t="n"/>
      <c r="F1" s="12" t="n"/>
      <c r="G1" s="12" t="n"/>
      <c r="H1" s="12" t="n"/>
      <c r="I1" s="12">
        <f>IF(I2="","",SUM(I2,I3))</f>
        <v>0</v>
      </c>
      <c r="J1" s="12">
        <f>IF(J2="","",SUM(J2,J3))</f>
        <v>0</v>
      </c>
      <c r="K1" s="12">
        <f>IF(K2="","",SUM(K2,K3))</f>
        <v>0</v>
      </c>
      <c r="L1" s="12">
        <f>IF(L2="","",SUM(L2,L3))</f>
        <v>0</v>
      </c>
      <c r="M1" s="12">
        <f>IF(M2="","",SUM(M2,M3))</f>
        <v>0</v>
      </c>
      <c r="N1" s="12">
        <f>IF(N2="","",SUM(N2,N3))</f>
        <v>0</v>
      </c>
      <c r="O1" s="12">
        <f>IF(O2="","",SUM(O2,O3))</f>
        <v>0</v>
      </c>
      <c r="P1" s="12">
        <f>IF(P2="","",SUM(P2,P3))</f>
        <v>0</v>
      </c>
      <c r="Q1" s="12">
        <f>IF(Q2="","",SUM(Q2,Q3))</f>
        <v>0</v>
      </c>
      <c r="R1" s="12">
        <f>IF(R2="","",SUM(R2,R3))</f>
        <v>0</v>
      </c>
      <c r="S1" s="12">
        <f>IF(S2="","",SUM(S2,S3))</f>
        <v>0</v>
      </c>
      <c r="T1" s="12">
        <f>IF(T2="","",SUM(T2,T3))</f>
        <v>0</v>
      </c>
      <c r="U1" s="12">
        <f>IF(U2="","",SUM(U2,U3))</f>
        <v>0</v>
      </c>
      <c r="V1" s="12">
        <f>IF(V2="","",SUM(V2,V3))</f>
        <v>0</v>
      </c>
      <c r="W1" s="12">
        <f>IF(W2="","",SUM(W2,W3))</f>
        <v>0</v>
      </c>
      <c r="X1" s="12">
        <f>IF(X2="","",SUM(X2,X3))</f>
        <v>0</v>
      </c>
      <c r="Y1" s="12">
        <f>IF(Y2="","",SUM(Y2,Y3))</f>
        <v>0</v>
      </c>
      <c r="Z1" s="12">
        <f>IF(Z2="","",SUM(Z2,Z3))</f>
        <v>0</v>
      </c>
      <c r="AA1" s="12">
        <f>IF(AA2="","",SUM(AA2,AA3))</f>
        <v>0</v>
      </c>
      <c r="AB1" s="12">
        <f>IF(AB2="","",SUM(AB2,AB3))</f>
        <v>0</v>
      </c>
      <c r="AC1" s="12">
        <f>IF(AC2="","",SUM(AC2,AC3))</f>
        <v>0</v>
      </c>
      <c r="AD1" s="12">
        <f>IF(AD2="","",SUM(AD2,AD3))</f>
        <v>0</v>
      </c>
      <c r="AE1" s="12">
        <f>IF(AE2="","",SUM(AE2,AE3))</f>
        <v>0</v>
      </c>
      <c r="AF1" s="12">
        <f>IF(AF2="","",SUM(AF2,AF3))</f>
        <v>0</v>
      </c>
      <c r="AG1" s="12">
        <f>IF(AG2="","",SUM(AG2,AG3))</f>
        <v>0</v>
      </c>
      <c r="AH1" s="12">
        <f>IF(AH2="","",SUM(AH2,AH3))</f>
        <v>0</v>
      </c>
      <c r="AI1" s="12">
        <f>IF(AI2="","",SUM(AI2,AI3))</f>
        <v>0</v>
      </c>
      <c r="AJ1" s="12">
        <f>IF(AJ2="","",SUM(AJ2,AJ3))</f>
        <v>8100.12337048255</v>
      </c>
      <c r="AK1" s="12">
        <f>IF(AK2="","",SUM(AK2,AK3))</f>
        <v>7816.55162587847</v>
      </c>
      <c r="AL1" s="12">
        <f>IF(AL2="","",SUM(AL2,AL3))</f>
        <v>34624.674996361</v>
      </c>
      <c r="AM1" s="12">
        <f>IF(AM2="","",SUM(AM2,AM3))</f>
        <v>8085.30850371824</v>
      </c>
      <c r="AN1" s="12">
        <f>IF(AN2="","",SUM(AN2,AN3))</f>
        <v>11017.7974192003</v>
      </c>
      <c r="AO1" s="12">
        <f>IF(AO2="","",SUM(AO2,AO3))</f>
        <v>8448.59394667879</v>
      </c>
      <c r="AP1" s="12">
        <f>IF(AP2="","",SUM(AP2,AP3))</f>
        <v>8152.8228311867</v>
      </c>
      <c r="AQ1" s="12">
        <f>IF(AQ2="","",SUM(AQ2,AQ3))</f>
        <v>35704.5227007841</v>
      </c>
      <c r="AR1" s="12">
        <f>IF(AR2="","",SUM(AR2,AR3))</f>
        <v>8392.71519584916</v>
      </c>
      <c r="AS1" s="12">
        <f>IF(AS2="","",SUM(AS2,AS3))</f>
        <v>11436.6985233014</v>
      </c>
      <c r="AT1" s="12">
        <f>IF(AT2="","",SUM(AT2,AT3))</f>
        <v>8769.81289795461</v>
      </c>
      <c r="AU1" s="12">
        <f>IF(AU2="","",SUM(AU2,AU3))</f>
        <v>8462.79644529332</v>
      </c>
      <c r="AV1" s="12">
        <f>IF(AV2="","",SUM(AV2,AV3))</f>
        <v>37062.0230623984</v>
      </c>
      <c r="AW1" s="12">
        <f>IF(AW2="","",SUM(AW2,AW3))</f>
        <v>8669.84603848936</v>
      </c>
      <c r="AX1" s="12">
        <f>IF(AX2="","",SUM(AX2,AX3))</f>
        <v>11814.342923811</v>
      </c>
      <c r="AY1" s="12">
        <f>IF(AY2="","",SUM(AY2,AY3))</f>
        <v>9059.3956588958</v>
      </c>
      <c r="AZ1" s="12">
        <f>IF(AZ2="","",SUM(AZ2,AZ3))</f>
        <v>8742.2413990714</v>
      </c>
      <c r="BA1" s="12">
        <f>IF(BA2="","",SUM(BA2,BA3))</f>
        <v>38285.8260202676</v>
      </c>
      <c r="BB1" s="12">
        <f>IF(BB2="","",SUM(BB2,BB3))</f>
        <v>8912.77862319702</v>
      </c>
      <c r="BC1" s="12">
        <f>IF(BC2="","",SUM(BC2,BC3))</f>
        <v>12145.3855802045</v>
      </c>
      <c r="BD1" s="12">
        <f>IF(BD2="","",SUM(BD2,BD3))</f>
        <v>9313.24358116967</v>
      </c>
      <c r="BE1" s="12">
        <f>IF(BE2="","",SUM(BE2,BE3))</f>
        <v>8987.20253099766</v>
      </c>
      <c r="BF1" s="12">
        <f>IF(BF2="","",SUM(BF2,BF3))</f>
        <v>39358.6103155688</v>
      </c>
      <c r="BG1" s="12" t="n"/>
      <c r="BH1" s="12" t="n"/>
      <c r="BI1" s="12" t="n"/>
      <c r="BJ1" s="12" t="n"/>
      <c r="BK1" s="12" t="n"/>
      <c r="BL1" s="12" t="n"/>
      <c r="BM1" s="12" t="n"/>
      <c r="BN1" s="12" t="n"/>
      <c r="BO1" s="12" t="n"/>
      <c r="BP1" s="12" t="n"/>
      <c r="BQ1" s="12" t="n"/>
      <c r="BR1" s="12" t="n"/>
      <c r="BS1" s="12" t="n"/>
      <c r="BT1" s="12" t="n"/>
      <c r="BU1" s="12" t="n"/>
      <c r="BV1" s="12" t="n"/>
      <c r="BW1" s="12" t="n"/>
      <c r="BX1" s="12" t="n"/>
      <c r="BY1" s="12" t="n"/>
      <c r="BZ1" s="12" t="n"/>
      <c r="CA1" s="12" t="n"/>
      <c r="CB1" s="12" t="n"/>
      <c r="CC1" s="12" t="n"/>
      <c r="CD1" s="12" t="n"/>
      <c r="CE1" s="12" t="n"/>
      <c r="CF1" s="12" t="n"/>
      <c r="CG1" s="12" t="n"/>
      <c r="CH1" s="12" t="n"/>
      <c r="CI1" s="12" t="n"/>
      <c r="CJ1" s="12" t="n"/>
      <c r="CK1" s="12" t="n"/>
      <c r="CL1" s="12" t="n"/>
      <c r="CM1" s="12" t="n"/>
      <c r="CN1" s="12" t="n"/>
      <c r="CO1" s="12" t="n"/>
      <c r="CP1" s="12" t="n"/>
      <c r="CQ1" s="12" t="n"/>
      <c r="CR1" s="12" t="n"/>
      <c r="CS1" s="12" t="n"/>
      <c r="CT1" s="12" t="n"/>
      <c r="CU1" s="12" t="n"/>
      <c r="CV1" s="12" t="n"/>
      <c r="CW1" s="12" t="n"/>
      <c r="CX1" s="12" t="n"/>
      <c r="CY1" s="12" t="n"/>
    </row>
    <row r="2">
      <c r="C2" s="18" t="inlineStr">
        <is>
          <t>BS</t>
        </is>
      </c>
      <c r="D2" s="12" t="n"/>
      <c r="E2" s="12" t="n"/>
      <c r="F2" s="12" t="n"/>
      <c r="G2" s="12" t="n"/>
      <c r="H2" s="12" t="n"/>
      <c r="I2" s="12">
        <f>IF(COUNT(I183,I259)&lt;2,"",ABS(I183-I259))</f>
        <v>0</v>
      </c>
      <c r="J2" s="12">
        <f>IF(COUNT(J183,J259)&lt;2,"",ABS(J183-J259))</f>
        <v>0</v>
      </c>
      <c r="K2" s="12">
        <f>IF(COUNT(K183,K259)&lt;2,"",ABS(K183-K259))</f>
        <v>0</v>
      </c>
      <c r="L2" s="12">
        <f>IF(COUNT(L183,L259)&lt;2,"",ABS(L183-L259))</f>
        <v>0</v>
      </c>
      <c r="M2" s="12">
        <f>IF(COUNT(M183,M259)&lt;2,"",ABS(M183-M259))</f>
        <v>0</v>
      </c>
      <c r="N2" s="12">
        <f>IF(COUNT(N183,N259)&lt;2,"",ABS(N183-N259))</f>
        <v>0</v>
      </c>
      <c r="O2" s="12">
        <f>IF(COUNT(O183,O259)&lt;2,"",ABS(O183-O259))</f>
        <v>0</v>
      </c>
      <c r="P2" s="12">
        <f>IF(COUNT(P183,P259)&lt;2,"",ABS(P183-P259))</f>
        <v>0</v>
      </c>
      <c r="Q2" s="12">
        <f>IF(COUNT(Q183,Q259)&lt;2,"",ABS(Q183-Q259))</f>
        <v>0</v>
      </c>
      <c r="R2" s="12">
        <f>IF(COUNT(R183,R259)&lt;2,"",ABS(R183-R259))</f>
        <v>0</v>
      </c>
      <c r="S2" s="12">
        <f>IF(COUNT(S183,S259)&lt;2,"",ABS(S183-S259))</f>
        <v>0</v>
      </c>
      <c r="T2" s="12">
        <f>IF(COUNT(T183,T259)&lt;2,"",ABS(T183-T259))</f>
        <v>0</v>
      </c>
      <c r="U2" s="12">
        <f>IF(COUNT(U183,U259)&lt;2,"",ABS(U183-U259))</f>
        <v>0</v>
      </c>
      <c r="V2" s="12">
        <f>IF(COUNT(V183,V259)&lt;2,"",ABS(V183-V259))</f>
        <v>0</v>
      </c>
      <c r="W2" s="12">
        <f>IF(COUNT(W183,W259)&lt;2,"",ABS(W183-W259))</f>
        <v>0</v>
      </c>
      <c r="X2" s="12">
        <f>IF(COUNT(X183,X259)&lt;2,"",ABS(X183-X259))</f>
        <v>0</v>
      </c>
      <c r="Y2" s="12">
        <f>IF(COUNT(Y183,Y259)&lt;2,"",ABS(Y183-Y259))</f>
        <v>0</v>
      </c>
      <c r="Z2" s="12">
        <f>IF(COUNT(Z183,Z259)&lt;2,"",ABS(Z183-Z259))</f>
        <v>0</v>
      </c>
      <c r="AA2" s="12">
        <f>IF(COUNT(AA183,AA259)&lt;2,"",ABS(AA183-AA259))</f>
        <v>0</v>
      </c>
      <c r="AB2" s="12">
        <f>IF(COUNT(AB183,AB259)&lt;2,"",ABS(AB183-AB259))</f>
        <v>0</v>
      </c>
      <c r="AC2" s="12">
        <f>IF(COUNT(AC183,AC259)&lt;2,"",ABS(AC183-AC259))</f>
        <v>0</v>
      </c>
      <c r="AD2" s="12">
        <f>IF(COUNT(AD183,AD259)&lt;2,"",ABS(AD183-AD259))</f>
        <v>0</v>
      </c>
      <c r="AE2" s="12">
        <f>IF(COUNT(AE183,AE259)&lt;2,"",ABS(AE183-AE259))</f>
        <v>0</v>
      </c>
      <c r="AF2" s="12">
        <f>IF(COUNT(AF183,AF259)&lt;2,"",ABS(AF183-AF259))</f>
        <v>0</v>
      </c>
      <c r="AG2" s="12">
        <f>IF(COUNT(AG183,AG259)&lt;2,"",ABS(AG183-AG259))</f>
        <v>0</v>
      </c>
      <c r="AH2" s="12">
        <f>IF(COUNT(AH183,AH259)&lt;2,"",ABS(AH183-AH259))</f>
        <v>0</v>
      </c>
      <c r="AI2" s="12">
        <f>IF(COUNT(AI183,AI259)&lt;2,"",ABS(AI183-AI259))</f>
        <v>0</v>
      </c>
      <c r="AJ2" s="12">
        <f>IF(COUNT(AJ183,AJ259)&lt;2,"",ABS(AJ183-AJ259))</f>
        <v>0</v>
      </c>
      <c r="AK2" s="12">
        <f>IF(COUNT(AK183,AK259)&lt;2,"",ABS(AK183-AK259))</f>
        <v>0</v>
      </c>
      <c r="AL2" s="12">
        <f>IF(COUNT(AL183,AL259)&lt;2,"",ABS(AL183-AL259))</f>
        <v>0</v>
      </c>
      <c r="AM2" s="12">
        <f>IF(COUNT(AM183,AM259)&lt;2,"",ABS(AM183-AM259))</f>
        <v>0</v>
      </c>
      <c r="AN2" s="12">
        <f>IF(COUNT(AN183,AN259)&lt;2,"",ABS(AN183-AN259))</f>
        <v>0</v>
      </c>
      <c r="AO2" s="12">
        <f>IF(COUNT(AO183,AO259)&lt;2,"",ABS(AO183-AO259))</f>
        <v>0</v>
      </c>
      <c r="AP2" s="12">
        <f>IF(COUNT(AP183,AP259)&lt;2,"",ABS(AP183-AP259))</f>
        <v>0</v>
      </c>
      <c r="AQ2" s="12">
        <f>IF(COUNT(AQ183,AQ259)&lt;2,"",ABS(AQ183-AQ259))</f>
        <v>0</v>
      </c>
      <c r="AR2" s="12">
        <f>IF(COUNT(AR183,AR259)&lt;2,"",ABS(AR183-AR259))</f>
        <v>0</v>
      </c>
      <c r="AS2" s="12">
        <f>IF(COUNT(AS183,AS259)&lt;2,"",ABS(AS183-AS259))</f>
        <v>0</v>
      </c>
      <c r="AT2" s="12">
        <f>IF(COUNT(AT183,AT259)&lt;2,"",ABS(AT183-AT259))</f>
        <v>0</v>
      </c>
      <c r="AU2" s="12">
        <f>IF(COUNT(AU183,AU259)&lt;2,"",ABS(AU183-AU259))</f>
        <v>0</v>
      </c>
      <c r="AV2" s="12">
        <f>IF(COUNT(AV183,AV259)&lt;2,"",ABS(AV183-AV259))</f>
        <v>0</v>
      </c>
      <c r="AW2" s="12">
        <f>IF(COUNT(AW183,AW259)&lt;2,"",ABS(AW183-AW259))</f>
        <v>0</v>
      </c>
      <c r="AX2" s="12">
        <f>IF(COUNT(AX183,AX259)&lt;2,"",ABS(AX183-AX259))</f>
        <v>0</v>
      </c>
      <c r="AY2" s="12">
        <f>IF(COUNT(AY183,AY259)&lt;2,"",ABS(AY183-AY259))</f>
        <v>0</v>
      </c>
      <c r="AZ2" s="12">
        <f>IF(COUNT(AZ183,AZ259)&lt;2,"",ABS(AZ183-AZ259))</f>
        <v>0</v>
      </c>
      <c r="BA2" s="12">
        <f>IF(COUNT(BA183,BA259)&lt;2,"",ABS(BA183-BA259))</f>
        <v>0</v>
      </c>
      <c r="BB2" s="12">
        <f>IF(COUNT(BB183,BB259)&lt;2,"",ABS(BB183-BB259))</f>
        <v>0</v>
      </c>
      <c r="BC2" s="12">
        <f>IF(COUNT(BC183,BC259)&lt;2,"",ABS(BC183-BC259))</f>
        <v>0</v>
      </c>
      <c r="BD2" s="12">
        <f>IF(COUNT(BD183,BD259)&lt;2,"",ABS(BD183-BD259))</f>
        <v>0</v>
      </c>
      <c r="BE2" s="12">
        <f>IF(COUNT(BE183,BE259)&lt;2,"",ABS(BE183-BE259))</f>
        <v>0</v>
      </c>
      <c r="BF2" s="12">
        <f>IF(COUNT(BF183,BF259)&lt;2,"",ABS(BF183-BF259))</f>
        <v>0</v>
      </c>
      <c r="BG2" s="12" t="n"/>
      <c r="BH2" s="12" t="n"/>
      <c r="BI2" s="12" t="n"/>
      <c r="BJ2" s="12" t="n"/>
      <c r="BK2" s="12" t="n"/>
      <c r="BL2" s="12" t="n"/>
      <c r="BM2" s="12" t="n"/>
      <c r="BN2" s="12" t="n"/>
      <c r="BO2" s="12" t="n"/>
      <c r="BP2" s="12" t="n"/>
      <c r="BQ2" s="12" t="n"/>
      <c r="BR2" s="12" t="n"/>
      <c r="BS2" s="12" t="n"/>
      <c r="BT2" s="12" t="n"/>
      <c r="BU2" s="12" t="n"/>
      <c r="BV2" s="12" t="n"/>
      <c r="BW2" s="12" t="n"/>
      <c r="BX2" s="12" t="n"/>
      <c r="BY2" s="12" t="n"/>
      <c r="BZ2" s="12" t="n"/>
      <c r="CA2" s="12" t="n"/>
      <c r="CB2" s="12" t="n"/>
      <c r="CC2" s="12" t="n"/>
      <c r="CD2" s="12" t="n"/>
      <c r="CE2" s="12" t="n"/>
      <c r="CF2" s="12" t="n"/>
      <c r="CG2" s="12" t="n"/>
      <c r="CH2" s="12" t="n"/>
      <c r="CI2" s="12" t="n"/>
      <c r="CJ2" s="12" t="n"/>
      <c r="CK2" s="12" t="n"/>
      <c r="CL2" s="12" t="n"/>
      <c r="CM2" s="12" t="n"/>
      <c r="CN2" s="12" t="n"/>
      <c r="CO2" s="12" t="n"/>
      <c r="CP2" s="12" t="n"/>
      <c r="CQ2" s="12" t="n"/>
      <c r="CR2" s="12" t="n"/>
      <c r="CS2" s="12" t="n"/>
      <c r="CT2" s="12" t="n"/>
      <c r="CU2" s="12" t="n"/>
      <c r="CV2" s="12" t="n"/>
      <c r="CW2" s="12" t="n"/>
      <c r="CX2" s="12" t="n"/>
      <c r="CY2" s="12" t="n"/>
    </row>
    <row r="3">
      <c r="C3" s="18" t="inlineStr">
        <is>
          <t>IS</t>
        </is>
      </c>
      <c r="D3" s="12" t="n"/>
      <c r="E3" s="12" t="n"/>
      <c r="F3" s="12" t="n"/>
      <c r="G3" s="12" t="n"/>
      <c r="H3" s="12" t="n"/>
      <c r="I3" s="12">
        <f>IF(COUNT(I123,I4)&lt;2,"",ABS(I123-I4))</f>
        <v>0</v>
      </c>
      <c r="J3" s="12">
        <f>IF(COUNT(J123,J4)&lt;2,"",ABS(J123-J4))</f>
        <v>0</v>
      </c>
      <c r="K3" s="12">
        <f>IF(COUNT(K123,K4)&lt;2,"",ABS(K123-K4))</f>
        <v>0</v>
      </c>
      <c r="L3" s="12">
        <f>IF(COUNT(L123,L4)&lt;2,"",ABS(L123-L4))</f>
        <v>0</v>
      </c>
      <c r="M3" s="12">
        <f>IF(COUNT(M123,M4)&lt;2,"",ABS(M123-M4))</f>
        <v>0</v>
      </c>
      <c r="N3" s="12">
        <f>IF(COUNT(N123,N4)&lt;2,"",ABS(N123-N4))</f>
        <v>0</v>
      </c>
      <c r="O3" s="12">
        <f>IF(COUNT(O123,O4)&lt;2,"",ABS(O123-O4))</f>
        <v>0</v>
      </c>
      <c r="P3" s="12">
        <f>IF(COUNT(P123,P4)&lt;2,"",ABS(P123-P4))</f>
        <v>0</v>
      </c>
      <c r="Q3" s="12">
        <f>IF(COUNT(Q123,Q4)&lt;2,"",ABS(Q123-Q4))</f>
        <v>0</v>
      </c>
      <c r="R3" s="12">
        <f>IF(COUNT(R123,R4)&lt;2,"",ABS(R123-R4))</f>
        <v>0</v>
      </c>
      <c r="S3" s="12">
        <f>IF(COUNT(S123,S4)&lt;2,"",ABS(S123-S4))</f>
        <v>0</v>
      </c>
      <c r="T3" s="12">
        <f>IF(COUNT(T123,T4)&lt;2,"",ABS(T123-T4))</f>
        <v>0</v>
      </c>
      <c r="U3" s="12">
        <f>IF(COUNT(U123,U4)&lt;2,"",ABS(U123-U4))</f>
        <v>0</v>
      </c>
      <c r="V3" s="12">
        <f>IF(COUNT(V123,V4)&lt;2,"",ABS(V123-V4))</f>
        <v>0</v>
      </c>
      <c r="W3" s="12">
        <f>IF(COUNT(W123,W4)&lt;2,"",ABS(W123-W4))</f>
        <v>0</v>
      </c>
      <c r="X3" s="12">
        <f>IF(COUNT(X123,X4)&lt;2,"",ABS(X123-X4))</f>
        <v>0</v>
      </c>
      <c r="Y3" s="12">
        <f>IF(COUNT(Y123,Y4)&lt;2,"",ABS(Y123-Y4))</f>
        <v>0</v>
      </c>
      <c r="Z3" s="12">
        <f>IF(COUNT(Z123,Z4)&lt;2,"",ABS(Z123-Z4))</f>
        <v>0</v>
      </c>
      <c r="AA3" s="12">
        <f>IF(COUNT(AA123,AA4)&lt;2,"",ABS(AA123-AA4))</f>
        <v>0</v>
      </c>
      <c r="AB3" s="12">
        <f>IF(COUNT(AB123,AB4)&lt;2,"",ABS(AB123-AB4))</f>
        <v>0</v>
      </c>
      <c r="AC3" s="12">
        <f>IF(COUNT(AC123,AC4)&lt;2,"",ABS(AC123-AC4))</f>
        <v>0</v>
      </c>
      <c r="AD3" s="12">
        <f>IF(COUNT(AD123,AD4)&lt;2,"",ABS(AD123-AD4))</f>
        <v>0</v>
      </c>
      <c r="AE3" s="12">
        <f>IF(COUNT(AE123,AE4)&lt;2,"",ABS(AE123-AE4))</f>
        <v>0</v>
      </c>
      <c r="AF3" s="12">
        <f>IF(COUNT(AF123,AF4)&lt;2,"",ABS(AF123-AF4))</f>
        <v>0</v>
      </c>
      <c r="AG3" s="12">
        <f>IF(COUNT(AG123,AG4)&lt;2,"",ABS(AG123-AG4))</f>
        <v>0</v>
      </c>
      <c r="AH3" s="12">
        <f>IF(COUNT(AH123,AH4)&lt;2,"",ABS(AH123-AH4))</f>
        <v>0</v>
      </c>
      <c r="AI3" s="12">
        <f>IF(COUNT(AI123,AI4)&lt;2,"",ABS(AI123-AI4))</f>
        <v>0</v>
      </c>
      <c r="AJ3" s="12">
        <f>ABS(AJ123-AJ4)</f>
        <v>8100.12337048255</v>
      </c>
      <c r="AK3" s="12">
        <f>ABS(AK123-AK4)</f>
        <v>7816.55162587847</v>
      </c>
      <c r="AL3" s="12">
        <f>ABS(AL123-AL4)</f>
        <v>34624.674996361</v>
      </c>
      <c r="AM3" s="12">
        <f>ABS(AM123-AM4)</f>
        <v>8085.30850371824</v>
      </c>
      <c r="AN3" s="12">
        <f>ABS(AN123-AN4)</f>
        <v>11017.7974192003</v>
      </c>
      <c r="AO3" s="12">
        <f>ABS(AO123-AO4)</f>
        <v>8448.59394667879</v>
      </c>
      <c r="AP3" s="12">
        <f>ABS(AP123-AP4)</f>
        <v>8152.8228311867</v>
      </c>
      <c r="AQ3" s="12">
        <f>ABS(AQ123-AQ4)</f>
        <v>35704.5227007841</v>
      </c>
      <c r="AR3" s="12">
        <f>ABS(AR123-AR4)</f>
        <v>8392.71519584916</v>
      </c>
      <c r="AS3" s="12">
        <f>ABS(AS123-AS4)</f>
        <v>11436.6985233014</v>
      </c>
      <c r="AT3" s="12">
        <f>ABS(AT123-AT4)</f>
        <v>8769.81289795461</v>
      </c>
      <c r="AU3" s="12">
        <f>ABS(AU123-AU4)</f>
        <v>8462.79644529332</v>
      </c>
      <c r="AV3" s="12">
        <f>ABS(AV123-AV4)</f>
        <v>37062.0230623984</v>
      </c>
      <c r="AW3" s="12">
        <f>ABS(AW123-AW4)</f>
        <v>8669.84603848936</v>
      </c>
      <c r="AX3" s="12">
        <f>ABS(AX123-AX4)</f>
        <v>11814.342923811</v>
      </c>
      <c r="AY3" s="12">
        <f>ABS(AY123-AY4)</f>
        <v>9059.3956588958</v>
      </c>
      <c r="AZ3" s="12">
        <f>ABS(AZ123-AZ4)</f>
        <v>8742.2413990714</v>
      </c>
      <c r="BA3" s="12">
        <f>ABS(BA123-BA4)</f>
        <v>38285.8260202676</v>
      </c>
      <c r="BB3" s="12">
        <f>ABS(BB123-BB4)</f>
        <v>8912.77862319702</v>
      </c>
      <c r="BC3" s="12">
        <f>ABS(BC123-BC4)</f>
        <v>12145.3855802045</v>
      </c>
      <c r="BD3" s="12">
        <f>ABS(BD123-BD4)</f>
        <v>9313.24358116967</v>
      </c>
      <c r="BE3" s="12">
        <f>ABS(BE123-BE4)</f>
        <v>8987.20253099766</v>
      </c>
      <c r="BF3" s="12">
        <f>ABS(BF123-BF4)</f>
        <v>39358.6103155688</v>
      </c>
      <c r="BG3" s="12" t="n"/>
      <c r="BH3" s="12" t="n"/>
      <c r="BI3" s="12" t="n"/>
      <c r="BJ3" s="12" t="n"/>
      <c r="BK3" s="12" t="n"/>
      <c r="BL3" s="12" t="n"/>
      <c r="BM3" s="12" t="n"/>
      <c r="BN3" s="12" t="n"/>
      <c r="BO3" s="12" t="n"/>
      <c r="BP3" s="12" t="n"/>
      <c r="BQ3" s="12" t="n"/>
      <c r="BR3" s="12" t="n"/>
      <c r="BS3" s="12" t="n"/>
      <c r="BT3" s="12" t="n"/>
      <c r="BU3" s="12" t="n"/>
      <c r="BV3" s="12" t="n"/>
      <c r="BW3" s="12" t="n"/>
      <c r="BX3" s="12" t="n"/>
      <c r="BY3" s="12" t="n"/>
      <c r="BZ3" s="12" t="n"/>
      <c r="CA3" s="12" t="n"/>
      <c r="CB3" s="12" t="n"/>
      <c r="CC3" s="12" t="n"/>
      <c r="CD3" s="12" t="n"/>
      <c r="CE3" s="12" t="n"/>
      <c r="CF3" s="12" t="n"/>
      <c r="CG3" s="12" t="n"/>
      <c r="CH3" s="12" t="n"/>
      <c r="CI3" s="12" t="n"/>
      <c r="CJ3" s="12" t="n"/>
      <c r="CK3" s="12" t="n"/>
      <c r="CL3" s="12" t="n"/>
      <c r="CM3" s="12" t="n"/>
      <c r="CN3" s="12" t="n"/>
      <c r="CO3" s="12" t="n"/>
      <c r="CP3" s="12" t="n"/>
      <c r="CQ3" s="12" t="n"/>
      <c r="CR3" s="12" t="n"/>
      <c r="CS3" s="12" t="n"/>
      <c r="CT3" s="12" t="n"/>
      <c r="CU3" s="12" t="n"/>
      <c r="CV3" s="12" t="n"/>
      <c r="CW3" s="12" t="n"/>
      <c r="CX3" s="12" t="n"/>
      <c r="CY3" s="12" t="n"/>
    </row>
    <row r="4">
      <c r="C4" s="17" t="inlineStr">
        <is>
          <t>Net Income reportado (lucro líquido) — base do check de DRE</t>
        </is>
      </c>
      <c r="H4" s="11" t="n"/>
      <c r="I4">
        <f>IF(ISNUMBER('Inputs (2)'!D50),'Inputs (2)'!D50,"")</f>
        <v>2730</v>
      </c>
      <c r="J4">
        <f>IF(ISNUMBER('Inputs (2)'!E50),'Inputs (2)'!E50,"")</f>
        <v>4690</v>
      </c>
      <c r="K4">
        <f>IF(ISNUMBER('Inputs (2)'!F50),'Inputs (2)'!F50,"")</f>
        <v>6750</v>
      </c>
      <c r="L4">
        <f>IF(ISNUMBER('Inputs (2)'!G50),'Inputs (2)'!G50,"")</f>
        <v>8870</v>
      </c>
      <c r="M4" s="11">
        <f>IF(COUNT(I4:L4)=4,SUM(I4:L4),"")</f>
        <v>23040</v>
      </c>
      <c r="N4">
        <f>IF(ISNUMBER('Inputs (2)'!I50),'Inputs (2)'!I50,"")</f>
        <v>5480</v>
      </c>
      <c r="O4">
        <f>IF(ISNUMBER('Inputs (2)'!J50),'Inputs (2)'!J50,"")</f>
        <v>17850</v>
      </c>
      <c r="P4">
        <f>IF(ISNUMBER('Inputs (2)'!K50),'Inputs (2)'!K50,"")</f>
        <v>19660</v>
      </c>
      <c r="Q4">
        <f>IF(ISNUMBER('Inputs (2)'!L50),'Inputs (2)'!L50,"")</f>
        <v>12750</v>
      </c>
      <c r="R4" s="11">
        <f>IF(COUNT(N4:Q4)=4,SUM(N4:Q4),"")</f>
        <v>55740</v>
      </c>
      <c r="S4">
        <f>IF(ISNUMBER('Inputs (2)'!N50),'Inputs (2)'!N50,"")</f>
        <v>11430</v>
      </c>
      <c r="T4">
        <f>IF(ISNUMBER('Inputs (2)'!O50),'Inputs (2)'!O50,"")</f>
        <v>7880</v>
      </c>
      <c r="U4">
        <f>IF(ISNUMBER('Inputs (2)'!P50),'Inputs (2)'!P50,"")</f>
        <v>9070</v>
      </c>
      <c r="V4">
        <f>IF(ISNUMBER('Inputs (2)'!Q50),'Inputs (2)'!Q50,"")</f>
        <v>7630</v>
      </c>
      <c r="W4" s="11">
        <f>IF(COUNT(S4:V4)=4,SUM(S4:V4),"")</f>
        <v>36010</v>
      </c>
      <c r="X4">
        <f>IF(ISNUMBER('Inputs (2)'!S50),'Inputs (2)'!S50,"")</f>
        <v>8220</v>
      </c>
      <c r="Y4">
        <f>IF(ISNUMBER('Inputs (2)'!T50),'Inputs (2)'!T50,"")</f>
        <v>9240</v>
      </c>
      <c r="Z4">
        <f>IF(ISNUMBER('Inputs (2)'!U50),'Inputs (2)'!U50,"")</f>
        <v>8610</v>
      </c>
      <c r="AA4">
        <f>IF(ISNUMBER('Inputs (2)'!V50),'Inputs (2)'!V50,"")</f>
        <v>7610</v>
      </c>
      <c r="AB4" s="11">
        <f>IF(COUNT(X4:AA4)=4,SUM(X4:AA4),"")</f>
        <v>33680</v>
      </c>
      <c r="AC4">
        <f>IF(ISNUMBER('Inputs (2)'!X50),'Inputs (2)'!X50,"")</f>
        <v>7713</v>
      </c>
      <c r="AD4">
        <f>IF(ISNUMBER('Inputs (2)'!Y50),'Inputs (2)'!Y50,"")</f>
        <v>7082</v>
      </c>
      <c r="AE4">
        <f>IF(ISNUMBER('Inputs (2)'!Z50),'Inputs (2)'!Z50,"")</f>
        <v>7548</v>
      </c>
      <c r="AF4">
        <f>IF(ISNUMBER('Inputs (2)'!AA50),'Inputs (2)'!AA50,"")</f>
        <v>6501</v>
      </c>
      <c r="AG4" s="11">
        <f>IF(COUNT(AC4:AF4)=4,SUM(AC4:AF4),"")</f>
        <v>28844</v>
      </c>
      <c r="AH4" s="11">
        <f>IF(ISNUMBER('Inputs (2)'!AC50),'Inputs (2)'!AC50,"")</f>
        <v>4183</v>
      </c>
      <c r="AI4" s="11">
        <f>IF(ISNUMBER('Inputs (2)'!AD50),'Inputs (2)'!AD50,"")</f>
        <v>14525</v>
      </c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AZ4" s="11" t="n"/>
      <c r="BA4" s="11" t="n"/>
      <c r="BB4" s="11" t="n"/>
      <c r="BC4" s="11" t="n"/>
      <c r="BD4" s="11" t="n"/>
      <c r="BE4" s="11" t="n"/>
      <c r="BF4" s="11" t="n"/>
      <c r="BG4" s="11" t="n"/>
      <c r="BH4" s="11" t="n"/>
      <c r="BI4" s="11" t="n"/>
      <c r="BJ4" s="11" t="n"/>
      <c r="BK4" s="11" t="n"/>
      <c r="BL4" s="11" t="n"/>
      <c r="BM4" s="11" t="n"/>
      <c r="BN4" s="11" t="n"/>
      <c r="BO4" s="11" t="n"/>
      <c r="BP4" s="11" t="n"/>
      <c r="BQ4" s="11" t="n"/>
      <c r="BR4" s="11" t="n"/>
      <c r="BS4" s="11" t="n"/>
      <c r="BT4" s="11" t="n"/>
      <c r="BU4" s="11" t="n"/>
      <c r="BV4" s="11" t="n"/>
      <c r="BW4" s="11" t="n"/>
      <c r="BX4" s="11" t="n"/>
      <c r="BY4" s="11" t="n"/>
      <c r="BZ4" s="11" t="n"/>
      <c r="CA4" s="11" t="n"/>
      <c r="CB4" s="11" t="n"/>
      <c r="CC4" s="11" t="n"/>
      <c r="CD4" s="11" t="n"/>
      <c r="CE4" s="11" t="n"/>
      <c r="CF4" s="11" t="n"/>
      <c r="CG4" s="11" t="n"/>
      <c r="CH4" s="11" t="n"/>
      <c r="CI4" s="11" t="n"/>
      <c r="CJ4" s="11" t="n"/>
      <c r="CK4" s="11" t="n"/>
      <c r="CL4" s="11" t="n"/>
      <c r="CM4" s="11" t="n"/>
      <c r="CN4" s="11" t="n"/>
      <c r="CO4" s="11" t="n"/>
      <c r="CP4" s="11" t="n"/>
      <c r="CQ4" s="11" t="n"/>
      <c r="CR4" s="11" t="n"/>
      <c r="CS4" s="11" t="n"/>
      <c r="CT4" s="11" t="n"/>
      <c r="CU4" s="11" t="n"/>
      <c r="CV4" s="11" t="n"/>
      <c r="CW4" s="11" t="n"/>
      <c r="CX4" s="11" t="n"/>
      <c r="CY4" s="11" t="n"/>
    </row>
    <row r="5">
      <c r="B5" s="19" t="n">
        <v>45930</v>
      </c>
      <c r="D5" s="20" t="n"/>
      <c r="E5" s="21" t="n"/>
      <c r="F5" s="21" t="n"/>
      <c r="G5" s="21" t="n"/>
      <c r="H5" s="266" t="n">
        <v>44196</v>
      </c>
      <c r="I5" s="20" t="n">
        <v>44286</v>
      </c>
      <c r="J5" s="21">
        <f>DATE(YEAR(I5),MONTH(I5)+3,DAY(I5)-1)</f>
        <v>44377.0</v>
      </c>
      <c r="K5" s="21">
        <f>DATE(YEAR(J5),MONTH(J5)+3,DAY(J5))</f>
        <v>44469.0</v>
      </c>
      <c r="L5" s="21">
        <f>DATE(YEAR(K5),MONTH(K5)+3,DAY(K5)+1)</f>
        <v>44561.0</v>
      </c>
      <c r="M5" s="22">
        <f>L5</f>
        <v>44561.0</v>
      </c>
      <c r="N5" s="21">
        <f>DATE(YEAR(M5),MONTH(M5)+3,DAY(M5))</f>
        <v>44651.0</v>
      </c>
      <c r="O5" s="21">
        <f>DATE(YEAR(N5),MONTH(N5)+3,DAY(N5)-1)</f>
        <v>44742.0</v>
      </c>
      <c r="P5" s="21">
        <f>DATE(YEAR(O5),MONTH(O5)+3,DAY(O5))</f>
        <v>44834.0</v>
      </c>
      <c r="Q5" s="21">
        <f>DATE(YEAR(P5),MONTH(P5)+3,DAY(P5)+1)</f>
        <v>44926.0</v>
      </c>
      <c r="R5" s="22">
        <f>Q5</f>
        <v>44926.0</v>
      </c>
      <c r="S5" s="21">
        <f>DATE(YEAR(R5),MONTH(R5)+3,DAY(R5))</f>
        <v>45016.0</v>
      </c>
      <c r="T5" s="21">
        <f>DATE(YEAR(S5),MONTH(S5)+3,DAY(S5))-1</f>
        <v>45107.0</v>
      </c>
      <c r="U5" s="21">
        <f>DATE(YEAR(T5),MONTH(T5)+3,DAY(T5))</f>
        <v>45199.0</v>
      </c>
      <c r="V5" s="21">
        <f>DATE(YEAR(U5),MONTH(U5)+3,DAY(U5))+1</f>
        <v>45291.0</v>
      </c>
      <c r="W5" s="22">
        <f>V5</f>
        <v>45291.0</v>
      </c>
      <c r="X5" s="21">
        <f>DATE(YEAR(W5),MONTH(W5)+3,DAY(W5))</f>
        <v>45382.0</v>
      </c>
      <c r="Y5" s="21">
        <f>DATE(YEAR(X5),MONTH(X5)+3,DAY(X5))-1</f>
        <v>45473.0</v>
      </c>
      <c r="Z5" s="21">
        <f>DATE(YEAR(Y5),MONTH(Y5)+3,DAY(Y5))</f>
        <v>45565.0</v>
      </c>
      <c r="AA5" s="21">
        <f>DATE(YEAR(Z5),MONTH(Z5)+3,DAY(Z5))+1</f>
        <v>45657.0</v>
      </c>
      <c r="AB5" s="22">
        <f>AA5</f>
        <v>45657.0</v>
      </c>
      <c r="AC5" s="21">
        <f>DATE(YEAR(AB5),MONTH(AB5)+3,DAY(AB5))</f>
        <v>45747.0</v>
      </c>
      <c r="AD5" s="21">
        <f>DATE(YEAR(AC5),MONTH(AC5)+3,DAY(AC5))-1</f>
        <v>45838.0</v>
      </c>
      <c r="AE5" s="21">
        <f>DATE(YEAR(AD5),MONTH(AD5)+3,DAY(AD5))</f>
        <v>45930.0</v>
      </c>
      <c r="AF5" s="21">
        <f>DATE(YEAR(AE5),MONTH(AE5)+3,DAY(AE5))+1</f>
        <v>46022.0</v>
      </c>
      <c r="AG5" s="22">
        <f>AF5</f>
        <v>46022.0</v>
      </c>
      <c r="AH5" s="21">
        <f>DATE(YEAR(AG5),MONTH(AG5)+3,DAY(AG5))</f>
        <v>46112.0</v>
      </c>
      <c r="AI5" s="21">
        <f>DATE(YEAR(AH5),MONTH(AH5)+3,DAY(AH5))-1</f>
        <v>46203.0</v>
      </c>
      <c r="AJ5" s="21">
        <f>DATE(YEAR(AI5),MONTH(AI5)+3,DAY(AI5))</f>
        <v>46295.0</v>
      </c>
      <c r="AK5" s="21">
        <f>DATE(YEAR(AJ5),MONTH(AJ5)+3,DAY(AJ5))+1</f>
        <v>46387.0</v>
      </c>
      <c r="AL5" s="22">
        <f>AK5</f>
        <v>46387.0</v>
      </c>
      <c r="AM5" s="21">
        <f>DATE(YEAR(AL5),MONTH(AL5)+3,DAY(AL5))</f>
        <v>46477.0</v>
      </c>
      <c r="AN5" s="21">
        <f>DATE(YEAR(AM5),MONTH(AM5)+3,DAY(AM5))-1</f>
        <v>46568.0</v>
      </c>
      <c r="AO5" s="21">
        <f>DATE(YEAR(AN5),MONTH(AN5)+3,DAY(AN5))</f>
        <v>46660.0</v>
      </c>
      <c r="AP5" s="21">
        <f>DATE(YEAR(AO5),MONTH(AO5)+3,DAY(AO5))+1</f>
        <v>46752.0</v>
      </c>
      <c r="AQ5" s="22">
        <f>AP5</f>
        <v>46752.0</v>
      </c>
      <c r="AR5" s="21">
        <f>DATE(YEAR(AQ5),MONTH(AQ5)+3,DAY(AQ5))</f>
        <v>46843.0</v>
      </c>
      <c r="AS5" s="21">
        <f>DATE(YEAR(AR5),MONTH(AR5)+3,DAY(AR5))-1</f>
        <v>46934.0</v>
      </c>
      <c r="AT5" s="21">
        <f>DATE(YEAR(AS5),MONTH(AS5)+3,DAY(AS5))</f>
        <v>47026.0</v>
      </c>
      <c r="AU5" s="21">
        <f>DATE(YEAR(AT5),MONTH(AT5)+3,DAY(AT5))+1</f>
        <v>47118.0</v>
      </c>
      <c r="AV5" s="22">
        <f>AU5</f>
        <v>47118.0</v>
      </c>
      <c r="AW5" s="21">
        <f>DATE(YEAR(AV5),MONTH(AV5)+3,DAY(AV5))</f>
        <v>47208.0</v>
      </c>
      <c r="AX5" s="21">
        <f>DATE(YEAR(AW5),MONTH(AW5)+3,DAY(AW5))-1</f>
        <v>47299.0</v>
      </c>
      <c r="AY5" s="21">
        <f>DATE(YEAR(AX5),MONTH(AX5)+3,DAY(AX5))</f>
        <v>47391.0</v>
      </c>
      <c r="AZ5" s="21">
        <f>DATE(YEAR(AY5),MONTH(AY5)+3,DAY(AY5))+1</f>
        <v>47483.0</v>
      </c>
      <c r="BA5" s="22">
        <f>AZ5</f>
        <v>47483.0</v>
      </c>
      <c r="BB5" s="21">
        <f>DATE(YEAR(BA5),MONTH(BA5)+3,DAY(BA5))</f>
        <v>47573.0</v>
      </c>
      <c r="BC5" s="21">
        <f>DATE(YEAR(BB5),MONTH(BB5)+3,DAY(BB5))-1</f>
        <v>47664.0</v>
      </c>
      <c r="BD5" s="21">
        <f>DATE(YEAR(BC5),MONTH(BC5)+3,DAY(BC5))</f>
        <v>47756.0</v>
      </c>
      <c r="BE5" s="21">
        <f>DATE(YEAR(BD5),MONTH(BD5)+3,DAY(BD5))+1</f>
        <v>47848.0</v>
      </c>
      <c r="BF5" s="22">
        <f>BE5</f>
        <v>47848.0</v>
      </c>
      <c r="BG5" s="21" t="n"/>
      <c r="BH5" s="21" t="n"/>
      <c r="BI5" s="21" t="n"/>
      <c r="BJ5" s="21" t="n"/>
      <c r="BK5" s="22" t="n"/>
      <c r="BL5" s="21" t="n"/>
      <c r="BM5" s="21" t="n"/>
      <c r="BN5" s="21" t="n"/>
      <c r="BO5" s="21" t="n"/>
      <c r="BP5" s="22" t="n"/>
      <c r="BQ5" s="21" t="n"/>
      <c r="BR5" s="21" t="n"/>
      <c r="BS5" s="21" t="n"/>
      <c r="BT5" s="21" t="n"/>
      <c r="BU5" s="22" t="n"/>
      <c r="BV5" s="21" t="n"/>
      <c r="BW5" s="21" t="n"/>
      <c r="BX5" s="21" t="n"/>
      <c r="BY5" s="21" t="n"/>
      <c r="BZ5" s="22" t="n"/>
      <c r="CA5" s="21" t="n"/>
      <c r="CB5" s="21" t="n"/>
      <c r="CC5" s="21" t="n"/>
      <c r="CD5" s="21" t="n"/>
      <c r="CE5" s="22" t="n"/>
      <c r="CF5" s="21" t="n"/>
      <c r="CG5" s="21" t="n"/>
      <c r="CH5" s="21" t="n"/>
      <c r="CI5" s="21" t="n"/>
      <c r="CJ5" s="22" t="n"/>
      <c r="CK5" s="21" t="n"/>
      <c r="CL5" s="21" t="n"/>
      <c r="CM5" s="21" t="n"/>
      <c r="CN5" s="21" t="n"/>
      <c r="CO5" s="22" t="n"/>
      <c r="CP5" s="21" t="n"/>
      <c r="CQ5" s="21" t="n"/>
      <c r="CR5" s="21" t="n"/>
      <c r="CS5" s="21" t="n"/>
      <c r="CT5" s="22" t="n"/>
      <c r="CU5" s="21" t="n"/>
      <c r="CV5" s="21" t="n"/>
      <c r="CW5" s="21" t="n"/>
      <c r="CX5" s="21" t="n"/>
      <c r="CY5" s="22" t="n"/>
    </row>
    <row r="6">
      <c r="B6" s="23" t="n"/>
      <c r="D6" s="24" t="n"/>
      <c r="E6" s="24" t="n"/>
      <c r="F6" s="24" t="n"/>
      <c r="G6" s="24" t="n"/>
      <c r="H6" s="24" t="n"/>
      <c r="I6" s="24">
        <f>YEAR(I5)</f>
        <v>2021</v>
      </c>
      <c r="J6" s="24">
        <f>YEAR(J5)</f>
        <v>2021</v>
      </c>
      <c r="K6" s="24">
        <f>YEAR(K5)</f>
        <v>2021</v>
      </c>
      <c r="L6" s="24">
        <f>YEAR(L5)</f>
        <v>2021</v>
      </c>
      <c r="M6" s="24">
        <f>YEAR(M5)</f>
        <v>2021</v>
      </c>
      <c r="N6" s="24">
        <f>YEAR(N5)</f>
        <v>2022</v>
      </c>
      <c r="O6" s="24">
        <f>YEAR(O5)</f>
        <v>2022</v>
      </c>
      <c r="P6" s="24">
        <f>YEAR(P5)</f>
        <v>2022</v>
      </c>
      <c r="Q6" s="24">
        <f>YEAR(Q5)</f>
        <v>2022</v>
      </c>
      <c r="R6" s="24">
        <f>YEAR(R5)</f>
        <v>2022</v>
      </c>
      <c r="S6" s="24">
        <f>YEAR(S5)</f>
        <v>2023</v>
      </c>
      <c r="T6" s="24">
        <f>YEAR(T5)</f>
        <v>2023</v>
      </c>
      <c r="U6" s="24">
        <f>YEAR(U5)</f>
        <v>2023</v>
      </c>
      <c r="V6" s="24">
        <f>YEAR(V5)</f>
        <v>2023</v>
      </c>
      <c r="W6" s="24">
        <f>YEAR(W5)</f>
        <v>2023</v>
      </c>
      <c r="X6" s="24">
        <f>YEAR(X5)</f>
        <v>2024</v>
      </c>
      <c r="Y6" s="24">
        <f>YEAR(Y5)</f>
        <v>2024</v>
      </c>
      <c r="Z6" s="24">
        <f>YEAR(Z5)</f>
        <v>2024</v>
      </c>
      <c r="AA6" s="24">
        <f>YEAR(AA5)</f>
        <v>2024</v>
      </c>
      <c r="AB6" s="24">
        <f>YEAR(AB5)</f>
        <v>2024</v>
      </c>
      <c r="AC6" s="24">
        <f>YEAR(AC5)</f>
        <v>2025</v>
      </c>
      <c r="AD6" s="24">
        <f>YEAR(AD5)</f>
        <v>2025</v>
      </c>
      <c r="AE6" s="24">
        <f>YEAR(AE5)</f>
        <v>2025</v>
      </c>
      <c r="AF6" s="24">
        <f>YEAR(AF5)</f>
        <v>2025</v>
      </c>
      <c r="AG6" s="24">
        <f>YEAR(AG5)</f>
        <v>2025</v>
      </c>
      <c r="AH6" s="24">
        <f>YEAR(AH5)</f>
        <v>2026</v>
      </c>
      <c r="AI6" s="24">
        <f>YEAR(AI5)</f>
        <v>2026</v>
      </c>
      <c r="AJ6" s="24">
        <f>YEAR(AJ5)</f>
        <v>2026</v>
      </c>
      <c r="AK6" s="24">
        <f>YEAR(AK5)</f>
        <v>2026</v>
      </c>
      <c r="AL6" s="24">
        <f>YEAR(AL5)</f>
        <v>2026</v>
      </c>
      <c r="AM6" s="24">
        <f>YEAR(AM5)</f>
        <v>2027</v>
      </c>
      <c r="AN6" s="24">
        <f>YEAR(AN5)</f>
        <v>2027</v>
      </c>
      <c r="AO6" s="24">
        <f>YEAR(AO5)</f>
        <v>2027</v>
      </c>
      <c r="AP6" s="24">
        <f>YEAR(AP5)</f>
        <v>2027</v>
      </c>
      <c r="AQ6" s="24">
        <f>YEAR(AQ5)</f>
        <v>2027</v>
      </c>
      <c r="AR6" s="24">
        <f>YEAR(AR5)</f>
        <v>2028</v>
      </c>
      <c r="AS6" s="24">
        <f>YEAR(AS5)</f>
        <v>2028</v>
      </c>
      <c r="AT6" s="24">
        <f>YEAR(AT5)</f>
        <v>2028</v>
      </c>
      <c r="AU6" s="24">
        <f>YEAR(AU5)</f>
        <v>2028</v>
      </c>
      <c r="AV6" s="24">
        <f>YEAR(AV5)</f>
        <v>2028</v>
      </c>
      <c r="AW6" s="24">
        <f>YEAR(AW5)</f>
        <v>2029</v>
      </c>
      <c r="AX6" s="24">
        <f>YEAR(AX5)</f>
        <v>2029</v>
      </c>
      <c r="AY6" s="24">
        <f>YEAR(AY5)</f>
        <v>2029</v>
      </c>
      <c r="AZ6" s="24">
        <f>YEAR(AZ5)</f>
        <v>2029</v>
      </c>
      <c r="BA6" s="24">
        <f>YEAR(BA5)</f>
        <v>2029</v>
      </c>
      <c r="BB6" s="24">
        <f>YEAR(BB5)</f>
        <v>2030</v>
      </c>
      <c r="BC6" s="24">
        <f>YEAR(BC5)</f>
        <v>2030</v>
      </c>
      <c r="BD6" s="24">
        <f>YEAR(BD5)</f>
        <v>2030</v>
      </c>
      <c r="BE6" s="24">
        <f>YEAR(BE5)</f>
        <v>2030</v>
      </c>
      <c r="BF6" s="24">
        <f>YEAR(BF5)</f>
        <v>2030</v>
      </c>
      <c r="BG6" s="24" t="n"/>
      <c r="BH6" s="24" t="n"/>
      <c r="BI6" s="24" t="n"/>
      <c r="BJ6" s="24" t="n"/>
      <c r="BK6" s="24" t="n"/>
      <c r="BL6" s="24" t="n"/>
      <c r="BM6" s="24" t="n"/>
      <c r="BN6" s="24" t="n"/>
      <c r="BO6" s="24" t="n"/>
      <c r="BP6" s="24" t="n"/>
      <c r="BQ6" s="24" t="n"/>
      <c r="BR6" s="24" t="n"/>
      <c r="BS6" s="24" t="n"/>
      <c r="BT6" s="24" t="n"/>
      <c r="BU6" s="24" t="n"/>
      <c r="BV6" s="24" t="n"/>
      <c r="BW6" s="24" t="n"/>
      <c r="BX6" s="24" t="n"/>
      <c r="BY6" s="24" t="n"/>
      <c r="BZ6" s="24" t="n"/>
      <c r="CA6" s="24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n"/>
      <c r="CS6" s="24" t="n"/>
      <c r="CT6" s="24" t="n"/>
      <c r="CU6" s="24" t="n"/>
      <c r="CV6" s="24" t="n"/>
      <c r="CW6" s="24" t="n"/>
      <c r="CX6" s="24" t="n"/>
      <c r="CY6" s="24" t="n"/>
    </row>
    <row r="7">
      <c r="B7" s="4" t="n"/>
      <c r="D7" s="25" t="n"/>
      <c r="E7" s="25" t="n"/>
      <c r="F7" s="25" t="n"/>
      <c r="G7" s="25" t="n"/>
      <c r="H7" s="26" t="n">
        <v>2020</v>
      </c>
      <c r="I7" s="25" t="str">
        <f>"1Q"&amp;RIGHT(I6,2)</f>
        <v>1Q21</v>
      </c>
      <c r="J7" s="25" t="str">
        <f>"2Q"&amp;RIGHT(J6,2)</f>
        <v>2Q21</v>
      </c>
      <c r="K7" s="25" t="str">
        <f>"3Q"&amp;RIGHT(K6,2)</f>
        <v>3Q21</v>
      </c>
      <c r="L7" s="25" t="str">
        <f>"4Q"&amp;RIGHT(L6,2)</f>
        <v>4Q21</v>
      </c>
      <c r="M7" s="26">
        <f>H7+1</f>
        <v>2021</v>
      </c>
      <c r="N7" s="25" t="str">
        <f>"1Q"&amp;RIGHT(N6,2)</f>
        <v>1Q22</v>
      </c>
      <c r="O7" s="25" t="str">
        <f>"2Q"&amp;RIGHT(O6,2)</f>
        <v>2Q22</v>
      </c>
      <c r="P7" s="25" t="str">
        <f>"3Q"&amp;RIGHT(P6,2)</f>
        <v>3Q22</v>
      </c>
      <c r="Q7" s="25" t="str">
        <f>"4Q"&amp;RIGHT(Q6,2)</f>
        <v>4Q22</v>
      </c>
      <c r="R7" s="26">
        <f>M7+1</f>
        <v>2022</v>
      </c>
      <c r="S7" s="25" t="str">
        <f>"1Q"&amp;RIGHT(S6,2)</f>
        <v>1Q23</v>
      </c>
      <c r="T7" s="25" t="str">
        <f>"2Q"&amp;RIGHT(T6,2)</f>
        <v>2Q23</v>
      </c>
      <c r="U7" s="25" t="str">
        <f>"3Q"&amp;RIGHT(U6,2)</f>
        <v>3Q23</v>
      </c>
      <c r="V7" s="25" t="str">
        <f>"4Q"&amp;RIGHT(V6,2)</f>
        <v>4Q23</v>
      </c>
      <c r="W7" s="26">
        <f>R7+1</f>
        <v>2023</v>
      </c>
      <c r="X7" s="25" t="str">
        <f>"1Q"&amp;RIGHT(X6,2)</f>
        <v>1Q24</v>
      </c>
      <c r="Y7" s="25" t="str">
        <f>"2Q"&amp;RIGHT(Y6,2)</f>
        <v>2Q24</v>
      </c>
      <c r="Z7" s="25" t="str">
        <f>"3Q"&amp;RIGHT(Z6,2)</f>
        <v>3Q24</v>
      </c>
      <c r="AA7" s="25" t="str">
        <f>"4Q"&amp;RIGHT(AA6,2)</f>
        <v>4Q24</v>
      </c>
      <c r="AB7" s="26">
        <f>W7+1</f>
        <v>2024</v>
      </c>
      <c r="AC7" s="25" t="str">
        <f>"1Q"&amp;RIGHT(AC6,2)</f>
        <v>1Q25</v>
      </c>
      <c r="AD7" s="25" t="str">
        <f>"2Q"&amp;RIGHT(AD6,2)</f>
        <v>2Q25</v>
      </c>
      <c r="AE7" s="25" t="str">
        <f>"3Q"&amp;RIGHT(AE6,2)</f>
        <v>3Q25</v>
      </c>
      <c r="AF7" s="25" t="str">
        <f>"4Q"&amp;RIGHT(AF6,2)</f>
        <v>4Q25</v>
      </c>
      <c r="AG7" s="26">
        <f>AB7+1</f>
        <v>2025</v>
      </c>
      <c r="AH7" s="25" t="str">
        <f>"1Q"&amp;RIGHT(AH6,2)</f>
        <v>1Q26</v>
      </c>
      <c r="AI7" s="25" t="str">
        <f>"2Q"&amp;RIGHT(AI6,2)</f>
        <v>2Q26</v>
      </c>
      <c r="AJ7" s="25" t="str">
        <f>"3Q"&amp;RIGHT(AJ6,2)</f>
        <v>3Q26</v>
      </c>
      <c r="AK7" s="25" t="str">
        <f>"4Q"&amp;RIGHT(AK6,2)</f>
        <v>4Q26</v>
      </c>
      <c r="AL7" s="26">
        <f>AG7+1</f>
        <v>2026</v>
      </c>
      <c r="AM7" s="25" t="str">
        <f>"1Q"&amp;RIGHT(AM6,2)</f>
        <v>1Q27</v>
      </c>
      <c r="AN7" s="25" t="str">
        <f>"2Q"&amp;RIGHT(AN6,2)</f>
        <v>2Q27</v>
      </c>
      <c r="AO7" s="25" t="str">
        <f>"3Q"&amp;RIGHT(AO6,2)</f>
        <v>3Q27</v>
      </c>
      <c r="AP7" s="25" t="str">
        <f>"4Q"&amp;RIGHT(AP6,2)</f>
        <v>4Q27</v>
      </c>
      <c r="AQ7" s="26">
        <f>AL7+1</f>
        <v>2027</v>
      </c>
      <c r="AR7" s="25" t="str">
        <f>"1Q"&amp;RIGHT(AR6,2)</f>
        <v>1Q28</v>
      </c>
      <c r="AS7" s="25" t="str">
        <f>"2Q"&amp;RIGHT(AS6,2)</f>
        <v>2Q28</v>
      </c>
      <c r="AT7" s="25" t="str">
        <f>"3Q"&amp;RIGHT(AT6,2)</f>
        <v>3Q28</v>
      </c>
      <c r="AU7" s="25" t="str">
        <f>"4Q"&amp;RIGHT(AU6,2)</f>
        <v>4Q28</v>
      </c>
      <c r="AV7" s="26">
        <f>AQ7+1</f>
        <v>2028</v>
      </c>
      <c r="AW7" s="25" t="str">
        <f>"1Q"&amp;RIGHT(AW6,2)</f>
        <v>1Q29</v>
      </c>
      <c r="AX7" s="25" t="str">
        <f>"2Q"&amp;RIGHT(AX6,2)</f>
        <v>2Q29</v>
      </c>
      <c r="AY7" s="25" t="str">
        <f>"3Q"&amp;RIGHT(AY6,2)</f>
        <v>3Q29</v>
      </c>
      <c r="AZ7" s="25" t="str">
        <f>"4Q"&amp;RIGHT(AZ6,2)</f>
        <v>4Q29</v>
      </c>
      <c r="BA7" s="26">
        <f>AV7+1</f>
        <v>2029</v>
      </c>
      <c r="BB7" s="25" t="str">
        <f>"1Q"&amp;RIGHT(BB6,2)</f>
        <v>1Q30</v>
      </c>
      <c r="BC7" s="25" t="str">
        <f>"2Q"&amp;RIGHT(BC6,2)</f>
        <v>2Q30</v>
      </c>
      <c r="BD7" s="25" t="str">
        <f>"3Q"&amp;RIGHT(BD6,2)</f>
        <v>3Q30</v>
      </c>
      <c r="BE7" s="25" t="str">
        <f>"4Q"&amp;RIGHT(BE6,2)</f>
        <v>4Q30</v>
      </c>
      <c r="BF7" s="26">
        <f>BA7+1</f>
        <v>2030</v>
      </c>
      <c r="BG7" s="25" t="n"/>
      <c r="BH7" s="25" t="n"/>
      <c r="BI7" s="25" t="n"/>
      <c r="BJ7" s="25" t="n"/>
      <c r="BK7" s="26" t="n"/>
      <c r="BL7" s="25" t="n"/>
      <c r="BM7" s="25" t="n"/>
      <c r="BN7" s="25" t="n"/>
      <c r="BO7" s="25" t="n"/>
      <c r="BP7" s="26" t="n"/>
      <c r="BQ7" s="25" t="n"/>
      <c r="BR7" s="25" t="n"/>
      <c r="BS7" s="25" t="n"/>
      <c r="BT7" s="25" t="n"/>
      <c r="BU7" s="26" t="n"/>
      <c r="BV7" s="25" t="n"/>
      <c r="BW7" s="25" t="n"/>
      <c r="BX7" s="25" t="n"/>
      <c r="BY7" s="25" t="n"/>
      <c r="BZ7" s="26" t="n"/>
      <c r="CA7" s="25" t="n"/>
      <c r="CB7" s="25" t="n"/>
      <c r="CC7" s="25" t="n"/>
      <c r="CD7" s="25" t="n"/>
      <c r="CE7" s="26" t="n"/>
      <c r="CF7" s="25" t="n"/>
      <c r="CG7" s="25" t="n"/>
      <c r="CH7" s="25" t="n"/>
      <c r="CI7" s="25" t="n"/>
      <c r="CJ7" s="26" t="n"/>
      <c r="CK7" s="25" t="n"/>
      <c r="CL7" s="25" t="n"/>
      <c r="CM7" s="25" t="n"/>
      <c r="CN7" s="25" t="n"/>
      <c r="CO7" s="26" t="n"/>
      <c r="CP7" s="25" t="n"/>
      <c r="CQ7" s="25" t="n"/>
      <c r="CR7" s="25" t="n"/>
      <c r="CS7" s="25" t="n"/>
      <c r="CT7" s="26" t="n"/>
      <c r="CU7" s="25" t="n"/>
      <c r="CV7" s="25" t="n"/>
      <c r="CW7" s="25" t="n"/>
      <c r="CX7" s="25" t="n"/>
      <c r="CY7" s="26" t="n"/>
    </row>
    <row r="8">
      <c r="B8" s="4" t="n"/>
      <c r="C8" s="4" t="inlineStr">
        <is>
          <t>IPCA</t>
        </is>
      </c>
      <c r="D8" s="25" t="n"/>
      <c r="E8" s="25" t="n"/>
      <c r="F8" s="25" t="n"/>
      <c r="G8" s="25" t="n"/>
      <c r="H8" s="27" t="n"/>
      <c r="I8" s="25" t="n"/>
      <c r="J8" s="25" t="n"/>
      <c r="K8" s="25" t="n"/>
      <c r="L8" s="25" t="n"/>
      <c r="M8" s="27" t="n">
        <v>0.1006</v>
      </c>
      <c r="N8" s="25" t="n"/>
      <c r="O8" s="25" t="n"/>
      <c r="P8" s="25" t="n"/>
      <c r="Q8" s="25" t="n"/>
      <c r="R8" s="27" t="n">
        <v>0.0579</v>
      </c>
      <c r="S8" s="25" t="n"/>
      <c r="T8" s="25" t="n"/>
      <c r="U8" s="25" t="n"/>
      <c r="V8" s="25" t="n"/>
      <c r="W8" s="27" t="n">
        <v>0.0468</v>
      </c>
      <c r="X8" s="25" t="n"/>
      <c r="Y8" s="25" t="n"/>
      <c r="Z8" s="25" t="n"/>
      <c r="AA8" s="25" t="n"/>
      <c r="AB8" s="27" t="n">
        <v>0.0483</v>
      </c>
      <c r="AC8" s="25" t="n"/>
      <c r="AD8" s="25" t="n"/>
      <c r="AE8" s="25" t="n"/>
      <c r="AF8" s="25" t="n"/>
      <c r="AG8" s="27" t="n">
        <v>0.0468</v>
      </c>
      <c r="AH8" s="25" t="n"/>
      <c r="AI8" s="25" t="n"/>
      <c r="AJ8" s="25" t="n"/>
      <c r="AK8" s="25" t="n"/>
      <c r="AL8" s="28" t="n"/>
      <c r="AM8" s="25" t="n"/>
      <c r="AN8" s="25" t="n"/>
      <c r="AO8" s="25" t="n"/>
      <c r="AP8" s="25" t="n"/>
      <c r="AQ8" s="28" t="n"/>
      <c r="AR8" s="25" t="n"/>
      <c r="AS8" s="25" t="n"/>
      <c r="AT8" s="25" t="n"/>
      <c r="AU8" s="25" t="n"/>
      <c r="AV8" s="28" t="n"/>
      <c r="AW8" s="25" t="n"/>
      <c r="AX8" s="25" t="n"/>
      <c r="AY8" s="25" t="n"/>
      <c r="AZ8" s="25" t="n"/>
      <c r="BA8" s="28" t="n"/>
      <c r="BB8" s="25" t="n"/>
      <c r="BC8" s="25" t="n"/>
      <c r="BD8" s="25" t="n"/>
      <c r="BE8" s="25" t="n"/>
      <c r="BF8" s="28" t="n"/>
      <c r="BG8" s="25" t="n"/>
      <c r="BH8" s="25" t="n"/>
      <c r="BI8" s="25" t="n"/>
      <c r="BJ8" s="25" t="n"/>
      <c r="BK8" s="28" t="n"/>
      <c r="BL8" s="25" t="n"/>
      <c r="BM8" s="25" t="n"/>
      <c r="BN8" s="25" t="n"/>
      <c r="BO8" s="25" t="n"/>
      <c r="BP8" s="28" t="n"/>
      <c r="BQ8" s="25" t="n"/>
      <c r="BR8" s="25" t="n"/>
      <c r="BS8" s="25" t="n"/>
      <c r="BT8" s="25" t="n"/>
      <c r="BU8" s="28" t="n"/>
      <c r="BV8" s="25" t="n"/>
      <c r="BW8" s="25" t="n"/>
      <c r="BX8" s="25" t="n"/>
      <c r="BY8" s="25" t="n"/>
      <c r="BZ8" s="28" t="n"/>
      <c r="CA8" s="25" t="n"/>
      <c r="CB8" s="25" t="n"/>
      <c r="CC8" s="25" t="n"/>
      <c r="CD8" s="25" t="n"/>
      <c r="CE8" s="28" t="n"/>
      <c r="CF8" s="25" t="n"/>
      <c r="CG8" s="25" t="n"/>
      <c r="CH8" s="25" t="n"/>
      <c r="CI8" s="25" t="n"/>
      <c r="CJ8" s="28" t="n"/>
      <c r="CK8" s="25" t="n"/>
      <c r="CL8" s="25" t="n"/>
      <c r="CM8" s="25" t="n"/>
      <c r="CN8" s="25" t="n"/>
      <c r="CO8" s="28" t="n"/>
      <c r="CP8" s="25" t="n"/>
      <c r="CQ8" s="25" t="n"/>
      <c r="CR8" s="25" t="n"/>
      <c r="CS8" s="25" t="n"/>
      <c r="CT8" s="28" t="n"/>
      <c r="CU8" s="25" t="n"/>
      <c r="CV8" s="25" t="n"/>
      <c r="CW8" s="25" t="n"/>
      <c r="CX8" s="25" t="n"/>
      <c r="CY8" s="28" t="n"/>
    </row>
    <row r="9">
      <c r="B9" s="4" t="n"/>
      <c r="C9" s="4" t="inlineStr">
        <is>
          <t>GDP BRAZIL</t>
        </is>
      </c>
      <c r="D9" s="25" t="n"/>
      <c r="E9" s="25" t="n"/>
      <c r="F9" s="25" t="n"/>
      <c r="G9" s="25" t="n"/>
      <c r="H9" s="29" t="n"/>
      <c r="I9" s="25" t="n"/>
      <c r="J9" s="25" t="n"/>
      <c r="K9" s="25" t="n"/>
      <c r="L9" s="25" t="n"/>
      <c r="M9" s="29" t="n">
        <v>0.046</v>
      </c>
      <c r="N9" s="25" t="n"/>
      <c r="O9" s="25" t="n"/>
      <c r="P9" s="25" t="n"/>
      <c r="Q9" s="25" t="n"/>
      <c r="R9" s="29" t="n"/>
      <c r="S9" s="25" t="n"/>
      <c r="T9" s="25" t="n"/>
      <c r="U9" s="25" t="n"/>
      <c r="V9" s="25" t="n"/>
      <c r="W9" s="29" t="n"/>
      <c r="X9" s="25" t="n"/>
      <c r="Y9" s="25" t="n"/>
      <c r="Z9" s="25" t="n"/>
      <c r="AA9" s="25" t="n"/>
      <c r="AB9" s="29" t="n"/>
      <c r="AC9" s="25" t="n"/>
      <c r="AD9" s="25" t="n"/>
      <c r="AE9" s="25" t="n"/>
      <c r="AF9" s="25" t="n"/>
      <c r="AG9" s="29" t="n"/>
      <c r="AH9" s="25" t="n"/>
      <c r="AI9" s="25" t="n"/>
      <c r="AJ9" s="25" t="n"/>
      <c r="AK9" s="25" t="n"/>
      <c r="AL9" s="28" t="n"/>
      <c r="AM9" s="25" t="n"/>
      <c r="AN9" s="25" t="n"/>
      <c r="AO9" s="25" t="n"/>
      <c r="AP9" s="25" t="n"/>
      <c r="AQ9" s="28" t="n"/>
      <c r="AR9" s="25" t="n"/>
      <c r="AS9" s="25" t="n"/>
      <c r="AT9" s="25" t="n"/>
      <c r="AU9" s="25" t="n"/>
      <c r="AV9" s="28" t="n"/>
      <c r="AW9" s="25" t="n"/>
      <c r="AX9" s="25" t="n"/>
      <c r="AY9" s="25" t="n"/>
      <c r="AZ9" s="25" t="n"/>
      <c r="BA9" s="28" t="n"/>
      <c r="BB9" s="25" t="n"/>
      <c r="BC9" s="25" t="n"/>
      <c r="BD9" s="25" t="n"/>
      <c r="BE9" s="25" t="n"/>
      <c r="BF9" s="28" t="n"/>
      <c r="BG9" s="25" t="n"/>
      <c r="BH9" s="25" t="n"/>
      <c r="BI9" s="25" t="n"/>
      <c r="BJ9" s="25" t="n"/>
      <c r="BK9" s="28" t="n"/>
      <c r="BL9" s="25" t="n"/>
      <c r="BM9" s="25" t="n"/>
      <c r="BN9" s="25" t="n"/>
      <c r="BO9" s="25" t="n"/>
      <c r="BP9" s="28" t="n"/>
      <c r="BQ9" s="25" t="n"/>
      <c r="BR9" s="25" t="n"/>
      <c r="BS9" s="25" t="n"/>
      <c r="BT9" s="25" t="n"/>
      <c r="BU9" s="28" t="n"/>
      <c r="BV9" s="25" t="n"/>
      <c r="BW9" s="25" t="n"/>
      <c r="BX9" s="25" t="n"/>
      <c r="BY9" s="25" t="n"/>
      <c r="BZ9" s="28" t="n"/>
      <c r="CA9" s="25" t="n"/>
      <c r="CB9" s="25" t="n"/>
      <c r="CC9" s="25" t="n"/>
      <c r="CD9" s="25" t="n"/>
      <c r="CE9" s="28" t="n"/>
      <c r="CF9" s="25" t="n"/>
      <c r="CG9" s="25" t="n"/>
      <c r="CH9" s="25" t="n"/>
      <c r="CI9" s="25" t="n"/>
      <c r="CJ9" s="28" t="n"/>
      <c r="CK9" s="25" t="n"/>
      <c r="CL9" s="25" t="n"/>
      <c r="CM9" s="25" t="n"/>
      <c r="CN9" s="25" t="n"/>
      <c r="CO9" s="28" t="n"/>
      <c r="CP9" s="25" t="n"/>
      <c r="CQ9" s="25" t="n"/>
      <c r="CR9" s="25" t="n"/>
      <c r="CS9" s="25" t="n"/>
      <c r="CT9" s="28" t="n"/>
      <c r="CU9" s="25" t="n"/>
      <c r="CV9" s="25" t="n"/>
      <c r="CW9" s="25" t="n"/>
      <c r="CX9" s="25" t="n"/>
      <c r="CY9" s="28" t="n"/>
    </row>
    <row r="10">
      <c r="C10" s="4" t="inlineStr">
        <is>
          <t>CDI</t>
        </is>
      </c>
      <c r="H10" s="29" t="n"/>
      <c r="M10" s="29" t="n">
        <v>0.0442</v>
      </c>
      <c r="R10" s="29" t="n">
        <v>0.1239</v>
      </c>
      <c r="W10" s="29" t="n">
        <v>0.1304</v>
      </c>
      <c r="AB10" s="29" t="n">
        <v>0.1064</v>
      </c>
      <c r="AG10" s="29" t="n">
        <v>0.1464</v>
      </c>
    </row>
    <row r="11"/>
    <row r="12"/>
    <row r="13" customFormat="1" s="32">
      <c r="A13" s="30" t="n"/>
      <c r="B13" s="30" t="n"/>
      <c r="C13" s="31" t="inlineStr">
        <is>
          <t>Income Statement</t>
        </is>
      </c>
      <c r="D13" s="31" t="n"/>
      <c r="E13" s="31" t="n"/>
      <c r="F13" s="31" t="n"/>
      <c r="G13" s="31" t="n"/>
      <c r="H13" s="31" t="n"/>
      <c r="I13" s="31" t="str">
        <f>I7</f>
        <v>1Q21</v>
      </c>
      <c r="J13" s="31" t="str">
        <f>J7</f>
        <v>2Q21</v>
      </c>
      <c r="K13" s="31" t="str">
        <f>K7</f>
        <v>3Q21</v>
      </c>
      <c r="L13" s="31" t="str">
        <f>L7</f>
        <v>4Q21</v>
      </c>
      <c r="M13" s="31">
        <f>M7</f>
        <v>2021</v>
      </c>
      <c r="N13" s="31" t="str">
        <f>N7</f>
        <v>1Q22</v>
      </c>
      <c r="O13" s="31" t="str">
        <f>O7</f>
        <v>2Q22</v>
      </c>
      <c r="P13" s="31" t="str">
        <f>P7</f>
        <v>3Q22</v>
      </c>
      <c r="Q13" s="31" t="str">
        <f>Q7</f>
        <v>4Q22</v>
      </c>
      <c r="R13" s="31">
        <f>R7</f>
        <v>2022</v>
      </c>
      <c r="S13" s="31" t="str">
        <f>S7</f>
        <v>1Q23</v>
      </c>
      <c r="T13" s="31" t="str">
        <f>T7</f>
        <v>2Q23</v>
      </c>
      <c r="U13" s="31" t="str">
        <f>U7</f>
        <v>3Q23</v>
      </c>
      <c r="V13" s="31" t="str">
        <f>V7</f>
        <v>4Q23</v>
      </c>
      <c r="W13" s="31">
        <f>W7</f>
        <v>2023</v>
      </c>
      <c r="X13" s="31" t="str">
        <f>X7</f>
        <v>1Q24</v>
      </c>
      <c r="Y13" s="31" t="str">
        <f>Y7</f>
        <v>2Q24</v>
      </c>
      <c r="Z13" s="31" t="str">
        <f>Z7</f>
        <v>3Q24</v>
      </c>
      <c r="AA13" s="31" t="str">
        <f>AA7</f>
        <v>4Q24</v>
      </c>
      <c r="AB13" s="31">
        <f>AB7</f>
        <v>2024</v>
      </c>
      <c r="AC13" s="31" t="str">
        <f>AC7</f>
        <v>1Q25</v>
      </c>
      <c r="AD13" s="31" t="str">
        <f>AD7</f>
        <v>2Q25</v>
      </c>
      <c r="AE13" s="31" t="str">
        <f>AE7</f>
        <v>3Q25</v>
      </c>
      <c r="AF13" s="31" t="str">
        <f>AF7</f>
        <v>4Q25</v>
      </c>
      <c r="AG13" s="31">
        <f>AG7</f>
        <v>2025</v>
      </c>
      <c r="AH13" s="31" t="str">
        <f>AH7</f>
        <v>1Q26</v>
      </c>
      <c r="AI13" s="31" t="str">
        <f>AI7</f>
        <v>2Q26</v>
      </c>
      <c r="AJ13" s="31" t="str">
        <f>AJ7</f>
        <v>3Q26</v>
      </c>
      <c r="AK13" s="31" t="str">
        <f>AK7</f>
        <v>4Q26</v>
      </c>
      <c r="AL13" s="31">
        <f>AL7</f>
        <v>2026</v>
      </c>
      <c r="AM13" s="31" t="str">
        <f>AM7</f>
        <v>1Q27</v>
      </c>
      <c r="AN13" s="31" t="str">
        <f>AN7</f>
        <v>2Q27</v>
      </c>
      <c r="AO13" s="31" t="str">
        <f>AO7</f>
        <v>3Q27</v>
      </c>
      <c r="AP13" s="31" t="str">
        <f>AP7</f>
        <v>4Q27</v>
      </c>
      <c r="AQ13" s="31">
        <f>AQ7</f>
        <v>2027</v>
      </c>
      <c r="AR13" s="31" t="str">
        <f>AR7</f>
        <v>1Q28</v>
      </c>
      <c r="AS13" s="31" t="str">
        <f>AS7</f>
        <v>2Q28</v>
      </c>
      <c r="AT13" s="31" t="str">
        <f>AT7</f>
        <v>3Q28</v>
      </c>
      <c r="AU13" s="31" t="str">
        <f>AU7</f>
        <v>4Q28</v>
      </c>
      <c r="AV13" s="31">
        <f>AV7</f>
        <v>2028</v>
      </c>
      <c r="AW13" s="31" t="str">
        <f>AW7</f>
        <v>1Q29</v>
      </c>
      <c r="AX13" s="31" t="str">
        <f>AX7</f>
        <v>2Q29</v>
      </c>
      <c r="AY13" s="31" t="str">
        <f>AY7</f>
        <v>3Q29</v>
      </c>
      <c r="AZ13" s="31" t="str">
        <f>AZ7</f>
        <v>4Q29</v>
      </c>
      <c r="BA13" s="31">
        <f>BA7</f>
        <v>2029</v>
      </c>
      <c r="BB13" s="31" t="str">
        <f>BB7</f>
        <v>1Q30</v>
      </c>
      <c r="BC13" s="31" t="str">
        <f>BC7</f>
        <v>2Q30</v>
      </c>
      <c r="BD13" s="31" t="str">
        <f>BD7</f>
        <v>3Q30</v>
      </c>
      <c r="BE13" s="31" t="str">
        <f>BE7</f>
        <v>4Q30</v>
      </c>
      <c r="BF13" s="31">
        <f>BF7</f>
        <v>2030</v>
      </c>
      <c r="BG13" s="31" t="n"/>
      <c r="BH13" s="31" t="n"/>
      <c r="BI13" s="31" t="n"/>
      <c r="BJ13" s="31" t="n"/>
      <c r="BK13" s="31" t="n"/>
      <c r="BL13" s="31" t="n"/>
      <c r="BM13" s="31" t="n"/>
      <c r="BN13" s="31" t="n"/>
      <c r="BO13" s="31" t="n"/>
      <c r="BP13" s="31" t="n"/>
      <c r="BQ13" s="31" t="n"/>
      <c r="BR13" s="31" t="n"/>
      <c r="BS13" s="31" t="n"/>
      <c r="BT13" s="31" t="n"/>
      <c r="BU13" s="31" t="n"/>
      <c r="BV13" s="31" t="n"/>
      <c r="BW13" s="31" t="n"/>
      <c r="BX13" s="31" t="n"/>
      <c r="BY13" s="31" t="n"/>
      <c r="BZ13" s="31" t="n"/>
      <c r="CA13" s="31" t="n"/>
      <c r="CB13" s="31" t="n"/>
      <c r="CC13" s="31" t="n"/>
      <c r="CD13" s="31" t="n"/>
      <c r="CE13" s="31" t="n"/>
      <c r="CF13" s="31" t="n"/>
      <c r="CG13" s="31" t="n"/>
      <c r="CH13" s="31" t="n"/>
      <c r="CI13" s="31" t="n"/>
      <c r="CJ13" s="31" t="n"/>
      <c r="CK13" s="31" t="n"/>
      <c r="CL13" s="31" t="n"/>
      <c r="CM13" s="31" t="n"/>
      <c r="CN13" s="31" t="n"/>
      <c r="CO13" s="31" t="n"/>
      <c r="CP13" s="31" t="n"/>
      <c r="CQ13" s="31" t="n"/>
      <c r="CR13" s="31" t="n"/>
      <c r="CS13" s="31" t="n"/>
      <c r="CT13" s="31" t="n"/>
      <c r="CU13" s="31" t="n"/>
      <c r="CV13" s="31" t="n"/>
      <c r="CW13" s="31" t="n"/>
      <c r="CX13" s="31" t="n"/>
      <c r="CY13" s="31" t="n"/>
    </row>
    <row r="14">
      <c r="C14" s="17" t="n"/>
    </row>
    <row r="15" customFormat="1" s="32">
      <c r="A15" s="30" t="n"/>
      <c r="B15" s="3" t="n"/>
      <c r="C15" s="33" t="inlineStr">
        <is>
          <t>Net Revenues</t>
        </is>
      </c>
      <c r="D15" s="34" t="n"/>
      <c r="E15" s="34" t="n"/>
      <c r="F15" s="34" t="n"/>
      <c r="G15" s="34" t="n"/>
      <c r="H15" s="35" t="n"/>
      <c r="I15" s="34">
        <f>'Inputs (2)'!D4</f>
        <v>59147</v>
      </c>
      <c r="J15" s="34">
        <f>'Inputs (2)'!E4</f>
        <v>67742</v>
      </c>
      <c r="K15" s="34">
        <f>'Inputs (2)'!F4</f>
        <v>73786</v>
      </c>
      <c r="L15" s="34">
        <f>'Inputs (2)'!G4</f>
        <v>84965</v>
      </c>
      <c r="M15" s="35">
        <f>'Inputs (2)'!H4</f>
        <v>285640</v>
      </c>
      <c r="N15" s="34">
        <f>'Inputs (2)'!I4</f>
        <v>90500</v>
      </c>
      <c r="O15" s="34">
        <f>'Inputs (2)'!J4</f>
        <v>115681</v>
      </c>
      <c r="P15" s="34">
        <f>'Inputs (2)'!K4</f>
        <v>112070</v>
      </c>
      <c r="Q15" s="34">
        <f>'Inputs (2)'!L4</f>
        <v>95429</v>
      </c>
      <c r="R15" s="35">
        <f>'Inputs (2)'!M4</f>
        <v>413680</v>
      </c>
      <c r="S15" s="34">
        <f>'Inputs (2)'!N4</f>
        <v>86564</v>
      </c>
      <c r="T15" s="34">
        <f>'Inputs (2)'!O4</f>
        <v>82914</v>
      </c>
      <c r="U15" s="34">
        <f>'Inputs (2)'!P4</f>
        <v>90760</v>
      </c>
      <c r="V15" s="34">
        <f>'Inputs (2)'!Q4</f>
        <v>84344</v>
      </c>
      <c r="W15" s="35">
        <f>'Inputs (2)'!R4</f>
        <v>344582</v>
      </c>
      <c r="X15" s="34">
        <f>'Inputs (2)'!S4</f>
        <v>83083</v>
      </c>
      <c r="Y15" s="34">
        <f>'Inputs (2)'!T4</f>
        <v>93060</v>
      </c>
      <c r="Z15" s="34">
        <f>'Inputs (2)'!U4</f>
        <v>90016</v>
      </c>
      <c r="AA15" s="34">
        <f>'Inputs (2)'!V4</f>
        <v>83426</v>
      </c>
      <c r="AB15" s="35">
        <f>'Inputs (2)'!W4</f>
        <v>349585</v>
      </c>
      <c r="AC15" s="34">
        <f>'Inputs (2)'!X4</f>
        <v>83130</v>
      </c>
      <c r="AD15" s="34">
        <f>'Inputs (2)'!Y4</f>
        <v>81506</v>
      </c>
      <c r="AE15" s="34">
        <f>'Inputs (2)'!Z4</f>
        <v>85294</v>
      </c>
      <c r="AF15" s="34">
        <f>'Inputs (2)'!AA4</f>
        <v>82308</v>
      </c>
      <c r="AG15" s="35">
        <f>'Inputs (2)'!AB4</f>
        <v>332238</v>
      </c>
      <c r="AH15" s="35">
        <f>'Inputs (2)'!AC4</f>
        <v>85138</v>
      </c>
      <c r="AI15" s="35">
        <f>'Inputs (2)'!AD4</f>
        <v>116017</v>
      </c>
      <c r="AJ15" s="35">
        <f>AE15*(1+AJ16)</f>
        <v>88963.3823003231</v>
      </c>
      <c r="AK15" s="35">
        <f>AF15*(1+AK16)</f>
        <v>85848.9233753253</v>
      </c>
      <c r="AL15" s="35">
        <f>SUM(AH15:AK15)</f>
        <v>375967.305675648</v>
      </c>
      <c r="AM15" s="35">
        <f>AH15*(1+AM16)</f>
        <v>88800.6711173694</v>
      </c>
      <c r="AN15" s="35">
        <f>AI15*(1+AN16)</f>
        <v>121008.098158564</v>
      </c>
      <c r="AO15" s="35">
        <f>AJ15*(1+AO16)</f>
        <v>92790.6229079822</v>
      </c>
      <c r="AP15" s="35">
        <f>AK15*(1+AP16)</f>
        <v>89542.1787031937</v>
      </c>
      <c r="AQ15" s="35">
        <f>SUM(AM15:AP15)</f>
        <v>392141.57088711</v>
      </c>
      <c r="AR15" s="35">
        <f>AM15*(1+AR16)</f>
        <v>92176.9084686891</v>
      </c>
      <c r="AS15" s="35">
        <f>AN15*(1+AS16)</f>
        <v>125608.874883271</v>
      </c>
      <c r="AT15" s="35">
        <f>AO15*(1+AT16)</f>
        <v>96318.5598365227</v>
      </c>
      <c r="AU15" s="35">
        <f>AP15*(1+AU16)</f>
        <v>92946.6084721612</v>
      </c>
      <c r="AV15" s="35">
        <f>SUM(AR15:AU15)</f>
        <v>407050.951660644</v>
      </c>
      <c r="AW15" s="35">
        <f>AR15*(1+AW16)</f>
        <v>95220.6271842403</v>
      </c>
      <c r="AX15" s="35">
        <f>AS15*(1+AX16)</f>
        <v>129756.530621274</v>
      </c>
      <c r="AY15" s="35">
        <f>AT15*(1+AY16)</f>
        <v>99499.0375515998</v>
      </c>
      <c r="AZ15" s="35">
        <f>AU15*(1+AZ16)</f>
        <v>96015.7429924388</v>
      </c>
      <c r="BA15" s="35">
        <f>SUM(AW15:AZ15)</f>
        <v>420491.938349553</v>
      </c>
      <c r="BB15" s="35">
        <f>AW15*(1+BB16)</f>
        <v>97888.7475841479</v>
      </c>
      <c r="BC15" s="35">
        <f>AX15*(1+BC16)</f>
        <v>133392.360972422</v>
      </c>
      <c r="BD15" s="35">
        <f>AY15*(1+BD16)</f>
        <v>102287.04073655</v>
      </c>
      <c r="BE15" s="35">
        <f>AZ15*(1+BE16)</f>
        <v>98706.1428581605</v>
      </c>
      <c r="BF15" s="35">
        <f>SUM(BB15:BE15)</f>
        <v>432274.29215128</v>
      </c>
      <c r="BG15" s="35" t="n"/>
      <c r="BH15" s="35" t="n"/>
      <c r="BI15" s="35" t="n"/>
      <c r="BJ15" s="35" t="n"/>
      <c r="BK15" s="35" t="n"/>
      <c r="BL15" s="35" t="n"/>
      <c r="BM15" s="35" t="n"/>
      <c r="BN15" s="35" t="n"/>
      <c r="BO15" s="35" t="n"/>
      <c r="BP15" s="35" t="n"/>
      <c r="BQ15" s="35" t="n"/>
      <c r="BR15" s="35" t="n"/>
      <c r="BS15" s="35" t="n"/>
      <c r="BT15" s="35" t="n"/>
      <c r="BU15" s="35" t="n"/>
      <c r="BV15" s="35" t="n"/>
      <c r="BW15" s="35" t="n"/>
      <c r="BX15" s="35" t="n"/>
      <c r="BY15" s="35" t="n"/>
      <c r="BZ15" s="35" t="n"/>
      <c r="CA15" s="35" t="n"/>
      <c r="CB15" s="35" t="n"/>
      <c r="CC15" s="35" t="n"/>
      <c r="CD15" s="35" t="n"/>
      <c r="CE15" s="35" t="n"/>
      <c r="CF15" s="35" t="n"/>
      <c r="CG15" s="35" t="n"/>
      <c r="CH15" s="35" t="n"/>
      <c r="CI15" s="35" t="n"/>
      <c r="CJ15" s="35" t="n"/>
      <c r="CK15" s="35" t="n"/>
      <c r="CL15" s="35" t="n"/>
      <c r="CM15" s="35" t="n"/>
      <c r="CN15" s="35" t="n"/>
      <c r="CO15" s="35" t="n"/>
      <c r="CP15" s="35" t="n"/>
      <c r="CQ15" s="35" t="n"/>
      <c r="CR15" s="35" t="n"/>
      <c r="CS15" s="35" t="n"/>
      <c r="CT15" s="35" t="n"/>
      <c r="CU15" s="35" t="n"/>
      <c r="CV15" s="35" t="n"/>
      <c r="CW15" s="35" t="n"/>
      <c r="CX15" s="35" t="n"/>
      <c r="CY15" s="35" t="n"/>
    </row>
    <row r="16" hidden="1" outlineLevel="1" customFormat="1" s="43">
      <c r="A16" s="36" t="n"/>
      <c r="B16" s="37" t="n"/>
      <c r="C16" s="38" t="inlineStr">
        <is>
          <t>% YoY</t>
        </is>
      </c>
      <c r="D16" s="39" t="n"/>
      <c r="E16" s="40" t="n"/>
      <c r="F16" s="40" t="n"/>
      <c r="G16" s="40" t="n"/>
      <c r="H16" s="39" t="n"/>
      <c r="I16" s="39" t="n"/>
      <c r="J16" s="40" t="n"/>
      <c r="K16" s="40" t="n"/>
      <c r="L16" s="40" t="n"/>
      <c r="M16" s="39" t="n"/>
      <c r="N16" s="40">
        <f>IFERROR(N15/I15-1,"")</f>
        <v>0.530086056773801</v>
      </c>
      <c r="O16" s="40">
        <f>IFERROR(O15/J15-1,"")</f>
        <v>0.707670278409259</v>
      </c>
      <c r="P16" s="40">
        <f>IFERROR(P15/K15-1,"")</f>
        <v>0.518851814707397</v>
      </c>
      <c r="Q16" s="40">
        <f>IFERROR(Q15/L15-1,"")</f>
        <v>0.123156593891602</v>
      </c>
      <c r="R16" s="40">
        <f>IFERROR(R15/M15-1,"")</f>
        <v>0.448256546702143</v>
      </c>
      <c r="S16" s="40">
        <f>IFERROR(S15/N15-1,"")</f>
        <v>-0.0434917127071823</v>
      </c>
      <c r="T16" s="40">
        <f>IFERROR(T15/O15-1,"")</f>
        <v>-0.283253083911792</v>
      </c>
      <c r="U16" s="40">
        <f>IFERROR(U15/P15-1,"")</f>
        <v>-0.190149014009101</v>
      </c>
      <c r="V16" s="40">
        <f>IFERROR(V15/Q15-1,"")</f>
        <v>-0.116159657965608</v>
      </c>
      <c r="W16" s="40">
        <f>IFERROR(W15/R15-1,"")</f>
        <v>-0.167032488880294</v>
      </c>
      <c r="X16" s="40">
        <f>IFERROR(X15/S15-1,"")</f>
        <v>-0.0402130215794094</v>
      </c>
      <c r="Y16" s="40">
        <f>IFERROR(Y15/T15-1,"")</f>
        <v>0.122367754540849</v>
      </c>
      <c r="Z16" s="40">
        <f>IFERROR(Z15/U15-1,"")</f>
        <v>-0.00819744380784482</v>
      </c>
      <c r="AA16" s="40">
        <f>IFERROR(AA15/V15-1,"")</f>
        <v>-0.010883998861804</v>
      </c>
      <c r="AB16" s="40">
        <f>IFERROR(AB15/W15-1,"")</f>
        <v>0.0145190404606161</v>
      </c>
      <c r="AC16" s="40">
        <f>IFERROR(AC15/X15-1,"")</f>
        <v>0.000565699360880023</v>
      </c>
      <c r="AD16" s="40">
        <f>IFERROR(AD15/Y15-1,"")</f>
        <v>-0.124156458199011</v>
      </c>
      <c r="AE16" s="40">
        <f>IFERROR(AE15/Z15-1,"")</f>
        <v>-0.0524573409171703</v>
      </c>
      <c r="AF16" s="41">
        <f>IFERROR(AF15/AA15-1,"")</f>
        <v>-0.0134010979790473</v>
      </c>
      <c r="AG16" s="40">
        <f>IFERROR(AG15/AB15-1,"")</f>
        <v>-0.0496216942946637</v>
      </c>
      <c r="AH16" s="41">
        <f>IFERROR(AH15/AC15-1,"")</f>
        <v>0.0241549380488391</v>
      </c>
      <c r="AI16" s="41">
        <f>IFERROR(AI15/AD15-1,"")</f>
        <v>0.423416680980541</v>
      </c>
      <c r="AJ16" s="41">
        <f>Control!$B$18</f>
        <v>0.0430204035491719</v>
      </c>
      <c r="AK16" s="41">
        <f>Control!$B$18</f>
        <v>0.0430204035491719</v>
      </c>
      <c r="AL16" s="42">
        <f>IFERROR(AL15/AG15-1,"")</f>
        <v>0.131620421732759</v>
      </c>
      <c r="AM16" s="41">
        <f>Control!$C$18</f>
        <v>0.0430204035491719</v>
      </c>
      <c r="AN16" s="41">
        <f>Control!$C$18</f>
        <v>0.0430204035491719</v>
      </c>
      <c r="AO16" s="41">
        <f>Control!$C$18</f>
        <v>0.0430204035491719</v>
      </c>
      <c r="AP16" s="41">
        <f>Control!$C$18</f>
        <v>0.0430204035491719</v>
      </c>
      <c r="AQ16" s="42">
        <f>IFERROR(AQ15/AL15-1,"")</f>
        <v>0.0430204035491719</v>
      </c>
      <c r="AR16" s="41">
        <f>Control!$D$18</f>
        <v>0.0380204035491719</v>
      </c>
      <c r="AS16" s="41">
        <f>Control!$D$18</f>
        <v>0.0380204035491719</v>
      </c>
      <c r="AT16" s="41">
        <f>Control!$D$18</f>
        <v>0.0380204035491719</v>
      </c>
      <c r="AU16" s="41">
        <f>Control!$D$18</f>
        <v>0.0380204035491719</v>
      </c>
      <c r="AV16" s="42">
        <f>IFERROR(AV15/AQ15-1,"")</f>
        <v>0.0380204035491718</v>
      </c>
      <c r="AW16" s="41">
        <f>Control!$E$18</f>
        <v>0.0330204035491719</v>
      </c>
      <c r="AX16" s="41">
        <f>Control!$E$18</f>
        <v>0.0330204035491719</v>
      </c>
      <c r="AY16" s="41">
        <f>Control!$E$18</f>
        <v>0.0330204035491719</v>
      </c>
      <c r="AZ16" s="41">
        <f>Control!$E$18</f>
        <v>0.0330204035491719</v>
      </c>
      <c r="BA16" s="42">
        <f>IFERROR(BA15/AV15-1,"")</f>
        <v>0.0330204035491719</v>
      </c>
      <c r="BB16" s="41">
        <f>Control!$F$18</f>
        <v>0.0280204035491719</v>
      </c>
      <c r="BC16" s="41">
        <f>Control!$F$18</f>
        <v>0.0280204035491719</v>
      </c>
      <c r="BD16" s="41">
        <f>Control!$F$18</f>
        <v>0.0280204035491719</v>
      </c>
      <c r="BE16" s="41">
        <f>Control!$F$18</f>
        <v>0.0280204035491719</v>
      </c>
      <c r="BF16" s="42">
        <f>IFERROR(BF15/BA15-1,"")</f>
        <v>0.0280204035491716</v>
      </c>
      <c r="BG16" s="41" t="n"/>
      <c r="BH16" s="41" t="n"/>
      <c r="BI16" s="41" t="n"/>
      <c r="BJ16" s="41" t="n"/>
      <c r="BK16" s="42" t="n"/>
      <c r="BL16" s="41" t="n"/>
      <c r="BM16" s="41" t="n"/>
      <c r="BN16" s="41" t="n"/>
      <c r="BO16" s="41" t="n"/>
      <c r="BP16" s="42" t="n"/>
      <c r="BQ16" s="41" t="n"/>
      <c r="BR16" s="41" t="n"/>
      <c r="BS16" s="41" t="n"/>
      <c r="BT16" s="41" t="n"/>
      <c r="BU16" s="42" t="n"/>
      <c r="BV16" s="41" t="n"/>
      <c r="BW16" s="41" t="n"/>
      <c r="BX16" s="41" t="n"/>
      <c r="BY16" s="41" t="n"/>
      <c r="BZ16" s="42" t="n"/>
      <c r="CA16" s="41" t="n"/>
      <c r="CB16" s="41" t="n"/>
      <c r="CC16" s="41" t="n"/>
      <c r="CD16" s="41" t="n"/>
      <c r="CE16" s="42" t="n"/>
      <c r="CF16" s="41" t="n"/>
      <c r="CG16" s="41" t="n"/>
      <c r="CH16" s="41" t="n"/>
      <c r="CI16" s="41" t="n"/>
      <c r="CJ16" s="42" t="n"/>
      <c r="CK16" s="41" t="n"/>
      <c r="CL16" s="41" t="n"/>
      <c r="CM16" s="41" t="n"/>
      <c r="CN16" s="41" t="n"/>
      <c r="CO16" s="42" t="n"/>
      <c r="CP16" s="41" t="n"/>
      <c r="CQ16" s="41" t="n"/>
      <c r="CR16" s="41" t="n"/>
      <c r="CS16" s="41" t="n"/>
      <c r="CT16" s="42" t="n"/>
      <c r="CU16" s="41" t="n"/>
      <c r="CV16" s="41" t="n"/>
      <c r="CW16" s="41" t="n"/>
      <c r="CX16" s="41" t="n"/>
      <c r="CY16" s="42" t="n"/>
    </row>
    <row r="17" hidden="1" outlineLevel="1" customFormat="1" s="43">
      <c r="A17" s="36" t="n"/>
      <c r="B17" s="37" t="n"/>
      <c r="C17" s="44" t="inlineStr">
        <is>
          <t>Check Receita</t>
        </is>
      </c>
      <c r="D17" s="39" t="n"/>
      <c r="E17" s="40" t="n"/>
      <c r="F17" s="40" t="n"/>
      <c r="G17" s="40" t="n"/>
      <c r="H17" s="39" t="n"/>
      <c r="I17" s="39" t="str">
        <f>IF(ISNUMBER(I23),I23,"")</f>
        <v/>
      </c>
      <c r="J17" s="40" t="str">
        <f>IF(ISNUMBER(J23),J23,"")</f>
        <v/>
      </c>
      <c r="K17" s="40" t="str">
        <f>IF(ISNUMBER(K23),K23,"")</f>
        <v/>
      </c>
      <c r="L17" s="40" t="str">
        <f>IF(ISNUMBER(L23),L23,"")</f>
        <v/>
      </c>
      <c r="M17" s="39" t="str">
        <f>IF(ISNUMBER(M23),M23,"")</f>
        <v/>
      </c>
      <c r="N17" s="40">
        <f>IF(ISNUMBER(N23),N23,"")</f>
        <v>0</v>
      </c>
      <c r="O17" s="40">
        <f>IF(ISNUMBER(O23),O23,"")</f>
        <v>0</v>
      </c>
      <c r="P17" s="40">
        <f>IF(ISNUMBER(P23),P23,"")</f>
        <v>0</v>
      </c>
      <c r="Q17" s="40">
        <f>IF(ISNUMBER(Q23),Q23,"")</f>
        <v>0</v>
      </c>
      <c r="R17" s="40">
        <f>IF(ISNUMBER(R23),R23,"")</f>
        <v>0</v>
      </c>
      <c r="S17" s="40">
        <f>IF(ISNUMBER(S23),S23,"")</f>
        <v>0</v>
      </c>
      <c r="T17" s="40">
        <f>IF(ISNUMBER(T23),T23,"")</f>
        <v>0</v>
      </c>
      <c r="U17" s="40">
        <f>IF(ISNUMBER(U23),U23,"")</f>
        <v>0</v>
      </c>
      <c r="V17" s="40">
        <f>IF(ISNUMBER(V23),V23,"")</f>
        <v>0</v>
      </c>
      <c r="W17" s="40">
        <f>IF(ISNUMBER(W23),W23,"")</f>
        <v>0</v>
      </c>
      <c r="X17" s="40">
        <f>IF(ISNUMBER(X23),X23,"")</f>
        <v>0</v>
      </c>
      <c r="Y17" s="40">
        <f>IF(ISNUMBER(Y23),Y23,"")</f>
        <v>0</v>
      </c>
      <c r="Z17" s="40">
        <f>IF(ISNUMBER(Z23),Z23,"")</f>
        <v>0</v>
      </c>
      <c r="AA17" s="40">
        <f>IF(ISNUMBER(AA23),AA23,"")</f>
        <v>0</v>
      </c>
      <c r="AB17" s="40">
        <f>IF(ISNUMBER(AB23),AB23,"")</f>
        <v>0</v>
      </c>
      <c r="AC17" s="40">
        <f>IF(ISNUMBER(AC23),AC23,"")</f>
        <v>0</v>
      </c>
      <c r="AD17" s="40">
        <f>IF(ISNUMBER(AD23),AD23,"")</f>
        <v>0</v>
      </c>
      <c r="AE17" s="40">
        <f>IF(ISNUMBER(AE23),AE23,"")</f>
        <v>0</v>
      </c>
      <c r="AF17" s="40">
        <f>IF(ISNUMBER(AF23),AF23,"")</f>
        <v>0</v>
      </c>
      <c r="AG17" s="40">
        <f>IF(ISNUMBER(AG23),AG23,"")</f>
        <v>0</v>
      </c>
      <c r="AH17" s="41">
        <f>IF(ISNUMBER(AH23),AH23,"")</f>
        <v>0</v>
      </c>
      <c r="AI17" s="41">
        <f>IF(ISNUMBER(AI23),AI23,"")</f>
        <v>0</v>
      </c>
      <c r="AJ17" s="41" t="n"/>
      <c r="AK17" s="41" t="n"/>
      <c r="AL17" s="42" t="n"/>
      <c r="AM17" s="41" t="n"/>
      <c r="AN17" s="41" t="n"/>
      <c r="AO17" s="41" t="n"/>
      <c r="AP17" s="41" t="n"/>
      <c r="AQ17" s="42" t="n"/>
      <c r="AR17" s="41" t="n"/>
      <c r="AS17" s="41" t="n"/>
      <c r="AT17" s="41" t="n"/>
      <c r="AU17" s="41" t="n"/>
      <c r="AV17" s="42" t="n"/>
      <c r="AW17" s="41" t="n"/>
      <c r="AX17" s="41" t="n"/>
      <c r="AY17" s="41" t="n"/>
      <c r="AZ17" s="41" t="n"/>
      <c r="BA17" s="42" t="n"/>
      <c r="BB17" s="41" t="n"/>
      <c r="BC17" s="41" t="n"/>
      <c r="BD17" s="41" t="n"/>
      <c r="BE17" s="41" t="n"/>
      <c r="BF17" s="42" t="n"/>
      <c r="BG17" s="41" t="n"/>
      <c r="BH17" s="41" t="n"/>
      <c r="BI17" s="41" t="n"/>
      <c r="BJ17" s="41" t="n"/>
      <c r="BK17" s="42" t="n"/>
      <c r="BL17" s="41" t="n"/>
      <c r="BM17" s="41" t="n"/>
      <c r="BN17" s="41" t="n"/>
      <c r="BO17" s="41" t="n"/>
      <c r="BP17" s="42" t="n"/>
      <c r="BQ17" s="41" t="n"/>
      <c r="BR17" s="41" t="n"/>
      <c r="BS17" s="41" t="n"/>
      <c r="BT17" s="41" t="n"/>
      <c r="BU17" s="42" t="n"/>
      <c r="BV17" s="41" t="n"/>
      <c r="BW17" s="41" t="n"/>
      <c r="BX17" s="41" t="n"/>
      <c r="BY17" s="41" t="n"/>
      <c r="BZ17" s="42" t="n"/>
      <c r="CA17" s="41" t="n"/>
      <c r="CB17" s="41" t="n"/>
      <c r="CC17" s="41" t="n"/>
      <c r="CD17" s="41" t="n"/>
      <c r="CE17" s="42" t="n"/>
      <c r="CF17" s="41" t="n"/>
      <c r="CG17" s="41" t="n"/>
      <c r="CH17" s="41" t="n"/>
      <c r="CI17" s="41" t="n"/>
      <c r="CJ17" s="42" t="n"/>
      <c r="CK17" s="41" t="n"/>
      <c r="CL17" s="41" t="n"/>
      <c r="CM17" s="41" t="n"/>
      <c r="CN17" s="41" t="n"/>
      <c r="CO17" s="42" t="n"/>
      <c r="CP17" s="41" t="n"/>
      <c r="CQ17" s="41" t="n"/>
      <c r="CR17" s="41" t="n"/>
      <c r="CS17" s="41" t="n"/>
      <c r="CT17" s="42" t="n"/>
      <c r="CU17" s="41" t="n"/>
      <c r="CV17" s="41" t="n"/>
      <c r="CW17" s="41" t="n"/>
      <c r="CX17" s="41" t="n"/>
      <c r="CY17" s="42" t="n"/>
    </row>
    <row r="18">
      <c r="C18" s="267" t="inlineStr">
        <is>
          <t>Composição da receita (USD milhões; a partir do 4T20)</t>
        </is>
      </c>
      <c r="D18" s="267">
        <f>D7</f>
        <v>0</v>
      </c>
      <c r="E18" s="267">
        <f>E7</f>
        <v>0</v>
      </c>
      <c r="F18" s="267">
        <f>F7</f>
        <v>0</v>
      </c>
      <c r="G18" s="267">
        <f>G7</f>
        <v>0</v>
      </c>
      <c r="H18" s="267">
        <f>H7</f>
        <v>2020</v>
      </c>
      <c r="I18" s="267" t="str">
        <f>I7</f>
        <v>1Q21</v>
      </c>
      <c r="J18" s="267" t="str">
        <f>J7</f>
        <v>2Q21</v>
      </c>
      <c r="K18" s="267" t="str">
        <f>K7</f>
        <v>3Q21</v>
      </c>
      <c r="L18" s="267" t="str">
        <f>L7</f>
        <v>4Q21</v>
      </c>
      <c r="M18" s="267">
        <f>M7</f>
        <v>2021</v>
      </c>
      <c r="N18" s="267" t="str">
        <f>N7</f>
        <v>1Q22</v>
      </c>
      <c r="O18" s="267" t="str">
        <f>O7</f>
        <v>2Q22</v>
      </c>
      <c r="P18" s="267" t="str">
        <f>P7</f>
        <v>3Q22</v>
      </c>
      <c r="Q18" s="267" t="str">
        <f>Q7</f>
        <v>4Q22</v>
      </c>
      <c r="R18" s="267">
        <f>R7</f>
        <v>2022</v>
      </c>
      <c r="S18" s="267" t="str">
        <f>S7</f>
        <v>1Q23</v>
      </c>
      <c r="T18" s="267" t="str">
        <f>T7</f>
        <v>2Q23</v>
      </c>
      <c r="U18" s="267" t="str">
        <f>U7</f>
        <v>3Q23</v>
      </c>
      <c r="V18" s="267" t="str">
        <f>V7</f>
        <v>4Q23</v>
      </c>
      <c r="W18" s="267">
        <f>W7</f>
        <v>2023</v>
      </c>
      <c r="X18" s="267" t="str">
        <f>X7</f>
        <v>1Q24</v>
      </c>
      <c r="Y18" s="267" t="str">
        <f>Y7</f>
        <v>2Q24</v>
      </c>
      <c r="Z18" s="267" t="str">
        <f>Z7</f>
        <v>3Q24</v>
      </c>
      <c r="AA18" s="267" t="str">
        <f>AA7</f>
        <v>4Q24</v>
      </c>
      <c r="AB18" s="267">
        <f>AB7</f>
        <v>2024</v>
      </c>
      <c r="AC18" s="267" t="str">
        <f>AC7</f>
        <v>1Q25</v>
      </c>
      <c r="AD18" s="267" t="str">
        <f>AD7</f>
        <v>2Q25</v>
      </c>
      <c r="AE18" s="267" t="str">
        <f>AE7</f>
        <v>3Q25</v>
      </c>
      <c r="AF18" s="267" t="str">
        <f>AF7</f>
        <v>4Q25</v>
      </c>
      <c r="AG18" s="267">
        <f>AG7</f>
        <v>2025</v>
      </c>
      <c r="AH18" s="267" t="str">
        <f>AH7</f>
        <v>1Q26</v>
      </c>
      <c r="AI18" s="267" t="str">
        <f>AI7</f>
        <v>2Q26</v>
      </c>
    </row>
    <row r="19">
      <c r="C19" s="268" t="inlineStr">
        <is>
          <t xml:space="preserve">   Vendas e outras receitas operacionais</t>
        </is>
      </c>
      <c r="D19" s="269" t="str">
        <f>IFERROR(INDEX('Inputs (2)'!$D$53:$AL$53,MATCH(D$7&amp;"",'Inputs (2)'!$D$2:$AL$2,0)),"")</f>
        <v/>
      </c>
      <c r="E19" s="269" t="str">
        <f>IFERROR(INDEX('Inputs (2)'!$D$53:$AL$53,MATCH(E$7&amp;"",'Inputs (2)'!$D$2:$AL$2,0)),"")</f>
        <v/>
      </c>
      <c r="F19" s="269" t="str">
        <f>IFERROR(INDEX('Inputs (2)'!$D$53:$AL$53,MATCH(F$7&amp;"",'Inputs (2)'!$D$2:$AL$2,0)),"")</f>
        <v/>
      </c>
      <c r="G19" s="269" t="str">
        <f>IFERROR(INDEX('Inputs (2)'!$D$53:$AL$53,MATCH(G$7&amp;"",'Inputs (2)'!$D$2:$AL$2,0)),"")</f>
        <v/>
      </c>
      <c r="H19" s="270" t="str">
        <f>IF(COUNT(D19:G19)=4,SUM(D19:G19),"")</f>
        <v/>
      </c>
      <c r="I19" s="269" t="str">
        <f>IFERROR(INDEX('Inputs (2)'!$D$53:$AL$53,MATCH(I$7&amp;"",'Inputs (2)'!$D$2:$AL$2,0)),"")</f>
        <v/>
      </c>
      <c r="J19" s="269" t="str">
        <f>IFERROR(INDEX('Inputs (2)'!$D$53:$AL$53,MATCH(J$7&amp;"",'Inputs (2)'!$D$2:$AL$2,0)),"")</f>
        <v/>
      </c>
      <c r="K19" s="269" t="str">
        <f>IFERROR(INDEX('Inputs (2)'!$D$53:$AL$53,MATCH(K$7&amp;"",'Inputs (2)'!$D$2:$AL$2,0)),"")</f>
        <v/>
      </c>
      <c r="L19" s="269" t="str">
        <f>IFERROR(INDEX('Inputs (2)'!$D$53:$AL$53,MATCH(L$7&amp;"",'Inputs (2)'!$D$2:$AL$2,0)),"")</f>
        <v/>
      </c>
      <c r="M19" s="270" t="str">
        <f>IF(COUNT(I19:L19)=4,SUM(I19:L19),"")</f>
        <v/>
      </c>
      <c r="N19" s="269">
        <f>IFERROR(INDEX('Inputs (2)'!$D$53:$AL$53,MATCH(N$7&amp;"",'Inputs (2)'!$D$2:$AL$2,0)),"")</f>
        <v>87734</v>
      </c>
      <c r="O19" s="269">
        <f>IFERROR(INDEX('Inputs (2)'!$D$53:$AL$53,MATCH(O$7&amp;"",'Inputs (2)'!$D$2:$AL$2,0)),"")</f>
        <v>111265</v>
      </c>
      <c r="P19" s="269">
        <f>IFERROR(INDEX('Inputs (2)'!$D$53:$AL$53,MATCH(P$7&amp;"",'Inputs (2)'!$D$2:$AL$2,0)),"")</f>
        <v>106512</v>
      </c>
      <c r="Q19" s="269">
        <f>IFERROR(INDEX('Inputs (2)'!$D$53:$AL$53,MATCH(Q$7&amp;"",'Inputs (2)'!$D$2:$AL$2,0)),"")</f>
        <v>93164</v>
      </c>
      <c r="R19" s="270">
        <f>IF(COUNT(N19:Q19)=4,SUM(N19:Q19),"")</f>
        <v>398675</v>
      </c>
      <c r="S19" s="269">
        <f>IFERROR(INDEX('Inputs (2)'!$D$53:$AL$53,MATCH(S$7&amp;"",'Inputs (2)'!$D$2:$AL$2,0)),"")</f>
        <v>83644</v>
      </c>
      <c r="T19" s="269">
        <f>IFERROR(INDEX('Inputs (2)'!$D$53:$AL$53,MATCH(T$7&amp;"",'Inputs (2)'!$D$2:$AL$2,0)),"")</f>
        <v>80795</v>
      </c>
      <c r="U19" s="269">
        <f>IFERROR(INDEX('Inputs (2)'!$D$53:$AL$53,MATCH(U$7&amp;"",'Inputs (2)'!$D$2:$AL$2,0)),"")</f>
        <v>88570</v>
      </c>
      <c r="V19" s="269">
        <f>IFERROR(INDEX('Inputs (2)'!$D$53:$AL$53,MATCH(V$7&amp;"",'Inputs (2)'!$D$2:$AL$2,0)),"")</f>
        <v>81688</v>
      </c>
      <c r="W19" s="270">
        <f>IF(COUNT(S19:V19)=4,SUM(S19:V19),"")</f>
        <v>334697</v>
      </c>
      <c r="X19" s="269">
        <f>IFERROR(INDEX('Inputs (2)'!$D$53:$AL$53,MATCH(X$7&amp;"",'Inputs (2)'!$D$2:$AL$2,0)),"")</f>
        <v>80411</v>
      </c>
      <c r="Y19" s="269">
        <f>IFERROR(INDEX('Inputs (2)'!$D$53:$AL$53,MATCH(Y$7&amp;"",'Inputs (2)'!$D$2:$AL$2,0)),"")</f>
        <v>89986</v>
      </c>
      <c r="Z19" s="269">
        <f>IFERROR(INDEX('Inputs (2)'!$D$53:$AL$53,MATCH(Z$7&amp;"",'Inputs (2)'!$D$2:$AL$2,0)),"")</f>
        <v>87792</v>
      </c>
      <c r="AA19" s="269">
        <f>IFERROR(INDEX('Inputs (2)'!$D$53:$AL$53,MATCH(AA$7&amp;"",'Inputs (2)'!$D$2:$AL$2,0)),"")</f>
        <v>81058</v>
      </c>
      <c r="AB19" s="270">
        <f>IF(COUNT(X19:AA19)=4,SUM(X19:AA19),"")</f>
        <v>339247</v>
      </c>
      <c r="AC19" s="269">
        <f>IFERROR(INDEX('Inputs (2)'!$D$53:$AL$53,MATCH(AC$7&amp;"",'Inputs (2)'!$D$2:$AL$2,0)),"")</f>
        <v>81058</v>
      </c>
      <c r="AD19" s="269">
        <f>IFERROR(INDEX('Inputs (2)'!$D$53:$AL$53,MATCH(AD$7&amp;"",'Inputs (2)'!$D$2:$AL$2,0)),"")</f>
        <v>79477</v>
      </c>
      <c r="AE19" s="269">
        <f>IFERROR(INDEX('Inputs (2)'!$D$53:$AL$53,MATCH(AE$7&amp;"",'Inputs (2)'!$D$2:$AL$2,0)),"")</f>
        <v>83331</v>
      </c>
      <c r="AF19" s="269">
        <f>IFERROR(INDEX('Inputs (2)'!$D$53:$AL$53,MATCH(AF$7&amp;"",'Inputs (2)'!$D$2:$AL$2,0)),"")</f>
        <v>80039</v>
      </c>
      <c r="AG19" s="270">
        <f>IF(COUNT(AC19:AF19)=4,SUM(AC19:AF19),"")</f>
        <v>323905</v>
      </c>
      <c r="AH19" s="270">
        <f>IFERROR(INDEX('Inputs (2)'!$D$53:$AL$53,MATCH(AH$7&amp;"",'Inputs (2)'!$D$2:$AL$2,0)),"")</f>
        <v>83161</v>
      </c>
      <c r="AI19" s="270">
        <f>IFERROR(INDEX('Inputs (2)'!$D$53:$AL$53,MATCH(AI$7&amp;"",'Inputs (2)'!$D$2:$AL$2,0)),"")</f>
        <v>114529</v>
      </c>
    </row>
    <row r="20">
      <c r="C20" s="268" t="inlineStr">
        <is>
          <t xml:space="preserve">   Equivalência patrimonial</t>
        </is>
      </c>
      <c r="D20" s="269" t="str">
        <f>IFERROR(INDEX('Inputs (2)'!$D$54:$AL$54,MATCH(D$7&amp;"",'Inputs (2)'!$D$2:$AL$2,0)),"")</f>
        <v/>
      </c>
      <c r="E20" s="269" t="str">
        <f>IFERROR(INDEX('Inputs (2)'!$D$54:$AL$54,MATCH(E$7&amp;"",'Inputs (2)'!$D$2:$AL$2,0)),"")</f>
        <v/>
      </c>
      <c r="F20" s="269" t="str">
        <f>IFERROR(INDEX('Inputs (2)'!$D$54:$AL$54,MATCH(F$7&amp;"",'Inputs (2)'!$D$2:$AL$2,0)),"")</f>
        <v/>
      </c>
      <c r="G20" s="269" t="str">
        <f>IFERROR(INDEX('Inputs (2)'!$D$54:$AL$54,MATCH(G$7&amp;"",'Inputs (2)'!$D$2:$AL$2,0)),"")</f>
        <v/>
      </c>
      <c r="H20" s="270" t="str">
        <f>IF(COUNT(D20:G20)=4,SUM(D20:G20),"")</f>
        <v/>
      </c>
      <c r="I20" s="269" t="str">
        <f>IFERROR(INDEX('Inputs (2)'!$D$54:$AL$54,MATCH(I$7&amp;"",'Inputs (2)'!$D$2:$AL$2,0)),"")</f>
        <v/>
      </c>
      <c r="J20" s="269" t="str">
        <f>IFERROR(INDEX('Inputs (2)'!$D$54:$AL$54,MATCH(J$7&amp;"",'Inputs (2)'!$D$2:$AL$2,0)),"")</f>
        <v/>
      </c>
      <c r="K20" s="269" t="str">
        <f>IFERROR(INDEX('Inputs (2)'!$D$54:$AL$54,MATCH(K$7&amp;"",'Inputs (2)'!$D$2:$AL$2,0)),"")</f>
        <v/>
      </c>
      <c r="L20" s="269" t="str">
        <f>IFERROR(INDEX('Inputs (2)'!$D$54:$AL$54,MATCH(L$7&amp;"",'Inputs (2)'!$D$2:$AL$2,0)),"")</f>
        <v/>
      </c>
      <c r="M20" s="270" t="str">
        <f>IF(COUNT(I20:L20)=4,SUM(I20:L20),"")</f>
        <v/>
      </c>
      <c r="N20" s="269">
        <f>IFERROR(INDEX('Inputs (2)'!$D$54:$AL$54,MATCH(N$7&amp;"",'Inputs (2)'!$D$2:$AL$2,0)),"")</f>
        <v>2538</v>
      </c>
      <c r="O20" s="269">
        <f>IFERROR(INDEX('Inputs (2)'!$D$54:$AL$54,MATCH(O$7&amp;"",'Inputs (2)'!$D$2:$AL$2,0)),"")</f>
        <v>3688</v>
      </c>
      <c r="P20" s="269">
        <f>IFERROR(INDEX('Inputs (2)'!$D$54:$AL$54,MATCH(P$7&amp;"",'Inputs (2)'!$D$2:$AL$2,0)),"")</f>
        <v>4632</v>
      </c>
      <c r="Q20" s="269">
        <f>IFERROR(INDEX('Inputs (2)'!$D$54:$AL$54,MATCH(Q$7&amp;"",'Inputs (2)'!$D$2:$AL$2,0)),"")</f>
        <v>605</v>
      </c>
      <c r="R20" s="270">
        <f>IF(COUNT(N20:Q20)=4,SUM(N20:Q20),"")</f>
        <v>11463</v>
      </c>
      <c r="S20" s="269">
        <f>IFERROR(INDEX('Inputs (2)'!$D$54:$AL$54,MATCH(S$7&amp;"",'Inputs (2)'!$D$2:$AL$2,0)),"")</f>
        <v>2381</v>
      </c>
      <c r="T20" s="269">
        <f>IFERROR(INDEX('Inputs (2)'!$D$54:$AL$54,MATCH(T$7&amp;"",'Inputs (2)'!$D$2:$AL$2,0)),"")</f>
        <v>1382</v>
      </c>
      <c r="U20" s="269">
        <f>IFERROR(INDEX('Inputs (2)'!$D$54:$AL$54,MATCH(U$7&amp;"",'Inputs (2)'!$D$2:$AL$2,0)),"")</f>
        <v>1457</v>
      </c>
      <c r="V20" s="269">
        <f>IFERROR(INDEX('Inputs (2)'!$D$54:$AL$54,MATCH(V$7&amp;"",'Inputs (2)'!$D$2:$AL$2,0)),"")</f>
        <v>1165</v>
      </c>
      <c r="W20" s="270">
        <f>IF(COUNT(S20:V20)=4,SUM(S20:V20),"")</f>
        <v>6385</v>
      </c>
      <c r="X20" s="269">
        <f>IFERROR(INDEX('Inputs (2)'!$D$54:$AL$54,MATCH(X$7&amp;"",'Inputs (2)'!$D$2:$AL$2,0)),"")</f>
        <v>1842</v>
      </c>
      <c r="Y20" s="269">
        <f>IFERROR(INDEX('Inputs (2)'!$D$54:$AL$54,MATCH(Y$7&amp;"",'Inputs (2)'!$D$2:$AL$2,0)),"")</f>
        <v>1744</v>
      </c>
      <c r="Z20" s="269">
        <f>IFERROR(INDEX('Inputs (2)'!$D$54:$AL$54,MATCH(Z$7&amp;"",'Inputs (2)'!$D$2:$AL$2,0)),"")</f>
        <v>1481</v>
      </c>
      <c r="AA20" s="269">
        <f>IFERROR(INDEX('Inputs (2)'!$D$54:$AL$54,MATCH(AA$7&amp;"",'Inputs (2)'!$D$2:$AL$2,0)),"")</f>
        <v>1127</v>
      </c>
      <c r="AB20" s="270">
        <f>IF(COUNT(X20:AA20)=4,SUM(X20:AA20),"")</f>
        <v>6194</v>
      </c>
      <c r="AC20" s="269">
        <f>IFERROR(INDEX('Inputs (2)'!$D$54:$AL$54,MATCH(AC$7&amp;"",'Inputs (2)'!$D$2:$AL$2,0)),"")</f>
        <v>1369</v>
      </c>
      <c r="AD20" s="269">
        <f>IFERROR(INDEX('Inputs (2)'!$D$54:$AL$54,MATCH(AD$7&amp;"",'Inputs (2)'!$D$2:$AL$2,0)),"")</f>
        <v>1462</v>
      </c>
      <c r="AE20" s="269">
        <f>IFERROR(INDEX('Inputs (2)'!$D$54:$AL$54,MATCH(AE$7&amp;"",'Inputs (2)'!$D$2:$AL$2,0)),"")</f>
        <v>1267</v>
      </c>
      <c r="AF20" s="269">
        <f>IFERROR(INDEX('Inputs (2)'!$D$54:$AL$54,MATCH(AF$7&amp;"",'Inputs (2)'!$D$2:$AL$2,0)),"")</f>
        <v>966</v>
      </c>
      <c r="AG20" s="270">
        <f>IF(COUNT(AC20:AF20)=4,SUM(AC20:AF20),"")</f>
        <v>5064</v>
      </c>
      <c r="AH20" s="270">
        <f>IFERROR(INDEX('Inputs (2)'!$D$54:$AL$54,MATCH(AH$7&amp;"",'Inputs (2)'!$D$2:$AL$2,0)),"")</f>
        <v>1369</v>
      </c>
      <c r="AI20" s="270">
        <f>IFERROR(INDEX('Inputs (2)'!$D$54:$AL$54,MATCH(AI$7&amp;"",'Inputs (2)'!$D$2:$AL$2,0)),"")</f>
        <v>893</v>
      </c>
    </row>
    <row r="21">
      <c r="C21" s="268" t="inlineStr">
        <is>
          <t xml:space="preserve">   Outras receitas</t>
        </is>
      </c>
      <c r="D21" s="269" t="str">
        <f>IFERROR(INDEX('Inputs (2)'!$D$55:$AL$55,MATCH(D$7&amp;"",'Inputs (2)'!$D$2:$AL$2,0)),"")</f>
        <v/>
      </c>
      <c r="E21" s="269" t="str">
        <f>IFERROR(INDEX('Inputs (2)'!$D$55:$AL$55,MATCH(E$7&amp;"",'Inputs (2)'!$D$2:$AL$2,0)),"")</f>
        <v/>
      </c>
      <c r="F21" s="269" t="str">
        <f>IFERROR(INDEX('Inputs (2)'!$D$55:$AL$55,MATCH(F$7&amp;"",'Inputs (2)'!$D$2:$AL$2,0)),"")</f>
        <v/>
      </c>
      <c r="G21" s="269" t="str">
        <f>IFERROR(INDEX('Inputs (2)'!$D$55:$AL$55,MATCH(G$7&amp;"",'Inputs (2)'!$D$2:$AL$2,0)),"")</f>
        <v/>
      </c>
      <c r="H21" s="270" t="str">
        <f>IF(COUNT(D21:G21)=4,SUM(D21:G21),"")</f>
        <v/>
      </c>
      <c r="I21" s="269" t="str">
        <f>IFERROR(INDEX('Inputs (2)'!$D$55:$AL$55,MATCH(I$7&amp;"",'Inputs (2)'!$D$2:$AL$2,0)),"")</f>
        <v/>
      </c>
      <c r="J21" s="269" t="str">
        <f>IFERROR(INDEX('Inputs (2)'!$D$55:$AL$55,MATCH(J$7&amp;"",'Inputs (2)'!$D$2:$AL$2,0)),"")</f>
        <v/>
      </c>
      <c r="K21" s="269" t="str">
        <f>IFERROR(INDEX('Inputs (2)'!$D$55:$AL$55,MATCH(K$7&amp;"",'Inputs (2)'!$D$2:$AL$2,0)),"")</f>
        <v/>
      </c>
      <c r="L21" s="269" t="str">
        <f>IFERROR(INDEX('Inputs (2)'!$D$55:$AL$55,MATCH(L$7&amp;"",'Inputs (2)'!$D$2:$AL$2,0)),"")</f>
        <v/>
      </c>
      <c r="M21" s="270" t="str">
        <f>IF(COUNT(I21:L21)=4,SUM(I21:L21),"")</f>
        <v/>
      </c>
      <c r="N21" s="269">
        <f>IFERROR(INDEX('Inputs (2)'!$D$55:$AL$55,MATCH(N$7&amp;"",'Inputs (2)'!$D$2:$AL$2,0)),"")</f>
        <v>228</v>
      </c>
      <c r="O21" s="269">
        <f>IFERROR(INDEX('Inputs (2)'!$D$55:$AL$55,MATCH(O$7&amp;"",'Inputs (2)'!$D$2:$AL$2,0)),"")</f>
        <v>728</v>
      </c>
      <c r="P21" s="269">
        <f>IFERROR(INDEX('Inputs (2)'!$D$55:$AL$55,MATCH(P$7&amp;"",'Inputs (2)'!$D$2:$AL$2,0)),"")</f>
        <v>926</v>
      </c>
      <c r="Q21" s="269">
        <f>IFERROR(INDEX('Inputs (2)'!$D$55:$AL$55,MATCH(Q$7&amp;"",'Inputs (2)'!$D$2:$AL$2,0)),"")</f>
        <v>1660</v>
      </c>
      <c r="R21" s="270">
        <f>IF(COUNT(N21:Q21)=4,SUM(N21:Q21),"")</f>
        <v>3542</v>
      </c>
      <c r="S21" s="269">
        <f>IFERROR(INDEX('Inputs (2)'!$D$55:$AL$55,MATCH(S$7&amp;"",'Inputs (2)'!$D$2:$AL$2,0)),"")</f>
        <v>539</v>
      </c>
      <c r="T21" s="269">
        <f>IFERROR(INDEX('Inputs (2)'!$D$55:$AL$55,MATCH(T$7&amp;"",'Inputs (2)'!$D$2:$AL$2,0)),"")</f>
        <v>737</v>
      </c>
      <c r="U21" s="269">
        <f>IFERROR(INDEX('Inputs (2)'!$D$55:$AL$55,MATCH(U$7&amp;"",'Inputs (2)'!$D$2:$AL$2,0)),"")</f>
        <v>733</v>
      </c>
      <c r="V21" s="269">
        <f>IFERROR(INDEX('Inputs (2)'!$D$55:$AL$55,MATCH(V$7&amp;"",'Inputs (2)'!$D$2:$AL$2,0)),"")</f>
        <v>1491</v>
      </c>
      <c r="W21" s="270">
        <f>IF(COUNT(S21:V21)=4,SUM(S21:V21),"")</f>
        <v>3500</v>
      </c>
      <c r="X21" s="269">
        <f>IFERROR(INDEX('Inputs (2)'!$D$55:$AL$55,MATCH(X$7&amp;"",'Inputs (2)'!$D$2:$AL$2,0)),"")</f>
        <v>830</v>
      </c>
      <c r="Y21" s="269">
        <f>IFERROR(INDEX('Inputs (2)'!$D$55:$AL$55,MATCH(Y$7&amp;"",'Inputs (2)'!$D$2:$AL$2,0)),"")</f>
        <v>1330</v>
      </c>
      <c r="Z21" s="269">
        <f>IFERROR(INDEX('Inputs (2)'!$D$55:$AL$55,MATCH(Z$7&amp;"",'Inputs (2)'!$D$2:$AL$2,0)),"")</f>
        <v>743</v>
      </c>
      <c r="AA21" s="269">
        <f>IFERROR(INDEX('Inputs (2)'!$D$55:$AL$55,MATCH(AA$7&amp;"",'Inputs (2)'!$D$2:$AL$2,0)),"")</f>
        <v>1241</v>
      </c>
      <c r="AB21" s="270">
        <f>IF(COUNT(X21:AA21)=4,SUM(X21:AA21),"")</f>
        <v>4144</v>
      </c>
      <c r="AC21" s="269">
        <f>IFERROR(INDEX('Inputs (2)'!$D$55:$AL$55,MATCH(AC$7&amp;"",'Inputs (2)'!$D$2:$AL$2,0)),"")</f>
        <v>703</v>
      </c>
      <c r="AD21" s="269">
        <f>IFERROR(INDEX('Inputs (2)'!$D$55:$AL$55,MATCH(AD$7&amp;"",'Inputs (2)'!$D$2:$AL$2,0)),"")</f>
        <v>567</v>
      </c>
      <c r="AE21" s="269">
        <f>IFERROR(INDEX('Inputs (2)'!$D$55:$AL$55,MATCH(AE$7&amp;"",'Inputs (2)'!$D$2:$AL$2,0)),"")</f>
        <v>696</v>
      </c>
      <c r="AF21" s="269">
        <f>IFERROR(INDEX('Inputs (2)'!$D$55:$AL$55,MATCH(AF$7&amp;"",'Inputs (2)'!$D$2:$AL$2,0)),"")</f>
        <v>1303</v>
      </c>
      <c r="AG21" s="270">
        <f>IF(COUNT(AC21:AF21)=4,SUM(AC21:AF21),"")</f>
        <v>3269</v>
      </c>
      <c r="AH21" s="270">
        <f>IFERROR(INDEX('Inputs (2)'!$D$55:$AL$55,MATCH(AH$7&amp;"",'Inputs (2)'!$D$2:$AL$2,0)),"")</f>
        <v>608</v>
      </c>
      <c r="AI21" s="270">
        <f>IFERROR(INDEX('Inputs (2)'!$D$55:$AL$55,MATCH(AI$7&amp;"",'Inputs (2)'!$D$2:$AL$2,0)),"")</f>
        <v>595</v>
      </c>
    </row>
    <row r="22">
      <c r="C22" s="271" t="inlineStr">
        <is>
          <t>Receita total (soma)</t>
        </is>
      </c>
      <c r="D22" s="269" t="str">
        <f>IF(COUNT(D19,D20,D21)=0,"",N(D19)+N(D20)+N(D21))</f>
        <v/>
      </c>
      <c r="E22" s="269" t="str">
        <f>IF(COUNT(E19,E20,E21)=0,"",N(E19)+N(E20)+N(E21))</f>
        <v/>
      </c>
      <c r="F22" s="269" t="str">
        <f>IF(COUNT(F19,F20,F21)=0,"",N(F19)+N(F20)+N(F21))</f>
        <v/>
      </c>
      <c r="G22" s="269" t="str">
        <f>IF(COUNT(G19,G20,G21)=0,"",N(G19)+N(G20)+N(G21))</f>
        <v/>
      </c>
      <c r="H22" s="270" t="str">
        <f>IF(COUNT(H19,H20,H21)=0,"",N(H19)+N(H20)+N(H21))</f>
        <v/>
      </c>
      <c r="I22" s="269" t="str">
        <f>IF(COUNT(I19,I20,I21)=0,"",N(I19)+N(I20)+N(I21))</f>
        <v/>
      </c>
      <c r="J22" s="269" t="str">
        <f>IF(COUNT(J19,J20,J21)=0,"",N(J19)+N(J20)+N(J21))</f>
        <v/>
      </c>
      <c r="K22" s="269" t="str">
        <f>IF(COUNT(K19,K20,K21)=0,"",N(K19)+N(K20)+N(K21))</f>
        <v/>
      </c>
      <c r="L22" s="269" t="str">
        <f>IF(COUNT(L19,L20,L21)=0,"",N(L19)+N(L20)+N(L21))</f>
        <v/>
      </c>
      <c r="M22" s="270" t="str">
        <f>IF(COUNT(M19,M20,M21)=0,"",N(M19)+N(M20)+N(M21))</f>
        <v/>
      </c>
      <c r="N22" s="269">
        <f>IF(COUNT(N19,N20,N21)=0,"",N(N19)+N(N20)+N(N21))</f>
        <v>90500</v>
      </c>
      <c r="O22" s="269">
        <f>IF(COUNT(O19,O20,O21)=0,"",N(O19)+N(O20)+N(O21))</f>
        <v>115681</v>
      </c>
      <c r="P22" s="269">
        <f>IF(COUNT(P19,P20,P21)=0,"",N(P19)+N(P20)+N(P21))</f>
        <v>112070</v>
      </c>
      <c r="Q22" s="269">
        <f>IF(COUNT(Q19,Q20,Q21)=0,"",N(Q19)+N(Q20)+N(Q21))</f>
        <v>95429</v>
      </c>
      <c r="R22" s="270">
        <f>IF(COUNT(R19,R20,R21)=0,"",N(R19)+N(R20)+N(R21))</f>
        <v>413680</v>
      </c>
      <c r="S22" s="269">
        <f>IF(COUNT(S19,S20,S21)=0,"",N(S19)+N(S20)+N(S21))</f>
        <v>86564</v>
      </c>
      <c r="T22" s="269">
        <f>IF(COUNT(T19,T20,T21)=0,"",N(T19)+N(T20)+N(T21))</f>
        <v>82914</v>
      </c>
      <c r="U22" s="269">
        <f>IF(COUNT(U19,U20,U21)=0,"",N(U19)+N(U20)+N(U21))</f>
        <v>90760</v>
      </c>
      <c r="V22" s="269">
        <f>IF(COUNT(V19,V20,V21)=0,"",N(V19)+N(V20)+N(V21))</f>
        <v>84344</v>
      </c>
      <c r="W22" s="270">
        <f>IF(COUNT(W19,W20,W21)=0,"",N(W19)+N(W20)+N(W21))</f>
        <v>344582</v>
      </c>
      <c r="X22" s="269">
        <f>IF(COUNT(X19,X20,X21)=0,"",N(X19)+N(X20)+N(X21))</f>
        <v>83083</v>
      </c>
      <c r="Y22" s="269">
        <f>IF(COUNT(Y19,Y20,Y21)=0,"",N(Y19)+N(Y20)+N(Y21))</f>
        <v>93060</v>
      </c>
      <c r="Z22" s="269">
        <f>IF(COUNT(Z19,Z20,Z21)=0,"",N(Z19)+N(Z20)+N(Z21))</f>
        <v>90016</v>
      </c>
      <c r="AA22" s="269">
        <f>IF(COUNT(AA19,AA20,AA21)=0,"",N(AA19)+N(AA20)+N(AA21))</f>
        <v>83426</v>
      </c>
      <c r="AB22" s="270">
        <f>IF(COUNT(AB19,AB20,AB21)=0,"",N(AB19)+N(AB20)+N(AB21))</f>
        <v>349585</v>
      </c>
      <c r="AC22" s="269">
        <f>IF(COUNT(AC19,AC20,AC21)=0,"",N(AC19)+N(AC20)+N(AC21))</f>
        <v>83130</v>
      </c>
      <c r="AD22" s="269">
        <f>IF(COUNT(AD19,AD20,AD21)=0,"",N(AD19)+N(AD20)+N(AD21))</f>
        <v>81506</v>
      </c>
      <c r="AE22" s="269">
        <f>IF(COUNT(AE19,AE20,AE21)=0,"",N(AE19)+N(AE20)+N(AE21))</f>
        <v>85294</v>
      </c>
      <c r="AF22" s="269">
        <f>IF(COUNT(AF19,AF20,AF21)=0,"",N(AF19)+N(AF20)+N(AF21))</f>
        <v>82308</v>
      </c>
      <c r="AG22" s="270">
        <f>IF(COUNT(AG19,AG20,AG21)=0,"",N(AG19)+N(AG20)+N(AG21))</f>
        <v>332238</v>
      </c>
      <c r="AH22" s="270">
        <f>IF(COUNT(AH19,AH20,AH21)=0,"",N(AH19)+N(AH20)+N(AH21))</f>
        <v>85138</v>
      </c>
      <c r="AI22" s="270">
        <f>IF(COUNT(AI19,AI20,AI21)=0,"",N(AI19)+N(AI20)+N(AI21))</f>
        <v>116017</v>
      </c>
    </row>
    <row r="23">
      <c r="C23" s="268" t="inlineStr">
        <is>
          <t>Check vs Net Revenues (linha 15)</t>
        </is>
      </c>
      <c r="D23" s="269" t="str">
        <f>IF(COUNT(D22)=0,"",ROUND(D15-D22,1))</f>
        <v/>
      </c>
      <c r="E23" s="269" t="str">
        <f>IF(COUNT(E22)=0,"",ROUND(E15-E22,1))</f>
        <v/>
      </c>
      <c r="F23" s="269" t="str">
        <f>IF(COUNT(F22)=0,"",ROUND(F15-F22,1))</f>
        <v/>
      </c>
      <c r="G23" s="269" t="str">
        <f>IF(COUNT(G22)=0,"",ROUND(G15-G22,1))</f>
        <v/>
      </c>
      <c r="H23" s="270" t="str">
        <f>IF(COUNT(H22)=0,"",ROUND(H15-H22,1))</f>
        <v/>
      </c>
      <c r="I23" s="269" t="str">
        <f>IF(COUNT(I22)=0,"",ROUND(I15-I22,1))</f>
        <v/>
      </c>
      <c r="J23" s="269" t="str">
        <f>IF(COUNT(J22)=0,"",ROUND(J15-J22,1))</f>
        <v/>
      </c>
      <c r="K23" s="269" t="str">
        <f>IF(COUNT(K22)=0,"",ROUND(K15-K22,1))</f>
        <v/>
      </c>
      <c r="L23" s="269" t="str">
        <f>IF(COUNT(L22)=0,"",ROUND(L15-L22,1))</f>
        <v/>
      </c>
      <c r="M23" s="270" t="str">
        <f>IF(COUNT(M22)=0,"",ROUND(M15-M22,1))</f>
        <v/>
      </c>
      <c r="N23" s="269">
        <f>IF(COUNT(N22)=0,"",ROUND(N15-N22,1))</f>
        <v>0</v>
      </c>
      <c r="O23" s="269">
        <f>IF(COUNT(O22)=0,"",ROUND(O15-O22,1))</f>
        <v>0</v>
      </c>
      <c r="P23" s="269">
        <f>IF(COUNT(P22)=0,"",ROUND(P15-P22,1))</f>
        <v>0</v>
      </c>
      <c r="Q23" s="269">
        <f>IF(COUNT(Q22)=0,"",ROUND(Q15-Q22,1))</f>
        <v>0</v>
      </c>
      <c r="R23" s="270">
        <f>IF(COUNT(R22)=0,"",ROUND(R15-R22,1))</f>
        <v>0</v>
      </c>
      <c r="S23" s="269">
        <f>IF(COUNT(S22)=0,"",ROUND(S15-S22,1))</f>
        <v>0</v>
      </c>
      <c r="T23" s="269">
        <f>IF(COUNT(T22)=0,"",ROUND(T15-T22,1))</f>
        <v>0</v>
      </c>
      <c r="U23" s="269">
        <f>IF(COUNT(U22)=0,"",ROUND(U15-U22,1))</f>
        <v>0</v>
      </c>
      <c r="V23" s="269">
        <f>IF(COUNT(V22)=0,"",ROUND(V15-V22,1))</f>
        <v>0</v>
      </c>
      <c r="W23" s="270">
        <f>IF(COUNT(W22)=0,"",ROUND(W15-W22,1))</f>
        <v>0</v>
      </c>
      <c r="X23" s="269">
        <f>IF(COUNT(X22)=0,"",ROUND(X15-X22,1))</f>
        <v>0</v>
      </c>
      <c r="Y23" s="269">
        <f>IF(COUNT(Y22)=0,"",ROUND(Y15-Y22,1))</f>
        <v>0</v>
      </c>
      <c r="Z23" s="269">
        <f>IF(COUNT(Z22)=0,"",ROUND(Z15-Z22,1))</f>
        <v>0</v>
      </c>
      <c r="AA23" s="269">
        <f>IF(COUNT(AA22)=0,"",ROUND(AA15-AA22,1))</f>
        <v>0</v>
      </c>
      <c r="AB23" s="270">
        <f>IF(COUNT(AB22)=0,"",ROUND(AB15-AB22,1))</f>
        <v>0</v>
      </c>
      <c r="AC23" s="269">
        <f>IF(COUNT(AC22)=0,"",ROUND(AC15-AC22,1))</f>
        <v>0</v>
      </c>
      <c r="AD23" s="269">
        <f>IF(COUNT(AD22)=0,"",ROUND(AD15-AD22,1))</f>
        <v>0</v>
      </c>
      <c r="AE23" s="269">
        <f>IF(COUNT(AE22)=0,"",ROUND(AE15-AE22,1))</f>
        <v>0</v>
      </c>
      <c r="AF23" s="269">
        <f>IF(COUNT(AF22)=0,"",ROUND(AF15-AF22,1))</f>
        <v>0</v>
      </c>
      <c r="AG23" s="270">
        <f>IF(COUNT(AG22)=0,"",ROUND(AG15-AG22,1))</f>
        <v>0</v>
      </c>
      <c r="AH23" s="270">
        <f>IF(COUNT(AH22)=0,"",ROUND(AH15-AH22,1))</f>
        <v>0</v>
      </c>
      <c r="AI23" s="270">
        <f>IF(COUNT(AI22)=0,"",ROUND(AI15-AI22,1))</f>
        <v>0</v>
      </c>
    </row>
    <row r="24">
      <c r="C24" s="268" t="inlineStr">
        <is>
          <t xml:space="preserve">   Receita Upstream</t>
        </is>
      </c>
      <c r="D24" s="269" t="str">
        <f>IFERROR(INDEX('Inputs (2)'!$D$61:$AL$61,MATCH(D$7&amp;"",'Inputs (2)'!$D$2:$AL$2,0)),"")</f>
        <v/>
      </c>
      <c r="E24" s="269" t="str">
        <f>IFERROR(INDEX('Inputs (2)'!$D$61:$AL$61,MATCH(E$7&amp;"",'Inputs (2)'!$D$2:$AL$2,0)),"")</f>
        <v/>
      </c>
      <c r="F24" s="269" t="str">
        <f>IFERROR(INDEX('Inputs (2)'!$D$61:$AL$61,MATCH(F$7&amp;"",'Inputs (2)'!$D$2:$AL$2,0)),"")</f>
        <v/>
      </c>
      <c r="G24" s="269" t="str">
        <f>IFERROR(INDEX('Inputs (2)'!$D$61:$AL$61,MATCH(G$7&amp;"",'Inputs (2)'!$D$2:$AL$2,0)),"")</f>
        <v/>
      </c>
      <c r="H24" s="270" t="str">
        <f>IF(COUNT(D24:G24)=4,SUM(D24:G24),"")</f>
        <v/>
      </c>
      <c r="I24" s="269" t="str">
        <f>IFERROR(INDEX('Inputs (2)'!$D$61:$AL$61,MATCH(I$7&amp;"",'Inputs (2)'!$D$2:$AL$2,0)),"")</f>
        <v/>
      </c>
      <c r="J24" s="269" t="str">
        <f>IFERROR(INDEX('Inputs (2)'!$D$61:$AL$61,MATCH(J$7&amp;"",'Inputs (2)'!$D$2:$AL$2,0)),"")</f>
        <v/>
      </c>
      <c r="K24" s="269" t="str">
        <f>IFERROR(INDEX('Inputs (2)'!$D$61:$AL$61,MATCH(K$7&amp;"",'Inputs (2)'!$D$2:$AL$2,0)),"")</f>
        <v/>
      </c>
      <c r="L24" s="269" t="str">
        <f>IFERROR(INDEX('Inputs (2)'!$D$61:$AL$61,MATCH(L$7&amp;"",'Inputs (2)'!$D$2:$AL$2,0)),"")</f>
        <v/>
      </c>
      <c r="M24" s="270" t="str">
        <f>IF(COUNT(I24:L24)=4,SUM(I24:L24),"")</f>
        <v/>
      </c>
      <c r="N24" s="269" t="str">
        <f>IFERROR(INDEX('Inputs (2)'!$D$61:$AL$61,MATCH(N$7&amp;"",'Inputs (2)'!$D$2:$AL$2,0)),"")</f>
        <v/>
      </c>
      <c r="O24" s="269" t="str">
        <f>IFERROR(INDEX('Inputs (2)'!$D$61:$AL$61,MATCH(O$7&amp;"",'Inputs (2)'!$D$2:$AL$2,0)),"")</f>
        <v/>
      </c>
      <c r="P24" s="269" t="str">
        <f>IFERROR(INDEX('Inputs (2)'!$D$61:$AL$61,MATCH(P$7&amp;"",'Inputs (2)'!$D$2:$AL$2,0)),"")</f>
        <v/>
      </c>
      <c r="Q24" s="269" t="str">
        <f>IFERROR(INDEX('Inputs (2)'!$D$61:$AL$61,MATCH(Q$7&amp;"",'Inputs (2)'!$D$2:$AL$2,0)),"")</f>
        <v/>
      </c>
      <c r="R24" s="270" t="str">
        <f>IF(COUNT(N24:Q24)=4,SUM(N24:Q24),"")</f>
        <v/>
      </c>
      <c r="S24" s="269" t="str">
        <f>IFERROR(INDEX('Inputs (2)'!$D$61:$AL$61,MATCH(S$7&amp;"",'Inputs (2)'!$D$2:$AL$2,0)),"")</f>
        <v/>
      </c>
      <c r="T24" s="269" t="str">
        <f>IFERROR(INDEX('Inputs (2)'!$D$61:$AL$61,MATCH(T$7&amp;"",'Inputs (2)'!$D$2:$AL$2,0)),"")</f>
        <v/>
      </c>
      <c r="U24" s="269" t="str">
        <f>IFERROR(INDEX('Inputs (2)'!$D$61:$AL$61,MATCH(U$7&amp;"",'Inputs (2)'!$D$2:$AL$2,0)),"")</f>
        <v/>
      </c>
      <c r="V24" s="269" t="str">
        <f>IFERROR(INDEX('Inputs (2)'!$D$61:$AL$61,MATCH(V$7&amp;"",'Inputs (2)'!$D$2:$AL$2,0)),"")</f>
        <v/>
      </c>
      <c r="W24" s="270" t="str">
        <f>IF(COUNT(S24:V24)=4,SUM(S24:V24),"")</f>
        <v/>
      </c>
      <c r="X24" s="269">
        <f>IFERROR(INDEX('Inputs (2)'!$D$61:$AL$61,MATCH(X$7&amp;"",'Inputs (2)'!$D$2:$AL$2,0)),"")</f>
        <v>23385</v>
      </c>
      <c r="Y24" s="269">
        <f>IFERROR(INDEX('Inputs (2)'!$D$61:$AL$61,MATCH(Y$7&amp;"",'Inputs (2)'!$D$2:$AL$2,0)),"")</f>
        <v>28830</v>
      </c>
      <c r="Z24" s="269">
        <f>IFERROR(INDEX('Inputs (2)'!$D$61:$AL$61,MATCH(Z$7&amp;"",'Inputs (2)'!$D$2:$AL$2,0)),"")</f>
        <v>29382</v>
      </c>
      <c r="AA24" s="269">
        <f>IFERROR(INDEX('Inputs (2)'!$D$61:$AL$61,MATCH(AA$7&amp;"",'Inputs (2)'!$D$2:$AL$2,0)),"")</f>
        <v>29149</v>
      </c>
      <c r="AB24" s="270">
        <f>IF(COUNT(X24:AA24)=4,SUM(X24:AA24),"")</f>
        <v>110746</v>
      </c>
      <c r="AC24" s="269">
        <f>IFERROR(INDEX('Inputs (2)'!$D$61:$AL$61,MATCH(AC$7&amp;"",'Inputs (2)'!$D$2:$AL$2,0)),"")</f>
        <v>29174</v>
      </c>
      <c r="AD24" s="269">
        <f>IFERROR(INDEX('Inputs (2)'!$D$61:$AL$61,MATCH(AD$7&amp;"",'Inputs (2)'!$D$2:$AL$2,0)),"")</f>
        <v>25700</v>
      </c>
      <c r="AE24" s="269">
        <f>IFERROR(INDEX('Inputs (2)'!$D$61:$AL$61,MATCH(AE$7&amp;"",'Inputs (2)'!$D$2:$AL$2,0)),"")</f>
        <v>27790</v>
      </c>
      <c r="AF24" s="269">
        <f>IFERROR(INDEX('Inputs (2)'!$D$61:$AL$61,MATCH(AF$7&amp;"",'Inputs (2)'!$D$2:$AL$2,0)),"")</f>
        <v>24487</v>
      </c>
      <c r="AG24" s="270">
        <f>IF(COUNT(AC24:AF24)=4,SUM(AC24:AF24),"")</f>
        <v>107151</v>
      </c>
      <c r="AH24" s="270">
        <f>IFERROR(INDEX('Inputs (2)'!$D$61:$AL$61,MATCH(AH$7&amp;"",'Inputs (2)'!$D$2:$AL$2,0)),"")</f>
        <v>28824</v>
      </c>
      <c r="AI24" s="270">
        <f>IFERROR(INDEX('Inputs (2)'!$D$61:$AL$61,MATCH(AI$7&amp;"",'Inputs (2)'!$D$2:$AL$2,0)),"")</f>
        <v>35457</v>
      </c>
    </row>
    <row r="25">
      <c r="C25" s="268" t="inlineStr">
        <is>
          <t xml:space="preserve">   Receita Energy Products</t>
        </is>
      </c>
      <c r="D25" s="269" t="str">
        <f>IFERROR(INDEX('Inputs (2)'!$D$62:$AL$62,MATCH(D$7&amp;"",'Inputs (2)'!$D$2:$AL$2,0)),"")</f>
        <v/>
      </c>
      <c r="E25" s="269" t="str">
        <f>IFERROR(INDEX('Inputs (2)'!$D$62:$AL$62,MATCH(E$7&amp;"",'Inputs (2)'!$D$2:$AL$2,0)),"")</f>
        <v/>
      </c>
      <c r="F25" s="269" t="str">
        <f>IFERROR(INDEX('Inputs (2)'!$D$62:$AL$62,MATCH(F$7&amp;"",'Inputs (2)'!$D$2:$AL$2,0)),"")</f>
        <v/>
      </c>
      <c r="G25" s="269" t="str">
        <f>IFERROR(INDEX('Inputs (2)'!$D$62:$AL$62,MATCH(G$7&amp;"",'Inputs (2)'!$D$2:$AL$2,0)),"")</f>
        <v/>
      </c>
      <c r="H25" s="270" t="str">
        <f>IF(COUNT(D25:G25)=4,SUM(D25:G25),"")</f>
        <v/>
      </c>
      <c r="I25" s="269" t="str">
        <f>IFERROR(INDEX('Inputs (2)'!$D$62:$AL$62,MATCH(I$7&amp;"",'Inputs (2)'!$D$2:$AL$2,0)),"")</f>
        <v/>
      </c>
      <c r="J25" s="269" t="str">
        <f>IFERROR(INDEX('Inputs (2)'!$D$62:$AL$62,MATCH(J$7&amp;"",'Inputs (2)'!$D$2:$AL$2,0)),"")</f>
        <v/>
      </c>
      <c r="K25" s="269" t="str">
        <f>IFERROR(INDEX('Inputs (2)'!$D$62:$AL$62,MATCH(K$7&amp;"",'Inputs (2)'!$D$2:$AL$2,0)),"")</f>
        <v/>
      </c>
      <c r="L25" s="269" t="str">
        <f>IFERROR(INDEX('Inputs (2)'!$D$62:$AL$62,MATCH(L$7&amp;"",'Inputs (2)'!$D$2:$AL$2,0)),"")</f>
        <v/>
      </c>
      <c r="M25" s="270" t="str">
        <f>IF(COUNT(I25:L25)=4,SUM(I25:L25),"")</f>
        <v/>
      </c>
      <c r="N25" s="269" t="str">
        <f>IFERROR(INDEX('Inputs (2)'!$D$62:$AL$62,MATCH(N$7&amp;"",'Inputs (2)'!$D$2:$AL$2,0)),"")</f>
        <v/>
      </c>
      <c r="O25" s="269" t="str">
        <f>IFERROR(INDEX('Inputs (2)'!$D$62:$AL$62,MATCH(O$7&amp;"",'Inputs (2)'!$D$2:$AL$2,0)),"")</f>
        <v/>
      </c>
      <c r="P25" s="269" t="str">
        <f>IFERROR(INDEX('Inputs (2)'!$D$62:$AL$62,MATCH(P$7&amp;"",'Inputs (2)'!$D$2:$AL$2,0)),"")</f>
        <v/>
      </c>
      <c r="Q25" s="269" t="str">
        <f>IFERROR(INDEX('Inputs (2)'!$D$62:$AL$62,MATCH(Q$7&amp;"",'Inputs (2)'!$D$2:$AL$2,0)),"")</f>
        <v/>
      </c>
      <c r="R25" s="270" t="str">
        <f>IF(COUNT(N25:Q25)=4,SUM(N25:Q25),"")</f>
        <v/>
      </c>
      <c r="S25" s="269" t="str">
        <f>IFERROR(INDEX('Inputs (2)'!$D$62:$AL$62,MATCH(S$7&amp;"",'Inputs (2)'!$D$2:$AL$2,0)),"")</f>
        <v/>
      </c>
      <c r="T25" s="269" t="str">
        <f>IFERROR(INDEX('Inputs (2)'!$D$62:$AL$62,MATCH(T$7&amp;"",'Inputs (2)'!$D$2:$AL$2,0)),"")</f>
        <v/>
      </c>
      <c r="U25" s="269" t="str">
        <f>IFERROR(INDEX('Inputs (2)'!$D$62:$AL$62,MATCH(U$7&amp;"",'Inputs (2)'!$D$2:$AL$2,0)),"")</f>
        <v/>
      </c>
      <c r="V25" s="269" t="str">
        <f>IFERROR(INDEX('Inputs (2)'!$D$62:$AL$62,MATCH(V$7&amp;"",'Inputs (2)'!$D$2:$AL$2,0)),"")</f>
        <v/>
      </c>
      <c r="W25" s="270" t="str">
        <f>IF(COUNT(S25:V25)=4,SUM(S25:V25),"")</f>
        <v/>
      </c>
      <c r="X25" s="269">
        <f>IFERROR(INDEX('Inputs (2)'!$D$62:$AL$62,MATCH(X$7&amp;"",'Inputs (2)'!$D$2:$AL$2,0)),"")</f>
        <v>77642</v>
      </c>
      <c r="Y25" s="269">
        <f>IFERROR(INDEX('Inputs (2)'!$D$62:$AL$62,MATCH(Y$7&amp;"",'Inputs (2)'!$D$2:$AL$2,0)),"")</f>
        <v>82497</v>
      </c>
      <c r="Z25" s="269">
        <f>IFERROR(INDEX('Inputs (2)'!$D$62:$AL$62,MATCH(Z$7&amp;"",'Inputs (2)'!$D$2:$AL$2,0)),"")</f>
        <v>78704</v>
      </c>
      <c r="AA25" s="269">
        <f>IFERROR(INDEX('Inputs (2)'!$D$62:$AL$62,MATCH(AA$7&amp;"",'Inputs (2)'!$D$2:$AL$2,0)),"")</f>
        <v>72191</v>
      </c>
      <c r="AB25" s="270">
        <f>IF(COUNT(X25:AA25)=4,SUM(X25:AA25),"")</f>
        <v>311034</v>
      </c>
      <c r="AC25" s="269">
        <f>IFERROR(INDEX('Inputs (2)'!$D$62:$AL$62,MATCH(AC$7&amp;"",'Inputs (2)'!$D$2:$AL$2,0)),"")</f>
        <v>71375</v>
      </c>
      <c r="AD25" s="269">
        <f>IFERROR(INDEX('Inputs (2)'!$D$62:$AL$62,MATCH(AD$7&amp;"",'Inputs (2)'!$D$2:$AL$2,0)),"")</f>
        <v>71147</v>
      </c>
      <c r="AE25" s="269">
        <f>IFERROR(INDEX('Inputs (2)'!$D$62:$AL$62,MATCH(AE$7&amp;"",'Inputs (2)'!$D$2:$AL$2,0)),"")</f>
        <v>74990</v>
      </c>
      <c r="AF25" s="269">
        <f>IFERROR(INDEX('Inputs (2)'!$D$62:$AL$62,MATCH(AF$7&amp;"",'Inputs (2)'!$D$2:$AL$2,0)),"")</f>
        <v>74104</v>
      </c>
      <c r="AG25" s="270">
        <f>IF(COUNT(AC25:AF25)=4,SUM(AC25:AF25),"")</f>
        <v>291616</v>
      </c>
      <c r="AH25" s="270">
        <f>IFERROR(INDEX('Inputs (2)'!$D$62:$AL$62,MATCH(AH$7&amp;"",'Inputs (2)'!$D$2:$AL$2,0)),"")</f>
        <v>77272</v>
      </c>
      <c r="AI25" s="270">
        <f>IFERROR(INDEX('Inputs (2)'!$D$62:$AL$62,MATCH(AI$7&amp;"",'Inputs (2)'!$D$2:$AL$2,0)),"")</f>
        <v>109543</v>
      </c>
    </row>
    <row r="26"/>
    <row r="27">
      <c r="C27" s="267" t="inlineStr">
        <is>
          <t>Lucro por segmento (USD milhões)</t>
        </is>
      </c>
      <c r="D27" s="267">
        <f>D7</f>
        <v>0</v>
      </c>
      <c r="E27" s="267">
        <f>E7</f>
        <v>0</v>
      </c>
      <c r="F27" s="267">
        <f>F7</f>
        <v>0</v>
      </c>
      <c r="G27" s="267">
        <f>G7</f>
        <v>0</v>
      </c>
      <c r="H27" s="267">
        <f>H7</f>
        <v>2020</v>
      </c>
      <c r="I27" s="267" t="str">
        <f>I7</f>
        <v>1Q21</v>
      </c>
      <c r="J27" s="267" t="str">
        <f>J7</f>
        <v>2Q21</v>
      </c>
      <c r="K27" s="267" t="str">
        <f>K7</f>
        <v>3Q21</v>
      </c>
      <c r="L27" s="267" t="str">
        <f>L7</f>
        <v>4Q21</v>
      </c>
      <c r="M27" s="267">
        <f>M7</f>
        <v>2021</v>
      </c>
      <c r="N27" s="267" t="str">
        <f>N7</f>
        <v>1Q22</v>
      </c>
      <c r="O27" s="267" t="str">
        <f>O7</f>
        <v>2Q22</v>
      </c>
      <c r="P27" s="267" t="str">
        <f>P7</f>
        <v>3Q22</v>
      </c>
      <c r="Q27" s="267" t="str">
        <f>Q7</f>
        <v>4Q22</v>
      </c>
      <c r="R27" s="267">
        <f>R7</f>
        <v>2022</v>
      </c>
      <c r="S27" s="267" t="str">
        <f>S7</f>
        <v>1Q23</v>
      </c>
      <c r="T27" s="267" t="str">
        <f>T7</f>
        <v>2Q23</v>
      </c>
      <c r="U27" s="267" t="str">
        <f>U7</f>
        <v>3Q23</v>
      </c>
      <c r="V27" s="267" t="str">
        <f>V7</f>
        <v>4Q23</v>
      </c>
      <c r="W27" s="267">
        <f>W7</f>
        <v>2023</v>
      </c>
      <c r="X27" s="267" t="str">
        <f>X7</f>
        <v>1Q24</v>
      </c>
      <c r="Y27" s="267" t="str">
        <f>Y7</f>
        <v>2Q24</v>
      </c>
      <c r="Z27" s="267" t="str">
        <f>Z7</f>
        <v>3Q24</v>
      </c>
      <c r="AA27" s="267" t="str">
        <f>AA7</f>
        <v>4Q24</v>
      </c>
      <c r="AB27" s="267">
        <f>AB7</f>
        <v>2024</v>
      </c>
      <c r="AC27" s="267" t="str">
        <f>AC7</f>
        <v>1Q25</v>
      </c>
      <c r="AD27" s="267" t="str">
        <f>AD7</f>
        <v>2Q25</v>
      </c>
      <c r="AE27" s="267" t="str">
        <f>AE7</f>
        <v>3Q25</v>
      </c>
      <c r="AF27" s="267" t="str">
        <f>AF7</f>
        <v>4Q25</v>
      </c>
      <c r="AG27" s="267">
        <f>AG7</f>
        <v>2025</v>
      </c>
      <c r="AH27" s="267" t="str">
        <f>AH7</f>
        <v>1Q26</v>
      </c>
      <c r="AI27" s="267" t="str">
        <f>AI7</f>
        <v>2Q26</v>
      </c>
    </row>
    <row r="28">
      <c r="C28" s="268" t="inlineStr">
        <is>
          <t xml:space="preserve">   Upstream</t>
        </is>
      </c>
      <c r="D28" s="269" t="str">
        <f>IFERROR(INDEX('Inputs (2)'!$D$56:$AL$56,MATCH(D$7&amp;"",'Inputs (2)'!$D$2:$AL$2,0)),"")</f>
        <v/>
      </c>
      <c r="E28" s="269" t="str">
        <f>IFERROR(INDEX('Inputs (2)'!$D$56:$AL$56,MATCH(E$7&amp;"",'Inputs (2)'!$D$2:$AL$2,0)),"")</f>
        <v/>
      </c>
      <c r="F28" s="269" t="str">
        <f>IFERROR(INDEX('Inputs (2)'!$D$56:$AL$56,MATCH(F$7&amp;"",'Inputs (2)'!$D$2:$AL$2,0)),"")</f>
        <v/>
      </c>
      <c r="G28" s="269" t="str">
        <f>IFERROR(INDEX('Inputs (2)'!$D$56:$AL$56,MATCH(G$7&amp;"",'Inputs (2)'!$D$2:$AL$2,0)),"")</f>
        <v/>
      </c>
      <c r="H28" s="270" t="str">
        <f>IF(COUNT(D28:G28)=4,SUM(D28:G28),"")</f>
        <v/>
      </c>
      <c r="I28" s="269">
        <f>IFERROR(INDEX('Inputs (2)'!$D$56:$AL$56,MATCH(I$7&amp;"",'Inputs (2)'!$D$2:$AL$2,0)),"")</f>
        <v>2554</v>
      </c>
      <c r="J28" s="269">
        <f>IFERROR(INDEX('Inputs (2)'!$D$56:$AL$56,MATCH(J$7&amp;"",'Inputs (2)'!$D$2:$AL$2,0)),"")</f>
        <v>3185</v>
      </c>
      <c r="K28" s="269">
        <f>IFERROR(INDEX('Inputs (2)'!$D$56:$AL$56,MATCH(K$7&amp;"",'Inputs (2)'!$D$2:$AL$2,0)),"")</f>
        <v>3951</v>
      </c>
      <c r="L28" s="269" t="str">
        <f>IFERROR(INDEX('Inputs (2)'!$D$56:$AL$56,MATCH(L$7&amp;"",'Inputs (2)'!$D$2:$AL$2,0)),"")</f>
        <v/>
      </c>
      <c r="M28" s="270" t="str">
        <f>IF(COUNT(I28:L28)=4,SUM(I28:L28),"")</f>
        <v/>
      </c>
      <c r="N28" s="269">
        <f>IFERROR(INDEX('Inputs (2)'!$D$56:$AL$56,MATCH(N$7&amp;"",'Inputs (2)'!$D$2:$AL$2,0)),"")</f>
        <v>4488</v>
      </c>
      <c r="O28" s="269">
        <f>IFERROR(INDEX('Inputs (2)'!$D$56:$AL$56,MATCH(O$7&amp;"",'Inputs (2)'!$D$2:$AL$2,0)),"")</f>
        <v>11371</v>
      </c>
      <c r="P28" s="269">
        <f>IFERROR(INDEX('Inputs (2)'!$D$56:$AL$56,MATCH(P$7&amp;"",'Inputs (2)'!$D$2:$AL$2,0)),"")</f>
        <v>12419</v>
      </c>
      <c r="Q28" s="269">
        <f>IFERROR(INDEX('Inputs (2)'!$D$56:$AL$56,MATCH(Q$7&amp;"",'Inputs (2)'!$D$2:$AL$2,0)),"")</f>
        <v>8201</v>
      </c>
      <c r="R28" s="270">
        <f>IF(COUNT(N28:Q28)=4,SUM(N28:Q28),"")</f>
        <v>36479</v>
      </c>
      <c r="S28" s="269">
        <f>IFERROR(INDEX('Inputs (2)'!$D$56:$AL$56,MATCH(S$7&amp;"",'Inputs (2)'!$D$2:$AL$2,0)),"")</f>
        <v>6457</v>
      </c>
      <c r="T28" s="269">
        <f>IFERROR(INDEX('Inputs (2)'!$D$56:$AL$56,MATCH(T$7&amp;"",'Inputs (2)'!$D$2:$AL$2,0)),"")</f>
        <v>4577</v>
      </c>
      <c r="U28" s="269">
        <f>IFERROR(INDEX('Inputs (2)'!$D$56:$AL$56,MATCH(U$7&amp;"",'Inputs (2)'!$D$2:$AL$2,0)),"")</f>
        <v>6125</v>
      </c>
      <c r="V28" s="269">
        <f>IFERROR(INDEX('Inputs (2)'!$D$56:$AL$56,MATCH(V$7&amp;"",'Inputs (2)'!$D$2:$AL$2,0)),"")</f>
        <v>4149</v>
      </c>
      <c r="W28" s="270">
        <f>IF(COUNT(S28:V28)=4,SUM(S28:V28),"")</f>
        <v>21308</v>
      </c>
      <c r="X28" s="269">
        <f>IFERROR(INDEX('Inputs (2)'!$D$56:$AL$56,MATCH(X$7&amp;"",'Inputs (2)'!$D$2:$AL$2,0)),"")</f>
        <v>5660</v>
      </c>
      <c r="Y28" s="269">
        <f>IFERROR(INDEX('Inputs (2)'!$D$56:$AL$56,MATCH(Y$7&amp;"",'Inputs (2)'!$D$2:$AL$2,0)),"")</f>
        <v>7074</v>
      </c>
      <c r="Z28" s="269">
        <f>IFERROR(INDEX('Inputs (2)'!$D$56:$AL$56,MATCH(Z$7&amp;"",'Inputs (2)'!$D$2:$AL$2,0)),"")</f>
        <v>6158</v>
      </c>
      <c r="AA28" s="269">
        <f>IFERROR(INDEX('Inputs (2)'!$D$56:$AL$56,MATCH(AA$7&amp;"",'Inputs (2)'!$D$2:$AL$2,0)),"")</f>
        <v>6498</v>
      </c>
      <c r="AB28" s="270">
        <f>IF(COUNT(X28:AA28)=4,SUM(X28:AA28),"")</f>
        <v>25390</v>
      </c>
      <c r="AC28" s="269">
        <f>IFERROR(INDEX('Inputs (2)'!$D$56:$AL$56,MATCH(AC$7&amp;"",'Inputs (2)'!$D$2:$AL$2,0)),"")</f>
        <v>6756</v>
      </c>
      <c r="AD28" s="269">
        <f>IFERROR(INDEX('Inputs (2)'!$D$56:$AL$56,MATCH(AD$7&amp;"",'Inputs (2)'!$D$2:$AL$2,0)),"")</f>
        <v>5402</v>
      </c>
      <c r="AE28" s="269">
        <f>IFERROR(INDEX('Inputs (2)'!$D$56:$AL$56,MATCH(AE$7&amp;"",'Inputs (2)'!$D$2:$AL$2,0)),"")</f>
        <v>5679</v>
      </c>
      <c r="AF28" s="269">
        <f>IFERROR(INDEX('Inputs (2)'!$D$56:$AL$56,MATCH(AF$7&amp;"",'Inputs (2)'!$D$2:$AL$2,0)),"")</f>
        <v>3517</v>
      </c>
      <c r="AG28" s="270">
        <f>IF(COUNT(AC28:AF28)=4,SUM(AC28:AF28),"")</f>
        <v>21354</v>
      </c>
      <c r="AH28" s="270">
        <f>IFERROR(INDEX('Inputs (2)'!$D$56:$AL$56,MATCH(AH$7&amp;"",'Inputs (2)'!$D$2:$AL$2,0)),"")</f>
        <v>5737</v>
      </c>
      <c r="AI28" s="270">
        <f>IFERROR(INDEX('Inputs (2)'!$D$56:$AL$56,MATCH(AI$7&amp;"",'Inputs (2)'!$D$2:$AL$2,0)),"")</f>
        <v>7927</v>
      </c>
    </row>
    <row r="29">
      <c r="C29" s="268" t="inlineStr">
        <is>
          <t xml:space="preserve">   Energy Products</t>
        </is>
      </c>
      <c r="D29" s="269" t="str">
        <f>IFERROR(INDEX('Inputs (2)'!$D$57:$AL$57,MATCH(D$7&amp;"",'Inputs (2)'!$D$2:$AL$2,0)),"")</f>
        <v/>
      </c>
      <c r="E29" s="269" t="str">
        <f>IFERROR(INDEX('Inputs (2)'!$D$57:$AL$57,MATCH(E$7&amp;"",'Inputs (2)'!$D$2:$AL$2,0)),"")</f>
        <v/>
      </c>
      <c r="F29" s="269" t="str">
        <f>IFERROR(INDEX('Inputs (2)'!$D$57:$AL$57,MATCH(F$7&amp;"",'Inputs (2)'!$D$2:$AL$2,0)),"")</f>
        <v/>
      </c>
      <c r="G29" s="269" t="str">
        <f>IFERROR(INDEX('Inputs (2)'!$D$57:$AL$57,MATCH(G$7&amp;"",'Inputs (2)'!$D$2:$AL$2,0)),"")</f>
        <v/>
      </c>
      <c r="H29" s="270" t="str">
        <f>IF(COUNT(D29:G29)=4,SUM(D29:G29),"")</f>
        <v/>
      </c>
      <c r="I29" s="269" t="str">
        <f>IFERROR(INDEX('Inputs (2)'!$D$57:$AL$57,MATCH(I$7&amp;"",'Inputs (2)'!$D$2:$AL$2,0)),"")</f>
        <v/>
      </c>
      <c r="J29" s="269" t="str">
        <f>IFERROR(INDEX('Inputs (2)'!$D$57:$AL$57,MATCH(J$7&amp;"",'Inputs (2)'!$D$2:$AL$2,0)),"")</f>
        <v/>
      </c>
      <c r="K29" s="269" t="str">
        <f>IFERROR(INDEX('Inputs (2)'!$D$57:$AL$57,MATCH(K$7&amp;"",'Inputs (2)'!$D$2:$AL$2,0)),"")</f>
        <v/>
      </c>
      <c r="L29" s="269" t="str">
        <f>IFERROR(INDEX('Inputs (2)'!$D$57:$AL$57,MATCH(L$7&amp;"",'Inputs (2)'!$D$2:$AL$2,0)),"")</f>
        <v/>
      </c>
      <c r="M29" s="270" t="str">
        <f>IF(COUNT(I29:L29)=4,SUM(I29:L29),"")</f>
        <v/>
      </c>
      <c r="N29" s="269">
        <f>IFERROR(INDEX('Inputs (2)'!$D$57:$AL$57,MATCH(N$7&amp;"",'Inputs (2)'!$D$2:$AL$2,0)),"")</f>
        <v>-195</v>
      </c>
      <c r="O29" s="269">
        <f>IFERROR(INDEX('Inputs (2)'!$D$57:$AL$57,MATCH(O$7&amp;"",'Inputs (2)'!$D$2:$AL$2,0)),"")</f>
        <v>5272</v>
      </c>
      <c r="P29" s="269">
        <f>IFERROR(INDEX('Inputs (2)'!$D$57:$AL$57,MATCH(P$7&amp;"",'Inputs (2)'!$D$2:$AL$2,0)),"")</f>
        <v>5819</v>
      </c>
      <c r="Q29" s="269">
        <f>IFERROR(INDEX('Inputs (2)'!$D$57:$AL$57,MATCH(Q$7&amp;"",'Inputs (2)'!$D$2:$AL$2,0)),"")</f>
        <v>4070</v>
      </c>
      <c r="R29" s="270">
        <f>IF(COUNT(N29:Q29)=4,SUM(N29:Q29),"")</f>
        <v>14966</v>
      </c>
      <c r="S29" s="269">
        <f>IFERROR(INDEX('Inputs (2)'!$D$57:$AL$57,MATCH(S$7&amp;"",'Inputs (2)'!$D$2:$AL$2,0)),"")</f>
        <v>4183</v>
      </c>
      <c r="T29" s="269">
        <f>IFERROR(INDEX('Inputs (2)'!$D$57:$AL$57,MATCH(T$7&amp;"",'Inputs (2)'!$D$2:$AL$2,0)),"")</f>
        <v>2310</v>
      </c>
      <c r="U29" s="269">
        <f>IFERROR(INDEX('Inputs (2)'!$D$57:$AL$57,MATCH(U$7&amp;"",'Inputs (2)'!$D$2:$AL$2,0)),"")</f>
        <v>2442</v>
      </c>
      <c r="V29" s="269">
        <f>IFERROR(INDEX('Inputs (2)'!$D$57:$AL$57,MATCH(V$7&amp;"",'Inputs (2)'!$D$2:$AL$2,0)),"")</f>
        <v>3207</v>
      </c>
      <c r="W29" s="270">
        <f>IF(COUNT(S29:V29)=4,SUM(S29:V29),"")</f>
        <v>12142</v>
      </c>
      <c r="X29" s="269">
        <f>IFERROR(INDEX('Inputs (2)'!$D$57:$AL$57,MATCH(X$7&amp;"",'Inputs (2)'!$D$2:$AL$2,0)),"")</f>
        <v>1376</v>
      </c>
      <c r="Y29" s="269">
        <f>IFERROR(INDEX('Inputs (2)'!$D$57:$AL$57,MATCH(Y$7&amp;"",'Inputs (2)'!$D$2:$AL$2,0)),"")</f>
        <v>946</v>
      </c>
      <c r="Z29" s="269">
        <f>IFERROR(INDEX('Inputs (2)'!$D$57:$AL$57,MATCH(Z$7&amp;"",'Inputs (2)'!$D$2:$AL$2,0)),"")</f>
        <v>1309</v>
      </c>
      <c r="AA29" s="269">
        <f>IFERROR(INDEX('Inputs (2)'!$D$57:$AL$57,MATCH(AA$7&amp;"",'Inputs (2)'!$D$2:$AL$2,0)),"")</f>
        <v>402</v>
      </c>
      <c r="AB29" s="270">
        <f>IF(COUNT(X29:AA29)=4,SUM(X29:AA29),"")</f>
        <v>4033</v>
      </c>
      <c r="AC29" s="269">
        <f>IFERROR(INDEX('Inputs (2)'!$D$57:$AL$57,MATCH(AC$7&amp;"",'Inputs (2)'!$D$2:$AL$2,0)),"")</f>
        <v>827</v>
      </c>
      <c r="AD29" s="269">
        <f>IFERROR(INDEX('Inputs (2)'!$D$57:$AL$57,MATCH(AD$7&amp;"",'Inputs (2)'!$D$2:$AL$2,0)),"")</f>
        <v>1366</v>
      </c>
      <c r="AE29" s="269">
        <f>IFERROR(INDEX('Inputs (2)'!$D$57:$AL$57,MATCH(AE$7&amp;"",'Inputs (2)'!$D$2:$AL$2,0)),"")</f>
        <v>1840</v>
      </c>
      <c r="AF29" s="269">
        <f>IFERROR(INDEX('Inputs (2)'!$D$57:$AL$57,MATCH(AF$7&amp;"",'Inputs (2)'!$D$2:$AL$2,0)),"")</f>
        <v>3390</v>
      </c>
      <c r="AG29" s="270">
        <f>IF(COUNT(AC29:AF29)=4,SUM(AC29:AF29),"")</f>
        <v>7423</v>
      </c>
      <c r="AH29" s="270">
        <f>IFERROR(INDEX('Inputs (2)'!$D$57:$AL$57,MATCH(AH$7&amp;"",'Inputs (2)'!$D$2:$AL$2,0)),"")</f>
        <v>-1262</v>
      </c>
      <c r="AI29" s="270">
        <f>IFERROR(INDEX('Inputs (2)'!$D$57:$AL$57,MATCH(AI$7&amp;"",'Inputs (2)'!$D$2:$AL$2,0)),"")</f>
        <v>5465</v>
      </c>
    </row>
    <row r="30">
      <c r="C30" s="268" t="inlineStr">
        <is>
          <t xml:space="preserve">   Chemical Products</t>
        </is>
      </c>
      <c r="D30" s="269" t="str">
        <f>IFERROR(INDEX('Inputs (2)'!$D$58:$AL$58,MATCH(D$7&amp;"",'Inputs (2)'!$D$2:$AL$2,0)),"")</f>
        <v/>
      </c>
      <c r="E30" s="269" t="str">
        <f>IFERROR(INDEX('Inputs (2)'!$D$58:$AL$58,MATCH(E$7&amp;"",'Inputs (2)'!$D$2:$AL$2,0)),"")</f>
        <v/>
      </c>
      <c r="F30" s="269" t="str">
        <f>IFERROR(INDEX('Inputs (2)'!$D$58:$AL$58,MATCH(F$7&amp;"",'Inputs (2)'!$D$2:$AL$2,0)),"")</f>
        <v/>
      </c>
      <c r="G30" s="269" t="str">
        <f>IFERROR(INDEX('Inputs (2)'!$D$58:$AL$58,MATCH(G$7&amp;"",'Inputs (2)'!$D$2:$AL$2,0)),"")</f>
        <v/>
      </c>
      <c r="H30" s="270" t="str">
        <f>IF(COUNT(D30:G30)=4,SUM(D30:G30),"")</f>
        <v/>
      </c>
      <c r="I30" s="269" t="str">
        <f>IFERROR(INDEX('Inputs (2)'!$D$58:$AL$58,MATCH(I$7&amp;"",'Inputs (2)'!$D$2:$AL$2,0)),"")</f>
        <v/>
      </c>
      <c r="J30" s="269" t="str">
        <f>IFERROR(INDEX('Inputs (2)'!$D$58:$AL$58,MATCH(J$7&amp;"",'Inputs (2)'!$D$2:$AL$2,0)),"")</f>
        <v/>
      </c>
      <c r="K30" s="269" t="str">
        <f>IFERROR(INDEX('Inputs (2)'!$D$58:$AL$58,MATCH(K$7&amp;"",'Inputs (2)'!$D$2:$AL$2,0)),"")</f>
        <v/>
      </c>
      <c r="L30" s="269" t="str">
        <f>IFERROR(INDEX('Inputs (2)'!$D$58:$AL$58,MATCH(L$7&amp;"",'Inputs (2)'!$D$2:$AL$2,0)),"")</f>
        <v/>
      </c>
      <c r="M30" s="270" t="str">
        <f>IF(COUNT(I30:L30)=4,SUM(I30:L30),"")</f>
        <v/>
      </c>
      <c r="N30" s="269">
        <f>IFERROR(INDEX('Inputs (2)'!$D$58:$AL$58,MATCH(N$7&amp;"",'Inputs (2)'!$D$2:$AL$2,0)),"")</f>
        <v>1406</v>
      </c>
      <c r="O30" s="269">
        <f>IFERROR(INDEX('Inputs (2)'!$D$58:$AL$58,MATCH(O$7&amp;"",'Inputs (2)'!$D$2:$AL$2,0)),"")</f>
        <v>1075</v>
      </c>
      <c r="P30" s="269">
        <f>IFERROR(INDEX('Inputs (2)'!$D$58:$AL$58,MATCH(P$7&amp;"",'Inputs (2)'!$D$2:$AL$2,0)),"")</f>
        <v>812</v>
      </c>
      <c r="Q30" s="269">
        <f>IFERROR(INDEX('Inputs (2)'!$D$58:$AL$58,MATCH(Q$7&amp;"",'Inputs (2)'!$D$2:$AL$2,0)),"")</f>
        <v>250</v>
      </c>
      <c r="R30" s="270">
        <f>IF(COUNT(N30:Q30)=4,SUM(N30:Q30),"")</f>
        <v>3543</v>
      </c>
      <c r="S30" s="269">
        <f>IFERROR(INDEX('Inputs (2)'!$D$58:$AL$58,MATCH(S$7&amp;"",'Inputs (2)'!$D$2:$AL$2,0)),"")</f>
        <v>371</v>
      </c>
      <c r="T30" s="269">
        <f>IFERROR(INDEX('Inputs (2)'!$D$58:$AL$58,MATCH(T$7&amp;"",'Inputs (2)'!$D$2:$AL$2,0)),"")</f>
        <v>828</v>
      </c>
      <c r="U30" s="269">
        <f>IFERROR(INDEX('Inputs (2)'!$D$58:$AL$58,MATCH(U$7&amp;"",'Inputs (2)'!$D$2:$AL$2,0)),"")</f>
        <v>249</v>
      </c>
      <c r="V30" s="269">
        <f>IFERROR(INDEX('Inputs (2)'!$D$58:$AL$58,MATCH(V$7&amp;"",'Inputs (2)'!$D$2:$AL$2,0)),"")</f>
        <v>189</v>
      </c>
      <c r="W30" s="270">
        <f>IF(COUNT(S30:V30)=4,SUM(S30:V30),"")</f>
        <v>1637</v>
      </c>
      <c r="X30" s="269">
        <f>IFERROR(INDEX('Inputs (2)'!$D$58:$AL$58,MATCH(X$7&amp;"",'Inputs (2)'!$D$2:$AL$2,0)),"")</f>
        <v>785</v>
      </c>
      <c r="Y30" s="269">
        <f>IFERROR(INDEX('Inputs (2)'!$D$58:$AL$58,MATCH(Y$7&amp;"",'Inputs (2)'!$D$2:$AL$2,0)),"")</f>
        <v>779</v>
      </c>
      <c r="Z30" s="269">
        <f>IFERROR(INDEX('Inputs (2)'!$D$58:$AL$58,MATCH(Z$7&amp;"",'Inputs (2)'!$D$2:$AL$2,0)),"")</f>
        <v>893</v>
      </c>
      <c r="AA30" s="269">
        <f>IFERROR(INDEX('Inputs (2)'!$D$58:$AL$58,MATCH(AA$7&amp;"",'Inputs (2)'!$D$2:$AL$2,0)),"")</f>
        <v>120</v>
      </c>
      <c r="AB30" s="270">
        <f>IF(COUNT(X30:AA30)=4,SUM(X30:AA30),"")</f>
        <v>2577</v>
      </c>
      <c r="AC30" s="269">
        <f>IFERROR(INDEX('Inputs (2)'!$D$58:$AL$58,MATCH(AC$7&amp;"",'Inputs (2)'!$D$2:$AL$2,0)),"")</f>
        <v>273</v>
      </c>
      <c r="AD30" s="269">
        <f>IFERROR(INDEX('Inputs (2)'!$D$58:$AL$58,MATCH(AD$7&amp;"",'Inputs (2)'!$D$2:$AL$2,0)),"")</f>
        <v>293</v>
      </c>
      <c r="AE30" s="269">
        <f>IFERROR(INDEX('Inputs (2)'!$D$58:$AL$58,MATCH(AE$7&amp;"",'Inputs (2)'!$D$2:$AL$2,0)),"")</f>
        <v>515</v>
      </c>
      <c r="AF30" s="269">
        <f>IFERROR(INDEX('Inputs (2)'!$D$58:$AL$58,MATCH(AF$7&amp;"",'Inputs (2)'!$D$2:$AL$2,0)),"")</f>
        <v>-281</v>
      </c>
      <c r="AG30" s="270">
        <f>IF(COUNT(AC30:AF30)=4,SUM(AC30:AF30),"")</f>
        <v>800</v>
      </c>
      <c r="AH30" s="270">
        <f>IFERROR(INDEX('Inputs (2)'!$D$58:$AL$58,MATCH(AH$7&amp;"",'Inputs (2)'!$D$2:$AL$2,0)),"")</f>
        <v>110</v>
      </c>
      <c r="AI30" s="270">
        <f>IFERROR(INDEX('Inputs (2)'!$D$58:$AL$58,MATCH(AI$7&amp;"",'Inputs (2)'!$D$2:$AL$2,0)),"")</f>
        <v>1131</v>
      </c>
    </row>
    <row r="31">
      <c r="C31" s="268" t="inlineStr">
        <is>
          <t xml:space="preserve">   Specialty Products</t>
        </is>
      </c>
      <c r="D31" s="269" t="str">
        <f>IFERROR(INDEX('Inputs (2)'!$D$59:$AL$59,MATCH(D$7&amp;"",'Inputs (2)'!$D$2:$AL$2,0)),"")</f>
        <v/>
      </c>
      <c r="E31" s="269" t="str">
        <f>IFERROR(INDEX('Inputs (2)'!$D$59:$AL$59,MATCH(E$7&amp;"",'Inputs (2)'!$D$2:$AL$2,0)),"")</f>
        <v/>
      </c>
      <c r="F31" s="269" t="str">
        <f>IFERROR(INDEX('Inputs (2)'!$D$59:$AL$59,MATCH(F$7&amp;"",'Inputs (2)'!$D$2:$AL$2,0)),"")</f>
        <v/>
      </c>
      <c r="G31" s="269" t="str">
        <f>IFERROR(INDEX('Inputs (2)'!$D$59:$AL$59,MATCH(G$7&amp;"",'Inputs (2)'!$D$2:$AL$2,0)),"")</f>
        <v/>
      </c>
      <c r="H31" s="270" t="str">
        <f>IF(COUNT(D31:G31)=4,SUM(D31:G31),"")</f>
        <v/>
      </c>
      <c r="I31" s="269" t="str">
        <f>IFERROR(INDEX('Inputs (2)'!$D$59:$AL$59,MATCH(I$7&amp;"",'Inputs (2)'!$D$2:$AL$2,0)),"")</f>
        <v/>
      </c>
      <c r="J31" s="269" t="str">
        <f>IFERROR(INDEX('Inputs (2)'!$D$59:$AL$59,MATCH(J$7&amp;"",'Inputs (2)'!$D$2:$AL$2,0)),"")</f>
        <v/>
      </c>
      <c r="K31" s="269" t="str">
        <f>IFERROR(INDEX('Inputs (2)'!$D$59:$AL$59,MATCH(K$7&amp;"",'Inputs (2)'!$D$2:$AL$2,0)),"")</f>
        <v/>
      </c>
      <c r="L31" s="269" t="str">
        <f>IFERROR(INDEX('Inputs (2)'!$D$59:$AL$59,MATCH(L$7&amp;"",'Inputs (2)'!$D$2:$AL$2,0)),"")</f>
        <v/>
      </c>
      <c r="M31" s="270" t="str">
        <f>IF(COUNT(I31:L31)=4,SUM(I31:L31),"")</f>
        <v/>
      </c>
      <c r="N31" s="269">
        <f>IFERROR(INDEX('Inputs (2)'!$D$59:$AL$59,MATCH(N$7&amp;"",'Inputs (2)'!$D$2:$AL$2,0)),"")</f>
        <v>476</v>
      </c>
      <c r="O31" s="269">
        <f>IFERROR(INDEX('Inputs (2)'!$D$59:$AL$59,MATCH(O$7&amp;"",'Inputs (2)'!$D$2:$AL$2,0)),"")</f>
        <v>417</v>
      </c>
      <c r="P31" s="269">
        <f>IFERROR(INDEX('Inputs (2)'!$D$59:$AL$59,MATCH(P$7&amp;"",'Inputs (2)'!$D$2:$AL$2,0)),"")</f>
        <v>762</v>
      </c>
      <c r="Q31" s="269">
        <f>IFERROR(INDEX('Inputs (2)'!$D$59:$AL$59,MATCH(Q$7&amp;"",'Inputs (2)'!$D$2:$AL$2,0)),"")</f>
        <v>760</v>
      </c>
      <c r="R31" s="270">
        <f>IF(COUNT(N31:Q31)=4,SUM(N31:Q31),"")</f>
        <v>2415</v>
      </c>
      <c r="S31" s="269">
        <f>IFERROR(INDEX('Inputs (2)'!$D$59:$AL$59,MATCH(S$7&amp;"",'Inputs (2)'!$D$2:$AL$2,0)),"")</f>
        <v>774</v>
      </c>
      <c r="T31" s="269">
        <f>IFERROR(INDEX('Inputs (2)'!$D$59:$AL$59,MATCH(T$7&amp;"",'Inputs (2)'!$D$2:$AL$2,0)),"")</f>
        <v>671</v>
      </c>
      <c r="U31" s="269">
        <f>IFERROR(INDEX('Inputs (2)'!$D$59:$AL$59,MATCH(U$7&amp;"",'Inputs (2)'!$D$2:$AL$2,0)),"")</f>
        <v>619</v>
      </c>
      <c r="V31" s="269">
        <f>IFERROR(INDEX('Inputs (2)'!$D$59:$AL$59,MATCH(V$7&amp;"",'Inputs (2)'!$D$2:$AL$2,0)),"")</f>
        <v>650</v>
      </c>
      <c r="W31" s="270">
        <f>IF(COUNT(S31:V31)=4,SUM(S31:V31),"")</f>
        <v>2714</v>
      </c>
      <c r="X31" s="269">
        <f>IFERROR(INDEX('Inputs (2)'!$D$59:$AL$59,MATCH(X$7&amp;"",'Inputs (2)'!$D$2:$AL$2,0)),"")</f>
        <v>761</v>
      </c>
      <c r="Y31" s="269">
        <f>IFERROR(INDEX('Inputs (2)'!$D$59:$AL$59,MATCH(Y$7&amp;"",'Inputs (2)'!$D$2:$AL$2,0)),"")</f>
        <v>751</v>
      </c>
      <c r="Z31" s="269">
        <f>IFERROR(INDEX('Inputs (2)'!$D$59:$AL$59,MATCH(Z$7&amp;"",'Inputs (2)'!$D$2:$AL$2,0)),"")</f>
        <v>794</v>
      </c>
      <c r="AA31" s="269">
        <f>IFERROR(INDEX('Inputs (2)'!$D$59:$AL$59,MATCH(AA$7&amp;"",'Inputs (2)'!$D$2:$AL$2,0)),"")</f>
        <v>746</v>
      </c>
      <c r="AB31" s="270">
        <f>IF(COUNT(X31:AA31)=4,SUM(X31:AA31),"")</f>
        <v>3052</v>
      </c>
      <c r="AC31" s="269">
        <f>IFERROR(INDEX('Inputs (2)'!$D$59:$AL$59,MATCH(AC$7&amp;"",'Inputs (2)'!$D$2:$AL$2,0)),"")</f>
        <v>655</v>
      </c>
      <c r="AD31" s="269">
        <f>IFERROR(INDEX('Inputs (2)'!$D$59:$AL$59,MATCH(AD$7&amp;"",'Inputs (2)'!$D$2:$AL$2,0)),"")</f>
        <v>780</v>
      </c>
      <c r="AE31" s="269">
        <f>IFERROR(INDEX('Inputs (2)'!$D$59:$AL$59,MATCH(AE$7&amp;"",'Inputs (2)'!$D$2:$AL$2,0)),"")</f>
        <v>740</v>
      </c>
      <c r="AF31" s="269">
        <f>IFERROR(INDEX('Inputs (2)'!$D$59:$AL$59,MATCH(AF$7&amp;"",'Inputs (2)'!$D$2:$AL$2,0)),"")</f>
        <v>682</v>
      </c>
      <c r="AG31" s="270">
        <f>IF(COUNT(AC31:AF31)=4,SUM(AC31:AF31),"")</f>
        <v>2857</v>
      </c>
      <c r="AH31" s="270">
        <f>IFERROR(INDEX('Inputs (2)'!$D$59:$AL$59,MATCH(AH$7&amp;"",'Inputs (2)'!$D$2:$AL$2,0)),"")</f>
        <v>651</v>
      </c>
      <c r="AI31" s="270">
        <f>IFERROR(INDEX('Inputs (2)'!$D$59:$AL$59,MATCH(AI$7&amp;"",'Inputs (2)'!$D$2:$AL$2,0)),"")</f>
        <v>956</v>
      </c>
    </row>
    <row r="32">
      <c r="C32" s="268" t="inlineStr">
        <is>
          <t xml:space="preserve">   Corporate e financeiro</t>
        </is>
      </c>
      <c r="D32" s="269" t="str">
        <f>IFERROR(INDEX('Inputs (2)'!$D$60:$AL$60,MATCH(D$7&amp;"",'Inputs (2)'!$D$2:$AL$2,0)),"")</f>
        <v/>
      </c>
      <c r="E32" s="269" t="str">
        <f>IFERROR(INDEX('Inputs (2)'!$D$60:$AL$60,MATCH(E$7&amp;"",'Inputs (2)'!$D$2:$AL$2,0)),"")</f>
        <v/>
      </c>
      <c r="F32" s="269" t="str">
        <f>IFERROR(INDEX('Inputs (2)'!$D$60:$AL$60,MATCH(F$7&amp;"",'Inputs (2)'!$D$2:$AL$2,0)),"")</f>
        <v/>
      </c>
      <c r="G32" s="269" t="str">
        <f>IFERROR(INDEX('Inputs (2)'!$D$60:$AL$60,MATCH(G$7&amp;"",'Inputs (2)'!$D$2:$AL$2,0)),"")</f>
        <v/>
      </c>
      <c r="H32" s="270" t="str">
        <f>IF(COUNT(D32:G32)=4,SUM(D32:G32),"")</f>
        <v/>
      </c>
      <c r="I32" s="269">
        <f>IFERROR(INDEX('Inputs (2)'!$D$60:$AL$60,MATCH(I$7&amp;"",'Inputs (2)'!$D$2:$AL$2,0)),"")</f>
        <v>-849</v>
      </c>
      <c r="J32" s="269">
        <f>IFERROR(INDEX('Inputs (2)'!$D$60:$AL$60,MATCH(J$7&amp;"",'Inputs (2)'!$D$2:$AL$2,0)),"")</f>
        <v>-588</v>
      </c>
      <c r="K32" s="269">
        <f>IFERROR(INDEX('Inputs (2)'!$D$60:$AL$60,MATCH(K$7&amp;"",'Inputs (2)'!$D$2:$AL$2,0)),"")</f>
        <v>-596</v>
      </c>
      <c r="L32" s="269" t="str">
        <f>IFERROR(INDEX('Inputs (2)'!$D$60:$AL$60,MATCH(L$7&amp;"",'Inputs (2)'!$D$2:$AL$2,0)),"")</f>
        <v/>
      </c>
      <c r="M32" s="270" t="str">
        <f>IF(COUNT(I32:L32)=4,SUM(I32:L32),"")</f>
        <v/>
      </c>
      <c r="N32" s="269">
        <f>IFERROR(INDEX('Inputs (2)'!$D$60:$AL$60,MATCH(N$7&amp;"",'Inputs (2)'!$D$2:$AL$2,0)),"")</f>
        <v>-694</v>
      </c>
      <c r="O32" s="269">
        <f>IFERROR(INDEX('Inputs (2)'!$D$60:$AL$60,MATCH(O$7&amp;"",'Inputs (2)'!$D$2:$AL$2,0)),"")</f>
        <v>-286</v>
      </c>
      <c r="P32" s="269">
        <f>IFERROR(INDEX('Inputs (2)'!$D$60:$AL$60,MATCH(P$7&amp;"",'Inputs (2)'!$D$2:$AL$2,0)),"")</f>
        <v>-152</v>
      </c>
      <c r="Q32" s="269">
        <f>IFERROR(INDEX('Inputs (2)'!$D$60:$AL$60,MATCH(Q$7&amp;"",'Inputs (2)'!$D$2:$AL$2,0)),"")</f>
        <v>-531</v>
      </c>
      <c r="R32" s="270">
        <f>IF(COUNT(N32:Q32)=4,SUM(N32:Q32),"")</f>
        <v>-1663</v>
      </c>
      <c r="S32" s="269">
        <f>IFERROR(INDEX('Inputs (2)'!$D$60:$AL$60,MATCH(S$7&amp;"",'Inputs (2)'!$D$2:$AL$2,0)),"")</f>
        <v>-355</v>
      </c>
      <c r="T32" s="269">
        <f>IFERROR(INDEX('Inputs (2)'!$D$60:$AL$60,MATCH(T$7&amp;"",'Inputs (2)'!$D$2:$AL$2,0)),"")</f>
        <v>-506</v>
      </c>
      <c r="U32" s="269">
        <f>IFERROR(INDEX('Inputs (2)'!$D$60:$AL$60,MATCH(U$7&amp;"",'Inputs (2)'!$D$2:$AL$2,0)),"")</f>
        <v>-365</v>
      </c>
      <c r="V32" s="269">
        <f>IFERROR(INDEX('Inputs (2)'!$D$60:$AL$60,MATCH(V$7&amp;"",'Inputs (2)'!$D$2:$AL$2,0)),"")</f>
        <v>-565</v>
      </c>
      <c r="W32" s="270">
        <f>IF(COUNT(S32:V32)=4,SUM(S32:V32),"")</f>
        <v>-1791</v>
      </c>
      <c r="X32" s="269">
        <f>IFERROR(INDEX('Inputs (2)'!$D$60:$AL$60,MATCH(X$7&amp;"",'Inputs (2)'!$D$2:$AL$2,0)),"")</f>
        <v>-362</v>
      </c>
      <c r="Y32" s="269">
        <f>IFERROR(INDEX('Inputs (2)'!$D$60:$AL$60,MATCH(Y$7&amp;"",'Inputs (2)'!$D$2:$AL$2,0)),"")</f>
        <v>-310</v>
      </c>
      <c r="Z32" s="269">
        <f>IFERROR(INDEX('Inputs (2)'!$D$60:$AL$60,MATCH(Z$7&amp;"",'Inputs (2)'!$D$2:$AL$2,0)),"")</f>
        <v>-544</v>
      </c>
      <c r="AA32" s="269">
        <f>IFERROR(INDEX('Inputs (2)'!$D$60:$AL$60,MATCH(AA$7&amp;"",'Inputs (2)'!$D$2:$AL$2,0)),"")</f>
        <v>-156</v>
      </c>
      <c r="AB32" s="270">
        <f>IF(COUNT(X32:AA32)=4,SUM(X32:AA32),"")</f>
        <v>-1372</v>
      </c>
      <c r="AC32" s="269">
        <f>IFERROR(INDEX('Inputs (2)'!$D$60:$AL$60,MATCH(AC$7&amp;"",'Inputs (2)'!$D$2:$AL$2,0)),"")</f>
        <v>-798</v>
      </c>
      <c r="AD32" s="269">
        <f>IFERROR(INDEX('Inputs (2)'!$D$60:$AL$60,MATCH(AD$7&amp;"",'Inputs (2)'!$D$2:$AL$2,0)),"")</f>
        <v>-759</v>
      </c>
      <c r="AE32" s="269">
        <f>IFERROR(INDEX('Inputs (2)'!$D$60:$AL$60,MATCH(AE$7&amp;"",'Inputs (2)'!$D$2:$AL$2,0)),"")</f>
        <v>-1226</v>
      </c>
      <c r="AF32" s="269">
        <f>IFERROR(INDEX('Inputs (2)'!$D$60:$AL$60,MATCH(AF$7&amp;"",'Inputs (2)'!$D$2:$AL$2,0)),"")</f>
        <v>-807</v>
      </c>
      <c r="AG32" s="270">
        <f>IF(COUNT(AC32:AF32)=4,SUM(AC32:AF32),"")</f>
        <v>-3590</v>
      </c>
      <c r="AH32" s="270">
        <f>IFERROR(INDEX('Inputs (2)'!$D$60:$AL$60,MATCH(AH$7&amp;"",'Inputs (2)'!$D$2:$AL$2,0)),"")</f>
        <v>-1053</v>
      </c>
      <c r="AI32" s="270">
        <f>IFERROR(INDEX('Inputs (2)'!$D$60:$AL$60,MATCH(AI$7&amp;"",'Inputs (2)'!$D$2:$AL$2,0)),"")</f>
        <v>-954</v>
      </c>
    </row>
    <row r="33">
      <c r="C33" s="271" t="inlineStr">
        <is>
          <t>Lucro líquido (soma dos segmentos; completa só a partir de 2022 - antes a Exxon usava Downstream/Chemical)</t>
        </is>
      </c>
      <c r="D33" s="269" t="str">
        <f>IF(COUNT(D28,D29,D30,D31,D32)=0,"",N(D28)+N(D29)+N(D30)+N(D31)+N(D32))</f>
        <v/>
      </c>
      <c r="E33" s="269" t="str">
        <f>IF(COUNT(E28,E29,E30,E31,E32)=0,"",N(E28)+N(E29)+N(E30)+N(E31)+N(E32))</f>
        <v/>
      </c>
      <c r="F33" s="269" t="str">
        <f>IF(COUNT(F28,F29,F30,F31,F32)=0,"",N(F28)+N(F29)+N(F30)+N(F31)+N(F32))</f>
        <v/>
      </c>
      <c r="G33" s="269" t="str">
        <f>IF(COUNT(G28,G29,G30,G31,G32)=0,"",N(G28)+N(G29)+N(G30)+N(G31)+N(G32))</f>
        <v/>
      </c>
      <c r="H33" s="270" t="str">
        <f>IF(COUNT(H28,H29,H30,H31,H32)=0,"",N(H28)+N(H29)+N(H30)+N(H31)+N(H32))</f>
        <v/>
      </c>
      <c r="I33" s="269">
        <f>IF(COUNT(I28,I29,I30,I31,I32)=0,"",N(I28)+N(I29)+N(I30)+N(I31)+N(I32))</f>
        <v>1705</v>
      </c>
      <c r="J33" s="269">
        <f>IF(COUNT(J28,J29,J30,J31,J32)=0,"",N(J28)+N(J29)+N(J30)+N(J31)+N(J32))</f>
        <v>2597</v>
      </c>
      <c r="K33" s="269">
        <f>IF(COUNT(K28,K29,K30,K31,K32)=0,"",N(K28)+N(K29)+N(K30)+N(K31)+N(K32))</f>
        <v>3355</v>
      </c>
      <c r="L33" s="269" t="str">
        <f>IF(COUNT(L28,L29,L30,L31,L32)=0,"",N(L28)+N(L29)+N(L30)+N(L31)+N(L32))</f>
        <v/>
      </c>
      <c r="M33" s="270" t="str">
        <f>IF(COUNT(M28,M29,M30,M31,M32)=0,"",N(M28)+N(M29)+N(M30)+N(M31)+N(M32))</f>
        <v/>
      </c>
      <c r="N33" s="269">
        <f>IF(COUNT(N28,N29,N30,N31,N32)=0,"",N(N28)+N(N29)+N(N30)+N(N31)+N(N32))</f>
        <v>5481</v>
      </c>
      <c r="O33" s="269">
        <f>IF(COUNT(O28,O29,O30,O31,O32)=0,"",N(O28)+N(O29)+N(O30)+N(O31)+N(O32))</f>
        <v>17849</v>
      </c>
      <c r="P33" s="269">
        <f>IF(COUNT(P28,P29,P30,P31,P32)=0,"",N(P28)+N(P29)+N(P30)+N(P31)+N(P32))</f>
        <v>19660</v>
      </c>
      <c r="Q33" s="269">
        <f>IF(COUNT(Q28,Q29,Q30,Q31,Q32)=0,"",N(Q28)+N(Q29)+N(Q30)+N(Q31)+N(Q32))</f>
        <v>12750</v>
      </c>
      <c r="R33" s="270">
        <f>IF(COUNT(R28,R29,R30,R31,R32)=0,"",N(R28)+N(R29)+N(R30)+N(R31)+N(R32))</f>
        <v>55740</v>
      </c>
      <c r="S33" s="269">
        <f>IF(COUNT(S28,S29,S30,S31,S32)=0,"",N(S28)+N(S29)+N(S30)+N(S31)+N(S32))</f>
        <v>11430</v>
      </c>
      <c r="T33" s="269">
        <f>IF(COUNT(T28,T29,T30,T31,T32)=0,"",N(T28)+N(T29)+N(T30)+N(T31)+N(T32))</f>
        <v>7880</v>
      </c>
      <c r="U33" s="269">
        <f>IF(COUNT(U28,U29,U30,U31,U32)=0,"",N(U28)+N(U29)+N(U30)+N(U31)+N(U32))</f>
        <v>9070</v>
      </c>
      <c r="V33" s="269">
        <f>IF(COUNT(V28,V29,V30,V31,V32)=0,"",N(V28)+N(V29)+N(V30)+N(V31)+N(V32))</f>
        <v>7630</v>
      </c>
      <c r="W33" s="270">
        <f>IF(COUNT(W28,W29,W30,W31,W32)=0,"",N(W28)+N(W29)+N(W30)+N(W31)+N(W32))</f>
        <v>36010</v>
      </c>
      <c r="X33" s="269">
        <f>IF(COUNT(X28,X29,X30,X31,X32)=0,"",N(X28)+N(X29)+N(X30)+N(X31)+N(X32))</f>
        <v>8220</v>
      </c>
      <c r="Y33" s="269">
        <f>IF(COUNT(Y28,Y29,Y30,Y31,Y32)=0,"",N(Y28)+N(Y29)+N(Y30)+N(Y31)+N(Y32))</f>
        <v>9240</v>
      </c>
      <c r="Z33" s="269">
        <f>IF(COUNT(Z28,Z29,Z30,Z31,Z32)=0,"",N(Z28)+N(Z29)+N(Z30)+N(Z31)+N(Z32))</f>
        <v>8610</v>
      </c>
      <c r="AA33" s="269">
        <f>IF(COUNT(AA28,AA29,AA30,AA31,AA32)=0,"",N(AA28)+N(AA29)+N(AA30)+N(AA31)+N(AA32))</f>
        <v>7610</v>
      </c>
      <c r="AB33" s="270">
        <f>IF(COUNT(AB28,AB29,AB30,AB31,AB32)=0,"",N(AB28)+N(AB29)+N(AB30)+N(AB31)+N(AB32))</f>
        <v>33680</v>
      </c>
      <c r="AC33" s="269">
        <f>IF(COUNT(AC28,AC29,AC30,AC31,AC32)=0,"",N(AC28)+N(AC29)+N(AC30)+N(AC31)+N(AC32))</f>
        <v>7713</v>
      </c>
      <c r="AD33" s="269">
        <f>IF(COUNT(AD28,AD29,AD30,AD31,AD32)=0,"",N(AD28)+N(AD29)+N(AD30)+N(AD31)+N(AD32))</f>
        <v>7082</v>
      </c>
      <c r="AE33" s="269">
        <f>IF(COUNT(AE28,AE29,AE30,AE31,AE32)=0,"",N(AE28)+N(AE29)+N(AE30)+N(AE31)+N(AE32))</f>
        <v>7548</v>
      </c>
      <c r="AF33" s="269">
        <f>IF(COUNT(AF28,AF29,AF30,AF31,AF32)=0,"",N(AF28)+N(AF29)+N(AF30)+N(AF31)+N(AF32))</f>
        <v>6501</v>
      </c>
      <c r="AG33" s="270">
        <f>IF(COUNT(AG28,AG29,AG30,AG31,AG32)=0,"",N(AG28)+N(AG29)+N(AG30)+N(AG31)+N(AG32))</f>
        <v>28844</v>
      </c>
      <c r="AH33" s="270">
        <f>IF(COUNT(AH28,AH29,AH30,AH31,AH32)=0,"",N(AH28)+N(AH29)+N(AH30)+N(AH31)+N(AH32))</f>
        <v>4183</v>
      </c>
      <c r="AI33" s="270">
        <f>IF(COUNT(AI28,AI29,AI30,AI31,AI32)=0,"",N(AI28)+N(AI29)+N(AI30)+N(AI31)+N(AI32))</f>
        <v>14525</v>
      </c>
    </row>
    <row r="34">
      <c r="C34" s="268" t="inlineStr">
        <is>
          <t xml:space="preserve">   % Upstream no lucro</t>
        </is>
      </c>
      <c r="D34" s="272" t="str">
        <f>IFERROR(D28/D33,"")</f>
        <v/>
      </c>
      <c r="E34" s="272" t="str">
        <f>IFERROR(E28/E33,"")</f>
        <v/>
      </c>
      <c r="F34" s="272" t="str">
        <f>IFERROR(F28/F33,"")</f>
        <v/>
      </c>
      <c r="G34" s="272" t="str">
        <f>IFERROR(G28/G33,"")</f>
        <v/>
      </c>
      <c r="H34" s="273" t="str">
        <f>IFERROR(H28/H33,"")</f>
        <v/>
      </c>
      <c r="I34" s="272">
        <f>IFERROR(I28/I33,"")</f>
        <v>1.49794721407625</v>
      </c>
      <c r="J34" s="272">
        <f>IFERROR(J28/J33,"")</f>
        <v>1.22641509433962</v>
      </c>
      <c r="K34" s="272">
        <f>IFERROR(K28/K33,"")</f>
        <v>1.17764530551416</v>
      </c>
      <c r="L34" s="272" t="str">
        <f>IFERROR(L28/L33,"")</f>
        <v/>
      </c>
      <c r="M34" s="273" t="str">
        <f>IFERROR(M28/M33,"")</f>
        <v/>
      </c>
      <c r="N34" s="272">
        <f>IFERROR(N28/N33,"")</f>
        <v>0.818828680897646</v>
      </c>
      <c r="O34" s="272">
        <f>IFERROR(O28/O33,"")</f>
        <v>0.63706650232506</v>
      </c>
      <c r="P34" s="272">
        <f>IFERROR(P28/P33,"")</f>
        <v>0.631688708036623</v>
      </c>
      <c r="Q34" s="272">
        <f>IFERROR(Q28/Q33,"")</f>
        <v>0.64321568627451</v>
      </c>
      <c r="R34" s="273">
        <f>IFERROR(R28/R33,"")</f>
        <v>0.654449228561177</v>
      </c>
      <c r="S34" s="272">
        <f>IFERROR(S28/S33,"")</f>
        <v>0.564916885389326</v>
      </c>
      <c r="T34" s="272">
        <f>IFERROR(T28/T33,"")</f>
        <v>0.580837563451777</v>
      </c>
      <c r="U34" s="272">
        <f>IFERROR(U28/U33,"")</f>
        <v>0.675303197353914</v>
      </c>
      <c r="V34" s="272">
        <f>IFERROR(V28/V33,"")</f>
        <v>0.543774574049803</v>
      </c>
      <c r="W34" s="273">
        <f>IFERROR(W28/W33,"")</f>
        <v>0.591724520966398</v>
      </c>
      <c r="X34" s="272">
        <f>IFERROR(X28/X33,"")</f>
        <v>0.688564476885645</v>
      </c>
      <c r="Y34" s="272">
        <f>IFERROR(Y28/Y33,"")</f>
        <v>0.765584415584416</v>
      </c>
      <c r="Z34" s="272">
        <f>IFERROR(Z28/Z33,"")</f>
        <v>0.715214866434379</v>
      </c>
      <c r="AA34" s="272">
        <f>IFERROR(AA28/AA33,"")</f>
        <v>0.853876478318003</v>
      </c>
      <c r="AB34" s="273">
        <f>IFERROR(AB28/AB33,"")</f>
        <v>0.753859857482185</v>
      </c>
      <c r="AC34" s="272">
        <f>IFERROR(AC28/AC33,"")</f>
        <v>0.875923765071957</v>
      </c>
      <c r="AD34" s="272">
        <f>IFERROR(AD28/AD33,"")</f>
        <v>0.762778876023722</v>
      </c>
      <c r="AE34" s="272">
        <f>IFERROR(AE28/AE33,"")</f>
        <v>0.752384737678855</v>
      </c>
      <c r="AF34" s="272">
        <f>IFERROR(AF28/AF33,"")</f>
        <v>0.540993693277957</v>
      </c>
      <c r="AG34" s="273">
        <f>IFERROR(AG28/AG33,"")</f>
        <v>0.740327277770074</v>
      </c>
      <c r="AH34" s="273">
        <f>IFERROR(AH28/AH33,"")</f>
        <v>1.37150370547454</v>
      </c>
      <c r="AI34" s="273">
        <f>IFERROR(AI28/AI33,"")</f>
        <v>0.545748709122203</v>
      </c>
    </row>
    <row r="35"/>
    <row r="36"/>
    <row r="37"/>
    <row r="38" hidden="1" outlineLevel="1" customFormat="1" s="43">
      <c r="A38" s="36" t="n"/>
      <c r="B38" s="37" t="n"/>
      <c r="C38" s="45" t="n"/>
      <c r="D38" s="39" t="n"/>
      <c r="E38" s="39" t="n"/>
      <c r="F38" s="39" t="n"/>
      <c r="G38" s="39" t="n"/>
      <c r="H38" s="39" t="n"/>
      <c r="I38" s="39" t="n"/>
      <c r="J38" s="39" t="n"/>
      <c r="K38" s="39" t="n"/>
      <c r="L38" s="39" t="n"/>
      <c r="M38" s="39" t="n"/>
      <c r="N38" s="39" t="n"/>
      <c r="O38" s="39" t="n"/>
      <c r="P38" s="39" t="n"/>
      <c r="Q38" s="39" t="n"/>
      <c r="R38" s="39" t="n"/>
      <c r="S38" s="39" t="n"/>
      <c r="T38" s="39" t="n"/>
      <c r="U38" s="39" t="n"/>
      <c r="V38" s="39" t="n"/>
      <c r="W38" s="39" t="n"/>
      <c r="X38" s="39" t="n"/>
      <c r="Y38" s="39" t="n"/>
      <c r="Z38" s="39" t="n"/>
      <c r="AA38" s="39" t="n"/>
      <c r="AB38" s="39" t="n"/>
      <c r="AC38" s="39" t="n"/>
      <c r="AD38" s="39" t="n"/>
      <c r="AE38" s="39" t="n"/>
      <c r="AF38" s="39" t="n"/>
      <c r="AG38" s="39" t="n"/>
      <c r="AH38" s="39" t="n"/>
      <c r="AI38" s="39" t="n"/>
      <c r="AJ38" s="39" t="n"/>
      <c r="AK38" s="39" t="n"/>
      <c r="AL38" s="39" t="n"/>
      <c r="AM38" s="39" t="n"/>
      <c r="AN38" s="39" t="n"/>
      <c r="AO38" s="39" t="n"/>
      <c r="AP38" s="39" t="n"/>
      <c r="AQ38" s="39" t="n"/>
      <c r="AR38" s="39" t="n"/>
      <c r="AS38" s="39" t="n"/>
      <c r="AT38" s="39" t="n"/>
      <c r="AU38" s="39" t="n"/>
      <c r="AV38" s="39" t="n"/>
      <c r="AW38" s="39" t="n"/>
      <c r="AX38" s="39" t="n"/>
      <c r="AY38" s="39" t="n"/>
      <c r="AZ38" s="39" t="n"/>
      <c r="BA38" s="39" t="n"/>
      <c r="BB38" s="39" t="n"/>
      <c r="BC38" s="39" t="n"/>
      <c r="BD38" s="39" t="n"/>
      <c r="BE38" s="39" t="n"/>
      <c r="BF38" s="39" t="n"/>
      <c r="BG38" s="39" t="n"/>
      <c r="BH38" s="39" t="n"/>
      <c r="BI38" s="39" t="n"/>
      <c r="BJ38" s="39" t="n"/>
      <c r="BK38" s="39" t="n"/>
      <c r="BL38" s="39" t="n"/>
      <c r="BM38" s="39" t="n"/>
      <c r="BN38" s="39" t="n"/>
      <c r="BO38" s="39" t="n"/>
      <c r="BP38" s="39" t="n"/>
      <c r="BQ38" s="39" t="n"/>
      <c r="BR38" s="39" t="n"/>
      <c r="BS38" s="39" t="n"/>
      <c r="BT38" s="39" t="n"/>
      <c r="BU38" s="39" t="n"/>
      <c r="BV38" s="39" t="n"/>
      <c r="BW38" s="39" t="n"/>
      <c r="BX38" s="39" t="n"/>
      <c r="BY38" s="39" t="n"/>
      <c r="BZ38" s="39" t="n"/>
      <c r="CA38" s="39" t="n"/>
      <c r="CB38" s="39" t="n"/>
      <c r="CC38" s="39" t="n"/>
      <c r="CD38" s="39" t="n"/>
      <c r="CE38" s="39" t="n"/>
      <c r="CF38" s="39" t="n"/>
      <c r="CG38" s="39" t="n"/>
      <c r="CH38" s="39" t="n"/>
      <c r="CI38" s="39" t="n"/>
      <c r="CJ38" s="39" t="n"/>
      <c r="CK38" s="39" t="n"/>
      <c r="CL38" s="39" t="n"/>
      <c r="CM38" s="39" t="n"/>
      <c r="CN38" s="39" t="n"/>
      <c r="CO38" s="39" t="n"/>
      <c r="CP38" s="39" t="n"/>
      <c r="CQ38" s="39" t="n"/>
      <c r="CR38" s="39" t="n"/>
      <c r="CS38" s="39" t="n"/>
      <c r="CT38" s="39" t="n"/>
      <c r="CU38" s="39" t="n"/>
      <c r="CV38" s="39" t="n"/>
      <c r="CW38" s="39" t="n"/>
      <c r="CX38" s="39" t="n"/>
      <c r="CY38" s="39" t="n"/>
    </row>
    <row r="39" hidden="1" outlineLevel="1" customFormat="1" s="43">
      <c r="A39" s="36" t="n"/>
      <c r="B39" s="37" t="n"/>
      <c r="C39" s="45" t="n"/>
      <c r="D39" s="39" t="n"/>
      <c r="E39" s="39" t="n"/>
      <c r="F39" s="39" t="n"/>
      <c r="G39" s="39" t="n"/>
      <c r="H39" s="39" t="n"/>
      <c r="I39" s="39" t="n"/>
      <c r="J39" s="39" t="n"/>
      <c r="K39" s="39" t="n"/>
      <c r="L39" s="39" t="n"/>
      <c r="M39" s="39" t="n"/>
      <c r="N39" s="39" t="n"/>
      <c r="O39" s="39" t="n"/>
      <c r="P39" s="39" t="n"/>
      <c r="Q39" s="39" t="n"/>
      <c r="R39" s="39" t="n"/>
      <c r="S39" s="39" t="n"/>
      <c r="T39" s="39" t="n"/>
      <c r="U39" s="39" t="n"/>
      <c r="V39" s="39" t="n"/>
      <c r="W39" s="39" t="n"/>
      <c r="X39" s="39" t="n"/>
      <c r="Y39" s="39" t="n"/>
      <c r="Z39" s="39" t="n"/>
      <c r="AA39" s="39" t="n"/>
      <c r="AB39" s="39" t="n"/>
      <c r="AC39" s="39" t="n"/>
      <c r="AD39" s="39" t="n"/>
      <c r="AE39" s="39" t="n"/>
      <c r="AF39" s="39" t="n"/>
      <c r="AG39" s="39" t="n"/>
      <c r="AH39" s="39" t="n"/>
      <c r="AI39" s="39" t="n"/>
      <c r="AJ39" s="39" t="n"/>
      <c r="AK39" s="39" t="n"/>
      <c r="AL39" s="39" t="n"/>
      <c r="AM39" s="39" t="n"/>
      <c r="AN39" s="39" t="n"/>
      <c r="AO39" s="39" t="n"/>
      <c r="AP39" s="39" t="n"/>
      <c r="AQ39" s="39" t="n"/>
      <c r="AR39" s="39" t="n"/>
      <c r="AS39" s="39" t="n"/>
      <c r="AT39" s="39" t="n"/>
      <c r="AU39" s="39" t="n"/>
      <c r="AV39" s="39" t="n"/>
      <c r="AW39" s="39" t="n"/>
      <c r="AX39" s="39" t="n"/>
      <c r="AY39" s="39" t="n"/>
      <c r="AZ39" s="39" t="n"/>
      <c r="BA39" s="39" t="n"/>
      <c r="BB39" s="39" t="n"/>
      <c r="BC39" s="39" t="n"/>
      <c r="BD39" s="39" t="n"/>
      <c r="BE39" s="39" t="n"/>
      <c r="BF39" s="39" t="n"/>
      <c r="BG39" s="39" t="n"/>
      <c r="BH39" s="39" t="n"/>
      <c r="BI39" s="39" t="n"/>
      <c r="BJ39" s="39" t="n"/>
      <c r="BK39" s="39" t="n"/>
      <c r="BL39" s="39" t="n"/>
      <c r="BM39" s="39" t="n"/>
      <c r="BN39" s="39" t="n"/>
      <c r="BO39" s="39" t="n"/>
      <c r="BP39" s="39" t="n"/>
      <c r="BQ39" s="39" t="n"/>
      <c r="BR39" s="39" t="n"/>
      <c r="BS39" s="39" t="n"/>
      <c r="BT39" s="39" t="n"/>
      <c r="BU39" s="39" t="n"/>
      <c r="BV39" s="39" t="n"/>
      <c r="BW39" s="39" t="n"/>
      <c r="BX39" s="39" t="n"/>
      <c r="BY39" s="39" t="n"/>
      <c r="BZ39" s="39" t="n"/>
      <c r="CA39" s="39" t="n"/>
      <c r="CB39" s="39" t="n"/>
      <c r="CC39" s="39" t="n"/>
      <c r="CD39" s="39" t="n"/>
      <c r="CE39" s="39" t="n"/>
      <c r="CF39" s="39" t="n"/>
      <c r="CG39" s="39" t="n"/>
      <c r="CH39" s="39" t="n"/>
      <c r="CI39" s="39" t="n"/>
      <c r="CJ39" s="39" t="n"/>
      <c r="CK39" s="39" t="n"/>
      <c r="CL39" s="39" t="n"/>
      <c r="CM39" s="39" t="n"/>
      <c r="CN39" s="39" t="n"/>
      <c r="CO39" s="39" t="n"/>
      <c r="CP39" s="39" t="n"/>
      <c r="CQ39" s="39" t="n"/>
      <c r="CR39" s="39" t="n"/>
      <c r="CS39" s="39" t="n"/>
      <c r="CT39" s="39" t="n"/>
      <c r="CU39" s="39" t="n"/>
      <c r="CV39" s="39" t="n"/>
      <c r="CW39" s="39" t="n"/>
      <c r="CX39" s="39" t="n"/>
      <c r="CY39" s="39" t="n"/>
    </row>
    <row r="40" collapsed="1">
      <c r="C40" s="13" t="inlineStr">
        <is>
          <t>COGS (cash)</t>
        </is>
      </c>
      <c r="D40" s="46" t="n"/>
      <c r="E40" s="46" t="n"/>
      <c r="F40" s="46" t="n"/>
      <c r="G40" s="46" t="n"/>
      <c r="H40" s="12" t="n"/>
      <c r="I40" s="46">
        <f>'Inputs (2)'!D5</f>
        <v>-32601</v>
      </c>
      <c r="J40" s="46">
        <f>'Inputs (2)'!E5</f>
        <v>-37329</v>
      </c>
      <c r="K40" s="46">
        <f>'Inputs (2)'!F5</f>
        <v>-39745</v>
      </c>
      <c r="L40" s="46">
        <f>'Inputs (2)'!G5</f>
        <v>-45489</v>
      </c>
      <c r="M40" s="12">
        <f>'Inputs (2)'!H5</f>
        <v>-155164</v>
      </c>
      <c r="N40" s="46">
        <f>'Inputs (2)'!I5</f>
        <v>-52388</v>
      </c>
      <c r="O40" s="46">
        <f>'Inputs (2)'!J5</f>
        <v>-65613</v>
      </c>
      <c r="P40" s="46">
        <f>'Inputs (2)'!K5</f>
        <v>-60197</v>
      </c>
      <c r="Q40" s="46">
        <f>'Inputs (2)'!L5</f>
        <v>-50761</v>
      </c>
      <c r="R40" s="12">
        <f>'Inputs (2)'!M5</f>
        <v>-228959</v>
      </c>
      <c r="S40" s="46">
        <f>'Inputs (2)'!N5</f>
        <v>-46003</v>
      </c>
      <c r="T40" s="46">
        <f>'Inputs (2)'!O5</f>
        <v>-47598</v>
      </c>
      <c r="U40" s="46">
        <f>'Inputs (2)'!P5</f>
        <v>-53076</v>
      </c>
      <c r="V40" s="46">
        <f>'Inputs (2)'!Q5</f>
        <v>-46352</v>
      </c>
      <c r="W40" s="12">
        <f>'Inputs (2)'!R5</f>
        <v>-193029</v>
      </c>
      <c r="X40" s="46">
        <f>'Inputs (2)'!S5</f>
        <v>-47601</v>
      </c>
      <c r="Y40" s="46">
        <f>'Inputs (2)'!T5</f>
        <v>-54199</v>
      </c>
      <c r="Z40" s="46">
        <f>'Inputs (2)'!U5</f>
        <v>-51261</v>
      </c>
      <c r="AA40" s="46">
        <f>'Inputs (2)'!V5</f>
        <v>-46393</v>
      </c>
      <c r="AB40" s="12">
        <f>'Inputs (2)'!W5</f>
        <v>-199454</v>
      </c>
      <c r="AC40" s="46">
        <f>'Inputs (2)'!X5</f>
        <v>-46788</v>
      </c>
      <c r="AD40" s="46">
        <f>'Inputs (2)'!Y5</f>
        <v>-45327</v>
      </c>
      <c r="AE40" s="46">
        <f>'Inputs (2)'!Z5</f>
        <v>-47928</v>
      </c>
      <c r="AF40" s="46">
        <f>'Inputs (2)'!AA5</f>
        <v>-44205</v>
      </c>
      <c r="AG40" s="12">
        <f>'Inputs (2)'!AB5</f>
        <v>-184248</v>
      </c>
      <c r="AH40" s="12">
        <f>'Inputs (2)'!AC5</f>
        <v>-51802</v>
      </c>
      <c r="AI40" s="12">
        <f>'Inputs (2)'!AD5</f>
        <v>-67801</v>
      </c>
      <c r="AJ40" s="12">
        <f>-(1-AJ41)*AJ15</f>
        <v>-50572.4862412159</v>
      </c>
      <c r="AK40" s="12">
        <f>-(1-AK41)*AK15</f>
        <v>-48802.0282498417</v>
      </c>
      <c r="AL40" s="12">
        <f>SUM(AH40:AK40)</f>
        <v>-218977.514491058</v>
      </c>
      <c r="AM40" s="12">
        <f>-(1-AM41)*AM15</f>
        <v>-50479.9907801796</v>
      </c>
      <c r="AN40" s="12">
        <f>-(1-AN41)*AN15</f>
        <v>-68788.7557887676</v>
      </c>
      <c r="AO40" s="12">
        <f>-(1-AO41)*AO15</f>
        <v>-52748.1350077979</v>
      </c>
      <c r="AP40" s="12">
        <f>-(1-AP41)*AP15</f>
        <v>-50901.511199168</v>
      </c>
      <c r="AQ40" s="12">
        <f>SUM(AM40:AP40)</f>
        <v>-222918.392775913</v>
      </c>
      <c r="AR40" s="12">
        <f>-(1-AR41)*AR15</f>
        <v>-52399.2604008005</v>
      </c>
      <c r="AS40" s="12">
        <f>-(1-AS41)*AS15</f>
        <v>-71404.132043502</v>
      </c>
      <c r="AT40" s="12">
        <f>-(1-AT41)*AT15</f>
        <v>-54753.6403872606</v>
      </c>
      <c r="AU40" s="12">
        <f>-(1-AU41)*AU15</f>
        <v>-52836.807196223</v>
      </c>
      <c r="AV40" s="12">
        <f>SUM(AR40:AU40)</f>
        <v>-231393.840027786</v>
      </c>
      <c r="AW40" s="12">
        <f>-(1-AW41)*AW15</f>
        <v>-54129.5051249131</v>
      </c>
      <c r="AX40" s="12">
        <f>-(1-AX41)*AX15</f>
        <v>-73761.9252986568</v>
      </c>
      <c r="AY40" s="12">
        <f>-(1-AY41)*AY15</f>
        <v>-56561.6276886342</v>
      </c>
      <c r="AZ40" s="12">
        <f>-(1-AZ41)*AZ15</f>
        <v>-54581.4998920921</v>
      </c>
      <c r="BA40" s="12">
        <f>SUM(AW40:AZ40)</f>
        <v>-239034.558004296</v>
      </c>
      <c r="BB40" s="12">
        <f>-(1-BB41)*BB15</f>
        <v>-55646.2357024301</v>
      </c>
      <c r="BC40" s="12">
        <f>-(1-BC41)*BC15</f>
        <v>-75828.764212089</v>
      </c>
      <c r="BD40" s="12">
        <f>-(1-BD41)*BD15</f>
        <v>-58146.5073218677</v>
      </c>
      <c r="BE40" s="12">
        <f>-(1-BE41)*BE15</f>
        <v>-56110.8955453876</v>
      </c>
      <c r="BF40" s="12">
        <f>SUM(BB40:BE40)</f>
        <v>-245732.402781774</v>
      </c>
      <c r="BG40" s="12" t="n"/>
      <c r="BH40" s="12" t="n"/>
      <c r="BI40" s="12" t="n"/>
      <c r="BJ40" s="12" t="n"/>
      <c r="BK40" s="12" t="n"/>
      <c r="BL40" s="12" t="n"/>
      <c r="BM40" s="12" t="n"/>
      <c r="BN40" s="12" t="n"/>
      <c r="BO40" s="12" t="n"/>
      <c r="BP40" s="12" t="n"/>
      <c r="BQ40" s="12" t="n"/>
      <c r="BR40" s="12" t="n"/>
      <c r="BS40" s="12" t="n"/>
      <c r="BT40" s="12" t="n"/>
      <c r="BU40" s="12" t="n"/>
      <c r="BV40" s="12" t="n"/>
      <c r="BW40" s="12" t="n"/>
      <c r="BX40" s="12" t="n"/>
      <c r="BY40" s="12" t="n"/>
      <c r="BZ40" s="12" t="n"/>
      <c r="CA40" s="12" t="n"/>
      <c r="CB40" s="12" t="n"/>
      <c r="CC40" s="12" t="n"/>
      <c r="CD40" s="12" t="n"/>
      <c r="CE40" s="12" t="n"/>
      <c r="CF40" s="12" t="n"/>
      <c r="CG40" s="12" t="n"/>
      <c r="CH40" s="12" t="n"/>
      <c r="CI40" s="12" t="n"/>
      <c r="CJ40" s="12" t="n"/>
      <c r="CK40" s="12" t="n"/>
      <c r="CL40" s="12" t="n"/>
      <c r="CM40" s="12" t="n"/>
      <c r="CN40" s="12" t="n"/>
      <c r="CO40" s="12" t="n"/>
      <c r="CP40" s="12" t="n"/>
      <c r="CQ40" s="12" t="n"/>
      <c r="CR40" s="12" t="n"/>
      <c r="CS40" s="12" t="n"/>
      <c r="CT40" s="12" t="n"/>
      <c r="CU40" s="12" t="n"/>
      <c r="CV40" s="12" t="n"/>
      <c r="CW40" s="12" t="n"/>
      <c r="CX40" s="12" t="n"/>
      <c r="CY40" s="12" t="n"/>
    </row>
    <row r="41" hidden="1" outlineLevel="1" customFormat="1" s="3">
      <c r="C41" s="47" t="inlineStr">
        <is>
          <t>% Gross Margin</t>
        </is>
      </c>
      <c r="D41" s="48" t="n"/>
      <c r="E41" s="48" t="n"/>
      <c r="F41" s="48" t="n"/>
      <c r="G41" s="48" t="n"/>
      <c r="H41" s="48" t="n"/>
      <c r="I41" s="48">
        <f>IFERROR((I15+I40)/I$15,"")</f>
        <v>0.448813971968147</v>
      </c>
      <c r="J41" s="48">
        <f>IFERROR((J15+J40)/J$15,"")</f>
        <v>0.44895338194916</v>
      </c>
      <c r="K41" s="48">
        <f>IFERROR((K15+K40)/K$15,"")</f>
        <v>0.461347681131922</v>
      </c>
      <c r="L41" s="48">
        <f>IFERROR((L15+L40)/L$15,"")</f>
        <v>0.464614841405285</v>
      </c>
      <c r="M41" s="48">
        <f>IFERROR((M15+M40)/M$15,"")</f>
        <v>0.45678476403865</v>
      </c>
      <c r="N41" s="48">
        <f>IFERROR((N15+N40)/N$15,"")</f>
        <v>0.421127071823204</v>
      </c>
      <c r="O41" s="48">
        <f>IFERROR((O15+O40)/O$15,"")</f>
        <v>0.432810919684304</v>
      </c>
      <c r="P41" s="48">
        <f>IFERROR((P15+P40)/P$15,"")</f>
        <v>0.462862496653877</v>
      </c>
      <c r="Q41" s="48">
        <f>IFERROR((Q15+Q40)/Q$15,"")</f>
        <v>0.468075742174811</v>
      </c>
      <c r="R41" s="48">
        <f>IFERROR((R15+R40)/R$15,"")</f>
        <v>0.446531135176948</v>
      </c>
      <c r="S41" s="48">
        <f>IFERROR((S15+S40)/S$15,"")</f>
        <v>0.468566609676078</v>
      </c>
      <c r="T41" s="48">
        <f>IFERROR((T15+T40)/T$15,"")</f>
        <v>0.425935306462117</v>
      </c>
      <c r="U41" s="48">
        <f>IFERROR((U15+U40)/U$15,"")</f>
        <v>0.415204936095196</v>
      </c>
      <c r="V41" s="48">
        <f>IFERROR((V15+V40)/V$15,"")</f>
        <v>0.450441050934269</v>
      </c>
      <c r="W41" s="48">
        <f>IFERROR((W15+W40)/W$15,"")</f>
        <v>0.439816937622975</v>
      </c>
      <c r="X41" s="48">
        <f>IFERROR((X15+X40)/X$15,"")</f>
        <v>0.42706690899462</v>
      </c>
      <c r="Y41" s="48">
        <f>IFERROR((Y15+Y40)/Y$15,"")</f>
        <v>0.417590801633355</v>
      </c>
      <c r="Z41" s="48">
        <f>IFERROR((Z15+Z40)/Z$15,"")</f>
        <v>0.43053457163171</v>
      </c>
      <c r="AA41" s="48">
        <f>IFERROR((AA15+AA40)/AA$15,"")</f>
        <v>0.443902380552825</v>
      </c>
      <c r="AB41" s="48">
        <f>IFERROR((AB15+AB40)/AB$15,"")</f>
        <v>0.429454925125506</v>
      </c>
      <c r="AC41" s="48">
        <f>IFERROR((AC15+AC40)/AC$15,"")</f>
        <v>0.437170696499459</v>
      </c>
      <c r="AD41" s="48">
        <f>IFERROR((AD15+AD40)/AD$15,"")</f>
        <v>0.443881432041813</v>
      </c>
      <c r="AE41" s="48">
        <f>IFERROR((AE15+AE40)/AE$15,"")</f>
        <v>0.438084742185851</v>
      </c>
      <c r="AF41" s="41">
        <f>IFERROR((AF15+AF40)/AF$15,"")</f>
        <v>0.462931914273218</v>
      </c>
      <c r="AG41" s="48">
        <f>IFERROR((AG15+AG40)/AG$15,"")</f>
        <v>0.445433695122171</v>
      </c>
      <c r="AH41" s="49">
        <f>IFERROR((AH15+AH40)/AH$15,"")</f>
        <v>0.391552538232047</v>
      </c>
      <c r="AI41" s="49">
        <f>IFERROR((AI15+AI40)/AI$15,"")</f>
        <v>0.415594266357517</v>
      </c>
      <c r="AJ41" s="49">
        <f>Control!$B$19</f>
        <v>0.431535931598317</v>
      </c>
      <c r="AK41" s="49">
        <f>Control!$B$19</f>
        <v>0.431535931598317</v>
      </c>
      <c r="AL41" s="48">
        <f>IFERROR((AL15+AL40)/AL$15,"")</f>
        <v>0.417562348679403</v>
      </c>
      <c r="AM41" s="49">
        <f>Control!$C$19</f>
        <v>0.431535931598317</v>
      </c>
      <c r="AN41" s="49">
        <f>Control!$C$19</f>
        <v>0.431535931598317</v>
      </c>
      <c r="AO41" s="49">
        <f>Control!$C$19</f>
        <v>0.431535931598317</v>
      </c>
      <c r="AP41" s="49">
        <f>Control!$C$19</f>
        <v>0.431535931598317</v>
      </c>
      <c r="AQ41" s="48">
        <f>IFERROR((AQ15+AQ40)/AQ$15,"")</f>
        <v>0.431535931598317</v>
      </c>
      <c r="AR41" s="49">
        <f>Control!$D$19</f>
        <v>0.431535931598317</v>
      </c>
      <c r="AS41" s="49">
        <f>Control!$D$19</f>
        <v>0.431535931598317</v>
      </c>
      <c r="AT41" s="49">
        <f>Control!$D$19</f>
        <v>0.431535931598317</v>
      </c>
      <c r="AU41" s="49">
        <f>Control!$D$19</f>
        <v>0.431535931598317</v>
      </c>
      <c r="AV41" s="48">
        <f>IFERROR((AV15+AV40)/AV$15,"")</f>
        <v>0.431535931598317</v>
      </c>
      <c r="AW41" s="49">
        <f>Control!$E$19</f>
        <v>0.431535931598317</v>
      </c>
      <c r="AX41" s="49">
        <f>Control!$E$19</f>
        <v>0.431535931598317</v>
      </c>
      <c r="AY41" s="49">
        <f>Control!$E$19</f>
        <v>0.431535931598317</v>
      </c>
      <c r="AZ41" s="49">
        <f>Control!$E$19</f>
        <v>0.431535931598317</v>
      </c>
      <c r="BA41" s="48">
        <f>IFERROR((BA15+BA40)/BA$15,"")</f>
        <v>0.431535931598317</v>
      </c>
      <c r="BB41" s="49">
        <f>Control!$F$19</f>
        <v>0.431535931598317</v>
      </c>
      <c r="BC41" s="49">
        <f>Control!$F$19</f>
        <v>0.431535931598317</v>
      </c>
      <c r="BD41" s="49">
        <f>Control!$F$19</f>
        <v>0.431535931598317</v>
      </c>
      <c r="BE41" s="49">
        <f>Control!$F$19</f>
        <v>0.431535931598317</v>
      </c>
      <c r="BF41" s="48">
        <f>IFERROR((BF15+BF40)/BF$15,"")</f>
        <v>0.431535931598317</v>
      </c>
      <c r="BG41" s="49" t="n"/>
      <c r="BH41" s="49" t="n"/>
      <c r="BI41" s="49" t="n"/>
      <c r="BJ41" s="49" t="n"/>
      <c r="BK41" s="48" t="n"/>
      <c r="BL41" s="49" t="n"/>
      <c r="BM41" s="49" t="n"/>
      <c r="BN41" s="49" t="n"/>
      <c r="BO41" s="49" t="n"/>
      <c r="BP41" s="48" t="n"/>
      <c r="BQ41" s="49" t="n"/>
      <c r="BR41" s="49" t="n"/>
      <c r="BS41" s="49" t="n"/>
      <c r="BT41" s="49" t="n"/>
      <c r="BU41" s="48" t="n"/>
      <c r="BV41" s="49" t="n"/>
      <c r="BW41" s="49" t="n"/>
      <c r="BX41" s="49" t="n"/>
      <c r="BY41" s="49" t="n"/>
      <c r="BZ41" s="48" t="n"/>
      <c r="CA41" s="49" t="n"/>
      <c r="CB41" s="49" t="n"/>
      <c r="CC41" s="49" t="n"/>
      <c r="CD41" s="49" t="n"/>
      <c r="CE41" s="48" t="n"/>
      <c r="CF41" s="49" t="n"/>
      <c r="CG41" s="49" t="n"/>
      <c r="CH41" s="49" t="n"/>
      <c r="CI41" s="49" t="n"/>
      <c r="CJ41" s="48" t="n"/>
      <c r="CK41" s="49" t="n"/>
      <c r="CL41" s="49" t="n"/>
      <c r="CM41" s="49" t="n"/>
      <c r="CN41" s="49" t="n"/>
      <c r="CO41" s="48" t="n"/>
      <c r="CP41" s="49" t="n"/>
      <c r="CQ41" s="49" t="n"/>
      <c r="CR41" s="49" t="n"/>
      <c r="CS41" s="49" t="n"/>
      <c r="CT41" s="48" t="n"/>
      <c r="CU41" s="49" t="n"/>
      <c r="CV41" s="49" t="n"/>
      <c r="CW41" s="49" t="n"/>
      <c r="CX41" s="49" t="n"/>
      <c r="CY41" s="48" t="n"/>
    </row>
    <row r="42" hidden="1" outlineLevel="1">
      <c r="C42" s="50" t="n"/>
      <c r="D42" s="50" t="n"/>
      <c r="E42" s="50" t="n"/>
      <c r="F42" s="50" t="n"/>
      <c r="G42" s="50" t="n"/>
      <c r="H42" s="50" t="n"/>
      <c r="I42" s="50" t="n"/>
      <c r="J42" s="50" t="n"/>
      <c r="K42" s="50" t="n"/>
      <c r="L42" s="50" t="n"/>
      <c r="M42" s="50" t="n"/>
      <c r="N42" s="50" t="n"/>
      <c r="O42" s="50" t="n"/>
      <c r="P42" s="50" t="n"/>
      <c r="Q42" s="50" t="n"/>
      <c r="R42" s="50" t="n"/>
      <c r="S42" s="50" t="n"/>
      <c r="T42" s="50" t="n"/>
      <c r="U42" s="50" t="n"/>
      <c r="V42" s="50" t="n"/>
      <c r="W42" s="50" t="n"/>
      <c r="X42" s="50" t="n"/>
      <c r="Y42" s="50" t="n"/>
      <c r="Z42" s="50" t="n"/>
      <c r="AA42" s="50" t="n"/>
      <c r="AB42" s="50" t="n"/>
      <c r="AC42" s="50" t="n"/>
      <c r="AD42" s="50" t="n"/>
      <c r="AE42" s="50" t="n"/>
      <c r="AF42" s="50" t="n"/>
      <c r="AG42" s="50" t="n"/>
      <c r="AH42" s="50" t="n"/>
      <c r="AI42" s="50" t="n"/>
      <c r="AJ42" s="50" t="n"/>
      <c r="AK42" s="50" t="n"/>
      <c r="AL42" s="50" t="n"/>
      <c r="AM42" s="50" t="n"/>
      <c r="AN42" s="50" t="n"/>
      <c r="AO42" s="50" t="n"/>
      <c r="AP42" s="50" t="n"/>
      <c r="AQ42" s="50" t="n"/>
      <c r="AR42" s="50" t="n"/>
      <c r="AS42" s="50" t="n"/>
      <c r="AT42" s="50" t="n"/>
      <c r="AU42" s="50" t="n"/>
      <c r="AV42" s="50" t="n"/>
      <c r="AW42" s="50" t="n"/>
      <c r="AX42" s="50" t="n"/>
      <c r="AY42" s="50" t="n"/>
      <c r="AZ42" s="50" t="n"/>
      <c r="BA42" s="50" t="n"/>
      <c r="BB42" s="50" t="n"/>
      <c r="BC42" s="50" t="n"/>
      <c r="BD42" s="50" t="n"/>
      <c r="BE42" s="50" t="n"/>
      <c r="BF42" s="50" t="n"/>
      <c r="BG42" s="50" t="n"/>
      <c r="BH42" s="50" t="n"/>
      <c r="BI42" s="50" t="n"/>
      <c r="BJ42" s="50" t="n"/>
      <c r="BK42" s="50" t="n"/>
      <c r="BL42" s="50" t="n"/>
      <c r="BM42" s="50" t="n"/>
      <c r="BN42" s="50" t="n"/>
      <c r="BO42" s="50" t="n"/>
      <c r="BP42" s="50" t="n"/>
      <c r="BQ42" s="50" t="n"/>
      <c r="BR42" s="50" t="n"/>
      <c r="BS42" s="50" t="n"/>
      <c r="BT42" s="50" t="n"/>
      <c r="BU42" s="50" t="n"/>
      <c r="BV42" s="50" t="n"/>
      <c r="BW42" s="50" t="n"/>
      <c r="BX42" s="50" t="n"/>
      <c r="BY42" s="50" t="n"/>
      <c r="BZ42" s="50" t="n"/>
      <c r="CA42" s="50" t="n"/>
      <c r="CB42" s="50" t="n"/>
      <c r="CC42" s="50" t="n"/>
      <c r="CD42" s="50" t="n"/>
      <c r="CE42" s="50" t="n"/>
      <c r="CF42" s="50" t="n"/>
      <c r="CG42" s="50" t="n"/>
      <c r="CH42" s="50" t="n"/>
      <c r="CI42" s="50" t="n"/>
      <c r="CJ42" s="50" t="n"/>
      <c r="CK42" s="50" t="n"/>
      <c r="CL42" s="50" t="n"/>
      <c r="CM42" s="50" t="n"/>
      <c r="CN42" s="50" t="n"/>
      <c r="CO42" s="50" t="n"/>
      <c r="CP42" s="50" t="n"/>
      <c r="CQ42" s="50" t="n"/>
      <c r="CR42" s="50" t="n"/>
      <c r="CS42" s="50" t="n"/>
      <c r="CT42" s="50" t="n"/>
      <c r="CU42" s="50" t="n"/>
      <c r="CV42" s="50" t="n"/>
      <c r="CW42" s="50" t="n"/>
      <c r="CX42" s="50" t="n"/>
      <c r="CY42" s="50" t="n"/>
    </row>
    <row r="43" hidden="1" outlineLevel="1">
      <c r="C43" s="50" t="n"/>
      <c r="D43" s="50" t="n"/>
      <c r="E43" s="50" t="n"/>
      <c r="F43" s="50" t="n"/>
      <c r="G43" s="50" t="n"/>
      <c r="H43" s="50" t="n"/>
      <c r="I43" s="50" t="n"/>
      <c r="J43" s="50" t="n"/>
      <c r="K43" s="50" t="n"/>
      <c r="L43" s="50" t="n"/>
      <c r="M43" s="50" t="n"/>
      <c r="N43" s="50" t="n"/>
      <c r="O43" s="50" t="n"/>
      <c r="P43" s="50" t="n"/>
      <c r="Q43" s="50" t="n"/>
      <c r="R43" s="50" t="n"/>
      <c r="S43" s="50" t="n"/>
      <c r="T43" s="50" t="n"/>
      <c r="U43" s="50" t="n"/>
      <c r="V43" s="50" t="n"/>
      <c r="W43" s="50" t="n"/>
      <c r="X43" s="50" t="n"/>
      <c r="Y43" s="50" t="n"/>
      <c r="Z43" s="50" t="n"/>
      <c r="AA43" s="50" t="n"/>
      <c r="AB43" s="50" t="n"/>
      <c r="AC43" s="50" t="n"/>
      <c r="AD43" s="50" t="n"/>
      <c r="AE43" s="50" t="n"/>
      <c r="AF43" s="50" t="n"/>
      <c r="AG43" s="50" t="n"/>
      <c r="AH43" s="50" t="n"/>
      <c r="AI43" s="50" t="n"/>
      <c r="AJ43" s="50" t="n"/>
      <c r="AK43" s="50" t="n"/>
      <c r="AL43" s="50" t="n"/>
      <c r="AM43" s="50" t="n"/>
      <c r="AN43" s="50" t="n"/>
      <c r="AO43" s="50" t="n"/>
      <c r="AP43" s="50" t="n"/>
      <c r="AQ43" s="50" t="n"/>
      <c r="AR43" s="50" t="n"/>
      <c r="AS43" s="50" t="n"/>
      <c r="AT43" s="50" t="n"/>
      <c r="AU43" s="50" t="n"/>
      <c r="AV43" s="50" t="n"/>
      <c r="AW43" s="50" t="n"/>
      <c r="AX43" s="50" t="n"/>
      <c r="AY43" s="50" t="n"/>
      <c r="AZ43" s="50" t="n"/>
      <c r="BA43" s="50" t="n"/>
      <c r="BB43" s="50" t="n"/>
      <c r="BC43" s="50" t="n"/>
      <c r="BD43" s="50" t="n"/>
      <c r="BE43" s="50" t="n"/>
      <c r="BF43" s="50" t="n"/>
      <c r="BG43" s="50" t="n"/>
      <c r="BH43" s="50" t="n"/>
      <c r="BI43" s="50" t="n"/>
      <c r="BJ43" s="50" t="n"/>
      <c r="BK43" s="50" t="n"/>
      <c r="BL43" s="50" t="n"/>
      <c r="BM43" s="50" t="n"/>
      <c r="BN43" s="50" t="n"/>
      <c r="BO43" s="50" t="n"/>
      <c r="BP43" s="50" t="n"/>
      <c r="BQ43" s="50" t="n"/>
      <c r="BR43" s="50" t="n"/>
      <c r="BS43" s="50" t="n"/>
      <c r="BT43" s="50" t="n"/>
      <c r="BU43" s="50" t="n"/>
      <c r="BV43" s="50" t="n"/>
      <c r="BW43" s="50" t="n"/>
      <c r="BX43" s="50" t="n"/>
      <c r="BY43" s="50" t="n"/>
      <c r="BZ43" s="50" t="n"/>
      <c r="CA43" s="50" t="n"/>
      <c r="CB43" s="50" t="n"/>
      <c r="CC43" s="50" t="n"/>
      <c r="CD43" s="50" t="n"/>
      <c r="CE43" s="50" t="n"/>
      <c r="CF43" s="50" t="n"/>
      <c r="CG43" s="50" t="n"/>
      <c r="CH43" s="50" t="n"/>
      <c r="CI43" s="50" t="n"/>
      <c r="CJ43" s="50" t="n"/>
      <c r="CK43" s="50" t="n"/>
      <c r="CL43" s="50" t="n"/>
      <c r="CM43" s="50" t="n"/>
      <c r="CN43" s="50" t="n"/>
      <c r="CO43" s="50" t="n"/>
      <c r="CP43" s="50" t="n"/>
      <c r="CQ43" s="50" t="n"/>
      <c r="CR43" s="50" t="n"/>
      <c r="CS43" s="50" t="n"/>
      <c r="CT43" s="50" t="n"/>
      <c r="CU43" s="50" t="n"/>
      <c r="CV43" s="50" t="n"/>
      <c r="CW43" s="50" t="n"/>
      <c r="CX43" s="50" t="n"/>
      <c r="CY43" s="50" t="n"/>
    </row>
    <row r="44" collapsed="1">
      <c r="C44" s="13" t="inlineStr">
        <is>
          <t>SG&amp;A and Other (cash)</t>
        </is>
      </c>
      <c r="D44" s="46" t="n"/>
      <c r="E44" s="46" t="n"/>
      <c r="F44" s="46" t="n"/>
      <c r="G44" s="46" t="n"/>
      <c r="H44" s="12" t="n"/>
      <c r="I44" s="46">
        <f>'Inputs (2)'!D6</f>
        <v>-17692</v>
      </c>
      <c r="J44" s="46">
        <f>'Inputs (2)'!E6</f>
        <v>-18900</v>
      </c>
      <c r="K44" s="46">
        <f>'Inputs (2)'!F6</f>
        <v>-19231</v>
      </c>
      <c r="L44" s="46">
        <f>'Inputs (2)'!G6</f>
        <v>-21865</v>
      </c>
      <c r="M44" s="12">
        <f>'Inputs (2)'!H6</f>
        <v>-77688</v>
      </c>
      <c r="N44" s="46">
        <f>'Inputs (2)'!I6</f>
        <v>-20485</v>
      </c>
      <c r="O44" s="46">
        <f>'Inputs (2)'!J6</f>
        <v>-20490</v>
      </c>
      <c r="P44" s="46">
        <f>'Inputs (2)'!K6</f>
        <v>-20600</v>
      </c>
      <c r="Q44" s="46">
        <f>'Inputs (2)'!L6</f>
        <v>-20555</v>
      </c>
      <c r="R44" s="12">
        <f>'Inputs (2)'!M6</f>
        <v>-82130</v>
      </c>
      <c r="S44" s="46">
        <f>'Inputs (2)'!N6</f>
        <v>-19355</v>
      </c>
      <c r="T44" s="46">
        <f>'Inputs (2)'!O6</f>
        <v>-19169</v>
      </c>
      <c r="U44" s="46">
        <f>'Inputs (2)'!P6</f>
        <v>-19401</v>
      </c>
      <c r="V44" s="46">
        <f>'Inputs (2)'!Q6</f>
        <v>-19355</v>
      </c>
      <c r="W44" s="12">
        <f>'Inputs (2)'!R6</f>
        <v>-77280</v>
      </c>
      <c r="X44" s="46">
        <f>'Inputs (2)'!S6</f>
        <v>-18080</v>
      </c>
      <c r="Y44" s="46">
        <f>'Inputs (2)'!T6</f>
        <v>-19138</v>
      </c>
      <c r="Z44" s="46">
        <f>'Inputs (2)'!U6</f>
        <v>-19264</v>
      </c>
      <c r="AA44" s="46">
        <f>'Inputs (2)'!V6</f>
        <v>-20338</v>
      </c>
      <c r="AB44" s="12">
        <f>'Inputs (2)'!W6</f>
        <v>-76820</v>
      </c>
      <c r="AC44" s="46">
        <f>'Inputs (2)'!X6</f>
        <v>-18835</v>
      </c>
      <c r="AD44" s="46">
        <f>'Inputs (2)'!Y6</f>
        <v>-19228</v>
      </c>
      <c r="AE44" s="46">
        <f>'Inputs (2)'!Z6</f>
        <v>-19869</v>
      </c>
      <c r="AF44" s="46">
        <f>'Inputs (2)'!AA6</f>
        <v>-22194</v>
      </c>
      <c r="AG44" s="12">
        <f>'Inputs (2)'!AB6</f>
        <v>-80126</v>
      </c>
      <c r="AH44" s="12">
        <f>'Inputs (2)'!AC6</f>
        <v>-19303</v>
      </c>
      <c r="AI44" s="12">
        <f>'Inputs (2)'!AD6</f>
        <v>-19876</v>
      </c>
      <c r="AJ44" s="12">
        <f>-AJ15*AJ45</f>
        <v>-20211.3021539834</v>
      </c>
      <c r="AK44" s="12">
        <f>-AK15*AK45</f>
        <v>-19503.7383366951</v>
      </c>
      <c r="AL44" s="12">
        <f>SUM(AH44:AK44)</f>
        <v>-78894.0404906785</v>
      </c>
      <c r="AM44" s="12">
        <f>-AM15*AM45</f>
        <v>-20174.3363282979</v>
      </c>
      <c r="AN44" s="12">
        <f>-AN15*AN45</f>
        <v>-27491.4371702429</v>
      </c>
      <c r="AO44" s="12">
        <f>-AO15*AO45</f>
        <v>-21080.8005289021</v>
      </c>
      <c r="AP44" s="12">
        <f>-AP15*AP45</f>
        <v>-20342.7970306572</v>
      </c>
      <c r="AQ44" s="12">
        <f>SUM(AM44:AP44)</f>
        <v>-89089.3710581</v>
      </c>
      <c r="AR44" s="12">
        <f>-AR15*AR45</f>
        <v>-20941.3727368365</v>
      </c>
      <c r="AS44" s="12">
        <f>-AS15*AS45</f>
        <v>-28536.6727056022</v>
      </c>
      <c r="AT44" s="12">
        <f>-AT15*AT45</f>
        <v>-21882.3010721505</v>
      </c>
      <c r="AU44" s="12">
        <f>-AU15*AU45</f>
        <v>-21116.2383830816</v>
      </c>
      <c r="AV44" s="12">
        <f>SUM(AR44:AU44)</f>
        <v>-92476.5848976709</v>
      </c>
      <c r="AW44" s="12">
        <f>-AW15*AW45</f>
        <v>-21632.8653154805</v>
      </c>
      <c r="AX44" s="12">
        <f>-AX15*AX45</f>
        <v>-29478.9651542919</v>
      </c>
      <c r="AY44" s="12">
        <f>-AY15*AY45</f>
        <v>-22604.8634841374</v>
      </c>
      <c r="AZ44" s="12">
        <f>-AZ15*AZ45</f>
        <v>-21813.5050959315</v>
      </c>
      <c r="BA44" s="12">
        <f>SUM(AW44:AZ44)</f>
        <v>-95530.1990498413</v>
      </c>
      <c r="BB44" s="12">
        <f>-BB15*BB45</f>
        <v>-22239.0269315451</v>
      </c>
      <c r="BC44" s="12">
        <f>-BC15*BC45</f>
        <v>-30304.9776541271</v>
      </c>
      <c r="BD44" s="12">
        <f>-BD15*BD45</f>
        <v>-23238.2608811369</v>
      </c>
      <c r="BE44" s="12">
        <f>-BE15*BE45</f>
        <v>-22424.7283115414</v>
      </c>
      <c r="BF44" s="12">
        <f>SUM(BB44:BE44)</f>
        <v>-98206.9937783505</v>
      </c>
      <c r="BG44" s="12" t="n"/>
      <c r="BH44" s="12" t="n"/>
      <c r="BI44" s="12" t="n"/>
      <c r="BJ44" s="12" t="n"/>
      <c r="BK44" s="12" t="n"/>
      <c r="BL44" s="12" t="n"/>
      <c r="BM44" s="12" t="n"/>
      <c r="BN44" s="12" t="n"/>
      <c r="BO44" s="12" t="n"/>
      <c r="BP44" s="12" t="n"/>
      <c r="BQ44" s="12" t="n"/>
      <c r="BR44" s="12" t="n"/>
      <c r="BS44" s="12" t="n"/>
      <c r="BT44" s="12" t="n"/>
      <c r="BU44" s="12" t="n"/>
      <c r="BV44" s="12" t="n"/>
      <c r="BW44" s="12" t="n"/>
      <c r="BX44" s="12" t="n"/>
      <c r="BY44" s="12" t="n"/>
      <c r="BZ44" s="12" t="n"/>
      <c r="CA44" s="12" t="n"/>
      <c r="CB44" s="12" t="n"/>
      <c r="CC44" s="12" t="n"/>
      <c r="CD44" s="12" t="n"/>
      <c r="CE44" s="12" t="n"/>
      <c r="CF44" s="12" t="n"/>
      <c r="CG44" s="12" t="n"/>
      <c r="CH44" s="12" t="n"/>
      <c r="CI44" s="12" t="n"/>
      <c r="CJ44" s="12" t="n"/>
      <c r="CK44" s="12" t="n"/>
      <c r="CL44" s="12" t="n"/>
      <c r="CM44" s="12" t="n"/>
      <c r="CN44" s="12" t="n"/>
      <c r="CO44" s="12" t="n"/>
      <c r="CP44" s="12" t="n"/>
      <c r="CQ44" s="12" t="n"/>
      <c r="CR44" s="12" t="n"/>
      <c r="CS44" s="12" t="n"/>
      <c r="CT44" s="12" t="n"/>
      <c r="CU44" s="12" t="n"/>
      <c r="CV44" s="12" t="n"/>
      <c r="CW44" s="12" t="n"/>
      <c r="CX44" s="12" t="n"/>
      <c r="CY44" s="12" t="n"/>
    </row>
    <row r="45" hidden="1" outlineLevel="1">
      <c r="C45" s="38" t="inlineStr">
        <is>
          <t>% SG&amp;A and Other Margin</t>
        </is>
      </c>
      <c r="D45" s="51" t="n"/>
      <c r="E45" s="51" t="n"/>
      <c r="F45" s="51" t="n"/>
      <c r="G45" s="51" t="n"/>
      <c r="H45" s="51" t="n"/>
      <c r="I45" s="51">
        <f>IFERROR(-(I44/I$15),"")</f>
        <v>0.299119143828089</v>
      </c>
      <c r="J45" s="51">
        <f>IFERROR(-(J44/J$15),"")</f>
        <v>0.278999734285967</v>
      </c>
      <c r="K45" s="51">
        <f>IFERROR(-(K44/K$15),"")</f>
        <v>0.260632098230017</v>
      </c>
      <c r="L45" s="51">
        <f>IFERROR(-(L44/L$15),"")</f>
        <v>0.257341258165127</v>
      </c>
      <c r="M45" s="51">
        <f>IFERROR(-(M44/M$15),"")</f>
        <v>0.271978714465761</v>
      </c>
      <c r="N45" s="51">
        <f>IFERROR(-(N44/N$15),"")</f>
        <v>0.226353591160221</v>
      </c>
      <c r="O45" s="51">
        <f>IFERROR(-(O44/O$15),"")</f>
        <v>0.177125024852828</v>
      </c>
      <c r="P45" s="51">
        <f>IFERROR(-(P44/P$15),"")</f>
        <v>0.18381368787365</v>
      </c>
      <c r="Q45" s="51">
        <f>IFERROR(-(Q44/Q$15),"")</f>
        <v>0.215395739240692</v>
      </c>
      <c r="R45" s="51">
        <f>IFERROR(-(R44/R$15),"")</f>
        <v>0.198535099593889</v>
      </c>
      <c r="S45" s="51">
        <f>IFERROR(-(S44/S$15),"")</f>
        <v>0.223591793355205</v>
      </c>
      <c r="T45" s="51">
        <f>IFERROR(-(T44/T$15),"")</f>
        <v>0.231191354897846</v>
      </c>
      <c r="U45" s="51">
        <f>IFERROR(-(U44/U$15),"")</f>
        <v>0.213761568973116</v>
      </c>
      <c r="V45" s="51">
        <f>IFERROR(-(V44/V$15),"")</f>
        <v>0.22947690410699</v>
      </c>
      <c r="W45" s="51">
        <f>IFERROR(-(W44/W$15),"")</f>
        <v>0.224271726323488</v>
      </c>
      <c r="X45" s="51">
        <f>IFERROR(-(X44/X$15),"")</f>
        <v>0.217613711589615</v>
      </c>
      <c r="Y45" s="51">
        <f>IFERROR(-(Y44/Y$15),"")</f>
        <v>0.205652267354395</v>
      </c>
      <c r="Z45" s="51">
        <f>IFERROR(-(Z44/Z$15),"")</f>
        <v>0.214006398862424</v>
      </c>
      <c r="AA45" s="51">
        <f>IFERROR(-(AA44/AA$15),"")</f>
        <v>0.243784911178769</v>
      </c>
      <c r="AB45" s="51">
        <f>IFERROR(-(AB44/AB$15),"")</f>
        <v>0.219746270577971</v>
      </c>
      <c r="AC45" s="51">
        <f>IFERROR(-(AC44/AC$15),"")</f>
        <v>0.226572837724047</v>
      </c>
      <c r="AD45" s="51">
        <f>IFERROR(-(AD44/AD$15),"")</f>
        <v>0.235909012833411</v>
      </c>
      <c r="AE45" s="51">
        <f>IFERROR(-(AE44/AE$15),"")</f>
        <v>0.232947217858232</v>
      </c>
      <c r="AF45" s="41">
        <f>IFERROR(-(AF44/AF$15),"")</f>
        <v>0.269645720950576</v>
      </c>
      <c r="AG45" s="51">
        <f>IFERROR(-(AG44/AG$15),"")</f>
        <v>0.241170486217711</v>
      </c>
      <c r="AH45" s="52">
        <f>IFERROR(-(AH44/AH$15),"")</f>
        <v>0.226726021283093</v>
      </c>
      <c r="AI45" s="52">
        <f>IFERROR(-(AI44/AI$15),"")</f>
        <v>0.171319720385806</v>
      </c>
      <c r="AJ45" s="52">
        <f>Control!$B$20</f>
        <v>0.227186755172527</v>
      </c>
      <c r="AK45" s="52">
        <f>Control!$B$20</f>
        <v>0.227186755172527</v>
      </c>
      <c r="AL45" s="51">
        <f>IFERROR(-(AL44/AL$15),"")</f>
        <v>0.209842822233967</v>
      </c>
      <c r="AM45" s="52">
        <f>Control!$C$20</f>
        <v>0.227186755172527</v>
      </c>
      <c r="AN45" s="52">
        <f>Control!$C$20</f>
        <v>0.227186755172527</v>
      </c>
      <c r="AO45" s="52">
        <f>Control!$C$20</f>
        <v>0.227186755172527</v>
      </c>
      <c r="AP45" s="52">
        <f>Control!$C$20</f>
        <v>0.227186755172527</v>
      </c>
      <c r="AQ45" s="51">
        <f>IFERROR(-(AQ44/AQ$15),"")</f>
        <v>0.227186755172527</v>
      </c>
      <c r="AR45" s="52">
        <f>Control!$D$20</f>
        <v>0.227186755172527</v>
      </c>
      <c r="AS45" s="52">
        <f>Control!$D$20</f>
        <v>0.227186755172527</v>
      </c>
      <c r="AT45" s="52">
        <f>Control!$D$20</f>
        <v>0.227186755172527</v>
      </c>
      <c r="AU45" s="52">
        <f>Control!$D$20</f>
        <v>0.227186755172527</v>
      </c>
      <c r="AV45" s="51">
        <f>IFERROR(-(AV44/AV$15),"")</f>
        <v>0.227186755172527</v>
      </c>
      <c r="AW45" s="52">
        <f>Control!$E$20</f>
        <v>0.227186755172527</v>
      </c>
      <c r="AX45" s="52">
        <f>Control!$E$20</f>
        <v>0.227186755172527</v>
      </c>
      <c r="AY45" s="52">
        <f>Control!$E$20</f>
        <v>0.227186755172527</v>
      </c>
      <c r="AZ45" s="52">
        <f>Control!$E$20</f>
        <v>0.227186755172527</v>
      </c>
      <c r="BA45" s="51">
        <f>IFERROR(-(BA44/BA$15),"")</f>
        <v>0.227186755172527</v>
      </c>
      <c r="BB45" s="52">
        <f>Control!$F$20</f>
        <v>0.227186755172527</v>
      </c>
      <c r="BC45" s="52">
        <f>Control!$F$20</f>
        <v>0.227186755172527</v>
      </c>
      <c r="BD45" s="52">
        <f>Control!$F$20</f>
        <v>0.227186755172527</v>
      </c>
      <c r="BE45" s="52">
        <f>Control!$F$20</f>
        <v>0.227186755172527</v>
      </c>
      <c r="BF45" s="51">
        <f>IFERROR(-(BF44/BF$15),"")</f>
        <v>0.227186755172527</v>
      </c>
      <c r="BG45" s="52" t="n"/>
      <c r="BH45" s="52" t="n"/>
      <c r="BI45" s="52" t="n"/>
      <c r="BJ45" s="52" t="n"/>
      <c r="BK45" s="51" t="n"/>
      <c r="BL45" s="52" t="n"/>
      <c r="BM45" s="52" t="n"/>
      <c r="BN45" s="52" t="n"/>
      <c r="BO45" s="52" t="n"/>
      <c r="BP45" s="51" t="n"/>
      <c r="BQ45" s="52" t="n"/>
      <c r="BR45" s="52" t="n"/>
      <c r="BS45" s="52" t="n"/>
      <c r="BT45" s="52" t="n"/>
      <c r="BU45" s="51" t="n"/>
      <c r="BV45" s="52" t="n"/>
      <c r="BW45" s="52" t="n"/>
      <c r="BX45" s="52" t="n"/>
      <c r="BY45" s="52" t="n"/>
      <c r="BZ45" s="51" t="n"/>
      <c r="CA45" s="52" t="n"/>
      <c r="CB45" s="52" t="n"/>
      <c r="CC45" s="52" t="n"/>
      <c r="CD45" s="52" t="n"/>
      <c r="CE45" s="51" t="n"/>
      <c r="CF45" s="52" t="n"/>
      <c r="CG45" s="52" t="n"/>
      <c r="CH45" s="52" t="n"/>
      <c r="CI45" s="52" t="n"/>
      <c r="CJ45" s="51" t="n"/>
      <c r="CK45" s="52" t="n"/>
      <c r="CL45" s="52" t="n"/>
      <c r="CM45" s="52" t="n"/>
      <c r="CN45" s="52" t="n"/>
      <c r="CO45" s="51" t="n"/>
      <c r="CP45" s="52" t="n"/>
      <c r="CQ45" s="52" t="n"/>
      <c r="CR45" s="52" t="n"/>
      <c r="CS45" s="52" t="n"/>
      <c r="CT45" s="51" t="n"/>
      <c r="CU45" s="52" t="n"/>
      <c r="CV45" s="52" t="n"/>
      <c r="CW45" s="52" t="n"/>
      <c r="CX45" s="52" t="n"/>
      <c r="CY45" s="51" t="n"/>
    </row>
    <row r="46" hidden="1" outlineLevel="1">
      <c r="C46" s="50" t="n"/>
      <c r="D46" s="50" t="n"/>
      <c r="E46" s="50" t="n"/>
      <c r="F46" s="50" t="n"/>
      <c r="G46" s="50" t="n"/>
      <c r="H46" s="50" t="n"/>
      <c r="I46" s="50" t="n"/>
      <c r="J46" s="50" t="n"/>
      <c r="K46" s="50" t="n"/>
      <c r="L46" s="50" t="n"/>
      <c r="M46" s="50" t="n"/>
      <c r="N46" s="50" t="n"/>
      <c r="O46" s="50" t="n"/>
      <c r="P46" s="50" t="n"/>
      <c r="Q46" s="50" t="n"/>
      <c r="R46" s="50" t="n"/>
      <c r="S46" s="50" t="n"/>
      <c r="T46" s="50" t="n"/>
      <c r="U46" s="50" t="n"/>
      <c r="V46" s="50" t="n"/>
      <c r="W46" s="50" t="n"/>
      <c r="X46" s="50" t="n"/>
      <c r="Y46" s="50" t="n"/>
      <c r="Z46" s="50" t="n"/>
      <c r="AA46" s="50" t="n"/>
      <c r="AB46" s="50" t="n"/>
      <c r="AC46" s="50" t="n"/>
      <c r="AD46" s="50" t="n"/>
      <c r="AE46" s="50" t="n"/>
      <c r="AF46" s="50" t="n"/>
      <c r="AG46" s="50" t="n"/>
      <c r="AH46" s="50" t="n"/>
      <c r="AI46" s="50" t="n"/>
      <c r="AJ46" s="50" t="n"/>
      <c r="AK46" s="50" t="n"/>
      <c r="AL46" s="50" t="n"/>
      <c r="AM46" s="50" t="n"/>
      <c r="AN46" s="50" t="n"/>
      <c r="AO46" s="50" t="n"/>
      <c r="AP46" s="50" t="n"/>
      <c r="AQ46" s="50" t="n"/>
      <c r="AR46" s="50" t="n"/>
      <c r="AS46" s="50" t="n"/>
      <c r="AT46" s="50" t="n"/>
      <c r="AU46" s="50" t="n"/>
      <c r="AV46" s="50" t="n"/>
      <c r="AW46" s="50" t="n"/>
      <c r="AX46" s="50" t="n"/>
      <c r="AY46" s="50" t="n"/>
      <c r="AZ46" s="50" t="n"/>
      <c r="BA46" s="50" t="n"/>
      <c r="BB46" s="50" t="n"/>
      <c r="BC46" s="50" t="n"/>
      <c r="BD46" s="50" t="n"/>
      <c r="BE46" s="50" t="n"/>
      <c r="BF46" s="50" t="n"/>
      <c r="BG46" s="50" t="n"/>
      <c r="BH46" s="50" t="n"/>
      <c r="BI46" s="50" t="n"/>
      <c r="BJ46" s="50" t="n"/>
      <c r="BK46" s="50" t="n"/>
      <c r="BL46" s="50" t="n"/>
      <c r="BM46" s="50" t="n"/>
      <c r="BN46" s="50" t="n"/>
      <c r="BO46" s="50" t="n"/>
      <c r="BP46" s="50" t="n"/>
      <c r="BQ46" s="50" t="n"/>
      <c r="BR46" s="50" t="n"/>
      <c r="BS46" s="50" t="n"/>
      <c r="BT46" s="50" t="n"/>
      <c r="BU46" s="50" t="n"/>
      <c r="BV46" s="50" t="n"/>
      <c r="BW46" s="50" t="n"/>
      <c r="BX46" s="50" t="n"/>
      <c r="BY46" s="50" t="n"/>
      <c r="BZ46" s="50" t="n"/>
      <c r="CA46" s="50" t="n"/>
      <c r="CB46" s="50" t="n"/>
      <c r="CC46" s="50" t="n"/>
      <c r="CD46" s="50" t="n"/>
      <c r="CE46" s="50" t="n"/>
      <c r="CF46" s="50" t="n"/>
      <c r="CG46" s="50" t="n"/>
      <c r="CH46" s="50" t="n"/>
      <c r="CI46" s="50" t="n"/>
      <c r="CJ46" s="50" t="n"/>
      <c r="CK46" s="50" t="n"/>
      <c r="CL46" s="50" t="n"/>
      <c r="CM46" s="50" t="n"/>
      <c r="CN46" s="50" t="n"/>
      <c r="CO46" s="50" t="n"/>
      <c r="CP46" s="50" t="n"/>
      <c r="CQ46" s="50" t="n"/>
      <c r="CR46" s="50" t="n"/>
      <c r="CS46" s="50" t="n"/>
      <c r="CT46" s="50" t="n"/>
      <c r="CU46" s="50" t="n"/>
      <c r="CV46" s="50" t="n"/>
      <c r="CW46" s="50" t="n"/>
      <c r="CX46" s="50" t="n"/>
      <c r="CY46" s="50" t="n"/>
    </row>
    <row r="47" hidden="1" outlineLevel="1">
      <c r="C47" s="50" t="inlineStr">
        <is>
          <t>Com Vendas</t>
        </is>
      </c>
      <c r="D47" s="11" t="n"/>
      <c r="E47" s="11" t="n"/>
      <c r="F47" s="11" t="n"/>
      <c r="G47" s="11" t="n"/>
      <c r="H47" s="50" t="n"/>
      <c r="I47" s="11" t="n"/>
      <c r="J47" s="11" t="n"/>
      <c r="K47" s="11" t="n"/>
      <c r="L47" s="11" t="n"/>
      <c r="M47" s="50" t="n"/>
      <c r="N47" s="11" t="n"/>
      <c r="O47" s="11" t="n"/>
      <c r="P47" s="11" t="n"/>
      <c r="Q47" s="11" t="n"/>
      <c r="R47" s="50" t="n"/>
      <c r="S47" s="11" t="n"/>
      <c r="T47" s="11" t="n"/>
      <c r="U47" s="11" t="n"/>
      <c r="V47" s="11" t="n"/>
      <c r="W47" s="50" t="n"/>
      <c r="X47" s="11" t="n"/>
      <c r="Y47" s="11" t="n"/>
      <c r="Z47" s="11" t="n"/>
      <c r="AA47" s="11" t="n"/>
      <c r="AB47" s="50" t="n"/>
      <c r="AC47" s="11" t="n"/>
      <c r="AD47" s="11" t="n"/>
      <c r="AE47" s="11" t="n"/>
      <c r="AF47" s="11" t="n"/>
      <c r="AG47" s="50" t="n"/>
      <c r="AH47" s="50" t="n"/>
      <c r="AI47" s="50" t="n"/>
      <c r="AJ47" s="50" t="n"/>
      <c r="AK47" s="50" t="n"/>
      <c r="AL47" s="50" t="n"/>
      <c r="AM47" s="50" t="n"/>
      <c r="AN47" s="50" t="n"/>
      <c r="AO47" s="50" t="n"/>
      <c r="AP47" s="50" t="n"/>
      <c r="AQ47" s="50" t="n"/>
      <c r="AR47" s="50" t="n"/>
      <c r="AS47" s="50" t="n"/>
      <c r="AT47" s="50" t="n"/>
      <c r="AU47" s="50" t="n"/>
      <c r="AV47" s="50" t="n"/>
      <c r="AW47" s="50" t="n"/>
      <c r="AX47" s="50" t="n"/>
      <c r="AY47" s="50" t="n"/>
      <c r="AZ47" s="50" t="n"/>
      <c r="BA47" s="50" t="n"/>
      <c r="BB47" s="50" t="n"/>
      <c r="BC47" s="50" t="n"/>
      <c r="BD47" s="50" t="n"/>
      <c r="BE47" s="50" t="n"/>
      <c r="BF47" s="50" t="n"/>
      <c r="BG47" s="50" t="n"/>
      <c r="BH47" s="50" t="n"/>
      <c r="BI47" s="50" t="n"/>
      <c r="BJ47" s="50" t="n"/>
      <c r="BK47" s="50" t="n"/>
      <c r="BL47" s="50" t="n"/>
      <c r="BM47" s="50" t="n"/>
      <c r="BN47" s="50" t="n"/>
      <c r="BO47" s="50" t="n"/>
      <c r="BP47" s="50" t="n"/>
      <c r="BQ47" s="50" t="n"/>
      <c r="BR47" s="50" t="n"/>
      <c r="BS47" s="50" t="n"/>
      <c r="BT47" s="50" t="n"/>
      <c r="BU47" s="50" t="n"/>
      <c r="BV47" s="50" t="n"/>
      <c r="BW47" s="50" t="n"/>
      <c r="BX47" s="50" t="n"/>
      <c r="BY47" s="50" t="n"/>
      <c r="BZ47" s="50" t="n"/>
      <c r="CA47" s="50" t="n"/>
      <c r="CB47" s="50" t="n"/>
      <c r="CC47" s="50" t="n"/>
      <c r="CD47" s="50" t="n"/>
      <c r="CE47" s="50" t="n"/>
      <c r="CF47" s="50" t="n"/>
      <c r="CG47" s="50" t="n"/>
      <c r="CH47" s="50" t="n"/>
      <c r="CI47" s="50" t="n"/>
      <c r="CJ47" s="50" t="n"/>
      <c r="CK47" s="50" t="n"/>
      <c r="CL47" s="50" t="n"/>
      <c r="CM47" s="50" t="n"/>
      <c r="CN47" s="50" t="n"/>
      <c r="CO47" s="50" t="n"/>
      <c r="CP47" s="50" t="n"/>
      <c r="CQ47" s="50" t="n"/>
      <c r="CR47" s="50" t="n"/>
      <c r="CS47" s="50" t="n"/>
      <c r="CT47" s="50" t="n"/>
      <c r="CU47" s="50" t="n"/>
      <c r="CV47" s="50" t="n"/>
      <c r="CW47" s="50" t="n"/>
      <c r="CX47" s="50" t="n"/>
      <c r="CY47" s="50" t="n"/>
    </row>
    <row r="48" hidden="1" outlineLevel="1">
      <c r="C48" s="50" t="inlineStr">
        <is>
          <t>Gerais &amp; Administrativas</t>
        </is>
      </c>
      <c r="D48" s="11" t="n"/>
      <c r="E48" s="11" t="n"/>
      <c r="F48" s="11" t="n"/>
      <c r="G48" s="11" t="n"/>
      <c r="H48" s="50" t="n"/>
      <c r="I48" s="11" t="n"/>
      <c r="J48" s="11" t="n"/>
      <c r="K48" s="11" t="n"/>
      <c r="L48" s="11" t="n"/>
      <c r="M48" s="50" t="n"/>
      <c r="N48" s="11" t="n"/>
      <c r="O48" s="11" t="n"/>
      <c r="P48" s="11" t="n"/>
      <c r="Q48" s="11" t="n"/>
      <c r="R48" s="50" t="n"/>
      <c r="S48" s="11" t="n"/>
      <c r="T48" s="11" t="n"/>
      <c r="U48" s="11" t="n"/>
      <c r="V48" s="11" t="n"/>
      <c r="W48" s="50" t="n"/>
      <c r="X48" s="11" t="n"/>
      <c r="Y48" s="11" t="n"/>
      <c r="Z48" s="11" t="n"/>
      <c r="AA48" s="11" t="n"/>
      <c r="AB48" s="50" t="n"/>
      <c r="AC48" s="11" t="n"/>
      <c r="AD48" s="11" t="n"/>
      <c r="AE48" s="11" t="n"/>
      <c r="AF48" s="11" t="n"/>
      <c r="AG48" s="50" t="n"/>
      <c r="AH48" s="50" t="n"/>
      <c r="AI48" s="50" t="n"/>
      <c r="AJ48" s="50" t="n"/>
      <c r="AK48" s="50" t="n"/>
      <c r="AL48" s="50" t="n"/>
      <c r="AM48" s="50" t="n"/>
      <c r="AN48" s="50" t="n"/>
      <c r="AO48" s="50" t="n"/>
      <c r="AP48" s="50" t="n"/>
      <c r="AQ48" s="50" t="n"/>
      <c r="AR48" s="50" t="n"/>
      <c r="AS48" s="50" t="n"/>
      <c r="AT48" s="50" t="n"/>
      <c r="AU48" s="50" t="n"/>
      <c r="AV48" s="50" t="n"/>
      <c r="AW48" s="50" t="n"/>
      <c r="AX48" s="50" t="n"/>
      <c r="AY48" s="50" t="n"/>
      <c r="AZ48" s="50" t="n"/>
      <c r="BA48" s="50" t="n"/>
      <c r="BB48" s="50" t="n"/>
      <c r="BC48" s="50" t="n"/>
      <c r="BD48" s="50" t="n"/>
      <c r="BE48" s="50" t="n"/>
      <c r="BF48" s="50" t="n"/>
      <c r="BG48" s="50" t="n"/>
      <c r="BH48" s="50" t="n"/>
      <c r="BI48" s="50" t="n"/>
      <c r="BJ48" s="50" t="n"/>
      <c r="BK48" s="50" t="n"/>
      <c r="BL48" s="50" t="n"/>
      <c r="BM48" s="50" t="n"/>
      <c r="BN48" s="50" t="n"/>
      <c r="BO48" s="50" t="n"/>
      <c r="BP48" s="50" t="n"/>
      <c r="BQ48" s="50" t="n"/>
      <c r="BR48" s="50" t="n"/>
      <c r="BS48" s="50" t="n"/>
      <c r="BT48" s="50" t="n"/>
      <c r="BU48" s="50" t="n"/>
      <c r="BV48" s="50" t="n"/>
      <c r="BW48" s="50" t="n"/>
      <c r="BX48" s="50" t="n"/>
      <c r="BY48" s="50" t="n"/>
      <c r="BZ48" s="50" t="n"/>
      <c r="CA48" s="50" t="n"/>
      <c r="CB48" s="50" t="n"/>
      <c r="CC48" s="50" t="n"/>
      <c r="CD48" s="50" t="n"/>
      <c r="CE48" s="50" t="n"/>
      <c r="CF48" s="50" t="n"/>
      <c r="CG48" s="50" t="n"/>
      <c r="CH48" s="50" t="n"/>
      <c r="CI48" s="50" t="n"/>
      <c r="CJ48" s="50" t="n"/>
      <c r="CK48" s="50" t="n"/>
      <c r="CL48" s="50" t="n"/>
      <c r="CM48" s="50" t="n"/>
      <c r="CN48" s="50" t="n"/>
      <c r="CO48" s="50" t="n"/>
      <c r="CP48" s="50" t="n"/>
      <c r="CQ48" s="50" t="n"/>
      <c r="CR48" s="50" t="n"/>
      <c r="CS48" s="50" t="n"/>
      <c r="CT48" s="50" t="n"/>
      <c r="CU48" s="50" t="n"/>
      <c r="CV48" s="50" t="n"/>
      <c r="CW48" s="50" t="n"/>
      <c r="CX48" s="50" t="n"/>
      <c r="CY48" s="50" t="n"/>
    </row>
    <row r="49" hidden="1" outlineLevel="1">
      <c r="C49" s="50" t="inlineStr">
        <is>
          <t>Outras Receitas (Despesas) Operacionais, Líquidas</t>
        </is>
      </c>
      <c r="D49" s="11" t="n"/>
      <c r="E49" s="11" t="n"/>
      <c r="F49" s="11" t="n"/>
      <c r="G49" s="11" t="n"/>
      <c r="H49" s="50" t="n"/>
      <c r="I49" s="11" t="n"/>
      <c r="J49" s="11" t="n"/>
      <c r="K49" s="11" t="n"/>
      <c r="L49" s="11" t="n"/>
      <c r="M49" s="50" t="n"/>
      <c r="N49" s="11" t="n"/>
      <c r="O49" s="11" t="n"/>
      <c r="P49" s="11" t="n"/>
      <c r="Q49" s="11" t="n"/>
      <c r="R49" s="50" t="n"/>
      <c r="S49" s="11" t="n"/>
      <c r="T49" s="11" t="n"/>
      <c r="U49" s="11" t="n"/>
      <c r="V49" s="11" t="n"/>
      <c r="W49" s="50" t="n"/>
      <c r="X49" s="11" t="n"/>
      <c r="Y49" s="11" t="n"/>
      <c r="Z49" s="11" t="n"/>
      <c r="AA49" s="11" t="n"/>
      <c r="AB49" s="50" t="n"/>
      <c r="AC49" s="11" t="n"/>
      <c r="AD49" s="11" t="n"/>
      <c r="AE49" s="11" t="n"/>
      <c r="AF49" s="11" t="n"/>
      <c r="AG49" s="50" t="n"/>
      <c r="AH49" s="50" t="n"/>
      <c r="AI49" s="50" t="n"/>
      <c r="AJ49" s="50" t="n"/>
      <c r="AK49" s="50" t="n"/>
      <c r="AL49" s="50" t="n"/>
      <c r="AM49" s="50" t="n"/>
      <c r="AN49" s="50" t="n"/>
      <c r="AO49" s="50" t="n"/>
      <c r="AP49" s="50" t="n"/>
      <c r="AQ49" s="50" t="n"/>
      <c r="AR49" s="50" t="n"/>
      <c r="AS49" s="50" t="n"/>
      <c r="AT49" s="50" t="n"/>
      <c r="AU49" s="50" t="n"/>
      <c r="AV49" s="50" t="n"/>
      <c r="AW49" s="50" t="n"/>
      <c r="AX49" s="50" t="n"/>
      <c r="AY49" s="50" t="n"/>
      <c r="AZ49" s="50" t="n"/>
      <c r="BA49" s="50" t="n"/>
      <c r="BB49" s="50" t="n"/>
      <c r="BC49" s="50" t="n"/>
      <c r="BD49" s="50" t="n"/>
      <c r="BE49" s="50" t="n"/>
      <c r="BF49" s="50" t="n"/>
      <c r="BG49" s="50" t="n"/>
      <c r="BH49" s="50" t="n"/>
      <c r="BI49" s="50" t="n"/>
      <c r="BJ49" s="50" t="n"/>
      <c r="BK49" s="50" t="n"/>
      <c r="BL49" s="50" t="n"/>
      <c r="BM49" s="50" t="n"/>
      <c r="BN49" s="50" t="n"/>
      <c r="BO49" s="50" t="n"/>
      <c r="BP49" s="50" t="n"/>
      <c r="BQ49" s="50" t="n"/>
      <c r="BR49" s="50" t="n"/>
      <c r="BS49" s="50" t="n"/>
      <c r="BT49" s="50" t="n"/>
      <c r="BU49" s="50" t="n"/>
      <c r="BV49" s="50" t="n"/>
      <c r="BW49" s="50" t="n"/>
      <c r="BX49" s="50" t="n"/>
      <c r="BY49" s="50" t="n"/>
      <c r="BZ49" s="50" t="n"/>
      <c r="CA49" s="50" t="n"/>
      <c r="CB49" s="50" t="n"/>
      <c r="CC49" s="50" t="n"/>
      <c r="CD49" s="50" t="n"/>
      <c r="CE49" s="50" t="n"/>
      <c r="CF49" s="50" t="n"/>
      <c r="CG49" s="50" t="n"/>
      <c r="CH49" s="50" t="n"/>
      <c r="CI49" s="50" t="n"/>
      <c r="CJ49" s="50" t="n"/>
      <c r="CK49" s="50" t="n"/>
      <c r="CL49" s="50" t="n"/>
      <c r="CM49" s="50" t="n"/>
      <c r="CN49" s="50" t="n"/>
      <c r="CO49" s="50" t="n"/>
      <c r="CP49" s="50" t="n"/>
      <c r="CQ49" s="50" t="n"/>
      <c r="CR49" s="50" t="n"/>
      <c r="CS49" s="50" t="n"/>
      <c r="CT49" s="50" t="n"/>
      <c r="CU49" s="50" t="n"/>
      <c r="CV49" s="50" t="n"/>
      <c r="CW49" s="50" t="n"/>
      <c r="CX49" s="50" t="n"/>
      <c r="CY49" s="50" t="n"/>
    </row>
    <row r="50" hidden="1" outlineLevel="1">
      <c r="C50" s="50" t="n"/>
      <c r="D50" s="50" t="n"/>
      <c r="E50" s="50" t="n"/>
      <c r="F50" s="50" t="n"/>
      <c r="G50" s="50" t="n"/>
      <c r="H50" s="50" t="n"/>
      <c r="I50" s="50" t="n"/>
      <c r="J50" s="50" t="n"/>
      <c r="K50" s="50" t="n"/>
      <c r="L50" s="50" t="n"/>
      <c r="M50" s="50" t="n"/>
      <c r="N50" s="50" t="n"/>
      <c r="O50" s="50" t="n"/>
      <c r="P50" s="50" t="n"/>
      <c r="Q50" s="50" t="n"/>
      <c r="R50" s="50" t="n"/>
      <c r="S50" s="50" t="n"/>
      <c r="T50" s="50" t="n"/>
      <c r="U50" s="50" t="n"/>
      <c r="V50" s="50" t="n"/>
      <c r="W50" s="50" t="n"/>
      <c r="X50" s="50" t="n"/>
      <c r="Y50" s="50" t="n"/>
      <c r="Z50" s="50" t="n"/>
      <c r="AA50" s="50" t="n"/>
      <c r="AB50" s="50" t="n"/>
      <c r="AC50" s="50" t="n"/>
      <c r="AD50" s="50" t="n"/>
      <c r="AE50" s="50" t="n"/>
      <c r="AF50" s="50" t="n"/>
      <c r="AG50" s="50" t="n"/>
      <c r="AH50" s="50" t="n"/>
      <c r="AI50" s="50" t="n"/>
      <c r="AJ50" s="50" t="n"/>
      <c r="AK50" s="50" t="n"/>
      <c r="AL50" s="50" t="n"/>
      <c r="AM50" s="50" t="n"/>
      <c r="AN50" s="50" t="n"/>
      <c r="AO50" s="50" t="n"/>
      <c r="AP50" s="50" t="n"/>
      <c r="AQ50" s="50" t="n"/>
      <c r="AR50" s="50" t="n"/>
      <c r="AS50" s="50" t="n"/>
      <c r="AT50" s="50" t="n"/>
      <c r="AU50" s="50" t="n"/>
      <c r="AV50" s="50" t="n"/>
      <c r="AW50" s="50" t="n"/>
      <c r="AX50" s="50" t="n"/>
      <c r="AY50" s="50" t="n"/>
      <c r="AZ50" s="50" t="n"/>
      <c r="BA50" s="50" t="n"/>
      <c r="BB50" s="50" t="n"/>
      <c r="BC50" s="50" t="n"/>
      <c r="BD50" s="50" t="n"/>
      <c r="BE50" s="50" t="n"/>
      <c r="BF50" s="50" t="n"/>
      <c r="BG50" s="50" t="n"/>
      <c r="BH50" s="50" t="n"/>
      <c r="BI50" s="50" t="n"/>
      <c r="BJ50" s="50" t="n"/>
      <c r="BK50" s="50" t="n"/>
      <c r="BL50" s="50" t="n"/>
      <c r="BM50" s="50" t="n"/>
      <c r="BN50" s="50" t="n"/>
      <c r="BO50" s="50" t="n"/>
      <c r="BP50" s="50" t="n"/>
      <c r="BQ50" s="50" t="n"/>
      <c r="BR50" s="50" t="n"/>
      <c r="BS50" s="50" t="n"/>
      <c r="BT50" s="50" t="n"/>
      <c r="BU50" s="50" t="n"/>
      <c r="BV50" s="50" t="n"/>
      <c r="BW50" s="50" t="n"/>
      <c r="BX50" s="50" t="n"/>
      <c r="BY50" s="50" t="n"/>
      <c r="BZ50" s="50" t="n"/>
      <c r="CA50" s="50" t="n"/>
      <c r="CB50" s="50" t="n"/>
      <c r="CC50" s="50" t="n"/>
      <c r="CD50" s="50" t="n"/>
      <c r="CE50" s="50" t="n"/>
      <c r="CF50" s="50" t="n"/>
      <c r="CG50" s="50" t="n"/>
      <c r="CH50" s="50" t="n"/>
      <c r="CI50" s="50" t="n"/>
      <c r="CJ50" s="50" t="n"/>
      <c r="CK50" s="50" t="n"/>
      <c r="CL50" s="50" t="n"/>
      <c r="CM50" s="50" t="n"/>
      <c r="CN50" s="50" t="n"/>
      <c r="CO50" s="50" t="n"/>
      <c r="CP50" s="50" t="n"/>
      <c r="CQ50" s="50" t="n"/>
      <c r="CR50" s="50" t="n"/>
      <c r="CS50" s="50" t="n"/>
      <c r="CT50" s="50" t="n"/>
      <c r="CU50" s="50" t="n"/>
      <c r="CV50" s="50" t="n"/>
      <c r="CW50" s="50" t="n"/>
      <c r="CX50" s="50" t="n"/>
      <c r="CY50" s="50" t="n"/>
    </row>
    <row r="51" hidden="1" outlineLevel="1">
      <c r="C51" s="50" t="inlineStr">
        <is>
          <t>Com Vendas (%)</t>
        </is>
      </c>
      <c r="D51" s="50" t="n"/>
      <c r="E51" s="50" t="n"/>
      <c r="F51" s="50" t="n"/>
      <c r="G51" s="50" t="n"/>
      <c r="H51" s="50" t="n"/>
      <c r="I51" s="50" t="n"/>
      <c r="J51" s="50" t="n"/>
      <c r="K51" s="50" t="n"/>
      <c r="L51" s="50" t="n"/>
      <c r="M51" s="50" t="n"/>
      <c r="N51" s="50" t="n"/>
      <c r="O51" s="50" t="n"/>
      <c r="P51" s="50" t="n"/>
      <c r="Q51" s="50" t="n"/>
      <c r="R51" s="50" t="n"/>
      <c r="S51" s="50" t="n"/>
      <c r="T51" s="50" t="n"/>
      <c r="U51" s="50" t="n"/>
      <c r="V51" s="50" t="n"/>
      <c r="W51" s="50" t="n"/>
      <c r="X51" s="50" t="n"/>
      <c r="Y51" s="50" t="n"/>
      <c r="Z51" s="50" t="n"/>
      <c r="AA51" s="50" t="n"/>
      <c r="AB51" s="50" t="n"/>
      <c r="AC51" s="50" t="n"/>
      <c r="AD51" s="50" t="n"/>
      <c r="AE51" s="50" t="n"/>
      <c r="AF51" s="50" t="n"/>
      <c r="AG51" s="50" t="n"/>
      <c r="AH51" s="50" t="n"/>
      <c r="AI51" s="50" t="n"/>
      <c r="AJ51" s="50" t="n"/>
      <c r="AK51" s="50" t="n"/>
      <c r="AL51" s="50" t="n"/>
      <c r="AM51" s="50" t="n"/>
      <c r="AN51" s="50" t="n"/>
      <c r="AO51" s="50" t="n"/>
      <c r="AP51" s="50" t="n"/>
      <c r="AQ51" s="50" t="n"/>
      <c r="AR51" s="50" t="n"/>
      <c r="AS51" s="50" t="n"/>
      <c r="AT51" s="50" t="n"/>
      <c r="AU51" s="50" t="n"/>
      <c r="AV51" s="50" t="n"/>
      <c r="AW51" s="50" t="n"/>
      <c r="AX51" s="50" t="n"/>
      <c r="AY51" s="50" t="n"/>
      <c r="AZ51" s="50" t="n"/>
      <c r="BA51" s="50" t="n"/>
      <c r="BB51" s="50" t="n"/>
      <c r="BC51" s="50" t="n"/>
      <c r="BD51" s="50" t="n"/>
      <c r="BE51" s="50" t="n"/>
      <c r="BF51" s="50" t="n"/>
      <c r="BG51" s="50" t="n"/>
      <c r="BH51" s="50" t="n"/>
      <c r="BI51" s="50" t="n"/>
      <c r="BJ51" s="50" t="n"/>
      <c r="BK51" s="50" t="n"/>
      <c r="BL51" s="50" t="n"/>
      <c r="BM51" s="50" t="n"/>
      <c r="BN51" s="50" t="n"/>
      <c r="BO51" s="50" t="n"/>
      <c r="BP51" s="50" t="n"/>
      <c r="BQ51" s="50" t="n"/>
      <c r="BR51" s="50" t="n"/>
      <c r="BS51" s="50" t="n"/>
      <c r="BT51" s="50" t="n"/>
      <c r="BU51" s="50" t="n"/>
      <c r="BV51" s="50" t="n"/>
      <c r="BW51" s="50" t="n"/>
      <c r="BX51" s="50" t="n"/>
      <c r="BY51" s="50" t="n"/>
      <c r="BZ51" s="50" t="n"/>
      <c r="CA51" s="50" t="n"/>
      <c r="CB51" s="50" t="n"/>
      <c r="CC51" s="50" t="n"/>
      <c r="CD51" s="50" t="n"/>
      <c r="CE51" s="50" t="n"/>
      <c r="CF51" s="50" t="n"/>
      <c r="CG51" s="50" t="n"/>
      <c r="CH51" s="50" t="n"/>
      <c r="CI51" s="50" t="n"/>
      <c r="CJ51" s="50" t="n"/>
      <c r="CK51" s="50" t="n"/>
      <c r="CL51" s="50" t="n"/>
      <c r="CM51" s="50" t="n"/>
      <c r="CN51" s="50" t="n"/>
      <c r="CO51" s="50" t="n"/>
      <c r="CP51" s="50" t="n"/>
      <c r="CQ51" s="50" t="n"/>
      <c r="CR51" s="50" t="n"/>
      <c r="CS51" s="50" t="n"/>
      <c r="CT51" s="50" t="n"/>
      <c r="CU51" s="50" t="n"/>
      <c r="CV51" s="50" t="n"/>
      <c r="CW51" s="50" t="n"/>
      <c r="CX51" s="50" t="n"/>
      <c r="CY51" s="50" t="n"/>
    </row>
    <row r="52" hidden="1" outlineLevel="1">
      <c r="C52" s="50" t="inlineStr">
        <is>
          <t>Gerais &amp; Administrativas (%)</t>
        </is>
      </c>
      <c r="D52" s="50" t="n"/>
      <c r="E52" s="50" t="n"/>
      <c r="F52" s="50" t="n"/>
      <c r="G52" s="50" t="n"/>
      <c r="H52" s="50" t="n"/>
      <c r="I52" s="50" t="n"/>
      <c r="J52" s="50" t="n"/>
      <c r="K52" s="50" t="n"/>
      <c r="L52" s="50" t="n"/>
      <c r="M52" s="50" t="n"/>
      <c r="N52" s="50" t="n"/>
      <c r="O52" s="50" t="n"/>
      <c r="P52" s="50" t="n"/>
      <c r="Q52" s="50" t="n"/>
      <c r="R52" s="50" t="n"/>
      <c r="S52" s="50" t="n"/>
      <c r="T52" s="50" t="n"/>
      <c r="U52" s="50" t="n"/>
      <c r="V52" s="50" t="n"/>
      <c r="W52" s="50" t="n"/>
      <c r="X52" s="50" t="n"/>
      <c r="Y52" s="50" t="n"/>
      <c r="Z52" s="50" t="n"/>
      <c r="AA52" s="50" t="n"/>
      <c r="AB52" s="50" t="n"/>
      <c r="AC52" s="50" t="n"/>
      <c r="AD52" s="50" t="n"/>
      <c r="AE52" s="50" t="n"/>
      <c r="AF52" s="50" t="n"/>
      <c r="AG52" s="50" t="n"/>
      <c r="AH52" s="50" t="n"/>
      <c r="AI52" s="50" t="n"/>
      <c r="AJ52" s="50" t="n"/>
      <c r="AK52" s="50" t="n"/>
      <c r="AL52" s="50" t="n"/>
      <c r="AM52" s="50" t="n"/>
      <c r="AN52" s="50" t="n"/>
      <c r="AO52" s="50" t="n"/>
      <c r="AP52" s="50" t="n"/>
      <c r="AQ52" s="50" t="n"/>
      <c r="AR52" s="50" t="n"/>
      <c r="AS52" s="50" t="n"/>
      <c r="AT52" s="50" t="n"/>
      <c r="AU52" s="50" t="n"/>
      <c r="AV52" s="50" t="n"/>
      <c r="AW52" s="50" t="n"/>
      <c r="AX52" s="50" t="n"/>
      <c r="AY52" s="50" t="n"/>
      <c r="AZ52" s="50" t="n"/>
      <c r="BA52" s="50" t="n"/>
      <c r="BB52" s="50" t="n"/>
      <c r="BC52" s="50" t="n"/>
      <c r="BD52" s="50" t="n"/>
      <c r="BE52" s="50" t="n"/>
      <c r="BF52" s="50" t="n"/>
      <c r="BG52" s="50" t="n"/>
      <c r="BH52" s="50" t="n"/>
      <c r="BI52" s="50" t="n"/>
      <c r="BJ52" s="50" t="n"/>
      <c r="BK52" s="50" t="n"/>
      <c r="BL52" s="50" t="n"/>
      <c r="BM52" s="50" t="n"/>
      <c r="BN52" s="50" t="n"/>
      <c r="BO52" s="50" t="n"/>
      <c r="BP52" s="50" t="n"/>
      <c r="BQ52" s="50" t="n"/>
      <c r="BR52" s="50" t="n"/>
      <c r="BS52" s="50" t="n"/>
      <c r="BT52" s="50" t="n"/>
      <c r="BU52" s="50" t="n"/>
      <c r="BV52" s="50" t="n"/>
      <c r="BW52" s="50" t="n"/>
      <c r="BX52" s="50" t="n"/>
      <c r="BY52" s="50" t="n"/>
      <c r="BZ52" s="50" t="n"/>
      <c r="CA52" s="50" t="n"/>
      <c r="CB52" s="50" t="n"/>
      <c r="CC52" s="50" t="n"/>
      <c r="CD52" s="50" t="n"/>
      <c r="CE52" s="50" t="n"/>
      <c r="CF52" s="50" t="n"/>
      <c r="CG52" s="50" t="n"/>
      <c r="CH52" s="50" t="n"/>
      <c r="CI52" s="50" t="n"/>
      <c r="CJ52" s="50" t="n"/>
      <c r="CK52" s="50" t="n"/>
      <c r="CL52" s="50" t="n"/>
      <c r="CM52" s="50" t="n"/>
      <c r="CN52" s="50" t="n"/>
      <c r="CO52" s="50" t="n"/>
      <c r="CP52" s="50" t="n"/>
      <c r="CQ52" s="50" t="n"/>
      <c r="CR52" s="50" t="n"/>
      <c r="CS52" s="50" t="n"/>
      <c r="CT52" s="50" t="n"/>
      <c r="CU52" s="50" t="n"/>
      <c r="CV52" s="50" t="n"/>
      <c r="CW52" s="50" t="n"/>
      <c r="CX52" s="50" t="n"/>
      <c r="CY52" s="50" t="n"/>
    </row>
    <row r="53" hidden="1" outlineLevel="1">
      <c r="C53" s="50" t="inlineStr">
        <is>
          <t>Outras Receitas (Despesas) Operacionais, Líquidas (%)</t>
        </is>
      </c>
      <c r="D53" s="50" t="n"/>
      <c r="E53" s="50" t="n"/>
      <c r="F53" s="50" t="n"/>
      <c r="G53" s="50" t="n"/>
      <c r="H53" s="50" t="n"/>
      <c r="I53" s="50" t="n"/>
      <c r="J53" s="50" t="n"/>
      <c r="K53" s="50" t="n"/>
      <c r="L53" s="50" t="n"/>
      <c r="M53" s="50" t="n"/>
      <c r="N53" s="50" t="n"/>
      <c r="O53" s="50" t="n"/>
      <c r="P53" s="50" t="n"/>
      <c r="Q53" s="50" t="n"/>
      <c r="R53" s="50" t="n"/>
      <c r="S53" s="50" t="n"/>
      <c r="T53" s="50" t="n"/>
      <c r="U53" s="50" t="n"/>
      <c r="V53" s="50" t="n"/>
      <c r="W53" s="50" t="n"/>
      <c r="X53" s="50" t="n"/>
      <c r="Y53" s="50" t="n"/>
      <c r="Z53" s="50" t="n"/>
      <c r="AA53" s="50" t="n"/>
      <c r="AB53" s="50" t="n"/>
      <c r="AC53" s="50" t="n"/>
      <c r="AD53" s="50" t="n"/>
      <c r="AE53" s="50" t="n"/>
      <c r="AF53" s="50" t="n"/>
      <c r="AG53" s="50" t="n"/>
      <c r="AH53" s="50" t="n"/>
      <c r="AI53" s="50" t="n"/>
      <c r="AJ53" s="50" t="n"/>
      <c r="AK53" s="50" t="n"/>
      <c r="AL53" s="50" t="n"/>
      <c r="AM53" s="50" t="n"/>
      <c r="AN53" s="50" t="n"/>
      <c r="AO53" s="50" t="n"/>
      <c r="AP53" s="50" t="n"/>
      <c r="AQ53" s="50" t="n"/>
      <c r="AR53" s="50" t="n"/>
      <c r="AS53" s="50" t="n"/>
      <c r="AT53" s="50" t="n"/>
      <c r="AU53" s="50" t="n"/>
      <c r="AV53" s="50" t="n"/>
      <c r="AW53" s="50" t="n"/>
      <c r="AX53" s="50" t="n"/>
      <c r="AY53" s="50" t="n"/>
      <c r="AZ53" s="50" t="n"/>
      <c r="BA53" s="50" t="n"/>
      <c r="BB53" s="50" t="n"/>
      <c r="BC53" s="50" t="n"/>
      <c r="BD53" s="50" t="n"/>
      <c r="BE53" s="50" t="n"/>
      <c r="BF53" s="50" t="n"/>
      <c r="BG53" s="50" t="n"/>
      <c r="BH53" s="50" t="n"/>
      <c r="BI53" s="50" t="n"/>
      <c r="BJ53" s="50" t="n"/>
      <c r="BK53" s="50" t="n"/>
      <c r="BL53" s="50" t="n"/>
      <c r="BM53" s="50" t="n"/>
      <c r="BN53" s="50" t="n"/>
      <c r="BO53" s="50" t="n"/>
      <c r="BP53" s="50" t="n"/>
      <c r="BQ53" s="50" t="n"/>
      <c r="BR53" s="50" t="n"/>
      <c r="BS53" s="50" t="n"/>
      <c r="BT53" s="50" t="n"/>
      <c r="BU53" s="50" t="n"/>
      <c r="BV53" s="50" t="n"/>
      <c r="BW53" s="50" t="n"/>
      <c r="BX53" s="50" t="n"/>
      <c r="BY53" s="50" t="n"/>
      <c r="BZ53" s="50" t="n"/>
      <c r="CA53" s="50" t="n"/>
      <c r="CB53" s="50" t="n"/>
      <c r="CC53" s="50" t="n"/>
      <c r="CD53" s="50" t="n"/>
      <c r="CE53" s="50" t="n"/>
      <c r="CF53" s="50" t="n"/>
      <c r="CG53" s="50" t="n"/>
      <c r="CH53" s="50" t="n"/>
      <c r="CI53" s="50" t="n"/>
      <c r="CJ53" s="50" t="n"/>
      <c r="CK53" s="50" t="n"/>
      <c r="CL53" s="50" t="n"/>
      <c r="CM53" s="50" t="n"/>
      <c r="CN53" s="50" t="n"/>
      <c r="CO53" s="50" t="n"/>
      <c r="CP53" s="50" t="n"/>
      <c r="CQ53" s="50" t="n"/>
      <c r="CR53" s="50" t="n"/>
      <c r="CS53" s="50" t="n"/>
      <c r="CT53" s="50" t="n"/>
      <c r="CU53" s="50" t="n"/>
      <c r="CV53" s="50" t="n"/>
      <c r="CW53" s="50" t="n"/>
      <c r="CX53" s="50" t="n"/>
      <c r="CY53" s="50" t="n"/>
    </row>
    <row r="54" hidden="1" outlineLevel="1">
      <c r="C54" s="50" t="n"/>
      <c r="D54" s="50" t="n"/>
      <c r="E54" s="50" t="n"/>
      <c r="F54" s="50" t="n"/>
      <c r="G54" s="50" t="n"/>
      <c r="H54" s="50" t="n"/>
      <c r="I54" s="50" t="n"/>
      <c r="J54" s="50" t="n"/>
      <c r="K54" s="50" t="n"/>
      <c r="L54" s="50" t="n"/>
      <c r="M54" s="50" t="n"/>
      <c r="N54" s="50" t="n"/>
      <c r="O54" s="50" t="n"/>
      <c r="P54" s="50" t="n"/>
      <c r="Q54" s="50" t="n"/>
      <c r="R54" s="50" t="n"/>
      <c r="S54" s="50" t="n"/>
      <c r="T54" s="50" t="n"/>
      <c r="U54" s="50" t="n"/>
      <c r="V54" s="50" t="n"/>
      <c r="W54" s="50" t="n"/>
      <c r="X54" s="50" t="n"/>
      <c r="Y54" s="50" t="n"/>
      <c r="Z54" s="50" t="n"/>
      <c r="AA54" s="50" t="n"/>
      <c r="AB54" s="50" t="n"/>
      <c r="AC54" s="50" t="n"/>
      <c r="AD54" s="50" t="n"/>
      <c r="AE54" s="50" t="n"/>
      <c r="AF54" s="50" t="n"/>
      <c r="AG54" s="50" t="n"/>
      <c r="AH54" s="50" t="n"/>
      <c r="AI54" s="50" t="n"/>
      <c r="AJ54" s="50" t="n"/>
      <c r="AK54" s="50" t="n"/>
      <c r="AL54" s="50" t="n"/>
      <c r="AM54" s="50" t="n"/>
      <c r="AN54" s="50" t="n"/>
      <c r="AO54" s="50" t="n"/>
      <c r="AP54" s="50" t="n"/>
      <c r="AQ54" s="50" t="n"/>
      <c r="AR54" s="50" t="n"/>
      <c r="AS54" s="50" t="n"/>
      <c r="AT54" s="50" t="n"/>
      <c r="AU54" s="50" t="n"/>
      <c r="AV54" s="50" t="n"/>
      <c r="AW54" s="50" t="n"/>
      <c r="AX54" s="50" t="n"/>
      <c r="AY54" s="50" t="n"/>
      <c r="AZ54" s="50" t="n"/>
      <c r="BA54" s="50" t="n"/>
      <c r="BB54" s="50" t="n"/>
      <c r="BC54" s="50" t="n"/>
      <c r="BD54" s="50" t="n"/>
      <c r="BE54" s="50" t="n"/>
      <c r="BF54" s="50" t="n"/>
      <c r="BG54" s="50" t="n"/>
      <c r="BH54" s="50" t="n"/>
      <c r="BI54" s="50" t="n"/>
      <c r="BJ54" s="50" t="n"/>
      <c r="BK54" s="50" t="n"/>
      <c r="BL54" s="50" t="n"/>
      <c r="BM54" s="50" t="n"/>
      <c r="BN54" s="50" t="n"/>
      <c r="BO54" s="50" t="n"/>
      <c r="BP54" s="50" t="n"/>
      <c r="BQ54" s="50" t="n"/>
      <c r="BR54" s="50" t="n"/>
      <c r="BS54" s="50" t="n"/>
      <c r="BT54" s="50" t="n"/>
      <c r="BU54" s="50" t="n"/>
      <c r="BV54" s="50" t="n"/>
      <c r="BW54" s="50" t="n"/>
      <c r="BX54" s="50" t="n"/>
      <c r="BY54" s="50" t="n"/>
      <c r="BZ54" s="50" t="n"/>
      <c r="CA54" s="50" t="n"/>
      <c r="CB54" s="50" t="n"/>
      <c r="CC54" s="50" t="n"/>
      <c r="CD54" s="50" t="n"/>
      <c r="CE54" s="50" t="n"/>
      <c r="CF54" s="50" t="n"/>
      <c r="CG54" s="50" t="n"/>
      <c r="CH54" s="50" t="n"/>
      <c r="CI54" s="50" t="n"/>
      <c r="CJ54" s="50" t="n"/>
      <c r="CK54" s="50" t="n"/>
      <c r="CL54" s="50" t="n"/>
      <c r="CM54" s="50" t="n"/>
      <c r="CN54" s="50" t="n"/>
      <c r="CO54" s="50" t="n"/>
      <c r="CP54" s="50" t="n"/>
      <c r="CQ54" s="50" t="n"/>
      <c r="CR54" s="50" t="n"/>
      <c r="CS54" s="50" t="n"/>
      <c r="CT54" s="50" t="n"/>
      <c r="CU54" s="50" t="n"/>
      <c r="CV54" s="50" t="n"/>
      <c r="CW54" s="50" t="n"/>
      <c r="CX54" s="50" t="n"/>
      <c r="CY54" s="50" t="n"/>
    </row>
    <row r="55" collapsed="1" customFormat="1" s="32">
      <c r="A55" s="30" t="n"/>
      <c r="B55" s="3" t="n"/>
      <c r="C55" s="33" t="inlineStr">
        <is>
          <t>EBITDA</t>
        </is>
      </c>
      <c r="D55" s="35" t="n"/>
      <c r="E55" s="35" t="n"/>
      <c r="F55" s="35" t="n"/>
      <c r="G55" s="35" t="n"/>
      <c r="H55" s="35" t="n"/>
      <c r="I55" s="35">
        <f>SUM(I15,I40,I44)</f>
        <v>8854</v>
      </c>
      <c r="J55" s="35">
        <f>SUM(J15,J40,J44)</f>
        <v>11513</v>
      </c>
      <c r="K55" s="35">
        <f>SUM(K15,K40,K44)</f>
        <v>14810</v>
      </c>
      <c r="L55" s="35">
        <f>SUM(L15,L40,L44)</f>
        <v>17611</v>
      </c>
      <c r="M55" s="35">
        <f>SUM(I55:L55)</f>
        <v>52788</v>
      </c>
      <c r="N55" s="35">
        <f>SUM(N15,N40,N44)</f>
        <v>17627</v>
      </c>
      <c r="O55" s="35">
        <f>SUM(O15,O40,O44)</f>
        <v>29578</v>
      </c>
      <c r="P55" s="35">
        <f>SUM(P15,P40,P44)</f>
        <v>31273</v>
      </c>
      <c r="Q55" s="35">
        <f>SUM(Q15,Q40,Q44)</f>
        <v>24113</v>
      </c>
      <c r="R55" s="35">
        <f>SUM(N55:Q55)</f>
        <v>102591</v>
      </c>
      <c r="S55" s="35">
        <f>SUM(S15,S40,S44)</f>
        <v>21206</v>
      </c>
      <c r="T55" s="35">
        <f>SUM(T15,T40,T44)</f>
        <v>16147</v>
      </c>
      <c r="U55" s="35">
        <f>SUM(U15,U40,U44)</f>
        <v>18283</v>
      </c>
      <c r="V55" s="35">
        <f>SUM(V15,V40,V44)</f>
        <v>18637</v>
      </c>
      <c r="W55" s="35">
        <f>SUM(S55:V55)</f>
        <v>74273</v>
      </c>
      <c r="X55" s="35">
        <f>SUM(X15,X40,X44)</f>
        <v>17402</v>
      </c>
      <c r="Y55" s="35">
        <f>SUM(Y15,Y40,Y44)</f>
        <v>19723</v>
      </c>
      <c r="Z55" s="35">
        <f>SUM(Z15,Z40,Z44)</f>
        <v>19491</v>
      </c>
      <c r="AA55" s="35">
        <f>SUM(AA15,AA40,AA44)</f>
        <v>16695</v>
      </c>
      <c r="AB55" s="35">
        <f>SUM(X55:AA55)</f>
        <v>73311</v>
      </c>
      <c r="AC55" s="35">
        <f>SUM(AC15,AC40,AC44)</f>
        <v>17507</v>
      </c>
      <c r="AD55" s="35">
        <f>SUM(AD15,AD40,AD44)</f>
        <v>16951</v>
      </c>
      <c r="AE55" s="35">
        <f>SUM(AE15,AE40,AE44)</f>
        <v>17497</v>
      </c>
      <c r="AF55" s="35">
        <f>SUM(AF15,AF40,AF44)</f>
        <v>15909</v>
      </c>
      <c r="AG55" s="35">
        <f>SUM(AC55:AF55)</f>
        <v>67864</v>
      </c>
      <c r="AH55" s="35">
        <f>SUM(AH15,AH40,AH44)</f>
        <v>14033</v>
      </c>
      <c r="AI55" s="35">
        <f>SUM(AI15,AI40,AI44)</f>
        <v>28340</v>
      </c>
      <c r="AJ55" s="35">
        <f>SUM(AJ15,AJ40,AJ44)</f>
        <v>18179.5939051237</v>
      </c>
      <c r="AK55" s="35">
        <f>SUM(AK15,AK40,AK44)</f>
        <v>17543.1567887885</v>
      </c>
      <c r="AL55" s="35">
        <f>SUM(AH55:AK55)</f>
        <v>78095.7506939122</v>
      </c>
      <c r="AM55" s="35">
        <f>SUM(AM15,AM40,AM44)</f>
        <v>18146.3440088919</v>
      </c>
      <c r="AN55" s="35">
        <f>SUM(AN15,AN40,AN44)</f>
        <v>24727.9051995538</v>
      </c>
      <c r="AO55" s="35">
        <f>SUM(AO15,AO40,AO44)</f>
        <v>18961.6873712822</v>
      </c>
      <c r="AP55" s="35">
        <f>SUM(AP15,AP40,AP44)</f>
        <v>18297.8704733686</v>
      </c>
      <c r="AQ55" s="35">
        <f>SUM(AM55:AP55)</f>
        <v>80133.8070530964</v>
      </c>
      <c r="AR55" s="35">
        <f>SUM(AR15,AR40,AR44)</f>
        <v>18836.275331052</v>
      </c>
      <c r="AS55" s="35">
        <f>SUM(AS15,AS40,AS44)</f>
        <v>25668.0701341665</v>
      </c>
      <c r="AT55" s="35">
        <f>SUM(AT15,AT40,AT44)</f>
        <v>19682.6183771116</v>
      </c>
      <c r="AU55" s="35">
        <f>SUM(AU15,AU40,AU44)</f>
        <v>18993.5628928565</v>
      </c>
      <c r="AV55" s="35">
        <f>SUM(AR55:AU55)</f>
        <v>83180.5267351866</v>
      </c>
      <c r="AW55" s="35">
        <f>SUM(AW15,AW40,AW44)</f>
        <v>19458.2567438467</v>
      </c>
      <c r="AX55" s="35">
        <f>SUM(AX15,AX40,AX44)</f>
        <v>26515.6401683251</v>
      </c>
      <c r="AY55" s="35">
        <f>SUM(AY15,AY40,AY44)</f>
        <v>20332.5463788282</v>
      </c>
      <c r="AZ55" s="35">
        <f>SUM(AZ15,AZ40,AZ44)</f>
        <v>19620.7380044152</v>
      </c>
      <c r="BA55" s="35">
        <f>SUM(AW55:AZ55)</f>
        <v>85927.1812954152</v>
      </c>
      <c r="BB55" s="35">
        <f>SUM(BB15,BB40,BB44)</f>
        <v>20003.4849501727</v>
      </c>
      <c r="BC55" s="35">
        <f>SUM(BC15,BC40,BC44)</f>
        <v>27258.6191062062</v>
      </c>
      <c r="BD55" s="35">
        <f>SUM(BD15,BD40,BD44)</f>
        <v>20902.2725335452</v>
      </c>
      <c r="BE55" s="35">
        <f>SUM(BE15,BE40,BE44)</f>
        <v>20170.5190012315</v>
      </c>
      <c r="BF55" s="35">
        <f>SUM(BB55:BE55)</f>
        <v>88334.8955911555</v>
      </c>
      <c r="BG55" s="35" t="n"/>
      <c r="BH55" s="35" t="n"/>
      <c r="BI55" s="35" t="n"/>
      <c r="BJ55" s="35" t="n"/>
      <c r="BK55" s="35" t="n"/>
      <c r="BL55" s="35" t="n"/>
      <c r="BM55" s="35" t="n"/>
      <c r="BN55" s="35" t="n"/>
      <c r="BO55" s="35" t="n"/>
      <c r="BP55" s="35" t="n"/>
      <c r="BQ55" s="35" t="n"/>
      <c r="BR55" s="35" t="n"/>
      <c r="BS55" s="35" t="n"/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5" t="n"/>
      <c r="CH55" s="35" t="n"/>
      <c r="CI55" s="35" t="n"/>
      <c r="CJ55" s="35" t="n"/>
      <c r="CK55" s="35" t="n"/>
      <c r="CL55" s="35" t="n"/>
      <c r="CM55" s="35" t="n"/>
      <c r="CN55" s="35" t="n"/>
      <c r="CO55" s="35" t="n"/>
      <c r="CP55" s="35" t="n"/>
      <c r="CQ55" s="35" t="n"/>
      <c r="CR55" s="35" t="n"/>
      <c r="CS55" s="35" t="n"/>
      <c r="CT55" s="35" t="n"/>
      <c r="CU55" s="35" t="n"/>
      <c r="CV55" s="35" t="n"/>
      <c r="CW55" s="35" t="n"/>
      <c r="CX55" s="35" t="n"/>
      <c r="CY55" s="35" t="n"/>
    </row>
    <row r="56" ht="13.5" customHeight="1">
      <c r="C56" s="13" t="inlineStr">
        <is>
          <t>D&amp;A</t>
        </is>
      </c>
      <c r="D56" s="46" t="n"/>
      <c r="E56" s="46" t="n"/>
      <c r="F56" s="46" t="n"/>
      <c r="G56" s="46" t="n"/>
      <c r="H56" s="12" t="n"/>
      <c r="I56" s="46">
        <f>'Inputs (2)'!D7</f>
        <v>-5004</v>
      </c>
      <c r="J56" s="46">
        <f>'Inputs (2)'!E7</f>
        <v>-4952</v>
      </c>
      <c r="K56" s="46">
        <f>'Inputs (2)'!F7</f>
        <v>-4990</v>
      </c>
      <c r="L56" s="46">
        <f>'Inputs (2)'!G7</f>
        <v>-5661</v>
      </c>
      <c r="M56" s="12">
        <f>'Inputs (2)'!H7</f>
        <v>-20607</v>
      </c>
      <c r="N56" s="46">
        <f>'Inputs (2)'!I7</f>
        <v>-8883</v>
      </c>
      <c r="O56" s="46">
        <f>'Inputs (2)'!J7</f>
        <v>-4451</v>
      </c>
      <c r="P56" s="46">
        <f>'Inputs (2)'!K7</f>
        <v>-5642</v>
      </c>
      <c r="Q56" s="46">
        <f>'Inputs (2)'!L7</f>
        <v>-5064</v>
      </c>
      <c r="R56" s="12">
        <f>'Inputs (2)'!M7</f>
        <v>-24040</v>
      </c>
      <c r="S56" s="46">
        <f>'Inputs (2)'!N7</f>
        <v>-4244</v>
      </c>
      <c r="T56" s="46">
        <f>'Inputs (2)'!O7</f>
        <v>-4242</v>
      </c>
      <c r="U56" s="46">
        <f>'Inputs (2)'!P7</f>
        <v>-4415</v>
      </c>
      <c r="V56" s="46">
        <f>'Inputs (2)'!Q7</f>
        <v>-7740</v>
      </c>
      <c r="W56" s="12">
        <f>'Inputs (2)'!R7</f>
        <v>-20641</v>
      </c>
      <c r="X56" s="46">
        <f>'Inputs (2)'!S7</f>
        <v>-4812</v>
      </c>
      <c r="Y56" s="46">
        <f>'Inputs (2)'!T7</f>
        <v>-5787</v>
      </c>
      <c r="Z56" s="46">
        <f>'Inputs (2)'!U7</f>
        <v>-6258</v>
      </c>
      <c r="AA56" s="46">
        <f>'Inputs (2)'!V7</f>
        <v>-6585</v>
      </c>
      <c r="AB56" s="12">
        <f>'Inputs (2)'!W7</f>
        <v>-23442</v>
      </c>
      <c r="AC56" s="46">
        <f>'Inputs (2)'!X7</f>
        <v>-5702</v>
      </c>
      <c r="AD56" s="46">
        <f>'Inputs (2)'!Y7</f>
        <v>-6101</v>
      </c>
      <c r="AE56" s="46">
        <f>'Inputs (2)'!Z7</f>
        <v>-6475</v>
      </c>
      <c r="AF56" s="46">
        <f>'Inputs (2)'!AA7</f>
        <v>-7715</v>
      </c>
      <c r="AG56" s="12">
        <f>'Inputs (2)'!AB7</f>
        <v>-25993</v>
      </c>
      <c r="AH56" s="12">
        <f>'Inputs (2)'!AC7</f>
        <v>-6771</v>
      </c>
      <c r="AI56" s="12">
        <f>'Inputs (2)'!AD7</f>
        <v>-8689</v>
      </c>
      <c r="AJ56" s="12">
        <f>-AJ57*AJ15</f>
        <v>-6931.96508942575</v>
      </c>
      <c r="AK56" s="12">
        <f>-AK57*AK15</f>
        <v>-6689.28860858273</v>
      </c>
      <c r="AL56" s="12">
        <f>SUM(AH56:AK56)</f>
        <v>-29081.2536980085</v>
      </c>
      <c r="AM56" s="12">
        <f>-AM57*AM15</f>
        <v>-6919.2867468231</v>
      </c>
      <c r="AN56" s="12">
        <f>-AN57*AN15</f>
        <v>-9428.86713930532</v>
      </c>
      <c r="AO56" s="12">
        <f>-AO57*AO15</f>
        <v>-7230.18102496162</v>
      </c>
      <c r="AP56" s="12">
        <f>-AP57*AP15</f>
        <v>-6977.06450398083</v>
      </c>
      <c r="AQ56" s="12">
        <f>SUM(AM56:AP56)</f>
        <v>-30555.3994150709</v>
      </c>
      <c r="AR56" s="12">
        <f>-AR57*AR15</f>
        <v>-7182.36082120975</v>
      </c>
      <c r="AS56" s="12">
        <f>-AS57*AS15</f>
        <v>-9787.35647295323</v>
      </c>
      <c r="AT56" s="12">
        <f>-AT57*AT15</f>
        <v>-7505.07542526423</v>
      </c>
      <c r="AU56" s="12">
        <f>-AU57*AU15</f>
        <v>-7242.33531201079</v>
      </c>
      <c r="AV56" s="12">
        <f>SUM(AR56:AU56)</f>
        <v>-31717.128031438</v>
      </c>
      <c r="AW56" s="12">
        <f>-AW57*AW15</f>
        <v>-7419.52527396186</v>
      </c>
      <c r="AX56" s="12">
        <f>-AX57*AX15</f>
        <v>-10110.5389333697</v>
      </c>
      <c r="AY56" s="12">
        <f>-AY57*AY15</f>
        <v>-7752.89604447342</v>
      </c>
      <c r="AZ56" s="12">
        <f>-AZ57*AZ15</f>
        <v>-7481.4801466518</v>
      </c>
      <c r="BA56" s="12">
        <f>SUM(AW56:AZ56)</f>
        <v>-32764.4403984568</v>
      </c>
      <c r="BB56" s="12">
        <f>-BB57*BB15</f>
        <v>-7627.42336628155</v>
      </c>
      <c r="BC56" s="12">
        <f>-BC57*BC15</f>
        <v>-10393.8403143824</v>
      </c>
      <c r="BD56" s="12">
        <f>-BD57*BD15</f>
        <v>-7970.13532031435</v>
      </c>
      <c r="BE56" s="12">
        <f>-BE57*BE15</f>
        <v>-7691.1142395061</v>
      </c>
      <c r="BF56" s="12">
        <f>SUM(BB56:BE56)</f>
        <v>-33682.5132404844</v>
      </c>
      <c r="BG56" s="12" t="n"/>
      <c r="BH56" s="12" t="n"/>
      <c r="BI56" s="12" t="n"/>
      <c r="BJ56" s="12" t="n"/>
      <c r="BK56" s="12" t="n"/>
      <c r="BL56" s="12" t="n"/>
      <c r="BM56" s="12" t="n"/>
      <c r="BN56" s="12" t="n"/>
      <c r="BO56" s="12" t="n"/>
      <c r="BP56" s="12" t="n"/>
      <c r="BQ56" s="12" t="n"/>
      <c r="BR56" s="12" t="n"/>
      <c r="BS56" s="12" t="n"/>
      <c r="BT56" s="12" t="n"/>
      <c r="BU56" s="12" t="n"/>
      <c r="BV56" s="12" t="n"/>
      <c r="BW56" s="12" t="n"/>
      <c r="BX56" s="12" t="n"/>
      <c r="BY56" s="12" t="n"/>
      <c r="BZ56" s="12" t="n"/>
      <c r="CA56" s="12" t="n"/>
      <c r="CB56" s="12" t="n"/>
      <c r="CC56" s="12" t="n"/>
      <c r="CD56" s="12" t="n"/>
      <c r="CE56" s="12" t="n"/>
      <c r="CF56" s="12" t="n"/>
      <c r="CG56" s="12" t="n"/>
      <c r="CH56" s="12" t="n"/>
      <c r="CI56" s="12" t="n"/>
      <c r="CJ56" s="12" t="n"/>
      <c r="CK56" s="12" t="n"/>
      <c r="CL56" s="12" t="n"/>
      <c r="CM56" s="12" t="n"/>
      <c r="CN56" s="12" t="n"/>
      <c r="CO56" s="12" t="n"/>
      <c r="CP56" s="12" t="n"/>
      <c r="CQ56" s="12" t="n"/>
      <c r="CR56" s="12" t="n"/>
      <c r="CS56" s="12" t="n"/>
      <c r="CT56" s="12" t="n"/>
      <c r="CU56" s="12" t="n"/>
      <c r="CV56" s="12" t="n"/>
      <c r="CW56" s="12" t="n"/>
      <c r="CX56" s="12" t="n"/>
      <c r="CY56" s="12" t="n"/>
    </row>
    <row r="57" hidden="1" outlineLevel="1" customFormat="1" s="56">
      <c r="A57" s="53" t="n"/>
      <c r="B57" s="53" t="n"/>
      <c r="C57" s="54" t="inlineStr">
        <is>
          <t>% of Revenue</t>
        </is>
      </c>
      <c r="D57" s="53" t="n"/>
      <c r="E57" s="53" t="n"/>
      <c r="F57" s="53" t="n"/>
      <c r="G57" s="53" t="n"/>
      <c r="H57" s="53" t="n"/>
      <c r="I57" s="53">
        <f>IFERROR(-I56/I15,"")</f>
        <v>0.0846027693712276</v>
      </c>
      <c r="J57" s="53">
        <f>IFERROR(-J56/J15,"")</f>
        <v>0.073100882761064</v>
      </c>
      <c r="K57" s="53">
        <f>IFERROR(-K56/K15,"")</f>
        <v>0.0676280053126609</v>
      </c>
      <c r="L57" s="53">
        <f>IFERROR(-L56/L15,"")</f>
        <v>0.0666274348261049</v>
      </c>
      <c r="M57" s="53" t="n"/>
      <c r="N57" s="53">
        <f>IFERROR(-N56/N15,"")</f>
        <v>0.0981546961325967</v>
      </c>
      <c r="O57" s="53">
        <f>IFERROR(-O56/O15,"")</f>
        <v>0.0384765000302556</v>
      </c>
      <c r="P57" s="53">
        <f>IFERROR(-P56/P15,"")</f>
        <v>0.0503435352904435</v>
      </c>
      <c r="Q57" s="53">
        <f>IFERROR(-Q56/Q15,"")</f>
        <v>0.0530656299447757</v>
      </c>
      <c r="R57" s="53" t="n"/>
      <c r="S57" s="53">
        <f>IFERROR(-S56/S15,"")</f>
        <v>0.0490273092740631</v>
      </c>
      <c r="T57" s="53">
        <f>IFERROR(-T56/T15,"")</f>
        <v>0.0511614443881612</v>
      </c>
      <c r="U57" s="53">
        <f>IFERROR(-U56/U15,"")</f>
        <v>0.0486447774349934</v>
      </c>
      <c r="V57" s="53">
        <f>IFERROR(-V56/V15,"")</f>
        <v>0.0917670492269753</v>
      </c>
      <c r="W57" s="53" t="n"/>
      <c r="X57" s="53">
        <f>IFERROR(-X56/X15,"")</f>
        <v>0.057917985628829</v>
      </c>
      <c r="Y57" s="53">
        <f>IFERROR(-Y56/Y15,"")</f>
        <v>0.0621856866537718</v>
      </c>
      <c r="Z57" s="53">
        <f>IFERROR(-Z56/Z15,"")</f>
        <v>0.069520974049058</v>
      </c>
      <c r="AA57" s="53">
        <f>IFERROR(-AA56/AA15,"")</f>
        <v>0.0789322273631722</v>
      </c>
      <c r="AB57" s="53" t="n"/>
      <c r="AC57" s="53">
        <f>IFERROR(-AC56/AC15,"")</f>
        <v>0.0685913629255383</v>
      </c>
      <c r="AD57" s="53">
        <f>IFERROR(-AD56/AD15,"")</f>
        <v>0.0748533850268692</v>
      </c>
      <c r="AE57" s="53">
        <f>IFERROR(-AE56/AE15,"")</f>
        <v>0.0759138978122728</v>
      </c>
      <c r="AF57" s="55">
        <f>IFERROR(-AF56/AF15,"")</f>
        <v>0.093733294454974</v>
      </c>
      <c r="AG57" s="53" t="n"/>
      <c r="AH57" s="55">
        <f>IFERROR(-AH56/AH15,"")</f>
        <v>0.0795297047146985</v>
      </c>
      <c r="AI57" s="55">
        <f>IFERROR(-AI56/AI15,"")</f>
        <v>0.0748941965401622</v>
      </c>
      <c r="AJ57" s="55">
        <f>Control!$B$21</f>
        <v>0.0779193069124192</v>
      </c>
      <c r="AK57" s="55">
        <f>Control!$B$21</f>
        <v>0.0779193069124192</v>
      </c>
      <c r="AL57" s="53" t="n"/>
      <c r="AM57" s="55">
        <f>Control!$C$21</f>
        <v>0.0779193069124192</v>
      </c>
      <c r="AN57" s="55">
        <f>Control!$C$21</f>
        <v>0.0779193069124192</v>
      </c>
      <c r="AO57" s="55">
        <f>Control!$C$21</f>
        <v>0.0779193069124192</v>
      </c>
      <c r="AP57" s="55">
        <f>Control!$C$21</f>
        <v>0.0779193069124192</v>
      </c>
      <c r="AQ57" s="53" t="n"/>
      <c r="AR57" s="55">
        <f>Control!$D$21</f>
        <v>0.0779193069124192</v>
      </c>
      <c r="AS57" s="55">
        <f>Control!$D$21</f>
        <v>0.0779193069124192</v>
      </c>
      <c r="AT57" s="55">
        <f>Control!$D$21</f>
        <v>0.0779193069124192</v>
      </c>
      <c r="AU57" s="55">
        <f>Control!$D$21</f>
        <v>0.0779193069124192</v>
      </c>
      <c r="AV57" s="53" t="n"/>
      <c r="AW57" s="55">
        <f>Control!$E$21</f>
        <v>0.0779193069124192</v>
      </c>
      <c r="AX57" s="55">
        <f>Control!$E$21</f>
        <v>0.0779193069124192</v>
      </c>
      <c r="AY57" s="55">
        <f>Control!$E$21</f>
        <v>0.0779193069124192</v>
      </c>
      <c r="AZ57" s="55">
        <f>Control!$E$21</f>
        <v>0.0779193069124192</v>
      </c>
      <c r="BA57" s="53" t="n"/>
      <c r="BB57" s="55">
        <f>Control!$F$21</f>
        <v>0.0779193069124192</v>
      </c>
      <c r="BC57" s="55">
        <f>Control!$F$21</f>
        <v>0.0779193069124192</v>
      </c>
      <c r="BD57" s="55">
        <f>Control!$F$21</f>
        <v>0.0779193069124192</v>
      </c>
      <c r="BE57" s="55">
        <f>Control!$F$21</f>
        <v>0.0779193069124192</v>
      </c>
      <c r="BF57" s="53" t="n"/>
      <c r="BG57" s="55" t="n"/>
      <c r="BH57" s="55" t="n"/>
      <c r="BI57" s="55" t="n"/>
      <c r="BJ57" s="55" t="n"/>
      <c r="BK57" s="53" t="n"/>
      <c r="BL57" s="55" t="n"/>
      <c r="BM57" s="55" t="n"/>
      <c r="BN57" s="55" t="n"/>
      <c r="BO57" s="55" t="n"/>
      <c r="BP57" s="53" t="n"/>
      <c r="BQ57" s="55" t="n"/>
      <c r="BR57" s="55" t="n"/>
      <c r="BS57" s="55" t="n"/>
      <c r="BT57" s="55" t="n"/>
      <c r="BU57" s="53" t="n"/>
      <c r="BV57" s="55" t="n"/>
      <c r="BW57" s="55" t="n"/>
      <c r="BX57" s="55" t="n"/>
      <c r="BY57" s="55" t="n"/>
      <c r="BZ57" s="53" t="n"/>
      <c r="CA57" s="55" t="n"/>
      <c r="CB57" s="55" t="n"/>
      <c r="CC57" s="55" t="n"/>
      <c r="CD57" s="55" t="n"/>
      <c r="CE57" s="53" t="n"/>
      <c r="CF57" s="55" t="n"/>
      <c r="CG57" s="55" t="n"/>
      <c r="CH57" s="55" t="n"/>
      <c r="CI57" s="55" t="n"/>
      <c r="CJ57" s="53" t="n"/>
      <c r="CK57" s="55" t="n"/>
      <c r="CL57" s="55" t="n"/>
      <c r="CM57" s="55" t="n"/>
      <c r="CN57" s="55" t="n"/>
      <c r="CO57" s="53" t="n"/>
      <c r="CP57" s="55" t="n"/>
      <c r="CQ57" s="55" t="n"/>
      <c r="CR57" s="55" t="n"/>
      <c r="CS57" s="55" t="n"/>
      <c r="CT57" s="53" t="n"/>
      <c r="CU57" s="55" t="n"/>
      <c r="CV57" s="55" t="n"/>
      <c r="CW57" s="55" t="n"/>
      <c r="CX57" s="55" t="n"/>
      <c r="CY57" s="53" t="n"/>
    </row>
    <row r="58" hidden="1" outlineLevel="1">
      <c r="C58" s="50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  <c r="U58" s="12" t="n"/>
      <c r="V58" s="12" t="n"/>
      <c r="W58" s="12" t="n"/>
      <c r="X58" s="12" t="n"/>
      <c r="Y58" s="12" t="n"/>
      <c r="Z58" s="12" t="n"/>
      <c r="AA58" s="12" t="n"/>
      <c r="AB58" s="12" t="n"/>
      <c r="AC58" s="12" t="n"/>
      <c r="AD58" s="12" t="n"/>
      <c r="AE58" s="12" t="n"/>
      <c r="AF58" s="12" t="n"/>
      <c r="AG58" s="12" t="n"/>
      <c r="AH58" s="12" t="n"/>
      <c r="AI58" s="12" t="n"/>
      <c r="AJ58" s="12" t="n"/>
      <c r="AK58" s="12" t="n"/>
      <c r="AL58" s="12" t="n"/>
      <c r="AM58" s="12" t="n"/>
      <c r="AN58" s="12" t="n"/>
      <c r="AO58" s="12" t="n"/>
      <c r="AP58" s="12" t="n"/>
      <c r="AQ58" s="12" t="n"/>
      <c r="AR58" s="12" t="n"/>
      <c r="AS58" s="12" t="n"/>
      <c r="AT58" s="12" t="n"/>
      <c r="AU58" s="12" t="n"/>
      <c r="AV58" s="12" t="n"/>
      <c r="AW58" s="12" t="n"/>
      <c r="AX58" s="12" t="n"/>
      <c r="AY58" s="12" t="n"/>
      <c r="AZ58" s="12" t="n"/>
      <c r="BA58" s="12" t="n"/>
      <c r="BB58" s="12" t="n"/>
      <c r="BC58" s="12" t="n"/>
      <c r="BD58" s="12" t="n"/>
      <c r="BE58" s="12" t="n"/>
      <c r="BF58" s="12" t="n"/>
      <c r="BG58" s="12" t="n"/>
      <c r="BH58" s="12" t="n"/>
      <c r="BI58" s="12" t="n"/>
      <c r="BJ58" s="12" t="n"/>
      <c r="BK58" s="12" t="n"/>
      <c r="BL58" s="12" t="n"/>
      <c r="BM58" s="12" t="n"/>
      <c r="BN58" s="12" t="n"/>
      <c r="BO58" s="12" t="n"/>
      <c r="BP58" s="12" t="n"/>
      <c r="BQ58" s="12" t="n"/>
      <c r="BR58" s="12" t="n"/>
      <c r="BS58" s="12" t="n"/>
      <c r="BT58" s="12" t="n"/>
      <c r="BU58" s="12" t="n"/>
      <c r="BV58" s="12" t="n"/>
      <c r="BW58" s="12" t="n"/>
      <c r="BX58" s="12" t="n"/>
      <c r="BY58" s="12" t="n"/>
      <c r="BZ58" s="12" t="n"/>
      <c r="CA58" s="12" t="n"/>
      <c r="CB58" s="12" t="n"/>
      <c r="CC58" s="12" t="n"/>
      <c r="CD58" s="12" t="n"/>
      <c r="CE58" s="12" t="n"/>
      <c r="CF58" s="12" t="n"/>
      <c r="CG58" s="12" t="n"/>
      <c r="CH58" s="12" t="n"/>
      <c r="CI58" s="12" t="n"/>
      <c r="CJ58" s="12" t="n"/>
      <c r="CK58" s="12" t="n"/>
      <c r="CL58" s="12" t="n"/>
      <c r="CM58" s="12" t="n"/>
      <c r="CN58" s="12" t="n"/>
      <c r="CO58" s="12" t="n"/>
      <c r="CP58" s="12" t="n"/>
      <c r="CQ58" s="12" t="n"/>
      <c r="CR58" s="12" t="n"/>
      <c r="CS58" s="12" t="n"/>
      <c r="CT58" s="12" t="n"/>
      <c r="CU58" s="12" t="n"/>
      <c r="CV58" s="12" t="n"/>
      <c r="CW58" s="12" t="n"/>
      <c r="CX58" s="12" t="n"/>
      <c r="CY58" s="12" t="n"/>
    </row>
    <row r="59" collapsed="1" customFormat="1" s="32">
      <c r="A59" s="30" t="n"/>
      <c r="B59" s="3" t="n"/>
      <c r="C59" s="33" t="inlineStr">
        <is>
          <t>Operating Profit - EBIT</t>
        </is>
      </c>
      <c r="D59" s="35" t="n"/>
      <c r="E59" s="35" t="n"/>
      <c r="F59" s="35" t="n"/>
      <c r="G59" s="35" t="n"/>
      <c r="H59" s="35" t="n"/>
      <c r="I59" s="35">
        <f>SUM(I55,I56)</f>
        <v>3850</v>
      </c>
      <c r="J59" s="35">
        <f>SUM(J55,J56)</f>
        <v>6561</v>
      </c>
      <c r="K59" s="35">
        <f>SUM(K55,K56)</f>
        <v>9820</v>
      </c>
      <c r="L59" s="35">
        <f>SUM(L55,L56)</f>
        <v>11950</v>
      </c>
      <c r="M59" s="35">
        <f>SUM(I59:L59)</f>
        <v>32181</v>
      </c>
      <c r="N59" s="35">
        <f>SUM(N55,N56)</f>
        <v>8744</v>
      </c>
      <c r="O59" s="35">
        <f>SUM(O55,O56)</f>
        <v>25127</v>
      </c>
      <c r="P59" s="35">
        <f>SUM(P55,P56)</f>
        <v>25631</v>
      </c>
      <c r="Q59" s="35">
        <f>SUM(Q55,Q56)</f>
        <v>19049</v>
      </c>
      <c r="R59" s="35">
        <f>SUM(N59:Q59)</f>
        <v>78551</v>
      </c>
      <c r="S59" s="35">
        <f>SUM(S55,S56)</f>
        <v>16962</v>
      </c>
      <c r="T59" s="35">
        <f>SUM(T55,T56)</f>
        <v>11905</v>
      </c>
      <c r="U59" s="35">
        <f>SUM(U55,U56)</f>
        <v>13868</v>
      </c>
      <c r="V59" s="35">
        <f>SUM(V55,V56)</f>
        <v>10897</v>
      </c>
      <c r="W59" s="35">
        <f>SUM(S59:V59)</f>
        <v>53632</v>
      </c>
      <c r="X59" s="35">
        <f>SUM(X55,X56)</f>
        <v>12590</v>
      </c>
      <c r="Y59" s="35">
        <f>SUM(Y55,Y56)</f>
        <v>13936</v>
      </c>
      <c r="Z59" s="35">
        <f>SUM(Z55,Z56)</f>
        <v>13233</v>
      </c>
      <c r="AA59" s="35">
        <f>SUM(AA55,AA56)</f>
        <v>10110</v>
      </c>
      <c r="AB59" s="35">
        <f>SUM(X59:AA59)</f>
        <v>49869</v>
      </c>
      <c r="AC59" s="35">
        <f>SUM(AC55,AC56)</f>
        <v>11805</v>
      </c>
      <c r="AD59" s="35">
        <f>SUM(AD55,AD56)</f>
        <v>10850</v>
      </c>
      <c r="AE59" s="35">
        <f>SUM(AE55,AE56)</f>
        <v>11022</v>
      </c>
      <c r="AF59" s="35">
        <f>SUM(AF55,AF56)</f>
        <v>8194</v>
      </c>
      <c r="AG59" s="35">
        <f>SUM(AC59:AF59)</f>
        <v>41871</v>
      </c>
      <c r="AH59" s="35">
        <f>SUM(AH55,AH56)</f>
        <v>7262</v>
      </c>
      <c r="AI59" s="35">
        <f>SUM(AI55,AI56)</f>
        <v>19651</v>
      </c>
      <c r="AJ59" s="35">
        <f>SUM(AJ55,AJ56)</f>
        <v>11247.628815698</v>
      </c>
      <c r="AK59" s="35">
        <f>SUM(AK55,AK56)</f>
        <v>10853.8681802057</v>
      </c>
      <c r="AL59" s="35">
        <f>SUM(AL55,AL56)</f>
        <v>49014.4969959037</v>
      </c>
      <c r="AM59" s="35">
        <f>SUM(AM55,AM56)</f>
        <v>11227.0572620688</v>
      </c>
      <c r="AN59" s="35">
        <f>SUM(AN55,AN56)</f>
        <v>15299.0380602485</v>
      </c>
      <c r="AO59" s="35">
        <f>SUM(AO55,AO56)</f>
        <v>11731.5063463206</v>
      </c>
      <c r="AP59" s="35">
        <f>SUM(AP55,AP56)</f>
        <v>11320.8059693877</v>
      </c>
      <c r="AQ59" s="35">
        <f>SUM(AQ55,AQ56)</f>
        <v>49578.4076380255</v>
      </c>
      <c r="AR59" s="35">
        <f>SUM(AR55,AR56)</f>
        <v>11653.9145098423</v>
      </c>
      <c r="AS59" s="35">
        <f>SUM(AS55,AS56)</f>
        <v>15880.7136612132</v>
      </c>
      <c r="AT59" s="35">
        <f>SUM(AT55,AT56)</f>
        <v>12177.5429518474</v>
      </c>
      <c r="AU59" s="35">
        <f>SUM(AU55,AU56)</f>
        <v>11751.2275808457</v>
      </c>
      <c r="AV59" s="35">
        <f>SUM(AV55,AV56)</f>
        <v>51463.3987037486</v>
      </c>
      <c r="AW59" s="35">
        <f>SUM(AW55,AW56)</f>
        <v>12038.7314698848</v>
      </c>
      <c r="AX59" s="35">
        <f>SUM(AX55,AX56)</f>
        <v>16405.1012349554</v>
      </c>
      <c r="AY59" s="35">
        <f>SUM(AY55,AY56)</f>
        <v>12579.6503343547</v>
      </c>
      <c r="AZ59" s="35">
        <f>SUM(AZ55,AZ56)</f>
        <v>12139.2578577634</v>
      </c>
      <c r="BA59" s="35">
        <f>SUM(BA55,BA56)</f>
        <v>53162.7408969583</v>
      </c>
      <c r="BB59" s="35">
        <f>SUM(BB55,BB56)</f>
        <v>12376.0615838911</v>
      </c>
      <c r="BC59" s="35">
        <f>SUM(BC55,BC56)</f>
        <v>16864.7787918238</v>
      </c>
      <c r="BD59" s="35">
        <f>SUM(BD55,BD56)</f>
        <v>12932.1372132308</v>
      </c>
      <c r="BE59" s="35">
        <f>SUM(BE55,BE56)</f>
        <v>12479.4047617254</v>
      </c>
      <c r="BF59" s="35">
        <f>SUM(BF55,BF56)</f>
        <v>54652.3823506712</v>
      </c>
      <c r="BG59" s="35" t="n"/>
      <c r="BH59" s="35" t="n"/>
      <c r="BI59" s="35" t="n"/>
      <c r="BJ59" s="35" t="n"/>
      <c r="BK59" s="35" t="n"/>
      <c r="BL59" s="35" t="n"/>
      <c r="BM59" s="35" t="n"/>
      <c r="BN59" s="35" t="n"/>
      <c r="BO59" s="35" t="n"/>
      <c r="BP59" s="35" t="n"/>
      <c r="BQ59" s="35" t="n"/>
      <c r="BR59" s="35" t="n"/>
      <c r="BS59" s="35" t="n"/>
      <c r="BT59" s="35" t="n"/>
      <c r="BU59" s="35" t="n"/>
      <c r="BV59" s="35" t="n"/>
      <c r="BW59" s="35" t="n"/>
      <c r="BX59" s="35" t="n"/>
      <c r="BY59" s="35" t="n"/>
      <c r="BZ59" s="35" t="n"/>
      <c r="CA59" s="35" t="n"/>
      <c r="CB59" s="35" t="n"/>
      <c r="CC59" s="35" t="n"/>
      <c r="CD59" s="35" t="n"/>
      <c r="CE59" s="35" t="n"/>
      <c r="CF59" s="35" t="n"/>
      <c r="CG59" s="35" t="n"/>
      <c r="CH59" s="35" t="n"/>
      <c r="CI59" s="35" t="n"/>
      <c r="CJ59" s="35" t="n"/>
      <c r="CK59" s="35" t="n"/>
      <c r="CL59" s="35" t="n"/>
      <c r="CM59" s="35" t="n"/>
      <c r="CN59" s="35" t="n"/>
      <c r="CO59" s="35" t="n"/>
      <c r="CP59" s="35" t="n"/>
      <c r="CQ59" s="35" t="n"/>
      <c r="CR59" s="35" t="n"/>
      <c r="CS59" s="35" t="n"/>
      <c r="CT59" s="35" t="n"/>
      <c r="CU59" s="35" t="n"/>
      <c r="CV59" s="35" t="n"/>
      <c r="CW59" s="35" t="n"/>
      <c r="CX59" s="35" t="n"/>
      <c r="CY59" s="35" t="n"/>
    </row>
    <row r="60">
      <c r="C60" s="14" t="inlineStr">
        <is>
          <t>Interest Expense</t>
        </is>
      </c>
      <c r="D60" s="46" t="n"/>
      <c r="E60" s="46" t="n"/>
      <c r="F60" s="46" t="n"/>
      <c r="G60" s="46" t="n"/>
      <c r="H60" s="12" t="n"/>
      <c r="I60" s="46">
        <f>'Inputs (2)'!D8</f>
        <v>-258</v>
      </c>
      <c r="J60" s="46">
        <f>'Inputs (2)'!E8</f>
        <v>-254</v>
      </c>
      <c r="K60" s="46">
        <f>'Inputs (2)'!F8</f>
        <v>-214</v>
      </c>
      <c r="L60" s="46">
        <f>'Inputs (2)'!G8</f>
        <v>-221</v>
      </c>
      <c r="M60" s="12">
        <f>'Inputs (2)'!H8</f>
        <v>-947</v>
      </c>
      <c r="N60" s="46">
        <f>'Inputs (2)'!I8</f>
        <v>-188</v>
      </c>
      <c r="O60" s="46">
        <f>'Inputs (2)'!J8</f>
        <v>-194</v>
      </c>
      <c r="P60" s="46">
        <f>'Inputs (2)'!K8</f>
        <v>-209</v>
      </c>
      <c r="Q60" s="46">
        <f>'Inputs (2)'!L8</f>
        <v>-207</v>
      </c>
      <c r="R60" s="12">
        <f>'Inputs (2)'!M8</f>
        <v>-798</v>
      </c>
      <c r="S60" s="46">
        <f>'Inputs (2)'!N8</f>
        <v>-159</v>
      </c>
      <c r="T60" s="46">
        <f>'Inputs (2)'!O8</f>
        <v>-249</v>
      </c>
      <c r="U60" s="46">
        <f>'Inputs (2)'!P8</f>
        <v>-169</v>
      </c>
      <c r="V60" s="46">
        <f>'Inputs (2)'!Q8</f>
        <v>-272</v>
      </c>
      <c r="W60" s="12">
        <f>'Inputs (2)'!R8</f>
        <v>-849</v>
      </c>
      <c r="X60" s="46">
        <f>'Inputs (2)'!S8</f>
        <v>-221</v>
      </c>
      <c r="Y60" s="46">
        <f>'Inputs (2)'!T8</f>
        <v>-271</v>
      </c>
      <c r="Z60" s="46">
        <f>'Inputs (2)'!U8</f>
        <v>-207</v>
      </c>
      <c r="AA60" s="46">
        <f>'Inputs (2)'!V8</f>
        <v>-297</v>
      </c>
      <c r="AB60" s="12">
        <f>'Inputs (2)'!W8</f>
        <v>-996</v>
      </c>
      <c r="AC60" s="46">
        <f>'Inputs (2)'!X8</f>
        <v>-205</v>
      </c>
      <c r="AD60" s="46">
        <f>'Inputs (2)'!Y8</f>
        <v>-145</v>
      </c>
      <c r="AE60" s="46">
        <f>'Inputs (2)'!Z8</f>
        <v>-90</v>
      </c>
      <c r="AF60" s="46">
        <f>'Inputs (2)'!AA8</f>
        <v>-163</v>
      </c>
      <c r="AG60" s="12">
        <f>'Inputs (2)'!AB8</f>
        <v>-603</v>
      </c>
      <c r="AH60" s="12">
        <f>'Inputs (2)'!AC8</f>
        <v>-295</v>
      </c>
      <c r="AI60" s="12">
        <f>'Inputs (2)'!AD8</f>
        <v>-227</v>
      </c>
      <c r="AJ60" s="12" t="str">
        <f>IF(Control!$E$9="","",-AI78*Control!$E$9/4)</f>
        <v/>
      </c>
      <c r="AK60" s="12" t="str">
        <f>IF(Control!$E$9="","",-AJ78*Control!$E$9/4)</f>
        <v/>
      </c>
      <c r="AL60" s="12">
        <f>SUM(AH60:AK60)</f>
        <v>-522</v>
      </c>
      <c r="AM60" s="12" t="str">
        <f>IF(Control!$E$9="","",-AL78*Control!$E$9/4)</f>
        <v/>
      </c>
      <c r="AN60" s="12" t="str">
        <f>IF(Control!$E$9="","",-AM78*Control!$E$9/4)</f>
        <v/>
      </c>
      <c r="AO60" s="12" t="str">
        <f>IF(Control!$E$9="","",-AN78*Control!$E$9/4)</f>
        <v/>
      </c>
      <c r="AP60" s="12" t="str">
        <f>IF(Control!$E$9="","",-AO78*Control!$E$9/4)</f>
        <v/>
      </c>
      <c r="AQ60" s="12">
        <f>SUM(AM60:AP60)</f>
        <v>0</v>
      </c>
      <c r="AR60" s="12" t="str">
        <f>IF(Control!$E$9="","",-AQ78*Control!$E$9/4)</f>
        <v/>
      </c>
      <c r="AS60" s="12" t="str">
        <f>IF(Control!$E$9="","",-AR78*Control!$E$9/4)</f>
        <v/>
      </c>
      <c r="AT60" s="12" t="str">
        <f>IF(Control!$E$9="","",-AS78*Control!$E$9/4)</f>
        <v/>
      </c>
      <c r="AU60" s="12" t="str">
        <f>IF(Control!$E$9="","",-AT78*Control!$E$9/4)</f>
        <v/>
      </c>
      <c r="AV60" s="12">
        <f>SUM(AR60:AU60)</f>
        <v>0</v>
      </c>
      <c r="AW60" s="12" t="str">
        <f>IF(Control!$E$9="","",-AV78*Control!$E$9/4)</f>
        <v/>
      </c>
      <c r="AX60" s="12" t="str">
        <f>IF(Control!$E$9="","",-AW78*Control!$E$9/4)</f>
        <v/>
      </c>
      <c r="AY60" s="12" t="str">
        <f>IF(Control!$E$9="","",-AX78*Control!$E$9/4)</f>
        <v/>
      </c>
      <c r="AZ60" s="12" t="str">
        <f>IF(Control!$E$9="","",-AY78*Control!$E$9/4)</f>
        <v/>
      </c>
      <c r="BA60" s="12">
        <f>SUM(AW60:AZ60)</f>
        <v>0</v>
      </c>
      <c r="BB60" s="12" t="str">
        <f>IF(Control!$E$9="","",-BA78*Control!$E$9/4)</f>
        <v/>
      </c>
      <c r="BC60" s="12" t="str">
        <f>IF(Control!$E$9="","",-BB78*Control!$E$9/4)</f>
        <v/>
      </c>
      <c r="BD60" s="12" t="str">
        <f>IF(Control!$E$9="","",-BC78*Control!$E$9/4)</f>
        <v/>
      </c>
      <c r="BE60" s="12" t="str">
        <f>IF(Control!$E$9="","",-BD78*Control!$E$9/4)</f>
        <v/>
      </c>
      <c r="BF60" s="12">
        <f>SUM(BB60:BE60)</f>
        <v>0</v>
      </c>
      <c r="BG60" s="12" t="n"/>
      <c r="BH60" s="12" t="n"/>
      <c r="BI60" s="12" t="n"/>
      <c r="BJ60" s="12" t="n"/>
      <c r="BK60" s="12" t="n"/>
      <c r="BL60" s="12" t="n"/>
      <c r="BM60" s="12" t="n"/>
      <c r="BN60" s="12" t="n"/>
      <c r="BO60" s="12" t="n"/>
      <c r="BP60" s="12" t="n"/>
      <c r="BQ60" s="12" t="n"/>
      <c r="BR60" s="12" t="n"/>
      <c r="BS60" s="12" t="n"/>
      <c r="BT60" s="12" t="n"/>
      <c r="BU60" s="12" t="n"/>
      <c r="BV60" s="12" t="n"/>
      <c r="BW60" s="12" t="n"/>
      <c r="BX60" s="12" t="n"/>
      <c r="BY60" s="12" t="n"/>
      <c r="BZ60" s="12" t="n"/>
      <c r="CA60" s="12" t="n"/>
      <c r="CB60" s="12" t="n"/>
      <c r="CC60" s="12" t="n"/>
      <c r="CD60" s="12" t="n"/>
      <c r="CE60" s="12" t="n"/>
      <c r="CF60" s="12" t="n"/>
      <c r="CG60" s="12" t="n"/>
      <c r="CH60" s="12" t="n"/>
      <c r="CI60" s="12" t="n"/>
      <c r="CJ60" s="12" t="n"/>
      <c r="CK60" s="12" t="n"/>
      <c r="CL60" s="12" t="n"/>
      <c r="CM60" s="12" t="n"/>
      <c r="CN60" s="12" t="n"/>
      <c r="CO60" s="12" t="n"/>
      <c r="CP60" s="12" t="n"/>
      <c r="CQ60" s="12" t="n"/>
      <c r="CR60" s="12" t="n"/>
      <c r="CS60" s="12" t="n"/>
      <c r="CT60" s="12" t="n"/>
      <c r="CU60" s="12" t="n"/>
      <c r="CV60" s="12" t="n"/>
      <c r="CW60" s="12" t="n"/>
      <c r="CX60" s="12" t="n"/>
      <c r="CY60" s="12" t="n"/>
    </row>
    <row r="61" hidden="1" outlineLevel="1">
      <c r="C61" s="50" t="inlineStr">
        <is>
          <t>% of Debt</t>
        </is>
      </c>
      <c r="D61" s="53" t="n"/>
      <c r="E61" s="53" t="n"/>
      <c r="F61" s="53" t="n"/>
      <c r="G61" s="53" t="n"/>
      <c r="H61" s="12" t="n"/>
      <c r="I61" s="53">
        <f>IFERROR(-I60/SUM(I198+I203),"")</f>
        <v>0.00407441331606709</v>
      </c>
      <c r="J61" s="53">
        <f>IFERROR(-J60/SUM(J198+J203),"")</f>
        <v>0.00419058932224642</v>
      </c>
      <c r="K61" s="53">
        <f>IFERROR(-K60/SUM(K198+K203),"")</f>
        <v>0.003780584753997</v>
      </c>
      <c r="L61" s="53">
        <f>IFERROR(-L60/SUM(L198+L203),"")</f>
        <v>0.00463273520040248</v>
      </c>
      <c r="M61" s="12" t="n"/>
      <c r="N61" s="53">
        <f>IFERROR(-N60/SUM(N198+N203),"")</f>
        <v>0.00395481414477144</v>
      </c>
      <c r="O61" s="53">
        <f>IFERROR(-O60/SUM(O198+O203),"")</f>
        <v>0.00413796045474906</v>
      </c>
      <c r="P61" s="53">
        <f>IFERROR(-P60/SUM(P198+P203),"")</f>
        <v>0.00460068680109184</v>
      </c>
      <c r="Q61" s="53">
        <f>IFERROR(-Q60/SUM(Q198+Q203),"")</f>
        <v>0.0050251256281407</v>
      </c>
      <c r="R61" s="12" t="n"/>
      <c r="S61" s="53">
        <f>IFERROR(-S60/SUM(S198+S203),"")</f>
        <v>0.00383631713554987</v>
      </c>
      <c r="T61" s="53">
        <f>IFERROR(-T60/SUM(T198+T203),"")</f>
        <v>0.00600057836899942</v>
      </c>
      <c r="U61" s="53">
        <f>IFERROR(-U60/SUM(U198+U203),"")</f>
        <v>0.00409667175720554</v>
      </c>
      <c r="V61" s="53">
        <f>IFERROR(-V60/SUM(V198+V203),"")</f>
        <v>0.00654270800760109</v>
      </c>
      <c r="W61" s="12" t="n"/>
      <c r="X61" s="53">
        <f>IFERROR(-X60/SUM(X198+X203),"")</f>
        <v>0.0054648862512364</v>
      </c>
      <c r="Y61" s="53">
        <f>IFERROR(-Y60/SUM(Y198+Y203),"")</f>
        <v>0.00627518177187051</v>
      </c>
      <c r="Z61" s="53">
        <f>IFERROR(-Z60/SUM(Z198+Z203),"")</f>
        <v>0.00486486486486487</v>
      </c>
      <c r="AA61" s="53">
        <f>IFERROR(-AA60/SUM(AA198+AA203),"")</f>
        <v>0.0071205945816351</v>
      </c>
      <c r="AB61" s="12" t="n"/>
      <c r="AC61" s="53">
        <f>IFERROR(-AC60/SUM(AC198+AC203),"")</f>
        <v>0.00545924209741418</v>
      </c>
      <c r="AD61" s="53">
        <f>IFERROR(-AD60/SUM(AD198+AD203),"")</f>
        <v>0.00371899766600836</v>
      </c>
      <c r="AE61" s="53">
        <f>IFERROR(-AE60/SUM(AE198+AE203),"")</f>
        <v>0.00214102198115901</v>
      </c>
      <c r="AF61" s="55">
        <f>IFERROR(-AF60/SUM(AF198+AF203),"")</f>
        <v>0.00374394193444656</v>
      </c>
      <c r="AG61" s="12" t="n"/>
      <c r="AH61" s="11">
        <f>IFERROR(-AH60/SUM(AH198+AH203),"")</f>
        <v>0.006189547009085</v>
      </c>
      <c r="AI61" s="11">
        <f>IFERROR(-AI60/SUM(AI198+AI203),"")</f>
        <v>0.00535781722054381</v>
      </c>
      <c r="AJ61" s="11" t="str">
        <f>IFERROR(Control!$E$9,0)</f>
        <v/>
      </c>
      <c r="AK61" s="11" t="str">
        <f>IFERROR(Control!$E$9,0)</f>
        <v/>
      </c>
      <c r="AL61" s="12" t="n"/>
      <c r="AM61" s="11" t="str">
        <f>IFERROR(Control!$E$9,0)</f>
        <v/>
      </c>
      <c r="AN61" s="11" t="str">
        <f>IFERROR(Control!$E$9,0)</f>
        <v/>
      </c>
      <c r="AO61" s="11" t="str">
        <f>IFERROR(Control!$E$9,0)</f>
        <v/>
      </c>
      <c r="AP61" s="11" t="str">
        <f>IFERROR(Control!$E$9,0)</f>
        <v/>
      </c>
      <c r="AQ61" s="12" t="n"/>
      <c r="AR61" s="11" t="str">
        <f>IFERROR(Control!$E$9,0)</f>
        <v/>
      </c>
      <c r="AS61" s="11" t="str">
        <f>IFERROR(Control!$E$9,0)</f>
        <v/>
      </c>
      <c r="AT61" s="11" t="str">
        <f>IFERROR(Control!$E$9,0)</f>
        <v/>
      </c>
      <c r="AU61" s="11" t="str">
        <f>IFERROR(Control!$E$9,0)</f>
        <v/>
      </c>
      <c r="AV61" s="12" t="n"/>
      <c r="AW61" s="11" t="str">
        <f>IFERROR(Control!$E$9,0)</f>
        <v/>
      </c>
      <c r="AX61" s="11" t="str">
        <f>IFERROR(Control!$E$9,0)</f>
        <v/>
      </c>
      <c r="AY61" s="11" t="str">
        <f>IFERROR(Control!$E$9,0)</f>
        <v/>
      </c>
      <c r="AZ61" s="11" t="str">
        <f>IFERROR(Control!$E$9,0)</f>
        <v/>
      </c>
      <c r="BA61" s="12" t="n"/>
      <c r="BB61" s="11" t="str">
        <f>IFERROR(Control!$E$9,0)</f>
        <v/>
      </c>
      <c r="BC61" s="11" t="str">
        <f>IFERROR(Control!$E$9,0)</f>
        <v/>
      </c>
      <c r="BD61" s="11" t="str">
        <f>IFERROR(Control!$E$9,0)</f>
        <v/>
      </c>
      <c r="BE61" s="11" t="str">
        <f>IFERROR(Control!$E$9,0)</f>
        <v/>
      </c>
      <c r="BF61" s="12" t="n"/>
      <c r="BG61" s="11" t="n"/>
      <c r="BH61" s="11" t="n"/>
      <c r="BI61" s="11" t="n"/>
      <c r="BJ61" s="11" t="n"/>
      <c r="BK61" s="12" t="n"/>
      <c r="BL61" s="11" t="n"/>
      <c r="BM61" s="11" t="n"/>
      <c r="BN61" s="11" t="n"/>
      <c r="BO61" s="11" t="n"/>
      <c r="BP61" s="12" t="n"/>
      <c r="BQ61" s="11" t="n"/>
      <c r="BR61" s="11" t="n"/>
      <c r="BS61" s="11" t="n"/>
      <c r="BT61" s="11" t="n"/>
      <c r="BU61" s="12" t="n"/>
      <c r="BV61" s="11" t="n"/>
      <c r="BW61" s="11" t="n"/>
      <c r="BX61" s="11" t="n"/>
      <c r="BY61" s="11" t="n"/>
      <c r="BZ61" s="12" t="n"/>
      <c r="CA61" s="11" t="n"/>
      <c r="CB61" s="11" t="n"/>
      <c r="CC61" s="11" t="n"/>
      <c r="CD61" s="11" t="n"/>
      <c r="CE61" s="12" t="n"/>
      <c r="CF61" s="11" t="n"/>
      <c r="CG61" s="11" t="n"/>
      <c r="CH61" s="11" t="n"/>
      <c r="CI61" s="11" t="n"/>
      <c r="CJ61" s="12" t="n"/>
      <c r="CK61" s="11" t="n"/>
      <c r="CL61" s="11" t="n"/>
      <c r="CM61" s="11" t="n"/>
      <c r="CN61" s="11" t="n"/>
      <c r="CO61" s="12" t="n"/>
      <c r="CP61" s="11" t="n"/>
      <c r="CQ61" s="11" t="n"/>
      <c r="CR61" s="11" t="n"/>
      <c r="CS61" s="11" t="n"/>
      <c r="CT61" s="12" t="n"/>
      <c r="CU61" s="11" t="n"/>
      <c r="CV61" s="11" t="n"/>
      <c r="CW61" s="11" t="n"/>
      <c r="CX61" s="11" t="n"/>
      <c r="CY61" s="12" t="n"/>
    </row>
    <row r="62" hidden="1" outlineLevel="1">
      <c r="C62" s="50" t="inlineStr">
        <is>
          <t>%CDI</t>
        </is>
      </c>
      <c r="D62" s="11" t="n"/>
      <c r="E62" s="11" t="n"/>
      <c r="F62" s="11" t="n"/>
      <c r="G62" s="11" t="n"/>
      <c r="H62" s="12" t="n"/>
      <c r="I62" s="11" t="n"/>
      <c r="J62" s="11" t="n"/>
      <c r="K62" s="11" t="n"/>
      <c r="L62" s="11" t="n"/>
      <c r="M62" s="12" t="n"/>
      <c r="N62" s="11" t="n"/>
      <c r="O62" s="11" t="n"/>
      <c r="P62" s="11" t="n"/>
      <c r="Q62" s="11" t="n"/>
      <c r="R62" s="12" t="n"/>
      <c r="S62" s="11" t="n"/>
      <c r="T62" s="11" t="n"/>
      <c r="U62" s="11" t="n"/>
      <c r="V62" s="11" t="n"/>
      <c r="W62" s="12" t="n"/>
      <c r="X62" s="11" t="n"/>
      <c r="Y62" s="11" t="n"/>
      <c r="Z62" s="11" t="n"/>
      <c r="AA62" s="11" t="n"/>
      <c r="AB62" s="12" t="n"/>
      <c r="AC62" s="11" t="n"/>
      <c r="AD62" s="11" t="n"/>
      <c r="AE62" s="11" t="n"/>
      <c r="AF62" s="11" t="n"/>
      <c r="AG62" s="12" t="n"/>
      <c r="AH62" s="11" t="n"/>
      <c r="AI62" s="11" t="n"/>
      <c r="AJ62" s="11" t="n"/>
      <c r="AK62" s="11" t="n"/>
      <c r="AL62" s="12" t="n"/>
      <c r="AM62" s="11" t="n"/>
      <c r="AN62" s="11" t="n"/>
      <c r="AO62" s="11" t="n"/>
      <c r="AP62" s="11" t="n"/>
      <c r="AQ62" s="12" t="n"/>
      <c r="AR62" s="11" t="n"/>
      <c r="AS62" s="11" t="n"/>
      <c r="AT62" s="11" t="n"/>
      <c r="AU62" s="11" t="n"/>
      <c r="AV62" s="12" t="n"/>
      <c r="AW62" s="11" t="n"/>
      <c r="AX62" s="11" t="n"/>
      <c r="AY62" s="11" t="n"/>
      <c r="AZ62" s="11" t="n"/>
      <c r="BA62" s="12" t="n"/>
      <c r="BB62" s="11" t="n"/>
      <c r="BC62" s="11" t="n"/>
      <c r="BD62" s="11" t="n"/>
      <c r="BE62" s="11" t="n"/>
      <c r="BF62" s="12" t="n"/>
      <c r="BG62" s="11" t="n"/>
      <c r="BH62" s="11" t="n"/>
      <c r="BI62" s="11" t="n"/>
      <c r="BJ62" s="11" t="n"/>
      <c r="BK62" s="12" t="n"/>
      <c r="BL62" s="11" t="n"/>
      <c r="BM62" s="11" t="n"/>
      <c r="BN62" s="11" t="n"/>
      <c r="BO62" s="11" t="n"/>
      <c r="BP62" s="12" t="n"/>
      <c r="BQ62" s="11" t="n"/>
      <c r="BR62" s="11" t="n"/>
      <c r="BS62" s="11" t="n"/>
      <c r="BT62" s="11" t="n"/>
      <c r="BU62" s="12" t="n"/>
      <c r="BV62" s="11" t="n"/>
      <c r="BW62" s="11" t="n"/>
      <c r="BX62" s="11" t="n"/>
      <c r="BY62" s="11" t="n"/>
      <c r="BZ62" s="12" t="n"/>
      <c r="CA62" s="11" t="n"/>
      <c r="CB62" s="11" t="n"/>
      <c r="CC62" s="11" t="n"/>
      <c r="CD62" s="11" t="n"/>
      <c r="CE62" s="12" t="n"/>
      <c r="CF62" s="11" t="n"/>
      <c r="CG62" s="11" t="n"/>
      <c r="CH62" s="11" t="n"/>
      <c r="CI62" s="11" t="n"/>
      <c r="CJ62" s="12" t="n"/>
      <c r="CK62" s="11" t="n"/>
      <c r="CL62" s="11" t="n"/>
      <c r="CM62" s="11" t="n"/>
      <c r="CN62" s="11" t="n"/>
      <c r="CO62" s="12" t="n"/>
      <c r="CP62" s="11" t="n"/>
      <c r="CQ62" s="11" t="n"/>
      <c r="CR62" s="11" t="n"/>
      <c r="CS62" s="11" t="n"/>
      <c r="CT62" s="12" t="n"/>
      <c r="CU62" s="11" t="n"/>
      <c r="CV62" s="11" t="n"/>
      <c r="CW62" s="11" t="n"/>
      <c r="CX62" s="11" t="n"/>
      <c r="CY62" s="12" t="n"/>
    </row>
    <row r="63" hidden="1" outlineLevel="1">
      <c r="C63" s="57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2" t="n"/>
      <c r="AC63" s="12" t="n"/>
      <c r="AD63" s="12" t="n"/>
      <c r="AE63" s="12" t="n"/>
      <c r="AF63" s="12" t="n"/>
      <c r="AG63" s="12" t="n"/>
      <c r="AH63" s="12" t="n"/>
      <c r="AI63" s="12" t="n"/>
      <c r="AJ63" s="12" t="n"/>
      <c r="AK63" s="12" t="n"/>
      <c r="AL63" s="12" t="n"/>
      <c r="AM63" s="12" t="n"/>
      <c r="AN63" s="12" t="n"/>
      <c r="AO63" s="12" t="n"/>
      <c r="AP63" s="12" t="n"/>
      <c r="AQ63" s="12" t="n"/>
      <c r="AR63" s="12" t="n"/>
      <c r="AS63" s="12" t="n"/>
      <c r="AT63" s="12" t="n"/>
      <c r="AU63" s="12" t="n"/>
      <c r="AV63" s="12" t="n"/>
      <c r="AW63" s="12" t="n"/>
      <c r="AX63" s="12" t="n"/>
      <c r="AY63" s="12" t="n"/>
      <c r="AZ63" s="12" t="n"/>
      <c r="BA63" s="12" t="n"/>
      <c r="BB63" s="12" t="n"/>
      <c r="BC63" s="12" t="n"/>
      <c r="BD63" s="12" t="n"/>
      <c r="BE63" s="12" t="n"/>
      <c r="BF63" s="12" t="n"/>
      <c r="BG63" s="12" t="n"/>
      <c r="BH63" s="12" t="n"/>
      <c r="BI63" s="12" t="n"/>
      <c r="BJ63" s="12" t="n"/>
      <c r="BK63" s="12" t="n"/>
      <c r="BL63" s="12" t="n"/>
      <c r="BM63" s="12" t="n"/>
      <c r="BN63" s="12" t="n"/>
      <c r="BO63" s="12" t="n"/>
      <c r="BP63" s="12" t="n"/>
      <c r="BQ63" s="12" t="n"/>
      <c r="BR63" s="12" t="n"/>
      <c r="BS63" s="12" t="n"/>
      <c r="BT63" s="12" t="n"/>
      <c r="BU63" s="12" t="n"/>
      <c r="BV63" s="12" t="n"/>
      <c r="BW63" s="12" t="n"/>
      <c r="BX63" s="12" t="n"/>
      <c r="BY63" s="12" t="n"/>
      <c r="BZ63" s="12" t="n"/>
      <c r="CA63" s="12" t="n"/>
      <c r="CB63" s="12" t="n"/>
      <c r="CC63" s="12" t="n"/>
      <c r="CD63" s="12" t="n"/>
      <c r="CE63" s="12" t="n"/>
      <c r="CF63" s="12" t="n"/>
      <c r="CG63" s="12" t="n"/>
      <c r="CH63" s="12" t="n"/>
      <c r="CI63" s="12" t="n"/>
      <c r="CJ63" s="12" t="n"/>
      <c r="CK63" s="12" t="n"/>
      <c r="CL63" s="12" t="n"/>
      <c r="CM63" s="12" t="n"/>
      <c r="CN63" s="12" t="n"/>
      <c r="CO63" s="12" t="n"/>
      <c r="CP63" s="12" t="n"/>
      <c r="CQ63" s="12" t="n"/>
      <c r="CR63" s="12" t="n"/>
      <c r="CS63" s="12" t="n"/>
      <c r="CT63" s="12" t="n"/>
      <c r="CU63" s="12" t="n"/>
      <c r="CV63" s="12" t="n"/>
      <c r="CW63" s="12" t="n"/>
      <c r="CX63" s="12" t="n"/>
      <c r="CY63" s="12" t="n"/>
    </row>
    <row r="64" hidden="1" outlineLevel="1">
      <c r="C64" s="57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 t="n"/>
      <c r="Y64" s="12" t="n"/>
      <c r="Z64" s="12" t="n"/>
      <c r="AA64" s="12" t="n"/>
      <c r="AB64" s="12" t="n"/>
      <c r="AC64" s="12" t="n"/>
      <c r="AD64" s="12" t="n"/>
      <c r="AE64" s="12" t="n"/>
      <c r="AF64" s="12" t="n"/>
      <c r="AG64" s="12" t="n"/>
      <c r="AH64" s="12" t="n"/>
      <c r="AI64" s="12" t="n"/>
      <c r="AJ64" s="12" t="n"/>
      <c r="AK64" s="12" t="n"/>
      <c r="AL64" s="12" t="n"/>
      <c r="AM64" s="12" t="n"/>
      <c r="AN64" s="12" t="n"/>
      <c r="AO64" s="12" t="n"/>
      <c r="AP64" s="12" t="n"/>
      <c r="AQ64" s="12" t="n"/>
      <c r="AR64" s="12" t="n"/>
      <c r="AS64" s="12" t="n"/>
      <c r="AT64" s="12" t="n"/>
      <c r="AU64" s="12" t="n"/>
      <c r="AV64" s="12" t="n"/>
      <c r="AW64" s="12" t="n"/>
      <c r="AX64" s="12" t="n"/>
      <c r="AY64" s="12" t="n"/>
      <c r="AZ64" s="12" t="n"/>
      <c r="BA64" s="12" t="n"/>
      <c r="BB64" s="12" t="n"/>
      <c r="BC64" s="12" t="n"/>
      <c r="BD64" s="12" t="n"/>
      <c r="BE64" s="12" t="n"/>
      <c r="BF64" s="12" t="n"/>
      <c r="BG64" s="12" t="n"/>
      <c r="BH64" s="12" t="n"/>
      <c r="BI64" s="12" t="n"/>
      <c r="BJ64" s="12" t="n"/>
      <c r="BK64" s="12" t="n"/>
      <c r="BL64" s="12" t="n"/>
      <c r="BM64" s="12" t="n"/>
      <c r="BN64" s="12" t="n"/>
      <c r="BO64" s="12" t="n"/>
      <c r="BP64" s="12" t="n"/>
      <c r="BQ64" s="12" t="n"/>
      <c r="BR64" s="12" t="n"/>
      <c r="BS64" s="12" t="n"/>
      <c r="BT64" s="12" t="n"/>
      <c r="BU64" s="12" t="n"/>
      <c r="BV64" s="12" t="n"/>
      <c r="BW64" s="12" t="n"/>
      <c r="BX64" s="12" t="n"/>
      <c r="BY64" s="12" t="n"/>
      <c r="BZ64" s="12" t="n"/>
      <c r="CA64" s="12" t="n"/>
      <c r="CB64" s="12" t="n"/>
      <c r="CC64" s="12" t="n"/>
      <c r="CD64" s="12" t="n"/>
      <c r="CE64" s="12" t="n"/>
      <c r="CF64" s="12" t="n"/>
      <c r="CG64" s="12" t="n"/>
      <c r="CH64" s="12" t="n"/>
      <c r="CI64" s="12" t="n"/>
      <c r="CJ64" s="12" t="n"/>
      <c r="CK64" s="12" t="n"/>
      <c r="CL64" s="12" t="n"/>
      <c r="CM64" s="12" t="n"/>
      <c r="CN64" s="12" t="n"/>
      <c r="CO64" s="12" t="n"/>
      <c r="CP64" s="12" t="n"/>
      <c r="CQ64" s="12" t="n"/>
      <c r="CR64" s="12" t="n"/>
      <c r="CS64" s="12" t="n"/>
      <c r="CT64" s="12" t="n"/>
      <c r="CU64" s="12" t="n"/>
      <c r="CV64" s="12" t="n"/>
      <c r="CW64" s="12" t="n"/>
      <c r="CX64" s="12" t="n"/>
      <c r="CY64" s="12" t="n"/>
    </row>
    <row r="65" hidden="1" outlineLevel="1">
      <c r="C65" s="57" t="inlineStr">
        <is>
          <t>RECEITA FINANCEIRA</t>
        </is>
      </c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  <c r="AB65" s="12" t="n"/>
      <c r="AC65" s="12" t="n"/>
      <c r="AD65" s="12" t="n"/>
      <c r="AE65" s="12" t="n"/>
      <c r="AF65" s="12" t="n"/>
      <c r="AG65" s="12" t="n"/>
      <c r="AH65" s="12" t="n"/>
      <c r="AI65" s="12" t="n"/>
      <c r="AJ65" s="12" t="n"/>
      <c r="AK65" s="12" t="n"/>
      <c r="AL65" s="12" t="n"/>
      <c r="AM65" s="12" t="n"/>
      <c r="AN65" s="12" t="n"/>
      <c r="AO65" s="12" t="n"/>
      <c r="AP65" s="12" t="n"/>
      <c r="AQ65" s="12" t="n"/>
      <c r="AR65" s="12" t="n"/>
      <c r="AS65" s="12" t="n"/>
      <c r="AT65" s="12" t="n"/>
      <c r="AU65" s="12" t="n"/>
      <c r="AV65" s="12" t="n"/>
      <c r="AW65" s="12" t="n"/>
      <c r="AX65" s="12" t="n"/>
      <c r="AY65" s="12" t="n"/>
      <c r="AZ65" s="12" t="n"/>
      <c r="BA65" s="12" t="n"/>
      <c r="BB65" s="12" t="n"/>
      <c r="BC65" s="12" t="n"/>
      <c r="BD65" s="12" t="n"/>
      <c r="BE65" s="12" t="n"/>
      <c r="BF65" s="12" t="n"/>
      <c r="BG65" s="12" t="n"/>
      <c r="BH65" s="12" t="n"/>
      <c r="BI65" s="12" t="n"/>
      <c r="BJ65" s="12" t="n"/>
      <c r="BK65" s="12" t="n"/>
      <c r="BL65" s="12" t="n"/>
      <c r="BM65" s="12" t="n"/>
      <c r="BN65" s="12" t="n"/>
      <c r="BO65" s="12" t="n"/>
      <c r="BP65" s="12" t="n"/>
      <c r="BQ65" s="12" t="n"/>
      <c r="BR65" s="12" t="n"/>
      <c r="BS65" s="12" t="n"/>
      <c r="BT65" s="12" t="n"/>
      <c r="BU65" s="12" t="n"/>
      <c r="BV65" s="12" t="n"/>
      <c r="BW65" s="12" t="n"/>
      <c r="BX65" s="12" t="n"/>
      <c r="BY65" s="12" t="n"/>
      <c r="BZ65" s="12" t="n"/>
      <c r="CA65" s="12" t="n"/>
      <c r="CB65" s="12" t="n"/>
      <c r="CC65" s="12" t="n"/>
      <c r="CD65" s="12" t="n"/>
      <c r="CE65" s="12" t="n"/>
      <c r="CF65" s="12" t="n"/>
      <c r="CG65" s="12" t="n"/>
      <c r="CH65" s="12" t="n"/>
      <c r="CI65" s="12" t="n"/>
      <c r="CJ65" s="12" t="n"/>
      <c r="CK65" s="12" t="n"/>
      <c r="CL65" s="12" t="n"/>
      <c r="CM65" s="12" t="n"/>
      <c r="CN65" s="12" t="n"/>
      <c r="CO65" s="12" t="n"/>
      <c r="CP65" s="12" t="n"/>
      <c r="CQ65" s="12" t="n"/>
      <c r="CR65" s="12" t="n"/>
      <c r="CS65" s="12" t="n"/>
      <c r="CT65" s="12" t="n"/>
      <c r="CU65" s="12" t="n"/>
      <c r="CV65" s="12" t="n"/>
      <c r="CW65" s="12" t="n"/>
      <c r="CX65" s="12" t="n"/>
      <c r="CY65" s="12" t="n"/>
    </row>
    <row r="66" hidden="1" outlineLevel="1">
      <c r="C66" s="57" t="inlineStr">
        <is>
          <t>DESPESA FINANCEIRA</t>
        </is>
      </c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  <c r="Z66" s="12" t="n"/>
      <c r="AA66" s="12" t="n"/>
      <c r="AB66" s="12" t="n"/>
      <c r="AC66" s="12" t="n"/>
      <c r="AD66" s="12" t="n"/>
      <c r="AE66" s="12" t="n"/>
      <c r="AF66" s="12" t="n"/>
      <c r="AG66" s="12" t="n"/>
      <c r="AH66" s="12" t="n"/>
      <c r="AI66" s="12" t="n"/>
      <c r="AJ66" s="12" t="n"/>
      <c r="AK66" s="12" t="n"/>
      <c r="AL66" s="12" t="n"/>
      <c r="AM66" s="12" t="n"/>
      <c r="AN66" s="12" t="n"/>
      <c r="AO66" s="12" t="n"/>
      <c r="AP66" s="12" t="n"/>
      <c r="AQ66" s="12" t="n"/>
      <c r="AR66" s="12" t="n"/>
      <c r="AS66" s="12" t="n"/>
      <c r="AT66" s="12" t="n"/>
      <c r="AU66" s="12" t="n"/>
      <c r="AV66" s="12" t="n"/>
      <c r="AW66" s="12" t="n"/>
      <c r="AX66" s="12" t="n"/>
      <c r="AY66" s="12" t="n"/>
      <c r="AZ66" s="12" t="n"/>
      <c r="BA66" s="12" t="n"/>
      <c r="BB66" s="12" t="n"/>
      <c r="BC66" s="12" t="n"/>
      <c r="BD66" s="12" t="n"/>
      <c r="BE66" s="12" t="n"/>
      <c r="BF66" s="12" t="n"/>
      <c r="BG66" s="12" t="n"/>
      <c r="BH66" s="12" t="n"/>
      <c r="BI66" s="12" t="n"/>
      <c r="BJ66" s="12" t="n"/>
      <c r="BK66" s="12" t="n"/>
      <c r="BL66" s="12" t="n"/>
      <c r="BM66" s="12" t="n"/>
      <c r="BN66" s="12" t="n"/>
      <c r="BO66" s="12" t="n"/>
      <c r="BP66" s="12" t="n"/>
      <c r="BQ66" s="12" t="n"/>
      <c r="BR66" s="12" t="n"/>
      <c r="BS66" s="12" t="n"/>
      <c r="BT66" s="12" t="n"/>
      <c r="BU66" s="12" t="n"/>
      <c r="BV66" s="12" t="n"/>
      <c r="BW66" s="12" t="n"/>
      <c r="BX66" s="12" t="n"/>
      <c r="BY66" s="12" t="n"/>
      <c r="BZ66" s="12" t="n"/>
      <c r="CA66" s="12" t="n"/>
      <c r="CB66" s="12" t="n"/>
      <c r="CC66" s="12" t="n"/>
      <c r="CD66" s="12" t="n"/>
      <c r="CE66" s="12" t="n"/>
      <c r="CF66" s="12" t="n"/>
      <c r="CG66" s="12" t="n"/>
      <c r="CH66" s="12" t="n"/>
      <c r="CI66" s="12" t="n"/>
      <c r="CJ66" s="12" t="n"/>
      <c r="CK66" s="12" t="n"/>
      <c r="CL66" s="12" t="n"/>
      <c r="CM66" s="12" t="n"/>
      <c r="CN66" s="12" t="n"/>
      <c r="CO66" s="12" t="n"/>
      <c r="CP66" s="12" t="n"/>
      <c r="CQ66" s="12" t="n"/>
      <c r="CR66" s="12" t="n"/>
      <c r="CS66" s="12" t="n"/>
      <c r="CT66" s="12" t="n"/>
      <c r="CU66" s="12" t="n"/>
      <c r="CV66" s="12" t="n"/>
      <c r="CW66" s="12" t="n"/>
      <c r="CX66" s="12" t="n"/>
      <c r="CY66" s="12" t="n"/>
    </row>
    <row r="67" hidden="1" outlineLevel="1">
      <c r="C67" s="57" t="inlineStr">
        <is>
          <t>OUTROS</t>
        </is>
      </c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  <c r="AB67" s="12" t="n"/>
      <c r="AC67" s="12" t="n"/>
      <c r="AD67" s="12" t="n"/>
      <c r="AE67" s="12" t="n"/>
      <c r="AF67" s="12" t="n"/>
      <c r="AG67" s="12" t="n"/>
      <c r="AH67" s="12" t="n"/>
      <c r="AI67" s="12" t="n"/>
      <c r="AJ67" s="12" t="n"/>
      <c r="AK67" s="12" t="n"/>
      <c r="AL67" s="12" t="n"/>
      <c r="AM67" s="12" t="n"/>
      <c r="AN67" s="12" t="n"/>
      <c r="AO67" s="12" t="n"/>
      <c r="AP67" s="12" t="n"/>
      <c r="AQ67" s="12" t="n"/>
      <c r="AR67" s="12" t="n"/>
      <c r="AS67" s="12" t="n"/>
      <c r="AT67" s="12" t="n"/>
      <c r="AU67" s="12" t="n"/>
      <c r="AV67" s="12" t="n"/>
      <c r="AW67" s="12" t="n"/>
      <c r="AX67" s="12" t="n"/>
      <c r="AY67" s="12" t="n"/>
      <c r="AZ67" s="12" t="n"/>
      <c r="BA67" s="12" t="n"/>
      <c r="BB67" s="12" t="n"/>
      <c r="BC67" s="12" t="n"/>
      <c r="BD67" s="12" t="n"/>
      <c r="BE67" s="12" t="n"/>
      <c r="BF67" s="12" t="n"/>
      <c r="BG67" s="12" t="n"/>
      <c r="BH67" s="12" t="n"/>
      <c r="BI67" s="12" t="n"/>
      <c r="BJ67" s="12" t="n"/>
      <c r="BK67" s="12" t="n"/>
      <c r="BL67" s="12" t="n"/>
      <c r="BM67" s="12" t="n"/>
      <c r="BN67" s="12" t="n"/>
      <c r="BO67" s="12" t="n"/>
      <c r="BP67" s="12" t="n"/>
      <c r="BQ67" s="12" t="n"/>
      <c r="BR67" s="12" t="n"/>
      <c r="BS67" s="12" t="n"/>
      <c r="BT67" s="12" t="n"/>
      <c r="BU67" s="12" t="n"/>
      <c r="BV67" s="12" t="n"/>
      <c r="BW67" s="12" t="n"/>
      <c r="BX67" s="12" t="n"/>
      <c r="BY67" s="12" t="n"/>
      <c r="BZ67" s="12" t="n"/>
      <c r="CA67" s="12" t="n"/>
      <c r="CB67" s="12" t="n"/>
      <c r="CC67" s="12" t="n"/>
      <c r="CD67" s="12" t="n"/>
      <c r="CE67" s="12" t="n"/>
      <c r="CF67" s="12" t="n"/>
      <c r="CG67" s="12" t="n"/>
      <c r="CH67" s="12" t="n"/>
      <c r="CI67" s="12" t="n"/>
      <c r="CJ67" s="12" t="n"/>
      <c r="CK67" s="12" t="n"/>
      <c r="CL67" s="12" t="n"/>
      <c r="CM67" s="12" t="n"/>
      <c r="CN67" s="12" t="n"/>
      <c r="CO67" s="12" t="n"/>
      <c r="CP67" s="12" t="n"/>
      <c r="CQ67" s="12" t="n"/>
      <c r="CR67" s="12" t="n"/>
      <c r="CS67" s="12" t="n"/>
      <c r="CT67" s="12" t="n"/>
      <c r="CU67" s="12" t="n"/>
      <c r="CV67" s="12" t="n"/>
      <c r="CW67" s="12" t="n"/>
      <c r="CX67" s="12" t="n"/>
      <c r="CY67" s="12" t="n"/>
    </row>
    <row r="68" hidden="1" outlineLevel="1">
      <c r="C68" s="57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  <c r="Z68" s="12" t="n"/>
      <c r="AA68" s="12" t="n"/>
      <c r="AB68" s="12" t="n"/>
      <c r="AC68" s="12" t="n"/>
      <c r="AD68" s="12" t="n"/>
      <c r="AE68" s="12" t="n"/>
      <c r="AF68" s="12" t="n"/>
      <c r="AG68" s="12" t="n"/>
      <c r="AH68" s="12" t="n"/>
      <c r="AI68" s="12" t="n"/>
      <c r="AJ68" s="12" t="n"/>
      <c r="AK68" s="12" t="n"/>
      <c r="AL68" s="12" t="n"/>
      <c r="AM68" s="12" t="n"/>
      <c r="AN68" s="12" t="n"/>
      <c r="AO68" s="12" t="n"/>
      <c r="AP68" s="12" t="n"/>
      <c r="AQ68" s="12" t="n"/>
      <c r="AR68" s="12" t="n"/>
      <c r="AS68" s="12" t="n"/>
      <c r="AT68" s="12" t="n"/>
      <c r="AU68" s="12" t="n"/>
      <c r="AV68" s="12" t="n"/>
      <c r="AW68" s="12" t="n"/>
      <c r="AX68" s="12" t="n"/>
      <c r="AY68" s="12" t="n"/>
      <c r="AZ68" s="12" t="n"/>
      <c r="BA68" s="12" t="n"/>
      <c r="BB68" s="12" t="n"/>
      <c r="BC68" s="12" t="n"/>
      <c r="BD68" s="12" t="n"/>
      <c r="BE68" s="12" t="n"/>
      <c r="BF68" s="12" t="n"/>
      <c r="BG68" s="12" t="n"/>
      <c r="BH68" s="12" t="n"/>
      <c r="BI68" s="12" t="n"/>
      <c r="BJ68" s="12" t="n"/>
      <c r="BK68" s="12" t="n"/>
      <c r="BL68" s="12" t="n"/>
      <c r="BM68" s="12" t="n"/>
      <c r="BN68" s="12" t="n"/>
      <c r="BO68" s="12" t="n"/>
      <c r="BP68" s="12" t="n"/>
      <c r="BQ68" s="12" t="n"/>
      <c r="BR68" s="12" t="n"/>
      <c r="BS68" s="12" t="n"/>
      <c r="BT68" s="12" t="n"/>
      <c r="BU68" s="12" t="n"/>
      <c r="BV68" s="12" t="n"/>
      <c r="BW68" s="12" t="n"/>
      <c r="BX68" s="12" t="n"/>
      <c r="BY68" s="12" t="n"/>
      <c r="BZ68" s="12" t="n"/>
      <c r="CA68" s="12" t="n"/>
      <c r="CB68" s="12" t="n"/>
      <c r="CC68" s="12" t="n"/>
      <c r="CD68" s="12" t="n"/>
      <c r="CE68" s="12" t="n"/>
      <c r="CF68" s="12" t="n"/>
      <c r="CG68" s="12" t="n"/>
      <c r="CH68" s="12" t="n"/>
      <c r="CI68" s="12" t="n"/>
      <c r="CJ68" s="12" t="n"/>
      <c r="CK68" s="12" t="n"/>
      <c r="CL68" s="12" t="n"/>
      <c r="CM68" s="12" t="n"/>
      <c r="CN68" s="12" t="n"/>
      <c r="CO68" s="12" t="n"/>
      <c r="CP68" s="12" t="n"/>
      <c r="CQ68" s="12" t="n"/>
      <c r="CR68" s="12" t="n"/>
      <c r="CS68" s="12" t="n"/>
      <c r="CT68" s="12" t="n"/>
      <c r="CU68" s="12" t="n"/>
      <c r="CV68" s="12" t="n"/>
      <c r="CW68" s="12" t="n"/>
      <c r="CX68" s="12" t="n"/>
      <c r="CY68" s="12" t="n"/>
    </row>
    <row r="69" hidden="1" outlineLevel="1">
      <c r="C69" s="57" t="inlineStr">
        <is>
          <t>Cash and equivalents (inc. investment securities)</t>
        </is>
      </c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  <c r="AA69" s="12" t="n"/>
      <c r="AB69" s="12" t="n"/>
      <c r="AC69" s="12" t="n"/>
      <c r="AD69" s="12" t="n"/>
      <c r="AE69" s="12" t="n"/>
      <c r="AF69" s="12" t="n"/>
      <c r="AG69" s="12" t="n"/>
      <c r="AH69" s="12" t="n"/>
      <c r="AI69" s="12" t="n"/>
      <c r="AJ69" s="12" t="n"/>
      <c r="AK69" s="12" t="n"/>
      <c r="AL69" s="12" t="n"/>
      <c r="AM69" s="12" t="n"/>
      <c r="AN69" s="12" t="n"/>
      <c r="AO69" s="12" t="n"/>
      <c r="AP69" s="12" t="n"/>
      <c r="AQ69" s="12" t="n"/>
      <c r="AR69" s="12" t="n"/>
      <c r="AS69" s="12" t="n"/>
      <c r="AT69" s="12" t="n"/>
      <c r="AU69" s="12" t="n"/>
      <c r="AV69" s="12" t="n"/>
      <c r="AW69" s="12" t="n"/>
      <c r="AX69" s="12" t="n"/>
      <c r="AY69" s="12" t="n"/>
      <c r="AZ69" s="12" t="n"/>
      <c r="BA69" s="12" t="n"/>
      <c r="BB69" s="12" t="n"/>
      <c r="BC69" s="12" t="n"/>
      <c r="BD69" s="12" t="n"/>
      <c r="BE69" s="12" t="n"/>
      <c r="BF69" s="12" t="n"/>
      <c r="BG69" s="12" t="n"/>
      <c r="BH69" s="12" t="n"/>
      <c r="BI69" s="12" t="n"/>
      <c r="BJ69" s="12" t="n"/>
      <c r="BK69" s="12" t="n"/>
      <c r="BL69" s="12" t="n"/>
      <c r="BM69" s="12" t="n"/>
      <c r="BN69" s="12" t="n"/>
      <c r="BO69" s="12" t="n"/>
      <c r="BP69" s="12" t="n"/>
      <c r="BQ69" s="12" t="n"/>
      <c r="BR69" s="12" t="n"/>
      <c r="BS69" s="12" t="n"/>
      <c r="BT69" s="12" t="n"/>
      <c r="BU69" s="12" t="n"/>
      <c r="BV69" s="12" t="n"/>
      <c r="BW69" s="12" t="n"/>
      <c r="BX69" s="12" t="n"/>
      <c r="BY69" s="12" t="n"/>
      <c r="BZ69" s="12" t="n"/>
      <c r="CA69" s="12" t="n"/>
      <c r="CB69" s="12" t="n"/>
      <c r="CC69" s="12" t="n"/>
      <c r="CD69" s="12" t="n"/>
      <c r="CE69" s="12" t="n"/>
      <c r="CF69" s="12" t="n"/>
      <c r="CG69" s="12" t="n"/>
      <c r="CH69" s="12" t="n"/>
      <c r="CI69" s="12" t="n"/>
      <c r="CJ69" s="12" t="n"/>
      <c r="CK69" s="12" t="n"/>
      <c r="CL69" s="12" t="n"/>
      <c r="CM69" s="12" t="n"/>
      <c r="CN69" s="12" t="n"/>
      <c r="CO69" s="12" t="n"/>
      <c r="CP69" s="12" t="n"/>
      <c r="CQ69" s="12" t="n"/>
      <c r="CR69" s="12" t="n"/>
      <c r="CS69" s="12" t="n"/>
      <c r="CT69" s="12" t="n"/>
      <c r="CU69" s="12" t="n"/>
      <c r="CV69" s="12" t="n"/>
      <c r="CW69" s="12" t="n"/>
      <c r="CX69" s="12" t="n"/>
      <c r="CY69" s="12" t="n"/>
    </row>
    <row r="70" hidden="1" outlineLevel="1">
      <c r="C70" s="57" t="inlineStr">
        <is>
          <t>Interest on cash</t>
        </is>
      </c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 t="n"/>
      <c r="Y70" s="12" t="n"/>
      <c r="Z70" s="12" t="n"/>
      <c r="AA70" s="12" t="n"/>
      <c r="AB70" s="12" t="n"/>
      <c r="AC70" s="12" t="n"/>
      <c r="AD70" s="12" t="n"/>
      <c r="AE70" s="12" t="n"/>
      <c r="AF70" s="12" t="n"/>
      <c r="AG70" s="12" t="n"/>
      <c r="AH70" s="12" t="n"/>
      <c r="AI70" s="12" t="n"/>
      <c r="AJ70" s="12" t="n"/>
      <c r="AK70" s="12" t="n"/>
      <c r="AL70" s="12" t="n"/>
      <c r="AM70" s="12" t="n"/>
      <c r="AN70" s="12" t="n"/>
      <c r="AO70" s="12" t="n"/>
      <c r="AP70" s="12" t="n"/>
      <c r="AQ70" s="12" t="n"/>
      <c r="AR70" s="12" t="n"/>
      <c r="AS70" s="12" t="n"/>
      <c r="AT70" s="12" t="n"/>
      <c r="AU70" s="12" t="n"/>
      <c r="AV70" s="12" t="n"/>
      <c r="AW70" s="12" t="n"/>
      <c r="AX70" s="12" t="n"/>
      <c r="AY70" s="12" t="n"/>
      <c r="AZ70" s="12" t="n"/>
      <c r="BA70" s="12" t="n"/>
      <c r="BB70" s="12" t="n"/>
      <c r="BC70" s="12" t="n"/>
      <c r="BD70" s="12" t="n"/>
      <c r="BE70" s="12" t="n"/>
      <c r="BF70" s="12" t="n"/>
      <c r="BG70" s="12" t="n"/>
      <c r="BH70" s="12" t="n"/>
      <c r="BI70" s="12" t="n"/>
      <c r="BJ70" s="12" t="n"/>
      <c r="BK70" s="12" t="n"/>
      <c r="BL70" s="12" t="n"/>
      <c r="BM70" s="12" t="n"/>
      <c r="BN70" s="12" t="n"/>
      <c r="BO70" s="12" t="n"/>
      <c r="BP70" s="12" t="n"/>
      <c r="BQ70" s="12" t="n"/>
      <c r="BR70" s="12" t="n"/>
      <c r="BS70" s="12" t="n"/>
      <c r="BT70" s="12" t="n"/>
      <c r="BU70" s="12" t="n"/>
      <c r="BV70" s="12" t="n"/>
      <c r="BW70" s="12" t="n"/>
      <c r="BX70" s="12" t="n"/>
      <c r="BY70" s="12" t="n"/>
      <c r="BZ70" s="12" t="n"/>
      <c r="CA70" s="12" t="n"/>
      <c r="CB70" s="12" t="n"/>
      <c r="CC70" s="12" t="n"/>
      <c r="CD70" s="12" t="n"/>
      <c r="CE70" s="12" t="n"/>
      <c r="CF70" s="12" t="n"/>
      <c r="CG70" s="12" t="n"/>
      <c r="CH70" s="12" t="n"/>
      <c r="CI70" s="12" t="n"/>
      <c r="CJ70" s="12" t="n"/>
      <c r="CK70" s="12" t="n"/>
      <c r="CL70" s="12" t="n"/>
      <c r="CM70" s="12" t="n"/>
      <c r="CN70" s="12" t="n"/>
      <c r="CO70" s="12" t="n"/>
      <c r="CP70" s="12" t="n"/>
      <c r="CQ70" s="12" t="n"/>
      <c r="CR70" s="12" t="n"/>
      <c r="CS70" s="12" t="n"/>
      <c r="CT70" s="12" t="n"/>
      <c r="CU70" s="12" t="n"/>
      <c r="CV70" s="12" t="n"/>
      <c r="CW70" s="12" t="n"/>
      <c r="CX70" s="12" t="n"/>
      <c r="CY70" s="12" t="n"/>
    </row>
    <row r="71" hidden="1" outlineLevel="1">
      <c r="C71" s="57" t="inlineStr">
        <is>
          <t>Average interest rate</t>
        </is>
      </c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2" t="n"/>
      <c r="AC71" s="12" t="n"/>
      <c r="AD71" s="12" t="n"/>
      <c r="AE71" s="12" t="n"/>
      <c r="AF71" s="12" t="n"/>
      <c r="AG71" s="12" t="n"/>
      <c r="AH71" s="12" t="n"/>
      <c r="AI71" s="12" t="n"/>
      <c r="AJ71" s="12" t="n"/>
      <c r="AK71" s="12" t="n"/>
      <c r="AL71" s="12" t="n"/>
      <c r="AM71" s="12" t="n"/>
      <c r="AN71" s="12" t="n"/>
      <c r="AO71" s="12" t="n"/>
      <c r="AP71" s="12" t="n"/>
      <c r="AQ71" s="12" t="n"/>
      <c r="AR71" s="12" t="n"/>
      <c r="AS71" s="12" t="n"/>
      <c r="AT71" s="12" t="n"/>
      <c r="AU71" s="12" t="n"/>
      <c r="AV71" s="12" t="n"/>
      <c r="AW71" s="12" t="n"/>
      <c r="AX71" s="12" t="n"/>
      <c r="AY71" s="12" t="n"/>
      <c r="AZ71" s="12" t="n"/>
      <c r="BA71" s="12" t="n"/>
      <c r="BB71" s="12" t="n"/>
      <c r="BC71" s="12" t="n"/>
      <c r="BD71" s="12" t="n"/>
      <c r="BE71" s="12" t="n"/>
      <c r="BF71" s="12" t="n"/>
      <c r="BG71" s="12" t="n"/>
      <c r="BH71" s="12" t="n"/>
      <c r="BI71" s="12" t="n"/>
      <c r="BJ71" s="12" t="n"/>
      <c r="BK71" s="12" t="n"/>
      <c r="BL71" s="12" t="n"/>
      <c r="BM71" s="12" t="n"/>
      <c r="BN71" s="12" t="n"/>
      <c r="BO71" s="12" t="n"/>
      <c r="BP71" s="12" t="n"/>
      <c r="BQ71" s="12" t="n"/>
      <c r="BR71" s="12" t="n"/>
      <c r="BS71" s="12" t="n"/>
      <c r="BT71" s="12" t="n"/>
      <c r="BU71" s="12" t="n"/>
      <c r="BV71" s="12" t="n"/>
      <c r="BW71" s="12" t="n"/>
      <c r="BX71" s="12" t="n"/>
      <c r="BY71" s="12" t="n"/>
      <c r="BZ71" s="12" t="n"/>
      <c r="CA71" s="12" t="n"/>
      <c r="CB71" s="12" t="n"/>
      <c r="CC71" s="12" t="n"/>
      <c r="CD71" s="12" t="n"/>
      <c r="CE71" s="12" t="n"/>
      <c r="CF71" s="12" t="n"/>
      <c r="CG71" s="12" t="n"/>
      <c r="CH71" s="12" t="n"/>
      <c r="CI71" s="12" t="n"/>
      <c r="CJ71" s="12" t="n"/>
      <c r="CK71" s="12" t="n"/>
      <c r="CL71" s="12" t="n"/>
      <c r="CM71" s="12" t="n"/>
      <c r="CN71" s="12" t="n"/>
      <c r="CO71" s="12" t="n"/>
      <c r="CP71" s="12" t="n"/>
      <c r="CQ71" s="12" t="n"/>
      <c r="CR71" s="12" t="n"/>
      <c r="CS71" s="12" t="n"/>
      <c r="CT71" s="12" t="n"/>
      <c r="CU71" s="12" t="n"/>
      <c r="CV71" s="12" t="n"/>
      <c r="CW71" s="12" t="n"/>
      <c r="CX71" s="12" t="n"/>
      <c r="CY71" s="12" t="n"/>
    </row>
    <row r="72" hidden="1" outlineLevel="1">
      <c r="C72" s="57" t="inlineStr">
        <is>
          <t>% CDI</t>
        </is>
      </c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2" t="n"/>
      <c r="Y72" s="12" t="n"/>
      <c r="Z72" s="12" t="n"/>
      <c r="AA72" s="12" t="n"/>
      <c r="AB72" s="12" t="n"/>
      <c r="AC72" s="12" t="n"/>
      <c r="AD72" s="12" t="n"/>
      <c r="AE72" s="12" t="n"/>
      <c r="AF72" s="12" t="n"/>
      <c r="AG72" s="12" t="n"/>
      <c r="AH72" s="12" t="n"/>
      <c r="AI72" s="12" t="n"/>
      <c r="AJ72" s="12" t="n"/>
      <c r="AK72" s="12" t="n"/>
      <c r="AL72" s="12" t="n"/>
      <c r="AM72" s="12" t="n"/>
      <c r="AN72" s="12" t="n"/>
      <c r="AO72" s="12" t="n"/>
      <c r="AP72" s="12" t="n"/>
      <c r="AQ72" s="12" t="n"/>
      <c r="AR72" s="12" t="n"/>
      <c r="AS72" s="12" t="n"/>
      <c r="AT72" s="12" t="n"/>
      <c r="AU72" s="12" t="n"/>
      <c r="AV72" s="12" t="n"/>
      <c r="AW72" s="12" t="n"/>
      <c r="AX72" s="12" t="n"/>
      <c r="AY72" s="12" t="n"/>
      <c r="AZ72" s="12" t="n"/>
      <c r="BA72" s="12" t="n"/>
      <c r="BB72" s="12" t="n"/>
      <c r="BC72" s="12" t="n"/>
      <c r="BD72" s="12" t="n"/>
      <c r="BE72" s="12" t="n"/>
      <c r="BF72" s="12" t="n"/>
      <c r="BG72" s="12" t="n"/>
      <c r="BH72" s="12" t="n"/>
      <c r="BI72" s="12" t="n"/>
      <c r="BJ72" s="12" t="n"/>
      <c r="BK72" s="12" t="n"/>
      <c r="BL72" s="12" t="n"/>
      <c r="BM72" s="12" t="n"/>
      <c r="BN72" s="12" t="n"/>
      <c r="BO72" s="12" t="n"/>
      <c r="BP72" s="12" t="n"/>
      <c r="BQ72" s="12" t="n"/>
      <c r="BR72" s="12" t="n"/>
      <c r="BS72" s="12" t="n"/>
      <c r="BT72" s="12" t="n"/>
      <c r="BU72" s="12" t="n"/>
      <c r="BV72" s="12" t="n"/>
      <c r="BW72" s="12" t="n"/>
      <c r="BX72" s="12" t="n"/>
      <c r="BY72" s="12" t="n"/>
      <c r="BZ72" s="12" t="n"/>
      <c r="CA72" s="12" t="n"/>
      <c r="CB72" s="12" t="n"/>
      <c r="CC72" s="12" t="n"/>
      <c r="CD72" s="12" t="n"/>
      <c r="CE72" s="12" t="n"/>
      <c r="CF72" s="12" t="n"/>
      <c r="CG72" s="12" t="n"/>
      <c r="CH72" s="12" t="n"/>
      <c r="CI72" s="12" t="n"/>
      <c r="CJ72" s="12" t="n"/>
      <c r="CK72" s="12" t="n"/>
      <c r="CL72" s="12" t="n"/>
      <c r="CM72" s="12" t="n"/>
      <c r="CN72" s="12" t="n"/>
      <c r="CO72" s="12" t="n"/>
      <c r="CP72" s="12" t="n"/>
      <c r="CQ72" s="12" t="n"/>
      <c r="CR72" s="12" t="n"/>
      <c r="CS72" s="12" t="n"/>
      <c r="CT72" s="12" t="n"/>
      <c r="CU72" s="12" t="n"/>
      <c r="CV72" s="12" t="n"/>
      <c r="CW72" s="12" t="n"/>
      <c r="CX72" s="12" t="n"/>
      <c r="CY72" s="12" t="n"/>
    </row>
    <row r="73" hidden="1" outlineLevel="1">
      <c r="C73" s="57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2" t="n"/>
      <c r="AC73" s="12" t="n"/>
      <c r="AD73" s="12" t="n"/>
      <c r="AE73" s="12" t="n"/>
      <c r="AF73" s="12" t="n"/>
      <c r="AG73" s="12" t="n"/>
      <c r="AH73" s="12" t="n"/>
      <c r="AI73" s="12" t="n"/>
      <c r="AJ73" s="12" t="n"/>
      <c r="AK73" s="12" t="n"/>
      <c r="AL73" s="12" t="n"/>
      <c r="AM73" s="12" t="n"/>
      <c r="AN73" s="12" t="n"/>
      <c r="AO73" s="12" t="n"/>
      <c r="AP73" s="12" t="n"/>
      <c r="AQ73" s="12" t="n"/>
      <c r="AR73" s="12" t="n"/>
      <c r="AS73" s="12" t="n"/>
      <c r="AT73" s="12" t="n"/>
      <c r="AU73" s="12" t="n"/>
      <c r="AV73" s="12" t="n"/>
      <c r="AW73" s="12" t="n"/>
      <c r="AX73" s="12" t="n"/>
      <c r="AY73" s="12" t="n"/>
      <c r="AZ73" s="12" t="n"/>
      <c r="BA73" s="12" t="n"/>
      <c r="BB73" s="12" t="n"/>
      <c r="BC73" s="12" t="n"/>
      <c r="BD73" s="12" t="n"/>
      <c r="BE73" s="12" t="n"/>
      <c r="BF73" s="12" t="n"/>
      <c r="BG73" s="12" t="n"/>
      <c r="BH73" s="12" t="n"/>
      <c r="BI73" s="12" t="n"/>
      <c r="BJ73" s="12" t="n"/>
      <c r="BK73" s="12" t="n"/>
      <c r="BL73" s="12" t="n"/>
      <c r="BM73" s="12" t="n"/>
      <c r="BN73" s="12" t="n"/>
      <c r="BO73" s="12" t="n"/>
      <c r="BP73" s="12" t="n"/>
      <c r="BQ73" s="12" t="n"/>
      <c r="BR73" s="12" t="n"/>
      <c r="BS73" s="12" t="n"/>
      <c r="BT73" s="12" t="n"/>
      <c r="BU73" s="12" t="n"/>
      <c r="BV73" s="12" t="n"/>
      <c r="BW73" s="12" t="n"/>
      <c r="BX73" s="12" t="n"/>
      <c r="BY73" s="12" t="n"/>
      <c r="BZ73" s="12" t="n"/>
      <c r="CA73" s="12" t="n"/>
      <c r="CB73" s="12" t="n"/>
      <c r="CC73" s="12" t="n"/>
      <c r="CD73" s="12" t="n"/>
      <c r="CE73" s="12" t="n"/>
      <c r="CF73" s="12" t="n"/>
      <c r="CG73" s="12" t="n"/>
      <c r="CH73" s="12" t="n"/>
      <c r="CI73" s="12" t="n"/>
      <c r="CJ73" s="12" t="n"/>
      <c r="CK73" s="12" t="n"/>
      <c r="CL73" s="12" t="n"/>
      <c r="CM73" s="12" t="n"/>
      <c r="CN73" s="12" t="n"/>
      <c r="CO73" s="12" t="n"/>
      <c r="CP73" s="12" t="n"/>
      <c r="CQ73" s="12" t="n"/>
      <c r="CR73" s="12" t="n"/>
      <c r="CS73" s="12" t="n"/>
      <c r="CT73" s="12" t="n"/>
      <c r="CU73" s="12" t="n"/>
      <c r="CV73" s="12" t="n"/>
      <c r="CW73" s="12" t="n"/>
      <c r="CX73" s="12" t="n"/>
      <c r="CY73" s="12" t="n"/>
    </row>
    <row r="74" hidden="1" outlineLevel="1">
      <c r="C74" s="57" t="inlineStr">
        <is>
          <t>Current portion of long-term debt</t>
        </is>
      </c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  <c r="S74" s="12" t="n"/>
      <c r="T74" s="12" t="n"/>
      <c r="U74" s="12" t="n"/>
      <c r="V74" s="12" t="n"/>
      <c r="W74" s="12" t="n"/>
      <c r="X74" s="12" t="n"/>
      <c r="Y74" s="12" t="n"/>
      <c r="Z74" s="12" t="n"/>
      <c r="AA74" s="12" t="n"/>
      <c r="AB74" s="12" t="n"/>
      <c r="AC74" s="12" t="n"/>
      <c r="AD74" s="12" t="n"/>
      <c r="AE74" s="12" t="n"/>
      <c r="AF74" s="12" t="n"/>
      <c r="AG74" s="12" t="n"/>
      <c r="AH74" s="12" t="n"/>
      <c r="AI74" s="12" t="n"/>
      <c r="AJ74" s="12" t="n"/>
      <c r="AK74" s="12" t="n"/>
      <c r="AL74" s="12" t="n"/>
      <c r="AM74" s="12" t="n"/>
      <c r="AN74" s="12" t="n"/>
      <c r="AO74" s="12" t="n"/>
      <c r="AP74" s="12" t="n"/>
      <c r="AQ74" s="12" t="n"/>
      <c r="AR74" s="12" t="n"/>
      <c r="AS74" s="12" t="n"/>
      <c r="AT74" s="12" t="n"/>
      <c r="AU74" s="12" t="n"/>
      <c r="AV74" s="12" t="n"/>
      <c r="AW74" s="12" t="n"/>
      <c r="AX74" s="12" t="n"/>
      <c r="AY74" s="12" t="n"/>
      <c r="AZ74" s="12" t="n"/>
      <c r="BA74" s="12" t="n"/>
      <c r="BB74" s="12" t="n"/>
      <c r="BC74" s="12" t="n"/>
      <c r="BD74" s="12" t="n"/>
      <c r="BE74" s="12" t="n"/>
      <c r="BF74" s="12" t="n"/>
      <c r="BG74" s="12" t="n"/>
      <c r="BH74" s="12" t="n"/>
      <c r="BI74" s="12" t="n"/>
      <c r="BJ74" s="12" t="n"/>
      <c r="BK74" s="12" t="n"/>
      <c r="BL74" s="12" t="n"/>
      <c r="BM74" s="12" t="n"/>
      <c r="BN74" s="12" t="n"/>
      <c r="BO74" s="12" t="n"/>
      <c r="BP74" s="12" t="n"/>
      <c r="BQ74" s="12" t="n"/>
      <c r="BR74" s="12" t="n"/>
      <c r="BS74" s="12" t="n"/>
      <c r="BT74" s="12" t="n"/>
      <c r="BU74" s="12" t="n"/>
      <c r="BV74" s="12" t="n"/>
      <c r="BW74" s="12" t="n"/>
      <c r="BX74" s="12" t="n"/>
      <c r="BY74" s="12" t="n"/>
      <c r="BZ74" s="12" t="n"/>
      <c r="CA74" s="12" t="n"/>
      <c r="CB74" s="12" t="n"/>
      <c r="CC74" s="12" t="n"/>
      <c r="CD74" s="12" t="n"/>
      <c r="CE74" s="12" t="n"/>
      <c r="CF74" s="12" t="n"/>
      <c r="CG74" s="12" t="n"/>
      <c r="CH74" s="12" t="n"/>
      <c r="CI74" s="12" t="n"/>
      <c r="CJ74" s="12" t="n"/>
      <c r="CK74" s="12" t="n"/>
      <c r="CL74" s="12" t="n"/>
      <c r="CM74" s="12" t="n"/>
      <c r="CN74" s="12" t="n"/>
      <c r="CO74" s="12" t="n"/>
      <c r="CP74" s="12" t="n"/>
      <c r="CQ74" s="12" t="n"/>
      <c r="CR74" s="12" t="n"/>
      <c r="CS74" s="12" t="n"/>
      <c r="CT74" s="12" t="n"/>
      <c r="CU74" s="12" t="n"/>
      <c r="CV74" s="12" t="n"/>
      <c r="CW74" s="12" t="n"/>
      <c r="CX74" s="12" t="n"/>
      <c r="CY74" s="12" t="n"/>
    </row>
    <row r="75" hidden="1" outlineLevel="1">
      <c r="C75" s="57" t="inlineStr">
        <is>
          <t>Short term debt (Revolving credit facility)</t>
        </is>
      </c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2" t="n"/>
      <c r="AC75" s="12" t="n"/>
      <c r="AD75" s="12" t="n"/>
      <c r="AE75" s="12" t="n"/>
      <c r="AF75" s="12" t="n"/>
      <c r="AG75" s="12" t="n"/>
      <c r="AH75" s="12" t="n"/>
      <c r="AI75" s="12" t="n"/>
      <c r="AJ75" s="12" t="n"/>
      <c r="AK75" s="12" t="n"/>
      <c r="AL75" s="12" t="n"/>
      <c r="AM75" s="12" t="n"/>
      <c r="AN75" s="12" t="n"/>
      <c r="AO75" s="12" t="n"/>
      <c r="AP75" s="12" t="n"/>
      <c r="AQ75" s="12" t="n"/>
      <c r="AR75" s="12" t="n"/>
      <c r="AS75" s="12" t="n"/>
      <c r="AT75" s="12" t="n"/>
      <c r="AU75" s="12" t="n"/>
      <c r="AV75" s="12" t="n"/>
      <c r="AW75" s="12" t="n"/>
      <c r="AX75" s="12" t="n"/>
      <c r="AY75" s="12" t="n"/>
      <c r="AZ75" s="12" t="n"/>
      <c r="BA75" s="12" t="n"/>
      <c r="BB75" s="12" t="n"/>
      <c r="BC75" s="12" t="n"/>
      <c r="BD75" s="12" t="n"/>
      <c r="BE75" s="12" t="n"/>
      <c r="BF75" s="12" t="n"/>
      <c r="BG75" s="12" t="n"/>
      <c r="BH75" s="12" t="n"/>
      <c r="BI75" s="12" t="n"/>
      <c r="BJ75" s="12" t="n"/>
      <c r="BK75" s="12" t="n"/>
      <c r="BL75" s="12" t="n"/>
      <c r="BM75" s="12" t="n"/>
      <c r="BN75" s="12" t="n"/>
      <c r="BO75" s="12" t="n"/>
      <c r="BP75" s="12" t="n"/>
      <c r="BQ75" s="12" t="n"/>
      <c r="BR75" s="12" t="n"/>
      <c r="BS75" s="12" t="n"/>
      <c r="BT75" s="12" t="n"/>
      <c r="BU75" s="12" t="n"/>
      <c r="BV75" s="12" t="n"/>
      <c r="BW75" s="12" t="n"/>
      <c r="BX75" s="12" t="n"/>
      <c r="BY75" s="12" t="n"/>
      <c r="BZ75" s="12" t="n"/>
      <c r="CA75" s="12" t="n"/>
      <c r="CB75" s="12" t="n"/>
      <c r="CC75" s="12" t="n"/>
      <c r="CD75" s="12" t="n"/>
      <c r="CE75" s="12" t="n"/>
      <c r="CF75" s="12" t="n"/>
      <c r="CG75" s="12" t="n"/>
      <c r="CH75" s="12" t="n"/>
      <c r="CI75" s="12" t="n"/>
      <c r="CJ75" s="12" t="n"/>
      <c r="CK75" s="12" t="n"/>
      <c r="CL75" s="12" t="n"/>
      <c r="CM75" s="12" t="n"/>
      <c r="CN75" s="12" t="n"/>
      <c r="CO75" s="12" t="n"/>
      <c r="CP75" s="12" t="n"/>
      <c r="CQ75" s="12" t="n"/>
      <c r="CR75" s="12" t="n"/>
      <c r="CS75" s="12" t="n"/>
      <c r="CT75" s="12" t="n"/>
      <c r="CU75" s="12" t="n"/>
      <c r="CV75" s="12" t="n"/>
      <c r="CW75" s="12" t="n"/>
      <c r="CX75" s="12" t="n"/>
      <c r="CY75" s="12" t="n"/>
    </row>
    <row r="76" hidden="1" outlineLevel="1">
      <c r="C76" s="57" t="inlineStr">
        <is>
          <t>Long term debt</t>
        </is>
      </c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2" t="n"/>
      <c r="Z76" s="12" t="n"/>
      <c r="AA76" s="12" t="n"/>
      <c r="AB76" s="12" t="n"/>
      <c r="AC76" s="12" t="n"/>
      <c r="AD76" s="12" t="n"/>
      <c r="AE76" s="12" t="n"/>
      <c r="AF76" s="12" t="n"/>
      <c r="AG76" s="12" t="n"/>
      <c r="AH76" s="12" t="n"/>
      <c r="AI76" s="12" t="n"/>
      <c r="AJ76" s="12" t="n"/>
      <c r="AK76" s="12" t="n"/>
      <c r="AL76" s="12" t="n"/>
      <c r="AM76" s="12" t="n"/>
      <c r="AN76" s="12" t="n"/>
      <c r="AO76" s="12" t="n"/>
      <c r="AP76" s="12" t="n"/>
      <c r="AQ76" s="12" t="n"/>
      <c r="AR76" s="12" t="n"/>
      <c r="AS76" s="12" t="n"/>
      <c r="AT76" s="12" t="n"/>
      <c r="AU76" s="12" t="n"/>
      <c r="AV76" s="12" t="n"/>
      <c r="AW76" s="12" t="n"/>
      <c r="AX76" s="12" t="n"/>
      <c r="AY76" s="12" t="n"/>
      <c r="AZ76" s="12" t="n"/>
      <c r="BA76" s="12" t="n"/>
      <c r="BB76" s="12" t="n"/>
      <c r="BC76" s="12" t="n"/>
      <c r="BD76" s="12" t="n"/>
      <c r="BE76" s="12" t="n"/>
      <c r="BF76" s="12" t="n"/>
      <c r="BG76" s="12" t="n"/>
      <c r="BH76" s="12" t="n"/>
      <c r="BI76" s="12" t="n"/>
      <c r="BJ76" s="12" t="n"/>
      <c r="BK76" s="12" t="n"/>
      <c r="BL76" s="12" t="n"/>
      <c r="BM76" s="12" t="n"/>
      <c r="BN76" s="12" t="n"/>
      <c r="BO76" s="12" t="n"/>
      <c r="BP76" s="12" t="n"/>
      <c r="BQ76" s="12" t="n"/>
      <c r="BR76" s="12" t="n"/>
      <c r="BS76" s="12" t="n"/>
      <c r="BT76" s="12" t="n"/>
      <c r="BU76" s="12" t="n"/>
      <c r="BV76" s="12" t="n"/>
      <c r="BW76" s="12" t="n"/>
      <c r="BX76" s="12" t="n"/>
      <c r="BY76" s="12" t="n"/>
      <c r="BZ76" s="12" t="n"/>
      <c r="CA76" s="12" t="n"/>
      <c r="CB76" s="12" t="n"/>
      <c r="CC76" s="12" t="n"/>
      <c r="CD76" s="12" t="n"/>
      <c r="CE76" s="12" t="n"/>
      <c r="CF76" s="12" t="n"/>
      <c r="CG76" s="12" t="n"/>
      <c r="CH76" s="12" t="n"/>
      <c r="CI76" s="12" t="n"/>
      <c r="CJ76" s="12" t="n"/>
      <c r="CK76" s="12" t="n"/>
      <c r="CL76" s="12" t="n"/>
      <c r="CM76" s="12" t="n"/>
      <c r="CN76" s="12" t="n"/>
      <c r="CO76" s="12" t="n"/>
      <c r="CP76" s="12" t="n"/>
      <c r="CQ76" s="12" t="n"/>
      <c r="CR76" s="12" t="n"/>
      <c r="CS76" s="12" t="n"/>
      <c r="CT76" s="12" t="n"/>
      <c r="CU76" s="12" t="n"/>
      <c r="CV76" s="12" t="n"/>
      <c r="CW76" s="12" t="n"/>
      <c r="CX76" s="12" t="n"/>
      <c r="CY76" s="12" t="n"/>
    </row>
    <row r="77" hidden="1" outlineLevel="1">
      <c r="C77" s="57" t="inlineStr">
        <is>
          <t>Convertible debt</t>
        </is>
      </c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2" t="n"/>
      <c r="AC77" s="12" t="n"/>
      <c r="AD77" s="12" t="n"/>
      <c r="AE77" s="12" t="n"/>
      <c r="AF77" s="12" t="n"/>
      <c r="AG77" s="12" t="n"/>
      <c r="AH77" s="12" t="n"/>
      <c r="AI77" s="12" t="n"/>
      <c r="AJ77" s="12" t="n"/>
      <c r="AK77" s="12" t="n"/>
      <c r="AL77" s="12" t="n"/>
      <c r="AM77" s="12" t="n"/>
      <c r="AN77" s="12" t="n"/>
      <c r="AO77" s="12" t="n"/>
      <c r="AP77" s="12" t="n"/>
      <c r="AQ77" s="12" t="n"/>
      <c r="AR77" s="12" t="n"/>
      <c r="AS77" s="12" t="n"/>
      <c r="AT77" s="12" t="n"/>
      <c r="AU77" s="12" t="n"/>
      <c r="AV77" s="12" t="n"/>
      <c r="AW77" s="12" t="n"/>
      <c r="AX77" s="12" t="n"/>
      <c r="AY77" s="12" t="n"/>
      <c r="AZ77" s="12" t="n"/>
      <c r="BA77" s="12" t="n"/>
      <c r="BB77" s="12" t="n"/>
      <c r="BC77" s="12" t="n"/>
      <c r="BD77" s="12" t="n"/>
      <c r="BE77" s="12" t="n"/>
      <c r="BF77" s="12" t="n"/>
      <c r="BG77" s="12" t="n"/>
      <c r="BH77" s="12" t="n"/>
      <c r="BI77" s="12" t="n"/>
      <c r="BJ77" s="12" t="n"/>
      <c r="BK77" s="12" t="n"/>
      <c r="BL77" s="12" t="n"/>
      <c r="BM77" s="12" t="n"/>
      <c r="BN77" s="12" t="n"/>
      <c r="BO77" s="12" t="n"/>
      <c r="BP77" s="12" t="n"/>
      <c r="BQ77" s="12" t="n"/>
      <c r="BR77" s="12" t="n"/>
      <c r="BS77" s="12" t="n"/>
      <c r="BT77" s="12" t="n"/>
      <c r="BU77" s="12" t="n"/>
      <c r="BV77" s="12" t="n"/>
      <c r="BW77" s="12" t="n"/>
      <c r="BX77" s="12" t="n"/>
      <c r="BY77" s="12" t="n"/>
      <c r="BZ77" s="12" t="n"/>
      <c r="CA77" s="12" t="n"/>
      <c r="CB77" s="12" t="n"/>
      <c r="CC77" s="12" t="n"/>
      <c r="CD77" s="12" t="n"/>
      <c r="CE77" s="12" t="n"/>
      <c r="CF77" s="12" t="n"/>
      <c r="CG77" s="12" t="n"/>
      <c r="CH77" s="12" t="n"/>
      <c r="CI77" s="12" t="n"/>
      <c r="CJ77" s="12" t="n"/>
      <c r="CK77" s="12" t="n"/>
      <c r="CL77" s="12" t="n"/>
      <c r="CM77" s="12" t="n"/>
      <c r="CN77" s="12" t="n"/>
      <c r="CO77" s="12" t="n"/>
      <c r="CP77" s="12" t="n"/>
      <c r="CQ77" s="12" t="n"/>
      <c r="CR77" s="12" t="n"/>
      <c r="CS77" s="12" t="n"/>
      <c r="CT77" s="12" t="n"/>
      <c r="CU77" s="12" t="n"/>
      <c r="CV77" s="12" t="n"/>
      <c r="CW77" s="12" t="n"/>
      <c r="CX77" s="12" t="n"/>
      <c r="CY77" s="12" t="n"/>
    </row>
    <row r="78" hidden="1" outlineLevel="1">
      <c r="C78" s="57" t="inlineStr">
        <is>
          <t>Total debt</t>
        </is>
      </c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  <c r="Z78" s="12" t="n"/>
      <c r="AA78" s="12" t="n"/>
      <c r="AB78" s="12" t="n"/>
      <c r="AC78" s="12" t="n"/>
      <c r="AD78" s="12" t="n"/>
      <c r="AE78" s="12" t="n"/>
      <c r="AF78" s="12" t="n"/>
      <c r="AG78" s="12" t="n"/>
      <c r="AH78" s="12" t="n"/>
      <c r="AI78" s="12" t="n"/>
      <c r="AJ78" s="12" t="n"/>
      <c r="AK78" s="12" t="n"/>
      <c r="AL78" s="12" t="n"/>
      <c r="AM78" s="12" t="n"/>
      <c r="AN78" s="12" t="n"/>
      <c r="AO78" s="12" t="n"/>
      <c r="AP78" s="12" t="n"/>
      <c r="AQ78" s="12" t="n"/>
      <c r="AR78" s="12" t="n"/>
      <c r="AS78" s="12" t="n"/>
      <c r="AT78" s="12" t="n"/>
      <c r="AU78" s="12" t="n"/>
      <c r="AV78" s="12" t="n"/>
      <c r="AW78" s="12" t="n"/>
      <c r="AX78" s="12" t="n"/>
      <c r="AY78" s="12" t="n"/>
      <c r="AZ78" s="12" t="n"/>
      <c r="BA78" s="12" t="n"/>
      <c r="BB78" s="12" t="n"/>
      <c r="BC78" s="12" t="n"/>
      <c r="BD78" s="12" t="n"/>
      <c r="BE78" s="12" t="n"/>
      <c r="BF78" s="12" t="n"/>
      <c r="BG78" s="12" t="n"/>
      <c r="BH78" s="12" t="n"/>
      <c r="BI78" s="12" t="n"/>
      <c r="BJ78" s="12" t="n"/>
      <c r="BK78" s="12" t="n"/>
      <c r="BL78" s="12" t="n"/>
      <c r="BM78" s="12" t="n"/>
      <c r="BN78" s="12" t="n"/>
      <c r="BO78" s="12" t="n"/>
      <c r="BP78" s="12" t="n"/>
      <c r="BQ78" s="12" t="n"/>
      <c r="BR78" s="12" t="n"/>
      <c r="BS78" s="12" t="n"/>
      <c r="BT78" s="12" t="n"/>
      <c r="BU78" s="12" t="n"/>
      <c r="BV78" s="12" t="n"/>
      <c r="BW78" s="12" t="n"/>
      <c r="BX78" s="12" t="n"/>
      <c r="BY78" s="12" t="n"/>
      <c r="BZ78" s="12" t="n"/>
      <c r="CA78" s="12" t="n"/>
      <c r="CB78" s="12" t="n"/>
      <c r="CC78" s="12" t="n"/>
      <c r="CD78" s="12" t="n"/>
      <c r="CE78" s="12" t="n"/>
      <c r="CF78" s="12" t="n"/>
      <c r="CG78" s="12" t="n"/>
      <c r="CH78" s="12" t="n"/>
      <c r="CI78" s="12" t="n"/>
      <c r="CJ78" s="12" t="n"/>
      <c r="CK78" s="12" t="n"/>
      <c r="CL78" s="12" t="n"/>
      <c r="CM78" s="12" t="n"/>
      <c r="CN78" s="12" t="n"/>
      <c r="CO78" s="12" t="n"/>
      <c r="CP78" s="12" t="n"/>
      <c r="CQ78" s="12" t="n"/>
      <c r="CR78" s="12" t="n"/>
      <c r="CS78" s="12" t="n"/>
      <c r="CT78" s="12" t="n"/>
      <c r="CU78" s="12" t="n"/>
      <c r="CV78" s="12" t="n"/>
      <c r="CW78" s="12" t="n"/>
      <c r="CX78" s="12" t="n"/>
      <c r="CY78" s="12" t="n"/>
    </row>
    <row r="79" hidden="1" outlineLevel="1">
      <c r="C79" s="57" t="inlineStr">
        <is>
          <t>Interest expense</t>
        </is>
      </c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2" t="n"/>
      <c r="AC79" s="12" t="n"/>
      <c r="AD79" s="12" t="n"/>
      <c r="AE79" s="12" t="n"/>
      <c r="AF79" s="12" t="n"/>
      <c r="AG79" s="12" t="n"/>
      <c r="AH79" s="12" t="n"/>
      <c r="AI79" s="12" t="n"/>
      <c r="AJ79" s="12" t="n"/>
      <c r="AK79" s="12" t="n"/>
      <c r="AL79" s="12" t="n"/>
      <c r="AM79" s="12" t="n"/>
      <c r="AN79" s="12" t="n"/>
      <c r="AO79" s="12" t="n"/>
      <c r="AP79" s="12" t="n"/>
      <c r="AQ79" s="12" t="n"/>
      <c r="AR79" s="12" t="n"/>
      <c r="AS79" s="12" t="n"/>
      <c r="AT79" s="12" t="n"/>
      <c r="AU79" s="12" t="n"/>
      <c r="AV79" s="12" t="n"/>
      <c r="AW79" s="12" t="n"/>
      <c r="AX79" s="12" t="n"/>
      <c r="AY79" s="12" t="n"/>
      <c r="AZ79" s="12" t="n"/>
      <c r="BA79" s="12" t="n"/>
      <c r="BB79" s="12" t="n"/>
      <c r="BC79" s="12" t="n"/>
      <c r="BD79" s="12" t="n"/>
      <c r="BE79" s="12" t="n"/>
      <c r="BF79" s="12" t="n"/>
      <c r="BG79" s="12" t="n"/>
      <c r="BH79" s="12" t="n"/>
      <c r="BI79" s="12" t="n"/>
      <c r="BJ79" s="12" t="n"/>
      <c r="BK79" s="12" t="n"/>
      <c r="BL79" s="12" t="n"/>
      <c r="BM79" s="12" t="n"/>
      <c r="BN79" s="12" t="n"/>
      <c r="BO79" s="12" t="n"/>
      <c r="BP79" s="12" t="n"/>
      <c r="BQ79" s="12" t="n"/>
      <c r="BR79" s="12" t="n"/>
      <c r="BS79" s="12" t="n"/>
      <c r="BT79" s="12" t="n"/>
      <c r="BU79" s="12" t="n"/>
      <c r="BV79" s="12" t="n"/>
      <c r="BW79" s="12" t="n"/>
      <c r="BX79" s="12" t="n"/>
      <c r="BY79" s="12" t="n"/>
      <c r="BZ79" s="12" t="n"/>
      <c r="CA79" s="12" t="n"/>
      <c r="CB79" s="12" t="n"/>
      <c r="CC79" s="12" t="n"/>
      <c r="CD79" s="12" t="n"/>
      <c r="CE79" s="12" t="n"/>
      <c r="CF79" s="12" t="n"/>
      <c r="CG79" s="12" t="n"/>
      <c r="CH79" s="12" t="n"/>
      <c r="CI79" s="12" t="n"/>
      <c r="CJ79" s="12" t="n"/>
      <c r="CK79" s="12" t="n"/>
      <c r="CL79" s="12" t="n"/>
      <c r="CM79" s="12" t="n"/>
      <c r="CN79" s="12" t="n"/>
      <c r="CO79" s="12" t="n"/>
      <c r="CP79" s="12" t="n"/>
      <c r="CQ79" s="12" t="n"/>
      <c r="CR79" s="12" t="n"/>
      <c r="CS79" s="12" t="n"/>
      <c r="CT79" s="12" t="n"/>
      <c r="CU79" s="12" t="n"/>
      <c r="CV79" s="12" t="n"/>
      <c r="CW79" s="12" t="n"/>
      <c r="CX79" s="12" t="n"/>
      <c r="CY79" s="12" t="n"/>
    </row>
    <row r="80" hidden="1" outlineLevel="1">
      <c r="C80" s="57" t="inlineStr">
        <is>
          <t>Average interest rate</t>
        </is>
      </c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  <c r="Z80" s="12" t="n"/>
      <c r="AA80" s="12" t="n"/>
      <c r="AB80" s="12" t="n"/>
      <c r="AC80" s="12" t="n"/>
      <c r="AD80" s="12" t="n"/>
      <c r="AE80" s="12" t="n"/>
      <c r="AF80" s="12" t="n"/>
      <c r="AG80" s="12" t="n"/>
      <c r="AH80" s="12" t="n"/>
      <c r="AI80" s="12" t="n"/>
      <c r="AJ80" s="12" t="n"/>
      <c r="AK80" s="12" t="n"/>
      <c r="AL80" s="12" t="n"/>
      <c r="AM80" s="12" t="n"/>
      <c r="AN80" s="12" t="n"/>
      <c r="AO80" s="12" t="n"/>
      <c r="AP80" s="12" t="n"/>
      <c r="AQ80" s="12" t="n"/>
      <c r="AR80" s="12" t="n"/>
      <c r="AS80" s="12" t="n"/>
      <c r="AT80" s="12" t="n"/>
      <c r="AU80" s="12" t="n"/>
      <c r="AV80" s="12" t="n"/>
      <c r="AW80" s="12" t="n"/>
      <c r="AX80" s="12" t="n"/>
      <c r="AY80" s="12" t="n"/>
      <c r="AZ80" s="12" t="n"/>
      <c r="BA80" s="12" t="n"/>
      <c r="BB80" s="12" t="n"/>
      <c r="BC80" s="12" t="n"/>
      <c r="BD80" s="12" t="n"/>
      <c r="BE80" s="12" t="n"/>
      <c r="BF80" s="12" t="n"/>
      <c r="BG80" s="12" t="n"/>
      <c r="BH80" s="12" t="n"/>
      <c r="BI80" s="12" t="n"/>
      <c r="BJ80" s="12" t="n"/>
      <c r="BK80" s="12" t="n"/>
      <c r="BL80" s="12" t="n"/>
      <c r="BM80" s="12" t="n"/>
      <c r="BN80" s="12" t="n"/>
      <c r="BO80" s="12" t="n"/>
      <c r="BP80" s="12" t="n"/>
      <c r="BQ80" s="12" t="n"/>
      <c r="BR80" s="12" t="n"/>
      <c r="BS80" s="12" t="n"/>
      <c r="BT80" s="12" t="n"/>
      <c r="BU80" s="12" t="n"/>
      <c r="BV80" s="12" t="n"/>
      <c r="BW80" s="12" t="n"/>
      <c r="BX80" s="12" t="n"/>
      <c r="BY80" s="12" t="n"/>
      <c r="BZ80" s="12" t="n"/>
      <c r="CA80" s="12" t="n"/>
      <c r="CB80" s="12" t="n"/>
      <c r="CC80" s="12" t="n"/>
      <c r="CD80" s="12" t="n"/>
      <c r="CE80" s="12" t="n"/>
      <c r="CF80" s="12" t="n"/>
      <c r="CG80" s="12" t="n"/>
      <c r="CH80" s="12" t="n"/>
      <c r="CI80" s="12" t="n"/>
      <c r="CJ80" s="12" t="n"/>
      <c r="CK80" s="12" t="n"/>
      <c r="CL80" s="12" t="n"/>
      <c r="CM80" s="12" t="n"/>
      <c r="CN80" s="12" t="n"/>
      <c r="CO80" s="12" t="n"/>
      <c r="CP80" s="12" t="n"/>
      <c r="CQ80" s="12" t="n"/>
      <c r="CR80" s="12" t="n"/>
      <c r="CS80" s="12" t="n"/>
      <c r="CT80" s="12" t="n"/>
      <c r="CU80" s="12" t="n"/>
      <c r="CV80" s="12" t="n"/>
      <c r="CW80" s="12" t="n"/>
      <c r="CX80" s="12" t="n"/>
      <c r="CY80" s="12" t="n"/>
    </row>
    <row r="81" hidden="1" outlineLevel="1">
      <c r="C81" s="57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2" t="n"/>
      <c r="AC81" s="12" t="n"/>
      <c r="AD81" s="12" t="n"/>
      <c r="AE81" s="12" t="n"/>
      <c r="AF81" s="12" t="n"/>
      <c r="AG81" s="12" t="n"/>
      <c r="AH81" s="12" t="n"/>
      <c r="AI81" s="12" t="n"/>
      <c r="AJ81" s="12" t="n"/>
      <c r="AK81" s="12" t="n"/>
      <c r="AL81" s="12" t="n"/>
      <c r="AM81" s="12" t="n"/>
      <c r="AN81" s="12" t="n"/>
      <c r="AO81" s="12" t="n"/>
      <c r="AP81" s="12" t="n"/>
      <c r="AQ81" s="12" t="n"/>
      <c r="AR81" s="12" t="n"/>
      <c r="AS81" s="12" t="n"/>
      <c r="AT81" s="12" t="n"/>
      <c r="AU81" s="12" t="n"/>
      <c r="AV81" s="12" t="n"/>
      <c r="AW81" s="12" t="n"/>
      <c r="AX81" s="12" t="n"/>
      <c r="AY81" s="12" t="n"/>
      <c r="AZ81" s="12" t="n"/>
      <c r="BA81" s="12" t="n"/>
      <c r="BB81" s="12" t="n"/>
      <c r="BC81" s="12" t="n"/>
      <c r="BD81" s="12" t="n"/>
      <c r="BE81" s="12" t="n"/>
      <c r="BF81" s="12" t="n"/>
      <c r="BG81" s="12" t="n"/>
      <c r="BH81" s="12" t="n"/>
      <c r="BI81" s="12" t="n"/>
      <c r="BJ81" s="12" t="n"/>
      <c r="BK81" s="12" t="n"/>
      <c r="BL81" s="12" t="n"/>
      <c r="BM81" s="12" t="n"/>
      <c r="BN81" s="12" t="n"/>
      <c r="BO81" s="12" t="n"/>
      <c r="BP81" s="12" t="n"/>
      <c r="BQ81" s="12" t="n"/>
      <c r="BR81" s="12" t="n"/>
      <c r="BS81" s="12" t="n"/>
      <c r="BT81" s="12" t="n"/>
      <c r="BU81" s="12" t="n"/>
      <c r="BV81" s="12" t="n"/>
      <c r="BW81" s="12" t="n"/>
      <c r="BX81" s="12" t="n"/>
      <c r="BY81" s="12" t="n"/>
      <c r="BZ81" s="12" t="n"/>
      <c r="CA81" s="12" t="n"/>
      <c r="CB81" s="12" t="n"/>
      <c r="CC81" s="12" t="n"/>
      <c r="CD81" s="12" t="n"/>
      <c r="CE81" s="12" t="n"/>
      <c r="CF81" s="12" t="n"/>
      <c r="CG81" s="12" t="n"/>
      <c r="CH81" s="12" t="n"/>
      <c r="CI81" s="12" t="n"/>
      <c r="CJ81" s="12" t="n"/>
      <c r="CK81" s="12" t="n"/>
      <c r="CL81" s="12" t="n"/>
      <c r="CM81" s="12" t="n"/>
      <c r="CN81" s="12" t="n"/>
      <c r="CO81" s="12" t="n"/>
      <c r="CP81" s="12" t="n"/>
      <c r="CQ81" s="12" t="n"/>
      <c r="CR81" s="12" t="n"/>
      <c r="CS81" s="12" t="n"/>
      <c r="CT81" s="12" t="n"/>
      <c r="CU81" s="12" t="n"/>
      <c r="CV81" s="12" t="n"/>
      <c r="CW81" s="12" t="n"/>
      <c r="CX81" s="12" t="n"/>
      <c r="CY81" s="12" t="n"/>
    </row>
    <row r="82" hidden="1" outlineLevel="1">
      <c r="C82" s="57" t="inlineStr">
        <is>
          <t>Stake</t>
        </is>
      </c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  <c r="Z82" s="12" t="n"/>
      <c r="AA82" s="12" t="n"/>
      <c r="AB82" s="12" t="n"/>
      <c r="AC82" s="12" t="n"/>
      <c r="AD82" s="12" t="n"/>
      <c r="AE82" s="12" t="n"/>
      <c r="AF82" s="12" t="n"/>
      <c r="AG82" s="12" t="n"/>
      <c r="AH82" s="12" t="n"/>
      <c r="AI82" s="12" t="n"/>
      <c r="AJ82" s="12" t="n"/>
      <c r="AK82" s="12" t="n"/>
      <c r="AL82" s="12" t="n"/>
      <c r="AM82" s="12" t="n"/>
      <c r="AN82" s="12" t="n"/>
      <c r="AO82" s="12" t="n"/>
      <c r="AP82" s="12" t="n"/>
      <c r="AQ82" s="12" t="n"/>
      <c r="AR82" s="12" t="n"/>
      <c r="AS82" s="12" t="n"/>
      <c r="AT82" s="12" t="n"/>
      <c r="AU82" s="12" t="n"/>
      <c r="AV82" s="12" t="n"/>
      <c r="AW82" s="12" t="n"/>
      <c r="AX82" s="12" t="n"/>
      <c r="AY82" s="12" t="n"/>
      <c r="AZ82" s="12" t="n"/>
      <c r="BA82" s="12" t="n"/>
      <c r="BB82" s="12" t="n"/>
      <c r="BC82" s="12" t="n"/>
      <c r="BD82" s="12" t="n"/>
      <c r="BE82" s="12" t="n"/>
      <c r="BF82" s="12" t="n"/>
      <c r="BG82" s="12" t="n"/>
      <c r="BH82" s="12" t="n"/>
      <c r="BI82" s="12" t="n"/>
      <c r="BJ82" s="12" t="n"/>
      <c r="BK82" s="12" t="n"/>
      <c r="BL82" s="12" t="n"/>
      <c r="BM82" s="12" t="n"/>
      <c r="BN82" s="12" t="n"/>
      <c r="BO82" s="12" t="n"/>
      <c r="BP82" s="12" t="n"/>
      <c r="BQ82" s="12" t="n"/>
      <c r="BR82" s="12" t="n"/>
      <c r="BS82" s="12" t="n"/>
      <c r="BT82" s="12" t="n"/>
      <c r="BU82" s="12" t="n"/>
      <c r="BV82" s="12" t="n"/>
      <c r="BW82" s="12" t="n"/>
      <c r="BX82" s="12" t="n"/>
      <c r="BY82" s="12" t="n"/>
      <c r="BZ82" s="12" t="n"/>
      <c r="CA82" s="12" t="n"/>
      <c r="CB82" s="12" t="n"/>
      <c r="CC82" s="12" t="n"/>
      <c r="CD82" s="12" t="n"/>
      <c r="CE82" s="12" t="n"/>
      <c r="CF82" s="12" t="n"/>
      <c r="CG82" s="12" t="n"/>
      <c r="CH82" s="12" t="n"/>
      <c r="CI82" s="12" t="n"/>
      <c r="CJ82" s="12" t="n"/>
      <c r="CK82" s="12" t="n"/>
      <c r="CL82" s="12" t="n"/>
      <c r="CM82" s="12" t="n"/>
      <c r="CN82" s="12" t="n"/>
      <c r="CO82" s="12" t="n"/>
      <c r="CP82" s="12" t="n"/>
      <c r="CQ82" s="12" t="n"/>
      <c r="CR82" s="12" t="n"/>
      <c r="CS82" s="12" t="n"/>
      <c r="CT82" s="12" t="n"/>
      <c r="CU82" s="12" t="n"/>
      <c r="CV82" s="12" t="n"/>
      <c r="CW82" s="12" t="n"/>
      <c r="CX82" s="12" t="n"/>
      <c r="CY82" s="12" t="n"/>
    </row>
    <row r="83" hidden="1" outlineLevel="1">
      <c r="C83" s="57" t="inlineStr">
        <is>
          <t>PRE</t>
        </is>
      </c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2" t="n"/>
      <c r="AC83" s="12" t="n"/>
      <c r="AD83" s="12" t="n"/>
      <c r="AE83" s="12" t="n"/>
      <c r="AF83" s="12" t="n"/>
      <c r="AG83" s="12" t="n"/>
      <c r="AH83" s="12" t="n"/>
      <c r="AI83" s="12" t="n"/>
      <c r="AJ83" s="12" t="n"/>
      <c r="AK83" s="12" t="n"/>
      <c r="AL83" s="12" t="n"/>
      <c r="AM83" s="12" t="n"/>
      <c r="AN83" s="12" t="n"/>
      <c r="AO83" s="12" t="n"/>
      <c r="AP83" s="12" t="n"/>
      <c r="AQ83" s="12" t="n"/>
      <c r="AR83" s="12" t="n"/>
      <c r="AS83" s="12" t="n"/>
      <c r="AT83" s="12" t="n"/>
      <c r="AU83" s="12" t="n"/>
      <c r="AV83" s="12" t="n"/>
      <c r="AW83" s="12" t="n"/>
      <c r="AX83" s="12" t="n"/>
      <c r="AY83" s="12" t="n"/>
      <c r="AZ83" s="12" t="n"/>
      <c r="BA83" s="12" t="n"/>
      <c r="BB83" s="12" t="n"/>
      <c r="BC83" s="12" t="n"/>
      <c r="BD83" s="12" t="n"/>
      <c r="BE83" s="12" t="n"/>
      <c r="BF83" s="12" t="n"/>
      <c r="BG83" s="12" t="n"/>
      <c r="BH83" s="12" t="n"/>
      <c r="BI83" s="12" t="n"/>
      <c r="BJ83" s="12" t="n"/>
      <c r="BK83" s="12" t="n"/>
      <c r="BL83" s="12" t="n"/>
      <c r="BM83" s="12" t="n"/>
      <c r="BN83" s="12" t="n"/>
      <c r="BO83" s="12" t="n"/>
      <c r="BP83" s="12" t="n"/>
      <c r="BQ83" s="12" t="n"/>
      <c r="BR83" s="12" t="n"/>
      <c r="BS83" s="12" t="n"/>
      <c r="BT83" s="12" t="n"/>
      <c r="BU83" s="12" t="n"/>
      <c r="BV83" s="12" t="n"/>
      <c r="BW83" s="12" t="n"/>
      <c r="BX83" s="12" t="n"/>
      <c r="BY83" s="12" t="n"/>
      <c r="BZ83" s="12" t="n"/>
      <c r="CA83" s="12" t="n"/>
      <c r="CB83" s="12" t="n"/>
      <c r="CC83" s="12" t="n"/>
      <c r="CD83" s="12" t="n"/>
      <c r="CE83" s="12" t="n"/>
      <c r="CF83" s="12" t="n"/>
      <c r="CG83" s="12" t="n"/>
      <c r="CH83" s="12" t="n"/>
      <c r="CI83" s="12" t="n"/>
      <c r="CJ83" s="12" t="n"/>
      <c r="CK83" s="12" t="n"/>
      <c r="CL83" s="12" t="n"/>
      <c r="CM83" s="12" t="n"/>
      <c r="CN83" s="12" t="n"/>
      <c r="CO83" s="12" t="n"/>
      <c r="CP83" s="12" t="n"/>
      <c r="CQ83" s="12" t="n"/>
      <c r="CR83" s="12" t="n"/>
      <c r="CS83" s="12" t="n"/>
      <c r="CT83" s="12" t="n"/>
      <c r="CU83" s="12" t="n"/>
      <c r="CV83" s="12" t="n"/>
      <c r="CW83" s="12" t="n"/>
      <c r="CX83" s="12" t="n"/>
      <c r="CY83" s="12" t="n"/>
    </row>
    <row r="84" hidden="1" outlineLevel="1">
      <c r="C84" s="57" t="inlineStr">
        <is>
          <t>CDI+</t>
        </is>
      </c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  <c r="AA84" s="12" t="n"/>
      <c r="AB84" s="12" t="n"/>
      <c r="AC84" s="12" t="n"/>
      <c r="AD84" s="12" t="n"/>
      <c r="AE84" s="12" t="n"/>
      <c r="AF84" s="12" t="n"/>
      <c r="AG84" s="12" t="n"/>
      <c r="AH84" s="12" t="n"/>
      <c r="AI84" s="12" t="n"/>
      <c r="AJ84" s="12" t="n"/>
      <c r="AK84" s="12" t="n"/>
      <c r="AL84" s="12" t="n"/>
      <c r="AM84" s="12" t="n"/>
      <c r="AN84" s="12" t="n"/>
      <c r="AO84" s="12" t="n"/>
      <c r="AP84" s="12" t="n"/>
      <c r="AQ84" s="12" t="n"/>
      <c r="AR84" s="12" t="n"/>
      <c r="AS84" s="12" t="n"/>
      <c r="AT84" s="12" t="n"/>
      <c r="AU84" s="12" t="n"/>
      <c r="AV84" s="12" t="n"/>
      <c r="AW84" s="12" t="n"/>
      <c r="AX84" s="12" t="n"/>
      <c r="AY84" s="12" t="n"/>
      <c r="AZ84" s="12" t="n"/>
      <c r="BA84" s="12" t="n"/>
      <c r="BB84" s="12" t="n"/>
      <c r="BC84" s="12" t="n"/>
      <c r="BD84" s="12" t="n"/>
      <c r="BE84" s="12" t="n"/>
      <c r="BF84" s="12" t="n"/>
      <c r="BG84" s="12" t="n"/>
      <c r="BH84" s="12" t="n"/>
      <c r="BI84" s="12" t="n"/>
      <c r="BJ84" s="12" t="n"/>
      <c r="BK84" s="12" t="n"/>
      <c r="BL84" s="12" t="n"/>
      <c r="BM84" s="12" t="n"/>
      <c r="BN84" s="12" t="n"/>
      <c r="BO84" s="12" t="n"/>
      <c r="BP84" s="12" t="n"/>
      <c r="BQ84" s="12" t="n"/>
      <c r="BR84" s="12" t="n"/>
      <c r="BS84" s="12" t="n"/>
      <c r="BT84" s="12" t="n"/>
      <c r="BU84" s="12" t="n"/>
      <c r="BV84" s="12" t="n"/>
      <c r="BW84" s="12" t="n"/>
      <c r="BX84" s="12" t="n"/>
      <c r="BY84" s="12" t="n"/>
      <c r="BZ84" s="12" t="n"/>
      <c r="CA84" s="12" t="n"/>
      <c r="CB84" s="12" t="n"/>
      <c r="CC84" s="12" t="n"/>
      <c r="CD84" s="12" t="n"/>
      <c r="CE84" s="12" t="n"/>
      <c r="CF84" s="12" t="n"/>
      <c r="CG84" s="12" t="n"/>
      <c r="CH84" s="12" t="n"/>
      <c r="CI84" s="12" t="n"/>
      <c r="CJ84" s="12" t="n"/>
      <c r="CK84" s="12" t="n"/>
      <c r="CL84" s="12" t="n"/>
      <c r="CM84" s="12" t="n"/>
      <c r="CN84" s="12" t="n"/>
      <c r="CO84" s="12" t="n"/>
      <c r="CP84" s="12" t="n"/>
      <c r="CQ84" s="12" t="n"/>
      <c r="CR84" s="12" t="n"/>
      <c r="CS84" s="12" t="n"/>
      <c r="CT84" s="12" t="n"/>
      <c r="CU84" s="12" t="n"/>
      <c r="CV84" s="12" t="n"/>
      <c r="CW84" s="12" t="n"/>
      <c r="CX84" s="12" t="n"/>
      <c r="CY84" s="12" t="n"/>
    </row>
    <row r="85" hidden="1" outlineLevel="1">
      <c r="C85" s="57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  <c r="AA85" s="12" t="n"/>
      <c r="AB85" s="12" t="n"/>
      <c r="AC85" s="12" t="n"/>
      <c r="AD85" s="12" t="n"/>
      <c r="AE85" s="12" t="n"/>
      <c r="AF85" s="12" t="n"/>
      <c r="AG85" s="12" t="n"/>
      <c r="AH85" s="12" t="n"/>
      <c r="AI85" s="12" t="n"/>
      <c r="AJ85" s="12" t="n"/>
      <c r="AK85" s="12" t="n"/>
      <c r="AL85" s="12" t="n"/>
      <c r="AM85" s="12" t="n"/>
      <c r="AN85" s="12" t="n"/>
      <c r="AO85" s="12" t="n"/>
      <c r="AP85" s="12" t="n"/>
      <c r="AQ85" s="12" t="n"/>
      <c r="AR85" s="12" t="n"/>
      <c r="AS85" s="12" t="n"/>
      <c r="AT85" s="12" t="n"/>
      <c r="AU85" s="12" t="n"/>
      <c r="AV85" s="12" t="n"/>
      <c r="AW85" s="12" t="n"/>
      <c r="AX85" s="12" t="n"/>
      <c r="AY85" s="12" t="n"/>
      <c r="AZ85" s="12" t="n"/>
      <c r="BA85" s="12" t="n"/>
      <c r="BB85" s="12" t="n"/>
      <c r="BC85" s="12" t="n"/>
      <c r="BD85" s="12" t="n"/>
      <c r="BE85" s="12" t="n"/>
      <c r="BF85" s="12" t="n"/>
      <c r="BG85" s="12" t="n"/>
      <c r="BH85" s="12" t="n"/>
      <c r="BI85" s="12" t="n"/>
      <c r="BJ85" s="12" t="n"/>
      <c r="BK85" s="12" t="n"/>
      <c r="BL85" s="12" t="n"/>
      <c r="BM85" s="12" t="n"/>
      <c r="BN85" s="12" t="n"/>
      <c r="BO85" s="12" t="n"/>
      <c r="BP85" s="12" t="n"/>
      <c r="BQ85" s="12" t="n"/>
      <c r="BR85" s="12" t="n"/>
      <c r="BS85" s="12" t="n"/>
      <c r="BT85" s="12" t="n"/>
      <c r="BU85" s="12" t="n"/>
      <c r="BV85" s="12" t="n"/>
      <c r="BW85" s="12" t="n"/>
      <c r="BX85" s="12" t="n"/>
      <c r="BY85" s="12" t="n"/>
      <c r="BZ85" s="12" t="n"/>
      <c r="CA85" s="12" t="n"/>
      <c r="CB85" s="12" t="n"/>
      <c r="CC85" s="12" t="n"/>
      <c r="CD85" s="12" t="n"/>
      <c r="CE85" s="12" t="n"/>
      <c r="CF85" s="12" t="n"/>
      <c r="CG85" s="12" t="n"/>
      <c r="CH85" s="12" t="n"/>
      <c r="CI85" s="12" t="n"/>
      <c r="CJ85" s="12" t="n"/>
      <c r="CK85" s="12" t="n"/>
      <c r="CL85" s="12" t="n"/>
      <c r="CM85" s="12" t="n"/>
      <c r="CN85" s="12" t="n"/>
      <c r="CO85" s="12" t="n"/>
      <c r="CP85" s="12" t="n"/>
      <c r="CQ85" s="12" t="n"/>
      <c r="CR85" s="12" t="n"/>
      <c r="CS85" s="12" t="n"/>
      <c r="CT85" s="12" t="n"/>
      <c r="CU85" s="12" t="n"/>
      <c r="CV85" s="12" t="n"/>
      <c r="CW85" s="12" t="n"/>
      <c r="CX85" s="12" t="n"/>
      <c r="CY85" s="12" t="n"/>
    </row>
    <row r="86" hidden="1" outlineLevel="1">
      <c r="C86" s="57" t="inlineStr">
        <is>
          <t>Spread</t>
        </is>
      </c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  <c r="Z86" s="12" t="n"/>
      <c r="AA86" s="12" t="n"/>
      <c r="AB86" s="12" t="n"/>
      <c r="AC86" s="12" t="n"/>
      <c r="AD86" s="12" t="n"/>
      <c r="AE86" s="12" t="n"/>
      <c r="AF86" s="12" t="n"/>
      <c r="AG86" s="12" t="n"/>
      <c r="AH86" s="12" t="n"/>
      <c r="AI86" s="12" t="n"/>
      <c r="AJ86" s="12" t="n"/>
      <c r="AK86" s="12" t="n"/>
      <c r="AL86" s="12" t="n"/>
      <c r="AM86" s="12" t="n"/>
      <c r="AN86" s="12" t="n"/>
      <c r="AO86" s="12" t="n"/>
      <c r="AP86" s="12" t="n"/>
      <c r="AQ86" s="12" t="n"/>
      <c r="AR86" s="12" t="n"/>
      <c r="AS86" s="12" t="n"/>
      <c r="AT86" s="12" t="n"/>
      <c r="AU86" s="12" t="n"/>
      <c r="AV86" s="12" t="n"/>
      <c r="AW86" s="12" t="n"/>
      <c r="AX86" s="12" t="n"/>
      <c r="AY86" s="12" t="n"/>
      <c r="AZ86" s="12" t="n"/>
      <c r="BA86" s="12" t="n"/>
      <c r="BB86" s="12" t="n"/>
      <c r="BC86" s="12" t="n"/>
      <c r="BD86" s="12" t="n"/>
      <c r="BE86" s="12" t="n"/>
      <c r="BF86" s="12" t="n"/>
      <c r="BG86" s="12" t="n"/>
      <c r="BH86" s="12" t="n"/>
      <c r="BI86" s="12" t="n"/>
      <c r="BJ86" s="12" t="n"/>
      <c r="BK86" s="12" t="n"/>
      <c r="BL86" s="12" t="n"/>
      <c r="BM86" s="12" t="n"/>
      <c r="BN86" s="12" t="n"/>
      <c r="BO86" s="12" t="n"/>
      <c r="BP86" s="12" t="n"/>
      <c r="BQ86" s="12" t="n"/>
      <c r="BR86" s="12" t="n"/>
      <c r="BS86" s="12" t="n"/>
      <c r="BT86" s="12" t="n"/>
      <c r="BU86" s="12" t="n"/>
      <c r="BV86" s="12" t="n"/>
      <c r="BW86" s="12" t="n"/>
      <c r="BX86" s="12" t="n"/>
      <c r="BY86" s="12" t="n"/>
      <c r="BZ86" s="12" t="n"/>
      <c r="CA86" s="12" t="n"/>
      <c r="CB86" s="12" t="n"/>
      <c r="CC86" s="12" t="n"/>
      <c r="CD86" s="12" t="n"/>
      <c r="CE86" s="12" t="n"/>
      <c r="CF86" s="12" t="n"/>
      <c r="CG86" s="12" t="n"/>
      <c r="CH86" s="12" t="n"/>
      <c r="CI86" s="12" t="n"/>
      <c r="CJ86" s="12" t="n"/>
      <c r="CK86" s="12" t="n"/>
      <c r="CL86" s="12" t="n"/>
      <c r="CM86" s="12" t="n"/>
      <c r="CN86" s="12" t="n"/>
      <c r="CO86" s="12" t="n"/>
      <c r="CP86" s="12" t="n"/>
      <c r="CQ86" s="12" t="n"/>
      <c r="CR86" s="12" t="n"/>
      <c r="CS86" s="12" t="n"/>
      <c r="CT86" s="12" t="n"/>
      <c r="CU86" s="12" t="n"/>
      <c r="CV86" s="12" t="n"/>
      <c r="CW86" s="12" t="n"/>
      <c r="CX86" s="12" t="n"/>
      <c r="CY86" s="12" t="n"/>
    </row>
    <row r="87" hidden="1" outlineLevel="1">
      <c r="C87" s="57" t="inlineStr">
        <is>
          <t>PRE</t>
        </is>
      </c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  <c r="AA87" s="12" t="n"/>
      <c r="AB87" s="12" t="n"/>
      <c r="AC87" s="12" t="n"/>
      <c r="AD87" s="12" t="n"/>
      <c r="AE87" s="12" t="n"/>
      <c r="AF87" s="12" t="n"/>
      <c r="AG87" s="12" t="n"/>
      <c r="AH87" s="12" t="n"/>
      <c r="AI87" s="12" t="n"/>
      <c r="AJ87" s="12" t="n"/>
      <c r="AK87" s="12" t="n"/>
      <c r="AL87" s="12" t="n"/>
      <c r="AM87" s="12" t="n"/>
      <c r="AN87" s="12" t="n"/>
      <c r="AO87" s="12" t="n"/>
      <c r="AP87" s="12" t="n"/>
      <c r="AQ87" s="12" t="n"/>
      <c r="AR87" s="12" t="n"/>
      <c r="AS87" s="12" t="n"/>
      <c r="AT87" s="12" t="n"/>
      <c r="AU87" s="12" t="n"/>
      <c r="AV87" s="12" t="n"/>
      <c r="AW87" s="12" t="n"/>
      <c r="AX87" s="12" t="n"/>
      <c r="AY87" s="12" t="n"/>
      <c r="AZ87" s="12" t="n"/>
      <c r="BA87" s="12" t="n"/>
      <c r="BB87" s="12" t="n"/>
      <c r="BC87" s="12" t="n"/>
      <c r="BD87" s="12" t="n"/>
      <c r="BE87" s="12" t="n"/>
      <c r="BF87" s="12" t="n"/>
      <c r="BG87" s="12" t="n"/>
      <c r="BH87" s="12" t="n"/>
      <c r="BI87" s="12" t="n"/>
      <c r="BJ87" s="12" t="n"/>
      <c r="BK87" s="12" t="n"/>
      <c r="BL87" s="12" t="n"/>
      <c r="BM87" s="12" t="n"/>
      <c r="BN87" s="12" t="n"/>
      <c r="BO87" s="12" t="n"/>
      <c r="BP87" s="12" t="n"/>
      <c r="BQ87" s="12" t="n"/>
      <c r="BR87" s="12" t="n"/>
      <c r="BS87" s="12" t="n"/>
      <c r="BT87" s="12" t="n"/>
      <c r="BU87" s="12" t="n"/>
      <c r="BV87" s="12" t="n"/>
      <c r="BW87" s="12" t="n"/>
      <c r="BX87" s="12" t="n"/>
      <c r="BY87" s="12" t="n"/>
      <c r="BZ87" s="12" t="n"/>
      <c r="CA87" s="12" t="n"/>
      <c r="CB87" s="12" t="n"/>
      <c r="CC87" s="12" t="n"/>
      <c r="CD87" s="12" t="n"/>
      <c r="CE87" s="12" t="n"/>
      <c r="CF87" s="12" t="n"/>
      <c r="CG87" s="12" t="n"/>
      <c r="CH87" s="12" t="n"/>
      <c r="CI87" s="12" t="n"/>
      <c r="CJ87" s="12" t="n"/>
      <c r="CK87" s="12" t="n"/>
      <c r="CL87" s="12" t="n"/>
      <c r="CM87" s="12" t="n"/>
      <c r="CN87" s="12" t="n"/>
      <c r="CO87" s="12" t="n"/>
      <c r="CP87" s="12" t="n"/>
      <c r="CQ87" s="12" t="n"/>
      <c r="CR87" s="12" t="n"/>
      <c r="CS87" s="12" t="n"/>
      <c r="CT87" s="12" t="n"/>
      <c r="CU87" s="12" t="n"/>
      <c r="CV87" s="12" t="n"/>
      <c r="CW87" s="12" t="n"/>
      <c r="CX87" s="12" t="n"/>
      <c r="CY87" s="12" t="n"/>
    </row>
    <row r="88" hidden="1" outlineLevel="1">
      <c r="C88" s="57" t="inlineStr">
        <is>
          <t>CDI+</t>
        </is>
      </c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  <c r="Z88" s="12" t="n"/>
      <c r="AA88" s="12" t="n"/>
      <c r="AB88" s="12" t="n"/>
      <c r="AC88" s="12" t="n"/>
      <c r="AD88" s="12" t="n"/>
      <c r="AE88" s="12" t="n"/>
      <c r="AF88" s="12" t="n"/>
      <c r="AG88" s="12" t="n"/>
      <c r="AH88" s="12" t="n"/>
      <c r="AI88" s="12" t="n"/>
      <c r="AJ88" s="12" t="n"/>
      <c r="AK88" s="12" t="n"/>
      <c r="AL88" s="12" t="n"/>
      <c r="AM88" s="12" t="n"/>
      <c r="AN88" s="12" t="n"/>
      <c r="AO88" s="12" t="n"/>
      <c r="AP88" s="12" t="n"/>
      <c r="AQ88" s="12" t="n"/>
      <c r="AR88" s="12" t="n"/>
      <c r="AS88" s="12" t="n"/>
      <c r="AT88" s="12" t="n"/>
      <c r="AU88" s="12" t="n"/>
      <c r="AV88" s="12" t="n"/>
      <c r="AW88" s="12" t="n"/>
      <c r="AX88" s="12" t="n"/>
      <c r="AY88" s="12" t="n"/>
      <c r="AZ88" s="12" t="n"/>
      <c r="BA88" s="12" t="n"/>
      <c r="BB88" s="12" t="n"/>
      <c r="BC88" s="12" t="n"/>
      <c r="BD88" s="12" t="n"/>
      <c r="BE88" s="12" t="n"/>
      <c r="BF88" s="12" t="n"/>
      <c r="BG88" s="12" t="n"/>
      <c r="BH88" s="12" t="n"/>
      <c r="BI88" s="12" t="n"/>
      <c r="BJ88" s="12" t="n"/>
      <c r="BK88" s="12" t="n"/>
      <c r="BL88" s="12" t="n"/>
      <c r="BM88" s="12" t="n"/>
      <c r="BN88" s="12" t="n"/>
      <c r="BO88" s="12" t="n"/>
      <c r="BP88" s="12" t="n"/>
      <c r="BQ88" s="12" t="n"/>
      <c r="BR88" s="12" t="n"/>
      <c r="BS88" s="12" t="n"/>
      <c r="BT88" s="12" t="n"/>
      <c r="BU88" s="12" t="n"/>
      <c r="BV88" s="12" t="n"/>
      <c r="BW88" s="12" t="n"/>
      <c r="BX88" s="12" t="n"/>
      <c r="BY88" s="12" t="n"/>
      <c r="BZ88" s="12" t="n"/>
      <c r="CA88" s="12" t="n"/>
      <c r="CB88" s="12" t="n"/>
      <c r="CC88" s="12" t="n"/>
      <c r="CD88" s="12" t="n"/>
      <c r="CE88" s="12" t="n"/>
      <c r="CF88" s="12" t="n"/>
      <c r="CG88" s="12" t="n"/>
      <c r="CH88" s="12" t="n"/>
      <c r="CI88" s="12" t="n"/>
      <c r="CJ88" s="12" t="n"/>
      <c r="CK88" s="12" t="n"/>
      <c r="CL88" s="12" t="n"/>
      <c r="CM88" s="12" t="n"/>
      <c r="CN88" s="12" t="n"/>
      <c r="CO88" s="12" t="n"/>
      <c r="CP88" s="12" t="n"/>
      <c r="CQ88" s="12" t="n"/>
      <c r="CR88" s="12" t="n"/>
      <c r="CS88" s="12" t="n"/>
      <c r="CT88" s="12" t="n"/>
      <c r="CU88" s="12" t="n"/>
      <c r="CV88" s="12" t="n"/>
      <c r="CW88" s="12" t="n"/>
      <c r="CX88" s="12" t="n"/>
      <c r="CY88" s="12" t="n"/>
    </row>
    <row r="89" hidden="1" outlineLevel="1">
      <c r="C89" s="57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  <c r="AA89" s="12" t="n"/>
      <c r="AB89" s="12" t="n"/>
      <c r="AC89" s="12" t="n"/>
      <c r="AD89" s="12" t="n"/>
      <c r="AE89" s="12" t="n"/>
      <c r="AF89" s="12" t="n"/>
      <c r="AG89" s="12" t="n"/>
      <c r="AH89" s="12" t="n"/>
      <c r="AI89" s="12" t="n"/>
      <c r="AJ89" s="12" t="n"/>
      <c r="AK89" s="12" t="n"/>
      <c r="AL89" s="12" t="n"/>
      <c r="AM89" s="12" t="n"/>
      <c r="AN89" s="12" t="n"/>
      <c r="AO89" s="12" t="n"/>
      <c r="AP89" s="12" t="n"/>
      <c r="AQ89" s="12" t="n"/>
      <c r="AR89" s="12" t="n"/>
      <c r="AS89" s="12" t="n"/>
      <c r="AT89" s="12" t="n"/>
      <c r="AU89" s="12" t="n"/>
      <c r="AV89" s="12" t="n"/>
      <c r="AW89" s="12" t="n"/>
      <c r="AX89" s="12" t="n"/>
      <c r="AY89" s="12" t="n"/>
      <c r="AZ89" s="12" t="n"/>
      <c r="BA89" s="12" t="n"/>
      <c r="BB89" s="12" t="n"/>
      <c r="BC89" s="12" t="n"/>
      <c r="BD89" s="12" t="n"/>
      <c r="BE89" s="12" t="n"/>
      <c r="BF89" s="12" t="n"/>
      <c r="BG89" s="12" t="n"/>
      <c r="BH89" s="12" t="n"/>
      <c r="BI89" s="12" t="n"/>
      <c r="BJ89" s="12" t="n"/>
      <c r="BK89" s="12" t="n"/>
      <c r="BL89" s="12" t="n"/>
      <c r="BM89" s="12" t="n"/>
      <c r="BN89" s="12" t="n"/>
      <c r="BO89" s="12" t="n"/>
      <c r="BP89" s="12" t="n"/>
      <c r="BQ89" s="12" t="n"/>
      <c r="BR89" s="12" t="n"/>
      <c r="BS89" s="12" t="n"/>
      <c r="BT89" s="12" t="n"/>
      <c r="BU89" s="12" t="n"/>
      <c r="BV89" s="12" t="n"/>
      <c r="BW89" s="12" t="n"/>
      <c r="BX89" s="12" t="n"/>
      <c r="BY89" s="12" t="n"/>
      <c r="BZ89" s="12" t="n"/>
      <c r="CA89" s="12" t="n"/>
      <c r="CB89" s="12" t="n"/>
      <c r="CC89" s="12" t="n"/>
      <c r="CD89" s="12" t="n"/>
      <c r="CE89" s="12" t="n"/>
      <c r="CF89" s="12" t="n"/>
      <c r="CG89" s="12" t="n"/>
      <c r="CH89" s="12" t="n"/>
      <c r="CI89" s="12" t="n"/>
      <c r="CJ89" s="12" t="n"/>
      <c r="CK89" s="12" t="n"/>
      <c r="CL89" s="12" t="n"/>
      <c r="CM89" s="12" t="n"/>
      <c r="CN89" s="12" t="n"/>
      <c r="CO89" s="12" t="n"/>
      <c r="CP89" s="12" t="n"/>
      <c r="CQ89" s="12" t="n"/>
      <c r="CR89" s="12" t="n"/>
      <c r="CS89" s="12" t="n"/>
      <c r="CT89" s="12" t="n"/>
      <c r="CU89" s="12" t="n"/>
      <c r="CV89" s="12" t="n"/>
      <c r="CW89" s="12" t="n"/>
      <c r="CX89" s="12" t="n"/>
      <c r="CY89" s="12" t="n"/>
    </row>
    <row r="90" hidden="1" outlineLevel="1">
      <c r="C90" s="57" t="inlineStr">
        <is>
          <t>RECEITAS FINANCEIRAS - Rendimentos de aplicações financeiras</t>
        </is>
      </c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  <c r="AA90" s="12" t="n"/>
      <c r="AB90" s="12" t="n"/>
      <c r="AC90" s="12" t="n"/>
      <c r="AD90" s="12" t="n"/>
      <c r="AE90" s="12" t="n"/>
      <c r="AF90" s="12" t="n"/>
      <c r="AG90" s="12" t="n"/>
      <c r="AH90" s="12" t="n"/>
      <c r="AI90" s="12" t="n"/>
      <c r="AJ90" s="12" t="n"/>
      <c r="AK90" s="12" t="n"/>
      <c r="AL90" s="12" t="n"/>
      <c r="AM90" s="12" t="n"/>
      <c r="AN90" s="12" t="n"/>
      <c r="AO90" s="12" t="n"/>
      <c r="AP90" s="12" t="n"/>
      <c r="AQ90" s="12" t="n"/>
      <c r="AR90" s="12" t="n"/>
      <c r="AS90" s="12" t="n"/>
      <c r="AT90" s="12" t="n"/>
      <c r="AU90" s="12" t="n"/>
      <c r="AV90" s="12" t="n"/>
      <c r="AW90" s="12" t="n"/>
      <c r="AX90" s="12" t="n"/>
      <c r="AY90" s="12" t="n"/>
      <c r="AZ90" s="12" t="n"/>
      <c r="BA90" s="12" t="n"/>
      <c r="BB90" s="12" t="n"/>
      <c r="BC90" s="12" t="n"/>
      <c r="BD90" s="12" t="n"/>
      <c r="BE90" s="12" t="n"/>
      <c r="BF90" s="12" t="n"/>
      <c r="BG90" s="12" t="n"/>
      <c r="BH90" s="12" t="n"/>
      <c r="BI90" s="12" t="n"/>
      <c r="BJ90" s="12" t="n"/>
      <c r="BK90" s="12" t="n"/>
      <c r="BL90" s="12" t="n"/>
      <c r="BM90" s="12" t="n"/>
      <c r="BN90" s="12" t="n"/>
      <c r="BO90" s="12" t="n"/>
      <c r="BP90" s="12" t="n"/>
      <c r="BQ90" s="12" t="n"/>
      <c r="BR90" s="12" t="n"/>
      <c r="BS90" s="12" t="n"/>
      <c r="BT90" s="12" t="n"/>
      <c r="BU90" s="12" t="n"/>
      <c r="BV90" s="12" t="n"/>
      <c r="BW90" s="12" t="n"/>
      <c r="BX90" s="12" t="n"/>
      <c r="BY90" s="12" t="n"/>
      <c r="BZ90" s="12" t="n"/>
      <c r="CA90" s="12" t="n"/>
      <c r="CB90" s="12" t="n"/>
      <c r="CC90" s="12" t="n"/>
      <c r="CD90" s="12" t="n"/>
      <c r="CE90" s="12" t="n"/>
      <c r="CF90" s="12" t="n"/>
      <c r="CG90" s="12" t="n"/>
      <c r="CH90" s="12" t="n"/>
      <c r="CI90" s="12" t="n"/>
      <c r="CJ90" s="12" t="n"/>
      <c r="CK90" s="12" t="n"/>
      <c r="CL90" s="12" t="n"/>
      <c r="CM90" s="12" t="n"/>
      <c r="CN90" s="12" t="n"/>
      <c r="CO90" s="12" t="n"/>
      <c r="CP90" s="12" t="n"/>
      <c r="CQ90" s="12" t="n"/>
      <c r="CR90" s="12" t="n"/>
      <c r="CS90" s="12" t="n"/>
      <c r="CT90" s="12" t="n"/>
      <c r="CU90" s="12" t="n"/>
      <c r="CV90" s="12" t="n"/>
      <c r="CW90" s="12" t="n"/>
      <c r="CX90" s="12" t="n"/>
      <c r="CY90" s="12" t="n"/>
    </row>
    <row r="91" hidden="1" outlineLevel="1">
      <c r="C91" s="57" t="inlineStr">
        <is>
          <t>RECEITAS FINANCEIRAS - Variação cambial ativa</t>
        </is>
      </c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  <c r="AA91" s="12" t="n"/>
      <c r="AB91" s="12" t="n"/>
      <c r="AC91" s="12" t="n"/>
      <c r="AD91" s="12" t="n"/>
      <c r="AE91" s="12" t="n"/>
      <c r="AF91" s="12" t="n"/>
      <c r="AG91" s="12" t="n"/>
      <c r="AH91" s="12" t="n"/>
      <c r="AI91" s="12" t="n"/>
      <c r="AJ91" s="12" t="n"/>
      <c r="AK91" s="12" t="n"/>
      <c r="AL91" s="12" t="n"/>
      <c r="AM91" s="12" t="n"/>
      <c r="AN91" s="12" t="n"/>
      <c r="AO91" s="12" t="n"/>
      <c r="AP91" s="12" t="n"/>
      <c r="AQ91" s="12" t="n"/>
      <c r="AR91" s="12" t="n"/>
      <c r="AS91" s="12" t="n"/>
      <c r="AT91" s="12" t="n"/>
      <c r="AU91" s="12" t="n"/>
      <c r="AV91" s="12" t="n"/>
      <c r="AW91" s="12" t="n"/>
      <c r="AX91" s="12" t="n"/>
      <c r="AY91" s="12" t="n"/>
      <c r="AZ91" s="12" t="n"/>
      <c r="BA91" s="12" t="n"/>
      <c r="BB91" s="12" t="n"/>
      <c r="BC91" s="12" t="n"/>
      <c r="BD91" s="12" t="n"/>
      <c r="BE91" s="12" t="n"/>
      <c r="BF91" s="12" t="n"/>
      <c r="BG91" s="12" t="n"/>
      <c r="BH91" s="12" t="n"/>
      <c r="BI91" s="12" t="n"/>
      <c r="BJ91" s="12" t="n"/>
      <c r="BK91" s="12" t="n"/>
      <c r="BL91" s="12" t="n"/>
      <c r="BM91" s="12" t="n"/>
      <c r="BN91" s="12" t="n"/>
      <c r="BO91" s="12" t="n"/>
      <c r="BP91" s="12" t="n"/>
      <c r="BQ91" s="12" t="n"/>
      <c r="BR91" s="12" t="n"/>
      <c r="BS91" s="12" t="n"/>
      <c r="BT91" s="12" t="n"/>
      <c r="BU91" s="12" t="n"/>
      <c r="BV91" s="12" t="n"/>
      <c r="BW91" s="12" t="n"/>
      <c r="BX91" s="12" t="n"/>
      <c r="BY91" s="12" t="n"/>
      <c r="BZ91" s="12" t="n"/>
      <c r="CA91" s="12" t="n"/>
      <c r="CB91" s="12" t="n"/>
      <c r="CC91" s="12" t="n"/>
      <c r="CD91" s="12" t="n"/>
      <c r="CE91" s="12" t="n"/>
      <c r="CF91" s="12" t="n"/>
      <c r="CG91" s="12" t="n"/>
      <c r="CH91" s="12" t="n"/>
      <c r="CI91" s="12" t="n"/>
      <c r="CJ91" s="12" t="n"/>
      <c r="CK91" s="12" t="n"/>
      <c r="CL91" s="12" t="n"/>
      <c r="CM91" s="12" t="n"/>
      <c r="CN91" s="12" t="n"/>
      <c r="CO91" s="12" t="n"/>
      <c r="CP91" s="12" t="n"/>
      <c r="CQ91" s="12" t="n"/>
      <c r="CR91" s="12" t="n"/>
      <c r="CS91" s="12" t="n"/>
      <c r="CT91" s="12" t="n"/>
      <c r="CU91" s="12" t="n"/>
      <c r="CV91" s="12" t="n"/>
      <c r="CW91" s="12" t="n"/>
      <c r="CX91" s="12" t="n"/>
      <c r="CY91" s="12" t="n"/>
    </row>
    <row r="92" hidden="1" outlineLevel="1">
      <c r="C92" s="57" t="inlineStr">
        <is>
          <t>RECEITAS FINANCEIRAS - Atualização de contas a pagar por aquisição de empresas</t>
        </is>
      </c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12" t="n"/>
      <c r="AA92" s="12" t="n"/>
      <c r="AB92" s="12" t="n"/>
      <c r="AC92" s="12" t="n"/>
      <c r="AD92" s="12" t="n"/>
      <c r="AE92" s="12" t="n"/>
      <c r="AF92" s="12" t="n"/>
      <c r="AG92" s="12" t="n"/>
      <c r="AH92" s="12" t="n"/>
      <c r="AI92" s="12" t="n"/>
      <c r="AJ92" s="12" t="n"/>
      <c r="AK92" s="12" t="n"/>
      <c r="AL92" s="12" t="n"/>
      <c r="AM92" s="12" t="n"/>
      <c r="AN92" s="12" t="n"/>
      <c r="AO92" s="12" t="n"/>
      <c r="AP92" s="12" t="n"/>
      <c r="AQ92" s="12" t="n"/>
      <c r="AR92" s="12" t="n"/>
      <c r="AS92" s="12" t="n"/>
      <c r="AT92" s="12" t="n"/>
      <c r="AU92" s="12" t="n"/>
      <c r="AV92" s="12" t="n"/>
      <c r="AW92" s="12" t="n"/>
      <c r="AX92" s="12" t="n"/>
      <c r="AY92" s="12" t="n"/>
      <c r="AZ92" s="12" t="n"/>
      <c r="BA92" s="12" t="n"/>
      <c r="BB92" s="12" t="n"/>
      <c r="BC92" s="12" t="n"/>
      <c r="BD92" s="12" t="n"/>
      <c r="BE92" s="12" t="n"/>
      <c r="BF92" s="12" t="n"/>
      <c r="BG92" s="12" t="n"/>
      <c r="BH92" s="12" t="n"/>
      <c r="BI92" s="12" t="n"/>
      <c r="BJ92" s="12" t="n"/>
      <c r="BK92" s="12" t="n"/>
      <c r="BL92" s="12" t="n"/>
      <c r="BM92" s="12" t="n"/>
      <c r="BN92" s="12" t="n"/>
      <c r="BO92" s="12" t="n"/>
      <c r="BP92" s="12" t="n"/>
      <c r="BQ92" s="12" t="n"/>
      <c r="BR92" s="12" t="n"/>
      <c r="BS92" s="12" t="n"/>
      <c r="BT92" s="12" t="n"/>
      <c r="BU92" s="12" t="n"/>
      <c r="BV92" s="12" t="n"/>
      <c r="BW92" s="12" t="n"/>
      <c r="BX92" s="12" t="n"/>
      <c r="BY92" s="12" t="n"/>
      <c r="BZ92" s="12" t="n"/>
      <c r="CA92" s="12" t="n"/>
      <c r="CB92" s="12" t="n"/>
      <c r="CC92" s="12" t="n"/>
      <c r="CD92" s="12" t="n"/>
      <c r="CE92" s="12" t="n"/>
      <c r="CF92" s="12" t="n"/>
      <c r="CG92" s="12" t="n"/>
      <c r="CH92" s="12" t="n"/>
      <c r="CI92" s="12" t="n"/>
      <c r="CJ92" s="12" t="n"/>
      <c r="CK92" s="12" t="n"/>
      <c r="CL92" s="12" t="n"/>
      <c r="CM92" s="12" t="n"/>
      <c r="CN92" s="12" t="n"/>
      <c r="CO92" s="12" t="n"/>
      <c r="CP92" s="12" t="n"/>
      <c r="CQ92" s="12" t="n"/>
      <c r="CR92" s="12" t="n"/>
      <c r="CS92" s="12" t="n"/>
      <c r="CT92" s="12" t="n"/>
      <c r="CU92" s="12" t="n"/>
      <c r="CV92" s="12" t="n"/>
      <c r="CW92" s="12" t="n"/>
      <c r="CX92" s="12" t="n"/>
      <c r="CY92" s="12" t="n"/>
    </row>
    <row r="93" hidden="1" outlineLevel="1">
      <c r="C93" s="57" t="inlineStr">
        <is>
          <t>RECEITAS FINANCEIRAS - Resultado positivo com instrumentos derivativos</t>
        </is>
      </c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  <c r="AA93" s="12" t="n"/>
      <c r="AB93" s="12" t="n"/>
      <c r="AC93" s="12" t="n"/>
      <c r="AD93" s="12" t="n"/>
      <c r="AE93" s="12" t="n"/>
      <c r="AF93" s="12" t="n"/>
      <c r="AG93" s="12" t="n"/>
      <c r="AH93" s="12" t="n"/>
      <c r="AI93" s="12" t="n"/>
      <c r="AJ93" s="12" t="n"/>
      <c r="AK93" s="12" t="n"/>
      <c r="AL93" s="12" t="n"/>
      <c r="AM93" s="12" t="n"/>
      <c r="AN93" s="12" t="n"/>
      <c r="AO93" s="12" t="n"/>
      <c r="AP93" s="12" t="n"/>
      <c r="AQ93" s="12" t="n"/>
      <c r="AR93" s="12" t="n"/>
      <c r="AS93" s="12" t="n"/>
      <c r="AT93" s="12" t="n"/>
      <c r="AU93" s="12" t="n"/>
      <c r="AV93" s="12" t="n"/>
      <c r="AW93" s="12" t="n"/>
      <c r="AX93" s="12" t="n"/>
      <c r="AY93" s="12" t="n"/>
      <c r="AZ93" s="12" t="n"/>
      <c r="BA93" s="12" t="n"/>
      <c r="BB93" s="12" t="n"/>
      <c r="BC93" s="12" t="n"/>
      <c r="BD93" s="12" t="n"/>
      <c r="BE93" s="12" t="n"/>
      <c r="BF93" s="12" t="n"/>
      <c r="BG93" s="12" t="n"/>
      <c r="BH93" s="12" t="n"/>
      <c r="BI93" s="12" t="n"/>
      <c r="BJ93" s="12" t="n"/>
      <c r="BK93" s="12" t="n"/>
      <c r="BL93" s="12" t="n"/>
      <c r="BM93" s="12" t="n"/>
      <c r="BN93" s="12" t="n"/>
      <c r="BO93" s="12" t="n"/>
      <c r="BP93" s="12" t="n"/>
      <c r="BQ93" s="12" t="n"/>
      <c r="BR93" s="12" t="n"/>
      <c r="BS93" s="12" t="n"/>
      <c r="BT93" s="12" t="n"/>
      <c r="BU93" s="12" t="n"/>
      <c r="BV93" s="12" t="n"/>
      <c r="BW93" s="12" t="n"/>
      <c r="BX93" s="12" t="n"/>
      <c r="BY93" s="12" t="n"/>
      <c r="BZ93" s="12" t="n"/>
      <c r="CA93" s="12" t="n"/>
      <c r="CB93" s="12" t="n"/>
      <c r="CC93" s="12" t="n"/>
      <c r="CD93" s="12" t="n"/>
      <c r="CE93" s="12" t="n"/>
      <c r="CF93" s="12" t="n"/>
      <c r="CG93" s="12" t="n"/>
      <c r="CH93" s="12" t="n"/>
      <c r="CI93" s="12" t="n"/>
      <c r="CJ93" s="12" t="n"/>
      <c r="CK93" s="12" t="n"/>
      <c r="CL93" s="12" t="n"/>
      <c r="CM93" s="12" t="n"/>
      <c r="CN93" s="12" t="n"/>
      <c r="CO93" s="12" t="n"/>
      <c r="CP93" s="12" t="n"/>
      <c r="CQ93" s="12" t="n"/>
      <c r="CR93" s="12" t="n"/>
      <c r="CS93" s="12" t="n"/>
      <c r="CT93" s="12" t="n"/>
      <c r="CU93" s="12" t="n"/>
      <c r="CV93" s="12" t="n"/>
      <c r="CW93" s="12" t="n"/>
      <c r="CX93" s="12" t="n"/>
      <c r="CY93" s="12" t="n"/>
    </row>
    <row r="94" hidden="1" outlineLevel="1">
      <c r="C94" s="57" t="inlineStr">
        <is>
          <t>RECEITAS FINANCEIRAS - Descontos obtidos de fornecedores por antecipação</t>
        </is>
      </c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  <c r="Z94" s="12" t="n"/>
      <c r="AA94" s="12" t="n"/>
      <c r="AB94" s="12" t="n"/>
      <c r="AC94" s="12" t="n"/>
      <c r="AD94" s="12" t="n"/>
      <c r="AE94" s="12" t="n"/>
      <c r="AF94" s="12" t="n"/>
      <c r="AG94" s="12" t="n"/>
      <c r="AH94" s="12" t="n"/>
      <c r="AI94" s="12" t="n"/>
      <c r="AJ94" s="12" t="n"/>
      <c r="AK94" s="12" t="n"/>
      <c r="AL94" s="12" t="n"/>
      <c r="AM94" s="12" t="n"/>
      <c r="AN94" s="12" t="n"/>
      <c r="AO94" s="12" t="n"/>
      <c r="AP94" s="12" t="n"/>
      <c r="AQ94" s="12" t="n"/>
      <c r="AR94" s="12" t="n"/>
      <c r="AS94" s="12" t="n"/>
      <c r="AT94" s="12" t="n"/>
      <c r="AU94" s="12" t="n"/>
      <c r="AV94" s="12" t="n"/>
      <c r="AW94" s="12" t="n"/>
      <c r="AX94" s="12" t="n"/>
      <c r="AY94" s="12" t="n"/>
      <c r="AZ94" s="12" t="n"/>
      <c r="BA94" s="12" t="n"/>
      <c r="BB94" s="12" t="n"/>
      <c r="BC94" s="12" t="n"/>
      <c r="BD94" s="12" t="n"/>
      <c r="BE94" s="12" t="n"/>
      <c r="BF94" s="12" t="n"/>
      <c r="BG94" s="12" t="n"/>
      <c r="BH94" s="12" t="n"/>
      <c r="BI94" s="12" t="n"/>
      <c r="BJ94" s="12" t="n"/>
      <c r="BK94" s="12" t="n"/>
      <c r="BL94" s="12" t="n"/>
      <c r="BM94" s="12" t="n"/>
      <c r="BN94" s="12" t="n"/>
      <c r="BO94" s="12" t="n"/>
      <c r="BP94" s="12" t="n"/>
      <c r="BQ94" s="12" t="n"/>
      <c r="BR94" s="12" t="n"/>
      <c r="BS94" s="12" t="n"/>
      <c r="BT94" s="12" t="n"/>
      <c r="BU94" s="12" t="n"/>
      <c r="BV94" s="12" t="n"/>
      <c r="BW94" s="12" t="n"/>
      <c r="BX94" s="12" t="n"/>
      <c r="BY94" s="12" t="n"/>
      <c r="BZ94" s="12" t="n"/>
      <c r="CA94" s="12" t="n"/>
      <c r="CB94" s="12" t="n"/>
      <c r="CC94" s="12" t="n"/>
      <c r="CD94" s="12" t="n"/>
      <c r="CE94" s="12" t="n"/>
      <c r="CF94" s="12" t="n"/>
      <c r="CG94" s="12" t="n"/>
      <c r="CH94" s="12" t="n"/>
      <c r="CI94" s="12" t="n"/>
      <c r="CJ94" s="12" t="n"/>
      <c r="CK94" s="12" t="n"/>
      <c r="CL94" s="12" t="n"/>
      <c r="CM94" s="12" t="n"/>
      <c r="CN94" s="12" t="n"/>
      <c r="CO94" s="12" t="n"/>
      <c r="CP94" s="12" t="n"/>
      <c r="CQ94" s="12" t="n"/>
      <c r="CR94" s="12" t="n"/>
      <c r="CS94" s="12" t="n"/>
      <c r="CT94" s="12" t="n"/>
      <c r="CU94" s="12" t="n"/>
      <c r="CV94" s="12" t="n"/>
      <c r="CW94" s="12" t="n"/>
      <c r="CX94" s="12" t="n"/>
      <c r="CY94" s="12" t="n"/>
    </row>
    <row r="95" hidden="1" outlineLevel="1">
      <c r="C95" s="57" t="inlineStr">
        <is>
          <t>RECEITAS FINANCEIRAS - Atualização monetária sobre Exclusão ICMS da base de PIS/COFINS (nota explicativa nº 7)</t>
        </is>
      </c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  <c r="AA95" s="12" t="n"/>
      <c r="AB95" s="12" t="n"/>
      <c r="AC95" s="12" t="n"/>
      <c r="AD95" s="12" t="n"/>
      <c r="AE95" s="12" t="n"/>
      <c r="AF95" s="12" t="n"/>
      <c r="AG95" s="12" t="n"/>
      <c r="AH95" s="12" t="n"/>
      <c r="AI95" s="12" t="n"/>
      <c r="AJ95" s="12" t="n"/>
      <c r="AK95" s="12" t="n"/>
      <c r="AL95" s="12" t="n"/>
      <c r="AM95" s="12" t="n"/>
      <c r="AN95" s="12" t="n"/>
      <c r="AO95" s="12" t="n"/>
      <c r="AP95" s="12" t="n"/>
      <c r="AQ95" s="12" t="n"/>
      <c r="AR95" s="12" t="n"/>
      <c r="AS95" s="12" t="n"/>
      <c r="AT95" s="12" t="n"/>
      <c r="AU95" s="12" t="n"/>
      <c r="AV95" s="12" t="n"/>
      <c r="AW95" s="12" t="n"/>
      <c r="AX95" s="12" t="n"/>
      <c r="AY95" s="12" t="n"/>
      <c r="AZ95" s="12" t="n"/>
      <c r="BA95" s="12" t="n"/>
      <c r="BB95" s="12" t="n"/>
      <c r="BC95" s="12" t="n"/>
      <c r="BD95" s="12" t="n"/>
      <c r="BE95" s="12" t="n"/>
      <c r="BF95" s="12" t="n"/>
      <c r="BG95" s="12" t="n"/>
      <c r="BH95" s="12" t="n"/>
      <c r="BI95" s="12" t="n"/>
      <c r="BJ95" s="12" t="n"/>
      <c r="BK95" s="12" t="n"/>
      <c r="BL95" s="12" t="n"/>
      <c r="BM95" s="12" t="n"/>
      <c r="BN95" s="12" t="n"/>
      <c r="BO95" s="12" t="n"/>
      <c r="BP95" s="12" t="n"/>
      <c r="BQ95" s="12" t="n"/>
      <c r="BR95" s="12" t="n"/>
      <c r="BS95" s="12" t="n"/>
      <c r="BT95" s="12" t="n"/>
      <c r="BU95" s="12" t="n"/>
      <c r="BV95" s="12" t="n"/>
      <c r="BW95" s="12" t="n"/>
      <c r="BX95" s="12" t="n"/>
      <c r="BY95" s="12" t="n"/>
      <c r="BZ95" s="12" t="n"/>
      <c r="CA95" s="12" t="n"/>
      <c r="CB95" s="12" t="n"/>
      <c r="CC95" s="12" t="n"/>
      <c r="CD95" s="12" t="n"/>
      <c r="CE95" s="12" t="n"/>
      <c r="CF95" s="12" t="n"/>
      <c r="CG95" s="12" t="n"/>
      <c r="CH95" s="12" t="n"/>
      <c r="CI95" s="12" t="n"/>
      <c r="CJ95" s="12" t="n"/>
      <c r="CK95" s="12" t="n"/>
      <c r="CL95" s="12" t="n"/>
      <c r="CM95" s="12" t="n"/>
      <c r="CN95" s="12" t="n"/>
      <c r="CO95" s="12" t="n"/>
      <c r="CP95" s="12" t="n"/>
      <c r="CQ95" s="12" t="n"/>
      <c r="CR95" s="12" t="n"/>
      <c r="CS95" s="12" t="n"/>
      <c r="CT95" s="12" t="n"/>
      <c r="CU95" s="12" t="n"/>
      <c r="CV95" s="12" t="n"/>
      <c r="CW95" s="12" t="n"/>
      <c r="CX95" s="12" t="n"/>
      <c r="CY95" s="12" t="n"/>
    </row>
    <row r="96" hidden="1" outlineLevel="1">
      <c r="C96" s="57" t="inlineStr">
        <is>
          <t>RECEITAS FINANCEIRAS - Outras</t>
        </is>
      </c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12" t="n"/>
      <c r="AA96" s="12" t="n"/>
      <c r="AB96" s="12" t="n"/>
      <c r="AC96" s="12" t="n"/>
      <c r="AD96" s="12" t="n"/>
      <c r="AE96" s="12" t="n"/>
      <c r="AF96" s="12" t="n"/>
      <c r="AG96" s="12" t="n"/>
      <c r="AH96" s="12" t="n"/>
      <c r="AI96" s="12" t="n"/>
      <c r="AJ96" s="12" t="n"/>
      <c r="AK96" s="12" t="n"/>
      <c r="AL96" s="12" t="n"/>
      <c r="AM96" s="12" t="n"/>
      <c r="AN96" s="12" t="n"/>
      <c r="AO96" s="12" t="n"/>
      <c r="AP96" s="12" t="n"/>
      <c r="AQ96" s="12" t="n"/>
      <c r="AR96" s="12" t="n"/>
      <c r="AS96" s="12" t="n"/>
      <c r="AT96" s="12" t="n"/>
      <c r="AU96" s="12" t="n"/>
      <c r="AV96" s="12" t="n"/>
      <c r="AW96" s="12" t="n"/>
      <c r="AX96" s="12" t="n"/>
      <c r="AY96" s="12" t="n"/>
      <c r="AZ96" s="12" t="n"/>
      <c r="BA96" s="12" t="n"/>
      <c r="BB96" s="12" t="n"/>
      <c r="BC96" s="12" t="n"/>
      <c r="BD96" s="12" t="n"/>
      <c r="BE96" s="12" t="n"/>
      <c r="BF96" s="12" t="n"/>
      <c r="BG96" s="12" t="n"/>
      <c r="BH96" s="12" t="n"/>
      <c r="BI96" s="12" t="n"/>
      <c r="BJ96" s="12" t="n"/>
      <c r="BK96" s="12" t="n"/>
      <c r="BL96" s="12" t="n"/>
      <c r="BM96" s="12" t="n"/>
      <c r="BN96" s="12" t="n"/>
      <c r="BO96" s="12" t="n"/>
      <c r="BP96" s="12" t="n"/>
      <c r="BQ96" s="12" t="n"/>
      <c r="BR96" s="12" t="n"/>
      <c r="BS96" s="12" t="n"/>
      <c r="BT96" s="12" t="n"/>
      <c r="BU96" s="12" t="n"/>
      <c r="BV96" s="12" t="n"/>
      <c r="BW96" s="12" t="n"/>
      <c r="BX96" s="12" t="n"/>
      <c r="BY96" s="12" t="n"/>
      <c r="BZ96" s="12" t="n"/>
      <c r="CA96" s="12" t="n"/>
      <c r="CB96" s="12" t="n"/>
      <c r="CC96" s="12" t="n"/>
      <c r="CD96" s="12" t="n"/>
      <c r="CE96" s="12" t="n"/>
      <c r="CF96" s="12" t="n"/>
      <c r="CG96" s="12" t="n"/>
      <c r="CH96" s="12" t="n"/>
      <c r="CI96" s="12" t="n"/>
      <c r="CJ96" s="12" t="n"/>
      <c r="CK96" s="12" t="n"/>
      <c r="CL96" s="12" t="n"/>
      <c r="CM96" s="12" t="n"/>
      <c r="CN96" s="12" t="n"/>
      <c r="CO96" s="12" t="n"/>
      <c r="CP96" s="12" t="n"/>
      <c r="CQ96" s="12" t="n"/>
      <c r="CR96" s="12" t="n"/>
      <c r="CS96" s="12" t="n"/>
      <c r="CT96" s="12" t="n"/>
      <c r="CU96" s="12" t="n"/>
      <c r="CV96" s="12" t="n"/>
      <c r="CW96" s="12" t="n"/>
      <c r="CX96" s="12" t="n"/>
      <c r="CY96" s="12" t="n"/>
    </row>
    <row r="97" hidden="1" outlineLevel="1">
      <c r="C97" s="57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  <c r="AA97" s="12" t="n"/>
      <c r="AB97" s="12" t="n"/>
      <c r="AC97" s="12" t="n"/>
      <c r="AD97" s="12" t="n"/>
      <c r="AE97" s="12" t="n"/>
      <c r="AF97" s="12" t="n"/>
      <c r="AG97" s="12" t="n"/>
      <c r="AH97" s="12" t="n"/>
      <c r="AI97" s="12" t="n"/>
      <c r="AJ97" s="12" t="n"/>
      <c r="AK97" s="12" t="n"/>
      <c r="AL97" s="12" t="n"/>
      <c r="AM97" s="12" t="n"/>
      <c r="AN97" s="12" t="n"/>
      <c r="AO97" s="12" t="n"/>
      <c r="AP97" s="12" t="n"/>
      <c r="AQ97" s="12" t="n"/>
      <c r="AR97" s="12" t="n"/>
      <c r="AS97" s="12" t="n"/>
      <c r="AT97" s="12" t="n"/>
      <c r="AU97" s="12" t="n"/>
      <c r="AV97" s="12" t="n"/>
      <c r="AW97" s="12" t="n"/>
      <c r="AX97" s="12" t="n"/>
      <c r="AY97" s="12" t="n"/>
      <c r="AZ97" s="12" t="n"/>
      <c r="BA97" s="12" t="n"/>
      <c r="BB97" s="12" t="n"/>
      <c r="BC97" s="12" t="n"/>
      <c r="BD97" s="12" t="n"/>
      <c r="BE97" s="12" t="n"/>
      <c r="BF97" s="12" t="n"/>
      <c r="BG97" s="12" t="n"/>
      <c r="BH97" s="12" t="n"/>
      <c r="BI97" s="12" t="n"/>
      <c r="BJ97" s="12" t="n"/>
      <c r="BK97" s="12" t="n"/>
      <c r="BL97" s="12" t="n"/>
      <c r="BM97" s="12" t="n"/>
      <c r="BN97" s="12" t="n"/>
      <c r="BO97" s="12" t="n"/>
      <c r="BP97" s="12" t="n"/>
      <c r="BQ97" s="12" t="n"/>
      <c r="BR97" s="12" t="n"/>
      <c r="BS97" s="12" t="n"/>
      <c r="BT97" s="12" t="n"/>
      <c r="BU97" s="12" t="n"/>
      <c r="BV97" s="12" t="n"/>
      <c r="BW97" s="12" t="n"/>
      <c r="BX97" s="12" t="n"/>
      <c r="BY97" s="12" t="n"/>
      <c r="BZ97" s="12" t="n"/>
      <c r="CA97" s="12" t="n"/>
      <c r="CB97" s="12" t="n"/>
      <c r="CC97" s="12" t="n"/>
      <c r="CD97" s="12" t="n"/>
      <c r="CE97" s="12" t="n"/>
      <c r="CF97" s="12" t="n"/>
      <c r="CG97" s="12" t="n"/>
      <c r="CH97" s="12" t="n"/>
      <c r="CI97" s="12" t="n"/>
      <c r="CJ97" s="12" t="n"/>
      <c r="CK97" s="12" t="n"/>
      <c r="CL97" s="12" t="n"/>
      <c r="CM97" s="12" t="n"/>
      <c r="CN97" s="12" t="n"/>
      <c r="CO97" s="12" t="n"/>
      <c r="CP97" s="12" t="n"/>
      <c r="CQ97" s="12" t="n"/>
      <c r="CR97" s="12" t="n"/>
      <c r="CS97" s="12" t="n"/>
      <c r="CT97" s="12" t="n"/>
      <c r="CU97" s="12" t="n"/>
      <c r="CV97" s="12" t="n"/>
      <c r="CW97" s="12" t="n"/>
      <c r="CX97" s="12" t="n"/>
      <c r="CY97" s="12" t="n"/>
    </row>
    <row r="98" hidden="1" outlineLevel="1">
      <c r="C98" s="57" t="inlineStr">
        <is>
          <t>DESPESAS FINANCEIRAS - Encargos sobre empréstimos, financiamentos e debêntures</t>
        </is>
      </c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  <c r="Z98" s="12" t="n"/>
      <c r="AA98" s="12" t="n"/>
      <c r="AB98" s="12" t="n"/>
      <c r="AC98" s="12" t="n"/>
      <c r="AD98" s="12" t="n"/>
      <c r="AE98" s="12" t="n"/>
      <c r="AF98" s="12" t="n"/>
      <c r="AG98" s="12" t="n"/>
      <c r="AH98" s="12" t="n"/>
      <c r="AI98" s="12" t="n"/>
      <c r="AJ98" s="12" t="n"/>
      <c r="AK98" s="12" t="n"/>
      <c r="AL98" s="12" t="n"/>
      <c r="AM98" s="12" t="n"/>
      <c r="AN98" s="12" t="n"/>
      <c r="AO98" s="12" t="n"/>
      <c r="AP98" s="12" t="n"/>
      <c r="AQ98" s="12" t="n"/>
      <c r="AR98" s="12" t="n"/>
      <c r="AS98" s="12" t="n"/>
      <c r="AT98" s="12" t="n"/>
      <c r="AU98" s="12" t="n"/>
      <c r="AV98" s="12" t="n"/>
      <c r="AW98" s="12" t="n"/>
      <c r="AX98" s="12" t="n"/>
      <c r="AY98" s="12" t="n"/>
      <c r="AZ98" s="12" t="n"/>
      <c r="BA98" s="12" t="n"/>
      <c r="BB98" s="12" t="n"/>
      <c r="BC98" s="12" t="n"/>
      <c r="BD98" s="12" t="n"/>
      <c r="BE98" s="12" t="n"/>
      <c r="BF98" s="12" t="n"/>
      <c r="BG98" s="12" t="n"/>
      <c r="BH98" s="12" t="n"/>
      <c r="BI98" s="12" t="n"/>
      <c r="BJ98" s="12" t="n"/>
      <c r="BK98" s="12" t="n"/>
      <c r="BL98" s="12" t="n"/>
      <c r="BM98" s="12" t="n"/>
      <c r="BN98" s="12" t="n"/>
      <c r="BO98" s="12" t="n"/>
      <c r="BP98" s="12" t="n"/>
      <c r="BQ98" s="12" t="n"/>
      <c r="BR98" s="12" t="n"/>
      <c r="BS98" s="12" t="n"/>
      <c r="BT98" s="12" t="n"/>
      <c r="BU98" s="12" t="n"/>
      <c r="BV98" s="12" t="n"/>
      <c r="BW98" s="12" t="n"/>
      <c r="BX98" s="12" t="n"/>
      <c r="BY98" s="12" t="n"/>
      <c r="BZ98" s="12" t="n"/>
      <c r="CA98" s="12" t="n"/>
      <c r="CB98" s="12" t="n"/>
      <c r="CC98" s="12" t="n"/>
      <c r="CD98" s="12" t="n"/>
      <c r="CE98" s="12" t="n"/>
      <c r="CF98" s="12" t="n"/>
      <c r="CG98" s="12" t="n"/>
      <c r="CH98" s="12" t="n"/>
      <c r="CI98" s="12" t="n"/>
      <c r="CJ98" s="12" t="n"/>
      <c r="CK98" s="12" t="n"/>
      <c r="CL98" s="12" t="n"/>
      <c r="CM98" s="12" t="n"/>
      <c r="CN98" s="12" t="n"/>
      <c r="CO98" s="12" t="n"/>
      <c r="CP98" s="12" t="n"/>
      <c r="CQ98" s="12" t="n"/>
      <c r="CR98" s="12" t="n"/>
      <c r="CS98" s="12" t="n"/>
      <c r="CT98" s="12" t="n"/>
      <c r="CU98" s="12" t="n"/>
      <c r="CV98" s="12" t="n"/>
      <c r="CW98" s="12" t="n"/>
      <c r="CX98" s="12" t="n"/>
      <c r="CY98" s="12" t="n"/>
    </row>
    <row r="99" hidden="1" outlineLevel="1">
      <c r="C99" s="57" t="inlineStr">
        <is>
          <t>DESPESAS FINANCEIRAS - Variação cambial passiva</t>
        </is>
      </c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  <c r="AA99" s="12" t="n"/>
      <c r="AB99" s="12" t="n"/>
      <c r="AC99" s="12" t="n"/>
      <c r="AD99" s="12" t="n"/>
      <c r="AE99" s="12" t="n"/>
      <c r="AF99" s="12" t="n"/>
      <c r="AG99" s="12" t="n"/>
      <c r="AH99" s="12" t="n"/>
      <c r="AI99" s="12" t="n"/>
      <c r="AJ99" s="12" t="n"/>
      <c r="AK99" s="12" t="n"/>
      <c r="AL99" s="12" t="n"/>
      <c r="AM99" s="12" t="n"/>
      <c r="AN99" s="12" t="n"/>
      <c r="AO99" s="12" t="n"/>
      <c r="AP99" s="12" t="n"/>
      <c r="AQ99" s="12" t="n"/>
      <c r="AR99" s="12" t="n"/>
      <c r="AS99" s="12" t="n"/>
      <c r="AT99" s="12" t="n"/>
      <c r="AU99" s="12" t="n"/>
      <c r="AV99" s="12" t="n"/>
      <c r="AW99" s="12" t="n"/>
      <c r="AX99" s="12" t="n"/>
      <c r="AY99" s="12" t="n"/>
      <c r="AZ99" s="12" t="n"/>
      <c r="BA99" s="12" t="n"/>
      <c r="BB99" s="12" t="n"/>
      <c r="BC99" s="12" t="n"/>
      <c r="BD99" s="12" t="n"/>
      <c r="BE99" s="12" t="n"/>
      <c r="BF99" s="12" t="n"/>
      <c r="BG99" s="12" t="n"/>
      <c r="BH99" s="12" t="n"/>
      <c r="BI99" s="12" t="n"/>
      <c r="BJ99" s="12" t="n"/>
      <c r="BK99" s="12" t="n"/>
      <c r="BL99" s="12" t="n"/>
      <c r="BM99" s="12" t="n"/>
      <c r="BN99" s="12" t="n"/>
      <c r="BO99" s="12" t="n"/>
      <c r="BP99" s="12" t="n"/>
      <c r="BQ99" s="12" t="n"/>
      <c r="BR99" s="12" t="n"/>
      <c r="BS99" s="12" t="n"/>
      <c r="BT99" s="12" t="n"/>
      <c r="BU99" s="12" t="n"/>
      <c r="BV99" s="12" t="n"/>
      <c r="BW99" s="12" t="n"/>
      <c r="BX99" s="12" t="n"/>
      <c r="BY99" s="12" t="n"/>
      <c r="BZ99" s="12" t="n"/>
      <c r="CA99" s="12" t="n"/>
      <c r="CB99" s="12" t="n"/>
      <c r="CC99" s="12" t="n"/>
      <c r="CD99" s="12" t="n"/>
      <c r="CE99" s="12" t="n"/>
      <c r="CF99" s="12" t="n"/>
      <c r="CG99" s="12" t="n"/>
      <c r="CH99" s="12" t="n"/>
      <c r="CI99" s="12" t="n"/>
      <c r="CJ99" s="12" t="n"/>
      <c r="CK99" s="12" t="n"/>
      <c r="CL99" s="12" t="n"/>
      <c r="CM99" s="12" t="n"/>
      <c r="CN99" s="12" t="n"/>
      <c r="CO99" s="12" t="n"/>
      <c r="CP99" s="12" t="n"/>
      <c r="CQ99" s="12" t="n"/>
      <c r="CR99" s="12" t="n"/>
      <c r="CS99" s="12" t="n"/>
      <c r="CT99" s="12" t="n"/>
      <c r="CU99" s="12" t="n"/>
      <c r="CV99" s="12" t="n"/>
      <c r="CW99" s="12" t="n"/>
      <c r="CX99" s="12" t="n"/>
      <c r="CY99" s="12" t="n"/>
    </row>
    <row r="100" hidden="1" outlineLevel="1">
      <c r="C100" s="57" t="inlineStr">
        <is>
          <t>DESPESAS FINANCEIRAS - Resultado negativo com instrumentos derivativos</t>
        </is>
      </c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2" t="n"/>
      <c r="Z100" s="12" t="n"/>
      <c r="AA100" s="12" t="n"/>
      <c r="AB100" s="12" t="n"/>
      <c r="AC100" s="12" t="n"/>
      <c r="AD100" s="12" t="n"/>
      <c r="AE100" s="12" t="n"/>
      <c r="AF100" s="12" t="n"/>
      <c r="AG100" s="12" t="n"/>
      <c r="AH100" s="12" t="n"/>
      <c r="AI100" s="12" t="n"/>
      <c r="AJ100" s="12" t="n"/>
      <c r="AK100" s="12" t="n"/>
      <c r="AL100" s="12" t="n"/>
      <c r="AM100" s="12" t="n"/>
      <c r="AN100" s="12" t="n"/>
      <c r="AO100" s="12" t="n"/>
      <c r="AP100" s="12" t="n"/>
      <c r="AQ100" s="12" t="n"/>
      <c r="AR100" s="12" t="n"/>
      <c r="AS100" s="12" t="n"/>
      <c r="AT100" s="12" t="n"/>
      <c r="AU100" s="12" t="n"/>
      <c r="AV100" s="12" t="n"/>
      <c r="AW100" s="12" t="n"/>
      <c r="AX100" s="12" t="n"/>
      <c r="AY100" s="12" t="n"/>
      <c r="AZ100" s="12" t="n"/>
      <c r="BA100" s="12" t="n"/>
      <c r="BB100" s="12" t="n"/>
      <c r="BC100" s="12" t="n"/>
      <c r="BD100" s="12" t="n"/>
      <c r="BE100" s="12" t="n"/>
      <c r="BF100" s="12" t="n"/>
      <c r="BG100" s="12" t="n"/>
      <c r="BH100" s="12" t="n"/>
      <c r="BI100" s="12" t="n"/>
      <c r="BJ100" s="12" t="n"/>
      <c r="BK100" s="12" t="n"/>
      <c r="BL100" s="12" t="n"/>
      <c r="BM100" s="12" t="n"/>
      <c r="BN100" s="12" t="n"/>
      <c r="BO100" s="12" t="n"/>
      <c r="BP100" s="12" t="n"/>
      <c r="BQ100" s="12" t="n"/>
      <c r="BR100" s="12" t="n"/>
      <c r="BS100" s="12" t="n"/>
      <c r="BT100" s="12" t="n"/>
      <c r="BU100" s="12" t="n"/>
      <c r="BV100" s="12" t="n"/>
      <c r="BW100" s="12" t="n"/>
      <c r="BX100" s="12" t="n"/>
      <c r="BY100" s="12" t="n"/>
      <c r="BZ100" s="12" t="n"/>
      <c r="CA100" s="12" t="n"/>
      <c r="CB100" s="12" t="n"/>
      <c r="CC100" s="12" t="n"/>
      <c r="CD100" s="12" t="n"/>
      <c r="CE100" s="12" t="n"/>
      <c r="CF100" s="12" t="n"/>
      <c r="CG100" s="12" t="n"/>
      <c r="CH100" s="12" t="n"/>
      <c r="CI100" s="12" t="n"/>
      <c r="CJ100" s="12" t="n"/>
      <c r="CK100" s="12" t="n"/>
      <c r="CL100" s="12" t="n"/>
      <c r="CM100" s="12" t="n"/>
      <c r="CN100" s="12" t="n"/>
      <c r="CO100" s="12" t="n"/>
      <c r="CP100" s="12" t="n"/>
      <c r="CQ100" s="12" t="n"/>
      <c r="CR100" s="12" t="n"/>
      <c r="CS100" s="12" t="n"/>
      <c r="CT100" s="12" t="n"/>
      <c r="CU100" s="12" t="n"/>
      <c r="CV100" s="12" t="n"/>
      <c r="CW100" s="12" t="n"/>
      <c r="CX100" s="12" t="n"/>
      <c r="CY100" s="12" t="n"/>
    </row>
    <row r="101" hidden="1" outlineLevel="1">
      <c r="C101" s="57" t="inlineStr">
        <is>
          <t>DESPESAS FINANCEIRAS - Juros sobre arrendamento - IFRS16</t>
        </is>
      </c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  <c r="AA101" s="12" t="n"/>
      <c r="AB101" s="12" t="n"/>
      <c r="AC101" s="12" t="n"/>
      <c r="AD101" s="12" t="n"/>
      <c r="AE101" s="12" t="n"/>
      <c r="AF101" s="12" t="n"/>
      <c r="AG101" s="12" t="n"/>
      <c r="AH101" s="12" t="n"/>
      <c r="AI101" s="12" t="n"/>
      <c r="AJ101" s="12" t="n"/>
      <c r="AK101" s="12" t="n"/>
      <c r="AL101" s="12" t="n"/>
      <c r="AM101" s="12" t="n"/>
      <c r="AN101" s="12" t="n"/>
      <c r="AO101" s="12" t="n"/>
      <c r="AP101" s="12" t="n"/>
      <c r="AQ101" s="12" t="n"/>
      <c r="AR101" s="12" t="n"/>
      <c r="AS101" s="12" t="n"/>
      <c r="AT101" s="12" t="n"/>
      <c r="AU101" s="12" t="n"/>
      <c r="AV101" s="12" t="n"/>
      <c r="AW101" s="12" t="n"/>
      <c r="AX101" s="12" t="n"/>
      <c r="AY101" s="12" t="n"/>
      <c r="AZ101" s="12" t="n"/>
      <c r="BA101" s="12" t="n"/>
      <c r="BB101" s="12" t="n"/>
      <c r="BC101" s="12" t="n"/>
      <c r="BD101" s="12" t="n"/>
      <c r="BE101" s="12" t="n"/>
      <c r="BF101" s="12" t="n"/>
      <c r="BG101" s="12" t="n"/>
      <c r="BH101" s="12" t="n"/>
      <c r="BI101" s="12" t="n"/>
      <c r="BJ101" s="12" t="n"/>
      <c r="BK101" s="12" t="n"/>
      <c r="BL101" s="12" t="n"/>
      <c r="BM101" s="12" t="n"/>
      <c r="BN101" s="12" t="n"/>
      <c r="BO101" s="12" t="n"/>
      <c r="BP101" s="12" t="n"/>
      <c r="BQ101" s="12" t="n"/>
      <c r="BR101" s="12" t="n"/>
      <c r="BS101" s="12" t="n"/>
      <c r="BT101" s="12" t="n"/>
      <c r="BU101" s="12" t="n"/>
      <c r="BV101" s="12" t="n"/>
      <c r="BW101" s="12" t="n"/>
      <c r="BX101" s="12" t="n"/>
      <c r="BY101" s="12" t="n"/>
      <c r="BZ101" s="12" t="n"/>
      <c r="CA101" s="12" t="n"/>
      <c r="CB101" s="12" t="n"/>
      <c r="CC101" s="12" t="n"/>
      <c r="CD101" s="12" t="n"/>
      <c r="CE101" s="12" t="n"/>
      <c r="CF101" s="12" t="n"/>
      <c r="CG101" s="12" t="n"/>
      <c r="CH101" s="12" t="n"/>
      <c r="CI101" s="12" t="n"/>
      <c r="CJ101" s="12" t="n"/>
      <c r="CK101" s="12" t="n"/>
      <c r="CL101" s="12" t="n"/>
      <c r="CM101" s="12" t="n"/>
      <c r="CN101" s="12" t="n"/>
      <c r="CO101" s="12" t="n"/>
      <c r="CP101" s="12" t="n"/>
      <c r="CQ101" s="12" t="n"/>
      <c r="CR101" s="12" t="n"/>
      <c r="CS101" s="12" t="n"/>
      <c r="CT101" s="12" t="n"/>
      <c r="CU101" s="12" t="n"/>
      <c r="CV101" s="12" t="n"/>
      <c r="CW101" s="12" t="n"/>
      <c r="CX101" s="12" t="n"/>
      <c r="CY101" s="12" t="n"/>
    </row>
    <row r="102" hidden="1" outlineLevel="1">
      <c r="C102" s="57" t="inlineStr">
        <is>
          <t>DESPESAS FINANCEIRAS - Despesas bancárias</t>
        </is>
      </c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  <c r="AA102" s="12" t="n"/>
      <c r="AB102" s="12" t="n"/>
      <c r="AC102" s="12" t="n"/>
      <c r="AD102" s="12" t="n"/>
      <c r="AE102" s="12" t="n"/>
      <c r="AF102" s="12" t="n"/>
      <c r="AG102" s="12" t="n"/>
      <c r="AH102" s="12" t="n"/>
      <c r="AI102" s="12" t="n"/>
      <c r="AJ102" s="12" t="n"/>
      <c r="AK102" s="12" t="n"/>
      <c r="AL102" s="12" t="n"/>
      <c r="AM102" s="12" t="n"/>
      <c r="AN102" s="12" t="n"/>
      <c r="AO102" s="12" t="n"/>
      <c r="AP102" s="12" t="n"/>
      <c r="AQ102" s="12" t="n"/>
      <c r="AR102" s="12" t="n"/>
      <c r="AS102" s="12" t="n"/>
      <c r="AT102" s="12" t="n"/>
      <c r="AU102" s="12" t="n"/>
      <c r="AV102" s="12" t="n"/>
      <c r="AW102" s="12" t="n"/>
      <c r="AX102" s="12" t="n"/>
      <c r="AY102" s="12" t="n"/>
      <c r="AZ102" s="12" t="n"/>
      <c r="BA102" s="12" t="n"/>
      <c r="BB102" s="12" t="n"/>
      <c r="BC102" s="12" t="n"/>
      <c r="BD102" s="12" t="n"/>
      <c r="BE102" s="12" t="n"/>
      <c r="BF102" s="12" t="n"/>
      <c r="BG102" s="12" t="n"/>
      <c r="BH102" s="12" t="n"/>
      <c r="BI102" s="12" t="n"/>
      <c r="BJ102" s="12" t="n"/>
      <c r="BK102" s="12" t="n"/>
      <c r="BL102" s="12" t="n"/>
      <c r="BM102" s="12" t="n"/>
      <c r="BN102" s="12" t="n"/>
      <c r="BO102" s="12" t="n"/>
      <c r="BP102" s="12" t="n"/>
      <c r="BQ102" s="12" t="n"/>
      <c r="BR102" s="12" t="n"/>
      <c r="BS102" s="12" t="n"/>
      <c r="BT102" s="12" t="n"/>
      <c r="BU102" s="12" t="n"/>
      <c r="BV102" s="12" t="n"/>
      <c r="BW102" s="12" t="n"/>
      <c r="BX102" s="12" t="n"/>
      <c r="BY102" s="12" t="n"/>
      <c r="BZ102" s="12" t="n"/>
      <c r="CA102" s="12" t="n"/>
      <c r="CB102" s="12" t="n"/>
      <c r="CC102" s="12" t="n"/>
      <c r="CD102" s="12" t="n"/>
      <c r="CE102" s="12" t="n"/>
      <c r="CF102" s="12" t="n"/>
      <c r="CG102" s="12" t="n"/>
      <c r="CH102" s="12" t="n"/>
      <c r="CI102" s="12" t="n"/>
      <c r="CJ102" s="12" t="n"/>
      <c r="CK102" s="12" t="n"/>
      <c r="CL102" s="12" t="n"/>
      <c r="CM102" s="12" t="n"/>
      <c r="CN102" s="12" t="n"/>
      <c r="CO102" s="12" t="n"/>
      <c r="CP102" s="12" t="n"/>
      <c r="CQ102" s="12" t="n"/>
      <c r="CR102" s="12" t="n"/>
      <c r="CS102" s="12" t="n"/>
      <c r="CT102" s="12" t="n"/>
      <c r="CU102" s="12" t="n"/>
      <c r="CV102" s="12" t="n"/>
      <c r="CW102" s="12" t="n"/>
      <c r="CX102" s="12" t="n"/>
      <c r="CY102" s="12" t="n"/>
    </row>
    <row r="103" hidden="1" outlineLevel="1">
      <c r="C103" s="57" t="inlineStr">
        <is>
          <t>DESPESAS FINANCEIRAS - Despesas com obtenção de empréstimos e financiamentos</t>
        </is>
      </c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  <c r="AA103" s="12" t="n"/>
      <c r="AB103" s="12" t="n"/>
      <c r="AC103" s="12" t="n"/>
      <c r="AD103" s="12" t="n"/>
      <c r="AE103" s="12" t="n"/>
      <c r="AF103" s="12" t="n"/>
      <c r="AG103" s="12" t="n"/>
      <c r="AH103" s="12" t="n"/>
      <c r="AI103" s="12" t="n"/>
      <c r="AJ103" s="12" t="n"/>
      <c r="AK103" s="12" t="n"/>
      <c r="AL103" s="12" t="n"/>
      <c r="AM103" s="12" t="n"/>
      <c r="AN103" s="12" t="n"/>
      <c r="AO103" s="12" t="n"/>
      <c r="AP103" s="12" t="n"/>
      <c r="AQ103" s="12" t="n"/>
      <c r="AR103" s="12" t="n"/>
      <c r="AS103" s="12" t="n"/>
      <c r="AT103" s="12" t="n"/>
      <c r="AU103" s="12" t="n"/>
      <c r="AV103" s="12" t="n"/>
      <c r="AW103" s="12" t="n"/>
      <c r="AX103" s="12" t="n"/>
      <c r="AY103" s="12" t="n"/>
      <c r="AZ103" s="12" t="n"/>
      <c r="BA103" s="12" t="n"/>
      <c r="BB103" s="12" t="n"/>
      <c r="BC103" s="12" t="n"/>
      <c r="BD103" s="12" t="n"/>
      <c r="BE103" s="12" t="n"/>
      <c r="BF103" s="12" t="n"/>
      <c r="BG103" s="12" t="n"/>
      <c r="BH103" s="12" t="n"/>
      <c r="BI103" s="12" t="n"/>
      <c r="BJ103" s="12" t="n"/>
      <c r="BK103" s="12" t="n"/>
      <c r="BL103" s="12" t="n"/>
      <c r="BM103" s="12" t="n"/>
      <c r="BN103" s="12" t="n"/>
      <c r="BO103" s="12" t="n"/>
      <c r="BP103" s="12" t="n"/>
      <c r="BQ103" s="12" t="n"/>
      <c r="BR103" s="12" t="n"/>
      <c r="BS103" s="12" t="n"/>
      <c r="BT103" s="12" t="n"/>
      <c r="BU103" s="12" t="n"/>
      <c r="BV103" s="12" t="n"/>
      <c r="BW103" s="12" t="n"/>
      <c r="BX103" s="12" t="n"/>
      <c r="BY103" s="12" t="n"/>
      <c r="BZ103" s="12" t="n"/>
      <c r="CA103" s="12" t="n"/>
      <c r="CB103" s="12" t="n"/>
      <c r="CC103" s="12" t="n"/>
      <c r="CD103" s="12" t="n"/>
      <c r="CE103" s="12" t="n"/>
      <c r="CF103" s="12" t="n"/>
      <c r="CG103" s="12" t="n"/>
      <c r="CH103" s="12" t="n"/>
      <c r="CI103" s="12" t="n"/>
      <c r="CJ103" s="12" t="n"/>
      <c r="CK103" s="12" t="n"/>
      <c r="CL103" s="12" t="n"/>
      <c r="CM103" s="12" t="n"/>
      <c r="CN103" s="12" t="n"/>
      <c r="CO103" s="12" t="n"/>
      <c r="CP103" s="12" t="n"/>
      <c r="CQ103" s="12" t="n"/>
      <c r="CR103" s="12" t="n"/>
      <c r="CS103" s="12" t="n"/>
      <c r="CT103" s="12" t="n"/>
      <c r="CU103" s="12" t="n"/>
      <c r="CV103" s="12" t="n"/>
      <c r="CW103" s="12" t="n"/>
      <c r="CX103" s="12" t="n"/>
      <c r="CY103" s="12" t="n"/>
    </row>
    <row r="104" hidden="1" outlineLevel="1">
      <c r="C104" s="57" t="inlineStr">
        <is>
          <t>DESPESAS FINANCEIRAS - Atualização de contas a pagar por aquisição de empresas</t>
        </is>
      </c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2" t="n"/>
      <c r="Z104" s="12" t="n"/>
      <c r="AA104" s="12" t="n"/>
      <c r="AB104" s="12" t="n"/>
      <c r="AC104" s="12" t="n"/>
      <c r="AD104" s="12" t="n"/>
      <c r="AE104" s="12" t="n"/>
      <c r="AF104" s="12" t="n"/>
      <c r="AG104" s="12" t="n"/>
      <c r="AH104" s="12" t="n"/>
      <c r="AI104" s="12" t="n"/>
      <c r="AJ104" s="12" t="n"/>
      <c r="AK104" s="12" t="n"/>
      <c r="AL104" s="12" t="n"/>
      <c r="AM104" s="12" t="n"/>
      <c r="AN104" s="12" t="n"/>
      <c r="AO104" s="12" t="n"/>
      <c r="AP104" s="12" t="n"/>
      <c r="AQ104" s="12" t="n"/>
      <c r="AR104" s="12" t="n"/>
      <c r="AS104" s="12" t="n"/>
      <c r="AT104" s="12" t="n"/>
      <c r="AU104" s="12" t="n"/>
      <c r="AV104" s="12" t="n"/>
      <c r="AW104" s="12" t="n"/>
      <c r="AX104" s="12" t="n"/>
      <c r="AY104" s="12" t="n"/>
      <c r="AZ104" s="12" t="n"/>
      <c r="BA104" s="12" t="n"/>
      <c r="BB104" s="12" t="n"/>
      <c r="BC104" s="12" t="n"/>
      <c r="BD104" s="12" t="n"/>
      <c r="BE104" s="12" t="n"/>
      <c r="BF104" s="12" t="n"/>
      <c r="BG104" s="12" t="n"/>
      <c r="BH104" s="12" t="n"/>
      <c r="BI104" s="12" t="n"/>
      <c r="BJ104" s="12" t="n"/>
      <c r="BK104" s="12" t="n"/>
      <c r="BL104" s="12" t="n"/>
      <c r="BM104" s="12" t="n"/>
      <c r="BN104" s="12" t="n"/>
      <c r="BO104" s="12" t="n"/>
      <c r="BP104" s="12" t="n"/>
      <c r="BQ104" s="12" t="n"/>
      <c r="BR104" s="12" t="n"/>
      <c r="BS104" s="12" t="n"/>
      <c r="BT104" s="12" t="n"/>
      <c r="BU104" s="12" t="n"/>
      <c r="BV104" s="12" t="n"/>
      <c r="BW104" s="12" t="n"/>
      <c r="BX104" s="12" t="n"/>
      <c r="BY104" s="12" t="n"/>
      <c r="BZ104" s="12" t="n"/>
      <c r="CA104" s="12" t="n"/>
      <c r="CB104" s="12" t="n"/>
      <c r="CC104" s="12" t="n"/>
      <c r="CD104" s="12" t="n"/>
      <c r="CE104" s="12" t="n"/>
      <c r="CF104" s="12" t="n"/>
      <c r="CG104" s="12" t="n"/>
      <c r="CH104" s="12" t="n"/>
      <c r="CI104" s="12" t="n"/>
      <c r="CJ104" s="12" t="n"/>
      <c r="CK104" s="12" t="n"/>
      <c r="CL104" s="12" t="n"/>
      <c r="CM104" s="12" t="n"/>
      <c r="CN104" s="12" t="n"/>
      <c r="CO104" s="12" t="n"/>
      <c r="CP104" s="12" t="n"/>
      <c r="CQ104" s="12" t="n"/>
      <c r="CR104" s="12" t="n"/>
      <c r="CS104" s="12" t="n"/>
      <c r="CT104" s="12" t="n"/>
      <c r="CU104" s="12" t="n"/>
      <c r="CV104" s="12" t="n"/>
      <c r="CW104" s="12" t="n"/>
      <c r="CX104" s="12" t="n"/>
      <c r="CY104" s="12" t="n"/>
    </row>
    <row r="105" hidden="1" outlineLevel="1">
      <c r="C105" s="57" t="inlineStr">
        <is>
          <t>DESPESAS FINANCEIRAS - Outras</t>
        </is>
      </c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  <c r="AA105" s="12" t="n"/>
      <c r="AB105" s="12" t="n"/>
      <c r="AC105" s="12" t="n"/>
      <c r="AD105" s="12" t="n"/>
      <c r="AE105" s="12" t="n"/>
      <c r="AF105" s="12" t="n"/>
      <c r="AG105" s="12" t="n"/>
      <c r="AH105" s="12" t="n"/>
      <c r="AI105" s="12" t="n"/>
      <c r="AJ105" s="12" t="n"/>
      <c r="AK105" s="12" t="n"/>
      <c r="AL105" s="12" t="n"/>
      <c r="AM105" s="12" t="n"/>
      <c r="AN105" s="12" t="n"/>
      <c r="AO105" s="12" t="n"/>
      <c r="AP105" s="12" t="n"/>
      <c r="AQ105" s="12" t="n"/>
      <c r="AR105" s="12" t="n"/>
      <c r="AS105" s="12" t="n"/>
      <c r="AT105" s="12" t="n"/>
      <c r="AU105" s="12" t="n"/>
      <c r="AV105" s="12" t="n"/>
      <c r="AW105" s="12" t="n"/>
      <c r="AX105" s="12" t="n"/>
      <c r="AY105" s="12" t="n"/>
      <c r="AZ105" s="12" t="n"/>
      <c r="BA105" s="12" t="n"/>
      <c r="BB105" s="12" t="n"/>
      <c r="BC105" s="12" t="n"/>
      <c r="BD105" s="12" t="n"/>
      <c r="BE105" s="12" t="n"/>
      <c r="BF105" s="12" t="n"/>
      <c r="BG105" s="12" t="n"/>
      <c r="BH105" s="12" t="n"/>
      <c r="BI105" s="12" t="n"/>
      <c r="BJ105" s="12" t="n"/>
      <c r="BK105" s="12" t="n"/>
      <c r="BL105" s="12" t="n"/>
      <c r="BM105" s="12" t="n"/>
      <c r="BN105" s="12" t="n"/>
      <c r="BO105" s="12" t="n"/>
      <c r="BP105" s="12" t="n"/>
      <c r="BQ105" s="12" t="n"/>
      <c r="BR105" s="12" t="n"/>
      <c r="BS105" s="12" t="n"/>
      <c r="BT105" s="12" t="n"/>
      <c r="BU105" s="12" t="n"/>
      <c r="BV105" s="12" t="n"/>
      <c r="BW105" s="12" t="n"/>
      <c r="BX105" s="12" t="n"/>
      <c r="BY105" s="12" t="n"/>
      <c r="BZ105" s="12" t="n"/>
      <c r="CA105" s="12" t="n"/>
      <c r="CB105" s="12" t="n"/>
      <c r="CC105" s="12" t="n"/>
      <c r="CD105" s="12" t="n"/>
      <c r="CE105" s="12" t="n"/>
      <c r="CF105" s="12" t="n"/>
      <c r="CG105" s="12" t="n"/>
      <c r="CH105" s="12" t="n"/>
      <c r="CI105" s="12" t="n"/>
      <c r="CJ105" s="12" t="n"/>
      <c r="CK105" s="12" t="n"/>
      <c r="CL105" s="12" t="n"/>
      <c r="CM105" s="12" t="n"/>
      <c r="CN105" s="12" t="n"/>
      <c r="CO105" s="12" t="n"/>
      <c r="CP105" s="12" t="n"/>
      <c r="CQ105" s="12" t="n"/>
      <c r="CR105" s="12" t="n"/>
      <c r="CS105" s="12" t="n"/>
      <c r="CT105" s="12" t="n"/>
      <c r="CU105" s="12" t="n"/>
      <c r="CV105" s="12" t="n"/>
      <c r="CW105" s="12" t="n"/>
      <c r="CX105" s="12" t="n"/>
      <c r="CY105" s="12" t="n"/>
    </row>
    <row r="106" hidden="1" outlineLevel="1">
      <c r="C106" s="57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2" t="n"/>
      <c r="Z106" s="12" t="n"/>
      <c r="AA106" s="12" t="n"/>
      <c r="AB106" s="12" t="n"/>
      <c r="AC106" s="12" t="n"/>
      <c r="AD106" s="12" t="n"/>
      <c r="AE106" s="12" t="n"/>
      <c r="AF106" s="12" t="n"/>
      <c r="AG106" s="12" t="n"/>
      <c r="AH106" s="12" t="n"/>
      <c r="AI106" s="12" t="n"/>
      <c r="AJ106" s="12" t="n"/>
      <c r="AK106" s="12" t="n"/>
      <c r="AL106" s="12" t="n"/>
      <c r="AM106" s="12" t="n"/>
      <c r="AN106" s="12" t="n"/>
      <c r="AO106" s="12" t="n"/>
      <c r="AP106" s="12" t="n"/>
      <c r="AQ106" s="12" t="n"/>
      <c r="AR106" s="12" t="n"/>
      <c r="AS106" s="12" t="n"/>
      <c r="AT106" s="12" t="n"/>
      <c r="AU106" s="12" t="n"/>
      <c r="AV106" s="12" t="n"/>
      <c r="AW106" s="12" t="n"/>
      <c r="AX106" s="12" t="n"/>
      <c r="AY106" s="12" t="n"/>
      <c r="AZ106" s="12" t="n"/>
      <c r="BA106" s="12" t="n"/>
      <c r="BB106" s="12" t="n"/>
      <c r="BC106" s="12" t="n"/>
      <c r="BD106" s="12" t="n"/>
      <c r="BE106" s="12" t="n"/>
      <c r="BF106" s="12" t="n"/>
      <c r="BG106" s="12" t="n"/>
      <c r="BH106" s="12" t="n"/>
      <c r="BI106" s="12" t="n"/>
      <c r="BJ106" s="12" t="n"/>
      <c r="BK106" s="12" t="n"/>
      <c r="BL106" s="12" t="n"/>
      <c r="BM106" s="12" t="n"/>
      <c r="BN106" s="12" t="n"/>
      <c r="BO106" s="12" t="n"/>
      <c r="BP106" s="12" t="n"/>
      <c r="BQ106" s="12" t="n"/>
      <c r="BR106" s="12" t="n"/>
      <c r="BS106" s="12" t="n"/>
      <c r="BT106" s="12" t="n"/>
      <c r="BU106" s="12" t="n"/>
      <c r="BV106" s="12" t="n"/>
      <c r="BW106" s="12" t="n"/>
      <c r="BX106" s="12" t="n"/>
      <c r="BY106" s="12" t="n"/>
      <c r="BZ106" s="12" t="n"/>
      <c r="CA106" s="12" t="n"/>
      <c r="CB106" s="12" t="n"/>
      <c r="CC106" s="12" t="n"/>
      <c r="CD106" s="12" t="n"/>
      <c r="CE106" s="12" t="n"/>
      <c r="CF106" s="12" t="n"/>
      <c r="CG106" s="12" t="n"/>
      <c r="CH106" s="12" t="n"/>
      <c r="CI106" s="12" t="n"/>
      <c r="CJ106" s="12" t="n"/>
      <c r="CK106" s="12" t="n"/>
      <c r="CL106" s="12" t="n"/>
      <c r="CM106" s="12" t="n"/>
      <c r="CN106" s="12" t="n"/>
      <c r="CO106" s="12" t="n"/>
      <c r="CP106" s="12" t="n"/>
      <c r="CQ106" s="12" t="n"/>
      <c r="CR106" s="12" t="n"/>
      <c r="CS106" s="12" t="n"/>
      <c r="CT106" s="12" t="n"/>
      <c r="CU106" s="12" t="n"/>
      <c r="CV106" s="12" t="n"/>
      <c r="CW106" s="12" t="n"/>
      <c r="CX106" s="12" t="n"/>
      <c r="CY106" s="12" t="n"/>
    </row>
    <row r="107" hidden="1" outlineLevel="1">
      <c r="C107" s="57" t="inlineStr">
        <is>
          <t>CHECK [EX IFRS-16]</t>
        </is>
      </c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  <c r="AA107" s="12" t="n"/>
      <c r="AB107" s="12" t="n"/>
      <c r="AC107" s="12" t="n"/>
      <c r="AD107" s="12" t="n"/>
      <c r="AE107" s="12" t="n"/>
      <c r="AF107" s="12" t="n"/>
      <c r="AG107" s="12" t="n"/>
      <c r="AH107" s="12" t="n"/>
      <c r="AI107" s="12" t="n"/>
      <c r="AJ107" s="12" t="n"/>
      <c r="AK107" s="12" t="n"/>
      <c r="AL107" s="12" t="n"/>
      <c r="AM107" s="12" t="n"/>
      <c r="AN107" s="12" t="n"/>
      <c r="AO107" s="12" t="n"/>
      <c r="AP107" s="12" t="n"/>
      <c r="AQ107" s="12" t="n"/>
      <c r="AR107" s="12" t="n"/>
      <c r="AS107" s="12" t="n"/>
      <c r="AT107" s="12" t="n"/>
      <c r="AU107" s="12" t="n"/>
      <c r="AV107" s="12" t="n"/>
      <c r="AW107" s="12" t="n"/>
      <c r="AX107" s="12" t="n"/>
      <c r="AY107" s="12" t="n"/>
      <c r="AZ107" s="12" t="n"/>
      <c r="BA107" s="12" t="n"/>
      <c r="BB107" s="12" t="n"/>
      <c r="BC107" s="12" t="n"/>
      <c r="BD107" s="12" t="n"/>
      <c r="BE107" s="12" t="n"/>
      <c r="BF107" s="12" t="n"/>
      <c r="BG107" s="12" t="n"/>
      <c r="BH107" s="12" t="n"/>
      <c r="BI107" s="12" t="n"/>
      <c r="BJ107" s="12" t="n"/>
      <c r="BK107" s="12" t="n"/>
      <c r="BL107" s="12" t="n"/>
      <c r="BM107" s="12" t="n"/>
      <c r="BN107" s="12" t="n"/>
      <c r="BO107" s="12" t="n"/>
      <c r="BP107" s="12" t="n"/>
      <c r="BQ107" s="12" t="n"/>
      <c r="BR107" s="12" t="n"/>
      <c r="BS107" s="12" t="n"/>
      <c r="BT107" s="12" t="n"/>
      <c r="BU107" s="12" t="n"/>
      <c r="BV107" s="12" t="n"/>
      <c r="BW107" s="12" t="n"/>
      <c r="BX107" s="12" t="n"/>
      <c r="BY107" s="12" t="n"/>
      <c r="BZ107" s="12" t="n"/>
      <c r="CA107" s="12" t="n"/>
      <c r="CB107" s="12" t="n"/>
      <c r="CC107" s="12" t="n"/>
      <c r="CD107" s="12" t="n"/>
      <c r="CE107" s="12" t="n"/>
      <c r="CF107" s="12" t="n"/>
      <c r="CG107" s="12" t="n"/>
      <c r="CH107" s="12" t="n"/>
      <c r="CI107" s="12" t="n"/>
      <c r="CJ107" s="12" t="n"/>
      <c r="CK107" s="12" t="n"/>
      <c r="CL107" s="12" t="n"/>
      <c r="CM107" s="12" t="n"/>
      <c r="CN107" s="12" t="n"/>
      <c r="CO107" s="12" t="n"/>
      <c r="CP107" s="12" t="n"/>
      <c r="CQ107" s="12" t="n"/>
      <c r="CR107" s="12" t="n"/>
      <c r="CS107" s="12" t="n"/>
      <c r="CT107" s="12" t="n"/>
      <c r="CU107" s="12" t="n"/>
      <c r="CV107" s="12" t="n"/>
      <c r="CW107" s="12" t="n"/>
      <c r="CX107" s="12" t="n"/>
      <c r="CY107" s="12" t="n"/>
    </row>
    <row r="108" hidden="1" outlineLevel="1">
      <c r="C108" s="57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2" t="n"/>
      <c r="Z108" s="12" t="n"/>
      <c r="AA108" s="12" t="n"/>
      <c r="AB108" s="12" t="n"/>
      <c r="AC108" s="12" t="n"/>
      <c r="AD108" s="12" t="n"/>
      <c r="AE108" s="12" t="n"/>
      <c r="AF108" s="12" t="n"/>
      <c r="AG108" s="12" t="n"/>
      <c r="AH108" s="12" t="n"/>
      <c r="AI108" s="12" t="n"/>
      <c r="AJ108" s="12" t="n"/>
      <c r="AK108" s="12" t="n"/>
      <c r="AL108" s="12" t="n"/>
      <c r="AM108" s="12" t="n"/>
      <c r="AN108" s="12" t="n"/>
      <c r="AO108" s="12" t="n"/>
      <c r="AP108" s="12" t="n"/>
      <c r="AQ108" s="12" t="n"/>
      <c r="AR108" s="12" t="n"/>
      <c r="AS108" s="12" t="n"/>
      <c r="AT108" s="12" t="n"/>
      <c r="AU108" s="12" t="n"/>
      <c r="AV108" s="12" t="n"/>
      <c r="AW108" s="12" t="n"/>
      <c r="AX108" s="12" t="n"/>
      <c r="AY108" s="12" t="n"/>
      <c r="AZ108" s="12" t="n"/>
      <c r="BA108" s="12" t="n"/>
      <c r="BB108" s="12" t="n"/>
      <c r="BC108" s="12" t="n"/>
      <c r="BD108" s="12" t="n"/>
      <c r="BE108" s="12" t="n"/>
      <c r="BF108" s="12" t="n"/>
      <c r="BG108" s="12" t="n"/>
      <c r="BH108" s="12" t="n"/>
      <c r="BI108" s="12" t="n"/>
      <c r="BJ108" s="12" t="n"/>
      <c r="BK108" s="12" t="n"/>
      <c r="BL108" s="12" t="n"/>
      <c r="BM108" s="12" t="n"/>
      <c r="BN108" s="12" t="n"/>
      <c r="BO108" s="12" t="n"/>
      <c r="BP108" s="12" t="n"/>
      <c r="BQ108" s="12" t="n"/>
      <c r="BR108" s="12" t="n"/>
      <c r="BS108" s="12" t="n"/>
      <c r="BT108" s="12" t="n"/>
      <c r="BU108" s="12" t="n"/>
      <c r="BV108" s="12" t="n"/>
      <c r="BW108" s="12" t="n"/>
      <c r="BX108" s="12" t="n"/>
      <c r="BY108" s="12" t="n"/>
      <c r="BZ108" s="12" t="n"/>
      <c r="CA108" s="12" t="n"/>
      <c r="CB108" s="12" t="n"/>
      <c r="CC108" s="12" t="n"/>
      <c r="CD108" s="12" t="n"/>
      <c r="CE108" s="12" t="n"/>
      <c r="CF108" s="12" t="n"/>
      <c r="CG108" s="12" t="n"/>
      <c r="CH108" s="12" t="n"/>
      <c r="CI108" s="12" t="n"/>
      <c r="CJ108" s="12" t="n"/>
      <c r="CK108" s="12" t="n"/>
      <c r="CL108" s="12" t="n"/>
      <c r="CM108" s="12" t="n"/>
      <c r="CN108" s="12" t="n"/>
      <c r="CO108" s="12" t="n"/>
      <c r="CP108" s="12" t="n"/>
      <c r="CQ108" s="12" t="n"/>
      <c r="CR108" s="12" t="n"/>
      <c r="CS108" s="12" t="n"/>
      <c r="CT108" s="12" t="n"/>
      <c r="CU108" s="12" t="n"/>
      <c r="CV108" s="12" t="n"/>
      <c r="CW108" s="12" t="n"/>
      <c r="CX108" s="12" t="n"/>
      <c r="CY108" s="12" t="n"/>
    </row>
    <row r="109" collapsed="1">
      <c r="C109" s="14" t="inlineStr">
        <is>
          <t>Nonoperating Income / (Loss)</t>
        </is>
      </c>
      <c r="D109" s="46" t="n"/>
      <c r="E109" s="46" t="n"/>
      <c r="F109" s="46" t="n"/>
      <c r="G109" s="46" t="n"/>
      <c r="H109" s="12" t="n"/>
      <c r="I109" s="46">
        <f>'Inputs (2)'!D9</f>
        <v>0</v>
      </c>
      <c r="J109" s="46">
        <f>'Inputs (2)'!E9</f>
        <v>0</v>
      </c>
      <c r="K109" s="46">
        <f>'Inputs (2)'!F9</f>
        <v>0</v>
      </c>
      <c r="L109" s="46">
        <f>'Inputs (2)'!G9</f>
        <v>0</v>
      </c>
      <c r="M109" s="12">
        <f>'Inputs (2)'!H9</f>
        <v>0</v>
      </c>
      <c r="N109" s="46">
        <f>'Inputs (2)'!I9</f>
        <v>0</v>
      </c>
      <c r="O109" s="46">
        <f>'Inputs (2)'!J9</f>
        <v>0</v>
      </c>
      <c r="P109" s="46">
        <f>'Inputs (2)'!K9</f>
        <v>0</v>
      </c>
      <c r="Q109" s="46">
        <f>'Inputs (2)'!L9</f>
        <v>0</v>
      </c>
      <c r="R109" s="12">
        <f>'Inputs (2)'!M9</f>
        <v>0</v>
      </c>
      <c r="S109" s="46">
        <f>'Inputs (2)'!N9</f>
        <v>0</v>
      </c>
      <c r="T109" s="46">
        <f>'Inputs (2)'!O9</f>
        <v>0</v>
      </c>
      <c r="U109" s="46">
        <f>'Inputs (2)'!P9</f>
        <v>0</v>
      </c>
      <c r="V109" s="46">
        <f>'Inputs (2)'!Q9</f>
        <v>0</v>
      </c>
      <c r="W109" s="12">
        <f>'Inputs (2)'!R9</f>
        <v>0</v>
      </c>
      <c r="X109" s="46">
        <f>'Inputs (2)'!S9</f>
        <v>0</v>
      </c>
      <c r="Y109" s="46">
        <f>'Inputs (2)'!T9</f>
        <v>0</v>
      </c>
      <c r="Z109" s="46">
        <f>'Inputs (2)'!U9</f>
        <v>0</v>
      </c>
      <c r="AA109" s="46">
        <f>'Inputs (2)'!V9</f>
        <v>0</v>
      </c>
      <c r="AB109" s="12">
        <f>'Inputs (2)'!W9</f>
        <v>0</v>
      </c>
      <c r="AC109" s="46">
        <f>'Inputs (2)'!X9</f>
        <v>0</v>
      </c>
      <c r="AD109" s="46">
        <f>'Inputs (2)'!Y9</f>
        <v>0</v>
      </c>
      <c r="AE109" s="46">
        <f>'Inputs (2)'!Z9</f>
        <v>0</v>
      </c>
      <c r="AF109" s="46">
        <f>'Inputs (2)'!AA9</f>
        <v>0</v>
      </c>
      <c r="AG109" s="12">
        <f>'Inputs (2)'!AB9</f>
        <v>0</v>
      </c>
      <c r="AH109" s="12">
        <f>'Inputs (2)'!AC9</f>
        <v>0</v>
      </c>
      <c r="AI109" s="12">
        <f>'Inputs (2)'!AD9</f>
        <v>0</v>
      </c>
      <c r="AJ109" s="12">
        <f>AJ15*Control!$B$23</f>
        <v>0</v>
      </c>
      <c r="AK109" s="12">
        <f>AK15*Control!$B$23</f>
        <v>0</v>
      </c>
      <c r="AL109" s="12">
        <f>SUM(AH109:AK109)</f>
        <v>0</v>
      </c>
      <c r="AM109" s="12">
        <f>AM15*Control!$C$23</f>
        <v>0</v>
      </c>
      <c r="AN109" s="12">
        <f>AN15*Control!$C$23</f>
        <v>0</v>
      </c>
      <c r="AO109" s="12">
        <f>AO15*Control!$C$23</f>
        <v>0</v>
      </c>
      <c r="AP109" s="12">
        <f>AP15*Control!$C$23</f>
        <v>0</v>
      </c>
      <c r="AQ109" s="12">
        <f>SUM(AM109:AP109)</f>
        <v>0</v>
      </c>
      <c r="AR109" s="12">
        <f>AR15*Control!$D$23</f>
        <v>0</v>
      </c>
      <c r="AS109" s="12">
        <f>AS15*Control!$D$23</f>
        <v>0</v>
      </c>
      <c r="AT109" s="12">
        <f>AT15*Control!$D$23</f>
        <v>0</v>
      </c>
      <c r="AU109" s="12">
        <f>AU15*Control!$D$23</f>
        <v>0</v>
      </c>
      <c r="AV109" s="12">
        <f>SUM(AR109:AU109)</f>
        <v>0</v>
      </c>
      <c r="AW109" s="12">
        <f>AW15*Control!$E$23</f>
        <v>0</v>
      </c>
      <c r="AX109" s="12">
        <f>AX15*Control!$E$23</f>
        <v>0</v>
      </c>
      <c r="AY109" s="12">
        <f>AY15*Control!$E$23</f>
        <v>0</v>
      </c>
      <c r="AZ109" s="12">
        <f>AZ15*Control!$E$23</f>
        <v>0</v>
      </c>
      <c r="BA109" s="12">
        <f>SUM(AW109:AZ109)</f>
        <v>0</v>
      </c>
      <c r="BB109" s="12">
        <f>BB15*Control!$F$23</f>
        <v>0</v>
      </c>
      <c r="BC109" s="12">
        <f>BC15*Control!$F$23</f>
        <v>0</v>
      </c>
      <c r="BD109" s="12">
        <f>BD15*Control!$F$23</f>
        <v>0</v>
      </c>
      <c r="BE109" s="12">
        <f>BE15*Control!$F$23</f>
        <v>0</v>
      </c>
      <c r="BF109" s="12">
        <f>SUM(BB109:BE109)</f>
        <v>0</v>
      </c>
      <c r="BG109" s="12" t="n"/>
      <c r="BH109" s="12" t="n"/>
      <c r="BI109" s="12" t="n"/>
      <c r="BJ109" s="12" t="n"/>
      <c r="BK109" s="12" t="n"/>
      <c r="BL109" s="12" t="n"/>
      <c r="BM109" s="12" t="n"/>
      <c r="BN109" s="12" t="n"/>
      <c r="BO109" s="12" t="n"/>
      <c r="BP109" s="12" t="n"/>
      <c r="BQ109" s="12" t="n"/>
      <c r="BR109" s="12" t="n"/>
      <c r="BS109" s="12" t="n"/>
      <c r="BT109" s="12" t="n"/>
      <c r="BU109" s="12" t="n"/>
      <c r="BV109" s="12" t="n"/>
      <c r="BW109" s="12" t="n"/>
      <c r="BX109" s="12" t="n"/>
      <c r="BY109" s="12" t="n"/>
      <c r="BZ109" s="12" t="n"/>
      <c r="CA109" s="12" t="n"/>
      <c r="CB109" s="12" t="n"/>
      <c r="CC109" s="12" t="n"/>
      <c r="CD109" s="12" t="n"/>
      <c r="CE109" s="12" t="n"/>
      <c r="CF109" s="12" t="n"/>
      <c r="CG109" s="12" t="n"/>
      <c r="CH109" s="12" t="n"/>
      <c r="CI109" s="12" t="n"/>
      <c r="CJ109" s="12" t="n"/>
      <c r="CK109" s="12" t="n"/>
      <c r="CL109" s="12" t="n"/>
      <c r="CM109" s="12" t="n"/>
      <c r="CN109" s="12" t="n"/>
      <c r="CO109" s="12" t="n"/>
      <c r="CP109" s="12" t="n"/>
      <c r="CQ109" s="12" t="n"/>
      <c r="CR109" s="12" t="n"/>
      <c r="CS109" s="12" t="n"/>
      <c r="CT109" s="12" t="n"/>
      <c r="CU109" s="12" t="n"/>
      <c r="CV109" s="12" t="n"/>
      <c r="CW109" s="12" t="n"/>
      <c r="CX109" s="12" t="n"/>
      <c r="CY109" s="12" t="n"/>
    </row>
    <row r="110" hidden="1" outlineLevel="1">
      <c r="C110" s="57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2" t="n"/>
      <c r="S110" s="12" t="n"/>
      <c r="T110" s="12" t="n"/>
      <c r="U110" s="12" t="n"/>
      <c r="V110" s="12" t="n"/>
      <c r="W110" s="12" t="n"/>
      <c r="X110" s="12" t="n"/>
      <c r="Y110" s="12" t="n"/>
      <c r="Z110" s="12" t="n"/>
      <c r="AA110" s="12" t="n"/>
      <c r="AB110" s="12" t="n"/>
      <c r="AC110" s="12" t="n"/>
      <c r="AD110" s="12" t="n"/>
      <c r="AE110" s="12" t="n"/>
      <c r="AF110" s="12" t="n"/>
      <c r="AG110" s="12" t="n"/>
      <c r="AH110" s="12" t="n"/>
      <c r="AI110" s="12" t="n"/>
      <c r="AJ110" s="12" t="n"/>
      <c r="AK110" s="12" t="n"/>
      <c r="AL110" s="12" t="n"/>
      <c r="AM110" s="12" t="n"/>
      <c r="AN110" s="12" t="n"/>
      <c r="AO110" s="12" t="n"/>
      <c r="AP110" s="12" t="n"/>
      <c r="AQ110" s="12" t="n"/>
      <c r="AR110" s="12" t="n"/>
      <c r="AS110" s="12" t="n"/>
      <c r="AT110" s="12" t="n"/>
      <c r="AU110" s="12" t="n"/>
      <c r="AV110" s="12" t="n"/>
      <c r="AW110" s="12" t="n"/>
      <c r="AX110" s="12" t="n"/>
      <c r="AY110" s="12" t="n"/>
      <c r="AZ110" s="12" t="n"/>
      <c r="BA110" s="12" t="n"/>
      <c r="BB110" s="12" t="n"/>
      <c r="BC110" s="12" t="n"/>
      <c r="BD110" s="12" t="n"/>
      <c r="BE110" s="12" t="n"/>
      <c r="BF110" s="12" t="n"/>
      <c r="BG110" s="12" t="n"/>
      <c r="BH110" s="12" t="n"/>
      <c r="BI110" s="12" t="n"/>
      <c r="BJ110" s="12" t="n"/>
      <c r="BK110" s="12" t="n"/>
      <c r="BL110" s="12" t="n"/>
      <c r="BM110" s="12" t="n"/>
      <c r="BN110" s="12" t="n"/>
      <c r="BO110" s="12" t="n"/>
      <c r="BP110" s="12" t="n"/>
      <c r="BQ110" s="12" t="n"/>
      <c r="BR110" s="12" t="n"/>
      <c r="BS110" s="12" t="n"/>
      <c r="BT110" s="12" t="n"/>
      <c r="BU110" s="12" t="n"/>
      <c r="BV110" s="12" t="n"/>
      <c r="BW110" s="12" t="n"/>
      <c r="BX110" s="12" t="n"/>
      <c r="BY110" s="12" t="n"/>
      <c r="BZ110" s="12" t="n"/>
      <c r="CA110" s="12" t="n"/>
      <c r="CB110" s="12" t="n"/>
      <c r="CC110" s="12" t="n"/>
      <c r="CD110" s="12" t="n"/>
      <c r="CE110" s="12" t="n"/>
      <c r="CF110" s="12" t="n"/>
      <c r="CG110" s="12" t="n"/>
      <c r="CH110" s="12" t="n"/>
      <c r="CI110" s="12" t="n"/>
      <c r="CJ110" s="12" t="n"/>
      <c r="CK110" s="12" t="n"/>
      <c r="CL110" s="12" t="n"/>
      <c r="CM110" s="12" t="n"/>
      <c r="CN110" s="12" t="n"/>
      <c r="CO110" s="12" t="n"/>
      <c r="CP110" s="12" t="n"/>
      <c r="CQ110" s="12" t="n"/>
      <c r="CR110" s="12" t="n"/>
      <c r="CS110" s="12" t="n"/>
      <c r="CT110" s="12" t="n"/>
      <c r="CU110" s="12" t="n"/>
      <c r="CV110" s="12" t="n"/>
      <c r="CW110" s="12" t="n"/>
      <c r="CX110" s="12" t="n"/>
      <c r="CY110" s="12" t="n"/>
    </row>
    <row r="111" hidden="1" outlineLevel="1">
      <c r="C111" s="50" t="inlineStr">
        <is>
          <t>Resultado Não Recorrente</t>
        </is>
      </c>
      <c r="D111" s="11" t="n"/>
      <c r="E111" s="11" t="n"/>
      <c r="F111" s="11" t="n"/>
      <c r="G111" s="11" t="n"/>
      <c r="H111" s="12" t="n"/>
      <c r="I111" s="11" t="n"/>
      <c r="J111" s="11" t="n"/>
      <c r="K111" s="11" t="n"/>
      <c r="L111" s="11" t="n"/>
      <c r="M111" s="12" t="n"/>
      <c r="N111" s="11" t="n"/>
      <c r="O111" s="11" t="n"/>
      <c r="P111" s="11" t="n"/>
      <c r="Q111" s="11" t="n"/>
      <c r="R111" s="12" t="n"/>
      <c r="S111" s="11" t="n"/>
      <c r="T111" s="11" t="n"/>
      <c r="U111" s="11" t="n"/>
      <c r="V111" s="11" t="n"/>
      <c r="W111" s="12" t="n"/>
      <c r="X111" s="11" t="n"/>
      <c r="Y111" s="11" t="n"/>
      <c r="Z111" s="11" t="n"/>
      <c r="AA111" s="11" t="n"/>
      <c r="AB111" s="12" t="n"/>
      <c r="AC111" s="11" t="n"/>
      <c r="AD111" s="11" t="n"/>
      <c r="AE111" s="11" t="n"/>
      <c r="AF111" s="11" t="n"/>
      <c r="AG111" s="12" t="n"/>
      <c r="AH111" s="12" t="n"/>
      <c r="AI111" s="12" t="n"/>
      <c r="AJ111" s="12" t="n"/>
      <c r="AK111" s="12" t="n"/>
      <c r="AL111" s="12" t="n"/>
      <c r="AM111" s="12" t="n"/>
      <c r="AN111" s="12" t="n"/>
      <c r="AO111" s="12" t="n"/>
      <c r="AP111" s="12" t="n"/>
      <c r="AQ111" s="12" t="n"/>
      <c r="AR111" s="12" t="n"/>
      <c r="AS111" s="12" t="n"/>
      <c r="AT111" s="12" t="n"/>
      <c r="AU111" s="12" t="n"/>
      <c r="AV111" s="12" t="n"/>
      <c r="AW111" s="12" t="n"/>
      <c r="AX111" s="12" t="n"/>
      <c r="AY111" s="12" t="n"/>
      <c r="AZ111" s="12" t="n"/>
      <c r="BA111" s="12" t="n"/>
      <c r="BB111" s="12" t="n"/>
      <c r="BC111" s="12" t="n"/>
      <c r="BD111" s="12" t="n"/>
      <c r="BE111" s="12" t="n"/>
      <c r="BF111" s="12" t="n"/>
      <c r="BG111" s="12" t="n"/>
      <c r="BH111" s="12" t="n"/>
      <c r="BI111" s="12" t="n"/>
      <c r="BJ111" s="12" t="n"/>
      <c r="BK111" s="12" t="n"/>
      <c r="BL111" s="12" t="n"/>
      <c r="BM111" s="12" t="n"/>
      <c r="BN111" s="12" t="n"/>
      <c r="BO111" s="12" t="n"/>
      <c r="BP111" s="12" t="n"/>
      <c r="BQ111" s="12" t="n"/>
      <c r="BR111" s="12" t="n"/>
      <c r="BS111" s="12" t="n"/>
      <c r="BT111" s="12" t="n"/>
      <c r="BU111" s="12" t="n"/>
      <c r="BV111" s="12" t="n"/>
      <c r="BW111" s="12" t="n"/>
      <c r="BX111" s="12" t="n"/>
      <c r="BY111" s="12" t="n"/>
      <c r="BZ111" s="12" t="n"/>
      <c r="CA111" s="12" t="n"/>
      <c r="CB111" s="12" t="n"/>
      <c r="CC111" s="12" t="n"/>
      <c r="CD111" s="12" t="n"/>
      <c r="CE111" s="12" t="n"/>
      <c r="CF111" s="12" t="n"/>
      <c r="CG111" s="12" t="n"/>
      <c r="CH111" s="12" t="n"/>
      <c r="CI111" s="12" t="n"/>
      <c r="CJ111" s="12" t="n"/>
      <c r="CK111" s="12" t="n"/>
      <c r="CL111" s="12" t="n"/>
      <c r="CM111" s="12" t="n"/>
      <c r="CN111" s="12" t="n"/>
      <c r="CO111" s="12" t="n"/>
      <c r="CP111" s="12" t="n"/>
      <c r="CQ111" s="12" t="n"/>
      <c r="CR111" s="12" t="n"/>
      <c r="CS111" s="12" t="n"/>
      <c r="CT111" s="12" t="n"/>
      <c r="CU111" s="12" t="n"/>
      <c r="CV111" s="12" t="n"/>
      <c r="CW111" s="12" t="n"/>
      <c r="CX111" s="12" t="n"/>
      <c r="CY111" s="12" t="n"/>
    </row>
    <row r="112" hidden="1" outlineLevel="1">
      <c r="C112" s="50" t="inlineStr">
        <is>
          <t>Plano de Opção de Compra de Ações</t>
        </is>
      </c>
      <c r="D112" s="11" t="n"/>
      <c r="E112" s="11" t="n"/>
      <c r="F112" s="11" t="n"/>
      <c r="G112" s="11" t="n"/>
      <c r="H112" s="12" t="n"/>
      <c r="I112" s="11" t="n"/>
      <c r="J112" s="11" t="n"/>
      <c r="K112" s="11" t="n"/>
      <c r="L112" s="11" t="n"/>
      <c r="M112" s="12" t="n"/>
      <c r="N112" s="11" t="n"/>
      <c r="O112" s="11" t="n"/>
      <c r="P112" s="11" t="n"/>
      <c r="Q112" s="11" t="n"/>
      <c r="R112" s="12" t="n"/>
      <c r="S112" s="11" t="n"/>
      <c r="T112" s="11" t="n"/>
      <c r="U112" s="11" t="n"/>
      <c r="V112" s="11" t="n"/>
      <c r="W112" s="12" t="n"/>
      <c r="X112" s="11" t="n"/>
      <c r="Y112" s="11" t="n"/>
      <c r="Z112" s="11" t="n"/>
      <c r="AA112" s="11" t="n"/>
      <c r="AB112" s="12" t="n"/>
      <c r="AC112" s="11" t="n"/>
      <c r="AD112" s="11" t="n"/>
      <c r="AE112" s="11" t="n"/>
      <c r="AF112" s="11" t="n"/>
      <c r="AG112" s="12" t="n"/>
      <c r="AH112" s="12" t="n"/>
      <c r="AI112" s="12" t="n"/>
      <c r="AJ112" s="12" t="n"/>
      <c r="AK112" s="12" t="n"/>
      <c r="AL112" s="12" t="n"/>
      <c r="AM112" s="12" t="n"/>
      <c r="AN112" s="12" t="n"/>
      <c r="AO112" s="12" t="n"/>
      <c r="AP112" s="12" t="n"/>
      <c r="AQ112" s="12" t="n"/>
      <c r="AR112" s="12" t="n"/>
      <c r="AS112" s="12" t="n"/>
      <c r="AT112" s="12" t="n"/>
      <c r="AU112" s="12" t="n"/>
      <c r="AV112" s="12" t="n"/>
      <c r="AW112" s="12" t="n"/>
      <c r="AX112" s="12" t="n"/>
      <c r="AY112" s="12" t="n"/>
      <c r="AZ112" s="12" t="n"/>
      <c r="BA112" s="12" t="n"/>
      <c r="BB112" s="12" t="n"/>
      <c r="BC112" s="12" t="n"/>
      <c r="BD112" s="12" t="n"/>
      <c r="BE112" s="12" t="n"/>
      <c r="BF112" s="12" t="n"/>
      <c r="BG112" s="12" t="n"/>
      <c r="BH112" s="12" t="n"/>
      <c r="BI112" s="12" t="n"/>
      <c r="BJ112" s="12" t="n"/>
      <c r="BK112" s="12" t="n"/>
      <c r="BL112" s="12" t="n"/>
      <c r="BM112" s="12" t="n"/>
      <c r="BN112" s="12" t="n"/>
      <c r="BO112" s="12" t="n"/>
      <c r="BP112" s="12" t="n"/>
      <c r="BQ112" s="12" t="n"/>
      <c r="BR112" s="12" t="n"/>
      <c r="BS112" s="12" t="n"/>
      <c r="BT112" s="12" t="n"/>
      <c r="BU112" s="12" t="n"/>
      <c r="BV112" s="12" t="n"/>
      <c r="BW112" s="12" t="n"/>
      <c r="BX112" s="12" t="n"/>
      <c r="BY112" s="12" t="n"/>
      <c r="BZ112" s="12" t="n"/>
      <c r="CA112" s="12" t="n"/>
      <c r="CB112" s="12" t="n"/>
      <c r="CC112" s="12" t="n"/>
      <c r="CD112" s="12" t="n"/>
      <c r="CE112" s="12" t="n"/>
      <c r="CF112" s="12" t="n"/>
      <c r="CG112" s="12" t="n"/>
      <c r="CH112" s="12" t="n"/>
      <c r="CI112" s="12" t="n"/>
      <c r="CJ112" s="12" t="n"/>
      <c r="CK112" s="12" t="n"/>
      <c r="CL112" s="12" t="n"/>
      <c r="CM112" s="12" t="n"/>
      <c r="CN112" s="12" t="n"/>
      <c r="CO112" s="12" t="n"/>
      <c r="CP112" s="12" t="n"/>
      <c r="CQ112" s="12" t="n"/>
      <c r="CR112" s="12" t="n"/>
      <c r="CS112" s="12" t="n"/>
      <c r="CT112" s="12" t="n"/>
      <c r="CU112" s="12" t="n"/>
      <c r="CV112" s="12" t="n"/>
      <c r="CW112" s="12" t="n"/>
      <c r="CX112" s="12" t="n"/>
      <c r="CY112" s="12" t="n"/>
    </row>
    <row r="113" hidden="1" outlineLevel="1">
      <c r="C113" s="50" t="inlineStr">
        <is>
          <t>Baixa Imobilizado</t>
        </is>
      </c>
      <c r="D113" s="11" t="n"/>
      <c r="E113" s="11" t="n"/>
      <c r="F113" s="11" t="n"/>
      <c r="G113" s="11" t="n"/>
      <c r="H113" s="12" t="n"/>
      <c r="I113" s="11" t="n"/>
      <c r="J113" s="11" t="n"/>
      <c r="K113" s="11" t="n"/>
      <c r="L113" s="11" t="n"/>
      <c r="M113" s="12" t="n"/>
      <c r="N113" s="11" t="n"/>
      <c r="O113" s="11" t="n"/>
      <c r="P113" s="11" t="n"/>
      <c r="Q113" s="11" t="n"/>
      <c r="R113" s="12" t="n"/>
      <c r="S113" s="11" t="n"/>
      <c r="T113" s="11" t="n"/>
      <c r="U113" s="11" t="n"/>
      <c r="V113" s="11" t="n"/>
      <c r="W113" s="12" t="n"/>
      <c r="X113" s="11" t="n"/>
      <c r="Y113" s="11" t="n"/>
      <c r="Z113" s="11" t="n"/>
      <c r="AA113" s="11" t="n"/>
      <c r="AB113" s="12" t="n"/>
      <c r="AC113" s="11" t="n"/>
      <c r="AD113" s="11" t="n"/>
      <c r="AE113" s="11" t="n"/>
      <c r="AF113" s="11" t="n"/>
      <c r="AG113" s="12" t="n"/>
      <c r="AH113" s="12" t="n"/>
      <c r="AI113" s="12" t="n"/>
      <c r="AJ113" s="12" t="n"/>
      <c r="AK113" s="12" t="n"/>
      <c r="AL113" s="12" t="n"/>
      <c r="AM113" s="12" t="n"/>
      <c r="AN113" s="12" t="n"/>
      <c r="AO113" s="12" t="n"/>
      <c r="AP113" s="12" t="n"/>
      <c r="AQ113" s="12" t="n"/>
      <c r="AR113" s="12" t="n"/>
      <c r="AS113" s="12" t="n"/>
      <c r="AT113" s="12" t="n"/>
      <c r="AU113" s="12" t="n"/>
      <c r="AV113" s="12" t="n"/>
      <c r="AW113" s="12" t="n"/>
      <c r="AX113" s="12" t="n"/>
      <c r="AY113" s="12" t="n"/>
      <c r="AZ113" s="12" t="n"/>
      <c r="BA113" s="12" t="n"/>
      <c r="BB113" s="12" t="n"/>
      <c r="BC113" s="12" t="n"/>
      <c r="BD113" s="12" t="n"/>
      <c r="BE113" s="12" t="n"/>
      <c r="BF113" s="12" t="n"/>
      <c r="BG113" s="12" t="n"/>
      <c r="BH113" s="12" t="n"/>
      <c r="BI113" s="12" t="n"/>
      <c r="BJ113" s="12" t="n"/>
      <c r="BK113" s="12" t="n"/>
      <c r="BL113" s="12" t="n"/>
      <c r="BM113" s="12" t="n"/>
      <c r="BN113" s="12" t="n"/>
      <c r="BO113" s="12" t="n"/>
      <c r="BP113" s="12" t="n"/>
      <c r="BQ113" s="12" t="n"/>
      <c r="BR113" s="12" t="n"/>
      <c r="BS113" s="12" t="n"/>
      <c r="BT113" s="12" t="n"/>
      <c r="BU113" s="12" t="n"/>
      <c r="BV113" s="12" t="n"/>
      <c r="BW113" s="12" t="n"/>
      <c r="BX113" s="12" t="n"/>
      <c r="BY113" s="12" t="n"/>
      <c r="BZ113" s="12" t="n"/>
      <c r="CA113" s="12" t="n"/>
      <c r="CB113" s="12" t="n"/>
      <c r="CC113" s="12" t="n"/>
      <c r="CD113" s="12" t="n"/>
      <c r="CE113" s="12" t="n"/>
      <c r="CF113" s="12" t="n"/>
      <c r="CG113" s="12" t="n"/>
      <c r="CH113" s="12" t="n"/>
      <c r="CI113" s="12" t="n"/>
      <c r="CJ113" s="12" t="n"/>
      <c r="CK113" s="12" t="n"/>
      <c r="CL113" s="12" t="n"/>
      <c r="CM113" s="12" t="n"/>
      <c r="CN113" s="12" t="n"/>
      <c r="CO113" s="12" t="n"/>
      <c r="CP113" s="12" t="n"/>
      <c r="CQ113" s="12" t="n"/>
      <c r="CR113" s="12" t="n"/>
      <c r="CS113" s="12" t="n"/>
      <c r="CT113" s="12" t="n"/>
      <c r="CU113" s="12" t="n"/>
      <c r="CV113" s="12" t="n"/>
      <c r="CW113" s="12" t="n"/>
      <c r="CX113" s="12" t="n"/>
      <c r="CY113" s="12" t="n"/>
    </row>
    <row r="114" hidden="1" outlineLevel="1">
      <c r="C114" s="57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12" t="n"/>
      <c r="S114" s="12" t="n"/>
      <c r="T114" s="12" t="n"/>
      <c r="U114" s="12" t="n"/>
      <c r="V114" s="12" t="n"/>
      <c r="W114" s="12" t="n"/>
      <c r="X114" s="12" t="n"/>
      <c r="Y114" s="12" t="n"/>
      <c r="Z114" s="12" t="n"/>
      <c r="AA114" s="12" t="n"/>
      <c r="AB114" s="12" t="n"/>
      <c r="AC114" s="12" t="n"/>
      <c r="AD114" s="12" t="n"/>
      <c r="AE114" s="12" t="n"/>
      <c r="AF114" s="12" t="n"/>
      <c r="AG114" s="12" t="n"/>
      <c r="AH114" s="12" t="n"/>
      <c r="AI114" s="12" t="n"/>
      <c r="AJ114" s="12" t="n"/>
      <c r="AK114" s="12" t="n"/>
      <c r="AL114" s="12" t="n"/>
      <c r="AM114" s="12" t="n"/>
      <c r="AN114" s="12" t="n"/>
      <c r="AO114" s="12" t="n"/>
      <c r="AP114" s="12" t="n"/>
      <c r="AQ114" s="12" t="n"/>
      <c r="AR114" s="12" t="n"/>
      <c r="AS114" s="12" t="n"/>
      <c r="AT114" s="12" t="n"/>
      <c r="AU114" s="12" t="n"/>
      <c r="AV114" s="12" t="n"/>
      <c r="AW114" s="12" t="n"/>
      <c r="AX114" s="12" t="n"/>
      <c r="AY114" s="12" t="n"/>
      <c r="AZ114" s="12" t="n"/>
      <c r="BA114" s="12" t="n"/>
      <c r="BB114" s="12" t="n"/>
      <c r="BC114" s="12" t="n"/>
      <c r="BD114" s="12" t="n"/>
      <c r="BE114" s="12" t="n"/>
      <c r="BF114" s="12" t="n"/>
      <c r="BG114" s="12" t="n"/>
      <c r="BH114" s="12" t="n"/>
      <c r="BI114" s="12" t="n"/>
      <c r="BJ114" s="12" t="n"/>
      <c r="BK114" s="12" t="n"/>
      <c r="BL114" s="12" t="n"/>
      <c r="BM114" s="12" t="n"/>
      <c r="BN114" s="12" t="n"/>
      <c r="BO114" s="12" t="n"/>
      <c r="BP114" s="12" t="n"/>
      <c r="BQ114" s="12" t="n"/>
      <c r="BR114" s="12" t="n"/>
      <c r="BS114" s="12" t="n"/>
      <c r="BT114" s="12" t="n"/>
      <c r="BU114" s="12" t="n"/>
      <c r="BV114" s="12" t="n"/>
      <c r="BW114" s="12" t="n"/>
      <c r="BX114" s="12" t="n"/>
      <c r="BY114" s="12" t="n"/>
      <c r="BZ114" s="12" t="n"/>
      <c r="CA114" s="12" t="n"/>
      <c r="CB114" s="12" t="n"/>
      <c r="CC114" s="12" t="n"/>
      <c r="CD114" s="12" t="n"/>
      <c r="CE114" s="12" t="n"/>
      <c r="CF114" s="12" t="n"/>
      <c r="CG114" s="12" t="n"/>
      <c r="CH114" s="12" t="n"/>
      <c r="CI114" s="12" t="n"/>
      <c r="CJ114" s="12" t="n"/>
      <c r="CK114" s="12" t="n"/>
      <c r="CL114" s="12" t="n"/>
      <c r="CM114" s="12" t="n"/>
      <c r="CN114" s="12" t="n"/>
      <c r="CO114" s="12" t="n"/>
      <c r="CP114" s="12" t="n"/>
      <c r="CQ114" s="12" t="n"/>
      <c r="CR114" s="12" t="n"/>
      <c r="CS114" s="12" t="n"/>
      <c r="CT114" s="12" t="n"/>
      <c r="CU114" s="12" t="n"/>
      <c r="CV114" s="12" t="n"/>
      <c r="CW114" s="12" t="n"/>
      <c r="CX114" s="12" t="n"/>
      <c r="CY114" s="12" t="n"/>
    </row>
    <row r="115" hidden="1" outlineLevel="1">
      <c r="C115" s="57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  <c r="Z115" s="12" t="n"/>
      <c r="AA115" s="12" t="n"/>
      <c r="AB115" s="12" t="n"/>
      <c r="AC115" s="12" t="n"/>
      <c r="AD115" s="12" t="n"/>
      <c r="AE115" s="12" t="n"/>
      <c r="AF115" s="12" t="n"/>
      <c r="AG115" s="12" t="n"/>
      <c r="AH115" s="12" t="n"/>
      <c r="AI115" s="12" t="n"/>
      <c r="AJ115" s="12" t="n"/>
      <c r="AK115" s="12" t="n"/>
      <c r="AL115" s="12" t="n"/>
      <c r="AM115" s="12" t="n"/>
      <c r="AN115" s="12" t="n"/>
      <c r="AO115" s="12" t="n"/>
      <c r="AP115" s="12" t="n"/>
      <c r="AQ115" s="12" t="n"/>
      <c r="AR115" s="12" t="n"/>
      <c r="AS115" s="12" t="n"/>
      <c r="AT115" s="12" t="n"/>
      <c r="AU115" s="12" t="n"/>
      <c r="AV115" s="12" t="n"/>
      <c r="AW115" s="12" t="n"/>
      <c r="AX115" s="12" t="n"/>
      <c r="AY115" s="12" t="n"/>
      <c r="AZ115" s="12" t="n"/>
      <c r="BA115" s="12" t="n"/>
      <c r="BB115" s="12" t="n"/>
      <c r="BC115" s="12" t="n"/>
      <c r="BD115" s="12" t="n"/>
      <c r="BE115" s="12" t="n"/>
      <c r="BF115" s="12" t="n"/>
      <c r="BG115" s="12" t="n"/>
      <c r="BH115" s="12" t="n"/>
      <c r="BI115" s="12" t="n"/>
      <c r="BJ115" s="12" t="n"/>
      <c r="BK115" s="12" t="n"/>
      <c r="BL115" s="12" t="n"/>
      <c r="BM115" s="12" t="n"/>
      <c r="BN115" s="12" t="n"/>
      <c r="BO115" s="12" t="n"/>
      <c r="BP115" s="12" t="n"/>
      <c r="BQ115" s="12" t="n"/>
      <c r="BR115" s="12" t="n"/>
      <c r="BS115" s="12" t="n"/>
      <c r="BT115" s="12" t="n"/>
      <c r="BU115" s="12" t="n"/>
      <c r="BV115" s="12" t="n"/>
      <c r="BW115" s="12" t="n"/>
      <c r="BX115" s="12" t="n"/>
      <c r="BY115" s="12" t="n"/>
      <c r="BZ115" s="12" t="n"/>
      <c r="CA115" s="12" t="n"/>
      <c r="CB115" s="12" t="n"/>
      <c r="CC115" s="12" t="n"/>
      <c r="CD115" s="12" t="n"/>
      <c r="CE115" s="12" t="n"/>
      <c r="CF115" s="12" t="n"/>
      <c r="CG115" s="12" t="n"/>
      <c r="CH115" s="12" t="n"/>
      <c r="CI115" s="12" t="n"/>
      <c r="CJ115" s="12" t="n"/>
      <c r="CK115" s="12" t="n"/>
      <c r="CL115" s="12" t="n"/>
      <c r="CM115" s="12" t="n"/>
      <c r="CN115" s="12" t="n"/>
      <c r="CO115" s="12" t="n"/>
      <c r="CP115" s="12" t="n"/>
      <c r="CQ115" s="12" t="n"/>
      <c r="CR115" s="12" t="n"/>
      <c r="CS115" s="12" t="n"/>
      <c r="CT115" s="12" t="n"/>
      <c r="CU115" s="12" t="n"/>
      <c r="CV115" s="12" t="n"/>
      <c r="CW115" s="12" t="n"/>
      <c r="CX115" s="12" t="n"/>
      <c r="CY115" s="12" t="n"/>
    </row>
    <row r="116" collapsed="1" customFormat="1" s="32">
      <c r="A116" s="30" t="n"/>
      <c r="B116" s="3" t="n"/>
      <c r="C116" s="33" t="inlineStr">
        <is>
          <t>Pretax Income - EBT</t>
        </is>
      </c>
      <c r="D116" s="35" t="n"/>
      <c r="E116" s="35" t="n"/>
      <c r="F116" s="35" t="n"/>
      <c r="G116" s="35" t="n"/>
      <c r="H116" s="35" t="n"/>
      <c r="I116" s="35">
        <f>SUM(I59,I60,I109)</f>
        <v>3592</v>
      </c>
      <c r="J116" s="35">
        <f>SUM(J59,J60,J109)</f>
        <v>6307</v>
      </c>
      <c r="K116" s="35">
        <f>SUM(K59,K60,K109)</f>
        <v>9606</v>
      </c>
      <c r="L116" s="35">
        <f>SUM(L59,L60,L109)</f>
        <v>11729</v>
      </c>
      <c r="M116" s="35">
        <f>SUM(I116:L116)</f>
        <v>31234</v>
      </c>
      <c r="N116" s="35">
        <f>SUM(N59,N60,N109)</f>
        <v>8556</v>
      </c>
      <c r="O116" s="35">
        <f>SUM(O59,O60,O109)</f>
        <v>24933</v>
      </c>
      <c r="P116" s="35">
        <f>SUM(P59,P60,P109)</f>
        <v>25422</v>
      </c>
      <c r="Q116" s="35">
        <f>SUM(Q59,Q60,Q109)</f>
        <v>18842</v>
      </c>
      <c r="R116" s="35">
        <f>SUM(N116:Q116)</f>
        <v>77753</v>
      </c>
      <c r="S116" s="35">
        <f>SUM(S59,S60,S109)</f>
        <v>16803</v>
      </c>
      <c r="T116" s="35">
        <f>SUM(T59,T60,T109)</f>
        <v>11656</v>
      </c>
      <c r="U116" s="35">
        <f>SUM(U59,U60,U109)</f>
        <v>13699</v>
      </c>
      <c r="V116" s="35">
        <f>SUM(V59,V60,V109)</f>
        <v>10625</v>
      </c>
      <c r="W116" s="35">
        <f>SUM(S116:V116)</f>
        <v>52783</v>
      </c>
      <c r="X116" s="35">
        <f>SUM(X59,X60,X109)</f>
        <v>12369</v>
      </c>
      <c r="Y116" s="35">
        <f>SUM(Y59,Y60,Y109)</f>
        <v>13665</v>
      </c>
      <c r="Z116" s="35">
        <f>SUM(Z59,Z60,Z109)</f>
        <v>13026</v>
      </c>
      <c r="AA116" s="35">
        <f>SUM(AA59,AA60,AA109)</f>
        <v>9813</v>
      </c>
      <c r="AB116" s="35">
        <f>SUM(X116:AA116)</f>
        <v>48873</v>
      </c>
      <c r="AC116" s="35">
        <f>SUM(AC59,AC60,AC109)</f>
        <v>11600</v>
      </c>
      <c r="AD116" s="35">
        <f>SUM(AD59,AD60,AD109)</f>
        <v>10705</v>
      </c>
      <c r="AE116" s="35">
        <f>SUM(AE59,AE60,AE109)</f>
        <v>10932</v>
      </c>
      <c r="AF116" s="35">
        <f>SUM(AF59,AF60,AF109)</f>
        <v>8031</v>
      </c>
      <c r="AG116" s="35">
        <f>SUM(AC116:AF116)</f>
        <v>41268</v>
      </c>
      <c r="AH116" s="35">
        <f>SUM(AH59,AH60,AH109)</f>
        <v>6967</v>
      </c>
      <c r="AI116" s="35">
        <f>SUM(AI59,AI60,AI109)</f>
        <v>19424</v>
      </c>
      <c r="AJ116" s="35">
        <f>SUM(AJ59,AJ60,AJ109:AJ114)</f>
        <v>11247.628815698</v>
      </c>
      <c r="AK116" s="35">
        <f>SUM(AK59,AK60,AK109:AK114)</f>
        <v>10853.8681802057</v>
      </c>
      <c r="AL116" s="35">
        <f>SUM(AH116:AK116)</f>
        <v>48492.4969959037</v>
      </c>
      <c r="AM116" s="35">
        <f>SUM(AM59,AM60,AM109:AM114)</f>
        <v>11227.0572620688</v>
      </c>
      <c r="AN116" s="35">
        <f>SUM(AN59,AN60,AN109:AN114)</f>
        <v>15299.0380602485</v>
      </c>
      <c r="AO116" s="35">
        <f>SUM(AO59,AO60,AO109:AO114)</f>
        <v>11731.5063463206</v>
      </c>
      <c r="AP116" s="35">
        <f>SUM(AP59,AP60,AP109:AP114)</f>
        <v>11320.8059693877</v>
      </c>
      <c r="AQ116" s="35">
        <f>SUM(AM116:AP116)</f>
        <v>49578.4076380255</v>
      </c>
      <c r="AR116" s="35">
        <f>SUM(AR59,AR60,AR109:AR114)</f>
        <v>11653.9145098423</v>
      </c>
      <c r="AS116" s="35">
        <f>SUM(AS59,AS60,AS109:AS114)</f>
        <v>15880.7136612132</v>
      </c>
      <c r="AT116" s="35">
        <f>SUM(AT59,AT60,AT109:AT114)</f>
        <v>12177.5429518474</v>
      </c>
      <c r="AU116" s="35">
        <f>SUM(AU59,AU60,AU109:AU114)</f>
        <v>11751.2275808457</v>
      </c>
      <c r="AV116" s="35">
        <f>SUM(AR116:AU116)</f>
        <v>51463.3987037486</v>
      </c>
      <c r="AW116" s="35">
        <f>SUM(AW59,AW60,AW109:AW114)</f>
        <v>12038.7314698848</v>
      </c>
      <c r="AX116" s="35">
        <f>SUM(AX59,AX60,AX109:AX114)</f>
        <v>16405.1012349554</v>
      </c>
      <c r="AY116" s="35">
        <f>SUM(AY59,AY60,AY109:AY114)</f>
        <v>12579.6503343547</v>
      </c>
      <c r="AZ116" s="35">
        <f>SUM(AZ59,AZ60,AZ109:AZ114)</f>
        <v>12139.2578577634</v>
      </c>
      <c r="BA116" s="35">
        <f>SUM(AW116:AZ116)</f>
        <v>53162.7408969583</v>
      </c>
      <c r="BB116" s="35">
        <f>SUM(BB59,BB60,BB109:BB114)</f>
        <v>12376.0615838911</v>
      </c>
      <c r="BC116" s="35">
        <f>SUM(BC59,BC60,BC109:BC114)</f>
        <v>16864.7787918238</v>
      </c>
      <c r="BD116" s="35">
        <f>SUM(BD59,BD60,BD109:BD114)</f>
        <v>12932.1372132308</v>
      </c>
      <c r="BE116" s="35">
        <f>SUM(BE59,BE60,BE109:BE114)</f>
        <v>12479.4047617254</v>
      </c>
      <c r="BF116" s="35">
        <f>SUM(BB116:BE116)</f>
        <v>54652.3823506712</v>
      </c>
      <c r="BG116" s="35" t="n"/>
      <c r="BH116" s="35" t="n"/>
      <c r="BI116" s="35" t="n"/>
      <c r="BJ116" s="35" t="n"/>
      <c r="BK116" s="35" t="n"/>
      <c r="BL116" s="35" t="n"/>
      <c r="BM116" s="35" t="n"/>
      <c r="BN116" s="35" t="n"/>
      <c r="BO116" s="35" t="n"/>
      <c r="BP116" s="35" t="n"/>
      <c r="BQ116" s="35" t="n"/>
      <c r="BR116" s="35" t="n"/>
      <c r="BS116" s="35" t="n"/>
      <c r="BT116" s="35" t="n"/>
      <c r="BU116" s="35" t="n"/>
      <c r="BV116" s="35" t="n"/>
      <c r="BW116" s="35" t="n"/>
      <c r="BX116" s="35" t="n"/>
      <c r="BY116" s="35" t="n"/>
      <c r="BZ116" s="35" t="n"/>
      <c r="CA116" s="35" t="n"/>
      <c r="CB116" s="35" t="n"/>
      <c r="CC116" s="35" t="n"/>
      <c r="CD116" s="35" t="n"/>
      <c r="CE116" s="35" t="n"/>
      <c r="CF116" s="35" t="n"/>
      <c r="CG116" s="35" t="n"/>
      <c r="CH116" s="35" t="n"/>
      <c r="CI116" s="35" t="n"/>
      <c r="CJ116" s="35" t="n"/>
      <c r="CK116" s="35" t="n"/>
      <c r="CL116" s="35" t="n"/>
      <c r="CM116" s="35" t="n"/>
      <c r="CN116" s="35" t="n"/>
      <c r="CO116" s="35" t="n"/>
      <c r="CP116" s="35" t="n"/>
      <c r="CQ116" s="35" t="n"/>
      <c r="CR116" s="35" t="n"/>
      <c r="CS116" s="35" t="n"/>
      <c r="CT116" s="35" t="n"/>
      <c r="CU116" s="35" t="n"/>
      <c r="CV116" s="35" t="n"/>
      <c r="CW116" s="35" t="n"/>
      <c r="CX116" s="35" t="n"/>
      <c r="CY116" s="35" t="n"/>
    </row>
    <row r="117">
      <c r="C117" s="14" t="inlineStr">
        <is>
          <t>Taxes</t>
        </is>
      </c>
      <c r="D117" s="46" t="n"/>
      <c r="E117" s="46" t="n"/>
      <c r="F117" s="46" t="n"/>
      <c r="G117" s="46" t="n"/>
      <c r="H117" s="12" t="n"/>
      <c r="I117" s="46">
        <f>'Inputs (2)'!D10</f>
        <v>-796</v>
      </c>
      <c r="J117" s="46">
        <f>'Inputs (2)'!E10</f>
        <v>-1526</v>
      </c>
      <c r="K117" s="46">
        <f>'Inputs (2)'!F10</f>
        <v>-2664</v>
      </c>
      <c r="L117" s="46">
        <f>'Inputs (2)'!G10</f>
        <v>-2650</v>
      </c>
      <c r="M117" s="12">
        <f>'Inputs (2)'!H10</f>
        <v>-7636</v>
      </c>
      <c r="N117" s="46">
        <f>'Inputs (2)'!I10</f>
        <v>-2806</v>
      </c>
      <c r="O117" s="46">
        <f>'Inputs (2)'!J10</f>
        <v>-6359</v>
      </c>
      <c r="P117" s="46">
        <f>'Inputs (2)'!K10</f>
        <v>-5224</v>
      </c>
      <c r="Q117" s="46">
        <f>'Inputs (2)'!L10</f>
        <v>-5787</v>
      </c>
      <c r="R117" s="12">
        <f>'Inputs (2)'!M10</f>
        <v>-20176</v>
      </c>
      <c r="S117" s="46">
        <f>'Inputs (2)'!N10</f>
        <v>-4960</v>
      </c>
      <c r="T117" s="46">
        <f>'Inputs (2)'!O10</f>
        <v>-3503</v>
      </c>
      <c r="U117" s="46">
        <f>'Inputs (2)'!P10</f>
        <v>-4353</v>
      </c>
      <c r="V117" s="46">
        <f>'Inputs (2)'!Q10</f>
        <v>-2613</v>
      </c>
      <c r="W117" s="12">
        <f>'Inputs (2)'!R10</f>
        <v>-15429</v>
      </c>
      <c r="X117" s="46">
        <f>'Inputs (2)'!S10</f>
        <v>-3803</v>
      </c>
      <c r="Y117" s="46">
        <f>'Inputs (2)'!T10</f>
        <v>-4094</v>
      </c>
      <c r="Z117" s="46">
        <f>'Inputs (2)'!U10</f>
        <v>-4055</v>
      </c>
      <c r="AA117" s="46">
        <f>'Inputs (2)'!V10</f>
        <v>-1858</v>
      </c>
      <c r="AB117" s="12">
        <f>'Inputs (2)'!W10</f>
        <v>-13810</v>
      </c>
      <c r="AC117" s="46">
        <f>'Inputs (2)'!X10</f>
        <v>-3567</v>
      </c>
      <c r="AD117" s="46">
        <f>'Inputs (2)'!Y10</f>
        <v>-3351</v>
      </c>
      <c r="AE117" s="46">
        <f>'Inputs (2)'!Z10</f>
        <v>-3164</v>
      </c>
      <c r="AF117" s="46">
        <f>'Inputs (2)'!AA10</f>
        <v>-1422</v>
      </c>
      <c r="AG117" s="12">
        <f>'Inputs (2)'!AB10</f>
        <v>-11504</v>
      </c>
      <c r="AH117" s="12">
        <f>'Inputs (2)'!AC10</f>
        <v>-2495</v>
      </c>
      <c r="AI117" s="12">
        <f>'Inputs (2)'!AD10</f>
        <v>-4543</v>
      </c>
      <c r="AJ117" s="12">
        <f>-AJ116*AJ118</f>
        <v>-3147.50544521542</v>
      </c>
      <c r="AK117" s="12">
        <f>-AK116*AK118</f>
        <v>-3037.31655432728</v>
      </c>
      <c r="AL117" s="12">
        <f>SUM(AH117:AK117)</f>
        <v>-13222.8219995427</v>
      </c>
      <c r="AM117" s="12">
        <f>-AM116*AM118</f>
        <v>-3141.74875835054</v>
      </c>
      <c r="AN117" s="12">
        <f>-AN116*AN118</f>
        <v>-4281.24064104811</v>
      </c>
      <c r="AO117" s="12">
        <f>-AO116*AO118</f>
        <v>-3282.91239964181</v>
      </c>
      <c r="AP117" s="12">
        <f>-AP116*AP118</f>
        <v>-3167.98313820102</v>
      </c>
      <c r="AQ117" s="12">
        <f>SUM(AM117:AP117)</f>
        <v>-13873.8849372415</v>
      </c>
      <c r="AR117" s="12">
        <f>-AR116*AR118</f>
        <v>-3261.19931399313</v>
      </c>
      <c r="AS117" s="12">
        <f>-AS116*AS118</f>
        <v>-4444.01513791188</v>
      </c>
      <c r="AT117" s="12">
        <f>-AT116*AT118</f>
        <v>-3407.73005389277</v>
      </c>
      <c r="AU117" s="12">
        <f>-AU116*AU118</f>
        <v>-3288.4311355524</v>
      </c>
      <c r="AV117" s="12">
        <f>SUM(AR117:AU117)</f>
        <v>-14401.3756413502</v>
      </c>
      <c r="AW117" s="12">
        <f>-AW116*AW118</f>
        <v>-3368.88543139547</v>
      </c>
      <c r="AX117" s="12">
        <f>-AX116*AX118</f>
        <v>-4590.75831114436</v>
      </c>
      <c r="AY117" s="12">
        <f>-AY116*AY118</f>
        <v>-3520.25467545895</v>
      </c>
      <c r="AZ117" s="12">
        <f>-AZ116*AZ118</f>
        <v>-3397.016458692</v>
      </c>
      <c r="BA117" s="12">
        <f>SUM(AW117:AZ117)</f>
        <v>-14876.9148766908</v>
      </c>
      <c r="BB117" s="12">
        <f>-BB116*BB118</f>
        <v>-3463.2829606941</v>
      </c>
      <c r="BC117" s="12">
        <f>-BC116*BC118</f>
        <v>-4719.39321161934</v>
      </c>
      <c r="BD117" s="12">
        <f>-BD116*BD118</f>
        <v>-3618.89363206117</v>
      </c>
      <c r="BE117" s="12">
        <f>-BE116*BE118</f>
        <v>-3492.20223072773</v>
      </c>
      <c r="BF117" s="12">
        <f>SUM(BB117:BE117)</f>
        <v>-15293.7720351023</v>
      </c>
      <c r="BG117" s="12" t="n"/>
      <c r="BH117" s="12" t="n"/>
      <c r="BI117" s="12" t="n"/>
      <c r="BJ117" s="12" t="n"/>
      <c r="BK117" s="12" t="n"/>
      <c r="BL117" s="12" t="n"/>
      <c r="BM117" s="12" t="n"/>
      <c r="BN117" s="12" t="n"/>
      <c r="BO117" s="12" t="n"/>
      <c r="BP117" s="12" t="n"/>
      <c r="BQ117" s="12" t="n"/>
      <c r="BR117" s="12" t="n"/>
      <c r="BS117" s="12" t="n"/>
      <c r="BT117" s="12" t="n"/>
      <c r="BU117" s="12" t="n"/>
      <c r="BV117" s="12" t="n"/>
      <c r="BW117" s="12" t="n"/>
      <c r="BX117" s="12" t="n"/>
      <c r="BY117" s="12" t="n"/>
      <c r="BZ117" s="12" t="n"/>
      <c r="CA117" s="12" t="n"/>
      <c r="CB117" s="12" t="n"/>
      <c r="CC117" s="12" t="n"/>
      <c r="CD117" s="12" t="n"/>
      <c r="CE117" s="12" t="n"/>
      <c r="CF117" s="12" t="n"/>
      <c r="CG117" s="12" t="n"/>
      <c r="CH117" s="12" t="n"/>
      <c r="CI117" s="12" t="n"/>
      <c r="CJ117" s="12" t="n"/>
      <c r="CK117" s="12" t="n"/>
      <c r="CL117" s="12" t="n"/>
      <c r="CM117" s="12" t="n"/>
      <c r="CN117" s="12" t="n"/>
      <c r="CO117" s="12" t="n"/>
      <c r="CP117" s="12" t="n"/>
      <c r="CQ117" s="12" t="n"/>
      <c r="CR117" s="12" t="n"/>
      <c r="CS117" s="12" t="n"/>
      <c r="CT117" s="12" t="n"/>
      <c r="CU117" s="12" t="n"/>
      <c r="CV117" s="12" t="n"/>
      <c r="CW117" s="12" t="n"/>
      <c r="CX117" s="12" t="n"/>
      <c r="CY117" s="12" t="n"/>
    </row>
    <row r="118" hidden="1" outlineLevel="1">
      <c r="C118" s="57" t="inlineStr">
        <is>
          <t>% ETR</t>
        </is>
      </c>
      <c r="D118" s="53" t="n"/>
      <c r="E118" s="53" t="n"/>
      <c r="F118" s="53" t="n"/>
      <c r="G118" s="53" t="n"/>
      <c r="H118" s="53" t="n"/>
      <c r="I118" s="53">
        <f>IFERROR(-I117/I116,"")</f>
        <v>0.221603563474388</v>
      </c>
      <c r="J118" s="53">
        <f>IFERROR(-J117/J116,"")</f>
        <v>0.241953385127636</v>
      </c>
      <c r="K118" s="53">
        <f>IFERROR(-K117/K116,"")</f>
        <v>0.277326670830731</v>
      </c>
      <c r="L118" s="53">
        <f>IFERROR(-L117/L116,"")</f>
        <v>0.225935714894705</v>
      </c>
      <c r="M118" s="53">
        <f>IFERROR(-M117/M116,"")</f>
        <v>0.244477172312224</v>
      </c>
      <c r="N118" s="53">
        <f>IFERROR(-N117/N116,"")</f>
        <v>0.327956989247312</v>
      </c>
      <c r="O118" s="53">
        <f>IFERROR(-O117/O116,"")</f>
        <v>0.255043516624554</v>
      </c>
      <c r="P118" s="53">
        <f>IFERROR(-P117/P116,"")</f>
        <v>0.205491306742192</v>
      </c>
      <c r="Q118" s="53">
        <f>IFERROR(-Q117/Q116,"")</f>
        <v>0.307133000743021</v>
      </c>
      <c r="R118" s="53">
        <f>IFERROR(-R117/R116,"")</f>
        <v>0.259488379869587</v>
      </c>
      <c r="S118" s="53">
        <f>IFERROR(-S117/S116,"")</f>
        <v>0.295185383562459</v>
      </c>
      <c r="T118" s="53">
        <f>IFERROR(-T117/T116,"")</f>
        <v>0.300531914893617</v>
      </c>
      <c r="U118" s="53">
        <f>IFERROR(-U117/U116,"")</f>
        <v>0.317760420468647</v>
      </c>
      <c r="V118" s="53">
        <f>IFERROR(-V117/V116,"")</f>
        <v>0.245929411764706</v>
      </c>
      <c r="W118" s="53">
        <f>IFERROR(-W117/W116,"")</f>
        <v>0.292310024060777</v>
      </c>
      <c r="X118" s="53">
        <f>IFERROR(-X117/X116,"")</f>
        <v>0.307462203896839</v>
      </c>
      <c r="Y118" s="53">
        <f>IFERROR(-Y117/Y116,"")</f>
        <v>0.299597511891694</v>
      </c>
      <c r="Z118" s="53">
        <f>IFERROR(-Z117/Z116,"")</f>
        <v>0.311300475971135</v>
      </c>
      <c r="AA118" s="53">
        <f>IFERROR(-AA117/AA116,"")</f>
        <v>0.189340670539081</v>
      </c>
      <c r="AB118" s="53">
        <f>IFERROR(-AB117/AB116,"")</f>
        <v>0.282569107687271</v>
      </c>
      <c r="AC118" s="53">
        <f>IFERROR(-AC117/AC116,"")</f>
        <v>0.3075</v>
      </c>
      <c r="AD118" s="53">
        <f>IFERROR(-AD117/AD116,"")</f>
        <v>0.31303129378795</v>
      </c>
      <c r="AE118" s="53">
        <f>IFERROR(-AE117/AE116,"")</f>
        <v>0.289425539699963</v>
      </c>
      <c r="AF118" s="41">
        <f>IFERROR(-AF117/AF116,"")</f>
        <v>0.177063877474785</v>
      </c>
      <c r="AG118" s="53">
        <f>IFERROR(-AG117/AG116,"")</f>
        <v>0.278763206358438</v>
      </c>
      <c r="AH118" s="41">
        <f>IFERROR(-AH117/AH116,"")</f>
        <v>0.358116836514999</v>
      </c>
      <c r="AI118" s="41">
        <f>IFERROR(-AI117/AI116,"")</f>
        <v>0.233885914332784</v>
      </c>
      <c r="AJ118" s="41">
        <f>Control!$B$22</f>
        <v>0.27983724363508</v>
      </c>
      <c r="AK118" s="41">
        <f>Control!$B$22</f>
        <v>0.27983724363508</v>
      </c>
      <c r="AL118" s="53">
        <f>IFERROR(-AL117/AL116,"")</f>
        <v>0.272677688687792</v>
      </c>
      <c r="AM118" s="41">
        <f>Control!$C$22</f>
        <v>0.27983724363508</v>
      </c>
      <c r="AN118" s="41">
        <f>Control!$C$22</f>
        <v>0.27983724363508</v>
      </c>
      <c r="AO118" s="41">
        <f>Control!$C$22</f>
        <v>0.27983724363508</v>
      </c>
      <c r="AP118" s="41">
        <f>Control!$C$22</f>
        <v>0.27983724363508</v>
      </c>
      <c r="AQ118" s="53">
        <f>IFERROR(-AQ117/AQ116,"")</f>
        <v>0.27983724363508</v>
      </c>
      <c r="AR118" s="41">
        <f>Control!$D$22</f>
        <v>0.27983724363508</v>
      </c>
      <c r="AS118" s="41">
        <f>Control!$D$22</f>
        <v>0.27983724363508</v>
      </c>
      <c r="AT118" s="41">
        <f>Control!$D$22</f>
        <v>0.27983724363508</v>
      </c>
      <c r="AU118" s="41">
        <f>Control!$D$22</f>
        <v>0.27983724363508</v>
      </c>
      <c r="AV118" s="53">
        <f>IFERROR(-AV117/AV116,"")</f>
        <v>0.27983724363508</v>
      </c>
      <c r="AW118" s="41">
        <f>Control!$E$22</f>
        <v>0.27983724363508</v>
      </c>
      <c r="AX118" s="41">
        <f>Control!$E$22</f>
        <v>0.27983724363508</v>
      </c>
      <c r="AY118" s="41">
        <f>Control!$E$22</f>
        <v>0.27983724363508</v>
      </c>
      <c r="AZ118" s="41">
        <f>Control!$E$22</f>
        <v>0.27983724363508</v>
      </c>
      <c r="BA118" s="53">
        <f>IFERROR(-BA117/BA116,"")</f>
        <v>0.27983724363508</v>
      </c>
      <c r="BB118" s="41">
        <f>Control!$F$22</f>
        <v>0.27983724363508</v>
      </c>
      <c r="BC118" s="41">
        <f>Control!$F$22</f>
        <v>0.27983724363508</v>
      </c>
      <c r="BD118" s="41">
        <f>Control!$F$22</f>
        <v>0.27983724363508</v>
      </c>
      <c r="BE118" s="41">
        <f>Control!$F$22</f>
        <v>0.27983724363508</v>
      </c>
      <c r="BF118" s="53">
        <f>IFERROR(-BF117/BF116,"")</f>
        <v>0.27983724363508</v>
      </c>
      <c r="BG118" s="41" t="n"/>
      <c r="BH118" s="41" t="n"/>
      <c r="BI118" s="41" t="n"/>
      <c r="BJ118" s="41" t="n"/>
      <c r="BK118" s="53" t="n"/>
      <c r="BL118" s="41" t="n"/>
      <c r="BM118" s="41" t="n"/>
      <c r="BN118" s="41" t="n"/>
      <c r="BO118" s="41" t="n"/>
      <c r="BP118" s="53" t="n"/>
      <c r="BQ118" s="41" t="n"/>
      <c r="BR118" s="41" t="n"/>
      <c r="BS118" s="41" t="n"/>
      <c r="BT118" s="41" t="n"/>
      <c r="BU118" s="53" t="n"/>
      <c r="BV118" s="41" t="n"/>
      <c r="BW118" s="41" t="n"/>
      <c r="BX118" s="41" t="n"/>
      <c r="BY118" s="41" t="n"/>
      <c r="BZ118" s="53" t="n"/>
      <c r="CA118" s="41" t="n"/>
      <c r="CB118" s="41" t="n"/>
      <c r="CC118" s="41" t="n"/>
      <c r="CD118" s="41" t="n"/>
      <c r="CE118" s="53" t="n"/>
      <c r="CF118" s="41" t="n"/>
      <c r="CG118" s="41" t="n"/>
      <c r="CH118" s="41" t="n"/>
      <c r="CI118" s="41" t="n"/>
      <c r="CJ118" s="53" t="n"/>
      <c r="CK118" s="41" t="n"/>
      <c r="CL118" s="41" t="n"/>
      <c r="CM118" s="41" t="n"/>
      <c r="CN118" s="41" t="n"/>
      <c r="CO118" s="53" t="n"/>
      <c r="CP118" s="41" t="n"/>
      <c r="CQ118" s="41" t="n"/>
      <c r="CR118" s="41" t="n"/>
      <c r="CS118" s="41" t="n"/>
      <c r="CT118" s="53" t="n"/>
      <c r="CU118" s="41" t="n"/>
      <c r="CV118" s="41" t="n"/>
      <c r="CW118" s="41" t="n"/>
      <c r="CX118" s="41" t="n"/>
      <c r="CY118" s="53" t="n"/>
    </row>
    <row r="119" hidden="1" outlineLevel="1">
      <c r="C119" s="57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  <c r="Z119" s="12" t="n"/>
      <c r="AA119" s="12" t="n"/>
      <c r="AB119" s="12" t="n"/>
      <c r="AC119" s="12" t="n"/>
      <c r="AD119" s="12" t="n"/>
      <c r="AE119" s="12" t="n"/>
      <c r="AF119" s="12" t="n"/>
      <c r="AG119" s="12" t="n"/>
      <c r="AH119" s="12" t="n"/>
      <c r="AI119" s="12" t="n"/>
      <c r="AJ119" s="12" t="n"/>
      <c r="AK119" s="12" t="n"/>
      <c r="AL119" s="12" t="n"/>
      <c r="AM119" s="12" t="n"/>
      <c r="AN119" s="12" t="n"/>
      <c r="AO119" s="12" t="n"/>
      <c r="AP119" s="12" t="n"/>
      <c r="AQ119" s="12" t="n"/>
      <c r="AR119" s="12" t="n"/>
      <c r="AS119" s="12" t="n"/>
      <c r="AT119" s="12" t="n"/>
      <c r="AU119" s="12" t="n"/>
      <c r="AV119" s="12" t="n"/>
      <c r="AW119" s="12" t="n"/>
      <c r="AX119" s="12" t="n"/>
      <c r="AY119" s="12" t="n"/>
      <c r="AZ119" s="12" t="n"/>
      <c r="BA119" s="12" t="n"/>
      <c r="BB119" s="12" t="n"/>
      <c r="BC119" s="12" t="n"/>
      <c r="BD119" s="12" t="n"/>
      <c r="BE119" s="12" t="n"/>
      <c r="BF119" s="12" t="n"/>
      <c r="BG119" s="12" t="n"/>
      <c r="BH119" s="12" t="n"/>
      <c r="BI119" s="12" t="n"/>
      <c r="BJ119" s="12" t="n"/>
      <c r="BK119" s="12" t="n"/>
      <c r="BL119" s="12" t="n"/>
      <c r="BM119" s="12" t="n"/>
      <c r="BN119" s="12" t="n"/>
      <c r="BO119" s="12" t="n"/>
      <c r="BP119" s="12" t="n"/>
      <c r="BQ119" s="12" t="n"/>
      <c r="BR119" s="12" t="n"/>
      <c r="BS119" s="12" t="n"/>
      <c r="BT119" s="12" t="n"/>
      <c r="BU119" s="12" t="n"/>
      <c r="BV119" s="12" t="n"/>
      <c r="BW119" s="12" t="n"/>
      <c r="BX119" s="12" t="n"/>
      <c r="BY119" s="12" t="n"/>
      <c r="BZ119" s="12" t="n"/>
      <c r="CA119" s="12" t="n"/>
      <c r="CB119" s="12" t="n"/>
      <c r="CC119" s="12" t="n"/>
      <c r="CD119" s="12" t="n"/>
      <c r="CE119" s="12" t="n"/>
      <c r="CF119" s="12" t="n"/>
      <c r="CG119" s="12" t="n"/>
      <c r="CH119" s="12" t="n"/>
      <c r="CI119" s="12" t="n"/>
      <c r="CJ119" s="12" t="n"/>
      <c r="CK119" s="12" t="n"/>
      <c r="CL119" s="12" t="n"/>
      <c r="CM119" s="12" t="n"/>
      <c r="CN119" s="12" t="n"/>
      <c r="CO119" s="12" t="n"/>
      <c r="CP119" s="12" t="n"/>
      <c r="CQ119" s="12" t="n"/>
      <c r="CR119" s="12" t="n"/>
      <c r="CS119" s="12" t="n"/>
      <c r="CT119" s="12" t="n"/>
      <c r="CU119" s="12" t="n"/>
      <c r="CV119" s="12" t="n"/>
      <c r="CW119" s="12" t="n"/>
      <c r="CX119" s="12" t="n"/>
      <c r="CY119" s="12" t="n"/>
    </row>
    <row r="120" hidden="1" outlineLevel="1">
      <c r="C120" s="57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12" t="n"/>
      <c r="S120" s="12" t="n"/>
      <c r="T120" s="12" t="n"/>
      <c r="U120" s="12" t="n"/>
      <c r="V120" s="12" t="n"/>
      <c r="W120" s="12" t="n"/>
      <c r="X120" s="12" t="n"/>
      <c r="Y120" s="12" t="n"/>
      <c r="Z120" s="12" t="n"/>
      <c r="AA120" s="12" t="n"/>
      <c r="AB120" s="12" t="n"/>
      <c r="AC120" s="12" t="n"/>
      <c r="AD120" s="12" t="n"/>
      <c r="AE120" s="12" t="n"/>
      <c r="AF120" s="12" t="n"/>
      <c r="AG120" s="12" t="n"/>
      <c r="AH120" s="12" t="n"/>
      <c r="AI120" s="12" t="n"/>
      <c r="AJ120" s="12" t="n"/>
      <c r="AK120" s="12" t="n"/>
      <c r="AL120" s="12" t="n"/>
      <c r="AM120" s="12" t="n"/>
      <c r="AN120" s="12" t="n"/>
      <c r="AO120" s="12" t="n"/>
      <c r="AP120" s="12" t="n"/>
      <c r="AQ120" s="12" t="n"/>
      <c r="AR120" s="12" t="n"/>
      <c r="AS120" s="12" t="n"/>
      <c r="AT120" s="12" t="n"/>
      <c r="AU120" s="12" t="n"/>
      <c r="AV120" s="12" t="n"/>
      <c r="AW120" s="12" t="n"/>
      <c r="AX120" s="12" t="n"/>
      <c r="AY120" s="12" t="n"/>
      <c r="AZ120" s="12" t="n"/>
      <c r="BA120" s="12" t="n"/>
      <c r="BB120" s="12" t="n"/>
      <c r="BC120" s="12" t="n"/>
      <c r="BD120" s="12" t="n"/>
      <c r="BE120" s="12" t="n"/>
      <c r="BF120" s="12" t="n"/>
      <c r="BG120" s="12" t="n"/>
      <c r="BH120" s="12" t="n"/>
      <c r="BI120" s="12" t="n"/>
      <c r="BJ120" s="12" t="n"/>
      <c r="BK120" s="12" t="n"/>
      <c r="BL120" s="12" t="n"/>
      <c r="BM120" s="12" t="n"/>
      <c r="BN120" s="12" t="n"/>
      <c r="BO120" s="12" t="n"/>
      <c r="BP120" s="12" t="n"/>
      <c r="BQ120" s="12" t="n"/>
      <c r="BR120" s="12" t="n"/>
      <c r="BS120" s="12" t="n"/>
      <c r="BT120" s="12" t="n"/>
      <c r="BU120" s="12" t="n"/>
      <c r="BV120" s="12" t="n"/>
      <c r="BW120" s="12" t="n"/>
      <c r="BX120" s="12" t="n"/>
      <c r="BY120" s="12" t="n"/>
      <c r="BZ120" s="12" t="n"/>
      <c r="CA120" s="12" t="n"/>
      <c r="CB120" s="12" t="n"/>
      <c r="CC120" s="12" t="n"/>
      <c r="CD120" s="12" t="n"/>
      <c r="CE120" s="12" t="n"/>
      <c r="CF120" s="12" t="n"/>
      <c r="CG120" s="12" t="n"/>
      <c r="CH120" s="12" t="n"/>
      <c r="CI120" s="12" t="n"/>
      <c r="CJ120" s="12" t="n"/>
      <c r="CK120" s="12" t="n"/>
      <c r="CL120" s="12" t="n"/>
      <c r="CM120" s="12" t="n"/>
      <c r="CN120" s="12" t="n"/>
      <c r="CO120" s="12" t="n"/>
      <c r="CP120" s="12" t="n"/>
      <c r="CQ120" s="12" t="n"/>
      <c r="CR120" s="12" t="n"/>
      <c r="CS120" s="12" t="n"/>
      <c r="CT120" s="12" t="n"/>
      <c r="CU120" s="12" t="n"/>
      <c r="CV120" s="12" t="n"/>
      <c r="CW120" s="12" t="n"/>
      <c r="CX120" s="12" t="n"/>
      <c r="CY120" s="12" t="n"/>
    </row>
    <row r="121" collapsed="1">
      <c r="C121" s="14" t="inlineStr">
        <is>
          <t>Equity in Income of Affiliates, after tax (enter as +)</t>
        </is>
      </c>
      <c r="D121" s="46" t="n"/>
      <c r="E121" s="46" t="n"/>
      <c r="F121" s="46" t="n"/>
      <c r="G121" s="46" t="n"/>
      <c r="H121" s="12" t="n"/>
      <c r="I121" s="46">
        <f>'Inputs (2)'!D11</f>
        <v>0</v>
      </c>
      <c r="J121" s="46">
        <f>'Inputs (2)'!E11</f>
        <v>0</v>
      </c>
      <c r="K121" s="46">
        <f>'Inputs (2)'!F11</f>
        <v>0</v>
      </c>
      <c r="L121" s="46">
        <f>'Inputs (2)'!G11</f>
        <v>0</v>
      </c>
      <c r="M121" s="12">
        <f>'Inputs (2)'!H11</f>
        <v>0</v>
      </c>
      <c r="N121" s="46">
        <f>'Inputs (2)'!I11</f>
        <v>0</v>
      </c>
      <c r="O121" s="46">
        <f>'Inputs (2)'!J11</f>
        <v>0</v>
      </c>
      <c r="P121" s="46">
        <f>'Inputs (2)'!K11</f>
        <v>0</v>
      </c>
      <c r="Q121" s="46">
        <f>'Inputs (2)'!L11</f>
        <v>0</v>
      </c>
      <c r="R121" s="12">
        <f>'Inputs (2)'!M11</f>
        <v>0</v>
      </c>
      <c r="S121" s="46">
        <f>'Inputs (2)'!N11</f>
        <v>0</v>
      </c>
      <c r="T121" s="46">
        <f>'Inputs (2)'!O11</f>
        <v>0</v>
      </c>
      <c r="U121" s="46">
        <f>'Inputs (2)'!P11</f>
        <v>0</v>
      </c>
      <c r="V121" s="46">
        <f>'Inputs (2)'!Q11</f>
        <v>0</v>
      </c>
      <c r="W121" s="12">
        <f>'Inputs (2)'!R11</f>
        <v>0</v>
      </c>
      <c r="X121" s="46">
        <f>'Inputs (2)'!S11</f>
        <v>0</v>
      </c>
      <c r="Y121" s="46">
        <f>'Inputs (2)'!T11</f>
        <v>0</v>
      </c>
      <c r="Z121" s="46">
        <f>'Inputs (2)'!U11</f>
        <v>0</v>
      </c>
      <c r="AA121" s="46">
        <f>'Inputs (2)'!V11</f>
        <v>0</v>
      </c>
      <c r="AB121" s="12">
        <f>'Inputs (2)'!W11</f>
        <v>0</v>
      </c>
      <c r="AC121" s="46">
        <f>'Inputs (2)'!X11</f>
        <v>0</v>
      </c>
      <c r="AD121" s="46">
        <f>'Inputs (2)'!Y11</f>
        <v>0</v>
      </c>
      <c r="AE121" s="46">
        <f>'Inputs (2)'!Z11</f>
        <v>0</v>
      </c>
      <c r="AF121" s="46">
        <f>'Inputs (2)'!AA11</f>
        <v>0</v>
      </c>
      <c r="AG121" s="12">
        <f>'Inputs (2)'!AB11</f>
        <v>0</v>
      </c>
      <c r="AH121" s="12">
        <f>'Inputs (2)'!AC11</f>
        <v>0</v>
      </c>
      <c r="AI121" s="12">
        <f>'Inputs (2)'!AD11</f>
        <v>0</v>
      </c>
      <c r="AJ121" s="12">
        <f>0</f>
        <v>0</v>
      </c>
      <c r="AK121" s="12">
        <f>0</f>
        <v>0</v>
      </c>
      <c r="AL121" s="12">
        <f>SUM(AH121:AK121)</f>
        <v>0</v>
      </c>
      <c r="AM121" s="12">
        <f>0</f>
        <v>0</v>
      </c>
      <c r="AN121" s="12">
        <f>0</f>
        <v>0</v>
      </c>
      <c r="AO121" s="12">
        <f>0</f>
        <v>0</v>
      </c>
      <c r="AP121" s="12">
        <f>0</f>
        <v>0</v>
      </c>
      <c r="AQ121" s="12">
        <f>SUM(AM121:AP121)</f>
        <v>0</v>
      </c>
      <c r="AR121" s="12">
        <f>0</f>
        <v>0</v>
      </c>
      <c r="AS121" s="12">
        <f>0</f>
        <v>0</v>
      </c>
      <c r="AT121" s="12">
        <f>0</f>
        <v>0</v>
      </c>
      <c r="AU121" s="12">
        <f>0</f>
        <v>0</v>
      </c>
      <c r="AV121" s="12">
        <f>SUM(AR121:AU121)</f>
        <v>0</v>
      </c>
      <c r="AW121" s="12">
        <f>0</f>
        <v>0</v>
      </c>
      <c r="AX121" s="12">
        <f>0</f>
        <v>0</v>
      </c>
      <c r="AY121" s="12">
        <f>0</f>
        <v>0</v>
      </c>
      <c r="AZ121" s="12">
        <f>0</f>
        <v>0</v>
      </c>
      <c r="BA121" s="12">
        <f>SUM(AW121:AZ121)</f>
        <v>0</v>
      </c>
      <c r="BB121" s="12">
        <f>0</f>
        <v>0</v>
      </c>
      <c r="BC121" s="12">
        <f>0</f>
        <v>0</v>
      </c>
      <c r="BD121" s="12">
        <f>0</f>
        <v>0</v>
      </c>
      <c r="BE121" s="12">
        <f>0</f>
        <v>0</v>
      </c>
      <c r="BF121" s="12">
        <f>SUM(BB121:BE121)</f>
        <v>0</v>
      </c>
      <c r="BG121" s="12" t="n"/>
      <c r="BH121" s="12" t="n"/>
      <c r="BI121" s="12" t="n"/>
      <c r="BJ121" s="12" t="n"/>
      <c r="BK121" s="12" t="n"/>
      <c r="BL121" s="12" t="n"/>
      <c r="BM121" s="12" t="n"/>
      <c r="BN121" s="12" t="n"/>
      <c r="BO121" s="12" t="n"/>
      <c r="BP121" s="12" t="n"/>
      <c r="BQ121" s="12" t="n"/>
      <c r="BR121" s="12" t="n"/>
      <c r="BS121" s="12" t="n"/>
      <c r="BT121" s="12" t="n"/>
      <c r="BU121" s="12" t="n"/>
      <c r="BV121" s="12" t="n"/>
      <c r="BW121" s="12" t="n"/>
      <c r="BX121" s="12" t="n"/>
      <c r="BY121" s="12" t="n"/>
      <c r="BZ121" s="12" t="n"/>
      <c r="CA121" s="12" t="n"/>
      <c r="CB121" s="12" t="n"/>
      <c r="CC121" s="12" t="n"/>
      <c r="CD121" s="12" t="n"/>
      <c r="CE121" s="12" t="n"/>
      <c r="CF121" s="12" t="n"/>
      <c r="CG121" s="12" t="n"/>
      <c r="CH121" s="12" t="n"/>
      <c r="CI121" s="12" t="n"/>
      <c r="CJ121" s="12" t="n"/>
      <c r="CK121" s="12" t="n"/>
      <c r="CL121" s="12" t="n"/>
      <c r="CM121" s="12" t="n"/>
      <c r="CN121" s="12" t="n"/>
      <c r="CO121" s="12" t="n"/>
      <c r="CP121" s="12" t="n"/>
      <c r="CQ121" s="12" t="n"/>
      <c r="CR121" s="12" t="n"/>
      <c r="CS121" s="12" t="n"/>
      <c r="CT121" s="12" t="n"/>
      <c r="CU121" s="12" t="n"/>
      <c r="CV121" s="12" t="n"/>
      <c r="CW121" s="12" t="n"/>
      <c r="CX121" s="12" t="n"/>
      <c r="CY121" s="12" t="n"/>
    </row>
    <row r="122">
      <c r="C122" s="14" t="inlineStr">
        <is>
          <t>Minority Interest Expense, after tax (enter as - )</t>
        </is>
      </c>
      <c r="D122" s="46" t="n"/>
      <c r="E122" s="46" t="n"/>
      <c r="F122" s="46" t="n"/>
      <c r="G122" s="46" t="n"/>
      <c r="H122" s="12" t="n"/>
      <c r="I122" s="46">
        <f>'Inputs (2)'!D12</f>
        <v>-66</v>
      </c>
      <c r="J122" s="46">
        <f>'Inputs (2)'!E12</f>
        <v>-91</v>
      </c>
      <c r="K122" s="46">
        <f>'Inputs (2)'!F12</f>
        <v>-192</v>
      </c>
      <c r="L122" s="46">
        <f>'Inputs (2)'!G12</f>
        <v>-209</v>
      </c>
      <c r="M122" s="12">
        <f>'Inputs (2)'!H12</f>
        <v>-558</v>
      </c>
      <c r="N122" s="46">
        <f>'Inputs (2)'!I12</f>
        <v>-270</v>
      </c>
      <c r="O122" s="46">
        <f>'Inputs (2)'!J12</f>
        <v>-724</v>
      </c>
      <c r="P122" s="46">
        <f>'Inputs (2)'!K12</f>
        <v>-538</v>
      </c>
      <c r="Q122" s="46">
        <f>'Inputs (2)'!L12</f>
        <v>-305</v>
      </c>
      <c r="R122" s="12">
        <f>'Inputs (2)'!M12</f>
        <v>-1837</v>
      </c>
      <c r="S122" s="46">
        <f>'Inputs (2)'!N12</f>
        <v>-413</v>
      </c>
      <c r="T122" s="46">
        <f>'Inputs (2)'!O12</f>
        <v>-273</v>
      </c>
      <c r="U122" s="46">
        <f>'Inputs (2)'!P12</f>
        <v>-276</v>
      </c>
      <c r="V122" s="46">
        <f>'Inputs (2)'!Q12</f>
        <v>-382</v>
      </c>
      <c r="W122" s="12">
        <f>'Inputs (2)'!R12</f>
        <v>-1344</v>
      </c>
      <c r="X122" s="46">
        <f>'Inputs (2)'!S12</f>
        <v>-346</v>
      </c>
      <c r="Y122" s="46">
        <f>'Inputs (2)'!T12</f>
        <v>-331</v>
      </c>
      <c r="Z122" s="46">
        <f>'Inputs (2)'!U12</f>
        <v>-361</v>
      </c>
      <c r="AA122" s="46">
        <f>'Inputs (2)'!V12</f>
        <v>-345</v>
      </c>
      <c r="AB122" s="12">
        <f>'Inputs (2)'!W12</f>
        <v>-1383</v>
      </c>
      <c r="AC122" s="46">
        <f>'Inputs (2)'!X12</f>
        <v>-320</v>
      </c>
      <c r="AD122" s="46">
        <f>'Inputs (2)'!Y12</f>
        <v>-272</v>
      </c>
      <c r="AE122" s="46">
        <f>'Inputs (2)'!Z12</f>
        <v>-220</v>
      </c>
      <c r="AF122" s="46">
        <f>'Inputs (2)'!AA12</f>
        <v>-108</v>
      </c>
      <c r="AG122" s="12">
        <f>'Inputs (2)'!AB12</f>
        <v>-920</v>
      </c>
      <c r="AH122" s="12">
        <f>'Inputs (2)'!AC12</f>
        <v>-289</v>
      </c>
      <c r="AI122" s="12">
        <f>'Inputs (2)'!AD12</f>
        <v>-356</v>
      </c>
      <c r="AJ122" s="12">
        <f>0</f>
        <v>0</v>
      </c>
      <c r="AK122" s="12">
        <f>0</f>
        <v>0</v>
      </c>
      <c r="AL122" s="12">
        <f>SUM(AH122:AK122)</f>
        <v>-645</v>
      </c>
      <c r="AM122" s="12">
        <f>0</f>
        <v>0</v>
      </c>
      <c r="AN122" s="12">
        <f>0</f>
        <v>0</v>
      </c>
      <c r="AO122" s="12">
        <f>0</f>
        <v>0</v>
      </c>
      <c r="AP122" s="12">
        <f>0</f>
        <v>0</v>
      </c>
      <c r="AQ122" s="12">
        <f>SUM(AM122:AP122)</f>
        <v>0</v>
      </c>
      <c r="AR122" s="12">
        <f>0</f>
        <v>0</v>
      </c>
      <c r="AS122" s="12">
        <f>0</f>
        <v>0</v>
      </c>
      <c r="AT122" s="12">
        <f>0</f>
        <v>0</v>
      </c>
      <c r="AU122" s="12">
        <f>0</f>
        <v>0</v>
      </c>
      <c r="AV122" s="12">
        <f>SUM(AR122:AU122)</f>
        <v>0</v>
      </c>
      <c r="AW122" s="12">
        <f>0</f>
        <v>0</v>
      </c>
      <c r="AX122" s="12">
        <f>0</f>
        <v>0</v>
      </c>
      <c r="AY122" s="12">
        <f>0</f>
        <v>0</v>
      </c>
      <c r="AZ122" s="12">
        <f>0</f>
        <v>0</v>
      </c>
      <c r="BA122" s="12">
        <f>SUM(AW122:AZ122)</f>
        <v>0</v>
      </c>
      <c r="BB122" s="12">
        <f>0</f>
        <v>0</v>
      </c>
      <c r="BC122" s="12">
        <f>0</f>
        <v>0</v>
      </c>
      <c r="BD122" s="12">
        <f>0</f>
        <v>0</v>
      </c>
      <c r="BE122" s="12">
        <f>0</f>
        <v>0</v>
      </c>
      <c r="BF122" s="12">
        <f>SUM(BB122:BE122)</f>
        <v>0</v>
      </c>
      <c r="BG122" s="12" t="n"/>
      <c r="BH122" s="12" t="n"/>
      <c r="BI122" s="12" t="n"/>
      <c r="BJ122" s="12" t="n"/>
      <c r="BK122" s="12" t="n"/>
      <c r="BL122" s="12" t="n"/>
      <c r="BM122" s="12" t="n"/>
      <c r="BN122" s="12" t="n"/>
      <c r="BO122" s="12" t="n"/>
      <c r="BP122" s="12" t="n"/>
      <c r="BQ122" s="12" t="n"/>
      <c r="BR122" s="12" t="n"/>
      <c r="BS122" s="12" t="n"/>
      <c r="BT122" s="12" t="n"/>
      <c r="BU122" s="12" t="n"/>
      <c r="BV122" s="12" t="n"/>
      <c r="BW122" s="12" t="n"/>
      <c r="BX122" s="12" t="n"/>
      <c r="BY122" s="12" t="n"/>
      <c r="BZ122" s="12" t="n"/>
      <c r="CA122" s="12" t="n"/>
      <c r="CB122" s="12" t="n"/>
      <c r="CC122" s="12" t="n"/>
      <c r="CD122" s="12" t="n"/>
      <c r="CE122" s="12" t="n"/>
      <c r="CF122" s="12" t="n"/>
      <c r="CG122" s="12" t="n"/>
      <c r="CH122" s="12" t="n"/>
      <c r="CI122" s="12" t="n"/>
      <c r="CJ122" s="12" t="n"/>
      <c r="CK122" s="12" t="n"/>
      <c r="CL122" s="12" t="n"/>
      <c r="CM122" s="12" t="n"/>
      <c r="CN122" s="12" t="n"/>
      <c r="CO122" s="12" t="n"/>
      <c r="CP122" s="12" t="n"/>
      <c r="CQ122" s="12" t="n"/>
      <c r="CR122" s="12" t="n"/>
      <c r="CS122" s="12" t="n"/>
      <c r="CT122" s="12" t="n"/>
      <c r="CU122" s="12" t="n"/>
      <c r="CV122" s="12" t="n"/>
      <c r="CW122" s="12" t="n"/>
      <c r="CX122" s="12" t="n"/>
      <c r="CY122" s="12" t="n"/>
    </row>
    <row r="123" customFormat="1" s="32">
      <c r="A123" s="30" t="n"/>
      <c r="B123" s="3" t="n"/>
      <c r="C123" s="33" t="inlineStr">
        <is>
          <t>Net Income</t>
        </is>
      </c>
      <c r="D123" s="35" t="n"/>
      <c r="E123" s="35" t="n"/>
      <c r="F123" s="35" t="n"/>
      <c r="G123" s="35" t="n"/>
      <c r="H123" s="35" t="n"/>
      <c r="I123" s="35">
        <f>SUM(I116,I117,I121,I122)</f>
        <v>2730</v>
      </c>
      <c r="J123" s="35">
        <f>SUM(J116,J117,J121,J122)</f>
        <v>4690</v>
      </c>
      <c r="K123" s="35">
        <f>SUM(K116,K117,K121,K122)</f>
        <v>6750</v>
      </c>
      <c r="L123" s="35">
        <f>SUM(L116,L117,L121,L122)</f>
        <v>8870</v>
      </c>
      <c r="M123" s="35">
        <f>SUM(I123:L123)</f>
        <v>23040</v>
      </c>
      <c r="N123" s="35">
        <f>SUM(N116,N117,N121,N122)</f>
        <v>5480</v>
      </c>
      <c r="O123" s="35">
        <f>SUM(O116,O117,O121,O122)</f>
        <v>17850</v>
      </c>
      <c r="P123" s="35">
        <f>SUM(P116,P117,P121,P122)</f>
        <v>19660</v>
      </c>
      <c r="Q123" s="35">
        <f>SUM(Q116,Q117,Q121,Q122)</f>
        <v>12750</v>
      </c>
      <c r="R123" s="35">
        <f>SUM(N123:Q123)</f>
        <v>55740</v>
      </c>
      <c r="S123" s="35">
        <f>SUM(S116,S117,S121,S122)</f>
        <v>11430</v>
      </c>
      <c r="T123" s="35">
        <f>SUM(T116,T117,T121,T122)</f>
        <v>7880</v>
      </c>
      <c r="U123" s="35">
        <f>SUM(U116,U117,U121,U122)</f>
        <v>9070</v>
      </c>
      <c r="V123" s="35">
        <f>SUM(V116,V117,V121,V122)</f>
        <v>7630</v>
      </c>
      <c r="W123" s="35">
        <f>SUM(S123:V123)</f>
        <v>36010</v>
      </c>
      <c r="X123" s="35">
        <f>SUM(X116,X117,X121,X122)</f>
        <v>8220</v>
      </c>
      <c r="Y123" s="35">
        <f>SUM(Y116,Y117,Y121,Y122)</f>
        <v>9240</v>
      </c>
      <c r="Z123" s="35">
        <f>SUM(Z116,Z117,Z121,Z122)</f>
        <v>8610</v>
      </c>
      <c r="AA123" s="35">
        <f>SUM(AA116,AA117,AA121,AA122)</f>
        <v>7610</v>
      </c>
      <c r="AB123" s="35">
        <f>SUM(X123:AA123)</f>
        <v>33680</v>
      </c>
      <c r="AC123" s="35">
        <f>SUM(AC116,AC117,AC121,AC122)</f>
        <v>7713</v>
      </c>
      <c r="AD123" s="35">
        <f>SUM(AD116,AD117,AD121,AD122)</f>
        <v>7082</v>
      </c>
      <c r="AE123" s="35">
        <f>SUM(AE116,AE117,AE121,AE122)</f>
        <v>7548</v>
      </c>
      <c r="AF123" s="35">
        <f>SUM(AF116,AF117,AF121,AF122)</f>
        <v>6501</v>
      </c>
      <c r="AG123" s="35">
        <f>SUM(AC123:AF123)</f>
        <v>28844</v>
      </c>
      <c r="AH123" s="35">
        <f>SUM(AH116,AH117,AH121,AH122)</f>
        <v>4183</v>
      </c>
      <c r="AI123" s="35">
        <f>SUM(AI116,AI117,AI121,AI122)</f>
        <v>14525</v>
      </c>
      <c r="AJ123" s="35">
        <f>SUM(AJ116,AJ117,AJ121,AJ122)</f>
        <v>8100.12337048255</v>
      </c>
      <c r="AK123" s="35">
        <f>SUM(AK116,AK117,AK121,AK122)</f>
        <v>7816.55162587847</v>
      </c>
      <c r="AL123" s="35">
        <f>SUM(AH123:AK123)</f>
        <v>34624.674996361</v>
      </c>
      <c r="AM123" s="35">
        <f>SUM(AM116,AM117,AM121,AM122)</f>
        <v>8085.30850371824</v>
      </c>
      <c r="AN123" s="35">
        <f>SUM(AN116,AN117,AN121,AN122)</f>
        <v>11017.7974192003</v>
      </c>
      <c r="AO123" s="35">
        <f>SUM(AO116,AO117,AO121,AO122)</f>
        <v>8448.59394667879</v>
      </c>
      <c r="AP123" s="35">
        <f>SUM(AP116,AP117,AP121,AP122)</f>
        <v>8152.8228311867</v>
      </c>
      <c r="AQ123" s="35">
        <f>SUM(AM123:AP123)</f>
        <v>35704.5227007841</v>
      </c>
      <c r="AR123" s="35">
        <f>SUM(AR116,AR117,AR121,AR122)</f>
        <v>8392.71519584916</v>
      </c>
      <c r="AS123" s="35">
        <f>SUM(AS116,AS117,AS121,AS122)</f>
        <v>11436.6985233014</v>
      </c>
      <c r="AT123" s="35">
        <f>SUM(AT116,AT117,AT121,AT122)</f>
        <v>8769.81289795461</v>
      </c>
      <c r="AU123" s="35">
        <f>SUM(AU116,AU117,AU121,AU122)</f>
        <v>8462.79644529332</v>
      </c>
      <c r="AV123" s="35">
        <f>SUM(AR123:AU123)</f>
        <v>37062.0230623984</v>
      </c>
      <c r="AW123" s="35">
        <f>SUM(AW116,AW117,AW121,AW122)</f>
        <v>8669.84603848936</v>
      </c>
      <c r="AX123" s="35">
        <f>SUM(AX116,AX117,AX121,AX122)</f>
        <v>11814.342923811</v>
      </c>
      <c r="AY123" s="35">
        <f>SUM(AY116,AY117,AY121,AY122)</f>
        <v>9059.3956588958</v>
      </c>
      <c r="AZ123" s="35">
        <f>SUM(AZ116,AZ117,AZ121,AZ122)</f>
        <v>8742.2413990714</v>
      </c>
      <c r="BA123" s="35">
        <f>SUM(AW123:AZ123)</f>
        <v>38285.8260202676</v>
      </c>
      <c r="BB123" s="35">
        <f>SUM(BB116,BB117,BB121,BB122)</f>
        <v>8912.77862319702</v>
      </c>
      <c r="BC123" s="35">
        <f>SUM(BC116,BC117,BC121,BC122)</f>
        <v>12145.3855802045</v>
      </c>
      <c r="BD123" s="35">
        <f>SUM(BD116,BD117,BD121,BD122)</f>
        <v>9313.24358116967</v>
      </c>
      <c r="BE123" s="35">
        <f>SUM(BE116,BE117,BE121,BE122)</f>
        <v>8987.20253099766</v>
      </c>
      <c r="BF123" s="35">
        <f>SUM(BB123:BE123)</f>
        <v>39358.6103155688</v>
      </c>
      <c r="BG123" s="35" t="n"/>
      <c r="BH123" s="35" t="n"/>
      <c r="BI123" s="35" t="n"/>
      <c r="BJ123" s="35" t="n"/>
      <c r="BK123" s="35" t="n"/>
      <c r="BL123" s="35" t="n"/>
      <c r="BM123" s="35" t="n"/>
      <c r="BN123" s="35" t="n"/>
      <c r="BO123" s="35" t="n"/>
      <c r="BP123" s="35" t="n"/>
      <c r="BQ123" s="35" t="n"/>
      <c r="BR123" s="35" t="n"/>
      <c r="BS123" s="35" t="n"/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5" t="n"/>
      <c r="CH123" s="35" t="n"/>
      <c r="CI123" s="35" t="n"/>
      <c r="CJ123" s="35" t="n"/>
      <c r="CK123" s="35" t="n"/>
      <c r="CL123" s="35" t="n"/>
      <c r="CM123" s="35" t="n"/>
      <c r="CN123" s="35" t="n"/>
      <c r="CO123" s="35" t="n"/>
      <c r="CP123" s="35" t="n"/>
      <c r="CQ123" s="35" t="n"/>
      <c r="CR123" s="35" t="n"/>
      <c r="CS123" s="35" t="n"/>
      <c r="CT123" s="35" t="n"/>
      <c r="CU123" s="35" t="n"/>
      <c r="CV123" s="35" t="n"/>
      <c r="CW123" s="35" t="n"/>
      <c r="CX123" s="35" t="n"/>
      <c r="CY123" s="35" t="n"/>
    </row>
    <row r="124">
      <c r="C124" s="13" t="inlineStr">
        <is>
          <t>Common Dividends</t>
        </is>
      </c>
      <c r="D124" s="46" t="n"/>
      <c r="E124" s="46" t="n"/>
      <c r="F124" s="46" t="n"/>
      <c r="G124" s="46" t="n"/>
      <c r="H124" s="12" t="n"/>
      <c r="I124" s="46">
        <f>'Inputs (2)'!D13</f>
        <v>-3720</v>
      </c>
      <c r="J124" s="46">
        <f>'Inputs (2)'!E13</f>
        <v>-3721</v>
      </c>
      <c r="K124" s="46">
        <f>'Inputs (2)'!F13</f>
        <v>-3720</v>
      </c>
      <c r="L124" s="46">
        <f>'Inputs (2)'!G13</f>
        <v>-3763</v>
      </c>
      <c r="M124" s="12">
        <f>'Inputs (2)'!H13</f>
        <v>-14924</v>
      </c>
      <c r="N124" s="46">
        <f>'Inputs (2)'!I13</f>
        <v>-3760</v>
      </c>
      <c r="O124" s="46">
        <f>'Inputs (2)'!J13</f>
        <v>-3727</v>
      </c>
      <c r="P124" s="46">
        <f>'Inputs (2)'!K13</f>
        <v>-3685</v>
      </c>
      <c r="Q124" s="46">
        <f>'Inputs (2)'!L13</f>
        <v>-3767</v>
      </c>
      <c r="R124" s="12">
        <f>'Inputs (2)'!M13</f>
        <v>-14939</v>
      </c>
      <c r="S124" s="46">
        <f>'Inputs (2)'!N13</f>
        <v>-3738</v>
      </c>
      <c r="T124" s="46">
        <f>'Inputs (2)'!O13</f>
        <v>-3701</v>
      </c>
      <c r="U124" s="46">
        <f>'Inputs (2)'!P13</f>
        <v>-3663</v>
      </c>
      <c r="V124" s="46">
        <f>'Inputs (2)'!Q13</f>
        <v>-3839</v>
      </c>
      <c r="W124" s="12">
        <f>'Inputs (2)'!R13</f>
        <v>-14941</v>
      </c>
      <c r="X124" s="46">
        <f>'Inputs (2)'!S13</f>
        <v>-3808</v>
      </c>
      <c r="Y124" s="46">
        <f>'Inputs (2)'!T13</f>
        <v>-4285</v>
      </c>
      <c r="Z124" s="46">
        <f>'Inputs (2)'!U13</f>
        <v>-4240</v>
      </c>
      <c r="AA124" s="46">
        <f>'Inputs (2)'!V13</f>
        <v>-4371</v>
      </c>
      <c r="AB124" s="12">
        <f>'Inputs (2)'!W13</f>
        <v>-16704</v>
      </c>
      <c r="AC124" s="46">
        <f>'Inputs (2)'!X13</f>
        <v>-4335</v>
      </c>
      <c r="AD124" s="46">
        <f>'Inputs (2)'!Y13</f>
        <v>-4288</v>
      </c>
      <c r="AE124" s="46">
        <f>'Inputs (2)'!Z13</f>
        <v>-4242</v>
      </c>
      <c r="AF124" s="46">
        <f>'Inputs (2)'!AA13</f>
        <v>-4366</v>
      </c>
      <c r="AG124" s="12">
        <f>'Inputs (2)'!AB13</f>
        <v>-17231</v>
      </c>
      <c r="AH124" s="12">
        <f>'Inputs (2)'!AC13</f>
        <v>-4334</v>
      </c>
      <c r="AI124" s="12">
        <f>'Inputs (2)'!AD13</f>
        <v>-4299</v>
      </c>
      <c r="AJ124" s="12">
        <f>-MAX(0,AJ123)*Control!$E$15</f>
        <v>0</v>
      </c>
      <c r="AK124" s="12">
        <f>-MAX(0,AK123)*Control!$E$15</f>
        <v>0</v>
      </c>
      <c r="AL124" s="12">
        <f>SUM(AH124:AK124)</f>
        <v>-8633</v>
      </c>
      <c r="AM124" s="12">
        <f>-MAX(0,AM123)*Control!$E$15</f>
        <v>0</v>
      </c>
      <c r="AN124" s="12">
        <f>-MAX(0,AN123)*Control!$E$15</f>
        <v>0</v>
      </c>
      <c r="AO124" s="12">
        <f>-MAX(0,AO123)*Control!$E$15</f>
        <v>0</v>
      </c>
      <c r="AP124" s="12">
        <f>-MAX(0,AP123)*Control!$E$15</f>
        <v>0</v>
      </c>
      <c r="AQ124" s="12">
        <f>SUM(AM124:AP124)</f>
        <v>0</v>
      </c>
      <c r="AR124" s="12">
        <f>-MAX(0,AR123)*Control!$E$15</f>
        <v>0</v>
      </c>
      <c r="AS124" s="12">
        <f>-MAX(0,AS123)*Control!$E$15</f>
        <v>0</v>
      </c>
      <c r="AT124" s="12">
        <f>-MAX(0,AT123)*Control!$E$15</f>
        <v>0</v>
      </c>
      <c r="AU124" s="12">
        <f>-MAX(0,AU123)*Control!$E$15</f>
        <v>0</v>
      </c>
      <c r="AV124" s="12">
        <f>SUM(AR124:AU124)</f>
        <v>0</v>
      </c>
      <c r="AW124" s="12">
        <f>-MAX(0,AW123)*Control!$E$15</f>
        <v>0</v>
      </c>
      <c r="AX124" s="12">
        <f>-MAX(0,AX123)*Control!$E$15</f>
        <v>0</v>
      </c>
      <c r="AY124" s="12">
        <f>-MAX(0,AY123)*Control!$E$15</f>
        <v>0</v>
      </c>
      <c r="AZ124" s="12">
        <f>-MAX(0,AZ123)*Control!$E$15</f>
        <v>0</v>
      </c>
      <c r="BA124" s="12">
        <f>SUM(AW124:AZ124)</f>
        <v>0</v>
      </c>
      <c r="BB124" s="12">
        <f>-MAX(0,BB123)*Control!$E$15</f>
        <v>0</v>
      </c>
      <c r="BC124" s="12">
        <f>-MAX(0,BC123)*Control!$E$15</f>
        <v>0</v>
      </c>
      <c r="BD124" s="12">
        <f>-MAX(0,BD123)*Control!$E$15</f>
        <v>0</v>
      </c>
      <c r="BE124" s="12">
        <f>-MAX(0,BE123)*Control!$E$15</f>
        <v>0</v>
      </c>
      <c r="BF124" s="12">
        <f>SUM(BB124:BE124)</f>
        <v>0</v>
      </c>
      <c r="BG124" s="12" t="n"/>
      <c r="BH124" s="12" t="n"/>
      <c r="BI124" s="12" t="n"/>
      <c r="BJ124" s="12" t="n"/>
      <c r="BK124" s="12" t="n"/>
      <c r="BL124" s="12" t="n"/>
      <c r="BM124" s="12" t="n"/>
      <c r="BN124" s="12" t="n"/>
      <c r="BO124" s="12" t="n"/>
      <c r="BP124" s="12" t="n"/>
      <c r="BQ124" s="12" t="n"/>
      <c r="BR124" s="12" t="n"/>
      <c r="BS124" s="12" t="n"/>
      <c r="BT124" s="12" t="n"/>
      <c r="BU124" s="12" t="n"/>
      <c r="BV124" s="12" t="n"/>
      <c r="BW124" s="12" t="n"/>
      <c r="BX124" s="12" t="n"/>
      <c r="BY124" s="12" t="n"/>
      <c r="BZ124" s="12" t="n"/>
      <c r="CA124" s="12" t="n"/>
      <c r="CB124" s="12" t="n"/>
      <c r="CC124" s="12" t="n"/>
      <c r="CD124" s="12" t="n"/>
      <c r="CE124" s="12" t="n"/>
      <c r="CF124" s="12" t="n"/>
      <c r="CG124" s="12" t="n"/>
      <c r="CH124" s="12" t="n"/>
      <c r="CI124" s="12" t="n"/>
      <c r="CJ124" s="12" t="n"/>
      <c r="CK124" s="12" t="n"/>
      <c r="CL124" s="12" t="n"/>
      <c r="CM124" s="12" t="n"/>
      <c r="CN124" s="12" t="n"/>
      <c r="CO124" s="12" t="n"/>
      <c r="CP124" s="12" t="n"/>
      <c r="CQ124" s="12" t="n"/>
      <c r="CR124" s="12" t="n"/>
      <c r="CS124" s="12" t="n"/>
      <c r="CT124" s="12" t="n"/>
      <c r="CU124" s="12" t="n"/>
      <c r="CV124" s="12" t="n"/>
      <c r="CW124" s="12" t="n"/>
      <c r="CX124" s="12" t="n"/>
      <c r="CY124" s="12" t="n"/>
    </row>
    <row r="125" hidden="1" outlineLevel="1">
      <c r="C125" s="50" t="inlineStr">
        <is>
          <t>% DVD Payout</t>
        </is>
      </c>
      <c r="D125" s="58" t="n"/>
      <c r="E125" s="58" t="n"/>
      <c r="F125" s="58" t="n"/>
      <c r="G125" s="58" t="n"/>
      <c r="H125" s="58" t="n"/>
      <c r="I125" s="58">
        <f>IF(I123=0,"",-I124/I123)</f>
        <v>1.36263736263736</v>
      </c>
      <c r="J125" s="58">
        <f>IF(J123=0,"",-J124/J123)</f>
        <v>0.793390191897655</v>
      </c>
      <c r="K125" s="58">
        <f>IF(K123=0,"",-K124/K123)</f>
        <v>0.551111111111111</v>
      </c>
      <c r="L125" s="58">
        <f>IF(L123=0,"",-L124/L123)</f>
        <v>0.42423900789177</v>
      </c>
      <c r="M125" s="58">
        <f>IF(M123=0,"",-M124/M123)</f>
        <v>0.647743055555556</v>
      </c>
      <c r="N125" s="58">
        <f>IF(N123=0,"",-N124/N123)</f>
        <v>0.686131386861314</v>
      </c>
      <c r="O125" s="58">
        <f>IF(O123=0,"",-O124/O123)</f>
        <v>0.208795518207283</v>
      </c>
      <c r="P125" s="58">
        <f>IF(P123=0,"",-P124/P123)</f>
        <v>0.187436419125127</v>
      </c>
      <c r="Q125" s="58">
        <f>IF(Q123=0,"",-Q124/Q123)</f>
        <v>0.295450980392157</v>
      </c>
      <c r="R125" s="58">
        <f>IF(R123=0,"",-R124/R123)</f>
        <v>0.268012199497668</v>
      </c>
      <c r="S125" s="58">
        <f>IF(S123=0,"",-S124/S123)</f>
        <v>0.327034120734908</v>
      </c>
      <c r="T125" s="58">
        <f>IF(T123=0,"",-T124/T123)</f>
        <v>0.469670050761421</v>
      </c>
      <c r="U125" s="58">
        <f>IF(U123=0,"",-U124/U123)</f>
        <v>0.403858875413451</v>
      </c>
      <c r="V125" s="58">
        <f>IF(V123=0,"",-V124/V123)</f>
        <v>0.503145478374836</v>
      </c>
      <c r="W125" s="58">
        <f>IF(W123=0,"",-W124/W123)</f>
        <v>0.414912524298806</v>
      </c>
      <c r="X125" s="58">
        <f>IF(X123=0,"",-X124/X123)</f>
        <v>0.463260340632603</v>
      </c>
      <c r="Y125" s="58">
        <f>IF(Y123=0,"",-Y124/Y123)</f>
        <v>0.463744588744589</v>
      </c>
      <c r="Z125" s="58">
        <f>IF(Z123=0,"",-Z124/Z123)</f>
        <v>0.492450638792102</v>
      </c>
      <c r="AA125" s="58">
        <f>IF(AA123=0,"",-AA124/AA123)</f>
        <v>0.574375821287779</v>
      </c>
      <c r="AB125" s="58">
        <f>IF(AB123=0,"",-AB124/AB123)</f>
        <v>0.495961995249406</v>
      </c>
      <c r="AC125" s="58">
        <f>IF(AC123=0,"",-AC124/AC123)</f>
        <v>0.562038117464022</v>
      </c>
      <c r="AD125" s="58">
        <f>IF(AD123=0,"",-AD124/AD123)</f>
        <v>0.605478678339452</v>
      </c>
      <c r="AE125" s="58">
        <f>IF(AE123=0,"",-AE124/AE123)</f>
        <v>0.562003179650239</v>
      </c>
      <c r="AF125" s="41">
        <f>IF(AF123=0,"",-AF124/AF123)</f>
        <v>0.671588986309799</v>
      </c>
      <c r="AG125" s="12">
        <f>IF(AG123=0,"",-AG124/AG123)</f>
        <v>0.597385938150049</v>
      </c>
      <c r="AH125" s="41">
        <f>IF(AH123=0,"",-AH124/AH123)</f>
        <v>1.0360984939039</v>
      </c>
      <c r="AI125" s="41">
        <f>IF(AI123=0,"",-AI124/AI123)</f>
        <v>0.295972461273666</v>
      </c>
      <c r="AJ125" s="41">
        <f>IF(AJ123=0,"",-AJ124/AJ123)</f>
        <v>0</v>
      </c>
      <c r="AK125" s="41">
        <f>IF(AK123=0,"",-AK124/AK123)</f>
        <v>0</v>
      </c>
      <c r="AL125" s="12">
        <f>IF(AL123=0,"",-AL124/AL123)</f>
        <v>0.249330860171462</v>
      </c>
      <c r="AM125" s="41">
        <f>IF(AM123=0,"",-AM124/AM123)</f>
        <v>0</v>
      </c>
      <c r="AN125" s="41">
        <f>IF(AN123=0,"",-AN124/AN123)</f>
        <v>0</v>
      </c>
      <c r="AO125" s="41">
        <f>IF(AO123=0,"",-AO124/AO123)</f>
        <v>0</v>
      </c>
      <c r="AP125" s="41">
        <f>IF(AP123=0,"",-AP124/AP123)</f>
        <v>0</v>
      </c>
      <c r="AQ125" s="12">
        <f>IF(AQ123=0,"",-AQ124/AQ123)</f>
        <v>0</v>
      </c>
      <c r="AR125" s="41">
        <f>IF(AR123=0,"",-AR124/AR123)</f>
        <v>0</v>
      </c>
      <c r="AS125" s="41">
        <f>IF(AS123=0,"",-AS124/AS123)</f>
        <v>0</v>
      </c>
      <c r="AT125" s="41">
        <f>IF(AT123=0,"",-AT124/AT123)</f>
        <v>0</v>
      </c>
      <c r="AU125" s="41">
        <f>IF(AU123=0,"",-AU124/AU123)</f>
        <v>0</v>
      </c>
      <c r="AV125" s="12">
        <f>IF(AV123=0,"",-AV124/AV123)</f>
        <v>0</v>
      </c>
      <c r="AW125" s="41">
        <f>IF(AW123=0,"",-AW124/AW123)</f>
        <v>0</v>
      </c>
      <c r="AX125" s="41">
        <f>IF(AX123=0,"",-AX124/AX123)</f>
        <v>0</v>
      </c>
      <c r="AY125" s="41">
        <f>IF(AY123=0,"",-AY124/AY123)</f>
        <v>0</v>
      </c>
      <c r="AZ125" s="41">
        <f>IF(AZ123=0,"",-AZ124/AZ123)</f>
        <v>0</v>
      </c>
      <c r="BA125" s="12">
        <f>IF(BA123=0,"",-BA124/BA123)</f>
        <v>0</v>
      </c>
      <c r="BB125" s="41">
        <f>IF(BB123=0,"",-BB124/BB123)</f>
        <v>0</v>
      </c>
      <c r="BC125" s="41">
        <f>IF(BC123=0,"",-BC124/BC123)</f>
        <v>0</v>
      </c>
      <c r="BD125" s="41">
        <f>IF(BD123=0,"",-BD124/BD123)</f>
        <v>0</v>
      </c>
      <c r="BE125" s="41">
        <f>IF(BE123=0,"",-BE124/BE123)</f>
        <v>0</v>
      </c>
      <c r="BF125" s="12">
        <f>IF(BF123=0,"",-BF124/BF123)</f>
        <v>0</v>
      </c>
      <c r="BG125" s="41" t="n"/>
      <c r="BH125" s="41" t="n"/>
      <c r="BI125" s="41" t="n"/>
      <c r="BJ125" s="41" t="n"/>
      <c r="BK125" s="12" t="n"/>
      <c r="BL125" s="41" t="n"/>
      <c r="BM125" s="41" t="n"/>
      <c r="BN125" s="41" t="n"/>
      <c r="BO125" s="41" t="n"/>
      <c r="BP125" s="12" t="n"/>
      <c r="BQ125" s="41" t="n"/>
      <c r="BR125" s="41" t="n"/>
      <c r="BS125" s="41" t="n"/>
      <c r="BT125" s="41" t="n"/>
      <c r="BU125" s="12" t="n"/>
      <c r="BV125" s="41" t="n"/>
      <c r="BW125" s="41" t="n"/>
      <c r="BX125" s="41" t="n"/>
      <c r="BY125" s="41" t="n"/>
      <c r="BZ125" s="12" t="n"/>
      <c r="CA125" s="41" t="n"/>
      <c r="CB125" s="41" t="n"/>
      <c r="CC125" s="41" t="n"/>
      <c r="CD125" s="41" t="n"/>
      <c r="CE125" s="12" t="n"/>
      <c r="CF125" s="41" t="n"/>
      <c r="CG125" s="41" t="n"/>
      <c r="CH125" s="41" t="n"/>
      <c r="CI125" s="41" t="n"/>
      <c r="CJ125" s="12" t="n"/>
      <c r="CK125" s="41" t="n"/>
      <c r="CL125" s="41" t="n"/>
      <c r="CM125" s="41" t="n"/>
      <c r="CN125" s="41" t="n"/>
      <c r="CO125" s="12" t="n"/>
      <c r="CP125" s="41" t="n"/>
      <c r="CQ125" s="41" t="n"/>
      <c r="CR125" s="41" t="n"/>
      <c r="CS125" s="41" t="n"/>
      <c r="CT125" s="12" t="n"/>
      <c r="CU125" s="41" t="n"/>
      <c r="CV125" s="41" t="n"/>
      <c r="CW125" s="41" t="n"/>
      <c r="CX125" s="41" t="n"/>
      <c r="CY125" s="12" t="n"/>
    </row>
    <row r="126" hidden="1" outlineLevel="1">
      <c r="C126" s="18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n"/>
      <c r="AK126" s="3" t="n"/>
      <c r="AL126" s="3" t="n"/>
      <c r="AM126" s="3" t="n"/>
      <c r="AN126" s="3" t="n"/>
      <c r="AO126" s="3" t="n"/>
      <c r="AP126" s="3" t="n"/>
      <c r="AQ126" s="3" t="n"/>
      <c r="AR126" s="3" t="n"/>
      <c r="AS126" s="3" t="n"/>
      <c r="AT126" s="3" t="n"/>
      <c r="AU126" s="3" t="n"/>
      <c r="AV126" s="3" t="n"/>
      <c r="AW126" s="3" t="n"/>
      <c r="AX126" s="3" t="n"/>
      <c r="AY126" s="3" t="n"/>
      <c r="AZ126" s="3" t="n"/>
      <c r="BA126" s="3" t="n"/>
      <c r="BB126" s="3" t="n"/>
      <c r="BC126" s="3" t="n"/>
      <c r="BD126" s="3" t="n"/>
      <c r="BE126" s="3" t="n"/>
      <c r="BF126" s="3" t="n"/>
      <c r="BG126" s="3" t="n"/>
      <c r="BH126" s="3" t="n"/>
      <c r="BI126" s="3" t="n"/>
      <c r="BJ126" s="3" t="n"/>
      <c r="BK126" s="3" t="n"/>
      <c r="BL126" s="3" t="n"/>
      <c r="BM126" s="3" t="n"/>
      <c r="BN126" s="3" t="n"/>
      <c r="BO126" s="3" t="n"/>
      <c r="BP126" s="3" t="n"/>
      <c r="BQ126" s="3" t="n"/>
      <c r="BR126" s="3" t="n"/>
      <c r="BS126" s="3" t="n"/>
      <c r="BT126" s="3" t="n"/>
      <c r="BU126" s="3" t="n"/>
      <c r="BV126" s="3" t="n"/>
      <c r="BW126" s="3" t="n"/>
      <c r="BX126" s="3" t="n"/>
      <c r="BY126" s="3" t="n"/>
      <c r="BZ126" s="3" t="n"/>
      <c r="CA126" s="3" t="n"/>
      <c r="CB126" s="3" t="n"/>
      <c r="CC126" s="3" t="n"/>
      <c r="CD126" s="3" t="n"/>
      <c r="CE126" s="3" t="n"/>
      <c r="CF126" s="3" t="n"/>
      <c r="CG126" s="3" t="n"/>
      <c r="CH126" s="3" t="n"/>
      <c r="CI126" s="3" t="n"/>
      <c r="CJ126" s="3" t="n"/>
      <c r="CK126" s="3" t="n"/>
      <c r="CL126" s="3" t="n"/>
      <c r="CM126" s="3" t="n"/>
      <c r="CN126" s="3" t="n"/>
      <c r="CO126" s="3" t="n"/>
      <c r="CP126" s="3" t="n"/>
      <c r="CQ126" s="3" t="n"/>
      <c r="CR126" s="3" t="n"/>
      <c r="CS126" s="3" t="n"/>
      <c r="CT126" s="3" t="n"/>
      <c r="CU126" s="3" t="n"/>
      <c r="CV126" s="3" t="n"/>
      <c r="CW126" s="3" t="n"/>
      <c r="CX126" s="3" t="n"/>
      <c r="CY126" s="3" t="n"/>
    </row>
    <row r="127" hidden="1" outlineLevel="1">
      <c r="C127" s="18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s="3" t="n"/>
      <c r="AN127" s="3" t="n"/>
      <c r="AO127" s="3" t="n"/>
      <c r="AP127" s="3" t="n"/>
      <c r="AQ127" s="3" t="n"/>
      <c r="AR127" s="3" t="n"/>
      <c r="AS127" s="3" t="n"/>
      <c r="AT127" s="3" t="n"/>
      <c r="AU127" s="3" t="n"/>
      <c r="AV127" s="3" t="n"/>
      <c r="AW127" s="3" t="n"/>
      <c r="AX127" s="3" t="n"/>
      <c r="AY127" s="3" t="n"/>
      <c r="AZ127" s="3" t="n"/>
      <c r="BA127" s="3" t="n"/>
      <c r="BB127" s="3" t="n"/>
      <c r="BC127" s="3" t="n"/>
      <c r="BD127" s="3" t="n"/>
      <c r="BE127" s="3" t="n"/>
      <c r="BF127" s="3" t="n"/>
      <c r="BG127" s="3" t="n"/>
      <c r="BH127" s="3" t="n"/>
      <c r="BI127" s="3" t="n"/>
      <c r="BJ127" s="3" t="n"/>
      <c r="BK127" s="3" t="n"/>
      <c r="BL127" s="3" t="n"/>
      <c r="BM127" s="3" t="n"/>
      <c r="BN127" s="3" t="n"/>
      <c r="BO127" s="3" t="n"/>
      <c r="BP127" s="3" t="n"/>
      <c r="BQ127" s="3" t="n"/>
      <c r="BR127" s="3" t="n"/>
      <c r="BS127" s="3" t="n"/>
      <c r="BT127" s="3" t="n"/>
      <c r="BU127" s="3" t="n"/>
      <c r="BV127" s="3" t="n"/>
      <c r="BW127" s="3" t="n"/>
      <c r="BX127" s="3" t="n"/>
      <c r="BY127" s="3" t="n"/>
      <c r="BZ127" s="3" t="n"/>
      <c r="CA127" s="3" t="n"/>
      <c r="CB127" s="3" t="n"/>
      <c r="CC127" s="3" t="n"/>
      <c r="CD127" s="3" t="n"/>
      <c r="CE127" s="3" t="n"/>
      <c r="CF127" s="3" t="n"/>
      <c r="CG127" s="3" t="n"/>
      <c r="CH127" s="3" t="n"/>
      <c r="CI127" s="3" t="n"/>
      <c r="CJ127" s="3" t="n"/>
      <c r="CK127" s="3" t="n"/>
      <c r="CL127" s="3" t="n"/>
      <c r="CM127" s="3" t="n"/>
      <c r="CN127" s="3" t="n"/>
      <c r="CO127" s="3" t="n"/>
      <c r="CP127" s="3" t="n"/>
      <c r="CQ127" s="3" t="n"/>
      <c r="CR127" s="3" t="n"/>
      <c r="CS127" s="3" t="n"/>
      <c r="CT127" s="3" t="n"/>
      <c r="CU127" s="3" t="n"/>
      <c r="CV127" s="3" t="n"/>
      <c r="CW127" s="3" t="n"/>
      <c r="CX127" s="3" t="n"/>
      <c r="CY127" s="3" t="n"/>
    </row>
    <row r="128" collapsed="1" ht="11.25" customHeight="1">
      <c r="C128" s="31" t="inlineStr">
        <is>
          <t>Balance Sheet</t>
        </is>
      </c>
      <c r="D128" s="31" t="n"/>
      <c r="E128" s="31" t="n"/>
      <c r="F128" s="31" t="n"/>
      <c r="G128" s="31" t="n"/>
      <c r="H128" s="31" t="n"/>
      <c r="I128" s="31" t="str">
        <f>I13</f>
        <v>1Q21</v>
      </c>
      <c r="J128" s="31" t="str">
        <f>J13</f>
        <v>2Q21</v>
      </c>
      <c r="K128" s="31" t="str">
        <f>K13</f>
        <v>3Q21</v>
      </c>
      <c r="L128" s="31" t="str">
        <f>L13</f>
        <v>4Q21</v>
      </c>
      <c r="M128" s="31">
        <f>M13</f>
        <v>2021</v>
      </c>
      <c r="N128" s="31" t="str">
        <f>N13</f>
        <v>1Q22</v>
      </c>
      <c r="O128" s="31" t="str">
        <f>O13</f>
        <v>2Q22</v>
      </c>
      <c r="P128" s="31" t="str">
        <f>P13</f>
        <v>3Q22</v>
      </c>
      <c r="Q128" s="31" t="str">
        <f>Q13</f>
        <v>4Q22</v>
      </c>
      <c r="R128" s="31">
        <f>R13</f>
        <v>2022</v>
      </c>
      <c r="S128" s="31" t="str">
        <f>S13</f>
        <v>1Q23</v>
      </c>
      <c r="T128" s="31" t="str">
        <f>T13</f>
        <v>2Q23</v>
      </c>
      <c r="U128" s="31" t="str">
        <f>U13</f>
        <v>3Q23</v>
      </c>
      <c r="V128" s="31" t="str">
        <f>V13</f>
        <v>4Q23</v>
      </c>
      <c r="W128" s="31">
        <f>W13</f>
        <v>2023</v>
      </c>
      <c r="X128" s="31" t="str">
        <f>X13</f>
        <v>1Q24</v>
      </c>
      <c r="Y128" s="31" t="str">
        <f>Y13</f>
        <v>2Q24</v>
      </c>
      <c r="Z128" s="31" t="str">
        <f>Z13</f>
        <v>3Q24</v>
      </c>
      <c r="AA128" s="31" t="str">
        <f>AA13</f>
        <v>4Q24</v>
      </c>
      <c r="AB128" s="31">
        <f>AB13</f>
        <v>2024</v>
      </c>
      <c r="AC128" s="31" t="str">
        <f>AC13</f>
        <v>1Q25</v>
      </c>
      <c r="AD128" s="31" t="str">
        <f>AD13</f>
        <v>2Q25</v>
      </c>
      <c r="AE128" s="31" t="str">
        <f>AE13</f>
        <v>3Q25</v>
      </c>
      <c r="AF128" s="31" t="str">
        <f>AF13</f>
        <v>4Q25</v>
      </c>
      <c r="AG128" s="31">
        <f>AG13</f>
        <v>2025</v>
      </c>
      <c r="AH128" s="31" t="str">
        <f>AH13</f>
        <v>1Q26</v>
      </c>
      <c r="AI128" s="31" t="str">
        <f>AI13</f>
        <v>2Q26</v>
      </c>
      <c r="AJ128" s="31" t="str">
        <f>AJ13</f>
        <v>3Q26</v>
      </c>
      <c r="AK128" s="31" t="str">
        <f>AK13</f>
        <v>4Q26</v>
      </c>
      <c r="AL128" s="31">
        <f>AL13</f>
        <v>2026</v>
      </c>
      <c r="AM128" s="31" t="str">
        <f>AM13</f>
        <v>1Q27</v>
      </c>
      <c r="AN128" s="31" t="str">
        <f>AN13</f>
        <v>2Q27</v>
      </c>
      <c r="AO128" s="31" t="str">
        <f>AO13</f>
        <v>3Q27</v>
      </c>
      <c r="AP128" s="31" t="str">
        <f>AP13</f>
        <v>4Q27</v>
      </c>
      <c r="AQ128" s="31">
        <f>AQ13</f>
        <v>2027</v>
      </c>
      <c r="AR128" s="31" t="str">
        <f>AR13</f>
        <v>1Q28</v>
      </c>
      <c r="AS128" s="31" t="str">
        <f>AS13</f>
        <v>2Q28</v>
      </c>
      <c r="AT128" s="31" t="str">
        <f>AT13</f>
        <v>3Q28</v>
      </c>
      <c r="AU128" s="31" t="str">
        <f>AU13</f>
        <v>4Q28</v>
      </c>
      <c r="AV128" s="31">
        <f>AV13</f>
        <v>2028</v>
      </c>
      <c r="AW128" s="31" t="str">
        <f>AW13</f>
        <v>1Q29</v>
      </c>
      <c r="AX128" s="31" t="str">
        <f>AX13</f>
        <v>2Q29</v>
      </c>
      <c r="AY128" s="31" t="str">
        <f>AY13</f>
        <v>3Q29</v>
      </c>
      <c r="AZ128" s="31" t="str">
        <f>AZ13</f>
        <v>4Q29</v>
      </c>
      <c r="BA128" s="31">
        <f>BA13</f>
        <v>2029</v>
      </c>
      <c r="BB128" s="31" t="str">
        <f>BB13</f>
        <v>1Q30</v>
      </c>
      <c r="BC128" s="31" t="str">
        <f>BC13</f>
        <v>2Q30</v>
      </c>
      <c r="BD128" s="31" t="str">
        <f>BD13</f>
        <v>3Q30</v>
      </c>
      <c r="BE128" s="31" t="str">
        <f>BE13</f>
        <v>4Q30</v>
      </c>
      <c r="BF128" s="31">
        <f>BF13</f>
        <v>2030</v>
      </c>
      <c r="BG128" s="31" t="n"/>
      <c r="BH128" s="31" t="n"/>
      <c r="BI128" s="31" t="n"/>
      <c r="BJ128" s="31" t="n"/>
      <c r="BK128" s="31" t="n"/>
      <c r="BL128" s="31" t="n"/>
      <c r="BM128" s="31" t="n"/>
      <c r="BN128" s="31" t="n"/>
      <c r="BO128" s="31" t="n"/>
      <c r="BP128" s="31" t="n"/>
      <c r="BQ128" s="31" t="n"/>
      <c r="BR128" s="31" t="n"/>
      <c r="BS128" s="31" t="n"/>
      <c r="BT128" s="31" t="n"/>
      <c r="BU128" s="31" t="n"/>
      <c r="BV128" s="31" t="n"/>
      <c r="BW128" s="31" t="n"/>
      <c r="BX128" s="31" t="n"/>
      <c r="BY128" s="31" t="n"/>
      <c r="BZ128" s="31" t="n"/>
      <c r="CA128" s="31" t="n"/>
      <c r="CB128" s="31" t="n"/>
      <c r="CC128" s="31" t="n"/>
      <c r="CD128" s="31" t="n"/>
      <c r="CE128" s="31" t="n"/>
      <c r="CF128" s="31" t="n"/>
      <c r="CG128" s="31" t="n"/>
      <c r="CH128" s="31" t="n"/>
      <c r="CI128" s="31" t="n"/>
      <c r="CJ128" s="31" t="n"/>
      <c r="CK128" s="31" t="n"/>
      <c r="CL128" s="31" t="n"/>
      <c r="CM128" s="31" t="n"/>
      <c r="CN128" s="31" t="n"/>
      <c r="CO128" s="31" t="n"/>
      <c r="CP128" s="31" t="n"/>
      <c r="CQ128" s="31" t="n"/>
      <c r="CR128" s="31" t="n"/>
      <c r="CS128" s="31" t="n"/>
      <c r="CT128" s="31" t="n"/>
      <c r="CU128" s="31" t="n"/>
      <c r="CV128" s="31" t="n"/>
      <c r="CW128" s="31" t="n"/>
      <c r="CX128" s="31" t="n"/>
      <c r="CY128" s="31" t="n"/>
    </row>
    <row r="129">
      <c r="C129" s="18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n"/>
      <c r="AK129" s="3" t="n"/>
      <c r="AL129" s="3" t="n"/>
      <c r="AM129" s="3" t="n"/>
      <c r="AN129" s="3" t="n"/>
      <c r="AO129" s="3" t="n"/>
      <c r="AP129" s="3" t="n"/>
      <c r="AQ129" s="3" t="n"/>
      <c r="AR129" s="3" t="n"/>
      <c r="AS129" s="3" t="n"/>
      <c r="AT129" s="3" t="n"/>
      <c r="AU129" s="3" t="n"/>
      <c r="AV129" s="3" t="n"/>
      <c r="AW129" s="3" t="n"/>
      <c r="AX129" s="3" t="n"/>
      <c r="AY129" s="3" t="n"/>
      <c r="AZ129" s="3" t="n"/>
      <c r="BA129" s="3" t="n"/>
      <c r="BB129" s="3" t="n"/>
      <c r="BC129" s="3" t="n"/>
      <c r="BD129" s="3" t="n"/>
      <c r="BE129" s="3" t="n"/>
      <c r="BF129" s="3" t="n"/>
      <c r="BG129" s="3" t="n"/>
      <c r="BH129" s="3" t="n"/>
      <c r="BI129" s="3" t="n"/>
      <c r="BJ129" s="3" t="n"/>
      <c r="BK129" s="3" t="n"/>
      <c r="BL129" s="3" t="n"/>
      <c r="BM129" s="3" t="n"/>
      <c r="BN129" s="3" t="n"/>
      <c r="BO129" s="3" t="n"/>
      <c r="BP129" s="3" t="n"/>
      <c r="BQ129" s="3" t="n"/>
      <c r="BR129" s="3" t="n"/>
      <c r="BS129" s="3" t="n"/>
      <c r="BT129" s="3" t="n"/>
      <c r="BU129" s="3" t="n"/>
      <c r="BV129" s="3" t="n"/>
      <c r="BW129" s="3" t="n"/>
      <c r="BX129" s="3" t="n"/>
      <c r="BY129" s="3" t="n"/>
      <c r="BZ129" s="3" t="n"/>
      <c r="CA129" s="3" t="n"/>
      <c r="CB129" s="3" t="n"/>
      <c r="CC129" s="3" t="n"/>
      <c r="CD129" s="3" t="n"/>
      <c r="CE129" s="3" t="n"/>
      <c r="CF129" s="3" t="n"/>
      <c r="CG129" s="3" t="n"/>
      <c r="CH129" s="3" t="n"/>
      <c r="CI129" s="3" t="n"/>
      <c r="CJ129" s="3" t="n"/>
      <c r="CK129" s="3" t="n"/>
      <c r="CL129" s="3" t="n"/>
      <c r="CM129" s="3" t="n"/>
      <c r="CN129" s="3" t="n"/>
      <c r="CO129" s="3" t="n"/>
      <c r="CP129" s="3" t="n"/>
      <c r="CQ129" s="3" t="n"/>
      <c r="CR129" s="3" t="n"/>
      <c r="CS129" s="3" t="n"/>
      <c r="CT129" s="3" t="n"/>
      <c r="CU129" s="3" t="n"/>
      <c r="CV129" s="3" t="n"/>
      <c r="CW129" s="3" t="n"/>
      <c r="CX129" s="3" t="n"/>
      <c r="CY129" s="3" t="n"/>
    </row>
    <row r="130">
      <c r="C130" s="13" t="inlineStr">
        <is>
          <t>Cash and equivalents (inc. investment securities)</t>
        </is>
      </c>
      <c r="D130" s="46" t="n"/>
      <c r="E130" s="46" t="n"/>
      <c r="F130" s="46" t="n"/>
      <c r="G130" s="46" t="n"/>
      <c r="H130" s="12" t="n"/>
      <c r="I130" s="46">
        <f>'Inputs (2)'!D15</f>
        <v>3515</v>
      </c>
      <c r="J130" s="46">
        <f>'Inputs (2)'!E15</f>
        <v>3465</v>
      </c>
      <c r="K130" s="46">
        <f>'Inputs (2)'!F15</f>
        <v>4768</v>
      </c>
      <c r="L130" s="46">
        <f>'Inputs (2)'!G15</f>
        <v>6802</v>
      </c>
      <c r="M130" s="12">
        <f>'Inputs (2)'!H15</f>
        <v>6802</v>
      </c>
      <c r="N130" s="46">
        <f>'Inputs (2)'!I15</f>
        <v>11074</v>
      </c>
      <c r="O130" s="46">
        <f>'Inputs (2)'!J15</f>
        <v>18861</v>
      </c>
      <c r="P130" s="46">
        <f>'Inputs (2)'!K15</f>
        <v>30407</v>
      </c>
      <c r="Q130" s="46">
        <f>'Inputs (2)'!L15</f>
        <v>29640</v>
      </c>
      <c r="R130" s="12">
        <f>'Inputs (2)'!M15</f>
        <v>29640</v>
      </c>
      <c r="S130" s="46">
        <f>'Inputs (2)'!N15</f>
        <v>32651</v>
      </c>
      <c r="T130" s="46">
        <f>'Inputs (2)'!O15</f>
        <v>29528</v>
      </c>
      <c r="U130" s="46">
        <f>'Inputs (2)'!P15</f>
        <v>32944</v>
      </c>
      <c r="V130" s="46">
        <f>'Inputs (2)'!Q15</f>
        <v>31539</v>
      </c>
      <c r="W130" s="12">
        <f>'Inputs (2)'!R15</f>
        <v>31539</v>
      </c>
      <c r="X130" s="46">
        <f>'Inputs (2)'!S15</f>
        <v>33320</v>
      </c>
      <c r="Y130" s="46">
        <f>'Inputs (2)'!T15</f>
        <v>26460</v>
      </c>
      <c r="Z130" s="46">
        <f>'Inputs (2)'!U15</f>
        <v>26926</v>
      </c>
      <c r="AA130" s="46">
        <f>'Inputs (2)'!V15</f>
        <v>23029</v>
      </c>
      <c r="AB130" s="12">
        <f>'Inputs (2)'!W15</f>
        <v>23029</v>
      </c>
      <c r="AC130" s="46">
        <f>'Inputs (2)'!X15</f>
        <v>17036</v>
      </c>
      <c r="AD130" s="46">
        <f>'Inputs (2)'!Y15</f>
        <v>14352</v>
      </c>
      <c r="AE130" s="46">
        <f>'Inputs (2)'!Z15</f>
        <v>13814</v>
      </c>
      <c r="AF130" s="46">
        <f>'Inputs (2)'!AA15</f>
        <v>10681</v>
      </c>
      <c r="AG130" s="12">
        <f>'Inputs (2)'!AB15</f>
        <v>10681</v>
      </c>
      <c r="AH130" s="12">
        <f>'Inputs (2)'!AC15</f>
        <v>8435</v>
      </c>
      <c r="AI130" s="12">
        <f>'Inputs (2)'!AD15</f>
        <v>10588</v>
      </c>
      <c r="AJ130" s="12">
        <f>AJ259-SUM(AJ131,AJ135,AJ139,AJ140,AJ141,AJ147,AJ152,AJ162,AJ165,AJ166,AJ175)</f>
        <v>21748.0157938774</v>
      </c>
      <c r="AK130" s="12">
        <f>AK259-SUM(AK131,AK135,AK139,AK140,AK141,AK147,AK152,AK162,AK165,AK166,AK175)</f>
        <v>28852.3347813151</v>
      </c>
      <c r="AL130" s="12">
        <f>AK130</f>
        <v>28852.3347813151</v>
      </c>
      <c r="AM130" s="12">
        <f>AM259-SUM(AM131,AM135,AM139,AM140,AM141,AM147,AM152,AM162,AM165,AM166,AM175)</f>
        <v>37770.675242619</v>
      </c>
      <c r="AN130" s="12">
        <f>AN259-SUM(AN131,AN135,AN139,AN140,AN141,AN147,AN152,AN162,AN165,AN166,AN175)</f>
        <v>54644.5850499594</v>
      </c>
      <c r="AO130" s="12">
        <f>AO259-SUM(AO131,AO135,AO139,AO140,AO141,AO147,AO152,AO162,AO165,AO166,AO175)</f>
        <v>57293.9992774955</v>
      </c>
      <c r="AP130" s="12">
        <f>AP259-SUM(AP131,AP135,AP139,AP140,AP141,AP147,AP152,AP162,AP165,AP166,AP175)</f>
        <v>64730.425077527</v>
      </c>
      <c r="AQ130" s="12">
        <f>AP130</f>
        <v>64730.425077527</v>
      </c>
      <c r="AR130" s="12">
        <f>AR259-SUM(AR131,AR135,AR139,AR140,AR141,AR147,AR152,AR162,AR165,AR166,AR175)</f>
        <v>73707.4704696086</v>
      </c>
      <c r="AS130" s="12">
        <f>AS259-SUM(AS131,AS135,AS139,AS140,AS141,AS147,AS152,AS162,AS165,AS166,AS175)</f>
        <v>91422.8418180838</v>
      </c>
      <c r="AT130" s="12">
        <f>AT259-SUM(AT131,AT135,AT139,AT140,AT141,AT147,AT152,AT162,AT165,AT166,AT175)</f>
        <v>94172.5455290012</v>
      </c>
      <c r="AU130" s="12">
        <f>AU259-SUM(AU131,AU135,AU139,AU140,AU141,AU147,AU152,AU162,AU165,AU166,AU175)</f>
        <v>101890.138240357</v>
      </c>
      <c r="AV130" s="12">
        <f>AU130</f>
        <v>101890.138240357</v>
      </c>
      <c r="AW130" s="12">
        <f>AW259-SUM(AW131,AW135,AW139,AW140,AW141,AW147,AW152,AW162,AW165,AW166,AW175)</f>
        <v>111278.238774845</v>
      </c>
      <c r="AX130" s="12">
        <f>AX259-SUM(AX131,AX135,AX139,AX140,AX141,AX147,AX152,AX162,AX165,AX166,AX175)</f>
        <v>129366.375312831</v>
      </c>
      <c r="AY130" s="12">
        <f>AY259-SUM(AY131,AY135,AY139,AY140,AY141,AY147,AY152,AY162,AY165,AY166,AY175)</f>
        <v>132199.252032053</v>
      </c>
      <c r="AZ130" s="12">
        <f>AZ259-SUM(AZ131,AZ135,AZ139,AZ140,AZ141,AZ147,AZ152,AZ162,AZ165,AZ166,AZ175)</f>
        <v>140162.663495757</v>
      </c>
      <c r="BA130" s="12">
        <f>AZ130</f>
        <v>140162.663495757</v>
      </c>
      <c r="BB130" s="12">
        <f>BB259-SUM(BB131,BB135,BB139,BB140,BB141,BB147,BB152,BB162,BB165,BB166,BB175)</f>
        <v>149711.579329203</v>
      </c>
      <c r="BC130" s="12">
        <f>BC259-SUM(BC131,BC135,BC139,BC140,BC141,BC147,BC152,BC162,BC165,BC166,BC175)</f>
        <v>168292.341051616</v>
      </c>
      <c r="BD130" s="12">
        <f>BD259-SUM(BD131,BD135,BD139,BD140,BD141,BD147,BD152,BD162,BD165,BD166,BD175)</f>
        <v>171188.885441174</v>
      </c>
      <c r="BE130" s="12">
        <f>BE259-SUM(BE131,BE135,BE139,BE140,BE141,BE147,BE152,BE162,BE165,BE166,BE175)</f>
        <v>179358.14690195</v>
      </c>
      <c r="BF130" s="12">
        <f>BE130</f>
        <v>179358.14690195</v>
      </c>
      <c r="BG130" s="12" t="n"/>
      <c r="BH130" s="12" t="n"/>
      <c r="BI130" s="12" t="n"/>
      <c r="BJ130" s="12" t="n"/>
      <c r="BK130" s="12" t="n"/>
      <c r="BL130" s="12" t="n"/>
      <c r="BM130" s="12" t="n"/>
      <c r="BN130" s="12" t="n"/>
      <c r="BO130" s="12" t="n"/>
      <c r="BP130" s="12" t="n"/>
      <c r="BQ130" s="12" t="n"/>
      <c r="BR130" s="12" t="n"/>
      <c r="BS130" s="12" t="n"/>
      <c r="BT130" s="12" t="n"/>
      <c r="BU130" s="12" t="n"/>
      <c r="BV130" s="12" t="n"/>
      <c r="BW130" s="12" t="n"/>
      <c r="BX130" s="12" t="n"/>
      <c r="BY130" s="12" t="n"/>
      <c r="BZ130" s="12" t="n"/>
      <c r="CA130" s="12" t="n"/>
      <c r="CB130" s="12" t="n"/>
      <c r="CC130" s="12" t="n"/>
      <c r="CD130" s="12" t="n"/>
      <c r="CE130" s="12" t="n"/>
      <c r="CF130" s="12" t="n"/>
      <c r="CG130" s="12" t="n"/>
      <c r="CH130" s="12" t="n"/>
      <c r="CI130" s="12" t="n"/>
      <c r="CJ130" s="12" t="n"/>
      <c r="CK130" s="12" t="n"/>
      <c r="CL130" s="12" t="n"/>
      <c r="CM130" s="12" t="n"/>
      <c r="CN130" s="12" t="n"/>
      <c r="CO130" s="12" t="n"/>
      <c r="CP130" s="12" t="n"/>
      <c r="CQ130" s="12" t="n"/>
      <c r="CR130" s="12" t="n"/>
      <c r="CS130" s="12" t="n"/>
      <c r="CT130" s="12" t="n"/>
      <c r="CU130" s="12" t="n"/>
      <c r="CV130" s="12" t="n"/>
      <c r="CW130" s="12" t="n"/>
      <c r="CX130" s="12" t="n"/>
      <c r="CY130" s="12" t="n"/>
    </row>
    <row r="131">
      <c r="C131" s="14" t="inlineStr">
        <is>
          <t>Accounts receivable</t>
        </is>
      </c>
      <c r="D131" s="46" t="n"/>
      <c r="E131" s="46" t="n"/>
      <c r="F131" s="46" t="n"/>
      <c r="G131" s="46" t="n"/>
      <c r="H131" s="12" t="n"/>
      <c r="I131" s="46">
        <f>'Inputs (2)'!D16</f>
        <v>24755</v>
      </c>
      <c r="J131" s="46">
        <f>'Inputs (2)'!E16</f>
        <v>28540</v>
      </c>
      <c r="K131" s="46">
        <f>'Inputs (2)'!F16</f>
        <v>29516</v>
      </c>
      <c r="L131" s="46">
        <f>'Inputs (2)'!G16</f>
        <v>32383</v>
      </c>
      <c r="M131" s="12">
        <f>'Inputs (2)'!H16</f>
        <v>32383</v>
      </c>
      <c r="N131" s="46">
        <f>'Inputs (2)'!I16</f>
        <v>42142</v>
      </c>
      <c r="O131" s="46">
        <f>'Inputs (2)'!J16</f>
        <v>48063</v>
      </c>
      <c r="P131" s="46">
        <f>'Inputs (2)'!K16</f>
        <v>42411</v>
      </c>
      <c r="Q131" s="46">
        <f>'Inputs (2)'!L16</f>
        <v>41749</v>
      </c>
      <c r="R131" s="12">
        <f>'Inputs (2)'!M16</f>
        <v>41749</v>
      </c>
      <c r="S131" s="46">
        <f>'Inputs (2)'!N16</f>
        <v>38808</v>
      </c>
      <c r="T131" s="46">
        <f>'Inputs (2)'!O16</f>
        <v>35915</v>
      </c>
      <c r="U131" s="46">
        <f>'Inputs (2)'!P16</f>
        <v>41814</v>
      </c>
      <c r="V131" s="46">
        <f>'Inputs (2)'!Q16</f>
        <v>38015</v>
      </c>
      <c r="W131" s="12">
        <f>'Inputs (2)'!R16</f>
        <v>38015</v>
      </c>
      <c r="X131" s="46">
        <f>'Inputs (2)'!S16</f>
        <v>40366</v>
      </c>
      <c r="Y131" s="46">
        <f>'Inputs (2)'!T16</f>
        <v>43071</v>
      </c>
      <c r="Z131" s="46">
        <f>'Inputs (2)'!U16</f>
        <v>41505</v>
      </c>
      <c r="AA131" s="46">
        <f>'Inputs (2)'!V16</f>
        <v>43681</v>
      </c>
      <c r="AB131" s="12">
        <f>'Inputs (2)'!W16</f>
        <v>43681</v>
      </c>
      <c r="AC131" s="46">
        <f>'Inputs (2)'!X16</f>
        <v>46303</v>
      </c>
      <c r="AD131" s="46">
        <f>'Inputs (2)'!Y16</f>
        <v>41792</v>
      </c>
      <c r="AE131" s="46">
        <f>'Inputs (2)'!Z16</f>
        <v>45285</v>
      </c>
      <c r="AF131" s="46">
        <f>'Inputs (2)'!AA16</f>
        <v>44562</v>
      </c>
      <c r="AG131" s="12">
        <f>'Inputs (2)'!AB16</f>
        <v>44562</v>
      </c>
      <c r="AH131" s="12">
        <f>'Inputs (2)'!AC16</f>
        <v>61783</v>
      </c>
      <c r="AI131" s="12">
        <f>'Inputs (2)'!AD16</f>
        <v>60558</v>
      </c>
      <c r="AJ131" s="12">
        <f>(AJ132/(AJ$5-AI$5))*AJ$15</f>
        <v>49680.1331418039</v>
      </c>
      <c r="AK131" s="12">
        <f>(AK132/(AK$5-AJ$5))*AK$15</f>
        <v>47940.9149369897</v>
      </c>
      <c r="AL131" s="12">
        <f>AK131</f>
        <v>47940.9149369897</v>
      </c>
      <c r="AM131" s="12">
        <f>(AM132/(AM$5-AL$5))*AM$15</f>
        <v>50691.2535386461</v>
      </c>
      <c r="AN131" s="12">
        <f>(AN132/(AN$5-AM$5))*AN$15</f>
        <v>68317.5581985161</v>
      </c>
      <c r="AO131" s="12">
        <f>(AO132/(AO$5-AN$5))*AO$15</f>
        <v>51817.3925179409</v>
      </c>
      <c r="AP131" s="12">
        <f>(AP132/(AP$5-AO$5))*AP$15</f>
        <v>50003.3524440955</v>
      </c>
      <c r="AQ131" s="12">
        <f>AP131</f>
        <v>50003.3524440955</v>
      </c>
      <c r="AR131" s="12">
        <f>(AR132/(AR$5-AQ$5))*AR$15</f>
        <v>52040.3295704823</v>
      </c>
      <c r="AS131" s="12">
        <f>(AS132/(AS$5-AR$5))*AS$15</f>
        <v>70915.0193307178</v>
      </c>
      <c r="AT131" s="12">
        <f>(AT132/(AT$5-AS$5))*AT$15</f>
        <v>53787.5106923389</v>
      </c>
      <c r="AU131" s="12">
        <f>(AU132/(AU$5-AT$5))*AU$15</f>
        <v>51904.5000828315</v>
      </c>
      <c r="AV131" s="12">
        <f>AU131</f>
        <v>51904.5000828315</v>
      </c>
      <c r="AW131" s="12">
        <f>(AW132/(AW$5-AV$5))*AW$15</f>
        <v>54356.0413898841</v>
      </c>
      <c r="AX131" s="12">
        <f>(AX132/(AX$5-AW$5))*AX$15</f>
        <v>73256.6618867154</v>
      </c>
      <c r="AY131" s="12">
        <f>(AY132/(AY$5-AX$5))*AY$15</f>
        <v>55563.5960013053</v>
      </c>
      <c r="AZ131" s="12">
        <f>(AZ132/(AZ$5-AY$5))*AZ$15</f>
        <v>53618.4076215846</v>
      </c>
      <c r="BA131" s="12">
        <f>AZ131</f>
        <v>53618.4076215846</v>
      </c>
      <c r="BB131" s="12">
        <f>(BB132/(BB$5-BA$5))*BB$15</f>
        <v>55879.1196049642</v>
      </c>
      <c r="BC131" s="12">
        <f>(BC132/(BC$5-BB$5))*BC$15</f>
        <v>75309.3431154464</v>
      </c>
      <c r="BD131" s="12">
        <f>(BD132/(BD$5-BC$5))*BD$15</f>
        <v>57120.510383905</v>
      </c>
      <c r="BE131" s="12">
        <f>(BE132/(BE$5-BD$5))*BE$15</f>
        <v>55120.8170408054</v>
      </c>
      <c r="BF131" s="12">
        <f>BE131</f>
        <v>55120.8170408054</v>
      </c>
      <c r="BG131" s="12" t="n"/>
      <c r="BH131" s="12" t="n"/>
      <c r="BI131" s="12" t="n"/>
      <c r="BJ131" s="12" t="n"/>
      <c r="BK131" s="12" t="n"/>
      <c r="BL131" s="12" t="n"/>
      <c r="BM131" s="12" t="n"/>
      <c r="BN131" s="12" t="n"/>
      <c r="BO131" s="12" t="n"/>
      <c r="BP131" s="12" t="n"/>
      <c r="BQ131" s="12" t="n"/>
      <c r="BR131" s="12" t="n"/>
      <c r="BS131" s="12" t="n"/>
      <c r="BT131" s="12" t="n"/>
      <c r="BU131" s="12" t="n"/>
      <c r="BV131" s="12" t="n"/>
      <c r="BW131" s="12" t="n"/>
      <c r="BX131" s="12" t="n"/>
      <c r="BY131" s="12" t="n"/>
      <c r="BZ131" s="12" t="n"/>
      <c r="CA131" s="12" t="n"/>
      <c r="CB131" s="12" t="n"/>
      <c r="CC131" s="12" t="n"/>
      <c r="CD131" s="12" t="n"/>
      <c r="CE131" s="12" t="n"/>
      <c r="CF131" s="12" t="n"/>
      <c r="CG131" s="12" t="n"/>
      <c r="CH131" s="12" t="n"/>
      <c r="CI131" s="12" t="n"/>
      <c r="CJ131" s="12" t="n"/>
      <c r="CK131" s="12" t="n"/>
      <c r="CL131" s="12" t="n"/>
      <c r="CM131" s="12" t="n"/>
      <c r="CN131" s="12" t="n"/>
      <c r="CO131" s="12" t="n"/>
      <c r="CP131" s="12" t="n"/>
      <c r="CQ131" s="12" t="n"/>
      <c r="CR131" s="12" t="n"/>
      <c r="CS131" s="12" t="n"/>
      <c r="CT131" s="12" t="n"/>
      <c r="CU131" s="12" t="n"/>
      <c r="CV131" s="12" t="n"/>
      <c r="CW131" s="12" t="n"/>
      <c r="CX131" s="12" t="n"/>
      <c r="CY131" s="12" t="n"/>
    </row>
    <row r="132" hidden="1" outlineLevel="1">
      <c r="C132" s="57" t="inlineStr">
        <is>
          <t>DSO</t>
        </is>
      </c>
      <c r="D132" s="12" t="n"/>
      <c r="E132" s="12" t="n"/>
      <c r="F132" s="12" t="n"/>
      <c r="G132" s="12" t="n"/>
      <c r="H132" s="12" t="n"/>
      <c r="I132" s="12">
        <f>IFERROR((I131/I$15)*(I$5-H$5),"")</f>
        <v>37.6680135932507</v>
      </c>
      <c r="J132" s="12">
        <f>IFERROR((J131/J$15)*(J$5-I$5),"")</f>
        <v>38.3386968202887</v>
      </c>
      <c r="K132" s="12">
        <f>IFERROR((K131/K$15)*(K$5-J$5),"")</f>
        <v>36.8019949583932</v>
      </c>
      <c r="L132" s="12">
        <f>IFERROR((L131/L$15)*(L$5-K$5),"")</f>
        <v>35.0642735243924</v>
      </c>
      <c r="M132" s="12" t="n"/>
      <c r="N132" s="12">
        <f>IFERROR((N131/N$15)*(N$5-M$5),"")</f>
        <v>41.9091712707182</v>
      </c>
      <c r="O132" s="12">
        <f>IFERROR((O131/O$15)*(O$5-N$5),"")</f>
        <v>37.8085683906605</v>
      </c>
      <c r="P132" s="12">
        <f>IFERROR((P131/P$15)*(P$5-O$5),"")</f>
        <v>34.8158472383332</v>
      </c>
      <c r="Q132" s="12">
        <f>IFERROR((Q131/Q$15)*(Q$5-P$5),"")</f>
        <v>40.2488551698121</v>
      </c>
      <c r="R132" s="12" t="n"/>
      <c r="S132" s="12">
        <f>IFERROR((S131/S$15)*(S$5-R$5),"")</f>
        <v>40.3484127350862</v>
      </c>
      <c r="T132" s="12">
        <f>IFERROR((T131/T$15)*(T$5-S$5),"")</f>
        <v>39.417529005958</v>
      </c>
      <c r="U132" s="12">
        <f>IFERROR((U131/U$15)*(U$5-T$5),"")</f>
        <v>42.3852798589687</v>
      </c>
      <c r="V132" s="12">
        <f>IFERROR((V131/V$15)*(V$5-U$5),"")</f>
        <v>41.4656644218913</v>
      </c>
      <c r="W132" s="12" t="n"/>
      <c r="X132" s="12">
        <f>IFERROR((X131/X$15)*(X$5-W$5),"")</f>
        <v>44.2124863088719</v>
      </c>
      <c r="Y132" s="12">
        <f>IFERROR((Y131/Y$15)*(Y$5-X$5),"")</f>
        <v>42.1175693101225</v>
      </c>
      <c r="Z132" s="12">
        <f>IFERROR((Z131/Z$15)*(Z$5-Y$5),"")</f>
        <v>42.4197920369712</v>
      </c>
      <c r="AA132" s="12">
        <f>IFERROR((AA131/AA$15)*(AA$5-Z$5),"")</f>
        <v>48.1702586723564</v>
      </c>
      <c r="AB132" s="12" t="n"/>
      <c r="AC132" s="12">
        <f>IFERROR((AC131/AC$15)*(AC$5-AB$5),"")</f>
        <v>50.1295561169253</v>
      </c>
      <c r="AD132" s="12">
        <f>IFERROR((AD131/AD$15)*(AD$5-AC$5),"")</f>
        <v>46.6600250288322</v>
      </c>
      <c r="AE132" s="12">
        <f>IFERROR((AE131/AE$15)*(AE$5-AD$5),"")</f>
        <v>48.8454053040073</v>
      </c>
      <c r="AF132" s="11">
        <f>IFERROR((AF131/AF$15)*(AF$5-AE$5),"")</f>
        <v>49.8093016474705</v>
      </c>
      <c r="AG132" s="12" t="n"/>
      <c r="AH132" s="11">
        <f>IFERROR((AH131/AH$15)*(AH$5-AG$5),"")</f>
        <v>65.3112593671451</v>
      </c>
      <c r="AI132" s="11">
        <f>IFERROR((AI131/AI$15)*(AI$5-AH$5),"")</f>
        <v>47.4997457269193</v>
      </c>
      <c r="AJ132" s="11">
        <f>Control!$B$25</f>
        <v>51.37588219855</v>
      </c>
      <c r="AK132" s="11">
        <f>Control!$B$25</f>
        <v>51.37588219855</v>
      </c>
      <c r="AL132" s="12" t="n"/>
      <c r="AM132" s="11">
        <f>Control!$C$25</f>
        <v>51.37588219855</v>
      </c>
      <c r="AN132" s="11">
        <f>Control!$C$25</f>
        <v>51.37588219855</v>
      </c>
      <c r="AO132" s="11">
        <f>Control!$C$25</f>
        <v>51.37588219855</v>
      </c>
      <c r="AP132" s="11">
        <f>Control!$C$25</f>
        <v>51.37588219855</v>
      </c>
      <c r="AQ132" s="12" t="n"/>
      <c r="AR132" s="11">
        <f>Control!$D$25</f>
        <v>51.37588219855</v>
      </c>
      <c r="AS132" s="11">
        <f>Control!$D$25</f>
        <v>51.37588219855</v>
      </c>
      <c r="AT132" s="11">
        <f>Control!$D$25</f>
        <v>51.37588219855</v>
      </c>
      <c r="AU132" s="11">
        <f>Control!$D$25</f>
        <v>51.37588219855</v>
      </c>
      <c r="AV132" s="12" t="n"/>
      <c r="AW132" s="11">
        <f>Control!$E$25</f>
        <v>51.37588219855</v>
      </c>
      <c r="AX132" s="11">
        <f>Control!$E$25</f>
        <v>51.37588219855</v>
      </c>
      <c r="AY132" s="11">
        <f>Control!$E$25</f>
        <v>51.37588219855</v>
      </c>
      <c r="AZ132" s="11">
        <f>Control!$E$25</f>
        <v>51.37588219855</v>
      </c>
      <c r="BA132" s="12" t="n"/>
      <c r="BB132" s="11">
        <f>Control!$F$25</f>
        <v>51.37588219855</v>
      </c>
      <c r="BC132" s="11">
        <f>Control!$F$25</f>
        <v>51.37588219855</v>
      </c>
      <c r="BD132" s="11">
        <f>Control!$F$25</f>
        <v>51.37588219855</v>
      </c>
      <c r="BE132" s="11">
        <f>Control!$F$25</f>
        <v>51.37588219855</v>
      </c>
      <c r="BF132" s="12" t="n"/>
      <c r="BG132" s="11" t="n"/>
      <c r="BH132" s="11" t="n"/>
      <c r="BI132" s="11" t="n"/>
      <c r="BJ132" s="11" t="n"/>
      <c r="BK132" s="12" t="n"/>
      <c r="BL132" s="11" t="n"/>
      <c r="BM132" s="11" t="n"/>
      <c r="BN132" s="11" t="n"/>
      <c r="BO132" s="11" t="n"/>
      <c r="BP132" s="12" t="n"/>
      <c r="BQ132" s="11" t="n"/>
      <c r="BR132" s="11" t="n"/>
      <c r="BS132" s="11" t="n"/>
      <c r="BT132" s="11" t="n"/>
      <c r="BU132" s="12" t="n"/>
      <c r="BV132" s="11" t="n"/>
      <c r="BW132" s="11" t="n"/>
      <c r="BX132" s="11" t="n"/>
      <c r="BY132" s="11" t="n"/>
      <c r="BZ132" s="12" t="n"/>
      <c r="CA132" s="11" t="n"/>
      <c r="CB132" s="11" t="n"/>
      <c r="CC132" s="11" t="n"/>
      <c r="CD132" s="11" t="n"/>
      <c r="CE132" s="12" t="n"/>
      <c r="CF132" s="11" t="n"/>
      <c r="CG132" s="11" t="n"/>
      <c r="CH132" s="11" t="n"/>
      <c r="CI132" s="11" t="n"/>
      <c r="CJ132" s="12" t="n"/>
      <c r="CK132" s="11" t="n"/>
      <c r="CL132" s="11" t="n"/>
      <c r="CM132" s="11" t="n"/>
      <c r="CN132" s="11" t="n"/>
      <c r="CO132" s="12" t="n"/>
      <c r="CP132" s="11" t="n"/>
      <c r="CQ132" s="11" t="n"/>
      <c r="CR132" s="11" t="n"/>
      <c r="CS132" s="11" t="n"/>
      <c r="CT132" s="12" t="n"/>
      <c r="CU132" s="11" t="n"/>
      <c r="CV132" s="11" t="n"/>
      <c r="CW132" s="11" t="n"/>
      <c r="CX132" s="11" t="n"/>
      <c r="CY132" s="12" t="n"/>
    </row>
    <row r="133" hidden="1" outlineLevel="1">
      <c r="C133" s="57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  <c r="Z133" s="12" t="n"/>
      <c r="AA133" s="12" t="n"/>
      <c r="AB133" s="12" t="n"/>
      <c r="AC133" s="12" t="n"/>
      <c r="AD133" s="12" t="n"/>
      <c r="AE133" s="12" t="n"/>
      <c r="AF133" s="12" t="n"/>
      <c r="AG133" s="12" t="n"/>
      <c r="AH133" s="12" t="n"/>
      <c r="AI133" s="12" t="n"/>
      <c r="AJ133" s="12" t="n"/>
      <c r="AK133" s="12" t="n"/>
      <c r="AL133" s="12" t="n"/>
      <c r="AM133" s="12" t="n"/>
      <c r="AN133" s="12" t="n"/>
      <c r="AO133" s="12" t="n"/>
      <c r="AP133" s="12" t="n"/>
      <c r="AQ133" s="12" t="n"/>
      <c r="AR133" s="12" t="n"/>
      <c r="AS133" s="12" t="n"/>
      <c r="AT133" s="12" t="n"/>
      <c r="AU133" s="12" t="n"/>
      <c r="AV133" s="12" t="n"/>
      <c r="AW133" s="12" t="n"/>
      <c r="AX133" s="12" t="n"/>
      <c r="AY133" s="12" t="n"/>
      <c r="AZ133" s="12" t="n"/>
      <c r="BA133" s="12" t="n"/>
      <c r="BB133" s="12" t="n"/>
      <c r="BC133" s="12" t="n"/>
      <c r="BD133" s="12" t="n"/>
      <c r="BE133" s="12" t="n"/>
      <c r="BF133" s="12" t="n"/>
      <c r="BG133" s="12" t="n"/>
      <c r="BH133" s="12" t="n"/>
      <c r="BI133" s="12" t="n"/>
      <c r="BJ133" s="12" t="n"/>
      <c r="BK133" s="12" t="n"/>
      <c r="BL133" s="12" t="n"/>
      <c r="BM133" s="12" t="n"/>
      <c r="BN133" s="12" t="n"/>
      <c r="BO133" s="12" t="n"/>
      <c r="BP133" s="12" t="n"/>
      <c r="BQ133" s="12" t="n"/>
      <c r="BR133" s="12" t="n"/>
      <c r="BS133" s="12" t="n"/>
      <c r="BT133" s="12" t="n"/>
      <c r="BU133" s="12" t="n"/>
      <c r="BV133" s="12" t="n"/>
      <c r="BW133" s="12" t="n"/>
      <c r="BX133" s="12" t="n"/>
      <c r="BY133" s="12" t="n"/>
      <c r="BZ133" s="12" t="n"/>
      <c r="CA133" s="12" t="n"/>
      <c r="CB133" s="12" t="n"/>
      <c r="CC133" s="12" t="n"/>
      <c r="CD133" s="12" t="n"/>
      <c r="CE133" s="12" t="n"/>
      <c r="CF133" s="12" t="n"/>
      <c r="CG133" s="12" t="n"/>
      <c r="CH133" s="12" t="n"/>
      <c r="CI133" s="12" t="n"/>
      <c r="CJ133" s="12" t="n"/>
      <c r="CK133" s="12" t="n"/>
      <c r="CL133" s="12" t="n"/>
      <c r="CM133" s="12" t="n"/>
      <c r="CN133" s="12" t="n"/>
      <c r="CO133" s="12" t="n"/>
      <c r="CP133" s="12" t="n"/>
      <c r="CQ133" s="12" t="n"/>
      <c r="CR133" s="12" t="n"/>
      <c r="CS133" s="12" t="n"/>
      <c r="CT133" s="12" t="n"/>
      <c r="CU133" s="12" t="n"/>
      <c r="CV133" s="12" t="n"/>
      <c r="CW133" s="12" t="n"/>
      <c r="CX133" s="12" t="n"/>
      <c r="CY133" s="12" t="n"/>
    </row>
    <row r="134" hidden="1" outlineLevel="1">
      <c r="C134" s="57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  <c r="V134" s="12" t="n"/>
      <c r="W134" s="12" t="n"/>
      <c r="X134" s="12" t="n"/>
      <c r="Y134" s="12" t="n"/>
      <c r="Z134" s="12" t="n"/>
      <c r="AA134" s="12" t="n"/>
      <c r="AB134" s="12" t="n"/>
      <c r="AC134" s="12" t="n"/>
      <c r="AD134" s="12" t="n"/>
      <c r="AE134" s="12" t="n"/>
      <c r="AF134" s="12" t="n"/>
      <c r="AG134" s="12" t="n"/>
      <c r="AH134" s="12" t="n"/>
      <c r="AI134" s="12" t="n"/>
      <c r="AJ134" s="12" t="n"/>
      <c r="AK134" s="12" t="n"/>
      <c r="AL134" s="12" t="n"/>
      <c r="AM134" s="12" t="n"/>
      <c r="AN134" s="12" t="n"/>
      <c r="AO134" s="12" t="n"/>
      <c r="AP134" s="12" t="n"/>
      <c r="AQ134" s="12" t="n"/>
      <c r="AR134" s="12" t="n"/>
      <c r="AS134" s="12" t="n"/>
      <c r="AT134" s="12" t="n"/>
      <c r="AU134" s="12" t="n"/>
      <c r="AV134" s="12" t="n"/>
      <c r="AW134" s="12" t="n"/>
      <c r="AX134" s="12" t="n"/>
      <c r="AY134" s="12" t="n"/>
      <c r="AZ134" s="12" t="n"/>
      <c r="BA134" s="12" t="n"/>
      <c r="BB134" s="12" t="n"/>
      <c r="BC134" s="12" t="n"/>
      <c r="BD134" s="12" t="n"/>
      <c r="BE134" s="12" t="n"/>
      <c r="BF134" s="12" t="n"/>
      <c r="BG134" s="12" t="n"/>
      <c r="BH134" s="12" t="n"/>
      <c r="BI134" s="12" t="n"/>
      <c r="BJ134" s="12" t="n"/>
      <c r="BK134" s="12" t="n"/>
      <c r="BL134" s="12" t="n"/>
      <c r="BM134" s="12" t="n"/>
      <c r="BN134" s="12" t="n"/>
      <c r="BO134" s="12" t="n"/>
      <c r="BP134" s="12" t="n"/>
      <c r="BQ134" s="12" t="n"/>
      <c r="BR134" s="12" t="n"/>
      <c r="BS134" s="12" t="n"/>
      <c r="BT134" s="12" t="n"/>
      <c r="BU134" s="12" t="n"/>
      <c r="BV134" s="12" t="n"/>
      <c r="BW134" s="12" t="n"/>
      <c r="BX134" s="12" t="n"/>
      <c r="BY134" s="12" t="n"/>
      <c r="BZ134" s="12" t="n"/>
      <c r="CA134" s="12" t="n"/>
      <c r="CB134" s="12" t="n"/>
      <c r="CC134" s="12" t="n"/>
      <c r="CD134" s="12" t="n"/>
      <c r="CE134" s="12" t="n"/>
      <c r="CF134" s="12" t="n"/>
      <c r="CG134" s="12" t="n"/>
      <c r="CH134" s="12" t="n"/>
      <c r="CI134" s="12" t="n"/>
      <c r="CJ134" s="12" t="n"/>
      <c r="CK134" s="12" t="n"/>
      <c r="CL134" s="12" t="n"/>
      <c r="CM134" s="12" t="n"/>
      <c r="CN134" s="12" t="n"/>
      <c r="CO134" s="12" t="n"/>
      <c r="CP134" s="12" t="n"/>
      <c r="CQ134" s="12" t="n"/>
      <c r="CR134" s="12" t="n"/>
      <c r="CS134" s="12" t="n"/>
      <c r="CT134" s="12" t="n"/>
      <c r="CU134" s="12" t="n"/>
      <c r="CV134" s="12" t="n"/>
      <c r="CW134" s="12" t="n"/>
      <c r="CX134" s="12" t="n"/>
      <c r="CY134" s="12" t="n"/>
    </row>
    <row r="135" collapsed="1">
      <c r="C135" s="14" t="inlineStr">
        <is>
          <t>Inventories</t>
        </is>
      </c>
      <c r="D135" s="46" t="n"/>
      <c r="E135" s="46" t="n"/>
      <c r="F135" s="46" t="n"/>
      <c r="G135" s="46" t="n"/>
      <c r="H135" s="12" t="n"/>
      <c r="I135" s="46">
        <f>'Inputs (2)'!D17</f>
        <v>0</v>
      </c>
      <c r="J135" s="46">
        <f>'Inputs (2)'!E17</f>
        <v>0</v>
      </c>
      <c r="K135" s="46">
        <f>'Inputs (2)'!F17</f>
        <v>0</v>
      </c>
      <c r="L135" s="46">
        <f>'Inputs (2)'!G17</f>
        <v>0</v>
      </c>
      <c r="M135" s="12">
        <f>'Inputs (2)'!H17</f>
        <v>0</v>
      </c>
      <c r="N135" s="46">
        <f>'Inputs (2)'!I17</f>
        <v>0</v>
      </c>
      <c r="O135" s="46">
        <f>'Inputs (2)'!J17</f>
        <v>0</v>
      </c>
      <c r="P135" s="46">
        <f>'Inputs (2)'!K17</f>
        <v>0</v>
      </c>
      <c r="Q135" s="46">
        <f>'Inputs (2)'!L17</f>
        <v>0</v>
      </c>
      <c r="R135" s="12">
        <f>'Inputs (2)'!M17</f>
        <v>0</v>
      </c>
      <c r="S135" s="46">
        <f>'Inputs (2)'!N17</f>
        <v>0</v>
      </c>
      <c r="T135" s="46">
        <f>'Inputs (2)'!O17</f>
        <v>0</v>
      </c>
      <c r="U135" s="46">
        <f>'Inputs (2)'!P17</f>
        <v>0</v>
      </c>
      <c r="V135" s="46">
        <f>'Inputs (2)'!Q17</f>
        <v>0</v>
      </c>
      <c r="W135" s="12">
        <f>'Inputs (2)'!R17</f>
        <v>0</v>
      </c>
      <c r="X135" s="46">
        <f>'Inputs (2)'!S17</f>
        <v>0</v>
      </c>
      <c r="Y135" s="46">
        <f>'Inputs (2)'!T17</f>
        <v>0</v>
      </c>
      <c r="Z135" s="46">
        <f>'Inputs (2)'!U17</f>
        <v>0</v>
      </c>
      <c r="AA135" s="46">
        <f>'Inputs (2)'!V17</f>
        <v>0</v>
      </c>
      <c r="AB135" s="12">
        <f>'Inputs (2)'!W17</f>
        <v>0</v>
      </c>
      <c r="AC135" s="46">
        <f>'Inputs (2)'!X17</f>
        <v>0</v>
      </c>
      <c r="AD135" s="46">
        <f>'Inputs (2)'!Y17</f>
        <v>0</v>
      </c>
      <c r="AE135" s="46">
        <f>'Inputs (2)'!Z17</f>
        <v>0</v>
      </c>
      <c r="AF135" s="46">
        <f>'Inputs (2)'!AA17</f>
        <v>0</v>
      </c>
      <c r="AG135" s="12">
        <f>'Inputs (2)'!AB17</f>
        <v>0</v>
      </c>
      <c r="AH135" s="12">
        <f>'Inputs (2)'!AC17</f>
        <v>0</v>
      </c>
      <c r="AI135" s="12">
        <f>'Inputs (2)'!AD17</f>
        <v>0</v>
      </c>
      <c r="AJ135" s="12">
        <f>(AJ136/(AJ$5-AI$5))*-AJ$40</f>
        <v>0</v>
      </c>
      <c r="AK135" s="12">
        <f>(AK136/(AK$5-AJ$5))*-AK$40</f>
        <v>0</v>
      </c>
      <c r="AL135" s="12">
        <f>AK135</f>
        <v>0</v>
      </c>
      <c r="AM135" s="12">
        <f>(AM136/(AM$5-AL$5))*-AM$40</f>
        <v>0</v>
      </c>
      <c r="AN135" s="12">
        <f>(AN136/(AN$5-AM$5))*-AN$40</f>
        <v>0</v>
      </c>
      <c r="AO135" s="12">
        <f>(AO136/(AO$5-AN$5))*-AO$40</f>
        <v>0</v>
      </c>
      <c r="AP135" s="12">
        <f>(AP136/(AP$5-AO$5))*-AP$40</f>
        <v>0</v>
      </c>
      <c r="AQ135" s="12">
        <f>AP135</f>
        <v>0</v>
      </c>
      <c r="AR135" s="12">
        <f>(AR136/(AR$5-AQ$5))*-AR$40</f>
        <v>0</v>
      </c>
      <c r="AS135" s="12">
        <f>(AS136/(AS$5-AR$5))*-AS$40</f>
        <v>0</v>
      </c>
      <c r="AT135" s="12">
        <f>(AT136/(AT$5-AS$5))*-AT$40</f>
        <v>0</v>
      </c>
      <c r="AU135" s="12">
        <f>(AU136/(AU$5-AT$5))*-AU$40</f>
        <v>0</v>
      </c>
      <c r="AV135" s="12">
        <f>AU135</f>
        <v>0</v>
      </c>
      <c r="AW135" s="12">
        <f>(AW136/(AW$5-AV$5))*-AW$40</f>
        <v>0</v>
      </c>
      <c r="AX135" s="12">
        <f>(AX136/(AX$5-AW$5))*-AX$40</f>
        <v>0</v>
      </c>
      <c r="AY135" s="12">
        <f>(AY136/(AY$5-AX$5))*-AY$40</f>
        <v>0</v>
      </c>
      <c r="AZ135" s="12">
        <f>(AZ136/(AZ$5-AY$5))*-AZ$40</f>
        <v>0</v>
      </c>
      <c r="BA135" s="12">
        <f>AZ135</f>
        <v>0</v>
      </c>
      <c r="BB135" s="12">
        <f>(BB136/(BB$5-BA$5))*-BB$40</f>
        <v>0</v>
      </c>
      <c r="BC135" s="12">
        <f>(BC136/(BC$5-BB$5))*-BC$40</f>
        <v>0</v>
      </c>
      <c r="BD135" s="12">
        <f>(BD136/(BD$5-BC$5))*-BD$40</f>
        <v>0</v>
      </c>
      <c r="BE135" s="12">
        <f>(BE136/(BE$5-BD$5))*-BE$40</f>
        <v>0</v>
      </c>
      <c r="BF135" s="12">
        <f>BE135</f>
        <v>0</v>
      </c>
      <c r="BG135" s="12" t="n"/>
      <c r="BH135" s="12" t="n"/>
      <c r="BI135" s="12" t="n"/>
      <c r="BJ135" s="12" t="n"/>
      <c r="BK135" s="12" t="n"/>
      <c r="BL135" s="12" t="n"/>
      <c r="BM135" s="12" t="n"/>
      <c r="BN135" s="12" t="n"/>
      <c r="BO135" s="12" t="n"/>
      <c r="BP135" s="12" t="n"/>
      <c r="BQ135" s="12" t="n"/>
      <c r="BR135" s="12" t="n"/>
      <c r="BS135" s="12" t="n"/>
      <c r="BT135" s="12" t="n"/>
      <c r="BU135" s="12" t="n"/>
      <c r="BV135" s="12" t="n"/>
      <c r="BW135" s="12" t="n"/>
      <c r="BX135" s="12" t="n"/>
      <c r="BY135" s="12" t="n"/>
      <c r="BZ135" s="12" t="n"/>
      <c r="CA135" s="12" t="n"/>
      <c r="CB135" s="12" t="n"/>
      <c r="CC135" s="12" t="n"/>
      <c r="CD135" s="12" t="n"/>
      <c r="CE135" s="12" t="n"/>
      <c r="CF135" s="12" t="n"/>
      <c r="CG135" s="12" t="n"/>
      <c r="CH135" s="12" t="n"/>
      <c r="CI135" s="12" t="n"/>
      <c r="CJ135" s="12" t="n"/>
      <c r="CK135" s="12" t="n"/>
      <c r="CL135" s="12" t="n"/>
      <c r="CM135" s="12" t="n"/>
      <c r="CN135" s="12" t="n"/>
      <c r="CO135" s="12" t="n"/>
      <c r="CP135" s="12" t="n"/>
      <c r="CQ135" s="12" t="n"/>
      <c r="CR135" s="12" t="n"/>
      <c r="CS135" s="12" t="n"/>
      <c r="CT135" s="12" t="n"/>
      <c r="CU135" s="12" t="n"/>
      <c r="CV135" s="12" t="n"/>
      <c r="CW135" s="12" t="n"/>
      <c r="CX135" s="12" t="n"/>
      <c r="CY135" s="12" t="n"/>
    </row>
    <row r="136" hidden="1" outlineLevel="1">
      <c r="C136" s="57" t="inlineStr">
        <is>
          <t>DIO</t>
        </is>
      </c>
      <c r="D136" s="12" t="n"/>
      <c r="E136" s="12" t="n"/>
      <c r="F136" s="12" t="n"/>
      <c r="G136" s="12" t="n"/>
      <c r="H136" s="12" t="n"/>
      <c r="I136" s="12">
        <f>IFERROR(((I135/I$40)*(I$5-H$5))*-1,"")</f>
        <v>0</v>
      </c>
      <c r="J136" s="12">
        <f>IFERROR(((J135/J$40)*(J$5-I$5))*-1,"")</f>
        <v>0</v>
      </c>
      <c r="K136" s="12">
        <f>IFERROR(((K135/K$40)*(K$5-J$5))*-1,"")</f>
        <v>0</v>
      </c>
      <c r="L136" s="12">
        <f>IFERROR(((L135/L$40)*(L$5-K$5))*-1,"")</f>
        <v>0</v>
      </c>
      <c r="M136" s="12" t="n"/>
      <c r="N136" s="12">
        <f>IFERROR(((N135/N$40)*(N$5-M$5))*-1,"")</f>
        <v>0</v>
      </c>
      <c r="O136" s="12">
        <f>IFERROR(((O135/O$40)*(O$5-N$5))*-1,"")</f>
        <v>0</v>
      </c>
      <c r="P136" s="12">
        <f>IFERROR(((P135/P$40)*(P$5-O$5))*-1,"")</f>
        <v>0</v>
      </c>
      <c r="Q136" s="12">
        <f>IFERROR(((Q135/Q$40)*(Q$5-P$5))*-1,"")</f>
        <v>0</v>
      </c>
      <c r="R136" s="12" t="n"/>
      <c r="S136" s="12">
        <f>IFERROR(((S135/S$40)*(S$5-R$5))*-1,"")</f>
        <v>0</v>
      </c>
      <c r="T136" s="12">
        <f>IFERROR(((T135/T$40)*(T$5-S$5))*-1,"")</f>
        <v>0</v>
      </c>
      <c r="U136" s="12">
        <f>IFERROR(((U135/U$40)*(U$5-T$5))*-1,"")</f>
        <v>0</v>
      </c>
      <c r="V136" s="12">
        <f>IFERROR(((V135/V$40)*(V$5-U$5))*-1,"")</f>
        <v>0</v>
      </c>
      <c r="W136" s="12" t="n"/>
      <c r="X136" s="12">
        <f>IFERROR(((X135/X$40)*(X$5-W$5))*-1,"")</f>
        <v>0</v>
      </c>
      <c r="Y136" s="12">
        <f>IFERROR(((Y135/Y$40)*(Y$5-X$5))*-1,"")</f>
        <v>0</v>
      </c>
      <c r="Z136" s="12">
        <f>IFERROR(((Z135/Z$40)*(Z$5-Y$5))*-1,"")</f>
        <v>0</v>
      </c>
      <c r="AA136" s="12">
        <f>IFERROR(((AA135/AA$40)*(AA$5-Z$5))*-1,"")</f>
        <v>0</v>
      </c>
      <c r="AB136" s="12" t="n"/>
      <c r="AC136" s="12">
        <f>IFERROR(((AC135/AC$40)*(AC$5-AB$5))*-1,"")</f>
        <v>0</v>
      </c>
      <c r="AD136" s="12">
        <f>IFERROR(((AD135/AD$40)*(AD$5-AC$5))*-1,"")</f>
        <v>0</v>
      </c>
      <c r="AE136" s="12">
        <f>IFERROR(((AE135/AE$40)*(AE$5-AD$5))*-1,"")</f>
        <v>0</v>
      </c>
      <c r="AF136" s="11">
        <f>IFERROR(((AF135/AF$40)*(AF$5-AE$5))*-1,"")</f>
        <v>0</v>
      </c>
      <c r="AG136" s="12" t="n"/>
      <c r="AH136" s="11">
        <f>IFERROR(((AH135/AH$40)*(AH$5-AG$5))*-1,"")</f>
        <v>0</v>
      </c>
      <c r="AI136" s="11">
        <f>IFERROR(((AI135/AI$40)*(AI$5-AH$5))*-1,"")</f>
        <v>0</v>
      </c>
      <c r="AJ136" s="11">
        <f>Control!$B$26</f>
        <v>0</v>
      </c>
      <c r="AK136" s="11">
        <f>Control!$B$26</f>
        <v>0</v>
      </c>
      <c r="AL136" s="12" t="n"/>
      <c r="AM136" s="11">
        <f>Control!$C$26</f>
        <v>0</v>
      </c>
      <c r="AN136" s="11">
        <f>Control!$C$26</f>
        <v>0</v>
      </c>
      <c r="AO136" s="11">
        <f>Control!$C$26</f>
        <v>0</v>
      </c>
      <c r="AP136" s="11">
        <f>Control!$C$26</f>
        <v>0</v>
      </c>
      <c r="AQ136" s="12" t="n"/>
      <c r="AR136" s="11">
        <f>Control!$D$26</f>
        <v>0</v>
      </c>
      <c r="AS136" s="11">
        <f>Control!$D$26</f>
        <v>0</v>
      </c>
      <c r="AT136" s="11">
        <f>Control!$D$26</f>
        <v>0</v>
      </c>
      <c r="AU136" s="11">
        <f>Control!$D$26</f>
        <v>0</v>
      </c>
      <c r="AV136" s="12" t="n"/>
      <c r="AW136" s="11">
        <f>Control!$E$26</f>
        <v>0</v>
      </c>
      <c r="AX136" s="11">
        <f>Control!$E$26</f>
        <v>0</v>
      </c>
      <c r="AY136" s="11">
        <f>Control!$E$26</f>
        <v>0</v>
      </c>
      <c r="AZ136" s="11">
        <f>Control!$E$26</f>
        <v>0</v>
      </c>
      <c r="BA136" s="12" t="n"/>
      <c r="BB136" s="11">
        <f>Control!$F$26</f>
        <v>0</v>
      </c>
      <c r="BC136" s="11">
        <f>Control!$F$26</f>
        <v>0</v>
      </c>
      <c r="BD136" s="11">
        <f>Control!$F$26</f>
        <v>0</v>
      </c>
      <c r="BE136" s="11">
        <f>Control!$F$26</f>
        <v>0</v>
      </c>
      <c r="BF136" s="12" t="n"/>
      <c r="BG136" s="11" t="n"/>
      <c r="BH136" s="11" t="n"/>
      <c r="BI136" s="11" t="n"/>
      <c r="BJ136" s="11" t="n"/>
      <c r="BK136" s="12" t="n"/>
      <c r="BL136" s="11" t="n"/>
      <c r="BM136" s="11" t="n"/>
      <c r="BN136" s="11" t="n"/>
      <c r="BO136" s="11" t="n"/>
      <c r="BP136" s="12" t="n"/>
      <c r="BQ136" s="11" t="n"/>
      <c r="BR136" s="11" t="n"/>
      <c r="BS136" s="11" t="n"/>
      <c r="BT136" s="11" t="n"/>
      <c r="BU136" s="12" t="n"/>
      <c r="BV136" s="11" t="n"/>
      <c r="BW136" s="11" t="n"/>
      <c r="BX136" s="11" t="n"/>
      <c r="BY136" s="11" t="n"/>
      <c r="BZ136" s="12" t="n"/>
      <c r="CA136" s="11" t="n"/>
      <c r="CB136" s="11" t="n"/>
      <c r="CC136" s="11" t="n"/>
      <c r="CD136" s="11" t="n"/>
      <c r="CE136" s="12" t="n"/>
      <c r="CF136" s="11" t="n"/>
      <c r="CG136" s="11" t="n"/>
      <c r="CH136" s="11" t="n"/>
      <c r="CI136" s="11" t="n"/>
      <c r="CJ136" s="12" t="n"/>
      <c r="CK136" s="11" t="n"/>
      <c r="CL136" s="11" t="n"/>
      <c r="CM136" s="11" t="n"/>
      <c r="CN136" s="11" t="n"/>
      <c r="CO136" s="12" t="n"/>
      <c r="CP136" s="11" t="n"/>
      <c r="CQ136" s="11" t="n"/>
      <c r="CR136" s="11" t="n"/>
      <c r="CS136" s="11" t="n"/>
      <c r="CT136" s="12" t="n"/>
      <c r="CU136" s="11" t="n"/>
      <c r="CV136" s="11" t="n"/>
      <c r="CW136" s="11" t="n"/>
      <c r="CX136" s="11" t="n"/>
      <c r="CY136" s="12" t="n"/>
    </row>
    <row r="137" hidden="1" outlineLevel="1">
      <c r="C137" s="57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2" t="n"/>
      <c r="S137" s="12" t="n"/>
      <c r="T137" s="12" t="n"/>
      <c r="U137" s="12" t="n"/>
      <c r="V137" s="12" t="n"/>
      <c r="W137" s="12" t="n"/>
      <c r="X137" s="12" t="n"/>
      <c r="Y137" s="12" t="n"/>
      <c r="Z137" s="12" t="n"/>
      <c r="AA137" s="12" t="n"/>
      <c r="AB137" s="12" t="n"/>
      <c r="AC137" s="12" t="n"/>
      <c r="AD137" s="12" t="n"/>
      <c r="AE137" s="12" t="n"/>
      <c r="AF137" s="12" t="n"/>
      <c r="AG137" s="12" t="n"/>
      <c r="AH137" s="12" t="n"/>
      <c r="AI137" s="12" t="n"/>
      <c r="AJ137" s="12" t="n"/>
      <c r="AK137" s="12" t="n"/>
      <c r="AL137" s="12" t="n"/>
      <c r="AM137" s="12" t="n"/>
      <c r="AN137" s="12" t="n"/>
      <c r="AO137" s="12" t="n"/>
      <c r="AP137" s="12" t="n"/>
      <c r="AQ137" s="12" t="n"/>
      <c r="AR137" s="12" t="n"/>
      <c r="AS137" s="12" t="n"/>
      <c r="AT137" s="12" t="n"/>
      <c r="AU137" s="12" t="n"/>
      <c r="AV137" s="12" t="n"/>
      <c r="AW137" s="12" t="n"/>
      <c r="AX137" s="12" t="n"/>
      <c r="AY137" s="12" t="n"/>
      <c r="AZ137" s="12" t="n"/>
      <c r="BA137" s="12" t="n"/>
      <c r="BB137" s="12" t="n"/>
      <c r="BC137" s="12" t="n"/>
      <c r="BD137" s="12" t="n"/>
      <c r="BE137" s="12" t="n"/>
      <c r="BF137" s="12" t="n"/>
      <c r="BG137" s="12" t="n"/>
      <c r="BH137" s="12" t="n"/>
      <c r="BI137" s="12" t="n"/>
      <c r="BJ137" s="12" t="n"/>
      <c r="BK137" s="12" t="n"/>
      <c r="BL137" s="12" t="n"/>
      <c r="BM137" s="12" t="n"/>
      <c r="BN137" s="12" t="n"/>
      <c r="BO137" s="12" t="n"/>
      <c r="BP137" s="12" t="n"/>
      <c r="BQ137" s="12" t="n"/>
      <c r="BR137" s="12" t="n"/>
      <c r="BS137" s="12" t="n"/>
      <c r="BT137" s="12" t="n"/>
      <c r="BU137" s="12" t="n"/>
      <c r="BV137" s="12" t="n"/>
      <c r="BW137" s="12" t="n"/>
      <c r="BX137" s="12" t="n"/>
      <c r="BY137" s="12" t="n"/>
      <c r="BZ137" s="12" t="n"/>
      <c r="CA137" s="12" t="n"/>
      <c r="CB137" s="12" t="n"/>
      <c r="CC137" s="12" t="n"/>
      <c r="CD137" s="12" t="n"/>
      <c r="CE137" s="12" t="n"/>
      <c r="CF137" s="12" t="n"/>
      <c r="CG137" s="12" t="n"/>
      <c r="CH137" s="12" t="n"/>
      <c r="CI137" s="12" t="n"/>
      <c r="CJ137" s="12" t="n"/>
      <c r="CK137" s="12" t="n"/>
      <c r="CL137" s="12" t="n"/>
      <c r="CM137" s="12" t="n"/>
      <c r="CN137" s="12" t="n"/>
      <c r="CO137" s="12" t="n"/>
      <c r="CP137" s="12" t="n"/>
      <c r="CQ137" s="12" t="n"/>
      <c r="CR137" s="12" t="n"/>
      <c r="CS137" s="12" t="n"/>
      <c r="CT137" s="12" t="n"/>
      <c r="CU137" s="12" t="n"/>
      <c r="CV137" s="12" t="n"/>
      <c r="CW137" s="12" t="n"/>
      <c r="CX137" s="12" t="n"/>
      <c r="CY137" s="12" t="n"/>
    </row>
    <row r="138" hidden="1" outlineLevel="1">
      <c r="C138" s="57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12" t="n"/>
      <c r="P138" s="12" t="n"/>
      <c r="Q138" s="12" t="n"/>
      <c r="R138" s="12" t="n"/>
      <c r="S138" s="12" t="n"/>
      <c r="T138" s="12" t="n"/>
      <c r="U138" s="12" t="n"/>
      <c r="V138" s="12" t="n"/>
      <c r="W138" s="12" t="n"/>
      <c r="X138" s="12" t="n"/>
      <c r="Y138" s="12" t="n"/>
      <c r="Z138" s="12" t="n"/>
      <c r="AA138" s="12" t="n"/>
      <c r="AB138" s="12" t="n"/>
      <c r="AC138" s="12" t="n"/>
      <c r="AD138" s="12" t="n"/>
      <c r="AE138" s="12" t="n"/>
      <c r="AF138" s="12" t="n"/>
      <c r="AG138" s="12" t="n"/>
      <c r="AH138" s="12" t="n"/>
      <c r="AI138" s="12" t="n"/>
      <c r="AJ138" s="12" t="n"/>
      <c r="AK138" s="12" t="n"/>
      <c r="AL138" s="12" t="n"/>
      <c r="AM138" s="12" t="n"/>
      <c r="AN138" s="12" t="n"/>
      <c r="AO138" s="12" t="n"/>
      <c r="AP138" s="12" t="n"/>
      <c r="AQ138" s="12" t="n"/>
      <c r="AR138" s="12" t="n"/>
      <c r="AS138" s="12" t="n"/>
      <c r="AT138" s="12" t="n"/>
      <c r="AU138" s="12" t="n"/>
      <c r="AV138" s="12" t="n"/>
      <c r="AW138" s="12" t="n"/>
      <c r="AX138" s="12" t="n"/>
      <c r="AY138" s="12" t="n"/>
      <c r="AZ138" s="12" t="n"/>
      <c r="BA138" s="12" t="n"/>
      <c r="BB138" s="12" t="n"/>
      <c r="BC138" s="12" t="n"/>
      <c r="BD138" s="12" t="n"/>
      <c r="BE138" s="12" t="n"/>
      <c r="BF138" s="12" t="n"/>
      <c r="BG138" s="12" t="n"/>
      <c r="BH138" s="12" t="n"/>
      <c r="BI138" s="12" t="n"/>
      <c r="BJ138" s="12" t="n"/>
      <c r="BK138" s="12" t="n"/>
      <c r="BL138" s="12" t="n"/>
      <c r="BM138" s="12" t="n"/>
      <c r="BN138" s="12" t="n"/>
      <c r="BO138" s="12" t="n"/>
      <c r="BP138" s="12" t="n"/>
      <c r="BQ138" s="12" t="n"/>
      <c r="BR138" s="12" t="n"/>
      <c r="BS138" s="12" t="n"/>
      <c r="BT138" s="12" t="n"/>
      <c r="BU138" s="12" t="n"/>
      <c r="BV138" s="12" t="n"/>
      <c r="BW138" s="12" t="n"/>
      <c r="BX138" s="12" t="n"/>
      <c r="BY138" s="12" t="n"/>
      <c r="BZ138" s="12" t="n"/>
      <c r="CA138" s="12" t="n"/>
      <c r="CB138" s="12" t="n"/>
      <c r="CC138" s="12" t="n"/>
      <c r="CD138" s="12" t="n"/>
      <c r="CE138" s="12" t="n"/>
      <c r="CF138" s="12" t="n"/>
      <c r="CG138" s="12" t="n"/>
      <c r="CH138" s="12" t="n"/>
      <c r="CI138" s="12" t="n"/>
      <c r="CJ138" s="12" t="n"/>
      <c r="CK138" s="12" t="n"/>
      <c r="CL138" s="12" t="n"/>
      <c r="CM138" s="12" t="n"/>
      <c r="CN138" s="12" t="n"/>
      <c r="CO138" s="12" t="n"/>
      <c r="CP138" s="12" t="n"/>
      <c r="CQ138" s="12" t="n"/>
      <c r="CR138" s="12" t="n"/>
      <c r="CS138" s="12" t="n"/>
      <c r="CT138" s="12" t="n"/>
      <c r="CU138" s="12" t="n"/>
      <c r="CV138" s="12" t="n"/>
      <c r="CW138" s="12" t="n"/>
      <c r="CX138" s="12" t="n"/>
      <c r="CY138" s="12" t="n"/>
    </row>
    <row r="139" collapsed="1">
      <c r="C139" s="14" t="inlineStr">
        <is>
          <t>Deferred income taxes</t>
        </is>
      </c>
      <c r="D139" s="46" t="n"/>
      <c r="E139" s="46" t="n"/>
      <c r="F139" s="46" t="n"/>
      <c r="G139" s="46" t="n"/>
      <c r="H139" s="12" t="n"/>
      <c r="I139" s="46">
        <f>'Inputs (2)'!D18</f>
        <v>0</v>
      </c>
      <c r="J139" s="46">
        <f>'Inputs (2)'!E18</f>
        <v>0</v>
      </c>
      <c r="K139" s="46">
        <f>'Inputs (2)'!F18</f>
        <v>0</v>
      </c>
      <c r="L139" s="46">
        <f>'Inputs (2)'!G18</f>
        <v>0</v>
      </c>
      <c r="M139" s="12">
        <f>'Inputs (2)'!H18</f>
        <v>0</v>
      </c>
      <c r="N139" s="46">
        <f>'Inputs (2)'!I18</f>
        <v>0</v>
      </c>
      <c r="O139" s="46">
        <f>'Inputs (2)'!J18</f>
        <v>0</v>
      </c>
      <c r="P139" s="46">
        <f>'Inputs (2)'!K18</f>
        <v>0</v>
      </c>
      <c r="Q139" s="46">
        <f>'Inputs (2)'!L18</f>
        <v>0</v>
      </c>
      <c r="R139" s="12">
        <f>'Inputs (2)'!M18</f>
        <v>0</v>
      </c>
      <c r="S139" s="46">
        <f>'Inputs (2)'!N18</f>
        <v>0</v>
      </c>
      <c r="T139" s="46">
        <f>'Inputs (2)'!O18</f>
        <v>0</v>
      </c>
      <c r="U139" s="46">
        <f>'Inputs (2)'!P18</f>
        <v>0</v>
      </c>
      <c r="V139" s="46">
        <f>'Inputs (2)'!Q18</f>
        <v>0</v>
      </c>
      <c r="W139" s="12">
        <f>'Inputs (2)'!R18</f>
        <v>0</v>
      </c>
      <c r="X139" s="46">
        <f>'Inputs (2)'!S18</f>
        <v>0</v>
      </c>
      <c r="Y139" s="46">
        <f>'Inputs (2)'!T18</f>
        <v>0</v>
      </c>
      <c r="Z139" s="46">
        <f>'Inputs (2)'!U18</f>
        <v>0</v>
      </c>
      <c r="AA139" s="46">
        <f>'Inputs (2)'!V18</f>
        <v>0</v>
      </c>
      <c r="AB139" s="12">
        <f>'Inputs (2)'!W18</f>
        <v>0</v>
      </c>
      <c r="AC139" s="46">
        <f>'Inputs (2)'!X18</f>
        <v>0</v>
      </c>
      <c r="AD139" s="46">
        <f>'Inputs (2)'!Y18</f>
        <v>0</v>
      </c>
      <c r="AE139" s="46">
        <f>'Inputs (2)'!Z18</f>
        <v>0</v>
      </c>
      <c r="AF139" s="46">
        <f>'Inputs (2)'!AA18</f>
        <v>0</v>
      </c>
      <c r="AG139" s="12">
        <f>'Inputs (2)'!AB18</f>
        <v>0</v>
      </c>
      <c r="AH139" s="12">
        <f>'Inputs (2)'!AC18</f>
        <v>0</v>
      </c>
      <c r="AI139" s="12">
        <f>'Inputs (2)'!AD18</f>
        <v>0</v>
      </c>
      <c r="AJ139" s="12">
        <f>AI139</f>
        <v>0</v>
      </c>
      <c r="AK139" s="12">
        <f>AJ139</f>
        <v>0</v>
      </c>
      <c r="AL139" s="12">
        <f>AK139</f>
        <v>0</v>
      </c>
      <c r="AM139" s="12">
        <f>AL139</f>
        <v>0</v>
      </c>
      <c r="AN139" s="12">
        <f>AM139</f>
        <v>0</v>
      </c>
      <c r="AO139" s="12">
        <f>AN139</f>
        <v>0</v>
      </c>
      <c r="AP139" s="12">
        <f>AO139</f>
        <v>0</v>
      </c>
      <c r="AQ139" s="12">
        <f>AP139</f>
        <v>0</v>
      </c>
      <c r="AR139" s="12">
        <f>AQ139</f>
        <v>0</v>
      </c>
      <c r="AS139" s="12">
        <f>AR139</f>
        <v>0</v>
      </c>
      <c r="AT139" s="12">
        <f>AS139</f>
        <v>0</v>
      </c>
      <c r="AU139" s="12">
        <f>AT139</f>
        <v>0</v>
      </c>
      <c r="AV139" s="12">
        <f>AU139</f>
        <v>0</v>
      </c>
      <c r="AW139" s="12">
        <f>AV139</f>
        <v>0</v>
      </c>
      <c r="AX139" s="12">
        <f>AW139</f>
        <v>0</v>
      </c>
      <c r="AY139" s="12">
        <f>AX139</f>
        <v>0</v>
      </c>
      <c r="AZ139" s="12">
        <f>AY139</f>
        <v>0</v>
      </c>
      <c r="BA139" s="12">
        <f>AZ139</f>
        <v>0</v>
      </c>
      <c r="BB139" s="12">
        <f>BA139</f>
        <v>0</v>
      </c>
      <c r="BC139" s="12">
        <f>BB139</f>
        <v>0</v>
      </c>
      <c r="BD139" s="12">
        <f>BC139</f>
        <v>0</v>
      </c>
      <c r="BE139" s="12">
        <f>BD139</f>
        <v>0</v>
      </c>
      <c r="BF139" s="12">
        <f>BE139</f>
        <v>0</v>
      </c>
      <c r="BG139" s="12" t="n"/>
      <c r="BH139" s="12" t="n"/>
      <c r="BI139" s="12" t="n"/>
      <c r="BJ139" s="12" t="n"/>
      <c r="BK139" s="12" t="n"/>
      <c r="BL139" s="12" t="n"/>
      <c r="BM139" s="12" t="n"/>
      <c r="BN139" s="12" t="n"/>
      <c r="BO139" s="12" t="n"/>
      <c r="BP139" s="12" t="n"/>
      <c r="BQ139" s="12" t="n"/>
      <c r="BR139" s="12" t="n"/>
      <c r="BS139" s="12" t="n"/>
      <c r="BT139" s="12" t="n"/>
      <c r="BU139" s="12" t="n"/>
      <c r="BV139" s="12" t="n"/>
      <c r="BW139" s="12" t="n"/>
      <c r="BX139" s="12" t="n"/>
      <c r="BY139" s="12" t="n"/>
      <c r="BZ139" s="12" t="n"/>
      <c r="CA139" s="12" t="n"/>
      <c r="CB139" s="12" t="n"/>
      <c r="CC139" s="12" t="n"/>
      <c r="CD139" s="12" t="n"/>
      <c r="CE139" s="12" t="n"/>
      <c r="CF139" s="12" t="n"/>
      <c r="CG139" s="12" t="n"/>
      <c r="CH139" s="12" t="n"/>
      <c r="CI139" s="12" t="n"/>
      <c r="CJ139" s="12" t="n"/>
      <c r="CK139" s="12" t="n"/>
      <c r="CL139" s="12" t="n"/>
      <c r="CM139" s="12" t="n"/>
      <c r="CN139" s="12" t="n"/>
      <c r="CO139" s="12" t="n"/>
      <c r="CP139" s="12" t="n"/>
      <c r="CQ139" s="12" t="n"/>
      <c r="CR139" s="12" t="n"/>
      <c r="CS139" s="12" t="n"/>
      <c r="CT139" s="12" t="n"/>
      <c r="CU139" s="12" t="n"/>
      <c r="CV139" s="12" t="n"/>
      <c r="CW139" s="12" t="n"/>
      <c r="CX139" s="12" t="n"/>
      <c r="CY139" s="12" t="n"/>
    </row>
    <row r="140">
      <c r="C140" s="14" t="inlineStr">
        <is>
          <t>Prepaid expenses</t>
        </is>
      </c>
      <c r="D140" s="46" t="n"/>
      <c r="E140" s="46" t="n"/>
      <c r="F140" s="46" t="n"/>
      <c r="G140" s="46" t="n"/>
      <c r="H140" s="12" t="n"/>
      <c r="I140" s="46">
        <f>'Inputs (2)'!D19</f>
        <v>0</v>
      </c>
      <c r="J140" s="46">
        <f>'Inputs (2)'!E19</f>
        <v>0</v>
      </c>
      <c r="K140" s="46">
        <f>'Inputs (2)'!F19</f>
        <v>0</v>
      </c>
      <c r="L140" s="46">
        <f>'Inputs (2)'!G19</f>
        <v>0</v>
      </c>
      <c r="M140" s="12">
        <f>'Inputs (2)'!H19</f>
        <v>0</v>
      </c>
      <c r="N140" s="46">
        <f>'Inputs (2)'!I19</f>
        <v>0</v>
      </c>
      <c r="O140" s="46">
        <f>'Inputs (2)'!J19</f>
        <v>0</v>
      </c>
      <c r="P140" s="46">
        <f>'Inputs (2)'!K19</f>
        <v>0</v>
      </c>
      <c r="Q140" s="46">
        <f>'Inputs (2)'!L19</f>
        <v>0</v>
      </c>
      <c r="R140" s="12">
        <f>'Inputs (2)'!M19</f>
        <v>0</v>
      </c>
      <c r="S140" s="46">
        <f>'Inputs (2)'!N19</f>
        <v>0</v>
      </c>
      <c r="T140" s="46">
        <f>'Inputs (2)'!O19</f>
        <v>0</v>
      </c>
      <c r="U140" s="46">
        <f>'Inputs (2)'!P19</f>
        <v>0</v>
      </c>
      <c r="V140" s="46">
        <f>'Inputs (2)'!Q19</f>
        <v>0</v>
      </c>
      <c r="W140" s="12">
        <f>'Inputs (2)'!R19</f>
        <v>0</v>
      </c>
      <c r="X140" s="46">
        <f>'Inputs (2)'!S19</f>
        <v>0</v>
      </c>
      <c r="Y140" s="46">
        <f>'Inputs (2)'!T19</f>
        <v>0</v>
      </c>
      <c r="Z140" s="46">
        <f>'Inputs (2)'!U19</f>
        <v>0</v>
      </c>
      <c r="AA140" s="46">
        <f>'Inputs (2)'!V19</f>
        <v>0</v>
      </c>
      <c r="AB140" s="12">
        <f>'Inputs (2)'!W19</f>
        <v>0</v>
      </c>
      <c r="AC140" s="46">
        <f>'Inputs (2)'!X19</f>
        <v>0</v>
      </c>
      <c r="AD140" s="46">
        <f>'Inputs (2)'!Y19</f>
        <v>0</v>
      </c>
      <c r="AE140" s="46">
        <f>'Inputs (2)'!Z19</f>
        <v>0</v>
      </c>
      <c r="AF140" s="46">
        <f>'Inputs (2)'!AA19</f>
        <v>0</v>
      </c>
      <c r="AG140" s="12">
        <f>'Inputs (2)'!AB19</f>
        <v>0</v>
      </c>
      <c r="AH140" s="12">
        <f>'Inputs (2)'!AC19</f>
        <v>0</v>
      </c>
      <c r="AI140" s="12">
        <f>'Inputs (2)'!AD19</f>
        <v>0</v>
      </c>
      <c r="AJ140" s="12">
        <f>AI140</f>
        <v>0</v>
      </c>
      <c r="AK140" s="12">
        <f>AJ140</f>
        <v>0</v>
      </c>
      <c r="AL140" s="12">
        <f>AK140</f>
        <v>0</v>
      </c>
      <c r="AM140" s="12">
        <f>AL140</f>
        <v>0</v>
      </c>
      <c r="AN140" s="12">
        <f>AM140</f>
        <v>0</v>
      </c>
      <c r="AO140" s="12">
        <f>AN140</f>
        <v>0</v>
      </c>
      <c r="AP140" s="12">
        <f>AO140</f>
        <v>0</v>
      </c>
      <c r="AQ140" s="12">
        <f>AP140</f>
        <v>0</v>
      </c>
      <c r="AR140" s="12">
        <f>AQ140</f>
        <v>0</v>
      </c>
      <c r="AS140" s="12">
        <f>AR140</f>
        <v>0</v>
      </c>
      <c r="AT140" s="12">
        <f>AS140</f>
        <v>0</v>
      </c>
      <c r="AU140" s="12">
        <f>AT140</f>
        <v>0</v>
      </c>
      <c r="AV140" s="12">
        <f>AU140</f>
        <v>0</v>
      </c>
      <c r="AW140" s="12">
        <f>AV140</f>
        <v>0</v>
      </c>
      <c r="AX140" s="12">
        <f>AW140</f>
        <v>0</v>
      </c>
      <c r="AY140" s="12">
        <f>AX140</f>
        <v>0</v>
      </c>
      <c r="AZ140" s="12">
        <f>AY140</f>
        <v>0</v>
      </c>
      <c r="BA140" s="12">
        <f>AZ140</f>
        <v>0</v>
      </c>
      <c r="BB140" s="12">
        <f>BA140</f>
        <v>0</v>
      </c>
      <c r="BC140" s="12">
        <f>BB140</f>
        <v>0</v>
      </c>
      <c r="BD140" s="12">
        <f>BC140</f>
        <v>0</v>
      </c>
      <c r="BE140" s="12">
        <f>BD140</f>
        <v>0</v>
      </c>
      <c r="BF140" s="12">
        <f>BE140</f>
        <v>0</v>
      </c>
      <c r="BG140" s="12" t="n"/>
      <c r="BH140" s="12" t="n"/>
      <c r="BI140" s="12" t="n"/>
      <c r="BJ140" s="12" t="n"/>
      <c r="BK140" s="12" t="n"/>
      <c r="BL140" s="12" t="n"/>
      <c r="BM140" s="12" t="n"/>
      <c r="BN140" s="12" t="n"/>
      <c r="BO140" s="12" t="n"/>
      <c r="BP140" s="12" t="n"/>
      <c r="BQ140" s="12" t="n"/>
      <c r="BR140" s="12" t="n"/>
      <c r="BS140" s="12" t="n"/>
      <c r="BT140" s="12" t="n"/>
      <c r="BU140" s="12" t="n"/>
      <c r="BV140" s="12" t="n"/>
      <c r="BW140" s="12" t="n"/>
      <c r="BX140" s="12" t="n"/>
      <c r="BY140" s="12" t="n"/>
      <c r="BZ140" s="12" t="n"/>
      <c r="CA140" s="12" t="n"/>
      <c r="CB140" s="12" t="n"/>
      <c r="CC140" s="12" t="n"/>
      <c r="CD140" s="12" t="n"/>
      <c r="CE140" s="12" t="n"/>
      <c r="CF140" s="12" t="n"/>
      <c r="CG140" s="12" t="n"/>
      <c r="CH140" s="12" t="n"/>
      <c r="CI140" s="12" t="n"/>
      <c r="CJ140" s="12" t="n"/>
      <c r="CK140" s="12" t="n"/>
      <c r="CL140" s="12" t="n"/>
      <c r="CM140" s="12" t="n"/>
      <c r="CN140" s="12" t="n"/>
      <c r="CO140" s="12" t="n"/>
      <c r="CP140" s="12" t="n"/>
      <c r="CQ140" s="12" t="n"/>
      <c r="CR140" s="12" t="n"/>
      <c r="CS140" s="12" t="n"/>
      <c r="CT140" s="12" t="n"/>
      <c r="CU140" s="12" t="n"/>
      <c r="CV140" s="12" t="n"/>
      <c r="CW140" s="12" t="n"/>
      <c r="CX140" s="12" t="n"/>
      <c r="CY140" s="12" t="n"/>
    </row>
    <row r="141">
      <c r="C141" s="14" t="inlineStr">
        <is>
          <t>Other current assets</t>
        </is>
      </c>
      <c r="D141" s="46" t="n"/>
      <c r="E141" s="46" t="n"/>
      <c r="F141" s="46" t="n"/>
      <c r="G141" s="46" t="n"/>
      <c r="H141" s="12" t="n"/>
      <c r="I141" s="46">
        <f>'Inputs (2)'!D20</f>
        <v>19925</v>
      </c>
      <c r="J141" s="46">
        <f>'Inputs (2)'!E20</f>
        <v>20837</v>
      </c>
      <c r="K141" s="46">
        <f>'Inputs (2)'!F20</f>
        <v>21271</v>
      </c>
      <c r="L141" s="46">
        <f>'Inputs (2)'!G20</f>
        <v>19969</v>
      </c>
      <c r="M141" s="12">
        <f>'Inputs (2)'!H20</f>
        <v>19969</v>
      </c>
      <c r="N141" s="46">
        <f>'Inputs (2)'!I20</f>
        <v>24039</v>
      </c>
      <c r="O141" s="46">
        <f>'Inputs (2)'!J20</f>
        <v>26239</v>
      </c>
      <c r="P141" s="46">
        <f>'Inputs (2)'!K20</f>
        <v>26471</v>
      </c>
      <c r="Q141" s="46">
        <f>'Inputs (2)'!L20</f>
        <v>26242</v>
      </c>
      <c r="R141" s="12">
        <f>'Inputs (2)'!M20</f>
        <v>26242</v>
      </c>
      <c r="S141" s="46">
        <f>'Inputs (2)'!N20</f>
        <v>25765</v>
      </c>
      <c r="T141" s="46">
        <f>'Inputs (2)'!O20</f>
        <v>26317</v>
      </c>
      <c r="U141" s="46">
        <f>'Inputs (2)'!P20</f>
        <v>26384</v>
      </c>
      <c r="V141" s="46">
        <f>'Inputs (2)'!Q20</f>
        <v>27055</v>
      </c>
      <c r="W141" s="12">
        <f>'Inputs (2)'!R20</f>
        <v>27055</v>
      </c>
      <c r="X141" s="46">
        <f>'Inputs (2)'!S20</f>
        <v>25691</v>
      </c>
      <c r="Y141" s="46">
        <f>'Inputs (2)'!T20</f>
        <v>26707</v>
      </c>
      <c r="Z141" s="46">
        <f>'Inputs (2)'!U20</f>
        <v>25918</v>
      </c>
      <c r="AA141" s="46">
        <f>'Inputs (2)'!V20</f>
        <v>25280</v>
      </c>
      <c r="AB141" s="12">
        <f>'Inputs (2)'!W20</f>
        <v>25280</v>
      </c>
      <c r="AC141" s="46">
        <f>'Inputs (2)'!X20</f>
        <v>27894</v>
      </c>
      <c r="AD141" s="46">
        <f>'Inputs (2)'!Y20</f>
        <v>28964</v>
      </c>
      <c r="AE141" s="46">
        <f>'Inputs (2)'!Z20</f>
        <v>29406</v>
      </c>
      <c r="AF141" s="46">
        <f>'Inputs (2)'!AA20</f>
        <v>28139</v>
      </c>
      <c r="AG141" s="12">
        <f>'Inputs (2)'!AB20</f>
        <v>28139</v>
      </c>
      <c r="AH141" s="12">
        <f>'Inputs (2)'!AC20</f>
        <v>27569</v>
      </c>
      <c r="AI141" s="12">
        <f>'Inputs (2)'!AD20</f>
        <v>29647</v>
      </c>
      <c r="AJ141" s="12">
        <f>AI141</f>
        <v>29647</v>
      </c>
      <c r="AK141" s="12">
        <f>AJ141</f>
        <v>29647</v>
      </c>
      <c r="AL141" s="12">
        <f>AK141</f>
        <v>29647</v>
      </c>
      <c r="AM141" s="12">
        <f>AL141</f>
        <v>29647</v>
      </c>
      <c r="AN141" s="12">
        <f>AM141</f>
        <v>29647</v>
      </c>
      <c r="AO141" s="12">
        <f>AN141</f>
        <v>29647</v>
      </c>
      <c r="AP141" s="12">
        <f>AO141</f>
        <v>29647</v>
      </c>
      <c r="AQ141" s="12">
        <f>AP141</f>
        <v>29647</v>
      </c>
      <c r="AR141" s="12">
        <f>AQ141</f>
        <v>29647</v>
      </c>
      <c r="AS141" s="12">
        <f>AR141</f>
        <v>29647</v>
      </c>
      <c r="AT141" s="12">
        <f>AS141</f>
        <v>29647</v>
      </c>
      <c r="AU141" s="12">
        <f>AT141</f>
        <v>29647</v>
      </c>
      <c r="AV141" s="12">
        <f>AU141</f>
        <v>29647</v>
      </c>
      <c r="AW141" s="12">
        <f>AV141</f>
        <v>29647</v>
      </c>
      <c r="AX141" s="12">
        <f>AW141</f>
        <v>29647</v>
      </c>
      <c r="AY141" s="12">
        <f>AX141</f>
        <v>29647</v>
      </c>
      <c r="AZ141" s="12">
        <f>AY141</f>
        <v>29647</v>
      </c>
      <c r="BA141" s="12">
        <f>AZ141</f>
        <v>29647</v>
      </c>
      <c r="BB141" s="12">
        <f>BA141</f>
        <v>29647</v>
      </c>
      <c r="BC141" s="12">
        <f>BB141</f>
        <v>29647</v>
      </c>
      <c r="BD141" s="12">
        <f>BC141</f>
        <v>29647</v>
      </c>
      <c r="BE141" s="12">
        <f>BD141</f>
        <v>29647</v>
      </c>
      <c r="BF141" s="12">
        <f>BE141</f>
        <v>29647</v>
      </c>
      <c r="BG141" s="12" t="n"/>
      <c r="BH141" s="12" t="n"/>
      <c r="BI141" s="12" t="n"/>
      <c r="BJ141" s="12" t="n"/>
      <c r="BK141" s="12" t="n"/>
      <c r="BL141" s="12" t="n"/>
      <c r="BM141" s="12" t="n"/>
      <c r="BN141" s="12" t="n"/>
      <c r="BO141" s="12" t="n"/>
      <c r="BP141" s="12" t="n"/>
      <c r="BQ141" s="12" t="n"/>
      <c r="BR141" s="12" t="n"/>
      <c r="BS141" s="12" t="n"/>
      <c r="BT141" s="12" t="n"/>
      <c r="BU141" s="12" t="n"/>
      <c r="BV141" s="12" t="n"/>
      <c r="BW141" s="12" t="n"/>
      <c r="BX141" s="12" t="n"/>
      <c r="BY141" s="12" t="n"/>
      <c r="BZ141" s="12" t="n"/>
      <c r="CA141" s="12" t="n"/>
      <c r="CB141" s="12" t="n"/>
      <c r="CC141" s="12" t="n"/>
      <c r="CD141" s="12" t="n"/>
      <c r="CE141" s="12" t="n"/>
      <c r="CF141" s="12" t="n"/>
      <c r="CG141" s="12" t="n"/>
      <c r="CH141" s="12" t="n"/>
      <c r="CI141" s="12" t="n"/>
      <c r="CJ141" s="12" t="n"/>
      <c r="CK141" s="12" t="n"/>
      <c r="CL141" s="12" t="n"/>
      <c r="CM141" s="12" t="n"/>
      <c r="CN141" s="12" t="n"/>
      <c r="CO141" s="12" t="n"/>
      <c r="CP141" s="12" t="n"/>
      <c r="CQ141" s="12" t="n"/>
      <c r="CR141" s="12" t="n"/>
      <c r="CS141" s="12" t="n"/>
      <c r="CT141" s="12" t="n"/>
      <c r="CU141" s="12" t="n"/>
      <c r="CV141" s="12" t="n"/>
      <c r="CW141" s="12" t="n"/>
      <c r="CX141" s="12" t="n"/>
      <c r="CY141" s="12" t="n"/>
    </row>
    <row r="142" hidden="1" outlineLevel="1">
      <c r="C142" s="59" t="inlineStr">
        <is>
          <t>%(Var.)</t>
        </is>
      </c>
      <c r="D142" s="12" t="n"/>
      <c r="E142" s="40" t="n"/>
      <c r="F142" s="40" t="n"/>
      <c r="G142" s="40" t="n"/>
      <c r="H142" s="12" t="n"/>
      <c r="I142" s="40" t="str">
        <f>""</f>
        <v/>
      </c>
      <c r="J142" s="40">
        <f>IFERROR(IF(I141=0,"",J141/I141-1),"")</f>
        <v>0.045771643663739</v>
      </c>
      <c r="K142" s="40">
        <f>IFERROR(IF(J141=0,"",K141/J141-1),"")</f>
        <v>0.0208283342131785</v>
      </c>
      <c r="L142" s="40">
        <f>IFERROR(IF(K141=0,"",L141/K141-1),"")</f>
        <v>-0.0612100982558413</v>
      </c>
      <c r="M142" s="12">
        <f>IFERROR(IF(L141=0,"",M141/L141-1),"")</f>
        <v>0</v>
      </c>
      <c r="N142" s="40">
        <f>IFERROR(IF(M141=0,"",N141/M141-1),"")</f>
        <v>0.203815914667735</v>
      </c>
      <c r="O142" s="40">
        <f>IFERROR(IF(N141=0,"",O141/N141-1),"")</f>
        <v>0.09151794999792</v>
      </c>
      <c r="P142" s="40">
        <f>IFERROR(IF(O141=0,"",P141/O141-1),"")</f>
        <v>0.00884180037348981</v>
      </c>
      <c r="Q142" s="40">
        <f>IFERROR(IF(P141=0,"",Q141/P141-1),"")</f>
        <v>-0.00865097654036495</v>
      </c>
      <c r="R142" s="12">
        <f>IFERROR(IF(Q141=0,"",R141/Q141-1),"")</f>
        <v>0</v>
      </c>
      <c r="S142" s="40">
        <f>IFERROR(IF(R141=0,"",S141/R141-1),"")</f>
        <v>-0.0181769682188857</v>
      </c>
      <c r="T142" s="40">
        <f>IFERROR(IF(S141=0,"",T141/S141-1),"")</f>
        <v>0.0214244129633223</v>
      </c>
      <c r="U142" s="40">
        <f>IFERROR(IF(T141=0,"",U141/T141-1),"")</f>
        <v>0.00254588288938717</v>
      </c>
      <c r="V142" s="40">
        <f>IFERROR(IF(U141=0,"",V141/U141-1),"")</f>
        <v>0.0254320800485142</v>
      </c>
      <c r="W142" s="12">
        <f>IFERROR(IF(V141=0,"",W141/V141-1),"")</f>
        <v>0</v>
      </c>
      <c r="X142" s="40">
        <f>IFERROR(IF(W141=0,"",X141/W141-1),"")</f>
        <v>-0.0504158196266864</v>
      </c>
      <c r="Y142" s="40">
        <f>IFERROR(IF(X141=0,"",Y141/X141-1),"")</f>
        <v>0.0395469230469814</v>
      </c>
      <c r="Z142" s="40">
        <f>IFERROR(IF(Y141=0,"",Z141/Y141-1),"")</f>
        <v>-0.0295428164900587</v>
      </c>
      <c r="AA142" s="40">
        <f>IFERROR(IF(Z141=0,"",AA141/Z141-1),"")</f>
        <v>-0.0246160969210587</v>
      </c>
      <c r="AB142" s="12">
        <f>IFERROR(IF(AA141=0,"",AB141/AA141-1),"")</f>
        <v>0</v>
      </c>
      <c r="AC142" s="40">
        <f>IFERROR(IF(AB141=0,"",AC141/AB141-1),"")</f>
        <v>0.103401898734177</v>
      </c>
      <c r="AD142" s="40">
        <f>IFERROR(IF(AC141=0,"",AD141/AC141-1),"")</f>
        <v>0.0383595038359503</v>
      </c>
      <c r="AE142" s="40">
        <f>IFERROR(IF(AD141=0,"",AE141/AD141-1),"")</f>
        <v>0.0152603231597845</v>
      </c>
      <c r="AF142" s="55">
        <f>IFERROR(IF(AE141=0,"",AF141/AE141-1),"")</f>
        <v>-0.0430864449432089</v>
      </c>
      <c r="AG142" s="12">
        <f>IFERROR(IF(AF141=0,"",AG141/AF141-1),"")</f>
        <v>0</v>
      </c>
      <c r="AH142" s="12">
        <f>IFERROR(IF(AG141=0,"",AH141/AG141-1),"")</f>
        <v>-0.0202565833896016</v>
      </c>
      <c r="AI142" s="12">
        <f>IFERROR(IF(AH141=0,"",AI141/AH141-1),"")</f>
        <v>0.07537451485364</v>
      </c>
      <c r="AJ142" s="12">
        <f>IFERROR(IF(AI141=0,"",AJ141/AI141-1),"")</f>
        <v>0</v>
      </c>
      <c r="AK142" s="12">
        <f>IFERROR(IF(AJ141=0,"",AK141/AJ141-1),"")</f>
        <v>0</v>
      </c>
      <c r="AL142" s="12">
        <f>IFERROR(IF(AK141=0,"",AL141/AK141-1),"")</f>
        <v>0</v>
      </c>
      <c r="AM142" s="12">
        <f>IFERROR(IF(AL141=0,"",AM141/AL141-1),"")</f>
        <v>0</v>
      </c>
      <c r="AN142" s="12">
        <f>IFERROR(IF(AM141=0,"",AN141/AM141-1),"")</f>
        <v>0</v>
      </c>
      <c r="AO142" s="12">
        <f>IFERROR(IF(AN141=0,"",AO141/AN141-1),"")</f>
        <v>0</v>
      </c>
      <c r="AP142" s="12">
        <f>IFERROR(IF(AO141=0,"",AP141/AO141-1),"")</f>
        <v>0</v>
      </c>
      <c r="AQ142" s="12">
        <f>IFERROR(IF(AP141=0,"",AQ141/AP141-1),"")</f>
        <v>0</v>
      </c>
      <c r="AR142" s="12">
        <f>IFERROR(IF(AQ141=0,"",AR141/AQ141-1),"")</f>
        <v>0</v>
      </c>
      <c r="AS142" s="12">
        <f>IFERROR(IF(AR141=0,"",AS141/AR141-1),"")</f>
        <v>0</v>
      </c>
      <c r="AT142" s="12">
        <f>IFERROR(IF(AS141=0,"",AT141/AS141-1),"")</f>
        <v>0</v>
      </c>
      <c r="AU142" s="12">
        <f>IFERROR(IF(AT141=0,"",AU141/AT141-1),"")</f>
        <v>0</v>
      </c>
      <c r="AV142" s="12">
        <f>IFERROR(IF(AU141=0,"",AV141/AU141-1),"")</f>
        <v>0</v>
      </c>
      <c r="AW142" s="12">
        <f>IFERROR(IF(AV141=0,"",AW141/AV141-1),"")</f>
        <v>0</v>
      </c>
      <c r="AX142" s="12">
        <f>IFERROR(IF(AW141=0,"",AX141/AW141-1),"")</f>
        <v>0</v>
      </c>
      <c r="AY142" s="12">
        <f>IFERROR(IF(AX141=0,"",AY141/AX141-1),"")</f>
        <v>0</v>
      </c>
      <c r="AZ142" s="12">
        <f>IFERROR(IF(AY141=0,"",AZ141/AY141-1),"")</f>
        <v>0</v>
      </c>
      <c r="BA142" s="12">
        <f>IFERROR(IF(AZ141=0,"",BA141/AZ141-1),"")</f>
        <v>0</v>
      </c>
      <c r="BB142" s="12">
        <f>IFERROR(IF(BA141=0,"",BB141/BA141-1),"")</f>
        <v>0</v>
      </c>
      <c r="BC142" s="12">
        <f>IFERROR(IF(BB141=0,"",BC141/BB141-1),"")</f>
        <v>0</v>
      </c>
      <c r="BD142" s="12">
        <f>IFERROR(IF(BC141=0,"",BD141/BC141-1),"")</f>
        <v>0</v>
      </c>
      <c r="BE142" s="12">
        <f>IFERROR(IF(BD141=0,"",BE141/BD141-1),"")</f>
        <v>0</v>
      </c>
      <c r="BF142" s="12">
        <f>IFERROR(IF(BE141=0,"",BF141/BE141-1),"")</f>
        <v>0</v>
      </c>
      <c r="BG142" s="12" t="n"/>
      <c r="BH142" s="12" t="n"/>
      <c r="BI142" s="12" t="n"/>
      <c r="BJ142" s="12" t="n"/>
      <c r="BK142" s="12" t="n"/>
      <c r="BL142" s="12" t="n"/>
      <c r="BM142" s="12" t="n"/>
      <c r="BN142" s="12" t="n"/>
      <c r="BO142" s="12" t="n"/>
      <c r="BP142" s="12" t="n"/>
      <c r="BQ142" s="12" t="n"/>
      <c r="BR142" s="12" t="n"/>
      <c r="BS142" s="12" t="n"/>
      <c r="BT142" s="12" t="n"/>
      <c r="BU142" s="12" t="n"/>
      <c r="BV142" s="12" t="n"/>
      <c r="BW142" s="12" t="n"/>
      <c r="BX142" s="12" t="n"/>
      <c r="BY142" s="12" t="n"/>
      <c r="BZ142" s="12" t="n"/>
      <c r="CA142" s="12" t="n"/>
      <c r="CB142" s="12" t="n"/>
      <c r="CC142" s="12" t="n"/>
      <c r="CD142" s="12" t="n"/>
      <c r="CE142" s="12" t="n"/>
      <c r="CF142" s="12" t="n"/>
      <c r="CG142" s="12" t="n"/>
      <c r="CH142" s="12" t="n"/>
      <c r="CI142" s="12" t="n"/>
      <c r="CJ142" s="12" t="n"/>
      <c r="CK142" s="12" t="n"/>
      <c r="CL142" s="12" t="n"/>
      <c r="CM142" s="12" t="n"/>
      <c r="CN142" s="12" t="n"/>
      <c r="CO142" s="12" t="n"/>
      <c r="CP142" s="12" t="n"/>
      <c r="CQ142" s="12" t="n"/>
      <c r="CR142" s="12" t="n"/>
      <c r="CS142" s="12" t="n"/>
      <c r="CT142" s="12" t="n"/>
      <c r="CU142" s="12" t="n"/>
      <c r="CV142" s="12" t="n"/>
      <c r="CW142" s="12" t="n"/>
      <c r="CX142" s="12" t="n"/>
      <c r="CY142" s="12" t="n"/>
    </row>
    <row r="143" hidden="1" outlineLevel="1">
      <c r="C143" s="57" t="n"/>
      <c r="D143" s="12" t="n"/>
      <c r="E143" s="40" t="n"/>
      <c r="F143" s="12" t="n"/>
      <c r="G143" s="12" t="n"/>
      <c r="H143" s="12" t="n"/>
      <c r="I143" s="12" t="n"/>
      <c r="J143" s="12" t="n"/>
      <c r="K143" s="12" t="n"/>
      <c r="L143" s="12" t="n"/>
      <c r="M143" s="12" t="n"/>
      <c r="N143" s="12" t="n"/>
      <c r="O143" s="12" t="n"/>
      <c r="P143" s="12" t="n"/>
      <c r="Q143" s="12" t="n"/>
      <c r="R143" s="12" t="n"/>
      <c r="S143" s="12" t="n"/>
      <c r="T143" s="12" t="n"/>
      <c r="U143" s="12" t="n"/>
      <c r="V143" s="12" t="n"/>
      <c r="W143" s="12" t="n"/>
      <c r="X143" s="12" t="n"/>
      <c r="Y143" s="12" t="n"/>
      <c r="Z143" s="12" t="n"/>
      <c r="AA143" s="12" t="n"/>
      <c r="AB143" s="12" t="n"/>
      <c r="AC143" s="12" t="n"/>
      <c r="AD143" s="12" t="n"/>
      <c r="AE143" s="12" t="n"/>
      <c r="AF143" s="12" t="n"/>
      <c r="AG143" s="12" t="n"/>
      <c r="AH143" s="12" t="n"/>
      <c r="AI143" s="12" t="n"/>
      <c r="AJ143" s="12" t="n"/>
      <c r="AK143" s="12" t="n"/>
      <c r="AL143" s="12" t="n"/>
      <c r="AM143" s="12" t="n"/>
      <c r="AN143" s="12" t="n"/>
      <c r="AO143" s="12" t="n"/>
      <c r="AP143" s="12" t="n"/>
      <c r="AQ143" s="12" t="n"/>
      <c r="AR143" s="12" t="n"/>
      <c r="AS143" s="12" t="n"/>
      <c r="AT143" s="12" t="n"/>
      <c r="AU143" s="12" t="n"/>
      <c r="AV143" s="12" t="n"/>
      <c r="AW143" s="12" t="n"/>
      <c r="AX143" s="12" t="n"/>
      <c r="AY143" s="12" t="n"/>
      <c r="AZ143" s="12" t="n"/>
      <c r="BA143" s="12" t="n"/>
      <c r="BB143" s="12" t="n"/>
      <c r="BC143" s="12" t="n"/>
      <c r="BD143" s="12" t="n"/>
      <c r="BE143" s="12" t="n"/>
      <c r="BF143" s="12" t="n"/>
      <c r="BG143" s="12" t="n"/>
      <c r="BH143" s="12" t="n"/>
      <c r="BI143" s="12" t="n"/>
      <c r="BJ143" s="12" t="n"/>
      <c r="BK143" s="12" t="n"/>
      <c r="BL143" s="12" t="n"/>
      <c r="BM143" s="12" t="n"/>
      <c r="BN143" s="12" t="n"/>
      <c r="BO143" s="12" t="n"/>
      <c r="BP143" s="12" t="n"/>
      <c r="BQ143" s="12" t="n"/>
      <c r="BR143" s="12" t="n"/>
      <c r="BS143" s="12" t="n"/>
      <c r="BT143" s="12" t="n"/>
      <c r="BU143" s="12" t="n"/>
      <c r="BV143" s="12" t="n"/>
      <c r="BW143" s="12" t="n"/>
      <c r="BX143" s="12" t="n"/>
      <c r="BY143" s="12" t="n"/>
      <c r="BZ143" s="12" t="n"/>
      <c r="CA143" s="12" t="n"/>
      <c r="CB143" s="12" t="n"/>
      <c r="CC143" s="12" t="n"/>
      <c r="CD143" s="12" t="n"/>
      <c r="CE143" s="12" t="n"/>
      <c r="CF143" s="12" t="n"/>
      <c r="CG143" s="12" t="n"/>
      <c r="CH143" s="12" t="n"/>
      <c r="CI143" s="12" t="n"/>
      <c r="CJ143" s="12" t="n"/>
      <c r="CK143" s="12" t="n"/>
      <c r="CL143" s="12" t="n"/>
      <c r="CM143" s="12" t="n"/>
      <c r="CN143" s="12" t="n"/>
      <c r="CO143" s="12" t="n"/>
      <c r="CP143" s="12" t="n"/>
      <c r="CQ143" s="12" t="n"/>
      <c r="CR143" s="12" t="n"/>
      <c r="CS143" s="12" t="n"/>
      <c r="CT143" s="12" t="n"/>
      <c r="CU143" s="12" t="n"/>
      <c r="CV143" s="12" t="n"/>
      <c r="CW143" s="12" t="n"/>
      <c r="CX143" s="12" t="n"/>
      <c r="CY143" s="12" t="n"/>
    </row>
    <row r="144" hidden="1" outlineLevel="1">
      <c r="C144" s="60" t="inlineStr">
        <is>
          <t xml:space="preserve">Impostos e Contribuições a Recuperar </t>
        </is>
      </c>
      <c r="D144" s="11" t="n"/>
      <c r="E144" s="11" t="n"/>
      <c r="F144" s="11" t="n"/>
      <c r="G144" s="11" t="n"/>
      <c r="H144" s="12" t="n"/>
      <c r="I144" s="11" t="n"/>
      <c r="J144" s="11" t="n"/>
      <c r="K144" s="11" t="n"/>
      <c r="L144" s="11" t="n"/>
      <c r="M144" s="12" t="n"/>
      <c r="N144" s="11" t="n"/>
      <c r="O144" s="11" t="n"/>
      <c r="P144" s="11" t="n"/>
      <c r="Q144" s="11" t="n"/>
      <c r="R144" s="12" t="n"/>
      <c r="S144" s="11" t="n"/>
      <c r="T144" s="11" t="n"/>
      <c r="U144" s="11" t="n"/>
      <c r="V144" s="11" t="n"/>
      <c r="W144" s="12" t="n"/>
      <c r="X144" s="11" t="n"/>
      <c r="Y144" s="11" t="n"/>
      <c r="Z144" s="11" t="n"/>
      <c r="AA144" s="11" t="n"/>
      <c r="AB144" s="12" t="n"/>
      <c r="AC144" s="11" t="n"/>
      <c r="AD144" s="11" t="n"/>
      <c r="AE144" s="11" t="n"/>
      <c r="AF144" s="11" t="n"/>
      <c r="AG144" s="12">
        <f>AF144</f>
        <v>0</v>
      </c>
      <c r="AH144" s="61">
        <f>IFERROR(AG144*AH15/AG15,"")</f>
        <v>0</v>
      </c>
      <c r="AI144" s="61">
        <f>IFERROR(AH144*AI15/AH15,"")</f>
        <v>0</v>
      </c>
      <c r="AJ144" s="61">
        <f>IFERROR(AI144*AJ15/AI15,"")</f>
        <v>0</v>
      </c>
      <c r="AK144" s="61">
        <f>IFERROR(AJ144*AK15/AJ15,"")</f>
        <v>0</v>
      </c>
      <c r="AL144" s="12">
        <f>IFERROR(AK144,"")</f>
        <v>0</v>
      </c>
      <c r="AM144" s="12" t="n"/>
      <c r="AN144" s="12" t="n"/>
      <c r="AO144" s="12" t="n"/>
      <c r="AP144" s="12" t="n"/>
      <c r="AQ144" s="12" t="n"/>
      <c r="AR144" s="12" t="n"/>
      <c r="AS144" s="12" t="n"/>
      <c r="AT144" s="12" t="n"/>
      <c r="AU144" s="12" t="n"/>
      <c r="AV144" s="12" t="n"/>
      <c r="AW144" s="12" t="n"/>
      <c r="AX144" s="12" t="n"/>
      <c r="AY144" s="12" t="n"/>
      <c r="AZ144" s="12" t="n"/>
      <c r="BA144" s="12" t="n"/>
      <c r="BB144" s="12" t="n"/>
      <c r="BC144" s="12" t="n"/>
      <c r="BD144" s="12" t="n"/>
      <c r="BE144" s="12" t="n"/>
      <c r="BF144" s="12" t="n"/>
      <c r="BG144" s="12" t="n"/>
      <c r="BH144" s="12" t="n"/>
      <c r="BI144" s="12" t="n"/>
      <c r="BJ144" s="12" t="n"/>
      <c r="BK144" s="12" t="n"/>
      <c r="BL144" s="12" t="n"/>
      <c r="BM144" s="12" t="n"/>
      <c r="BN144" s="12" t="n"/>
      <c r="BO144" s="12" t="n"/>
      <c r="BP144" s="12" t="n"/>
      <c r="BQ144" s="12" t="n"/>
      <c r="BR144" s="12" t="n"/>
      <c r="BS144" s="12" t="n"/>
      <c r="BT144" s="12" t="n"/>
      <c r="BU144" s="12" t="n"/>
      <c r="BV144" s="12" t="n"/>
      <c r="BW144" s="12" t="n"/>
      <c r="BX144" s="12" t="n"/>
      <c r="BY144" s="12" t="n"/>
      <c r="BZ144" s="12" t="n"/>
      <c r="CA144" s="12" t="n"/>
      <c r="CB144" s="12" t="n"/>
      <c r="CC144" s="12" t="n"/>
      <c r="CD144" s="12" t="n"/>
      <c r="CE144" s="12" t="n"/>
      <c r="CF144" s="12" t="n"/>
      <c r="CG144" s="12" t="n"/>
      <c r="CH144" s="12" t="n"/>
      <c r="CI144" s="12" t="n"/>
      <c r="CJ144" s="12" t="n"/>
      <c r="CK144" s="12" t="n"/>
      <c r="CL144" s="12" t="n"/>
      <c r="CM144" s="12" t="n"/>
      <c r="CN144" s="12" t="n"/>
      <c r="CO144" s="12" t="n"/>
      <c r="CP144" s="12" t="n"/>
      <c r="CQ144" s="12" t="n"/>
      <c r="CR144" s="12" t="n"/>
      <c r="CS144" s="12" t="n"/>
      <c r="CT144" s="12" t="n"/>
      <c r="CU144" s="12" t="n"/>
      <c r="CV144" s="12" t="n"/>
      <c r="CW144" s="12" t="n"/>
      <c r="CX144" s="12" t="n"/>
      <c r="CY144" s="12" t="n"/>
    </row>
    <row r="145" hidden="1" outlineLevel="1">
      <c r="C145" s="60" t="inlineStr">
        <is>
          <t>Outros Créditos</t>
        </is>
      </c>
      <c r="D145" s="11" t="n"/>
      <c r="E145" s="11" t="n"/>
      <c r="F145" s="11" t="n"/>
      <c r="G145" s="11" t="n"/>
      <c r="H145" s="12" t="n"/>
      <c r="I145" s="11" t="n"/>
      <c r="J145" s="11" t="n"/>
      <c r="K145" s="11" t="n"/>
      <c r="L145" s="11" t="n"/>
      <c r="M145" s="12" t="n"/>
      <c r="N145" s="11" t="n"/>
      <c r="O145" s="11" t="n"/>
      <c r="P145" s="11" t="n"/>
      <c r="Q145" s="11" t="n"/>
      <c r="R145" s="12" t="n"/>
      <c r="S145" s="11" t="n"/>
      <c r="T145" s="11" t="n"/>
      <c r="U145" s="11" t="n"/>
      <c r="V145" s="11" t="n"/>
      <c r="W145" s="12" t="n"/>
      <c r="X145" s="11" t="n"/>
      <c r="Y145" s="11" t="n"/>
      <c r="Z145" s="11" t="n"/>
      <c r="AA145" s="11" t="n"/>
      <c r="AB145" s="12" t="n"/>
      <c r="AC145" s="11" t="n"/>
      <c r="AD145" s="11" t="n"/>
      <c r="AE145" s="11" t="n"/>
      <c r="AF145" s="11" t="n"/>
      <c r="AG145" s="12">
        <f>AF145</f>
        <v>0</v>
      </c>
      <c r="AH145" s="12">
        <f>AG145</f>
        <v>0</v>
      </c>
      <c r="AI145" s="12">
        <f>AH145</f>
        <v>0</v>
      </c>
      <c r="AJ145" s="12">
        <f>AI145</f>
        <v>0</v>
      </c>
      <c r="AK145" s="12">
        <f>AJ145</f>
        <v>0</v>
      </c>
      <c r="AL145" s="12">
        <f>AK145</f>
        <v>0</v>
      </c>
      <c r="AM145" s="12" t="n"/>
      <c r="AN145" s="12" t="n"/>
      <c r="AO145" s="12" t="n"/>
      <c r="AP145" s="12" t="n"/>
      <c r="AQ145" s="12" t="n"/>
      <c r="AR145" s="12" t="n"/>
      <c r="AS145" s="12" t="n"/>
      <c r="AT145" s="12" t="n"/>
      <c r="AU145" s="12" t="n"/>
      <c r="AV145" s="12" t="n"/>
      <c r="AW145" s="12" t="n"/>
      <c r="AX145" s="12" t="n"/>
      <c r="AY145" s="12" t="n"/>
      <c r="AZ145" s="12" t="n"/>
      <c r="BA145" s="12" t="n"/>
      <c r="BB145" s="12" t="n"/>
      <c r="BC145" s="12" t="n"/>
      <c r="BD145" s="12" t="n"/>
      <c r="BE145" s="12" t="n"/>
      <c r="BF145" s="12" t="n"/>
      <c r="BG145" s="12" t="n"/>
      <c r="BH145" s="12" t="n"/>
      <c r="BI145" s="12" t="n"/>
      <c r="BJ145" s="12" t="n"/>
      <c r="BK145" s="12" t="n"/>
      <c r="BL145" s="12" t="n"/>
      <c r="BM145" s="12" t="n"/>
      <c r="BN145" s="12" t="n"/>
      <c r="BO145" s="12" t="n"/>
      <c r="BP145" s="12" t="n"/>
      <c r="BQ145" s="12" t="n"/>
      <c r="BR145" s="12" t="n"/>
      <c r="BS145" s="12" t="n"/>
      <c r="BT145" s="12" t="n"/>
      <c r="BU145" s="12" t="n"/>
      <c r="BV145" s="12" t="n"/>
      <c r="BW145" s="12" t="n"/>
      <c r="BX145" s="12" t="n"/>
      <c r="BY145" s="12" t="n"/>
      <c r="BZ145" s="12" t="n"/>
      <c r="CA145" s="12" t="n"/>
      <c r="CB145" s="12" t="n"/>
      <c r="CC145" s="12" t="n"/>
      <c r="CD145" s="12" t="n"/>
      <c r="CE145" s="12" t="n"/>
      <c r="CF145" s="12" t="n"/>
      <c r="CG145" s="12" t="n"/>
      <c r="CH145" s="12" t="n"/>
      <c r="CI145" s="12" t="n"/>
      <c r="CJ145" s="12" t="n"/>
      <c r="CK145" s="12" t="n"/>
      <c r="CL145" s="12" t="n"/>
      <c r="CM145" s="12" t="n"/>
      <c r="CN145" s="12" t="n"/>
      <c r="CO145" s="12" t="n"/>
      <c r="CP145" s="12" t="n"/>
      <c r="CQ145" s="12" t="n"/>
      <c r="CR145" s="12" t="n"/>
      <c r="CS145" s="12" t="n"/>
      <c r="CT145" s="12" t="n"/>
      <c r="CU145" s="12" t="n"/>
      <c r="CV145" s="12" t="n"/>
      <c r="CW145" s="12" t="n"/>
      <c r="CX145" s="12" t="n"/>
      <c r="CY145" s="12" t="n"/>
    </row>
    <row r="146" hidden="1" outlineLevel="1">
      <c r="C146" s="57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  <c r="O146" s="12" t="n"/>
      <c r="P146" s="12" t="n"/>
      <c r="Q146" s="12" t="n"/>
      <c r="R146" s="12" t="n"/>
      <c r="S146" s="12" t="n"/>
      <c r="T146" s="12" t="n"/>
      <c r="U146" s="12" t="n"/>
      <c r="V146" s="12" t="n"/>
      <c r="W146" s="12" t="n"/>
      <c r="X146" s="12" t="n"/>
      <c r="Y146" s="12" t="n"/>
      <c r="Z146" s="12" t="n"/>
      <c r="AA146" s="12" t="n"/>
      <c r="AB146" s="12" t="n"/>
      <c r="AC146" s="12" t="n"/>
      <c r="AD146" s="12" t="n"/>
      <c r="AE146" s="12" t="n"/>
      <c r="AF146" s="12" t="n"/>
      <c r="AG146" s="12" t="n"/>
      <c r="AH146" s="12" t="n"/>
      <c r="AI146" s="12" t="n"/>
      <c r="AJ146" s="12" t="n"/>
      <c r="AK146" s="12" t="n"/>
      <c r="AL146" s="12" t="n"/>
      <c r="AM146" s="12" t="n"/>
      <c r="AN146" s="12" t="n"/>
      <c r="AO146" s="12" t="n"/>
      <c r="AP146" s="12" t="n"/>
      <c r="AQ146" s="12" t="n"/>
      <c r="AR146" s="12" t="n"/>
      <c r="AS146" s="12" t="n"/>
      <c r="AT146" s="12" t="n"/>
      <c r="AU146" s="12" t="n"/>
      <c r="AV146" s="12" t="n"/>
      <c r="AW146" s="12" t="n"/>
      <c r="AX146" s="12" t="n"/>
      <c r="AY146" s="12" t="n"/>
      <c r="AZ146" s="12" t="n"/>
      <c r="BA146" s="12" t="n"/>
      <c r="BB146" s="12" t="n"/>
      <c r="BC146" s="12" t="n"/>
      <c r="BD146" s="12" t="n"/>
      <c r="BE146" s="12" t="n"/>
      <c r="BF146" s="12" t="n"/>
      <c r="BG146" s="12" t="n"/>
      <c r="BH146" s="12" t="n"/>
      <c r="BI146" s="12" t="n"/>
      <c r="BJ146" s="12" t="n"/>
      <c r="BK146" s="12" t="n"/>
      <c r="BL146" s="12" t="n"/>
      <c r="BM146" s="12" t="n"/>
      <c r="BN146" s="12" t="n"/>
      <c r="BO146" s="12" t="n"/>
      <c r="BP146" s="12" t="n"/>
      <c r="BQ146" s="12" t="n"/>
      <c r="BR146" s="12" t="n"/>
      <c r="BS146" s="12" t="n"/>
      <c r="BT146" s="12" t="n"/>
      <c r="BU146" s="12" t="n"/>
      <c r="BV146" s="12" t="n"/>
      <c r="BW146" s="12" t="n"/>
      <c r="BX146" s="12" t="n"/>
      <c r="BY146" s="12" t="n"/>
      <c r="BZ146" s="12" t="n"/>
      <c r="CA146" s="12" t="n"/>
      <c r="CB146" s="12" t="n"/>
      <c r="CC146" s="12" t="n"/>
      <c r="CD146" s="12" t="n"/>
      <c r="CE146" s="12" t="n"/>
      <c r="CF146" s="12" t="n"/>
      <c r="CG146" s="12" t="n"/>
      <c r="CH146" s="12" t="n"/>
      <c r="CI146" s="12" t="n"/>
      <c r="CJ146" s="12" t="n"/>
      <c r="CK146" s="12" t="n"/>
      <c r="CL146" s="12" t="n"/>
      <c r="CM146" s="12" t="n"/>
      <c r="CN146" s="12" t="n"/>
      <c r="CO146" s="12" t="n"/>
      <c r="CP146" s="12" t="n"/>
      <c r="CQ146" s="12" t="n"/>
      <c r="CR146" s="12" t="n"/>
      <c r="CS146" s="12" t="n"/>
      <c r="CT146" s="12" t="n"/>
      <c r="CU146" s="12" t="n"/>
      <c r="CV146" s="12" t="n"/>
      <c r="CW146" s="12" t="n"/>
      <c r="CX146" s="12" t="n"/>
      <c r="CY146" s="12" t="n"/>
    </row>
    <row r="147" collapsed="1">
      <c r="C147" s="14" t="inlineStr">
        <is>
          <t>Equity in affiliates</t>
        </is>
      </c>
      <c r="D147" s="46" t="n"/>
      <c r="E147" s="46" t="n"/>
      <c r="F147" s="46" t="n"/>
      <c r="G147" s="46" t="n"/>
      <c r="H147" s="12" t="n"/>
      <c r="I147" s="46">
        <f>'Inputs (2)'!D21</f>
        <v>0</v>
      </c>
      <c r="J147" s="46">
        <f>'Inputs (2)'!E21</f>
        <v>0</v>
      </c>
      <c r="K147" s="46">
        <f>'Inputs (2)'!F21</f>
        <v>0</v>
      </c>
      <c r="L147" s="46">
        <f>'Inputs (2)'!G21</f>
        <v>0</v>
      </c>
      <c r="M147" s="12">
        <f>'Inputs (2)'!H21</f>
        <v>0</v>
      </c>
      <c r="N147" s="46">
        <f>'Inputs (2)'!I21</f>
        <v>0</v>
      </c>
      <c r="O147" s="46">
        <f>'Inputs (2)'!J21</f>
        <v>0</v>
      </c>
      <c r="P147" s="46">
        <f>'Inputs (2)'!K21</f>
        <v>0</v>
      </c>
      <c r="Q147" s="46">
        <f>'Inputs (2)'!L21</f>
        <v>0</v>
      </c>
      <c r="R147" s="12">
        <f>'Inputs (2)'!M21</f>
        <v>0</v>
      </c>
      <c r="S147" s="46">
        <f>'Inputs (2)'!N21</f>
        <v>0</v>
      </c>
      <c r="T147" s="46">
        <f>'Inputs (2)'!O21</f>
        <v>0</v>
      </c>
      <c r="U147" s="46">
        <f>'Inputs (2)'!P21</f>
        <v>0</v>
      </c>
      <c r="V147" s="46">
        <f>'Inputs (2)'!Q21</f>
        <v>0</v>
      </c>
      <c r="W147" s="12">
        <f>'Inputs (2)'!R21</f>
        <v>0</v>
      </c>
      <c r="X147" s="46">
        <f>'Inputs (2)'!S21</f>
        <v>0</v>
      </c>
      <c r="Y147" s="46">
        <f>'Inputs (2)'!T21</f>
        <v>0</v>
      </c>
      <c r="Z147" s="46">
        <f>'Inputs (2)'!U21</f>
        <v>0</v>
      </c>
      <c r="AA147" s="46">
        <f>'Inputs (2)'!V21</f>
        <v>0</v>
      </c>
      <c r="AB147" s="12">
        <f>'Inputs (2)'!W21</f>
        <v>0</v>
      </c>
      <c r="AC147" s="46">
        <f>'Inputs (2)'!X21</f>
        <v>0</v>
      </c>
      <c r="AD147" s="46">
        <f>'Inputs (2)'!Y21</f>
        <v>0</v>
      </c>
      <c r="AE147" s="46">
        <f>'Inputs (2)'!Z21</f>
        <v>0</v>
      </c>
      <c r="AF147" s="46">
        <f>'Inputs (2)'!AA21</f>
        <v>0</v>
      </c>
      <c r="AG147" s="12">
        <f>'Inputs (2)'!AB21</f>
        <v>0</v>
      </c>
      <c r="AH147" s="12">
        <f>'Inputs (2)'!AC21</f>
        <v>0</v>
      </c>
      <c r="AI147" s="12">
        <f>'Inputs (2)'!AD21</f>
        <v>0</v>
      </c>
      <c r="AJ147" s="12">
        <f>AI147+AJ121</f>
        <v>0</v>
      </c>
      <c r="AK147" s="12">
        <f>AJ147+AK121</f>
        <v>0</v>
      </c>
      <c r="AL147" s="12">
        <f>AK147</f>
        <v>0</v>
      </c>
      <c r="AM147" s="12">
        <f>AL147+AM121</f>
        <v>0</v>
      </c>
      <c r="AN147" s="12">
        <f>AM147+AN121</f>
        <v>0</v>
      </c>
      <c r="AO147" s="12">
        <f>AN147+AO121</f>
        <v>0</v>
      </c>
      <c r="AP147" s="12">
        <f>AO147+AP121</f>
        <v>0</v>
      </c>
      <c r="AQ147" s="12">
        <f>AP147</f>
        <v>0</v>
      </c>
      <c r="AR147" s="12">
        <f>AQ147+AR121</f>
        <v>0</v>
      </c>
      <c r="AS147" s="12">
        <f>AR147+AS121</f>
        <v>0</v>
      </c>
      <c r="AT147" s="12">
        <f>AS147+AT121</f>
        <v>0</v>
      </c>
      <c r="AU147" s="12">
        <f>AT147+AU121</f>
        <v>0</v>
      </c>
      <c r="AV147" s="12">
        <f>AU147</f>
        <v>0</v>
      </c>
      <c r="AW147" s="12">
        <f>AV147+AW121</f>
        <v>0</v>
      </c>
      <c r="AX147" s="12">
        <f>AW147+AX121</f>
        <v>0</v>
      </c>
      <c r="AY147" s="12">
        <f>AX147+AY121</f>
        <v>0</v>
      </c>
      <c r="AZ147" s="12">
        <f>AY147+AZ121</f>
        <v>0</v>
      </c>
      <c r="BA147" s="12">
        <f>AZ147</f>
        <v>0</v>
      </c>
      <c r="BB147" s="12">
        <f>BA147+BB121</f>
        <v>0</v>
      </c>
      <c r="BC147" s="12">
        <f>BB147+BC121</f>
        <v>0</v>
      </c>
      <c r="BD147" s="12">
        <f>BC147+BD121</f>
        <v>0</v>
      </c>
      <c r="BE147" s="12">
        <f>BD147+BE121</f>
        <v>0</v>
      </c>
      <c r="BF147" s="12">
        <f>BE147</f>
        <v>0</v>
      </c>
      <c r="BG147" s="12" t="n"/>
      <c r="BH147" s="12" t="n"/>
      <c r="BI147" s="12" t="n"/>
      <c r="BJ147" s="12" t="n"/>
      <c r="BK147" s="12" t="n"/>
      <c r="BL147" s="12" t="n"/>
      <c r="BM147" s="12" t="n"/>
      <c r="BN147" s="12" t="n"/>
      <c r="BO147" s="12" t="n"/>
      <c r="BP147" s="12" t="n"/>
      <c r="BQ147" s="12" t="n"/>
      <c r="BR147" s="12" t="n"/>
      <c r="BS147" s="12" t="n"/>
      <c r="BT147" s="12" t="n"/>
      <c r="BU147" s="12" t="n"/>
      <c r="BV147" s="12" t="n"/>
      <c r="BW147" s="12" t="n"/>
      <c r="BX147" s="12" t="n"/>
      <c r="BY147" s="12" t="n"/>
      <c r="BZ147" s="12" t="n"/>
      <c r="CA147" s="12" t="n"/>
      <c r="CB147" s="12" t="n"/>
      <c r="CC147" s="12" t="n"/>
      <c r="CD147" s="12" t="n"/>
      <c r="CE147" s="12" t="n"/>
      <c r="CF147" s="12" t="n"/>
      <c r="CG147" s="12" t="n"/>
      <c r="CH147" s="12" t="n"/>
      <c r="CI147" s="12" t="n"/>
      <c r="CJ147" s="12" t="n"/>
      <c r="CK147" s="12" t="n"/>
      <c r="CL147" s="12" t="n"/>
      <c r="CM147" s="12" t="n"/>
      <c r="CN147" s="12" t="n"/>
      <c r="CO147" s="12" t="n"/>
      <c r="CP147" s="12" t="n"/>
      <c r="CQ147" s="12" t="n"/>
      <c r="CR147" s="12" t="n"/>
      <c r="CS147" s="12" t="n"/>
      <c r="CT147" s="12" t="n"/>
      <c r="CU147" s="12" t="n"/>
      <c r="CV147" s="12" t="n"/>
      <c r="CW147" s="12" t="n"/>
      <c r="CX147" s="12" t="n"/>
      <c r="CY147" s="12" t="n"/>
    </row>
    <row r="148" hidden="1" outlineLevel="1">
      <c r="C148" s="57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  <c r="V148" s="12" t="n"/>
      <c r="W148" s="12" t="n"/>
      <c r="X148" s="12" t="n"/>
      <c r="Y148" s="12" t="n"/>
      <c r="Z148" s="12" t="n"/>
      <c r="AA148" s="12" t="n"/>
      <c r="AB148" s="12" t="n"/>
      <c r="AC148" s="12" t="n"/>
      <c r="AD148" s="12" t="n"/>
      <c r="AE148" s="12" t="n"/>
      <c r="AF148" s="12" t="n"/>
      <c r="AG148" s="12" t="n"/>
      <c r="AH148" s="12" t="n"/>
      <c r="AI148" s="12" t="n"/>
      <c r="AJ148" s="12" t="n"/>
      <c r="AK148" s="12" t="n"/>
      <c r="AL148" s="12" t="n"/>
      <c r="AM148" s="12" t="n"/>
      <c r="AN148" s="12" t="n"/>
      <c r="AO148" s="12" t="n"/>
      <c r="AP148" s="12" t="n"/>
      <c r="AQ148" s="12" t="n"/>
      <c r="AR148" s="12" t="n"/>
      <c r="AS148" s="12" t="n"/>
      <c r="AT148" s="12" t="n"/>
      <c r="AU148" s="12" t="n"/>
      <c r="AV148" s="12" t="n"/>
      <c r="AW148" s="12" t="n"/>
      <c r="AX148" s="12" t="n"/>
      <c r="AY148" s="12" t="n"/>
      <c r="AZ148" s="12" t="n"/>
      <c r="BA148" s="12" t="n"/>
      <c r="BB148" s="12" t="n"/>
      <c r="BC148" s="12" t="n"/>
      <c r="BD148" s="12" t="n"/>
      <c r="BE148" s="12" t="n"/>
      <c r="BF148" s="12" t="n"/>
      <c r="BG148" s="12" t="n"/>
      <c r="BH148" s="12" t="n"/>
      <c r="BI148" s="12" t="n"/>
      <c r="BJ148" s="12" t="n"/>
      <c r="BK148" s="12" t="n"/>
      <c r="BL148" s="12" t="n"/>
      <c r="BM148" s="12" t="n"/>
      <c r="BN148" s="12" t="n"/>
      <c r="BO148" s="12" t="n"/>
      <c r="BP148" s="12" t="n"/>
      <c r="BQ148" s="12" t="n"/>
      <c r="BR148" s="12" t="n"/>
      <c r="BS148" s="12" t="n"/>
      <c r="BT148" s="12" t="n"/>
      <c r="BU148" s="12" t="n"/>
      <c r="BV148" s="12" t="n"/>
      <c r="BW148" s="12" t="n"/>
      <c r="BX148" s="12" t="n"/>
      <c r="BY148" s="12" t="n"/>
      <c r="BZ148" s="12" t="n"/>
      <c r="CA148" s="12" t="n"/>
      <c r="CB148" s="12" t="n"/>
      <c r="CC148" s="12" t="n"/>
      <c r="CD148" s="12" t="n"/>
      <c r="CE148" s="12" t="n"/>
      <c r="CF148" s="12" t="n"/>
      <c r="CG148" s="12" t="n"/>
      <c r="CH148" s="12" t="n"/>
      <c r="CI148" s="12" t="n"/>
      <c r="CJ148" s="12" t="n"/>
      <c r="CK148" s="12" t="n"/>
      <c r="CL148" s="12" t="n"/>
      <c r="CM148" s="12" t="n"/>
      <c r="CN148" s="12" t="n"/>
      <c r="CO148" s="12" t="n"/>
      <c r="CP148" s="12" t="n"/>
      <c r="CQ148" s="12" t="n"/>
      <c r="CR148" s="12" t="n"/>
      <c r="CS148" s="12" t="n"/>
      <c r="CT148" s="12" t="n"/>
      <c r="CU148" s="12" t="n"/>
      <c r="CV148" s="12" t="n"/>
      <c r="CW148" s="12" t="n"/>
      <c r="CX148" s="12" t="n"/>
      <c r="CY148" s="12" t="n"/>
    </row>
    <row r="149" hidden="1" outlineLevel="1">
      <c r="C149" s="57" t="inlineStr">
        <is>
          <t>Equity in Income - % YoY</t>
        </is>
      </c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12">
        <f>IF(I121=0,0,N121/I121-1)</f>
        <v>0</v>
      </c>
      <c r="O149" s="12">
        <f>IF(J121=0,0,O121/J121-1)</f>
        <v>0</v>
      </c>
      <c r="P149" s="12">
        <f>IF(K121=0,0,P121/K121-1)</f>
        <v>0</v>
      </c>
      <c r="Q149" s="12">
        <f>IF(L121=0,0,Q121/L121-1)</f>
        <v>0</v>
      </c>
      <c r="R149" s="12" t="n"/>
      <c r="S149" s="12">
        <f>IF(N121=0,0,S121/N121-1)</f>
        <v>0</v>
      </c>
      <c r="T149" s="12">
        <f>IF(O121=0,0,T121/O121-1)</f>
        <v>0</v>
      </c>
      <c r="U149" s="12">
        <f>IF(P121=0,0,U121/P121-1)</f>
        <v>0</v>
      </c>
      <c r="V149" s="12">
        <f>IF(Q121=0,0,V121/Q121-1)</f>
        <v>0</v>
      </c>
      <c r="W149" s="12" t="n"/>
      <c r="X149" s="12">
        <f>IF(S121=0,0,X121/S121-1)</f>
        <v>0</v>
      </c>
      <c r="Y149" s="12">
        <f>IF(T121=0,0,Y121/T121-1)</f>
        <v>0</v>
      </c>
      <c r="Z149" s="12">
        <f>IF(U121=0,0,Z121/U121-1)</f>
        <v>0</v>
      </c>
      <c r="AA149" s="12">
        <f>IF(V121=0,0,AA121/V121-1)</f>
        <v>0</v>
      </c>
      <c r="AB149" s="12" t="n"/>
      <c r="AC149" s="12">
        <f>IF(X121=0,0,AC121/X121-1)</f>
        <v>0</v>
      </c>
      <c r="AD149" s="12">
        <f>IF(Y121=0,0,AD121/Y121-1)</f>
        <v>0</v>
      </c>
      <c r="AE149" s="12">
        <f>IF(Z121=0,0,AE121/Z121-1)</f>
        <v>0</v>
      </c>
      <c r="AF149" s="12">
        <f>IF(AA121=0,0,AF121/AA121-1)</f>
        <v>0</v>
      </c>
      <c r="AG149" s="12" t="n"/>
      <c r="AH149" s="11">
        <f>IF(AC121=0,0,AH121/AC121-1)</f>
        <v>0</v>
      </c>
      <c r="AI149" s="11">
        <f>IF(AD121=0,0,AI121/AD121-1)</f>
        <v>0</v>
      </c>
      <c r="AJ149" s="11" t="n"/>
      <c r="AK149" s="11" t="n"/>
      <c r="AL149" s="12" t="n"/>
      <c r="AM149" s="11" t="n"/>
      <c r="AN149" s="11" t="n"/>
      <c r="AO149" s="11" t="n"/>
      <c r="AP149" s="11" t="n"/>
      <c r="AQ149" s="12" t="n"/>
      <c r="AR149" s="11" t="n"/>
      <c r="AS149" s="11" t="n"/>
      <c r="AT149" s="11" t="n"/>
      <c r="AU149" s="11" t="n"/>
      <c r="AV149" s="12" t="n"/>
      <c r="AW149" s="11" t="n"/>
      <c r="AX149" s="11" t="n"/>
      <c r="AY149" s="11" t="n"/>
      <c r="AZ149" s="11" t="n"/>
      <c r="BA149" s="12" t="n"/>
      <c r="BB149" s="11" t="n"/>
      <c r="BC149" s="11" t="n"/>
      <c r="BD149" s="11" t="n"/>
      <c r="BE149" s="11" t="n"/>
      <c r="BF149" s="12" t="n"/>
      <c r="BG149" s="11" t="n"/>
      <c r="BH149" s="11" t="n"/>
      <c r="BI149" s="11" t="n"/>
      <c r="BJ149" s="11" t="n"/>
      <c r="BK149" s="12" t="n"/>
      <c r="BL149" s="11" t="n"/>
      <c r="BM149" s="11" t="n"/>
      <c r="BN149" s="11" t="n"/>
      <c r="BO149" s="11" t="n"/>
      <c r="BP149" s="12" t="n"/>
      <c r="BQ149" s="11" t="n"/>
      <c r="BR149" s="11" t="n"/>
      <c r="BS149" s="11" t="n"/>
      <c r="BT149" s="11" t="n"/>
      <c r="BU149" s="12" t="n"/>
      <c r="BV149" s="11" t="n"/>
      <c r="BW149" s="11" t="n"/>
      <c r="BX149" s="11" t="n"/>
      <c r="BY149" s="11" t="n"/>
      <c r="BZ149" s="12" t="n"/>
      <c r="CA149" s="11" t="n"/>
      <c r="CB149" s="11" t="n"/>
      <c r="CC149" s="11" t="n"/>
      <c r="CD149" s="11" t="n"/>
      <c r="CE149" s="12" t="n"/>
      <c r="CF149" s="11" t="n"/>
      <c r="CG149" s="11" t="n"/>
      <c r="CH149" s="11" t="n"/>
      <c r="CI149" s="11" t="n"/>
      <c r="CJ149" s="12" t="n"/>
      <c r="CK149" s="11" t="n"/>
      <c r="CL149" s="11" t="n"/>
      <c r="CM149" s="11" t="n"/>
      <c r="CN149" s="11" t="n"/>
      <c r="CO149" s="12" t="n"/>
      <c r="CP149" s="11" t="n"/>
      <c r="CQ149" s="11" t="n"/>
      <c r="CR149" s="11" t="n"/>
      <c r="CS149" s="11" t="n"/>
      <c r="CT149" s="12" t="n"/>
      <c r="CU149" s="11" t="n"/>
      <c r="CV149" s="11" t="n"/>
      <c r="CW149" s="11" t="n"/>
      <c r="CX149" s="11" t="n"/>
      <c r="CY149" s="12" t="n"/>
    </row>
    <row r="150" hidden="1" outlineLevel="1">
      <c r="C150" s="57" t="inlineStr">
        <is>
          <t>Dividends (enter as -)</t>
        </is>
      </c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12" t="n"/>
      <c r="P150" s="12" t="n"/>
      <c r="Q150" s="12" t="n"/>
      <c r="R150" s="12" t="n"/>
      <c r="S150" s="12" t="n"/>
      <c r="T150" s="12" t="n"/>
      <c r="U150" s="12" t="n"/>
      <c r="V150" s="12" t="n"/>
      <c r="W150" s="12" t="n"/>
      <c r="X150" s="12" t="n"/>
      <c r="Y150" s="12" t="n"/>
      <c r="Z150" s="12" t="n"/>
      <c r="AA150" s="12" t="n"/>
      <c r="AB150" s="12" t="n"/>
      <c r="AC150" s="12" t="n"/>
      <c r="AD150" s="12" t="n"/>
      <c r="AE150" s="12" t="n"/>
      <c r="AF150" s="12" t="n"/>
      <c r="AG150" s="12" t="n"/>
      <c r="AH150" s="11" t="n"/>
      <c r="AI150" s="11" t="n"/>
      <c r="AJ150" s="11" t="n"/>
      <c r="AK150" s="11" t="n"/>
      <c r="AL150" s="12" t="n"/>
      <c r="AM150" s="11" t="n"/>
      <c r="AN150" s="11" t="n"/>
      <c r="AO150" s="11" t="n"/>
      <c r="AP150" s="11" t="n"/>
      <c r="AQ150" s="12" t="n"/>
      <c r="AR150" s="11" t="n"/>
      <c r="AS150" s="11" t="n"/>
      <c r="AT150" s="11" t="n"/>
      <c r="AU150" s="11" t="n"/>
      <c r="AV150" s="12" t="n"/>
      <c r="AW150" s="11" t="n"/>
      <c r="AX150" s="11" t="n"/>
      <c r="AY150" s="11" t="n"/>
      <c r="AZ150" s="11" t="n"/>
      <c r="BA150" s="12" t="n"/>
      <c r="BB150" s="11" t="n"/>
      <c r="BC150" s="11" t="n"/>
      <c r="BD150" s="11" t="n"/>
      <c r="BE150" s="11" t="n"/>
      <c r="BF150" s="12" t="n"/>
      <c r="BG150" s="11" t="n"/>
      <c r="BH150" s="11" t="n"/>
      <c r="BI150" s="11" t="n"/>
      <c r="BJ150" s="11" t="n"/>
      <c r="BK150" s="12" t="n"/>
      <c r="BL150" s="11" t="n"/>
      <c r="BM150" s="11" t="n"/>
      <c r="BN150" s="11" t="n"/>
      <c r="BO150" s="11" t="n"/>
      <c r="BP150" s="12" t="n"/>
      <c r="BQ150" s="11" t="n"/>
      <c r="BR150" s="11" t="n"/>
      <c r="BS150" s="11" t="n"/>
      <c r="BT150" s="11" t="n"/>
      <c r="BU150" s="12" t="n"/>
      <c r="BV150" s="11" t="n"/>
      <c r="BW150" s="11" t="n"/>
      <c r="BX150" s="11" t="n"/>
      <c r="BY150" s="11" t="n"/>
      <c r="BZ150" s="12" t="n"/>
      <c r="CA150" s="11" t="n"/>
      <c r="CB150" s="11" t="n"/>
      <c r="CC150" s="11" t="n"/>
      <c r="CD150" s="11" t="n"/>
      <c r="CE150" s="12" t="n"/>
      <c r="CF150" s="11" t="n"/>
      <c r="CG150" s="11" t="n"/>
      <c r="CH150" s="11" t="n"/>
      <c r="CI150" s="11" t="n"/>
      <c r="CJ150" s="12" t="n"/>
      <c r="CK150" s="11" t="n"/>
      <c r="CL150" s="11" t="n"/>
      <c r="CM150" s="11" t="n"/>
      <c r="CN150" s="11" t="n"/>
      <c r="CO150" s="12" t="n"/>
      <c r="CP150" s="11" t="n"/>
      <c r="CQ150" s="11" t="n"/>
      <c r="CR150" s="11" t="n"/>
      <c r="CS150" s="11" t="n"/>
      <c r="CT150" s="12" t="n"/>
      <c r="CU150" s="11" t="n"/>
      <c r="CV150" s="11" t="n"/>
      <c r="CW150" s="11" t="n"/>
      <c r="CX150" s="11" t="n"/>
      <c r="CY150" s="12" t="n"/>
    </row>
    <row r="151" hidden="1" outlineLevel="1">
      <c r="C151" s="57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2" t="n"/>
      <c r="Z151" s="12" t="n"/>
      <c r="AA151" s="12" t="n"/>
      <c r="AB151" s="12" t="n"/>
      <c r="AC151" s="12" t="n"/>
      <c r="AD151" s="12" t="n"/>
      <c r="AE151" s="12" t="n"/>
      <c r="AF151" s="12" t="n"/>
      <c r="AG151" s="12" t="n"/>
      <c r="AH151" s="12" t="n"/>
      <c r="AI151" s="12" t="n"/>
      <c r="AJ151" s="12" t="n"/>
      <c r="AK151" s="12" t="n"/>
      <c r="AL151" s="12" t="n"/>
      <c r="AM151" s="12" t="n"/>
      <c r="AN151" s="12" t="n"/>
      <c r="AO151" s="12" t="n"/>
      <c r="AP151" s="12" t="n"/>
      <c r="AQ151" s="12" t="n"/>
      <c r="AR151" s="12" t="n"/>
      <c r="AS151" s="12" t="n"/>
      <c r="AT151" s="12" t="n"/>
      <c r="AU151" s="12" t="n"/>
      <c r="AV151" s="12" t="n"/>
      <c r="AW151" s="12" t="n"/>
      <c r="AX151" s="12" t="n"/>
      <c r="AY151" s="12" t="n"/>
      <c r="AZ151" s="12" t="n"/>
      <c r="BA151" s="12" t="n"/>
      <c r="BB151" s="12" t="n"/>
      <c r="BC151" s="12" t="n"/>
      <c r="BD151" s="12" t="n"/>
      <c r="BE151" s="12" t="n"/>
      <c r="BF151" s="12" t="n"/>
      <c r="BG151" s="12" t="n"/>
      <c r="BH151" s="12" t="n"/>
      <c r="BI151" s="12" t="n"/>
      <c r="BJ151" s="12" t="n"/>
      <c r="BK151" s="12" t="n"/>
      <c r="BL151" s="12" t="n"/>
      <c r="BM151" s="12" t="n"/>
      <c r="BN151" s="12" t="n"/>
      <c r="BO151" s="12" t="n"/>
      <c r="BP151" s="12" t="n"/>
      <c r="BQ151" s="12" t="n"/>
      <c r="BR151" s="12" t="n"/>
      <c r="BS151" s="12" t="n"/>
      <c r="BT151" s="12" t="n"/>
      <c r="BU151" s="12" t="n"/>
      <c r="BV151" s="12" t="n"/>
      <c r="BW151" s="12" t="n"/>
      <c r="BX151" s="12" t="n"/>
      <c r="BY151" s="12" t="n"/>
      <c r="BZ151" s="12" t="n"/>
      <c r="CA151" s="12" t="n"/>
      <c r="CB151" s="12" t="n"/>
      <c r="CC151" s="12" t="n"/>
      <c r="CD151" s="12" t="n"/>
      <c r="CE151" s="12" t="n"/>
      <c r="CF151" s="12" t="n"/>
      <c r="CG151" s="12" t="n"/>
      <c r="CH151" s="12" t="n"/>
      <c r="CI151" s="12" t="n"/>
      <c r="CJ151" s="12" t="n"/>
      <c r="CK151" s="12" t="n"/>
      <c r="CL151" s="12" t="n"/>
      <c r="CM151" s="12" t="n"/>
      <c r="CN151" s="12" t="n"/>
      <c r="CO151" s="12" t="n"/>
      <c r="CP151" s="12" t="n"/>
      <c r="CQ151" s="12" t="n"/>
      <c r="CR151" s="12" t="n"/>
      <c r="CS151" s="12" t="n"/>
      <c r="CT151" s="12" t="n"/>
      <c r="CU151" s="12" t="n"/>
      <c r="CV151" s="12" t="n"/>
      <c r="CW151" s="12" t="n"/>
      <c r="CX151" s="12" t="n"/>
      <c r="CY151" s="12" t="n"/>
    </row>
    <row r="152" collapsed="1">
      <c r="C152" s="14" t="inlineStr">
        <is>
          <t>PP&amp;E</t>
        </is>
      </c>
      <c r="D152" s="46" t="n"/>
      <c r="E152" s="46" t="n"/>
      <c r="F152" s="46" t="n"/>
      <c r="G152" s="46" t="n"/>
      <c r="H152" s="12" t="n"/>
      <c r="I152" s="46">
        <f>'Inputs (2)'!D22</f>
        <v>224641</v>
      </c>
      <c r="J152" s="46">
        <f>'Inputs (2)'!E22</f>
        <v>223012</v>
      </c>
      <c r="K152" s="46">
        <f>'Inputs (2)'!F22</f>
        <v>218795</v>
      </c>
      <c r="L152" s="46">
        <f>'Inputs (2)'!G22</f>
        <v>216552</v>
      </c>
      <c r="M152" s="12">
        <f>'Inputs (2)'!H22</f>
        <v>216552</v>
      </c>
      <c r="N152" s="46">
        <f>'Inputs (2)'!I22</f>
        <v>212773</v>
      </c>
      <c r="O152" s="46">
        <f>'Inputs (2)'!J22</f>
        <v>209159</v>
      </c>
      <c r="P152" s="46">
        <f>'Inputs (2)'!K22</f>
        <v>203102</v>
      </c>
      <c r="Q152" s="46">
        <f>'Inputs (2)'!L22</f>
        <v>204692</v>
      </c>
      <c r="R152" s="12">
        <f>'Inputs (2)'!M22</f>
        <v>204692</v>
      </c>
      <c r="S152" s="46">
        <f>'Inputs (2)'!N22</f>
        <v>206023</v>
      </c>
      <c r="T152" s="46">
        <f>'Inputs (2)'!O22</f>
        <v>206736</v>
      </c>
      <c r="U152" s="46">
        <f>'Inputs (2)'!P22</f>
        <v>205862</v>
      </c>
      <c r="V152" s="46">
        <f>'Inputs (2)'!Q22</f>
        <v>214940</v>
      </c>
      <c r="W152" s="12">
        <f>'Inputs (2)'!R22</f>
        <v>214940</v>
      </c>
      <c r="X152" s="46">
        <f>'Inputs (2)'!S22</f>
        <v>213723</v>
      </c>
      <c r="Y152" s="46">
        <f>'Inputs (2)'!T22</f>
        <v>298283</v>
      </c>
      <c r="Z152" s="46">
        <f>'Inputs (2)'!U22</f>
        <v>299543</v>
      </c>
      <c r="AA152" s="46">
        <f>'Inputs (2)'!V22</f>
        <v>294318</v>
      </c>
      <c r="AB152" s="12">
        <f>'Inputs (2)'!W22</f>
        <v>294318</v>
      </c>
      <c r="AC152" s="46">
        <f>'Inputs (2)'!X22</f>
        <v>292646</v>
      </c>
      <c r="AD152" s="46">
        <f>'Inputs (2)'!Y22</f>
        <v>295356</v>
      </c>
      <c r="AE152" s="46">
        <f>'Inputs (2)'!Z22</f>
        <v>298388</v>
      </c>
      <c r="AF152" s="46">
        <f>'Inputs (2)'!AA22</f>
        <v>299373</v>
      </c>
      <c r="AG152" s="12">
        <f>'Inputs (2)'!AB22</f>
        <v>299373</v>
      </c>
      <c r="AH152" s="12">
        <f>'Inputs (2)'!AC22</f>
        <v>298781</v>
      </c>
      <c r="AI152" s="12">
        <f>'Inputs (2)'!AD22</f>
        <v>296298</v>
      </c>
      <c r="AJ152" s="12">
        <f>AJ157</f>
        <v>296610.12432204</v>
      </c>
      <c r="AK152" s="12">
        <f>AK157</f>
        <v>296911.321694639</v>
      </c>
      <c r="AL152" s="12">
        <f>AK152</f>
        <v>296911.321694639</v>
      </c>
      <c r="AM152" s="12">
        <f>AM157</f>
        <v>297222.87515127</v>
      </c>
      <c r="AN152" s="12">
        <f>AN157</f>
        <v>297647.427024439</v>
      </c>
      <c r="AO152" s="12">
        <f>AO157</f>
        <v>297972.979060771</v>
      </c>
      <c r="AP152" s="12">
        <f>AP157</f>
        <v>298287.134065887</v>
      </c>
      <c r="AQ152" s="12">
        <f>AP152</f>
        <v>298287.134065887</v>
      </c>
      <c r="AR152" s="12">
        <f>AR157</f>
        <v>298610.532910665</v>
      </c>
      <c r="AS152" s="12">
        <f>AS157</f>
        <v>299051.22641738</v>
      </c>
      <c r="AT152" s="12">
        <f>AT157</f>
        <v>299389.15607351</v>
      </c>
      <c r="AU152" s="12">
        <f>AU157</f>
        <v>299715.255378697</v>
      </c>
      <c r="AV152" s="12">
        <f>AU152</f>
        <v>299715.255378697</v>
      </c>
      <c r="AW152" s="12">
        <f>AW157</f>
        <v>300049.332983838</v>
      </c>
      <c r="AX152" s="12">
        <f>AX157</f>
        <v>300504.578367986</v>
      </c>
      <c r="AY152" s="12">
        <f>AY157</f>
        <v>300853.666597732</v>
      </c>
      <c r="AZ152" s="12">
        <f>AZ157</f>
        <v>301190.533833574</v>
      </c>
      <c r="BA152" s="12">
        <f>AZ152</f>
        <v>301190.533833574</v>
      </c>
      <c r="BB152" s="12">
        <f>BB157</f>
        <v>301533.972428027</v>
      </c>
      <c r="BC152" s="12">
        <f>BC157</f>
        <v>302001.973971553</v>
      </c>
      <c r="BD152" s="12">
        <f>BD157</f>
        <v>302360.843794371</v>
      </c>
      <c r="BE152" s="12">
        <f>BE157</f>
        <v>302707.150186104</v>
      </c>
      <c r="BF152" s="12">
        <f>BE152</f>
        <v>302707.150186104</v>
      </c>
      <c r="BG152" s="12" t="n"/>
      <c r="BH152" s="12" t="n"/>
      <c r="BI152" s="12" t="n"/>
      <c r="BJ152" s="12" t="n"/>
      <c r="BK152" s="12" t="n"/>
      <c r="BL152" s="12" t="n"/>
      <c r="BM152" s="12" t="n"/>
      <c r="BN152" s="12" t="n"/>
      <c r="BO152" s="12" t="n"/>
      <c r="BP152" s="12" t="n"/>
      <c r="BQ152" s="12" t="n"/>
      <c r="BR152" s="12" t="n"/>
      <c r="BS152" s="12" t="n"/>
      <c r="BT152" s="12" t="n"/>
      <c r="BU152" s="12" t="n"/>
      <c r="BV152" s="12" t="n"/>
      <c r="BW152" s="12" t="n"/>
      <c r="BX152" s="12" t="n"/>
      <c r="BY152" s="12" t="n"/>
      <c r="BZ152" s="12" t="n"/>
      <c r="CA152" s="12" t="n"/>
      <c r="CB152" s="12" t="n"/>
      <c r="CC152" s="12" t="n"/>
      <c r="CD152" s="12" t="n"/>
      <c r="CE152" s="12" t="n"/>
      <c r="CF152" s="12" t="n"/>
      <c r="CG152" s="12" t="n"/>
      <c r="CH152" s="12" t="n"/>
      <c r="CI152" s="12" t="n"/>
      <c r="CJ152" s="12" t="n"/>
      <c r="CK152" s="12" t="n"/>
      <c r="CL152" s="12" t="n"/>
      <c r="CM152" s="12" t="n"/>
      <c r="CN152" s="12" t="n"/>
      <c r="CO152" s="12" t="n"/>
      <c r="CP152" s="12" t="n"/>
      <c r="CQ152" s="12" t="n"/>
      <c r="CR152" s="12" t="n"/>
      <c r="CS152" s="12" t="n"/>
      <c r="CT152" s="12" t="n"/>
      <c r="CU152" s="12" t="n"/>
      <c r="CV152" s="12" t="n"/>
      <c r="CW152" s="12" t="n"/>
      <c r="CX152" s="12" t="n"/>
      <c r="CY152" s="12" t="n"/>
    </row>
    <row r="153" hidden="1" outlineLevel="1">
      <c r="C153" s="57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12" t="n"/>
      <c r="S153" s="12" t="n"/>
      <c r="T153" s="12" t="n"/>
      <c r="U153" s="12" t="n"/>
      <c r="V153" s="12" t="n"/>
      <c r="W153" s="12" t="n"/>
      <c r="X153" s="12" t="n"/>
      <c r="Y153" s="12" t="n"/>
      <c r="Z153" s="12" t="n"/>
      <c r="AA153" s="12" t="n"/>
      <c r="AB153" s="12" t="n"/>
      <c r="AC153" s="12" t="n"/>
      <c r="AD153" s="12" t="n"/>
      <c r="AE153" s="12" t="n"/>
      <c r="AF153" s="12" t="n"/>
      <c r="AG153" s="12" t="n"/>
      <c r="AH153" s="12" t="n"/>
      <c r="AI153" s="12" t="n"/>
      <c r="AJ153" s="12" t="n"/>
      <c r="AK153" s="12" t="n"/>
      <c r="AL153" s="12" t="n"/>
      <c r="AM153" s="12" t="n"/>
      <c r="AN153" s="12" t="n"/>
      <c r="AO153" s="12" t="n"/>
      <c r="AP153" s="12" t="n"/>
      <c r="AQ153" s="12" t="n"/>
      <c r="AR153" s="12" t="n"/>
      <c r="AS153" s="12" t="n"/>
      <c r="AT153" s="12" t="n"/>
      <c r="AU153" s="12" t="n"/>
      <c r="AV153" s="12" t="n"/>
      <c r="AW153" s="12" t="n"/>
      <c r="AX153" s="12" t="n"/>
      <c r="AY153" s="12" t="n"/>
      <c r="AZ153" s="12" t="n"/>
      <c r="BA153" s="12" t="n"/>
      <c r="BB153" s="12" t="n"/>
      <c r="BC153" s="12" t="n"/>
      <c r="BD153" s="12" t="n"/>
      <c r="BE153" s="12" t="n"/>
      <c r="BF153" s="12" t="n"/>
      <c r="BG153" s="12" t="n"/>
      <c r="BH153" s="12" t="n"/>
      <c r="BI153" s="12" t="n"/>
      <c r="BJ153" s="12" t="n"/>
      <c r="BK153" s="12" t="n"/>
      <c r="BL153" s="12" t="n"/>
      <c r="BM153" s="12" t="n"/>
      <c r="BN153" s="12" t="n"/>
      <c r="BO153" s="12" t="n"/>
      <c r="BP153" s="12" t="n"/>
      <c r="BQ153" s="12" t="n"/>
      <c r="BR153" s="12" t="n"/>
      <c r="BS153" s="12" t="n"/>
      <c r="BT153" s="12" t="n"/>
      <c r="BU153" s="12" t="n"/>
      <c r="BV153" s="12" t="n"/>
      <c r="BW153" s="12" t="n"/>
      <c r="BX153" s="12" t="n"/>
      <c r="BY153" s="12" t="n"/>
      <c r="BZ153" s="12" t="n"/>
      <c r="CA153" s="12" t="n"/>
      <c r="CB153" s="12" t="n"/>
      <c r="CC153" s="12" t="n"/>
      <c r="CD153" s="12" t="n"/>
      <c r="CE153" s="12" t="n"/>
      <c r="CF153" s="12" t="n"/>
      <c r="CG153" s="12" t="n"/>
      <c r="CH153" s="12" t="n"/>
      <c r="CI153" s="12" t="n"/>
      <c r="CJ153" s="12" t="n"/>
      <c r="CK153" s="12" t="n"/>
      <c r="CL153" s="12" t="n"/>
      <c r="CM153" s="12" t="n"/>
      <c r="CN153" s="12" t="n"/>
      <c r="CO153" s="12" t="n"/>
      <c r="CP153" s="12" t="n"/>
      <c r="CQ153" s="12" t="n"/>
      <c r="CR153" s="12" t="n"/>
      <c r="CS153" s="12" t="n"/>
      <c r="CT153" s="12" t="n"/>
      <c r="CU153" s="12" t="n"/>
      <c r="CV153" s="12" t="n"/>
      <c r="CW153" s="12" t="n"/>
      <c r="CX153" s="12" t="n"/>
      <c r="CY153" s="12" t="n"/>
    </row>
    <row r="154" hidden="1" outlineLevel="1">
      <c r="C154" s="57" t="inlineStr">
        <is>
          <t>Capital expenditures</t>
        </is>
      </c>
      <c r="D154" s="12" t="n"/>
      <c r="E154" s="12" t="n"/>
      <c r="F154" s="12" t="n"/>
      <c r="G154" s="12" t="n"/>
      <c r="H154" s="12" t="n"/>
      <c r="I154" s="12" t="n"/>
      <c r="J154" s="12">
        <f>J152-I152-J56</f>
        <v>3323</v>
      </c>
      <c r="K154" s="12">
        <f>K152-J152-K56</f>
        <v>773</v>
      </c>
      <c r="L154" s="12">
        <f>L152-K152-L56</f>
        <v>3418</v>
      </c>
      <c r="M154" s="12" t="n"/>
      <c r="N154" s="12">
        <f>N152-M152-N56</f>
        <v>5104</v>
      </c>
      <c r="O154" s="12">
        <f>O152-N152-O56</f>
        <v>837</v>
      </c>
      <c r="P154" s="12">
        <f>P152-O152-P56</f>
        <v>-415</v>
      </c>
      <c r="Q154" s="12">
        <f>Q152-P152-Q56</f>
        <v>6654</v>
      </c>
      <c r="R154" s="12" t="n"/>
      <c r="S154" s="12">
        <f>S152-R152-S56</f>
        <v>5575</v>
      </c>
      <c r="T154" s="12">
        <f>T152-S152-T56</f>
        <v>4955</v>
      </c>
      <c r="U154" s="12">
        <f>U152-T152-U56</f>
        <v>3541</v>
      </c>
      <c r="V154" s="12">
        <f>V152-U152-V56</f>
        <v>16818</v>
      </c>
      <c r="W154" s="12" t="n"/>
      <c r="X154" s="12">
        <f>X152-W152-X56</f>
        <v>3595</v>
      </c>
      <c r="Y154" s="12">
        <f>Y152-X152-Y56</f>
        <v>90347</v>
      </c>
      <c r="Z154" s="12">
        <f>Z152-Y152-Z56</f>
        <v>7518</v>
      </c>
      <c r="AA154" s="12">
        <f>AA152-Z152-AA56</f>
        <v>1360</v>
      </c>
      <c r="AB154" s="12" t="n"/>
      <c r="AC154" s="12">
        <f>AC152-AB152-AC56</f>
        <v>4030</v>
      </c>
      <c r="AD154" s="12">
        <f>AD152-AC152-AD56</f>
        <v>8811</v>
      </c>
      <c r="AE154" s="12">
        <f>AE152-AD152-AE56</f>
        <v>9507</v>
      </c>
      <c r="AF154" s="11">
        <f>AF152-AE152-AF56</f>
        <v>8700</v>
      </c>
      <c r="AG154" s="12">
        <f>SUM(AC154:AF154)</f>
        <v>31048</v>
      </c>
      <c r="AH154" s="11">
        <f>AH152-AG152-AH56</f>
        <v>6179</v>
      </c>
      <c r="AI154" s="11">
        <f>AI152-AH152-AI56</f>
        <v>6206</v>
      </c>
      <c r="AJ154" s="11">
        <f>AJ15*Control!$B$24</f>
        <v>7244.08941146571</v>
      </c>
      <c r="AK154" s="11">
        <f>AK15*Control!$B$24</f>
        <v>6990.4859811818</v>
      </c>
      <c r="AL154" s="12" t="n"/>
      <c r="AM154" s="11">
        <f>AM15*Control!$C$24</f>
        <v>7230.84020345356</v>
      </c>
      <c r="AN154" s="11">
        <f>AN15*Control!$C$24</f>
        <v>9853.41901247471</v>
      </c>
      <c r="AO154" s="11">
        <f>AO15*Control!$C$24</f>
        <v>7555.73306129325</v>
      </c>
      <c r="AP154" s="11">
        <f>AP15*Control!$C$24</f>
        <v>7291.21950909707</v>
      </c>
      <c r="AQ154" s="12" t="n"/>
      <c r="AR154" s="11">
        <f>AR15*Control!$D$24</f>
        <v>7505.75966598844</v>
      </c>
      <c r="AS154" s="11">
        <f>AS15*Control!$D$24</f>
        <v>10228.0499796681</v>
      </c>
      <c r="AT154" s="11">
        <f>AT15*Control!$D$24</f>
        <v>7843.00508139344</v>
      </c>
      <c r="AU154" s="11">
        <f>AU15*Control!$D$24</f>
        <v>7568.43461719853</v>
      </c>
      <c r="AV154" s="12" t="n"/>
      <c r="AW154" s="11">
        <f>AW15*Control!$E$24</f>
        <v>7753.60287910248</v>
      </c>
      <c r="AX154" s="11">
        <f>AX15*Control!$E$24</f>
        <v>10565.7843175178</v>
      </c>
      <c r="AY154" s="11">
        <f>AY15*Control!$E$24</f>
        <v>8101.98427421926</v>
      </c>
      <c r="AZ154" s="11">
        <f>AZ15*Control!$E$24</f>
        <v>7818.34738249395</v>
      </c>
      <c r="BA154" s="12" t="n"/>
      <c r="BB154" s="11">
        <f>BB15*Control!$F$24</f>
        <v>7970.86196073495</v>
      </c>
      <c r="BC154" s="11">
        <f>BC15*Control!$F$24</f>
        <v>10861.8418579082</v>
      </c>
      <c r="BD154" s="11">
        <f>BD15*Control!$F$24</f>
        <v>8329.00514313193</v>
      </c>
      <c r="BE154" s="11">
        <f>BE15*Control!$F$24</f>
        <v>8037.42063123904</v>
      </c>
      <c r="BF154" s="12" t="n"/>
      <c r="BG154" s="11" t="n"/>
      <c r="BH154" s="11" t="n"/>
      <c r="BI154" s="11" t="n"/>
      <c r="BJ154" s="11" t="n"/>
      <c r="BK154" s="12" t="n"/>
      <c r="BL154" s="11" t="n"/>
      <c r="BM154" s="11" t="n"/>
      <c r="BN154" s="11" t="n"/>
      <c r="BO154" s="11" t="n"/>
      <c r="BP154" s="12" t="n"/>
      <c r="BQ154" s="11" t="n"/>
      <c r="BR154" s="11" t="n"/>
      <c r="BS154" s="11" t="n"/>
      <c r="BT154" s="11" t="n"/>
      <c r="BU154" s="12" t="n"/>
      <c r="BV154" s="11" t="n"/>
      <c r="BW154" s="11" t="n"/>
      <c r="BX154" s="11" t="n"/>
      <c r="BY154" s="11" t="n"/>
      <c r="BZ154" s="12" t="n"/>
      <c r="CA154" s="11" t="n"/>
      <c r="CB154" s="11" t="n"/>
      <c r="CC154" s="11" t="n"/>
      <c r="CD154" s="11" t="n"/>
      <c r="CE154" s="12" t="n"/>
      <c r="CF154" s="11" t="n"/>
      <c r="CG154" s="11" t="n"/>
      <c r="CH154" s="11" t="n"/>
      <c r="CI154" s="11" t="n"/>
      <c r="CJ154" s="12" t="n"/>
      <c r="CK154" s="11" t="n"/>
      <c r="CL154" s="11" t="n"/>
      <c r="CM154" s="11" t="n"/>
      <c r="CN154" s="11" t="n"/>
      <c r="CO154" s="12" t="n"/>
      <c r="CP154" s="11" t="n"/>
      <c r="CQ154" s="11" t="n"/>
      <c r="CR154" s="11" t="n"/>
      <c r="CS154" s="11" t="n"/>
      <c r="CT154" s="12" t="n"/>
      <c r="CU154" s="11" t="n"/>
      <c r="CV154" s="11" t="n"/>
      <c r="CW154" s="11" t="n"/>
      <c r="CX154" s="11" t="n"/>
      <c r="CY154" s="12" t="n"/>
    </row>
    <row r="155" hidden="1" outlineLevel="1">
      <c r="C155" s="57" t="inlineStr">
        <is>
          <t>Recurring asset sales (enter as -)</t>
        </is>
      </c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>
        <f>SUM(I155:L155)</f>
        <v>0</v>
      </c>
      <c r="N155" s="12" t="n"/>
      <c r="O155" s="12" t="n"/>
      <c r="P155" s="12" t="n"/>
      <c r="Q155" s="12" t="n"/>
      <c r="R155" s="12">
        <f>SUM(N155:Q155)</f>
        <v>0</v>
      </c>
      <c r="S155" s="12" t="n"/>
      <c r="T155" s="12" t="n"/>
      <c r="U155" s="12" t="n"/>
      <c r="V155" s="12" t="n"/>
      <c r="W155" s="12">
        <f>SUM(S155:V155)</f>
        <v>0</v>
      </c>
      <c r="X155" s="12" t="n"/>
      <c r="Y155" s="12" t="n"/>
      <c r="Z155" s="12" t="n"/>
      <c r="AA155" s="12" t="n"/>
      <c r="AB155" s="12">
        <f>SUM(X155:AA155)</f>
        <v>0</v>
      </c>
      <c r="AC155" s="12" t="n"/>
      <c r="AD155" s="12" t="n"/>
      <c r="AE155" s="12" t="n"/>
      <c r="AF155" s="11" t="n"/>
      <c r="AG155" s="12">
        <f>SUM(AC155:AF155)</f>
        <v>0</v>
      </c>
      <c r="AH155" s="11" t="n"/>
      <c r="AI155" s="11" t="n"/>
      <c r="AJ155" s="11">
        <f>0</f>
        <v>0</v>
      </c>
      <c r="AK155" s="11">
        <f>0</f>
        <v>0</v>
      </c>
      <c r="AL155" s="12" t="n"/>
      <c r="AM155" s="11">
        <f>0</f>
        <v>0</v>
      </c>
      <c r="AN155" s="11">
        <f>0</f>
        <v>0</v>
      </c>
      <c r="AO155" s="11">
        <f>0</f>
        <v>0</v>
      </c>
      <c r="AP155" s="11">
        <f>0</f>
        <v>0</v>
      </c>
      <c r="AQ155" s="12" t="n"/>
      <c r="AR155" s="11">
        <f>0</f>
        <v>0</v>
      </c>
      <c r="AS155" s="11">
        <f>0</f>
        <v>0</v>
      </c>
      <c r="AT155" s="11">
        <f>0</f>
        <v>0</v>
      </c>
      <c r="AU155" s="11">
        <f>0</f>
        <v>0</v>
      </c>
      <c r="AV155" s="12" t="n"/>
      <c r="AW155" s="11">
        <f>0</f>
        <v>0</v>
      </c>
      <c r="AX155" s="11">
        <f>0</f>
        <v>0</v>
      </c>
      <c r="AY155" s="11">
        <f>0</f>
        <v>0</v>
      </c>
      <c r="AZ155" s="11">
        <f>0</f>
        <v>0</v>
      </c>
      <c r="BA155" s="12" t="n"/>
      <c r="BB155" s="11">
        <f>0</f>
        <v>0</v>
      </c>
      <c r="BC155" s="11">
        <f>0</f>
        <v>0</v>
      </c>
      <c r="BD155" s="11">
        <f>0</f>
        <v>0</v>
      </c>
      <c r="BE155" s="11">
        <f>0</f>
        <v>0</v>
      </c>
      <c r="BF155" s="12" t="n"/>
      <c r="BG155" s="11" t="n"/>
      <c r="BH155" s="11" t="n"/>
      <c r="BI155" s="11" t="n"/>
      <c r="BJ155" s="11" t="n"/>
      <c r="BK155" s="12" t="n"/>
      <c r="BL155" s="11" t="n"/>
      <c r="BM155" s="11" t="n"/>
      <c r="BN155" s="11" t="n"/>
      <c r="BO155" s="11" t="n"/>
      <c r="BP155" s="12" t="n"/>
      <c r="BQ155" s="11" t="n"/>
      <c r="BR155" s="11" t="n"/>
      <c r="BS155" s="11" t="n"/>
      <c r="BT155" s="11" t="n"/>
      <c r="BU155" s="12" t="n"/>
      <c r="BV155" s="11" t="n"/>
      <c r="BW155" s="11" t="n"/>
      <c r="BX155" s="11" t="n"/>
      <c r="BY155" s="11" t="n"/>
      <c r="BZ155" s="12" t="n"/>
      <c r="CA155" s="11" t="n"/>
      <c r="CB155" s="11" t="n"/>
      <c r="CC155" s="11" t="n"/>
      <c r="CD155" s="11" t="n"/>
      <c r="CE155" s="12" t="n"/>
      <c r="CF155" s="11" t="n"/>
      <c r="CG155" s="11" t="n"/>
      <c r="CH155" s="11" t="n"/>
      <c r="CI155" s="11" t="n"/>
      <c r="CJ155" s="12" t="n"/>
      <c r="CK155" s="11" t="n"/>
      <c r="CL155" s="11" t="n"/>
      <c r="CM155" s="11" t="n"/>
      <c r="CN155" s="11" t="n"/>
      <c r="CO155" s="12" t="n"/>
      <c r="CP155" s="11" t="n"/>
      <c r="CQ155" s="11" t="n"/>
      <c r="CR155" s="11" t="n"/>
      <c r="CS155" s="11" t="n"/>
      <c r="CT155" s="12" t="n"/>
      <c r="CU155" s="11" t="n"/>
      <c r="CV155" s="11" t="n"/>
      <c r="CW155" s="11" t="n"/>
      <c r="CX155" s="11" t="n"/>
      <c r="CY155" s="12" t="n"/>
    </row>
    <row r="156" hidden="1" outlineLevel="1">
      <c r="C156" s="57" t="inlineStr">
        <is>
          <t>Depreciation</t>
        </is>
      </c>
      <c r="D156" s="12" t="n"/>
      <c r="E156" s="12" t="n"/>
      <c r="F156" s="12" t="n"/>
      <c r="G156" s="12" t="n"/>
      <c r="H156" s="12" t="n"/>
      <c r="I156" s="12">
        <f>I56</f>
        <v>-5004</v>
      </c>
      <c r="J156" s="12">
        <f>J56</f>
        <v>-4952</v>
      </c>
      <c r="K156" s="12">
        <f>K56</f>
        <v>-4990</v>
      </c>
      <c r="L156" s="12">
        <f>L56</f>
        <v>-5661</v>
      </c>
      <c r="M156" s="12" t="n"/>
      <c r="N156" s="12">
        <f>N56</f>
        <v>-8883</v>
      </c>
      <c r="O156" s="12">
        <f>O56</f>
        <v>-4451</v>
      </c>
      <c r="P156" s="12">
        <f>P56</f>
        <v>-5642</v>
      </c>
      <c r="Q156" s="12">
        <f>Q56</f>
        <v>-5064</v>
      </c>
      <c r="R156" s="12" t="n"/>
      <c r="S156" s="12">
        <f>S56</f>
        <v>-4244</v>
      </c>
      <c r="T156" s="12">
        <f>T56</f>
        <v>-4242</v>
      </c>
      <c r="U156" s="12">
        <f>U56</f>
        <v>-4415</v>
      </c>
      <c r="V156" s="12">
        <f>V56</f>
        <v>-7740</v>
      </c>
      <c r="W156" s="12" t="n"/>
      <c r="X156" s="12">
        <f>X56</f>
        <v>-4812</v>
      </c>
      <c r="Y156" s="12">
        <f>Y56</f>
        <v>-5787</v>
      </c>
      <c r="Z156" s="12">
        <f>Z56</f>
        <v>-6258</v>
      </c>
      <c r="AA156" s="12">
        <f>AA56</f>
        <v>-6585</v>
      </c>
      <c r="AB156" s="12" t="n"/>
      <c r="AC156" s="12">
        <f>AC56</f>
        <v>-5702</v>
      </c>
      <c r="AD156" s="12">
        <f>AD56</f>
        <v>-6101</v>
      </c>
      <c r="AE156" s="12">
        <f>AE56</f>
        <v>-6475</v>
      </c>
      <c r="AF156" s="12">
        <f>AF56</f>
        <v>-7715</v>
      </c>
      <c r="AG156" s="12" t="n"/>
      <c r="AH156" s="12">
        <f>AH56</f>
        <v>-6771</v>
      </c>
      <c r="AI156" s="12">
        <f>AI56</f>
        <v>-8689</v>
      </c>
      <c r="AJ156" s="12">
        <f>AJ56</f>
        <v>-6931.96508942575</v>
      </c>
      <c r="AK156" s="12">
        <f>AK56</f>
        <v>-6689.28860858273</v>
      </c>
      <c r="AL156" s="12" t="n"/>
      <c r="AM156" s="12">
        <f>AM56</f>
        <v>-6919.2867468231</v>
      </c>
      <c r="AN156" s="12">
        <f>AN56</f>
        <v>-9428.86713930532</v>
      </c>
      <c r="AO156" s="12">
        <f>AO56</f>
        <v>-7230.18102496162</v>
      </c>
      <c r="AP156" s="12">
        <f>AP56</f>
        <v>-6977.06450398083</v>
      </c>
      <c r="AQ156" s="12" t="n"/>
      <c r="AR156" s="12">
        <f>AR56</f>
        <v>-7182.36082120975</v>
      </c>
      <c r="AS156" s="12">
        <f>AS56</f>
        <v>-9787.35647295323</v>
      </c>
      <c r="AT156" s="12">
        <f>AT56</f>
        <v>-7505.07542526423</v>
      </c>
      <c r="AU156" s="12">
        <f>AU56</f>
        <v>-7242.33531201079</v>
      </c>
      <c r="AV156" s="12" t="n"/>
      <c r="AW156" s="12">
        <f>AW56</f>
        <v>-7419.52527396186</v>
      </c>
      <c r="AX156" s="12">
        <f>AX56</f>
        <v>-10110.5389333697</v>
      </c>
      <c r="AY156" s="12">
        <f>AY56</f>
        <v>-7752.89604447342</v>
      </c>
      <c r="AZ156" s="12">
        <f>AZ56</f>
        <v>-7481.4801466518</v>
      </c>
      <c r="BA156" s="12" t="n"/>
      <c r="BB156" s="12">
        <f>BB56</f>
        <v>-7627.42336628155</v>
      </c>
      <c r="BC156" s="12">
        <f>BC56</f>
        <v>-10393.8403143824</v>
      </c>
      <c r="BD156" s="12">
        <f>BD56</f>
        <v>-7970.13532031435</v>
      </c>
      <c r="BE156" s="12">
        <f>BE56</f>
        <v>-7691.1142395061</v>
      </c>
      <c r="BF156" s="12" t="n"/>
      <c r="BG156" s="12" t="n"/>
      <c r="BH156" s="12" t="n"/>
      <c r="BI156" s="12" t="n"/>
      <c r="BJ156" s="12" t="n"/>
      <c r="BK156" s="12" t="n"/>
      <c r="BL156" s="12" t="n"/>
      <c r="BM156" s="12" t="n"/>
      <c r="BN156" s="12" t="n"/>
      <c r="BO156" s="12" t="n"/>
      <c r="BP156" s="12" t="n"/>
      <c r="BQ156" s="12" t="n"/>
      <c r="BR156" s="12" t="n"/>
      <c r="BS156" s="12" t="n"/>
      <c r="BT156" s="12" t="n"/>
      <c r="BU156" s="12" t="n"/>
      <c r="BV156" s="12" t="n"/>
      <c r="BW156" s="12" t="n"/>
      <c r="BX156" s="12" t="n"/>
      <c r="BY156" s="12" t="n"/>
      <c r="BZ156" s="12" t="n"/>
      <c r="CA156" s="12" t="n"/>
      <c r="CB156" s="12" t="n"/>
      <c r="CC156" s="12" t="n"/>
      <c r="CD156" s="12" t="n"/>
      <c r="CE156" s="12" t="n"/>
      <c r="CF156" s="12" t="n"/>
      <c r="CG156" s="12" t="n"/>
      <c r="CH156" s="12" t="n"/>
      <c r="CI156" s="12" t="n"/>
      <c r="CJ156" s="12" t="n"/>
      <c r="CK156" s="12" t="n"/>
      <c r="CL156" s="12" t="n"/>
      <c r="CM156" s="12" t="n"/>
      <c r="CN156" s="12" t="n"/>
      <c r="CO156" s="12" t="n"/>
      <c r="CP156" s="12" t="n"/>
      <c r="CQ156" s="12" t="n"/>
      <c r="CR156" s="12" t="n"/>
      <c r="CS156" s="12" t="n"/>
      <c r="CT156" s="12" t="n"/>
      <c r="CU156" s="12" t="n"/>
      <c r="CV156" s="12" t="n"/>
      <c r="CW156" s="12" t="n"/>
      <c r="CX156" s="12" t="n"/>
      <c r="CY156" s="12" t="n"/>
    </row>
    <row r="157" hidden="1" outlineLevel="1">
      <c r="C157" s="57" t="inlineStr">
        <is>
          <t>PP&amp;E</t>
        </is>
      </c>
      <c r="D157" s="12" t="n"/>
      <c r="E157" s="12" t="n"/>
      <c r="F157" s="12" t="n"/>
      <c r="G157" s="12" t="n"/>
      <c r="H157" s="12" t="n"/>
      <c r="I157" s="12">
        <f>I152</f>
        <v>224641</v>
      </c>
      <c r="J157" s="12">
        <f>J152</f>
        <v>223012</v>
      </c>
      <c r="K157" s="12">
        <f>K152</f>
        <v>218795</v>
      </c>
      <c r="L157" s="12">
        <f>L152</f>
        <v>216552</v>
      </c>
      <c r="M157" s="12" t="n"/>
      <c r="N157" s="12">
        <f>N152</f>
        <v>212773</v>
      </c>
      <c r="O157" s="12">
        <f>O152</f>
        <v>209159</v>
      </c>
      <c r="P157" s="12">
        <f>P152</f>
        <v>203102</v>
      </c>
      <c r="Q157" s="12">
        <f>Q152</f>
        <v>204692</v>
      </c>
      <c r="R157" s="12" t="n"/>
      <c r="S157" s="12">
        <f>S152</f>
        <v>206023</v>
      </c>
      <c r="T157" s="12">
        <f>T152</f>
        <v>206736</v>
      </c>
      <c r="U157" s="12">
        <f>U152</f>
        <v>205862</v>
      </c>
      <c r="V157" s="12">
        <f>V152</f>
        <v>214940</v>
      </c>
      <c r="W157" s="12" t="n"/>
      <c r="X157" s="12">
        <f>X152</f>
        <v>213723</v>
      </c>
      <c r="Y157" s="12">
        <f>Y152</f>
        <v>298283</v>
      </c>
      <c r="Z157" s="12">
        <f>Z152</f>
        <v>299543</v>
      </c>
      <c r="AA157" s="12">
        <f>Y157+SUM(AA154:AA156)</f>
        <v>293058</v>
      </c>
      <c r="AB157" s="12" t="n"/>
      <c r="AC157" s="12">
        <f>AC152</f>
        <v>292646</v>
      </c>
      <c r="AD157" s="12">
        <f>AD152</f>
        <v>295356</v>
      </c>
      <c r="AE157" s="12">
        <f>AE152</f>
        <v>298388</v>
      </c>
      <c r="AF157" s="12">
        <f>AF152</f>
        <v>299373</v>
      </c>
      <c r="AG157" s="12" t="n"/>
      <c r="AH157" s="12">
        <f>AH152</f>
        <v>298781</v>
      </c>
      <c r="AI157" s="12">
        <f>AI152</f>
        <v>296298</v>
      </c>
      <c r="AJ157" s="12">
        <f>AI157+SUM(AJ154:AJ156)</f>
        <v>296610.12432204</v>
      </c>
      <c r="AK157" s="12">
        <f>AJ157+SUM(AK154:AK156)</f>
        <v>296911.321694639</v>
      </c>
      <c r="AL157" s="12" t="n"/>
      <c r="AM157" s="12">
        <f>AK157+SUM(AM154:AM156)</f>
        <v>297222.87515127</v>
      </c>
      <c r="AN157" s="12">
        <f>AM157+SUM(AN154:AN156)</f>
        <v>297647.427024439</v>
      </c>
      <c r="AO157" s="12">
        <f>AN157+SUM(AO154:AO156)</f>
        <v>297972.979060771</v>
      </c>
      <c r="AP157" s="12">
        <f>AO157+SUM(AP154:AP156)</f>
        <v>298287.134065887</v>
      </c>
      <c r="AQ157" s="12" t="n"/>
      <c r="AR157" s="12">
        <f>AP157+SUM(AR154:AR156)</f>
        <v>298610.532910665</v>
      </c>
      <c r="AS157" s="12">
        <f>AR157+SUM(AS154:AS156)</f>
        <v>299051.22641738</v>
      </c>
      <c r="AT157" s="12">
        <f>AS157+SUM(AT154:AT156)</f>
        <v>299389.15607351</v>
      </c>
      <c r="AU157" s="12">
        <f>AT157+SUM(AU154:AU156)</f>
        <v>299715.255378697</v>
      </c>
      <c r="AV157" s="12" t="n"/>
      <c r="AW157" s="12">
        <f>AU157+SUM(AW154:AW156)</f>
        <v>300049.332983838</v>
      </c>
      <c r="AX157" s="12">
        <f>AW157+SUM(AX154:AX156)</f>
        <v>300504.578367986</v>
      </c>
      <c r="AY157" s="12">
        <f>AX157+SUM(AY154:AY156)</f>
        <v>300853.666597732</v>
      </c>
      <c r="AZ157" s="12">
        <f>AY157+SUM(AZ154:AZ156)</f>
        <v>301190.533833574</v>
      </c>
      <c r="BA157" s="12" t="n"/>
      <c r="BB157" s="12">
        <f>AZ157+SUM(BB154:BB156)</f>
        <v>301533.972428027</v>
      </c>
      <c r="BC157" s="12">
        <f>BB157+SUM(BC154:BC156)</f>
        <v>302001.973971553</v>
      </c>
      <c r="BD157" s="12">
        <f>BC157+SUM(BD154:BD156)</f>
        <v>302360.843794371</v>
      </c>
      <c r="BE157" s="12">
        <f>BD157+SUM(BE154:BE156)</f>
        <v>302707.150186104</v>
      </c>
      <c r="BF157" s="12" t="n"/>
      <c r="BG157" s="12" t="n"/>
      <c r="BH157" s="12" t="n"/>
      <c r="BI157" s="12" t="n"/>
      <c r="BJ157" s="12" t="n"/>
      <c r="BK157" s="12" t="n"/>
      <c r="BL157" s="12" t="n"/>
      <c r="BM157" s="12" t="n"/>
      <c r="BN157" s="12" t="n"/>
      <c r="BO157" s="12" t="n"/>
      <c r="BP157" s="12" t="n"/>
      <c r="BQ157" s="12" t="n"/>
      <c r="BR157" s="12" t="n"/>
      <c r="BS157" s="12" t="n"/>
      <c r="BT157" s="12" t="n"/>
      <c r="BU157" s="12" t="n"/>
      <c r="BV157" s="12" t="n"/>
      <c r="BW157" s="12" t="n"/>
      <c r="BX157" s="12" t="n"/>
      <c r="BY157" s="12" t="n"/>
      <c r="BZ157" s="12" t="n"/>
      <c r="CA157" s="12" t="n"/>
      <c r="CB157" s="12" t="n"/>
      <c r="CC157" s="12" t="n"/>
      <c r="CD157" s="12" t="n"/>
      <c r="CE157" s="12" t="n"/>
      <c r="CF157" s="12" t="n"/>
      <c r="CG157" s="12" t="n"/>
      <c r="CH157" s="12" t="n"/>
      <c r="CI157" s="12" t="n"/>
      <c r="CJ157" s="12" t="n"/>
      <c r="CK157" s="12" t="n"/>
      <c r="CL157" s="12" t="n"/>
      <c r="CM157" s="12" t="n"/>
      <c r="CN157" s="12" t="n"/>
      <c r="CO157" s="12" t="n"/>
      <c r="CP157" s="12" t="n"/>
      <c r="CQ157" s="12" t="n"/>
      <c r="CR157" s="12" t="n"/>
      <c r="CS157" s="12" t="n"/>
      <c r="CT157" s="12" t="n"/>
      <c r="CU157" s="12" t="n"/>
      <c r="CV157" s="12" t="n"/>
      <c r="CW157" s="12" t="n"/>
      <c r="CX157" s="12" t="n"/>
      <c r="CY157" s="12" t="n"/>
    </row>
    <row r="158" hidden="1" outlineLevel="1">
      <c r="C158" s="57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  <c r="R158" s="12" t="n"/>
      <c r="S158" s="12" t="n"/>
      <c r="T158" s="12" t="n"/>
      <c r="U158" s="12" t="n"/>
      <c r="V158" s="12" t="n"/>
      <c r="W158" s="12" t="n"/>
      <c r="X158" s="12" t="n"/>
      <c r="Y158" s="12" t="n"/>
      <c r="Z158" s="12" t="n"/>
      <c r="AA158" s="12" t="n"/>
      <c r="AB158" s="12" t="n"/>
      <c r="AC158" s="12" t="n"/>
      <c r="AD158" s="12" t="n"/>
      <c r="AE158" s="12" t="n"/>
      <c r="AF158" s="12" t="n"/>
      <c r="AG158" s="12" t="n"/>
      <c r="AH158" s="12" t="n"/>
      <c r="AI158" s="12" t="n"/>
      <c r="AJ158" s="12">
        <f>IF(AJ15=0,"",AJ154/AJ15)</f>
        <v>0.0814277652687606</v>
      </c>
      <c r="AK158" s="12">
        <f>IF(AK15=0,"",AK154/AK15)</f>
        <v>0.0814277652687606</v>
      </c>
      <c r="AL158" s="12" t="n"/>
      <c r="AM158" s="12">
        <f>IF(AM15=0,"",AM154/AM15)</f>
        <v>0.0814277652687606</v>
      </c>
      <c r="AN158" s="12">
        <f>IF(AN15=0,"",AN154/AN15)</f>
        <v>0.0814277652687606</v>
      </c>
      <c r="AO158" s="12">
        <f>IF(AO15=0,"",AO154/AO15)</f>
        <v>0.0814277652687606</v>
      </c>
      <c r="AP158" s="12">
        <f>IF(AP15=0,"",AP154/AP15)</f>
        <v>0.0814277652687606</v>
      </c>
      <c r="AQ158" s="12" t="n"/>
      <c r="AR158" s="12">
        <f>IF(AR15=0,"",AR154/AR15)</f>
        <v>0.0814277652687606</v>
      </c>
      <c r="AS158" s="12">
        <f>IF(AS15=0,"",AS154/AS15)</f>
        <v>0.0814277652687606</v>
      </c>
      <c r="AT158" s="12">
        <f>IF(AT15=0,"",AT154/AT15)</f>
        <v>0.0814277652687606</v>
      </c>
      <c r="AU158" s="12">
        <f>IF(AU15=0,"",AU154/AU15)</f>
        <v>0.0814277652687606</v>
      </c>
      <c r="AV158" s="12" t="n"/>
      <c r="AW158" s="12">
        <f>IF(AW15=0,"",AW154/AW15)</f>
        <v>0.0814277652687606</v>
      </c>
      <c r="AX158" s="12">
        <f>IF(AX15=0,"",AX154/AX15)</f>
        <v>0.0814277652687606</v>
      </c>
      <c r="AY158" s="12">
        <f>IF(AY15=0,"",AY154/AY15)</f>
        <v>0.0814277652687606</v>
      </c>
      <c r="AZ158" s="12">
        <f>IF(AZ15=0,"",AZ154/AZ15)</f>
        <v>0.0814277652687606</v>
      </c>
      <c r="BA158" s="12" t="n"/>
      <c r="BB158" s="12">
        <f>IF(BB15=0,"",BB154/BB15)</f>
        <v>0.0814277652687606</v>
      </c>
      <c r="BC158" s="12">
        <f>IF(BC15=0,"",BC154/BC15)</f>
        <v>0.0814277652687606</v>
      </c>
      <c r="BD158" s="12">
        <f>IF(BD15=0,"",BD154/BD15)</f>
        <v>0.0814277652687606</v>
      </c>
      <c r="BE158" s="12">
        <f>IF(BE15=0,"",BE154/BE15)</f>
        <v>0.0814277652687606</v>
      </c>
      <c r="BF158" s="12" t="n"/>
      <c r="BG158" s="12" t="n"/>
      <c r="BH158" s="12" t="n"/>
      <c r="BI158" s="12" t="n"/>
      <c r="BJ158" s="12" t="n"/>
      <c r="BK158" s="12" t="n"/>
      <c r="BL158" s="12" t="n"/>
      <c r="BM158" s="12" t="n"/>
      <c r="BN158" s="12" t="n"/>
      <c r="BO158" s="12" t="n"/>
      <c r="BP158" s="12" t="n"/>
      <c r="BQ158" s="12" t="n"/>
      <c r="BR158" s="12" t="n"/>
      <c r="BS158" s="12" t="n"/>
      <c r="BT158" s="12" t="n"/>
      <c r="BU158" s="12" t="n"/>
      <c r="BV158" s="12" t="n"/>
      <c r="BW158" s="12" t="n"/>
      <c r="BX158" s="12" t="n"/>
      <c r="BY158" s="12" t="n"/>
      <c r="BZ158" s="12" t="n"/>
      <c r="CA158" s="12" t="n"/>
      <c r="CB158" s="12" t="n"/>
      <c r="CC158" s="12" t="n"/>
      <c r="CD158" s="12" t="n"/>
      <c r="CE158" s="12" t="n"/>
      <c r="CF158" s="12" t="n"/>
      <c r="CG158" s="12" t="n"/>
      <c r="CH158" s="12" t="n"/>
      <c r="CI158" s="12" t="n"/>
      <c r="CJ158" s="12" t="n"/>
      <c r="CK158" s="12" t="n"/>
      <c r="CL158" s="12" t="n"/>
      <c r="CM158" s="12" t="n"/>
      <c r="CN158" s="12" t="n"/>
      <c r="CO158" s="12" t="n"/>
      <c r="CP158" s="12" t="n"/>
      <c r="CQ158" s="12" t="n"/>
      <c r="CR158" s="12" t="n"/>
      <c r="CS158" s="12" t="n"/>
      <c r="CT158" s="12" t="n"/>
      <c r="CU158" s="12" t="n"/>
      <c r="CV158" s="12" t="n"/>
      <c r="CW158" s="12" t="n"/>
      <c r="CX158" s="12" t="n"/>
      <c r="CY158" s="12" t="n"/>
    </row>
    <row r="159" hidden="1" outlineLevel="1">
      <c r="C159" s="57" t="inlineStr">
        <is>
          <t>Capital expenditures (% Net Revenues)</t>
        </is>
      </c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12" t="n"/>
      <c r="Z159" s="12" t="n"/>
      <c r="AA159" s="12" t="n"/>
      <c r="AB159" s="12" t="n"/>
      <c r="AC159" s="12" t="n"/>
      <c r="AD159" s="12" t="n"/>
      <c r="AE159" s="12" t="n"/>
      <c r="AF159" s="58">
        <f>IFERROR(AF154/AF15,"")</f>
        <v>0.105700539437236</v>
      </c>
      <c r="AG159" s="58">
        <f>IFERROR(AG154/AG15,"")</f>
        <v>0.0934510802497005</v>
      </c>
      <c r="AH159" s="58">
        <f>IFERROR(AH154/AH15,"")</f>
        <v>0.0725762879090418</v>
      </c>
      <c r="AI159" s="58">
        <f>IFERROR(AI154/AI15,"")</f>
        <v>0.0534921606316316</v>
      </c>
      <c r="AJ159" s="58">
        <f>IFERROR(AJ154/AJ15,"")</f>
        <v>0.0814277652687606</v>
      </c>
      <c r="AK159" s="58">
        <f>IFERROR(AK154/AK15,"")</f>
        <v>0.0814277652687606</v>
      </c>
      <c r="AL159" s="58">
        <f>IFERROR(AL154/AL15,"")</f>
        <v>0</v>
      </c>
      <c r="AM159" s="58">
        <f>IFERROR(AM154/AM15,"")</f>
        <v>0.0814277652687606</v>
      </c>
      <c r="AN159" s="58">
        <f>IFERROR(AN154/AN15,"")</f>
        <v>0.0814277652687606</v>
      </c>
      <c r="AO159" s="58">
        <f>IFERROR(AO154/AO15,"")</f>
        <v>0.0814277652687606</v>
      </c>
      <c r="AP159" s="58">
        <f>IFERROR(AP154/AP15,"")</f>
        <v>0.0814277652687606</v>
      </c>
      <c r="AQ159" s="58">
        <f>IFERROR(AQ154/AQ15,"")</f>
        <v>0</v>
      </c>
      <c r="AR159" s="58">
        <f>IFERROR(AR154/AR15,"")</f>
        <v>0.0814277652687606</v>
      </c>
      <c r="AS159" s="58">
        <f>IFERROR(AS154/AS15,"")</f>
        <v>0.0814277652687606</v>
      </c>
      <c r="AT159" s="58">
        <f>IFERROR(AT154/AT15,"")</f>
        <v>0.0814277652687606</v>
      </c>
      <c r="AU159" s="58">
        <f>IFERROR(AU154/AU15,"")</f>
        <v>0.0814277652687606</v>
      </c>
      <c r="AV159" s="58">
        <f>IFERROR(AV154/AV15,"")</f>
        <v>0</v>
      </c>
      <c r="AW159" s="58">
        <f>IFERROR(AW154/AW15,"")</f>
        <v>0.0814277652687606</v>
      </c>
      <c r="AX159" s="58">
        <f>IFERROR(AX154/AX15,"")</f>
        <v>0.0814277652687606</v>
      </c>
      <c r="AY159" s="58">
        <f>IFERROR(AY154/AY15,"")</f>
        <v>0.0814277652687606</v>
      </c>
      <c r="AZ159" s="58">
        <f>IFERROR(AZ154/AZ15,"")</f>
        <v>0.0814277652687606</v>
      </c>
      <c r="BA159" s="58">
        <f>IFERROR(BA154/BA15,"")</f>
        <v>0</v>
      </c>
      <c r="BB159" s="58">
        <f>IFERROR(BB154/BB15,"")</f>
        <v>0.0814277652687606</v>
      </c>
      <c r="BC159" s="58">
        <f>IFERROR(BC154/BC15,"")</f>
        <v>0.0814277652687606</v>
      </c>
      <c r="BD159" s="58">
        <f>IFERROR(BD154/BD15,"")</f>
        <v>0.0814277652687606</v>
      </c>
      <c r="BE159" s="58">
        <f>IFERROR(BE154/BE15,"")</f>
        <v>0.0814277652687606</v>
      </c>
      <c r="BF159" s="58">
        <f>IFERROR(BF154/BF15,"")</f>
        <v>0</v>
      </c>
      <c r="BG159" s="58" t="n"/>
      <c r="BH159" s="58" t="n"/>
      <c r="BI159" s="58" t="n"/>
      <c r="BJ159" s="58" t="n"/>
      <c r="BK159" s="58" t="n"/>
      <c r="BL159" s="58" t="n"/>
      <c r="BM159" s="58" t="n"/>
      <c r="BN159" s="58" t="n"/>
      <c r="BO159" s="58" t="n"/>
      <c r="BP159" s="58" t="n"/>
      <c r="BQ159" s="58" t="n"/>
      <c r="BR159" s="58" t="n"/>
      <c r="BS159" s="58" t="n"/>
      <c r="BT159" s="58" t="n"/>
      <c r="BU159" s="58" t="n"/>
      <c r="BV159" s="58" t="n"/>
      <c r="BW159" s="58" t="n"/>
      <c r="BX159" s="58" t="n"/>
      <c r="BY159" s="58" t="n"/>
      <c r="BZ159" s="58" t="n"/>
      <c r="CA159" s="58" t="n"/>
      <c r="CB159" s="58" t="n"/>
      <c r="CC159" s="58" t="n"/>
      <c r="CD159" s="58" t="n"/>
      <c r="CE159" s="58" t="n"/>
      <c r="CF159" s="58" t="n"/>
      <c r="CG159" s="58" t="n"/>
      <c r="CH159" s="58" t="n"/>
      <c r="CI159" s="58" t="n"/>
      <c r="CJ159" s="58" t="n"/>
      <c r="CK159" s="58" t="n"/>
      <c r="CL159" s="58" t="n"/>
      <c r="CM159" s="58" t="n"/>
      <c r="CN159" s="58" t="n"/>
      <c r="CO159" s="58" t="n"/>
      <c r="CP159" s="58" t="n"/>
      <c r="CQ159" s="58" t="n"/>
      <c r="CR159" s="58" t="n"/>
      <c r="CS159" s="58" t="n"/>
      <c r="CT159" s="58" t="n"/>
      <c r="CU159" s="58" t="n"/>
      <c r="CV159" s="58" t="n"/>
      <c r="CW159" s="58" t="n"/>
      <c r="CX159" s="58" t="n"/>
      <c r="CY159" s="58" t="n"/>
    </row>
    <row r="160" hidden="1" outlineLevel="1">
      <c r="C160" s="57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12" t="n"/>
      <c r="W160" s="12" t="n"/>
      <c r="X160" s="12" t="n"/>
      <c r="Y160" s="12" t="n"/>
      <c r="Z160" s="12" t="n"/>
      <c r="AA160" s="12" t="n"/>
      <c r="AB160" s="12" t="n"/>
      <c r="AC160" s="12" t="n"/>
      <c r="AD160" s="12" t="n"/>
      <c r="AE160" s="12" t="n"/>
      <c r="AF160" s="12" t="n"/>
      <c r="AG160" s="12" t="n"/>
      <c r="AH160" s="12" t="n"/>
      <c r="AI160" s="12" t="n"/>
      <c r="AJ160" s="12" t="n"/>
      <c r="AK160" s="12" t="n"/>
      <c r="AL160" s="12" t="n"/>
      <c r="AM160" s="12" t="n"/>
      <c r="AN160" s="12" t="n"/>
      <c r="AO160" s="12" t="n"/>
      <c r="AP160" s="12" t="n"/>
      <c r="AQ160" s="12" t="n"/>
      <c r="AR160" s="12" t="n"/>
      <c r="AS160" s="12" t="n"/>
      <c r="AT160" s="12" t="n"/>
      <c r="AU160" s="12" t="n"/>
      <c r="AV160" s="12" t="n"/>
      <c r="AW160" s="12" t="n"/>
      <c r="AX160" s="12" t="n"/>
      <c r="AY160" s="12" t="n"/>
      <c r="AZ160" s="12" t="n"/>
      <c r="BA160" s="12" t="n"/>
      <c r="BB160" s="12" t="n"/>
      <c r="BC160" s="12" t="n"/>
      <c r="BD160" s="12" t="n"/>
      <c r="BE160" s="12" t="n"/>
      <c r="BF160" s="12" t="n"/>
      <c r="BG160" s="12" t="n"/>
      <c r="BH160" s="12" t="n"/>
      <c r="BI160" s="12" t="n"/>
      <c r="BJ160" s="12" t="n"/>
      <c r="BK160" s="12" t="n"/>
      <c r="BL160" s="12" t="n"/>
      <c r="BM160" s="12" t="n"/>
      <c r="BN160" s="12" t="n"/>
      <c r="BO160" s="12" t="n"/>
      <c r="BP160" s="12" t="n"/>
      <c r="BQ160" s="12" t="n"/>
      <c r="BR160" s="12" t="n"/>
      <c r="BS160" s="12" t="n"/>
      <c r="BT160" s="12" t="n"/>
      <c r="BU160" s="12" t="n"/>
      <c r="BV160" s="12" t="n"/>
      <c r="BW160" s="12" t="n"/>
      <c r="BX160" s="12" t="n"/>
      <c r="BY160" s="12" t="n"/>
      <c r="BZ160" s="12" t="n"/>
      <c r="CA160" s="12" t="n"/>
      <c r="CB160" s="12" t="n"/>
      <c r="CC160" s="12" t="n"/>
      <c r="CD160" s="12" t="n"/>
      <c r="CE160" s="12" t="n"/>
      <c r="CF160" s="12" t="n"/>
      <c r="CG160" s="12" t="n"/>
      <c r="CH160" s="12" t="n"/>
      <c r="CI160" s="12" t="n"/>
      <c r="CJ160" s="12" t="n"/>
      <c r="CK160" s="12" t="n"/>
      <c r="CL160" s="12" t="n"/>
      <c r="CM160" s="12" t="n"/>
      <c r="CN160" s="12" t="n"/>
      <c r="CO160" s="12" t="n"/>
      <c r="CP160" s="12" t="n"/>
      <c r="CQ160" s="12" t="n"/>
      <c r="CR160" s="12" t="n"/>
      <c r="CS160" s="12" t="n"/>
      <c r="CT160" s="12" t="n"/>
      <c r="CU160" s="12" t="n"/>
      <c r="CV160" s="12" t="n"/>
      <c r="CW160" s="12" t="n"/>
      <c r="CX160" s="12" t="n"/>
      <c r="CY160" s="12" t="n"/>
    </row>
    <row r="161" hidden="1" outlineLevel="1">
      <c r="C161" s="57" t="n"/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2" t="n"/>
      <c r="Z161" s="12" t="n"/>
      <c r="AA161" s="12" t="n"/>
      <c r="AB161" s="12" t="n"/>
      <c r="AC161" s="12" t="n"/>
      <c r="AD161" s="12" t="n"/>
      <c r="AE161" s="12" t="n"/>
      <c r="AF161" s="12" t="n"/>
      <c r="AG161" s="12" t="n"/>
      <c r="AH161" s="12" t="n"/>
      <c r="AI161" s="12" t="n"/>
      <c r="AJ161" s="12" t="n"/>
      <c r="AK161" s="12" t="n"/>
      <c r="AL161" s="12" t="n"/>
      <c r="AM161" s="12" t="n"/>
      <c r="AN161" s="12" t="n"/>
      <c r="AO161" s="12" t="n"/>
      <c r="AP161" s="12" t="n"/>
      <c r="AQ161" s="12" t="n"/>
      <c r="AR161" s="12" t="n"/>
      <c r="AS161" s="12" t="n"/>
      <c r="AT161" s="12" t="n"/>
      <c r="AU161" s="12" t="n"/>
      <c r="AV161" s="12" t="n"/>
      <c r="AW161" s="12" t="n"/>
      <c r="AX161" s="12" t="n"/>
      <c r="AY161" s="12" t="n"/>
      <c r="AZ161" s="12" t="n"/>
      <c r="BA161" s="12" t="n"/>
      <c r="BB161" s="12" t="n"/>
      <c r="BC161" s="12" t="n"/>
      <c r="BD161" s="12" t="n"/>
      <c r="BE161" s="12" t="n"/>
      <c r="BF161" s="12" t="n"/>
      <c r="BG161" s="12" t="n"/>
      <c r="BH161" s="12" t="n"/>
      <c r="BI161" s="12" t="n"/>
      <c r="BJ161" s="12" t="n"/>
      <c r="BK161" s="12" t="n"/>
      <c r="BL161" s="12" t="n"/>
      <c r="BM161" s="12" t="n"/>
      <c r="BN161" s="12" t="n"/>
      <c r="BO161" s="12" t="n"/>
      <c r="BP161" s="12" t="n"/>
      <c r="BQ161" s="12" t="n"/>
      <c r="BR161" s="12" t="n"/>
      <c r="BS161" s="12" t="n"/>
      <c r="BT161" s="12" t="n"/>
      <c r="BU161" s="12" t="n"/>
      <c r="BV161" s="12" t="n"/>
      <c r="BW161" s="12" t="n"/>
      <c r="BX161" s="12" t="n"/>
      <c r="BY161" s="12" t="n"/>
      <c r="BZ161" s="12" t="n"/>
      <c r="CA161" s="12" t="n"/>
      <c r="CB161" s="12" t="n"/>
      <c r="CC161" s="12" t="n"/>
      <c r="CD161" s="12" t="n"/>
      <c r="CE161" s="12" t="n"/>
      <c r="CF161" s="12" t="n"/>
      <c r="CG161" s="12" t="n"/>
      <c r="CH161" s="12" t="n"/>
      <c r="CI161" s="12" t="n"/>
      <c r="CJ161" s="12" t="n"/>
      <c r="CK161" s="12" t="n"/>
      <c r="CL161" s="12" t="n"/>
      <c r="CM161" s="12" t="n"/>
      <c r="CN161" s="12" t="n"/>
      <c r="CO161" s="12" t="n"/>
      <c r="CP161" s="12" t="n"/>
      <c r="CQ161" s="12" t="n"/>
      <c r="CR161" s="12" t="n"/>
      <c r="CS161" s="12" t="n"/>
      <c r="CT161" s="12" t="n"/>
      <c r="CU161" s="12" t="n"/>
      <c r="CV161" s="12" t="n"/>
      <c r="CW161" s="12" t="n"/>
      <c r="CX161" s="12" t="n"/>
      <c r="CY161" s="12" t="n"/>
    </row>
    <row r="162" collapsed="1">
      <c r="C162" s="14" t="inlineStr">
        <is>
          <t>Right-of-use-assets</t>
        </is>
      </c>
      <c r="D162" s="46" t="n"/>
      <c r="E162" s="46" t="n"/>
      <c r="F162" s="46" t="n"/>
      <c r="G162" s="46" t="n"/>
      <c r="H162" s="12" t="n"/>
      <c r="I162" s="46">
        <f>'Inputs (2)'!D23</f>
        <v>0</v>
      </c>
      <c r="J162" s="46">
        <f>'Inputs (2)'!E23</f>
        <v>0</v>
      </c>
      <c r="K162" s="46">
        <f>'Inputs (2)'!F23</f>
        <v>0</v>
      </c>
      <c r="L162" s="46">
        <f>'Inputs (2)'!G23</f>
        <v>0</v>
      </c>
      <c r="M162" s="12">
        <f>'Inputs (2)'!H23</f>
        <v>0</v>
      </c>
      <c r="N162" s="46">
        <f>'Inputs (2)'!I23</f>
        <v>0</v>
      </c>
      <c r="O162" s="46">
        <f>'Inputs (2)'!J23</f>
        <v>0</v>
      </c>
      <c r="P162" s="46">
        <f>'Inputs (2)'!K23</f>
        <v>0</v>
      </c>
      <c r="Q162" s="46">
        <f>'Inputs (2)'!L23</f>
        <v>0</v>
      </c>
      <c r="R162" s="12">
        <f>'Inputs (2)'!M23</f>
        <v>0</v>
      </c>
      <c r="S162" s="46">
        <f>'Inputs (2)'!N23</f>
        <v>0</v>
      </c>
      <c r="T162" s="46">
        <f>'Inputs (2)'!O23</f>
        <v>0</v>
      </c>
      <c r="U162" s="46">
        <f>'Inputs (2)'!P23</f>
        <v>0</v>
      </c>
      <c r="V162" s="46">
        <f>'Inputs (2)'!Q23</f>
        <v>0</v>
      </c>
      <c r="W162" s="12">
        <f>'Inputs (2)'!R23</f>
        <v>0</v>
      </c>
      <c r="X162" s="46">
        <f>'Inputs (2)'!S23</f>
        <v>0</v>
      </c>
      <c r="Y162" s="46">
        <f>'Inputs (2)'!T23</f>
        <v>0</v>
      </c>
      <c r="Z162" s="46">
        <f>'Inputs (2)'!U23</f>
        <v>0</v>
      </c>
      <c r="AA162" s="46">
        <f>'Inputs (2)'!V23</f>
        <v>0</v>
      </c>
      <c r="AB162" s="12">
        <f>'Inputs (2)'!W23</f>
        <v>0</v>
      </c>
      <c r="AC162" s="46">
        <f>'Inputs (2)'!X23</f>
        <v>0</v>
      </c>
      <c r="AD162" s="46">
        <f>'Inputs (2)'!Y23</f>
        <v>0</v>
      </c>
      <c r="AE162" s="46">
        <f>'Inputs (2)'!Z23</f>
        <v>0</v>
      </c>
      <c r="AF162" s="46">
        <f>'Inputs (2)'!AA23</f>
        <v>0</v>
      </c>
      <c r="AG162" s="12">
        <f>'Inputs (2)'!AB23</f>
        <v>0</v>
      </c>
      <c r="AH162" s="12">
        <f>'Inputs (2)'!AC23</f>
        <v>0</v>
      </c>
      <c r="AI162" s="12">
        <f>'Inputs (2)'!AD23</f>
        <v>0</v>
      </c>
      <c r="AJ162" s="12">
        <f>AI162</f>
        <v>0</v>
      </c>
      <c r="AK162" s="12">
        <f>AJ162</f>
        <v>0</v>
      </c>
      <c r="AL162" s="12">
        <f>AK162</f>
        <v>0</v>
      </c>
      <c r="AM162" s="12">
        <f>AL162</f>
        <v>0</v>
      </c>
      <c r="AN162" s="12">
        <f>AM162</f>
        <v>0</v>
      </c>
      <c r="AO162" s="12">
        <f>AN162</f>
        <v>0</v>
      </c>
      <c r="AP162" s="12">
        <f>AO162</f>
        <v>0</v>
      </c>
      <c r="AQ162" s="12">
        <f>AP162</f>
        <v>0</v>
      </c>
      <c r="AR162" s="12">
        <f>AQ162</f>
        <v>0</v>
      </c>
      <c r="AS162" s="12">
        <f>AR162</f>
        <v>0</v>
      </c>
      <c r="AT162" s="12">
        <f>AS162</f>
        <v>0</v>
      </c>
      <c r="AU162" s="12">
        <f>AT162</f>
        <v>0</v>
      </c>
      <c r="AV162" s="12">
        <f>AU162</f>
        <v>0</v>
      </c>
      <c r="AW162" s="12">
        <f>AV162</f>
        <v>0</v>
      </c>
      <c r="AX162" s="12">
        <f>AW162</f>
        <v>0</v>
      </c>
      <c r="AY162" s="12">
        <f>AX162</f>
        <v>0</v>
      </c>
      <c r="AZ162" s="12">
        <f>AY162</f>
        <v>0</v>
      </c>
      <c r="BA162" s="12">
        <f>AZ162</f>
        <v>0</v>
      </c>
      <c r="BB162" s="12">
        <f>BA162</f>
        <v>0</v>
      </c>
      <c r="BC162" s="12">
        <f>BB162</f>
        <v>0</v>
      </c>
      <c r="BD162" s="12">
        <f>BC162</f>
        <v>0</v>
      </c>
      <c r="BE162" s="12">
        <f>BD162</f>
        <v>0</v>
      </c>
      <c r="BF162" s="12">
        <f>BE162</f>
        <v>0</v>
      </c>
      <c r="BG162" s="12" t="n"/>
      <c r="BH162" s="12" t="n"/>
      <c r="BI162" s="12" t="n"/>
      <c r="BJ162" s="12" t="n"/>
      <c r="BK162" s="12" t="n"/>
      <c r="BL162" s="12" t="n"/>
      <c r="BM162" s="12" t="n"/>
      <c r="BN162" s="12" t="n"/>
      <c r="BO162" s="12" t="n"/>
      <c r="BP162" s="12" t="n"/>
      <c r="BQ162" s="12" t="n"/>
      <c r="BR162" s="12" t="n"/>
      <c r="BS162" s="12" t="n"/>
      <c r="BT162" s="12" t="n"/>
      <c r="BU162" s="12" t="n"/>
      <c r="BV162" s="12" t="n"/>
      <c r="BW162" s="12" t="n"/>
      <c r="BX162" s="12" t="n"/>
      <c r="BY162" s="12" t="n"/>
      <c r="BZ162" s="12" t="n"/>
      <c r="CA162" s="12" t="n"/>
      <c r="CB162" s="12" t="n"/>
      <c r="CC162" s="12" t="n"/>
      <c r="CD162" s="12" t="n"/>
      <c r="CE162" s="12" t="n"/>
      <c r="CF162" s="12" t="n"/>
      <c r="CG162" s="12" t="n"/>
      <c r="CH162" s="12" t="n"/>
      <c r="CI162" s="12" t="n"/>
      <c r="CJ162" s="12" t="n"/>
      <c r="CK162" s="12" t="n"/>
      <c r="CL162" s="12" t="n"/>
      <c r="CM162" s="12" t="n"/>
      <c r="CN162" s="12" t="n"/>
      <c r="CO162" s="12" t="n"/>
      <c r="CP162" s="12" t="n"/>
      <c r="CQ162" s="12" t="n"/>
      <c r="CR162" s="12" t="n"/>
      <c r="CS162" s="12" t="n"/>
      <c r="CT162" s="12" t="n"/>
      <c r="CU162" s="12" t="n"/>
      <c r="CV162" s="12" t="n"/>
      <c r="CW162" s="12" t="n"/>
      <c r="CX162" s="12" t="n"/>
      <c r="CY162" s="12" t="n"/>
    </row>
    <row r="163" hidden="1" outlineLevel="1">
      <c r="C163" s="59" t="inlineStr">
        <is>
          <t>%(Var.)</t>
        </is>
      </c>
      <c r="D163" s="12" t="n"/>
      <c r="E163" s="40" t="n"/>
      <c r="F163" s="40" t="n"/>
      <c r="G163" s="40" t="n"/>
      <c r="H163" s="12" t="n"/>
      <c r="I163" s="40" t="str">
        <f>""</f>
        <v/>
      </c>
      <c r="J163" s="40" t="str">
        <f>IFERROR(IF(I162=0,"",J162/I162-1),"")</f>
        <v/>
      </c>
      <c r="K163" s="40" t="str">
        <f>IFERROR(IF(J162=0,"",K162/J162-1),"")</f>
        <v/>
      </c>
      <c r="L163" s="40" t="str">
        <f>IFERROR(IF(K162=0,"",L162/K162-1),"")</f>
        <v/>
      </c>
      <c r="M163" s="12" t="str">
        <f>IFERROR(IF(L162=0,"",M162/L162-1),"")</f>
        <v/>
      </c>
      <c r="N163" s="40" t="str">
        <f>IFERROR(IF(M162=0,"",N162/M162-1),"")</f>
        <v/>
      </c>
      <c r="O163" s="40" t="str">
        <f>IFERROR(IF(N162=0,"",O162/N162-1),"")</f>
        <v/>
      </c>
      <c r="P163" s="40" t="str">
        <f>IFERROR(IF(O162=0,"",P162/O162-1),"")</f>
        <v/>
      </c>
      <c r="Q163" s="40" t="str">
        <f>IFERROR(IF(P162=0,"",Q162/P162-1),"")</f>
        <v/>
      </c>
      <c r="R163" s="12" t="str">
        <f>IFERROR(IF(Q162=0,"",R162/Q162-1),"")</f>
        <v/>
      </c>
      <c r="S163" s="40" t="str">
        <f>IFERROR(IF(R162=0,"",S162/R162-1),"")</f>
        <v/>
      </c>
      <c r="T163" s="40" t="str">
        <f>IFERROR(IF(S162=0,"",T162/S162-1),"")</f>
        <v/>
      </c>
      <c r="U163" s="40" t="str">
        <f>IFERROR(IF(T162=0,"",U162/T162-1),"")</f>
        <v/>
      </c>
      <c r="V163" s="40" t="str">
        <f>IFERROR(IF(U162=0,"",V162/U162-1),"")</f>
        <v/>
      </c>
      <c r="W163" s="12" t="str">
        <f>IFERROR(IF(V162=0,"",W162/V162-1),"")</f>
        <v/>
      </c>
      <c r="X163" s="40" t="str">
        <f>IFERROR(IF(W162=0,"",X162/W162-1),"")</f>
        <v/>
      </c>
      <c r="Y163" s="40" t="str">
        <f>IFERROR(IF(X162=0,"",Y162/X162-1),"")</f>
        <v/>
      </c>
      <c r="Z163" s="40" t="str">
        <f>IFERROR(IF(Y162=0,"",Z162/Y162-1),"")</f>
        <v/>
      </c>
      <c r="AA163" s="40" t="str">
        <f>IFERROR(IF(Z162=0,"",AA162/Z162-1),"")</f>
        <v/>
      </c>
      <c r="AB163" s="12" t="str">
        <f>IFERROR(IF(AA162=0,"",AB162/AA162-1),"")</f>
        <v/>
      </c>
      <c r="AC163" s="40" t="str">
        <f>IFERROR(IF(AB162=0,"",AC162/AB162-1),"")</f>
        <v/>
      </c>
      <c r="AD163" s="40" t="str">
        <f>IFERROR(IF(AC162=0,"",AD162/AC162-1),"")</f>
        <v/>
      </c>
      <c r="AE163" s="40" t="str">
        <f>IFERROR(IF(AD162=0,"",AE162/AD162-1),"")</f>
        <v/>
      </c>
      <c r="AF163" s="55" t="str">
        <f>IFERROR(IF(AE162=0,"",AF162/AE162-1),"")</f>
        <v/>
      </c>
      <c r="AG163" s="12" t="str">
        <f>IFERROR(IF(AF162=0,"",AG162/AF162-1),"")</f>
        <v/>
      </c>
      <c r="AH163" s="55" t="str">
        <f>IFERROR(IF(AG162=0,"",AH162/AG162-1),"")</f>
        <v/>
      </c>
      <c r="AI163" s="55" t="str">
        <f>IFERROR(IF(AH162=0,"",AI162/AH162-1),"")</f>
        <v/>
      </c>
      <c r="AJ163" s="55" t="str">
        <f>IFERROR(IF(AI162=0,"",AJ162/AI162-1),"")</f>
        <v/>
      </c>
      <c r="AK163" s="55" t="str">
        <f>IFERROR(IF(AJ162=0,"",AK162/AJ162-1),"")</f>
        <v/>
      </c>
      <c r="AL163" s="12" t="str">
        <f>IFERROR(IF(AK162=0,"",AL162/AK162-1),"")</f>
        <v/>
      </c>
      <c r="AM163" s="55" t="str">
        <f>IFERROR(IF(AL162=0,"",AM162/AL162-1),"")</f>
        <v/>
      </c>
      <c r="AN163" s="55" t="str">
        <f>IFERROR(IF(AM162=0,"",AN162/AM162-1),"")</f>
        <v/>
      </c>
      <c r="AO163" s="55" t="str">
        <f>IFERROR(IF(AN162=0,"",AO162/AN162-1),"")</f>
        <v/>
      </c>
      <c r="AP163" s="55" t="str">
        <f>IFERROR(IF(AO162=0,"",AP162/AO162-1),"")</f>
        <v/>
      </c>
      <c r="AQ163" s="12" t="str">
        <f>IFERROR(IF(AP162=0,"",AQ162/AP162-1),"")</f>
        <v/>
      </c>
      <c r="AR163" s="55" t="str">
        <f>IFERROR(IF(AQ162=0,"",AR162/AQ162-1),"")</f>
        <v/>
      </c>
      <c r="AS163" s="55" t="str">
        <f>IFERROR(IF(AR162=0,"",AS162/AR162-1),"")</f>
        <v/>
      </c>
      <c r="AT163" s="55" t="str">
        <f>IFERROR(IF(AS162=0,"",AT162/AS162-1),"")</f>
        <v/>
      </c>
      <c r="AU163" s="55" t="str">
        <f>IFERROR(IF(AT162=0,"",AU162/AT162-1),"")</f>
        <v/>
      </c>
      <c r="AV163" s="12" t="str">
        <f>IFERROR(IF(AU162=0,"",AV162/AU162-1),"")</f>
        <v/>
      </c>
      <c r="AW163" s="55" t="str">
        <f>IFERROR(IF(AV162=0,"",AW162/AV162-1),"")</f>
        <v/>
      </c>
      <c r="AX163" s="55" t="str">
        <f>IFERROR(IF(AW162=0,"",AX162/AW162-1),"")</f>
        <v/>
      </c>
      <c r="AY163" s="55" t="str">
        <f>IFERROR(IF(AX162=0,"",AY162/AX162-1),"")</f>
        <v/>
      </c>
      <c r="AZ163" s="55" t="str">
        <f>IFERROR(IF(AY162=0,"",AZ162/AY162-1),"")</f>
        <v/>
      </c>
      <c r="BA163" s="12" t="str">
        <f>IFERROR(IF(AZ162=0,"",BA162/AZ162-1),"")</f>
        <v/>
      </c>
      <c r="BB163" s="55" t="str">
        <f>IFERROR(IF(BA162=0,"",BB162/BA162-1),"")</f>
        <v/>
      </c>
      <c r="BC163" s="55" t="str">
        <f>IFERROR(IF(BB162=0,"",BC162/BB162-1),"")</f>
        <v/>
      </c>
      <c r="BD163" s="55" t="str">
        <f>IFERROR(IF(BC162=0,"",BD162/BC162-1),"")</f>
        <v/>
      </c>
      <c r="BE163" s="55" t="str">
        <f>IFERROR(IF(BD162=0,"",BE162/BD162-1),"")</f>
        <v/>
      </c>
      <c r="BF163" s="12" t="str">
        <f>IFERROR(IF(BE162=0,"",BF162/BE162-1),"")</f>
        <v/>
      </c>
      <c r="BG163" s="55" t="n"/>
      <c r="BH163" s="55" t="n"/>
      <c r="BI163" s="55" t="n"/>
      <c r="BJ163" s="55" t="n"/>
      <c r="BK163" s="12" t="n"/>
      <c r="BL163" s="55" t="n"/>
      <c r="BM163" s="55" t="n"/>
      <c r="BN163" s="55" t="n"/>
      <c r="BO163" s="55" t="n"/>
      <c r="BP163" s="12" t="n"/>
      <c r="BQ163" s="55" t="n"/>
      <c r="BR163" s="55" t="n"/>
      <c r="BS163" s="55" t="n"/>
      <c r="BT163" s="55" t="n"/>
      <c r="BU163" s="12" t="n"/>
      <c r="BV163" s="55" t="n"/>
      <c r="BW163" s="55" t="n"/>
      <c r="BX163" s="55" t="n"/>
      <c r="BY163" s="55" t="n"/>
      <c r="BZ163" s="12" t="n"/>
      <c r="CA163" s="55" t="n"/>
      <c r="CB163" s="55" t="n"/>
      <c r="CC163" s="55" t="n"/>
      <c r="CD163" s="55" t="n"/>
      <c r="CE163" s="12" t="n"/>
      <c r="CF163" s="55" t="n"/>
      <c r="CG163" s="55" t="n"/>
      <c r="CH163" s="55" t="n"/>
      <c r="CI163" s="55" t="n"/>
      <c r="CJ163" s="12" t="n"/>
      <c r="CK163" s="55" t="n"/>
      <c r="CL163" s="55" t="n"/>
      <c r="CM163" s="55" t="n"/>
      <c r="CN163" s="55" t="n"/>
      <c r="CO163" s="12" t="n"/>
      <c r="CP163" s="55" t="n"/>
      <c r="CQ163" s="55" t="n"/>
      <c r="CR163" s="55" t="n"/>
      <c r="CS163" s="55" t="n"/>
      <c r="CT163" s="12" t="n"/>
      <c r="CU163" s="55" t="n"/>
      <c r="CV163" s="55" t="n"/>
      <c r="CW163" s="55" t="n"/>
      <c r="CX163" s="55" t="n"/>
      <c r="CY163" s="12" t="n"/>
    </row>
    <row r="164" hidden="1" outlineLevel="1">
      <c r="C164" s="57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  <c r="Q164" s="12" t="n"/>
      <c r="R164" s="12" t="n"/>
      <c r="S164" s="12" t="n"/>
      <c r="T164" s="12" t="n"/>
      <c r="U164" s="12" t="n"/>
      <c r="V164" s="12" t="n"/>
      <c r="W164" s="12" t="n"/>
      <c r="X164" s="12" t="n"/>
      <c r="Y164" s="12" t="n"/>
      <c r="Z164" s="12" t="n"/>
      <c r="AA164" s="12" t="n"/>
      <c r="AB164" s="12" t="n"/>
      <c r="AC164" s="12" t="n"/>
      <c r="AD164" s="12" t="n"/>
      <c r="AE164" s="12" t="n"/>
      <c r="AF164" s="12" t="n"/>
      <c r="AG164" s="12" t="n"/>
      <c r="AH164" s="12" t="n"/>
      <c r="AI164" s="12" t="n"/>
      <c r="AJ164" s="12" t="n"/>
      <c r="AK164" s="12" t="n"/>
      <c r="AL164" s="12" t="n"/>
      <c r="AM164" s="12" t="n"/>
      <c r="AN164" s="12" t="n"/>
      <c r="AO164" s="12" t="n"/>
      <c r="AP164" s="12" t="n"/>
      <c r="AQ164" s="12" t="n"/>
      <c r="AR164" s="12" t="n"/>
      <c r="AS164" s="12" t="n"/>
      <c r="AT164" s="12" t="n"/>
      <c r="AU164" s="12" t="n"/>
      <c r="AV164" s="12" t="n"/>
      <c r="AW164" s="12" t="n"/>
      <c r="AX164" s="12" t="n"/>
      <c r="AY164" s="12" t="n"/>
      <c r="AZ164" s="12" t="n"/>
      <c r="BA164" s="12" t="n"/>
      <c r="BB164" s="12" t="n"/>
      <c r="BC164" s="12" t="n"/>
      <c r="BD164" s="12" t="n"/>
      <c r="BE164" s="12" t="n"/>
      <c r="BF164" s="12" t="n"/>
      <c r="BG164" s="12" t="n"/>
      <c r="BH164" s="12" t="n"/>
      <c r="BI164" s="12" t="n"/>
      <c r="BJ164" s="12" t="n"/>
      <c r="BK164" s="12" t="n"/>
      <c r="BL164" s="12" t="n"/>
      <c r="BM164" s="12" t="n"/>
      <c r="BN164" s="12" t="n"/>
      <c r="BO164" s="12" t="n"/>
      <c r="BP164" s="12" t="n"/>
      <c r="BQ164" s="12" t="n"/>
      <c r="BR164" s="12" t="n"/>
      <c r="BS164" s="12" t="n"/>
      <c r="BT164" s="12" t="n"/>
      <c r="BU164" s="12" t="n"/>
      <c r="BV164" s="12" t="n"/>
      <c r="BW164" s="12" t="n"/>
      <c r="BX164" s="12" t="n"/>
      <c r="BY164" s="12" t="n"/>
      <c r="BZ164" s="12" t="n"/>
      <c r="CA164" s="12" t="n"/>
      <c r="CB164" s="12" t="n"/>
      <c r="CC164" s="12" t="n"/>
      <c r="CD164" s="12" t="n"/>
      <c r="CE164" s="12" t="n"/>
      <c r="CF164" s="12" t="n"/>
      <c r="CG164" s="12" t="n"/>
      <c r="CH164" s="12" t="n"/>
      <c r="CI164" s="12" t="n"/>
      <c r="CJ164" s="12" t="n"/>
      <c r="CK164" s="12" t="n"/>
      <c r="CL164" s="12" t="n"/>
      <c r="CM164" s="12" t="n"/>
      <c r="CN164" s="12" t="n"/>
      <c r="CO164" s="12" t="n"/>
      <c r="CP164" s="12" t="n"/>
      <c r="CQ164" s="12" t="n"/>
      <c r="CR164" s="12" t="n"/>
      <c r="CS164" s="12" t="n"/>
      <c r="CT164" s="12" t="n"/>
      <c r="CU164" s="12" t="n"/>
      <c r="CV164" s="12" t="n"/>
      <c r="CW164" s="12" t="n"/>
      <c r="CX164" s="12" t="n"/>
      <c r="CY164" s="12" t="n"/>
    </row>
    <row r="165" collapsed="1">
      <c r="C165" s="14" t="inlineStr">
        <is>
          <t>Goodwill</t>
        </is>
      </c>
      <c r="D165" s="46" t="n"/>
      <c r="E165" s="46" t="n"/>
      <c r="F165" s="46" t="n"/>
      <c r="G165" s="46" t="n"/>
      <c r="H165" s="12" t="n"/>
      <c r="I165" s="46">
        <f>'Inputs (2)'!D24</f>
        <v>0</v>
      </c>
      <c r="J165" s="46">
        <f>'Inputs (2)'!E24</f>
        <v>0</v>
      </c>
      <c r="K165" s="46">
        <f>'Inputs (2)'!F24</f>
        <v>0</v>
      </c>
      <c r="L165" s="46">
        <f>'Inputs (2)'!G24</f>
        <v>0</v>
      </c>
      <c r="M165" s="12">
        <f>'Inputs (2)'!H24</f>
        <v>0</v>
      </c>
      <c r="N165" s="46">
        <f>'Inputs (2)'!I24</f>
        <v>0</v>
      </c>
      <c r="O165" s="46">
        <f>'Inputs (2)'!J24</f>
        <v>0</v>
      </c>
      <c r="P165" s="46">
        <f>'Inputs (2)'!K24</f>
        <v>0</v>
      </c>
      <c r="Q165" s="46">
        <f>'Inputs (2)'!L24</f>
        <v>0</v>
      </c>
      <c r="R165" s="12">
        <f>'Inputs (2)'!M24</f>
        <v>0</v>
      </c>
      <c r="S165" s="46">
        <f>'Inputs (2)'!N24</f>
        <v>0</v>
      </c>
      <c r="T165" s="46">
        <f>'Inputs (2)'!O24</f>
        <v>0</v>
      </c>
      <c r="U165" s="46">
        <f>'Inputs (2)'!P24</f>
        <v>0</v>
      </c>
      <c r="V165" s="46">
        <f>'Inputs (2)'!Q24</f>
        <v>0</v>
      </c>
      <c r="W165" s="12">
        <f>'Inputs (2)'!R24</f>
        <v>0</v>
      </c>
      <c r="X165" s="46">
        <f>'Inputs (2)'!S24</f>
        <v>0</v>
      </c>
      <c r="Y165" s="46">
        <f>'Inputs (2)'!T24</f>
        <v>0</v>
      </c>
      <c r="Z165" s="46">
        <f>'Inputs (2)'!U24</f>
        <v>0</v>
      </c>
      <c r="AA165" s="46">
        <f>'Inputs (2)'!V24</f>
        <v>0</v>
      </c>
      <c r="AB165" s="12">
        <f>'Inputs (2)'!W24</f>
        <v>0</v>
      </c>
      <c r="AC165" s="46">
        <f>'Inputs (2)'!X24</f>
        <v>0</v>
      </c>
      <c r="AD165" s="46">
        <f>'Inputs (2)'!Y24</f>
        <v>0</v>
      </c>
      <c r="AE165" s="46">
        <f>'Inputs (2)'!Z24</f>
        <v>0</v>
      </c>
      <c r="AF165" s="46">
        <f>'Inputs (2)'!AA24</f>
        <v>0</v>
      </c>
      <c r="AG165" s="12">
        <f>'Inputs (2)'!AB24</f>
        <v>0</v>
      </c>
      <c r="AH165" s="12">
        <f>'Inputs (2)'!AC24</f>
        <v>0</v>
      </c>
      <c r="AI165" s="12">
        <f>'Inputs (2)'!AD24</f>
        <v>0</v>
      </c>
      <c r="AJ165" s="12">
        <f>AI165</f>
        <v>0</v>
      </c>
      <c r="AK165" s="12">
        <f>AJ165</f>
        <v>0</v>
      </c>
      <c r="AL165" s="12">
        <f>AK165</f>
        <v>0</v>
      </c>
      <c r="AM165" s="12">
        <f>AL165</f>
        <v>0</v>
      </c>
      <c r="AN165" s="12">
        <f>AM165</f>
        <v>0</v>
      </c>
      <c r="AO165" s="12">
        <f>AN165</f>
        <v>0</v>
      </c>
      <c r="AP165" s="12">
        <f>AO165</f>
        <v>0</v>
      </c>
      <c r="AQ165" s="12">
        <f>AP165</f>
        <v>0</v>
      </c>
      <c r="AR165" s="12">
        <f>AQ165</f>
        <v>0</v>
      </c>
      <c r="AS165" s="12">
        <f>AR165</f>
        <v>0</v>
      </c>
      <c r="AT165" s="12">
        <f>AS165</f>
        <v>0</v>
      </c>
      <c r="AU165" s="12">
        <f>AT165</f>
        <v>0</v>
      </c>
      <c r="AV165" s="12">
        <f>AU165</f>
        <v>0</v>
      </c>
      <c r="AW165" s="12">
        <f>AV165</f>
        <v>0</v>
      </c>
      <c r="AX165" s="12">
        <f>AW165</f>
        <v>0</v>
      </c>
      <c r="AY165" s="12">
        <f>AX165</f>
        <v>0</v>
      </c>
      <c r="AZ165" s="12">
        <f>AY165</f>
        <v>0</v>
      </c>
      <c r="BA165" s="12">
        <f>AZ165</f>
        <v>0</v>
      </c>
      <c r="BB165" s="12">
        <f>BA165</f>
        <v>0</v>
      </c>
      <c r="BC165" s="12">
        <f>BB165</f>
        <v>0</v>
      </c>
      <c r="BD165" s="12">
        <f>BC165</f>
        <v>0</v>
      </c>
      <c r="BE165" s="12">
        <f>BD165</f>
        <v>0</v>
      </c>
      <c r="BF165" s="12">
        <f>BE165</f>
        <v>0</v>
      </c>
      <c r="BG165" s="12" t="n"/>
      <c r="BH165" s="12" t="n"/>
      <c r="BI165" s="12" t="n"/>
      <c r="BJ165" s="12" t="n"/>
      <c r="BK165" s="12" t="n"/>
      <c r="BL165" s="12" t="n"/>
      <c r="BM165" s="12" t="n"/>
      <c r="BN165" s="12" t="n"/>
      <c r="BO165" s="12" t="n"/>
      <c r="BP165" s="12" t="n"/>
      <c r="BQ165" s="12" t="n"/>
      <c r="BR165" s="12" t="n"/>
      <c r="BS165" s="12" t="n"/>
      <c r="BT165" s="12" t="n"/>
      <c r="BU165" s="12" t="n"/>
      <c r="BV165" s="12" t="n"/>
      <c r="BW165" s="12" t="n"/>
      <c r="BX165" s="12" t="n"/>
      <c r="BY165" s="12" t="n"/>
      <c r="BZ165" s="12" t="n"/>
      <c r="CA165" s="12" t="n"/>
      <c r="CB165" s="12" t="n"/>
      <c r="CC165" s="12" t="n"/>
      <c r="CD165" s="12" t="n"/>
      <c r="CE165" s="12" t="n"/>
      <c r="CF165" s="12" t="n"/>
      <c r="CG165" s="12" t="n"/>
      <c r="CH165" s="12" t="n"/>
      <c r="CI165" s="12" t="n"/>
      <c r="CJ165" s="12" t="n"/>
      <c r="CK165" s="12" t="n"/>
      <c r="CL165" s="12" t="n"/>
      <c r="CM165" s="12" t="n"/>
      <c r="CN165" s="12" t="n"/>
      <c r="CO165" s="12" t="n"/>
      <c r="CP165" s="12" t="n"/>
      <c r="CQ165" s="12" t="n"/>
      <c r="CR165" s="12" t="n"/>
      <c r="CS165" s="12" t="n"/>
      <c r="CT165" s="12" t="n"/>
      <c r="CU165" s="12" t="n"/>
      <c r="CV165" s="12" t="n"/>
      <c r="CW165" s="12" t="n"/>
      <c r="CX165" s="12" t="n"/>
      <c r="CY165" s="12" t="n"/>
    </row>
    <row r="166">
      <c r="C166" s="14" t="inlineStr">
        <is>
          <t>Intangibles</t>
        </is>
      </c>
      <c r="D166" s="46" t="n"/>
      <c r="E166" s="46" t="n"/>
      <c r="F166" s="46" t="n"/>
      <c r="G166" s="46" t="n"/>
      <c r="H166" s="12" t="n"/>
      <c r="I166" s="46">
        <f>'Inputs (2)'!D25</f>
        <v>0</v>
      </c>
      <c r="J166" s="46">
        <f>'Inputs (2)'!E25</f>
        <v>0</v>
      </c>
      <c r="K166" s="46">
        <f>'Inputs (2)'!F25</f>
        <v>0</v>
      </c>
      <c r="L166" s="46">
        <f>'Inputs (2)'!G25</f>
        <v>0</v>
      </c>
      <c r="M166" s="12">
        <f>'Inputs (2)'!H25</f>
        <v>0</v>
      </c>
      <c r="N166" s="46">
        <f>'Inputs (2)'!I25</f>
        <v>0</v>
      </c>
      <c r="O166" s="46">
        <f>'Inputs (2)'!J25</f>
        <v>0</v>
      </c>
      <c r="P166" s="46">
        <f>'Inputs (2)'!K25</f>
        <v>0</v>
      </c>
      <c r="Q166" s="46">
        <f>'Inputs (2)'!L25</f>
        <v>0</v>
      </c>
      <c r="R166" s="12">
        <f>'Inputs (2)'!M25</f>
        <v>0</v>
      </c>
      <c r="S166" s="46">
        <f>'Inputs (2)'!N25</f>
        <v>0</v>
      </c>
      <c r="T166" s="46">
        <f>'Inputs (2)'!O25</f>
        <v>0</v>
      </c>
      <c r="U166" s="46">
        <f>'Inputs (2)'!P25</f>
        <v>0</v>
      </c>
      <c r="V166" s="46">
        <f>'Inputs (2)'!Q25</f>
        <v>0</v>
      </c>
      <c r="W166" s="12">
        <f>'Inputs (2)'!R25</f>
        <v>0</v>
      </c>
      <c r="X166" s="46">
        <f>'Inputs (2)'!S25</f>
        <v>0</v>
      </c>
      <c r="Y166" s="46">
        <f>'Inputs (2)'!T25</f>
        <v>0</v>
      </c>
      <c r="Z166" s="46">
        <f>'Inputs (2)'!U25</f>
        <v>0</v>
      </c>
      <c r="AA166" s="46">
        <f>'Inputs (2)'!V25</f>
        <v>0</v>
      </c>
      <c r="AB166" s="12">
        <f>'Inputs (2)'!W25</f>
        <v>0</v>
      </c>
      <c r="AC166" s="46">
        <f>'Inputs (2)'!X25</f>
        <v>0</v>
      </c>
      <c r="AD166" s="46">
        <f>'Inputs (2)'!Y25</f>
        <v>0</v>
      </c>
      <c r="AE166" s="46">
        <f>'Inputs (2)'!Z25</f>
        <v>0</v>
      </c>
      <c r="AF166" s="46">
        <f>'Inputs (2)'!AA25</f>
        <v>0</v>
      </c>
      <c r="AG166" s="12">
        <f>'Inputs (2)'!AB25</f>
        <v>0</v>
      </c>
      <c r="AH166" s="12">
        <f>'Inputs (2)'!AC25</f>
        <v>0</v>
      </c>
      <c r="AI166" s="12">
        <f>'Inputs (2)'!AD25</f>
        <v>0</v>
      </c>
      <c r="AJ166" s="12">
        <f>AI166</f>
        <v>0</v>
      </c>
      <c r="AK166" s="12">
        <f>AJ166</f>
        <v>0</v>
      </c>
      <c r="AL166" s="12">
        <f>AK166</f>
        <v>0</v>
      </c>
      <c r="AM166" s="16">
        <f>AL166</f>
        <v>0</v>
      </c>
      <c r="AN166" s="12">
        <f>AM166</f>
        <v>0</v>
      </c>
      <c r="AO166" s="12">
        <f>AN166</f>
        <v>0</v>
      </c>
      <c r="AP166" s="12">
        <f>AO166</f>
        <v>0</v>
      </c>
      <c r="AQ166" s="12">
        <f>AP166</f>
        <v>0</v>
      </c>
      <c r="AR166" s="16">
        <f>AQ166</f>
        <v>0</v>
      </c>
      <c r="AS166" s="12">
        <f>AR166</f>
        <v>0</v>
      </c>
      <c r="AT166" s="12">
        <f>AS166</f>
        <v>0</v>
      </c>
      <c r="AU166" s="12">
        <f>AT166</f>
        <v>0</v>
      </c>
      <c r="AV166" s="12">
        <f>AU166</f>
        <v>0</v>
      </c>
      <c r="AW166" s="16">
        <f>AV166</f>
        <v>0</v>
      </c>
      <c r="AX166" s="12">
        <f>AW166</f>
        <v>0</v>
      </c>
      <c r="AY166" s="12">
        <f>AX166</f>
        <v>0</v>
      </c>
      <c r="AZ166" s="12">
        <f>AY166</f>
        <v>0</v>
      </c>
      <c r="BA166" s="12">
        <f>AZ166</f>
        <v>0</v>
      </c>
      <c r="BB166" s="16">
        <f>BA166</f>
        <v>0</v>
      </c>
      <c r="BC166" s="12">
        <f>BB166</f>
        <v>0</v>
      </c>
      <c r="BD166" s="12">
        <f>BC166</f>
        <v>0</v>
      </c>
      <c r="BE166" s="12">
        <f>BD166</f>
        <v>0</v>
      </c>
      <c r="BF166" s="12">
        <f>BE166</f>
        <v>0</v>
      </c>
      <c r="BH166" s="12" t="n"/>
      <c r="BI166" s="12" t="n"/>
      <c r="BJ166" s="12" t="n"/>
      <c r="BK166" s="12" t="n"/>
      <c r="BM166" s="12" t="n"/>
      <c r="BN166" s="12" t="n"/>
      <c r="BO166" s="12" t="n"/>
      <c r="BP166" s="12" t="n"/>
      <c r="BR166" s="12" t="n"/>
      <c r="BS166" s="12" t="n"/>
      <c r="BT166" s="12" t="n"/>
      <c r="BU166" s="12" t="n"/>
      <c r="BW166" s="12" t="n"/>
      <c r="BX166" s="12" t="n"/>
      <c r="BY166" s="12" t="n"/>
      <c r="BZ166" s="12" t="n"/>
      <c r="CB166" s="12" t="n"/>
      <c r="CC166" s="12" t="n"/>
      <c r="CD166" s="12" t="n"/>
      <c r="CE166" s="12" t="n"/>
      <c r="CG166" s="12" t="n"/>
      <c r="CH166" s="12" t="n"/>
      <c r="CI166" s="12" t="n"/>
      <c r="CJ166" s="12" t="n"/>
      <c r="CL166" s="12" t="n"/>
      <c r="CM166" s="12" t="n"/>
      <c r="CN166" s="12" t="n"/>
      <c r="CO166" s="12" t="n"/>
      <c r="CQ166" s="12" t="n"/>
      <c r="CR166" s="12" t="n"/>
      <c r="CS166" s="12" t="n"/>
      <c r="CT166" s="12" t="n"/>
      <c r="CV166" s="12" t="n"/>
      <c r="CW166" s="12" t="n"/>
      <c r="CX166" s="12" t="n"/>
      <c r="CY166" s="12" t="n"/>
    </row>
    <row r="167" hidden="1" outlineLevel="1">
      <c r="C167" s="57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2" t="n"/>
      <c r="Z167" s="12" t="n"/>
      <c r="AA167" s="12" t="n"/>
      <c r="AB167" s="12" t="n"/>
      <c r="AC167" s="12" t="n"/>
      <c r="AD167" s="12" t="n"/>
      <c r="AE167" s="12" t="n"/>
      <c r="AF167" s="12" t="n"/>
      <c r="AG167" s="12" t="n"/>
      <c r="AH167" s="12" t="n"/>
      <c r="AI167" s="12" t="n"/>
      <c r="AJ167" s="12" t="n"/>
      <c r="AK167" s="12" t="n"/>
      <c r="AL167" s="12" t="n"/>
      <c r="AM167" s="12" t="n"/>
      <c r="AN167" s="12" t="n"/>
      <c r="AO167" s="12" t="n"/>
      <c r="AP167" s="12" t="n"/>
      <c r="AQ167" s="12" t="n"/>
      <c r="AR167" s="12" t="n"/>
      <c r="AS167" s="12" t="n"/>
      <c r="AT167" s="12" t="n"/>
      <c r="AU167" s="12" t="n"/>
      <c r="AV167" s="12" t="n"/>
      <c r="AW167" s="12" t="n"/>
      <c r="AX167" s="12" t="n"/>
      <c r="AY167" s="12" t="n"/>
      <c r="AZ167" s="12" t="n"/>
      <c r="BA167" s="12" t="n"/>
      <c r="BB167" s="12" t="n"/>
      <c r="BC167" s="12" t="n"/>
      <c r="BD167" s="12" t="n"/>
      <c r="BE167" s="12" t="n"/>
      <c r="BF167" s="12" t="n"/>
      <c r="BG167" s="12" t="n"/>
      <c r="BH167" s="12" t="n"/>
      <c r="BI167" s="12" t="n"/>
      <c r="BJ167" s="12" t="n"/>
      <c r="BK167" s="12" t="n"/>
      <c r="BL167" s="12" t="n"/>
      <c r="BM167" s="12" t="n"/>
      <c r="BN167" s="12" t="n"/>
      <c r="BO167" s="12" t="n"/>
      <c r="BP167" s="12" t="n"/>
      <c r="BQ167" s="12" t="n"/>
      <c r="BR167" s="12" t="n"/>
      <c r="BS167" s="12" t="n"/>
      <c r="BT167" s="12" t="n"/>
      <c r="BU167" s="12" t="n"/>
      <c r="BV167" s="12" t="n"/>
      <c r="BW167" s="12" t="n"/>
      <c r="BX167" s="12" t="n"/>
      <c r="BY167" s="12" t="n"/>
      <c r="BZ167" s="12" t="n"/>
      <c r="CA167" s="12" t="n"/>
      <c r="CB167" s="12" t="n"/>
      <c r="CC167" s="12" t="n"/>
      <c r="CD167" s="12" t="n"/>
      <c r="CE167" s="12" t="n"/>
      <c r="CF167" s="12" t="n"/>
      <c r="CG167" s="12" t="n"/>
      <c r="CH167" s="12" t="n"/>
      <c r="CI167" s="12" t="n"/>
      <c r="CJ167" s="12" t="n"/>
      <c r="CK167" s="12" t="n"/>
      <c r="CL167" s="12" t="n"/>
      <c r="CM167" s="12" t="n"/>
      <c r="CN167" s="12" t="n"/>
      <c r="CO167" s="12" t="n"/>
      <c r="CP167" s="12" t="n"/>
      <c r="CQ167" s="12" t="n"/>
      <c r="CR167" s="12" t="n"/>
      <c r="CS167" s="12" t="n"/>
      <c r="CT167" s="12" t="n"/>
      <c r="CU167" s="12" t="n"/>
      <c r="CV167" s="12" t="n"/>
      <c r="CW167" s="12" t="n"/>
      <c r="CX167" s="12" t="n"/>
      <c r="CY167" s="12" t="n"/>
    </row>
    <row r="168" hidden="1" outlineLevel="1">
      <c r="C168" s="57" t="inlineStr">
        <is>
          <t>Purchase of intangible assets</t>
        </is>
      </c>
      <c r="D168" s="12" t="n"/>
      <c r="E168" s="12" t="n"/>
      <c r="F168" s="12" t="n"/>
      <c r="G168" s="12" t="n"/>
      <c r="H168" s="12" t="n"/>
      <c r="I168" s="12" t="str">
        <f>IF(COUNT(H166)=0,"",I166-H166-I70)</f>
        <v/>
      </c>
      <c r="J168" s="12">
        <f>J166-I166-J70</f>
        <v>0</v>
      </c>
      <c r="K168" s="12">
        <f>K166-J166-K70</f>
        <v>0</v>
      </c>
      <c r="L168" s="12">
        <f>L166-K166-L70</f>
        <v>0</v>
      </c>
      <c r="M168" s="12" t="n"/>
      <c r="N168" s="12">
        <f>N166-M166-N70</f>
        <v>0</v>
      </c>
      <c r="O168" s="12">
        <f>O166-N166-O70</f>
        <v>0</v>
      </c>
      <c r="P168" s="12">
        <f>P166-O166-P70</f>
        <v>0</v>
      </c>
      <c r="Q168" s="12">
        <f>Q166-P166-Q70</f>
        <v>0</v>
      </c>
      <c r="R168" s="12" t="n"/>
      <c r="S168" s="12">
        <f>S166-R166-S70</f>
        <v>0</v>
      </c>
      <c r="T168" s="12">
        <f>T166-S166-T70</f>
        <v>0</v>
      </c>
      <c r="U168" s="12">
        <f>U166-T166-U70</f>
        <v>0</v>
      </c>
      <c r="V168" s="12">
        <f>V166-U166-V70</f>
        <v>0</v>
      </c>
      <c r="W168" s="12" t="n"/>
      <c r="X168" s="12">
        <f>X166-W166-X70</f>
        <v>0</v>
      </c>
      <c r="Y168" s="12">
        <f>Y166-X166-Y70</f>
        <v>0</v>
      </c>
      <c r="Z168" s="12">
        <f>Z166-Y166-Z70</f>
        <v>0</v>
      </c>
      <c r="AA168" s="12">
        <f>AA166-Z166-AA70</f>
        <v>0</v>
      </c>
      <c r="AB168" s="12" t="n"/>
      <c r="AC168" s="12">
        <f>AC166-AB166-AC70</f>
        <v>0</v>
      </c>
      <c r="AD168" s="12">
        <f>AD166-AC166-AD70</f>
        <v>0</v>
      </c>
      <c r="AE168" s="12">
        <f>AE166-AD166-AE70</f>
        <v>0</v>
      </c>
      <c r="AF168" s="12">
        <f>AF166-AE166-AF70</f>
        <v>0</v>
      </c>
      <c r="AG168" s="12" t="n"/>
      <c r="AH168" s="11">
        <f>AH166-AG166-AH70</f>
        <v>0</v>
      </c>
      <c r="AI168" s="11">
        <f>AI166-AH166-AI70</f>
        <v>0</v>
      </c>
      <c r="AJ168" s="11" t="n"/>
      <c r="AK168" s="11" t="n"/>
      <c r="AL168" s="12" t="n"/>
      <c r="AM168" s="11" t="n"/>
      <c r="AN168" s="11" t="n"/>
      <c r="AO168" s="11" t="n"/>
      <c r="AP168" s="11" t="n"/>
      <c r="AQ168" s="12" t="n"/>
      <c r="AR168" s="11" t="n"/>
      <c r="AS168" s="11" t="n"/>
      <c r="AT168" s="11" t="n"/>
      <c r="AU168" s="11" t="n"/>
      <c r="AV168" s="12" t="n"/>
      <c r="AW168" s="11" t="n"/>
      <c r="AX168" s="11" t="n"/>
      <c r="AY168" s="11" t="n"/>
      <c r="AZ168" s="11" t="n"/>
      <c r="BA168" s="12" t="n"/>
      <c r="BB168" s="11" t="n"/>
      <c r="BC168" s="11" t="n"/>
      <c r="BD168" s="11" t="n"/>
      <c r="BE168" s="11" t="n"/>
      <c r="BF168" s="12" t="n"/>
      <c r="BG168" s="11" t="n"/>
      <c r="BH168" s="11" t="n"/>
      <c r="BI168" s="11" t="n"/>
      <c r="BJ168" s="11" t="n"/>
      <c r="BK168" s="12" t="n"/>
      <c r="BL168" s="11" t="n"/>
      <c r="BM168" s="11" t="n"/>
      <c r="BN168" s="11" t="n"/>
      <c r="BO168" s="11" t="n"/>
      <c r="BP168" s="12" t="n"/>
      <c r="BQ168" s="11" t="n"/>
      <c r="BR168" s="11" t="n"/>
      <c r="BS168" s="11" t="n"/>
      <c r="BT168" s="11" t="n"/>
      <c r="BU168" s="12" t="n"/>
      <c r="BV168" s="11" t="n"/>
      <c r="BW168" s="11" t="n"/>
      <c r="BX168" s="11" t="n"/>
      <c r="BY168" s="11" t="n"/>
      <c r="BZ168" s="12" t="n"/>
      <c r="CA168" s="11" t="n"/>
      <c r="CB168" s="11" t="n"/>
      <c r="CC168" s="11" t="n"/>
      <c r="CD168" s="11" t="n"/>
      <c r="CE168" s="12" t="n"/>
      <c r="CF168" s="11" t="n"/>
      <c r="CG168" s="11" t="n"/>
      <c r="CH168" s="11" t="n"/>
      <c r="CI168" s="11" t="n"/>
      <c r="CJ168" s="12" t="n"/>
      <c r="CK168" s="11" t="n"/>
      <c r="CL168" s="11" t="n"/>
      <c r="CM168" s="11" t="n"/>
      <c r="CN168" s="11" t="n"/>
      <c r="CO168" s="12" t="n"/>
      <c r="CP168" s="11" t="n"/>
      <c r="CQ168" s="11" t="n"/>
      <c r="CR168" s="11" t="n"/>
      <c r="CS168" s="11" t="n"/>
      <c r="CT168" s="12" t="n"/>
      <c r="CU168" s="11" t="n"/>
      <c r="CV168" s="11" t="n"/>
      <c r="CW168" s="11" t="n"/>
      <c r="CX168" s="11" t="n"/>
      <c r="CY168" s="12" t="n"/>
    </row>
    <row r="169" hidden="1" outlineLevel="1">
      <c r="C169" s="57" t="inlineStr">
        <is>
          <t>Amortization (enter as -)</t>
        </is>
      </c>
      <c r="D169" s="12" t="n"/>
      <c r="E169" s="12" t="n"/>
      <c r="F169" s="12" t="n"/>
      <c r="G169" s="12" t="n"/>
      <c r="H169" s="12" t="n"/>
      <c r="I169" s="12">
        <f>I69</f>
        <v>0</v>
      </c>
      <c r="J169" s="12">
        <f>J69</f>
        <v>0</v>
      </c>
      <c r="K169" s="12">
        <f>K69</f>
        <v>0</v>
      </c>
      <c r="L169" s="12">
        <f>L69</f>
        <v>0</v>
      </c>
      <c r="M169" s="12" t="n"/>
      <c r="N169" s="12">
        <f>N69</f>
        <v>0</v>
      </c>
      <c r="O169" s="12">
        <f>O69</f>
        <v>0</v>
      </c>
      <c r="P169" s="12">
        <f>P69</f>
        <v>0</v>
      </c>
      <c r="Q169" s="12">
        <f>Q69</f>
        <v>0</v>
      </c>
      <c r="R169" s="12" t="n"/>
      <c r="S169" s="12">
        <f>S69</f>
        <v>0</v>
      </c>
      <c r="T169" s="12">
        <f>T69</f>
        <v>0</v>
      </c>
      <c r="U169" s="12">
        <f>U69</f>
        <v>0</v>
      </c>
      <c r="V169" s="12">
        <f>V69</f>
        <v>0</v>
      </c>
      <c r="W169" s="12" t="n"/>
      <c r="X169" s="12">
        <f>X69</f>
        <v>0</v>
      </c>
      <c r="Y169" s="12">
        <f>Y69</f>
        <v>0</v>
      </c>
      <c r="Z169" s="12">
        <f>Z69</f>
        <v>0</v>
      </c>
      <c r="AA169" s="12">
        <f>AA69</f>
        <v>0</v>
      </c>
      <c r="AB169" s="12" t="n"/>
      <c r="AC169" s="12">
        <f>AC69</f>
        <v>0</v>
      </c>
      <c r="AD169" s="12">
        <f>AD69</f>
        <v>0</v>
      </c>
      <c r="AE169" s="12">
        <f>AE69</f>
        <v>0</v>
      </c>
      <c r="AF169" s="12">
        <f>AF69</f>
        <v>0</v>
      </c>
      <c r="AG169" s="12" t="n"/>
      <c r="AH169" s="12">
        <f>AH69</f>
        <v>0</v>
      </c>
      <c r="AI169" s="11">
        <f>AI69</f>
        <v>0</v>
      </c>
      <c r="AJ169" s="11" t="n"/>
      <c r="AK169" s="11" t="n"/>
      <c r="AL169" s="12" t="n"/>
      <c r="AM169" s="11" t="n"/>
      <c r="AN169" s="11" t="n"/>
      <c r="AO169" s="11" t="n"/>
      <c r="AP169" s="11" t="n"/>
      <c r="AQ169" s="12" t="n"/>
      <c r="AR169" s="11" t="n"/>
      <c r="AS169" s="11" t="n"/>
      <c r="AT169" s="11" t="n"/>
      <c r="AU169" s="11" t="n"/>
      <c r="AV169" s="12" t="n"/>
      <c r="AW169" s="11" t="n"/>
      <c r="AX169" s="11" t="n"/>
      <c r="AY169" s="11" t="n"/>
      <c r="AZ169" s="11" t="n"/>
      <c r="BA169" s="12" t="n"/>
      <c r="BB169" s="11" t="n"/>
      <c r="BC169" s="11" t="n"/>
      <c r="BD169" s="11" t="n"/>
      <c r="BE169" s="11" t="n"/>
      <c r="BF169" s="12" t="n"/>
      <c r="BG169" s="11" t="n"/>
      <c r="BH169" s="11" t="n"/>
      <c r="BI169" s="11" t="n"/>
      <c r="BJ169" s="11" t="n"/>
      <c r="BK169" s="12" t="n"/>
      <c r="BL169" s="11" t="n"/>
      <c r="BM169" s="11" t="n"/>
      <c r="BN169" s="11" t="n"/>
      <c r="BO169" s="11" t="n"/>
      <c r="BP169" s="12" t="n"/>
      <c r="BQ169" s="11" t="n"/>
      <c r="BR169" s="11" t="n"/>
      <c r="BS169" s="11" t="n"/>
      <c r="BT169" s="11" t="n"/>
      <c r="BU169" s="12" t="n"/>
      <c r="BV169" s="11" t="n"/>
      <c r="BW169" s="11" t="n"/>
      <c r="BX169" s="11" t="n"/>
      <c r="BY169" s="11" t="n"/>
      <c r="BZ169" s="12" t="n"/>
      <c r="CA169" s="11" t="n"/>
      <c r="CB169" s="11" t="n"/>
      <c r="CC169" s="11" t="n"/>
      <c r="CD169" s="11" t="n"/>
      <c r="CE169" s="12" t="n"/>
      <c r="CF169" s="11" t="n"/>
      <c r="CG169" s="11" t="n"/>
      <c r="CH169" s="11" t="n"/>
      <c r="CI169" s="11" t="n"/>
      <c r="CJ169" s="12" t="n"/>
      <c r="CK169" s="11" t="n"/>
      <c r="CL169" s="11" t="n"/>
      <c r="CM169" s="11" t="n"/>
      <c r="CN169" s="11" t="n"/>
      <c r="CO169" s="12" t="n"/>
      <c r="CP169" s="11" t="n"/>
      <c r="CQ169" s="11" t="n"/>
      <c r="CR169" s="11" t="n"/>
      <c r="CS169" s="11" t="n"/>
      <c r="CT169" s="12" t="n"/>
      <c r="CU169" s="11" t="n"/>
      <c r="CV169" s="11" t="n"/>
      <c r="CW169" s="11" t="n"/>
      <c r="CX169" s="11" t="n"/>
      <c r="CY169" s="12" t="n"/>
    </row>
    <row r="170" hidden="1" outlineLevel="1">
      <c r="C170" s="57" t="inlineStr">
        <is>
          <t>Intangibles</t>
        </is>
      </c>
      <c r="D170" s="12" t="n"/>
      <c r="E170" s="12" t="n"/>
      <c r="F170" s="12" t="n"/>
      <c r="G170" s="12" t="n"/>
      <c r="H170" s="12" t="n"/>
      <c r="I170" s="12">
        <f>I166</f>
        <v>0</v>
      </c>
      <c r="J170" s="12">
        <f>J166</f>
        <v>0</v>
      </c>
      <c r="K170" s="12">
        <f>K166</f>
        <v>0</v>
      </c>
      <c r="L170" s="12">
        <f>L166</f>
        <v>0</v>
      </c>
      <c r="M170" s="12">
        <f>M166</f>
        <v>0</v>
      </c>
      <c r="N170" s="12">
        <f>N166</f>
        <v>0</v>
      </c>
      <c r="O170" s="12">
        <f>O166</f>
        <v>0</v>
      </c>
      <c r="P170" s="12">
        <f>P166</f>
        <v>0</v>
      </c>
      <c r="Q170" s="12">
        <f>Q166</f>
        <v>0</v>
      </c>
      <c r="R170" s="12">
        <f>R166</f>
        <v>0</v>
      </c>
      <c r="S170" s="12">
        <f>S166</f>
        <v>0</v>
      </c>
      <c r="T170" s="12">
        <f>T166</f>
        <v>0</v>
      </c>
      <c r="U170" s="12">
        <f>U166</f>
        <v>0</v>
      </c>
      <c r="V170" s="12">
        <f>V166</f>
        <v>0</v>
      </c>
      <c r="W170" s="12">
        <f>W166</f>
        <v>0</v>
      </c>
      <c r="X170" s="12">
        <f>X166</f>
        <v>0</v>
      </c>
      <c r="Y170" s="12">
        <f>Y166</f>
        <v>0</v>
      </c>
      <c r="Z170" s="12">
        <f>Z166</f>
        <v>0</v>
      </c>
      <c r="AA170" s="12">
        <f>AA166</f>
        <v>0</v>
      </c>
      <c r="AB170" s="12">
        <f>AB166</f>
        <v>0</v>
      </c>
      <c r="AC170" s="12">
        <f>AC166</f>
        <v>0</v>
      </c>
      <c r="AD170" s="12">
        <f>AD166</f>
        <v>0</v>
      </c>
      <c r="AE170" s="12">
        <f>AE166</f>
        <v>0</v>
      </c>
      <c r="AF170" s="12">
        <f>AF166</f>
        <v>0</v>
      </c>
      <c r="AG170" s="12">
        <f>AG166</f>
        <v>0</v>
      </c>
      <c r="AH170" s="12">
        <f>AH166</f>
        <v>0</v>
      </c>
      <c r="AI170" s="12">
        <f>AI166</f>
        <v>0</v>
      </c>
      <c r="AJ170" s="12">
        <f>AJ166</f>
        <v>0</v>
      </c>
      <c r="AK170" s="12">
        <f>AK166</f>
        <v>0</v>
      </c>
      <c r="AL170" s="12" t="n"/>
      <c r="AM170" s="12">
        <f>AM166</f>
        <v>0</v>
      </c>
      <c r="AN170" s="12">
        <f>AN166</f>
        <v>0</v>
      </c>
      <c r="AO170" s="12">
        <f>AO166</f>
        <v>0</v>
      </c>
      <c r="AP170" s="12">
        <f>AP166</f>
        <v>0</v>
      </c>
      <c r="AQ170" s="12" t="n"/>
      <c r="AR170" s="12">
        <f>AR166</f>
        <v>0</v>
      </c>
      <c r="AS170" s="12">
        <f>AS166</f>
        <v>0</v>
      </c>
      <c r="AT170" s="12">
        <f>AT166</f>
        <v>0</v>
      </c>
      <c r="AU170" s="12">
        <f>AU166</f>
        <v>0</v>
      </c>
      <c r="AV170" s="12" t="n"/>
      <c r="AW170" s="12">
        <f>AW166</f>
        <v>0</v>
      </c>
      <c r="AX170" s="12">
        <f>AX166</f>
        <v>0</v>
      </c>
      <c r="AY170" s="12">
        <f>AY166</f>
        <v>0</v>
      </c>
      <c r="AZ170" s="12">
        <f>AZ166</f>
        <v>0</v>
      </c>
      <c r="BA170" s="12" t="n"/>
      <c r="BB170" s="12">
        <f>BB166</f>
        <v>0</v>
      </c>
      <c r="BC170" s="12">
        <f>BC166</f>
        <v>0</v>
      </c>
      <c r="BD170" s="12">
        <f>BD166</f>
        <v>0</v>
      </c>
      <c r="BE170" s="12">
        <f>BE166</f>
        <v>0</v>
      </c>
      <c r="BF170" s="12" t="n"/>
      <c r="BG170" s="12" t="n"/>
      <c r="BH170" s="12" t="n"/>
      <c r="BI170" s="12" t="n"/>
      <c r="BJ170" s="12" t="n"/>
      <c r="BK170" s="12" t="n"/>
      <c r="BL170" s="12" t="n"/>
      <c r="BM170" s="12" t="n"/>
      <c r="BN170" s="12" t="n"/>
      <c r="BO170" s="12" t="n"/>
      <c r="BP170" s="12" t="n"/>
      <c r="BQ170" s="12" t="n"/>
      <c r="BR170" s="12" t="n"/>
      <c r="BS170" s="12" t="n"/>
      <c r="BT170" s="12" t="n"/>
      <c r="BU170" s="12" t="n"/>
      <c r="BV170" s="12" t="n"/>
      <c r="BW170" s="12" t="n"/>
      <c r="BX170" s="12" t="n"/>
      <c r="BY170" s="12" t="n"/>
      <c r="BZ170" s="12" t="n"/>
      <c r="CA170" s="12" t="n"/>
      <c r="CB170" s="12" t="n"/>
      <c r="CC170" s="12" t="n"/>
      <c r="CD170" s="12" t="n"/>
      <c r="CE170" s="12" t="n"/>
      <c r="CF170" s="12" t="n"/>
      <c r="CG170" s="12" t="n"/>
      <c r="CH170" s="12" t="n"/>
      <c r="CI170" s="12" t="n"/>
      <c r="CJ170" s="12" t="n"/>
      <c r="CK170" s="12" t="n"/>
      <c r="CL170" s="12" t="n"/>
      <c r="CM170" s="12" t="n"/>
      <c r="CN170" s="12" t="n"/>
      <c r="CO170" s="12" t="n"/>
      <c r="CP170" s="12" t="n"/>
      <c r="CQ170" s="12" t="n"/>
      <c r="CR170" s="12" t="n"/>
      <c r="CS170" s="12" t="n"/>
      <c r="CT170" s="12" t="n"/>
      <c r="CU170" s="12" t="n"/>
      <c r="CV170" s="12" t="n"/>
      <c r="CW170" s="12" t="n"/>
      <c r="CX170" s="12" t="n"/>
      <c r="CY170" s="12" t="n"/>
    </row>
    <row r="171" hidden="1" outlineLevel="1">
      <c r="C171" s="57" t="n"/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12" t="n"/>
      <c r="W171" s="12" t="n"/>
      <c r="X171" s="12" t="n"/>
      <c r="Y171" s="12" t="n"/>
      <c r="Z171" s="12" t="n"/>
      <c r="AA171" s="12" t="n"/>
      <c r="AB171" s="12" t="n"/>
      <c r="AC171" s="12" t="n"/>
      <c r="AD171" s="12" t="n"/>
      <c r="AE171" s="12" t="n"/>
      <c r="AF171" s="12" t="n"/>
      <c r="AG171" s="12" t="n"/>
      <c r="AH171" s="12" t="n"/>
      <c r="AI171" s="12" t="n"/>
      <c r="AJ171" s="12" t="n"/>
      <c r="AK171" s="12" t="n"/>
      <c r="AL171" s="12" t="n"/>
      <c r="AM171" s="12" t="n"/>
      <c r="AN171" s="12" t="n"/>
      <c r="AO171" s="12" t="n"/>
      <c r="AP171" s="12" t="n"/>
      <c r="AQ171" s="12" t="n"/>
      <c r="AR171" s="12" t="n"/>
      <c r="AS171" s="12" t="n"/>
      <c r="AT171" s="12" t="n"/>
      <c r="AU171" s="12" t="n"/>
      <c r="AV171" s="12" t="n"/>
      <c r="AW171" s="12" t="n"/>
      <c r="AX171" s="12" t="n"/>
      <c r="AY171" s="12" t="n"/>
      <c r="AZ171" s="12" t="n"/>
      <c r="BA171" s="12" t="n"/>
      <c r="BB171" s="12" t="n"/>
      <c r="BC171" s="12" t="n"/>
      <c r="BD171" s="12" t="n"/>
      <c r="BE171" s="12" t="n"/>
      <c r="BF171" s="12" t="n"/>
      <c r="BG171" s="12" t="n"/>
      <c r="BH171" s="12" t="n"/>
      <c r="BI171" s="12" t="n"/>
      <c r="BJ171" s="12" t="n"/>
      <c r="BK171" s="12" t="n"/>
      <c r="BL171" s="12" t="n"/>
      <c r="BM171" s="12" t="n"/>
      <c r="BN171" s="12" t="n"/>
      <c r="BO171" s="12" t="n"/>
      <c r="BP171" s="12" t="n"/>
      <c r="BQ171" s="12" t="n"/>
      <c r="BR171" s="12" t="n"/>
      <c r="BS171" s="12" t="n"/>
      <c r="BT171" s="12" t="n"/>
      <c r="BU171" s="12" t="n"/>
      <c r="BV171" s="12" t="n"/>
      <c r="BW171" s="12" t="n"/>
      <c r="BX171" s="12" t="n"/>
      <c r="BY171" s="12" t="n"/>
      <c r="BZ171" s="12" t="n"/>
      <c r="CA171" s="12" t="n"/>
      <c r="CB171" s="12" t="n"/>
      <c r="CC171" s="12" t="n"/>
      <c r="CD171" s="12" t="n"/>
      <c r="CE171" s="12" t="n"/>
      <c r="CF171" s="12" t="n"/>
      <c r="CG171" s="12" t="n"/>
      <c r="CH171" s="12" t="n"/>
      <c r="CI171" s="12" t="n"/>
      <c r="CJ171" s="12" t="n"/>
      <c r="CK171" s="12" t="n"/>
      <c r="CL171" s="12" t="n"/>
      <c r="CM171" s="12" t="n"/>
      <c r="CN171" s="12" t="n"/>
      <c r="CO171" s="12" t="n"/>
      <c r="CP171" s="12" t="n"/>
      <c r="CQ171" s="12" t="n"/>
      <c r="CR171" s="12" t="n"/>
      <c r="CS171" s="12" t="n"/>
      <c r="CT171" s="12" t="n"/>
      <c r="CU171" s="12" t="n"/>
      <c r="CV171" s="12" t="n"/>
      <c r="CW171" s="12" t="n"/>
      <c r="CX171" s="12" t="n"/>
      <c r="CY171" s="12" t="n"/>
    </row>
    <row r="172" hidden="1" outlineLevel="1">
      <c r="C172" s="57" t="inlineStr">
        <is>
          <t>Definir % do D&amp;A No PPE and Intagibles</t>
        </is>
      </c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  <c r="P172" s="12" t="n"/>
      <c r="Q172" s="12" t="n"/>
      <c r="R172" s="12" t="n"/>
      <c r="S172" s="12" t="n"/>
      <c r="T172" s="12" t="n"/>
      <c r="U172" s="12" t="n"/>
      <c r="V172" s="12" t="n"/>
      <c r="W172" s="12" t="n"/>
      <c r="X172" s="12" t="n"/>
      <c r="Y172" s="12" t="n"/>
      <c r="Z172" s="12" t="n"/>
      <c r="AA172" s="12" t="n"/>
      <c r="AB172" s="12" t="n"/>
      <c r="AC172" s="12" t="n"/>
      <c r="AD172" s="12" t="n"/>
      <c r="AE172" s="12" t="n"/>
      <c r="AF172" s="12" t="n"/>
      <c r="AG172" s="12" t="n"/>
      <c r="AH172" s="12" t="n"/>
      <c r="AI172" s="12" t="n"/>
      <c r="AJ172" s="12" t="n"/>
      <c r="AK172" s="12" t="n"/>
      <c r="AL172" s="12" t="n"/>
      <c r="AM172" s="12" t="n"/>
      <c r="AN172" s="12" t="n"/>
      <c r="AO172" s="12" t="n"/>
      <c r="AP172" s="12" t="n"/>
      <c r="AQ172" s="12" t="n"/>
      <c r="AR172" s="12" t="n"/>
      <c r="AS172" s="12" t="n"/>
      <c r="AT172" s="12" t="n"/>
      <c r="AU172" s="12" t="n"/>
      <c r="AV172" s="12" t="n"/>
      <c r="AW172" s="12" t="n"/>
      <c r="AX172" s="12" t="n"/>
      <c r="AY172" s="12" t="n"/>
      <c r="AZ172" s="12" t="n"/>
      <c r="BA172" s="12" t="n"/>
      <c r="BB172" s="12" t="n"/>
      <c r="BC172" s="12" t="n"/>
      <c r="BD172" s="12" t="n"/>
      <c r="BE172" s="12" t="n"/>
      <c r="BF172" s="12" t="n"/>
      <c r="BG172" s="12" t="n"/>
      <c r="BH172" s="12" t="n"/>
      <c r="BI172" s="12" t="n"/>
      <c r="BJ172" s="12" t="n"/>
      <c r="BK172" s="12" t="n"/>
      <c r="BL172" s="12" t="n"/>
      <c r="BM172" s="12" t="n"/>
      <c r="BN172" s="12" t="n"/>
      <c r="BO172" s="12" t="n"/>
      <c r="BP172" s="12" t="n"/>
      <c r="BQ172" s="12" t="n"/>
      <c r="BR172" s="12" t="n"/>
      <c r="BS172" s="12" t="n"/>
      <c r="BT172" s="12" t="n"/>
      <c r="BU172" s="12" t="n"/>
      <c r="BV172" s="12" t="n"/>
      <c r="BW172" s="12" t="n"/>
      <c r="BX172" s="12" t="n"/>
      <c r="BY172" s="12" t="n"/>
      <c r="BZ172" s="12" t="n"/>
      <c r="CA172" s="12" t="n"/>
      <c r="CB172" s="12" t="n"/>
      <c r="CC172" s="12" t="n"/>
      <c r="CD172" s="12" t="n"/>
      <c r="CE172" s="12" t="n"/>
      <c r="CF172" s="12" t="n"/>
      <c r="CG172" s="12" t="n"/>
      <c r="CH172" s="12" t="n"/>
      <c r="CI172" s="12" t="n"/>
      <c r="CJ172" s="12" t="n"/>
      <c r="CK172" s="12" t="n"/>
      <c r="CL172" s="12" t="n"/>
      <c r="CM172" s="12" t="n"/>
      <c r="CN172" s="12" t="n"/>
      <c r="CO172" s="12" t="n"/>
      <c r="CP172" s="12" t="n"/>
      <c r="CQ172" s="12" t="n"/>
      <c r="CR172" s="12" t="n"/>
      <c r="CS172" s="12" t="n"/>
      <c r="CT172" s="12" t="n"/>
      <c r="CU172" s="12" t="n"/>
      <c r="CV172" s="12" t="n"/>
      <c r="CW172" s="12" t="n"/>
      <c r="CX172" s="12" t="n"/>
      <c r="CY172" s="12" t="n"/>
    </row>
    <row r="173" hidden="1" outlineLevel="1">
      <c r="C173" s="57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2" t="n"/>
      <c r="Z173" s="12" t="n"/>
      <c r="AA173" s="12" t="n"/>
      <c r="AB173" s="12" t="n"/>
      <c r="AC173" s="12" t="n"/>
      <c r="AD173" s="12" t="n"/>
      <c r="AE173" s="12" t="n"/>
      <c r="AF173" s="12" t="n"/>
      <c r="AG173" s="12" t="n"/>
      <c r="AH173" s="12" t="n"/>
      <c r="AI173" s="12" t="n"/>
      <c r="AJ173" s="12" t="n"/>
      <c r="AK173" s="12" t="n"/>
      <c r="AL173" s="12" t="n"/>
      <c r="AM173" s="12" t="n"/>
      <c r="AN173" s="12" t="n"/>
      <c r="AO173" s="12" t="n"/>
      <c r="AP173" s="12" t="n"/>
      <c r="AQ173" s="12" t="n"/>
      <c r="AR173" s="12" t="n"/>
      <c r="AS173" s="12" t="n"/>
      <c r="AT173" s="12" t="n"/>
      <c r="AU173" s="12" t="n"/>
      <c r="AV173" s="12" t="n"/>
      <c r="AW173" s="12" t="n"/>
      <c r="AX173" s="12" t="n"/>
      <c r="AY173" s="12" t="n"/>
      <c r="AZ173" s="12" t="n"/>
      <c r="BA173" s="12" t="n"/>
      <c r="BB173" s="12" t="n"/>
      <c r="BC173" s="12" t="n"/>
      <c r="BD173" s="12" t="n"/>
      <c r="BE173" s="12" t="n"/>
      <c r="BF173" s="12" t="n"/>
      <c r="BG173" s="12" t="n"/>
      <c r="BH173" s="12" t="n"/>
      <c r="BI173" s="12" t="n"/>
      <c r="BJ173" s="12" t="n"/>
      <c r="BK173" s="12" t="n"/>
      <c r="BL173" s="12" t="n"/>
      <c r="BM173" s="12" t="n"/>
      <c r="BN173" s="12" t="n"/>
      <c r="BO173" s="12" t="n"/>
      <c r="BP173" s="12" t="n"/>
      <c r="BQ173" s="12" t="n"/>
      <c r="BR173" s="12" t="n"/>
      <c r="BS173" s="12" t="n"/>
      <c r="BT173" s="12" t="n"/>
      <c r="BU173" s="12" t="n"/>
      <c r="BV173" s="12" t="n"/>
      <c r="BW173" s="12" t="n"/>
      <c r="BX173" s="12" t="n"/>
      <c r="BY173" s="12" t="n"/>
      <c r="BZ173" s="12" t="n"/>
      <c r="CA173" s="12" t="n"/>
      <c r="CB173" s="12" t="n"/>
      <c r="CC173" s="12" t="n"/>
      <c r="CD173" s="12" t="n"/>
      <c r="CE173" s="12" t="n"/>
      <c r="CF173" s="12" t="n"/>
      <c r="CG173" s="12" t="n"/>
      <c r="CH173" s="12" t="n"/>
      <c r="CI173" s="12" t="n"/>
      <c r="CJ173" s="12" t="n"/>
      <c r="CK173" s="12" t="n"/>
      <c r="CL173" s="12" t="n"/>
      <c r="CM173" s="12" t="n"/>
      <c r="CN173" s="12" t="n"/>
      <c r="CO173" s="12" t="n"/>
      <c r="CP173" s="12" t="n"/>
      <c r="CQ173" s="12" t="n"/>
      <c r="CR173" s="12" t="n"/>
      <c r="CS173" s="12" t="n"/>
      <c r="CT173" s="12" t="n"/>
      <c r="CU173" s="12" t="n"/>
      <c r="CV173" s="12" t="n"/>
      <c r="CW173" s="12" t="n"/>
      <c r="CX173" s="12" t="n"/>
      <c r="CY173" s="12" t="n"/>
    </row>
    <row r="174" hidden="1" outlineLevel="1">
      <c r="C174" s="57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  <c r="V174" s="12" t="n"/>
      <c r="W174" s="12" t="n"/>
      <c r="X174" s="12" t="n"/>
      <c r="Y174" s="12" t="n"/>
      <c r="Z174" s="12" t="n"/>
      <c r="AA174" s="12" t="n"/>
      <c r="AB174" s="12" t="n"/>
      <c r="AC174" s="12" t="n"/>
      <c r="AD174" s="12" t="n"/>
      <c r="AE174" s="12" t="n"/>
      <c r="AF174" s="12" t="n"/>
      <c r="AG174" s="12" t="n"/>
      <c r="AH174" s="12" t="n"/>
      <c r="AI174" s="12" t="n"/>
      <c r="AJ174" s="12" t="n"/>
      <c r="AK174" s="12" t="n"/>
      <c r="AL174" s="12" t="n"/>
      <c r="AM174" s="12" t="n"/>
      <c r="AN174" s="12" t="n"/>
      <c r="AO174" s="12" t="n"/>
      <c r="AP174" s="12" t="n"/>
      <c r="AQ174" s="12" t="n"/>
      <c r="AR174" s="12" t="n"/>
      <c r="AS174" s="12" t="n"/>
      <c r="AT174" s="12" t="n"/>
      <c r="AU174" s="12" t="n"/>
      <c r="AV174" s="12" t="n"/>
      <c r="AW174" s="12" t="n"/>
      <c r="AX174" s="12" t="n"/>
      <c r="AY174" s="12" t="n"/>
      <c r="AZ174" s="12" t="n"/>
      <c r="BA174" s="12" t="n"/>
      <c r="BB174" s="12" t="n"/>
      <c r="BC174" s="12" t="n"/>
      <c r="BD174" s="12" t="n"/>
      <c r="BE174" s="12" t="n"/>
      <c r="BF174" s="12" t="n"/>
      <c r="BG174" s="12" t="n"/>
      <c r="BH174" s="12" t="n"/>
      <c r="BI174" s="12" t="n"/>
      <c r="BJ174" s="12" t="n"/>
      <c r="BK174" s="12" t="n"/>
      <c r="BL174" s="12" t="n"/>
      <c r="BM174" s="12" t="n"/>
      <c r="BN174" s="12" t="n"/>
      <c r="BO174" s="12" t="n"/>
      <c r="BP174" s="12" t="n"/>
      <c r="BQ174" s="12" t="n"/>
      <c r="BR174" s="12" t="n"/>
      <c r="BS174" s="12" t="n"/>
      <c r="BT174" s="12" t="n"/>
      <c r="BU174" s="12" t="n"/>
      <c r="BV174" s="12" t="n"/>
      <c r="BW174" s="12" t="n"/>
      <c r="BX174" s="12" t="n"/>
      <c r="BY174" s="12" t="n"/>
      <c r="BZ174" s="12" t="n"/>
      <c r="CA174" s="12" t="n"/>
      <c r="CB174" s="12" t="n"/>
      <c r="CC174" s="12" t="n"/>
      <c r="CD174" s="12" t="n"/>
      <c r="CE174" s="12" t="n"/>
      <c r="CF174" s="12" t="n"/>
      <c r="CG174" s="12" t="n"/>
      <c r="CH174" s="12" t="n"/>
      <c r="CI174" s="12" t="n"/>
      <c r="CJ174" s="12" t="n"/>
      <c r="CK174" s="12" t="n"/>
      <c r="CL174" s="12" t="n"/>
      <c r="CM174" s="12" t="n"/>
      <c r="CN174" s="12" t="n"/>
      <c r="CO174" s="12" t="n"/>
      <c r="CP174" s="12" t="n"/>
      <c r="CQ174" s="12" t="n"/>
      <c r="CR174" s="12" t="n"/>
      <c r="CS174" s="12" t="n"/>
      <c r="CT174" s="12" t="n"/>
      <c r="CU174" s="12" t="n"/>
      <c r="CV174" s="12" t="n"/>
      <c r="CW174" s="12" t="n"/>
      <c r="CX174" s="12" t="n"/>
      <c r="CY174" s="12" t="n"/>
    </row>
    <row r="175" collapsed="1">
      <c r="C175" s="14" t="inlineStr">
        <is>
          <t>Other non-current assets</t>
        </is>
      </c>
      <c r="D175" s="46" t="n"/>
      <c r="E175" s="46" t="n"/>
      <c r="F175" s="46" t="n"/>
      <c r="G175" s="46" t="n"/>
      <c r="H175" s="12" t="n"/>
      <c r="I175" s="46">
        <f>'Inputs (2)'!D26</f>
        <v>60934</v>
      </c>
      <c r="J175" s="46">
        <f>'Inputs (2)'!E26</f>
        <v>61435</v>
      </c>
      <c r="K175" s="46">
        <f>'Inputs (2)'!F26</f>
        <v>62338</v>
      </c>
      <c r="L175" s="46">
        <f>'Inputs (2)'!G26</f>
        <v>63217</v>
      </c>
      <c r="M175" s="12">
        <f>'Inputs (2)'!H26</f>
        <v>63217</v>
      </c>
      <c r="N175" s="46">
        <f>'Inputs (2)'!I26</f>
        <v>64743</v>
      </c>
      <c r="O175" s="46">
        <f>'Inputs (2)'!J26</f>
        <v>65452</v>
      </c>
      <c r="P175" s="46">
        <f>'Inputs (2)'!K26</f>
        <v>67761</v>
      </c>
      <c r="Q175" s="46">
        <f>'Inputs (2)'!L26</f>
        <v>66744</v>
      </c>
      <c r="R175" s="12">
        <f>'Inputs (2)'!M26</f>
        <v>66744</v>
      </c>
      <c r="S175" s="46">
        <f>'Inputs (2)'!N26</f>
        <v>66124</v>
      </c>
      <c r="T175" s="46">
        <f>'Inputs (2)'!O26</f>
        <v>64752</v>
      </c>
      <c r="U175" s="46">
        <f>'Inputs (2)'!P26</f>
        <v>65255</v>
      </c>
      <c r="V175" s="46">
        <f>'Inputs (2)'!Q26</f>
        <v>64768</v>
      </c>
      <c r="W175" s="12">
        <f>'Inputs (2)'!R26</f>
        <v>64768</v>
      </c>
      <c r="X175" s="46">
        <f>'Inputs (2)'!S26</f>
        <v>64818</v>
      </c>
      <c r="Y175" s="46">
        <f>'Inputs (2)'!T26</f>
        <v>66186</v>
      </c>
      <c r="Z175" s="46">
        <f>'Inputs (2)'!U26</f>
        <v>68024</v>
      </c>
      <c r="AA175" s="46">
        <f>'Inputs (2)'!V26</f>
        <v>67167</v>
      </c>
      <c r="AB175" s="12">
        <f>'Inputs (2)'!W26</f>
        <v>67167</v>
      </c>
      <c r="AC175" s="46">
        <f>'Inputs (2)'!X26</f>
        <v>68029</v>
      </c>
      <c r="AD175" s="46">
        <f>'Inputs (2)'!Y26</f>
        <v>67133</v>
      </c>
      <c r="AE175" s="46">
        <f>'Inputs (2)'!Z26</f>
        <v>67447</v>
      </c>
      <c r="AF175" s="46">
        <f>'Inputs (2)'!AA26</f>
        <v>66225</v>
      </c>
      <c r="AG175" s="12">
        <f>'Inputs (2)'!AB26</f>
        <v>66225</v>
      </c>
      <c r="AH175" s="12">
        <f>'Inputs (2)'!AC26</f>
        <v>67842</v>
      </c>
      <c r="AI175" s="12">
        <f>'Inputs (2)'!AD26</f>
        <v>67391</v>
      </c>
      <c r="AJ175" s="12">
        <f>AI175</f>
        <v>67391</v>
      </c>
      <c r="AK175" s="12">
        <f>AJ175</f>
        <v>67391</v>
      </c>
      <c r="AL175" s="12">
        <f>AK175</f>
        <v>67391</v>
      </c>
      <c r="AM175" s="12">
        <f>AL175</f>
        <v>67391</v>
      </c>
      <c r="AN175" s="12">
        <f>AM175</f>
        <v>67391</v>
      </c>
      <c r="AO175" s="12">
        <f>AN175</f>
        <v>67391</v>
      </c>
      <c r="AP175" s="12">
        <f>AO175</f>
        <v>67391</v>
      </c>
      <c r="AQ175" s="12">
        <f>AP175</f>
        <v>67391</v>
      </c>
      <c r="AR175" s="12">
        <f>AQ175</f>
        <v>67391</v>
      </c>
      <c r="AS175" s="12">
        <f>AR175</f>
        <v>67391</v>
      </c>
      <c r="AT175" s="12">
        <f>AS175</f>
        <v>67391</v>
      </c>
      <c r="AU175" s="12">
        <f>AT175</f>
        <v>67391</v>
      </c>
      <c r="AV175" s="12">
        <f>AU175</f>
        <v>67391</v>
      </c>
      <c r="AW175" s="12">
        <f>AV175</f>
        <v>67391</v>
      </c>
      <c r="AX175" s="12">
        <f>AW175</f>
        <v>67391</v>
      </c>
      <c r="AY175" s="12">
        <f>AX175</f>
        <v>67391</v>
      </c>
      <c r="AZ175" s="12">
        <f>AY175</f>
        <v>67391</v>
      </c>
      <c r="BA175" s="12">
        <f>AZ175</f>
        <v>67391</v>
      </c>
      <c r="BB175" s="12">
        <f>BA175</f>
        <v>67391</v>
      </c>
      <c r="BC175" s="12">
        <f>BB175</f>
        <v>67391</v>
      </c>
      <c r="BD175" s="12">
        <f>BC175</f>
        <v>67391</v>
      </c>
      <c r="BE175" s="12">
        <f>BD175</f>
        <v>67391</v>
      </c>
      <c r="BF175" s="12">
        <f>BE175</f>
        <v>67391</v>
      </c>
      <c r="BG175" s="12" t="n"/>
      <c r="BH175" s="12" t="n"/>
      <c r="BI175" s="12" t="n"/>
      <c r="BJ175" s="12" t="n"/>
      <c r="BK175" s="12" t="n"/>
      <c r="BL175" s="12" t="n"/>
      <c r="BM175" s="12" t="n"/>
      <c r="BN175" s="12" t="n"/>
      <c r="BO175" s="12" t="n"/>
      <c r="BP175" s="12" t="n"/>
      <c r="BQ175" s="12" t="n"/>
      <c r="BR175" s="12" t="n"/>
      <c r="BS175" s="12" t="n"/>
      <c r="BT175" s="12" t="n"/>
      <c r="BU175" s="12" t="n"/>
      <c r="BV175" s="12" t="n"/>
      <c r="BW175" s="12" t="n"/>
      <c r="BX175" s="12" t="n"/>
      <c r="BY175" s="12" t="n"/>
      <c r="BZ175" s="12" t="n"/>
      <c r="CA175" s="12" t="n"/>
      <c r="CB175" s="12" t="n"/>
      <c r="CC175" s="12" t="n"/>
      <c r="CD175" s="12" t="n"/>
      <c r="CE175" s="12" t="n"/>
      <c r="CF175" s="12" t="n"/>
      <c r="CG175" s="12" t="n"/>
      <c r="CH175" s="12" t="n"/>
      <c r="CI175" s="12" t="n"/>
      <c r="CJ175" s="12" t="n"/>
      <c r="CK175" s="12" t="n"/>
      <c r="CL175" s="12" t="n"/>
      <c r="CM175" s="12" t="n"/>
      <c r="CN175" s="12" t="n"/>
      <c r="CO175" s="12" t="n"/>
      <c r="CP175" s="12" t="n"/>
      <c r="CQ175" s="12" t="n"/>
      <c r="CR175" s="12" t="n"/>
      <c r="CS175" s="12" t="n"/>
      <c r="CT175" s="12" t="n"/>
      <c r="CU175" s="12" t="n"/>
      <c r="CV175" s="12" t="n"/>
      <c r="CW175" s="12" t="n"/>
      <c r="CX175" s="12" t="n"/>
      <c r="CY175" s="12" t="n"/>
    </row>
    <row r="176" hidden="1" outlineLevel="1">
      <c r="C176" s="59" t="inlineStr">
        <is>
          <t>%(Var.)</t>
        </is>
      </c>
      <c r="D176" s="12" t="n"/>
      <c r="E176" s="40" t="n"/>
      <c r="F176" s="40" t="n"/>
      <c r="G176" s="40" t="n"/>
      <c r="H176" s="12" t="n"/>
      <c r="I176" s="40" t="str">
        <f>""</f>
        <v/>
      </c>
      <c r="J176" s="40">
        <f>IF(I175=0,"",J175/I175-1)</f>
        <v>0.00822201070010165</v>
      </c>
      <c r="K176" s="40">
        <f>IF(J175=0,"",K175/J175-1)</f>
        <v>0.0146984617888826</v>
      </c>
      <c r="L176" s="40">
        <f>IF(K175=0,"",L175/K175-1)</f>
        <v>0.0141005486220283</v>
      </c>
      <c r="M176" s="12">
        <f>IF(L175=0,"",M175/L175-1)</f>
        <v>0</v>
      </c>
      <c r="N176" s="40">
        <f>IF(M175=0,"",N175/M175-1)</f>
        <v>0.0241390765142289</v>
      </c>
      <c r="O176" s="40">
        <f>IF(N175=0,"",O175/N175-1)</f>
        <v>0.0109509908407086</v>
      </c>
      <c r="P176" s="40">
        <f>IF(O175=0,"",P175/O175-1)</f>
        <v>0.0352777608018089</v>
      </c>
      <c r="Q176" s="40">
        <f>IF(P175=0,"",Q175/P175-1)</f>
        <v>-0.0150086332846328</v>
      </c>
      <c r="R176" s="12">
        <f>IF(Q175=0,"",R175/Q175-1)</f>
        <v>0</v>
      </c>
      <c r="S176" s="40">
        <f>IF(R175=0,"",S175/R175-1)</f>
        <v>-0.00928922449958047</v>
      </c>
      <c r="T176" s="40">
        <f>IF(S175=0,"",T175/S175-1)</f>
        <v>-0.0207488960135503</v>
      </c>
      <c r="U176" s="40">
        <f>IF(T175=0,"",U175/T175-1)</f>
        <v>0.00776809982703242</v>
      </c>
      <c r="V176" s="40">
        <f>IF(U175=0,"",V175/U175-1)</f>
        <v>-0.00746302965290013</v>
      </c>
      <c r="W176" s="12">
        <f>IF(V175=0,"",W175/V175-1)</f>
        <v>0</v>
      </c>
      <c r="X176" s="40">
        <f>IF(W175=0,"",X175/W175-1)</f>
        <v>0.000771986166007821</v>
      </c>
      <c r="Y176" s="40">
        <f>IF(X175=0,"",Y175/X175-1)</f>
        <v>0.0211052485420717</v>
      </c>
      <c r="Z176" s="40">
        <f>IF(Y175=0,"",Z175/Y175-1)</f>
        <v>0.0277702233100656</v>
      </c>
      <c r="AA176" s="40">
        <f>IF(Z175=0,"",AA175/Z175-1)</f>
        <v>-0.0125984946489475</v>
      </c>
      <c r="AB176" s="12">
        <f>IF(AA175=0,"",AB175/AA175-1)</f>
        <v>0</v>
      </c>
      <c r="AC176" s="40">
        <f>IF(AB175=0,"",AC175/AB175-1)</f>
        <v>0.0128336832075275</v>
      </c>
      <c r="AD176" s="40">
        <f>IF(AC175=0,"",AD175/AC175-1)</f>
        <v>-0.0131708536065501</v>
      </c>
      <c r="AE176" s="40">
        <f>IF(AD175=0,"",AE175/AD175-1)</f>
        <v>0.00467728240954513</v>
      </c>
      <c r="AF176" s="55">
        <f>IF(AE175=0,"",AF175/AE175-1)</f>
        <v>-0.0181179296336382</v>
      </c>
      <c r="AG176" s="12">
        <f>IF(AF175=0,"",AG175/AF175-1)</f>
        <v>0</v>
      </c>
      <c r="AH176" s="55">
        <f>IF(AG175=0,"",AH175/AG175-1)</f>
        <v>0.0244167610419026</v>
      </c>
      <c r="AI176" s="55">
        <f>IF(AH175=0,"",AI175/AH175-1)</f>
        <v>-0.00664779929836978</v>
      </c>
      <c r="AJ176" s="55">
        <f>IF(AI175=0,"",AJ175/AI175-1)</f>
        <v>0</v>
      </c>
      <c r="AK176" s="55">
        <f>IF(AJ175=0,"",AK175/AJ175-1)</f>
        <v>0</v>
      </c>
      <c r="AL176" s="12">
        <f>IF(AK175=0,"",AL175/AK175-1)</f>
        <v>0</v>
      </c>
      <c r="AM176" s="55">
        <f>IF(AL175=0,"",AM175/AL175-1)</f>
        <v>0</v>
      </c>
      <c r="AN176" s="55">
        <f>IF(AM175=0,"",AN175/AM175-1)</f>
        <v>0</v>
      </c>
      <c r="AO176" s="55">
        <f>IF(AN175=0,"",AO175/AN175-1)</f>
        <v>0</v>
      </c>
      <c r="AP176" s="55">
        <f>IF(AO175=0,"",AP175/AO175-1)</f>
        <v>0</v>
      </c>
      <c r="AQ176" s="12">
        <f>IF(AP175=0,"",AQ175/AP175-1)</f>
        <v>0</v>
      </c>
      <c r="AR176" s="55">
        <f>IF(AQ175=0,"",AR175/AQ175-1)</f>
        <v>0</v>
      </c>
      <c r="AS176" s="55">
        <f>IF(AR175=0,"",AS175/AR175-1)</f>
        <v>0</v>
      </c>
      <c r="AT176" s="55">
        <f>IF(AS175=0,"",AT175/AS175-1)</f>
        <v>0</v>
      </c>
      <c r="AU176" s="55">
        <f>IF(AT175=0,"",AU175/AT175-1)</f>
        <v>0</v>
      </c>
      <c r="AV176" s="12">
        <f>IF(AU175=0,"",AV175/AU175-1)</f>
        <v>0</v>
      </c>
      <c r="AW176" s="55">
        <f>IF(AV175=0,"",AW175/AV175-1)</f>
        <v>0</v>
      </c>
      <c r="AX176" s="55">
        <f>IF(AW175=0,"",AX175/AW175-1)</f>
        <v>0</v>
      </c>
      <c r="AY176" s="55">
        <f>IF(AX175=0,"",AY175/AX175-1)</f>
        <v>0</v>
      </c>
      <c r="AZ176" s="55">
        <f>IF(AY175=0,"",AZ175/AY175-1)</f>
        <v>0</v>
      </c>
      <c r="BA176" s="12">
        <f>IF(AZ175=0,"",BA175/AZ175-1)</f>
        <v>0</v>
      </c>
      <c r="BB176" s="55">
        <f>IF(BA175=0,"",BB175/BA175-1)</f>
        <v>0</v>
      </c>
      <c r="BC176" s="55">
        <f>IF(BB175=0,"",BC175/BB175-1)</f>
        <v>0</v>
      </c>
      <c r="BD176" s="55">
        <f>IF(BC175=0,"",BD175/BC175-1)</f>
        <v>0</v>
      </c>
      <c r="BE176" s="55">
        <f>IF(BD175=0,"",BE175/BD175-1)</f>
        <v>0</v>
      </c>
      <c r="BF176" s="12">
        <f>IF(BE175=0,"",BF175/BE175-1)</f>
        <v>0</v>
      </c>
      <c r="BG176" s="55" t="n"/>
      <c r="BH176" s="55" t="n"/>
      <c r="BI176" s="55" t="n"/>
      <c r="BJ176" s="55" t="n"/>
      <c r="BK176" s="12" t="n"/>
      <c r="BL176" s="55" t="n"/>
      <c r="BM176" s="55" t="n"/>
      <c r="BN176" s="55" t="n"/>
      <c r="BO176" s="55" t="n"/>
      <c r="BP176" s="12" t="n"/>
      <c r="BQ176" s="55" t="n"/>
      <c r="BR176" s="55" t="n"/>
      <c r="BS176" s="55" t="n"/>
      <c r="BT176" s="55" t="n"/>
      <c r="BU176" s="12" t="n"/>
      <c r="BV176" s="55" t="n"/>
      <c r="BW176" s="55" t="n"/>
      <c r="BX176" s="55" t="n"/>
      <c r="BY176" s="55" t="n"/>
      <c r="BZ176" s="12" t="n"/>
      <c r="CA176" s="55" t="n"/>
      <c r="CB176" s="55" t="n"/>
      <c r="CC176" s="55" t="n"/>
      <c r="CD176" s="55" t="n"/>
      <c r="CE176" s="12" t="n"/>
      <c r="CF176" s="55" t="n"/>
      <c r="CG176" s="55" t="n"/>
      <c r="CH176" s="55" t="n"/>
      <c r="CI176" s="55" t="n"/>
      <c r="CJ176" s="12" t="n"/>
      <c r="CK176" s="55" t="n"/>
      <c r="CL176" s="55" t="n"/>
      <c r="CM176" s="55" t="n"/>
      <c r="CN176" s="55" t="n"/>
      <c r="CO176" s="12" t="n"/>
      <c r="CP176" s="55" t="n"/>
      <c r="CQ176" s="55" t="n"/>
      <c r="CR176" s="55" t="n"/>
      <c r="CS176" s="55" t="n"/>
      <c r="CT176" s="12" t="n"/>
      <c r="CU176" s="55" t="n"/>
      <c r="CV176" s="55" t="n"/>
      <c r="CW176" s="55" t="n"/>
      <c r="CX176" s="55" t="n"/>
      <c r="CY176" s="12" t="n"/>
    </row>
    <row r="177" hidden="1" outlineLevel="1">
      <c r="C177" s="57" t="n"/>
      <c r="D177" s="12" t="n"/>
      <c r="E177" s="40" t="n"/>
      <c r="F177" s="40" t="n"/>
      <c r="G177" s="40" t="n"/>
      <c r="H177" s="12" t="n"/>
      <c r="I177" s="40" t="n"/>
      <c r="J177" s="40" t="n"/>
      <c r="K177" s="40" t="n"/>
      <c r="L177" s="40" t="n"/>
      <c r="M177" s="12" t="n"/>
      <c r="N177" s="40" t="n"/>
      <c r="O177" s="40" t="n"/>
      <c r="P177" s="40" t="n"/>
      <c r="Q177" s="40" t="n"/>
      <c r="R177" s="12" t="n"/>
      <c r="S177" s="40" t="n"/>
      <c r="T177" s="40" t="n"/>
      <c r="U177" s="40" t="n"/>
      <c r="V177" s="40" t="n"/>
      <c r="W177" s="12" t="n"/>
      <c r="X177" s="40" t="n"/>
      <c r="Y177" s="40" t="n"/>
      <c r="Z177" s="40" t="n"/>
      <c r="AA177" s="40" t="n"/>
      <c r="AB177" s="12" t="n"/>
      <c r="AC177" s="40" t="n"/>
      <c r="AD177" s="40" t="n"/>
      <c r="AE177" s="40" t="n"/>
      <c r="AF177" s="55" t="n"/>
      <c r="AG177" s="12" t="n"/>
      <c r="AH177" s="55" t="n"/>
      <c r="AI177" s="55" t="n"/>
      <c r="AJ177" s="55" t="n"/>
      <c r="AK177" s="55" t="n"/>
      <c r="AL177" s="12" t="n"/>
      <c r="AM177" s="55" t="n"/>
      <c r="AN177" s="55" t="n"/>
      <c r="AO177" s="55" t="n"/>
      <c r="AP177" s="55" t="n"/>
      <c r="AQ177" s="12" t="n"/>
      <c r="AR177" s="55" t="n"/>
      <c r="AS177" s="55" t="n"/>
      <c r="AT177" s="55" t="n"/>
      <c r="AU177" s="55" t="n"/>
      <c r="AV177" s="12" t="n"/>
      <c r="AW177" s="55" t="n"/>
      <c r="AX177" s="55" t="n"/>
      <c r="AY177" s="55" t="n"/>
      <c r="AZ177" s="55" t="n"/>
      <c r="BA177" s="12" t="n"/>
      <c r="BB177" s="55" t="n"/>
      <c r="BC177" s="55" t="n"/>
      <c r="BD177" s="55" t="n"/>
      <c r="BE177" s="55" t="n"/>
      <c r="BF177" s="12" t="n"/>
      <c r="BG177" s="55" t="n"/>
      <c r="BH177" s="55" t="n"/>
      <c r="BI177" s="55" t="n"/>
      <c r="BJ177" s="55" t="n"/>
      <c r="BK177" s="12" t="n"/>
      <c r="BL177" s="55" t="n"/>
      <c r="BM177" s="55" t="n"/>
      <c r="BN177" s="55" t="n"/>
      <c r="BO177" s="55" t="n"/>
      <c r="BP177" s="12" t="n"/>
      <c r="BQ177" s="55" t="n"/>
      <c r="BR177" s="55" t="n"/>
      <c r="BS177" s="55" t="n"/>
      <c r="BT177" s="55" t="n"/>
      <c r="BU177" s="12" t="n"/>
      <c r="BV177" s="55" t="n"/>
      <c r="BW177" s="55" t="n"/>
      <c r="BX177" s="55" t="n"/>
      <c r="BY177" s="55" t="n"/>
      <c r="BZ177" s="12" t="n"/>
      <c r="CA177" s="55" t="n"/>
      <c r="CB177" s="55" t="n"/>
      <c r="CC177" s="55" t="n"/>
      <c r="CD177" s="55" t="n"/>
      <c r="CE177" s="12" t="n"/>
      <c r="CF177" s="55" t="n"/>
      <c r="CG177" s="55" t="n"/>
      <c r="CH177" s="55" t="n"/>
      <c r="CI177" s="55" t="n"/>
      <c r="CJ177" s="12" t="n"/>
      <c r="CK177" s="55" t="n"/>
      <c r="CL177" s="55" t="n"/>
      <c r="CM177" s="55" t="n"/>
      <c r="CN177" s="55" t="n"/>
      <c r="CO177" s="12" t="n"/>
      <c r="CP177" s="55" t="n"/>
      <c r="CQ177" s="55" t="n"/>
      <c r="CR177" s="55" t="n"/>
      <c r="CS177" s="55" t="n"/>
      <c r="CT177" s="12" t="n"/>
      <c r="CU177" s="55" t="n"/>
      <c r="CV177" s="55" t="n"/>
      <c r="CW177" s="55" t="n"/>
      <c r="CX177" s="55" t="n"/>
      <c r="CY177" s="12" t="n"/>
    </row>
    <row r="178" hidden="1" outlineLevel="1">
      <c r="C178" s="60" t="inlineStr">
        <is>
          <t>Outros Créditos - LP</t>
        </is>
      </c>
      <c r="D178" s="11" t="n"/>
      <c r="E178" s="11" t="n"/>
      <c r="F178" s="11" t="n"/>
      <c r="G178" s="11" t="n"/>
      <c r="H178" s="12" t="n"/>
      <c r="I178" s="11" t="n"/>
      <c r="J178" s="11" t="n"/>
      <c r="K178" s="11" t="n"/>
      <c r="L178" s="11" t="n"/>
      <c r="M178" s="12" t="n"/>
      <c r="N178" s="11" t="n"/>
      <c r="O178" s="11" t="n"/>
      <c r="P178" s="11" t="n"/>
      <c r="Q178" s="11" t="n"/>
      <c r="R178" s="12" t="n"/>
      <c r="S178" s="11" t="n"/>
      <c r="T178" s="11" t="n"/>
      <c r="U178" s="11" t="n"/>
      <c r="V178" s="11" t="n"/>
      <c r="W178" s="12" t="n"/>
      <c r="X178" s="11" t="n"/>
      <c r="Y178" s="11" t="n"/>
      <c r="Z178" s="11" t="n"/>
      <c r="AA178" s="11" t="n"/>
      <c r="AB178" s="12" t="n"/>
      <c r="AC178" s="11" t="n"/>
      <c r="AD178" s="11" t="n"/>
      <c r="AE178" s="11" t="n"/>
      <c r="AF178" s="11" t="n"/>
      <c r="AG178" s="12" t="n"/>
      <c r="AH178" s="12" t="n"/>
      <c r="AI178" s="12" t="n"/>
      <c r="AJ178" s="12" t="n"/>
      <c r="AK178" s="12" t="n"/>
      <c r="AL178" s="12" t="n"/>
      <c r="AM178" s="12" t="n"/>
      <c r="AN178" s="12" t="n"/>
      <c r="AO178" s="12" t="n"/>
      <c r="AP178" s="12" t="n"/>
      <c r="AQ178" s="12" t="n"/>
      <c r="AR178" s="12" t="n"/>
      <c r="AS178" s="12" t="n"/>
      <c r="AT178" s="12" t="n"/>
      <c r="AU178" s="12" t="n"/>
      <c r="AV178" s="12" t="n"/>
      <c r="AW178" s="12" t="n"/>
      <c r="AX178" s="12" t="n"/>
      <c r="AY178" s="12" t="n"/>
      <c r="AZ178" s="12" t="n"/>
      <c r="BA178" s="12" t="n"/>
      <c r="BB178" s="12" t="n"/>
      <c r="BC178" s="12" t="n"/>
      <c r="BD178" s="12" t="n"/>
      <c r="BE178" s="12" t="n"/>
      <c r="BF178" s="12" t="n"/>
      <c r="BG178" s="12" t="n"/>
      <c r="BH178" s="12" t="n"/>
      <c r="BI178" s="12" t="n"/>
      <c r="BJ178" s="12" t="n"/>
      <c r="BK178" s="12" t="n"/>
      <c r="BL178" s="12" t="n"/>
      <c r="BM178" s="12" t="n"/>
      <c r="BN178" s="12" t="n"/>
      <c r="BO178" s="12" t="n"/>
      <c r="BP178" s="12" t="n"/>
      <c r="BQ178" s="12" t="n"/>
      <c r="BR178" s="12" t="n"/>
      <c r="BS178" s="12" t="n"/>
      <c r="BT178" s="12" t="n"/>
      <c r="BU178" s="12" t="n"/>
      <c r="BV178" s="12" t="n"/>
      <c r="BW178" s="12" t="n"/>
      <c r="BX178" s="12" t="n"/>
      <c r="BY178" s="12" t="n"/>
      <c r="BZ178" s="12" t="n"/>
      <c r="CA178" s="12" t="n"/>
      <c r="CB178" s="12" t="n"/>
      <c r="CC178" s="12" t="n"/>
      <c r="CD178" s="12" t="n"/>
      <c r="CE178" s="12" t="n"/>
      <c r="CF178" s="12" t="n"/>
      <c r="CG178" s="12" t="n"/>
      <c r="CH178" s="12" t="n"/>
      <c r="CI178" s="12" t="n"/>
      <c r="CJ178" s="12" t="n"/>
      <c r="CK178" s="12" t="n"/>
      <c r="CL178" s="12" t="n"/>
      <c r="CM178" s="12" t="n"/>
      <c r="CN178" s="12" t="n"/>
      <c r="CO178" s="12" t="n"/>
      <c r="CP178" s="12" t="n"/>
      <c r="CQ178" s="12" t="n"/>
      <c r="CR178" s="12" t="n"/>
      <c r="CS178" s="12" t="n"/>
      <c r="CT178" s="12" t="n"/>
      <c r="CU178" s="12" t="n"/>
      <c r="CV178" s="12" t="n"/>
      <c r="CW178" s="12" t="n"/>
      <c r="CX178" s="12" t="n"/>
      <c r="CY178" s="12" t="n"/>
    </row>
    <row r="179" hidden="1" outlineLevel="1">
      <c r="C179" s="60" t="inlineStr">
        <is>
          <t xml:space="preserve">Impostos e Contribuições a Recuperar </t>
        </is>
      </c>
      <c r="D179" s="11" t="n"/>
      <c r="E179" s="11" t="n"/>
      <c r="F179" s="11" t="n"/>
      <c r="G179" s="11" t="n"/>
      <c r="H179" s="12" t="n"/>
      <c r="I179" s="11" t="n"/>
      <c r="J179" s="11" t="n"/>
      <c r="K179" s="11" t="n"/>
      <c r="L179" s="11" t="n"/>
      <c r="M179" s="12" t="n"/>
      <c r="N179" s="11" t="n"/>
      <c r="O179" s="11" t="n"/>
      <c r="P179" s="11" t="n"/>
      <c r="Q179" s="11" t="n"/>
      <c r="R179" s="12" t="n"/>
      <c r="S179" s="11" t="n"/>
      <c r="T179" s="11" t="n"/>
      <c r="U179" s="11" t="n"/>
      <c r="V179" s="11" t="n"/>
      <c r="W179" s="12" t="n"/>
      <c r="X179" s="11" t="n"/>
      <c r="Y179" s="11" t="n"/>
      <c r="Z179" s="11" t="n"/>
      <c r="AA179" s="11" t="n"/>
      <c r="AB179" s="12" t="n"/>
      <c r="AC179" s="11" t="n"/>
      <c r="AD179" s="11" t="n"/>
      <c r="AE179" s="11" t="n"/>
      <c r="AF179" s="11" t="n"/>
      <c r="AG179" s="12" t="n"/>
      <c r="AH179" s="12" t="n"/>
      <c r="AI179" s="12" t="n"/>
      <c r="AJ179" s="12" t="n"/>
      <c r="AK179" s="12" t="n"/>
      <c r="AL179" s="12" t="n"/>
      <c r="AM179" s="12" t="n"/>
      <c r="AN179" s="12" t="n"/>
      <c r="AO179" s="12" t="n"/>
      <c r="AP179" s="12" t="n"/>
      <c r="AQ179" s="12" t="n"/>
      <c r="AR179" s="12" t="n"/>
      <c r="AS179" s="12" t="n"/>
      <c r="AT179" s="12" t="n"/>
      <c r="AU179" s="12" t="n"/>
      <c r="AV179" s="12" t="n"/>
      <c r="AW179" s="12" t="n"/>
      <c r="AX179" s="12" t="n"/>
      <c r="AY179" s="12" t="n"/>
      <c r="AZ179" s="12" t="n"/>
      <c r="BA179" s="12" t="n"/>
      <c r="BB179" s="12" t="n"/>
      <c r="BC179" s="12" t="n"/>
      <c r="BD179" s="12" t="n"/>
      <c r="BE179" s="12" t="n"/>
      <c r="BF179" s="12" t="n"/>
      <c r="BG179" s="12" t="n"/>
      <c r="BH179" s="12" t="n"/>
      <c r="BI179" s="12" t="n"/>
      <c r="BJ179" s="12" t="n"/>
      <c r="BK179" s="12" t="n"/>
      <c r="BL179" s="12" t="n"/>
      <c r="BM179" s="12" t="n"/>
      <c r="BN179" s="12" t="n"/>
      <c r="BO179" s="12" t="n"/>
      <c r="BP179" s="12" t="n"/>
      <c r="BQ179" s="12" t="n"/>
      <c r="BR179" s="12" t="n"/>
      <c r="BS179" s="12" t="n"/>
      <c r="BT179" s="12" t="n"/>
      <c r="BU179" s="12" t="n"/>
      <c r="BV179" s="12" t="n"/>
      <c r="BW179" s="12" t="n"/>
      <c r="BX179" s="12" t="n"/>
      <c r="BY179" s="12" t="n"/>
      <c r="BZ179" s="12" t="n"/>
      <c r="CA179" s="12" t="n"/>
      <c r="CB179" s="12" t="n"/>
      <c r="CC179" s="12" t="n"/>
      <c r="CD179" s="12" t="n"/>
      <c r="CE179" s="12" t="n"/>
      <c r="CF179" s="12" t="n"/>
      <c r="CG179" s="12" t="n"/>
      <c r="CH179" s="12" t="n"/>
      <c r="CI179" s="12" t="n"/>
      <c r="CJ179" s="12" t="n"/>
      <c r="CK179" s="12" t="n"/>
      <c r="CL179" s="12" t="n"/>
      <c r="CM179" s="12" t="n"/>
      <c r="CN179" s="12" t="n"/>
      <c r="CO179" s="12" t="n"/>
      <c r="CP179" s="12" t="n"/>
      <c r="CQ179" s="12" t="n"/>
      <c r="CR179" s="12" t="n"/>
      <c r="CS179" s="12" t="n"/>
      <c r="CT179" s="12" t="n"/>
      <c r="CU179" s="12" t="n"/>
      <c r="CV179" s="12" t="n"/>
      <c r="CW179" s="12" t="n"/>
      <c r="CX179" s="12" t="n"/>
      <c r="CY179" s="12" t="n"/>
    </row>
    <row r="180" hidden="1" outlineLevel="1">
      <c r="C180" s="60" t="inlineStr">
        <is>
          <t xml:space="preserve">Imposto de Renda e Contribuição Social Diferidos </t>
        </is>
      </c>
      <c r="D180" s="11" t="n"/>
      <c r="E180" s="11" t="n"/>
      <c r="F180" s="11" t="n"/>
      <c r="G180" s="11" t="n"/>
      <c r="H180" s="12" t="n"/>
      <c r="I180" s="11" t="n"/>
      <c r="J180" s="11" t="n"/>
      <c r="K180" s="11" t="n"/>
      <c r="L180" s="11" t="n"/>
      <c r="M180" s="12" t="n"/>
      <c r="N180" s="11" t="n"/>
      <c r="O180" s="11" t="n"/>
      <c r="P180" s="11" t="n"/>
      <c r="Q180" s="11" t="n"/>
      <c r="R180" s="12" t="n"/>
      <c r="S180" s="11" t="n"/>
      <c r="T180" s="11" t="n"/>
      <c r="U180" s="11" t="n"/>
      <c r="V180" s="11" t="n"/>
      <c r="W180" s="12" t="n"/>
      <c r="X180" s="11" t="n"/>
      <c r="Y180" s="11" t="n"/>
      <c r="Z180" s="11" t="n"/>
      <c r="AA180" s="11" t="n"/>
      <c r="AB180" s="12" t="n"/>
      <c r="AC180" s="11" t="n"/>
      <c r="AD180" s="11" t="n"/>
      <c r="AE180" s="11" t="n"/>
      <c r="AF180" s="11" t="n"/>
      <c r="AG180" s="12" t="n"/>
      <c r="AH180" s="12" t="n"/>
      <c r="AI180" s="12" t="n"/>
      <c r="AJ180" s="12" t="n"/>
      <c r="AK180" s="12" t="n"/>
      <c r="AL180" s="12" t="n"/>
      <c r="AM180" s="12" t="n"/>
      <c r="AN180" s="12" t="n"/>
      <c r="AO180" s="12" t="n"/>
      <c r="AP180" s="12" t="n"/>
      <c r="AQ180" s="12" t="n"/>
      <c r="AR180" s="12" t="n"/>
      <c r="AS180" s="12" t="n"/>
      <c r="AT180" s="12" t="n"/>
      <c r="AU180" s="12" t="n"/>
      <c r="AV180" s="12" t="n"/>
      <c r="AW180" s="12" t="n"/>
      <c r="AX180" s="12" t="n"/>
      <c r="AY180" s="12" t="n"/>
      <c r="AZ180" s="12" t="n"/>
      <c r="BA180" s="12" t="n"/>
      <c r="BB180" s="12" t="n"/>
      <c r="BC180" s="12" t="n"/>
      <c r="BD180" s="12" t="n"/>
      <c r="BE180" s="12" t="n"/>
      <c r="BF180" s="12" t="n"/>
      <c r="BG180" s="12" t="n"/>
      <c r="BH180" s="12" t="n"/>
      <c r="BI180" s="12" t="n"/>
      <c r="BJ180" s="12" t="n"/>
      <c r="BK180" s="12" t="n"/>
      <c r="BL180" s="12" t="n"/>
      <c r="BM180" s="12" t="n"/>
      <c r="BN180" s="12" t="n"/>
      <c r="BO180" s="12" t="n"/>
      <c r="BP180" s="12" t="n"/>
      <c r="BQ180" s="12" t="n"/>
      <c r="BR180" s="12" t="n"/>
      <c r="BS180" s="12" t="n"/>
      <c r="BT180" s="12" t="n"/>
      <c r="BU180" s="12" t="n"/>
      <c r="BV180" s="12" t="n"/>
      <c r="BW180" s="12" t="n"/>
      <c r="BX180" s="12" t="n"/>
      <c r="BY180" s="12" t="n"/>
      <c r="BZ180" s="12" t="n"/>
      <c r="CA180" s="12" t="n"/>
      <c r="CB180" s="12" t="n"/>
      <c r="CC180" s="12" t="n"/>
      <c r="CD180" s="12" t="n"/>
      <c r="CE180" s="12" t="n"/>
      <c r="CF180" s="12" t="n"/>
      <c r="CG180" s="12" t="n"/>
      <c r="CH180" s="12" t="n"/>
      <c r="CI180" s="12" t="n"/>
      <c r="CJ180" s="12" t="n"/>
      <c r="CK180" s="12" t="n"/>
      <c r="CL180" s="12" t="n"/>
      <c r="CM180" s="12" t="n"/>
      <c r="CN180" s="12" t="n"/>
      <c r="CO180" s="12" t="n"/>
      <c r="CP180" s="12" t="n"/>
      <c r="CQ180" s="12" t="n"/>
      <c r="CR180" s="12" t="n"/>
      <c r="CS180" s="12" t="n"/>
      <c r="CT180" s="12" t="n"/>
      <c r="CU180" s="12" t="n"/>
      <c r="CV180" s="12" t="n"/>
      <c r="CW180" s="12" t="n"/>
      <c r="CX180" s="12" t="n"/>
      <c r="CY180" s="12" t="n"/>
    </row>
    <row r="181" hidden="1" outlineLevel="1">
      <c r="C181" s="60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12" t="n"/>
      <c r="W181" s="12" t="n"/>
      <c r="X181" s="12" t="n"/>
      <c r="Y181" s="12" t="n"/>
      <c r="Z181" s="12" t="n"/>
      <c r="AA181" s="12" t="n"/>
      <c r="AB181" s="12" t="n"/>
      <c r="AC181" s="12" t="n"/>
      <c r="AD181" s="12" t="n"/>
      <c r="AE181" s="12" t="n"/>
      <c r="AF181" s="12" t="n"/>
      <c r="AG181" s="12" t="n"/>
      <c r="AH181" s="12" t="n"/>
      <c r="AI181" s="12" t="n"/>
      <c r="AJ181" s="12" t="n"/>
      <c r="AK181" s="12" t="n"/>
      <c r="AL181" s="12" t="n"/>
      <c r="AM181" s="12" t="n"/>
      <c r="AN181" s="12" t="n"/>
      <c r="AO181" s="12" t="n"/>
      <c r="AP181" s="12" t="n"/>
      <c r="AQ181" s="12" t="n"/>
      <c r="AR181" s="12" t="n"/>
      <c r="AS181" s="12" t="n"/>
      <c r="AT181" s="12" t="n"/>
      <c r="AU181" s="12" t="n"/>
      <c r="AV181" s="12" t="n"/>
      <c r="AW181" s="12" t="n"/>
      <c r="AX181" s="12" t="n"/>
      <c r="AY181" s="12" t="n"/>
      <c r="AZ181" s="12" t="n"/>
      <c r="BA181" s="12" t="n"/>
      <c r="BB181" s="12" t="n"/>
      <c r="BC181" s="12" t="n"/>
      <c r="BD181" s="12" t="n"/>
      <c r="BE181" s="12" t="n"/>
      <c r="BF181" s="12" t="n"/>
      <c r="BG181" s="12" t="n"/>
      <c r="BH181" s="12" t="n"/>
      <c r="BI181" s="12" t="n"/>
      <c r="BJ181" s="12" t="n"/>
      <c r="BK181" s="12" t="n"/>
      <c r="BL181" s="12" t="n"/>
      <c r="BM181" s="12" t="n"/>
      <c r="BN181" s="12" t="n"/>
      <c r="BO181" s="12" t="n"/>
      <c r="BP181" s="12" t="n"/>
      <c r="BQ181" s="12" t="n"/>
      <c r="BR181" s="12" t="n"/>
      <c r="BS181" s="12" t="n"/>
      <c r="BT181" s="12" t="n"/>
      <c r="BU181" s="12" t="n"/>
      <c r="BV181" s="12" t="n"/>
      <c r="BW181" s="12" t="n"/>
      <c r="BX181" s="12" t="n"/>
      <c r="BY181" s="12" t="n"/>
      <c r="BZ181" s="12" t="n"/>
      <c r="CA181" s="12" t="n"/>
      <c r="CB181" s="12" t="n"/>
      <c r="CC181" s="12" t="n"/>
      <c r="CD181" s="12" t="n"/>
      <c r="CE181" s="12" t="n"/>
      <c r="CF181" s="12" t="n"/>
      <c r="CG181" s="12" t="n"/>
      <c r="CH181" s="12" t="n"/>
      <c r="CI181" s="12" t="n"/>
      <c r="CJ181" s="12" t="n"/>
      <c r="CK181" s="12" t="n"/>
      <c r="CL181" s="12" t="n"/>
      <c r="CM181" s="12" t="n"/>
      <c r="CN181" s="12" t="n"/>
      <c r="CO181" s="12" t="n"/>
      <c r="CP181" s="12" t="n"/>
      <c r="CQ181" s="12" t="n"/>
      <c r="CR181" s="12" t="n"/>
      <c r="CS181" s="12" t="n"/>
      <c r="CT181" s="12" t="n"/>
      <c r="CU181" s="12" t="n"/>
      <c r="CV181" s="12" t="n"/>
      <c r="CW181" s="12" t="n"/>
      <c r="CX181" s="12" t="n"/>
      <c r="CY181" s="12" t="n"/>
    </row>
    <row r="182" hidden="1" outlineLevel="1">
      <c r="C182" s="57" t="n"/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2" t="n"/>
      <c r="M182" s="12" t="n"/>
      <c r="N182" s="12" t="n"/>
      <c r="O182" s="12" t="n"/>
      <c r="P182" s="12" t="n"/>
      <c r="Q182" s="12" t="n"/>
      <c r="R182" s="12" t="n"/>
      <c r="S182" s="12" t="n"/>
      <c r="T182" s="12" t="n"/>
      <c r="U182" s="12" t="n"/>
      <c r="V182" s="12" t="n"/>
      <c r="W182" s="12" t="n"/>
      <c r="X182" s="12" t="n"/>
      <c r="Y182" s="12" t="n"/>
      <c r="Z182" s="12" t="n"/>
      <c r="AA182" s="12" t="n"/>
      <c r="AB182" s="12" t="n"/>
      <c r="AC182" s="12" t="n"/>
      <c r="AD182" s="12" t="n"/>
      <c r="AE182" s="12" t="n"/>
      <c r="AF182" s="12" t="n"/>
      <c r="AG182" s="12" t="n"/>
      <c r="AH182" s="12" t="n"/>
      <c r="AI182" s="12" t="n"/>
      <c r="AJ182" s="12" t="n"/>
      <c r="AK182" s="12" t="n"/>
      <c r="AL182" s="12" t="n"/>
      <c r="AM182" s="12" t="n"/>
      <c r="AN182" s="12" t="n"/>
      <c r="AO182" s="12" t="n"/>
      <c r="AP182" s="12" t="n"/>
      <c r="AQ182" s="12" t="n"/>
      <c r="AR182" s="12" t="n"/>
      <c r="AS182" s="12" t="n"/>
      <c r="AT182" s="12" t="n"/>
      <c r="AU182" s="12" t="n"/>
      <c r="AV182" s="12" t="n"/>
      <c r="AW182" s="12" t="n"/>
      <c r="AX182" s="12" t="n"/>
      <c r="AY182" s="12" t="n"/>
      <c r="AZ182" s="12" t="n"/>
      <c r="BA182" s="12" t="n"/>
      <c r="BB182" s="12" t="n"/>
      <c r="BC182" s="12" t="n"/>
      <c r="BD182" s="12" t="n"/>
      <c r="BE182" s="12" t="n"/>
      <c r="BF182" s="12" t="n"/>
      <c r="BG182" s="12" t="n"/>
      <c r="BH182" s="12" t="n"/>
      <c r="BI182" s="12" t="n"/>
      <c r="BJ182" s="12" t="n"/>
      <c r="BK182" s="12" t="n"/>
      <c r="BL182" s="12" t="n"/>
      <c r="BM182" s="12" t="n"/>
      <c r="BN182" s="12" t="n"/>
      <c r="BO182" s="12" t="n"/>
      <c r="BP182" s="12" t="n"/>
      <c r="BQ182" s="12" t="n"/>
      <c r="BR182" s="12" t="n"/>
      <c r="BS182" s="12" t="n"/>
      <c r="BT182" s="12" t="n"/>
      <c r="BU182" s="12" t="n"/>
      <c r="BV182" s="12" t="n"/>
      <c r="BW182" s="12" t="n"/>
      <c r="BX182" s="12" t="n"/>
      <c r="BY182" s="12" t="n"/>
      <c r="BZ182" s="12" t="n"/>
      <c r="CA182" s="12" t="n"/>
      <c r="CB182" s="12" t="n"/>
      <c r="CC182" s="12" t="n"/>
      <c r="CD182" s="12" t="n"/>
      <c r="CE182" s="12" t="n"/>
      <c r="CF182" s="12" t="n"/>
      <c r="CG182" s="12" t="n"/>
      <c r="CH182" s="12" t="n"/>
      <c r="CI182" s="12" t="n"/>
      <c r="CJ182" s="12" t="n"/>
      <c r="CK182" s="12" t="n"/>
      <c r="CL182" s="12" t="n"/>
      <c r="CM182" s="12" t="n"/>
      <c r="CN182" s="12" t="n"/>
      <c r="CO182" s="12" t="n"/>
      <c r="CP182" s="12" t="n"/>
      <c r="CQ182" s="12" t="n"/>
      <c r="CR182" s="12" t="n"/>
      <c r="CS182" s="12" t="n"/>
      <c r="CT182" s="12" t="n"/>
      <c r="CU182" s="12" t="n"/>
      <c r="CV182" s="12" t="n"/>
      <c r="CW182" s="12" t="n"/>
      <c r="CX182" s="12" t="n"/>
      <c r="CY182" s="12" t="n"/>
    </row>
    <row r="183" collapsed="1" customFormat="1" s="32">
      <c r="A183" s="30" t="n"/>
      <c r="B183" s="3" t="n"/>
      <c r="C183" s="33" t="inlineStr">
        <is>
          <t>Total Assets</t>
        </is>
      </c>
      <c r="D183" s="35" t="n"/>
      <c r="E183" s="35" t="n"/>
      <c r="F183" s="35" t="n"/>
      <c r="G183" s="35" t="n"/>
      <c r="H183" s="35" t="n"/>
      <c r="I183" s="35">
        <f>SUM(I130,I131,I135,I139,I140,I141,I147,I152,I162,I165,I166,I175)</f>
        <v>333770</v>
      </c>
      <c r="J183" s="35">
        <f>SUM(J130,J131,J135,J139,J140,J141,J147,J152,J162,J165,J166,J175)</f>
        <v>337289</v>
      </c>
      <c r="K183" s="35">
        <f>SUM(K130,K131,K135,K139,K140,K141,K147,K152,K162,K165,K166,K175)</f>
        <v>336688</v>
      </c>
      <c r="L183" s="35">
        <f>SUM(L130,L131,L135,L139,L140,L141,L147,L152,L162,L165,L166,L175)</f>
        <v>338923</v>
      </c>
      <c r="M183" s="35">
        <f>SUM(M130,M131,M135,M139,M140,M141,M147,M152,M162,M165,M166,M175)</f>
        <v>338923</v>
      </c>
      <c r="N183" s="35">
        <f>SUM(N130,N131,N135,N139,N140,N141,N147,N152,N162,N165,N166,N175)</f>
        <v>354771</v>
      </c>
      <c r="O183" s="35">
        <f>SUM(O130,O131,O135,O139,O140,O141,O147,O152,O162,O165,O166,O175)</f>
        <v>367774</v>
      </c>
      <c r="P183" s="35">
        <f>SUM(P130,P131,P135,P139,P140,P141,P147,P152,P162,P165,P166,P175)</f>
        <v>370152</v>
      </c>
      <c r="Q183" s="35">
        <f>SUM(Q130,Q131,Q135,Q139,Q140,Q141,Q147,Q152,Q162,Q165,Q166,Q175)</f>
        <v>369067</v>
      </c>
      <c r="R183" s="35">
        <f>SUM(R130,R131,R135,R139,R140,R141,R147,R152,R162,R165,R166,R175)</f>
        <v>369067</v>
      </c>
      <c r="S183" s="35">
        <f>SUM(S130,S131,S135,S139,S140,S141,S147,S152,S162,S165,S166,S175)</f>
        <v>369371</v>
      </c>
      <c r="T183" s="35">
        <f>SUM(T130,T131,T135,T139,T140,T141,T147,T152,T162,T165,T166,T175)</f>
        <v>363248</v>
      </c>
      <c r="U183" s="35">
        <f>SUM(U130,U131,U135,U139,U140,U141,U147,U152,U162,U165,U166,U175)</f>
        <v>372259</v>
      </c>
      <c r="V183" s="35">
        <f>SUM(V130,V131,V135,V139,V140,V141,V147,V152,V162,V165,V166,V175)</f>
        <v>376317</v>
      </c>
      <c r="W183" s="35">
        <f>SUM(W130,W131,W135,W139,W140,W141,W147,W152,W162,W165,W166,W175)</f>
        <v>376317</v>
      </c>
      <c r="X183" s="35">
        <f>SUM(X130,X131,X135,X139,X140,X141,X147,X152,X162,X165,X166,X175)</f>
        <v>377918</v>
      </c>
      <c r="Y183" s="35">
        <f>SUM(Y130,Y131,Y135,Y139,Y140,Y141,Y147,Y152,Y162,Y165,Y166,Y175)</f>
        <v>460707</v>
      </c>
      <c r="Z183" s="35">
        <f>SUM(Z130,Z131,Z135,Z139,Z140,Z141,Z147,Z152,Z162,Z165,Z166,Z175)</f>
        <v>461916</v>
      </c>
      <c r="AA183" s="35">
        <f>SUM(AA130,AA131,AA135,AA139,AA140,AA141,AA147,AA152,AA162,AA165,AA166,AA175)</f>
        <v>453475</v>
      </c>
      <c r="AB183" s="35">
        <f>SUM(AB130,AB131,AB135,AB139,AB140,AB141,AB147,AB152,AB162,AB165,AB166,AB175)</f>
        <v>453475</v>
      </c>
      <c r="AC183" s="35">
        <f>SUM(AC130,AC131,AC135,AC139,AC140,AC141,AC147,AC152,AC162,AC165,AC166,AC175)</f>
        <v>451908</v>
      </c>
      <c r="AD183" s="35">
        <f>SUM(AD130,AD131,AD135,AD139,AD140,AD141,AD147,AD152,AD162,AD165,AD166,AD175)</f>
        <v>447597</v>
      </c>
      <c r="AE183" s="35">
        <f>SUM(AE130,AE131,AE135,AE139,AE140,AE141,AE147,AE152,AE162,AE165,AE166,AE175)</f>
        <v>454340</v>
      </c>
      <c r="AF183" s="35">
        <f>SUM(AF130,AF131,AF135,AF139,AF140,AF141,AF147,AF152,AF162,AF165,AF166,AF175)</f>
        <v>448980</v>
      </c>
      <c r="AG183" s="35">
        <f>SUM(AG130,AG131,AG135,AG139,AG140,AG141,AG147,AG152,AG162,AG165,AG166,AG175)</f>
        <v>448980</v>
      </c>
      <c r="AH183" s="35">
        <f>SUM(AH130,AH131,AH135,AH139,AH140,AH141,AH147,AH152,AH162,AH165,AH166,AH175)</f>
        <v>464410</v>
      </c>
      <c r="AI183" s="35">
        <f>SUM(AI130,AI131,AI135,AI139,AI140,AI141,AI147,AI152,AI162,AI165,AI166,AI175)</f>
        <v>464482</v>
      </c>
      <c r="AJ183" s="35">
        <f>SUM(AJ130,AJ131,AJ135,AJ139,AJ140,AJ141,AJ147,AJ152,AJ162,AJ165,AJ166,AJ175)</f>
        <v>465076.273257721</v>
      </c>
      <c r="AK183" s="35">
        <f>SUM(AK130,AK131,AK135,AK139,AK140,AK141,AK147,AK152,AK162,AK165,AK166,AK175)</f>
        <v>470742.571412944</v>
      </c>
      <c r="AL183" s="35">
        <f>SUM(AL130,AL131,AL135,AL139,AL140,AL141,AL147,AL152,AL162,AL165,AL166,AL175)</f>
        <v>470742.571412944</v>
      </c>
      <c r="AM183" s="35">
        <f>SUM(AM130,AM131,AM135,AM139,AM140,AM141,AM147,AM152,AM162,AM165,AM166,AM175)</f>
        <v>482722.803932535</v>
      </c>
      <c r="AN183" s="35">
        <f>SUM(AN130,AN131,AN135,AN139,AN140,AN141,AN147,AN152,AN162,AN165,AN166,AN175)</f>
        <v>517647.570272914</v>
      </c>
      <c r="AO183" s="35">
        <f>SUM(AO130,AO131,AO135,AO139,AO140,AO141,AO147,AO152,AO162,AO165,AO166,AO175)</f>
        <v>504122.370856207</v>
      </c>
      <c r="AP183" s="35">
        <f>SUM(AP130,AP131,AP135,AP139,AP140,AP141,AP147,AP152,AP162,AP165,AP166,AP175)</f>
        <v>510058.911587509</v>
      </c>
      <c r="AQ183" s="35">
        <f>SUM(AQ130,AQ131,AQ135,AQ139,AQ140,AQ141,AQ147,AQ152,AQ162,AQ165,AQ166,AQ175)</f>
        <v>510058.911587509</v>
      </c>
      <c r="AR183" s="35">
        <f>SUM(AR130,AR131,AR135,AR139,AR140,AR141,AR147,AR152,AR162,AR165,AR166,AR175)</f>
        <v>521396.332950756</v>
      </c>
      <c r="AS183" s="35">
        <f>SUM(AS130,AS131,AS135,AS139,AS140,AS141,AS147,AS152,AS162,AS165,AS166,AS175)</f>
        <v>558427.087566182</v>
      </c>
      <c r="AT183" s="35">
        <f>SUM(AT130,AT131,AT135,AT139,AT140,AT141,AT147,AT152,AT162,AT165,AT166,AT175)</f>
        <v>544387.21229485</v>
      </c>
      <c r="AU183" s="35">
        <f>SUM(AU130,AU131,AU135,AU139,AU140,AU141,AU147,AU152,AU162,AU165,AU166,AU175)</f>
        <v>550547.893701885</v>
      </c>
      <c r="AV183" s="35">
        <f>SUM(AV130,AV131,AV135,AV139,AV140,AV141,AV147,AV152,AV162,AV165,AV166,AV175)</f>
        <v>550547.893701885</v>
      </c>
      <c r="AW183" s="35">
        <f>SUM(AW130,AW131,AW135,AW139,AW140,AW141,AW147,AW152,AW162,AW165,AW166,AW175)</f>
        <v>562721.613148567</v>
      </c>
      <c r="AX183" s="35">
        <f>SUM(AX130,AX131,AX135,AX139,AX140,AX141,AX147,AX152,AX162,AX165,AX166,AX175)</f>
        <v>600165.615567532</v>
      </c>
      <c r="AY183" s="35">
        <f>SUM(AY130,AY131,AY135,AY139,AY140,AY141,AY147,AY152,AY162,AY165,AY166,AY175)</f>
        <v>585654.51463109</v>
      </c>
      <c r="AZ183" s="35">
        <f>SUM(AZ130,AZ131,AZ135,AZ139,AZ140,AZ141,AZ147,AZ152,AZ162,AZ165,AZ166,AZ175)</f>
        <v>592009.604950916</v>
      </c>
      <c r="BA183" s="35">
        <f>SUM(BA130,BA131,BA135,BA139,BA140,BA141,BA147,BA152,BA162,BA165,BA166,BA175)</f>
        <v>592009.604950916</v>
      </c>
      <c r="BB183" s="35">
        <f>SUM(BB130,BB131,BB135,BB139,BB140,BB141,BB147,BB152,BB162,BB165,BB166,BB175)</f>
        <v>604162.671362195</v>
      </c>
      <c r="BC183" s="35">
        <f>SUM(BC130,BC131,BC135,BC139,BC140,BC141,BC147,BC152,BC162,BC165,BC166,BC175)</f>
        <v>642641.658138616</v>
      </c>
      <c r="BD183" s="35">
        <f>SUM(BD130,BD131,BD135,BD139,BD140,BD141,BD147,BD152,BD162,BD165,BD166,BD175)</f>
        <v>627708.239619449</v>
      </c>
      <c r="BE183" s="35">
        <f>SUM(BE130,BE131,BE135,BE139,BE140,BE141,BE147,BE152,BE162,BE165,BE166,BE175)</f>
        <v>634224.114128859</v>
      </c>
      <c r="BF183" s="35">
        <f>SUM(BF130,BF131,BF135,BF139,BF140,BF141,BF147,BF152,BF162,BF165,BF166,BF175)</f>
        <v>634224.114128859</v>
      </c>
      <c r="BG183" s="35" t="n"/>
      <c r="BH183" s="35" t="n"/>
      <c r="BI183" s="35" t="n"/>
      <c r="BJ183" s="35" t="n"/>
      <c r="BK183" s="35" t="n"/>
      <c r="BL183" s="35" t="n"/>
      <c r="BM183" s="35" t="n"/>
      <c r="BN183" s="35" t="n"/>
      <c r="BO183" s="35" t="n"/>
      <c r="BP183" s="35" t="n"/>
      <c r="BQ183" s="35" t="n"/>
      <c r="BR183" s="35" t="n"/>
      <c r="BS183" s="35" t="n"/>
      <c r="BT183" s="35" t="n"/>
      <c r="BU183" s="35" t="n"/>
      <c r="BV183" s="35" t="n"/>
      <c r="BW183" s="35" t="n"/>
      <c r="BX183" s="35" t="n"/>
      <c r="BY183" s="35" t="n"/>
      <c r="BZ183" s="35" t="n"/>
      <c r="CA183" s="35" t="n"/>
      <c r="CB183" s="35" t="n"/>
      <c r="CC183" s="35" t="n"/>
      <c r="CD183" s="35" t="n"/>
      <c r="CE183" s="35" t="n"/>
      <c r="CF183" s="35" t="n"/>
      <c r="CG183" s="35" t="n"/>
      <c r="CH183" s="35" t="n"/>
      <c r="CI183" s="35" t="n"/>
      <c r="CJ183" s="35" t="n"/>
      <c r="CK183" s="35" t="n"/>
      <c r="CL183" s="35" t="n"/>
      <c r="CM183" s="35" t="n"/>
      <c r="CN183" s="35" t="n"/>
      <c r="CO183" s="35" t="n"/>
      <c r="CP183" s="35" t="n"/>
      <c r="CQ183" s="35" t="n"/>
      <c r="CR183" s="35" t="n"/>
      <c r="CS183" s="35" t="n"/>
      <c r="CT183" s="35" t="n"/>
      <c r="CU183" s="35" t="n"/>
      <c r="CV183" s="35" t="n"/>
      <c r="CW183" s="35" t="n"/>
      <c r="CX183" s="35" t="n"/>
      <c r="CY183" s="35" t="n"/>
    </row>
    <row r="184">
      <c r="C184" s="14" t="inlineStr">
        <is>
          <t>Accounts payable</t>
        </is>
      </c>
      <c r="D184" s="46" t="n"/>
      <c r="E184" s="46" t="n"/>
      <c r="F184" s="46" t="n"/>
      <c r="G184" s="46" t="n"/>
      <c r="H184" s="12" t="n"/>
      <c r="I184" s="46">
        <f>'Inputs (2)'!D28</f>
        <v>41017</v>
      </c>
      <c r="J184" s="46">
        <f>'Inputs (2)'!E28</f>
        <v>45780</v>
      </c>
      <c r="K184" s="46">
        <f>'Inputs (2)'!F28</f>
        <v>47257</v>
      </c>
      <c r="L184" s="46">
        <f>'Inputs (2)'!G28</f>
        <v>50766</v>
      </c>
      <c r="M184" s="12">
        <f>'Inputs (2)'!H28</f>
        <v>50766</v>
      </c>
      <c r="N184" s="46">
        <f>'Inputs (2)'!I28</f>
        <v>63501</v>
      </c>
      <c r="O184" s="46">
        <f>'Inputs (2)'!J28</f>
        <v>67958</v>
      </c>
      <c r="P184" s="46">
        <f>'Inputs (2)'!K28</f>
        <v>62550</v>
      </c>
      <c r="Q184" s="46">
        <f>'Inputs (2)'!L28</f>
        <v>63197</v>
      </c>
      <c r="R184" s="12">
        <f>'Inputs (2)'!M28</f>
        <v>63197</v>
      </c>
      <c r="S184" s="46">
        <f>'Inputs (2)'!N28</f>
        <v>59935</v>
      </c>
      <c r="T184" s="46">
        <f>'Inputs (2)'!O28</f>
        <v>54404</v>
      </c>
      <c r="U184" s="46">
        <f>'Inputs (2)'!P28</f>
        <v>62257</v>
      </c>
      <c r="V184" s="46">
        <f>'Inputs (2)'!Q28</f>
        <v>58037</v>
      </c>
      <c r="W184" s="12">
        <f>'Inputs (2)'!R28</f>
        <v>58037</v>
      </c>
      <c r="X184" s="46">
        <f>'Inputs (2)'!S28</f>
        <v>59531</v>
      </c>
      <c r="Y184" s="46">
        <f>'Inputs (2)'!T28</f>
        <v>60107</v>
      </c>
      <c r="Z184" s="46">
        <f>'Inputs (2)'!U28</f>
        <v>60518</v>
      </c>
      <c r="AA184" s="46">
        <f>'Inputs (2)'!V28</f>
        <v>61297</v>
      </c>
      <c r="AB184" s="12">
        <f>'Inputs (2)'!W28</f>
        <v>61297</v>
      </c>
      <c r="AC184" s="46">
        <f>'Inputs (2)'!X28</f>
        <v>63987</v>
      </c>
      <c r="AD184" s="46">
        <f>'Inputs (2)'!Y28</f>
        <v>59725</v>
      </c>
      <c r="AE184" s="46">
        <f>'Inputs (2)'!Z28</f>
        <v>65382</v>
      </c>
      <c r="AF184" s="46">
        <f>'Inputs (2)'!AA28</f>
        <v>60911</v>
      </c>
      <c r="AG184" s="12">
        <f>'Inputs (2)'!AB28</f>
        <v>60911</v>
      </c>
      <c r="AH184" s="12">
        <f>'Inputs (2)'!AC28</f>
        <v>77088</v>
      </c>
      <c r="AI184" s="12">
        <f>'Inputs (2)'!AD28</f>
        <v>74491</v>
      </c>
      <c r="AJ184" s="12">
        <f>(AJ185/(AJ$5-AI$5))*-AJ$40</f>
        <v>66804.4641923323</v>
      </c>
      <c r="AK184" s="12">
        <f>(AK185/(AK$5-AJ$5))*-AK$40</f>
        <v>64465.7518552593</v>
      </c>
      <c r="AL184" s="12">
        <f>AK184</f>
        <v>64465.7518552593</v>
      </c>
      <c r="AM184" s="12">
        <f>(AM185/(AM$5-AL$5))*-AM$40</f>
        <v>68164.1094282292</v>
      </c>
      <c r="AN184" s="12">
        <f>(AN185/(AN$5-AM$5))*-AN$40</f>
        <v>91866.0555388082</v>
      </c>
      <c r="AO184" s="12">
        <f>(AO185/(AO$5-AN$5))*-AO$40</f>
        <v>69678.4192007726</v>
      </c>
      <c r="AP184" s="12">
        <f>(AP185/(AP$5-AO$5))*-AP$40</f>
        <v>67239.0945151733</v>
      </c>
      <c r="AQ184" s="12">
        <f>AP184</f>
        <v>67239.0945151733</v>
      </c>
      <c r="AR184" s="12">
        <f>(AR185/(AR$5-AQ$5))*-AR$40</f>
        <v>69978.2008116861</v>
      </c>
      <c r="AS184" s="12">
        <f>(AS185/(AS$5-AR$5))*-AS$40</f>
        <v>95358.8400428643</v>
      </c>
      <c r="AT184" s="12">
        <f>(AT185/(AT$5-AS$5))*-AT$40</f>
        <v>72327.6208174543</v>
      </c>
      <c r="AU184" s="12">
        <f>(AU185/(AU$5-AT$5))*-AU$40</f>
        <v>69795.5520229211</v>
      </c>
      <c r="AV184" s="12">
        <f>AU184</f>
        <v>69795.5520229211</v>
      </c>
      <c r="AW184" s="12">
        <f>(AW185/(AW$5-AV$5))*-AW$40</f>
        <v>73092.1193448233</v>
      </c>
      <c r="AX184" s="12">
        <f>(AX185/(AX$5-AW$5))*-AX$40</f>
        <v>98507.6274230606</v>
      </c>
      <c r="AY184" s="12">
        <f>(AY185/(AY$5-AX$5))*-AY$40</f>
        <v>74715.9080445982</v>
      </c>
      <c r="AZ184" s="12">
        <f>(AZ185/(AZ$5-AY$5))*-AZ$40</f>
        <v>72100.2293166552</v>
      </c>
      <c r="BA184" s="12">
        <f>AZ184</f>
        <v>72100.2293166552</v>
      </c>
      <c r="BB184" s="12">
        <f>(BB185/(BB$5-BA$5))*-BB$40</f>
        <v>75140.1900251295</v>
      </c>
      <c r="BC184" s="12">
        <f>(BC185/(BC$5-BB$5))*-BC$40</f>
        <v>101267.850896126</v>
      </c>
      <c r="BD184" s="12">
        <f>(BD185/(BD$5-BC$5))*-BD$40</f>
        <v>76809.4779395506</v>
      </c>
      <c r="BE184" s="12">
        <f>(BE185/(BE$5-BD$5))*-BE$40</f>
        <v>74120.5068380957</v>
      </c>
      <c r="BF184" s="12">
        <f>BE184</f>
        <v>74120.5068380957</v>
      </c>
      <c r="BG184" s="12" t="n"/>
      <c r="BH184" s="12" t="n"/>
      <c r="BI184" s="12" t="n"/>
      <c r="BJ184" s="12" t="n"/>
      <c r="BK184" s="12" t="n"/>
      <c r="BL184" s="12" t="n"/>
      <c r="BM184" s="12" t="n"/>
      <c r="BN184" s="12" t="n"/>
      <c r="BO184" s="12" t="n"/>
      <c r="BP184" s="12" t="n"/>
      <c r="BQ184" s="12" t="n"/>
      <c r="BR184" s="12" t="n"/>
      <c r="BS184" s="12" t="n"/>
      <c r="BT184" s="12" t="n"/>
      <c r="BU184" s="12" t="n"/>
      <c r="BV184" s="12" t="n"/>
      <c r="BW184" s="12" t="n"/>
      <c r="BX184" s="12" t="n"/>
      <c r="BY184" s="12" t="n"/>
      <c r="BZ184" s="12" t="n"/>
      <c r="CA184" s="12" t="n"/>
      <c r="CB184" s="12" t="n"/>
      <c r="CC184" s="12" t="n"/>
      <c r="CD184" s="12" t="n"/>
      <c r="CE184" s="12" t="n"/>
      <c r="CF184" s="12" t="n"/>
      <c r="CG184" s="12" t="n"/>
      <c r="CH184" s="12" t="n"/>
      <c r="CI184" s="12" t="n"/>
      <c r="CJ184" s="12" t="n"/>
      <c r="CK184" s="12" t="n"/>
      <c r="CL184" s="12" t="n"/>
      <c r="CM184" s="12" t="n"/>
      <c r="CN184" s="12" t="n"/>
      <c r="CO184" s="12" t="n"/>
      <c r="CP184" s="12" t="n"/>
      <c r="CQ184" s="12" t="n"/>
      <c r="CR184" s="12" t="n"/>
      <c r="CS184" s="12" t="n"/>
      <c r="CT184" s="12" t="n"/>
      <c r="CU184" s="12" t="n"/>
      <c r="CV184" s="12" t="n"/>
      <c r="CW184" s="12" t="n"/>
      <c r="CX184" s="12" t="n"/>
      <c r="CY184" s="12" t="n"/>
    </row>
    <row r="185" hidden="1" outlineLevel="1">
      <c r="C185" s="57" t="inlineStr">
        <is>
          <t>DPO</t>
        </is>
      </c>
      <c r="D185" s="12" t="n"/>
      <c r="E185" s="12" t="n"/>
      <c r="F185" s="12" t="n"/>
      <c r="G185" s="12" t="n"/>
      <c r="H185" s="12" t="n"/>
      <c r="I185" s="12">
        <f>IFERROR(-(I184/I$40)*(I$5-H$5),"")</f>
        <v>113.233643139781</v>
      </c>
      <c r="J185" s="12">
        <f>IFERROR(-(J184/J$40)*(J$5-I$5),"")</f>
        <v>111.601703769187</v>
      </c>
      <c r="K185" s="12">
        <f>IFERROR(-(K184/K$40)*(K$5-J$5),"")</f>
        <v>109.388451377532</v>
      </c>
      <c r="L185" s="12">
        <f>IFERROR(-(L184/L$40)*(L$5-K$5),"")</f>
        <v>102.672558200884</v>
      </c>
      <c r="M185" s="12" t="n"/>
      <c r="N185" s="12">
        <f>IFERROR(-(N184/N$40)*(N$5-M$5),"")</f>
        <v>109.091585859357</v>
      </c>
      <c r="O185" s="12">
        <f>IFERROR(-(O184/O$40)*(O$5-N$5),"")</f>
        <v>94.2523280447472</v>
      </c>
      <c r="P185" s="12">
        <f>IFERROR(-(P184/P$40)*(P$5-O$5),"")</f>
        <v>95.5961260527933</v>
      </c>
      <c r="Q185" s="12">
        <f>IFERROR(-(Q184/Q$40)*(Q$5-P$5),"")</f>
        <v>114.539193475306</v>
      </c>
      <c r="R185" s="12" t="n"/>
      <c r="S185" s="12">
        <f>IFERROR(-(S184/S$40)*(S$5-R$5),"")</f>
        <v>117.25648327283</v>
      </c>
      <c r="T185" s="12">
        <f>IFERROR(-(T184/T$40)*(T$5-S$5),"")</f>
        <v>104.012017311652</v>
      </c>
      <c r="U185" s="12">
        <f>IFERROR(-(U184/U$40)*(U$5-T$5),"")</f>
        <v>107.914010098726</v>
      </c>
      <c r="V185" s="12">
        <f>IFERROR(-(V184/V$40)*(V$5-U$5),"")</f>
        <v>115.192526751812</v>
      </c>
      <c r="W185" s="12" t="n"/>
      <c r="X185" s="12">
        <f>IFERROR(-(X184/X$40)*(X$5-W$5),"")</f>
        <v>113.806873805172</v>
      </c>
      <c r="Y185" s="12">
        <f>IFERROR(-(Y184/Y$40)*(Y$5-X$5),"")</f>
        <v>100.91951881031</v>
      </c>
      <c r="Z185" s="12">
        <f>IFERROR(-(Z184/Z$40)*(Z$5-Y$5),"")</f>
        <v>108.613877996918</v>
      </c>
      <c r="AA185" s="12">
        <f>IFERROR(-(AA184/AA$40)*(AA$5-Z$5),"")</f>
        <v>121.555493285625</v>
      </c>
      <c r="AB185" s="12" t="n"/>
      <c r="AC185" s="12">
        <f>IFERROR(-(AC184/AC$40)*(AC$5-AB$5),"")</f>
        <v>123.083482944345</v>
      </c>
      <c r="AD185" s="12">
        <f>IFERROR(-(AD184/AD$40)*(AD$5-AC$5),"")</f>
        <v>119.905905972158</v>
      </c>
      <c r="AE185" s="12">
        <f>IFERROR(-(AE184/AE$40)*(AE$5-AD$5),"")</f>
        <v>125.50375563345</v>
      </c>
      <c r="AF185" s="11">
        <f>IFERROR(-(AF184/AF$40)*(AF$5-AE$5),"")</f>
        <v>126.768736568262</v>
      </c>
      <c r="AG185" s="12" t="n"/>
      <c r="AH185" s="11">
        <f>IFERROR(-(AH184/AH$40)*(AH$5-AG$5),"")</f>
        <v>133.931508435968</v>
      </c>
      <c r="AI185" s="11">
        <f>IFERROR(-(AI184/AI$40)*(AI$5-AH$5),"")</f>
        <v>99.979071105146</v>
      </c>
      <c r="AJ185" s="11">
        <f>Control!$B$27</f>
        <v>121.528743443221</v>
      </c>
      <c r="AK185" s="11">
        <f>Control!$B$27</f>
        <v>121.528743443221</v>
      </c>
      <c r="AL185" s="12" t="n"/>
      <c r="AM185" s="11">
        <f>Control!$C$27</f>
        <v>121.528743443221</v>
      </c>
      <c r="AN185" s="11">
        <f>Control!$C$27</f>
        <v>121.528743443221</v>
      </c>
      <c r="AO185" s="11">
        <f>Control!$C$27</f>
        <v>121.528743443221</v>
      </c>
      <c r="AP185" s="11">
        <f>Control!$C$27</f>
        <v>121.528743443221</v>
      </c>
      <c r="AQ185" s="12" t="n"/>
      <c r="AR185" s="11">
        <f>Control!$D$27</f>
        <v>121.528743443221</v>
      </c>
      <c r="AS185" s="11">
        <f>Control!$D$27</f>
        <v>121.528743443221</v>
      </c>
      <c r="AT185" s="11">
        <f>Control!$D$27</f>
        <v>121.528743443221</v>
      </c>
      <c r="AU185" s="11">
        <f>Control!$D$27</f>
        <v>121.528743443221</v>
      </c>
      <c r="AV185" s="12" t="n"/>
      <c r="AW185" s="11">
        <f>Control!$E$27</f>
        <v>121.528743443221</v>
      </c>
      <c r="AX185" s="11">
        <f>Control!$E$27</f>
        <v>121.528743443221</v>
      </c>
      <c r="AY185" s="11">
        <f>Control!$E$27</f>
        <v>121.528743443221</v>
      </c>
      <c r="AZ185" s="11">
        <f>Control!$E$27</f>
        <v>121.528743443221</v>
      </c>
      <c r="BA185" s="12" t="n"/>
      <c r="BB185" s="11">
        <f>Control!$F$27</f>
        <v>121.528743443221</v>
      </c>
      <c r="BC185" s="11">
        <f>Control!$F$27</f>
        <v>121.528743443221</v>
      </c>
      <c r="BD185" s="11">
        <f>Control!$F$27</f>
        <v>121.528743443221</v>
      </c>
      <c r="BE185" s="11">
        <f>Control!$F$27</f>
        <v>121.528743443221</v>
      </c>
      <c r="BF185" s="12" t="n"/>
      <c r="BG185" s="11" t="n"/>
      <c r="BH185" s="11" t="n"/>
      <c r="BI185" s="11" t="n"/>
      <c r="BJ185" s="11" t="n"/>
      <c r="BK185" s="12" t="n"/>
      <c r="BL185" s="11" t="n"/>
      <c r="BM185" s="11" t="n"/>
      <c r="BN185" s="11" t="n"/>
      <c r="BO185" s="11" t="n"/>
      <c r="BP185" s="12" t="n"/>
      <c r="BQ185" s="11" t="n"/>
      <c r="BR185" s="11" t="n"/>
      <c r="BS185" s="11" t="n"/>
      <c r="BT185" s="11" t="n"/>
      <c r="BU185" s="12" t="n"/>
      <c r="BV185" s="11" t="n"/>
      <c r="BW185" s="11" t="n"/>
      <c r="BX185" s="11" t="n"/>
      <c r="BY185" s="11" t="n"/>
      <c r="BZ185" s="12" t="n"/>
      <c r="CA185" s="11" t="n"/>
      <c r="CB185" s="11" t="n"/>
      <c r="CC185" s="11" t="n"/>
      <c r="CD185" s="11" t="n"/>
      <c r="CE185" s="12" t="n"/>
      <c r="CF185" s="11" t="n"/>
      <c r="CG185" s="11" t="n"/>
      <c r="CH185" s="11" t="n"/>
      <c r="CI185" s="11" t="n"/>
      <c r="CJ185" s="12" t="n"/>
      <c r="CK185" s="11" t="n"/>
      <c r="CL185" s="11" t="n"/>
      <c r="CM185" s="11" t="n"/>
      <c r="CN185" s="11" t="n"/>
      <c r="CO185" s="12" t="n"/>
      <c r="CP185" s="11" t="n"/>
      <c r="CQ185" s="11" t="n"/>
      <c r="CR185" s="11" t="n"/>
      <c r="CS185" s="11" t="n"/>
      <c r="CT185" s="12" t="n"/>
      <c r="CU185" s="11" t="n"/>
      <c r="CV185" s="11" t="n"/>
      <c r="CW185" s="11" t="n"/>
      <c r="CX185" s="11" t="n"/>
      <c r="CY185" s="12" t="n"/>
    </row>
    <row r="186" hidden="1" outlineLevel="1">
      <c r="C186" s="57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2" t="n"/>
      <c r="O186" s="12" t="n"/>
      <c r="P186" s="12" t="n"/>
      <c r="Q186" s="12" t="n"/>
      <c r="R186" s="12" t="n"/>
      <c r="S186" s="12" t="n"/>
      <c r="T186" s="12" t="n"/>
      <c r="U186" s="12" t="n"/>
      <c r="V186" s="12" t="n"/>
      <c r="W186" s="12" t="n"/>
      <c r="X186" s="12" t="n"/>
      <c r="Y186" s="12" t="n"/>
      <c r="Z186" s="12" t="n"/>
      <c r="AA186" s="12" t="n"/>
      <c r="AB186" s="12" t="n"/>
      <c r="AC186" s="12" t="n"/>
      <c r="AD186" s="12" t="n"/>
      <c r="AE186" s="12" t="n"/>
      <c r="AF186" s="12" t="n"/>
      <c r="AG186" s="12" t="n"/>
      <c r="AH186" s="12" t="n"/>
      <c r="AI186" s="12" t="n"/>
      <c r="AJ186" s="12" t="n"/>
      <c r="AK186" s="12" t="n"/>
      <c r="AL186" s="12" t="n"/>
      <c r="AM186" s="12" t="n"/>
      <c r="AN186" s="12" t="n"/>
      <c r="AO186" s="12" t="n"/>
      <c r="AP186" s="12" t="n"/>
      <c r="AQ186" s="12" t="n"/>
      <c r="AR186" s="12" t="n"/>
      <c r="AS186" s="12" t="n"/>
      <c r="AT186" s="12" t="n"/>
      <c r="AU186" s="12" t="n"/>
      <c r="AV186" s="12" t="n"/>
      <c r="AW186" s="12" t="n"/>
      <c r="AX186" s="12" t="n"/>
      <c r="AY186" s="12" t="n"/>
      <c r="AZ186" s="12" t="n"/>
      <c r="BA186" s="12" t="n"/>
      <c r="BB186" s="12" t="n"/>
      <c r="BC186" s="12" t="n"/>
      <c r="BD186" s="12" t="n"/>
      <c r="BE186" s="12" t="n"/>
      <c r="BF186" s="12" t="n"/>
      <c r="BG186" s="12" t="n"/>
      <c r="BH186" s="12" t="n"/>
      <c r="BI186" s="12" t="n"/>
      <c r="BJ186" s="12" t="n"/>
      <c r="BK186" s="12" t="n"/>
      <c r="BL186" s="12" t="n"/>
      <c r="BM186" s="12" t="n"/>
      <c r="BN186" s="12" t="n"/>
      <c r="BO186" s="12" t="n"/>
      <c r="BP186" s="12" t="n"/>
      <c r="BQ186" s="12" t="n"/>
      <c r="BR186" s="12" t="n"/>
      <c r="BS186" s="12" t="n"/>
      <c r="BT186" s="12" t="n"/>
      <c r="BU186" s="12" t="n"/>
      <c r="BV186" s="12" t="n"/>
      <c r="BW186" s="12" t="n"/>
      <c r="BX186" s="12" t="n"/>
      <c r="BY186" s="12" t="n"/>
      <c r="BZ186" s="12" t="n"/>
      <c r="CA186" s="12" t="n"/>
      <c r="CB186" s="12" t="n"/>
      <c r="CC186" s="12" t="n"/>
      <c r="CD186" s="12" t="n"/>
      <c r="CE186" s="12" t="n"/>
      <c r="CF186" s="12" t="n"/>
      <c r="CG186" s="12" t="n"/>
      <c r="CH186" s="12" t="n"/>
      <c r="CI186" s="12" t="n"/>
      <c r="CJ186" s="12" t="n"/>
      <c r="CK186" s="12" t="n"/>
      <c r="CL186" s="12" t="n"/>
      <c r="CM186" s="12" t="n"/>
      <c r="CN186" s="12" t="n"/>
      <c r="CO186" s="12" t="n"/>
      <c r="CP186" s="12" t="n"/>
      <c r="CQ186" s="12" t="n"/>
      <c r="CR186" s="12" t="n"/>
      <c r="CS186" s="12" t="n"/>
      <c r="CT186" s="12" t="n"/>
      <c r="CU186" s="12" t="n"/>
      <c r="CV186" s="12" t="n"/>
      <c r="CW186" s="12" t="n"/>
      <c r="CX186" s="12" t="n"/>
      <c r="CY186" s="12" t="n"/>
    </row>
    <row r="187" hidden="1" outlineLevel="1">
      <c r="C187" s="57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2" t="n"/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  <c r="V187" s="12" t="n"/>
      <c r="W187" s="12" t="n"/>
      <c r="X187" s="12" t="n"/>
      <c r="Y187" s="12" t="n"/>
      <c r="Z187" s="12" t="n"/>
      <c r="AA187" s="12" t="n"/>
      <c r="AB187" s="12" t="n"/>
      <c r="AC187" s="12" t="n"/>
      <c r="AD187" s="12" t="n"/>
      <c r="AE187" s="12" t="n"/>
      <c r="AF187" s="12" t="n"/>
      <c r="AG187" s="12" t="n"/>
      <c r="AH187" s="12" t="n"/>
      <c r="AI187" s="12" t="n"/>
      <c r="AJ187" s="12" t="n"/>
      <c r="AK187" s="12" t="n"/>
      <c r="AL187" s="12" t="n"/>
      <c r="AM187" s="12" t="n"/>
      <c r="AN187" s="12" t="n"/>
      <c r="AO187" s="12" t="n"/>
      <c r="AP187" s="12" t="n"/>
      <c r="AQ187" s="12" t="n"/>
      <c r="AR187" s="12" t="n"/>
      <c r="AS187" s="12" t="n"/>
      <c r="AT187" s="12" t="n"/>
      <c r="AU187" s="12" t="n"/>
      <c r="AV187" s="12" t="n"/>
      <c r="AW187" s="12" t="n"/>
      <c r="AX187" s="12" t="n"/>
      <c r="AY187" s="12" t="n"/>
      <c r="AZ187" s="12" t="n"/>
      <c r="BA187" s="12" t="n"/>
      <c r="BB187" s="12" t="n"/>
      <c r="BC187" s="12" t="n"/>
      <c r="BD187" s="12" t="n"/>
      <c r="BE187" s="12" t="n"/>
      <c r="BF187" s="12" t="n"/>
      <c r="BG187" s="12" t="n"/>
      <c r="BH187" s="12" t="n"/>
      <c r="BI187" s="12" t="n"/>
      <c r="BJ187" s="12" t="n"/>
      <c r="BK187" s="12" t="n"/>
      <c r="BL187" s="12" t="n"/>
      <c r="BM187" s="12" t="n"/>
      <c r="BN187" s="12" t="n"/>
      <c r="BO187" s="12" t="n"/>
      <c r="BP187" s="12" t="n"/>
      <c r="BQ187" s="12" t="n"/>
      <c r="BR187" s="12" t="n"/>
      <c r="BS187" s="12" t="n"/>
      <c r="BT187" s="12" t="n"/>
      <c r="BU187" s="12" t="n"/>
      <c r="BV187" s="12" t="n"/>
      <c r="BW187" s="12" t="n"/>
      <c r="BX187" s="12" t="n"/>
      <c r="BY187" s="12" t="n"/>
      <c r="BZ187" s="12" t="n"/>
      <c r="CA187" s="12" t="n"/>
      <c r="CB187" s="12" t="n"/>
      <c r="CC187" s="12" t="n"/>
      <c r="CD187" s="12" t="n"/>
      <c r="CE187" s="12" t="n"/>
      <c r="CF187" s="12" t="n"/>
      <c r="CG187" s="12" t="n"/>
      <c r="CH187" s="12" t="n"/>
      <c r="CI187" s="12" t="n"/>
      <c r="CJ187" s="12" t="n"/>
      <c r="CK187" s="12" t="n"/>
      <c r="CL187" s="12" t="n"/>
      <c r="CM187" s="12" t="n"/>
      <c r="CN187" s="12" t="n"/>
      <c r="CO187" s="12" t="n"/>
      <c r="CP187" s="12" t="n"/>
      <c r="CQ187" s="12" t="n"/>
      <c r="CR187" s="12" t="n"/>
      <c r="CS187" s="12" t="n"/>
      <c r="CT187" s="12" t="n"/>
      <c r="CU187" s="12" t="n"/>
      <c r="CV187" s="12" t="n"/>
      <c r="CW187" s="12" t="n"/>
      <c r="CX187" s="12" t="n"/>
      <c r="CY187" s="12" t="n"/>
    </row>
    <row r="188" collapsed="1">
      <c r="C188" s="14" t="inlineStr">
        <is>
          <t>Accrued expenses</t>
        </is>
      </c>
      <c r="D188" s="46" t="n"/>
      <c r="E188" s="46" t="n"/>
      <c r="F188" s="46" t="n"/>
      <c r="G188" s="46" t="n"/>
      <c r="H188" s="12" t="n"/>
      <c r="I188" s="46">
        <f>'Inputs (2)'!D29</f>
        <v>0</v>
      </c>
      <c r="J188" s="46">
        <f>'Inputs (2)'!E29</f>
        <v>0</v>
      </c>
      <c r="K188" s="46">
        <f>'Inputs (2)'!F29</f>
        <v>0</v>
      </c>
      <c r="L188" s="46">
        <f>'Inputs (2)'!G29</f>
        <v>0</v>
      </c>
      <c r="M188" s="12">
        <f>'Inputs (2)'!H29</f>
        <v>0</v>
      </c>
      <c r="N188" s="46">
        <f>'Inputs (2)'!I29</f>
        <v>0</v>
      </c>
      <c r="O188" s="46">
        <f>'Inputs (2)'!J29</f>
        <v>0</v>
      </c>
      <c r="P188" s="46">
        <f>'Inputs (2)'!K29</f>
        <v>0</v>
      </c>
      <c r="Q188" s="46">
        <f>'Inputs (2)'!L29</f>
        <v>0</v>
      </c>
      <c r="R188" s="12">
        <f>'Inputs (2)'!M29</f>
        <v>0</v>
      </c>
      <c r="S188" s="46">
        <f>'Inputs (2)'!N29</f>
        <v>0</v>
      </c>
      <c r="T188" s="46">
        <f>'Inputs (2)'!O29</f>
        <v>0</v>
      </c>
      <c r="U188" s="46">
        <f>'Inputs (2)'!P29</f>
        <v>0</v>
      </c>
      <c r="V188" s="46">
        <f>'Inputs (2)'!Q29</f>
        <v>0</v>
      </c>
      <c r="W188" s="12">
        <f>'Inputs (2)'!R29</f>
        <v>0</v>
      </c>
      <c r="X188" s="46">
        <f>'Inputs (2)'!S29</f>
        <v>0</v>
      </c>
      <c r="Y188" s="46">
        <f>'Inputs (2)'!T29</f>
        <v>0</v>
      </c>
      <c r="Z188" s="46">
        <f>'Inputs (2)'!U29</f>
        <v>0</v>
      </c>
      <c r="AA188" s="46">
        <f>'Inputs (2)'!V29</f>
        <v>0</v>
      </c>
      <c r="AB188" s="12">
        <f>'Inputs (2)'!W29</f>
        <v>0</v>
      </c>
      <c r="AC188" s="46">
        <f>'Inputs (2)'!X29</f>
        <v>0</v>
      </c>
      <c r="AD188" s="46">
        <f>'Inputs (2)'!Y29</f>
        <v>0</v>
      </c>
      <c r="AE188" s="46">
        <f>'Inputs (2)'!Z29</f>
        <v>0</v>
      </c>
      <c r="AF188" s="46">
        <f>'Inputs (2)'!AA29</f>
        <v>0</v>
      </c>
      <c r="AG188" s="12">
        <f>'Inputs (2)'!AB29</f>
        <v>0</v>
      </c>
      <c r="AH188" s="12">
        <f>'Inputs (2)'!AC29</f>
        <v>0</v>
      </c>
      <c r="AI188" s="12">
        <f>'Inputs (2)'!AD29</f>
        <v>0</v>
      </c>
      <c r="AJ188" s="12">
        <f>AI188*(1+AJ16)</f>
        <v>0</v>
      </c>
      <c r="AK188" s="12">
        <f>AJ188*(1+AK16)</f>
        <v>0</v>
      </c>
      <c r="AL188" s="12">
        <f>AK188</f>
        <v>0</v>
      </c>
      <c r="AM188" s="12">
        <f>AL188*(1+AM16)</f>
        <v>0</v>
      </c>
      <c r="AN188" s="12">
        <f>AM188*(1+AN16)</f>
        <v>0</v>
      </c>
      <c r="AO188" s="12">
        <f>AN188*(1+AO16)</f>
        <v>0</v>
      </c>
      <c r="AP188" s="12">
        <f>AO188*(1+AP16)</f>
        <v>0</v>
      </c>
      <c r="AQ188" s="12">
        <f>AP188</f>
        <v>0</v>
      </c>
      <c r="AR188" s="12">
        <f>AQ188*(1+AR16)</f>
        <v>0</v>
      </c>
      <c r="AS188" s="12">
        <f>AR188*(1+AS16)</f>
        <v>0</v>
      </c>
      <c r="AT188" s="12">
        <f>AS188*(1+AT16)</f>
        <v>0</v>
      </c>
      <c r="AU188" s="12">
        <f>AT188*(1+AU16)</f>
        <v>0</v>
      </c>
      <c r="AV188" s="12">
        <f>AU188</f>
        <v>0</v>
      </c>
      <c r="AW188" s="12">
        <f>AV188*(1+AW16)</f>
        <v>0</v>
      </c>
      <c r="AX188" s="12">
        <f>AW188*(1+AX16)</f>
        <v>0</v>
      </c>
      <c r="AY188" s="12">
        <f>AX188*(1+AY16)</f>
        <v>0</v>
      </c>
      <c r="AZ188" s="12">
        <f>AY188*(1+AZ16)</f>
        <v>0</v>
      </c>
      <c r="BA188" s="12">
        <f>AZ188</f>
        <v>0</v>
      </c>
      <c r="BB188" s="12">
        <f>BA188*(1+BB16)</f>
        <v>0</v>
      </c>
      <c r="BC188" s="12">
        <f>BB188*(1+BC16)</f>
        <v>0</v>
      </c>
      <c r="BD188" s="12">
        <f>BC188*(1+BD16)</f>
        <v>0</v>
      </c>
      <c r="BE188" s="12">
        <f>BD188*(1+BE16)</f>
        <v>0</v>
      </c>
      <c r="BF188" s="12">
        <f>BE188</f>
        <v>0</v>
      </c>
      <c r="BG188" s="12" t="n"/>
      <c r="BH188" s="12" t="n"/>
      <c r="BI188" s="12" t="n"/>
      <c r="BJ188" s="12" t="n"/>
      <c r="BK188" s="12" t="n"/>
      <c r="BL188" s="12" t="n"/>
      <c r="BM188" s="12" t="n"/>
      <c r="BN188" s="12" t="n"/>
      <c r="BO188" s="12" t="n"/>
      <c r="BP188" s="12" t="n"/>
      <c r="BQ188" s="12" t="n"/>
      <c r="BR188" s="12" t="n"/>
      <c r="BS188" s="12" t="n"/>
      <c r="BT188" s="12" t="n"/>
      <c r="BU188" s="12" t="n"/>
      <c r="BV188" s="12" t="n"/>
      <c r="BW188" s="12" t="n"/>
      <c r="BX188" s="12" t="n"/>
      <c r="BY188" s="12" t="n"/>
      <c r="BZ188" s="12" t="n"/>
      <c r="CA188" s="12" t="n"/>
      <c r="CB188" s="12" t="n"/>
      <c r="CC188" s="12" t="n"/>
      <c r="CD188" s="12" t="n"/>
      <c r="CE188" s="12" t="n"/>
      <c r="CF188" s="12" t="n"/>
      <c r="CG188" s="12" t="n"/>
      <c r="CH188" s="12" t="n"/>
      <c r="CI188" s="12" t="n"/>
      <c r="CJ188" s="12" t="n"/>
      <c r="CK188" s="12" t="n"/>
      <c r="CL188" s="12" t="n"/>
      <c r="CM188" s="12" t="n"/>
      <c r="CN188" s="12" t="n"/>
      <c r="CO188" s="12" t="n"/>
      <c r="CP188" s="12" t="n"/>
      <c r="CQ188" s="12" t="n"/>
      <c r="CR188" s="12" t="n"/>
      <c r="CS188" s="12" t="n"/>
      <c r="CT188" s="12" t="n"/>
      <c r="CU188" s="12" t="n"/>
      <c r="CV188" s="12" t="n"/>
      <c r="CW188" s="12" t="n"/>
      <c r="CX188" s="12" t="n"/>
      <c r="CY188" s="12" t="n"/>
    </row>
    <row r="189" hidden="1" outlineLevel="1">
      <c r="C189" s="59" t="inlineStr">
        <is>
          <t>%(Var.)</t>
        </is>
      </c>
      <c r="D189" s="12" t="n"/>
      <c r="E189" s="40" t="n"/>
      <c r="F189" s="40" t="n"/>
      <c r="G189" s="40" t="n"/>
      <c r="H189" s="12" t="n"/>
      <c r="I189" s="40" t="str">
        <f>""</f>
        <v/>
      </c>
      <c r="J189" s="40" t="str">
        <f>IFERROR(IF(I188=0,"",J188/I188-1),"")</f>
        <v/>
      </c>
      <c r="K189" s="40" t="str">
        <f>IFERROR(IF(J188=0,"",K188/J188-1),"")</f>
        <v/>
      </c>
      <c r="L189" s="40" t="str">
        <f>IFERROR(IF(K188=0,"",L188/K188-1),"")</f>
        <v/>
      </c>
      <c r="M189" s="12" t="str">
        <f>IF(L188=0,"",M188/L188-1)</f>
        <v/>
      </c>
      <c r="N189" s="40" t="str">
        <f>IFERROR(IF(M188=0,"",N188/M188-1),"")</f>
        <v/>
      </c>
      <c r="O189" s="40" t="str">
        <f>IFERROR(IF(N188=0,"",O188/N188-1),"")</f>
        <v/>
      </c>
      <c r="P189" s="40" t="str">
        <f>IFERROR(IF(O188=0,"",P188/O188-1),"")</f>
        <v/>
      </c>
      <c r="Q189" s="40" t="str">
        <f>IFERROR(IF(P188=0,"",Q188/P188-1),"")</f>
        <v/>
      </c>
      <c r="R189" s="12" t="str">
        <f>IF(Q188=0,"",R188/Q188-1)</f>
        <v/>
      </c>
      <c r="S189" s="40" t="str">
        <f>IFERROR(IF(R188=0,"",S188/R188-1),"")</f>
        <v/>
      </c>
      <c r="T189" s="40" t="str">
        <f>IFERROR(IF(S188=0,"",T188/S188-1),"")</f>
        <v/>
      </c>
      <c r="U189" s="40" t="str">
        <f>IFERROR(IF(T188=0,"",U188/T188-1),"")</f>
        <v/>
      </c>
      <c r="V189" s="40" t="str">
        <f>IFERROR(IF(U188=0,"",V188/U188-1),"")</f>
        <v/>
      </c>
      <c r="W189" s="12" t="str">
        <f>IF(V188=0,"",W188/V188-1)</f>
        <v/>
      </c>
      <c r="X189" s="40" t="str">
        <f>IFERROR(IF(W188=0,"",X188/W188-1),"")</f>
        <v/>
      </c>
      <c r="Y189" s="40" t="str">
        <f>IFERROR(IF(X188=0,"",Y188/X188-1),"")</f>
        <v/>
      </c>
      <c r="Z189" s="40" t="str">
        <f>IFERROR(IF(Y188=0,"",Z188/Y188-1),"")</f>
        <v/>
      </c>
      <c r="AA189" s="40" t="str">
        <f>IFERROR(IF(Z188=0,"",AA188/Z188-1),"")</f>
        <v/>
      </c>
      <c r="AB189" s="12" t="str">
        <f>IF(AA188=0,"",AB188/AA188-1)</f>
        <v/>
      </c>
      <c r="AC189" s="40" t="str">
        <f>IFERROR(IF(AB188=0,"",AC188/AB188-1),"")</f>
        <v/>
      </c>
      <c r="AD189" s="40" t="str">
        <f>IFERROR(IF(AC188=0,"",AD188/AC188-1),"")</f>
        <v/>
      </c>
      <c r="AE189" s="40" t="str">
        <f>IFERROR(IF(AD188=0,"",AE188/AD188-1),"")</f>
        <v/>
      </c>
      <c r="AF189" s="55" t="str">
        <f>IFERROR(IF(AE188=0,"",AF188/AE188-1),"")</f>
        <v/>
      </c>
      <c r="AG189" s="12" t="str">
        <f>IF(AF188=0,"",AG188/AF188-1)</f>
        <v/>
      </c>
      <c r="AH189" s="55" t="str">
        <f>IFERROR(IF(AG188=0,"",AH188/AG188-1),"")</f>
        <v/>
      </c>
      <c r="AI189" s="55" t="str">
        <f>IFERROR(IF(AH188=0,"",AI188/AH188-1),"")</f>
        <v/>
      </c>
      <c r="AJ189" s="55" t="str">
        <f>IFERROR(IF(AI188=0,"",AJ188/AI188-1),"")</f>
        <v/>
      </c>
      <c r="AK189" s="55" t="str">
        <f>IF(AJ188=0,"",AK188/AJ188-1)</f>
        <v/>
      </c>
      <c r="AL189" s="12" t="str">
        <f>IF(AK188=0,"",AL188/AK188-1)</f>
        <v/>
      </c>
      <c r="AM189" s="55" t="str">
        <f>IF(AL188=0,"",AM188/AL188-1)</f>
        <v/>
      </c>
      <c r="AN189" s="55" t="str">
        <f>IF(AM188=0,"",AN188/AM188-1)</f>
        <v/>
      </c>
      <c r="AO189" s="55" t="str">
        <f>IF(AN188=0,"",AO188/AN188-1)</f>
        <v/>
      </c>
      <c r="AP189" s="55" t="str">
        <f>IF(AO188=0,"",AP188/AO188-1)</f>
        <v/>
      </c>
      <c r="AQ189" s="12" t="str">
        <f>IF(AP188=0,"",AQ188/AP188-1)</f>
        <v/>
      </c>
      <c r="AR189" s="55" t="str">
        <f>IF(AQ188=0,"",AR188/AQ188-1)</f>
        <v/>
      </c>
      <c r="AS189" s="55" t="str">
        <f>IF(AR188=0,"",AS188/AR188-1)</f>
        <v/>
      </c>
      <c r="AT189" s="55" t="str">
        <f>IF(AS188=0,"",AT188/AS188-1)</f>
        <v/>
      </c>
      <c r="AU189" s="55" t="str">
        <f>IF(AT188=0,"",AU188/AT188-1)</f>
        <v/>
      </c>
      <c r="AV189" s="12" t="str">
        <f>IF(AU188=0,"",AV188/AU188-1)</f>
        <v/>
      </c>
      <c r="AW189" s="55" t="str">
        <f>IF(AV188=0,"",AW188/AV188-1)</f>
        <v/>
      </c>
      <c r="AX189" s="55" t="str">
        <f>IF(AW188=0,"",AX188/AW188-1)</f>
        <v/>
      </c>
      <c r="AY189" s="55" t="str">
        <f>IF(AX188=0,"",AY188/AX188-1)</f>
        <v/>
      </c>
      <c r="AZ189" s="55" t="str">
        <f>IF(AY188=0,"",AZ188/AY188-1)</f>
        <v/>
      </c>
      <c r="BA189" s="12" t="str">
        <f>IF(AZ188=0,"",BA188/AZ188-1)</f>
        <v/>
      </c>
      <c r="BB189" s="55" t="str">
        <f>IF(BA188=0,"",BB188/BA188-1)</f>
        <v/>
      </c>
      <c r="BC189" s="55" t="str">
        <f>IF(BB188=0,"",BC188/BB188-1)</f>
        <v/>
      </c>
      <c r="BD189" s="55" t="str">
        <f>IF(BC188=0,"",BD188/BC188-1)</f>
        <v/>
      </c>
      <c r="BE189" s="55" t="str">
        <f>IF(BD188=0,"",BE188/BD188-1)</f>
        <v/>
      </c>
      <c r="BF189" s="12" t="str">
        <f>IF(BE188=0,"",BF188/BE188-1)</f>
        <v/>
      </c>
      <c r="BG189" s="55" t="n"/>
      <c r="BH189" s="55" t="n"/>
      <c r="BI189" s="55" t="n"/>
      <c r="BJ189" s="55" t="n"/>
      <c r="BK189" s="12" t="n"/>
      <c r="BL189" s="55" t="n"/>
      <c r="BM189" s="55" t="n"/>
      <c r="BN189" s="55" t="n"/>
      <c r="BO189" s="55" t="n"/>
      <c r="BP189" s="12" t="n"/>
      <c r="BQ189" s="55" t="n"/>
      <c r="BR189" s="55" t="n"/>
      <c r="BS189" s="55" t="n"/>
      <c r="BT189" s="55" t="n"/>
      <c r="BU189" s="12" t="n"/>
      <c r="BV189" s="55" t="n"/>
      <c r="BW189" s="55" t="n"/>
      <c r="BX189" s="55" t="n"/>
      <c r="BY189" s="55" t="n"/>
      <c r="BZ189" s="12" t="n"/>
      <c r="CA189" s="55" t="n"/>
      <c r="CB189" s="55" t="n"/>
      <c r="CC189" s="55" t="n"/>
      <c r="CD189" s="55" t="n"/>
      <c r="CE189" s="12" t="n"/>
      <c r="CF189" s="55" t="n"/>
      <c r="CG189" s="55" t="n"/>
      <c r="CH189" s="55" t="n"/>
      <c r="CI189" s="55" t="n"/>
      <c r="CJ189" s="12" t="n"/>
      <c r="CK189" s="55" t="n"/>
      <c r="CL189" s="55" t="n"/>
      <c r="CM189" s="55" t="n"/>
      <c r="CN189" s="55" t="n"/>
      <c r="CO189" s="12" t="n"/>
      <c r="CP189" s="55" t="n"/>
      <c r="CQ189" s="55" t="n"/>
      <c r="CR189" s="55" t="n"/>
      <c r="CS189" s="55" t="n"/>
      <c r="CT189" s="12" t="n"/>
      <c r="CU189" s="55" t="n"/>
      <c r="CV189" s="55" t="n"/>
      <c r="CW189" s="55" t="n"/>
      <c r="CX189" s="55" t="n"/>
      <c r="CY189" s="12" t="n"/>
    </row>
    <row r="190" collapsed="1">
      <c r="C190" s="14" t="inlineStr">
        <is>
          <t>Taxes payable</t>
        </is>
      </c>
      <c r="D190" s="46" t="n"/>
      <c r="E190" s="46" t="n"/>
      <c r="F190" s="46" t="n"/>
      <c r="G190" s="46" t="n"/>
      <c r="H190" s="12" t="n"/>
      <c r="I190" s="46">
        <f>'Inputs (2)'!D30</f>
        <v>948</v>
      </c>
      <c r="J190" s="46">
        <f>'Inputs (2)'!E30</f>
        <v>1165</v>
      </c>
      <c r="K190" s="46">
        <f>'Inputs (2)'!F30</f>
        <v>1633</v>
      </c>
      <c r="L190" s="46">
        <f>'Inputs (2)'!G30</f>
        <v>1601</v>
      </c>
      <c r="M190" s="12">
        <f>'Inputs (2)'!H30</f>
        <v>1601</v>
      </c>
      <c r="N190" s="46">
        <f>'Inputs (2)'!I30</f>
        <v>3672</v>
      </c>
      <c r="O190" s="46">
        <f>'Inputs (2)'!J30</f>
        <v>4785</v>
      </c>
      <c r="P190" s="46">
        <f>'Inputs (2)'!K30</f>
        <v>5325</v>
      </c>
      <c r="Q190" s="46">
        <f>'Inputs (2)'!L30</f>
        <v>5214</v>
      </c>
      <c r="R190" s="12">
        <f>'Inputs (2)'!M30</f>
        <v>5214</v>
      </c>
      <c r="S190" s="46">
        <f>'Inputs (2)'!N30</f>
        <v>4435</v>
      </c>
      <c r="T190" s="46">
        <f>'Inputs (2)'!O30</f>
        <v>3482</v>
      </c>
      <c r="U190" s="46">
        <f>'Inputs (2)'!P30</f>
        <v>4186</v>
      </c>
      <c r="V190" s="46">
        <f>'Inputs (2)'!Q30</f>
        <v>3189</v>
      </c>
      <c r="W190" s="12">
        <f>'Inputs (2)'!R30</f>
        <v>3189</v>
      </c>
      <c r="X190" s="46">
        <f>'Inputs (2)'!S30</f>
        <v>4163</v>
      </c>
      <c r="Y190" s="46">
        <f>'Inputs (2)'!T30</f>
        <v>4035</v>
      </c>
      <c r="Z190" s="46">
        <f>'Inputs (2)'!U30</f>
        <v>3843</v>
      </c>
      <c r="AA190" s="46">
        <f>'Inputs (2)'!V30</f>
        <v>4055</v>
      </c>
      <c r="AB190" s="12">
        <f>'Inputs (2)'!W30</f>
        <v>4055</v>
      </c>
      <c r="AC190" s="46">
        <f>'Inputs (2)'!X30</f>
        <v>5114</v>
      </c>
      <c r="AD190" s="46">
        <f>'Inputs (2)'!Y30</f>
        <v>3017</v>
      </c>
      <c r="AE190" s="46">
        <f>'Inputs (2)'!Z30</f>
        <v>3256</v>
      </c>
      <c r="AF190" s="46">
        <f>'Inputs (2)'!AA30</f>
        <v>2123</v>
      </c>
      <c r="AG190" s="12">
        <f>'Inputs (2)'!AB30</f>
        <v>2123</v>
      </c>
      <c r="AH190" s="12">
        <f>'Inputs (2)'!AC30</f>
        <v>2759</v>
      </c>
      <c r="AI190" s="12">
        <f>'Inputs (2)'!AD30</f>
        <v>4200</v>
      </c>
      <c r="AJ190" s="12">
        <f>AI190*(1+AJ16)</f>
        <v>4380.68569490652</v>
      </c>
      <c r="AK190" s="12">
        <f>AJ190*(1+AK16)</f>
        <v>4569.14456132349</v>
      </c>
      <c r="AL190" s="12">
        <f>AK190</f>
        <v>4569.14456132349</v>
      </c>
      <c r="AM190" s="12">
        <f>AL190*(1+AM16)</f>
        <v>4765.71100422613</v>
      </c>
      <c r="AN190" s="12">
        <f>AM190*(1+AN16)</f>
        <v>4970.73381482666</v>
      </c>
      <c r="AO190" s="12">
        <f>AN190*(1+AO16)</f>
        <v>5184.57678947602</v>
      </c>
      <c r="AP190" s="12">
        <f>AO190*(1+AP16)</f>
        <v>5407.61937519095</v>
      </c>
      <c r="AQ190" s="12">
        <f>AP190</f>
        <v>5407.61937519095</v>
      </c>
      <c r="AR190" s="12">
        <f>AQ190*(1+AR16)</f>
        <v>5613.21924607603</v>
      </c>
      <c r="AS190" s="12">
        <f>AR190*(1+AS16)</f>
        <v>5826.63610702182</v>
      </c>
      <c r="AT190" s="12">
        <f>AS190*(1+AT16)</f>
        <v>6048.16716314496</v>
      </c>
      <c r="AU190" s="12">
        <f>AT190*(1+AU16)</f>
        <v>6278.12091942058</v>
      </c>
      <c r="AV190" s="12">
        <f>AU190</f>
        <v>6278.12091942058</v>
      </c>
      <c r="AW190" s="12">
        <f>AV190*(1+AW16)</f>
        <v>6485.42700571035</v>
      </c>
      <c r="AX190" s="12">
        <f>AW190*(1+AX16)</f>
        <v>6699.5784226276</v>
      </c>
      <c r="AY190" s="12">
        <f>AX190*(1+AY16)</f>
        <v>6920.80120575209</v>
      </c>
      <c r="AZ190" s="12">
        <f>AY190*(1+AZ16)</f>
        <v>7149.32885444962</v>
      </c>
      <c r="BA190" s="12">
        <f>AZ190</f>
        <v>7149.32885444962</v>
      </c>
      <c r="BB190" s="12">
        <f>BA190*(1+BB16)</f>
        <v>7349.65593405704</v>
      </c>
      <c r="BC190" s="12">
        <f>BB190*(1+BC16)</f>
        <v>7555.59625927688</v>
      </c>
      <c r="BD190" s="12">
        <f>BC190*(1+BD16)</f>
        <v>7767.30711551643</v>
      </c>
      <c r="BE190" s="12">
        <f>BD190*(1+BE16)</f>
        <v>7984.95019538355</v>
      </c>
      <c r="BF190" s="12">
        <f>BE190</f>
        <v>7984.95019538355</v>
      </c>
      <c r="BG190" s="12" t="n"/>
      <c r="BH190" s="12" t="n"/>
      <c r="BI190" s="12" t="n"/>
      <c r="BJ190" s="12" t="n"/>
      <c r="BK190" s="12" t="n"/>
      <c r="BL190" s="12" t="n"/>
      <c r="BM190" s="12" t="n"/>
      <c r="BN190" s="12" t="n"/>
      <c r="BO190" s="12" t="n"/>
      <c r="BP190" s="12" t="n"/>
      <c r="BQ190" s="12" t="n"/>
      <c r="BR190" s="12" t="n"/>
      <c r="BS190" s="12" t="n"/>
      <c r="BT190" s="12" t="n"/>
      <c r="BU190" s="12" t="n"/>
      <c r="BV190" s="12" t="n"/>
      <c r="BW190" s="12" t="n"/>
      <c r="BX190" s="12" t="n"/>
      <c r="BY190" s="12" t="n"/>
      <c r="BZ190" s="12" t="n"/>
      <c r="CA190" s="12" t="n"/>
      <c r="CB190" s="12" t="n"/>
      <c r="CC190" s="12" t="n"/>
      <c r="CD190" s="12" t="n"/>
      <c r="CE190" s="12" t="n"/>
      <c r="CF190" s="12" t="n"/>
      <c r="CG190" s="12" t="n"/>
      <c r="CH190" s="12" t="n"/>
      <c r="CI190" s="12" t="n"/>
      <c r="CJ190" s="12" t="n"/>
      <c r="CK190" s="12" t="n"/>
      <c r="CL190" s="12" t="n"/>
      <c r="CM190" s="12" t="n"/>
      <c r="CN190" s="12" t="n"/>
      <c r="CO190" s="12" t="n"/>
      <c r="CP190" s="12" t="n"/>
      <c r="CQ190" s="12" t="n"/>
      <c r="CR190" s="12" t="n"/>
      <c r="CS190" s="12" t="n"/>
      <c r="CT190" s="12" t="n"/>
      <c r="CU190" s="12" t="n"/>
      <c r="CV190" s="12" t="n"/>
      <c r="CW190" s="12" t="n"/>
      <c r="CX190" s="12" t="n"/>
      <c r="CY190" s="12" t="n"/>
    </row>
    <row r="191">
      <c r="C191" s="14" t="inlineStr">
        <is>
          <t>Other current liabilities (non-debt)</t>
        </is>
      </c>
      <c r="D191" s="46" t="n"/>
      <c r="E191" s="46" t="n"/>
      <c r="F191" s="46" t="n"/>
      <c r="G191" s="46" t="n"/>
      <c r="H191" s="12" t="n"/>
      <c r="I191" s="46">
        <f>'Inputs (2)'!D31</f>
        <v>0</v>
      </c>
      <c r="J191" s="46">
        <f>'Inputs (2)'!E31</f>
        <v>0</v>
      </c>
      <c r="K191" s="46">
        <f>'Inputs (2)'!F31</f>
        <v>0</v>
      </c>
      <c r="L191" s="46">
        <f>'Inputs (2)'!G31</f>
        <v>0</v>
      </c>
      <c r="M191" s="12">
        <f>'Inputs (2)'!H31</f>
        <v>0</v>
      </c>
      <c r="N191" s="46">
        <f>'Inputs (2)'!I31</f>
        <v>0</v>
      </c>
      <c r="O191" s="46">
        <f>'Inputs (2)'!J31</f>
        <v>0</v>
      </c>
      <c r="P191" s="46">
        <f>'Inputs (2)'!K31</f>
        <v>0</v>
      </c>
      <c r="Q191" s="46">
        <f>'Inputs (2)'!L31</f>
        <v>0</v>
      </c>
      <c r="R191" s="12">
        <f>'Inputs (2)'!M31</f>
        <v>0</v>
      </c>
      <c r="S191" s="46">
        <f>'Inputs (2)'!N31</f>
        <v>0</v>
      </c>
      <c r="T191" s="46">
        <f>'Inputs (2)'!O31</f>
        <v>0</v>
      </c>
      <c r="U191" s="46">
        <f>'Inputs (2)'!P31</f>
        <v>0</v>
      </c>
      <c r="V191" s="46">
        <f>'Inputs (2)'!Q31</f>
        <v>0</v>
      </c>
      <c r="W191" s="12">
        <f>'Inputs (2)'!R31</f>
        <v>0</v>
      </c>
      <c r="X191" s="46">
        <f>'Inputs (2)'!S31</f>
        <v>0</v>
      </c>
      <c r="Y191" s="46">
        <f>'Inputs (2)'!T31</f>
        <v>0</v>
      </c>
      <c r="Z191" s="46">
        <f>'Inputs (2)'!U31</f>
        <v>0</v>
      </c>
      <c r="AA191" s="46">
        <f>'Inputs (2)'!V31</f>
        <v>0</v>
      </c>
      <c r="AB191" s="12">
        <f>'Inputs (2)'!W31</f>
        <v>0</v>
      </c>
      <c r="AC191" s="46">
        <f>'Inputs (2)'!X31</f>
        <v>0</v>
      </c>
      <c r="AD191" s="46">
        <f>'Inputs (2)'!Y31</f>
        <v>0</v>
      </c>
      <c r="AE191" s="46">
        <f>'Inputs (2)'!Z31</f>
        <v>0</v>
      </c>
      <c r="AF191" s="46">
        <f>'Inputs (2)'!AA31</f>
        <v>0</v>
      </c>
      <c r="AG191" s="12">
        <f>'Inputs (2)'!AB31</f>
        <v>0</v>
      </c>
      <c r="AH191" s="12">
        <f>'Inputs (2)'!AC31</f>
        <v>0</v>
      </c>
      <c r="AI191" s="12">
        <f>'Inputs (2)'!AD31</f>
        <v>0</v>
      </c>
      <c r="AJ191" s="12">
        <f>AI191</f>
        <v>0</v>
      </c>
      <c r="AK191" s="12">
        <f>AJ191</f>
        <v>0</v>
      </c>
      <c r="AL191" s="12">
        <f>AK191</f>
        <v>0</v>
      </c>
      <c r="AM191" s="12">
        <f>AL191</f>
        <v>0</v>
      </c>
      <c r="AN191" s="12">
        <f>AM191</f>
        <v>0</v>
      </c>
      <c r="AO191" s="12">
        <f>AN191</f>
        <v>0</v>
      </c>
      <c r="AP191" s="12">
        <f>AO191</f>
        <v>0</v>
      </c>
      <c r="AQ191" s="12">
        <f>AP191</f>
        <v>0</v>
      </c>
      <c r="AR191" s="12">
        <f>AQ191</f>
        <v>0</v>
      </c>
      <c r="AS191" s="12">
        <f>AR191</f>
        <v>0</v>
      </c>
      <c r="AT191" s="12">
        <f>AS191</f>
        <v>0</v>
      </c>
      <c r="AU191" s="12">
        <f>AT191</f>
        <v>0</v>
      </c>
      <c r="AV191" s="12">
        <f>AU191</f>
        <v>0</v>
      </c>
      <c r="AW191" s="12">
        <f>AV191</f>
        <v>0</v>
      </c>
      <c r="AX191" s="12">
        <f>AW191</f>
        <v>0</v>
      </c>
      <c r="AY191" s="12">
        <f>AX191</f>
        <v>0</v>
      </c>
      <c r="AZ191" s="12">
        <f>AY191</f>
        <v>0</v>
      </c>
      <c r="BA191" s="12">
        <f>AZ191</f>
        <v>0</v>
      </c>
      <c r="BB191" s="12">
        <f>BA191</f>
        <v>0</v>
      </c>
      <c r="BC191" s="12">
        <f>BB191</f>
        <v>0</v>
      </c>
      <c r="BD191" s="12">
        <f>BC191</f>
        <v>0</v>
      </c>
      <c r="BE191" s="12">
        <f>BD191</f>
        <v>0</v>
      </c>
      <c r="BF191" s="12">
        <f>BE191</f>
        <v>0</v>
      </c>
      <c r="BG191" s="12" t="n"/>
      <c r="BH191" s="12" t="n"/>
      <c r="BI191" s="12" t="n"/>
      <c r="BJ191" s="12" t="n"/>
      <c r="BK191" s="12" t="n"/>
      <c r="BL191" s="12" t="n"/>
      <c r="BM191" s="12" t="n"/>
      <c r="BN191" s="12" t="n"/>
      <c r="BO191" s="12" t="n"/>
      <c r="BP191" s="12" t="n"/>
      <c r="BQ191" s="12" t="n"/>
      <c r="BR191" s="12" t="n"/>
      <c r="BS191" s="12" t="n"/>
      <c r="BT191" s="12" t="n"/>
      <c r="BU191" s="12" t="n"/>
      <c r="BV191" s="12" t="n"/>
      <c r="BW191" s="12" t="n"/>
      <c r="BX191" s="12" t="n"/>
      <c r="BY191" s="12" t="n"/>
      <c r="BZ191" s="12" t="n"/>
      <c r="CA191" s="12" t="n"/>
      <c r="CB191" s="12" t="n"/>
      <c r="CC191" s="12" t="n"/>
      <c r="CD191" s="12" t="n"/>
      <c r="CE191" s="12" t="n"/>
      <c r="CF191" s="12" t="n"/>
      <c r="CG191" s="12" t="n"/>
      <c r="CH191" s="12" t="n"/>
      <c r="CI191" s="12" t="n"/>
      <c r="CJ191" s="12" t="n"/>
      <c r="CK191" s="12" t="n"/>
      <c r="CL191" s="12" t="n"/>
      <c r="CM191" s="12" t="n"/>
      <c r="CN191" s="12" t="n"/>
      <c r="CO191" s="12" t="n"/>
      <c r="CP191" s="12" t="n"/>
      <c r="CQ191" s="12" t="n"/>
      <c r="CR191" s="12" t="n"/>
      <c r="CS191" s="12" t="n"/>
      <c r="CT191" s="12" t="n"/>
      <c r="CU191" s="12" t="n"/>
      <c r="CV191" s="12" t="n"/>
      <c r="CW191" s="12" t="n"/>
      <c r="CX191" s="12" t="n"/>
      <c r="CY191" s="12" t="n"/>
    </row>
    <row r="192" hidden="1" outlineLevel="1">
      <c r="C192" s="59" t="inlineStr">
        <is>
          <t>%(Var.)</t>
        </is>
      </c>
      <c r="D192" s="12" t="n"/>
      <c r="E192" s="40" t="n"/>
      <c r="F192" s="40" t="n"/>
      <c r="G192" s="40" t="n"/>
      <c r="H192" s="12" t="n"/>
      <c r="I192" s="40" t="str">
        <f>""</f>
        <v/>
      </c>
      <c r="J192" s="40" t="str">
        <f>IFERROR(IF(I191=0,"",J191/I191-1),"")</f>
        <v/>
      </c>
      <c r="K192" s="40" t="str">
        <f>IFERROR(IF(J191=0,"",K191/J191-1),"")</f>
        <v/>
      </c>
      <c r="L192" s="40" t="str">
        <f>IFERROR(IF(K191=0,"",L191/K191-1),"")</f>
        <v/>
      </c>
      <c r="M192" s="12" t="str">
        <f>IF(L191=0,"",M191/L191-1)</f>
        <v/>
      </c>
      <c r="N192" s="40" t="str">
        <f>IFERROR(IF(M191=0,"",N191/M191-1),"")</f>
        <v/>
      </c>
      <c r="O192" s="40" t="str">
        <f>IFERROR(IF(N191=0,"",O191/N191-1),"")</f>
        <v/>
      </c>
      <c r="P192" s="40" t="str">
        <f>IFERROR(IF(O191=0,"",P191/O191-1),"")</f>
        <v/>
      </c>
      <c r="Q192" s="40" t="str">
        <f>IFERROR(IF(P191=0,"",Q191/P191-1),"")</f>
        <v/>
      </c>
      <c r="R192" s="12" t="str">
        <f>IF(Q191=0,"",R191/Q191-1)</f>
        <v/>
      </c>
      <c r="S192" s="40" t="str">
        <f>IFERROR(IF(R191=0,"",S191/R191-1),"")</f>
        <v/>
      </c>
      <c r="T192" s="40" t="str">
        <f>IFERROR(IF(S191=0,"",T191/S191-1),"")</f>
        <v/>
      </c>
      <c r="U192" s="40" t="str">
        <f>IFERROR(IF(T191=0,"",U191/T191-1),"")</f>
        <v/>
      </c>
      <c r="V192" s="40" t="str">
        <f>IFERROR(IF(U191=0,"",V191/U191-1),"")</f>
        <v/>
      </c>
      <c r="W192" s="12" t="str">
        <f>IF(V191=0,"",W191/V191-1)</f>
        <v/>
      </c>
      <c r="X192" s="40" t="str">
        <f>IFERROR(IF(W191=0,"",X191/W191-1),"")</f>
        <v/>
      </c>
      <c r="Y192" s="40" t="str">
        <f>IFERROR(IF(X191=0,"",Y191/X191-1),"")</f>
        <v/>
      </c>
      <c r="Z192" s="40" t="str">
        <f>IFERROR(IF(Y191=0,"",Z191/Y191-1),"")</f>
        <v/>
      </c>
      <c r="AA192" s="40" t="str">
        <f>IFERROR(IF(Z191=0,"",AA191/Z191-1),"")</f>
        <v/>
      </c>
      <c r="AB192" s="12" t="str">
        <f>IF(AA191=0,"",AB191/AA191-1)</f>
        <v/>
      </c>
      <c r="AC192" s="40" t="str">
        <f>IFERROR(IF(AB191=0,"",AC191/AB191-1),"")</f>
        <v/>
      </c>
      <c r="AD192" s="40" t="str">
        <f>IFERROR(IF(AC191=0,"",AD191/AC191-1),"")</f>
        <v/>
      </c>
      <c r="AE192" s="40" t="str">
        <f>IFERROR(IF(AD191=0,"",AE191/AD191-1),"")</f>
        <v/>
      </c>
      <c r="AF192" s="55" t="str">
        <f>IFERROR(IF(AE191=0,"",AF191/AE191-1),"")</f>
        <v/>
      </c>
      <c r="AG192" s="12" t="str">
        <f>IF(AF191=0,"",AG191/AF191-1)</f>
        <v/>
      </c>
      <c r="AH192" s="55" t="str">
        <f>IFERROR(IF(AG191=0,"",AH191/AG191-1),"")</f>
        <v/>
      </c>
      <c r="AI192" s="55" t="str">
        <f>IFERROR(IF(AH191=0,"",AI191/AH191-1),"")</f>
        <v/>
      </c>
      <c r="AJ192" s="55" t="str">
        <f>IFERROR(IF(AI191=0,"",AJ191/AI191-1),"")</f>
        <v/>
      </c>
      <c r="AK192" s="55" t="str">
        <f>IFERROR(IF(AJ191=0,"",AK191/AJ191-1),"")</f>
        <v/>
      </c>
      <c r="AL192" s="12" t="str">
        <f>IFERROR(IF(AK191=0,"",AL191/AK191-1),"")</f>
        <v/>
      </c>
      <c r="AM192" s="55" t="str">
        <f>IFERROR(IF(AL191=0,"",AM191/AL191-1),"")</f>
        <v/>
      </c>
      <c r="AN192" s="55" t="str">
        <f>IFERROR(IF(AM191=0,"",AN191/AM191-1),"")</f>
        <v/>
      </c>
      <c r="AO192" s="55" t="str">
        <f>IFERROR(IF(AN191=0,"",AO191/AN191-1),"")</f>
        <v/>
      </c>
      <c r="AP192" s="55" t="str">
        <f>IFERROR(IF(AO191=0,"",AP191/AO191-1),"")</f>
        <v/>
      </c>
      <c r="AQ192" s="12" t="str">
        <f>IFERROR(IF(AP191=0,"",AQ191/AP191-1),"")</f>
        <v/>
      </c>
      <c r="AR192" s="55" t="str">
        <f>IFERROR(IF(AQ191=0,"",AR191/AQ191-1),"")</f>
        <v/>
      </c>
      <c r="AS192" s="55" t="str">
        <f>IFERROR(IF(AR191=0,"",AS191/AR191-1),"")</f>
        <v/>
      </c>
      <c r="AT192" s="55" t="str">
        <f>IFERROR(IF(AS191=0,"",AT191/AS191-1),"")</f>
        <v/>
      </c>
      <c r="AU192" s="55" t="str">
        <f>IFERROR(IF(AT191=0,"",AU191/AT191-1),"")</f>
        <v/>
      </c>
      <c r="AV192" s="12" t="str">
        <f>IFERROR(IF(AU191=0,"",AV191/AU191-1),"")</f>
        <v/>
      </c>
      <c r="AW192" s="55" t="str">
        <f>IFERROR(IF(AV191=0,"",AW191/AV191-1),"")</f>
        <v/>
      </c>
      <c r="AX192" s="55" t="str">
        <f>IFERROR(IF(AW191=0,"",AX191/AW191-1),"")</f>
        <v/>
      </c>
      <c r="AY192" s="55" t="str">
        <f>IFERROR(IF(AX191=0,"",AY191/AX191-1),"")</f>
        <v/>
      </c>
      <c r="AZ192" s="55" t="str">
        <f>IFERROR(IF(AY191=0,"",AZ191/AY191-1),"")</f>
        <v/>
      </c>
      <c r="BA192" s="12" t="str">
        <f>IFERROR(IF(AZ191=0,"",BA191/AZ191-1),"")</f>
        <v/>
      </c>
      <c r="BB192" s="55" t="str">
        <f>IFERROR(IF(BA191=0,"",BB191/BA191-1),"")</f>
        <v/>
      </c>
      <c r="BC192" s="55" t="str">
        <f>IFERROR(IF(BB191=0,"",BC191/BB191-1),"")</f>
        <v/>
      </c>
      <c r="BD192" s="55" t="str">
        <f>IFERROR(IF(BC191=0,"",BD191/BC191-1),"")</f>
        <v/>
      </c>
      <c r="BE192" s="55" t="str">
        <f>IFERROR(IF(BD191=0,"",BE191/BD191-1),"")</f>
        <v/>
      </c>
      <c r="BF192" s="12" t="str">
        <f>IFERROR(IF(BE191=0,"",BF191/BE191-1),"")</f>
        <v/>
      </c>
      <c r="BG192" s="55" t="n"/>
      <c r="BH192" s="55" t="n"/>
      <c r="BI192" s="55" t="n"/>
      <c r="BJ192" s="55" t="n"/>
      <c r="BK192" s="12" t="n"/>
      <c r="BL192" s="55" t="n"/>
      <c r="BM192" s="55" t="n"/>
      <c r="BN192" s="55" t="n"/>
      <c r="BO192" s="55" t="n"/>
      <c r="BP192" s="12" t="n"/>
      <c r="BQ192" s="55" t="n"/>
      <c r="BR192" s="55" t="n"/>
      <c r="BS192" s="55" t="n"/>
      <c r="BT192" s="55" t="n"/>
      <c r="BU192" s="12" t="n"/>
      <c r="BV192" s="55" t="n"/>
      <c r="BW192" s="55" t="n"/>
      <c r="BX192" s="55" t="n"/>
      <c r="BY192" s="55" t="n"/>
      <c r="BZ192" s="12" t="n"/>
      <c r="CA192" s="55" t="n"/>
      <c r="CB192" s="55" t="n"/>
      <c r="CC192" s="55" t="n"/>
      <c r="CD192" s="55" t="n"/>
      <c r="CE192" s="12" t="n"/>
      <c r="CF192" s="55" t="n"/>
      <c r="CG192" s="55" t="n"/>
      <c r="CH192" s="55" t="n"/>
      <c r="CI192" s="55" t="n"/>
      <c r="CJ192" s="12" t="n"/>
      <c r="CK192" s="55" t="n"/>
      <c r="CL192" s="55" t="n"/>
      <c r="CM192" s="55" t="n"/>
      <c r="CN192" s="55" t="n"/>
      <c r="CO192" s="12" t="n"/>
      <c r="CP192" s="55" t="n"/>
      <c r="CQ192" s="55" t="n"/>
      <c r="CR192" s="55" t="n"/>
      <c r="CS192" s="55" t="n"/>
      <c r="CT192" s="12" t="n"/>
      <c r="CU192" s="55" t="n"/>
      <c r="CV192" s="55" t="n"/>
      <c r="CW192" s="55" t="n"/>
      <c r="CX192" s="55" t="n"/>
      <c r="CY192" s="12" t="n"/>
    </row>
    <row r="193" hidden="1" outlineLevel="1">
      <c r="C193" s="57" t="n"/>
      <c r="D193" s="12" t="n"/>
      <c r="E193" s="12" t="n"/>
      <c r="F193" s="12" t="n"/>
      <c r="G193" s="12" t="n"/>
      <c r="H193" s="12" t="n"/>
      <c r="I193" s="12" t="n"/>
      <c r="J193" s="12" t="n"/>
      <c r="K193" s="12" t="n"/>
      <c r="L193" s="12" t="n"/>
      <c r="M193" s="12" t="n"/>
      <c r="N193" s="12" t="n"/>
      <c r="O193" s="12" t="n"/>
      <c r="P193" s="12" t="n"/>
      <c r="Q193" s="12" t="n"/>
      <c r="R193" s="12" t="n"/>
      <c r="S193" s="12" t="n"/>
      <c r="T193" s="12" t="n"/>
      <c r="U193" s="12" t="n"/>
      <c r="V193" s="12" t="n"/>
      <c r="W193" s="12" t="n"/>
      <c r="X193" s="12" t="n"/>
      <c r="Y193" s="12" t="n"/>
      <c r="Z193" s="12" t="n"/>
      <c r="AA193" s="12" t="n"/>
      <c r="AB193" s="12" t="n"/>
      <c r="AC193" s="12" t="n"/>
      <c r="AD193" s="12" t="n"/>
      <c r="AE193" s="12" t="n"/>
      <c r="AF193" s="12" t="n"/>
      <c r="AG193" s="12" t="n"/>
      <c r="AH193" s="12" t="n"/>
      <c r="AI193" s="12" t="n"/>
      <c r="AJ193" s="12" t="n"/>
      <c r="AK193" s="12" t="n"/>
      <c r="AL193" s="12" t="n"/>
      <c r="AM193" s="12" t="n"/>
      <c r="AN193" s="12" t="n"/>
      <c r="AO193" s="12" t="n"/>
      <c r="AP193" s="12" t="n"/>
      <c r="AQ193" s="12" t="n"/>
      <c r="AR193" s="12" t="n"/>
      <c r="AS193" s="12" t="n"/>
      <c r="AT193" s="12" t="n"/>
      <c r="AU193" s="12" t="n"/>
      <c r="AV193" s="12" t="n"/>
      <c r="AW193" s="12" t="n"/>
      <c r="AX193" s="12" t="n"/>
      <c r="AY193" s="12" t="n"/>
      <c r="AZ193" s="12" t="n"/>
      <c r="BA193" s="12" t="n"/>
      <c r="BB193" s="12" t="n"/>
      <c r="BC193" s="12" t="n"/>
      <c r="BD193" s="12" t="n"/>
      <c r="BE193" s="12" t="n"/>
      <c r="BF193" s="12" t="n"/>
      <c r="BG193" s="12" t="n"/>
      <c r="BH193" s="12" t="n"/>
      <c r="BI193" s="12" t="n"/>
      <c r="BJ193" s="12" t="n"/>
      <c r="BK193" s="12" t="n"/>
      <c r="BL193" s="12" t="n"/>
      <c r="BM193" s="12" t="n"/>
      <c r="BN193" s="12" t="n"/>
      <c r="BO193" s="12" t="n"/>
      <c r="BP193" s="12" t="n"/>
      <c r="BQ193" s="12" t="n"/>
      <c r="BR193" s="12" t="n"/>
      <c r="BS193" s="12" t="n"/>
      <c r="BT193" s="12" t="n"/>
      <c r="BU193" s="12" t="n"/>
      <c r="BV193" s="12" t="n"/>
      <c r="BW193" s="12" t="n"/>
      <c r="BX193" s="12" t="n"/>
      <c r="BY193" s="12" t="n"/>
      <c r="BZ193" s="12" t="n"/>
      <c r="CA193" s="12" t="n"/>
      <c r="CB193" s="12" t="n"/>
      <c r="CC193" s="12" t="n"/>
      <c r="CD193" s="12" t="n"/>
      <c r="CE193" s="12" t="n"/>
      <c r="CF193" s="12" t="n"/>
      <c r="CG193" s="12" t="n"/>
      <c r="CH193" s="12" t="n"/>
      <c r="CI193" s="12" t="n"/>
      <c r="CJ193" s="12" t="n"/>
      <c r="CK193" s="12" t="n"/>
      <c r="CL193" s="12" t="n"/>
      <c r="CM193" s="12" t="n"/>
      <c r="CN193" s="12" t="n"/>
      <c r="CO193" s="12" t="n"/>
      <c r="CP193" s="12" t="n"/>
      <c r="CQ193" s="12" t="n"/>
      <c r="CR193" s="12" t="n"/>
      <c r="CS193" s="12" t="n"/>
      <c r="CT193" s="12" t="n"/>
      <c r="CU193" s="12" t="n"/>
      <c r="CV193" s="12" t="n"/>
      <c r="CW193" s="12" t="n"/>
      <c r="CX193" s="12" t="n"/>
      <c r="CY193" s="12" t="n"/>
    </row>
    <row r="194" hidden="1" outlineLevel="1">
      <c r="C194" s="57" t="inlineStr">
        <is>
          <t xml:space="preserve">Dividendos a Pagar </t>
        </is>
      </c>
      <c r="D194" s="11" t="n"/>
      <c r="E194" s="11" t="n"/>
      <c r="F194" s="11" t="n"/>
      <c r="G194" s="11" t="n"/>
      <c r="H194" s="12" t="n"/>
      <c r="I194" s="11" t="n"/>
      <c r="J194" s="11" t="n"/>
      <c r="K194" s="11" t="n"/>
      <c r="L194" s="11" t="n"/>
      <c r="M194" s="12" t="n"/>
      <c r="N194" s="11" t="n"/>
      <c r="O194" s="11" t="n"/>
      <c r="P194" s="11" t="n"/>
      <c r="Q194" s="11" t="n"/>
      <c r="R194" s="12" t="n"/>
      <c r="S194" s="11" t="n"/>
      <c r="T194" s="11" t="n"/>
      <c r="U194" s="11" t="n"/>
      <c r="V194" s="11" t="n"/>
      <c r="W194" s="12" t="n"/>
      <c r="X194" s="11" t="n"/>
      <c r="Y194" s="11" t="n"/>
      <c r="Z194" s="11" t="n"/>
      <c r="AA194" s="11" t="n"/>
      <c r="AB194" s="12" t="n"/>
      <c r="AC194" s="11" t="n"/>
      <c r="AD194" s="11" t="n"/>
      <c r="AE194" s="11" t="n"/>
      <c r="AF194" s="11" t="n"/>
      <c r="AG194" s="12" t="n"/>
      <c r="AH194" s="11" t="n"/>
      <c r="AI194" s="11" t="n"/>
      <c r="AJ194" s="11" t="n"/>
      <c r="AK194" s="11" t="n"/>
      <c r="AL194" s="12" t="n"/>
      <c r="AM194" s="11" t="n"/>
      <c r="AN194" s="11" t="n"/>
      <c r="AO194" s="11" t="n"/>
      <c r="AP194" s="11" t="n"/>
      <c r="AQ194" s="12" t="n"/>
      <c r="AR194" s="11" t="n"/>
      <c r="AS194" s="11" t="n"/>
      <c r="AT194" s="11" t="n"/>
      <c r="AU194" s="11" t="n"/>
      <c r="AV194" s="12" t="n"/>
      <c r="AW194" s="11" t="n"/>
      <c r="AX194" s="11" t="n"/>
      <c r="AY194" s="11" t="n"/>
      <c r="AZ194" s="11" t="n"/>
      <c r="BA194" s="12" t="n"/>
      <c r="BB194" s="11" t="n"/>
      <c r="BC194" s="11" t="n"/>
      <c r="BD194" s="11" t="n"/>
      <c r="BE194" s="11" t="n"/>
      <c r="BF194" s="12" t="n"/>
      <c r="BG194" s="11" t="n"/>
      <c r="BH194" s="11" t="n"/>
      <c r="BI194" s="11" t="n"/>
      <c r="BJ194" s="11" t="n"/>
      <c r="BK194" s="12" t="n"/>
      <c r="BL194" s="11" t="n"/>
      <c r="BM194" s="11" t="n"/>
      <c r="BN194" s="11" t="n"/>
      <c r="BO194" s="11" t="n"/>
      <c r="BP194" s="12" t="n"/>
      <c r="BQ194" s="11" t="n"/>
      <c r="BR194" s="11" t="n"/>
      <c r="BS194" s="11" t="n"/>
      <c r="BT194" s="11" t="n"/>
      <c r="BU194" s="12" t="n"/>
      <c r="BV194" s="11" t="n"/>
      <c r="BW194" s="11" t="n"/>
      <c r="BX194" s="11" t="n"/>
      <c r="BY194" s="11" t="n"/>
      <c r="BZ194" s="12" t="n"/>
      <c r="CA194" s="11" t="n"/>
      <c r="CB194" s="11" t="n"/>
      <c r="CC194" s="11" t="n"/>
      <c r="CD194" s="11" t="n"/>
      <c r="CE194" s="12" t="n"/>
      <c r="CF194" s="11" t="n"/>
      <c r="CG194" s="11" t="n"/>
      <c r="CH194" s="11" t="n"/>
      <c r="CI194" s="11" t="n"/>
      <c r="CJ194" s="12" t="n"/>
      <c r="CK194" s="11" t="n"/>
      <c r="CL194" s="11" t="n"/>
      <c r="CM194" s="11" t="n"/>
      <c r="CN194" s="11" t="n"/>
      <c r="CO194" s="12" t="n"/>
      <c r="CP194" s="11" t="n"/>
      <c r="CQ194" s="11" t="n"/>
      <c r="CR194" s="11" t="n"/>
      <c r="CS194" s="11" t="n"/>
      <c r="CT194" s="12" t="n"/>
      <c r="CU194" s="11" t="n"/>
      <c r="CV194" s="11" t="n"/>
      <c r="CW194" s="11" t="n"/>
      <c r="CX194" s="11" t="n"/>
      <c r="CY194" s="12" t="n"/>
    </row>
    <row r="195" hidden="1" outlineLevel="1">
      <c r="C195" s="57" t="inlineStr">
        <is>
          <t>Contas a pagar pela aquisição de controladas</t>
        </is>
      </c>
      <c r="D195" s="11" t="n"/>
      <c r="E195" s="11" t="n"/>
      <c r="F195" s="11" t="n"/>
      <c r="G195" s="11" t="n"/>
      <c r="H195" s="12" t="n"/>
      <c r="I195" s="11" t="n"/>
      <c r="J195" s="11" t="n"/>
      <c r="K195" s="11" t="n"/>
      <c r="L195" s="11" t="n"/>
      <c r="M195" s="12" t="n"/>
      <c r="N195" s="11" t="n"/>
      <c r="O195" s="11" t="n"/>
      <c r="P195" s="11" t="n"/>
      <c r="Q195" s="11" t="n"/>
      <c r="R195" s="12" t="n"/>
      <c r="S195" s="11" t="n"/>
      <c r="T195" s="11" t="n"/>
      <c r="U195" s="11" t="n"/>
      <c r="V195" s="11" t="n"/>
      <c r="W195" s="12" t="n"/>
      <c r="X195" s="11" t="n"/>
      <c r="Y195" s="11" t="n"/>
      <c r="Z195" s="11" t="n"/>
      <c r="AA195" s="11" t="n"/>
      <c r="AB195" s="12" t="n"/>
      <c r="AC195" s="11" t="n"/>
      <c r="AD195" s="11" t="n"/>
      <c r="AE195" s="11" t="n"/>
      <c r="AF195" s="11" t="n"/>
      <c r="AG195" s="12" t="n"/>
      <c r="AH195" s="11" t="n"/>
      <c r="AI195" s="11" t="n"/>
      <c r="AJ195" s="11" t="n"/>
      <c r="AK195" s="11" t="n"/>
      <c r="AL195" s="12" t="n"/>
      <c r="AM195" s="11" t="n"/>
      <c r="AN195" s="11" t="n"/>
      <c r="AO195" s="11" t="n"/>
      <c r="AP195" s="11" t="n"/>
      <c r="AQ195" s="12" t="n"/>
      <c r="AR195" s="11" t="n"/>
      <c r="AS195" s="11" t="n"/>
      <c r="AT195" s="11" t="n"/>
      <c r="AU195" s="11" t="n"/>
      <c r="AV195" s="12" t="n"/>
      <c r="AW195" s="11" t="n"/>
      <c r="AX195" s="11" t="n"/>
      <c r="AY195" s="11" t="n"/>
      <c r="AZ195" s="11" t="n"/>
      <c r="BA195" s="12" t="n"/>
      <c r="BB195" s="11" t="n"/>
      <c r="BC195" s="11" t="n"/>
      <c r="BD195" s="11" t="n"/>
      <c r="BE195" s="11" t="n"/>
      <c r="BF195" s="12" t="n"/>
      <c r="BG195" s="11" t="n"/>
      <c r="BH195" s="11" t="n"/>
      <c r="BI195" s="11" t="n"/>
      <c r="BJ195" s="11" t="n"/>
      <c r="BK195" s="12" t="n"/>
      <c r="BL195" s="11" t="n"/>
      <c r="BM195" s="11" t="n"/>
      <c r="BN195" s="11" t="n"/>
      <c r="BO195" s="11" t="n"/>
      <c r="BP195" s="12" t="n"/>
      <c r="BQ195" s="11" t="n"/>
      <c r="BR195" s="11" t="n"/>
      <c r="BS195" s="11" t="n"/>
      <c r="BT195" s="11" t="n"/>
      <c r="BU195" s="12" t="n"/>
      <c r="BV195" s="11" t="n"/>
      <c r="BW195" s="11" t="n"/>
      <c r="BX195" s="11" t="n"/>
      <c r="BY195" s="11" t="n"/>
      <c r="BZ195" s="12" t="n"/>
      <c r="CA195" s="11" t="n"/>
      <c r="CB195" s="11" t="n"/>
      <c r="CC195" s="11" t="n"/>
      <c r="CD195" s="11" t="n"/>
      <c r="CE195" s="12" t="n"/>
      <c r="CF195" s="11" t="n"/>
      <c r="CG195" s="11" t="n"/>
      <c r="CH195" s="11" t="n"/>
      <c r="CI195" s="11" t="n"/>
      <c r="CJ195" s="12" t="n"/>
      <c r="CK195" s="11" t="n"/>
      <c r="CL195" s="11" t="n"/>
      <c r="CM195" s="11" t="n"/>
      <c r="CN195" s="11" t="n"/>
      <c r="CO195" s="12" t="n"/>
      <c r="CP195" s="11" t="n"/>
      <c r="CQ195" s="11" t="n"/>
      <c r="CR195" s="11" t="n"/>
      <c r="CS195" s="11" t="n"/>
      <c r="CT195" s="12" t="n"/>
      <c r="CU195" s="11" t="n"/>
      <c r="CV195" s="11" t="n"/>
      <c r="CW195" s="11" t="n"/>
      <c r="CX195" s="11" t="n"/>
      <c r="CY195" s="12" t="n"/>
    </row>
    <row r="196" hidden="1" outlineLevel="1">
      <c r="C196" s="57" t="inlineStr">
        <is>
          <t>Outros</t>
        </is>
      </c>
      <c r="D196" s="11" t="n"/>
      <c r="E196" s="11" t="n"/>
      <c r="F196" s="11" t="n"/>
      <c r="G196" s="11" t="n"/>
      <c r="H196" s="12" t="n"/>
      <c r="I196" s="11" t="n"/>
      <c r="J196" s="11" t="n"/>
      <c r="K196" s="11" t="n"/>
      <c r="L196" s="11" t="n"/>
      <c r="M196" s="12" t="n"/>
      <c r="N196" s="11" t="n"/>
      <c r="O196" s="11" t="n"/>
      <c r="P196" s="11" t="n"/>
      <c r="Q196" s="11" t="n"/>
      <c r="R196" s="12" t="n"/>
      <c r="S196" s="11" t="n"/>
      <c r="T196" s="11" t="n"/>
      <c r="U196" s="11" t="n"/>
      <c r="V196" s="11" t="n"/>
      <c r="W196" s="12" t="n"/>
      <c r="X196" s="11" t="n"/>
      <c r="Y196" s="11" t="n"/>
      <c r="Z196" s="11" t="n"/>
      <c r="AA196" s="11" t="n"/>
      <c r="AB196" s="12" t="n"/>
      <c r="AC196" s="11" t="n"/>
      <c r="AD196" s="11" t="n"/>
      <c r="AE196" s="11" t="n"/>
      <c r="AF196" s="11" t="n"/>
      <c r="AG196" s="12" t="n"/>
      <c r="AH196" s="11" t="n"/>
      <c r="AI196" s="11" t="n"/>
      <c r="AJ196" s="11" t="n"/>
      <c r="AK196" s="11" t="n"/>
      <c r="AL196" s="12" t="n"/>
      <c r="AM196" s="11" t="n"/>
      <c r="AN196" s="11" t="n"/>
      <c r="AO196" s="11" t="n"/>
      <c r="AP196" s="11" t="n"/>
      <c r="AQ196" s="12" t="n"/>
      <c r="AR196" s="11" t="n"/>
      <c r="AS196" s="11" t="n"/>
      <c r="AT196" s="11" t="n"/>
      <c r="AU196" s="11" t="n"/>
      <c r="AV196" s="12" t="n"/>
      <c r="AW196" s="11" t="n"/>
      <c r="AX196" s="11" t="n"/>
      <c r="AY196" s="11" t="n"/>
      <c r="AZ196" s="11" t="n"/>
      <c r="BA196" s="12" t="n"/>
      <c r="BB196" s="11" t="n"/>
      <c r="BC196" s="11" t="n"/>
      <c r="BD196" s="11" t="n"/>
      <c r="BE196" s="11" t="n"/>
      <c r="BF196" s="12" t="n"/>
      <c r="BG196" s="11" t="n"/>
      <c r="BH196" s="11" t="n"/>
      <c r="BI196" s="11" t="n"/>
      <c r="BJ196" s="11" t="n"/>
      <c r="BK196" s="12" t="n"/>
      <c r="BL196" s="11" t="n"/>
      <c r="BM196" s="11" t="n"/>
      <c r="BN196" s="11" t="n"/>
      <c r="BO196" s="11" t="n"/>
      <c r="BP196" s="12" t="n"/>
      <c r="BQ196" s="11" t="n"/>
      <c r="BR196" s="11" t="n"/>
      <c r="BS196" s="11" t="n"/>
      <c r="BT196" s="11" t="n"/>
      <c r="BU196" s="12" t="n"/>
      <c r="BV196" s="11" t="n"/>
      <c r="BW196" s="11" t="n"/>
      <c r="BX196" s="11" t="n"/>
      <c r="BY196" s="11" t="n"/>
      <c r="BZ196" s="12" t="n"/>
      <c r="CA196" s="11" t="n"/>
      <c r="CB196" s="11" t="n"/>
      <c r="CC196" s="11" t="n"/>
      <c r="CD196" s="11" t="n"/>
      <c r="CE196" s="12" t="n"/>
      <c r="CF196" s="11" t="n"/>
      <c r="CG196" s="11" t="n"/>
      <c r="CH196" s="11" t="n"/>
      <c r="CI196" s="11" t="n"/>
      <c r="CJ196" s="12" t="n"/>
      <c r="CK196" s="11" t="n"/>
      <c r="CL196" s="11" t="n"/>
      <c r="CM196" s="11" t="n"/>
      <c r="CN196" s="11" t="n"/>
      <c r="CO196" s="12" t="n"/>
      <c r="CP196" s="11" t="n"/>
      <c r="CQ196" s="11" t="n"/>
      <c r="CR196" s="11" t="n"/>
      <c r="CS196" s="11" t="n"/>
      <c r="CT196" s="12" t="n"/>
      <c r="CU196" s="11" t="n"/>
      <c r="CV196" s="11" t="n"/>
      <c r="CW196" s="11" t="n"/>
      <c r="CX196" s="11" t="n"/>
      <c r="CY196" s="12" t="n"/>
    </row>
    <row r="197" hidden="1" outlineLevel="1">
      <c r="C197" s="57" t="n"/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12" t="n"/>
      <c r="W197" s="12" t="n"/>
      <c r="X197" s="12" t="n"/>
      <c r="Y197" s="12" t="n"/>
      <c r="Z197" s="12" t="n"/>
      <c r="AA197" s="12" t="n"/>
      <c r="AB197" s="12" t="n"/>
      <c r="AC197" s="12" t="n"/>
      <c r="AD197" s="12" t="n"/>
      <c r="AE197" s="12" t="n"/>
      <c r="AF197" s="12" t="n"/>
      <c r="AG197" s="12" t="n"/>
      <c r="AH197" s="12" t="n"/>
      <c r="AI197" s="12" t="n"/>
      <c r="AJ197" s="12" t="n"/>
      <c r="AK197" s="12" t="n"/>
      <c r="AL197" s="12" t="n"/>
      <c r="AM197" s="12" t="n"/>
      <c r="AN197" s="12" t="n"/>
      <c r="AO197" s="12" t="n"/>
      <c r="AP197" s="12" t="n"/>
      <c r="AQ197" s="12" t="n"/>
      <c r="AR197" s="12" t="n"/>
      <c r="AS197" s="12" t="n"/>
      <c r="AT197" s="12" t="n"/>
      <c r="AU197" s="12" t="n"/>
      <c r="AV197" s="12" t="n"/>
      <c r="AW197" s="12" t="n"/>
      <c r="AX197" s="12" t="n"/>
      <c r="AY197" s="12" t="n"/>
      <c r="AZ197" s="12" t="n"/>
      <c r="BA197" s="12" t="n"/>
      <c r="BB197" s="12" t="n"/>
      <c r="BC197" s="12" t="n"/>
      <c r="BD197" s="12" t="n"/>
      <c r="BE197" s="12" t="n"/>
      <c r="BF197" s="12" t="n"/>
      <c r="BG197" s="12" t="n"/>
      <c r="BH197" s="12" t="n"/>
      <c r="BI197" s="12" t="n"/>
      <c r="BJ197" s="12" t="n"/>
      <c r="BK197" s="12" t="n"/>
      <c r="BL197" s="12" t="n"/>
      <c r="BM197" s="12" t="n"/>
      <c r="BN197" s="12" t="n"/>
      <c r="BO197" s="12" t="n"/>
      <c r="BP197" s="12" t="n"/>
      <c r="BQ197" s="12" t="n"/>
      <c r="BR197" s="12" t="n"/>
      <c r="BS197" s="12" t="n"/>
      <c r="BT197" s="12" t="n"/>
      <c r="BU197" s="12" t="n"/>
      <c r="BV197" s="12" t="n"/>
      <c r="BW197" s="12" t="n"/>
      <c r="BX197" s="12" t="n"/>
      <c r="BY197" s="12" t="n"/>
      <c r="BZ197" s="12" t="n"/>
      <c r="CA197" s="12" t="n"/>
      <c r="CB197" s="12" t="n"/>
      <c r="CC197" s="12" t="n"/>
      <c r="CD197" s="12" t="n"/>
      <c r="CE197" s="12" t="n"/>
      <c r="CF197" s="12" t="n"/>
      <c r="CG197" s="12" t="n"/>
      <c r="CH197" s="12" t="n"/>
      <c r="CI197" s="12" t="n"/>
      <c r="CJ197" s="12" t="n"/>
      <c r="CK197" s="12" t="n"/>
      <c r="CL197" s="12" t="n"/>
      <c r="CM197" s="12" t="n"/>
      <c r="CN197" s="12" t="n"/>
      <c r="CO197" s="12" t="n"/>
      <c r="CP197" s="12" t="n"/>
      <c r="CQ197" s="12" t="n"/>
      <c r="CR197" s="12" t="n"/>
      <c r="CS197" s="12" t="n"/>
      <c r="CT197" s="12" t="n"/>
      <c r="CU197" s="12" t="n"/>
      <c r="CV197" s="12" t="n"/>
      <c r="CW197" s="12" t="n"/>
      <c r="CX197" s="12" t="n"/>
      <c r="CY197" s="12" t="n"/>
    </row>
    <row r="198" collapsed="1">
      <c r="C198" s="14" t="inlineStr">
        <is>
          <t>Current portion of long-term debt</t>
        </is>
      </c>
      <c r="D198" s="46" t="n"/>
      <c r="E198" s="46" t="n"/>
      <c r="F198" s="46" t="n"/>
      <c r="G198" s="46" t="n"/>
      <c r="H198" s="12" t="n"/>
      <c r="I198" s="46">
        <f>'Inputs (2)'!D32</f>
        <v>18185</v>
      </c>
      <c r="J198" s="46">
        <f>'Inputs (2)'!E32</f>
        <v>15293</v>
      </c>
      <c r="K198" s="46">
        <f>'Inputs (2)'!F32</f>
        <v>12966</v>
      </c>
      <c r="L198" s="46">
        <f>'Inputs (2)'!G32</f>
        <v>4276</v>
      </c>
      <c r="M198" s="12">
        <f>'Inputs (2)'!H32</f>
        <v>4276</v>
      </c>
      <c r="N198" s="46">
        <f>'Inputs (2)'!I32</f>
        <v>4886</v>
      </c>
      <c r="O198" s="46">
        <f>'Inputs (2)'!J32</f>
        <v>7367</v>
      </c>
      <c r="P198" s="46">
        <f>'Inputs (2)'!K32</f>
        <v>6182</v>
      </c>
      <c r="Q198" s="46">
        <f>'Inputs (2)'!L32</f>
        <v>634</v>
      </c>
      <c r="R198" s="12">
        <f>'Inputs (2)'!M32</f>
        <v>634</v>
      </c>
      <c r="S198" s="46">
        <f>'Inputs (2)'!N32</f>
        <v>2296</v>
      </c>
      <c r="T198" s="46">
        <f>'Inputs (2)'!O32</f>
        <v>3929</v>
      </c>
      <c r="U198" s="46">
        <f>'Inputs (2)'!P32</f>
        <v>4743</v>
      </c>
      <c r="V198" s="46">
        <f>'Inputs (2)'!Q32</f>
        <v>4090</v>
      </c>
      <c r="W198" s="12">
        <f>'Inputs (2)'!R32</f>
        <v>4090</v>
      </c>
      <c r="X198" s="46">
        <f>'Inputs (2)'!S32</f>
        <v>8227</v>
      </c>
      <c r="Y198" s="46">
        <f>'Inputs (2)'!T32</f>
        <v>6621</v>
      </c>
      <c r="Z198" s="46">
        <f>'Inputs (2)'!U32</f>
        <v>5632</v>
      </c>
      <c r="AA198" s="46">
        <f>'Inputs (2)'!V32</f>
        <v>4955</v>
      </c>
      <c r="AB198" s="12">
        <f>'Inputs (2)'!W32</f>
        <v>4955</v>
      </c>
      <c r="AC198" s="46">
        <f>'Inputs (2)'!X32</f>
        <v>4728</v>
      </c>
      <c r="AD198" s="46">
        <f>'Inputs (2)'!Y32</f>
        <v>5419</v>
      </c>
      <c r="AE198" s="46">
        <f>'Inputs (2)'!Z32</f>
        <v>9212</v>
      </c>
      <c r="AF198" s="46">
        <f>'Inputs (2)'!AA32</f>
        <v>9296</v>
      </c>
      <c r="AG198" s="12">
        <f>'Inputs (2)'!AB32</f>
        <v>9296</v>
      </c>
      <c r="AH198" s="12">
        <f>'Inputs (2)'!AC32</f>
        <v>14531</v>
      </c>
      <c r="AI198" s="12">
        <f>'Inputs (2)'!AD32</f>
        <v>10139</v>
      </c>
      <c r="AJ198" s="12">
        <f>AI198</f>
        <v>10139</v>
      </c>
      <c r="AK198" s="12">
        <f>AJ198</f>
        <v>10139</v>
      </c>
      <c r="AL198" s="12">
        <f>AK198</f>
        <v>10139</v>
      </c>
      <c r="AM198" s="12">
        <f>AL198</f>
        <v>10139</v>
      </c>
      <c r="AN198" s="12">
        <f>AM198</f>
        <v>10139</v>
      </c>
      <c r="AO198" s="12">
        <f>AN198</f>
        <v>10139</v>
      </c>
      <c r="AP198" s="12">
        <f>AO198</f>
        <v>10139</v>
      </c>
      <c r="AQ198" s="12">
        <f>AP198</f>
        <v>10139</v>
      </c>
      <c r="AR198" s="12">
        <f>AQ198</f>
        <v>10139</v>
      </c>
      <c r="AS198" s="12">
        <f>AR198</f>
        <v>10139</v>
      </c>
      <c r="AT198" s="12">
        <f>AS198</f>
        <v>10139</v>
      </c>
      <c r="AU198" s="12">
        <f>AT198</f>
        <v>10139</v>
      </c>
      <c r="AV198" s="12">
        <f>AU198</f>
        <v>10139</v>
      </c>
      <c r="AW198" s="12">
        <f>AV198</f>
        <v>10139</v>
      </c>
      <c r="AX198" s="12">
        <f>AW198</f>
        <v>10139</v>
      </c>
      <c r="AY198" s="12">
        <f>AX198</f>
        <v>10139</v>
      </c>
      <c r="AZ198" s="12">
        <f>AY198</f>
        <v>10139</v>
      </c>
      <c r="BA198" s="12">
        <f>AZ198</f>
        <v>10139</v>
      </c>
      <c r="BB198" s="12">
        <f>BA198</f>
        <v>10139</v>
      </c>
      <c r="BC198" s="12">
        <f>BB198</f>
        <v>10139</v>
      </c>
      <c r="BD198" s="12">
        <f>BC198</f>
        <v>10139</v>
      </c>
      <c r="BE198" s="12">
        <f>BD198</f>
        <v>10139</v>
      </c>
      <c r="BF198" s="12">
        <f>BE198</f>
        <v>10139</v>
      </c>
      <c r="BG198" s="12" t="n"/>
      <c r="BH198" s="12" t="n"/>
      <c r="BI198" s="12" t="n"/>
      <c r="BJ198" s="12" t="n"/>
      <c r="BK198" s="12" t="n"/>
      <c r="BL198" s="12" t="n"/>
      <c r="BM198" s="12" t="n"/>
      <c r="BN198" s="12" t="n"/>
      <c r="BO198" s="12" t="n"/>
      <c r="BP198" s="12" t="n"/>
      <c r="BQ198" s="12" t="n"/>
      <c r="BR198" s="12" t="n"/>
      <c r="BS198" s="12" t="n"/>
      <c r="BT198" s="12" t="n"/>
      <c r="BU198" s="12" t="n"/>
      <c r="BV198" s="12" t="n"/>
      <c r="BW198" s="12" t="n"/>
      <c r="BX198" s="12" t="n"/>
      <c r="BY198" s="12" t="n"/>
      <c r="BZ198" s="12" t="n"/>
      <c r="CA198" s="12" t="n"/>
      <c r="CB198" s="12" t="n"/>
      <c r="CC198" s="12" t="n"/>
      <c r="CD198" s="12" t="n"/>
      <c r="CE198" s="12" t="n"/>
      <c r="CF198" s="12" t="n"/>
      <c r="CG198" s="12" t="n"/>
      <c r="CH198" s="12" t="n"/>
      <c r="CI198" s="12" t="n"/>
      <c r="CJ198" s="12" t="n"/>
      <c r="CK198" s="12" t="n"/>
      <c r="CL198" s="12" t="n"/>
      <c r="CM198" s="12" t="n"/>
      <c r="CN198" s="12" t="n"/>
      <c r="CO198" s="12" t="n"/>
      <c r="CP198" s="12" t="n"/>
      <c r="CQ198" s="12" t="n"/>
      <c r="CR198" s="12" t="n"/>
      <c r="CS198" s="12" t="n"/>
      <c r="CT198" s="12" t="n"/>
      <c r="CU198" s="12" t="n"/>
      <c r="CV198" s="12" t="n"/>
      <c r="CW198" s="12" t="n"/>
      <c r="CX198" s="12" t="n"/>
      <c r="CY198" s="12" t="n"/>
    </row>
    <row r="199">
      <c r="C199" s="14" t="inlineStr">
        <is>
          <t>Short term debt (Revolving credit facility)</t>
        </is>
      </c>
      <c r="D199" s="46" t="n"/>
      <c r="E199" s="46" t="n"/>
      <c r="F199" s="46" t="n"/>
      <c r="G199" s="46" t="n"/>
      <c r="H199" s="12" t="n"/>
      <c r="I199" s="46">
        <f>'Inputs (2)'!D33</f>
        <v>0</v>
      </c>
      <c r="J199" s="46">
        <f>'Inputs (2)'!E33</f>
        <v>0</v>
      </c>
      <c r="K199" s="46">
        <f>'Inputs (2)'!F33</f>
        <v>0</v>
      </c>
      <c r="L199" s="46">
        <f>'Inputs (2)'!G33</f>
        <v>0</v>
      </c>
      <c r="M199" s="12">
        <f>'Inputs (2)'!H33</f>
        <v>0</v>
      </c>
      <c r="N199" s="46">
        <f>'Inputs (2)'!I33</f>
        <v>0</v>
      </c>
      <c r="O199" s="46">
        <f>'Inputs (2)'!J33</f>
        <v>0</v>
      </c>
      <c r="P199" s="46">
        <f>'Inputs (2)'!K33</f>
        <v>0</v>
      </c>
      <c r="Q199" s="46">
        <f>'Inputs (2)'!L33</f>
        <v>0</v>
      </c>
      <c r="R199" s="12">
        <f>'Inputs (2)'!M33</f>
        <v>0</v>
      </c>
      <c r="S199" s="46">
        <f>'Inputs (2)'!N33</f>
        <v>0</v>
      </c>
      <c r="T199" s="46">
        <f>'Inputs (2)'!O33</f>
        <v>0</v>
      </c>
      <c r="U199" s="46">
        <f>'Inputs (2)'!P33</f>
        <v>0</v>
      </c>
      <c r="V199" s="46">
        <f>'Inputs (2)'!Q33</f>
        <v>0</v>
      </c>
      <c r="W199" s="12">
        <f>'Inputs (2)'!R33</f>
        <v>0</v>
      </c>
      <c r="X199" s="46">
        <f>'Inputs (2)'!S33</f>
        <v>0</v>
      </c>
      <c r="Y199" s="46">
        <f>'Inputs (2)'!T33</f>
        <v>0</v>
      </c>
      <c r="Z199" s="46">
        <f>'Inputs (2)'!U33</f>
        <v>0</v>
      </c>
      <c r="AA199" s="46">
        <f>'Inputs (2)'!V33</f>
        <v>0</v>
      </c>
      <c r="AB199" s="12">
        <f>'Inputs (2)'!W33</f>
        <v>0</v>
      </c>
      <c r="AC199" s="46">
        <f>'Inputs (2)'!X33</f>
        <v>0</v>
      </c>
      <c r="AD199" s="46">
        <f>'Inputs (2)'!Y33</f>
        <v>0</v>
      </c>
      <c r="AE199" s="46">
        <f>'Inputs (2)'!Z33</f>
        <v>0</v>
      </c>
      <c r="AF199" s="46">
        <f>'Inputs (2)'!AA33</f>
        <v>0</v>
      </c>
      <c r="AG199" s="12">
        <f>'Inputs (2)'!AB33</f>
        <v>0</v>
      </c>
      <c r="AH199" s="12">
        <f>'Inputs (2)'!AC33</f>
        <v>0</v>
      </c>
      <c r="AI199" s="12">
        <f>'Inputs (2)'!AD33</f>
        <v>0</v>
      </c>
      <c r="AJ199" s="12">
        <f>AI199</f>
        <v>0</v>
      </c>
      <c r="AK199" s="12">
        <f>AJ199</f>
        <v>0</v>
      </c>
      <c r="AL199" s="12">
        <f>AK199</f>
        <v>0</v>
      </c>
      <c r="AM199" s="12">
        <f>AL199</f>
        <v>0</v>
      </c>
      <c r="AN199" s="12">
        <f>AM199</f>
        <v>0</v>
      </c>
      <c r="AO199" s="12">
        <f>AN199</f>
        <v>0</v>
      </c>
      <c r="AP199" s="12">
        <f>AO199</f>
        <v>0</v>
      </c>
      <c r="AQ199" s="12">
        <f>AP199</f>
        <v>0</v>
      </c>
      <c r="AR199" s="12">
        <f>AQ199</f>
        <v>0</v>
      </c>
      <c r="AS199" s="12">
        <f>AR199</f>
        <v>0</v>
      </c>
      <c r="AT199" s="12">
        <f>AS199</f>
        <v>0</v>
      </c>
      <c r="AU199" s="12">
        <f>AT199</f>
        <v>0</v>
      </c>
      <c r="AV199" s="12">
        <f>AU199</f>
        <v>0</v>
      </c>
      <c r="AW199" s="12">
        <f>AV199</f>
        <v>0</v>
      </c>
      <c r="AX199" s="12">
        <f>AW199</f>
        <v>0</v>
      </c>
      <c r="AY199" s="12">
        <f>AX199</f>
        <v>0</v>
      </c>
      <c r="AZ199" s="12">
        <f>AY199</f>
        <v>0</v>
      </c>
      <c r="BA199" s="12">
        <f>AZ199</f>
        <v>0</v>
      </c>
      <c r="BB199" s="12">
        <f>BA199</f>
        <v>0</v>
      </c>
      <c r="BC199" s="12">
        <f>BB199</f>
        <v>0</v>
      </c>
      <c r="BD199" s="12">
        <f>BC199</f>
        <v>0</v>
      </c>
      <c r="BE199" s="12">
        <f>BD199</f>
        <v>0</v>
      </c>
      <c r="BF199" s="12">
        <f>BE199</f>
        <v>0</v>
      </c>
      <c r="BG199" s="12" t="n"/>
      <c r="BH199" s="12" t="n"/>
      <c r="BI199" s="12" t="n"/>
      <c r="BJ199" s="12" t="n"/>
      <c r="BK199" s="12" t="n"/>
      <c r="BL199" s="12" t="n"/>
      <c r="BM199" s="12" t="n"/>
      <c r="BN199" s="12" t="n"/>
      <c r="BO199" s="12" t="n"/>
      <c r="BP199" s="12" t="n"/>
      <c r="BQ199" s="12" t="n"/>
      <c r="BR199" s="12" t="n"/>
      <c r="BS199" s="12" t="n"/>
      <c r="BT199" s="12" t="n"/>
      <c r="BU199" s="12" t="n"/>
      <c r="BV199" s="12" t="n"/>
      <c r="BW199" s="12" t="n"/>
      <c r="BX199" s="12" t="n"/>
      <c r="BY199" s="12" t="n"/>
      <c r="BZ199" s="12" t="n"/>
      <c r="CA199" s="12" t="n"/>
      <c r="CB199" s="12" t="n"/>
      <c r="CC199" s="12" t="n"/>
      <c r="CD199" s="12" t="n"/>
      <c r="CE199" s="12" t="n"/>
      <c r="CF199" s="12" t="n"/>
      <c r="CG199" s="12" t="n"/>
      <c r="CH199" s="12" t="n"/>
      <c r="CI199" s="12" t="n"/>
      <c r="CJ199" s="12" t="n"/>
      <c r="CK199" s="12" t="n"/>
      <c r="CL199" s="12" t="n"/>
      <c r="CM199" s="12" t="n"/>
      <c r="CN199" s="12" t="n"/>
      <c r="CO199" s="12" t="n"/>
      <c r="CP199" s="12" t="n"/>
      <c r="CQ199" s="12" t="n"/>
      <c r="CR199" s="12" t="n"/>
      <c r="CS199" s="12" t="n"/>
      <c r="CT199" s="12" t="n"/>
      <c r="CU199" s="12" t="n"/>
      <c r="CV199" s="12" t="n"/>
      <c r="CW199" s="12" t="n"/>
      <c r="CX199" s="12" t="n"/>
      <c r="CY199" s="12" t="n"/>
    </row>
    <row r="200">
      <c r="C200" s="14" t="inlineStr">
        <is>
          <t>Short term operating leases</t>
        </is>
      </c>
      <c r="D200" s="46" t="n"/>
      <c r="E200" s="46" t="n"/>
      <c r="F200" s="46" t="n"/>
      <c r="G200" s="46" t="n"/>
      <c r="H200" s="12" t="n"/>
      <c r="I200" s="46">
        <f>'Inputs (2)'!D34</f>
        <v>0</v>
      </c>
      <c r="J200" s="46">
        <f>'Inputs (2)'!E34</f>
        <v>0</v>
      </c>
      <c r="K200" s="46">
        <f>'Inputs (2)'!F34</f>
        <v>0</v>
      </c>
      <c r="L200" s="46">
        <f>'Inputs (2)'!G34</f>
        <v>0</v>
      </c>
      <c r="M200" s="12">
        <f>'Inputs (2)'!H34</f>
        <v>0</v>
      </c>
      <c r="N200" s="46">
        <f>'Inputs (2)'!I34</f>
        <v>0</v>
      </c>
      <c r="O200" s="46">
        <f>'Inputs (2)'!J34</f>
        <v>0</v>
      </c>
      <c r="P200" s="46">
        <f>'Inputs (2)'!K34</f>
        <v>0</v>
      </c>
      <c r="Q200" s="46">
        <f>'Inputs (2)'!L34</f>
        <v>0</v>
      </c>
      <c r="R200" s="12">
        <f>'Inputs (2)'!M34</f>
        <v>0</v>
      </c>
      <c r="S200" s="46">
        <f>'Inputs (2)'!N34</f>
        <v>0</v>
      </c>
      <c r="T200" s="46">
        <f>'Inputs (2)'!O34</f>
        <v>0</v>
      </c>
      <c r="U200" s="46">
        <f>'Inputs (2)'!P34</f>
        <v>0</v>
      </c>
      <c r="V200" s="46">
        <f>'Inputs (2)'!Q34</f>
        <v>0</v>
      </c>
      <c r="W200" s="12">
        <f>'Inputs (2)'!R34</f>
        <v>0</v>
      </c>
      <c r="X200" s="46">
        <f>'Inputs (2)'!S34</f>
        <v>0</v>
      </c>
      <c r="Y200" s="46">
        <f>'Inputs (2)'!T34</f>
        <v>0</v>
      </c>
      <c r="Z200" s="46">
        <f>'Inputs (2)'!U34</f>
        <v>0</v>
      </c>
      <c r="AA200" s="46">
        <f>'Inputs (2)'!V34</f>
        <v>0</v>
      </c>
      <c r="AB200" s="12">
        <f>'Inputs (2)'!W34</f>
        <v>0</v>
      </c>
      <c r="AC200" s="46">
        <f>'Inputs (2)'!X34</f>
        <v>0</v>
      </c>
      <c r="AD200" s="46">
        <f>'Inputs (2)'!Y34</f>
        <v>0</v>
      </c>
      <c r="AE200" s="46">
        <f>'Inputs (2)'!Z34</f>
        <v>0</v>
      </c>
      <c r="AF200" s="46">
        <f>'Inputs (2)'!AA34</f>
        <v>0</v>
      </c>
      <c r="AG200" s="12">
        <f>'Inputs (2)'!AB34</f>
        <v>0</v>
      </c>
      <c r="AH200" s="12">
        <f>'Inputs (2)'!AC34</f>
        <v>0</v>
      </c>
      <c r="AI200" s="12">
        <f>'Inputs (2)'!AD34</f>
        <v>0</v>
      </c>
      <c r="AJ200" s="12">
        <f>AI200</f>
        <v>0</v>
      </c>
      <c r="AK200" s="12">
        <f>AJ200</f>
        <v>0</v>
      </c>
      <c r="AL200" s="12">
        <f>AK200</f>
        <v>0</v>
      </c>
      <c r="AM200" s="12">
        <f>AL200</f>
        <v>0</v>
      </c>
      <c r="AN200" s="12">
        <f>AM200</f>
        <v>0</v>
      </c>
      <c r="AO200" s="12">
        <f>AN200</f>
        <v>0</v>
      </c>
      <c r="AP200" s="12">
        <f>AO200</f>
        <v>0</v>
      </c>
      <c r="AQ200" s="12">
        <f>AP200</f>
        <v>0</v>
      </c>
      <c r="AR200" s="12">
        <f>AQ200</f>
        <v>0</v>
      </c>
      <c r="AS200" s="12">
        <f>AR200</f>
        <v>0</v>
      </c>
      <c r="AT200" s="12">
        <f>AS200</f>
        <v>0</v>
      </c>
      <c r="AU200" s="12">
        <f>AT200</f>
        <v>0</v>
      </c>
      <c r="AV200" s="12">
        <f>AU200</f>
        <v>0</v>
      </c>
      <c r="AW200" s="12">
        <f>AV200</f>
        <v>0</v>
      </c>
      <c r="AX200" s="12">
        <f>AW200</f>
        <v>0</v>
      </c>
      <c r="AY200" s="12">
        <f>AX200</f>
        <v>0</v>
      </c>
      <c r="AZ200" s="12">
        <f>AY200</f>
        <v>0</v>
      </c>
      <c r="BA200" s="12">
        <f>AZ200</f>
        <v>0</v>
      </c>
      <c r="BB200" s="12">
        <f>BA200</f>
        <v>0</v>
      </c>
      <c r="BC200" s="12">
        <f>BB200</f>
        <v>0</v>
      </c>
      <c r="BD200" s="12">
        <f>BC200</f>
        <v>0</v>
      </c>
      <c r="BE200" s="12">
        <f>BD200</f>
        <v>0</v>
      </c>
      <c r="BF200" s="12">
        <f>BE200</f>
        <v>0</v>
      </c>
      <c r="BG200" s="12" t="n"/>
      <c r="BH200" s="12" t="n"/>
      <c r="BI200" s="12" t="n"/>
      <c r="BJ200" s="12" t="n"/>
      <c r="BK200" s="12" t="n"/>
      <c r="BL200" s="12" t="n"/>
      <c r="BM200" s="12" t="n"/>
      <c r="BN200" s="12" t="n"/>
      <c r="BO200" s="12" t="n"/>
      <c r="BP200" s="12" t="n"/>
      <c r="BQ200" s="12" t="n"/>
      <c r="BR200" s="12" t="n"/>
      <c r="BS200" s="12" t="n"/>
      <c r="BT200" s="12" t="n"/>
      <c r="BU200" s="12" t="n"/>
      <c r="BV200" s="12" t="n"/>
      <c r="BW200" s="12" t="n"/>
      <c r="BX200" s="12" t="n"/>
      <c r="BY200" s="12" t="n"/>
      <c r="BZ200" s="12" t="n"/>
      <c r="CA200" s="12" t="n"/>
      <c r="CB200" s="12" t="n"/>
      <c r="CC200" s="12" t="n"/>
      <c r="CD200" s="12" t="n"/>
      <c r="CE200" s="12" t="n"/>
      <c r="CF200" s="12" t="n"/>
      <c r="CG200" s="12" t="n"/>
      <c r="CH200" s="12" t="n"/>
      <c r="CI200" s="12" t="n"/>
      <c r="CJ200" s="12" t="n"/>
      <c r="CK200" s="12" t="n"/>
      <c r="CL200" s="12" t="n"/>
      <c r="CM200" s="12" t="n"/>
      <c r="CN200" s="12" t="n"/>
      <c r="CO200" s="12" t="n"/>
      <c r="CP200" s="12" t="n"/>
      <c r="CQ200" s="12" t="n"/>
      <c r="CR200" s="12" t="n"/>
      <c r="CS200" s="12" t="n"/>
      <c r="CT200" s="12" t="n"/>
      <c r="CU200" s="12" t="n"/>
      <c r="CV200" s="12" t="n"/>
      <c r="CW200" s="12" t="n"/>
      <c r="CX200" s="12" t="n"/>
      <c r="CY200" s="12" t="n"/>
    </row>
    <row r="201" hidden="1" outlineLevel="1">
      <c r="C201" s="59" t="inlineStr">
        <is>
          <t>%(Var.)</t>
        </is>
      </c>
      <c r="D201" s="12" t="n"/>
      <c r="E201" s="40" t="n"/>
      <c r="F201" s="40" t="n"/>
      <c r="G201" s="40" t="n"/>
      <c r="H201" s="12" t="n"/>
      <c r="I201" s="40" t="str">
        <f>""</f>
        <v/>
      </c>
      <c r="J201" s="40" t="str">
        <f>IFERROR(IF(I200=0,"",J200/I200-1),"")</f>
        <v/>
      </c>
      <c r="K201" s="40" t="str">
        <f>IFERROR(IF(J200=0,"",K200/J200-1),"")</f>
        <v/>
      </c>
      <c r="L201" s="40" t="str">
        <f>IFERROR(IF(K200=0,"",L200/K200-1),"")</f>
        <v/>
      </c>
      <c r="M201" s="12" t="str">
        <f>IF(L200=0,"",M200/L200-1)</f>
        <v/>
      </c>
      <c r="N201" s="40" t="str">
        <f>IFERROR(IF(M200=0,"",N200/M200-1),"")</f>
        <v/>
      </c>
      <c r="O201" s="40" t="str">
        <f>IFERROR(IF(N200=0,"",O200/N200-1),"")</f>
        <v/>
      </c>
      <c r="P201" s="40" t="str">
        <f>IFERROR(IF(O200=0,"",P200/O200-1),"")</f>
        <v/>
      </c>
      <c r="Q201" s="40" t="str">
        <f>IFERROR(IF(P200=0,"",Q200/P200-1),"")</f>
        <v/>
      </c>
      <c r="R201" s="12" t="str">
        <f>IF(Q200=0,"",R200/Q200-1)</f>
        <v/>
      </c>
      <c r="S201" s="40" t="str">
        <f>IFERROR(IF(R200=0,"",S200/R200-1),"")</f>
        <v/>
      </c>
      <c r="T201" s="40" t="str">
        <f>IFERROR(IF(S200=0,"",T200/S200-1),"")</f>
        <v/>
      </c>
      <c r="U201" s="40" t="str">
        <f>IFERROR(IF(T200=0,"",U200/T200-1),"")</f>
        <v/>
      </c>
      <c r="V201" s="40" t="str">
        <f>IFERROR(IF(U200=0,"",V200/U200-1),"")</f>
        <v/>
      </c>
      <c r="W201" s="12" t="str">
        <f>IF(V200=0,"",W200/V200-1)</f>
        <v/>
      </c>
      <c r="X201" s="40" t="str">
        <f>IFERROR(IF(W200=0,"",X200/W200-1),"")</f>
        <v/>
      </c>
      <c r="Y201" s="40" t="str">
        <f>IFERROR(IF(X200=0,"",Y200/X200-1),"")</f>
        <v/>
      </c>
      <c r="Z201" s="40" t="str">
        <f>IFERROR(IF(Y200=0,"",Z200/Y200-1),"")</f>
        <v/>
      </c>
      <c r="AA201" s="40" t="str">
        <f>IFERROR(IF(Z200=0,"",AA200/Z200-1),"")</f>
        <v/>
      </c>
      <c r="AB201" s="12" t="str">
        <f>IF(AA200=0,"",AB200/AA200-1)</f>
        <v/>
      </c>
      <c r="AC201" s="40" t="str">
        <f>IFERROR(IF(AB200=0,"",AC200/AB200-1),"")</f>
        <v/>
      </c>
      <c r="AD201" s="40" t="str">
        <f>IFERROR(IF(AC200=0,"",AD200/AC200-1),"")</f>
        <v/>
      </c>
      <c r="AE201" s="40" t="str">
        <f>IFERROR(IF(AD200=0,"",AE200/AD200-1),"")</f>
        <v/>
      </c>
      <c r="AF201" s="11" t="str">
        <f>IFERROR(IF(AE200=0,"",AF200/AE200-1),"")</f>
        <v/>
      </c>
      <c r="AG201" s="12" t="str">
        <f>IF(AF200=0,"",AG200/AF200-1)</f>
        <v/>
      </c>
      <c r="AH201" s="11" t="str">
        <f>IFERROR(IF(AG200=0,"",AH200/AG200-1),"")</f>
        <v/>
      </c>
      <c r="AI201" s="11" t="str">
        <f>IFERROR(IF(AH200=0,"",AI200/AH200-1),"")</f>
        <v/>
      </c>
      <c r="AJ201" s="11" t="str">
        <f>IFERROR(IF(AI200=0,"",AJ200/AI200-1),"")</f>
        <v/>
      </c>
      <c r="AK201" s="11" t="str">
        <f>IFERROR(IF(AJ200=0,"",AK200/AJ200-1),"")</f>
        <v/>
      </c>
      <c r="AL201" s="12" t="str">
        <f>IFERROR(IF(AK200=0,"",AL200/AK200-1),"")</f>
        <v/>
      </c>
      <c r="AM201" s="11" t="str">
        <f>IFERROR(IF(AL200=0,"",AM200/AL200-1),"")</f>
        <v/>
      </c>
      <c r="AN201" s="11" t="str">
        <f>IFERROR(IF(AM200=0,"",AN200/AM200-1),"")</f>
        <v/>
      </c>
      <c r="AO201" s="11" t="str">
        <f>IFERROR(IF(AN200=0,"",AO200/AN200-1),"")</f>
        <v/>
      </c>
      <c r="AP201" s="11" t="str">
        <f>IFERROR(IF(AO200=0,"",AP200/AO200-1),"")</f>
        <v/>
      </c>
      <c r="AQ201" s="12" t="str">
        <f>IFERROR(IF(AP200=0,"",AQ200/AP200-1),"")</f>
        <v/>
      </c>
      <c r="AR201" s="11" t="str">
        <f>IFERROR(IF(AQ200=0,"",AR200/AQ200-1),"")</f>
        <v/>
      </c>
      <c r="AS201" s="11" t="str">
        <f>IFERROR(IF(AR200=0,"",AS200/AR200-1),"")</f>
        <v/>
      </c>
      <c r="AT201" s="11" t="str">
        <f>IFERROR(IF(AS200=0,"",AT200/AS200-1),"")</f>
        <v/>
      </c>
      <c r="AU201" s="11" t="str">
        <f>IFERROR(IF(AT200=0,"",AU200/AT200-1),"")</f>
        <v/>
      </c>
      <c r="AV201" s="12" t="str">
        <f>IFERROR(IF(AU200=0,"",AV200/AU200-1),"")</f>
        <v/>
      </c>
      <c r="AW201" s="11" t="str">
        <f>IFERROR(IF(AV200=0,"",AW200/AV200-1),"")</f>
        <v/>
      </c>
      <c r="AX201" s="11" t="str">
        <f>IFERROR(IF(AW200=0,"",AX200/AW200-1),"")</f>
        <v/>
      </c>
      <c r="AY201" s="11" t="str">
        <f>IFERROR(IF(AX200=0,"",AY200/AX200-1),"")</f>
        <v/>
      </c>
      <c r="AZ201" s="11" t="str">
        <f>IFERROR(IF(AY200=0,"",AZ200/AY200-1),"")</f>
        <v/>
      </c>
      <c r="BA201" s="12" t="str">
        <f>IFERROR(IF(AZ200=0,"",BA200/AZ200-1),"")</f>
        <v/>
      </c>
      <c r="BB201" s="11" t="str">
        <f>IFERROR(IF(BA200=0,"",BB200/BA200-1),"")</f>
        <v/>
      </c>
      <c r="BC201" s="11" t="str">
        <f>IFERROR(IF(BB200=0,"",BC200/BB200-1),"")</f>
        <v/>
      </c>
      <c r="BD201" s="11" t="str">
        <f>IFERROR(IF(BC200=0,"",BD200/BC200-1),"")</f>
        <v/>
      </c>
      <c r="BE201" s="11" t="str">
        <f>IFERROR(IF(BD200=0,"",BE200/BD200-1),"")</f>
        <v/>
      </c>
      <c r="BF201" s="12" t="str">
        <f>IFERROR(IF(BE200=0,"",BF200/BE200-1),"")</f>
        <v/>
      </c>
      <c r="BG201" s="11" t="n"/>
      <c r="BH201" s="11" t="n"/>
      <c r="BI201" s="11" t="n"/>
      <c r="BJ201" s="11" t="n"/>
      <c r="BK201" s="12" t="n"/>
      <c r="BL201" s="11" t="n"/>
      <c r="BM201" s="11" t="n"/>
      <c r="BN201" s="11" t="n"/>
      <c r="BO201" s="11" t="n"/>
      <c r="BP201" s="12" t="n"/>
      <c r="BQ201" s="11" t="n"/>
      <c r="BR201" s="11" t="n"/>
      <c r="BS201" s="11" t="n"/>
      <c r="BT201" s="11" t="n"/>
      <c r="BU201" s="12" t="n"/>
      <c r="BV201" s="11" t="n"/>
      <c r="BW201" s="11" t="n"/>
      <c r="BX201" s="11" t="n"/>
      <c r="BY201" s="11" t="n"/>
      <c r="BZ201" s="12" t="n"/>
      <c r="CA201" s="11" t="n"/>
      <c r="CB201" s="11" t="n"/>
      <c r="CC201" s="11" t="n"/>
      <c r="CD201" s="11" t="n"/>
      <c r="CE201" s="12" t="n"/>
      <c r="CF201" s="11" t="n"/>
      <c r="CG201" s="11" t="n"/>
      <c r="CH201" s="11" t="n"/>
      <c r="CI201" s="11" t="n"/>
      <c r="CJ201" s="12" t="n"/>
      <c r="CK201" s="11" t="n"/>
      <c r="CL201" s="11" t="n"/>
      <c r="CM201" s="11" t="n"/>
      <c r="CN201" s="11" t="n"/>
      <c r="CO201" s="12" t="n"/>
      <c r="CP201" s="11" t="n"/>
      <c r="CQ201" s="11" t="n"/>
      <c r="CR201" s="11" t="n"/>
      <c r="CS201" s="11" t="n"/>
      <c r="CT201" s="12" t="n"/>
      <c r="CU201" s="11" t="n"/>
      <c r="CV201" s="11" t="n"/>
      <c r="CW201" s="11" t="n"/>
      <c r="CX201" s="11" t="n"/>
      <c r="CY201" s="12" t="n"/>
    </row>
    <row r="202" hidden="1" outlineLevel="1">
      <c r="C202" s="57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  <c r="O202" s="12" t="n"/>
      <c r="P202" s="12" t="n"/>
      <c r="Q202" s="12" t="n"/>
      <c r="R202" s="12" t="n"/>
      <c r="S202" s="12" t="n"/>
      <c r="T202" s="12" t="n"/>
      <c r="U202" s="12" t="n"/>
      <c r="V202" s="12" t="n"/>
      <c r="W202" s="12" t="n"/>
      <c r="X202" s="12" t="n"/>
      <c r="Y202" s="12" t="n"/>
      <c r="Z202" s="12" t="n"/>
      <c r="AA202" s="12" t="n"/>
      <c r="AB202" s="12" t="n"/>
      <c r="AC202" s="12" t="n"/>
      <c r="AD202" s="12" t="n"/>
      <c r="AE202" s="12" t="n"/>
      <c r="AF202" s="12" t="n"/>
      <c r="AG202" s="12" t="n"/>
      <c r="AH202" s="12" t="n"/>
      <c r="AI202" s="12" t="n"/>
      <c r="AJ202" s="12" t="n"/>
      <c r="AK202" s="12" t="n"/>
      <c r="AL202" s="12" t="n"/>
      <c r="AM202" s="12" t="n"/>
      <c r="AN202" s="12" t="n"/>
      <c r="AO202" s="12" t="n"/>
      <c r="AP202" s="12" t="n"/>
      <c r="AQ202" s="12" t="n"/>
      <c r="AR202" s="12" t="n"/>
      <c r="AS202" s="12" t="n"/>
      <c r="AT202" s="12" t="n"/>
      <c r="AU202" s="12" t="n"/>
      <c r="AV202" s="12" t="n"/>
      <c r="AW202" s="12" t="n"/>
      <c r="AX202" s="12" t="n"/>
      <c r="AY202" s="12" t="n"/>
      <c r="AZ202" s="12" t="n"/>
      <c r="BA202" s="12" t="n"/>
      <c r="BB202" s="12" t="n"/>
      <c r="BC202" s="12" t="n"/>
      <c r="BD202" s="12" t="n"/>
      <c r="BE202" s="12" t="n"/>
      <c r="BF202" s="12" t="n"/>
      <c r="BG202" s="12" t="n"/>
      <c r="BH202" s="12" t="n"/>
      <c r="BI202" s="12" t="n"/>
      <c r="BJ202" s="12" t="n"/>
      <c r="BK202" s="12" t="n"/>
      <c r="BL202" s="12" t="n"/>
      <c r="BM202" s="12" t="n"/>
      <c r="BN202" s="12" t="n"/>
      <c r="BO202" s="12" t="n"/>
      <c r="BP202" s="12" t="n"/>
      <c r="BQ202" s="12" t="n"/>
      <c r="BR202" s="12" t="n"/>
      <c r="BS202" s="12" t="n"/>
      <c r="BT202" s="12" t="n"/>
      <c r="BU202" s="12" t="n"/>
      <c r="BV202" s="12" t="n"/>
      <c r="BW202" s="12" t="n"/>
      <c r="BX202" s="12" t="n"/>
      <c r="BY202" s="12" t="n"/>
      <c r="BZ202" s="12" t="n"/>
      <c r="CA202" s="12" t="n"/>
      <c r="CB202" s="12" t="n"/>
      <c r="CC202" s="12" t="n"/>
      <c r="CD202" s="12" t="n"/>
      <c r="CE202" s="12" t="n"/>
      <c r="CF202" s="12" t="n"/>
      <c r="CG202" s="12" t="n"/>
      <c r="CH202" s="12" t="n"/>
      <c r="CI202" s="12" t="n"/>
      <c r="CJ202" s="12" t="n"/>
      <c r="CK202" s="12" t="n"/>
      <c r="CL202" s="12" t="n"/>
      <c r="CM202" s="12" t="n"/>
      <c r="CN202" s="12" t="n"/>
      <c r="CO202" s="12" t="n"/>
      <c r="CP202" s="12" t="n"/>
      <c r="CQ202" s="12" t="n"/>
      <c r="CR202" s="12" t="n"/>
      <c r="CS202" s="12" t="n"/>
      <c r="CT202" s="12" t="n"/>
      <c r="CU202" s="12" t="n"/>
      <c r="CV202" s="12" t="n"/>
      <c r="CW202" s="12" t="n"/>
      <c r="CX202" s="12" t="n"/>
      <c r="CY202" s="12" t="n"/>
    </row>
    <row r="203" collapsed="1">
      <c r="C203" s="14" t="inlineStr">
        <is>
          <t>Long term debt</t>
        </is>
      </c>
      <c r="D203" s="46" t="n"/>
      <c r="E203" s="46" t="n"/>
      <c r="F203" s="46" t="n"/>
      <c r="G203" s="46" t="n"/>
      <c r="H203" s="12" t="n"/>
      <c r="I203" s="46">
        <f>'Inputs (2)'!D35</f>
        <v>45137</v>
      </c>
      <c r="J203" s="46">
        <f>'Inputs (2)'!E35</f>
        <v>45319</v>
      </c>
      <c r="K203" s="46">
        <f>'Inputs (2)'!F35</f>
        <v>43639</v>
      </c>
      <c r="L203" s="46">
        <f>'Inputs (2)'!G35</f>
        <v>43428</v>
      </c>
      <c r="M203" s="12">
        <f>'Inputs (2)'!H35</f>
        <v>43428</v>
      </c>
      <c r="N203" s="46">
        <f>'Inputs (2)'!I35</f>
        <v>42651</v>
      </c>
      <c r="O203" s="46">
        <f>'Inputs (2)'!J35</f>
        <v>39516</v>
      </c>
      <c r="P203" s="46">
        <f>'Inputs (2)'!K35</f>
        <v>39246</v>
      </c>
      <c r="Q203" s="46">
        <f>'Inputs (2)'!L35</f>
        <v>40559</v>
      </c>
      <c r="R203" s="12">
        <f>'Inputs (2)'!M35</f>
        <v>40559</v>
      </c>
      <c r="S203" s="46">
        <f>'Inputs (2)'!N35</f>
        <v>39150</v>
      </c>
      <c r="T203" s="46">
        <f>'Inputs (2)'!O35</f>
        <v>37567</v>
      </c>
      <c r="U203" s="46">
        <f>'Inputs (2)'!P35</f>
        <v>36510</v>
      </c>
      <c r="V203" s="46">
        <f>'Inputs (2)'!Q35</f>
        <v>37483</v>
      </c>
      <c r="W203" s="12">
        <f>'Inputs (2)'!R35</f>
        <v>37483</v>
      </c>
      <c r="X203" s="46">
        <f>'Inputs (2)'!S35</f>
        <v>32213</v>
      </c>
      <c r="Y203" s="46">
        <f>'Inputs (2)'!T35</f>
        <v>36565</v>
      </c>
      <c r="Z203" s="46">
        <f>'Inputs (2)'!U35</f>
        <v>36918</v>
      </c>
      <c r="AA203" s="46">
        <f>'Inputs (2)'!V35</f>
        <v>36755</v>
      </c>
      <c r="AB203" s="12">
        <f>'Inputs (2)'!W35</f>
        <v>36755</v>
      </c>
      <c r="AC203" s="46">
        <f>'Inputs (2)'!X35</f>
        <v>32823</v>
      </c>
      <c r="AD203" s="46">
        <f>'Inputs (2)'!Y35</f>
        <v>33570</v>
      </c>
      <c r="AE203" s="46">
        <f>'Inputs (2)'!Z35</f>
        <v>32824</v>
      </c>
      <c r="AF203" s="46">
        <f>'Inputs (2)'!AA35</f>
        <v>34241</v>
      </c>
      <c r="AG203" s="12">
        <f>'Inputs (2)'!AB35</f>
        <v>34241</v>
      </c>
      <c r="AH203" s="12">
        <f>'Inputs (2)'!AC35</f>
        <v>33130</v>
      </c>
      <c r="AI203" s="12">
        <f>'Inputs (2)'!AD35</f>
        <v>32229</v>
      </c>
      <c r="AJ203" s="12">
        <f>AJ209</f>
        <v>32229</v>
      </c>
      <c r="AK203" s="12">
        <f>AK209</f>
        <v>32229</v>
      </c>
      <c r="AL203" s="12">
        <f>AK203</f>
        <v>32229</v>
      </c>
      <c r="AM203" s="12">
        <f>AM209</f>
        <v>32229</v>
      </c>
      <c r="AN203" s="12">
        <f>AN209</f>
        <v>32229</v>
      </c>
      <c r="AO203" s="12">
        <f>AO209</f>
        <v>32229</v>
      </c>
      <c r="AP203" s="12">
        <f>AP209</f>
        <v>32229</v>
      </c>
      <c r="AQ203" s="12">
        <f>AP203</f>
        <v>32229</v>
      </c>
      <c r="AR203" s="12">
        <f>AR209</f>
        <v>32229</v>
      </c>
      <c r="AS203" s="12">
        <f>AS209</f>
        <v>32229</v>
      </c>
      <c r="AT203" s="12">
        <f>AT209</f>
        <v>32229</v>
      </c>
      <c r="AU203" s="12">
        <f>AU209</f>
        <v>32229</v>
      </c>
      <c r="AV203" s="12">
        <f>AU203</f>
        <v>32229</v>
      </c>
      <c r="AW203" s="12">
        <f>AW209</f>
        <v>32229</v>
      </c>
      <c r="AX203" s="12">
        <f>AX209</f>
        <v>32229</v>
      </c>
      <c r="AY203" s="12">
        <f>AY209</f>
        <v>32229</v>
      </c>
      <c r="AZ203" s="12">
        <f>AZ209</f>
        <v>32229</v>
      </c>
      <c r="BA203" s="12">
        <f>AZ203</f>
        <v>32229</v>
      </c>
      <c r="BB203" s="12">
        <f>BB209</f>
        <v>32229</v>
      </c>
      <c r="BC203" s="12">
        <f>BC209</f>
        <v>32229</v>
      </c>
      <c r="BD203" s="12">
        <f>BD209</f>
        <v>32229</v>
      </c>
      <c r="BE203" s="12">
        <f>BE209</f>
        <v>32229</v>
      </c>
      <c r="BF203" s="12">
        <f>BE203</f>
        <v>32229</v>
      </c>
      <c r="BG203" s="12" t="n"/>
      <c r="BH203" s="12" t="n"/>
      <c r="BI203" s="12" t="n"/>
      <c r="BJ203" s="12" t="n"/>
      <c r="BK203" s="12" t="n"/>
      <c r="BL203" s="12" t="n"/>
      <c r="BM203" s="12" t="n"/>
      <c r="BN203" s="12" t="n"/>
      <c r="BO203" s="12" t="n"/>
      <c r="BP203" s="12" t="n"/>
      <c r="BQ203" s="12" t="n"/>
      <c r="BR203" s="12" t="n"/>
      <c r="BS203" s="12" t="n"/>
      <c r="BT203" s="12" t="n"/>
      <c r="BU203" s="12" t="n"/>
      <c r="BV203" s="12" t="n"/>
      <c r="BW203" s="12" t="n"/>
      <c r="BX203" s="12" t="n"/>
      <c r="BY203" s="12" t="n"/>
      <c r="BZ203" s="12" t="n"/>
      <c r="CA203" s="12" t="n"/>
      <c r="CB203" s="12" t="n"/>
      <c r="CC203" s="12" t="n"/>
      <c r="CD203" s="12" t="n"/>
      <c r="CE203" s="12" t="n"/>
      <c r="CF203" s="12" t="n"/>
      <c r="CG203" s="12" t="n"/>
      <c r="CH203" s="12" t="n"/>
      <c r="CI203" s="12" t="n"/>
      <c r="CJ203" s="12" t="n"/>
      <c r="CK203" s="12" t="n"/>
      <c r="CL203" s="12" t="n"/>
      <c r="CM203" s="12" t="n"/>
      <c r="CN203" s="12" t="n"/>
      <c r="CO203" s="12" t="n"/>
      <c r="CP203" s="12" t="n"/>
      <c r="CQ203" s="12" t="n"/>
      <c r="CR203" s="12" t="n"/>
      <c r="CS203" s="12" t="n"/>
      <c r="CT203" s="12" t="n"/>
      <c r="CU203" s="12" t="n"/>
      <c r="CV203" s="12" t="n"/>
      <c r="CW203" s="12" t="n"/>
      <c r="CX203" s="12" t="n"/>
      <c r="CY203" s="12" t="n"/>
    </row>
    <row r="204" hidden="1" outlineLevel="1">
      <c r="C204" s="57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2" t="n"/>
      <c r="O204" s="12" t="n"/>
      <c r="P204" s="12" t="n"/>
      <c r="Q204" s="12" t="n"/>
      <c r="R204" s="12" t="n"/>
      <c r="S204" s="12" t="n"/>
      <c r="T204" s="12" t="n"/>
      <c r="U204" s="12" t="n"/>
      <c r="V204" s="12" t="n"/>
      <c r="W204" s="12" t="n"/>
      <c r="X204" s="12" t="n"/>
      <c r="Y204" s="12" t="n"/>
      <c r="Z204" s="12" t="n"/>
      <c r="AA204" s="12" t="n"/>
      <c r="AB204" s="12" t="n"/>
      <c r="AC204" s="12" t="n"/>
      <c r="AD204" s="12" t="n"/>
      <c r="AE204" s="12" t="n"/>
      <c r="AF204" s="12" t="n"/>
      <c r="AG204" s="12" t="n"/>
      <c r="AH204" s="12" t="n"/>
      <c r="AI204" s="12" t="n"/>
      <c r="AJ204" s="12" t="n"/>
      <c r="AK204" s="12" t="n"/>
      <c r="AL204" s="12" t="n"/>
      <c r="AM204" s="12" t="n"/>
      <c r="AN204" s="12" t="n"/>
      <c r="AO204" s="12" t="n"/>
      <c r="AP204" s="12" t="n"/>
      <c r="AQ204" s="12" t="n"/>
      <c r="AR204" s="12" t="n"/>
      <c r="AS204" s="12" t="n"/>
      <c r="AT204" s="12" t="n"/>
      <c r="AU204" s="12" t="n"/>
      <c r="AV204" s="12" t="n"/>
      <c r="AW204" s="12" t="n"/>
      <c r="AX204" s="12" t="n"/>
      <c r="AY204" s="12" t="n"/>
      <c r="AZ204" s="12" t="n"/>
      <c r="BA204" s="12" t="n"/>
      <c r="BB204" s="12" t="n"/>
      <c r="BC204" s="12" t="n"/>
      <c r="BD204" s="12" t="n"/>
      <c r="BE204" s="12" t="n"/>
      <c r="BF204" s="12" t="n"/>
      <c r="BG204" s="12" t="n"/>
      <c r="BH204" s="12" t="n"/>
      <c r="BI204" s="12" t="n"/>
      <c r="BJ204" s="12" t="n"/>
      <c r="BK204" s="12" t="n"/>
      <c r="BL204" s="12" t="n"/>
      <c r="BM204" s="12" t="n"/>
      <c r="BN204" s="12" t="n"/>
      <c r="BO204" s="12" t="n"/>
      <c r="BP204" s="12" t="n"/>
      <c r="BQ204" s="12" t="n"/>
      <c r="BR204" s="12" t="n"/>
      <c r="BS204" s="12" t="n"/>
      <c r="BT204" s="12" t="n"/>
      <c r="BU204" s="12" t="n"/>
      <c r="BV204" s="12" t="n"/>
      <c r="BW204" s="12" t="n"/>
      <c r="BX204" s="12" t="n"/>
      <c r="BY204" s="12" t="n"/>
      <c r="BZ204" s="12" t="n"/>
      <c r="CA204" s="12" t="n"/>
      <c r="CB204" s="12" t="n"/>
      <c r="CC204" s="12" t="n"/>
      <c r="CD204" s="12" t="n"/>
      <c r="CE204" s="12" t="n"/>
      <c r="CF204" s="12" t="n"/>
      <c r="CG204" s="12" t="n"/>
      <c r="CH204" s="12" t="n"/>
      <c r="CI204" s="12" t="n"/>
      <c r="CJ204" s="12" t="n"/>
      <c r="CK204" s="12" t="n"/>
      <c r="CL204" s="12" t="n"/>
      <c r="CM204" s="12" t="n"/>
      <c r="CN204" s="12" t="n"/>
      <c r="CO204" s="12" t="n"/>
      <c r="CP204" s="12" t="n"/>
      <c r="CQ204" s="12" t="n"/>
      <c r="CR204" s="12" t="n"/>
      <c r="CS204" s="12" t="n"/>
      <c r="CT204" s="12" t="n"/>
      <c r="CU204" s="12" t="n"/>
      <c r="CV204" s="12" t="n"/>
      <c r="CW204" s="12" t="n"/>
      <c r="CX204" s="12" t="n"/>
      <c r="CY204" s="12" t="n"/>
    </row>
    <row r="205" hidden="1" outlineLevel="1">
      <c r="C205" s="57" t="inlineStr">
        <is>
          <t>Current portion of LTD</t>
        </is>
      </c>
      <c r="D205" s="12" t="n"/>
      <c r="E205" s="12" t="n"/>
      <c r="F205" s="12" t="n"/>
      <c r="G205" s="12" t="n"/>
      <c r="H205" s="12" t="n"/>
      <c r="I205" s="12" t="n"/>
      <c r="J205" s="12" t="n"/>
      <c r="K205" s="12" t="n"/>
      <c r="L205" s="12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12" t="n"/>
      <c r="W205" s="12" t="n"/>
      <c r="X205" s="12" t="n"/>
      <c r="Y205" s="12" t="n"/>
      <c r="Z205" s="12" t="n"/>
      <c r="AA205" s="12" t="n"/>
      <c r="AB205" s="12" t="n"/>
      <c r="AC205" s="12" t="n"/>
      <c r="AD205" s="12" t="n"/>
      <c r="AE205" s="12" t="n"/>
      <c r="AF205" s="12" t="n"/>
      <c r="AG205" s="12" t="n"/>
      <c r="AH205" s="12">
        <f>AF198</f>
        <v>9296</v>
      </c>
      <c r="AI205" s="62" t="n"/>
      <c r="AJ205" s="62" t="n"/>
      <c r="AK205" s="62" t="n"/>
      <c r="AL205" s="12" t="n"/>
      <c r="AM205" s="12">
        <f>AK198</f>
        <v>10139</v>
      </c>
      <c r="AN205" s="62" t="n"/>
      <c r="AO205" s="62" t="n"/>
      <c r="AP205" s="62" t="n"/>
      <c r="AQ205" s="12" t="n"/>
      <c r="AR205" s="12">
        <f>AP198</f>
        <v>10139</v>
      </c>
      <c r="AS205" s="62" t="n"/>
      <c r="AT205" s="62" t="n"/>
      <c r="AU205" s="62" t="n"/>
      <c r="AV205" s="12" t="n"/>
      <c r="AW205" s="12">
        <f>AU198</f>
        <v>10139</v>
      </c>
      <c r="AX205" s="62" t="n"/>
      <c r="AY205" s="62" t="n"/>
      <c r="AZ205" s="62" t="n"/>
      <c r="BA205" s="12" t="n"/>
      <c r="BB205" s="12">
        <f>AZ198</f>
        <v>10139</v>
      </c>
      <c r="BC205" s="62" t="n"/>
      <c r="BD205" s="62" t="n"/>
      <c r="BE205" s="62" t="n"/>
      <c r="BF205" s="12" t="n"/>
      <c r="BG205" s="12" t="n"/>
      <c r="BH205" s="62" t="n"/>
      <c r="BI205" s="62" t="n"/>
      <c r="BJ205" s="62" t="n"/>
      <c r="BK205" s="12" t="n"/>
      <c r="BL205" s="12" t="n"/>
      <c r="BM205" s="62" t="n"/>
      <c r="BN205" s="62" t="n"/>
      <c r="BO205" s="62" t="n"/>
      <c r="BP205" s="12" t="n"/>
      <c r="BQ205" s="12" t="n"/>
      <c r="BR205" s="62" t="n"/>
      <c r="BS205" s="62" t="n"/>
      <c r="BT205" s="62" t="n"/>
      <c r="BU205" s="12" t="n"/>
      <c r="BV205" s="12" t="n"/>
      <c r="BW205" s="62" t="n"/>
      <c r="BX205" s="62" t="n"/>
      <c r="BY205" s="62" t="n"/>
      <c r="BZ205" s="12" t="n"/>
      <c r="CA205" s="12" t="n"/>
      <c r="CB205" s="62" t="n"/>
      <c r="CC205" s="62" t="n"/>
      <c r="CD205" s="62" t="n"/>
      <c r="CE205" s="12" t="n"/>
      <c r="CF205" s="12" t="n"/>
      <c r="CG205" s="62" t="n"/>
      <c r="CH205" s="62" t="n"/>
      <c r="CI205" s="62" t="n"/>
      <c r="CJ205" s="12" t="n"/>
      <c r="CK205" s="12" t="n"/>
      <c r="CL205" s="62" t="n"/>
      <c r="CM205" s="62" t="n"/>
      <c r="CN205" s="62" t="n"/>
      <c r="CO205" s="12" t="n"/>
      <c r="CP205" s="12" t="n"/>
      <c r="CQ205" s="62" t="n"/>
      <c r="CR205" s="62" t="n"/>
      <c r="CS205" s="62" t="n"/>
      <c r="CT205" s="12" t="n"/>
      <c r="CU205" s="12" t="n"/>
      <c r="CV205" s="62" t="n"/>
      <c r="CW205" s="62" t="n"/>
      <c r="CX205" s="62" t="n"/>
      <c r="CY205" s="12" t="n"/>
    </row>
    <row r="206" hidden="1" outlineLevel="1">
      <c r="C206" s="57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  <c r="V206" s="12" t="n"/>
      <c r="W206" s="12" t="n"/>
      <c r="X206" s="12" t="n"/>
      <c r="Y206" s="12" t="n"/>
      <c r="Z206" s="12" t="n"/>
      <c r="AA206" s="12" t="n"/>
      <c r="AB206" s="12" t="n"/>
      <c r="AC206" s="12" t="n"/>
      <c r="AD206" s="12" t="n"/>
      <c r="AE206" s="12" t="n"/>
      <c r="AF206" s="12" t="n"/>
      <c r="AG206" s="12" t="n"/>
      <c r="AH206" s="12" t="n"/>
      <c r="AI206" s="12" t="n"/>
      <c r="AJ206" s="12" t="n"/>
      <c r="AK206" s="12" t="n"/>
      <c r="AL206" s="12" t="n"/>
      <c r="AM206" s="12" t="n"/>
      <c r="AN206" s="12" t="n"/>
      <c r="AO206" s="12" t="n"/>
      <c r="AP206" s="12" t="n"/>
      <c r="AQ206" s="12" t="n"/>
      <c r="AR206" s="12" t="n"/>
      <c r="AS206" s="12" t="n"/>
      <c r="AT206" s="12" t="n"/>
      <c r="AU206" s="12" t="n"/>
      <c r="AV206" s="12" t="n"/>
      <c r="AW206" s="12" t="n"/>
      <c r="AX206" s="12" t="n"/>
      <c r="AY206" s="12" t="n"/>
      <c r="AZ206" s="12" t="n"/>
      <c r="BA206" s="12" t="n"/>
      <c r="BB206" s="12" t="n"/>
      <c r="BC206" s="12" t="n"/>
      <c r="BD206" s="12" t="n"/>
      <c r="BE206" s="12" t="n"/>
      <c r="BF206" s="12" t="n"/>
      <c r="BG206" s="12" t="n"/>
      <c r="BH206" s="12" t="n"/>
      <c r="BI206" s="12" t="n"/>
      <c r="BJ206" s="12" t="n"/>
      <c r="BK206" s="12" t="n"/>
      <c r="BL206" s="12" t="n"/>
      <c r="BM206" s="12" t="n"/>
      <c r="BN206" s="12" t="n"/>
      <c r="BO206" s="12" t="n"/>
      <c r="BP206" s="12" t="n"/>
      <c r="BQ206" s="12" t="n"/>
      <c r="BR206" s="12" t="n"/>
      <c r="BS206" s="12" t="n"/>
      <c r="BT206" s="12" t="n"/>
      <c r="BU206" s="12" t="n"/>
      <c r="BV206" s="12" t="n"/>
      <c r="BW206" s="12" t="n"/>
      <c r="BX206" s="12" t="n"/>
      <c r="BY206" s="12" t="n"/>
      <c r="BZ206" s="12" t="n"/>
      <c r="CA206" s="12" t="n"/>
      <c r="CB206" s="12" t="n"/>
      <c r="CC206" s="12" t="n"/>
      <c r="CD206" s="12" t="n"/>
      <c r="CE206" s="12" t="n"/>
      <c r="CF206" s="12" t="n"/>
      <c r="CG206" s="12" t="n"/>
      <c r="CH206" s="12" t="n"/>
      <c r="CI206" s="12" t="n"/>
      <c r="CJ206" s="12" t="n"/>
      <c r="CK206" s="12" t="n"/>
      <c r="CL206" s="12" t="n"/>
      <c r="CM206" s="12" t="n"/>
      <c r="CN206" s="12" t="n"/>
      <c r="CO206" s="12" t="n"/>
      <c r="CP206" s="12" t="n"/>
      <c r="CQ206" s="12" t="n"/>
      <c r="CR206" s="12" t="n"/>
      <c r="CS206" s="12" t="n"/>
      <c r="CT206" s="12" t="n"/>
      <c r="CU206" s="12" t="n"/>
      <c r="CV206" s="12" t="n"/>
      <c r="CW206" s="12" t="n"/>
      <c r="CX206" s="12" t="n"/>
      <c r="CY206" s="12" t="n"/>
    </row>
    <row r="207" hidden="1" outlineLevel="1">
      <c r="C207" s="57" t="inlineStr">
        <is>
          <t>Reclassification of LTD to CP of LTD</t>
        </is>
      </c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  <c r="AA207" s="12" t="n"/>
      <c r="AB207" s="12" t="n"/>
      <c r="AC207" s="12" t="n"/>
      <c r="AD207" s="12" t="n"/>
      <c r="AE207" s="12" t="n"/>
      <c r="AF207" s="12" t="n"/>
      <c r="AG207" s="12" t="n"/>
      <c r="AH207" s="12" t="n"/>
      <c r="AI207" s="12">
        <f>-AI205</f>
        <v>0</v>
      </c>
      <c r="AJ207" s="12">
        <f>-AJ205</f>
        <v>0</v>
      </c>
      <c r="AK207" s="12">
        <f>-AK205</f>
        <v>0</v>
      </c>
      <c r="AL207" s="12" t="n"/>
      <c r="AM207" s="12" t="n"/>
      <c r="AN207" s="12">
        <f>-AN205</f>
        <v>0</v>
      </c>
      <c r="AO207" s="12">
        <f>-AO205</f>
        <v>0</v>
      </c>
      <c r="AP207" s="12">
        <f>-AP205</f>
        <v>0</v>
      </c>
      <c r="AQ207" s="12" t="n"/>
      <c r="AR207" s="12" t="n"/>
      <c r="AS207" s="12">
        <f>-AS205</f>
        <v>0</v>
      </c>
      <c r="AT207" s="12">
        <f>-AT205</f>
        <v>0</v>
      </c>
      <c r="AU207" s="12">
        <f>-AU205</f>
        <v>0</v>
      </c>
      <c r="AV207" s="12" t="n"/>
      <c r="AW207" s="12" t="n"/>
      <c r="AX207" s="12">
        <f>-AX205</f>
        <v>0</v>
      </c>
      <c r="AY207" s="12">
        <f>-AY205</f>
        <v>0</v>
      </c>
      <c r="AZ207" s="12">
        <f>-AZ205</f>
        <v>0</v>
      </c>
      <c r="BA207" s="12" t="n"/>
      <c r="BB207" s="12" t="n"/>
      <c r="BC207" s="12">
        <f>-BC205</f>
        <v>0</v>
      </c>
      <c r="BD207" s="12">
        <f>-BD205</f>
        <v>0</v>
      </c>
      <c r="BE207" s="12">
        <f>-BE205</f>
        <v>0</v>
      </c>
      <c r="BF207" s="12" t="n"/>
      <c r="BG207" s="12" t="n"/>
      <c r="BH207" s="12" t="n"/>
      <c r="BI207" s="12" t="n"/>
      <c r="BJ207" s="12" t="n"/>
      <c r="BK207" s="12" t="n"/>
      <c r="BL207" s="12" t="n"/>
      <c r="BM207" s="12" t="n"/>
      <c r="BN207" s="12" t="n"/>
      <c r="BO207" s="12" t="n"/>
      <c r="BP207" s="12" t="n"/>
      <c r="BQ207" s="12" t="n"/>
      <c r="BR207" s="12" t="n"/>
      <c r="BS207" s="12" t="n"/>
      <c r="BT207" s="12" t="n"/>
      <c r="BU207" s="12" t="n"/>
      <c r="BV207" s="12" t="n"/>
      <c r="BW207" s="12" t="n"/>
      <c r="BX207" s="12" t="n"/>
      <c r="BY207" s="12" t="n"/>
      <c r="BZ207" s="12" t="n"/>
      <c r="CA207" s="12" t="n"/>
      <c r="CB207" s="12" t="n"/>
      <c r="CC207" s="12" t="n"/>
      <c r="CD207" s="12" t="n"/>
      <c r="CE207" s="12" t="n"/>
      <c r="CF207" s="12" t="n"/>
      <c r="CG207" s="12" t="n"/>
      <c r="CH207" s="12" t="n"/>
      <c r="CI207" s="12" t="n"/>
      <c r="CJ207" s="12" t="n"/>
      <c r="CK207" s="12" t="n"/>
      <c r="CL207" s="12" t="n"/>
      <c r="CM207" s="12" t="n"/>
      <c r="CN207" s="12" t="n"/>
      <c r="CO207" s="12" t="n"/>
      <c r="CP207" s="12" t="n"/>
      <c r="CQ207" s="12" t="n"/>
      <c r="CR207" s="12" t="n"/>
      <c r="CS207" s="12" t="n"/>
      <c r="CT207" s="12" t="n"/>
      <c r="CU207" s="12" t="n"/>
      <c r="CV207" s="12" t="n"/>
      <c r="CW207" s="12" t="n"/>
      <c r="CX207" s="12" t="n"/>
      <c r="CY207" s="12" t="n"/>
    </row>
    <row r="208" hidden="1" outlineLevel="1">
      <c r="C208" s="57" t="inlineStr">
        <is>
          <t>Discretionary (paydown)/borrowing of long term debt</t>
        </is>
      </c>
      <c r="D208" s="12" t="n"/>
      <c r="E208" s="12" t="n"/>
      <c r="F208" s="12" t="n"/>
      <c r="G208" s="12" t="n"/>
      <c r="H208" s="12" t="n"/>
      <c r="I208" s="12" t="n"/>
      <c r="J208" s="12" t="n"/>
      <c r="K208" s="12" t="n"/>
      <c r="L208" s="12" t="n"/>
      <c r="M208" s="12" t="n"/>
      <c r="N208" s="12" t="n"/>
      <c r="O208" s="12" t="n"/>
      <c r="P208" s="12" t="n"/>
      <c r="Q208" s="12" t="n"/>
      <c r="R208" s="12" t="n"/>
      <c r="S208" s="12" t="n"/>
      <c r="T208" s="12" t="n"/>
      <c r="U208" s="12" t="n"/>
      <c r="V208" s="12" t="n"/>
      <c r="W208" s="12" t="n"/>
      <c r="X208" s="12" t="n"/>
      <c r="Y208" s="12" t="n"/>
      <c r="Z208" s="12" t="n"/>
      <c r="AA208" s="12" t="n"/>
      <c r="AB208" s="12" t="n"/>
      <c r="AC208" s="12" t="n"/>
      <c r="AD208" s="12" t="n"/>
      <c r="AE208" s="12" t="n"/>
      <c r="AF208" s="12" t="n"/>
      <c r="AG208" s="12" t="n"/>
      <c r="AH208" s="62" t="n"/>
      <c r="AI208" s="62" t="n"/>
      <c r="AJ208" s="62" t="n"/>
      <c r="AK208" s="62" t="n"/>
      <c r="AL208" s="12" t="n"/>
      <c r="AM208" s="62" t="n"/>
      <c r="AN208" s="62" t="n"/>
      <c r="AO208" s="62" t="n"/>
      <c r="AP208" s="62" t="n"/>
      <c r="AQ208" s="12" t="n"/>
      <c r="AR208" s="62" t="n"/>
      <c r="AS208" s="62" t="n"/>
      <c r="AT208" s="62" t="n"/>
      <c r="AU208" s="62" t="n"/>
      <c r="AV208" s="12" t="n"/>
      <c r="AW208" s="62" t="n"/>
      <c r="AX208" s="62" t="n"/>
      <c r="AY208" s="62" t="n"/>
      <c r="AZ208" s="62" t="n"/>
      <c r="BA208" s="12" t="n"/>
      <c r="BB208" s="62" t="n"/>
      <c r="BC208" s="62" t="n"/>
      <c r="BD208" s="62" t="n"/>
      <c r="BE208" s="62" t="n"/>
      <c r="BF208" s="12" t="n"/>
      <c r="BG208" s="62" t="n"/>
      <c r="BH208" s="62" t="n"/>
      <c r="BI208" s="62" t="n"/>
      <c r="BJ208" s="62" t="n"/>
      <c r="BK208" s="12" t="n"/>
      <c r="BL208" s="62" t="n"/>
      <c r="BM208" s="62" t="n"/>
      <c r="BN208" s="62" t="n"/>
      <c r="BO208" s="62" t="n"/>
      <c r="BP208" s="12" t="n"/>
      <c r="BQ208" s="62" t="n"/>
      <c r="BR208" s="62" t="n"/>
      <c r="BS208" s="62" t="n"/>
      <c r="BT208" s="62" t="n"/>
      <c r="BU208" s="12" t="n"/>
      <c r="BV208" s="62" t="n"/>
      <c r="BW208" s="62" t="n"/>
      <c r="BX208" s="62" t="n"/>
      <c r="BY208" s="62" t="n"/>
      <c r="BZ208" s="12" t="n"/>
      <c r="CA208" s="62" t="n"/>
      <c r="CB208" s="62" t="n"/>
      <c r="CC208" s="62" t="n"/>
      <c r="CD208" s="62" t="n"/>
      <c r="CE208" s="12" t="n"/>
      <c r="CF208" s="62" t="n"/>
      <c r="CG208" s="62" t="n"/>
      <c r="CH208" s="62" t="n"/>
      <c r="CI208" s="62" t="n"/>
      <c r="CJ208" s="12" t="n"/>
      <c r="CK208" s="62" t="n"/>
      <c r="CL208" s="62" t="n"/>
      <c r="CM208" s="62" t="n"/>
      <c r="CN208" s="62" t="n"/>
      <c r="CO208" s="12" t="n"/>
      <c r="CP208" s="62" t="n"/>
      <c r="CQ208" s="62" t="n"/>
      <c r="CR208" s="62" t="n"/>
      <c r="CS208" s="62" t="n"/>
      <c r="CT208" s="12" t="n"/>
      <c r="CU208" s="62" t="n"/>
      <c r="CV208" s="62" t="n"/>
      <c r="CW208" s="62" t="n"/>
      <c r="CX208" s="62" t="n"/>
      <c r="CY208" s="12" t="n"/>
    </row>
    <row r="209" hidden="1" outlineLevel="1">
      <c r="C209" s="57" t="inlineStr">
        <is>
          <t>Long term debt</t>
        </is>
      </c>
      <c r="D209" s="12" t="n"/>
      <c r="E209" s="12" t="n"/>
      <c r="F209" s="12" t="n"/>
      <c r="G209" s="12" t="n"/>
      <c r="H209" s="12" t="n"/>
      <c r="I209" s="12" t="n"/>
      <c r="J209" s="12" t="n"/>
      <c r="K209" s="12" t="n"/>
      <c r="L209" s="12" t="n"/>
      <c r="M209" s="12" t="n"/>
      <c r="N209" s="12" t="n"/>
      <c r="O209" s="12" t="n"/>
      <c r="P209" s="12" t="n"/>
      <c r="Q209" s="12" t="n"/>
      <c r="R209" s="12" t="n"/>
      <c r="S209" s="12" t="n"/>
      <c r="T209" s="12" t="n"/>
      <c r="U209" s="12" t="n"/>
      <c r="V209" s="12" t="n"/>
      <c r="W209" s="12" t="n"/>
      <c r="X209" s="12" t="n"/>
      <c r="Y209" s="12" t="n"/>
      <c r="Z209" s="12" t="n"/>
      <c r="AA209" s="12" t="n"/>
      <c r="AB209" s="12" t="n"/>
      <c r="AC209" s="12" t="n"/>
      <c r="AD209" s="12" t="n"/>
      <c r="AE209" s="12" t="n"/>
      <c r="AF209" s="12" t="n"/>
      <c r="AG209" s="12" t="n"/>
      <c r="AH209" s="12">
        <f>AH203</f>
        <v>33130</v>
      </c>
      <c r="AI209" s="12">
        <f>AI203</f>
        <v>32229</v>
      </c>
      <c r="AJ209" s="12">
        <f>AI209+SUM(AJ207:AJ208)</f>
        <v>32229</v>
      </c>
      <c r="AK209" s="12">
        <f>AJ209+SUM(AK207:AK208)</f>
        <v>32229</v>
      </c>
      <c r="AL209" s="12" t="n"/>
      <c r="AM209" s="12">
        <f>AK209+SUM(AM207:AM208)</f>
        <v>32229</v>
      </c>
      <c r="AN209" s="12">
        <f>AM209+SUM(AN207:AN208)</f>
        <v>32229</v>
      </c>
      <c r="AO209" s="12">
        <f>AN209+SUM(AO207:AO208)</f>
        <v>32229</v>
      </c>
      <c r="AP209" s="12">
        <f>AO209+SUM(AP207:AP208)</f>
        <v>32229</v>
      </c>
      <c r="AQ209" s="12" t="n"/>
      <c r="AR209" s="12">
        <f>AP209+SUM(AR207:AR208)</f>
        <v>32229</v>
      </c>
      <c r="AS209" s="12">
        <f>AR209+SUM(AS207:AS208)</f>
        <v>32229</v>
      </c>
      <c r="AT209" s="12">
        <f>AS209+SUM(AT207:AT208)</f>
        <v>32229</v>
      </c>
      <c r="AU209" s="12">
        <f>AT209+SUM(AU207:AU208)</f>
        <v>32229</v>
      </c>
      <c r="AV209" s="12" t="n"/>
      <c r="AW209" s="12">
        <f>AU209+SUM(AW207:AW208)</f>
        <v>32229</v>
      </c>
      <c r="AX209" s="12">
        <f>AW209+SUM(AX207:AX208)</f>
        <v>32229</v>
      </c>
      <c r="AY209" s="12">
        <f>AX209+SUM(AY207:AY208)</f>
        <v>32229</v>
      </c>
      <c r="AZ209" s="12">
        <f>AY209+SUM(AZ207:AZ208)</f>
        <v>32229</v>
      </c>
      <c r="BA209" s="12" t="n"/>
      <c r="BB209" s="12">
        <f>AZ209+SUM(BB207:BB208)</f>
        <v>32229</v>
      </c>
      <c r="BC209" s="12">
        <f>BB209+SUM(BC207:BC208)</f>
        <v>32229</v>
      </c>
      <c r="BD209" s="12">
        <f>BC209+SUM(BD207:BD208)</f>
        <v>32229</v>
      </c>
      <c r="BE209" s="12">
        <f>BD209+SUM(BE207:BE208)</f>
        <v>32229</v>
      </c>
      <c r="BF209" s="12" t="n"/>
      <c r="BG209" s="12" t="n"/>
      <c r="BH209" s="12" t="n"/>
      <c r="BI209" s="12" t="n"/>
      <c r="BJ209" s="12" t="n"/>
      <c r="BK209" s="12" t="n"/>
      <c r="BL209" s="12" t="n"/>
      <c r="BM209" s="12" t="n"/>
      <c r="BN209" s="12" t="n"/>
      <c r="BO209" s="12" t="n"/>
      <c r="BP209" s="12" t="n"/>
      <c r="BQ209" s="12" t="n"/>
      <c r="BR209" s="12" t="n"/>
      <c r="BS209" s="12" t="n"/>
      <c r="BT209" s="12" t="n"/>
      <c r="BU209" s="12" t="n"/>
      <c r="BV209" s="12" t="n"/>
      <c r="BW209" s="12" t="n"/>
      <c r="BX209" s="12" t="n"/>
      <c r="BY209" s="12" t="n"/>
      <c r="BZ209" s="12" t="n"/>
      <c r="CA209" s="12" t="n"/>
      <c r="CB209" s="12" t="n"/>
      <c r="CC209" s="12" t="n"/>
      <c r="CD209" s="12" t="n"/>
      <c r="CE209" s="12" t="n"/>
      <c r="CF209" s="12" t="n"/>
      <c r="CG209" s="12" t="n"/>
      <c r="CH209" s="12" t="n"/>
      <c r="CI209" s="12" t="n"/>
      <c r="CJ209" s="12" t="n"/>
      <c r="CK209" s="12" t="n"/>
      <c r="CL209" s="12" t="n"/>
      <c r="CM209" s="12" t="n"/>
      <c r="CN209" s="12" t="n"/>
      <c r="CO209" s="12" t="n"/>
      <c r="CP209" s="12" t="n"/>
      <c r="CQ209" s="12" t="n"/>
      <c r="CR209" s="12" t="n"/>
      <c r="CS209" s="12" t="n"/>
      <c r="CT209" s="12" t="n"/>
      <c r="CU209" s="12" t="n"/>
      <c r="CV209" s="12" t="n"/>
      <c r="CW209" s="12" t="n"/>
      <c r="CX209" s="12" t="n"/>
      <c r="CY209" s="12" t="n"/>
    </row>
    <row r="210" hidden="1" outlineLevel="1">
      <c r="C210" s="57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  <c r="R210" s="12" t="n"/>
      <c r="S210" s="12" t="n"/>
      <c r="T210" s="12" t="n"/>
      <c r="U210" s="12" t="n"/>
      <c r="V210" s="12" t="n"/>
      <c r="W210" s="12" t="n"/>
      <c r="X210" s="12" t="n"/>
      <c r="Y210" s="12" t="n"/>
      <c r="Z210" s="12" t="n"/>
      <c r="AA210" s="12" t="n"/>
      <c r="AB210" s="12" t="n"/>
      <c r="AC210" s="12" t="n"/>
      <c r="AD210" s="12" t="n"/>
      <c r="AE210" s="12" t="n"/>
      <c r="AF210" s="12" t="n"/>
      <c r="AG210" s="12" t="n"/>
      <c r="AH210" s="12" t="n"/>
      <c r="AI210" s="12" t="n"/>
      <c r="AJ210" s="12" t="n"/>
      <c r="AK210" s="12" t="n"/>
      <c r="AL210" s="12" t="n"/>
      <c r="AM210" s="12" t="n"/>
      <c r="AN210" s="12" t="n"/>
      <c r="AO210" s="12" t="n"/>
      <c r="AP210" s="12" t="n"/>
      <c r="AQ210" s="12" t="n"/>
      <c r="AR210" s="12" t="n"/>
      <c r="AS210" s="12" t="n"/>
      <c r="AT210" s="12" t="n"/>
      <c r="AU210" s="12" t="n"/>
      <c r="AV210" s="12" t="n"/>
      <c r="AW210" s="12" t="n"/>
      <c r="AX210" s="12" t="n"/>
      <c r="AY210" s="12" t="n"/>
      <c r="AZ210" s="12" t="n"/>
      <c r="BA210" s="12" t="n"/>
      <c r="BB210" s="12" t="n"/>
      <c r="BC210" s="12" t="n"/>
      <c r="BD210" s="12" t="n"/>
      <c r="BE210" s="12" t="n"/>
      <c r="BF210" s="12" t="n"/>
      <c r="BG210" s="12" t="n"/>
      <c r="BH210" s="12" t="n"/>
      <c r="BI210" s="12" t="n"/>
      <c r="BJ210" s="12" t="n"/>
      <c r="BK210" s="12" t="n"/>
      <c r="BL210" s="12" t="n"/>
      <c r="BM210" s="12" t="n"/>
      <c r="BN210" s="12" t="n"/>
      <c r="BO210" s="12" t="n"/>
      <c r="BP210" s="12" t="n"/>
      <c r="BQ210" s="12" t="n"/>
      <c r="BR210" s="12" t="n"/>
      <c r="BS210" s="12" t="n"/>
      <c r="BT210" s="12" t="n"/>
      <c r="BU210" s="12" t="n"/>
      <c r="BV210" s="12" t="n"/>
      <c r="BW210" s="12" t="n"/>
      <c r="BX210" s="12" t="n"/>
      <c r="BY210" s="12" t="n"/>
      <c r="BZ210" s="12" t="n"/>
      <c r="CA210" s="12" t="n"/>
      <c r="CB210" s="12" t="n"/>
      <c r="CC210" s="12" t="n"/>
      <c r="CD210" s="12" t="n"/>
      <c r="CE210" s="12" t="n"/>
      <c r="CF210" s="12" t="n"/>
      <c r="CG210" s="12" t="n"/>
      <c r="CH210" s="12" t="n"/>
      <c r="CI210" s="12" t="n"/>
      <c r="CJ210" s="12" t="n"/>
      <c r="CK210" s="12" t="n"/>
      <c r="CL210" s="12" t="n"/>
      <c r="CM210" s="12" t="n"/>
      <c r="CN210" s="12" t="n"/>
      <c r="CO210" s="12" t="n"/>
      <c r="CP210" s="12" t="n"/>
      <c r="CQ210" s="12" t="n"/>
      <c r="CR210" s="12" t="n"/>
      <c r="CS210" s="12" t="n"/>
      <c r="CT210" s="12" t="n"/>
      <c r="CU210" s="12" t="n"/>
      <c r="CV210" s="12" t="n"/>
      <c r="CW210" s="12" t="n"/>
      <c r="CX210" s="12" t="n"/>
      <c r="CY210" s="12" t="n"/>
    </row>
    <row r="211" hidden="1" outlineLevel="1">
      <c r="C211" s="57" t="inlineStr">
        <is>
          <t>Discretionary (paydown)/borrowing of convertible debt</t>
        </is>
      </c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2" t="n"/>
      <c r="Z211" s="12" t="n"/>
      <c r="AA211" s="12" t="n"/>
      <c r="AB211" s="12" t="n"/>
      <c r="AC211" s="12" t="n"/>
      <c r="AD211" s="12" t="n"/>
      <c r="AE211" s="12" t="n"/>
      <c r="AF211" s="12" t="n"/>
      <c r="AG211" s="12" t="n"/>
      <c r="AH211" s="62" t="n"/>
      <c r="AI211" s="62" t="n"/>
      <c r="AJ211" s="62" t="n"/>
      <c r="AK211" s="62" t="n"/>
      <c r="AL211" s="12" t="n"/>
      <c r="AM211" s="62" t="n"/>
      <c r="AN211" s="62" t="n"/>
      <c r="AO211" s="62" t="n"/>
      <c r="AP211" s="62" t="n"/>
      <c r="AQ211" s="12" t="n"/>
      <c r="AR211" s="62" t="n"/>
      <c r="AS211" s="62" t="n"/>
      <c r="AT211" s="62" t="n"/>
      <c r="AU211" s="62" t="n"/>
      <c r="AV211" s="12" t="n"/>
      <c r="AW211" s="62" t="n"/>
      <c r="AX211" s="62" t="n"/>
      <c r="AY211" s="62" t="n"/>
      <c r="AZ211" s="62" t="n"/>
      <c r="BA211" s="12" t="n"/>
      <c r="BB211" s="62" t="n"/>
      <c r="BC211" s="62" t="n"/>
      <c r="BD211" s="62" t="n"/>
      <c r="BE211" s="62" t="n"/>
      <c r="BF211" s="12" t="n"/>
      <c r="BG211" s="62" t="n"/>
      <c r="BH211" s="62" t="n"/>
      <c r="BI211" s="62" t="n"/>
      <c r="BJ211" s="62" t="n"/>
      <c r="BK211" s="12" t="n"/>
      <c r="BL211" s="62" t="n"/>
      <c r="BM211" s="62" t="n"/>
      <c r="BN211" s="62" t="n"/>
      <c r="BO211" s="62" t="n"/>
      <c r="BP211" s="12" t="n"/>
      <c r="BQ211" s="62" t="n"/>
      <c r="BR211" s="62" t="n"/>
      <c r="BS211" s="62" t="n"/>
      <c r="BT211" s="62" t="n"/>
      <c r="BU211" s="12" t="n"/>
      <c r="BV211" s="62" t="n"/>
      <c r="BW211" s="62" t="n"/>
      <c r="BX211" s="62" t="n"/>
      <c r="BY211" s="62" t="n"/>
      <c r="BZ211" s="12" t="n"/>
      <c r="CA211" s="62" t="n"/>
      <c r="CB211" s="62" t="n"/>
      <c r="CC211" s="62" t="n"/>
      <c r="CD211" s="62" t="n"/>
      <c r="CE211" s="12" t="n"/>
      <c r="CF211" s="62" t="n"/>
      <c r="CG211" s="62" t="n"/>
      <c r="CH211" s="62" t="n"/>
      <c r="CI211" s="62" t="n"/>
      <c r="CJ211" s="12" t="n"/>
      <c r="CK211" s="62" t="n"/>
      <c r="CL211" s="62" t="n"/>
      <c r="CM211" s="62" t="n"/>
      <c r="CN211" s="62" t="n"/>
      <c r="CO211" s="12" t="n"/>
      <c r="CP211" s="62" t="n"/>
      <c r="CQ211" s="62" t="n"/>
      <c r="CR211" s="62" t="n"/>
      <c r="CS211" s="62" t="n"/>
      <c r="CT211" s="12" t="n"/>
      <c r="CU211" s="62" t="n"/>
      <c r="CV211" s="62" t="n"/>
      <c r="CW211" s="62" t="n"/>
      <c r="CX211" s="62" t="n"/>
      <c r="CY211" s="12" t="n"/>
    </row>
    <row r="212" hidden="1" outlineLevel="1">
      <c r="C212" s="57" t="inlineStr">
        <is>
          <t>Convertible debt</t>
        </is>
      </c>
      <c r="D212" s="12" t="n"/>
      <c r="E212" s="12" t="n"/>
      <c r="F212" s="12" t="n"/>
      <c r="G212" s="12" t="n"/>
      <c r="H212" s="12" t="n"/>
      <c r="I212" s="12" t="n"/>
      <c r="J212" s="12" t="n"/>
      <c r="K212" s="12" t="n"/>
      <c r="L212" s="12" t="n"/>
      <c r="M212" s="12" t="n"/>
      <c r="N212" s="12" t="n"/>
      <c r="O212" s="12" t="n"/>
      <c r="P212" s="12" t="n"/>
      <c r="Q212" s="12" t="n"/>
      <c r="R212" s="12" t="n"/>
      <c r="S212" s="12" t="n"/>
      <c r="T212" s="12" t="n"/>
      <c r="U212" s="12" t="n"/>
      <c r="V212" s="12" t="n"/>
      <c r="W212" s="12" t="n"/>
      <c r="X212" s="12" t="n"/>
      <c r="Y212" s="12" t="n"/>
      <c r="Z212" s="12" t="n"/>
      <c r="AA212" s="12" t="n"/>
      <c r="AB212" s="12" t="n"/>
      <c r="AC212" s="12" t="n"/>
      <c r="AD212" s="12" t="n"/>
      <c r="AE212" s="12" t="n"/>
      <c r="AF212" s="12" t="n"/>
      <c r="AG212" s="12" t="n"/>
      <c r="AH212" s="12">
        <f>AH224</f>
        <v>0</v>
      </c>
      <c r="AI212" s="12">
        <f>AH212+SUM(AI211)</f>
        <v>0</v>
      </c>
      <c r="AJ212" s="12">
        <f>AI212+SUM(AJ211)</f>
        <v>0</v>
      </c>
      <c r="AK212" s="12">
        <f>AJ212+SUM(AK211)</f>
        <v>0</v>
      </c>
      <c r="AL212" s="12" t="n"/>
      <c r="AM212" s="12">
        <f>AM224</f>
        <v>0</v>
      </c>
      <c r="AN212" s="12">
        <f>AM212+SUM(AN211)</f>
        <v>0</v>
      </c>
      <c r="AO212" s="12">
        <f>AN212+SUM(AO211)</f>
        <v>0</v>
      </c>
      <c r="AP212" s="12">
        <f>AO212+SUM(AP211)</f>
        <v>0</v>
      </c>
      <c r="AQ212" s="12" t="n"/>
      <c r="AR212" s="12">
        <f>AR224</f>
        <v>0</v>
      </c>
      <c r="AS212" s="12">
        <f>AR212+SUM(AS211)</f>
        <v>0</v>
      </c>
      <c r="AT212" s="12">
        <f>AS212+SUM(AT211)</f>
        <v>0</v>
      </c>
      <c r="AU212" s="12">
        <f>AT212+SUM(AU211)</f>
        <v>0</v>
      </c>
      <c r="AV212" s="12" t="n"/>
      <c r="AW212" s="12">
        <f>AW224</f>
        <v>0</v>
      </c>
      <c r="AX212" s="12">
        <f>AW212+SUM(AX211)</f>
        <v>0</v>
      </c>
      <c r="AY212" s="12">
        <f>AX212+SUM(AY211)</f>
        <v>0</v>
      </c>
      <c r="AZ212" s="12">
        <f>AY212+SUM(AZ211)</f>
        <v>0</v>
      </c>
      <c r="BA212" s="12" t="n"/>
      <c r="BB212" s="12">
        <f>BB224</f>
        <v>0</v>
      </c>
      <c r="BC212" s="12">
        <f>BB212+SUM(BC211)</f>
        <v>0</v>
      </c>
      <c r="BD212" s="12">
        <f>BC212+SUM(BD211)</f>
        <v>0</v>
      </c>
      <c r="BE212" s="12">
        <f>BD212+SUM(BE211)</f>
        <v>0</v>
      </c>
      <c r="BF212" s="12" t="n"/>
      <c r="BG212" s="12" t="n"/>
      <c r="BH212" s="12" t="n"/>
      <c r="BI212" s="12" t="n"/>
      <c r="BJ212" s="12" t="n"/>
      <c r="BK212" s="12" t="n"/>
      <c r="BL212" s="12" t="n"/>
      <c r="BM212" s="12" t="n"/>
      <c r="BN212" s="12" t="n"/>
      <c r="BO212" s="12" t="n"/>
      <c r="BP212" s="12" t="n"/>
      <c r="BQ212" s="12" t="n"/>
      <c r="BR212" s="12" t="n"/>
      <c r="BS212" s="12" t="n"/>
      <c r="BT212" s="12" t="n"/>
      <c r="BU212" s="12" t="n"/>
      <c r="BV212" s="12" t="n"/>
      <c r="BW212" s="12" t="n"/>
      <c r="BX212" s="12" t="n"/>
      <c r="BY212" s="12" t="n"/>
      <c r="BZ212" s="12" t="n"/>
      <c r="CA212" s="12" t="n"/>
      <c r="CB212" s="12" t="n"/>
      <c r="CC212" s="12" t="n"/>
      <c r="CD212" s="12" t="n"/>
      <c r="CE212" s="12" t="n"/>
      <c r="CF212" s="12" t="n"/>
      <c r="CG212" s="12" t="n"/>
      <c r="CH212" s="12" t="n"/>
      <c r="CI212" s="12" t="n"/>
      <c r="CJ212" s="12" t="n"/>
      <c r="CK212" s="12" t="n"/>
      <c r="CL212" s="12" t="n"/>
      <c r="CM212" s="12" t="n"/>
      <c r="CN212" s="12" t="n"/>
      <c r="CO212" s="12" t="n"/>
      <c r="CP212" s="12" t="n"/>
      <c r="CQ212" s="12" t="n"/>
      <c r="CR212" s="12" t="n"/>
      <c r="CS212" s="12" t="n"/>
      <c r="CT212" s="12" t="n"/>
      <c r="CU212" s="12" t="n"/>
      <c r="CV212" s="12" t="n"/>
      <c r="CW212" s="12" t="n"/>
      <c r="CX212" s="12" t="n"/>
      <c r="CY212" s="12" t="n"/>
    </row>
    <row r="213" hidden="1" outlineLevel="1">
      <c r="C213" s="57" t="n"/>
      <c r="D213" s="12" t="n"/>
      <c r="E213" s="12" t="n"/>
      <c r="F213" s="12" t="n"/>
      <c r="G213" s="12" t="n"/>
      <c r="H213" s="12" t="n"/>
      <c r="I213" s="12" t="n"/>
      <c r="J213" s="12" t="n"/>
      <c r="K213" s="12" t="n"/>
      <c r="L213" s="12" t="n"/>
      <c r="M213" s="12" t="n"/>
      <c r="N213" s="12" t="n"/>
      <c r="O213" s="12" t="n"/>
      <c r="P213" s="12" t="n"/>
      <c r="Q213" s="12" t="n"/>
      <c r="R213" s="12" t="n"/>
      <c r="S213" s="12" t="n"/>
      <c r="T213" s="12" t="n"/>
      <c r="U213" s="12" t="n"/>
      <c r="V213" s="12" t="n"/>
      <c r="W213" s="12" t="n"/>
      <c r="X213" s="12" t="n"/>
      <c r="Y213" s="12" t="n"/>
      <c r="Z213" s="12" t="n"/>
      <c r="AA213" s="12" t="n"/>
      <c r="AB213" s="12" t="n"/>
      <c r="AC213" s="12" t="n"/>
      <c r="AD213" s="12" t="n"/>
      <c r="AE213" s="12" t="n"/>
      <c r="AF213" s="12" t="n"/>
      <c r="AG213" s="12" t="n"/>
      <c r="AI213" s="12" t="n"/>
      <c r="AJ213" s="12" t="n"/>
      <c r="AK213" s="12" t="n"/>
      <c r="AL213" s="12" t="n"/>
      <c r="AN213" s="12" t="n"/>
      <c r="AO213" s="12" t="n"/>
      <c r="AP213" s="12" t="n"/>
      <c r="AQ213" s="12" t="n"/>
      <c r="AS213" s="12" t="n"/>
      <c r="AT213" s="12" t="n"/>
      <c r="AU213" s="12" t="n"/>
      <c r="AV213" s="12" t="n"/>
      <c r="AX213" s="12" t="n"/>
      <c r="AY213" s="12" t="n"/>
      <c r="AZ213" s="12" t="n"/>
      <c r="BA213" s="12" t="n"/>
      <c r="BC213" s="12" t="n"/>
      <c r="BD213" s="12" t="n"/>
      <c r="BE213" s="12" t="n"/>
      <c r="BF213" s="12" t="n"/>
      <c r="BH213" s="12" t="n"/>
      <c r="BI213" s="12" t="n"/>
      <c r="BJ213" s="12" t="n"/>
      <c r="BK213" s="12" t="n"/>
      <c r="BM213" s="12" t="n"/>
      <c r="BN213" s="12" t="n"/>
      <c r="BO213" s="12" t="n"/>
      <c r="BP213" s="12" t="n"/>
      <c r="BR213" s="12" t="n"/>
      <c r="BS213" s="12" t="n"/>
      <c r="BT213" s="12" t="n"/>
      <c r="BU213" s="12" t="n"/>
      <c r="BW213" s="12" t="n"/>
      <c r="BX213" s="12" t="n"/>
      <c r="BY213" s="12" t="n"/>
      <c r="BZ213" s="12" t="n"/>
      <c r="CB213" s="12" t="n"/>
      <c r="CC213" s="12" t="n"/>
      <c r="CD213" s="12" t="n"/>
      <c r="CE213" s="12" t="n"/>
      <c r="CG213" s="12" t="n"/>
      <c r="CH213" s="12" t="n"/>
      <c r="CI213" s="12" t="n"/>
      <c r="CJ213" s="12" t="n"/>
      <c r="CL213" s="12" t="n"/>
      <c r="CM213" s="12" t="n"/>
      <c r="CN213" s="12" t="n"/>
      <c r="CO213" s="12" t="n"/>
      <c r="CQ213" s="12" t="n"/>
      <c r="CR213" s="12" t="n"/>
      <c r="CS213" s="12" t="n"/>
      <c r="CT213" s="12" t="n"/>
      <c r="CV213" s="12" t="n"/>
      <c r="CW213" s="12" t="n"/>
      <c r="CX213" s="12" t="n"/>
      <c r="CY213" s="12" t="n"/>
    </row>
    <row r="214" hidden="1" outlineLevel="1">
      <c r="C214" s="57" t="inlineStr">
        <is>
          <t>Calculation of short term debt</t>
        </is>
      </c>
      <c r="D214" s="12" t="n"/>
      <c r="E214" s="12" t="n"/>
      <c r="F214" s="12" t="n"/>
      <c r="G214" s="12" t="n"/>
      <c r="H214" s="12" t="n"/>
      <c r="I214" s="12" t="n"/>
      <c r="J214" s="12" t="n"/>
      <c r="K214" s="12" t="n"/>
      <c r="L214" s="12" t="n"/>
      <c r="M214" s="12" t="n"/>
      <c r="N214" s="12" t="n"/>
      <c r="O214" s="12" t="n"/>
      <c r="P214" s="12" t="n"/>
      <c r="Q214" s="12" t="n"/>
      <c r="R214" s="12" t="n"/>
      <c r="S214" s="12" t="n"/>
      <c r="T214" s="12" t="n"/>
      <c r="U214" s="12" t="n"/>
      <c r="V214" s="12" t="n"/>
      <c r="W214" s="12" t="n"/>
      <c r="X214" s="12" t="n"/>
      <c r="Y214" s="12" t="n"/>
      <c r="Z214" s="12" t="n"/>
      <c r="AA214" s="12" t="n"/>
      <c r="AB214" s="12" t="n"/>
      <c r="AC214" s="12" t="n"/>
      <c r="AD214" s="12" t="n"/>
      <c r="AE214" s="12" t="n"/>
      <c r="AF214" s="12" t="n"/>
      <c r="AG214" s="12" t="n"/>
      <c r="AH214" s="12" t="n"/>
      <c r="AI214" s="12" t="n"/>
      <c r="AJ214" s="12" t="n"/>
      <c r="AK214" s="12" t="n"/>
      <c r="AL214" s="12" t="n"/>
      <c r="AM214" s="12" t="n"/>
      <c r="AN214" s="12" t="n"/>
      <c r="AO214" s="12" t="n"/>
      <c r="AP214" s="12" t="n"/>
      <c r="AQ214" s="12" t="n"/>
      <c r="AR214" s="12" t="n"/>
      <c r="AS214" s="12" t="n"/>
      <c r="AT214" s="12" t="n"/>
      <c r="AU214" s="12" t="n"/>
      <c r="AV214" s="12" t="n"/>
      <c r="AW214" s="12" t="n"/>
      <c r="AX214" s="12" t="n"/>
      <c r="AY214" s="12" t="n"/>
      <c r="AZ214" s="12" t="n"/>
      <c r="BA214" s="12" t="n"/>
      <c r="BB214" s="12" t="n"/>
      <c r="BC214" s="12" t="n"/>
      <c r="BD214" s="12" t="n"/>
      <c r="BE214" s="12" t="n"/>
      <c r="BF214" s="12" t="n"/>
      <c r="BG214" s="12" t="n"/>
      <c r="BH214" s="12" t="n"/>
      <c r="BI214" s="12" t="n"/>
      <c r="BJ214" s="12" t="n"/>
      <c r="BK214" s="12" t="n"/>
      <c r="BL214" s="12" t="n"/>
      <c r="BM214" s="12" t="n"/>
      <c r="BN214" s="12" t="n"/>
      <c r="BO214" s="12" t="n"/>
      <c r="BP214" s="12" t="n"/>
      <c r="BQ214" s="12" t="n"/>
      <c r="BR214" s="12" t="n"/>
      <c r="BS214" s="12" t="n"/>
      <c r="BT214" s="12" t="n"/>
      <c r="BU214" s="12" t="n"/>
      <c r="BV214" s="12" t="n"/>
      <c r="BW214" s="12" t="n"/>
      <c r="BX214" s="12" t="n"/>
      <c r="BY214" s="12" t="n"/>
      <c r="BZ214" s="12" t="n"/>
      <c r="CA214" s="12" t="n"/>
      <c r="CB214" s="12" t="n"/>
      <c r="CC214" s="12" t="n"/>
      <c r="CD214" s="12" t="n"/>
      <c r="CE214" s="12" t="n"/>
      <c r="CF214" s="12" t="n"/>
      <c r="CG214" s="12" t="n"/>
      <c r="CH214" s="12" t="n"/>
      <c r="CI214" s="12" t="n"/>
      <c r="CJ214" s="12" t="n"/>
      <c r="CK214" s="12" t="n"/>
      <c r="CL214" s="12" t="n"/>
      <c r="CM214" s="12" t="n"/>
      <c r="CN214" s="12" t="n"/>
      <c r="CO214" s="12" t="n"/>
      <c r="CP214" s="12" t="n"/>
      <c r="CQ214" s="12" t="n"/>
      <c r="CR214" s="12" t="n"/>
      <c r="CS214" s="12" t="n"/>
      <c r="CT214" s="12" t="n"/>
      <c r="CU214" s="12" t="n"/>
      <c r="CV214" s="12" t="n"/>
      <c r="CW214" s="12" t="n"/>
      <c r="CX214" s="12" t="n"/>
      <c r="CY214" s="12" t="n"/>
    </row>
    <row r="215" hidden="1" outlineLevel="1">
      <c r="C215" s="57" t="inlineStr">
        <is>
          <t>Cash @ beginning of the period (end of last period)</t>
        </is>
      </c>
      <c r="D215" s="12" t="n"/>
      <c r="E215" s="12" t="n"/>
      <c r="F215" s="12" t="n"/>
      <c r="G215" s="12" t="n"/>
      <c r="H215" s="12" t="n"/>
      <c r="I215" s="12" t="n"/>
      <c r="J215" s="12" t="n"/>
      <c r="K215" s="12" t="n"/>
      <c r="L215" s="12" t="n"/>
      <c r="M215" s="12" t="n"/>
      <c r="N215" s="12" t="n"/>
      <c r="O215" s="12" t="n"/>
      <c r="P215" s="12" t="n"/>
      <c r="Q215" s="12" t="n"/>
      <c r="R215" s="12" t="n"/>
      <c r="S215" s="12" t="n"/>
      <c r="T215" s="12" t="n"/>
      <c r="U215" s="12" t="n"/>
      <c r="V215" s="12" t="n"/>
      <c r="W215" s="12" t="n"/>
      <c r="X215" s="12" t="n"/>
      <c r="Y215" s="12" t="n"/>
      <c r="Z215" s="12" t="n"/>
      <c r="AA215" s="12" t="n"/>
      <c r="AB215" s="12" t="n"/>
      <c r="AC215" s="12" t="n"/>
      <c r="AD215" s="12" t="n"/>
      <c r="AE215" s="12" t="n"/>
      <c r="AF215" s="12" t="n"/>
      <c r="AG215" s="12" t="n"/>
      <c r="AH215" s="63">
        <f>AG130</f>
        <v>10681</v>
      </c>
      <c r="AI215" s="12" t="n"/>
      <c r="AJ215" s="12" t="n"/>
      <c r="AK215" s="12" t="n"/>
      <c r="AL215" s="12" t="n"/>
      <c r="AM215" s="63">
        <f>AL130</f>
        <v>28852.3347813151</v>
      </c>
      <c r="AN215" s="12" t="n"/>
      <c r="AO215" s="12" t="n"/>
      <c r="AP215" s="12" t="n"/>
      <c r="AQ215" s="12" t="n"/>
      <c r="AR215" s="63">
        <f>AQ130</f>
        <v>64730.425077527</v>
      </c>
      <c r="AS215" s="12" t="n"/>
      <c r="AT215" s="12" t="n"/>
      <c r="AU215" s="12" t="n"/>
      <c r="AV215" s="12" t="n"/>
      <c r="AW215" s="63">
        <f>AV130</f>
        <v>101890.138240357</v>
      </c>
      <c r="AX215" s="12" t="n"/>
      <c r="AY215" s="12" t="n"/>
      <c r="AZ215" s="12" t="n"/>
      <c r="BA215" s="12" t="n"/>
      <c r="BB215" s="63">
        <f>BA130</f>
        <v>140162.663495757</v>
      </c>
      <c r="BC215" s="12" t="n"/>
      <c r="BD215" s="12" t="n"/>
      <c r="BE215" s="12" t="n"/>
      <c r="BF215" s="12" t="n"/>
      <c r="BG215" s="63" t="n"/>
      <c r="BH215" s="12" t="n"/>
      <c r="BI215" s="12" t="n"/>
      <c r="BJ215" s="12" t="n"/>
      <c r="BK215" s="12" t="n"/>
      <c r="BL215" s="63" t="n"/>
      <c r="BM215" s="12" t="n"/>
      <c r="BN215" s="12" t="n"/>
      <c r="BO215" s="12" t="n"/>
      <c r="BP215" s="12" t="n"/>
      <c r="BQ215" s="63" t="n"/>
      <c r="BR215" s="12" t="n"/>
      <c r="BS215" s="12" t="n"/>
      <c r="BT215" s="12" t="n"/>
      <c r="BU215" s="12" t="n"/>
      <c r="BV215" s="63" t="n"/>
      <c r="BW215" s="12" t="n"/>
      <c r="BX215" s="12" t="n"/>
      <c r="BY215" s="12" t="n"/>
      <c r="BZ215" s="12" t="n"/>
      <c r="CA215" s="63" t="n"/>
      <c r="CB215" s="12" t="n"/>
      <c r="CC215" s="12" t="n"/>
      <c r="CD215" s="12" t="n"/>
      <c r="CE215" s="12" t="n"/>
      <c r="CF215" s="63" t="n"/>
      <c r="CG215" s="12" t="n"/>
      <c r="CH215" s="12" t="n"/>
      <c r="CI215" s="12" t="n"/>
      <c r="CJ215" s="12" t="n"/>
      <c r="CK215" s="63" t="n"/>
      <c r="CL215" s="12" t="n"/>
      <c r="CM215" s="12" t="n"/>
      <c r="CN215" s="12" t="n"/>
      <c r="CO215" s="12" t="n"/>
      <c r="CP215" s="63" t="n"/>
      <c r="CQ215" s="12" t="n"/>
      <c r="CR215" s="12" t="n"/>
      <c r="CS215" s="12" t="n"/>
      <c r="CT215" s="12" t="n"/>
      <c r="CU215" s="63" t="n"/>
      <c r="CV215" s="12" t="n"/>
      <c r="CW215" s="12" t="n"/>
      <c r="CX215" s="12" t="n"/>
      <c r="CY215" s="12" t="n"/>
    </row>
    <row r="216" hidden="1" outlineLevel="1">
      <c r="C216" s="57" t="inlineStr">
        <is>
          <t>Plus: Free cash flows prior to debt during period</t>
        </is>
      </c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12" t="n"/>
      <c r="O216" s="12" t="n"/>
      <c r="P216" s="12" t="n"/>
      <c r="Q216" s="12" t="n"/>
      <c r="R216" s="12" t="n"/>
      <c r="S216" s="12" t="n"/>
      <c r="T216" s="12" t="n"/>
      <c r="U216" s="12" t="n"/>
      <c r="V216" s="12" t="n"/>
      <c r="W216" s="12" t="n"/>
      <c r="X216" s="12" t="n"/>
      <c r="Y216" s="12" t="n"/>
      <c r="Z216" s="12" t="n"/>
      <c r="AA216" s="12" t="n"/>
      <c r="AB216" s="12" t="n"/>
      <c r="AC216" s="12" t="n"/>
      <c r="AD216" s="12" t="n"/>
      <c r="AE216" s="12" t="n"/>
      <c r="AF216" s="12" t="n"/>
      <c r="AG216" s="12" t="inlineStr">
        <is>
          <t>% of sales</t>
        </is>
      </c>
      <c r="AH216" s="64">
        <f>(AH278+AH285)+SUM(AH288:AH294)</f>
        <v>-11109</v>
      </c>
      <c r="AI216" s="64">
        <f>(AI278+AI285)+SUM(AI288:AI294)</f>
        <v>-7081</v>
      </c>
      <c r="AJ216" s="64">
        <f>(AJ278+AJ285)+SUM(AJ288:AJ294)</f>
        <v>0</v>
      </c>
      <c r="AK216" s="64">
        <f>(AK278+AK285)+SUM(AK288:AK294)</f>
        <v>0</v>
      </c>
      <c r="AL216" s="12" t="n"/>
      <c r="AM216" s="64">
        <f>(AM278+AM285)+SUM(AM288:AM294)</f>
        <v>0</v>
      </c>
      <c r="AN216" s="64">
        <f>(AN278+AN285)+SUM(AN288:AN294)</f>
        <v>-4.00177668780088e-11</v>
      </c>
      <c r="AO216" s="64">
        <f>(AO278+AO285)+SUM(AO288:AO294)</f>
        <v>0</v>
      </c>
      <c r="AP216" s="64">
        <f>(AP278+AP285)+SUM(AP288:AP294)</f>
        <v>0</v>
      </c>
      <c r="AQ216" s="12" t="n"/>
      <c r="AR216" s="64">
        <f>(AR278+AR285)+SUM(AR288:AR294)</f>
        <v>3.09228198602796e-11</v>
      </c>
      <c r="AS216" s="64">
        <f>(AS278+AS285)+SUM(AS288:AS294)</f>
        <v>0</v>
      </c>
      <c r="AT216" s="64">
        <f>(AT278+AT285)+SUM(AT288:AT294)</f>
        <v>0</v>
      </c>
      <c r="AU216" s="64">
        <f>(AU278+AU285)+SUM(AU288:AU294)</f>
        <v>3.63797880709171e-11</v>
      </c>
      <c r="AV216" s="12" t="n"/>
      <c r="AW216" s="64">
        <f>(AW278+AW285)+SUM(AW288:AW294)</f>
        <v>0</v>
      </c>
      <c r="AX216" s="64">
        <f>(AX278+AX285)+SUM(AX288:AX294)</f>
        <v>-5.45696821063757e-11</v>
      </c>
      <c r="AY216" s="64">
        <f>(AY278+AY285)+SUM(AY288:AY294)</f>
        <v>4.00177668780088e-11</v>
      </c>
      <c r="AZ216" s="64">
        <f>(AZ278+AZ285)+SUM(AZ288:AZ294)</f>
        <v>0</v>
      </c>
      <c r="BA216" s="12" t="n"/>
      <c r="BB216" s="64">
        <f>(BB278+BB285)+SUM(BB288:BB294)</f>
        <v>0</v>
      </c>
      <c r="BC216" s="64">
        <f>(BC278+BC285)+SUM(BC288:BC294)</f>
        <v>-4.72937244921923e-11</v>
      </c>
      <c r="BD216" s="64">
        <f>(BD278+BD285)+SUM(BD288:BD294)</f>
        <v>-4.00177668780088e-11</v>
      </c>
      <c r="BE216" s="64">
        <f>(BE278+BE285)+SUM(BE288:BE294)</f>
        <v>3.27418092638254e-11</v>
      </c>
      <c r="BF216" s="12" t="n"/>
      <c r="BG216" s="64" t="n"/>
      <c r="BH216" s="64" t="n"/>
      <c r="BI216" s="64" t="n"/>
      <c r="BJ216" s="64" t="n"/>
      <c r="BK216" s="12" t="n"/>
      <c r="BL216" s="64" t="n"/>
      <c r="BM216" s="64" t="n"/>
      <c r="BN216" s="64" t="n"/>
      <c r="BO216" s="64" t="n"/>
      <c r="BP216" s="12" t="n"/>
      <c r="BQ216" s="64" t="n"/>
      <c r="BR216" s="64" t="n"/>
      <c r="BS216" s="64" t="n"/>
      <c r="BT216" s="64" t="n"/>
      <c r="BU216" s="12" t="n"/>
      <c r="BV216" s="64" t="n"/>
      <c r="BW216" s="64" t="n"/>
      <c r="BX216" s="64" t="n"/>
      <c r="BY216" s="64" t="n"/>
      <c r="BZ216" s="12" t="n"/>
      <c r="CA216" s="64" t="n"/>
      <c r="CB216" s="64" t="n"/>
      <c r="CC216" s="64" t="n"/>
      <c r="CD216" s="64" t="n"/>
      <c r="CE216" s="12" t="n"/>
      <c r="CF216" s="64" t="n"/>
      <c r="CG216" s="64" t="n"/>
      <c r="CH216" s="64" t="n"/>
      <c r="CI216" s="64" t="n"/>
      <c r="CJ216" s="12" t="n"/>
      <c r="CK216" s="64" t="n"/>
      <c r="CL216" s="64" t="n"/>
      <c r="CM216" s="64" t="n"/>
      <c r="CN216" s="64" t="n"/>
      <c r="CO216" s="12" t="n"/>
      <c r="CP216" s="64" t="n"/>
      <c r="CQ216" s="64" t="n"/>
      <c r="CR216" s="64" t="n"/>
      <c r="CS216" s="64" t="n"/>
      <c r="CT216" s="12" t="n"/>
      <c r="CU216" s="64" t="n"/>
      <c r="CV216" s="64" t="n"/>
      <c r="CW216" s="64" t="n"/>
      <c r="CX216" s="64" t="n"/>
      <c r="CY216" s="12" t="n"/>
    </row>
    <row r="217" hidden="1" outlineLevel="1">
      <c r="C217" s="57" t="inlineStr">
        <is>
          <t>Less: Minimum cash balance</t>
        </is>
      </c>
      <c r="D217" s="12" t="n"/>
      <c r="E217" s="12" t="n"/>
      <c r="F217" s="12" t="n"/>
      <c r="G217" s="12" t="n"/>
      <c r="H217" s="12" t="n"/>
      <c r="I217" s="12" t="n"/>
      <c r="J217" s="12" t="n"/>
      <c r="K217" s="12" t="n"/>
      <c r="L217" s="12" t="n"/>
      <c r="M217" s="12" t="n"/>
      <c r="N217" s="12" t="n"/>
      <c r="O217" s="12" t="n"/>
      <c r="P217" s="12" t="n"/>
      <c r="Q217" s="12" t="n"/>
      <c r="R217" s="12" t="n"/>
      <c r="S217" s="12" t="n"/>
      <c r="T217" s="12" t="n"/>
      <c r="U217" s="12" t="n"/>
      <c r="V217" s="12" t="n"/>
      <c r="W217" s="12" t="n"/>
      <c r="X217" s="12" t="n"/>
      <c r="Y217" s="12" t="n"/>
      <c r="Z217" s="12" t="n"/>
      <c r="AA217" s="12" t="n"/>
      <c r="AB217" s="12" t="n"/>
      <c r="AC217" s="12" t="n"/>
      <c r="AD217" s="12" t="n"/>
      <c r="AE217" s="12" t="n"/>
      <c r="AF217" s="12" t="n"/>
      <c r="AG217" s="52" t="n"/>
      <c r="AH217" s="12">
        <f>($AG$217*AH15)</f>
        <v>0</v>
      </c>
      <c r="AI217" s="12">
        <f>($AG$217*AI15)</f>
        <v>0</v>
      </c>
      <c r="AJ217" s="12">
        <f>($AG$217*AJ15)</f>
        <v>0</v>
      </c>
      <c r="AK217" s="12">
        <f>($AG$217*AK15)</f>
        <v>0</v>
      </c>
      <c r="AL217" s="12" t="n"/>
      <c r="AM217" s="12">
        <f>($AG$217*AM15)</f>
        <v>0</v>
      </c>
      <c r="AN217" s="12">
        <f>($AG$217*AN15)</f>
        <v>0</v>
      </c>
      <c r="AO217" s="12">
        <f>($AG$217*AO15)</f>
        <v>0</v>
      </c>
      <c r="AP217" s="12">
        <f>($AG$217*AP15)</f>
        <v>0</v>
      </c>
      <c r="AQ217" s="12" t="n"/>
      <c r="AR217" s="12">
        <f>($AG$217*AR15)</f>
        <v>0</v>
      </c>
      <c r="AS217" s="12">
        <f>($AG$217*AS15)</f>
        <v>0</v>
      </c>
      <c r="AT217" s="12">
        <f>($AG$217*AT15)</f>
        <v>0</v>
      </c>
      <c r="AU217" s="12">
        <f>($AG$217*AU15)</f>
        <v>0</v>
      </c>
      <c r="AV217" s="12" t="n"/>
      <c r="AW217" s="12">
        <f>($AG$217*AW15)</f>
        <v>0</v>
      </c>
      <c r="AX217" s="12">
        <f>($AG$217*AX15)</f>
        <v>0</v>
      </c>
      <c r="AY217" s="12">
        <f>($AG$217*AY15)</f>
        <v>0</v>
      </c>
      <c r="AZ217" s="12">
        <f>($AG$217*AZ15)</f>
        <v>0</v>
      </c>
      <c r="BA217" s="12" t="n"/>
      <c r="BB217" s="12">
        <f>($AG$217*BB15)</f>
        <v>0</v>
      </c>
      <c r="BC217" s="12">
        <f>($AG$217*BC15)</f>
        <v>0</v>
      </c>
      <c r="BD217" s="12">
        <f>($AG$217*BD15)</f>
        <v>0</v>
      </c>
      <c r="BE217" s="12">
        <f>($AG$217*BE15)</f>
        <v>0</v>
      </c>
      <c r="BF217" s="12" t="n"/>
      <c r="BG217" s="12" t="n"/>
      <c r="BH217" s="12" t="n"/>
      <c r="BI217" s="12" t="n"/>
      <c r="BJ217" s="12" t="n"/>
      <c r="BK217" s="12" t="n"/>
      <c r="BL217" s="12" t="n"/>
      <c r="BM217" s="12" t="n"/>
      <c r="BN217" s="12" t="n"/>
      <c r="BO217" s="12" t="n"/>
      <c r="BP217" s="12" t="n"/>
      <c r="BQ217" s="12" t="n"/>
      <c r="BR217" s="12" t="n"/>
      <c r="BS217" s="12" t="n"/>
      <c r="BT217" s="12" t="n"/>
      <c r="BU217" s="12" t="n"/>
      <c r="BV217" s="12" t="n"/>
      <c r="BW217" s="12" t="n"/>
      <c r="BX217" s="12" t="n"/>
      <c r="BY217" s="12" t="n"/>
      <c r="BZ217" s="12" t="n"/>
      <c r="CA217" s="12" t="n"/>
      <c r="CB217" s="12" t="n"/>
      <c r="CC217" s="12" t="n"/>
      <c r="CD217" s="12" t="n"/>
      <c r="CE217" s="12" t="n"/>
      <c r="CF217" s="12" t="n"/>
      <c r="CG217" s="12" t="n"/>
      <c r="CH217" s="12" t="n"/>
      <c r="CI217" s="12" t="n"/>
      <c r="CJ217" s="12" t="n"/>
      <c r="CK217" s="12" t="n"/>
      <c r="CL217" s="12" t="n"/>
      <c r="CM217" s="12" t="n"/>
      <c r="CN217" s="12" t="n"/>
      <c r="CO217" s="12" t="n"/>
      <c r="CP217" s="12" t="n"/>
      <c r="CQ217" s="12" t="n"/>
      <c r="CR217" s="12" t="n"/>
      <c r="CS217" s="12" t="n"/>
      <c r="CT217" s="12" t="n"/>
      <c r="CU217" s="12" t="n"/>
      <c r="CV217" s="12" t="n"/>
      <c r="CW217" s="12" t="n"/>
      <c r="CX217" s="12" t="n"/>
      <c r="CY217" s="12" t="n"/>
    </row>
    <row r="218" hidden="1" outlineLevel="1">
      <c r="C218" s="57" t="inlineStr">
        <is>
          <t>Total cash available / (debt required) for short term debt paydown</t>
        </is>
      </c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12" t="n"/>
      <c r="O218" s="12" t="n"/>
      <c r="P218" s="12" t="n"/>
      <c r="Q218" s="12" t="n"/>
      <c r="R218" s="12" t="n"/>
      <c r="S218" s="12" t="n"/>
      <c r="T218" s="12" t="n"/>
      <c r="U218" s="12" t="n"/>
      <c r="V218" s="12" t="n"/>
      <c r="W218" s="12" t="n"/>
      <c r="X218" s="12" t="n"/>
      <c r="Y218" s="12" t="n"/>
      <c r="Z218" s="12" t="n"/>
      <c r="AA218" s="12" t="n"/>
      <c r="AB218" s="12" t="n"/>
      <c r="AC218" s="12" t="n"/>
      <c r="AD218" s="12" t="n"/>
      <c r="AE218" s="12" t="n"/>
      <c r="AF218" s="12" t="n"/>
      <c r="AG218" s="12" t="n"/>
      <c r="AH218" s="3">
        <f>AH215+AH216-AH217-AF205+AH207+AH211</f>
        <v>-428</v>
      </c>
      <c r="AI218" s="3">
        <f>AI215+AI216-AI217-AG205+AI207+AI211</f>
        <v>-7081</v>
      </c>
      <c r="AJ218" s="3">
        <f>AJ215+AJ216-AJ217-AH205+AJ207+AJ211</f>
        <v>-9296</v>
      </c>
      <c r="AK218" s="3">
        <f>AK215+AK216-AK217-AI205+AK207+AK211</f>
        <v>0</v>
      </c>
      <c r="AL218" s="12" t="n"/>
      <c r="AM218" s="3">
        <f>AM215+AM216-AM217-AK205+AM207+AM211</f>
        <v>28852.3347813151</v>
      </c>
      <c r="AN218" s="3">
        <f>AN215+AN216-AN217-AL205+AN207+AN211</f>
        <v>-4.00177668780088e-11</v>
      </c>
      <c r="AO218" s="3">
        <f>AO215+AO216-AO217-AM205+AO207+AO211</f>
        <v>-10139</v>
      </c>
      <c r="AP218" s="3">
        <f>AP215+AP216-AP217-AN205+AP207+AP211</f>
        <v>0</v>
      </c>
      <c r="AQ218" s="12" t="n"/>
      <c r="AR218" s="3">
        <f>AR215+AR216-AR217-AP205+AR207+AR211</f>
        <v>64730.425077527</v>
      </c>
      <c r="AS218" s="3">
        <f>AS215+AS216-AS217-AQ205+AS207+AS211</f>
        <v>0</v>
      </c>
      <c r="AT218" s="3">
        <f>AT215+AT216-AT217-AR205+AT207+AT211</f>
        <v>-10139</v>
      </c>
      <c r="AU218" s="3">
        <f>AU215+AU216-AU217-AS205+AU207+AU211</f>
        <v>3.63797880709171e-11</v>
      </c>
      <c r="AV218" s="12" t="n"/>
      <c r="AW218" s="3">
        <f>AW215+AW216-AW217-AU205+AW207+AW211</f>
        <v>101890.138240357</v>
      </c>
      <c r="AX218" s="3">
        <f>AX215+AX216-AX217-AV205+AX207+AX211</f>
        <v>-5.45696821063757e-11</v>
      </c>
      <c r="AY218" s="3">
        <f>AY215+AY216-AY217-AW205+AY207+AY211</f>
        <v>-10139</v>
      </c>
      <c r="AZ218" s="3">
        <f>AZ215+AZ216-AZ217-AX205+AZ207+AZ211</f>
        <v>0</v>
      </c>
      <c r="BA218" s="12" t="n"/>
      <c r="BB218" s="3">
        <f>BB215+BB216-BB217-AZ205+BB207+BB211</f>
        <v>140162.663495757</v>
      </c>
      <c r="BC218" s="3">
        <f>BC215+BC216-BC217-BA205+BC207+BC211</f>
        <v>-4.72937244921923e-11</v>
      </c>
      <c r="BD218" s="3">
        <f>BD215+BD216-BD217-BB205+BD207+BD211</f>
        <v>-10139</v>
      </c>
      <c r="BE218" s="3">
        <f>BE215+BE216-BE217-BC205+BE207+BE211</f>
        <v>3.27418092638254e-11</v>
      </c>
      <c r="BF218" s="12" t="n"/>
      <c r="BG218" s="3" t="n"/>
      <c r="BH218" s="3" t="n"/>
      <c r="BI218" s="3" t="n"/>
      <c r="BJ218" s="3" t="n"/>
      <c r="BK218" s="12" t="n"/>
      <c r="BL218" s="3" t="n"/>
      <c r="BM218" s="3" t="n"/>
      <c r="BN218" s="3" t="n"/>
      <c r="BO218" s="3" t="n"/>
      <c r="BP218" s="12" t="n"/>
      <c r="BQ218" s="3" t="n"/>
      <c r="BR218" s="3" t="n"/>
      <c r="BS218" s="3" t="n"/>
      <c r="BT218" s="3" t="n"/>
      <c r="BU218" s="12" t="n"/>
      <c r="BV218" s="3" t="n"/>
      <c r="BW218" s="3" t="n"/>
      <c r="BX218" s="3" t="n"/>
      <c r="BY218" s="3" t="n"/>
      <c r="BZ218" s="12" t="n"/>
      <c r="CA218" s="3" t="n"/>
      <c r="CB218" s="3" t="n"/>
      <c r="CC218" s="3" t="n"/>
      <c r="CD218" s="3" t="n"/>
      <c r="CE218" s="12" t="n"/>
      <c r="CF218" s="3" t="n"/>
      <c r="CG218" s="3" t="n"/>
      <c r="CH218" s="3" t="n"/>
      <c r="CI218" s="3" t="n"/>
      <c r="CJ218" s="12" t="n"/>
      <c r="CK218" s="3" t="n"/>
      <c r="CL218" s="3" t="n"/>
      <c r="CM218" s="3" t="n"/>
      <c r="CN218" s="3" t="n"/>
      <c r="CO218" s="12" t="n"/>
      <c r="CP218" s="3" t="n"/>
      <c r="CQ218" s="3" t="n"/>
      <c r="CR218" s="3" t="n"/>
      <c r="CS218" s="3" t="n"/>
      <c r="CT218" s="12" t="n"/>
      <c r="CU218" s="3" t="n"/>
      <c r="CV218" s="3" t="n"/>
      <c r="CW218" s="3" t="n"/>
      <c r="CX218" s="3" t="n"/>
      <c r="CY218" s="12" t="n"/>
    </row>
    <row r="219" hidden="1" outlineLevel="1">
      <c r="C219" s="57" t="inlineStr">
        <is>
          <t>Short term debt</t>
        </is>
      </c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2" t="n"/>
      <c r="X219" s="12" t="n"/>
      <c r="Y219" s="12" t="n"/>
      <c r="Z219" s="12" t="n"/>
      <c r="AA219" s="12" t="n"/>
      <c r="AB219" s="12" t="n"/>
      <c r="AC219" s="12" t="n"/>
      <c r="AD219" s="12" t="n"/>
      <c r="AE219" s="12" t="n"/>
      <c r="AF219" s="12" t="n"/>
      <c r="AG219" s="12" t="n"/>
      <c r="AH219" s="12">
        <f>AH199</f>
        <v>0</v>
      </c>
      <c r="AI219" s="12">
        <f>MAX(0,AH219-AI218)</f>
        <v>7081</v>
      </c>
      <c r="AJ219" s="12">
        <f>MAX(0,AI219-AJ218)</f>
        <v>16377</v>
      </c>
      <c r="AK219" s="12">
        <f>MAX(0,AJ219-AK218)</f>
        <v>16377</v>
      </c>
      <c r="AL219" s="12" t="n"/>
      <c r="AM219" s="12">
        <f>AM199</f>
        <v>0</v>
      </c>
      <c r="AN219" s="12">
        <f>MAX(0,AM219-AN218)</f>
        <v>4.00177668780088e-11</v>
      </c>
      <c r="AO219" s="12">
        <f>MAX(0,AN219-AO218)</f>
        <v>10139</v>
      </c>
      <c r="AP219" s="12">
        <f>MAX(0,AO219-AP218)</f>
        <v>10139</v>
      </c>
      <c r="AQ219" s="12" t="n"/>
      <c r="AR219" s="12">
        <f>AR199</f>
        <v>0</v>
      </c>
      <c r="AS219" s="12">
        <f>MAX(0,AR219-AS218)</f>
        <v>0</v>
      </c>
      <c r="AT219" s="12">
        <f>MAX(0,AS219-AT218)</f>
        <v>10139</v>
      </c>
      <c r="AU219" s="12">
        <f>MAX(0,AT219-AU218)</f>
        <v>10139</v>
      </c>
      <c r="AV219" s="12" t="n"/>
      <c r="AW219" s="12">
        <f>AW199</f>
        <v>0</v>
      </c>
      <c r="AX219" s="12">
        <f>MAX(0,AW219-AX218)</f>
        <v>5.45696821063757e-11</v>
      </c>
      <c r="AY219" s="12">
        <f>MAX(0,AX219-AY218)</f>
        <v>10139</v>
      </c>
      <c r="AZ219" s="12">
        <f>MAX(0,AY219-AZ218)</f>
        <v>10139</v>
      </c>
      <c r="BA219" s="12" t="n"/>
      <c r="BB219" s="12">
        <f>BB199</f>
        <v>0</v>
      </c>
      <c r="BC219" s="12">
        <f>MAX(0,BB219-BC218)</f>
        <v>4.72937244921923e-11</v>
      </c>
      <c r="BD219" s="12">
        <f>MAX(0,BC219-BD218)</f>
        <v>10139.0000000001</v>
      </c>
      <c r="BE219" s="12">
        <f>MAX(0,BD219-BE218)</f>
        <v>10139.0000000001</v>
      </c>
      <c r="BF219" s="12" t="n"/>
      <c r="BG219" s="12" t="n"/>
      <c r="BH219" s="12" t="n"/>
      <c r="BI219" s="12" t="n"/>
      <c r="BJ219" s="12" t="n"/>
      <c r="BK219" s="12" t="n"/>
      <c r="BL219" s="12" t="n"/>
      <c r="BM219" s="12" t="n"/>
      <c r="BN219" s="12" t="n"/>
      <c r="BO219" s="12" t="n"/>
      <c r="BP219" s="12" t="n"/>
      <c r="BQ219" s="12" t="n"/>
      <c r="BR219" s="12" t="n"/>
      <c r="BS219" s="12" t="n"/>
      <c r="BT219" s="12" t="n"/>
      <c r="BU219" s="12" t="n"/>
      <c r="BV219" s="12" t="n"/>
      <c r="BW219" s="12" t="n"/>
      <c r="BX219" s="12" t="n"/>
      <c r="BY219" s="12" t="n"/>
      <c r="BZ219" s="12" t="n"/>
      <c r="CA219" s="12" t="n"/>
      <c r="CB219" s="12" t="n"/>
      <c r="CC219" s="12" t="n"/>
      <c r="CD219" s="12" t="n"/>
      <c r="CE219" s="12" t="n"/>
      <c r="CF219" s="12" t="n"/>
      <c r="CG219" s="12" t="n"/>
      <c r="CH219" s="12" t="n"/>
      <c r="CI219" s="12" t="n"/>
      <c r="CJ219" s="12" t="n"/>
      <c r="CK219" s="12" t="n"/>
      <c r="CL219" s="12" t="n"/>
      <c r="CM219" s="12" t="n"/>
      <c r="CN219" s="12" t="n"/>
      <c r="CO219" s="12" t="n"/>
      <c r="CP219" s="12" t="n"/>
      <c r="CQ219" s="12" t="n"/>
      <c r="CR219" s="12" t="n"/>
      <c r="CS219" s="12" t="n"/>
      <c r="CT219" s="12" t="n"/>
      <c r="CU219" s="12" t="n"/>
      <c r="CV219" s="12" t="n"/>
      <c r="CW219" s="12" t="n"/>
      <c r="CX219" s="12" t="n"/>
      <c r="CY219" s="12" t="n"/>
    </row>
    <row r="220" hidden="1" outlineLevel="1">
      <c r="C220" s="57" t="n"/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2" t="n"/>
      <c r="O220" s="12" t="n"/>
      <c r="P220" s="12" t="n"/>
      <c r="Q220" s="12" t="n"/>
      <c r="R220" s="12" t="n"/>
      <c r="S220" s="12" t="n"/>
      <c r="T220" s="12" t="n"/>
      <c r="U220" s="12" t="n"/>
      <c r="V220" s="12" t="n"/>
      <c r="W220" s="12" t="n"/>
      <c r="X220" s="12" t="n"/>
      <c r="Y220" s="12" t="n"/>
      <c r="Z220" s="12" t="n"/>
      <c r="AA220" s="12" t="n"/>
      <c r="AB220" s="12" t="n"/>
      <c r="AC220" s="12" t="n"/>
      <c r="AD220" s="12" t="n"/>
      <c r="AE220" s="12" t="n"/>
      <c r="AF220" s="12" t="n"/>
      <c r="AG220" s="12" t="n"/>
      <c r="AH220" s="12" t="n"/>
      <c r="AI220" s="12" t="n"/>
      <c r="AJ220" s="12" t="n"/>
      <c r="AK220" s="12" t="n"/>
      <c r="AL220" s="12" t="n"/>
      <c r="AM220" s="12" t="n"/>
      <c r="AN220" s="12" t="n"/>
      <c r="AO220" s="12" t="n"/>
      <c r="AP220" s="12" t="n"/>
      <c r="AQ220" s="12" t="n"/>
      <c r="AR220" s="12" t="n"/>
      <c r="AS220" s="12" t="n"/>
      <c r="AT220" s="12" t="n"/>
      <c r="AU220" s="12" t="n"/>
      <c r="AV220" s="12" t="n"/>
      <c r="AW220" s="12" t="n"/>
      <c r="AX220" s="12" t="n"/>
      <c r="AY220" s="12" t="n"/>
      <c r="AZ220" s="12" t="n"/>
      <c r="BA220" s="12" t="n"/>
      <c r="BB220" s="12" t="n"/>
      <c r="BC220" s="12" t="n"/>
      <c r="BD220" s="12" t="n"/>
      <c r="BE220" s="12" t="n"/>
      <c r="BF220" s="12" t="n"/>
      <c r="BG220" s="12" t="n"/>
      <c r="BH220" s="12" t="n"/>
      <c r="BI220" s="12" t="n"/>
      <c r="BJ220" s="12" t="n"/>
      <c r="BK220" s="12" t="n"/>
      <c r="BL220" s="12" t="n"/>
      <c r="BM220" s="12" t="n"/>
      <c r="BN220" s="12" t="n"/>
      <c r="BO220" s="12" t="n"/>
      <c r="BP220" s="12" t="n"/>
      <c r="BQ220" s="12" t="n"/>
      <c r="BR220" s="12" t="n"/>
      <c r="BS220" s="12" t="n"/>
      <c r="BT220" s="12" t="n"/>
      <c r="BU220" s="12" t="n"/>
      <c r="BV220" s="12" t="n"/>
      <c r="BW220" s="12" t="n"/>
      <c r="BX220" s="12" t="n"/>
      <c r="BY220" s="12" t="n"/>
      <c r="BZ220" s="12" t="n"/>
      <c r="CA220" s="12" t="n"/>
      <c r="CB220" s="12" t="n"/>
      <c r="CC220" s="12" t="n"/>
      <c r="CD220" s="12" t="n"/>
      <c r="CE220" s="12" t="n"/>
      <c r="CF220" s="12" t="n"/>
      <c r="CG220" s="12" t="n"/>
      <c r="CH220" s="12" t="n"/>
      <c r="CI220" s="12" t="n"/>
      <c r="CJ220" s="12" t="n"/>
      <c r="CK220" s="12" t="n"/>
      <c r="CL220" s="12" t="n"/>
      <c r="CM220" s="12" t="n"/>
      <c r="CN220" s="12" t="n"/>
      <c r="CO220" s="12" t="n"/>
      <c r="CP220" s="12" t="n"/>
      <c r="CQ220" s="12" t="n"/>
      <c r="CR220" s="12" t="n"/>
      <c r="CS220" s="12" t="n"/>
      <c r="CT220" s="12" t="n"/>
      <c r="CU220" s="12" t="n"/>
      <c r="CV220" s="12" t="n"/>
      <c r="CW220" s="12" t="n"/>
      <c r="CX220" s="12" t="n"/>
      <c r="CY220" s="12" t="n"/>
    </row>
    <row r="221" collapsed="1">
      <c r="C221" s="14" t="inlineStr">
        <is>
          <t>Long term operating leases</t>
        </is>
      </c>
      <c r="D221" s="46" t="n"/>
      <c r="E221" s="46" t="n"/>
      <c r="F221" s="46" t="n"/>
      <c r="G221" s="46" t="n"/>
      <c r="H221" s="12" t="n"/>
      <c r="I221" s="46">
        <f>'Inputs (2)'!D36</f>
        <v>0</v>
      </c>
      <c r="J221" s="46">
        <f>'Inputs (2)'!E36</f>
        <v>0</v>
      </c>
      <c r="K221" s="46">
        <f>'Inputs (2)'!F36</f>
        <v>0</v>
      </c>
      <c r="L221" s="46">
        <f>'Inputs (2)'!G36</f>
        <v>0</v>
      </c>
      <c r="M221" s="12">
        <f>'Inputs (2)'!H36</f>
        <v>0</v>
      </c>
      <c r="N221" s="46">
        <f>'Inputs (2)'!I36</f>
        <v>0</v>
      </c>
      <c r="O221" s="46">
        <f>'Inputs (2)'!J36</f>
        <v>0</v>
      </c>
      <c r="P221" s="46">
        <f>'Inputs (2)'!K36</f>
        <v>0</v>
      </c>
      <c r="Q221" s="46">
        <f>'Inputs (2)'!L36</f>
        <v>0</v>
      </c>
      <c r="R221" s="12">
        <f>'Inputs (2)'!M36</f>
        <v>0</v>
      </c>
      <c r="S221" s="46">
        <f>'Inputs (2)'!N36</f>
        <v>0</v>
      </c>
      <c r="T221" s="46">
        <f>'Inputs (2)'!O36</f>
        <v>0</v>
      </c>
      <c r="U221" s="46">
        <f>'Inputs (2)'!P36</f>
        <v>0</v>
      </c>
      <c r="V221" s="46">
        <f>'Inputs (2)'!Q36</f>
        <v>0</v>
      </c>
      <c r="W221" s="12">
        <f>'Inputs (2)'!R36</f>
        <v>0</v>
      </c>
      <c r="X221" s="46">
        <f>'Inputs (2)'!S36</f>
        <v>0</v>
      </c>
      <c r="Y221" s="46">
        <f>'Inputs (2)'!T36</f>
        <v>0</v>
      </c>
      <c r="Z221" s="46">
        <f>'Inputs (2)'!U36</f>
        <v>0</v>
      </c>
      <c r="AA221" s="46">
        <f>'Inputs (2)'!V36</f>
        <v>0</v>
      </c>
      <c r="AB221" s="12">
        <f>'Inputs (2)'!W36</f>
        <v>0</v>
      </c>
      <c r="AC221" s="46">
        <f>'Inputs (2)'!X36</f>
        <v>0</v>
      </c>
      <c r="AD221" s="46">
        <f>'Inputs (2)'!Y36</f>
        <v>0</v>
      </c>
      <c r="AE221" s="46">
        <f>'Inputs (2)'!Z36</f>
        <v>0</v>
      </c>
      <c r="AF221" s="46">
        <f>'Inputs (2)'!AA36</f>
        <v>0</v>
      </c>
      <c r="AG221" s="12">
        <f>'Inputs (2)'!AB36</f>
        <v>0</v>
      </c>
      <c r="AH221" s="12">
        <f>'Inputs (2)'!AC36</f>
        <v>0</v>
      </c>
      <c r="AI221" s="12">
        <f>'Inputs (2)'!AD36</f>
        <v>0</v>
      </c>
      <c r="AJ221" s="12">
        <f>AI221</f>
        <v>0</v>
      </c>
      <c r="AK221" s="12">
        <f>AJ221</f>
        <v>0</v>
      </c>
      <c r="AL221" s="12">
        <f>AK221</f>
        <v>0</v>
      </c>
      <c r="AM221" s="12">
        <f>AL221</f>
        <v>0</v>
      </c>
      <c r="AN221" s="12">
        <f>AM221</f>
        <v>0</v>
      </c>
      <c r="AO221" s="12">
        <f>AN221</f>
        <v>0</v>
      </c>
      <c r="AP221" s="12">
        <f>AO221</f>
        <v>0</v>
      </c>
      <c r="AQ221" s="12">
        <f>AP221</f>
        <v>0</v>
      </c>
      <c r="AR221" s="12">
        <f>AQ221</f>
        <v>0</v>
      </c>
      <c r="AS221" s="12">
        <f>AR221</f>
        <v>0</v>
      </c>
      <c r="AT221" s="12">
        <f>AS221</f>
        <v>0</v>
      </c>
      <c r="AU221" s="12">
        <f>AT221</f>
        <v>0</v>
      </c>
      <c r="AV221" s="12">
        <f>AU221</f>
        <v>0</v>
      </c>
      <c r="AW221" s="12">
        <f>AV221</f>
        <v>0</v>
      </c>
      <c r="AX221" s="12">
        <f>AW221</f>
        <v>0</v>
      </c>
      <c r="AY221" s="12">
        <f>AX221</f>
        <v>0</v>
      </c>
      <c r="AZ221" s="12">
        <f>AY221</f>
        <v>0</v>
      </c>
      <c r="BA221" s="12">
        <f>AZ221</f>
        <v>0</v>
      </c>
      <c r="BB221" s="12">
        <f>BA221</f>
        <v>0</v>
      </c>
      <c r="BC221" s="12">
        <f>BB221</f>
        <v>0</v>
      </c>
      <c r="BD221" s="12">
        <f>BC221</f>
        <v>0</v>
      </c>
      <c r="BE221" s="12">
        <f>BD221</f>
        <v>0</v>
      </c>
      <c r="BF221" s="12">
        <f>BE221</f>
        <v>0</v>
      </c>
      <c r="BG221" s="12" t="n"/>
      <c r="BH221" s="12" t="n"/>
      <c r="BI221" s="12" t="n"/>
      <c r="BJ221" s="12" t="n"/>
      <c r="BK221" s="12" t="n"/>
      <c r="BL221" s="12" t="n"/>
      <c r="BM221" s="12" t="n"/>
      <c r="BN221" s="12" t="n"/>
      <c r="BO221" s="12" t="n"/>
      <c r="BP221" s="12" t="n"/>
      <c r="BQ221" s="12" t="n"/>
      <c r="BR221" s="12" t="n"/>
      <c r="BS221" s="12" t="n"/>
      <c r="BT221" s="12" t="n"/>
      <c r="BU221" s="12" t="n"/>
      <c r="BV221" s="12" t="n"/>
      <c r="BW221" s="12" t="n"/>
      <c r="BX221" s="12" t="n"/>
      <c r="BY221" s="12" t="n"/>
      <c r="BZ221" s="12" t="n"/>
      <c r="CA221" s="12" t="n"/>
      <c r="CB221" s="12" t="n"/>
      <c r="CC221" s="12" t="n"/>
      <c r="CD221" s="12" t="n"/>
      <c r="CE221" s="12" t="n"/>
      <c r="CF221" s="12" t="n"/>
      <c r="CG221" s="12" t="n"/>
      <c r="CH221" s="12" t="n"/>
      <c r="CI221" s="12" t="n"/>
      <c r="CJ221" s="12" t="n"/>
      <c r="CK221" s="12" t="n"/>
      <c r="CL221" s="12" t="n"/>
      <c r="CM221" s="12" t="n"/>
      <c r="CN221" s="12" t="n"/>
      <c r="CO221" s="12" t="n"/>
      <c r="CP221" s="12" t="n"/>
      <c r="CQ221" s="12" t="n"/>
      <c r="CR221" s="12" t="n"/>
      <c r="CS221" s="12" t="n"/>
      <c r="CT221" s="12" t="n"/>
      <c r="CU221" s="12" t="n"/>
      <c r="CV221" s="12" t="n"/>
      <c r="CW221" s="12" t="n"/>
      <c r="CX221" s="12" t="n"/>
      <c r="CY221" s="12" t="n"/>
    </row>
    <row r="222" hidden="1" outlineLevel="1">
      <c r="C222" s="59" t="inlineStr">
        <is>
          <t>%(Var.)</t>
        </is>
      </c>
      <c r="D222" s="12" t="n"/>
      <c r="E222" s="40" t="n"/>
      <c r="F222" s="40" t="n"/>
      <c r="G222" s="40" t="n"/>
      <c r="H222" s="12" t="n"/>
      <c r="I222" s="40" t="str">
        <f>""</f>
        <v/>
      </c>
      <c r="J222" s="40" t="str">
        <f>IFERROR(IF(I221=0,"",J221/I221-1),"")</f>
        <v/>
      </c>
      <c r="K222" s="40" t="str">
        <f>IFERROR(IF(J221=0,"",K221/J221-1),"")</f>
        <v/>
      </c>
      <c r="L222" s="40" t="str">
        <f>IFERROR(IF(K221=0,"",L221/K221-1),"")</f>
        <v/>
      </c>
      <c r="M222" s="12" t="str">
        <f>IF(L221=0,"",M221/L221-1)</f>
        <v/>
      </c>
      <c r="N222" s="40" t="str">
        <f>IFERROR(IF(M221=0,"",N221/M221-1),"")</f>
        <v/>
      </c>
      <c r="O222" s="40" t="str">
        <f>IFERROR(IF(N221=0,"",O221/N221-1),"")</f>
        <v/>
      </c>
      <c r="P222" s="40" t="str">
        <f>IFERROR(IF(O221=0,"",P221/O221-1),"")</f>
        <v/>
      </c>
      <c r="Q222" s="40" t="str">
        <f>IFERROR(IF(P221=0,"",Q221/P221-1),"")</f>
        <v/>
      </c>
      <c r="R222" s="12" t="str">
        <f>IF(Q221=0,"",R221/Q221-1)</f>
        <v/>
      </c>
      <c r="S222" s="40" t="str">
        <f>IFERROR(IF(R221=0,"",S221/R221-1),"")</f>
        <v/>
      </c>
      <c r="T222" s="40" t="str">
        <f>IFERROR(IF(S221=0,"",T221/S221-1),"")</f>
        <v/>
      </c>
      <c r="U222" s="40" t="str">
        <f>IFERROR(IF(T221=0,"",U221/T221-1),"")</f>
        <v/>
      </c>
      <c r="V222" s="40" t="str">
        <f>IFERROR(IF(U221=0,"",V221/U221-1),"")</f>
        <v/>
      </c>
      <c r="W222" s="12" t="str">
        <f>IF(V221=0,"",W221/V221-1)</f>
        <v/>
      </c>
      <c r="X222" s="40" t="str">
        <f>IFERROR(IF(W221=0,"",X221/W221-1),"")</f>
        <v/>
      </c>
      <c r="Y222" s="40" t="str">
        <f>IFERROR(IF(X221=0,"",Y221/X221-1),"")</f>
        <v/>
      </c>
      <c r="Z222" s="40" t="str">
        <f>IFERROR(IF(Y221=0,"",Z221/Y221-1),"")</f>
        <v/>
      </c>
      <c r="AA222" s="40" t="str">
        <f>IFERROR(IF(Z221=0,"",AA221/Z221-1),"")</f>
        <v/>
      </c>
      <c r="AB222" s="12" t="str">
        <f>IF(AA221=0,"",AB221/AA221-1)</f>
        <v/>
      </c>
      <c r="AC222" s="40" t="str">
        <f>IFERROR(IF(AB221=0,"",AC221/AB221-1),"")</f>
        <v/>
      </c>
      <c r="AD222" s="40" t="str">
        <f>IFERROR(IF(AC221=0,"",AD221/AC221-1),"")</f>
        <v/>
      </c>
      <c r="AE222" s="40" t="str">
        <f>IFERROR(IF(AD221=0,"",AE221/AD221-1),"")</f>
        <v/>
      </c>
      <c r="AF222" s="41" t="str">
        <f>IFERROR(IF(AE221=0,"",AF221/AE221-1),"")</f>
        <v/>
      </c>
      <c r="AG222" s="12" t="str">
        <f>IF(AF221=0,"",AG221/AF221-1)</f>
        <v/>
      </c>
      <c r="AH222" s="11" t="str">
        <f>IFERROR(IF(AG221=0,"",AH221/AG221-1),"")</f>
        <v/>
      </c>
      <c r="AI222" s="11" t="str">
        <f>IFERROR(IF(AH221=0,"",AI221/AH221-1),"")</f>
        <v/>
      </c>
      <c r="AJ222" s="11" t="str">
        <f>IFERROR(IF(AI221=0,"",AJ221/AI221-1),"")</f>
        <v/>
      </c>
      <c r="AK222" s="11" t="str">
        <f>IFERROR(IF(AJ221=0,"",AK221/AJ221-1),"")</f>
        <v/>
      </c>
      <c r="AL222" s="12" t="str">
        <f>IFERROR(IF(AK221=0,"",AL221/AK221-1),"")</f>
        <v/>
      </c>
      <c r="AM222" s="11" t="str">
        <f>IFERROR(IF(AL221=0,"",AM221/AL221-1),"")</f>
        <v/>
      </c>
      <c r="AN222" s="11" t="str">
        <f>IFERROR(IF(AM221=0,"",AN221/AM221-1),"")</f>
        <v/>
      </c>
      <c r="AO222" s="11" t="str">
        <f>IFERROR(IF(AN221=0,"",AO221/AN221-1),"")</f>
        <v/>
      </c>
      <c r="AP222" s="11" t="str">
        <f>IFERROR(IF(AO221=0,"",AP221/AO221-1),"")</f>
        <v/>
      </c>
      <c r="AQ222" s="12" t="str">
        <f>IFERROR(IF(AP221=0,"",AQ221/AP221-1),"")</f>
        <v/>
      </c>
      <c r="AR222" s="11" t="str">
        <f>IFERROR(IF(AQ221=0,"",AR221/AQ221-1),"")</f>
        <v/>
      </c>
      <c r="AS222" s="11" t="str">
        <f>IFERROR(IF(AR221=0,"",AS221/AR221-1),"")</f>
        <v/>
      </c>
      <c r="AT222" s="11" t="str">
        <f>IFERROR(IF(AS221=0,"",AT221/AS221-1),"")</f>
        <v/>
      </c>
      <c r="AU222" s="11" t="str">
        <f>IFERROR(IF(AT221=0,"",AU221/AT221-1),"")</f>
        <v/>
      </c>
      <c r="AV222" s="12" t="str">
        <f>IFERROR(IF(AU221=0,"",AV221/AU221-1),"")</f>
        <v/>
      </c>
      <c r="AW222" s="11" t="str">
        <f>IFERROR(IF(AV221=0,"",AW221/AV221-1),"")</f>
        <v/>
      </c>
      <c r="AX222" s="11" t="str">
        <f>IFERROR(IF(AW221=0,"",AX221/AW221-1),"")</f>
        <v/>
      </c>
      <c r="AY222" s="11" t="str">
        <f>IFERROR(IF(AX221=0,"",AY221/AX221-1),"")</f>
        <v/>
      </c>
      <c r="AZ222" s="11" t="str">
        <f>IFERROR(IF(AY221=0,"",AZ221/AY221-1),"")</f>
        <v/>
      </c>
      <c r="BA222" s="12" t="str">
        <f>IFERROR(IF(AZ221=0,"",BA221/AZ221-1),"")</f>
        <v/>
      </c>
      <c r="BB222" s="11" t="str">
        <f>IFERROR(IF(BA221=0,"",BB221/BA221-1),"")</f>
        <v/>
      </c>
      <c r="BC222" s="11" t="str">
        <f>IFERROR(IF(BB221=0,"",BC221/BB221-1),"")</f>
        <v/>
      </c>
      <c r="BD222" s="11" t="str">
        <f>IFERROR(IF(BC221=0,"",BD221/BC221-1),"")</f>
        <v/>
      </c>
      <c r="BE222" s="11" t="str">
        <f>IFERROR(IF(BD221=0,"",BE221/BD221-1),"")</f>
        <v/>
      </c>
      <c r="BF222" s="12" t="str">
        <f>IFERROR(IF(BE221=0,"",BF221/BE221-1),"")</f>
        <v/>
      </c>
      <c r="BG222" s="11" t="n"/>
      <c r="BH222" s="11" t="n"/>
      <c r="BI222" s="11" t="n"/>
      <c r="BJ222" s="11" t="n"/>
      <c r="BK222" s="12" t="n"/>
      <c r="BL222" s="11" t="n"/>
      <c r="BM222" s="11" t="n"/>
      <c r="BN222" s="11" t="n"/>
      <c r="BO222" s="11" t="n"/>
      <c r="BP222" s="12" t="n"/>
      <c r="BQ222" s="11" t="n"/>
      <c r="BR222" s="11" t="n"/>
      <c r="BS222" s="11" t="n"/>
      <c r="BT222" s="11" t="n"/>
      <c r="BU222" s="12" t="n"/>
      <c r="BV222" s="11" t="n"/>
      <c r="BW222" s="11" t="n"/>
      <c r="BX222" s="11" t="n"/>
      <c r="BY222" s="11" t="n"/>
      <c r="BZ222" s="12" t="n"/>
      <c r="CA222" s="11" t="n"/>
      <c r="CB222" s="11" t="n"/>
      <c r="CC222" s="11" t="n"/>
      <c r="CD222" s="11" t="n"/>
      <c r="CE222" s="12" t="n"/>
      <c r="CF222" s="11" t="n"/>
      <c r="CG222" s="11" t="n"/>
      <c r="CH222" s="11" t="n"/>
      <c r="CI222" s="11" t="n"/>
      <c r="CJ222" s="12" t="n"/>
      <c r="CK222" s="11" t="n"/>
      <c r="CL222" s="11" t="n"/>
      <c r="CM222" s="11" t="n"/>
      <c r="CN222" s="11" t="n"/>
      <c r="CO222" s="12" t="n"/>
      <c r="CP222" s="11" t="n"/>
      <c r="CQ222" s="11" t="n"/>
      <c r="CR222" s="11" t="n"/>
      <c r="CS222" s="11" t="n"/>
      <c r="CT222" s="12" t="n"/>
      <c r="CU222" s="11" t="n"/>
      <c r="CV222" s="11" t="n"/>
      <c r="CW222" s="11" t="n"/>
      <c r="CX222" s="11" t="n"/>
      <c r="CY222" s="12" t="n"/>
    </row>
    <row r="223" hidden="1" outlineLevel="1">
      <c r="C223" s="57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  <c r="V223" s="12" t="n"/>
      <c r="W223" s="12" t="n"/>
      <c r="X223" s="12" t="n"/>
      <c r="Y223" s="12" t="n"/>
      <c r="Z223" s="12" t="n"/>
      <c r="AA223" s="12" t="n"/>
      <c r="AB223" s="12" t="n"/>
      <c r="AC223" s="12" t="n"/>
      <c r="AD223" s="12" t="n"/>
      <c r="AE223" s="12" t="n"/>
      <c r="AF223" s="12" t="n"/>
      <c r="AG223" s="12" t="n"/>
      <c r="AH223" s="12" t="n"/>
      <c r="AI223" s="12" t="n"/>
      <c r="AJ223" s="12" t="n"/>
      <c r="AK223" s="12" t="n"/>
      <c r="AL223" s="12" t="n"/>
      <c r="AM223" s="12" t="n"/>
      <c r="AN223" s="12" t="n"/>
      <c r="AO223" s="12" t="n"/>
      <c r="AP223" s="12" t="n"/>
      <c r="AQ223" s="12" t="n"/>
      <c r="AR223" s="12" t="n"/>
      <c r="AS223" s="12" t="n"/>
      <c r="AT223" s="12" t="n"/>
      <c r="AU223" s="12" t="n"/>
      <c r="AV223" s="12" t="n"/>
      <c r="AW223" s="12" t="n"/>
      <c r="AX223" s="12" t="n"/>
      <c r="AY223" s="12" t="n"/>
      <c r="AZ223" s="12" t="n"/>
      <c r="BA223" s="12" t="n"/>
      <c r="BB223" s="12" t="n"/>
      <c r="BC223" s="12" t="n"/>
      <c r="BD223" s="12" t="n"/>
      <c r="BE223" s="12" t="n"/>
      <c r="BF223" s="12" t="n"/>
      <c r="BG223" s="12" t="n"/>
      <c r="BH223" s="12" t="n"/>
      <c r="BI223" s="12" t="n"/>
      <c r="BJ223" s="12" t="n"/>
      <c r="BK223" s="12" t="n"/>
      <c r="BL223" s="12" t="n"/>
      <c r="BM223" s="12" t="n"/>
      <c r="BN223" s="12" t="n"/>
      <c r="BO223" s="12" t="n"/>
      <c r="BP223" s="12" t="n"/>
      <c r="BQ223" s="12" t="n"/>
      <c r="BR223" s="12" t="n"/>
      <c r="BS223" s="12" t="n"/>
      <c r="BT223" s="12" t="n"/>
      <c r="BU223" s="12" t="n"/>
      <c r="BV223" s="12" t="n"/>
      <c r="BW223" s="12" t="n"/>
      <c r="BX223" s="12" t="n"/>
      <c r="BY223" s="12" t="n"/>
      <c r="BZ223" s="12" t="n"/>
      <c r="CA223" s="12" t="n"/>
      <c r="CB223" s="12" t="n"/>
      <c r="CC223" s="12" t="n"/>
      <c r="CD223" s="12" t="n"/>
      <c r="CE223" s="12" t="n"/>
      <c r="CF223" s="12" t="n"/>
      <c r="CG223" s="12" t="n"/>
      <c r="CH223" s="12" t="n"/>
      <c r="CI223" s="12" t="n"/>
      <c r="CJ223" s="12" t="n"/>
      <c r="CK223" s="12" t="n"/>
      <c r="CL223" s="12" t="n"/>
      <c r="CM223" s="12" t="n"/>
      <c r="CN223" s="12" t="n"/>
      <c r="CO223" s="12" t="n"/>
      <c r="CP223" s="12" t="n"/>
      <c r="CQ223" s="12" t="n"/>
      <c r="CR223" s="12" t="n"/>
      <c r="CS223" s="12" t="n"/>
      <c r="CT223" s="12" t="n"/>
      <c r="CU223" s="12" t="n"/>
      <c r="CV223" s="12" t="n"/>
      <c r="CW223" s="12" t="n"/>
      <c r="CX223" s="12" t="n"/>
      <c r="CY223" s="12" t="n"/>
    </row>
    <row r="224" collapsed="1">
      <c r="C224" s="14" t="inlineStr">
        <is>
          <t>Convertible debt</t>
        </is>
      </c>
      <c r="D224" s="46" t="n"/>
      <c r="E224" s="46" t="n"/>
      <c r="F224" s="46" t="n"/>
      <c r="G224" s="46" t="n"/>
      <c r="H224" s="12" t="n"/>
      <c r="I224" s="46">
        <f>'Inputs (2)'!D37</f>
        <v>0</v>
      </c>
      <c r="J224" s="46">
        <f>'Inputs (2)'!E37</f>
        <v>0</v>
      </c>
      <c r="K224" s="46">
        <f>'Inputs (2)'!F37</f>
        <v>0</v>
      </c>
      <c r="L224" s="46">
        <f>'Inputs (2)'!G37</f>
        <v>0</v>
      </c>
      <c r="M224" s="12">
        <f>'Inputs (2)'!H37</f>
        <v>0</v>
      </c>
      <c r="N224" s="46">
        <f>'Inputs (2)'!I37</f>
        <v>0</v>
      </c>
      <c r="O224" s="46">
        <f>'Inputs (2)'!J37</f>
        <v>0</v>
      </c>
      <c r="P224" s="46">
        <f>'Inputs (2)'!K37</f>
        <v>0</v>
      </c>
      <c r="Q224" s="46">
        <f>'Inputs (2)'!L37</f>
        <v>0</v>
      </c>
      <c r="R224" s="12">
        <f>'Inputs (2)'!M37</f>
        <v>0</v>
      </c>
      <c r="S224" s="46">
        <f>'Inputs (2)'!N37</f>
        <v>0</v>
      </c>
      <c r="T224" s="46">
        <f>'Inputs (2)'!O37</f>
        <v>0</v>
      </c>
      <c r="U224" s="46">
        <f>'Inputs (2)'!P37</f>
        <v>0</v>
      </c>
      <c r="V224" s="46">
        <f>'Inputs (2)'!Q37</f>
        <v>0</v>
      </c>
      <c r="W224" s="12">
        <f>'Inputs (2)'!R37</f>
        <v>0</v>
      </c>
      <c r="X224" s="46">
        <f>'Inputs (2)'!S37</f>
        <v>0</v>
      </c>
      <c r="Y224" s="46">
        <f>'Inputs (2)'!T37</f>
        <v>0</v>
      </c>
      <c r="Z224" s="46">
        <f>'Inputs (2)'!U37</f>
        <v>0</v>
      </c>
      <c r="AA224" s="46">
        <f>'Inputs (2)'!V37</f>
        <v>0</v>
      </c>
      <c r="AB224" s="12">
        <f>'Inputs (2)'!W37</f>
        <v>0</v>
      </c>
      <c r="AC224" s="46">
        <f>'Inputs (2)'!X37</f>
        <v>0</v>
      </c>
      <c r="AD224" s="46">
        <f>'Inputs (2)'!Y37</f>
        <v>0</v>
      </c>
      <c r="AE224" s="46">
        <f>'Inputs (2)'!Z37</f>
        <v>0</v>
      </c>
      <c r="AF224" s="46">
        <f>'Inputs (2)'!AA37</f>
        <v>0</v>
      </c>
      <c r="AG224" s="12">
        <f>'Inputs (2)'!AB37</f>
        <v>0</v>
      </c>
      <c r="AH224" s="12">
        <f>'Inputs (2)'!AC37</f>
        <v>0</v>
      </c>
      <c r="AI224" s="12">
        <f>'Inputs (2)'!AD37</f>
        <v>0</v>
      </c>
      <c r="AJ224" s="12">
        <f>AI224</f>
        <v>0</v>
      </c>
      <c r="AK224" s="12">
        <f>AJ224</f>
        <v>0</v>
      </c>
      <c r="AL224" s="12">
        <f>AK224</f>
        <v>0</v>
      </c>
      <c r="AM224" s="12">
        <f>AL224</f>
        <v>0</v>
      </c>
      <c r="AN224" s="12">
        <f>AM224</f>
        <v>0</v>
      </c>
      <c r="AO224" s="12">
        <f>AN224</f>
        <v>0</v>
      </c>
      <c r="AP224" s="12">
        <f>AO224</f>
        <v>0</v>
      </c>
      <c r="AQ224" s="12">
        <f>AP224</f>
        <v>0</v>
      </c>
      <c r="AR224" s="12">
        <f>AQ224</f>
        <v>0</v>
      </c>
      <c r="AS224" s="12">
        <f>AR224</f>
        <v>0</v>
      </c>
      <c r="AT224" s="12">
        <f>AS224</f>
        <v>0</v>
      </c>
      <c r="AU224" s="12">
        <f>AT224</f>
        <v>0</v>
      </c>
      <c r="AV224" s="12">
        <f>AU224</f>
        <v>0</v>
      </c>
      <c r="AW224" s="12">
        <f>AV224</f>
        <v>0</v>
      </c>
      <c r="AX224" s="12">
        <f>AW224</f>
        <v>0</v>
      </c>
      <c r="AY224" s="12">
        <f>AX224</f>
        <v>0</v>
      </c>
      <c r="AZ224" s="12">
        <f>AY224</f>
        <v>0</v>
      </c>
      <c r="BA224" s="12">
        <f>AZ224</f>
        <v>0</v>
      </c>
      <c r="BB224" s="12">
        <f>BA224</f>
        <v>0</v>
      </c>
      <c r="BC224" s="12">
        <f>BB224</f>
        <v>0</v>
      </c>
      <c r="BD224" s="12">
        <f>BC224</f>
        <v>0</v>
      </c>
      <c r="BE224" s="12">
        <f>BD224</f>
        <v>0</v>
      </c>
      <c r="BF224" s="12">
        <f>BE224</f>
        <v>0</v>
      </c>
      <c r="BG224" s="12" t="n"/>
      <c r="BH224" s="12" t="n"/>
      <c r="BI224" s="12" t="n"/>
      <c r="BJ224" s="12" t="n"/>
      <c r="BK224" s="12" t="n"/>
      <c r="BL224" s="12" t="n"/>
      <c r="BM224" s="12" t="n"/>
      <c r="BN224" s="12" t="n"/>
      <c r="BO224" s="12" t="n"/>
      <c r="BP224" s="12" t="n"/>
      <c r="BQ224" s="12" t="n"/>
      <c r="BR224" s="12" t="n"/>
      <c r="BS224" s="12" t="n"/>
      <c r="BT224" s="12" t="n"/>
      <c r="BU224" s="12" t="n"/>
      <c r="BV224" s="12" t="n"/>
      <c r="BW224" s="12" t="n"/>
      <c r="BX224" s="12" t="n"/>
      <c r="BY224" s="12" t="n"/>
      <c r="BZ224" s="12" t="n"/>
      <c r="CA224" s="12" t="n"/>
      <c r="CB224" s="12" t="n"/>
      <c r="CC224" s="12" t="n"/>
      <c r="CD224" s="12" t="n"/>
      <c r="CE224" s="12" t="n"/>
      <c r="CF224" s="12" t="n"/>
      <c r="CG224" s="12" t="n"/>
      <c r="CH224" s="12" t="n"/>
      <c r="CI224" s="12" t="n"/>
      <c r="CJ224" s="12" t="n"/>
      <c r="CK224" s="12" t="n"/>
      <c r="CL224" s="12" t="n"/>
      <c r="CM224" s="12" t="n"/>
      <c r="CN224" s="12" t="n"/>
      <c r="CO224" s="12" t="n"/>
      <c r="CP224" s="12" t="n"/>
      <c r="CQ224" s="12" t="n"/>
      <c r="CR224" s="12" t="n"/>
      <c r="CS224" s="12" t="n"/>
      <c r="CT224" s="12" t="n"/>
      <c r="CU224" s="12" t="n"/>
      <c r="CV224" s="12" t="n"/>
      <c r="CW224" s="12" t="n"/>
      <c r="CX224" s="12" t="n"/>
      <c r="CY224" s="12" t="n"/>
    </row>
    <row r="225">
      <c r="C225" s="14" t="inlineStr">
        <is>
          <t>Deferred income taxes</t>
        </is>
      </c>
      <c r="D225" s="46" t="n"/>
      <c r="E225" s="46" t="n"/>
      <c r="F225" s="46" t="n"/>
      <c r="G225" s="46" t="n"/>
      <c r="H225" s="12" t="n"/>
      <c r="I225" s="46">
        <f>'Inputs (2)'!D38</f>
        <v>18113</v>
      </c>
      <c r="J225" s="46">
        <f>'Inputs (2)'!E38</f>
        <v>18511</v>
      </c>
      <c r="K225" s="46">
        <f>'Inputs (2)'!F38</f>
        <v>19008</v>
      </c>
      <c r="L225" s="46">
        <f>'Inputs (2)'!G38</f>
        <v>20165</v>
      </c>
      <c r="M225" s="12">
        <f>'Inputs (2)'!H38</f>
        <v>20165</v>
      </c>
      <c r="N225" s="46">
        <f>'Inputs (2)'!I38</f>
        <v>19533</v>
      </c>
      <c r="O225" s="46">
        <f>'Inputs (2)'!J38</f>
        <v>20807</v>
      </c>
      <c r="P225" s="46">
        <f>'Inputs (2)'!K38</f>
        <v>21274</v>
      </c>
      <c r="Q225" s="46">
        <f>'Inputs (2)'!L38</f>
        <v>22874</v>
      </c>
      <c r="R225" s="12">
        <f>'Inputs (2)'!M38</f>
        <v>22874</v>
      </c>
      <c r="S225" s="46">
        <f>'Inputs (2)'!N38</f>
        <v>23195</v>
      </c>
      <c r="T225" s="46">
        <f>'Inputs (2)'!O38</f>
        <v>23460</v>
      </c>
      <c r="U225" s="46">
        <f>'Inputs (2)'!P38</f>
        <v>23912</v>
      </c>
      <c r="V225" s="46">
        <f>'Inputs (2)'!Q38</f>
        <v>24452</v>
      </c>
      <c r="W225" s="12">
        <f>'Inputs (2)'!R38</f>
        <v>24452</v>
      </c>
      <c r="X225" s="46">
        <f>'Inputs (2)'!S38</f>
        <v>24106</v>
      </c>
      <c r="Y225" s="46">
        <f>'Inputs (2)'!T38</f>
        <v>40080</v>
      </c>
      <c r="Z225" s="46">
        <f>'Inputs (2)'!U38</f>
        <v>40281</v>
      </c>
      <c r="AA225" s="46">
        <f>'Inputs (2)'!V38</f>
        <v>39042</v>
      </c>
      <c r="AB225" s="12">
        <f>'Inputs (2)'!W38</f>
        <v>39042</v>
      </c>
      <c r="AC225" s="46">
        <f>'Inputs (2)'!X38</f>
        <v>39091</v>
      </c>
      <c r="AD225" s="46">
        <f>'Inputs (2)'!Y38</f>
        <v>39368</v>
      </c>
      <c r="AE225" s="46">
        <f>'Inputs (2)'!Z38</f>
        <v>39942</v>
      </c>
      <c r="AF225" s="46">
        <f>'Inputs (2)'!AA38</f>
        <v>40216</v>
      </c>
      <c r="AG225" s="12">
        <f>'Inputs (2)'!AB38</f>
        <v>40216</v>
      </c>
      <c r="AH225" s="12">
        <f>'Inputs (2)'!AC38</f>
        <v>40018</v>
      </c>
      <c r="AI225" s="12">
        <f>'Inputs (2)'!AD38</f>
        <v>39546</v>
      </c>
      <c r="AJ225" s="12">
        <f>AI225</f>
        <v>39546</v>
      </c>
      <c r="AK225" s="12">
        <f>AJ225</f>
        <v>39546</v>
      </c>
      <c r="AL225" s="12">
        <f>AK225</f>
        <v>39546</v>
      </c>
      <c r="AM225" s="12">
        <f>AL225</f>
        <v>39546</v>
      </c>
      <c r="AN225" s="12">
        <f>AM225</f>
        <v>39546</v>
      </c>
      <c r="AO225" s="12">
        <f>AN225</f>
        <v>39546</v>
      </c>
      <c r="AP225" s="12">
        <f>AO225</f>
        <v>39546</v>
      </c>
      <c r="AQ225" s="12">
        <f>AP225</f>
        <v>39546</v>
      </c>
      <c r="AR225" s="12">
        <f>AQ225</f>
        <v>39546</v>
      </c>
      <c r="AS225" s="12">
        <f>AR225</f>
        <v>39546</v>
      </c>
      <c r="AT225" s="12">
        <f>AS225</f>
        <v>39546</v>
      </c>
      <c r="AU225" s="12">
        <f>AT225</f>
        <v>39546</v>
      </c>
      <c r="AV225" s="12">
        <f>AU225</f>
        <v>39546</v>
      </c>
      <c r="AW225" s="12">
        <f>AV225</f>
        <v>39546</v>
      </c>
      <c r="AX225" s="12">
        <f>AW225</f>
        <v>39546</v>
      </c>
      <c r="AY225" s="12">
        <f>AX225</f>
        <v>39546</v>
      </c>
      <c r="AZ225" s="12">
        <f>AY225</f>
        <v>39546</v>
      </c>
      <c r="BA225" s="12">
        <f>AZ225</f>
        <v>39546</v>
      </c>
      <c r="BB225" s="12">
        <f>BA225</f>
        <v>39546</v>
      </c>
      <c r="BC225" s="12">
        <f>BB225</f>
        <v>39546</v>
      </c>
      <c r="BD225" s="12">
        <f>BC225</f>
        <v>39546</v>
      </c>
      <c r="BE225" s="12">
        <f>BD225</f>
        <v>39546</v>
      </c>
      <c r="BF225" s="12">
        <f>BE225</f>
        <v>39546</v>
      </c>
      <c r="BG225" s="12" t="n"/>
      <c r="BH225" s="12" t="n"/>
      <c r="BI225" s="12" t="n"/>
      <c r="BJ225" s="12" t="n"/>
      <c r="BK225" s="12" t="n"/>
      <c r="BL225" s="12" t="n"/>
      <c r="BM225" s="12" t="n"/>
      <c r="BN225" s="12" t="n"/>
      <c r="BO225" s="12" t="n"/>
      <c r="BP225" s="12" t="n"/>
      <c r="BQ225" s="12" t="n"/>
      <c r="BR225" s="12" t="n"/>
      <c r="BS225" s="12" t="n"/>
      <c r="BT225" s="12" t="n"/>
      <c r="BU225" s="12" t="n"/>
      <c r="BV225" s="12" t="n"/>
      <c r="BW225" s="12" t="n"/>
      <c r="BX225" s="12" t="n"/>
      <c r="BY225" s="12" t="n"/>
      <c r="BZ225" s="12" t="n"/>
      <c r="CA225" s="12" t="n"/>
      <c r="CB225" s="12" t="n"/>
      <c r="CC225" s="12" t="n"/>
      <c r="CD225" s="12" t="n"/>
      <c r="CE225" s="12" t="n"/>
      <c r="CF225" s="12" t="n"/>
      <c r="CG225" s="12" t="n"/>
      <c r="CH225" s="12" t="n"/>
      <c r="CI225" s="12" t="n"/>
      <c r="CJ225" s="12" t="n"/>
      <c r="CK225" s="12" t="n"/>
      <c r="CL225" s="12" t="n"/>
      <c r="CM225" s="12" t="n"/>
      <c r="CN225" s="12" t="n"/>
      <c r="CO225" s="12" t="n"/>
      <c r="CP225" s="12" t="n"/>
      <c r="CQ225" s="12" t="n"/>
      <c r="CR225" s="12" t="n"/>
      <c r="CS225" s="12" t="n"/>
      <c r="CT225" s="12" t="n"/>
      <c r="CU225" s="12" t="n"/>
      <c r="CV225" s="12" t="n"/>
      <c r="CW225" s="12" t="n"/>
      <c r="CX225" s="12" t="n"/>
      <c r="CY225" s="12" t="n"/>
    </row>
    <row r="226">
      <c r="C226" s="14" t="inlineStr">
        <is>
          <t>Other non-current liabilities</t>
        </is>
      </c>
      <c r="D226" s="46" t="n"/>
      <c r="E226" s="46" t="n"/>
      <c r="F226" s="46" t="n"/>
      <c r="G226" s="46" t="n"/>
      <c r="H226" s="12" t="n"/>
      <c r="I226" s="46">
        <f>'Inputs (2)'!D39</f>
        <v>46269</v>
      </c>
      <c r="J226" s="46">
        <f>'Inputs (2)'!E39</f>
        <v>45665</v>
      </c>
      <c r="K226" s="46">
        <f>'Inputs (2)'!F39</f>
        <v>44679</v>
      </c>
      <c r="L226" s="46">
        <f>'Inputs (2)'!G39</f>
        <v>43004</v>
      </c>
      <c r="M226" s="12">
        <f>'Inputs (2)'!H39</f>
        <v>43004</v>
      </c>
      <c r="N226" s="46">
        <f>'Inputs (2)'!I39</f>
        <v>44002</v>
      </c>
      <c r="O226" s="46">
        <f>'Inputs (2)'!J39</f>
        <v>42833</v>
      </c>
      <c r="P226" s="46">
        <f>'Inputs (2)'!K39</f>
        <v>42532</v>
      </c>
      <c r="Q226" s="46">
        <f>'Inputs (2)'!L39</f>
        <v>34116</v>
      </c>
      <c r="R226" s="12">
        <f>'Inputs (2)'!M39</f>
        <v>34116</v>
      </c>
      <c r="S226" s="46">
        <f>'Inputs (2)'!N39</f>
        <v>33946</v>
      </c>
      <c r="T226" s="46">
        <f>'Inputs (2)'!O39</f>
        <v>33409</v>
      </c>
      <c r="U226" s="46">
        <f>'Inputs (2)'!P39</f>
        <v>33118</v>
      </c>
      <c r="V226" s="46">
        <f>'Inputs (2)'!Q39</f>
        <v>36528</v>
      </c>
      <c r="W226" s="12">
        <f>'Inputs (2)'!R39</f>
        <v>36528</v>
      </c>
      <c r="X226" s="46">
        <f>'Inputs (2)'!S39</f>
        <v>36626</v>
      </c>
      <c r="Y226" s="46">
        <f>'Inputs (2)'!T39</f>
        <v>37033</v>
      </c>
      <c r="Z226" s="46">
        <f>'Inputs (2)'!U39</f>
        <v>38324</v>
      </c>
      <c r="AA226" s="46">
        <f>'Inputs (2)'!V39</f>
        <v>36765</v>
      </c>
      <c r="AB226" s="12">
        <f>'Inputs (2)'!W39</f>
        <v>36765</v>
      </c>
      <c r="AC226" s="46">
        <f>'Inputs (2)'!X39</f>
        <v>36359</v>
      </c>
      <c r="AD226" s="46">
        <f>'Inputs (2)'!Y39</f>
        <v>36536</v>
      </c>
      <c r="AE226" s="46">
        <f>'Inputs (2)'!Z39</f>
        <v>35501</v>
      </c>
      <c r="AF226" s="46">
        <f>'Inputs (2)'!AA39</f>
        <v>35567</v>
      </c>
      <c r="AG226" s="12">
        <f>'Inputs (2)'!AB39</f>
        <v>35567</v>
      </c>
      <c r="AH226" s="12">
        <f>'Inputs (2)'!AC39</f>
        <v>35888</v>
      </c>
      <c r="AI226" s="12">
        <f>'Inputs (2)'!AD39</f>
        <v>37766</v>
      </c>
      <c r="AJ226" s="12">
        <f>AI226</f>
        <v>37766</v>
      </c>
      <c r="AK226" s="12">
        <f>AJ226</f>
        <v>37766</v>
      </c>
      <c r="AL226" s="12">
        <f>AK226</f>
        <v>37766</v>
      </c>
      <c r="AM226" s="12">
        <f>AL226</f>
        <v>37766</v>
      </c>
      <c r="AN226" s="12">
        <f>AM226</f>
        <v>37766</v>
      </c>
      <c r="AO226" s="12">
        <f>AN226</f>
        <v>37766</v>
      </c>
      <c r="AP226" s="12">
        <f>AO226</f>
        <v>37766</v>
      </c>
      <c r="AQ226" s="12">
        <f>AP226</f>
        <v>37766</v>
      </c>
      <c r="AR226" s="12">
        <f>AQ226</f>
        <v>37766</v>
      </c>
      <c r="AS226" s="12">
        <f>AR226</f>
        <v>37766</v>
      </c>
      <c r="AT226" s="12">
        <f>AS226</f>
        <v>37766</v>
      </c>
      <c r="AU226" s="12">
        <f>AT226</f>
        <v>37766</v>
      </c>
      <c r="AV226" s="12">
        <f>AU226</f>
        <v>37766</v>
      </c>
      <c r="AW226" s="12">
        <f>AV226</f>
        <v>37766</v>
      </c>
      <c r="AX226" s="12">
        <f>AW226</f>
        <v>37766</v>
      </c>
      <c r="AY226" s="12">
        <f>AX226</f>
        <v>37766</v>
      </c>
      <c r="AZ226" s="12">
        <f>AY226</f>
        <v>37766</v>
      </c>
      <c r="BA226" s="12">
        <f>AZ226</f>
        <v>37766</v>
      </c>
      <c r="BB226" s="12">
        <f>BA226</f>
        <v>37766</v>
      </c>
      <c r="BC226" s="12">
        <f>BB226</f>
        <v>37766</v>
      </c>
      <c r="BD226" s="12">
        <f>BC226</f>
        <v>37766</v>
      </c>
      <c r="BE226" s="12">
        <f>BD226</f>
        <v>37766</v>
      </c>
      <c r="BF226" s="12">
        <f>BE226</f>
        <v>37766</v>
      </c>
      <c r="BG226" s="12" t="n"/>
      <c r="BH226" s="12" t="n"/>
      <c r="BI226" s="12" t="n"/>
      <c r="BJ226" s="12" t="n"/>
      <c r="BK226" s="12" t="n"/>
      <c r="BL226" s="12" t="n"/>
      <c r="BM226" s="12" t="n"/>
      <c r="BN226" s="12" t="n"/>
      <c r="BO226" s="12" t="n"/>
      <c r="BP226" s="12" t="n"/>
      <c r="BQ226" s="12" t="n"/>
      <c r="BR226" s="12" t="n"/>
      <c r="BS226" s="12" t="n"/>
      <c r="BT226" s="12" t="n"/>
      <c r="BU226" s="12" t="n"/>
      <c r="BV226" s="12" t="n"/>
      <c r="BW226" s="12" t="n"/>
      <c r="BX226" s="12" t="n"/>
      <c r="BY226" s="12" t="n"/>
      <c r="BZ226" s="12" t="n"/>
      <c r="CA226" s="12" t="n"/>
      <c r="CB226" s="12" t="n"/>
      <c r="CC226" s="12" t="n"/>
      <c r="CD226" s="12" t="n"/>
      <c r="CE226" s="12" t="n"/>
      <c r="CF226" s="12" t="n"/>
      <c r="CG226" s="12" t="n"/>
      <c r="CH226" s="12" t="n"/>
      <c r="CI226" s="12" t="n"/>
      <c r="CJ226" s="12" t="n"/>
      <c r="CK226" s="12" t="n"/>
      <c r="CL226" s="12" t="n"/>
      <c r="CM226" s="12" t="n"/>
      <c r="CN226" s="12" t="n"/>
      <c r="CO226" s="12" t="n"/>
      <c r="CP226" s="12" t="n"/>
      <c r="CQ226" s="12" t="n"/>
      <c r="CR226" s="12" t="n"/>
      <c r="CS226" s="12" t="n"/>
      <c r="CT226" s="12" t="n"/>
      <c r="CU226" s="12" t="n"/>
      <c r="CV226" s="12" t="n"/>
      <c r="CW226" s="12" t="n"/>
      <c r="CX226" s="12" t="n"/>
      <c r="CY226" s="12" t="n"/>
    </row>
    <row r="227" hidden="1" outlineLevel="1" ht="12" customHeight="1">
      <c r="C227" s="59" t="inlineStr">
        <is>
          <t>%(Var.)</t>
        </is>
      </c>
      <c r="D227" s="12" t="n"/>
      <c r="E227" s="40" t="n"/>
      <c r="F227" s="40" t="n"/>
      <c r="G227" s="40" t="n"/>
      <c r="H227" s="12" t="n"/>
      <c r="I227" s="40" t="str">
        <f>""</f>
        <v/>
      </c>
      <c r="J227" s="40">
        <f>IF(I226=0,"",J226/I226-1)</f>
        <v>-0.0130540966954116</v>
      </c>
      <c r="K227" s="40">
        <f>IF(J226=0,"",K226/J226-1)</f>
        <v>-0.0215920289061644</v>
      </c>
      <c r="L227" s="40">
        <f>IF(K226=0,"",L226/K226-1)</f>
        <v>-0.037489648380671</v>
      </c>
      <c r="M227" s="12">
        <f>IF(L226=0,"",M226/L226-1)</f>
        <v>0</v>
      </c>
      <c r="N227" s="40">
        <f>IF(M226=0,"",N226/M226-1)</f>
        <v>0.0232071435215329</v>
      </c>
      <c r="O227" s="40">
        <f>IF(N226=0,"",O226/N226-1)</f>
        <v>-0.0265669742284441</v>
      </c>
      <c r="P227" s="40">
        <f>IF(O226=0,"",P226/O226-1)</f>
        <v>-0.00702729204118324</v>
      </c>
      <c r="Q227" s="40">
        <f>IF(P226=0,"",Q226/P226-1)</f>
        <v>-0.197874541521678</v>
      </c>
      <c r="R227" s="12">
        <f>IF(Q226=0,"",R226/Q226-1)</f>
        <v>0</v>
      </c>
      <c r="S227" s="40">
        <f>IF(R226=0,"",S226/R226-1)</f>
        <v>-0.0049829991792707</v>
      </c>
      <c r="T227" s="40">
        <f>IF(S226=0,"",T226/S226-1)</f>
        <v>-0.0158192423260473</v>
      </c>
      <c r="U227" s="40">
        <f>IF(T226=0,"",U226/T226-1)</f>
        <v>-0.00871022778293273</v>
      </c>
      <c r="V227" s="40">
        <f>IF(U226=0,"",V226/U226-1)</f>
        <v>0.102965154900658</v>
      </c>
      <c r="W227" s="12">
        <f>IF(V226=0,"",W226/V226-1)</f>
        <v>0</v>
      </c>
      <c r="X227" s="40">
        <f>IF(W226=0,"",X226/W226-1)</f>
        <v>0.00268287341217688</v>
      </c>
      <c r="Y227" s="40">
        <f>IF(X226=0,"",Y226/X226-1)</f>
        <v>0.0111123245781686</v>
      </c>
      <c r="Z227" s="40">
        <f>IF(Y226=0,"",Z226/Y226-1)</f>
        <v>0.0348607998271813</v>
      </c>
      <c r="AA227" s="40">
        <f>IF(Z226=0,"",AA226/Z226-1)</f>
        <v>-0.0406794697839474</v>
      </c>
      <c r="AB227" s="12">
        <f>IF(AA226=0,"",AB226/AA226-1)</f>
        <v>0</v>
      </c>
      <c r="AC227" s="40">
        <f>IF(AB226=0,"",AC226/AB226-1)</f>
        <v>-0.0110431116551067</v>
      </c>
      <c r="AD227" s="40">
        <f>IF(AC226=0,"",AD226/AC226-1)</f>
        <v>0.00486812068538733</v>
      </c>
      <c r="AE227" s="40">
        <f>IF(AD226=0,"",AE226/AD226-1)</f>
        <v>-0.0283282242172104</v>
      </c>
      <c r="AF227" s="41">
        <f>IF(AE226=0,"",AF226/AE226-1)</f>
        <v>0.00185910256049127</v>
      </c>
      <c r="AG227" s="12">
        <f>IF(AF226=0,"",AG226/AF226-1)</f>
        <v>0</v>
      </c>
      <c r="AH227" s="41">
        <f>IF(AG226=0,"",AH226/AG226-1)</f>
        <v>0.00902522000731021</v>
      </c>
      <c r="AI227" s="41">
        <f>IF(AH226=0,"",AI226/AH226-1)</f>
        <v>0.0523294694605438</v>
      </c>
      <c r="AJ227" s="41">
        <f>IF(AI226=0,"",AJ226/AI226-1)</f>
        <v>0</v>
      </c>
      <c r="AK227" s="41">
        <f>IF(AJ226=0,"",AK226/AJ226-1)</f>
        <v>0</v>
      </c>
      <c r="AL227" s="12">
        <f>IF(AK226=0,"",AL226/AK226-1)</f>
        <v>0</v>
      </c>
      <c r="AM227" s="41">
        <f>IF(AL226=0,"",AM226/AL226-1)</f>
        <v>0</v>
      </c>
      <c r="AN227" s="41">
        <f>IF(AM226=0,"",AN226/AM226-1)</f>
        <v>0</v>
      </c>
      <c r="AO227" s="41">
        <f>IF(AN226=0,"",AO226/AN226-1)</f>
        <v>0</v>
      </c>
      <c r="AP227" s="41">
        <f>IF(AO226=0,"",AP226/AO226-1)</f>
        <v>0</v>
      </c>
      <c r="AQ227" s="12">
        <f>IF(AP226=0,"",AQ226/AP226-1)</f>
        <v>0</v>
      </c>
      <c r="AR227" s="41">
        <f>IF(AQ226=0,"",AR226/AQ226-1)</f>
        <v>0</v>
      </c>
      <c r="AS227" s="41">
        <f>IF(AR226=0,"",AS226/AR226-1)</f>
        <v>0</v>
      </c>
      <c r="AT227" s="41">
        <f>IF(AS226=0,"",AT226/AS226-1)</f>
        <v>0</v>
      </c>
      <c r="AU227" s="41">
        <f>IF(AT226=0,"",AU226/AT226-1)</f>
        <v>0</v>
      </c>
      <c r="AV227" s="12">
        <f>IF(AU226=0,"",AV226/AU226-1)</f>
        <v>0</v>
      </c>
      <c r="AW227" s="41">
        <f>IF(AV226=0,"",AW226/AV226-1)</f>
        <v>0</v>
      </c>
      <c r="AX227" s="41">
        <f>IF(AW226=0,"",AX226/AW226-1)</f>
        <v>0</v>
      </c>
      <c r="AY227" s="41">
        <f>IF(AX226=0,"",AY226/AX226-1)</f>
        <v>0</v>
      </c>
      <c r="AZ227" s="41">
        <f>IF(AY226=0,"",AZ226/AY226-1)</f>
        <v>0</v>
      </c>
      <c r="BA227" s="12">
        <f>IF(AZ226=0,"",BA226/AZ226-1)</f>
        <v>0</v>
      </c>
      <c r="BB227" s="41">
        <f>IF(BA226=0,"",BB226/BA226-1)</f>
        <v>0</v>
      </c>
      <c r="BC227" s="41">
        <f>IF(BB226=0,"",BC226/BB226-1)</f>
        <v>0</v>
      </c>
      <c r="BD227" s="41">
        <f>IF(BC226=0,"",BD226/BC226-1)</f>
        <v>0</v>
      </c>
      <c r="BE227" s="41">
        <f>IF(BD226=0,"",BE226/BD226-1)</f>
        <v>0</v>
      </c>
      <c r="BF227" s="12">
        <f>IF(BE226=0,"",BF226/BE226-1)</f>
        <v>0</v>
      </c>
      <c r="BG227" s="41" t="n"/>
      <c r="BH227" s="41" t="n"/>
      <c r="BI227" s="41" t="n"/>
      <c r="BJ227" s="41" t="n"/>
      <c r="BK227" s="12" t="n"/>
      <c r="BL227" s="41" t="n"/>
      <c r="BM227" s="41" t="n"/>
      <c r="BN227" s="41" t="n"/>
      <c r="BO227" s="41" t="n"/>
      <c r="BP227" s="12" t="n"/>
      <c r="BQ227" s="41" t="n"/>
      <c r="BR227" s="41" t="n"/>
      <c r="BS227" s="41" t="n"/>
      <c r="BT227" s="41" t="n"/>
      <c r="BU227" s="12" t="n"/>
      <c r="BV227" s="41" t="n"/>
      <c r="BW227" s="41" t="n"/>
      <c r="BX227" s="41" t="n"/>
      <c r="BY227" s="41" t="n"/>
      <c r="BZ227" s="12" t="n"/>
      <c r="CA227" s="41" t="n"/>
      <c r="CB227" s="41" t="n"/>
      <c r="CC227" s="41" t="n"/>
      <c r="CD227" s="41" t="n"/>
      <c r="CE227" s="12" t="n"/>
      <c r="CF227" s="41" t="n"/>
      <c r="CG227" s="41" t="n"/>
      <c r="CH227" s="41" t="n"/>
      <c r="CI227" s="41" t="n"/>
      <c r="CJ227" s="12" t="n"/>
      <c r="CK227" s="41" t="n"/>
      <c r="CL227" s="41" t="n"/>
      <c r="CM227" s="41" t="n"/>
      <c r="CN227" s="41" t="n"/>
      <c r="CO227" s="12" t="n"/>
      <c r="CP227" s="41" t="n"/>
      <c r="CQ227" s="41" t="n"/>
      <c r="CR227" s="41" t="n"/>
      <c r="CS227" s="41" t="n"/>
      <c r="CT227" s="12" t="n"/>
      <c r="CU227" s="41" t="n"/>
      <c r="CV227" s="41" t="n"/>
      <c r="CW227" s="41" t="n"/>
      <c r="CX227" s="41" t="n"/>
      <c r="CY227" s="12" t="n"/>
    </row>
    <row r="228" hidden="1" outlineLevel="1" ht="12" customHeight="1">
      <c r="C228" s="59" t="n"/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12" t="n"/>
      <c r="O228" s="12" t="n"/>
      <c r="P228" s="12" t="n"/>
      <c r="Q228" s="12" t="n"/>
      <c r="R228" s="12" t="n"/>
      <c r="S228" s="12" t="n"/>
      <c r="T228" s="12" t="n"/>
      <c r="U228" s="12" t="n"/>
      <c r="V228" s="12" t="n"/>
      <c r="W228" s="12" t="n"/>
      <c r="X228" s="12" t="n"/>
      <c r="Y228" s="12" t="n"/>
      <c r="Z228" s="12" t="n"/>
      <c r="AA228" s="12" t="n"/>
      <c r="AB228" s="12" t="n"/>
      <c r="AC228" s="12" t="n"/>
      <c r="AD228" s="12" t="n"/>
      <c r="AE228" s="12" t="n"/>
      <c r="AF228" s="12" t="n"/>
      <c r="AG228" s="12" t="n"/>
      <c r="AH228" s="12" t="n"/>
      <c r="AI228" s="12" t="n"/>
      <c r="AJ228" s="12" t="n"/>
      <c r="AK228" s="12" t="n"/>
      <c r="AL228" s="12" t="n"/>
      <c r="AM228" s="12" t="n"/>
      <c r="AN228" s="12" t="n"/>
      <c r="AO228" s="12" t="n"/>
      <c r="AP228" s="12" t="n"/>
      <c r="AQ228" s="12" t="n"/>
      <c r="AR228" s="12" t="n"/>
      <c r="AS228" s="12" t="n"/>
      <c r="AT228" s="12" t="n"/>
      <c r="AU228" s="12" t="n"/>
      <c r="AV228" s="12" t="n"/>
      <c r="AW228" s="12" t="n"/>
      <c r="AX228" s="12" t="n"/>
      <c r="AY228" s="12" t="n"/>
      <c r="AZ228" s="12" t="n"/>
      <c r="BA228" s="12" t="n"/>
      <c r="BB228" s="12" t="n"/>
      <c r="BC228" s="12" t="n"/>
      <c r="BD228" s="12" t="n"/>
      <c r="BE228" s="12" t="n"/>
      <c r="BF228" s="12" t="n"/>
      <c r="BG228" s="12" t="n"/>
      <c r="BH228" s="12" t="n"/>
      <c r="BI228" s="12" t="n"/>
      <c r="BJ228" s="12" t="n"/>
      <c r="BK228" s="12" t="n"/>
      <c r="BL228" s="12" t="n"/>
      <c r="BM228" s="12" t="n"/>
      <c r="BN228" s="12" t="n"/>
      <c r="BO228" s="12" t="n"/>
      <c r="BP228" s="12" t="n"/>
      <c r="BQ228" s="12" t="n"/>
      <c r="BR228" s="12" t="n"/>
      <c r="BS228" s="12" t="n"/>
      <c r="BT228" s="12" t="n"/>
      <c r="BU228" s="12" t="n"/>
      <c r="BV228" s="12" t="n"/>
      <c r="BW228" s="12" t="n"/>
      <c r="BX228" s="12" t="n"/>
      <c r="BY228" s="12" t="n"/>
      <c r="BZ228" s="12" t="n"/>
      <c r="CA228" s="12" t="n"/>
      <c r="CB228" s="12" t="n"/>
      <c r="CC228" s="12" t="n"/>
      <c r="CD228" s="12" t="n"/>
      <c r="CE228" s="12" t="n"/>
      <c r="CF228" s="12" t="n"/>
      <c r="CG228" s="12" t="n"/>
      <c r="CH228" s="12" t="n"/>
      <c r="CI228" s="12" t="n"/>
      <c r="CJ228" s="12" t="n"/>
      <c r="CK228" s="12" t="n"/>
      <c r="CL228" s="12" t="n"/>
      <c r="CM228" s="12" t="n"/>
      <c r="CN228" s="12" t="n"/>
      <c r="CO228" s="12" t="n"/>
      <c r="CP228" s="12" t="n"/>
      <c r="CQ228" s="12" t="n"/>
      <c r="CR228" s="12" t="n"/>
      <c r="CS228" s="12" t="n"/>
      <c r="CT228" s="12" t="n"/>
      <c r="CU228" s="12" t="n"/>
      <c r="CV228" s="12" t="n"/>
      <c r="CW228" s="12" t="n"/>
      <c r="CX228" s="12" t="n"/>
      <c r="CY228" s="12" t="n"/>
    </row>
    <row r="229" hidden="1" outlineLevel="1">
      <c r="C229" s="57" t="inlineStr">
        <is>
          <t>Contas a pagar pela aquisição de controladas</t>
        </is>
      </c>
      <c r="D229" s="11" t="n"/>
      <c r="E229" s="11" t="n"/>
      <c r="F229" s="11" t="n"/>
      <c r="G229" s="11" t="n"/>
      <c r="H229" s="12" t="n"/>
      <c r="I229" s="11" t="n"/>
      <c r="J229" s="11" t="n"/>
      <c r="K229" s="11" t="n"/>
      <c r="L229" s="11" t="n"/>
      <c r="M229" s="12" t="n"/>
      <c r="N229" s="11" t="n"/>
      <c r="O229" s="11" t="n"/>
      <c r="P229" s="11" t="n"/>
      <c r="Q229" s="11" t="n"/>
      <c r="R229" s="12" t="n"/>
      <c r="S229" s="11" t="n"/>
      <c r="T229" s="11" t="n"/>
      <c r="U229" s="11" t="n"/>
      <c r="V229" s="11" t="n"/>
      <c r="W229" s="12" t="n"/>
      <c r="X229" s="11" t="n"/>
      <c r="Y229" s="11" t="n"/>
      <c r="Z229" s="11" t="n"/>
      <c r="AA229" s="11" t="n"/>
      <c r="AB229" s="12" t="n"/>
      <c r="AC229" s="11" t="n"/>
      <c r="AD229" s="11" t="n"/>
      <c r="AE229" s="11" t="n"/>
      <c r="AF229" s="11" t="n"/>
      <c r="AG229" s="12" t="n"/>
      <c r="AH229" s="12" t="n"/>
      <c r="AI229" s="12" t="n"/>
      <c r="AJ229" s="12" t="n"/>
      <c r="AK229" s="12" t="n"/>
      <c r="AL229" s="12" t="n"/>
      <c r="AM229" s="12" t="n"/>
      <c r="AN229" s="12" t="n"/>
      <c r="AO229" s="12" t="n"/>
      <c r="AP229" s="12" t="n"/>
      <c r="AQ229" s="12" t="n"/>
      <c r="AR229" s="12" t="n"/>
      <c r="AS229" s="12" t="n"/>
      <c r="AT229" s="12" t="n"/>
      <c r="AU229" s="12" t="n"/>
      <c r="AV229" s="12" t="n"/>
      <c r="AW229" s="12" t="n"/>
      <c r="AX229" s="12" t="n"/>
      <c r="AY229" s="12" t="n"/>
      <c r="AZ229" s="12" t="n"/>
      <c r="BA229" s="12" t="n"/>
      <c r="BB229" s="12" t="n"/>
      <c r="BC229" s="12" t="n"/>
      <c r="BD229" s="12" t="n"/>
      <c r="BE229" s="12" t="n"/>
      <c r="BF229" s="12" t="n"/>
      <c r="BG229" s="12" t="n"/>
      <c r="BH229" s="12" t="n"/>
      <c r="BI229" s="12" t="n"/>
      <c r="BJ229" s="12" t="n"/>
      <c r="BK229" s="12" t="n"/>
      <c r="BL229" s="12" t="n"/>
      <c r="BM229" s="12" t="n"/>
      <c r="BN229" s="12" t="n"/>
      <c r="BO229" s="12" t="n"/>
      <c r="BP229" s="12" t="n"/>
      <c r="BQ229" s="12" t="n"/>
      <c r="BR229" s="12" t="n"/>
      <c r="BS229" s="12" t="n"/>
      <c r="BT229" s="12" t="n"/>
      <c r="BU229" s="12" t="n"/>
      <c r="BV229" s="12" t="n"/>
      <c r="BW229" s="12" t="n"/>
      <c r="BX229" s="12" t="n"/>
      <c r="BY229" s="12" t="n"/>
      <c r="BZ229" s="12" t="n"/>
      <c r="CA229" s="12" t="n"/>
      <c r="CB229" s="12" t="n"/>
      <c r="CC229" s="12" t="n"/>
      <c r="CD229" s="12" t="n"/>
      <c r="CE229" s="12" t="n"/>
      <c r="CF229" s="12" t="n"/>
      <c r="CG229" s="12" t="n"/>
      <c r="CH229" s="12" t="n"/>
      <c r="CI229" s="12" t="n"/>
      <c r="CJ229" s="12" t="n"/>
      <c r="CK229" s="12" t="n"/>
      <c r="CL229" s="12" t="n"/>
      <c r="CM229" s="12" t="n"/>
      <c r="CN229" s="12" t="n"/>
      <c r="CO229" s="12" t="n"/>
      <c r="CP229" s="12" t="n"/>
      <c r="CQ229" s="12" t="n"/>
      <c r="CR229" s="12" t="n"/>
      <c r="CS229" s="12" t="n"/>
      <c r="CT229" s="12" t="n"/>
      <c r="CU229" s="12" t="n"/>
      <c r="CV229" s="12" t="n"/>
      <c r="CW229" s="12" t="n"/>
      <c r="CX229" s="12" t="n"/>
      <c r="CY229" s="12" t="n"/>
    </row>
    <row r="230" hidden="1" outlineLevel="1">
      <c r="C230" s="57" t="inlineStr">
        <is>
          <t xml:space="preserve">Outras Obrigações </t>
        </is>
      </c>
      <c r="D230" s="11" t="n"/>
      <c r="E230" s="11" t="n"/>
      <c r="F230" s="11" t="n"/>
      <c r="G230" s="11" t="n"/>
      <c r="H230" s="12" t="n"/>
      <c r="I230" s="11" t="n"/>
      <c r="J230" s="11" t="n"/>
      <c r="K230" s="11" t="n"/>
      <c r="L230" s="11" t="n"/>
      <c r="M230" s="12" t="n"/>
      <c r="N230" s="11" t="n"/>
      <c r="O230" s="11" t="n"/>
      <c r="P230" s="11" t="n"/>
      <c r="Q230" s="11" t="n"/>
      <c r="R230" s="12" t="n"/>
      <c r="S230" s="11" t="n"/>
      <c r="T230" s="11" t="n"/>
      <c r="U230" s="11" t="n"/>
      <c r="V230" s="11" t="n"/>
      <c r="W230" s="12" t="n"/>
      <c r="X230" s="11" t="n"/>
      <c r="Y230" s="11" t="n"/>
      <c r="Z230" s="11" t="n"/>
      <c r="AA230" s="11" t="n"/>
      <c r="AB230" s="12" t="n"/>
      <c r="AC230" s="11" t="n"/>
      <c r="AD230" s="11" t="n"/>
      <c r="AE230" s="11" t="n"/>
      <c r="AF230" s="11" t="n"/>
      <c r="AG230" s="12" t="n"/>
      <c r="AH230" s="12" t="n"/>
      <c r="AI230" s="12" t="n"/>
      <c r="AJ230" s="12" t="n"/>
      <c r="AK230" s="12" t="n"/>
      <c r="AL230" s="12" t="n"/>
      <c r="AM230" s="12" t="n"/>
      <c r="AN230" s="12" t="n"/>
      <c r="AO230" s="12" t="n"/>
      <c r="AP230" s="12" t="n"/>
      <c r="AQ230" s="12" t="n"/>
      <c r="AR230" s="12" t="n"/>
      <c r="AS230" s="12" t="n"/>
      <c r="AT230" s="12" t="n"/>
      <c r="AU230" s="12" t="n"/>
      <c r="AV230" s="12" t="n"/>
      <c r="AW230" s="12" t="n"/>
      <c r="AX230" s="12" t="n"/>
      <c r="AY230" s="12" t="n"/>
      <c r="AZ230" s="12" t="n"/>
      <c r="BA230" s="12" t="n"/>
      <c r="BB230" s="12" t="n"/>
      <c r="BC230" s="12" t="n"/>
      <c r="BD230" s="12" t="n"/>
      <c r="BE230" s="12" t="n"/>
      <c r="BF230" s="12" t="n"/>
      <c r="BG230" s="12" t="n"/>
      <c r="BH230" s="12" t="n"/>
      <c r="BI230" s="12" t="n"/>
      <c r="BJ230" s="12" t="n"/>
      <c r="BK230" s="12" t="n"/>
      <c r="BL230" s="12" t="n"/>
      <c r="BM230" s="12" t="n"/>
      <c r="BN230" s="12" t="n"/>
      <c r="BO230" s="12" t="n"/>
      <c r="BP230" s="12" t="n"/>
      <c r="BQ230" s="12" t="n"/>
      <c r="BR230" s="12" t="n"/>
      <c r="BS230" s="12" t="n"/>
      <c r="BT230" s="12" t="n"/>
      <c r="BU230" s="12" t="n"/>
      <c r="BV230" s="12" t="n"/>
      <c r="BW230" s="12" t="n"/>
      <c r="BX230" s="12" t="n"/>
      <c r="BY230" s="12" t="n"/>
      <c r="BZ230" s="12" t="n"/>
      <c r="CA230" s="12" t="n"/>
      <c r="CB230" s="12" t="n"/>
      <c r="CC230" s="12" t="n"/>
      <c r="CD230" s="12" t="n"/>
      <c r="CE230" s="12" t="n"/>
      <c r="CF230" s="12" t="n"/>
      <c r="CG230" s="12" t="n"/>
      <c r="CH230" s="12" t="n"/>
      <c r="CI230" s="12" t="n"/>
      <c r="CJ230" s="12" t="n"/>
      <c r="CK230" s="12" t="n"/>
      <c r="CL230" s="12" t="n"/>
      <c r="CM230" s="12" t="n"/>
      <c r="CN230" s="12" t="n"/>
      <c r="CO230" s="12" t="n"/>
      <c r="CP230" s="12" t="n"/>
      <c r="CQ230" s="12" t="n"/>
      <c r="CR230" s="12" t="n"/>
      <c r="CS230" s="12" t="n"/>
      <c r="CT230" s="12" t="n"/>
      <c r="CU230" s="12" t="n"/>
      <c r="CV230" s="12" t="n"/>
      <c r="CW230" s="12" t="n"/>
      <c r="CX230" s="12" t="n"/>
      <c r="CY230" s="12" t="n"/>
    </row>
    <row r="231" hidden="1" outlineLevel="1">
      <c r="C231" s="57" t="inlineStr">
        <is>
          <t xml:space="preserve">Provisão de Risco Cíveis, Trabalhistas e Tributários </t>
        </is>
      </c>
      <c r="D231" s="11" t="n"/>
      <c r="E231" s="11" t="n"/>
      <c r="F231" s="11" t="n"/>
      <c r="G231" s="11" t="n"/>
      <c r="H231" s="12" t="n"/>
      <c r="I231" s="11" t="n"/>
      <c r="J231" s="11" t="n"/>
      <c r="K231" s="11" t="n"/>
      <c r="L231" s="11" t="n"/>
      <c r="M231" s="12" t="n"/>
      <c r="N231" s="11" t="n"/>
      <c r="O231" s="11" t="n"/>
      <c r="P231" s="11" t="n"/>
      <c r="Q231" s="11" t="n"/>
      <c r="R231" s="12" t="n"/>
      <c r="S231" s="11" t="n"/>
      <c r="T231" s="11" t="n"/>
      <c r="U231" s="11" t="n"/>
      <c r="V231" s="11" t="n"/>
      <c r="W231" s="12" t="n"/>
      <c r="X231" s="11" t="n"/>
      <c r="Y231" s="11" t="n"/>
      <c r="Z231" s="11" t="n"/>
      <c r="AA231" s="11" t="n"/>
      <c r="AB231" s="12" t="n"/>
      <c r="AC231" s="11" t="n"/>
      <c r="AD231" s="11" t="n"/>
      <c r="AE231" s="11" t="n"/>
      <c r="AF231" s="11" t="n"/>
      <c r="AG231" s="12" t="n"/>
      <c r="AH231" s="12" t="n"/>
      <c r="AI231" s="12" t="n"/>
      <c r="AJ231" s="12" t="n"/>
      <c r="AK231" s="12" t="n"/>
      <c r="AL231" s="12" t="n"/>
      <c r="AM231" s="12" t="n"/>
      <c r="AN231" s="12" t="n"/>
      <c r="AO231" s="12" t="n"/>
      <c r="AP231" s="12" t="n"/>
      <c r="AQ231" s="12" t="n"/>
      <c r="AR231" s="12" t="n"/>
      <c r="AS231" s="12" t="n"/>
      <c r="AT231" s="12" t="n"/>
      <c r="AU231" s="12" t="n"/>
      <c r="AV231" s="12" t="n"/>
      <c r="AW231" s="12" t="n"/>
      <c r="AX231" s="12" t="n"/>
      <c r="AY231" s="12" t="n"/>
      <c r="AZ231" s="12" t="n"/>
      <c r="BA231" s="12" t="n"/>
      <c r="BB231" s="12" t="n"/>
      <c r="BC231" s="12" t="n"/>
      <c r="BD231" s="12" t="n"/>
      <c r="BE231" s="12" t="n"/>
      <c r="BF231" s="12" t="n"/>
      <c r="BG231" s="12" t="n"/>
      <c r="BH231" s="12" t="n"/>
      <c r="BI231" s="12" t="n"/>
      <c r="BJ231" s="12" t="n"/>
      <c r="BK231" s="12" t="n"/>
      <c r="BL231" s="12" t="n"/>
      <c r="BM231" s="12" t="n"/>
      <c r="BN231" s="12" t="n"/>
      <c r="BO231" s="12" t="n"/>
      <c r="BP231" s="12" t="n"/>
      <c r="BQ231" s="12" t="n"/>
      <c r="BR231" s="12" t="n"/>
      <c r="BS231" s="12" t="n"/>
      <c r="BT231" s="12" t="n"/>
      <c r="BU231" s="12" t="n"/>
      <c r="BV231" s="12" t="n"/>
      <c r="BW231" s="12" t="n"/>
      <c r="BX231" s="12" t="n"/>
      <c r="BY231" s="12" t="n"/>
      <c r="BZ231" s="12" t="n"/>
      <c r="CA231" s="12" t="n"/>
      <c r="CB231" s="12" t="n"/>
      <c r="CC231" s="12" t="n"/>
      <c r="CD231" s="12" t="n"/>
      <c r="CE231" s="12" t="n"/>
      <c r="CF231" s="12" t="n"/>
      <c r="CG231" s="12" t="n"/>
      <c r="CH231" s="12" t="n"/>
      <c r="CI231" s="12" t="n"/>
      <c r="CJ231" s="12" t="n"/>
      <c r="CK231" s="12" t="n"/>
      <c r="CL231" s="12" t="n"/>
      <c r="CM231" s="12" t="n"/>
      <c r="CN231" s="12" t="n"/>
      <c r="CO231" s="12" t="n"/>
      <c r="CP231" s="12" t="n"/>
      <c r="CQ231" s="12" t="n"/>
      <c r="CR231" s="12" t="n"/>
      <c r="CS231" s="12" t="n"/>
      <c r="CT231" s="12" t="n"/>
      <c r="CU231" s="12" t="n"/>
      <c r="CV231" s="12" t="n"/>
      <c r="CW231" s="12" t="n"/>
      <c r="CX231" s="12" t="n"/>
      <c r="CY231" s="12" t="n"/>
    </row>
    <row r="232" hidden="1" outlineLevel="1">
      <c r="C232" s="57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  <c r="Y232" s="12" t="n"/>
      <c r="Z232" s="12" t="n"/>
      <c r="AA232" s="12" t="n"/>
      <c r="AB232" s="12" t="n"/>
      <c r="AC232" s="12" t="n"/>
      <c r="AD232" s="12" t="n"/>
      <c r="AE232" s="12" t="n"/>
      <c r="AF232" s="12" t="n"/>
      <c r="AG232" s="12" t="n"/>
      <c r="AH232" s="12" t="n"/>
      <c r="AI232" s="12" t="n"/>
      <c r="AJ232" s="12" t="n"/>
      <c r="AK232" s="12" t="n"/>
      <c r="AL232" s="12" t="n"/>
      <c r="AM232" s="12" t="n"/>
      <c r="AN232" s="12" t="n"/>
      <c r="AO232" s="12" t="n"/>
      <c r="AP232" s="12" t="n"/>
      <c r="AQ232" s="12" t="n"/>
      <c r="AR232" s="12" t="n"/>
      <c r="AS232" s="12" t="n"/>
      <c r="AT232" s="12" t="n"/>
      <c r="AU232" s="12" t="n"/>
      <c r="AV232" s="12" t="n"/>
      <c r="AW232" s="12" t="n"/>
      <c r="AX232" s="12" t="n"/>
      <c r="AY232" s="12" t="n"/>
      <c r="AZ232" s="12" t="n"/>
      <c r="BA232" s="12" t="n"/>
      <c r="BB232" s="12" t="n"/>
      <c r="BC232" s="12" t="n"/>
      <c r="BD232" s="12" t="n"/>
      <c r="BE232" s="12" t="n"/>
      <c r="BF232" s="12" t="n"/>
      <c r="BG232" s="12" t="n"/>
      <c r="BH232" s="12" t="n"/>
      <c r="BI232" s="12" t="n"/>
      <c r="BJ232" s="12" t="n"/>
      <c r="BK232" s="12" t="n"/>
      <c r="BL232" s="12" t="n"/>
      <c r="BM232" s="12" t="n"/>
      <c r="BN232" s="12" t="n"/>
      <c r="BO232" s="12" t="n"/>
      <c r="BP232" s="12" t="n"/>
      <c r="BQ232" s="12" t="n"/>
      <c r="BR232" s="12" t="n"/>
      <c r="BS232" s="12" t="n"/>
      <c r="BT232" s="12" t="n"/>
      <c r="BU232" s="12" t="n"/>
      <c r="BV232" s="12" t="n"/>
      <c r="BW232" s="12" t="n"/>
      <c r="BX232" s="12" t="n"/>
      <c r="BY232" s="12" t="n"/>
      <c r="BZ232" s="12" t="n"/>
      <c r="CA232" s="12" t="n"/>
      <c r="CB232" s="12" t="n"/>
      <c r="CC232" s="12" t="n"/>
      <c r="CD232" s="12" t="n"/>
      <c r="CE232" s="12" t="n"/>
      <c r="CF232" s="12" t="n"/>
      <c r="CG232" s="12" t="n"/>
      <c r="CH232" s="12" t="n"/>
      <c r="CI232" s="12" t="n"/>
      <c r="CJ232" s="12" t="n"/>
      <c r="CK232" s="12" t="n"/>
      <c r="CL232" s="12" t="n"/>
      <c r="CM232" s="12" t="n"/>
      <c r="CN232" s="12" t="n"/>
      <c r="CO232" s="12" t="n"/>
      <c r="CP232" s="12" t="n"/>
      <c r="CQ232" s="12" t="n"/>
      <c r="CR232" s="12" t="n"/>
      <c r="CS232" s="12" t="n"/>
      <c r="CT232" s="12" t="n"/>
      <c r="CU232" s="12" t="n"/>
      <c r="CV232" s="12" t="n"/>
      <c r="CW232" s="12" t="n"/>
      <c r="CX232" s="12" t="n"/>
      <c r="CY232" s="12" t="n"/>
    </row>
    <row r="233" collapsed="1" customFormat="1" s="32">
      <c r="A233" s="30" t="n"/>
      <c r="B233" s="30" t="n"/>
      <c r="C233" s="65" t="inlineStr">
        <is>
          <t>Total Liabilities</t>
        </is>
      </c>
      <c r="D233" s="35" t="n"/>
      <c r="E233" s="35" t="n"/>
      <c r="F233" s="35" t="n"/>
      <c r="G233" s="35" t="n"/>
      <c r="H233" s="35" t="n"/>
      <c r="I233" s="35">
        <f>SUM(I184+I188+I190+I191+I198+I199+I200+I203+I221+I224+I225+I226)</f>
        <v>169669</v>
      </c>
      <c r="J233" s="35">
        <f>SUM(J184+J188+J190+J191+J198+J199+J200+J203+J221+J224+J225+J226)</f>
        <v>171733</v>
      </c>
      <c r="K233" s="35">
        <f>SUM(K184+K188+K190+K191+K198+K199+K200+K203+K221+K224+K225+K226)</f>
        <v>169182</v>
      </c>
      <c r="L233" s="35">
        <f>SUM(L184+L188+L190+L191+L198+L199+L200+L203+L221+L224+L225+L226)</f>
        <v>163240</v>
      </c>
      <c r="M233" s="35">
        <f>SUM(M184,M188,M190,M191,M198,M199,M203,M200,M221,M224,M225,M226)</f>
        <v>163240</v>
      </c>
      <c r="N233" s="35">
        <f>SUM(N184+N188+N190+N191+N198+N199+N200+N203+N221+N224+N225+N226)</f>
        <v>178245</v>
      </c>
      <c r="O233" s="35">
        <f>SUM(O184+O188+O190+O191+O198+O199+O200+O203+O221+O224+O225+O226)</f>
        <v>183266</v>
      </c>
      <c r="P233" s="35">
        <f>SUM(P184+P188+P190+P191+P198+P199+P200+P203+P221+P224+P225+P226)</f>
        <v>177109</v>
      </c>
      <c r="Q233" s="35">
        <f>SUM(Q184+Q188+Q190+Q191+Q198+Q199+Q200+Q203+Q221+Q224+Q225+Q226)</f>
        <v>166594</v>
      </c>
      <c r="R233" s="35">
        <f>SUM(R184,R188,R190,R191,R198,R199,R203,R200,R221,R224,R225,R226)</f>
        <v>166594</v>
      </c>
      <c r="S233" s="35">
        <f>SUM(S184+S188+S190+S191+S198+S199+S200+S203+S221+S224+S225+S226)</f>
        <v>162957</v>
      </c>
      <c r="T233" s="35">
        <f>SUM(T184+T188+T190+T191+T198+T199+T200+T203+T221+T224+T225+T226)</f>
        <v>156251</v>
      </c>
      <c r="U233" s="35">
        <f>SUM(U184+U188+U190+U191+U198+U199+U200+U203+U221+U224+U225+U226)</f>
        <v>164726</v>
      </c>
      <c r="V233" s="35">
        <f>SUM(V184+V188+V190+V191+V198+V199+V200+V203+V221+V224+V225+V226)</f>
        <v>163779</v>
      </c>
      <c r="W233" s="35">
        <f>SUM(W184,W188,W190,W191,W198,W199,W203,W200,W221,W224,W225,W226)</f>
        <v>163779</v>
      </c>
      <c r="X233" s="35">
        <f>SUM(X184+X188+X190+X191+X198+X199+X200+X203+X221+X224+X225+X226)</f>
        <v>164866</v>
      </c>
      <c r="Y233" s="35">
        <f>SUM(Y184+Y188+Y190+Y191+Y198+Y199+Y200+Y203+Y221+Y224+Y225+Y226)</f>
        <v>184441</v>
      </c>
      <c r="Z233" s="35">
        <f>SUM(Z184+Z188+Z190+Z191+Z198+Z199+Z200+Z203+Z221+Z224+Z225+Z226)</f>
        <v>185516</v>
      </c>
      <c r="AA233" s="35">
        <f>SUM(AA184+AA188+AA190+AA191+AA198+AA199+AA200+AA203+AA221+AA224+AA225+AA226)</f>
        <v>182869</v>
      </c>
      <c r="AB233" s="35">
        <f>SUM(AB184,AB188,AB190,AB191,AB198,AB199,AB203,AB200,AB221,AB224,AB225,AB226)</f>
        <v>182869</v>
      </c>
      <c r="AC233" s="35">
        <f>SUM(AC184+AC188+AC190+AC191+AC198+AC199+AC200+AC203+AC221+AC224+AC225+AC226)</f>
        <v>182102</v>
      </c>
      <c r="AD233" s="35">
        <f>SUM(AD184+AD188+AD190+AD191+AD198+AD199+AD200+AD203+AD221+AD224+AD225+AD226)</f>
        <v>177635</v>
      </c>
      <c r="AE233" s="35">
        <f>SUM(AE184+AE188+AE190+AE191+AE198+AE199+AE200+AE203+AE221+AE224+AE225+AE226)</f>
        <v>186117</v>
      </c>
      <c r="AF233" s="35">
        <f>SUM(AF184+AF188+AF190+AF191+AF198+AF199+AF200+AF203+AF221+AF224+AF225+AF226)</f>
        <v>182354</v>
      </c>
      <c r="AG233" s="35">
        <f>SUM(AG184,AG188,AG190,AG191,AG198,AG199,AG203,AG200,AG221,AG224,AG225,AG226)</f>
        <v>182354</v>
      </c>
      <c r="AH233" s="35">
        <f>SUM(AH184+AH188+AH190+AH191+AH198+AH199+AH200+AH203+AH221+AH224+AH225+AH226)</f>
        <v>203414</v>
      </c>
      <c r="AI233" s="35">
        <f>SUM(AI184+AI188+AI190+AI191+AI198+AI199+AI200+AI203+AI221+AI224+AI225+AI226)</f>
        <v>198371</v>
      </c>
      <c r="AJ233" s="35">
        <f>SUM(AJ184+AJ188+AJ190+AJ191+AJ198+AJ199+AJ200+AJ203+AJ221+AJ224+AJ225+AJ226)</f>
        <v>190865.149887239</v>
      </c>
      <c r="AK233" s="35">
        <f>SUM(AK184+AK188+AK190+AK191+AK198+AK199+AK200+AK203+AK221+AK224+AK225+AK226)</f>
        <v>188714.896416583</v>
      </c>
      <c r="AL233" s="35">
        <f>SUM(AL184,AL188,AL190,AL191,AL198,AL199,AL203,AL200,AL221,AL224,AL225,AL226)</f>
        <v>188714.896416583</v>
      </c>
      <c r="AM233" s="35">
        <f>SUM(AM184+AM188+AM190+AM191+AM198+AM199+AM200+AM203+AM221+AM224+AM225+AM226)</f>
        <v>192609.820432455</v>
      </c>
      <c r="AN233" s="35">
        <f>SUM(AN184+AN188+AN190+AN191+AN198+AN199+AN200+AN203+AN221+AN224+AN225+AN226)</f>
        <v>216516.789353635</v>
      </c>
      <c r="AO233" s="35">
        <f>SUM(AO184+AO188+AO190+AO191+AO198+AO199+AO200+AO203+AO221+AO224+AO225+AO226)</f>
        <v>194542.995990249</v>
      </c>
      <c r="AP233" s="35">
        <f>SUM(AP184+AP188+AP190+AP191+AP198+AP199+AP200+AP203+AP221+AP224+AP225+AP226)</f>
        <v>192326.713890364</v>
      </c>
      <c r="AQ233" s="35">
        <f>SUM(AQ184,AQ188,AQ190,AQ191,AQ198,AQ199,AQ203,AQ200,AQ221,AQ224,AQ225,AQ226)</f>
        <v>192326.713890364</v>
      </c>
      <c r="AR233" s="35">
        <f>SUM(AR184+AR188+AR190+AR191+AR198+AR199+AR200+AR203+AR221+AR224+AR225+AR226)</f>
        <v>195271.420057762</v>
      </c>
      <c r="AS233" s="35">
        <f>SUM(AS184+AS188+AS190+AS191+AS198+AS199+AS200+AS203+AS221+AS224+AS225+AS226)</f>
        <v>220865.476149886</v>
      </c>
      <c r="AT233" s="35">
        <f>SUM(AT184+AT188+AT190+AT191+AT198+AT199+AT200+AT203+AT221+AT224+AT225+AT226)</f>
        <v>198055.787980599</v>
      </c>
      <c r="AU233" s="35">
        <f>SUM(AU184+AU188+AU190+AU191+AU198+AU199+AU200+AU203+AU221+AU224+AU225+AU226)</f>
        <v>195753.672942342</v>
      </c>
      <c r="AV233" s="35">
        <f>SUM(AV184,AV188,AV190,AV191,AV198,AV199,AV203,AV200,AV221,AV224,AV225,AV226)</f>
        <v>195753.672942342</v>
      </c>
      <c r="AW233" s="35">
        <f>SUM(AW184+AW188+AW190+AW191+AW198+AW199+AW200+AW203+AW221+AW224+AW225+AW226)</f>
        <v>199257.546350534</v>
      </c>
      <c r="AX233" s="35">
        <f>SUM(AX184+AX188+AX190+AX191+AX198+AX199+AX200+AX203+AX221+AX224+AX225+AX226)</f>
        <v>224887.205845688</v>
      </c>
      <c r="AY233" s="35">
        <f>SUM(AY184+AY188+AY190+AY191+AY198+AY199+AY200+AY203+AY221+AY224+AY225+AY226)</f>
        <v>201316.70925035</v>
      </c>
      <c r="AZ233" s="35">
        <f>SUM(AZ184+AZ188+AZ190+AZ191+AZ198+AZ199+AZ200+AZ203+AZ221+AZ224+AZ225+AZ226)</f>
        <v>198929.558171105</v>
      </c>
      <c r="BA233" s="35">
        <f>SUM(BA184,BA188,BA190,BA191,BA198,BA199,BA203,BA200,BA221,BA224,BA225,BA226)</f>
        <v>198929.558171105</v>
      </c>
      <c r="BB233" s="35">
        <f>SUM(BB184+BB188+BB190+BB191+BB198+BB199+BB200+BB203+BB221+BB224+BB225+BB226)</f>
        <v>202169.845959187</v>
      </c>
      <c r="BC233" s="35">
        <f>SUM(BC184+BC188+BC190+BC191+BC198+BC199+BC200+BC203+BC221+BC224+BC225+BC226)</f>
        <v>228503.447155403</v>
      </c>
      <c r="BD233" s="35">
        <f>SUM(BD184+BD188+BD190+BD191+BD198+BD199+BD200+BD203+BD221+BD224+BD225+BD226)</f>
        <v>204256.785055067</v>
      </c>
      <c r="BE233" s="35">
        <f>SUM(BE184+BE188+BE190+BE191+BE198+BE199+BE200+BE203+BE221+BE224+BE225+BE226)</f>
        <v>201785.457033479</v>
      </c>
      <c r="BF233" s="35">
        <f>SUM(BF184,BF188,BF190,BF191,BF198,BF199,BF203,BF200,BF221,BF224,BF225,BF226)</f>
        <v>201785.457033479</v>
      </c>
      <c r="BG233" s="35" t="n"/>
      <c r="BH233" s="35" t="n"/>
      <c r="BI233" s="35" t="n"/>
      <c r="BJ233" s="35" t="n"/>
      <c r="BK233" s="35" t="n"/>
      <c r="BL233" s="35" t="n"/>
      <c r="BM233" s="35" t="n"/>
      <c r="BN233" s="35" t="n"/>
      <c r="BO233" s="35" t="n"/>
      <c r="BP233" s="35" t="n"/>
      <c r="BQ233" s="35" t="n"/>
      <c r="BR233" s="35" t="n"/>
      <c r="BS233" s="35" t="n"/>
      <c r="BT233" s="35" t="n"/>
      <c r="BU233" s="35" t="n"/>
      <c r="BV233" s="35" t="n"/>
      <c r="BW233" s="35" t="n"/>
      <c r="BX233" s="35" t="n"/>
      <c r="BY233" s="35" t="n"/>
      <c r="BZ233" s="35" t="n"/>
      <c r="CA233" s="35" t="n"/>
      <c r="CB233" s="35" t="n"/>
      <c r="CC233" s="35" t="n"/>
      <c r="CD233" s="35" t="n"/>
      <c r="CE233" s="35" t="n"/>
      <c r="CF233" s="35" t="n"/>
      <c r="CG233" s="35" t="n"/>
      <c r="CH233" s="35" t="n"/>
      <c r="CI233" s="35" t="n"/>
      <c r="CJ233" s="35" t="n"/>
      <c r="CK233" s="35" t="n"/>
      <c r="CL233" s="35" t="n"/>
      <c r="CM233" s="35" t="n"/>
      <c r="CN233" s="35" t="n"/>
      <c r="CO233" s="35" t="n"/>
      <c r="CP233" s="35" t="n"/>
      <c r="CQ233" s="35" t="n"/>
      <c r="CR233" s="35" t="n"/>
      <c r="CS233" s="35" t="n"/>
      <c r="CT233" s="35" t="n"/>
      <c r="CU233" s="35" t="n"/>
      <c r="CV233" s="35" t="n"/>
      <c r="CW233" s="35" t="n"/>
      <c r="CX233" s="35" t="n"/>
      <c r="CY233" s="35" t="n"/>
    </row>
    <row r="234">
      <c r="C234" s="14" t="inlineStr">
        <is>
          <t>Minority interest</t>
        </is>
      </c>
      <c r="D234" s="46" t="n"/>
      <c r="E234" s="46" t="n"/>
      <c r="F234" s="46" t="n"/>
      <c r="G234" s="46" t="n"/>
      <c r="H234" s="12" t="n"/>
      <c r="I234" s="46">
        <f>'Inputs (2)'!D41</f>
        <v>7127</v>
      </c>
      <c r="J234" s="46">
        <f>'Inputs (2)'!E41</f>
        <v>6985</v>
      </c>
      <c r="K234" s="46">
        <f>'Inputs (2)'!F41</f>
        <v>6917</v>
      </c>
      <c r="L234" s="46">
        <f>'Inputs (2)'!G41</f>
        <v>7106</v>
      </c>
      <c r="M234" s="12">
        <f>'Inputs (2)'!H41</f>
        <v>7106</v>
      </c>
      <c r="N234" s="46">
        <f>'Inputs (2)'!I41</f>
        <v>7311</v>
      </c>
      <c r="O234" s="46">
        <f>'Inputs (2)'!J41</f>
        <v>7192</v>
      </c>
      <c r="P234" s="46">
        <f>'Inputs (2)'!K41</f>
        <v>6943</v>
      </c>
      <c r="Q234" s="46">
        <f>'Inputs (2)'!L41</f>
        <v>7424</v>
      </c>
      <c r="R234" s="12">
        <f>'Inputs (2)'!M41</f>
        <v>7424</v>
      </c>
      <c r="S234" s="46">
        <f>'Inputs (2)'!N41</f>
        <v>7729</v>
      </c>
      <c r="T234" s="46">
        <f>'Inputs (2)'!O41</f>
        <v>7951</v>
      </c>
      <c r="U234" s="46">
        <f>'Inputs (2)'!P41</f>
        <v>7830</v>
      </c>
      <c r="V234" s="46">
        <f>'Inputs (2)'!Q41</f>
        <v>7736</v>
      </c>
      <c r="W234" s="12">
        <f>'Inputs (2)'!R41</f>
        <v>7736</v>
      </c>
      <c r="X234" s="46">
        <f>'Inputs (2)'!S41</f>
        <v>7802</v>
      </c>
      <c r="Y234" s="46">
        <f>'Inputs (2)'!T41</f>
        <v>7861</v>
      </c>
      <c r="Z234" s="46">
        <f>'Inputs (2)'!U41</f>
        <v>7808</v>
      </c>
      <c r="AA234" s="46">
        <f>'Inputs (2)'!V41</f>
        <v>6901</v>
      </c>
      <c r="AB234" s="12">
        <f>'Inputs (2)'!W41</f>
        <v>6901</v>
      </c>
      <c r="AC234" s="46">
        <f>'Inputs (2)'!X41</f>
        <v>7086</v>
      </c>
      <c r="AD234" s="46">
        <f>'Inputs (2)'!Y41</f>
        <v>7369</v>
      </c>
      <c r="AE234" s="46">
        <f>'Inputs (2)'!Z41</f>
        <v>7662</v>
      </c>
      <c r="AF234" s="46">
        <f>'Inputs (2)'!AA41</f>
        <v>7240</v>
      </c>
      <c r="AG234" s="12">
        <f>'Inputs (2)'!AB41</f>
        <v>7240</v>
      </c>
      <c r="AH234" s="12">
        <f>'Inputs (2)'!AC41</f>
        <v>6615</v>
      </c>
      <c r="AI234" s="12">
        <f>'Inputs (2)'!AD41</f>
        <v>6731</v>
      </c>
      <c r="AJ234" s="12">
        <f>AI234</f>
        <v>6731</v>
      </c>
      <c r="AK234" s="12">
        <f>AJ234</f>
        <v>6731</v>
      </c>
      <c r="AL234" s="12">
        <f>AK234</f>
        <v>6731</v>
      </c>
      <c r="AM234" s="12">
        <f>AL234</f>
        <v>6731</v>
      </c>
      <c r="AN234" s="12">
        <f>AM234</f>
        <v>6731</v>
      </c>
      <c r="AO234" s="12">
        <f>AN234</f>
        <v>6731</v>
      </c>
      <c r="AP234" s="12">
        <f>AO234</f>
        <v>6731</v>
      </c>
      <c r="AQ234" s="12">
        <f>AP234</f>
        <v>6731</v>
      </c>
      <c r="AR234" s="12">
        <f>AQ234</f>
        <v>6731</v>
      </c>
      <c r="AS234" s="12">
        <f>AR234</f>
        <v>6731</v>
      </c>
      <c r="AT234" s="12">
        <f>AS234</f>
        <v>6731</v>
      </c>
      <c r="AU234" s="12">
        <f>AT234</f>
        <v>6731</v>
      </c>
      <c r="AV234" s="12">
        <f>AU234</f>
        <v>6731</v>
      </c>
      <c r="AW234" s="12">
        <f>AV234</f>
        <v>6731</v>
      </c>
      <c r="AX234" s="12">
        <f>AW234</f>
        <v>6731</v>
      </c>
      <c r="AY234" s="12">
        <f>AX234</f>
        <v>6731</v>
      </c>
      <c r="AZ234" s="12">
        <f>AY234</f>
        <v>6731</v>
      </c>
      <c r="BA234" s="12">
        <f>AZ234</f>
        <v>6731</v>
      </c>
      <c r="BB234" s="12">
        <f>BA234</f>
        <v>6731</v>
      </c>
      <c r="BC234" s="12">
        <f>BB234</f>
        <v>6731</v>
      </c>
      <c r="BD234" s="12">
        <f>BC234</f>
        <v>6731</v>
      </c>
      <c r="BE234" s="12">
        <f>BD234</f>
        <v>6731</v>
      </c>
      <c r="BF234" s="12">
        <f>BE234</f>
        <v>6731</v>
      </c>
      <c r="BG234" s="12" t="n"/>
      <c r="BH234" s="12" t="n"/>
      <c r="BI234" s="12" t="n"/>
      <c r="BJ234" s="12" t="n"/>
      <c r="BK234" s="12" t="n"/>
      <c r="BL234" s="12" t="n"/>
      <c r="BM234" s="12" t="n"/>
      <c r="BN234" s="12" t="n"/>
      <c r="BO234" s="12" t="n"/>
      <c r="BP234" s="12" t="n"/>
      <c r="BQ234" s="12" t="n"/>
      <c r="BR234" s="12" t="n"/>
      <c r="BS234" s="12" t="n"/>
      <c r="BT234" s="12" t="n"/>
      <c r="BU234" s="12" t="n"/>
      <c r="BV234" s="12" t="n"/>
      <c r="BW234" s="12" t="n"/>
      <c r="BX234" s="12" t="n"/>
      <c r="BY234" s="12" t="n"/>
      <c r="BZ234" s="12" t="n"/>
      <c r="CA234" s="12" t="n"/>
      <c r="CB234" s="12" t="n"/>
      <c r="CC234" s="12" t="n"/>
      <c r="CD234" s="12" t="n"/>
      <c r="CE234" s="12" t="n"/>
      <c r="CF234" s="12" t="n"/>
      <c r="CG234" s="12" t="n"/>
      <c r="CH234" s="12" t="n"/>
      <c r="CI234" s="12" t="n"/>
      <c r="CJ234" s="12" t="n"/>
      <c r="CK234" s="12" t="n"/>
      <c r="CL234" s="12" t="n"/>
      <c r="CM234" s="12" t="n"/>
      <c r="CN234" s="12" t="n"/>
      <c r="CO234" s="12" t="n"/>
      <c r="CP234" s="12" t="n"/>
      <c r="CQ234" s="12" t="n"/>
      <c r="CR234" s="12" t="n"/>
      <c r="CS234" s="12" t="n"/>
      <c r="CT234" s="12" t="n"/>
      <c r="CU234" s="12" t="n"/>
      <c r="CV234" s="12" t="n"/>
      <c r="CW234" s="12" t="n"/>
      <c r="CX234" s="12" t="n"/>
      <c r="CY234" s="12" t="n"/>
    </row>
    <row r="235" hidden="1" outlineLevel="1" customFormat="1" s="66">
      <c r="A235" s="37" t="n"/>
      <c r="B235" s="37" t="n"/>
      <c r="C235" s="59" t="n"/>
      <c r="D235" s="42" t="n"/>
      <c r="E235" s="42" t="n"/>
      <c r="F235" s="42" t="n"/>
      <c r="G235" s="42" t="n"/>
      <c r="H235" s="42" t="n"/>
      <c r="I235" s="42" t="n"/>
      <c r="J235" s="42" t="n"/>
      <c r="K235" s="42" t="n"/>
      <c r="L235" s="42" t="n"/>
      <c r="M235" s="42" t="n"/>
      <c r="N235" s="42" t="n"/>
      <c r="O235" s="42" t="n"/>
      <c r="P235" s="42" t="n"/>
      <c r="Q235" s="42" t="n"/>
      <c r="R235" s="42" t="n"/>
      <c r="S235" s="42" t="n"/>
      <c r="T235" s="42" t="n"/>
      <c r="U235" s="42" t="n"/>
      <c r="V235" s="42" t="n"/>
      <c r="W235" s="42" t="n"/>
      <c r="X235" s="42" t="n"/>
      <c r="Y235" s="42" t="n"/>
      <c r="Z235" s="42" t="n"/>
      <c r="AA235" s="42" t="n"/>
      <c r="AB235" s="42" t="n"/>
      <c r="AC235" s="42" t="n"/>
      <c r="AD235" s="42" t="n"/>
      <c r="AE235" s="42" t="n"/>
      <c r="AF235" s="42" t="n"/>
      <c r="AG235" s="42" t="n"/>
      <c r="AH235" s="42" t="n"/>
      <c r="AI235" s="42" t="n"/>
      <c r="AJ235" s="42" t="n"/>
      <c r="AK235" s="42" t="n"/>
      <c r="AL235" s="42" t="n"/>
      <c r="AM235" s="42" t="n"/>
      <c r="AN235" s="42" t="n"/>
      <c r="AO235" s="42" t="n"/>
      <c r="AP235" s="42" t="n"/>
      <c r="AQ235" s="42" t="n"/>
      <c r="AR235" s="42" t="n"/>
      <c r="AS235" s="42" t="n"/>
      <c r="AT235" s="42" t="n"/>
      <c r="AU235" s="42" t="n"/>
      <c r="AV235" s="42" t="n"/>
      <c r="AW235" s="42" t="n"/>
      <c r="AX235" s="42" t="n"/>
      <c r="AY235" s="42" t="n"/>
      <c r="AZ235" s="42" t="n"/>
      <c r="BA235" s="42" t="n"/>
      <c r="BB235" s="42" t="n"/>
      <c r="BC235" s="42" t="n"/>
      <c r="BD235" s="42" t="n"/>
      <c r="BE235" s="42" t="n"/>
      <c r="BF235" s="42" t="n"/>
      <c r="BG235" s="42" t="n"/>
      <c r="BH235" s="42" t="n"/>
      <c r="BI235" s="42" t="n"/>
      <c r="BJ235" s="42" t="n"/>
      <c r="BK235" s="42" t="n"/>
      <c r="BL235" s="42" t="n"/>
      <c r="BM235" s="42" t="n"/>
      <c r="BN235" s="42" t="n"/>
      <c r="BO235" s="42" t="n"/>
      <c r="BP235" s="42" t="n"/>
      <c r="BQ235" s="42" t="n"/>
      <c r="BR235" s="42" t="n"/>
      <c r="BS235" s="42" t="n"/>
      <c r="BT235" s="42" t="n"/>
      <c r="BU235" s="42" t="n"/>
      <c r="BV235" s="42" t="n"/>
      <c r="BW235" s="42" t="n"/>
      <c r="BX235" s="42" t="n"/>
      <c r="BY235" s="42" t="n"/>
      <c r="BZ235" s="42" t="n"/>
      <c r="CA235" s="42" t="n"/>
      <c r="CB235" s="42" t="n"/>
      <c r="CC235" s="42" t="n"/>
      <c r="CD235" s="42" t="n"/>
      <c r="CE235" s="42" t="n"/>
      <c r="CF235" s="42" t="n"/>
      <c r="CG235" s="42" t="n"/>
      <c r="CH235" s="42" t="n"/>
      <c r="CI235" s="42" t="n"/>
      <c r="CJ235" s="42" t="n"/>
      <c r="CK235" s="42" t="n"/>
      <c r="CL235" s="42" t="n"/>
      <c r="CM235" s="42" t="n"/>
      <c r="CN235" s="42" t="n"/>
      <c r="CO235" s="42" t="n"/>
      <c r="CP235" s="42" t="n"/>
      <c r="CQ235" s="42" t="n"/>
      <c r="CR235" s="42" t="n"/>
      <c r="CS235" s="42" t="n"/>
      <c r="CT235" s="42" t="n"/>
      <c r="CU235" s="42" t="n"/>
      <c r="CV235" s="42" t="n"/>
      <c r="CW235" s="42" t="n"/>
      <c r="CX235" s="42" t="n"/>
      <c r="CY235" s="42" t="n"/>
    </row>
    <row r="236" hidden="1" outlineLevel="1" customFormat="1" s="66">
      <c r="A236" s="37" t="n"/>
      <c r="B236" s="37" t="n"/>
      <c r="C236" s="57" t="inlineStr">
        <is>
          <t>Minority Interest Expense - % YoY</t>
        </is>
      </c>
      <c r="D236" s="42" t="n"/>
      <c r="E236" s="58" t="n"/>
      <c r="F236" s="42" t="n"/>
      <c r="G236" s="42" t="n"/>
      <c r="H236" s="58" t="n"/>
      <c r="I236" s="42" t="n"/>
      <c r="J236" s="58">
        <f>IF(I121=0,0,J121/I121-1)</f>
        <v>0</v>
      </c>
      <c r="K236" s="42" t="n"/>
      <c r="L236" s="42" t="n"/>
      <c r="M236" s="58" t="n"/>
      <c r="N236" s="58">
        <f>IF(I121=0,0,N121/I121-1)</f>
        <v>0</v>
      </c>
      <c r="O236" s="58">
        <f>IF(J121=0,0,O121/J121-1)</f>
        <v>0</v>
      </c>
      <c r="P236" s="58">
        <f>IF(K121=0,0,P121/K121-1)</f>
        <v>0</v>
      </c>
      <c r="Q236" s="58">
        <f>IF(L121=0,0,Q121/L121-1)</f>
        <v>0</v>
      </c>
      <c r="R236" s="58" t="n"/>
      <c r="S236" s="58">
        <f>IF(N121=0,0,S121/N121-1)</f>
        <v>0</v>
      </c>
      <c r="T236" s="58">
        <f>IF(O121=0,0,T121/O121-1)</f>
        <v>0</v>
      </c>
      <c r="U236" s="58">
        <f>IF(P121=0,0,U121/P121-1)</f>
        <v>0</v>
      </c>
      <c r="V236" s="58">
        <f>IF(Q121=0,0,V121/Q121-1)</f>
        <v>0</v>
      </c>
      <c r="W236" s="58">
        <f>IF(R122=0,0,W122/R122-1)</f>
        <v>-0.268372346216658</v>
      </c>
      <c r="X236" s="58">
        <f>IF(S121=0,0,X121/S121-1)</f>
        <v>0</v>
      </c>
      <c r="Y236" s="58">
        <f>IF(T121=0,0,Y121/T121-1)</f>
        <v>0</v>
      </c>
      <c r="Z236" s="58">
        <f>IF(U121=0,0,Z121/U121-1)</f>
        <v>0</v>
      </c>
      <c r="AA236" s="58">
        <f>IF(V121=0,0,AA121/V121-1)</f>
        <v>0</v>
      </c>
      <c r="AB236" s="58">
        <f>IF(W122=0,0,AB122/W122-1)</f>
        <v>0.0290178571428572</v>
      </c>
      <c r="AC236" s="58">
        <f>IF(X121=0,0,AC121/X121-1)</f>
        <v>0</v>
      </c>
      <c r="AD236" s="58">
        <f>IF(Y121=0,0,AD121/Y121-1)</f>
        <v>0</v>
      </c>
      <c r="AE236" s="58">
        <f>IF(Z121=0,0,AE121/Z121-1)</f>
        <v>0</v>
      </c>
      <c r="AF236" s="58">
        <f>IF(AA121=0,0,AF121/AA121-1)</f>
        <v>0</v>
      </c>
      <c r="AG236" s="58">
        <f>IF(AB122=0,0,AG122/AB122-1)</f>
        <v>-0.334779464931309</v>
      </c>
      <c r="AH236" s="62">
        <f>IF(AC121=0,0,AH121/AC121-1)</f>
        <v>0</v>
      </c>
      <c r="AI236" s="62">
        <f>IF(AD121=0,0,AI121/AD121-1)</f>
        <v>0</v>
      </c>
      <c r="AJ236" s="62" t="n"/>
      <c r="AK236" s="62" t="n"/>
      <c r="AL236" s="58">
        <f>IF(AG122=0,0,AL122/AG122-1)</f>
        <v>-0.298913043478261</v>
      </c>
      <c r="AM236" s="62" t="n"/>
      <c r="AN236" s="62" t="n"/>
      <c r="AO236" s="62" t="n"/>
      <c r="AP236" s="62" t="n"/>
      <c r="AQ236" s="58">
        <f>IF(AL122=0,0,AQ122/AL122-1)</f>
        <v>-1</v>
      </c>
      <c r="AR236" s="62" t="n"/>
      <c r="AS236" s="62" t="n"/>
      <c r="AT236" s="62" t="n"/>
      <c r="AU236" s="62" t="n"/>
      <c r="AV236" s="58">
        <f>IF(AQ122=0,0,AV122/AQ122-1)</f>
        <v>0</v>
      </c>
      <c r="AW236" s="62" t="n"/>
      <c r="AX236" s="62" t="n"/>
      <c r="AY236" s="62" t="n"/>
      <c r="AZ236" s="62" t="n"/>
      <c r="BA236" s="58">
        <f>IF(AV122=0,0,BA122/AV122-1)</f>
        <v>0</v>
      </c>
      <c r="BB236" s="62" t="n"/>
      <c r="BC236" s="62" t="n"/>
      <c r="BD236" s="62" t="n"/>
      <c r="BE236" s="62" t="n"/>
      <c r="BF236" s="58">
        <f>IF(BA122=0,0,BF122/BA122-1)</f>
        <v>0</v>
      </c>
      <c r="BG236" s="62" t="n"/>
      <c r="BH236" s="62" t="n"/>
      <c r="BI236" s="62" t="n"/>
      <c r="BJ236" s="62" t="n"/>
      <c r="BK236" s="58" t="n"/>
      <c r="BL236" s="62" t="n"/>
      <c r="BM236" s="62" t="n"/>
      <c r="BN236" s="62" t="n"/>
      <c r="BO236" s="62" t="n"/>
      <c r="BP236" s="58" t="n"/>
      <c r="BQ236" s="62" t="n"/>
      <c r="BR236" s="62" t="n"/>
      <c r="BS236" s="62" t="n"/>
      <c r="BT236" s="62" t="n"/>
      <c r="BU236" s="58" t="n"/>
      <c r="BV236" s="62" t="n"/>
      <c r="BW236" s="62" t="n"/>
      <c r="BX236" s="62" t="n"/>
      <c r="BY236" s="62" t="n"/>
      <c r="BZ236" s="58" t="n"/>
      <c r="CA236" s="62" t="n"/>
      <c r="CB236" s="62" t="n"/>
      <c r="CC236" s="62" t="n"/>
      <c r="CD236" s="62" t="n"/>
      <c r="CE236" s="58" t="n"/>
      <c r="CF236" s="62" t="n"/>
      <c r="CG236" s="62" t="n"/>
      <c r="CH236" s="62" t="n"/>
      <c r="CI236" s="62" t="n"/>
      <c r="CJ236" s="58" t="n"/>
      <c r="CK236" s="62" t="n"/>
      <c r="CL236" s="62" t="n"/>
      <c r="CM236" s="62" t="n"/>
      <c r="CN236" s="62" t="n"/>
      <c r="CO236" s="58" t="n"/>
      <c r="CP236" s="62" t="n"/>
      <c r="CQ236" s="62" t="n"/>
      <c r="CR236" s="62" t="n"/>
      <c r="CS236" s="62" t="n"/>
      <c r="CT236" s="58" t="n"/>
      <c r="CU236" s="62" t="n"/>
      <c r="CV236" s="62" t="n"/>
      <c r="CW236" s="62" t="n"/>
      <c r="CX236" s="62" t="n"/>
      <c r="CY236" s="58" t="n"/>
    </row>
    <row r="237" hidden="1" outlineLevel="1" customFormat="1" s="66">
      <c r="A237" s="37" t="n"/>
      <c r="B237" s="37" t="n"/>
      <c r="C237" s="57" t="inlineStr">
        <is>
          <t>Dividends (enter as -)</t>
        </is>
      </c>
      <c r="D237" s="42" t="n"/>
      <c r="E237" s="42" t="n"/>
      <c r="F237" s="42" t="n"/>
      <c r="G237" s="42" t="n"/>
      <c r="H237" s="42" t="n"/>
      <c r="I237" s="42" t="n"/>
      <c r="J237" s="42" t="n"/>
      <c r="K237" s="42" t="n"/>
      <c r="L237" s="42" t="n"/>
      <c r="M237" s="42" t="n"/>
      <c r="N237" s="42" t="n"/>
      <c r="O237" s="42" t="n"/>
      <c r="P237" s="42" t="n"/>
      <c r="Q237" s="42" t="n"/>
      <c r="R237" s="42" t="n"/>
      <c r="S237" s="42" t="n"/>
      <c r="T237" s="42" t="n"/>
      <c r="U237" s="42" t="n"/>
      <c r="V237" s="42" t="n"/>
      <c r="W237" s="42" t="n"/>
      <c r="X237" s="42" t="n"/>
      <c r="Y237" s="42" t="n"/>
      <c r="Z237" s="42" t="n"/>
      <c r="AA237" s="42" t="n"/>
      <c r="AB237" s="42" t="n"/>
      <c r="AC237" s="42" t="n"/>
      <c r="AD237" s="42" t="n"/>
      <c r="AE237" s="42" t="n"/>
      <c r="AF237" s="42" t="n"/>
      <c r="AG237" s="42" t="n"/>
      <c r="AH237" s="62" t="n"/>
      <c r="AI237" s="62" t="n"/>
      <c r="AJ237" s="62" t="n"/>
      <c r="AK237" s="62" t="n"/>
      <c r="AL237" s="42" t="n"/>
      <c r="AM237" s="62" t="n"/>
      <c r="AN237" s="62" t="n"/>
      <c r="AO237" s="62" t="n"/>
      <c r="AP237" s="62" t="n"/>
      <c r="AQ237" s="42" t="n"/>
      <c r="AR237" s="62" t="n"/>
      <c r="AS237" s="62" t="n"/>
      <c r="AT237" s="62" t="n"/>
      <c r="AU237" s="62" t="n"/>
      <c r="AV237" s="42" t="n"/>
      <c r="AW237" s="62" t="n"/>
      <c r="AX237" s="62" t="n"/>
      <c r="AY237" s="62" t="n"/>
      <c r="AZ237" s="62" t="n"/>
      <c r="BA237" s="42" t="n"/>
      <c r="BB237" s="62" t="n"/>
      <c r="BC237" s="62" t="n"/>
      <c r="BD237" s="62" t="n"/>
      <c r="BE237" s="62" t="n"/>
      <c r="BF237" s="42" t="n"/>
      <c r="BG237" s="62" t="n"/>
      <c r="BH237" s="62" t="n"/>
      <c r="BI237" s="62" t="n"/>
      <c r="BJ237" s="62" t="n"/>
      <c r="BK237" s="42" t="n"/>
      <c r="BL237" s="62" t="n"/>
      <c r="BM237" s="62" t="n"/>
      <c r="BN237" s="62" t="n"/>
      <c r="BO237" s="62" t="n"/>
      <c r="BP237" s="42" t="n"/>
      <c r="BQ237" s="62" t="n"/>
      <c r="BR237" s="62" t="n"/>
      <c r="BS237" s="62" t="n"/>
      <c r="BT237" s="62" t="n"/>
      <c r="BU237" s="42" t="n"/>
      <c r="BV237" s="62" t="n"/>
      <c r="BW237" s="62" t="n"/>
      <c r="BX237" s="62" t="n"/>
      <c r="BY237" s="62" t="n"/>
      <c r="BZ237" s="42" t="n"/>
      <c r="CA237" s="62" t="n"/>
      <c r="CB237" s="62" t="n"/>
      <c r="CC237" s="62" t="n"/>
      <c r="CD237" s="62" t="n"/>
      <c r="CE237" s="42" t="n"/>
      <c r="CF237" s="62" t="n"/>
      <c r="CG237" s="62" t="n"/>
      <c r="CH237" s="62" t="n"/>
      <c r="CI237" s="62" t="n"/>
      <c r="CJ237" s="42" t="n"/>
      <c r="CK237" s="62" t="n"/>
      <c r="CL237" s="62" t="n"/>
      <c r="CM237" s="62" t="n"/>
      <c r="CN237" s="62" t="n"/>
      <c r="CO237" s="42" t="n"/>
      <c r="CP237" s="62" t="n"/>
      <c r="CQ237" s="62" t="n"/>
      <c r="CR237" s="62" t="n"/>
      <c r="CS237" s="62" t="n"/>
      <c r="CT237" s="42" t="n"/>
      <c r="CU237" s="62" t="n"/>
      <c r="CV237" s="62" t="n"/>
      <c r="CW237" s="62" t="n"/>
      <c r="CX237" s="62" t="n"/>
      <c r="CY237" s="42" t="n"/>
    </row>
    <row r="238" hidden="1" outlineLevel="1" customFormat="1" s="66">
      <c r="A238" s="37" t="n"/>
      <c r="B238" s="37" t="n"/>
      <c r="C238" s="59" t="n"/>
      <c r="D238" s="42" t="n"/>
      <c r="E238" s="42" t="n"/>
      <c r="F238" s="42" t="n"/>
      <c r="G238" s="42" t="n"/>
      <c r="H238" s="42" t="n"/>
      <c r="I238" s="42" t="n"/>
      <c r="J238" s="42" t="n"/>
      <c r="K238" s="42" t="n"/>
      <c r="L238" s="42" t="n"/>
      <c r="M238" s="42" t="n"/>
      <c r="N238" s="42" t="n"/>
      <c r="O238" s="42" t="n"/>
      <c r="P238" s="42" t="n"/>
      <c r="Q238" s="42" t="n"/>
      <c r="R238" s="42" t="n"/>
      <c r="S238" s="42" t="n"/>
      <c r="T238" s="42" t="n"/>
      <c r="U238" s="42" t="n"/>
      <c r="V238" s="42" t="n"/>
      <c r="W238" s="42" t="n"/>
      <c r="X238" s="42" t="n"/>
      <c r="Y238" s="42" t="n"/>
      <c r="Z238" s="42" t="n"/>
      <c r="AA238" s="42" t="n"/>
      <c r="AB238" s="42" t="n"/>
      <c r="AC238" s="42" t="n"/>
      <c r="AD238" s="42" t="n"/>
      <c r="AE238" s="42" t="n"/>
      <c r="AF238" s="42" t="n"/>
      <c r="AG238" s="42" t="n"/>
      <c r="AH238" s="42" t="n"/>
      <c r="AI238" s="42" t="n"/>
      <c r="AJ238" s="42" t="n"/>
      <c r="AK238" s="42" t="n"/>
      <c r="AL238" s="42" t="n"/>
      <c r="AM238" s="42" t="n"/>
      <c r="AN238" s="42" t="n"/>
      <c r="AO238" s="42" t="n"/>
      <c r="AP238" s="42" t="n"/>
      <c r="AQ238" s="42" t="n"/>
      <c r="AR238" s="42" t="n"/>
      <c r="AS238" s="42" t="n"/>
      <c r="AT238" s="42" t="n"/>
      <c r="AU238" s="42" t="n"/>
      <c r="AV238" s="42" t="n"/>
      <c r="AW238" s="42" t="n"/>
      <c r="AX238" s="42" t="n"/>
      <c r="AY238" s="42" t="n"/>
      <c r="AZ238" s="42" t="n"/>
      <c r="BA238" s="42" t="n"/>
      <c r="BB238" s="42" t="n"/>
      <c r="BC238" s="42" t="n"/>
      <c r="BD238" s="42" t="n"/>
      <c r="BE238" s="42" t="n"/>
      <c r="BF238" s="42" t="n"/>
      <c r="BG238" s="42" t="n"/>
      <c r="BH238" s="42" t="n"/>
      <c r="BI238" s="42" t="n"/>
      <c r="BJ238" s="42" t="n"/>
      <c r="BK238" s="42" t="n"/>
      <c r="BL238" s="42" t="n"/>
      <c r="BM238" s="42" t="n"/>
      <c r="BN238" s="42" t="n"/>
      <c r="BO238" s="42" t="n"/>
      <c r="BP238" s="42" t="n"/>
      <c r="BQ238" s="42" t="n"/>
      <c r="BR238" s="42" t="n"/>
      <c r="BS238" s="42" t="n"/>
      <c r="BT238" s="42" t="n"/>
      <c r="BU238" s="42" t="n"/>
      <c r="BV238" s="42" t="n"/>
      <c r="BW238" s="42" t="n"/>
      <c r="BX238" s="42" t="n"/>
      <c r="BY238" s="42" t="n"/>
      <c r="BZ238" s="42" t="n"/>
      <c r="CA238" s="42" t="n"/>
      <c r="CB238" s="42" t="n"/>
      <c r="CC238" s="42" t="n"/>
      <c r="CD238" s="42" t="n"/>
      <c r="CE238" s="42" t="n"/>
      <c r="CF238" s="42" t="n"/>
      <c r="CG238" s="42" t="n"/>
      <c r="CH238" s="42" t="n"/>
      <c r="CI238" s="42" t="n"/>
      <c r="CJ238" s="42" t="n"/>
      <c r="CK238" s="42" t="n"/>
      <c r="CL238" s="42" t="n"/>
      <c r="CM238" s="42" t="n"/>
      <c r="CN238" s="42" t="n"/>
      <c r="CO238" s="42" t="n"/>
      <c r="CP238" s="42" t="n"/>
      <c r="CQ238" s="42" t="n"/>
      <c r="CR238" s="42" t="n"/>
      <c r="CS238" s="42" t="n"/>
      <c r="CT238" s="42" t="n"/>
      <c r="CU238" s="42" t="n"/>
      <c r="CV238" s="42" t="n"/>
      <c r="CW238" s="42" t="n"/>
      <c r="CX238" s="42" t="n"/>
      <c r="CY238" s="42" t="n"/>
    </row>
    <row r="239" collapsed="1">
      <c r="C239" s="14" t="inlineStr">
        <is>
          <t>Convertible Preferred Stock</t>
        </is>
      </c>
      <c r="D239" s="46" t="n"/>
      <c r="E239" s="46" t="n"/>
      <c r="F239" s="46" t="n"/>
      <c r="G239" s="46" t="n"/>
      <c r="H239" s="12" t="n"/>
      <c r="I239" s="46">
        <f>'Inputs (2)'!D42</f>
        <v>0</v>
      </c>
      <c r="J239" s="46">
        <f>'Inputs (2)'!E42</f>
        <v>0</v>
      </c>
      <c r="K239" s="46">
        <f>'Inputs (2)'!F42</f>
        <v>0</v>
      </c>
      <c r="L239" s="46">
        <f>'Inputs (2)'!G42</f>
        <v>0</v>
      </c>
      <c r="M239" s="12">
        <f>'Inputs (2)'!H42</f>
        <v>0</v>
      </c>
      <c r="N239" s="46">
        <f>'Inputs (2)'!I42</f>
        <v>0</v>
      </c>
      <c r="O239" s="46">
        <f>'Inputs (2)'!J42</f>
        <v>0</v>
      </c>
      <c r="P239" s="46">
        <f>'Inputs (2)'!K42</f>
        <v>0</v>
      </c>
      <c r="Q239" s="46">
        <f>'Inputs (2)'!L42</f>
        <v>0</v>
      </c>
      <c r="R239" s="12">
        <f>'Inputs (2)'!M42</f>
        <v>0</v>
      </c>
      <c r="S239" s="46">
        <f>'Inputs (2)'!N42</f>
        <v>0</v>
      </c>
      <c r="T239" s="46">
        <f>'Inputs (2)'!O42</f>
        <v>0</v>
      </c>
      <c r="U239" s="46">
        <f>'Inputs (2)'!P42</f>
        <v>0</v>
      </c>
      <c r="V239" s="46">
        <f>'Inputs (2)'!Q42</f>
        <v>0</v>
      </c>
      <c r="W239" s="12">
        <f>'Inputs (2)'!R42</f>
        <v>0</v>
      </c>
      <c r="X239" s="46">
        <f>'Inputs (2)'!S42</f>
        <v>0</v>
      </c>
      <c r="Y239" s="46">
        <f>'Inputs (2)'!T42</f>
        <v>0</v>
      </c>
      <c r="Z239" s="46">
        <f>'Inputs (2)'!U42</f>
        <v>0</v>
      </c>
      <c r="AA239" s="46">
        <f>'Inputs (2)'!V42</f>
        <v>0</v>
      </c>
      <c r="AB239" s="12">
        <f>'Inputs (2)'!W42</f>
        <v>0</v>
      </c>
      <c r="AC239" s="46">
        <f>'Inputs (2)'!X42</f>
        <v>0</v>
      </c>
      <c r="AD239" s="46">
        <f>'Inputs (2)'!Y42</f>
        <v>0</v>
      </c>
      <c r="AE239" s="46">
        <f>'Inputs (2)'!Z42</f>
        <v>0</v>
      </c>
      <c r="AF239" s="46">
        <f>'Inputs (2)'!AA42</f>
        <v>0</v>
      </c>
      <c r="AG239" s="12">
        <f>'Inputs (2)'!AB42</f>
        <v>0</v>
      </c>
      <c r="AH239" s="12">
        <f>'Inputs (2)'!AC42</f>
        <v>0</v>
      </c>
      <c r="AI239" s="12">
        <f>'Inputs (2)'!AD42</f>
        <v>0</v>
      </c>
      <c r="AJ239" s="12">
        <f>AI239</f>
        <v>0</v>
      </c>
      <c r="AK239" s="12">
        <f>AJ239</f>
        <v>0</v>
      </c>
      <c r="AL239" s="12">
        <f>AK239</f>
        <v>0</v>
      </c>
      <c r="AM239" s="12">
        <f>AL239</f>
        <v>0</v>
      </c>
      <c r="AN239" s="12">
        <f>AM239</f>
        <v>0</v>
      </c>
      <c r="AO239" s="12">
        <f>AN239</f>
        <v>0</v>
      </c>
      <c r="AP239" s="12">
        <f>AO239</f>
        <v>0</v>
      </c>
      <c r="AQ239" s="12">
        <f>AP239</f>
        <v>0</v>
      </c>
      <c r="AR239" s="12">
        <f>AQ239</f>
        <v>0</v>
      </c>
      <c r="AS239" s="12">
        <f>AR239</f>
        <v>0</v>
      </c>
      <c r="AT239" s="12">
        <f>AS239</f>
        <v>0</v>
      </c>
      <c r="AU239" s="12">
        <f>AT239</f>
        <v>0</v>
      </c>
      <c r="AV239" s="12">
        <f>AU239</f>
        <v>0</v>
      </c>
      <c r="AW239" s="12">
        <f>AV239</f>
        <v>0</v>
      </c>
      <c r="AX239" s="12">
        <f>AW239</f>
        <v>0</v>
      </c>
      <c r="AY239" s="12">
        <f>AX239</f>
        <v>0</v>
      </c>
      <c r="AZ239" s="12">
        <f>AY239</f>
        <v>0</v>
      </c>
      <c r="BA239" s="12">
        <f>AZ239</f>
        <v>0</v>
      </c>
      <c r="BB239" s="12">
        <f>BA239</f>
        <v>0</v>
      </c>
      <c r="BC239" s="12">
        <f>BB239</f>
        <v>0</v>
      </c>
      <c r="BD239" s="12">
        <f>BC239</f>
        <v>0</v>
      </c>
      <c r="BE239" s="12">
        <f>BD239</f>
        <v>0</v>
      </c>
      <c r="BF239" s="12">
        <f>BE239</f>
        <v>0</v>
      </c>
      <c r="BG239" s="12" t="n"/>
      <c r="BH239" s="12" t="n"/>
      <c r="BI239" s="12" t="n"/>
      <c r="BJ239" s="12" t="n"/>
      <c r="BK239" s="12" t="n"/>
      <c r="BL239" s="12" t="n"/>
      <c r="BM239" s="12" t="n"/>
      <c r="BN239" s="12" t="n"/>
      <c r="BO239" s="12" t="n"/>
      <c r="BP239" s="12" t="n"/>
      <c r="BQ239" s="12" t="n"/>
      <c r="BR239" s="12" t="n"/>
      <c r="BS239" s="12" t="n"/>
      <c r="BT239" s="12" t="n"/>
      <c r="BU239" s="12" t="n"/>
      <c r="BV239" s="12" t="n"/>
      <c r="BW239" s="12" t="n"/>
      <c r="BX239" s="12" t="n"/>
      <c r="BY239" s="12" t="n"/>
      <c r="BZ239" s="12" t="n"/>
      <c r="CA239" s="12" t="n"/>
      <c r="CB239" s="12" t="n"/>
      <c r="CC239" s="12" t="n"/>
      <c r="CD239" s="12" t="n"/>
      <c r="CE239" s="12" t="n"/>
      <c r="CF239" s="12" t="n"/>
      <c r="CG239" s="12" t="n"/>
      <c r="CH239" s="12" t="n"/>
      <c r="CI239" s="12" t="n"/>
      <c r="CJ239" s="12" t="n"/>
      <c r="CK239" s="12" t="n"/>
      <c r="CL239" s="12" t="n"/>
      <c r="CM239" s="12" t="n"/>
      <c r="CN239" s="12" t="n"/>
      <c r="CO239" s="12" t="n"/>
      <c r="CP239" s="12" t="n"/>
      <c r="CQ239" s="12" t="n"/>
      <c r="CR239" s="12" t="n"/>
      <c r="CS239" s="12" t="n"/>
      <c r="CT239" s="12" t="n"/>
      <c r="CU239" s="12" t="n"/>
      <c r="CV239" s="12" t="n"/>
      <c r="CW239" s="12" t="n"/>
      <c r="CX239" s="12" t="n"/>
      <c r="CY239" s="12" t="n"/>
    </row>
    <row r="240">
      <c r="C240" s="13" t="inlineStr">
        <is>
          <t>Common Stock and APIC</t>
        </is>
      </c>
      <c r="D240" s="46" t="n"/>
      <c r="E240" s="46" t="n"/>
      <c r="F240" s="46" t="n"/>
      <c r="G240" s="46" t="n"/>
      <c r="H240" s="12" t="n"/>
      <c r="I240" s="46">
        <f>'Inputs (2)'!D43</f>
        <v>15884</v>
      </c>
      <c r="J240" s="46">
        <f>'Inputs (2)'!E43</f>
        <v>16006</v>
      </c>
      <c r="K240" s="46">
        <f>'Inputs (2)'!F43</f>
        <v>16104</v>
      </c>
      <c r="L240" s="46">
        <f>'Inputs (2)'!G43</f>
        <v>15746</v>
      </c>
      <c r="M240" s="12">
        <f>'Inputs (2)'!H43</f>
        <v>15746</v>
      </c>
      <c r="N240" s="46">
        <f>'Inputs (2)'!I43</f>
        <v>15879</v>
      </c>
      <c r="O240" s="46">
        <f>'Inputs (2)'!J43</f>
        <v>16018</v>
      </c>
      <c r="P240" s="46">
        <f>'Inputs (2)'!K43</f>
        <v>16106</v>
      </c>
      <c r="Q240" s="46">
        <f>'Inputs (2)'!L43</f>
        <v>15752</v>
      </c>
      <c r="R240" s="12">
        <f>'Inputs (2)'!M43</f>
        <v>15752</v>
      </c>
      <c r="S240" s="46">
        <f>'Inputs (2)'!N43</f>
        <v>15904</v>
      </c>
      <c r="T240" s="46">
        <f>'Inputs (2)'!O43</f>
        <v>16029</v>
      </c>
      <c r="U240" s="46">
        <f>'Inputs (2)'!P43</f>
        <v>16165</v>
      </c>
      <c r="V240" s="46">
        <f>'Inputs (2)'!Q43</f>
        <v>17781</v>
      </c>
      <c r="W240" s="12">
        <f>'Inputs (2)'!R43</f>
        <v>17781</v>
      </c>
      <c r="X240" s="46">
        <f>'Inputs (2)'!S43</f>
        <v>17971</v>
      </c>
      <c r="Y240" s="46">
        <f>'Inputs (2)'!T43</f>
        <v>46781</v>
      </c>
      <c r="Z240" s="46">
        <f>'Inputs (2)'!U43</f>
        <v>46936</v>
      </c>
      <c r="AA240" s="46">
        <f>'Inputs (2)'!V43</f>
        <v>46238</v>
      </c>
      <c r="AB240" s="12">
        <f>'Inputs (2)'!W43</f>
        <v>46238</v>
      </c>
      <c r="AC240" s="46">
        <f>'Inputs (2)'!X43</f>
        <v>46426</v>
      </c>
      <c r="AD240" s="46">
        <f>'Inputs (2)'!Y43</f>
        <v>46629</v>
      </c>
      <c r="AE240" s="46">
        <f>'Inputs (2)'!Z43</f>
        <v>46808</v>
      </c>
      <c r="AF240" s="46">
        <f>'Inputs (2)'!AA43</f>
        <v>46150</v>
      </c>
      <c r="AG240" s="12">
        <f>'Inputs (2)'!AB43</f>
        <v>46150</v>
      </c>
      <c r="AH240" s="12">
        <f>'Inputs (2)'!AC43</f>
        <v>46426</v>
      </c>
      <c r="AI240" s="12">
        <f>'Inputs (2)'!AD43</f>
        <v>46636</v>
      </c>
      <c r="AJ240" s="12">
        <f>AI240+AJ244</f>
        <v>46636</v>
      </c>
      <c r="AK240" s="12">
        <f>AJ240+AK244</f>
        <v>46636</v>
      </c>
      <c r="AL240" s="12">
        <f>AK240</f>
        <v>46636</v>
      </c>
      <c r="AM240" s="12">
        <f>AL240+AM244</f>
        <v>46636</v>
      </c>
      <c r="AN240" s="12">
        <f>AM240+AN244</f>
        <v>46636</v>
      </c>
      <c r="AO240" s="12">
        <f>AN240+AO244</f>
        <v>46636</v>
      </c>
      <c r="AP240" s="12">
        <f>AO240+AP244</f>
        <v>46636</v>
      </c>
      <c r="AQ240" s="12">
        <f>AP240</f>
        <v>46636</v>
      </c>
      <c r="AR240" s="12">
        <f>AQ240+AR244</f>
        <v>46636</v>
      </c>
      <c r="AS240" s="12">
        <f>AR240+AS244</f>
        <v>46636</v>
      </c>
      <c r="AT240" s="12">
        <f>AS240+AT244</f>
        <v>46636</v>
      </c>
      <c r="AU240" s="12">
        <f>AT240+AU244</f>
        <v>46636</v>
      </c>
      <c r="AV240" s="12">
        <f>AU240</f>
        <v>46636</v>
      </c>
      <c r="AW240" s="12">
        <f>AV240+AW244</f>
        <v>46636</v>
      </c>
      <c r="AX240" s="12">
        <f>AW240+AX244</f>
        <v>46636</v>
      </c>
      <c r="AY240" s="12">
        <f>AX240+AY244</f>
        <v>46636</v>
      </c>
      <c r="AZ240" s="12">
        <f>AY240+AZ244</f>
        <v>46636</v>
      </c>
      <c r="BA240" s="12">
        <f>AZ240</f>
        <v>46636</v>
      </c>
      <c r="BB240" s="12">
        <f>BA240+BB244</f>
        <v>46636</v>
      </c>
      <c r="BC240" s="12">
        <f>BB240+BC244</f>
        <v>46636</v>
      </c>
      <c r="BD240" s="12">
        <f>BC240+BD244</f>
        <v>46636</v>
      </c>
      <c r="BE240" s="12">
        <f>BD240+BE244</f>
        <v>46636</v>
      </c>
      <c r="BF240" s="12">
        <f>BE240</f>
        <v>46636</v>
      </c>
      <c r="BG240" s="12" t="n"/>
      <c r="BH240" s="12" t="n"/>
      <c r="BI240" s="12" t="n"/>
      <c r="BJ240" s="12" t="n"/>
      <c r="BK240" s="12" t="n"/>
      <c r="BL240" s="12" t="n"/>
      <c r="BM240" s="12" t="n"/>
      <c r="BN240" s="12" t="n"/>
      <c r="BO240" s="12" t="n"/>
      <c r="BP240" s="12" t="n"/>
      <c r="BQ240" s="12" t="n"/>
      <c r="BR240" s="12" t="n"/>
      <c r="BS240" s="12" t="n"/>
      <c r="BT240" s="12" t="n"/>
      <c r="BU240" s="12" t="n"/>
      <c r="BV240" s="12" t="n"/>
      <c r="BW240" s="12" t="n"/>
      <c r="BX240" s="12" t="n"/>
      <c r="BY240" s="12" t="n"/>
      <c r="BZ240" s="12" t="n"/>
      <c r="CA240" s="12" t="n"/>
      <c r="CB240" s="12" t="n"/>
      <c r="CC240" s="12" t="n"/>
      <c r="CD240" s="12" t="n"/>
      <c r="CE240" s="12" t="n"/>
      <c r="CF240" s="12" t="n"/>
      <c r="CG240" s="12" t="n"/>
      <c r="CH240" s="12" t="n"/>
      <c r="CI240" s="12" t="n"/>
      <c r="CJ240" s="12" t="n"/>
      <c r="CK240" s="12" t="n"/>
      <c r="CL240" s="12" t="n"/>
      <c r="CM240" s="12" t="n"/>
      <c r="CN240" s="12" t="n"/>
      <c r="CO240" s="12" t="n"/>
      <c r="CP240" s="12" t="n"/>
      <c r="CQ240" s="12" t="n"/>
      <c r="CR240" s="12" t="n"/>
      <c r="CS240" s="12" t="n"/>
      <c r="CT240" s="12" t="n"/>
      <c r="CU240" s="12" t="n"/>
      <c r="CV240" s="12" t="n"/>
      <c r="CW240" s="12" t="n"/>
      <c r="CX240" s="12" t="n"/>
      <c r="CY240" s="12" t="n"/>
    </row>
    <row r="241" hidden="1" outlineLevel="1" customFormat="1" s="66">
      <c r="A241" s="37" t="n"/>
      <c r="B241" s="37" t="n"/>
      <c r="C241" s="67" t="n"/>
      <c r="D241" s="42" t="n"/>
      <c r="E241" s="42" t="n"/>
      <c r="F241" s="42" t="n"/>
      <c r="G241" s="42" t="n"/>
      <c r="H241" s="42" t="n"/>
      <c r="I241" s="42" t="n"/>
      <c r="J241" s="42" t="n"/>
      <c r="K241" s="42" t="n"/>
      <c r="L241" s="42" t="n"/>
      <c r="M241" s="42" t="n"/>
      <c r="N241" s="42" t="n"/>
      <c r="O241" s="42" t="n"/>
      <c r="P241" s="42" t="n"/>
      <c r="Q241" s="42" t="n"/>
      <c r="R241" s="42" t="n"/>
      <c r="S241" s="42" t="n"/>
      <c r="T241" s="42" t="n"/>
      <c r="U241" s="42" t="n"/>
      <c r="V241" s="42" t="n"/>
      <c r="W241" s="42" t="n"/>
      <c r="X241" s="42" t="n"/>
      <c r="Y241" s="42" t="n"/>
      <c r="Z241" s="42" t="n"/>
      <c r="AA241" s="42" t="n"/>
      <c r="AB241" s="42" t="n"/>
      <c r="AC241" s="42" t="n"/>
      <c r="AD241" s="42" t="n"/>
      <c r="AE241" s="42" t="n"/>
      <c r="AF241" s="42" t="n"/>
      <c r="AG241" s="42" t="n"/>
      <c r="AH241" s="42" t="n"/>
      <c r="AI241" s="42" t="n"/>
      <c r="AJ241" s="42" t="n"/>
      <c r="AK241" s="42" t="n"/>
      <c r="AL241" s="42" t="n"/>
      <c r="AM241" s="42" t="n"/>
      <c r="AN241" s="42" t="n"/>
      <c r="AO241" s="42" t="n"/>
      <c r="AP241" s="42" t="n"/>
      <c r="AQ241" s="42" t="n"/>
      <c r="AR241" s="42" t="n"/>
      <c r="AS241" s="42" t="n"/>
      <c r="AT241" s="42" t="n"/>
      <c r="AU241" s="42" t="n"/>
      <c r="AV241" s="42" t="n"/>
      <c r="AW241" s="42" t="n"/>
      <c r="AX241" s="42" t="n"/>
      <c r="AY241" s="42" t="n"/>
      <c r="AZ241" s="42" t="n"/>
      <c r="BA241" s="42" t="n"/>
      <c r="BB241" s="42" t="n"/>
      <c r="BC241" s="42" t="n"/>
      <c r="BD241" s="42" t="n"/>
      <c r="BE241" s="42" t="n"/>
      <c r="BF241" s="42" t="n"/>
      <c r="BG241" s="42" t="n"/>
      <c r="BH241" s="42" t="n"/>
      <c r="BI241" s="42" t="n"/>
      <c r="BJ241" s="42" t="n"/>
      <c r="BK241" s="42" t="n"/>
      <c r="BL241" s="42" t="n"/>
      <c r="BM241" s="42" t="n"/>
      <c r="BN241" s="42" t="n"/>
      <c r="BO241" s="42" t="n"/>
      <c r="BP241" s="42" t="n"/>
      <c r="BQ241" s="42" t="n"/>
      <c r="BR241" s="42" t="n"/>
      <c r="BS241" s="42" t="n"/>
      <c r="BT241" s="42" t="n"/>
      <c r="BU241" s="42" t="n"/>
      <c r="BV241" s="42" t="n"/>
      <c r="BW241" s="42" t="n"/>
      <c r="BX241" s="42" t="n"/>
      <c r="BY241" s="42" t="n"/>
      <c r="BZ241" s="42" t="n"/>
      <c r="CA241" s="42" t="n"/>
      <c r="CB241" s="42" t="n"/>
      <c r="CC241" s="42" t="n"/>
      <c r="CD241" s="42" t="n"/>
      <c r="CE241" s="42" t="n"/>
      <c r="CF241" s="42" t="n"/>
      <c r="CG241" s="42" t="n"/>
      <c r="CH241" s="42" t="n"/>
      <c r="CI241" s="42" t="n"/>
      <c r="CJ241" s="42" t="n"/>
      <c r="CK241" s="42" t="n"/>
      <c r="CL241" s="42" t="n"/>
      <c r="CM241" s="42" t="n"/>
      <c r="CN241" s="42" t="n"/>
      <c r="CO241" s="42" t="n"/>
      <c r="CP241" s="42" t="n"/>
      <c r="CQ241" s="42" t="n"/>
      <c r="CR241" s="42" t="n"/>
      <c r="CS241" s="42" t="n"/>
      <c r="CT241" s="42" t="n"/>
      <c r="CU241" s="42" t="n"/>
      <c r="CV241" s="42" t="n"/>
      <c r="CW241" s="42" t="n"/>
      <c r="CX241" s="42" t="n"/>
      <c r="CY241" s="42" t="n"/>
    </row>
    <row r="242" hidden="1" outlineLevel="1" customFormat="1" s="66">
      <c r="A242" s="37" t="n"/>
      <c r="B242" s="37" t="n"/>
      <c r="C242" s="67" t="inlineStr">
        <is>
          <t>Diluted Shares outstanding</t>
        </is>
      </c>
      <c r="D242" s="42" t="n"/>
      <c r="E242" s="42" t="n"/>
      <c r="F242" s="42" t="n"/>
      <c r="G242" s="42" t="n"/>
      <c r="H242" s="42" t="n"/>
      <c r="I242" s="42" t="n"/>
      <c r="J242" s="42" t="n"/>
      <c r="K242" s="42" t="n"/>
      <c r="L242" s="42" t="n"/>
      <c r="M242" s="42" t="n"/>
      <c r="N242" s="42" t="n"/>
      <c r="O242" s="42" t="n"/>
      <c r="P242" s="42" t="n"/>
      <c r="Q242" s="42" t="n"/>
      <c r="R242" s="42" t="n"/>
      <c r="S242" s="42" t="n"/>
      <c r="T242" s="42" t="n"/>
      <c r="U242" s="42" t="n"/>
      <c r="V242" s="42" t="n"/>
      <c r="W242" s="42" t="n"/>
      <c r="X242" s="42" t="n"/>
      <c r="Y242" s="42" t="n"/>
      <c r="Z242" s="42" t="n"/>
      <c r="AA242" s="42" t="n"/>
      <c r="AB242" s="42" t="n"/>
      <c r="AC242" s="42" t="n"/>
      <c r="AD242" s="42" t="n"/>
      <c r="AE242" s="42" t="n"/>
      <c r="AF242" s="42" t="n"/>
      <c r="AG242" s="42" t="n"/>
      <c r="AH242" s="42" t="n"/>
      <c r="AI242" s="42" t="n"/>
      <c r="AJ242" s="42" t="n"/>
      <c r="AK242" s="42" t="n"/>
      <c r="AL242" s="42" t="n"/>
      <c r="AM242" s="42" t="n"/>
      <c r="AN242" s="42" t="n"/>
      <c r="AO242" s="42" t="n"/>
      <c r="AP242" s="42" t="n"/>
      <c r="AQ242" s="42" t="n"/>
      <c r="AR242" s="42" t="n"/>
      <c r="AS242" s="42" t="n"/>
      <c r="AT242" s="42" t="n"/>
      <c r="AU242" s="42" t="n"/>
      <c r="AV242" s="42" t="n"/>
      <c r="AW242" s="42" t="n"/>
      <c r="AX242" s="42" t="n"/>
      <c r="AY242" s="42" t="n"/>
      <c r="AZ242" s="42" t="n"/>
      <c r="BA242" s="42" t="n"/>
      <c r="BB242" s="42" t="n"/>
      <c r="BC242" s="42" t="n"/>
      <c r="BD242" s="42" t="n"/>
      <c r="BE242" s="42" t="n"/>
      <c r="BF242" s="42" t="n"/>
      <c r="BG242" s="42" t="n"/>
      <c r="BH242" s="42" t="n"/>
      <c r="BI242" s="42" t="n"/>
      <c r="BJ242" s="42" t="n"/>
      <c r="BK242" s="42" t="n"/>
      <c r="BL242" s="42" t="n"/>
      <c r="BM242" s="42" t="n"/>
      <c r="BN242" s="42" t="n"/>
      <c r="BO242" s="42" t="n"/>
      <c r="BP242" s="42" t="n"/>
      <c r="BQ242" s="42" t="n"/>
      <c r="BR242" s="42" t="n"/>
      <c r="BS242" s="42" t="n"/>
      <c r="BT242" s="42" t="n"/>
      <c r="BU242" s="42" t="n"/>
      <c r="BV242" s="42" t="n"/>
      <c r="BW242" s="42" t="n"/>
      <c r="BX242" s="42" t="n"/>
      <c r="BY242" s="42" t="n"/>
      <c r="BZ242" s="42" t="n"/>
      <c r="CA242" s="42" t="n"/>
      <c r="CB242" s="42" t="n"/>
      <c r="CC242" s="42" t="n"/>
      <c r="CD242" s="42" t="n"/>
      <c r="CE242" s="42" t="n"/>
      <c r="CF242" s="42" t="n"/>
      <c r="CG242" s="42" t="n"/>
      <c r="CH242" s="42" t="n"/>
      <c r="CI242" s="42" t="n"/>
      <c r="CJ242" s="42" t="n"/>
      <c r="CK242" s="42" t="n"/>
      <c r="CL242" s="42" t="n"/>
      <c r="CM242" s="42" t="n"/>
      <c r="CN242" s="42" t="n"/>
      <c r="CO242" s="42" t="n"/>
      <c r="CP242" s="42" t="n"/>
      <c r="CQ242" s="42" t="n"/>
      <c r="CR242" s="42" t="n"/>
      <c r="CS242" s="42" t="n"/>
      <c r="CT242" s="42" t="n"/>
      <c r="CU242" s="42" t="n"/>
      <c r="CV242" s="42" t="n"/>
      <c r="CW242" s="42" t="n"/>
      <c r="CX242" s="42" t="n"/>
      <c r="CY242" s="42" t="n"/>
    </row>
    <row r="243" hidden="1" outlineLevel="1" customFormat="1" s="66">
      <c r="A243" s="37" t="n"/>
      <c r="B243" s="37" t="n"/>
      <c r="C243" s="67" t="inlineStr">
        <is>
          <t>Treasury share $ repurchases</t>
        </is>
      </c>
      <c r="D243" s="42" t="n"/>
      <c r="E243" s="42" t="n"/>
      <c r="F243" s="42" t="n"/>
      <c r="G243" s="42" t="n"/>
      <c r="H243" s="42" t="n"/>
      <c r="I243" s="42" t="n"/>
      <c r="J243" s="42" t="n"/>
      <c r="K243" s="42" t="n"/>
      <c r="L243" s="42" t="n"/>
      <c r="M243" s="42" t="n"/>
      <c r="N243" s="42" t="n"/>
      <c r="O243" s="42" t="n"/>
      <c r="P243" s="42" t="n"/>
      <c r="Q243" s="42" t="n"/>
      <c r="R243" s="42" t="n"/>
      <c r="S243" s="42" t="n"/>
      <c r="T243" s="42" t="n"/>
      <c r="U243" s="42" t="n"/>
      <c r="V243" s="42" t="n"/>
      <c r="W243" s="42" t="n"/>
      <c r="X243" s="42" t="n"/>
      <c r="Y243" s="42" t="n"/>
      <c r="Z243" s="42" t="n"/>
      <c r="AA243" s="42" t="n"/>
      <c r="AB243" s="42" t="n"/>
      <c r="AC243" s="42" t="n"/>
      <c r="AD243" s="42" t="n"/>
      <c r="AE243" s="42" t="n"/>
      <c r="AF243" s="42" t="n"/>
      <c r="AG243" s="42" t="n"/>
      <c r="AH243" s="11" t="n"/>
      <c r="AI243" s="11" t="n"/>
      <c r="AJ243" s="11" t="n"/>
      <c r="AK243" s="11" t="n"/>
      <c r="AL243" s="42" t="n"/>
      <c r="AM243" s="11" t="n"/>
      <c r="AN243" s="11" t="n"/>
      <c r="AO243" s="11" t="n"/>
      <c r="AP243" s="11" t="n"/>
      <c r="AQ243" s="42" t="n"/>
      <c r="AR243" s="11" t="n"/>
      <c r="AS243" s="11" t="n"/>
      <c r="AT243" s="11" t="n"/>
      <c r="AU243" s="11" t="n"/>
      <c r="AV243" s="42" t="n"/>
      <c r="AW243" s="11" t="n"/>
      <c r="AX243" s="11" t="n"/>
      <c r="AY243" s="11" t="n"/>
      <c r="AZ243" s="11" t="n"/>
      <c r="BA243" s="42" t="n"/>
      <c r="BB243" s="11" t="n"/>
      <c r="BC243" s="11" t="n"/>
      <c r="BD243" s="11" t="n"/>
      <c r="BE243" s="11" t="n"/>
      <c r="BF243" s="42" t="n"/>
      <c r="BG243" s="11" t="n"/>
      <c r="BH243" s="11" t="n"/>
      <c r="BI243" s="11" t="n"/>
      <c r="BJ243" s="11" t="n"/>
      <c r="BK243" s="42" t="n"/>
      <c r="BL243" s="11" t="n"/>
      <c r="BM243" s="11" t="n"/>
      <c r="BN243" s="11" t="n"/>
      <c r="BO243" s="11" t="n"/>
      <c r="BP243" s="42" t="n"/>
      <c r="BQ243" s="11" t="n"/>
      <c r="BR243" s="11" t="n"/>
      <c r="BS243" s="11" t="n"/>
      <c r="BT243" s="11" t="n"/>
      <c r="BU243" s="42" t="n"/>
      <c r="BV243" s="11" t="n"/>
      <c r="BW243" s="11" t="n"/>
      <c r="BX243" s="11" t="n"/>
      <c r="BY243" s="11" t="n"/>
      <c r="BZ243" s="42" t="n"/>
      <c r="CA243" s="11" t="n"/>
      <c r="CB243" s="11" t="n"/>
      <c r="CC243" s="11" t="n"/>
      <c r="CD243" s="11" t="n"/>
      <c r="CE243" s="42" t="n"/>
      <c r="CF243" s="11" t="n"/>
      <c r="CG243" s="11" t="n"/>
      <c r="CH243" s="11" t="n"/>
      <c r="CI243" s="11" t="n"/>
      <c r="CJ243" s="42" t="n"/>
      <c r="CK243" s="11" t="n"/>
      <c r="CL243" s="11" t="n"/>
      <c r="CM243" s="11" t="n"/>
      <c r="CN243" s="11" t="n"/>
      <c r="CO243" s="42" t="n"/>
      <c r="CP243" s="11" t="n"/>
      <c r="CQ243" s="11" t="n"/>
      <c r="CR243" s="11" t="n"/>
      <c r="CS243" s="11" t="n"/>
      <c r="CT243" s="42" t="n"/>
      <c r="CU243" s="11" t="n"/>
      <c r="CV243" s="11" t="n"/>
      <c r="CW243" s="11" t="n"/>
      <c r="CX243" s="11" t="n"/>
      <c r="CY243" s="42" t="n"/>
    </row>
    <row r="244" hidden="1" outlineLevel="1" customFormat="1" s="66">
      <c r="A244" s="37" t="n"/>
      <c r="B244" s="37" t="n"/>
      <c r="C244" s="67" t="inlineStr">
        <is>
          <t>Value of shares issued</t>
        </is>
      </c>
      <c r="D244" s="42" t="n"/>
      <c r="E244" s="42" t="n"/>
      <c r="F244" s="42" t="n"/>
      <c r="G244" s="42" t="n"/>
      <c r="H244" s="42" t="n"/>
      <c r="I244" s="42" t="n"/>
      <c r="J244" s="42" t="n"/>
      <c r="K244" s="42" t="n"/>
      <c r="L244" s="42" t="n"/>
      <c r="M244" s="42" t="n"/>
      <c r="N244" s="42" t="n"/>
      <c r="O244" s="42" t="n"/>
      <c r="P244" s="42" t="n"/>
      <c r="Q244" s="42" t="n"/>
      <c r="R244" s="42" t="n"/>
      <c r="S244" s="42" t="n"/>
      <c r="T244" s="42" t="n"/>
      <c r="U244" s="42" t="n"/>
      <c r="V244" s="42" t="n"/>
      <c r="W244" s="42" t="n"/>
      <c r="X244" s="42" t="n"/>
      <c r="Y244" s="42" t="n"/>
      <c r="Z244" s="42" t="n"/>
      <c r="AA244" s="42" t="n"/>
      <c r="AB244" s="42" t="n"/>
      <c r="AC244" s="42" t="n"/>
      <c r="AD244" s="42" t="n"/>
      <c r="AE244" s="42" t="n"/>
      <c r="AF244" s="42" t="n"/>
      <c r="AG244" s="42" t="n"/>
      <c r="AH244" s="11" t="n"/>
      <c r="AI244" s="11" t="n"/>
      <c r="AJ244" s="11" t="n"/>
      <c r="AK244" s="11" t="n"/>
      <c r="AL244" s="42" t="n"/>
      <c r="AM244" s="11" t="n"/>
      <c r="AN244" s="11" t="n"/>
      <c r="AO244" s="11" t="n"/>
      <c r="AP244" s="11" t="n"/>
      <c r="AQ244" s="42" t="n"/>
      <c r="AR244" s="11" t="n"/>
      <c r="AS244" s="11" t="n"/>
      <c r="AT244" s="11" t="n"/>
      <c r="AU244" s="11" t="n"/>
      <c r="AV244" s="42" t="n"/>
      <c r="AW244" s="11" t="n"/>
      <c r="AX244" s="11" t="n"/>
      <c r="AY244" s="11" t="n"/>
      <c r="AZ244" s="11" t="n"/>
      <c r="BA244" s="42" t="n"/>
      <c r="BB244" s="11" t="n"/>
      <c r="BC244" s="11" t="n"/>
      <c r="BD244" s="11" t="n"/>
      <c r="BE244" s="11" t="n"/>
      <c r="BF244" s="42" t="n"/>
      <c r="BG244" s="11" t="n"/>
      <c r="BH244" s="11" t="n"/>
      <c r="BI244" s="11" t="n"/>
      <c r="BJ244" s="11" t="n"/>
      <c r="BK244" s="42" t="n"/>
      <c r="BL244" s="11" t="n"/>
      <c r="BM244" s="11" t="n"/>
      <c r="BN244" s="11" t="n"/>
      <c r="BO244" s="11" t="n"/>
      <c r="BP244" s="42" t="n"/>
      <c r="BQ244" s="11" t="n"/>
      <c r="BR244" s="11" t="n"/>
      <c r="BS244" s="11" t="n"/>
      <c r="BT244" s="11" t="n"/>
      <c r="BU244" s="42" t="n"/>
      <c r="BV244" s="11" t="n"/>
      <c r="BW244" s="11" t="n"/>
      <c r="BX244" s="11" t="n"/>
      <c r="BY244" s="11" t="n"/>
      <c r="BZ244" s="42" t="n"/>
      <c r="CA244" s="11" t="n"/>
      <c r="CB244" s="11" t="n"/>
      <c r="CC244" s="11" t="n"/>
      <c r="CD244" s="11" t="n"/>
      <c r="CE244" s="42" t="n"/>
      <c r="CF244" s="11" t="n"/>
      <c r="CG244" s="11" t="n"/>
      <c r="CH244" s="11" t="n"/>
      <c r="CI244" s="11" t="n"/>
      <c r="CJ244" s="42" t="n"/>
      <c r="CK244" s="11" t="n"/>
      <c r="CL244" s="11" t="n"/>
      <c r="CM244" s="11" t="n"/>
      <c r="CN244" s="11" t="n"/>
      <c r="CO244" s="42" t="n"/>
      <c r="CP244" s="11" t="n"/>
      <c r="CQ244" s="11" t="n"/>
      <c r="CR244" s="11" t="n"/>
      <c r="CS244" s="11" t="n"/>
      <c r="CT244" s="42" t="n"/>
      <c r="CU244" s="11" t="n"/>
      <c r="CV244" s="11" t="n"/>
      <c r="CW244" s="11" t="n"/>
      <c r="CX244" s="11" t="n"/>
      <c r="CY244" s="42" t="n"/>
    </row>
    <row r="245" hidden="1" outlineLevel="1" customFormat="1" s="66">
      <c r="A245" s="37" t="n"/>
      <c r="B245" s="37" t="n"/>
      <c r="C245" s="67" t="inlineStr">
        <is>
          <t>Expected average share price</t>
        </is>
      </c>
      <c r="D245" s="42" t="n"/>
      <c r="E245" s="42" t="n"/>
      <c r="F245" s="42" t="n"/>
      <c r="G245" s="42" t="n"/>
      <c r="H245" s="42" t="n"/>
      <c r="I245" s="42" t="n"/>
      <c r="J245" s="42" t="n"/>
      <c r="K245" s="42" t="n"/>
      <c r="L245" s="42" t="n"/>
      <c r="M245" s="42" t="n"/>
      <c r="N245" s="42" t="n"/>
      <c r="O245" s="42" t="n"/>
      <c r="P245" s="42" t="n"/>
      <c r="Q245" s="42" t="n"/>
      <c r="R245" s="42" t="n"/>
      <c r="S245" s="42" t="n"/>
      <c r="T245" s="42" t="n"/>
      <c r="U245" s="42" t="n"/>
      <c r="V245" s="42" t="n"/>
      <c r="W245" s="42" t="n"/>
      <c r="X245" s="42" t="n"/>
      <c r="Y245" s="42" t="n"/>
      <c r="Z245" s="42" t="n"/>
      <c r="AA245" s="42" t="n"/>
      <c r="AB245" s="42" t="n"/>
      <c r="AC245" s="42" t="n"/>
      <c r="AD245" s="42" t="n"/>
      <c r="AE245" s="42" t="n"/>
      <c r="AF245" s="42" t="n"/>
      <c r="AG245" s="42" t="n"/>
      <c r="AH245" s="68">
        <f>AF245*(1+AH246)</f>
        <v>0</v>
      </c>
      <c r="AI245" s="68">
        <f>AH245*(1+AI246)</f>
        <v>0</v>
      </c>
      <c r="AJ245" s="68">
        <f>AH245*(1+AJ246)</f>
        <v>0</v>
      </c>
      <c r="AK245" s="68">
        <f>AJ245*(1+AK246)</f>
        <v>0</v>
      </c>
      <c r="AL245" s="42" t="n"/>
      <c r="AM245" s="68">
        <f>AK245*(1+AM246)</f>
        <v>0</v>
      </c>
      <c r="AN245" s="68">
        <f>AM245*(1+AN246)</f>
        <v>0</v>
      </c>
      <c r="AO245" s="68">
        <f>AM245*(1+AO246)</f>
        <v>0</v>
      </c>
      <c r="AP245" s="68">
        <f>AO245*(1+AP246)</f>
        <v>0</v>
      </c>
      <c r="AQ245" s="42" t="n"/>
      <c r="AR245" s="68">
        <f>AP245*(1+AR246)</f>
        <v>0</v>
      </c>
      <c r="AS245" s="68">
        <f>AR245*(1+AS246)</f>
        <v>0</v>
      </c>
      <c r="AT245" s="68">
        <f>AR245*(1+AT246)</f>
        <v>0</v>
      </c>
      <c r="AU245" s="68">
        <f>AT245*(1+AU246)</f>
        <v>0</v>
      </c>
      <c r="AV245" s="42" t="n"/>
      <c r="AW245" s="68">
        <f>AU245*(1+AW246)</f>
        <v>0</v>
      </c>
      <c r="AX245" s="68">
        <f>AW245*(1+AX246)</f>
        <v>0</v>
      </c>
      <c r="AY245" s="68">
        <f>AW245*(1+AY246)</f>
        <v>0</v>
      </c>
      <c r="AZ245" s="68">
        <f>AY245*(1+AZ246)</f>
        <v>0</v>
      </c>
      <c r="BA245" s="42" t="n"/>
      <c r="BB245" s="68">
        <f>AZ245*(1+BB246)</f>
        <v>0</v>
      </c>
      <c r="BC245" s="68">
        <f>BB245*(1+BC246)</f>
        <v>0</v>
      </c>
      <c r="BD245" s="68">
        <f>BB245*(1+BD246)</f>
        <v>0</v>
      </c>
      <c r="BE245" s="68">
        <f>BD245*(1+BE246)</f>
        <v>0</v>
      </c>
      <c r="BF245" s="42" t="n"/>
      <c r="BG245" s="68" t="n"/>
      <c r="BH245" s="68" t="n"/>
      <c r="BI245" s="68" t="n"/>
      <c r="BJ245" s="68" t="n"/>
      <c r="BK245" s="42" t="n"/>
      <c r="BL245" s="68" t="n"/>
      <c r="BM245" s="68" t="n"/>
      <c r="BN245" s="68" t="n"/>
      <c r="BO245" s="68" t="n"/>
      <c r="BP245" s="42" t="n"/>
      <c r="BQ245" s="68" t="n"/>
      <c r="BR245" s="68" t="n"/>
      <c r="BS245" s="68" t="n"/>
      <c r="BT245" s="68" t="n"/>
      <c r="BU245" s="42" t="n"/>
      <c r="BV245" s="68" t="n"/>
      <c r="BW245" s="68" t="n"/>
      <c r="BX245" s="68" t="n"/>
      <c r="BY245" s="68" t="n"/>
      <c r="BZ245" s="42" t="n"/>
      <c r="CA245" s="68" t="n"/>
      <c r="CB245" s="68" t="n"/>
      <c r="CC245" s="68" t="n"/>
      <c r="CD245" s="68" t="n"/>
      <c r="CE245" s="42" t="n"/>
      <c r="CF245" s="68" t="n"/>
      <c r="CG245" s="68" t="n"/>
      <c r="CH245" s="68" t="n"/>
      <c r="CI245" s="68" t="n"/>
      <c r="CJ245" s="42" t="n"/>
      <c r="CK245" s="68" t="n"/>
      <c r="CL245" s="68" t="n"/>
      <c r="CM245" s="68" t="n"/>
      <c r="CN245" s="68" t="n"/>
      <c r="CO245" s="42" t="n"/>
      <c r="CP245" s="68" t="n"/>
      <c r="CQ245" s="68" t="n"/>
      <c r="CR245" s="68" t="n"/>
      <c r="CS245" s="68" t="n"/>
      <c r="CT245" s="42" t="n"/>
      <c r="CU245" s="68" t="n"/>
      <c r="CV245" s="68" t="n"/>
      <c r="CW245" s="68" t="n"/>
      <c r="CX245" s="68" t="n"/>
      <c r="CY245" s="42" t="n"/>
    </row>
    <row r="246" hidden="1" outlineLevel="1" customFormat="1" s="66">
      <c r="A246" s="37" t="n"/>
      <c r="B246" s="37" t="n"/>
      <c r="C246" s="67" t="inlineStr">
        <is>
          <t>Consensus EPS growth</t>
        </is>
      </c>
      <c r="D246" s="42" t="n"/>
      <c r="E246" s="42" t="n"/>
      <c r="F246" s="42" t="n"/>
      <c r="G246" s="42" t="n"/>
      <c r="H246" s="42" t="n"/>
      <c r="I246" s="42" t="n"/>
      <c r="J246" s="42" t="n"/>
      <c r="K246" s="42" t="n"/>
      <c r="L246" s="42" t="n"/>
      <c r="M246" s="42" t="n"/>
      <c r="N246" s="42" t="n"/>
      <c r="O246" s="42" t="n"/>
      <c r="P246" s="42" t="n"/>
      <c r="Q246" s="42" t="n"/>
      <c r="R246" s="42" t="n"/>
      <c r="S246" s="42" t="n"/>
      <c r="T246" s="42" t="n"/>
      <c r="U246" s="42" t="n"/>
      <c r="V246" s="42" t="n"/>
      <c r="W246" s="42" t="n"/>
      <c r="X246" s="42" t="n"/>
      <c r="Y246" s="42" t="n"/>
      <c r="Z246" s="42" t="n"/>
      <c r="AA246" s="42" t="n"/>
      <c r="AB246" s="42" t="n"/>
      <c r="AC246" s="42" t="n"/>
      <c r="AD246" s="42" t="n"/>
      <c r="AE246" s="42" t="n"/>
      <c r="AF246" s="42" t="n"/>
      <c r="AG246" s="42" t="n"/>
      <c r="AH246" s="58">
        <f>$AL$251</f>
        <v>0</v>
      </c>
      <c r="AI246" s="58">
        <f>$AL$251</f>
        <v>0</v>
      </c>
      <c r="AJ246" s="58">
        <f>$AL$251</f>
        <v>0</v>
      </c>
      <c r="AK246" s="58">
        <f>$AL$251</f>
        <v>0</v>
      </c>
      <c r="AL246" s="42" t="n"/>
      <c r="AM246" s="58">
        <f>$AL$251</f>
        <v>0</v>
      </c>
      <c r="AN246" s="58">
        <f>$AL$251</f>
        <v>0</v>
      </c>
      <c r="AO246" s="58">
        <f>$AL$251</f>
        <v>0</v>
      </c>
      <c r="AP246" s="58">
        <f>$AL$251</f>
        <v>0</v>
      </c>
      <c r="AQ246" s="42" t="n"/>
      <c r="AR246" s="58">
        <f>$AL$251</f>
        <v>0</v>
      </c>
      <c r="AS246" s="58">
        <f>$AL$251</f>
        <v>0</v>
      </c>
      <c r="AT246" s="58">
        <f>$AL$251</f>
        <v>0</v>
      </c>
      <c r="AU246" s="58">
        <f>$AL$251</f>
        <v>0</v>
      </c>
      <c r="AV246" s="42" t="n"/>
      <c r="AW246" s="58">
        <f>$AL$251</f>
        <v>0</v>
      </c>
      <c r="AX246" s="58">
        <f>$AL$251</f>
        <v>0</v>
      </c>
      <c r="AY246" s="58">
        <f>$AL$251</f>
        <v>0</v>
      </c>
      <c r="AZ246" s="58">
        <f>$AL$251</f>
        <v>0</v>
      </c>
      <c r="BA246" s="42" t="n"/>
      <c r="BB246" s="58">
        <f>$AL$251</f>
        <v>0</v>
      </c>
      <c r="BC246" s="58">
        <f>$AL$251</f>
        <v>0</v>
      </c>
      <c r="BD246" s="58">
        <f>$AL$251</f>
        <v>0</v>
      </c>
      <c r="BE246" s="58">
        <f>$AL$251</f>
        <v>0</v>
      </c>
      <c r="BF246" s="42" t="n"/>
      <c r="BG246" s="58" t="n"/>
      <c r="BH246" s="58" t="n"/>
      <c r="BI246" s="58" t="n"/>
      <c r="BJ246" s="58" t="n"/>
      <c r="BK246" s="42" t="n"/>
      <c r="BL246" s="58" t="n"/>
      <c r="BM246" s="58" t="n"/>
      <c r="BN246" s="58" t="n"/>
      <c r="BO246" s="58" t="n"/>
      <c r="BP246" s="42" t="n"/>
      <c r="BQ246" s="58" t="n"/>
      <c r="BR246" s="58" t="n"/>
      <c r="BS246" s="58" t="n"/>
      <c r="BT246" s="58" t="n"/>
      <c r="BU246" s="42" t="n"/>
      <c r="BV246" s="58" t="n"/>
      <c r="BW246" s="58" t="n"/>
      <c r="BX246" s="58" t="n"/>
      <c r="BY246" s="58" t="n"/>
      <c r="BZ246" s="42" t="n"/>
      <c r="CA246" s="58" t="n"/>
      <c r="CB246" s="58" t="n"/>
      <c r="CC246" s="58" t="n"/>
      <c r="CD246" s="58" t="n"/>
      <c r="CE246" s="42" t="n"/>
      <c r="CF246" s="58" t="n"/>
      <c r="CG246" s="58" t="n"/>
      <c r="CH246" s="58" t="n"/>
      <c r="CI246" s="58" t="n"/>
      <c r="CJ246" s="42" t="n"/>
      <c r="CK246" s="58" t="n"/>
      <c r="CL246" s="58" t="n"/>
      <c r="CM246" s="58" t="n"/>
      <c r="CN246" s="58" t="n"/>
      <c r="CO246" s="42" t="n"/>
      <c r="CP246" s="58" t="n"/>
      <c r="CQ246" s="58" t="n"/>
      <c r="CR246" s="58" t="n"/>
      <c r="CS246" s="58" t="n"/>
      <c r="CT246" s="42" t="n"/>
      <c r="CU246" s="58" t="n"/>
      <c r="CV246" s="58" t="n"/>
      <c r="CW246" s="58" t="n"/>
      <c r="CX246" s="58" t="n"/>
      <c r="CY246" s="42" t="n"/>
    </row>
    <row r="247" hidden="1" outlineLevel="1" customFormat="1" s="66">
      <c r="A247" s="37" t="n"/>
      <c r="B247" s="37" t="n"/>
      <c r="C247" s="67" t="n"/>
      <c r="D247" s="42" t="n"/>
      <c r="E247" s="42" t="n"/>
      <c r="F247" s="42" t="n"/>
      <c r="G247" s="42" t="n"/>
      <c r="H247" s="42" t="n"/>
      <c r="I247" s="42" t="n"/>
      <c r="J247" s="42" t="n"/>
      <c r="K247" s="42" t="n"/>
      <c r="L247" s="42" t="n"/>
      <c r="M247" s="42" t="n"/>
      <c r="N247" s="42" t="n"/>
      <c r="O247" s="42" t="n"/>
      <c r="P247" s="42" t="n"/>
      <c r="Q247" s="42" t="n"/>
      <c r="R247" s="42" t="n"/>
      <c r="S247" s="42" t="n"/>
      <c r="T247" s="42" t="n"/>
      <c r="U247" s="42" t="n"/>
      <c r="V247" s="42" t="n"/>
      <c r="W247" s="42" t="n"/>
      <c r="X247" s="42" t="n"/>
      <c r="Y247" s="42" t="n"/>
      <c r="Z247" s="42" t="n"/>
      <c r="AA247" s="42" t="n"/>
      <c r="AB247" s="42" t="n"/>
      <c r="AC247" s="42" t="n"/>
      <c r="AD247" s="42" t="n"/>
      <c r="AE247" s="42" t="n"/>
      <c r="AF247" s="42" t="n"/>
      <c r="AG247" s="42" t="n"/>
      <c r="AH247" s="12" t="n"/>
      <c r="AI247" s="12" t="n"/>
      <c r="AJ247" s="12" t="n"/>
      <c r="AK247" s="12" t="n"/>
      <c r="AL247" s="42" t="n"/>
      <c r="AM247" s="12" t="n"/>
      <c r="AN247" s="12" t="n"/>
      <c r="AO247" s="12" t="n"/>
      <c r="AP247" s="12" t="n"/>
      <c r="AQ247" s="42" t="n"/>
      <c r="AR247" s="12" t="n"/>
      <c r="AS247" s="12" t="n"/>
      <c r="AT247" s="12" t="n"/>
      <c r="AU247" s="12" t="n"/>
      <c r="AV247" s="42" t="n"/>
      <c r="AW247" s="12" t="n"/>
      <c r="AX247" s="12" t="n"/>
      <c r="AY247" s="12" t="n"/>
      <c r="AZ247" s="12" t="n"/>
      <c r="BA247" s="42" t="n"/>
      <c r="BB247" s="12" t="n"/>
      <c r="BC247" s="12" t="n"/>
      <c r="BD247" s="12" t="n"/>
      <c r="BE247" s="12" t="n"/>
      <c r="BF247" s="42" t="n"/>
      <c r="BG247" s="12" t="n"/>
      <c r="BH247" s="12" t="n"/>
      <c r="BI247" s="12" t="n"/>
      <c r="BJ247" s="12" t="n"/>
      <c r="BK247" s="42" t="n"/>
      <c r="BL247" s="12" t="n"/>
      <c r="BM247" s="12" t="n"/>
      <c r="BN247" s="12" t="n"/>
      <c r="BO247" s="12" t="n"/>
      <c r="BP247" s="42" t="n"/>
      <c r="BQ247" s="12" t="n"/>
      <c r="BR247" s="12" t="n"/>
      <c r="BS247" s="12" t="n"/>
      <c r="BT247" s="12" t="n"/>
      <c r="BU247" s="42" t="n"/>
      <c r="BV247" s="12" t="n"/>
      <c r="BW247" s="12" t="n"/>
      <c r="BX247" s="12" t="n"/>
      <c r="BY247" s="12" t="n"/>
      <c r="BZ247" s="42" t="n"/>
      <c r="CA247" s="12" t="n"/>
      <c r="CB247" s="12" t="n"/>
      <c r="CC247" s="12" t="n"/>
      <c r="CD247" s="12" t="n"/>
      <c r="CE247" s="42" t="n"/>
      <c r="CF247" s="12" t="n"/>
      <c r="CG247" s="12" t="n"/>
      <c r="CH247" s="12" t="n"/>
      <c r="CI247" s="12" t="n"/>
      <c r="CJ247" s="42" t="n"/>
      <c r="CK247" s="12" t="n"/>
      <c r="CL247" s="12" t="n"/>
      <c r="CM247" s="12" t="n"/>
      <c r="CN247" s="12" t="n"/>
      <c r="CO247" s="42" t="n"/>
      <c r="CP247" s="12" t="n"/>
      <c r="CQ247" s="12" t="n"/>
      <c r="CR247" s="12" t="n"/>
      <c r="CS247" s="12" t="n"/>
      <c r="CT247" s="42" t="n"/>
      <c r="CU247" s="12" t="n"/>
      <c r="CV247" s="12" t="n"/>
      <c r="CW247" s="12" t="n"/>
      <c r="CX247" s="12" t="n"/>
      <c r="CY247" s="42" t="n"/>
    </row>
    <row r="248" hidden="1" outlineLevel="1" customFormat="1" s="66">
      <c r="A248" s="37" t="n"/>
      <c r="B248" s="37" t="n"/>
      <c r="C248" s="67" t="inlineStr">
        <is>
          <t>Shares repurchased</t>
        </is>
      </c>
      <c r="D248" s="42" t="n"/>
      <c r="E248" s="42" t="n"/>
      <c r="F248" s="42" t="n"/>
      <c r="G248" s="42" t="n"/>
      <c r="H248" s="42" t="n"/>
      <c r="I248" s="42" t="n"/>
      <c r="J248" s="42" t="n"/>
      <c r="K248" s="42" t="n"/>
      <c r="L248" s="42" t="n"/>
      <c r="M248" s="42" t="n"/>
      <c r="N248" s="42" t="n"/>
      <c r="O248" s="42" t="n"/>
      <c r="P248" s="42" t="n"/>
      <c r="Q248" s="42" t="n"/>
      <c r="R248" s="42" t="n"/>
      <c r="S248" s="42" t="n"/>
      <c r="T248" s="42" t="n"/>
      <c r="U248" s="42" t="n"/>
      <c r="V248" s="42" t="n"/>
      <c r="W248" s="42" t="n"/>
      <c r="X248" s="42" t="n"/>
      <c r="Y248" s="42" t="n"/>
      <c r="Z248" s="42" t="n"/>
      <c r="AA248" s="42" t="n"/>
      <c r="AB248" s="42" t="n"/>
      <c r="AC248" s="42" t="n"/>
      <c r="AD248" s="42" t="n"/>
      <c r="AE248" s="42" t="n"/>
      <c r="AF248" s="42" t="n"/>
      <c r="AG248" s="42" t="n"/>
      <c r="AH248" s="69" t="str">
        <f>IFERROR(-AH243/AH245,"")</f>
        <v/>
      </c>
      <c r="AI248" s="69" t="str">
        <f>IFERROR(-AI243/AI245,"")</f>
        <v/>
      </c>
      <c r="AJ248" s="69" t="str">
        <f>IFERROR(-AJ243/AJ245,"")</f>
        <v/>
      </c>
      <c r="AK248" s="69" t="str">
        <f>IFERROR(-AK243/AK245,"")</f>
        <v/>
      </c>
      <c r="AL248" s="42" t="n"/>
      <c r="AM248" s="69" t="str">
        <f>IFERROR(-AM243/AM245,"")</f>
        <v/>
      </c>
      <c r="AN248" s="69" t="str">
        <f>IFERROR(-AN243/AN245,"")</f>
        <v/>
      </c>
      <c r="AO248" s="69" t="str">
        <f>IFERROR(-AO243/AO245,"")</f>
        <v/>
      </c>
      <c r="AP248" s="69" t="str">
        <f>IFERROR(-AP243/AP245,"")</f>
        <v/>
      </c>
      <c r="AQ248" s="42" t="n"/>
      <c r="AR248" s="69" t="str">
        <f>IFERROR(-AR243/AR245,"")</f>
        <v/>
      </c>
      <c r="AS248" s="69" t="str">
        <f>IFERROR(-AS243/AS245,"")</f>
        <v/>
      </c>
      <c r="AT248" s="69" t="str">
        <f>IFERROR(-AT243/AT245,"")</f>
        <v/>
      </c>
      <c r="AU248" s="69" t="str">
        <f>IFERROR(-AU243/AU245,"")</f>
        <v/>
      </c>
      <c r="AV248" s="42" t="n"/>
      <c r="AW248" s="69" t="str">
        <f>IFERROR(-AW243/AW245,"")</f>
        <v/>
      </c>
      <c r="AX248" s="69" t="str">
        <f>IFERROR(-AX243/AX245,"")</f>
        <v/>
      </c>
      <c r="AY248" s="69" t="str">
        <f>IFERROR(-AY243/AY245,"")</f>
        <v/>
      </c>
      <c r="AZ248" s="69" t="str">
        <f>IFERROR(-AZ243/AZ245,"")</f>
        <v/>
      </c>
      <c r="BA248" s="42" t="n"/>
      <c r="BB248" s="69" t="str">
        <f>IFERROR(-BB243/BB245,"")</f>
        <v/>
      </c>
      <c r="BC248" s="69" t="str">
        <f>IFERROR(-BC243/BC245,"")</f>
        <v/>
      </c>
      <c r="BD248" s="69" t="str">
        <f>IFERROR(-BD243/BD245,"")</f>
        <v/>
      </c>
      <c r="BE248" s="69" t="str">
        <f>IFERROR(-BE243/BE245,"")</f>
        <v/>
      </c>
      <c r="BF248" s="42" t="n"/>
      <c r="BG248" s="69" t="n"/>
      <c r="BH248" s="69" t="n"/>
      <c r="BI248" s="69" t="n"/>
      <c r="BJ248" s="69" t="n"/>
      <c r="BK248" s="42" t="n"/>
      <c r="BL248" s="69" t="n"/>
      <c r="BM248" s="69" t="n"/>
      <c r="BN248" s="69" t="n"/>
      <c r="BO248" s="69" t="n"/>
      <c r="BP248" s="42" t="n"/>
      <c r="BQ248" s="69" t="n"/>
      <c r="BR248" s="69" t="n"/>
      <c r="BS248" s="69" t="n"/>
      <c r="BT248" s="69" t="n"/>
      <c r="BU248" s="42" t="n"/>
      <c r="BV248" s="69" t="n"/>
      <c r="BW248" s="69" t="n"/>
      <c r="BX248" s="69" t="n"/>
      <c r="BY248" s="69" t="n"/>
      <c r="BZ248" s="42" t="n"/>
      <c r="CA248" s="69" t="n"/>
      <c r="CB248" s="69" t="n"/>
      <c r="CC248" s="69" t="n"/>
      <c r="CD248" s="69" t="n"/>
      <c r="CE248" s="42" t="n"/>
      <c r="CF248" s="69" t="n"/>
      <c r="CG248" s="69" t="n"/>
      <c r="CH248" s="69" t="n"/>
      <c r="CI248" s="69" t="n"/>
      <c r="CJ248" s="42" t="n"/>
      <c r="CK248" s="69" t="n"/>
      <c r="CL248" s="69" t="n"/>
      <c r="CM248" s="69" t="n"/>
      <c r="CN248" s="69" t="n"/>
      <c r="CO248" s="42" t="n"/>
      <c r="CP248" s="69" t="n"/>
      <c r="CQ248" s="69" t="n"/>
      <c r="CR248" s="69" t="n"/>
      <c r="CS248" s="69" t="n"/>
      <c r="CT248" s="42" t="n"/>
      <c r="CU248" s="69" t="n"/>
      <c r="CV248" s="69" t="n"/>
      <c r="CW248" s="69" t="n"/>
      <c r="CX248" s="69" t="n"/>
      <c r="CY248" s="42" t="n"/>
    </row>
    <row r="249" hidden="1" outlineLevel="1" customFormat="1" s="66">
      <c r="A249" s="37" t="n"/>
      <c r="B249" s="37" t="n"/>
      <c r="C249" s="67" t="inlineStr">
        <is>
          <t>Shares issued</t>
        </is>
      </c>
      <c r="D249" s="42" t="n"/>
      <c r="E249" s="42" t="n"/>
      <c r="F249" s="42" t="n"/>
      <c r="G249" s="42" t="n"/>
      <c r="H249" s="42" t="n"/>
      <c r="I249" s="42" t="n"/>
      <c r="J249" s="42" t="n"/>
      <c r="K249" s="42" t="n"/>
      <c r="L249" s="42" t="n"/>
      <c r="M249" s="42" t="n"/>
      <c r="N249" s="42" t="n"/>
      <c r="O249" s="42" t="n"/>
      <c r="P249" s="42" t="n"/>
      <c r="Q249" s="42" t="n"/>
      <c r="R249" s="42" t="n"/>
      <c r="S249" s="42" t="n"/>
      <c r="T249" s="42" t="n"/>
      <c r="U249" s="42" t="n"/>
      <c r="V249" s="42" t="n"/>
      <c r="W249" s="42" t="n"/>
      <c r="X249" s="42" t="n"/>
      <c r="Y249" s="42" t="n"/>
      <c r="Z249" s="42" t="n"/>
      <c r="AA249" s="42" t="n"/>
      <c r="AB249" s="42" t="n"/>
      <c r="AC249" s="42" t="n"/>
      <c r="AD249" s="42" t="n"/>
      <c r="AE249" s="42" t="n"/>
      <c r="AF249" s="9" t="n"/>
      <c r="AG249" s="42" t="n"/>
      <c r="AH249" s="69" t="str">
        <f>IFERROR(AH244/AH245,"")</f>
        <v/>
      </c>
      <c r="AI249" s="69" t="str">
        <f>IFERROR(AI244/AI245,"")</f>
        <v/>
      </c>
      <c r="AJ249" s="69" t="str">
        <f>IFERROR(AJ244/AJ245,"")</f>
        <v/>
      </c>
      <c r="AK249" s="69" t="str">
        <f>IFERROR(AK244/AK245,"")</f>
        <v/>
      </c>
      <c r="AL249" s="42" t="n"/>
      <c r="AM249" s="69" t="str">
        <f>IFERROR(AM244/AM245,"")</f>
        <v/>
      </c>
      <c r="AN249" s="69" t="str">
        <f>IFERROR(AN244/AN245,"")</f>
        <v/>
      </c>
      <c r="AO249" s="69" t="str">
        <f>IFERROR(AO244/AO245,"")</f>
        <v/>
      </c>
      <c r="AP249" s="69" t="str">
        <f>IFERROR(AP244/AP245,"")</f>
        <v/>
      </c>
      <c r="AQ249" s="42" t="n"/>
      <c r="AR249" s="69" t="str">
        <f>IFERROR(AR244/AR245,"")</f>
        <v/>
      </c>
      <c r="AS249" s="69" t="str">
        <f>IFERROR(AS244/AS245,"")</f>
        <v/>
      </c>
      <c r="AT249" s="69" t="str">
        <f>IFERROR(AT244/AT245,"")</f>
        <v/>
      </c>
      <c r="AU249" s="69" t="str">
        <f>IFERROR(AU244/AU245,"")</f>
        <v/>
      </c>
      <c r="AV249" s="42" t="n"/>
      <c r="AW249" s="69" t="str">
        <f>IFERROR(AW244/AW245,"")</f>
        <v/>
      </c>
      <c r="AX249" s="69" t="str">
        <f>IFERROR(AX244/AX245,"")</f>
        <v/>
      </c>
      <c r="AY249" s="69" t="str">
        <f>IFERROR(AY244/AY245,"")</f>
        <v/>
      </c>
      <c r="AZ249" s="69" t="str">
        <f>IFERROR(AZ244/AZ245,"")</f>
        <v/>
      </c>
      <c r="BA249" s="42" t="n"/>
      <c r="BB249" s="69" t="str">
        <f>IFERROR(BB244/BB245,"")</f>
        <v/>
      </c>
      <c r="BC249" s="69" t="str">
        <f>IFERROR(BC244/BC245,"")</f>
        <v/>
      </c>
      <c r="BD249" s="69" t="str">
        <f>IFERROR(BD244/BD245,"")</f>
        <v/>
      </c>
      <c r="BE249" s="69" t="str">
        <f>IFERROR(BE244/BE245,"")</f>
        <v/>
      </c>
      <c r="BF249" s="42" t="n"/>
      <c r="BG249" s="69" t="n"/>
      <c r="BH249" s="69" t="n"/>
      <c r="BI249" s="69" t="n"/>
      <c r="BJ249" s="69" t="n"/>
      <c r="BK249" s="42" t="n"/>
      <c r="BL249" s="69" t="n"/>
      <c r="BM249" s="69" t="n"/>
      <c r="BN249" s="69" t="n"/>
      <c r="BO249" s="69" t="n"/>
      <c r="BP249" s="42" t="n"/>
      <c r="BQ249" s="69" t="n"/>
      <c r="BR249" s="69" t="n"/>
      <c r="BS249" s="69" t="n"/>
      <c r="BT249" s="69" t="n"/>
      <c r="BU249" s="42" t="n"/>
      <c r="BV249" s="69" t="n"/>
      <c r="BW249" s="69" t="n"/>
      <c r="BX249" s="69" t="n"/>
      <c r="BY249" s="69" t="n"/>
      <c r="BZ249" s="42" t="n"/>
      <c r="CA249" s="69" t="n"/>
      <c r="CB249" s="69" t="n"/>
      <c r="CC249" s="69" t="n"/>
      <c r="CD249" s="69" t="n"/>
      <c r="CE249" s="42" t="n"/>
      <c r="CF249" s="69" t="n"/>
      <c r="CG249" s="69" t="n"/>
      <c r="CH249" s="69" t="n"/>
      <c r="CI249" s="69" t="n"/>
      <c r="CJ249" s="42" t="n"/>
      <c r="CK249" s="69" t="n"/>
      <c r="CL249" s="69" t="n"/>
      <c r="CM249" s="69" t="n"/>
      <c r="CN249" s="69" t="n"/>
      <c r="CO249" s="42" t="n"/>
      <c r="CP249" s="69" t="n"/>
      <c r="CQ249" s="69" t="n"/>
      <c r="CR249" s="69" t="n"/>
      <c r="CS249" s="69" t="n"/>
      <c r="CT249" s="42" t="n"/>
      <c r="CU249" s="69" t="n"/>
      <c r="CV249" s="69" t="n"/>
      <c r="CW249" s="69" t="n"/>
      <c r="CX249" s="69" t="n"/>
      <c r="CY249" s="42" t="n"/>
    </row>
    <row r="250" hidden="1" outlineLevel="1" customFormat="1" s="66">
      <c r="A250" s="37" t="n"/>
      <c r="B250" s="37" t="n"/>
      <c r="C250" s="67" t="inlineStr">
        <is>
          <t>End of period basic shares outstanding</t>
        </is>
      </c>
      <c r="D250" s="42" t="n"/>
      <c r="E250" s="42" t="n"/>
      <c r="F250" s="42" t="n"/>
      <c r="G250" s="42" t="n"/>
      <c r="H250" s="42" t="n"/>
      <c r="I250" s="42" t="n"/>
      <c r="J250" s="42" t="n"/>
      <c r="K250" s="42" t="n"/>
      <c r="L250" s="42" t="n"/>
      <c r="M250" s="42" t="n"/>
      <c r="N250" s="42" t="n"/>
      <c r="O250" s="42" t="n"/>
      <c r="P250" s="42" t="n"/>
      <c r="Q250" s="42" t="n"/>
      <c r="R250" s="42" t="n"/>
      <c r="S250" s="42" t="n"/>
      <c r="T250" s="42" t="n"/>
      <c r="U250" s="42" t="n"/>
      <c r="V250" s="42" t="n"/>
      <c r="W250" s="42" t="n"/>
      <c r="X250" s="42" t="n"/>
      <c r="Y250" s="42" t="n"/>
      <c r="Z250" s="42" t="n"/>
      <c r="AA250" s="42" t="n"/>
      <c r="AB250" s="42" t="n"/>
      <c r="AC250" s="42" t="n"/>
      <c r="AD250" s="42" t="n"/>
      <c r="AE250" s="42" t="n"/>
      <c r="AF250" s="42" t="n"/>
      <c r="AG250" s="42" t="n"/>
      <c r="AH250" s="3" t="str">
        <f>IFERROR(AG250+AH249-AH248,"")</f>
        <v/>
      </c>
      <c r="AI250" s="3" t="str">
        <f>IFERROR(AH250+AI249-AI248,"")</f>
        <v/>
      </c>
      <c r="AJ250" s="69" t="str">
        <f>IFERROR(AH250+AJ249-AJ248,"")</f>
        <v/>
      </c>
      <c r="AK250" s="69" t="str">
        <f>IFERROR(AJ250+AK249-AK248,"")</f>
        <v/>
      </c>
      <c r="AL250" s="42" t="n"/>
      <c r="AM250" s="3" t="str">
        <f>IFERROR(AK250+AM249-AM248,"")</f>
        <v/>
      </c>
      <c r="AN250" s="3" t="str">
        <f>IFERROR(AM250+AN249-AN248,"")</f>
        <v/>
      </c>
      <c r="AO250" s="69" t="str">
        <f>IFERROR(AM250+AO249-AO248,"")</f>
        <v/>
      </c>
      <c r="AP250" s="69" t="str">
        <f>IFERROR(AO250+AP249-AP248,"")</f>
        <v/>
      </c>
      <c r="AQ250" s="42" t="n"/>
      <c r="AR250" s="3" t="str">
        <f>IFERROR(AP250+AR249-AR248,"")</f>
        <v/>
      </c>
      <c r="AS250" s="3" t="str">
        <f>IFERROR(AR250+AS249-AS248,"")</f>
        <v/>
      </c>
      <c r="AT250" s="69" t="str">
        <f>IFERROR(AR250+AT249-AT248,"")</f>
        <v/>
      </c>
      <c r="AU250" s="69" t="str">
        <f>IFERROR(AT250+AU249-AU248,"")</f>
        <v/>
      </c>
      <c r="AV250" s="42" t="n"/>
      <c r="AW250" s="3" t="str">
        <f>IFERROR(AU250+AW249-AW248,"")</f>
        <v/>
      </c>
      <c r="AX250" s="3" t="str">
        <f>IFERROR(AW250+AX249-AX248,"")</f>
        <v/>
      </c>
      <c r="AY250" s="69" t="str">
        <f>IFERROR(AW250+AY249-AY248,"")</f>
        <v/>
      </c>
      <c r="AZ250" s="69" t="str">
        <f>IFERROR(AY250+AZ249-AZ248,"")</f>
        <v/>
      </c>
      <c r="BA250" s="42" t="n"/>
      <c r="BB250" s="3" t="str">
        <f>IFERROR(AZ250+BB249-BB248,"")</f>
        <v/>
      </c>
      <c r="BC250" s="3" t="str">
        <f>IFERROR(BB250+BC249-BC248,"")</f>
        <v/>
      </c>
      <c r="BD250" s="69" t="str">
        <f>IFERROR(BB250+BD249-BD248,"")</f>
        <v/>
      </c>
      <c r="BE250" s="69" t="str">
        <f>IFERROR(BD250+BE249-BE248,"")</f>
        <v/>
      </c>
      <c r="BF250" s="42" t="n"/>
      <c r="BG250" s="3" t="n"/>
      <c r="BH250" s="3" t="n"/>
      <c r="BI250" s="69" t="n"/>
      <c r="BJ250" s="69" t="n"/>
      <c r="BK250" s="42" t="n"/>
      <c r="BL250" s="3" t="n"/>
      <c r="BM250" s="3" t="n"/>
      <c r="BN250" s="69" t="n"/>
      <c r="BO250" s="69" t="n"/>
      <c r="BP250" s="42" t="n"/>
      <c r="BQ250" s="3" t="n"/>
      <c r="BR250" s="3" t="n"/>
      <c r="BS250" s="69" t="n"/>
      <c r="BT250" s="69" t="n"/>
      <c r="BU250" s="42" t="n"/>
      <c r="BV250" s="3" t="n"/>
      <c r="BW250" s="3" t="n"/>
      <c r="BX250" s="69" t="n"/>
      <c r="BY250" s="69" t="n"/>
      <c r="BZ250" s="42" t="n"/>
      <c r="CA250" s="3" t="n"/>
      <c r="CB250" s="3" t="n"/>
      <c r="CC250" s="69" t="n"/>
      <c r="CD250" s="69" t="n"/>
      <c r="CE250" s="42" t="n"/>
      <c r="CF250" s="3" t="n"/>
      <c r="CG250" s="3" t="n"/>
      <c r="CH250" s="69" t="n"/>
      <c r="CI250" s="69" t="n"/>
      <c r="CJ250" s="42" t="n"/>
      <c r="CK250" s="3" t="n"/>
      <c r="CL250" s="3" t="n"/>
      <c r="CM250" s="69" t="n"/>
      <c r="CN250" s="69" t="n"/>
      <c r="CO250" s="42" t="n"/>
      <c r="CP250" s="3" t="n"/>
      <c r="CQ250" s="3" t="n"/>
      <c r="CR250" s="69" t="n"/>
      <c r="CS250" s="69" t="n"/>
      <c r="CT250" s="42" t="n"/>
      <c r="CU250" s="3" t="n"/>
      <c r="CV250" s="3" t="n"/>
      <c r="CW250" s="69" t="n"/>
      <c r="CX250" s="69" t="n"/>
      <c r="CY250" s="42" t="n"/>
    </row>
    <row r="251" hidden="1" outlineLevel="1" customFormat="1" s="66">
      <c r="A251" s="37" t="n"/>
      <c r="B251" s="37" t="n"/>
      <c r="C251" s="67" t="inlineStr">
        <is>
          <t>Weighted average basic shares outstanding</t>
        </is>
      </c>
      <c r="D251" s="42" t="n"/>
      <c r="E251" s="42" t="n"/>
      <c r="F251" s="42" t="n"/>
      <c r="G251" s="42" t="n"/>
      <c r="H251" s="42" t="n"/>
      <c r="I251" s="42" t="n"/>
      <c r="J251" s="42" t="n"/>
      <c r="K251" s="42" t="n"/>
      <c r="L251" s="42" t="n"/>
      <c r="M251" s="42" t="n"/>
      <c r="N251" s="42" t="n"/>
      <c r="O251" s="42" t="n"/>
      <c r="P251" s="42" t="n"/>
      <c r="Q251" s="42" t="n"/>
      <c r="R251" s="42" t="n"/>
      <c r="S251" s="42" t="n"/>
      <c r="T251" s="42" t="n"/>
      <c r="U251" s="42" t="n"/>
      <c r="V251" s="42" t="n"/>
      <c r="W251" s="42" t="n"/>
      <c r="X251" s="42" t="n"/>
      <c r="Y251" s="42" t="n"/>
      <c r="Z251" s="42" t="n"/>
      <c r="AA251" s="42" t="n"/>
      <c r="AB251" s="42" t="n"/>
      <c r="AC251" s="42" t="n"/>
      <c r="AD251" s="42" t="n"/>
      <c r="AE251" s="42" t="n"/>
      <c r="AF251" s="42" t="n"/>
      <c r="AG251" s="42" t="n"/>
      <c r="AH251" s="69" t="str">
        <f>IFERROR(AVERAGE(AG250,AH250),"")</f>
        <v/>
      </c>
      <c r="AI251" s="69" t="str">
        <f>IFERROR(AVERAGE(AH250,AI250),"")</f>
        <v/>
      </c>
      <c r="AJ251" s="69" t="str">
        <f>IFERROR(AVERAGE(AH250,AJ250),"")</f>
        <v/>
      </c>
      <c r="AK251" s="69" t="str">
        <f>IFERROR(AVERAGE(AJ250,AK250),"")</f>
        <v/>
      </c>
      <c r="AL251" s="42" t="n"/>
      <c r="AM251" s="69" t="str">
        <f>IFERROR(AVERAGE(AL250,AM250),"")</f>
        <v/>
      </c>
      <c r="AN251" s="69" t="str">
        <f>IFERROR(AVERAGE(AM250,AN250),"")</f>
        <v/>
      </c>
      <c r="AO251" s="69" t="str">
        <f>IFERROR(AVERAGE(AM250,AO250),"")</f>
        <v/>
      </c>
      <c r="AP251" s="69" t="str">
        <f>IFERROR(AVERAGE(AO250,AP250),"")</f>
        <v/>
      </c>
      <c r="AQ251" s="42" t="n"/>
      <c r="AR251" s="69" t="str">
        <f>IFERROR(AVERAGE(AQ250,AR250),"")</f>
        <v/>
      </c>
      <c r="AS251" s="69" t="str">
        <f>IFERROR(AVERAGE(AR250,AS250),"")</f>
        <v/>
      </c>
      <c r="AT251" s="69" t="str">
        <f>IFERROR(AVERAGE(AR250,AT250),"")</f>
        <v/>
      </c>
      <c r="AU251" s="69" t="str">
        <f>IFERROR(AVERAGE(AT250,AU250),"")</f>
        <v/>
      </c>
      <c r="AV251" s="42" t="n"/>
      <c r="AW251" s="69" t="str">
        <f>IFERROR(AVERAGE(AV250,AW250),"")</f>
        <v/>
      </c>
      <c r="AX251" s="69" t="str">
        <f>IFERROR(AVERAGE(AW250,AX250),"")</f>
        <v/>
      </c>
      <c r="AY251" s="69" t="str">
        <f>IFERROR(AVERAGE(AW250,AY250),"")</f>
        <v/>
      </c>
      <c r="AZ251" s="69" t="str">
        <f>IFERROR(AVERAGE(AY250,AZ250),"")</f>
        <v/>
      </c>
      <c r="BA251" s="42" t="n"/>
      <c r="BB251" s="69" t="str">
        <f>IFERROR(AVERAGE(BA250,BB250),"")</f>
        <v/>
      </c>
      <c r="BC251" s="69" t="str">
        <f>IFERROR(AVERAGE(BB250,BC250),"")</f>
        <v/>
      </c>
      <c r="BD251" s="69" t="str">
        <f>IFERROR(AVERAGE(BB250,BD250),"")</f>
        <v/>
      </c>
      <c r="BE251" s="69" t="str">
        <f>IFERROR(AVERAGE(BD250,BE250),"")</f>
        <v/>
      </c>
      <c r="BF251" s="42" t="n"/>
      <c r="BG251" s="69" t="n"/>
      <c r="BH251" s="69" t="n"/>
      <c r="BI251" s="69" t="n"/>
      <c r="BJ251" s="69" t="n"/>
      <c r="BK251" s="42" t="n"/>
      <c r="BL251" s="69" t="n"/>
      <c r="BM251" s="69" t="n"/>
      <c r="BN251" s="69" t="n"/>
      <c r="BO251" s="69" t="n"/>
      <c r="BP251" s="42" t="n"/>
      <c r="BQ251" s="69" t="n"/>
      <c r="BR251" s="69" t="n"/>
      <c r="BS251" s="69" t="n"/>
      <c r="BT251" s="69" t="n"/>
      <c r="BU251" s="42" t="n"/>
      <c r="BV251" s="69" t="n"/>
      <c r="BW251" s="69" t="n"/>
      <c r="BX251" s="69" t="n"/>
      <c r="BY251" s="69" t="n"/>
      <c r="BZ251" s="42" t="n"/>
      <c r="CA251" s="69" t="n"/>
      <c r="CB251" s="69" t="n"/>
      <c r="CC251" s="69" t="n"/>
      <c r="CD251" s="69" t="n"/>
      <c r="CE251" s="42" t="n"/>
      <c r="CF251" s="69" t="n"/>
      <c r="CG251" s="69" t="n"/>
      <c r="CH251" s="69" t="n"/>
      <c r="CI251" s="69" t="n"/>
      <c r="CJ251" s="42" t="n"/>
      <c r="CK251" s="69" t="n"/>
      <c r="CL251" s="69" t="n"/>
      <c r="CM251" s="69" t="n"/>
      <c r="CN251" s="69" t="n"/>
      <c r="CO251" s="42" t="n"/>
      <c r="CP251" s="69" t="n"/>
      <c r="CQ251" s="69" t="n"/>
      <c r="CR251" s="69" t="n"/>
      <c r="CS251" s="69" t="n"/>
      <c r="CT251" s="42" t="n"/>
      <c r="CU251" s="69" t="n"/>
      <c r="CV251" s="69" t="n"/>
      <c r="CW251" s="69" t="n"/>
      <c r="CX251" s="69" t="n"/>
      <c r="CY251" s="42" t="n"/>
    </row>
    <row r="252" hidden="1" outlineLevel="1" customFormat="1" s="66">
      <c r="A252" s="37" t="n"/>
      <c r="B252" s="37" t="n"/>
      <c r="C252" s="67" t="n"/>
      <c r="D252" s="42" t="n"/>
      <c r="E252" s="42" t="n"/>
      <c r="F252" s="42" t="n"/>
      <c r="G252" s="42" t="n"/>
      <c r="H252" s="12" t="n"/>
      <c r="I252" s="42" t="n"/>
      <c r="J252" s="42" t="n"/>
      <c r="K252" s="42" t="n"/>
      <c r="L252" s="42" t="n"/>
      <c r="M252" s="12" t="n"/>
      <c r="N252" s="42" t="n"/>
      <c r="O252" s="42" t="n"/>
      <c r="P252" s="42" t="n"/>
      <c r="Q252" s="42" t="n"/>
      <c r="R252" s="12" t="n"/>
      <c r="S252" s="42" t="n"/>
      <c r="T252" s="42" t="n"/>
      <c r="U252" s="42" t="n"/>
      <c r="V252" s="42" t="n"/>
      <c r="W252" s="12" t="n"/>
      <c r="X252" s="42" t="n"/>
      <c r="Y252" s="42" t="n"/>
      <c r="Z252" s="42" t="n"/>
      <c r="AA252" s="42" t="n"/>
      <c r="AB252" s="12" t="n"/>
      <c r="AC252" s="42" t="n"/>
      <c r="AD252" s="42" t="n"/>
      <c r="AE252" s="42" t="n"/>
      <c r="AF252" s="42" t="n"/>
      <c r="AG252" s="12" t="n"/>
      <c r="AH252" s="42" t="n"/>
      <c r="AI252" s="42" t="n"/>
      <c r="AJ252" s="42" t="n"/>
      <c r="AK252" s="42" t="n"/>
      <c r="AL252" s="12" t="n"/>
      <c r="AM252" s="42" t="n"/>
      <c r="AN252" s="42" t="n"/>
      <c r="AO252" s="42" t="n"/>
      <c r="AP252" s="42" t="n"/>
      <c r="AQ252" s="12" t="n"/>
      <c r="AR252" s="42" t="n"/>
      <c r="AS252" s="42" t="n"/>
      <c r="AT252" s="42" t="n"/>
      <c r="AU252" s="42" t="n"/>
      <c r="AV252" s="12" t="n"/>
      <c r="AW252" s="42" t="n"/>
      <c r="AX252" s="42" t="n"/>
      <c r="AY252" s="42" t="n"/>
      <c r="AZ252" s="42" t="n"/>
      <c r="BA252" s="12" t="n"/>
      <c r="BB252" s="42" t="n"/>
      <c r="BC252" s="42" t="n"/>
      <c r="BD252" s="42" t="n"/>
      <c r="BE252" s="42" t="n"/>
      <c r="BF252" s="12" t="n"/>
      <c r="BG252" s="42" t="n"/>
      <c r="BH252" s="42" t="n"/>
      <c r="BI252" s="42" t="n"/>
      <c r="BJ252" s="42" t="n"/>
      <c r="BK252" s="12" t="n"/>
      <c r="BL252" s="42" t="n"/>
      <c r="BM252" s="42" t="n"/>
      <c r="BN252" s="42" t="n"/>
      <c r="BO252" s="42" t="n"/>
      <c r="BP252" s="12" t="n"/>
      <c r="BQ252" s="42" t="n"/>
      <c r="BR252" s="42" t="n"/>
      <c r="BS252" s="42" t="n"/>
      <c r="BT252" s="42" t="n"/>
      <c r="BU252" s="12" t="n"/>
      <c r="BV252" s="42" t="n"/>
      <c r="BW252" s="42" t="n"/>
      <c r="BX252" s="42" t="n"/>
      <c r="BY252" s="42" t="n"/>
      <c r="BZ252" s="12" t="n"/>
      <c r="CA252" s="42" t="n"/>
      <c r="CB252" s="42" t="n"/>
      <c r="CC252" s="42" t="n"/>
      <c r="CD252" s="42" t="n"/>
      <c r="CE252" s="12" t="n"/>
      <c r="CF252" s="42" t="n"/>
      <c r="CG252" s="42" t="n"/>
      <c r="CH252" s="42" t="n"/>
      <c r="CI252" s="42" t="n"/>
      <c r="CJ252" s="12" t="n"/>
      <c r="CK252" s="42" t="n"/>
      <c r="CL252" s="42" t="n"/>
      <c r="CM252" s="42" t="n"/>
      <c r="CN252" s="42" t="n"/>
      <c r="CO252" s="12" t="n"/>
      <c r="CP252" s="42" t="n"/>
      <c r="CQ252" s="42" t="n"/>
      <c r="CR252" s="42" t="n"/>
      <c r="CS252" s="42" t="n"/>
      <c r="CT252" s="12" t="n"/>
      <c r="CU252" s="42" t="n"/>
      <c r="CV252" s="42" t="n"/>
      <c r="CW252" s="42" t="n"/>
      <c r="CX252" s="42" t="n"/>
      <c r="CY252" s="12" t="n"/>
    </row>
    <row r="253" collapsed="1">
      <c r="C253" s="14" t="inlineStr">
        <is>
          <t>Treasury stock (contra account)</t>
        </is>
      </c>
      <c r="D253" s="46" t="n"/>
      <c r="E253" s="46" t="n"/>
      <c r="F253" s="46" t="n"/>
      <c r="G253" s="46" t="n"/>
      <c r="H253" s="12" t="n"/>
      <c r="I253" s="46">
        <f>'Inputs (2)'!D44</f>
        <v>-225773</v>
      </c>
      <c r="J253" s="46">
        <f>'Inputs (2)'!E44</f>
        <v>-225771</v>
      </c>
      <c r="K253" s="46">
        <f>'Inputs (2)'!F44</f>
        <v>-225771</v>
      </c>
      <c r="L253" s="46">
        <f>'Inputs (2)'!G44</f>
        <v>-225464</v>
      </c>
      <c r="M253" s="12">
        <f>'Inputs (2)'!H44</f>
        <v>-225464</v>
      </c>
      <c r="N253" s="46">
        <f>'Inputs (2)'!I44</f>
        <v>-227529</v>
      </c>
      <c r="O253" s="46">
        <f>'Inputs (2)'!J44</f>
        <v>-231587</v>
      </c>
      <c r="P253" s="46">
        <f>'Inputs (2)'!K44</f>
        <v>-236080</v>
      </c>
      <c r="Q253" s="46">
        <f>'Inputs (2)'!L44</f>
        <v>-240293</v>
      </c>
      <c r="R253" s="12">
        <f>'Inputs (2)'!M44</f>
        <v>-240293</v>
      </c>
      <c r="S253" s="46">
        <f>'Inputs (2)'!N44</f>
        <v>-244676</v>
      </c>
      <c r="T253" s="46">
        <f>'Inputs (2)'!O44</f>
        <v>-249057</v>
      </c>
      <c r="U253" s="46">
        <f>'Inputs (2)'!P44</f>
        <v>-253512</v>
      </c>
      <c r="V253" s="46">
        <f>'Inputs (2)'!Q44</f>
        <v>-254917</v>
      </c>
      <c r="W253" s="12">
        <f>'Inputs (2)'!R44</f>
        <v>-254917</v>
      </c>
      <c r="X253" s="46">
        <f>'Inputs (2)'!S44</f>
        <v>-257891</v>
      </c>
      <c r="Y253" s="46">
        <f>'Inputs (2)'!T44</f>
        <v>-228483</v>
      </c>
      <c r="Z253" s="46">
        <f>'Inputs (2)'!U44</f>
        <v>-234049</v>
      </c>
      <c r="AA253" s="46">
        <f>'Inputs (2)'!V44</f>
        <v>-238817</v>
      </c>
      <c r="AB253" s="12">
        <f>'Inputs (2)'!W44</f>
        <v>-238817</v>
      </c>
      <c r="AC253" s="46">
        <f>'Inputs (2)'!X44</f>
        <v>-243658</v>
      </c>
      <c r="AD253" s="46">
        <f>'Inputs (2)'!Y44</f>
        <v>-248661</v>
      </c>
      <c r="AE253" s="46">
        <f>'Inputs (2)'!Z44</f>
        <v>-253832</v>
      </c>
      <c r="AF253" s="46">
        <f>'Inputs (2)'!AA44</f>
        <v>-258395</v>
      </c>
      <c r="AG253" s="12">
        <f>'Inputs (2)'!AB44</f>
        <v>-258395</v>
      </c>
      <c r="AH253" s="12">
        <f>'Inputs (2)'!AC44</f>
        <v>-263291</v>
      </c>
      <c r="AI253" s="12">
        <f>'Inputs (2)'!AD44</f>
        <v>-268276</v>
      </c>
      <c r="AJ253" s="12">
        <f>AI253</f>
        <v>-268276</v>
      </c>
      <c r="AK253" s="12">
        <f>AJ253</f>
        <v>-268276</v>
      </c>
      <c r="AL253" s="12">
        <f>AK253</f>
        <v>-268276</v>
      </c>
      <c r="AM253" s="12">
        <f>AL253</f>
        <v>-268276</v>
      </c>
      <c r="AN253" s="12">
        <f>AM253</f>
        <v>-268276</v>
      </c>
      <c r="AO253" s="12">
        <f>AN253</f>
        <v>-268276</v>
      </c>
      <c r="AP253" s="12">
        <f>AO253</f>
        <v>-268276</v>
      </c>
      <c r="AQ253" s="12">
        <f>AP253</f>
        <v>-268276</v>
      </c>
      <c r="AR253" s="12">
        <f>AQ253</f>
        <v>-268276</v>
      </c>
      <c r="AS253" s="12">
        <f>AR253</f>
        <v>-268276</v>
      </c>
      <c r="AT253" s="12">
        <f>AS253</f>
        <v>-268276</v>
      </c>
      <c r="AU253" s="12">
        <f>AT253</f>
        <v>-268276</v>
      </c>
      <c r="AV253" s="12">
        <f>AU253</f>
        <v>-268276</v>
      </c>
      <c r="AW253" s="12">
        <f>AV253</f>
        <v>-268276</v>
      </c>
      <c r="AX253" s="12">
        <f>AW253</f>
        <v>-268276</v>
      </c>
      <c r="AY253" s="12">
        <f>AX253</f>
        <v>-268276</v>
      </c>
      <c r="AZ253" s="12">
        <f>AY253</f>
        <v>-268276</v>
      </c>
      <c r="BA253" s="12">
        <f>AZ253</f>
        <v>-268276</v>
      </c>
      <c r="BB253" s="12">
        <f>BA253</f>
        <v>-268276</v>
      </c>
      <c r="BC253" s="12">
        <f>BB253</f>
        <v>-268276</v>
      </c>
      <c r="BD253" s="12">
        <f>BC253</f>
        <v>-268276</v>
      </c>
      <c r="BE253" s="12">
        <f>BD253</f>
        <v>-268276</v>
      </c>
      <c r="BF253" s="12">
        <f>BE253</f>
        <v>-268276</v>
      </c>
      <c r="BG253" s="12" t="n"/>
      <c r="BH253" s="12" t="n"/>
      <c r="BI253" s="12" t="n"/>
      <c r="BJ253" s="12" t="n"/>
      <c r="BK253" s="12" t="n"/>
      <c r="BL253" s="12" t="n"/>
      <c r="BM253" s="12" t="n"/>
      <c r="BN253" s="12" t="n"/>
      <c r="BO253" s="12" t="n"/>
      <c r="BP253" s="12" t="n"/>
      <c r="BQ253" s="12" t="n"/>
      <c r="BR253" s="12" t="n"/>
      <c r="BS253" s="12" t="n"/>
      <c r="BT253" s="12" t="n"/>
      <c r="BU253" s="12" t="n"/>
      <c r="BV253" s="12" t="n"/>
      <c r="BW253" s="12" t="n"/>
      <c r="BX253" s="12" t="n"/>
      <c r="BY253" s="12" t="n"/>
      <c r="BZ253" s="12" t="n"/>
      <c r="CA253" s="12" t="n"/>
      <c r="CB253" s="12" t="n"/>
      <c r="CC253" s="12" t="n"/>
      <c r="CD253" s="12" t="n"/>
      <c r="CE253" s="12" t="n"/>
      <c r="CF253" s="12" t="n"/>
      <c r="CG253" s="12" t="n"/>
      <c r="CH253" s="12" t="n"/>
      <c r="CI253" s="12" t="n"/>
      <c r="CJ253" s="12" t="n"/>
      <c r="CK253" s="12" t="n"/>
      <c r="CL253" s="12" t="n"/>
      <c r="CM253" s="12" t="n"/>
      <c r="CN253" s="12" t="n"/>
      <c r="CO253" s="12" t="n"/>
      <c r="CP253" s="12" t="n"/>
      <c r="CQ253" s="12" t="n"/>
      <c r="CR253" s="12" t="n"/>
      <c r="CS253" s="12" t="n"/>
      <c r="CT253" s="12" t="n"/>
      <c r="CU253" s="12" t="n"/>
      <c r="CV253" s="12" t="n"/>
      <c r="CW253" s="12" t="n"/>
      <c r="CX253" s="12" t="n"/>
      <c r="CY253" s="12" t="n"/>
    </row>
    <row r="254">
      <c r="C254" s="14" t="inlineStr">
        <is>
          <t>Comprehensive (accumulated) loss</t>
        </is>
      </c>
      <c r="D254" s="46" t="n"/>
      <c r="E254" s="46" t="n"/>
      <c r="F254" s="46" t="n"/>
      <c r="G254" s="46" t="n"/>
      <c r="H254" s="12" t="n"/>
      <c r="I254" s="46">
        <f>'Inputs (2)'!D45</f>
        <v>-16090</v>
      </c>
      <c r="J254" s="46">
        <f>'Inputs (2)'!E45</f>
        <v>-15586</v>
      </c>
      <c r="K254" s="46">
        <f>'Inputs (2)'!F45</f>
        <v>-16696</v>
      </c>
      <c r="L254" s="46">
        <f>'Inputs (2)'!G45</f>
        <v>-13764</v>
      </c>
      <c r="M254" s="12">
        <f>'Inputs (2)'!H45</f>
        <v>-13764</v>
      </c>
      <c r="N254" s="46">
        <f>'Inputs (2)'!I45</f>
        <v>-12914</v>
      </c>
      <c r="O254" s="46">
        <f>'Inputs (2)'!J45</f>
        <v>-15017</v>
      </c>
      <c r="P254" s="46">
        <f>'Inputs (2)'!K45</f>
        <v>-17803</v>
      </c>
      <c r="Q254" s="46">
        <f>'Inputs (2)'!L45</f>
        <v>-13270</v>
      </c>
      <c r="R254" s="12">
        <f>'Inputs (2)'!M45</f>
        <v>-13270</v>
      </c>
      <c r="S254" s="46">
        <f>'Inputs (2)'!N45</f>
        <v>-13095</v>
      </c>
      <c r="T254" s="46">
        <f>'Inputs (2)'!O45</f>
        <v>-12657</v>
      </c>
      <c r="U254" s="46">
        <f>'Inputs (2)'!P45</f>
        <v>-13088</v>
      </c>
      <c r="V254" s="46">
        <f>'Inputs (2)'!Q45</f>
        <v>-11989</v>
      </c>
      <c r="W254" s="12">
        <f>'Inputs (2)'!R45</f>
        <v>-11989</v>
      </c>
      <c r="X254" s="46">
        <f>'Inputs (2)'!S45</f>
        <v>-13169</v>
      </c>
      <c r="Y254" s="46">
        <f>'Inputs (2)'!T45</f>
        <v>-13187</v>
      </c>
      <c r="Z254" s="46">
        <f>'Inputs (2)'!U45</f>
        <v>-11959</v>
      </c>
      <c r="AA254" s="46">
        <f>'Inputs (2)'!V45</f>
        <v>-14619</v>
      </c>
      <c r="AB254" s="12">
        <f>'Inputs (2)'!W45</f>
        <v>-14619</v>
      </c>
      <c r="AC254" s="46">
        <f>'Inputs (2)'!X45</f>
        <v>-14338</v>
      </c>
      <c r="AD254" s="46">
        <f>'Inputs (2)'!Y45</f>
        <v>-12436</v>
      </c>
      <c r="AE254" s="46">
        <f>'Inputs (2)'!Z45</f>
        <v>-12782</v>
      </c>
      <c r="AF254" s="46">
        <f>'Inputs (2)'!AA45</f>
        <v>-10863</v>
      </c>
      <c r="AG254" s="12">
        <f>'Inputs (2)'!AB45</f>
        <v>-10863</v>
      </c>
      <c r="AH254" s="12">
        <f>'Inputs (2)'!AC45</f>
        <v>-11098</v>
      </c>
      <c r="AI254" s="12">
        <f>'Inputs (2)'!AD45</f>
        <v>-11549</v>
      </c>
      <c r="AJ254" s="12">
        <f>AI254</f>
        <v>-11549</v>
      </c>
      <c r="AK254" s="12">
        <f>AJ254</f>
        <v>-11549</v>
      </c>
      <c r="AL254" s="12">
        <f>AK254</f>
        <v>-11549</v>
      </c>
      <c r="AM254" s="12">
        <f>AL254</f>
        <v>-11549</v>
      </c>
      <c r="AN254" s="12">
        <f>AM254</f>
        <v>-11549</v>
      </c>
      <c r="AO254" s="12">
        <f>AN254</f>
        <v>-11549</v>
      </c>
      <c r="AP254" s="12">
        <f>AO254</f>
        <v>-11549</v>
      </c>
      <c r="AQ254" s="12">
        <f>AP254</f>
        <v>-11549</v>
      </c>
      <c r="AR254" s="12">
        <f>AQ254</f>
        <v>-11549</v>
      </c>
      <c r="AS254" s="12">
        <f>AR254</f>
        <v>-11549</v>
      </c>
      <c r="AT254" s="12">
        <f>AS254</f>
        <v>-11549</v>
      </c>
      <c r="AU254" s="12">
        <f>AT254</f>
        <v>-11549</v>
      </c>
      <c r="AV254" s="12">
        <f>AU254</f>
        <v>-11549</v>
      </c>
      <c r="AW254" s="12">
        <f>AV254</f>
        <v>-11549</v>
      </c>
      <c r="AX254" s="12">
        <f>AW254</f>
        <v>-11549</v>
      </c>
      <c r="AY254" s="12">
        <f>AX254</f>
        <v>-11549</v>
      </c>
      <c r="AZ254" s="12">
        <f>AY254</f>
        <v>-11549</v>
      </c>
      <c r="BA254" s="12">
        <f>AZ254</f>
        <v>-11549</v>
      </c>
      <c r="BB254" s="12">
        <f>BA254</f>
        <v>-11549</v>
      </c>
      <c r="BC254" s="12">
        <f>BB254</f>
        <v>-11549</v>
      </c>
      <c r="BD254" s="12">
        <f>BC254</f>
        <v>-11549</v>
      </c>
      <c r="BE254" s="12">
        <f>BD254</f>
        <v>-11549</v>
      </c>
      <c r="BF254" s="12">
        <f>BE254</f>
        <v>-11549</v>
      </c>
      <c r="BG254" s="12" t="n"/>
      <c r="BH254" s="12" t="n"/>
      <c r="BI254" s="12" t="n"/>
      <c r="BJ254" s="12" t="n"/>
      <c r="BK254" s="12" t="n"/>
      <c r="BL254" s="12" t="n"/>
      <c r="BM254" s="12" t="n"/>
      <c r="BN254" s="12" t="n"/>
      <c r="BO254" s="12" t="n"/>
      <c r="BP254" s="12" t="n"/>
      <c r="BQ254" s="12" t="n"/>
      <c r="BR254" s="12" t="n"/>
      <c r="BS254" s="12" t="n"/>
      <c r="BT254" s="12" t="n"/>
      <c r="BU254" s="12" t="n"/>
      <c r="BV254" s="12" t="n"/>
      <c r="BW254" s="12" t="n"/>
      <c r="BX254" s="12" t="n"/>
      <c r="BY254" s="12" t="n"/>
      <c r="BZ254" s="12" t="n"/>
      <c r="CA254" s="12" t="n"/>
      <c r="CB254" s="12" t="n"/>
      <c r="CC254" s="12" t="n"/>
      <c r="CD254" s="12" t="n"/>
      <c r="CE254" s="12" t="n"/>
      <c r="CF254" s="12" t="n"/>
      <c r="CG254" s="12" t="n"/>
      <c r="CH254" s="12" t="n"/>
      <c r="CI254" s="12" t="n"/>
      <c r="CJ254" s="12" t="n"/>
      <c r="CK254" s="12" t="n"/>
      <c r="CL254" s="12" t="n"/>
      <c r="CM254" s="12" t="n"/>
      <c r="CN254" s="12" t="n"/>
      <c r="CO254" s="12" t="n"/>
      <c r="CP254" s="12" t="n"/>
      <c r="CQ254" s="12" t="n"/>
      <c r="CR254" s="12" t="n"/>
      <c r="CS254" s="12" t="n"/>
      <c r="CT254" s="12" t="n"/>
      <c r="CU254" s="12" t="n"/>
      <c r="CV254" s="12" t="n"/>
      <c r="CW254" s="12" t="n"/>
      <c r="CX254" s="12" t="n"/>
      <c r="CY254" s="12" t="n"/>
    </row>
    <row r="255">
      <c r="C255" s="14" t="inlineStr">
        <is>
          <t>Other equity account</t>
        </is>
      </c>
      <c r="D255" s="46" t="n"/>
      <c r="E255" s="46" t="n"/>
      <c r="F255" s="46" t="n"/>
      <c r="G255" s="46" t="n"/>
      <c r="H255" s="12" t="n"/>
      <c r="I255" s="46">
        <f>'Inputs (2)'!D46</f>
        <v>0</v>
      </c>
      <c r="J255" s="46">
        <f>'Inputs (2)'!E46</f>
        <v>0</v>
      </c>
      <c r="K255" s="46">
        <f>'Inputs (2)'!F46</f>
        <v>0</v>
      </c>
      <c r="L255" s="46">
        <f>'Inputs (2)'!G46</f>
        <v>0</v>
      </c>
      <c r="M255" s="12">
        <f>'Inputs (2)'!H46</f>
        <v>0</v>
      </c>
      <c r="N255" s="46">
        <f>'Inputs (2)'!I46</f>
        <v>0</v>
      </c>
      <c r="O255" s="46">
        <f>'Inputs (2)'!J46</f>
        <v>0</v>
      </c>
      <c r="P255" s="46">
        <f>'Inputs (2)'!K46</f>
        <v>0</v>
      </c>
      <c r="Q255" s="46">
        <f>'Inputs (2)'!L46</f>
        <v>0</v>
      </c>
      <c r="R255" s="12">
        <f>'Inputs (2)'!M46</f>
        <v>0</v>
      </c>
      <c r="S255" s="46">
        <f>'Inputs (2)'!N46</f>
        <v>0</v>
      </c>
      <c r="T255" s="46">
        <f>'Inputs (2)'!O46</f>
        <v>0</v>
      </c>
      <c r="U255" s="46">
        <f>'Inputs (2)'!P46</f>
        <v>0</v>
      </c>
      <c r="V255" s="46">
        <f>'Inputs (2)'!Q46</f>
        <v>0</v>
      </c>
      <c r="W255" s="12">
        <f>'Inputs (2)'!R46</f>
        <v>0</v>
      </c>
      <c r="X255" s="46">
        <f>'Inputs (2)'!S46</f>
        <v>0</v>
      </c>
      <c r="Y255" s="46">
        <f>'Inputs (2)'!T46</f>
        <v>0</v>
      </c>
      <c r="Z255" s="46">
        <f>'Inputs (2)'!U46</f>
        <v>0</v>
      </c>
      <c r="AA255" s="46">
        <f>'Inputs (2)'!V46</f>
        <v>0</v>
      </c>
      <c r="AB255" s="12">
        <f>'Inputs (2)'!W46</f>
        <v>0</v>
      </c>
      <c r="AC255" s="46">
        <f>'Inputs (2)'!X46</f>
        <v>0</v>
      </c>
      <c r="AD255" s="46">
        <f>'Inputs (2)'!Y46</f>
        <v>0</v>
      </c>
      <c r="AE255" s="46">
        <f>'Inputs (2)'!Z46</f>
        <v>0</v>
      </c>
      <c r="AF255" s="46">
        <f>'Inputs (2)'!AA46</f>
        <v>0</v>
      </c>
      <c r="AG255" s="12">
        <f>'Inputs (2)'!AB46</f>
        <v>0</v>
      </c>
      <c r="AH255" s="12">
        <f>'Inputs (2)'!AC46</f>
        <v>0</v>
      </c>
      <c r="AI255" s="12">
        <f>'Inputs (2)'!AD46</f>
        <v>0</v>
      </c>
      <c r="AJ255" s="12">
        <f>AI255</f>
        <v>0</v>
      </c>
      <c r="AK255" s="12">
        <f>AJ255</f>
        <v>0</v>
      </c>
      <c r="AL255" s="12">
        <f>AK255</f>
        <v>0</v>
      </c>
      <c r="AM255" s="12">
        <f>AL255</f>
        <v>0</v>
      </c>
      <c r="AN255" s="12">
        <f>AM255</f>
        <v>0</v>
      </c>
      <c r="AO255" s="12">
        <f>AN255</f>
        <v>0</v>
      </c>
      <c r="AP255" s="12">
        <f>AO255</f>
        <v>0</v>
      </c>
      <c r="AQ255" s="12">
        <f>AP255</f>
        <v>0</v>
      </c>
      <c r="AR255" s="12">
        <f>AQ255</f>
        <v>0</v>
      </c>
      <c r="AS255" s="12">
        <f>AR255</f>
        <v>0</v>
      </c>
      <c r="AT255" s="12">
        <f>AS255</f>
        <v>0</v>
      </c>
      <c r="AU255" s="12">
        <f>AT255</f>
        <v>0</v>
      </c>
      <c r="AV255" s="12">
        <f>AU255</f>
        <v>0</v>
      </c>
      <c r="AW255" s="12">
        <f>AV255</f>
        <v>0</v>
      </c>
      <c r="AX255" s="12">
        <f>AW255</f>
        <v>0</v>
      </c>
      <c r="AY255" s="12">
        <f>AX255</f>
        <v>0</v>
      </c>
      <c r="AZ255" s="12">
        <f>AY255</f>
        <v>0</v>
      </c>
      <c r="BA255" s="12">
        <f>AZ255</f>
        <v>0</v>
      </c>
      <c r="BB255" s="12">
        <f>BA255</f>
        <v>0</v>
      </c>
      <c r="BC255" s="12">
        <f>BB255</f>
        <v>0</v>
      </c>
      <c r="BD255" s="12">
        <f>BC255</f>
        <v>0</v>
      </c>
      <c r="BE255" s="12">
        <f>BD255</f>
        <v>0</v>
      </c>
      <c r="BF255" s="12">
        <f>BE255</f>
        <v>0</v>
      </c>
      <c r="BG255" s="12" t="n"/>
      <c r="BH255" s="12" t="n"/>
      <c r="BI255" s="12" t="n"/>
      <c r="BJ255" s="12" t="n"/>
      <c r="BK255" s="12" t="n"/>
      <c r="BL255" s="12" t="n"/>
      <c r="BM255" s="12" t="n"/>
      <c r="BN255" s="12" t="n"/>
      <c r="BO255" s="12" t="n"/>
      <c r="BP255" s="12" t="n"/>
      <c r="BQ255" s="12" t="n"/>
      <c r="BR255" s="12" t="n"/>
      <c r="BS255" s="12" t="n"/>
      <c r="BT255" s="12" t="n"/>
      <c r="BU255" s="12" t="n"/>
      <c r="BV255" s="12" t="n"/>
      <c r="BW255" s="12" t="n"/>
      <c r="BX255" s="12" t="n"/>
      <c r="BY255" s="12" t="n"/>
      <c r="BZ255" s="12" t="n"/>
      <c r="CA255" s="12" t="n"/>
      <c r="CB255" s="12" t="n"/>
      <c r="CC255" s="12" t="n"/>
      <c r="CD255" s="12" t="n"/>
      <c r="CE255" s="12" t="n"/>
      <c r="CF255" s="12" t="n"/>
      <c r="CG255" s="12" t="n"/>
      <c r="CH255" s="12" t="n"/>
      <c r="CI255" s="12" t="n"/>
      <c r="CJ255" s="12" t="n"/>
      <c r="CK255" s="12" t="n"/>
      <c r="CL255" s="12" t="n"/>
      <c r="CM255" s="12" t="n"/>
      <c r="CN255" s="12" t="n"/>
      <c r="CO255" s="12" t="n"/>
      <c r="CP255" s="12" t="n"/>
      <c r="CQ255" s="12" t="n"/>
      <c r="CR255" s="12" t="n"/>
      <c r="CS255" s="12" t="n"/>
      <c r="CT255" s="12" t="n"/>
      <c r="CU255" s="12" t="n"/>
      <c r="CV255" s="12" t="n"/>
      <c r="CW255" s="12" t="n"/>
      <c r="CX255" s="12" t="n"/>
      <c r="CY255" s="12" t="n"/>
    </row>
    <row r="256">
      <c r="C256" s="15" t="inlineStr">
        <is>
          <t>Retained earnings</t>
        </is>
      </c>
      <c r="D256" s="46" t="n"/>
      <c r="E256" s="46" t="n"/>
      <c r="F256" s="46" t="n"/>
      <c r="G256" s="46" t="n"/>
      <c r="H256" s="12" t="n"/>
      <c r="I256" s="46">
        <f>'Inputs (2)'!D47</f>
        <v>382953</v>
      </c>
      <c r="J256" s="46">
        <f>'Inputs (2)'!E47</f>
        <v>383922</v>
      </c>
      <c r="K256" s="46">
        <f>'Inputs (2)'!F47</f>
        <v>386952</v>
      </c>
      <c r="L256" s="46">
        <f>'Inputs (2)'!G47</f>
        <v>392059</v>
      </c>
      <c r="M256" s="12">
        <f>'Inputs (2)'!H47</f>
        <v>392059</v>
      </c>
      <c r="N256" s="46">
        <f>'Inputs (2)'!I47</f>
        <v>393779</v>
      </c>
      <c r="O256" s="46">
        <f>'Inputs (2)'!J47</f>
        <v>407902</v>
      </c>
      <c r="P256" s="46">
        <f>'Inputs (2)'!K47</f>
        <v>423877</v>
      </c>
      <c r="Q256" s="46">
        <f>'Inputs (2)'!L47</f>
        <v>432860</v>
      </c>
      <c r="R256" s="12">
        <f>'Inputs (2)'!M47</f>
        <v>432860</v>
      </c>
      <c r="S256" s="46">
        <f>'Inputs (2)'!N47</f>
        <v>440552</v>
      </c>
      <c r="T256" s="46">
        <f>'Inputs (2)'!O47</f>
        <v>444731</v>
      </c>
      <c r="U256" s="46">
        <f>'Inputs (2)'!P47</f>
        <v>450138</v>
      </c>
      <c r="V256" s="46">
        <f>'Inputs (2)'!Q47</f>
        <v>453927</v>
      </c>
      <c r="W256" s="12">
        <f>'Inputs (2)'!R47</f>
        <v>453927</v>
      </c>
      <c r="X256" s="46">
        <f>'Inputs (2)'!S47</f>
        <v>458339</v>
      </c>
      <c r="Y256" s="46">
        <f>'Inputs (2)'!T47</f>
        <v>463294</v>
      </c>
      <c r="Z256" s="46">
        <f>'Inputs (2)'!U47</f>
        <v>467664</v>
      </c>
      <c r="AA256" s="46">
        <f>'Inputs (2)'!V47</f>
        <v>470903</v>
      </c>
      <c r="AB256" s="12">
        <f>'Inputs (2)'!W47</f>
        <v>470903</v>
      </c>
      <c r="AC256" s="46">
        <f>'Inputs (2)'!X47</f>
        <v>474290</v>
      </c>
      <c r="AD256" s="46">
        <f>'Inputs (2)'!Y47</f>
        <v>477061</v>
      </c>
      <c r="AE256" s="46">
        <f>'Inputs (2)'!Z47</f>
        <v>480367</v>
      </c>
      <c r="AF256" s="46">
        <f>'Inputs (2)'!AA47</f>
        <v>482494</v>
      </c>
      <c r="AG256" s="12">
        <f>'Inputs (2)'!AB47</f>
        <v>482494</v>
      </c>
      <c r="AH256" s="12">
        <f>'Inputs (2)'!AC47</f>
        <v>482344</v>
      </c>
      <c r="AI256" s="12">
        <f>'Inputs (2)'!AD47</f>
        <v>492569</v>
      </c>
      <c r="AJ256" s="12">
        <f>AI256+AJ123+AJ124</f>
        <v>500669.123370483</v>
      </c>
      <c r="AK256" s="12">
        <f>AJ256+AK123+AK124</f>
        <v>508485.674996361</v>
      </c>
      <c r="AL256" s="12">
        <f>AK256</f>
        <v>508485.674996361</v>
      </c>
      <c r="AM256" s="12">
        <f>AL256+AM123+AM124</f>
        <v>516570.983500079</v>
      </c>
      <c r="AN256" s="12">
        <f>AM256+AN123+AN124</f>
        <v>527588.78091928</v>
      </c>
      <c r="AO256" s="12">
        <f>AN256+AO123+AO124</f>
        <v>536037.374865958</v>
      </c>
      <c r="AP256" s="12">
        <f>AO256+AP123+AP124</f>
        <v>544190.197697145</v>
      </c>
      <c r="AQ256" s="12">
        <f>AP256</f>
        <v>544190.197697145</v>
      </c>
      <c r="AR256" s="12">
        <f>AQ256+AR123+AR124</f>
        <v>552582.912892994</v>
      </c>
      <c r="AS256" s="12">
        <f>AR256+AS123+AS124</f>
        <v>564019.611416296</v>
      </c>
      <c r="AT256" s="12">
        <f>AS256+AT123+AT124</f>
        <v>572789.42431425</v>
      </c>
      <c r="AU256" s="12">
        <f>AT256+AU123+AU124</f>
        <v>581252.220759544</v>
      </c>
      <c r="AV256" s="12">
        <f>AU256</f>
        <v>581252.220759544</v>
      </c>
      <c r="AW256" s="12">
        <f>AV256+AW123+AW124</f>
        <v>589922.066798033</v>
      </c>
      <c r="AX256" s="12">
        <f>AW256+AX123+AX124</f>
        <v>601736.409721844</v>
      </c>
      <c r="AY256" s="12">
        <f>AX256+AY123+AY124</f>
        <v>610795.80538074</v>
      </c>
      <c r="AZ256" s="12">
        <f>AY256+AZ123+AZ124</f>
        <v>619538.046779811</v>
      </c>
      <c r="BA256" s="12">
        <f>AZ256</f>
        <v>619538.046779811</v>
      </c>
      <c r="BB256" s="12">
        <f>BA256+BB123+BB124</f>
        <v>628450.825403008</v>
      </c>
      <c r="BC256" s="12">
        <f>BB256+BC123+BC124</f>
        <v>640596.210983213</v>
      </c>
      <c r="BD256" s="12">
        <f>BC256+BD123+BD124</f>
        <v>649909.454564382</v>
      </c>
      <c r="BE256" s="12">
        <f>BD256+BE123+BE124</f>
        <v>658896.65709538</v>
      </c>
      <c r="BF256" s="12">
        <f>BE256</f>
        <v>658896.65709538</v>
      </c>
      <c r="BG256" s="12" t="n"/>
      <c r="BH256" s="12" t="n"/>
      <c r="BI256" s="12" t="n"/>
      <c r="BJ256" s="12" t="n"/>
      <c r="BK256" s="12" t="n"/>
      <c r="BL256" s="12" t="n"/>
      <c r="BM256" s="12" t="n"/>
      <c r="BN256" s="12" t="n"/>
      <c r="BO256" s="12" t="n"/>
      <c r="BP256" s="12" t="n"/>
      <c r="BQ256" s="12" t="n"/>
      <c r="BR256" s="12" t="n"/>
      <c r="BS256" s="12" t="n"/>
      <c r="BT256" s="12" t="n"/>
      <c r="BU256" s="12" t="n"/>
      <c r="BV256" s="12" t="n"/>
      <c r="BW256" s="12" t="n"/>
      <c r="BX256" s="12" t="n"/>
      <c r="BY256" s="12" t="n"/>
      <c r="BZ256" s="12" t="n"/>
      <c r="CA256" s="12" t="n"/>
      <c r="CB256" s="12" t="n"/>
      <c r="CC256" s="12" t="n"/>
      <c r="CD256" s="12" t="n"/>
      <c r="CE256" s="12" t="n"/>
      <c r="CF256" s="12" t="n"/>
      <c r="CG256" s="12" t="n"/>
      <c r="CH256" s="12" t="n"/>
      <c r="CI256" s="12" t="n"/>
      <c r="CJ256" s="12" t="n"/>
      <c r="CK256" s="12" t="n"/>
      <c r="CL256" s="12" t="n"/>
      <c r="CM256" s="12" t="n"/>
      <c r="CN256" s="12" t="n"/>
      <c r="CO256" s="12" t="n"/>
      <c r="CP256" s="12" t="n"/>
      <c r="CQ256" s="12" t="n"/>
      <c r="CR256" s="12" t="n"/>
      <c r="CS256" s="12" t="n"/>
      <c r="CT256" s="12" t="n"/>
      <c r="CU256" s="12" t="n"/>
      <c r="CV256" s="12" t="n"/>
      <c r="CW256" s="12" t="n"/>
      <c r="CX256" s="12" t="n"/>
      <c r="CY256" s="12" t="n"/>
    </row>
    <row r="257" customFormat="1" s="32">
      <c r="A257" s="30" t="inlineStr">
        <is>
          <t xml:space="preserve"> </t>
        </is>
      </c>
      <c r="B257" s="30" t="n"/>
      <c r="C257" s="65" t="inlineStr">
        <is>
          <t>Total Shareholders' Equity</t>
        </is>
      </c>
      <c r="D257" s="35" t="n"/>
      <c r="E257" s="35" t="n"/>
      <c r="F257" s="35" t="n"/>
      <c r="G257" s="35" t="n"/>
      <c r="H257" s="35" t="n"/>
      <c r="I257" s="35">
        <f>SUM(I234+I239+I240+I253+I254+I255+I256)</f>
        <v>164101</v>
      </c>
      <c r="J257" s="35">
        <f>SUM(J234+J239+J240+J253+J254+J255+J256)</f>
        <v>165556</v>
      </c>
      <c r="K257" s="35">
        <f>SUM(K234+K239+K240+K253+K254+K255+K256)</f>
        <v>167506</v>
      </c>
      <c r="L257" s="35">
        <f>SUM(L234+L239+L240+L253+L254+L255+L256)</f>
        <v>175683</v>
      </c>
      <c r="M257" s="35">
        <f>SUM(M234,M239,M240,M253,M254,M255,M256)</f>
        <v>175683</v>
      </c>
      <c r="N257" s="35">
        <f>SUM(N234+N239+N240+N253+N254+N255+N256)</f>
        <v>176526</v>
      </c>
      <c r="O257" s="35">
        <f>SUM(O234+O239+O240+O253+O254+O255+O256)</f>
        <v>184508</v>
      </c>
      <c r="P257" s="35">
        <f>SUM(P234+P239+P240+P253+P254+P255+P256)</f>
        <v>193043</v>
      </c>
      <c r="Q257" s="35">
        <f>SUM(Q234+Q239+Q240+Q253+Q254+Q255+Q256)</f>
        <v>202473</v>
      </c>
      <c r="R257" s="35">
        <f>SUM(R234,R239,R240,R253,R254,R255,R256)</f>
        <v>202473</v>
      </c>
      <c r="S257" s="35">
        <f>SUM(S234+S239+S240+S253+S254+S255+S256)</f>
        <v>206414</v>
      </c>
      <c r="T257" s="35">
        <f>SUM(T234+T239+T240+T253+T254+T255+T256)</f>
        <v>206997</v>
      </c>
      <c r="U257" s="35">
        <f>SUM(U234+U239+U240+U253+U254+U255+U256)</f>
        <v>207533</v>
      </c>
      <c r="V257" s="35">
        <f>SUM(V234+V239+V240+V253+V254+V255+V256)</f>
        <v>212538</v>
      </c>
      <c r="W257" s="35">
        <f>SUM(W234,W239,W240,W253,W254,W255,W256)</f>
        <v>212538</v>
      </c>
      <c r="X257" s="35">
        <f>SUM(X234+X239+X240+X253+X254+X255+X256)</f>
        <v>213052</v>
      </c>
      <c r="Y257" s="35">
        <f>SUM(Y234+Y239+Y240+Y253+Y254+Y255+Y256)</f>
        <v>276266</v>
      </c>
      <c r="Z257" s="35">
        <f>SUM(Z234+Z239+Z240+Z253+Z254+Z255+Z256)</f>
        <v>276400</v>
      </c>
      <c r="AA257" s="35">
        <f>SUM(AA234+AA239+AA240+AA253+AA254+AA255+AA256)</f>
        <v>270606</v>
      </c>
      <c r="AB257" s="35">
        <f>SUM(AB234,AB239,AB240,AB253,AB254,AB255,AB256)</f>
        <v>270606</v>
      </c>
      <c r="AC257" s="35">
        <f>SUM(AC234+AC239+AC240+AC253+AC254+AC255+AC256)</f>
        <v>269806</v>
      </c>
      <c r="AD257" s="35">
        <f>SUM(AD234+AD239+AD240+AD253+AD254+AD255+AD256)</f>
        <v>269962</v>
      </c>
      <c r="AE257" s="35">
        <f>SUM(AE234+AE239+AE240+AE253+AE254+AE255+AE256)</f>
        <v>268223</v>
      </c>
      <c r="AF257" s="35">
        <f>SUM(AF234+AF239+AF240+AF253+AF254+AF255+AF256)</f>
        <v>266626</v>
      </c>
      <c r="AG257" s="35">
        <f>SUM(AG234,AG239,AG240,AG253,AG254,AG255,AG256)</f>
        <v>266626</v>
      </c>
      <c r="AH257" s="35">
        <f>SUM(AH234+AH239+AH240+AH253+AH254+AH255+AH256)</f>
        <v>260996</v>
      </c>
      <c r="AI257" s="35">
        <f>SUM(AI234+AI239+AI240+AI253+AI254+AI255+AI256)</f>
        <v>266111</v>
      </c>
      <c r="AJ257" s="35">
        <f>SUM(AJ234+AJ239+AJ240+AJ253+AJ254+AJ255+AJ256)</f>
        <v>274211.123370483</v>
      </c>
      <c r="AK257" s="35">
        <f>SUM(AK234+AK239+AK240+AK253+AK254+AK255+AK256)</f>
        <v>282027.674996361</v>
      </c>
      <c r="AL257" s="35">
        <f>SUM(AL234,AL239,AL240,AL253,AL254,AL255,AL256)</f>
        <v>282027.674996361</v>
      </c>
      <c r="AM257" s="35">
        <f>SUM(AM234+AM239+AM240+AM253+AM254+AM255+AM256)</f>
        <v>290112.983500079</v>
      </c>
      <c r="AN257" s="35">
        <f>SUM(AN234+AN239+AN240+AN253+AN254+AN255+AN256)</f>
        <v>301130.78091928</v>
      </c>
      <c r="AO257" s="35">
        <f>SUM(AO234+AO239+AO240+AO253+AO254+AO255+AO256)</f>
        <v>309579.374865958</v>
      </c>
      <c r="AP257" s="35">
        <f>SUM(AP234+AP239+AP240+AP253+AP254+AP255+AP256)</f>
        <v>317732.197697145</v>
      </c>
      <c r="AQ257" s="35">
        <f>SUM(AQ234,AQ239,AQ240,AQ253,AQ254,AQ255,AQ256)</f>
        <v>317732.197697145</v>
      </c>
      <c r="AR257" s="35">
        <f>SUM(AR234+AR239+AR240+AR253+AR254+AR255+AR256)</f>
        <v>326124.912892994</v>
      </c>
      <c r="AS257" s="35">
        <f>SUM(AS234+AS239+AS240+AS253+AS254+AS255+AS256)</f>
        <v>337561.611416296</v>
      </c>
      <c r="AT257" s="35">
        <f>SUM(AT234+AT239+AT240+AT253+AT254+AT255+AT256)</f>
        <v>346331.42431425</v>
      </c>
      <c r="AU257" s="35">
        <f>SUM(AU234+AU239+AU240+AU253+AU254+AU255+AU256)</f>
        <v>354794.220759544</v>
      </c>
      <c r="AV257" s="35">
        <f>SUM(AV234,AV239,AV240,AV253,AV254,AV255,AV256)</f>
        <v>354794.220759544</v>
      </c>
      <c r="AW257" s="35">
        <f>SUM(AW234+AW239+AW240+AW253+AW254+AW255+AW256)</f>
        <v>363464.066798033</v>
      </c>
      <c r="AX257" s="35">
        <f>SUM(AX234+AX239+AX240+AX253+AX254+AX255+AX256)</f>
        <v>375278.409721844</v>
      </c>
      <c r="AY257" s="35">
        <f>SUM(AY234+AY239+AY240+AY253+AY254+AY255+AY256)</f>
        <v>384337.80538074</v>
      </c>
      <c r="AZ257" s="35">
        <f>SUM(AZ234+AZ239+AZ240+AZ253+AZ254+AZ255+AZ256)</f>
        <v>393080.046779811</v>
      </c>
      <c r="BA257" s="35">
        <f>SUM(BA234,BA239,BA240,BA253,BA254,BA255,BA256)</f>
        <v>393080.046779811</v>
      </c>
      <c r="BB257" s="35">
        <f>SUM(BB234+BB239+BB240+BB253+BB254+BB255+BB256)</f>
        <v>401992.825403008</v>
      </c>
      <c r="BC257" s="35">
        <f>SUM(BC234+BC239+BC240+BC253+BC254+BC255+BC256)</f>
        <v>414138.210983213</v>
      </c>
      <c r="BD257" s="35">
        <f>SUM(BD234+BD239+BD240+BD253+BD254+BD255+BD256)</f>
        <v>423451.454564382</v>
      </c>
      <c r="BE257" s="35">
        <f>SUM(BE234+BE239+BE240+BE253+BE254+BE255+BE256)</f>
        <v>432438.65709538</v>
      </c>
      <c r="BF257" s="35">
        <f>SUM(BF234,BF239,BF240,BF253,BF254,BF255,BF256)</f>
        <v>432438.65709538</v>
      </c>
      <c r="BG257" s="35" t="n"/>
      <c r="BH257" s="35" t="n"/>
      <c r="BI257" s="35" t="n"/>
      <c r="BJ257" s="35" t="n"/>
      <c r="BK257" s="35" t="n"/>
      <c r="BL257" s="35" t="n"/>
      <c r="BM257" s="35" t="n"/>
      <c r="BN257" s="35" t="n"/>
      <c r="BO257" s="35" t="n"/>
      <c r="BP257" s="35" t="n"/>
      <c r="BQ257" s="35" t="n"/>
      <c r="BR257" s="35" t="n"/>
      <c r="BS257" s="35" t="n"/>
      <c r="BT257" s="35" t="n"/>
      <c r="BU257" s="35" t="n"/>
      <c r="BV257" s="35" t="n"/>
      <c r="BW257" s="35" t="n"/>
      <c r="BX257" s="35" t="n"/>
      <c r="BY257" s="35" t="n"/>
      <c r="BZ257" s="35" t="n"/>
      <c r="CA257" s="35" t="n"/>
      <c r="CB257" s="35" t="n"/>
      <c r="CC257" s="35" t="n"/>
      <c r="CD257" s="35" t="n"/>
      <c r="CE257" s="35" t="n"/>
      <c r="CF257" s="35" t="n"/>
      <c r="CG257" s="35" t="n"/>
      <c r="CH257" s="35" t="n"/>
      <c r="CI257" s="35" t="n"/>
      <c r="CJ257" s="35" t="n"/>
      <c r="CK257" s="35" t="n"/>
      <c r="CL257" s="35" t="n"/>
      <c r="CM257" s="35" t="n"/>
      <c r="CN257" s="35" t="n"/>
      <c r="CO257" s="35" t="n"/>
      <c r="CP257" s="35" t="n"/>
      <c r="CQ257" s="35" t="n"/>
      <c r="CR257" s="35" t="n"/>
      <c r="CS257" s="35" t="n"/>
      <c r="CT257" s="35" t="n"/>
      <c r="CU257" s="35" t="n"/>
      <c r="CV257" s="35" t="n"/>
      <c r="CW257" s="35" t="n"/>
      <c r="CX257" s="35" t="n"/>
      <c r="CY257" s="35" t="n"/>
    </row>
    <row r="258">
      <c r="C258" s="10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  <c r="Y258" s="12" t="n"/>
      <c r="Z258" s="12" t="n"/>
      <c r="AA258" s="12" t="n"/>
      <c r="AB258" s="12" t="n"/>
      <c r="AC258" s="12" t="n"/>
      <c r="AD258" s="12" t="n"/>
      <c r="AE258" s="12" t="n"/>
      <c r="AF258" s="12" t="n"/>
      <c r="AG258" s="12" t="n"/>
      <c r="AH258" s="12" t="n"/>
      <c r="AI258" s="12" t="n"/>
      <c r="AJ258" s="12" t="n"/>
      <c r="AK258" s="12" t="n"/>
      <c r="AL258" s="12" t="n"/>
      <c r="AM258" s="12" t="n"/>
      <c r="AN258" s="12" t="n"/>
      <c r="AO258" s="12" t="n"/>
      <c r="AP258" s="12" t="n"/>
      <c r="AQ258" s="12" t="n"/>
      <c r="AR258" s="12" t="n"/>
      <c r="AS258" s="12" t="n"/>
      <c r="AT258" s="12" t="n"/>
      <c r="AU258" s="12" t="n"/>
      <c r="AV258" s="12" t="n"/>
      <c r="AW258" s="12" t="n"/>
      <c r="AX258" s="12" t="n"/>
      <c r="AY258" s="12" t="n"/>
      <c r="AZ258" s="12" t="n"/>
      <c r="BA258" s="12" t="n"/>
      <c r="BB258" s="12" t="n"/>
      <c r="BC258" s="12" t="n"/>
      <c r="BD258" s="12" t="n"/>
      <c r="BE258" s="12" t="n"/>
      <c r="BF258" s="12" t="n"/>
      <c r="BG258" s="12" t="n"/>
      <c r="BH258" s="12" t="n"/>
      <c r="BI258" s="12" t="n"/>
      <c r="BJ258" s="12" t="n"/>
      <c r="BK258" s="12" t="n"/>
      <c r="BL258" s="12" t="n"/>
      <c r="BM258" s="12" t="n"/>
      <c r="BN258" s="12" t="n"/>
      <c r="BO258" s="12" t="n"/>
      <c r="BP258" s="12" t="n"/>
      <c r="BQ258" s="12" t="n"/>
      <c r="BR258" s="12" t="n"/>
      <c r="BS258" s="12" t="n"/>
      <c r="BT258" s="12" t="n"/>
      <c r="BU258" s="12" t="n"/>
      <c r="BV258" s="12" t="n"/>
      <c r="BW258" s="12" t="n"/>
      <c r="BX258" s="12" t="n"/>
      <c r="BY258" s="12" t="n"/>
      <c r="BZ258" s="12" t="n"/>
      <c r="CA258" s="12" t="n"/>
      <c r="CB258" s="12" t="n"/>
      <c r="CC258" s="12" t="n"/>
      <c r="CD258" s="12" t="n"/>
      <c r="CE258" s="12" t="n"/>
      <c r="CF258" s="12" t="n"/>
      <c r="CG258" s="12" t="n"/>
      <c r="CH258" s="12" t="n"/>
      <c r="CI258" s="12" t="n"/>
      <c r="CJ258" s="12" t="n"/>
      <c r="CK258" s="12" t="n"/>
      <c r="CL258" s="12" t="n"/>
      <c r="CM258" s="12" t="n"/>
      <c r="CN258" s="12" t="n"/>
      <c r="CO258" s="12" t="n"/>
      <c r="CP258" s="12" t="n"/>
      <c r="CQ258" s="12" t="n"/>
      <c r="CR258" s="12" t="n"/>
      <c r="CS258" s="12" t="n"/>
      <c r="CT258" s="12" t="n"/>
      <c r="CU258" s="12" t="n"/>
      <c r="CV258" s="12" t="n"/>
      <c r="CW258" s="12" t="n"/>
      <c r="CX258" s="12" t="n"/>
      <c r="CY258" s="12" t="n"/>
    </row>
    <row r="259" customFormat="1" s="32">
      <c r="A259" s="30" t="n"/>
      <c r="B259" s="3" t="n"/>
      <c r="C259" s="33" t="inlineStr">
        <is>
          <t>Total Liabilities + Shareholders' Equity</t>
        </is>
      </c>
      <c r="D259" s="35" t="n"/>
      <c r="E259" s="35" t="n"/>
      <c r="F259" s="35" t="n"/>
      <c r="G259" s="35" t="n"/>
      <c r="H259" s="35" t="n"/>
      <c r="I259" s="35">
        <f>I257+I233</f>
        <v>333770</v>
      </c>
      <c r="J259" s="35">
        <f>J257+J233</f>
        <v>337289</v>
      </c>
      <c r="K259" s="35">
        <f>K257+K233</f>
        <v>336688</v>
      </c>
      <c r="L259" s="35">
        <f>L257+L233</f>
        <v>338923</v>
      </c>
      <c r="M259" s="35">
        <f>M257+M233</f>
        <v>338923</v>
      </c>
      <c r="N259" s="35">
        <f>N257+N233</f>
        <v>354771</v>
      </c>
      <c r="O259" s="35">
        <f>O257+O233</f>
        <v>367774</v>
      </c>
      <c r="P259" s="35">
        <f>P257+P233</f>
        <v>370152</v>
      </c>
      <c r="Q259" s="35">
        <f>Q257+Q233</f>
        <v>369067</v>
      </c>
      <c r="R259" s="35">
        <f>R257+R233</f>
        <v>369067</v>
      </c>
      <c r="S259" s="35">
        <f>S257+S233</f>
        <v>369371</v>
      </c>
      <c r="T259" s="35">
        <f>T257+T233</f>
        <v>363248</v>
      </c>
      <c r="U259" s="35">
        <f>U257+U233</f>
        <v>372259</v>
      </c>
      <c r="V259" s="35">
        <f>V257+V233</f>
        <v>376317</v>
      </c>
      <c r="W259" s="35">
        <f>W257+W233</f>
        <v>376317</v>
      </c>
      <c r="X259" s="35">
        <f>X257+X233</f>
        <v>377918</v>
      </c>
      <c r="Y259" s="35">
        <f>Y257+Y233</f>
        <v>460707</v>
      </c>
      <c r="Z259" s="35">
        <f>Z257+Z233</f>
        <v>461916</v>
      </c>
      <c r="AA259" s="35">
        <f>AA257+AA233</f>
        <v>453475</v>
      </c>
      <c r="AB259" s="35">
        <f>AB257+AB233</f>
        <v>453475</v>
      </c>
      <c r="AC259" s="35">
        <f>AC257+AC233</f>
        <v>451908</v>
      </c>
      <c r="AD259" s="35">
        <f>AD257+AD233</f>
        <v>447597</v>
      </c>
      <c r="AE259" s="35">
        <f>AE257+AE233</f>
        <v>454340</v>
      </c>
      <c r="AF259" s="35">
        <f>AF257+AF233</f>
        <v>448980</v>
      </c>
      <c r="AG259" s="35">
        <f>AG257+AG233</f>
        <v>448980</v>
      </c>
      <c r="AH259" s="35">
        <f>AH257+AH233</f>
        <v>464410</v>
      </c>
      <c r="AI259" s="35">
        <f>AI257+AI233</f>
        <v>464482</v>
      </c>
      <c r="AJ259" s="35">
        <f>AJ257+AJ233</f>
        <v>465076.273257721</v>
      </c>
      <c r="AK259" s="35">
        <f>AK257+AK233</f>
        <v>470742.571412944</v>
      </c>
      <c r="AL259" s="35">
        <f>AL257+AL233</f>
        <v>470742.571412944</v>
      </c>
      <c r="AM259" s="35">
        <f>AM257+AM233</f>
        <v>482722.803932535</v>
      </c>
      <c r="AN259" s="35">
        <f>AN257+AN233</f>
        <v>517647.570272914</v>
      </c>
      <c r="AO259" s="35">
        <f>AO257+AO233</f>
        <v>504122.370856207</v>
      </c>
      <c r="AP259" s="35">
        <f>AP257+AP233</f>
        <v>510058.911587509</v>
      </c>
      <c r="AQ259" s="35">
        <f>AQ257+AQ233</f>
        <v>510058.911587509</v>
      </c>
      <c r="AR259" s="35">
        <f>AR257+AR233</f>
        <v>521396.332950756</v>
      </c>
      <c r="AS259" s="35">
        <f>AS257+AS233</f>
        <v>558427.087566182</v>
      </c>
      <c r="AT259" s="35">
        <f>AT257+AT233</f>
        <v>544387.21229485</v>
      </c>
      <c r="AU259" s="35">
        <f>AU257+AU233</f>
        <v>550547.893701885</v>
      </c>
      <c r="AV259" s="35">
        <f>AV257+AV233</f>
        <v>550547.893701885</v>
      </c>
      <c r="AW259" s="35">
        <f>AW257+AW233</f>
        <v>562721.613148567</v>
      </c>
      <c r="AX259" s="35">
        <f>AX257+AX233</f>
        <v>600165.615567532</v>
      </c>
      <c r="AY259" s="35">
        <f>AY257+AY233</f>
        <v>585654.51463109</v>
      </c>
      <c r="AZ259" s="35">
        <f>AZ257+AZ233</f>
        <v>592009.604950916</v>
      </c>
      <c r="BA259" s="35">
        <f>BA257+BA233</f>
        <v>592009.604950916</v>
      </c>
      <c r="BB259" s="35">
        <f>BB257+BB233</f>
        <v>604162.671362195</v>
      </c>
      <c r="BC259" s="35">
        <f>BC257+BC233</f>
        <v>642641.658138616</v>
      </c>
      <c r="BD259" s="35">
        <f>BD257+BD233</f>
        <v>627708.239619449</v>
      </c>
      <c r="BE259" s="35">
        <f>BE257+BE233</f>
        <v>634224.114128859</v>
      </c>
      <c r="BF259" s="35">
        <f>BF257+BF233</f>
        <v>634224.114128859</v>
      </c>
      <c r="BG259" s="35" t="n"/>
      <c r="BH259" s="35" t="n"/>
      <c r="BI259" s="35" t="n"/>
      <c r="BJ259" s="35" t="n"/>
      <c r="BK259" s="35" t="n"/>
      <c r="BL259" s="35" t="n"/>
      <c r="BM259" s="35" t="n"/>
      <c r="BN259" s="35" t="n"/>
      <c r="BO259" s="35" t="n"/>
      <c r="BP259" s="35" t="n"/>
      <c r="BQ259" s="35" t="n"/>
      <c r="BR259" s="35" t="n"/>
      <c r="BS259" s="35" t="n"/>
      <c r="BT259" s="35" t="n"/>
      <c r="BU259" s="35" t="n"/>
      <c r="BV259" s="35" t="n"/>
      <c r="BW259" s="35" t="n"/>
      <c r="BX259" s="35" t="n"/>
      <c r="BY259" s="35" t="n"/>
      <c r="BZ259" s="35" t="n"/>
      <c r="CA259" s="35" t="n"/>
      <c r="CB259" s="35" t="n"/>
      <c r="CC259" s="35" t="n"/>
      <c r="CD259" s="35" t="n"/>
      <c r="CE259" s="35" t="n"/>
      <c r="CF259" s="35" t="n"/>
      <c r="CG259" s="35" t="n"/>
      <c r="CH259" s="35" t="n"/>
      <c r="CI259" s="35" t="n"/>
      <c r="CJ259" s="35" t="n"/>
      <c r="CK259" s="35" t="n"/>
      <c r="CL259" s="35" t="n"/>
      <c r="CM259" s="35" t="n"/>
      <c r="CN259" s="35" t="n"/>
      <c r="CO259" s="35" t="n"/>
      <c r="CP259" s="35" t="n"/>
      <c r="CQ259" s="35" t="n"/>
      <c r="CR259" s="35" t="n"/>
      <c r="CS259" s="35" t="n"/>
      <c r="CT259" s="35" t="n"/>
      <c r="CU259" s="35" t="n"/>
      <c r="CV259" s="35" t="n"/>
      <c r="CW259" s="35" t="n"/>
      <c r="CX259" s="35" t="n"/>
      <c r="CY259" s="35" t="n"/>
    </row>
    <row r="260">
      <c r="C260" s="18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  <c r="AB260" s="3" t="n"/>
      <c r="AC260" s="3" t="n"/>
      <c r="AD260" s="3" t="n"/>
      <c r="AE260" s="3" t="n"/>
      <c r="AF260" s="3" t="n"/>
      <c r="AG260" s="3" t="n"/>
      <c r="AH260" s="3" t="n"/>
      <c r="AI260" s="3" t="n"/>
      <c r="AJ260" s="3" t="n"/>
      <c r="AK260" s="3" t="n"/>
      <c r="AL260" s="3" t="n"/>
      <c r="AM260" s="3" t="n"/>
      <c r="AN260" s="3" t="n"/>
      <c r="AO260" s="3" t="n"/>
      <c r="AP260" s="3" t="n"/>
      <c r="AQ260" s="3" t="n"/>
      <c r="AR260" s="3" t="n"/>
      <c r="AS260" s="3" t="n"/>
      <c r="AT260" s="3" t="n"/>
      <c r="AU260" s="3" t="n"/>
      <c r="AV260" s="3" t="n"/>
      <c r="AW260" s="3" t="n"/>
      <c r="AX260" s="3" t="n"/>
      <c r="AY260" s="3" t="n"/>
      <c r="AZ260" s="3" t="n"/>
      <c r="BA260" s="3" t="n"/>
      <c r="BB260" s="3" t="n"/>
      <c r="BC260" s="3" t="n"/>
      <c r="BD260" s="3" t="n"/>
      <c r="BE260" s="3" t="n"/>
      <c r="BF260" s="3" t="n"/>
      <c r="BG260" s="3" t="n"/>
      <c r="BH260" s="3" t="n"/>
      <c r="BI260" s="3" t="n"/>
      <c r="BJ260" s="3" t="n"/>
      <c r="BK260" s="3" t="n"/>
      <c r="BL260" s="3" t="n"/>
      <c r="BM260" s="3" t="n"/>
      <c r="BN260" s="3" t="n"/>
      <c r="BO260" s="3" t="n"/>
      <c r="BP260" s="3" t="n"/>
      <c r="BQ260" s="3" t="n"/>
      <c r="BR260" s="3" t="n"/>
      <c r="BS260" s="3" t="n"/>
      <c r="BT260" s="3" t="n"/>
      <c r="BU260" s="3" t="n"/>
      <c r="BV260" s="3" t="n"/>
      <c r="BW260" s="3" t="n"/>
      <c r="BX260" s="3" t="n"/>
      <c r="BY260" s="3" t="n"/>
      <c r="BZ260" s="3" t="n"/>
      <c r="CA260" s="3" t="n"/>
      <c r="CB260" s="3" t="n"/>
      <c r="CC260" s="3" t="n"/>
      <c r="CD260" s="3" t="n"/>
      <c r="CE260" s="3" t="n"/>
      <c r="CF260" s="3" t="n"/>
      <c r="CG260" s="3" t="n"/>
      <c r="CH260" s="3" t="n"/>
      <c r="CI260" s="3" t="n"/>
      <c r="CJ260" s="3" t="n"/>
      <c r="CK260" s="3" t="n"/>
      <c r="CL260" s="3" t="n"/>
      <c r="CM260" s="3" t="n"/>
      <c r="CN260" s="3" t="n"/>
      <c r="CO260" s="3" t="n"/>
      <c r="CP260" s="3" t="n"/>
      <c r="CQ260" s="3" t="n"/>
      <c r="CR260" s="3" t="n"/>
      <c r="CS260" s="3" t="n"/>
      <c r="CT260" s="3" t="n"/>
      <c r="CU260" s="3" t="n"/>
      <c r="CV260" s="3" t="n"/>
      <c r="CW260" s="3" t="n"/>
      <c r="CX260" s="3" t="n"/>
      <c r="CY260" s="3" t="n"/>
    </row>
    <row r="261" customFormat="1" s="32">
      <c r="A261" s="30" t="n"/>
      <c r="B261" s="30" t="n"/>
      <c r="C261" s="31" t="inlineStr">
        <is>
          <t>Cash Flow Statement</t>
        </is>
      </c>
      <c r="D261" s="70" t="n"/>
      <c r="E261" s="70" t="n"/>
      <c r="F261" s="70" t="n"/>
      <c r="G261" s="70" t="n"/>
      <c r="H261" s="70" t="n"/>
      <c r="I261" s="70" t="str">
        <f>I128</f>
        <v>1Q21</v>
      </c>
      <c r="J261" s="70" t="str">
        <f>J128</f>
        <v>2Q21</v>
      </c>
      <c r="K261" s="70" t="str">
        <f>K128</f>
        <v>3Q21</v>
      </c>
      <c r="L261" s="70" t="str">
        <f>L128</f>
        <v>4Q21</v>
      </c>
      <c r="M261" s="70">
        <f>M128</f>
        <v>2021</v>
      </c>
      <c r="N261" s="70" t="str">
        <f>N128</f>
        <v>1Q22</v>
      </c>
      <c r="O261" s="70" t="str">
        <f>O128</f>
        <v>2Q22</v>
      </c>
      <c r="P261" s="70" t="str">
        <f>P128</f>
        <v>3Q22</v>
      </c>
      <c r="Q261" s="70" t="str">
        <f>Q128</f>
        <v>4Q22</v>
      </c>
      <c r="R261" s="70">
        <f>R128</f>
        <v>2022</v>
      </c>
      <c r="S261" s="70" t="str">
        <f>S128</f>
        <v>1Q23</v>
      </c>
      <c r="T261" s="70" t="str">
        <f>T128</f>
        <v>2Q23</v>
      </c>
      <c r="U261" s="70" t="str">
        <f>U128</f>
        <v>3Q23</v>
      </c>
      <c r="V261" s="70" t="str">
        <f>V128</f>
        <v>4Q23</v>
      </c>
      <c r="W261" s="70">
        <f>W128</f>
        <v>2023</v>
      </c>
      <c r="X261" s="70" t="str">
        <f>X128</f>
        <v>1Q24</v>
      </c>
      <c r="Y261" s="70" t="str">
        <f>Y128</f>
        <v>2Q24</v>
      </c>
      <c r="Z261" s="70" t="str">
        <f>Z128</f>
        <v>3Q24</v>
      </c>
      <c r="AA261" s="70" t="str">
        <f>AA128</f>
        <v>4Q24</v>
      </c>
      <c r="AB261" s="70">
        <f>AB128</f>
        <v>2024</v>
      </c>
      <c r="AC261" s="70" t="str">
        <f>AC128</f>
        <v>1Q25</v>
      </c>
      <c r="AD261" s="70" t="str">
        <f>AD128</f>
        <v>2Q25</v>
      </c>
      <c r="AE261" s="70" t="str">
        <f>AE128</f>
        <v>3Q25</v>
      </c>
      <c r="AF261" s="70" t="str">
        <f>AF128</f>
        <v>4Q25</v>
      </c>
      <c r="AG261" s="70">
        <f>AG128</f>
        <v>2025</v>
      </c>
      <c r="AH261" s="70" t="str">
        <f>AH128</f>
        <v>1Q26</v>
      </c>
      <c r="AI261" s="70" t="str">
        <f>AI128</f>
        <v>2Q26</v>
      </c>
      <c r="AJ261" s="70" t="str">
        <f>AJ128</f>
        <v>3Q26</v>
      </c>
      <c r="AK261" s="70" t="str">
        <f>AK128</f>
        <v>4Q26</v>
      </c>
      <c r="AL261" s="70">
        <f>AL128</f>
        <v>2026</v>
      </c>
      <c r="AM261" s="70" t="str">
        <f>AM128</f>
        <v>1Q27</v>
      </c>
      <c r="AN261" s="70" t="str">
        <f>AN128</f>
        <v>2Q27</v>
      </c>
      <c r="AO261" s="70" t="str">
        <f>AO128</f>
        <v>3Q27</v>
      </c>
      <c r="AP261" s="70" t="str">
        <f>AP128</f>
        <v>4Q27</v>
      </c>
      <c r="AQ261" s="70">
        <f>AQ128</f>
        <v>2027</v>
      </c>
      <c r="AR261" s="70" t="str">
        <f>AR128</f>
        <v>1Q28</v>
      </c>
      <c r="AS261" s="70" t="str">
        <f>AS128</f>
        <v>2Q28</v>
      </c>
      <c r="AT261" s="70" t="str">
        <f>AT128</f>
        <v>3Q28</v>
      </c>
      <c r="AU261" s="70" t="str">
        <f>AU128</f>
        <v>4Q28</v>
      </c>
      <c r="AV261" s="70">
        <f>AV128</f>
        <v>2028</v>
      </c>
      <c r="AW261" s="70" t="str">
        <f>AW128</f>
        <v>1Q29</v>
      </c>
      <c r="AX261" s="70" t="str">
        <f>AX128</f>
        <v>2Q29</v>
      </c>
      <c r="AY261" s="70" t="str">
        <f>AY128</f>
        <v>3Q29</v>
      </c>
      <c r="AZ261" s="70" t="str">
        <f>AZ128</f>
        <v>4Q29</v>
      </c>
      <c r="BA261" s="70">
        <f>BA128</f>
        <v>2029</v>
      </c>
      <c r="BB261" s="70" t="str">
        <f>BB128</f>
        <v>1Q30</v>
      </c>
      <c r="BC261" s="70" t="str">
        <f>BC128</f>
        <v>2Q30</v>
      </c>
      <c r="BD261" s="70" t="str">
        <f>BD128</f>
        <v>3Q30</v>
      </c>
      <c r="BE261" s="70" t="str">
        <f>BE128</f>
        <v>4Q30</v>
      </c>
      <c r="BF261" s="70">
        <f>BF128</f>
        <v>2030</v>
      </c>
      <c r="BG261" s="70" t="n"/>
      <c r="BH261" s="70" t="n"/>
      <c r="BI261" s="70" t="n"/>
      <c r="BJ261" s="70" t="n"/>
      <c r="BK261" s="70" t="n"/>
      <c r="BL261" s="70" t="n"/>
      <c r="BM261" s="70" t="n"/>
      <c r="BN261" s="70" t="n"/>
      <c r="BO261" s="70" t="n"/>
      <c r="BP261" s="70" t="n"/>
      <c r="BQ261" s="70" t="n"/>
      <c r="BR261" s="70" t="n"/>
      <c r="BS261" s="70" t="n"/>
      <c r="BT261" s="70" t="n"/>
      <c r="BU261" s="70" t="n"/>
      <c r="BV261" s="70" t="n"/>
      <c r="BW261" s="70" t="n"/>
      <c r="BX261" s="70" t="n"/>
      <c r="BY261" s="70" t="n"/>
      <c r="BZ261" s="70" t="n"/>
      <c r="CA261" s="70" t="n"/>
      <c r="CB261" s="70" t="n"/>
      <c r="CC261" s="70" t="n"/>
      <c r="CD261" s="70" t="n"/>
      <c r="CE261" s="70" t="n"/>
      <c r="CF261" s="70" t="n"/>
      <c r="CG261" s="70" t="n"/>
      <c r="CH261" s="70" t="n"/>
      <c r="CI261" s="70" t="n"/>
      <c r="CJ261" s="70" t="n"/>
      <c r="CK261" s="70" t="n"/>
      <c r="CL261" s="70" t="n"/>
      <c r="CM261" s="70" t="n"/>
      <c r="CN261" s="70" t="n"/>
      <c r="CO261" s="70" t="n"/>
      <c r="CP261" s="70" t="n"/>
      <c r="CQ261" s="70" t="n"/>
      <c r="CR261" s="70" t="n"/>
      <c r="CS261" s="70" t="n"/>
      <c r="CT261" s="70" t="n"/>
      <c r="CU261" s="70" t="n"/>
      <c r="CV261" s="70" t="n"/>
      <c r="CW261" s="70" t="n"/>
      <c r="CX261" s="70" t="n"/>
      <c r="CY261" s="70" t="n"/>
    </row>
    <row r="262">
      <c r="C262" s="18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  <c r="AB262" s="3" t="n"/>
      <c r="AC262" s="3" t="n"/>
      <c r="AD262" s="3" t="n"/>
      <c r="AE262" s="3" t="n"/>
      <c r="AF262" s="3" t="n"/>
      <c r="AG262" s="3" t="n"/>
      <c r="AH262" s="3" t="n"/>
      <c r="AI262" s="3" t="n"/>
      <c r="AJ262" s="3" t="n"/>
      <c r="AK262" s="3" t="n"/>
      <c r="AL262" s="3" t="n"/>
      <c r="AM262" s="3" t="n"/>
      <c r="AN262" s="3" t="n"/>
      <c r="AO262" s="3" t="n"/>
      <c r="AP262" s="3" t="n"/>
      <c r="AQ262" s="3" t="n"/>
      <c r="AR262" s="3" t="n"/>
      <c r="AS262" s="3" t="n"/>
      <c r="AT262" s="3" t="n"/>
      <c r="AU262" s="3" t="n"/>
      <c r="AV262" s="3" t="n"/>
      <c r="AW262" s="3" t="n"/>
      <c r="AX262" s="3" t="n"/>
      <c r="AY262" s="3" t="n"/>
      <c r="AZ262" s="3" t="n"/>
      <c r="BA262" s="3" t="n"/>
      <c r="BB262" s="3" t="n"/>
      <c r="BC262" s="3" t="n"/>
      <c r="BD262" s="3" t="n"/>
      <c r="BE262" s="3" t="n"/>
      <c r="BF262" s="3" t="n"/>
      <c r="BG262" s="3" t="n"/>
      <c r="BH262" s="3" t="n"/>
      <c r="BI262" s="3" t="n"/>
      <c r="BJ262" s="3" t="n"/>
      <c r="BK262" s="3" t="n"/>
      <c r="BL262" s="3" t="n"/>
      <c r="BM262" s="3" t="n"/>
      <c r="BN262" s="3" t="n"/>
      <c r="BO262" s="3" t="n"/>
      <c r="BP262" s="3" t="n"/>
      <c r="BQ262" s="3" t="n"/>
      <c r="BR262" s="3" t="n"/>
      <c r="BS262" s="3" t="n"/>
      <c r="BT262" s="3" t="n"/>
      <c r="BU262" s="3" t="n"/>
      <c r="BV262" s="3" t="n"/>
      <c r="BW262" s="3" t="n"/>
      <c r="BX262" s="3" t="n"/>
      <c r="BY262" s="3" t="n"/>
      <c r="BZ262" s="3" t="n"/>
      <c r="CA262" s="3" t="n"/>
      <c r="CB262" s="3" t="n"/>
      <c r="CC262" s="3" t="n"/>
      <c r="CD262" s="3" t="n"/>
      <c r="CE262" s="3" t="n"/>
      <c r="CF262" s="3" t="n"/>
      <c r="CG262" s="3" t="n"/>
      <c r="CH262" s="3" t="n"/>
      <c r="CI262" s="3" t="n"/>
      <c r="CJ262" s="3" t="n"/>
      <c r="CK262" s="3" t="n"/>
      <c r="CL262" s="3" t="n"/>
      <c r="CM262" s="3" t="n"/>
      <c r="CN262" s="3" t="n"/>
      <c r="CO262" s="3" t="n"/>
      <c r="CP262" s="3" t="n"/>
      <c r="CQ262" s="3" t="n"/>
      <c r="CR262" s="3" t="n"/>
      <c r="CS262" s="3" t="n"/>
      <c r="CT262" s="3" t="n"/>
      <c r="CU262" s="3" t="n"/>
      <c r="CV262" s="3" t="n"/>
      <c r="CW262" s="3" t="n"/>
      <c r="CX262" s="3" t="n"/>
      <c r="CY262" s="3" t="n"/>
    </row>
    <row r="263">
      <c r="C263" s="10" t="inlineStr">
        <is>
          <t>Net Income</t>
        </is>
      </c>
      <c r="D263" s="12" t="n"/>
      <c r="E263" s="12" t="n"/>
      <c r="F263" s="12" t="n"/>
      <c r="G263" s="12" t="n"/>
      <c r="H263" s="12" t="n"/>
      <c r="I263" s="12" t="n"/>
      <c r="J263" s="12">
        <f>J123</f>
        <v>4690</v>
      </c>
      <c r="K263" s="12">
        <f>K123</f>
        <v>6750</v>
      </c>
      <c r="L263" s="12">
        <f>L123</f>
        <v>8870</v>
      </c>
      <c r="M263" s="12" t="n"/>
      <c r="N263" s="12">
        <f>N123</f>
        <v>5480</v>
      </c>
      <c r="O263" s="12">
        <f>O123</f>
        <v>17850</v>
      </c>
      <c r="P263" s="12">
        <f>P123</f>
        <v>19660</v>
      </c>
      <c r="Q263" s="12">
        <f>Q123</f>
        <v>12750</v>
      </c>
      <c r="R263" s="12">
        <f>SUM(N263:Q263)</f>
        <v>55740</v>
      </c>
      <c r="S263" s="12">
        <f>S123</f>
        <v>11430</v>
      </c>
      <c r="T263" s="12">
        <f>T123</f>
        <v>7880</v>
      </c>
      <c r="U263" s="12">
        <f>U123</f>
        <v>9070</v>
      </c>
      <c r="V263" s="12">
        <f>V123</f>
        <v>7630</v>
      </c>
      <c r="W263" s="12">
        <f>SUM(S263:V263)</f>
        <v>36010</v>
      </c>
      <c r="X263" s="12">
        <f>X123</f>
        <v>8220</v>
      </c>
      <c r="Y263" s="12">
        <f>Y123</f>
        <v>9240</v>
      </c>
      <c r="Z263" s="12">
        <f>Z123</f>
        <v>8610</v>
      </c>
      <c r="AA263" s="12">
        <f>AA123</f>
        <v>7610</v>
      </c>
      <c r="AB263" s="12">
        <f>SUM(X263:AA263)</f>
        <v>33680</v>
      </c>
      <c r="AC263" s="12">
        <f>AC123</f>
        <v>7713</v>
      </c>
      <c r="AD263" s="12">
        <f>AD123</f>
        <v>7082</v>
      </c>
      <c r="AE263" s="12">
        <f>AE123</f>
        <v>7548</v>
      </c>
      <c r="AF263" s="12">
        <f>AF123</f>
        <v>6501</v>
      </c>
      <c r="AG263" s="12">
        <f>SUM(AC263:AF263)</f>
        <v>28844</v>
      </c>
      <c r="AH263" s="12">
        <f>AH123</f>
        <v>4183</v>
      </c>
      <c r="AI263" s="12">
        <f>AI123</f>
        <v>14525</v>
      </c>
      <c r="AJ263" s="12">
        <f>AJ123</f>
        <v>8100.12337048255</v>
      </c>
      <c r="AK263" s="12">
        <f>AK123</f>
        <v>7816.55162587847</v>
      </c>
      <c r="AL263" s="12">
        <f>SUM(AH263:AK263)</f>
        <v>34624.674996361</v>
      </c>
      <c r="AM263" s="12">
        <f>AM123</f>
        <v>8085.30850371824</v>
      </c>
      <c r="AN263" s="12">
        <f>AN123</f>
        <v>11017.7974192003</v>
      </c>
      <c r="AO263" s="12">
        <f>AO123</f>
        <v>8448.59394667879</v>
      </c>
      <c r="AP263" s="12">
        <f>AP123</f>
        <v>8152.8228311867</v>
      </c>
      <c r="AQ263" s="12">
        <f>SUM(AM263:AP263)</f>
        <v>35704.5227007841</v>
      </c>
      <c r="AR263" s="12">
        <f>AR123</f>
        <v>8392.71519584916</v>
      </c>
      <c r="AS263" s="12">
        <f>AS123</f>
        <v>11436.6985233014</v>
      </c>
      <c r="AT263" s="12">
        <f>AT123</f>
        <v>8769.81289795461</v>
      </c>
      <c r="AU263" s="12">
        <f>AU123</f>
        <v>8462.79644529332</v>
      </c>
      <c r="AV263" s="12">
        <f>SUM(AR263:AU263)</f>
        <v>37062.0230623984</v>
      </c>
      <c r="AW263" s="12">
        <f>AW123</f>
        <v>8669.84603848936</v>
      </c>
      <c r="AX263" s="12">
        <f>AX123</f>
        <v>11814.342923811</v>
      </c>
      <c r="AY263" s="12">
        <f>AY123</f>
        <v>9059.3956588958</v>
      </c>
      <c r="AZ263" s="12">
        <f>AZ123</f>
        <v>8742.2413990714</v>
      </c>
      <c r="BA263" s="12">
        <f>SUM(AW263:AZ263)</f>
        <v>38285.8260202676</v>
      </c>
      <c r="BB263" s="12">
        <f>BB123</f>
        <v>8912.77862319702</v>
      </c>
      <c r="BC263" s="12">
        <f>BC123</f>
        <v>12145.3855802045</v>
      </c>
      <c r="BD263" s="12">
        <f>BD123</f>
        <v>9313.24358116967</v>
      </c>
      <c r="BE263" s="12">
        <f>BE123</f>
        <v>8987.20253099766</v>
      </c>
      <c r="BF263" s="12">
        <f>SUM(BB263:BE263)</f>
        <v>39358.6103155688</v>
      </c>
      <c r="BG263" s="12" t="n"/>
      <c r="BH263" s="12" t="n"/>
      <c r="BI263" s="12" t="n"/>
      <c r="BJ263" s="12" t="n"/>
      <c r="BK263" s="12" t="n"/>
      <c r="BL263" s="12" t="n"/>
      <c r="BM263" s="12" t="n"/>
      <c r="BN263" s="12" t="n"/>
      <c r="BO263" s="12" t="n"/>
      <c r="BP263" s="12" t="n"/>
      <c r="BQ263" s="12" t="n"/>
      <c r="BR263" s="12" t="n"/>
      <c r="BS263" s="12" t="n"/>
      <c r="BT263" s="12" t="n"/>
      <c r="BU263" s="12" t="n"/>
      <c r="BV263" s="12" t="n"/>
      <c r="BW263" s="12" t="n"/>
      <c r="BX263" s="12" t="n"/>
      <c r="BY263" s="12" t="n"/>
      <c r="BZ263" s="12" t="n"/>
      <c r="CA263" s="12" t="n"/>
      <c r="CB263" s="12" t="n"/>
      <c r="CC263" s="12" t="n"/>
      <c r="CD263" s="12" t="n"/>
      <c r="CE263" s="12" t="n"/>
      <c r="CF263" s="12" t="n"/>
      <c r="CG263" s="12" t="n"/>
      <c r="CH263" s="12" t="n"/>
      <c r="CI263" s="12" t="n"/>
      <c r="CJ263" s="12" t="n"/>
      <c r="CK263" s="12" t="n"/>
      <c r="CL263" s="12" t="n"/>
      <c r="CM263" s="12" t="n"/>
      <c r="CN263" s="12" t="n"/>
      <c r="CO263" s="12" t="n"/>
      <c r="CP263" s="12" t="n"/>
      <c r="CQ263" s="12" t="n"/>
      <c r="CR263" s="12" t="n"/>
      <c r="CS263" s="12" t="n"/>
      <c r="CT263" s="12" t="n"/>
      <c r="CU263" s="12" t="n"/>
      <c r="CV263" s="12" t="n"/>
      <c r="CW263" s="12" t="n"/>
      <c r="CX263" s="12" t="n"/>
      <c r="CY263" s="12" t="n"/>
    </row>
    <row r="264">
      <c r="C264" s="10" t="inlineStr">
        <is>
          <t>Depreciation &amp; amortization</t>
        </is>
      </c>
      <c r="D264" s="12" t="n"/>
      <c r="E264" s="12" t="n"/>
      <c r="F264" s="12" t="n"/>
      <c r="G264" s="12" t="n"/>
      <c r="H264" s="12" t="n"/>
      <c r="I264" s="12" t="n"/>
      <c r="J264" s="12">
        <f>-J56</f>
        <v>4952</v>
      </c>
      <c r="K264" s="12">
        <f>-K56</f>
        <v>4990</v>
      </c>
      <c r="L264" s="12">
        <f>-L56</f>
        <v>5661</v>
      </c>
      <c r="M264" s="12" t="n"/>
      <c r="N264" s="12">
        <f>-N56</f>
        <v>8883</v>
      </c>
      <c r="O264" s="12">
        <f>-O56</f>
        <v>4451</v>
      </c>
      <c r="P264" s="12">
        <f>-P56</f>
        <v>5642</v>
      </c>
      <c r="Q264" s="12">
        <f>-Q56</f>
        <v>5064</v>
      </c>
      <c r="R264" s="12">
        <f>SUM(N264:Q264)</f>
        <v>24040</v>
      </c>
      <c r="S264" s="12">
        <f>-S56</f>
        <v>4244</v>
      </c>
      <c r="T264" s="12">
        <f>-T56</f>
        <v>4242</v>
      </c>
      <c r="U264" s="12">
        <f>-U56</f>
        <v>4415</v>
      </c>
      <c r="V264" s="12">
        <f>-V56</f>
        <v>7740</v>
      </c>
      <c r="W264" s="12">
        <f>SUM(S264:V264)</f>
        <v>20641</v>
      </c>
      <c r="X264" s="12">
        <f>-X56</f>
        <v>4812</v>
      </c>
      <c r="Y264" s="12">
        <f>-Y56</f>
        <v>5787</v>
      </c>
      <c r="Z264" s="12">
        <f>-Z56</f>
        <v>6258</v>
      </c>
      <c r="AA264" s="12">
        <f>-AA56</f>
        <v>6585</v>
      </c>
      <c r="AB264" s="12">
        <f>SUM(X264:AA264)</f>
        <v>23442</v>
      </c>
      <c r="AC264" s="12">
        <f>-AC56</f>
        <v>5702</v>
      </c>
      <c r="AD264" s="12">
        <f>-AD56</f>
        <v>6101</v>
      </c>
      <c r="AE264" s="12">
        <f>-AE56</f>
        <v>6475</v>
      </c>
      <c r="AF264" s="12">
        <f>-AF56</f>
        <v>7715</v>
      </c>
      <c r="AG264" s="12">
        <f>SUM(AC264:AF264)</f>
        <v>25993</v>
      </c>
      <c r="AH264" s="12">
        <f>-AH56</f>
        <v>6771</v>
      </c>
      <c r="AI264" s="12">
        <f>-AI56</f>
        <v>8689</v>
      </c>
      <c r="AJ264" s="12">
        <f>-AJ56</f>
        <v>6931.96508942575</v>
      </c>
      <c r="AK264" s="12">
        <f>-AK56</f>
        <v>6689.28860858273</v>
      </c>
      <c r="AL264" s="12">
        <f>SUM(AH264:AK264)</f>
        <v>29081.2536980085</v>
      </c>
      <c r="AM264" s="12">
        <f>-AM56</f>
        <v>6919.2867468231</v>
      </c>
      <c r="AN264" s="12">
        <f>-AN56</f>
        <v>9428.86713930532</v>
      </c>
      <c r="AO264" s="12">
        <f>-AO56</f>
        <v>7230.18102496162</v>
      </c>
      <c r="AP264" s="12">
        <f>-AP56</f>
        <v>6977.06450398083</v>
      </c>
      <c r="AQ264" s="12">
        <f>SUM(AM264:AP264)</f>
        <v>30555.3994150709</v>
      </c>
      <c r="AR264" s="12">
        <f>-AR56</f>
        <v>7182.36082120975</v>
      </c>
      <c r="AS264" s="12">
        <f>-AS56</f>
        <v>9787.35647295323</v>
      </c>
      <c r="AT264" s="12">
        <f>-AT56</f>
        <v>7505.07542526423</v>
      </c>
      <c r="AU264" s="12">
        <f>-AU56</f>
        <v>7242.33531201079</v>
      </c>
      <c r="AV264" s="12">
        <f>SUM(AR264:AU264)</f>
        <v>31717.128031438</v>
      </c>
      <c r="AW264" s="12">
        <f>-AW56</f>
        <v>7419.52527396186</v>
      </c>
      <c r="AX264" s="12">
        <f>-AX56</f>
        <v>10110.5389333697</v>
      </c>
      <c r="AY264" s="12">
        <f>-AY56</f>
        <v>7752.89604447342</v>
      </c>
      <c r="AZ264" s="12">
        <f>-AZ56</f>
        <v>7481.4801466518</v>
      </c>
      <c r="BA264" s="12">
        <f>SUM(AW264:AZ264)</f>
        <v>32764.4403984568</v>
      </c>
      <c r="BB264" s="12">
        <f>-BB56</f>
        <v>7627.42336628155</v>
      </c>
      <c r="BC264" s="12">
        <f>-BC56</f>
        <v>10393.8403143824</v>
      </c>
      <c r="BD264" s="12">
        <f>-BD56</f>
        <v>7970.13532031435</v>
      </c>
      <c r="BE264" s="12">
        <f>-BE56</f>
        <v>7691.1142395061</v>
      </c>
      <c r="BF264" s="12">
        <f>SUM(BB264:BE264)</f>
        <v>33682.5132404844</v>
      </c>
      <c r="BG264" s="12" t="n"/>
      <c r="BH264" s="12" t="n"/>
      <c r="BI264" s="12" t="n"/>
      <c r="BJ264" s="12" t="n"/>
      <c r="BK264" s="12" t="n"/>
      <c r="BL264" s="12" t="n"/>
      <c r="BM264" s="12" t="n"/>
      <c r="BN264" s="12" t="n"/>
      <c r="BO264" s="12" t="n"/>
      <c r="BP264" s="12" t="n"/>
      <c r="BQ264" s="12" t="n"/>
      <c r="BR264" s="12" t="n"/>
      <c r="BS264" s="12" t="n"/>
      <c r="BT264" s="12" t="n"/>
      <c r="BU264" s="12" t="n"/>
      <c r="BV264" s="12" t="n"/>
      <c r="BW264" s="12" t="n"/>
      <c r="BX264" s="12" t="n"/>
      <c r="BY264" s="12" t="n"/>
      <c r="BZ264" s="12" t="n"/>
      <c r="CA264" s="12" t="n"/>
      <c r="CB264" s="12" t="n"/>
      <c r="CC264" s="12" t="n"/>
      <c r="CD264" s="12" t="n"/>
      <c r="CE264" s="12" t="n"/>
      <c r="CF264" s="12" t="n"/>
      <c r="CG264" s="12" t="n"/>
      <c r="CH264" s="12" t="n"/>
      <c r="CI264" s="12" t="n"/>
      <c r="CJ264" s="12" t="n"/>
      <c r="CK264" s="12" t="n"/>
      <c r="CL264" s="12" t="n"/>
      <c r="CM264" s="12" t="n"/>
      <c r="CN264" s="12" t="n"/>
      <c r="CO264" s="12" t="n"/>
      <c r="CP264" s="12" t="n"/>
      <c r="CQ264" s="12" t="n"/>
      <c r="CR264" s="12" t="n"/>
      <c r="CS264" s="12" t="n"/>
      <c r="CT264" s="12" t="n"/>
      <c r="CU264" s="12" t="n"/>
      <c r="CV264" s="12" t="n"/>
      <c r="CW264" s="12" t="n"/>
      <c r="CX264" s="12" t="n"/>
      <c r="CY264" s="12" t="n"/>
    </row>
    <row r="265">
      <c r="C265" s="10" t="inlineStr">
        <is>
          <t xml:space="preserve">Changes in working capital </t>
        </is>
      </c>
      <c r="D265" s="12" t="n"/>
      <c r="E265" s="12" t="n"/>
      <c r="F265" s="12" t="n"/>
      <c r="G265" s="12" t="n"/>
      <c r="H265" s="12" t="n"/>
      <c r="I265" s="12" t="n"/>
      <c r="J265" s="12">
        <f>SUM(J266:J275)</f>
        <v>681</v>
      </c>
      <c r="K265" s="12">
        <f>SUM(K266:K275)</f>
        <v>1032</v>
      </c>
      <c r="L265" s="12">
        <f>SUM(L266:L275)</f>
        <v>3069</v>
      </c>
      <c r="M265" s="12" t="n"/>
      <c r="N265" s="12">
        <f>SUM(N266:N275)</f>
        <v>345</v>
      </c>
      <c r="O265" s="12">
        <f>SUM(O266:O275)</f>
        <v>-1277</v>
      </c>
      <c r="P265" s="12">
        <f>SUM(P266:P275)</f>
        <v>1019</v>
      </c>
      <c r="Q265" s="12">
        <f>SUM(Q266:Q275)</f>
        <v>3027</v>
      </c>
      <c r="R265" s="12">
        <f>SUM(N265:Q265)</f>
        <v>3114</v>
      </c>
      <c r="S265" s="12">
        <f>SUM(S266:S275)</f>
        <v>-302</v>
      </c>
      <c r="T265" s="12">
        <f>SUM(T266:T275)</f>
        <v>-3878</v>
      </c>
      <c r="U265" s="12">
        <f>SUM(U266:U275)</f>
        <v>3043</v>
      </c>
      <c r="V265" s="12">
        <f>SUM(V266:V275)</f>
        <v>-1549</v>
      </c>
      <c r="W265" s="12">
        <f>SUM(S265:V265)</f>
        <v>-2686</v>
      </c>
      <c r="X265" s="12">
        <f>SUM(X266:X275)</f>
        <v>1135</v>
      </c>
      <c r="Y265" s="12">
        <f>SUM(Y266:Y275)</f>
        <v>12701</v>
      </c>
      <c r="Z265" s="12">
        <f>SUM(Z266:Z275)</f>
        <v>2775</v>
      </c>
      <c r="AA265" s="12">
        <f>SUM(AA266:AA275)</f>
        <v>-1786</v>
      </c>
      <c r="AB265" s="12">
        <f>SUM(X265:AA265)</f>
        <v>14825</v>
      </c>
      <c r="AC265" s="12">
        <f>SUM(AC266:AC275)</f>
        <v>-1438</v>
      </c>
      <c r="AD265" s="12">
        <f>SUM(AD266:AD275)</f>
        <v>-2641</v>
      </c>
      <c r="AE265" s="12">
        <f>SUM(AE266:AE275)</f>
        <v>2535</v>
      </c>
      <c r="AF265" s="12">
        <f>SUM(AF266:AF275)</f>
        <v>-3340</v>
      </c>
      <c r="AG265" s="12">
        <f>SUM(AC265:AF265)</f>
        <v>-4884</v>
      </c>
      <c r="AH265" s="12">
        <f>SUM(AH266:AH275)</f>
        <v>-36</v>
      </c>
      <c r="AI265" s="12">
        <f>SUM(AI266:AI275)</f>
        <v>-2481</v>
      </c>
      <c r="AJ265" s="12">
        <f>SUM(AJ266:AJ275)</f>
        <v>3372.01674543484</v>
      </c>
      <c r="AK265" s="12">
        <f>SUM(AK266:AK275)</f>
        <v>-411.035265841791</v>
      </c>
      <c r="AL265" s="12">
        <f>SUM(AH265:AK265)</f>
        <v>443.981479593046</v>
      </c>
      <c r="AM265" s="12">
        <f>SUM(AM266:AM275)</f>
        <v>1144.58541421616</v>
      </c>
      <c r="AN265" s="12">
        <f>SUM(AN266:AN275)</f>
        <v>6280.6642613095</v>
      </c>
      <c r="AO265" s="12">
        <f>SUM(AO266:AO275)</f>
        <v>-5473.62768281103</v>
      </c>
      <c r="AP265" s="12">
        <f>SUM(AP266:AP275)</f>
        <v>-402.242026038951</v>
      </c>
      <c r="AQ265" s="12">
        <f>SUM(AM265:AP265)</f>
        <v>1549.37996667568</v>
      </c>
      <c r="AR265" s="12">
        <f>SUM(AR266:AR275)</f>
        <v>907.729041011027</v>
      </c>
      <c r="AS265" s="12">
        <f>SUM(AS266:AS275)</f>
        <v>6719.36633188861</v>
      </c>
      <c r="AT265" s="12">
        <f>SUM(AT266:AT275)</f>
        <v>-5682.17953090796</v>
      </c>
      <c r="AU265" s="12">
        <f>SUM(AU266:AU275)</f>
        <v>-419.104428750225</v>
      </c>
      <c r="AV265" s="12">
        <f>SUM(AR265:AU265)</f>
        <v>1525.81141324145</v>
      </c>
      <c r="AW265" s="12">
        <f>SUM(AW266:AW275)</f>
        <v>1052.33210113933</v>
      </c>
      <c r="AX265" s="12">
        <f>SUM(AX266:AX275)</f>
        <v>6729.03899832335</v>
      </c>
      <c r="AY265" s="12">
        <f>SUM(AY266:AY275)</f>
        <v>-5877.43070992791</v>
      </c>
      <c r="AZ265" s="12">
        <f>SUM(AZ266:AZ275)</f>
        <v>-441.962699524765</v>
      </c>
      <c r="BA265" s="12">
        <f>SUM(AW265:AZ265)</f>
        <v>1461.97769001</v>
      </c>
      <c r="BB265" s="12">
        <f>SUM(BB266:BB275)</f>
        <v>979.575804702162</v>
      </c>
      <c r="BC265" s="12">
        <f>SUM(BC266:BC275)</f>
        <v>6903.37768573441</v>
      </c>
      <c r="BD265" s="12">
        <f>SUM(BD266:BD275)</f>
        <v>-6057.82936879474</v>
      </c>
      <c r="BE265" s="12">
        <f>SUM(BE266:BE275)</f>
        <v>-471.634678488194</v>
      </c>
      <c r="BF265" s="12">
        <f>SUM(BB265:BE265)</f>
        <v>1353.48944315364</v>
      </c>
      <c r="BG265" s="12" t="n"/>
      <c r="BH265" s="12" t="n"/>
      <c r="BI265" s="12" t="n"/>
      <c r="BJ265" s="12" t="n"/>
      <c r="BK265" s="12" t="n"/>
      <c r="BL265" s="12" t="n"/>
      <c r="BM265" s="12" t="n"/>
      <c r="BN265" s="12" t="n"/>
      <c r="BO265" s="12" t="n"/>
      <c r="BP265" s="12" t="n"/>
      <c r="BQ265" s="12" t="n"/>
      <c r="BR265" s="12" t="n"/>
      <c r="BS265" s="12" t="n"/>
      <c r="BT265" s="12" t="n"/>
      <c r="BU265" s="12" t="n"/>
      <c r="BV265" s="12" t="n"/>
      <c r="BW265" s="12" t="n"/>
      <c r="BX265" s="12" t="n"/>
      <c r="BY265" s="12" t="n"/>
      <c r="BZ265" s="12" t="n"/>
      <c r="CA265" s="12" t="n"/>
      <c r="CB265" s="12" t="n"/>
      <c r="CC265" s="12" t="n"/>
      <c r="CD265" s="12" t="n"/>
      <c r="CE265" s="12" t="n"/>
      <c r="CF265" s="12" t="n"/>
      <c r="CG265" s="12" t="n"/>
      <c r="CH265" s="12" t="n"/>
      <c r="CI265" s="12" t="n"/>
      <c r="CJ265" s="12" t="n"/>
      <c r="CK265" s="12" t="n"/>
      <c r="CL265" s="12" t="n"/>
      <c r="CM265" s="12" t="n"/>
      <c r="CN265" s="12" t="n"/>
      <c r="CO265" s="12" t="n"/>
      <c r="CP265" s="12" t="n"/>
      <c r="CQ265" s="12" t="n"/>
      <c r="CR265" s="12" t="n"/>
      <c r="CS265" s="12" t="n"/>
      <c r="CT265" s="12" t="n"/>
      <c r="CU265" s="12" t="n"/>
      <c r="CV265" s="12" t="n"/>
      <c r="CW265" s="12" t="n"/>
      <c r="CX265" s="12" t="n"/>
      <c r="CY265" s="12" t="n"/>
    </row>
    <row r="266" hidden="1" outlineLevel="1">
      <c r="C266" s="10" t="inlineStr">
        <is>
          <t>Accounts receivable</t>
        </is>
      </c>
      <c r="D266" s="12" t="n"/>
      <c r="E266" s="12" t="n"/>
      <c r="F266" s="12" t="n"/>
      <c r="G266" s="12" t="n"/>
      <c r="H266" s="12" t="n"/>
      <c r="I266" s="12" t="n"/>
      <c r="J266" s="12">
        <f>(J131-I131)*-1</f>
        <v>-3785</v>
      </c>
      <c r="K266" s="12">
        <f>(K131-J131)*-1</f>
        <v>-976</v>
      </c>
      <c r="L266" s="12">
        <f>(L131-K131)*-1</f>
        <v>-2867</v>
      </c>
      <c r="M266" s="12" t="n"/>
      <c r="N266" s="12">
        <f>(N131-M131)*-1</f>
        <v>-9759</v>
      </c>
      <c r="O266" s="12">
        <f>(O131-N131)*-1</f>
        <v>-5921</v>
      </c>
      <c r="P266" s="12">
        <f>(P131-O131)*-1</f>
        <v>5652</v>
      </c>
      <c r="Q266" s="12">
        <f>(Q131-P131)*-1</f>
        <v>662</v>
      </c>
      <c r="R266" s="12">
        <f>SUM(N266:Q266)</f>
        <v>-9366</v>
      </c>
      <c r="S266" s="12">
        <f>(S131-R131)*-1</f>
        <v>2941</v>
      </c>
      <c r="T266" s="12">
        <f>(T131-S131)*-1</f>
        <v>2893</v>
      </c>
      <c r="U266" s="12">
        <f>(U131-T131)*-1</f>
        <v>-5899</v>
      </c>
      <c r="V266" s="12">
        <f>(V131-U131)*-1</f>
        <v>3799</v>
      </c>
      <c r="W266" s="12">
        <f>SUM(S266:V266)</f>
        <v>3734</v>
      </c>
      <c r="X266" s="12">
        <f>(X131-W131)*-1</f>
        <v>-2351</v>
      </c>
      <c r="Y266" s="12">
        <f>(Y131-X131)*-1</f>
        <v>-2705</v>
      </c>
      <c r="Z266" s="12">
        <f>(Z131-Y131)*-1</f>
        <v>1566</v>
      </c>
      <c r="AA266" s="12">
        <f>(AA131-Z131)*-1</f>
        <v>-2176</v>
      </c>
      <c r="AB266" s="12">
        <f>SUM(X266:AA266)</f>
        <v>-5666</v>
      </c>
      <c r="AC266" s="12">
        <f>(AC131-AB131)*-1</f>
        <v>-2622</v>
      </c>
      <c r="AD266" s="12">
        <f>(AD131-AC131)*-1</f>
        <v>4511</v>
      </c>
      <c r="AE266" s="12">
        <f>(AE131-AD131)*-1</f>
        <v>-3493</v>
      </c>
      <c r="AF266" s="12">
        <f>(AF131-AE131)*-1</f>
        <v>723</v>
      </c>
      <c r="AG266" s="12">
        <f>SUM(AC266:AF266)</f>
        <v>-881</v>
      </c>
      <c r="AH266" s="12">
        <f>(AH131-AG131)*-1</f>
        <v>-17221</v>
      </c>
      <c r="AI266" s="12">
        <f>(AI131-AH131)*-1</f>
        <v>1225</v>
      </c>
      <c r="AJ266" s="12">
        <f>(AJ131-AI131)*-1</f>
        <v>10877.8668581961</v>
      </c>
      <c r="AK266" s="12">
        <f>(AK131-AJ131)*-1</f>
        <v>1739.21820481424</v>
      </c>
      <c r="AL266" s="12">
        <f>SUM(AH266:AK266)</f>
        <v>-3378.91493698969</v>
      </c>
      <c r="AM266" s="12">
        <f>(AM131-AL131)*-1</f>
        <v>-2750.3386016564</v>
      </c>
      <c r="AN266" s="12">
        <f>(AN131-AM131)*-1</f>
        <v>-17626.30465987</v>
      </c>
      <c r="AO266" s="12">
        <f>(AO131-AN131)*-1</f>
        <v>16500.1656805752</v>
      </c>
      <c r="AP266" s="12">
        <f>(AP131-AO131)*-1</f>
        <v>1814.04007384541</v>
      </c>
      <c r="AQ266" s="12">
        <f>SUM(AM266:AP266)</f>
        <v>-2062.43750710582</v>
      </c>
      <c r="AR266" s="12">
        <f>(AR131-AQ131)*-1</f>
        <v>-2036.97712638682</v>
      </c>
      <c r="AS266" s="12">
        <f>(AS131-AR131)*-1</f>
        <v>-18874.6897602354</v>
      </c>
      <c r="AT266" s="12">
        <f>(AT131-AS131)*-1</f>
        <v>17127.5086383789</v>
      </c>
      <c r="AU266" s="12">
        <f>(AU131-AT131)*-1</f>
        <v>1883.01060950739</v>
      </c>
      <c r="AV266" s="12">
        <f>SUM(AR266:AU266)</f>
        <v>-1901.14763873598</v>
      </c>
      <c r="AW266" s="12">
        <f>(AW131-AV131)*-1</f>
        <v>-2451.54130705263</v>
      </c>
      <c r="AX266" s="12">
        <f>(AX131-AW131)*-1</f>
        <v>-18900.6204968312</v>
      </c>
      <c r="AY266" s="12">
        <f>(AY131-AX131)*-1</f>
        <v>17693.0658854101</v>
      </c>
      <c r="AZ266" s="12">
        <f>(AZ131-AY131)*-1</f>
        <v>1945.18837972069</v>
      </c>
      <c r="BA266" s="12">
        <f>SUM(AW266:AZ266)</f>
        <v>-1713.90753875312</v>
      </c>
      <c r="BB266" s="12">
        <f>(BB131-BA131)*-1</f>
        <v>-2260.71198337956</v>
      </c>
      <c r="BC266" s="12">
        <f>(BC131-BB131)*-1</f>
        <v>-19430.2235104822</v>
      </c>
      <c r="BD266" s="12">
        <f>(BD131-BC131)*-1</f>
        <v>18188.8327315413</v>
      </c>
      <c r="BE266" s="12">
        <f>(BE131-BD131)*-1</f>
        <v>1999.69334309962</v>
      </c>
      <c r="BF266" s="12">
        <f>SUM(BB266:BE266)</f>
        <v>-1502.40941922079</v>
      </c>
      <c r="BG266" s="12" t="n"/>
      <c r="BH266" s="12" t="n"/>
      <c r="BI266" s="12" t="n"/>
      <c r="BJ266" s="12" t="n"/>
      <c r="BK266" s="12" t="n"/>
      <c r="BL266" s="12" t="n"/>
      <c r="BM266" s="12" t="n"/>
      <c r="BN266" s="12" t="n"/>
      <c r="BO266" s="12" t="n"/>
      <c r="BP266" s="12" t="n"/>
      <c r="BQ266" s="12" t="n"/>
      <c r="BR266" s="12" t="n"/>
      <c r="BS266" s="12" t="n"/>
      <c r="BT266" s="12" t="n"/>
      <c r="BU266" s="12" t="n"/>
      <c r="BV266" s="12" t="n"/>
      <c r="BW266" s="12" t="n"/>
      <c r="BX266" s="12" t="n"/>
      <c r="BY266" s="12" t="n"/>
      <c r="BZ266" s="12" t="n"/>
      <c r="CA266" s="12" t="n"/>
      <c r="CB266" s="12" t="n"/>
      <c r="CC266" s="12" t="n"/>
      <c r="CD266" s="12" t="n"/>
      <c r="CE266" s="12" t="n"/>
      <c r="CF266" s="12" t="n"/>
      <c r="CG266" s="12" t="n"/>
      <c r="CH266" s="12" t="n"/>
      <c r="CI266" s="12" t="n"/>
      <c r="CJ266" s="12" t="n"/>
      <c r="CK266" s="12" t="n"/>
      <c r="CL266" s="12" t="n"/>
      <c r="CM266" s="12" t="n"/>
      <c r="CN266" s="12" t="n"/>
      <c r="CO266" s="12" t="n"/>
      <c r="CP266" s="12" t="n"/>
      <c r="CQ266" s="12" t="n"/>
      <c r="CR266" s="12" t="n"/>
      <c r="CS266" s="12" t="n"/>
      <c r="CT266" s="12" t="n"/>
      <c r="CU266" s="12" t="n"/>
      <c r="CV266" s="12" t="n"/>
      <c r="CW266" s="12" t="n"/>
      <c r="CX266" s="12" t="n"/>
      <c r="CY266" s="12" t="n"/>
    </row>
    <row r="267" hidden="1" outlineLevel="1">
      <c r="C267" s="10" t="inlineStr">
        <is>
          <t>Inventories</t>
        </is>
      </c>
      <c r="D267" s="12" t="n"/>
      <c r="E267" s="12" t="n"/>
      <c r="F267" s="12" t="n"/>
      <c r="G267" s="12" t="n"/>
      <c r="H267" s="12" t="n"/>
      <c r="I267" s="12" t="n"/>
      <c r="J267" s="12">
        <f>(J135-I135)*-1</f>
        <v>0</v>
      </c>
      <c r="K267" s="12">
        <f>(K135-J135)*-1</f>
        <v>0</v>
      </c>
      <c r="L267" s="12">
        <f>(L135-K135)*-1</f>
        <v>0</v>
      </c>
      <c r="M267" s="12" t="n"/>
      <c r="N267" s="12">
        <f>(N135-M135)*-1</f>
        <v>0</v>
      </c>
      <c r="O267" s="12">
        <f>(O135-N135)*-1</f>
        <v>0</v>
      </c>
      <c r="P267" s="12">
        <f>(P135-O135)*-1</f>
        <v>0</v>
      </c>
      <c r="Q267" s="12">
        <f>(Q135-P135)*-1</f>
        <v>0</v>
      </c>
      <c r="R267" s="12">
        <f>SUM(N267:Q267)</f>
        <v>0</v>
      </c>
      <c r="S267" s="12">
        <f>(S135-R135)*-1</f>
        <v>0</v>
      </c>
      <c r="T267" s="12">
        <f>(T135-S135)*-1</f>
        <v>0</v>
      </c>
      <c r="U267" s="12">
        <f>(U135-T135)*-1</f>
        <v>0</v>
      </c>
      <c r="V267" s="12">
        <f>(V135-U135)*-1</f>
        <v>0</v>
      </c>
      <c r="W267" s="12">
        <f>SUM(S267:V267)</f>
        <v>0</v>
      </c>
      <c r="X267" s="12">
        <f>(X135-W135)*-1</f>
        <v>0</v>
      </c>
      <c r="Y267" s="12">
        <f>(Y135-X135)*-1</f>
        <v>0</v>
      </c>
      <c r="Z267" s="12">
        <f>(Z135-Y135)*-1</f>
        <v>0</v>
      </c>
      <c r="AA267" s="12">
        <f>(AA135-Z135)*-1</f>
        <v>0</v>
      </c>
      <c r="AB267" s="12">
        <f>SUM(X267:AA267)</f>
        <v>0</v>
      </c>
      <c r="AC267" s="12">
        <f>(AC135-AB135)*-1</f>
        <v>0</v>
      </c>
      <c r="AD267" s="12">
        <f>(AD135-AC135)*-1</f>
        <v>0</v>
      </c>
      <c r="AE267" s="12">
        <f>(AE135-AD135)*-1</f>
        <v>0</v>
      </c>
      <c r="AF267" s="12">
        <f>(AF135-AE135)*-1</f>
        <v>0</v>
      </c>
      <c r="AG267" s="12">
        <f>SUM(AC267:AF267)</f>
        <v>0</v>
      </c>
      <c r="AH267" s="12">
        <f>(AH135-AG135)*-1</f>
        <v>0</v>
      </c>
      <c r="AI267" s="12">
        <f>(AI135-AH135)*-1</f>
        <v>0</v>
      </c>
      <c r="AJ267" s="12">
        <f>(AJ135-AI135)*-1</f>
        <v>0</v>
      </c>
      <c r="AK267" s="12">
        <f>(AK135-AJ135)*-1</f>
        <v>0</v>
      </c>
      <c r="AL267" s="12">
        <f>SUM(AH267:AK267)</f>
        <v>0</v>
      </c>
      <c r="AM267" s="12">
        <f>(AM135-AL135)*-1</f>
        <v>0</v>
      </c>
      <c r="AN267" s="12">
        <f>(AN135-AM135)*-1</f>
        <v>0</v>
      </c>
      <c r="AO267" s="12">
        <f>(AO135-AN135)*-1</f>
        <v>0</v>
      </c>
      <c r="AP267" s="12">
        <f>(AP135-AO135)*-1</f>
        <v>0</v>
      </c>
      <c r="AQ267" s="12">
        <f>SUM(AM267:AP267)</f>
        <v>0</v>
      </c>
      <c r="AR267" s="12">
        <f>(AR135-AQ135)*-1</f>
        <v>0</v>
      </c>
      <c r="AS267" s="12">
        <f>(AS135-AR135)*-1</f>
        <v>0</v>
      </c>
      <c r="AT267" s="12">
        <f>(AT135-AS135)*-1</f>
        <v>0</v>
      </c>
      <c r="AU267" s="12">
        <f>(AU135-AT135)*-1</f>
        <v>0</v>
      </c>
      <c r="AV267" s="12">
        <f>SUM(AR267:AU267)</f>
        <v>0</v>
      </c>
      <c r="AW267" s="12">
        <f>(AW135-AV135)*-1</f>
        <v>0</v>
      </c>
      <c r="AX267" s="12">
        <f>(AX135-AW135)*-1</f>
        <v>0</v>
      </c>
      <c r="AY267" s="12">
        <f>(AY135-AX135)*-1</f>
        <v>0</v>
      </c>
      <c r="AZ267" s="12">
        <f>(AZ135-AY135)*-1</f>
        <v>0</v>
      </c>
      <c r="BA267" s="12">
        <f>SUM(AW267:AZ267)</f>
        <v>0</v>
      </c>
      <c r="BB267" s="12">
        <f>(BB135-BA135)*-1</f>
        <v>0</v>
      </c>
      <c r="BC267" s="12">
        <f>(BC135-BB135)*-1</f>
        <v>0</v>
      </c>
      <c r="BD267" s="12">
        <f>(BD135-BC135)*-1</f>
        <v>0</v>
      </c>
      <c r="BE267" s="12">
        <f>(BE135-BD135)*-1</f>
        <v>0</v>
      </c>
      <c r="BF267" s="12">
        <f>SUM(BB267:BE267)</f>
        <v>0</v>
      </c>
      <c r="BG267" s="12" t="n"/>
      <c r="BH267" s="12" t="n"/>
      <c r="BI267" s="12" t="n"/>
      <c r="BJ267" s="12" t="n"/>
      <c r="BK267" s="12" t="n"/>
      <c r="BL267" s="12" t="n"/>
      <c r="BM267" s="12" t="n"/>
      <c r="BN267" s="12" t="n"/>
      <c r="BO267" s="12" t="n"/>
      <c r="BP267" s="12" t="n"/>
      <c r="BQ267" s="12" t="n"/>
      <c r="BR267" s="12" t="n"/>
      <c r="BS267" s="12" t="n"/>
      <c r="BT267" s="12" t="n"/>
      <c r="BU267" s="12" t="n"/>
      <c r="BV267" s="12" t="n"/>
      <c r="BW267" s="12" t="n"/>
      <c r="BX267" s="12" t="n"/>
      <c r="BY267" s="12" t="n"/>
      <c r="BZ267" s="12" t="n"/>
      <c r="CA267" s="12" t="n"/>
      <c r="CB267" s="12" t="n"/>
      <c r="CC267" s="12" t="n"/>
      <c r="CD267" s="12" t="n"/>
      <c r="CE267" s="12" t="n"/>
      <c r="CF267" s="12" t="n"/>
      <c r="CG267" s="12" t="n"/>
      <c r="CH267" s="12" t="n"/>
      <c r="CI267" s="12" t="n"/>
      <c r="CJ267" s="12" t="n"/>
      <c r="CK267" s="12" t="n"/>
      <c r="CL267" s="12" t="n"/>
      <c r="CM267" s="12" t="n"/>
      <c r="CN267" s="12" t="n"/>
      <c r="CO267" s="12" t="n"/>
      <c r="CP267" s="12" t="n"/>
      <c r="CQ267" s="12" t="n"/>
      <c r="CR267" s="12" t="n"/>
      <c r="CS267" s="12" t="n"/>
      <c r="CT267" s="12" t="n"/>
      <c r="CU267" s="12" t="n"/>
      <c r="CV267" s="12" t="n"/>
      <c r="CW267" s="12" t="n"/>
      <c r="CX267" s="12" t="n"/>
      <c r="CY267" s="12" t="n"/>
    </row>
    <row r="268" hidden="1" outlineLevel="1">
      <c r="C268" s="10" t="inlineStr">
        <is>
          <t>Deferred income taxes</t>
        </is>
      </c>
      <c r="D268" s="12" t="n"/>
      <c r="E268" s="12" t="n"/>
      <c r="F268" s="12" t="n"/>
      <c r="G268" s="12" t="n"/>
      <c r="H268" s="12" t="n"/>
      <c r="I268" s="12" t="n"/>
      <c r="J268" s="12">
        <f>(J139-I139)*-1</f>
        <v>0</v>
      </c>
      <c r="K268" s="12">
        <f>(K139-J139)*-1</f>
        <v>0</v>
      </c>
      <c r="L268" s="12">
        <f>(L139-K139)*-1</f>
        <v>0</v>
      </c>
      <c r="M268" s="12" t="n"/>
      <c r="N268" s="12">
        <f>(N139-M139)*-1</f>
        <v>0</v>
      </c>
      <c r="O268" s="12">
        <f>(O139-N139)*-1</f>
        <v>0</v>
      </c>
      <c r="P268" s="12">
        <f>(P139-O139)*-1</f>
        <v>0</v>
      </c>
      <c r="Q268" s="12">
        <f>(Q139-P139)*-1</f>
        <v>0</v>
      </c>
      <c r="R268" s="12">
        <f>SUM(N268:Q268)</f>
        <v>0</v>
      </c>
      <c r="S268" s="12">
        <f>(S139-R139)*-1</f>
        <v>0</v>
      </c>
      <c r="T268" s="12">
        <f>(T139-S139)*-1</f>
        <v>0</v>
      </c>
      <c r="U268" s="12">
        <f>(U139-T139)*-1</f>
        <v>0</v>
      </c>
      <c r="V268" s="12">
        <f>(V139-U139)*-1</f>
        <v>0</v>
      </c>
      <c r="W268" s="12">
        <f>SUM(S268:V268)</f>
        <v>0</v>
      </c>
      <c r="X268" s="12">
        <f>(X139-W139)*-1</f>
        <v>0</v>
      </c>
      <c r="Y268" s="12">
        <f>(Y139-X139)*-1</f>
        <v>0</v>
      </c>
      <c r="Z268" s="12">
        <f>(Z139-Y139)*-1</f>
        <v>0</v>
      </c>
      <c r="AA268" s="12">
        <f>(AA139-Z139)*-1</f>
        <v>0</v>
      </c>
      <c r="AB268" s="12">
        <f>SUM(X268:AA268)</f>
        <v>0</v>
      </c>
      <c r="AC268" s="12">
        <f>(AC139-AB139)*-1</f>
        <v>0</v>
      </c>
      <c r="AD268" s="12">
        <f>(AD139-AC139)*-1</f>
        <v>0</v>
      </c>
      <c r="AE268" s="12">
        <f>(AE139-AD139)*-1</f>
        <v>0</v>
      </c>
      <c r="AF268" s="12">
        <f>(AF139-AE139)*-1</f>
        <v>0</v>
      </c>
      <c r="AG268" s="12">
        <f>SUM(AC268:AF268)</f>
        <v>0</v>
      </c>
      <c r="AH268" s="12">
        <f>(AH139-AG139)*-1</f>
        <v>0</v>
      </c>
      <c r="AI268" s="12">
        <f>(AI139-AH139)*-1</f>
        <v>0</v>
      </c>
      <c r="AJ268" s="12">
        <f>(AJ139-AI139)*-1</f>
        <v>0</v>
      </c>
      <c r="AK268" s="12">
        <f>(AK139-AJ139)*-1</f>
        <v>0</v>
      </c>
      <c r="AL268" s="12">
        <f>SUM(AH268:AK268)</f>
        <v>0</v>
      </c>
      <c r="AM268" s="12">
        <f>(AM139-AL139)*-1</f>
        <v>0</v>
      </c>
      <c r="AN268" s="12">
        <f>(AN139-AM139)*-1</f>
        <v>0</v>
      </c>
      <c r="AO268" s="12">
        <f>(AO139-AN139)*-1</f>
        <v>0</v>
      </c>
      <c r="AP268" s="12">
        <f>(AP139-AO139)*-1</f>
        <v>0</v>
      </c>
      <c r="AQ268" s="12">
        <f>SUM(AM268:AP268)</f>
        <v>0</v>
      </c>
      <c r="AR268" s="12">
        <f>(AR139-AQ139)*-1</f>
        <v>0</v>
      </c>
      <c r="AS268" s="12">
        <f>(AS139-AR139)*-1</f>
        <v>0</v>
      </c>
      <c r="AT268" s="12">
        <f>(AT139-AS139)*-1</f>
        <v>0</v>
      </c>
      <c r="AU268" s="12">
        <f>(AU139-AT139)*-1</f>
        <v>0</v>
      </c>
      <c r="AV268" s="12">
        <f>SUM(AR268:AU268)</f>
        <v>0</v>
      </c>
      <c r="AW268" s="12">
        <f>(AW139-AV139)*-1</f>
        <v>0</v>
      </c>
      <c r="AX268" s="12">
        <f>(AX139-AW139)*-1</f>
        <v>0</v>
      </c>
      <c r="AY268" s="12">
        <f>(AY139-AX139)*-1</f>
        <v>0</v>
      </c>
      <c r="AZ268" s="12">
        <f>(AZ139-AY139)*-1</f>
        <v>0</v>
      </c>
      <c r="BA268" s="12">
        <f>SUM(AW268:AZ268)</f>
        <v>0</v>
      </c>
      <c r="BB268" s="12">
        <f>(BB139-BA139)*-1</f>
        <v>0</v>
      </c>
      <c r="BC268" s="12">
        <f>(BC139-BB139)*-1</f>
        <v>0</v>
      </c>
      <c r="BD268" s="12">
        <f>(BD139-BC139)*-1</f>
        <v>0</v>
      </c>
      <c r="BE268" s="12">
        <f>(BE139-BD139)*-1</f>
        <v>0</v>
      </c>
      <c r="BF268" s="12">
        <f>SUM(BB268:BE268)</f>
        <v>0</v>
      </c>
      <c r="BG268" s="12" t="n"/>
      <c r="BH268" s="12" t="n"/>
      <c r="BI268" s="12" t="n"/>
      <c r="BJ268" s="12" t="n"/>
      <c r="BK268" s="12" t="n"/>
      <c r="BL268" s="12" t="n"/>
      <c r="BM268" s="12" t="n"/>
      <c r="BN268" s="12" t="n"/>
      <c r="BO268" s="12" t="n"/>
      <c r="BP268" s="12" t="n"/>
      <c r="BQ268" s="12" t="n"/>
      <c r="BR268" s="12" t="n"/>
      <c r="BS268" s="12" t="n"/>
      <c r="BT268" s="12" t="n"/>
      <c r="BU268" s="12" t="n"/>
      <c r="BV268" s="12" t="n"/>
      <c r="BW268" s="12" t="n"/>
      <c r="BX268" s="12" t="n"/>
      <c r="BY268" s="12" t="n"/>
      <c r="BZ268" s="12" t="n"/>
      <c r="CA268" s="12" t="n"/>
      <c r="CB268" s="12" t="n"/>
      <c r="CC268" s="12" t="n"/>
      <c r="CD268" s="12" t="n"/>
      <c r="CE268" s="12" t="n"/>
      <c r="CF268" s="12" t="n"/>
      <c r="CG268" s="12" t="n"/>
      <c r="CH268" s="12" t="n"/>
      <c r="CI268" s="12" t="n"/>
      <c r="CJ268" s="12" t="n"/>
      <c r="CK268" s="12" t="n"/>
      <c r="CL268" s="12" t="n"/>
      <c r="CM268" s="12" t="n"/>
      <c r="CN268" s="12" t="n"/>
      <c r="CO268" s="12" t="n"/>
      <c r="CP268" s="12" t="n"/>
      <c r="CQ268" s="12" t="n"/>
      <c r="CR268" s="12" t="n"/>
      <c r="CS268" s="12" t="n"/>
      <c r="CT268" s="12" t="n"/>
      <c r="CU268" s="12" t="n"/>
      <c r="CV268" s="12" t="n"/>
      <c r="CW268" s="12" t="n"/>
      <c r="CX268" s="12" t="n"/>
      <c r="CY268" s="12" t="n"/>
    </row>
    <row r="269" hidden="1" outlineLevel="1">
      <c r="C269" s="10" t="inlineStr">
        <is>
          <t>Prepaid expenses</t>
        </is>
      </c>
      <c r="D269" s="12" t="n"/>
      <c r="E269" s="12" t="n"/>
      <c r="F269" s="12" t="n"/>
      <c r="G269" s="12" t="n"/>
      <c r="H269" s="12" t="n"/>
      <c r="I269" s="12" t="n"/>
      <c r="J269" s="12">
        <f>(J140-I140)*-1</f>
        <v>0</v>
      </c>
      <c r="K269" s="12">
        <f>(K140-J140)*-1</f>
        <v>0</v>
      </c>
      <c r="L269" s="12">
        <f>(L140-K140)*-1</f>
        <v>0</v>
      </c>
      <c r="M269" s="12" t="n"/>
      <c r="N269" s="12">
        <f>(N140-M140)*-1</f>
        <v>0</v>
      </c>
      <c r="O269" s="12">
        <f>(O140-N140)*-1</f>
        <v>0</v>
      </c>
      <c r="P269" s="12">
        <f>(P140-O140)*-1</f>
        <v>0</v>
      </c>
      <c r="Q269" s="12">
        <f>(Q140-P140)*-1</f>
        <v>0</v>
      </c>
      <c r="R269" s="12">
        <f>SUM(N269:Q269)</f>
        <v>0</v>
      </c>
      <c r="S269" s="12">
        <f>(S140-R140)*-1</f>
        <v>0</v>
      </c>
      <c r="T269" s="12">
        <f>(T140-S140)*-1</f>
        <v>0</v>
      </c>
      <c r="U269" s="12">
        <f>(U140-T140)*-1</f>
        <v>0</v>
      </c>
      <c r="V269" s="12">
        <f>(V140-U140)*-1</f>
        <v>0</v>
      </c>
      <c r="W269" s="12">
        <f>SUM(S269:V269)</f>
        <v>0</v>
      </c>
      <c r="X269" s="12">
        <f>(X140-W140)*-1</f>
        <v>0</v>
      </c>
      <c r="Y269" s="12">
        <f>(Y140-X140)*-1</f>
        <v>0</v>
      </c>
      <c r="Z269" s="12">
        <f>(Z140-Y140)*-1</f>
        <v>0</v>
      </c>
      <c r="AA269" s="12">
        <f>(AA140-Z140)*-1</f>
        <v>0</v>
      </c>
      <c r="AB269" s="12">
        <f>SUM(X269:AA269)</f>
        <v>0</v>
      </c>
      <c r="AC269" s="12">
        <f>(AC140-AB140)*-1</f>
        <v>0</v>
      </c>
      <c r="AD269" s="12">
        <f>(AD140-AC140)*-1</f>
        <v>0</v>
      </c>
      <c r="AE269" s="12">
        <f>(AE140-AD140)*-1</f>
        <v>0</v>
      </c>
      <c r="AF269" s="12">
        <f>(AF140-AE140)*-1</f>
        <v>0</v>
      </c>
      <c r="AG269" s="12">
        <f>SUM(AC269:AF269)</f>
        <v>0</v>
      </c>
      <c r="AH269" s="12">
        <f>(AH140-AG140)*-1</f>
        <v>0</v>
      </c>
      <c r="AI269" s="12">
        <f>(AI140-AH140)*-1</f>
        <v>0</v>
      </c>
      <c r="AJ269" s="12">
        <f>(AJ140-AI140)*-1</f>
        <v>0</v>
      </c>
      <c r="AK269" s="12">
        <f>(AK140-AJ140)*-1</f>
        <v>0</v>
      </c>
      <c r="AL269" s="12">
        <f>SUM(AH269:AK269)</f>
        <v>0</v>
      </c>
      <c r="AM269" s="12">
        <f>(AM140-AL140)*-1</f>
        <v>0</v>
      </c>
      <c r="AN269" s="12">
        <f>(AN140-AM140)*-1</f>
        <v>0</v>
      </c>
      <c r="AO269" s="12">
        <f>(AO140-AN140)*-1</f>
        <v>0</v>
      </c>
      <c r="AP269" s="12">
        <f>(AP140-AO140)*-1</f>
        <v>0</v>
      </c>
      <c r="AQ269" s="12">
        <f>SUM(AM269:AP269)</f>
        <v>0</v>
      </c>
      <c r="AR269" s="12">
        <f>(AR140-AQ140)*-1</f>
        <v>0</v>
      </c>
      <c r="AS269" s="12">
        <f>(AS140-AR140)*-1</f>
        <v>0</v>
      </c>
      <c r="AT269" s="12">
        <f>(AT140-AS140)*-1</f>
        <v>0</v>
      </c>
      <c r="AU269" s="12">
        <f>(AU140-AT140)*-1</f>
        <v>0</v>
      </c>
      <c r="AV269" s="12">
        <f>SUM(AR269:AU269)</f>
        <v>0</v>
      </c>
      <c r="AW269" s="12">
        <f>(AW140-AV140)*-1</f>
        <v>0</v>
      </c>
      <c r="AX269" s="12">
        <f>(AX140-AW140)*-1</f>
        <v>0</v>
      </c>
      <c r="AY269" s="12">
        <f>(AY140-AX140)*-1</f>
        <v>0</v>
      </c>
      <c r="AZ269" s="12">
        <f>(AZ140-AY140)*-1</f>
        <v>0</v>
      </c>
      <c r="BA269" s="12">
        <f>SUM(AW269:AZ269)</f>
        <v>0</v>
      </c>
      <c r="BB269" s="12">
        <f>(BB140-BA140)*-1</f>
        <v>0</v>
      </c>
      <c r="BC269" s="12">
        <f>(BC140-BB140)*-1</f>
        <v>0</v>
      </c>
      <c r="BD269" s="12">
        <f>(BD140-BC140)*-1</f>
        <v>0</v>
      </c>
      <c r="BE269" s="12">
        <f>(BE140-BD140)*-1</f>
        <v>0</v>
      </c>
      <c r="BF269" s="12">
        <f>SUM(BB269:BE269)</f>
        <v>0</v>
      </c>
      <c r="BG269" s="12" t="n"/>
      <c r="BH269" s="12" t="n"/>
      <c r="BI269" s="12" t="n"/>
      <c r="BJ269" s="12" t="n"/>
      <c r="BK269" s="12" t="n"/>
      <c r="BL269" s="12" t="n"/>
      <c r="BM269" s="12" t="n"/>
      <c r="BN269" s="12" t="n"/>
      <c r="BO269" s="12" t="n"/>
      <c r="BP269" s="12" t="n"/>
      <c r="BQ269" s="12" t="n"/>
      <c r="BR269" s="12" t="n"/>
      <c r="BS269" s="12" t="n"/>
      <c r="BT269" s="12" t="n"/>
      <c r="BU269" s="12" t="n"/>
      <c r="BV269" s="12" t="n"/>
      <c r="BW269" s="12" t="n"/>
      <c r="BX269" s="12" t="n"/>
      <c r="BY269" s="12" t="n"/>
      <c r="BZ269" s="12" t="n"/>
      <c r="CA269" s="12" t="n"/>
      <c r="CB269" s="12" t="n"/>
      <c r="CC269" s="12" t="n"/>
      <c r="CD269" s="12" t="n"/>
      <c r="CE269" s="12" t="n"/>
      <c r="CF269" s="12" t="n"/>
      <c r="CG269" s="12" t="n"/>
      <c r="CH269" s="12" t="n"/>
      <c r="CI269" s="12" t="n"/>
      <c r="CJ269" s="12" t="n"/>
      <c r="CK269" s="12" t="n"/>
      <c r="CL269" s="12" t="n"/>
      <c r="CM269" s="12" t="n"/>
      <c r="CN269" s="12" t="n"/>
      <c r="CO269" s="12" t="n"/>
      <c r="CP269" s="12" t="n"/>
      <c r="CQ269" s="12" t="n"/>
      <c r="CR269" s="12" t="n"/>
      <c r="CS269" s="12" t="n"/>
      <c r="CT269" s="12" t="n"/>
      <c r="CU269" s="12" t="n"/>
      <c r="CV269" s="12" t="n"/>
      <c r="CW269" s="12" t="n"/>
      <c r="CX269" s="12" t="n"/>
      <c r="CY269" s="12" t="n"/>
    </row>
    <row r="270" hidden="1" outlineLevel="1">
      <c r="C270" s="10" t="inlineStr">
        <is>
          <t>Other current assets</t>
        </is>
      </c>
      <c r="D270" s="12" t="n"/>
      <c r="E270" s="12" t="n"/>
      <c r="F270" s="12" t="n"/>
      <c r="G270" s="12" t="n"/>
      <c r="H270" s="12" t="n"/>
      <c r="I270" s="12" t="n"/>
      <c r="J270" s="12">
        <f>(J141-I141)*-1</f>
        <v>-912</v>
      </c>
      <c r="K270" s="12">
        <f>(K141-J141)*-1</f>
        <v>-434</v>
      </c>
      <c r="L270" s="12">
        <f>(L141-K141)*-1</f>
        <v>1302</v>
      </c>
      <c r="M270" s="12" t="n"/>
      <c r="N270" s="12">
        <f>(N141-M141)*-1</f>
        <v>-4070</v>
      </c>
      <c r="O270" s="12">
        <f>(O141-N141)*-1</f>
        <v>-2200</v>
      </c>
      <c r="P270" s="12">
        <f>(P141-O141)*-1</f>
        <v>-232</v>
      </c>
      <c r="Q270" s="12">
        <f>(Q141-P141)*-1</f>
        <v>229</v>
      </c>
      <c r="R270" s="12">
        <f>SUM(N270:Q270)</f>
        <v>-6273</v>
      </c>
      <c r="S270" s="12">
        <f>(S141-R141)*-1</f>
        <v>477</v>
      </c>
      <c r="T270" s="12">
        <f>(T141-S141)*-1</f>
        <v>-552</v>
      </c>
      <c r="U270" s="12">
        <f>(U141-T141)*-1</f>
        <v>-67</v>
      </c>
      <c r="V270" s="12">
        <f>(V141-U141)*-1</f>
        <v>-671</v>
      </c>
      <c r="W270" s="12">
        <f>SUM(S270:V270)</f>
        <v>-813</v>
      </c>
      <c r="X270" s="12">
        <f>(X141-W141)*-1</f>
        <v>1364</v>
      </c>
      <c r="Y270" s="12">
        <f>(Y141-X141)*-1</f>
        <v>-1016</v>
      </c>
      <c r="Z270" s="12">
        <f>(Z141-Y141)*-1</f>
        <v>789</v>
      </c>
      <c r="AA270" s="12">
        <f>(AA141-Z141)*-1</f>
        <v>638</v>
      </c>
      <c r="AB270" s="12">
        <f>SUM(X270:AA270)</f>
        <v>1775</v>
      </c>
      <c r="AC270" s="12">
        <f>(AC141-AB141)*-1</f>
        <v>-2614</v>
      </c>
      <c r="AD270" s="12">
        <f>(AD141-AC141)*-1</f>
        <v>-1070</v>
      </c>
      <c r="AE270" s="12">
        <f>(AE141-AD141)*-1</f>
        <v>-442</v>
      </c>
      <c r="AF270" s="12">
        <f>(AF141-AE141)*-1</f>
        <v>1267</v>
      </c>
      <c r="AG270" s="12">
        <f>SUM(AC270:AF270)</f>
        <v>-2859</v>
      </c>
      <c r="AH270" s="12">
        <f>(AH141-AG141)*-1</f>
        <v>570</v>
      </c>
      <c r="AI270" s="12">
        <f>(AI141-AH141)*-1</f>
        <v>-2078</v>
      </c>
      <c r="AJ270" s="12">
        <f>(AJ141-AI141)*-1</f>
        <v>0</v>
      </c>
      <c r="AK270" s="12">
        <f>(AK141-AJ141)*-1</f>
        <v>0</v>
      </c>
      <c r="AL270" s="12">
        <f>SUM(AH270:AK270)</f>
        <v>-1508</v>
      </c>
      <c r="AM270" s="12">
        <f>(AM141-AL141)*-1</f>
        <v>0</v>
      </c>
      <c r="AN270" s="12">
        <f>(AN141-AM141)*-1</f>
        <v>0</v>
      </c>
      <c r="AO270" s="12">
        <f>(AO141-AN141)*-1</f>
        <v>0</v>
      </c>
      <c r="AP270" s="12">
        <f>(AP141-AO141)*-1</f>
        <v>0</v>
      </c>
      <c r="AQ270" s="12">
        <f>SUM(AM270:AP270)</f>
        <v>0</v>
      </c>
      <c r="AR270" s="12">
        <f>(AR141-AQ141)*-1</f>
        <v>0</v>
      </c>
      <c r="AS270" s="12">
        <f>(AS141-AR141)*-1</f>
        <v>0</v>
      </c>
      <c r="AT270" s="12">
        <f>(AT141-AS141)*-1</f>
        <v>0</v>
      </c>
      <c r="AU270" s="12">
        <f>(AU141-AT141)*-1</f>
        <v>0</v>
      </c>
      <c r="AV270" s="12">
        <f>SUM(AR270:AU270)</f>
        <v>0</v>
      </c>
      <c r="AW270" s="12">
        <f>(AW141-AV141)*-1</f>
        <v>0</v>
      </c>
      <c r="AX270" s="12">
        <f>(AX141-AW141)*-1</f>
        <v>0</v>
      </c>
      <c r="AY270" s="12">
        <f>(AY141-AX141)*-1</f>
        <v>0</v>
      </c>
      <c r="AZ270" s="12">
        <f>(AZ141-AY141)*-1</f>
        <v>0</v>
      </c>
      <c r="BA270" s="12">
        <f>SUM(AW270:AZ270)</f>
        <v>0</v>
      </c>
      <c r="BB270" s="12">
        <f>(BB141-BA141)*-1</f>
        <v>0</v>
      </c>
      <c r="BC270" s="12">
        <f>(BC141-BB141)*-1</f>
        <v>0</v>
      </c>
      <c r="BD270" s="12">
        <f>(BD141-BC141)*-1</f>
        <v>0</v>
      </c>
      <c r="BE270" s="12">
        <f>(BE141-BD141)*-1</f>
        <v>0</v>
      </c>
      <c r="BF270" s="12">
        <f>SUM(BB270:BE270)</f>
        <v>0</v>
      </c>
      <c r="BG270" s="12" t="n"/>
      <c r="BH270" s="12" t="n"/>
      <c r="BI270" s="12" t="n"/>
      <c r="BJ270" s="12" t="n"/>
      <c r="BK270" s="12" t="n"/>
      <c r="BL270" s="12" t="n"/>
      <c r="BM270" s="12" t="n"/>
      <c r="BN270" s="12" t="n"/>
      <c r="BO270" s="12" t="n"/>
      <c r="BP270" s="12" t="n"/>
      <c r="BQ270" s="12" t="n"/>
      <c r="BR270" s="12" t="n"/>
      <c r="BS270" s="12" t="n"/>
      <c r="BT270" s="12" t="n"/>
      <c r="BU270" s="12" t="n"/>
      <c r="BV270" s="12" t="n"/>
      <c r="BW270" s="12" t="n"/>
      <c r="BX270" s="12" t="n"/>
      <c r="BY270" s="12" t="n"/>
      <c r="BZ270" s="12" t="n"/>
      <c r="CA270" s="12" t="n"/>
      <c r="CB270" s="12" t="n"/>
      <c r="CC270" s="12" t="n"/>
      <c r="CD270" s="12" t="n"/>
      <c r="CE270" s="12" t="n"/>
      <c r="CF270" s="12" t="n"/>
      <c r="CG270" s="12" t="n"/>
      <c r="CH270" s="12" t="n"/>
      <c r="CI270" s="12" t="n"/>
      <c r="CJ270" s="12" t="n"/>
      <c r="CK270" s="12" t="n"/>
      <c r="CL270" s="12" t="n"/>
      <c r="CM270" s="12" t="n"/>
      <c r="CN270" s="12" t="n"/>
      <c r="CO270" s="12" t="n"/>
      <c r="CP270" s="12" t="n"/>
      <c r="CQ270" s="12" t="n"/>
      <c r="CR270" s="12" t="n"/>
      <c r="CS270" s="12" t="n"/>
      <c r="CT270" s="12" t="n"/>
      <c r="CU270" s="12" t="n"/>
      <c r="CV270" s="12" t="n"/>
      <c r="CW270" s="12" t="n"/>
      <c r="CX270" s="12" t="n"/>
      <c r="CY270" s="12" t="n"/>
    </row>
    <row r="271" hidden="1" outlineLevel="1">
      <c r="C271" s="10" t="inlineStr">
        <is>
          <t>Accounts payable</t>
        </is>
      </c>
      <c r="D271" s="12" t="n"/>
      <c r="E271" s="12" t="n"/>
      <c r="F271" s="12" t="n"/>
      <c r="G271" s="12" t="n"/>
      <c r="H271" s="12" t="n"/>
      <c r="I271" s="12" t="n"/>
      <c r="J271" s="12">
        <f>J184-I184</f>
        <v>4763</v>
      </c>
      <c r="K271" s="12">
        <f>K184-J184</f>
        <v>1477</v>
      </c>
      <c r="L271" s="12">
        <f>L184-K184</f>
        <v>3509</v>
      </c>
      <c r="M271" s="12" t="n"/>
      <c r="N271" s="12">
        <f>N184-M184</f>
        <v>12735</v>
      </c>
      <c r="O271" s="12">
        <f>O184-N184</f>
        <v>4457</v>
      </c>
      <c r="P271" s="12">
        <f>P184-O184</f>
        <v>-5408</v>
      </c>
      <c r="Q271" s="12">
        <f>Q184-P184</f>
        <v>647</v>
      </c>
      <c r="R271" s="12">
        <f>SUM(N271:Q271)</f>
        <v>12431</v>
      </c>
      <c r="S271" s="12">
        <f>S184-R184</f>
        <v>-3262</v>
      </c>
      <c r="T271" s="12">
        <f>T184-S184</f>
        <v>-5531</v>
      </c>
      <c r="U271" s="12">
        <f>U184-T184</f>
        <v>7853</v>
      </c>
      <c r="V271" s="12">
        <f>V184-U184</f>
        <v>-4220</v>
      </c>
      <c r="W271" s="12">
        <f>SUM(S271:V271)</f>
        <v>-5160</v>
      </c>
      <c r="X271" s="12">
        <f>X184-W184</f>
        <v>1494</v>
      </c>
      <c r="Y271" s="12">
        <f>Y184-X184</f>
        <v>576</v>
      </c>
      <c r="Z271" s="12">
        <f>Z184-Y184</f>
        <v>411</v>
      </c>
      <c r="AA271" s="12">
        <f>AA184-Z184</f>
        <v>779</v>
      </c>
      <c r="AB271" s="12">
        <f>SUM(X271:AA271)</f>
        <v>3260</v>
      </c>
      <c r="AC271" s="12">
        <f>AC184-AB184</f>
        <v>2690</v>
      </c>
      <c r="AD271" s="12">
        <f>AD184-AC184</f>
        <v>-4262</v>
      </c>
      <c r="AE271" s="12">
        <f>AE184-AD184</f>
        <v>5657</v>
      </c>
      <c r="AF271" s="12">
        <f>AF184-AE184</f>
        <v>-4471</v>
      </c>
      <c r="AG271" s="12">
        <f>SUM(AC271:AF271)</f>
        <v>-386</v>
      </c>
      <c r="AH271" s="12">
        <f>AH184-AG184</f>
        <v>16177</v>
      </c>
      <c r="AI271" s="12">
        <f>AI184-AH184</f>
        <v>-2597</v>
      </c>
      <c r="AJ271" s="12">
        <f>AJ184-AI184</f>
        <v>-7686.53580766775</v>
      </c>
      <c r="AK271" s="12">
        <f>AK184-AJ184</f>
        <v>-2338.712337073</v>
      </c>
      <c r="AL271" s="12">
        <f>SUM(AH271:AK271)</f>
        <v>3554.75185525925</v>
      </c>
      <c r="AM271" s="12">
        <f>AM184-AL184</f>
        <v>3698.35757296992</v>
      </c>
      <c r="AN271" s="12">
        <f>AN184-AM184</f>
        <v>23701.946110579</v>
      </c>
      <c r="AO271" s="12">
        <f>AO184-AN184</f>
        <v>-22187.6363380356</v>
      </c>
      <c r="AP271" s="12">
        <f>AP184-AO184</f>
        <v>-2439.32468559929</v>
      </c>
      <c r="AQ271" s="12">
        <f>SUM(AM271:AP271)</f>
        <v>2773.34265991404</v>
      </c>
      <c r="AR271" s="12">
        <f>AR184-AQ184</f>
        <v>2739.10629651276</v>
      </c>
      <c r="AS271" s="12">
        <f>AS184-AR184</f>
        <v>25380.6392311782</v>
      </c>
      <c r="AT271" s="12">
        <f>AT184-AS184</f>
        <v>-23031.21922541</v>
      </c>
      <c r="AU271" s="12">
        <f>AU184-AT184</f>
        <v>-2532.06879453323</v>
      </c>
      <c r="AV271" s="12">
        <f>SUM(AR271:AU271)</f>
        <v>2556.45750774779</v>
      </c>
      <c r="AW271" s="12">
        <f>AW184-AV184</f>
        <v>3296.5673219022</v>
      </c>
      <c r="AX271" s="12">
        <f>AX184-AW184</f>
        <v>25415.5080782373</v>
      </c>
      <c r="AY271" s="12">
        <f>AY184-AX184</f>
        <v>-23791.7193784625</v>
      </c>
      <c r="AZ271" s="12">
        <f>AZ184-AY184</f>
        <v>-2615.67872794298</v>
      </c>
      <c r="BA271" s="12">
        <f>SUM(AW271:AZ271)</f>
        <v>2304.67729373409</v>
      </c>
      <c r="BB271" s="12">
        <f>BB184-BA184</f>
        <v>3039.9607084743</v>
      </c>
      <c r="BC271" s="12">
        <f>BC184-BB184</f>
        <v>26127.6608709968</v>
      </c>
      <c r="BD271" s="12">
        <f>BD184-BC184</f>
        <v>-24458.3729565756</v>
      </c>
      <c r="BE271" s="12">
        <f>BE184-BD184</f>
        <v>-2688.97110145494</v>
      </c>
      <c r="BF271" s="12">
        <f>SUM(BB271:BE271)</f>
        <v>2020.2775214405</v>
      </c>
      <c r="BG271" s="12" t="n"/>
      <c r="BH271" s="12" t="n"/>
      <c r="BI271" s="12" t="n"/>
      <c r="BJ271" s="12" t="n"/>
      <c r="BK271" s="12" t="n"/>
      <c r="BL271" s="12" t="n"/>
      <c r="BM271" s="12" t="n"/>
      <c r="BN271" s="12" t="n"/>
      <c r="BO271" s="12" t="n"/>
      <c r="BP271" s="12" t="n"/>
      <c r="BQ271" s="12" t="n"/>
      <c r="BR271" s="12" t="n"/>
      <c r="BS271" s="12" t="n"/>
      <c r="BT271" s="12" t="n"/>
      <c r="BU271" s="12" t="n"/>
      <c r="BV271" s="12" t="n"/>
      <c r="BW271" s="12" t="n"/>
      <c r="BX271" s="12" t="n"/>
      <c r="BY271" s="12" t="n"/>
      <c r="BZ271" s="12" t="n"/>
      <c r="CA271" s="12" t="n"/>
      <c r="CB271" s="12" t="n"/>
      <c r="CC271" s="12" t="n"/>
      <c r="CD271" s="12" t="n"/>
      <c r="CE271" s="12" t="n"/>
      <c r="CF271" s="12" t="n"/>
      <c r="CG271" s="12" t="n"/>
      <c r="CH271" s="12" t="n"/>
      <c r="CI271" s="12" t="n"/>
      <c r="CJ271" s="12" t="n"/>
      <c r="CK271" s="12" t="n"/>
      <c r="CL271" s="12" t="n"/>
      <c r="CM271" s="12" t="n"/>
      <c r="CN271" s="12" t="n"/>
      <c r="CO271" s="12" t="n"/>
      <c r="CP271" s="12" t="n"/>
      <c r="CQ271" s="12" t="n"/>
      <c r="CR271" s="12" t="n"/>
      <c r="CS271" s="12" t="n"/>
      <c r="CT271" s="12" t="n"/>
      <c r="CU271" s="12" t="n"/>
      <c r="CV271" s="12" t="n"/>
      <c r="CW271" s="12" t="n"/>
      <c r="CX271" s="12" t="n"/>
      <c r="CY271" s="12" t="n"/>
    </row>
    <row r="272" hidden="1" outlineLevel="1">
      <c r="C272" s="10" t="inlineStr">
        <is>
          <t>Accrued expenses</t>
        </is>
      </c>
      <c r="D272" s="12" t="n"/>
      <c r="E272" s="12" t="n"/>
      <c r="F272" s="12" t="n"/>
      <c r="G272" s="12" t="n"/>
      <c r="H272" s="12" t="n"/>
      <c r="I272" s="12" t="n"/>
      <c r="J272" s="12">
        <f>J188-I188</f>
        <v>0</v>
      </c>
      <c r="K272" s="12">
        <f>K188-J188</f>
        <v>0</v>
      </c>
      <c r="L272" s="12">
        <f>L188-K188</f>
        <v>0</v>
      </c>
      <c r="M272" s="12" t="n"/>
      <c r="N272" s="12">
        <f>N188-M188</f>
        <v>0</v>
      </c>
      <c r="O272" s="12">
        <f>O188-N188</f>
        <v>0</v>
      </c>
      <c r="P272" s="12">
        <f>P188-O188</f>
        <v>0</v>
      </c>
      <c r="Q272" s="12">
        <f>Q188-P188</f>
        <v>0</v>
      </c>
      <c r="R272" s="12">
        <f>SUM(N272:Q272)</f>
        <v>0</v>
      </c>
      <c r="S272" s="12">
        <f>S188-R188</f>
        <v>0</v>
      </c>
      <c r="T272" s="12">
        <f>T188-S188</f>
        <v>0</v>
      </c>
      <c r="U272" s="12">
        <f>U188-T188</f>
        <v>0</v>
      </c>
      <c r="V272" s="12">
        <f>V188-U188</f>
        <v>0</v>
      </c>
      <c r="W272" s="12">
        <f>SUM(S272:V272)</f>
        <v>0</v>
      </c>
      <c r="X272" s="12">
        <f>X188-W188</f>
        <v>0</v>
      </c>
      <c r="Y272" s="12">
        <f>Y188-X188</f>
        <v>0</v>
      </c>
      <c r="Z272" s="12">
        <f>Z188-Y188</f>
        <v>0</v>
      </c>
      <c r="AA272" s="12">
        <f>AA188-Z188</f>
        <v>0</v>
      </c>
      <c r="AB272" s="12">
        <f>SUM(X272:AA272)</f>
        <v>0</v>
      </c>
      <c r="AC272" s="12">
        <f>AC188-AB188</f>
        <v>0</v>
      </c>
      <c r="AD272" s="12">
        <f>AD188-AC188</f>
        <v>0</v>
      </c>
      <c r="AE272" s="12">
        <f>AE188-AD188</f>
        <v>0</v>
      </c>
      <c r="AF272" s="12">
        <f>AF188-AE188</f>
        <v>0</v>
      </c>
      <c r="AG272" s="12">
        <f>SUM(AC272:AF272)</f>
        <v>0</v>
      </c>
      <c r="AH272" s="12">
        <f>AH188-AG188</f>
        <v>0</v>
      </c>
      <c r="AI272" s="12">
        <f>AI188-AH188</f>
        <v>0</v>
      </c>
      <c r="AJ272" s="12">
        <f>AJ188-AI188</f>
        <v>0</v>
      </c>
      <c r="AK272" s="12">
        <f>AK188-AJ188</f>
        <v>0</v>
      </c>
      <c r="AL272" s="12">
        <f>SUM(AH272:AK272)</f>
        <v>0</v>
      </c>
      <c r="AM272" s="12">
        <f>AM188-AL188</f>
        <v>0</v>
      </c>
      <c r="AN272" s="12">
        <f>AN188-AM188</f>
        <v>0</v>
      </c>
      <c r="AO272" s="12">
        <f>AO188-AN188</f>
        <v>0</v>
      </c>
      <c r="AP272" s="12">
        <f>AP188-AO188</f>
        <v>0</v>
      </c>
      <c r="AQ272" s="12">
        <f>SUM(AM272:AP272)</f>
        <v>0</v>
      </c>
      <c r="AR272" s="12">
        <f>AR188-AQ188</f>
        <v>0</v>
      </c>
      <c r="AS272" s="12">
        <f>AS188-AR188</f>
        <v>0</v>
      </c>
      <c r="AT272" s="12">
        <f>AT188-AS188</f>
        <v>0</v>
      </c>
      <c r="AU272" s="12">
        <f>AU188-AT188</f>
        <v>0</v>
      </c>
      <c r="AV272" s="12">
        <f>SUM(AR272:AU272)</f>
        <v>0</v>
      </c>
      <c r="AW272" s="12">
        <f>AW188-AV188</f>
        <v>0</v>
      </c>
      <c r="AX272" s="12">
        <f>AX188-AW188</f>
        <v>0</v>
      </c>
      <c r="AY272" s="12">
        <f>AY188-AX188</f>
        <v>0</v>
      </c>
      <c r="AZ272" s="12">
        <f>AZ188-AY188</f>
        <v>0</v>
      </c>
      <c r="BA272" s="12">
        <f>SUM(AW272:AZ272)</f>
        <v>0</v>
      </c>
      <c r="BB272" s="12">
        <f>BB188-BA188</f>
        <v>0</v>
      </c>
      <c r="BC272" s="12">
        <f>BC188-BB188</f>
        <v>0</v>
      </c>
      <c r="BD272" s="12">
        <f>BD188-BC188</f>
        <v>0</v>
      </c>
      <c r="BE272" s="12">
        <f>BE188-BD188</f>
        <v>0</v>
      </c>
      <c r="BF272" s="12">
        <f>SUM(BB272:BE272)</f>
        <v>0</v>
      </c>
      <c r="BG272" s="12" t="n"/>
      <c r="BH272" s="12" t="n"/>
      <c r="BI272" s="12" t="n"/>
      <c r="BJ272" s="12" t="n"/>
      <c r="BK272" s="12" t="n"/>
      <c r="BL272" s="12" t="n"/>
      <c r="BM272" s="12" t="n"/>
      <c r="BN272" s="12" t="n"/>
      <c r="BO272" s="12" t="n"/>
      <c r="BP272" s="12" t="n"/>
      <c r="BQ272" s="12" t="n"/>
      <c r="BR272" s="12" t="n"/>
      <c r="BS272" s="12" t="n"/>
      <c r="BT272" s="12" t="n"/>
      <c r="BU272" s="12" t="n"/>
      <c r="BV272" s="12" t="n"/>
      <c r="BW272" s="12" t="n"/>
      <c r="BX272" s="12" t="n"/>
      <c r="BY272" s="12" t="n"/>
      <c r="BZ272" s="12" t="n"/>
      <c r="CA272" s="12" t="n"/>
      <c r="CB272" s="12" t="n"/>
      <c r="CC272" s="12" t="n"/>
      <c r="CD272" s="12" t="n"/>
      <c r="CE272" s="12" t="n"/>
      <c r="CF272" s="12" t="n"/>
      <c r="CG272" s="12" t="n"/>
      <c r="CH272" s="12" t="n"/>
      <c r="CI272" s="12" t="n"/>
      <c r="CJ272" s="12" t="n"/>
      <c r="CK272" s="12" t="n"/>
      <c r="CL272" s="12" t="n"/>
      <c r="CM272" s="12" t="n"/>
      <c r="CN272" s="12" t="n"/>
      <c r="CO272" s="12" t="n"/>
      <c r="CP272" s="12" t="n"/>
      <c r="CQ272" s="12" t="n"/>
      <c r="CR272" s="12" t="n"/>
      <c r="CS272" s="12" t="n"/>
      <c r="CT272" s="12" t="n"/>
      <c r="CU272" s="12" t="n"/>
      <c r="CV272" s="12" t="n"/>
      <c r="CW272" s="12" t="n"/>
      <c r="CX272" s="12" t="n"/>
      <c r="CY272" s="12" t="n"/>
    </row>
    <row r="273" hidden="1" outlineLevel="1">
      <c r="C273" s="10" t="inlineStr">
        <is>
          <t>Taxes payable</t>
        </is>
      </c>
      <c r="D273" s="12" t="n"/>
      <c r="E273" s="12" t="n"/>
      <c r="F273" s="12" t="n"/>
      <c r="G273" s="12" t="n"/>
      <c r="H273" s="12" t="n"/>
      <c r="I273" s="12" t="n"/>
      <c r="J273" s="12">
        <f>J190-I190</f>
        <v>217</v>
      </c>
      <c r="K273" s="12">
        <f>K190-J190</f>
        <v>468</v>
      </c>
      <c r="L273" s="12">
        <f>L190-K190</f>
        <v>-32</v>
      </c>
      <c r="M273" s="12" t="n"/>
      <c r="N273" s="12">
        <f>N190-M190</f>
        <v>2071</v>
      </c>
      <c r="O273" s="12">
        <f>O190-N190</f>
        <v>1113</v>
      </c>
      <c r="P273" s="12">
        <f>P190-O190</f>
        <v>540</v>
      </c>
      <c r="Q273" s="12">
        <f>Q190-P190</f>
        <v>-111</v>
      </c>
      <c r="R273" s="12">
        <f>SUM(N273:Q273)</f>
        <v>3613</v>
      </c>
      <c r="S273" s="12">
        <f>S190-R190</f>
        <v>-779</v>
      </c>
      <c r="T273" s="12">
        <f>T190-S190</f>
        <v>-953</v>
      </c>
      <c r="U273" s="12">
        <f>U190-T190</f>
        <v>704</v>
      </c>
      <c r="V273" s="12">
        <f>V190-U190</f>
        <v>-997</v>
      </c>
      <c r="W273" s="12">
        <f>SUM(S273:V273)</f>
        <v>-2025</v>
      </c>
      <c r="X273" s="12">
        <f>X190-W190</f>
        <v>974</v>
      </c>
      <c r="Y273" s="12">
        <f>Y190-X190</f>
        <v>-128</v>
      </c>
      <c r="Z273" s="12">
        <f>Z190-Y190</f>
        <v>-192</v>
      </c>
      <c r="AA273" s="12">
        <f>AA190-Z190</f>
        <v>212</v>
      </c>
      <c r="AB273" s="12">
        <f>SUM(X273:AA273)</f>
        <v>866</v>
      </c>
      <c r="AC273" s="12">
        <f>AC190-AB190</f>
        <v>1059</v>
      </c>
      <c r="AD273" s="12">
        <f>AD190-AC190</f>
        <v>-2097</v>
      </c>
      <c r="AE273" s="12">
        <f>AE190-AD190</f>
        <v>239</v>
      </c>
      <c r="AF273" s="12">
        <f>AF190-AE190</f>
        <v>-1133</v>
      </c>
      <c r="AG273" s="12">
        <f>SUM(AC273:AF273)</f>
        <v>-1932</v>
      </c>
      <c r="AH273" s="12">
        <f>AH190-AG190</f>
        <v>636</v>
      </c>
      <c r="AI273" s="12">
        <f>AI190-AH190</f>
        <v>1441</v>
      </c>
      <c r="AJ273" s="12">
        <f>AJ190-AI190</f>
        <v>180.685694906522</v>
      </c>
      <c r="AK273" s="12">
        <f>AK190-AJ190</f>
        <v>188.458866416963</v>
      </c>
      <c r="AL273" s="12">
        <f>SUM(AH273:AK273)</f>
        <v>2446.14456132349</v>
      </c>
      <c r="AM273" s="12">
        <f>AM190-AL190</f>
        <v>196.56644290264</v>
      </c>
      <c r="AN273" s="12">
        <f>AN190-AM190</f>
        <v>205.022810600537</v>
      </c>
      <c r="AO273" s="12">
        <f>AO190-AN190</f>
        <v>213.842974649358</v>
      </c>
      <c r="AP273" s="12">
        <f>AP190-AO190</f>
        <v>223.042585714928</v>
      </c>
      <c r="AQ273" s="12">
        <f>SUM(AM273:AP273)</f>
        <v>838.474813867463</v>
      </c>
      <c r="AR273" s="12">
        <f>AR190-AQ190</f>
        <v>205.59987088508</v>
      </c>
      <c r="AS273" s="12">
        <f>AS190-AR190</f>
        <v>213.416860945788</v>
      </c>
      <c r="AT273" s="12">
        <f>AT190-AS190</f>
        <v>221.531056123144</v>
      </c>
      <c r="AU273" s="12">
        <f>AU190-AT190</f>
        <v>229.953756275621</v>
      </c>
      <c r="AV273" s="12">
        <f>SUM(AR273:AU273)</f>
        <v>870.501544229634</v>
      </c>
      <c r="AW273" s="12">
        <f>AW190-AV190</f>
        <v>207.306086289766</v>
      </c>
      <c r="AX273" s="12">
        <f>AX190-AW190</f>
        <v>214.151416917253</v>
      </c>
      <c r="AY273" s="12">
        <f>AY190-AX190</f>
        <v>221.222783124488</v>
      </c>
      <c r="AZ273" s="12">
        <f>AZ190-AY190</f>
        <v>228.52764869753</v>
      </c>
      <c r="BA273" s="12">
        <f>SUM(AW273:AZ273)</f>
        <v>871.207935029037</v>
      </c>
      <c r="BB273" s="12">
        <f>BB190-BA190</f>
        <v>200.327079607417</v>
      </c>
      <c r="BC273" s="12">
        <f>BC190-BB190</f>
        <v>205.940325219844</v>
      </c>
      <c r="BD273" s="12">
        <f>BD190-BC190</f>
        <v>211.710856239551</v>
      </c>
      <c r="BE273" s="12">
        <f>BE190-BD190</f>
        <v>217.643079867124</v>
      </c>
      <c r="BF273" s="12">
        <f>SUM(BB273:BE273)</f>
        <v>835.621340933934</v>
      </c>
      <c r="BG273" s="12" t="n"/>
      <c r="BH273" s="12" t="n"/>
      <c r="BI273" s="12" t="n"/>
      <c r="BJ273" s="12" t="n"/>
      <c r="BK273" s="12" t="n"/>
      <c r="BL273" s="12" t="n"/>
      <c r="BM273" s="12" t="n"/>
      <c r="BN273" s="12" t="n"/>
      <c r="BO273" s="12" t="n"/>
      <c r="BP273" s="12" t="n"/>
      <c r="BQ273" s="12" t="n"/>
      <c r="BR273" s="12" t="n"/>
      <c r="BS273" s="12" t="n"/>
      <c r="BT273" s="12" t="n"/>
      <c r="BU273" s="12" t="n"/>
      <c r="BV273" s="12" t="n"/>
      <c r="BW273" s="12" t="n"/>
      <c r="BX273" s="12" t="n"/>
      <c r="BY273" s="12" t="n"/>
      <c r="BZ273" s="12" t="n"/>
      <c r="CA273" s="12" t="n"/>
      <c r="CB273" s="12" t="n"/>
      <c r="CC273" s="12" t="n"/>
      <c r="CD273" s="12" t="n"/>
      <c r="CE273" s="12" t="n"/>
      <c r="CF273" s="12" t="n"/>
      <c r="CG273" s="12" t="n"/>
      <c r="CH273" s="12" t="n"/>
      <c r="CI273" s="12" t="n"/>
      <c r="CJ273" s="12" t="n"/>
      <c r="CK273" s="12" t="n"/>
      <c r="CL273" s="12" t="n"/>
      <c r="CM273" s="12" t="n"/>
      <c r="CN273" s="12" t="n"/>
      <c r="CO273" s="12" t="n"/>
      <c r="CP273" s="12" t="n"/>
      <c r="CQ273" s="12" t="n"/>
      <c r="CR273" s="12" t="n"/>
      <c r="CS273" s="12" t="n"/>
      <c r="CT273" s="12" t="n"/>
      <c r="CU273" s="12" t="n"/>
      <c r="CV273" s="12" t="n"/>
      <c r="CW273" s="12" t="n"/>
      <c r="CX273" s="12" t="n"/>
      <c r="CY273" s="12" t="n"/>
    </row>
    <row r="274" hidden="1" outlineLevel="1">
      <c r="C274" s="10" t="inlineStr">
        <is>
          <t>Other current liabilities (non-debt)</t>
        </is>
      </c>
      <c r="D274" s="12" t="n"/>
      <c r="E274" s="12" t="n"/>
      <c r="F274" s="12" t="n"/>
      <c r="G274" s="12" t="n"/>
      <c r="H274" s="12" t="n"/>
      <c r="I274" s="12" t="n"/>
      <c r="J274" s="12">
        <f>J191-I191</f>
        <v>0</v>
      </c>
      <c r="K274" s="12">
        <f>K191-J191</f>
        <v>0</v>
      </c>
      <c r="L274" s="12">
        <f>L191-K191</f>
        <v>0</v>
      </c>
      <c r="M274" s="12" t="n"/>
      <c r="N274" s="12">
        <f>N191-M191</f>
        <v>0</v>
      </c>
      <c r="O274" s="12">
        <f>O191-N191</f>
        <v>0</v>
      </c>
      <c r="P274" s="12">
        <f>P191-O191</f>
        <v>0</v>
      </c>
      <c r="Q274" s="12">
        <f>Q191-P191</f>
        <v>0</v>
      </c>
      <c r="R274" s="12">
        <f>SUM(N274:Q274)</f>
        <v>0</v>
      </c>
      <c r="S274" s="12">
        <f>S191-R191</f>
        <v>0</v>
      </c>
      <c r="T274" s="12">
        <f>T191-S191</f>
        <v>0</v>
      </c>
      <c r="U274" s="12">
        <f>U191-T191</f>
        <v>0</v>
      </c>
      <c r="V274" s="12">
        <f>V191-U191</f>
        <v>0</v>
      </c>
      <c r="W274" s="12">
        <f>SUM(S274:V274)</f>
        <v>0</v>
      </c>
      <c r="X274" s="12">
        <f>X191-W191</f>
        <v>0</v>
      </c>
      <c r="Y274" s="12">
        <f>Y191-X191</f>
        <v>0</v>
      </c>
      <c r="Z274" s="12">
        <f>Z191-Y191</f>
        <v>0</v>
      </c>
      <c r="AA274" s="12">
        <f>AA191-Z191</f>
        <v>0</v>
      </c>
      <c r="AB274" s="12">
        <f>SUM(X274:AA274)</f>
        <v>0</v>
      </c>
      <c r="AC274" s="12">
        <f>AC191-AB191</f>
        <v>0</v>
      </c>
      <c r="AD274" s="12">
        <f>AD191-AC191</f>
        <v>0</v>
      </c>
      <c r="AE274" s="12">
        <f>AE191-AD191</f>
        <v>0</v>
      </c>
      <c r="AF274" s="12">
        <f>AF191-AE191</f>
        <v>0</v>
      </c>
      <c r="AG274" s="12">
        <f>SUM(AC274:AF274)</f>
        <v>0</v>
      </c>
      <c r="AH274" s="12">
        <f>AH191-AG191</f>
        <v>0</v>
      </c>
      <c r="AI274" s="12">
        <f>AI191-AH191</f>
        <v>0</v>
      </c>
      <c r="AJ274" s="12">
        <f>AJ191-AI191</f>
        <v>0</v>
      </c>
      <c r="AK274" s="12">
        <f>AK191-AJ191</f>
        <v>0</v>
      </c>
      <c r="AL274" s="12">
        <f>SUM(AH274:AK274)</f>
        <v>0</v>
      </c>
      <c r="AM274" s="12">
        <f>AM191-AL191</f>
        <v>0</v>
      </c>
      <c r="AN274" s="12">
        <f>AN191-AM191</f>
        <v>0</v>
      </c>
      <c r="AO274" s="12">
        <f>AO191-AN191</f>
        <v>0</v>
      </c>
      <c r="AP274" s="12">
        <f>AP191-AO191</f>
        <v>0</v>
      </c>
      <c r="AQ274" s="12">
        <f>SUM(AM274:AP274)</f>
        <v>0</v>
      </c>
      <c r="AR274" s="12">
        <f>AR191-AQ191</f>
        <v>0</v>
      </c>
      <c r="AS274" s="12">
        <f>AS191-AR191</f>
        <v>0</v>
      </c>
      <c r="AT274" s="12">
        <f>AT191-AS191</f>
        <v>0</v>
      </c>
      <c r="AU274" s="12">
        <f>AU191-AT191</f>
        <v>0</v>
      </c>
      <c r="AV274" s="12">
        <f>SUM(AR274:AU274)</f>
        <v>0</v>
      </c>
      <c r="AW274" s="12">
        <f>AW191-AV191</f>
        <v>0</v>
      </c>
      <c r="AX274" s="12">
        <f>AX191-AW191</f>
        <v>0</v>
      </c>
      <c r="AY274" s="12">
        <f>AY191-AX191</f>
        <v>0</v>
      </c>
      <c r="AZ274" s="12">
        <f>AZ191-AY191</f>
        <v>0</v>
      </c>
      <c r="BA274" s="12">
        <f>SUM(AW274:AZ274)</f>
        <v>0</v>
      </c>
      <c r="BB274" s="12">
        <f>BB191-BA191</f>
        <v>0</v>
      </c>
      <c r="BC274" s="12">
        <f>BC191-BB191</f>
        <v>0</v>
      </c>
      <c r="BD274" s="12">
        <f>BD191-BC191</f>
        <v>0</v>
      </c>
      <c r="BE274" s="12">
        <f>BE191-BD191</f>
        <v>0</v>
      </c>
      <c r="BF274" s="12">
        <f>SUM(BB274:BE274)</f>
        <v>0</v>
      </c>
      <c r="BG274" s="12" t="n"/>
      <c r="BH274" s="12" t="n"/>
      <c r="BI274" s="12" t="n"/>
      <c r="BJ274" s="12" t="n"/>
      <c r="BK274" s="12" t="n"/>
      <c r="BL274" s="12" t="n"/>
      <c r="BM274" s="12" t="n"/>
      <c r="BN274" s="12" t="n"/>
      <c r="BO274" s="12" t="n"/>
      <c r="BP274" s="12" t="n"/>
      <c r="BQ274" s="12" t="n"/>
      <c r="BR274" s="12" t="n"/>
      <c r="BS274" s="12" t="n"/>
      <c r="BT274" s="12" t="n"/>
      <c r="BU274" s="12" t="n"/>
      <c r="BV274" s="12" t="n"/>
      <c r="BW274" s="12" t="n"/>
      <c r="BX274" s="12" t="n"/>
      <c r="BY274" s="12" t="n"/>
      <c r="BZ274" s="12" t="n"/>
      <c r="CA274" s="12" t="n"/>
      <c r="CB274" s="12" t="n"/>
      <c r="CC274" s="12" t="n"/>
      <c r="CD274" s="12" t="n"/>
      <c r="CE274" s="12" t="n"/>
      <c r="CF274" s="12" t="n"/>
      <c r="CG274" s="12" t="n"/>
      <c r="CH274" s="12" t="n"/>
      <c r="CI274" s="12" t="n"/>
      <c r="CJ274" s="12" t="n"/>
      <c r="CK274" s="12" t="n"/>
      <c r="CL274" s="12" t="n"/>
      <c r="CM274" s="12" t="n"/>
      <c r="CN274" s="12" t="n"/>
      <c r="CO274" s="12" t="n"/>
      <c r="CP274" s="12" t="n"/>
      <c r="CQ274" s="12" t="n"/>
      <c r="CR274" s="12" t="n"/>
      <c r="CS274" s="12" t="n"/>
      <c r="CT274" s="12" t="n"/>
      <c r="CU274" s="12" t="n"/>
      <c r="CV274" s="12" t="n"/>
      <c r="CW274" s="12" t="n"/>
      <c r="CX274" s="12" t="n"/>
      <c r="CY274" s="12" t="n"/>
    </row>
    <row r="275" hidden="1" outlineLevel="1">
      <c r="C275" s="10" t="inlineStr">
        <is>
          <t>Deferred income taxes</t>
        </is>
      </c>
      <c r="D275" s="12" t="n"/>
      <c r="E275" s="12" t="n"/>
      <c r="F275" s="12" t="n"/>
      <c r="G275" s="12" t="n"/>
      <c r="H275" s="12" t="n"/>
      <c r="I275" s="12" t="n"/>
      <c r="J275" s="12">
        <f>J225-I225</f>
        <v>398</v>
      </c>
      <c r="K275" s="12">
        <f>K225-J225</f>
        <v>497</v>
      </c>
      <c r="L275" s="12">
        <f>L225-K225</f>
        <v>1157</v>
      </c>
      <c r="M275" s="12" t="n"/>
      <c r="N275" s="12">
        <f>N225-M225</f>
        <v>-632</v>
      </c>
      <c r="O275" s="12">
        <f>O225-N225</f>
        <v>1274</v>
      </c>
      <c r="P275" s="12">
        <f>P225-O225</f>
        <v>467</v>
      </c>
      <c r="Q275" s="12">
        <f>Q225-P225</f>
        <v>1600</v>
      </c>
      <c r="R275" s="12">
        <f>SUM(N275:Q275)</f>
        <v>2709</v>
      </c>
      <c r="S275" s="12">
        <f>S225-R225</f>
        <v>321</v>
      </c>
      <c r="T275" s="12">
        <f>T225-S225</f>
        <v>265</v>
      </c>
      <c r="U275" s="12">
        <f>U225-T225</f>
        <v>452</v>
      </c>
      <c r="V275" s="12">
        <f>V225-U225</f>
        <v>540</v>
      </c>
      <c r="W275" s="12">
        <f>SUM(S275:V275)</f>
        <v>1578</v>
      </c>
      <c r="X275" s="12">
        <f>X225-W225</f>
        <v>-346</v>
      </c>
      <c r="Y275" s="12">
        <f>Y225-X225</f>
        <v>15974</v>
      </c>
      <c r="Z275" s="12">
        <f>Z225-Y225</f>
        <v>201</v>
      </c>
      <c r="AA275" s="12">
        <f>AA225-Z225</f>
        <v>-1239</v>
      </c>
      <c r="AB275" s="12">
        <f>SUM(X275:AA275)</f>
        <v>14590</v>
      </c>
      <c r="AC275" s="12">
        <f>AC225-AB225</f>
        <v>49</v>
      </c>
      <c r="AD275" s="12">
        <f>AD225-AC225</f>
        <v>277</v>
      </c>
      <c r="AE275" s="12">
        <f>AE225-AD225</f>
        <v>574</v>
      </c>
      <c r="AF275" s="12">
        <f>AF225-AE225</f>
        <v>274</v>
      </c>
      <c r="AG275" s="12">
        <f>SUM(AC275:AF275)</f>
        <v>1174</v>
      </c>
      <c r="AH275" s="12">
        <f>AH225-AG225</f>
        <v>-198</v>
      </c>
      <c r="AI275" s="12">
        <f>AI225-AH225</f>
        <v>-472</v>
      </c>
      <c r="AJ275" s="12">
        <f>AJ225-AI225</f>
        <v>0</v>
      </c>
      <c r="AK275" s="12">
        <f>AK225-AJ225</f>
        <v>0</v>
      </c>
      <c r="AL275" s="12">
        <f>SUM(AH275:AK275)</f>
        <v>-670</v>
      </c>
      <c r="AM275" s="12">
        <f>AM225-AL225</f>
        <v>0</v>
      </c>
      <c r="AN275" s="12">
        <f>AN225-AM225</f>
        <v>0</v>
      </c>
      <c r="AO275" s="12">
        <f>AO225-AN225</f>
        <v>0</v>
      </c>
      <c r="AP275" s="12">
        <f>AP225-AO225</f>
        <v>0</v>
      </c>
      <c r="AQ275" s="12">
        <f>SUM(AM275:AP275)</f>
        <v>0</v>
      </c>
      <c r="AR275" s="12">
        <f>AR225-AQ225</f>
        <v>0</v>
      </c>
      <c r="AS275" s="12">
        <f>AS225-AR225</f>
        <v>0</v>
      </c>
      <c r="AT275" s="12">
        <f>AT225-AS225</f>
        <v>0</v>
      </c>
      <c r="AU275" s="12">
        <f>AU225-AT225</f>
        <v>0</v>
      </c>
      <c r="AV275" s="12">
        <f>SUM(AR275:AU275)</f>
        <v>0</v>
      </c>
      <c r="AW275" s="12">
        <f>AW225-AV225</f>
        <v>0</v>
      </c>
      <c r="AX275" s="12">
        <f>AX225-AW225</f>
        <v>0</v>
      </c>
      <c r="AY275" s="12">
        <f>AY225-AX225</f>
        <v>0</v>
      </c>
      <c r="AZ275" s="12">
        <f>AZ225-AY225</f>
        <v>0</v>
      </c>
      <c r="BA275" s="12">
        <f>SUM(AW275:AZ275)</f>
        <v>0</v>
      </c>
      <c r="BB275" s="12">
        <f>BB225-BA225</f>
        <v>0</v>
      </c>
      <c r="BC275" s="12">
        <f>BC225-BB225</f>
        <v>0</v>
      </c>
      <c r="BD275" s="12">
        <f>BD225-BC225</f>
        <v>0</v>
      </c>
      <c r="BE275" s="12">
        <f>BE225-BD225</f>
        <v>0</v>
      </c>
      <c r="BF275" s="12">
        <f>SUM(BB275:BE275)</f>
        <v>0</v>
      </c>
      <c r="BG275" s="12" t="n"/>
      <c r="BH275" s="12" t="n"/>
      <c r="BI275" s="12" t="n"/>
      <c r="BJ275" s="12" t="n"/>
      <c r="BK275" s="12" t="n"/>
      <c r="BL275" s="12" t="n"/>
      <c r="BM275" s="12" t="n"/>
      <c r="BN275" s="12" t="n"/>
      <c r="BO275" s="12" t="n"/>
      <c r="BP275" s="12" t="n"/>
      <c r="BQ275" s="12" t="n"/>
      <c r="BR275" s="12" t="n"/>
      <c r="BS275" s="12" t="n"/>
      <c r="BT275" s="12" t="n"/>
      <c r="BU275" s="12" t="n"/>
      <c r="BV275" s="12" t="n"/>
      <c r="BW275" s="12" t="n"/>
      <c r="BX275" s="12" t="n"/>
      <c r="BY275" s="12" t="n"/>
      <c r="BZ275" s="12" t="n"/>
      <c r="CA275" s="12" t="n"/>
      <c r="CB275" s="12" t="n"/>
      <c r="CC275" s="12" t="n"/>
      <c r="CD275" s="12" t="n"/>
      <c r="CE275" s="12" t="n"/>
      <c r="CF275" s="12" t="n"/>
      <c r="CG275" s="12" t="n"/>
      <c r="CH275" s="12" t="n"/>
      <c r="CI275" s="12" t="n"/>
      <c r="CJ275" s="12" t="n"/>
      <c r="CK275" s="12" t="n"/>
      <c r="CL275" s="12" t="n"/>
      <c r="CM275" s="12" t="n"/>
      <c r="CN275" s="12" t="n"/>
      <c r="CO275" s="12" t="n"/>
      <c r="CP275" s="12" t="n"/>
      <c r="CQ275" s="12" t="n"/>
      <c r="CR275" s="12" t="n"/>
      <c r="CS275" s="12" t="n"/>
      <c r="CT275" s="12" t="n"/>
      <c r="CU275" s="12" t="n"/>
      <c r="CV275" s="12" t="n"/>
      <c r="CW275" s="12" t="n"/>
      <c r="CX275" s="12" t="n"/>
      <c r="CY275" s="12" t="n"/>
    </row>
    <row r="276" collapsed="1">
      <c r="C276" s="10" t="inlineStr">
        <is>
          <t>Equity income in affiliates</t>
        </is>
      </c>
      <c r="D276" s="12" t="n"/>
      <c r="E276" s="12" t="n"/>
      <c r="F276" s="12" t="n"/>
      <c r="G276" s="12" t="n"/>
      <c r="H276" s="12" t="n"/>
      <c r="I276" s="12" t="n"/>
      <c r="J276" s="12">
        <f>(J147-I147)*-1</f>
        <v>0</v>
      </c>
      <c r="K276" s="12">
        <f>(K147-J147)*-1</f>
        <v>0</v>
      </c>
      <c r="L276" s="12">
        <f>(L147-K147)*-1</f>
        <v>0</v>
      </c>
      <c r="M276" s="12" t="n"/>
      <c r="N276" s="12">
        <f>(N147-M147)*-1</f>
        <v>0</v>
      </c>
      <c r="O276" s="12">
        <f>(O147-N147)*-1</f>
        <v>0</v>
      </c>
      <c r="P276" s="12">
        <f>(P147-O147)*-1</f>
        <v>0</v>
      </c>
      <c r="Q276" s="12">
        <f>(Q147-P147)*-1</f>
        <v>0</v>
      </c>
      <c r="R276" s="12">
        <f>SUM(N276:Q276)</f>
        <v>0</v>
      </c>
      <c r="S276" s="12">
        <f>(S147-R147)*-1</f>
        <v>0</v>
      </c>
      <c r="T276" s="12">
        <f>(T147-S147)*-1</f>
        <v>0</v>
      </c>
      <c r="U276" s="12">
        <f>(U147-T147)*-1</f>
        <v>0</v>
      </c>
      <c r="V276" s="12">
        <f>(V147-U147)*-1</f>
        <v>0</v>
      </c>
      <c r="W276" s="12">
        <f>SUM(S276:V276)</f>
        <v>0</v>
      </c>
      <c r="X276" s="12">
        <f>(X147-W147)*-1</f>
        <v>0</v>
      </c>
      <c r="Y276" s="12">
        <f>(Y147-X147)*-1</f>
        <v>0</v>
      </c>
      <c r="Z276" s="12">
        <f>(Z147-Y147)*-1</f>
        <v>0</v>
      </c>
      <c r="AA276" s="12">
        <f>(AA147-Z147)*-1</f>
        <v>0</v>
      </c>
      <c r="AB276" s="12">
        <f>SUM(X276:AA276)</f>
        <v>0</v>
      </c>
      <c r="AC276" s="12">
        <f>(AC147-AB147)*-1</f>
        <v>0</v>
      </c>
      <c r="AD276" s="12">
        <f>(AD147-AC147)*-1</f>
        <v>0</v>
      </c>
      <c r="AE276" s="12">
        <f>(AE147-AD147)*-1</f>
        <v>0</v>
      </c>
      <c r="AF276" s="12">
        <f>(AF147-AE147)*-1</f>
        <v>0</v>
      </c>
      <c r="AG276" s="12">
        <f>SUM(AC276:AF276)</f>
        <v>0</v>
      </c>
      <c r="AH276" s="12">
        <f>(AH147-AG147)*-1</f>
        <v>0</v>
      </c>
      <c r="AI276" s="12">
        <f>(AI147-AH147)*-1</f>
        <v>0</v>
      </c>
      <c r="AJ276" s="12">
        <f>(AJ147-AI147)*-1</f>
        <v>0</v>
      </c>
      <c r="AK276" s="12">
        <f>(AK147-AJ147)*-1</f>
        <v>0</v>
      </c>
      <c r="AL276" s="12">
        <f>SUM(AH276:AK276)</f>
        <v>0</v>
      </c>
      <c r="AM276" s="12">
        <f>(AM147-AL147)*-1</f>
        <v>0</v>
      </c>
      <c r="AN276" s="12">
        <f>(AN147-AM147)*-1</f>
        <v>0</v>
      </c>
      <c r="AO276" s="12">
        <f>(AO147-AN147)*-1</f>
        <v>0</v>
      </c>
      <c r="AP276" s="12">
        <f>(AP147-AO147)*-1</f>
        <v>0</v>
      </c>
      <c r="AQ276" s="12">
        <f>SUM(AM276:AP276)</f>
        <v>0</v>
      </c>
      <c r="AR276" s="12">
        <f>(AR147-AQ147)*-1</f>
        <v>0</v>
      </c>
      <c r="AS276" s="12">
        <f>(AS147-AR147)*-1</f>
        <v>0</v>
      </c>
      <c r="AT276" s="12">
        <f>(AT147-AS147)*-1</f>
        <v>0</v>
      </c>
      <c r="AU276" s="12">
        <f>(AU147-AT147)*-1</f>
        <v>0</v>
      </c>
      <c r="AV276" s="12">
        <f>SUM(AR276:AU276)</f>
        <v>0</v>
      </c>
      <c r="AW276" s="12">
        <f>(AW147-AV147)*-1</f>
        <v>0</v>
      </c>
      <c r="AX276" s="12">
        <f>(AX147-AW147)*-1</f>
        <v>0</v>
      </c>
      <c r="AY276" s="12">
        <f>(AY147-AX147)*-1</f>
        <v>0</v>
      </c>
      <c r="AZ276" s="12">
        <f>(AZ147-AY147)*-1</f>
        <v>0</v>
      </c>
      <c r="BA276" s="12">
        <f>SUM(AW276:AZ276)</f>
        <v>0</v>
      </c>
      <c r="BB276" s="12">
        <f>(BB147-BA147)*-1</f>
        <v>0</v>
      </c>
      <c r="BC276" s="12">
        <f>(BC147-BB147)*-1</f>
        <v>0</v>
      </c>
      <c r="BD276" s="12">
        <f>(BD147-BC147)*-1</f>
        <v>0</v>
      </c>
      <c r="BE276" s="12">
        <f>(BE147-BD147)*-1</f>
        <v>0</v>
      </c>
      <c r="BF276" s="12">
        <f>SUM(BB276:BE276)</f>
        <v>0</v>
      </c>
      <c r="BG276" s="12" t="n"/>
      <c r="BH276" s="12" t="n"/>
      <c r="BI276" s="12" t="n"/>
      <c r="BJ276" s="12" t="n"/>
      <c r="BK276" s="12" t="n"/>
      <c r="BL276" s="12" t="n"/>
      <c r="BM276" s="12" t="n"/>
      <c r="BN276" s="12" t="n"/>
      <c r="BO276" s="12" t="n"/>
      <c r="BP276" s="12" t="n"/>
      <c r="BQ276" s="12" t="n"/>
      <c r="BR276" s="12" t="n"/>
      <c r="BS276" s="12" t="n"/>
      <c r="BT276" s="12" t="n"/>
      <c r="BU276" s="12" t="n"/>
      <c r="BV276" s="12" t="n"/>
      <c r="BW276" s="12" t="n"/>
      <c r="BX276" s="12" t="n"/>
      <c r="BY276" s="12" t="n"/>
      <c r="BZ276" s="12" t="n"/>
      <c r="CA276" s="12" t="n"/>
      <c r="CB276" s="12" t="n"/>
      <c r="CC276" s="12" t="n"/>
      <c r="CD276" s="12" t="n"/>
      <c r="CE276" s="12" t="n"/>
      <c r="CF276" s="12" t="n"/>
      <c r="CG276" s="12" t="n"/>
      <c r="CH276" s="12" t="n"/>
      <c r="CI276" s="12" t="n"/>
      <c r="CJ276" s="12" t="n"/>
      <c r="CK276" s="12" t="n"/>
      <c r="CL276" s="12" t="n"/>
      <c r="CM276" s="12" t="n"/>
      <c r="CN276" s="12" t="n"/>
      <c r="CO276" s="12" t="n"/>
      <c r="CP276" s="12" t="n"/>
      <c r="CQ276" s="12" t="n"/>
      <c r="CR276" s="12" t="n"/>
      <c r="CS276" s="12" t="n"/>
      <c r="CT276" s="12" t="n"/>
      <c r="CU276" s="12" t="n"/>
      <c r="CV276" s="12" t="n"/>
      <c r="CW276" s="12" t="n"/>
      <c r="CX276" s="12" t="n"/>
      <c r="CY276" s="12" t="n"/>
    </row>
    <row r="277">
      <c r="C277" s="10" t="inlineStr">
        <is>
          <t>Dividends received from affiliates</t>
        </is>
      </c>
      <c r="D277" s="12" t="n"/>
      <c r="E277" s="12" t="n"/>
      <c r="F277" s="12" t="n"/>
      <c r="G277" s="12" t="n"/>
      <c r="H277" s="12" t="n"/>
      <c r="I277" s="12" t="n"/>
      <c r="J277" s="12">
        <f>-J150</f>
        <v>0</v>
      </c>
      <c r="K277" s="12">
        <f>-K150</f>
        <v>0</v>
      </c>
      <c r="L277" s="12">
        <f>-L150</f>
        <v>0</v>
      </c>
      <c r="M277" s="12" t="n"/>
      <c r="N277" s="12">
        <f>-N150</f>
        <v>0</v>
      </c>
      <c r="O277" s="12">
        <f>-O150</f>
        <v>0</v>
      </c>
      <c r="P277" s="12">
        <f>-P150</f>
        <v>0</v>
      </c>
      <c r="Q277" s="12">
        <f>-Q150</f>
        <v>0</v>
      </c>
      <c r="R277" s="12">
        <f>SUM(N277:Q277)</f>
        <v>0</v>
      </c>
      <c r="S277" s="12">
        <f>-S150</f>
        <v>0</v>
      </c>
      <c r="T277" s="12">
        <f>-T150</f>
        <v>0</v>
      </c>
      <c r="U277" s="12">
        <f>-U150</f>
        <v>0</v>
      </c>
      <c r="V277" s="12">
        <f>-V150</f>
        <v>0</v>
      </c>
      <c r="W277" s="12">
        <f>SUM(S277:V277)</f>
        <v>0</v>
      </c>
      <c r="X277" s="12">
        <f>-X150</f>
        <v>0</v>
      </c>
      <c r="Y277" s="12">
        <f>-Y150</f>
        <v>0</v>
      </c>
      <c r="Z277" s="12">
        <f>-Z150</f>
        <v>0</v>
      </c>
      <c r="AA277" s="12">
        <f>-AA150</f>
        <v>0</v>
      </c>
      <c r="AB277" s="12">
        <f>SUM(X277:AA277)</f>
        <v>0</v>
      </c>
      <c r="AC277" s="12">
        <f>-AC150</f>
        <v>0</v>
      </c>
      <c r="AD277" s="12">
        <f>-AD150</f>
        <v>0</v>
      </c>
      <c r="AE277" s="12">
        <f>-AE150</f>
        <v>0</v>
      </c>
      <c r="AF277" s="12">
        <f>-AF150</f>
        <v>0</v>
      </c>
      <c r="AG277" s="12">
        <f>SUM(AC277:AF277)</f>
        <v>0</v>
      </c>
      <c r="AH277" s="12">
        <f>-AH150</f>
        <v>0</v>
      </c>
      <c r="AI277" s="12">
        <f>-AI150</f>
        <v>0</v>
      </c>
      <c r="AJ277" s="12">
        <f>-AJ150</f>
        <v>0</v>
      </c>
      <c r="AK277" s="12">
        <f>-AK150</f>
        <v>0</v>
      </c>
      <c r="AL277" s="12">
        <f>SUM(AH277:AK277)</f>
        <v>0</v>
      </c>
      <c r="AM277" s="12">
        <f>-AM150</f>
        <v>0</v>
      </c>
      <c r="AN277" s="12">
        <f>-AN150</f>
        <v>0</v>
      </c>
      <c r="AO277" s="12">
        <f>-AO150</f>
        <v>0</v>
      </c>
      <c r="AP277" s="12">
        <f>-AP150</f>
        <v>0</v>
      </c>
      <c r="AQ277" s="12">
        <f>SUM(AM277:AP277)</f>
        <v>0</v>
      </c>
      <c r="AR277" s="12">
        <f>-AR150</f>
        <v>0</v>
      </c>
      <c r="AS277" s="12">
        <f>-AS150</f>
        <v>0</v>
      </c>
      <c r="AT277" s="12">
        <f>-AT150</f>
        <v>0</v>
      </c>
      <c r="AU277" s="12">
        <f>-AU150</f>
        <v>0</v>
      </c>
      <c r="AV277" s="12">
        <f>SUM(AR277:AU277)</f>
        <v>0</v>
      </c>
      <c r="AW277" s="12">
        <f>-AW150</f>
        <v>0</v>
      </c>
      <c r="AX277" s="12">
        <f>-AX150</f>
        <v>0</v>
      </c>
      <c r="AY277" s="12">
        <f>-AY150</f>
        <v>0</v>
      </c>
      <c r="AZ277" s="12">
        <f>-AZ150</f>
        <v>0</v>
      </c>
      <c r="BA277" s="12">
        <f>SUM(AW277:AZ277)</f>
        <v>0</v>
      </c>
      <c r="BB277" s="12">
        <f>-BB150</f>
        <v>0</v>
      </c>
      <c r="BC277" s="12">
        <f>-BC150</f>
        <v>0</v>
      </c>
      <c r="BD277" s="12">
        <f>-BD150</f>
        <v>0</v>
      </c>
      <c r="BE277" s="12">
        <f>-BE150</f>
        <v>0</v>
      </c>
      <c r="BF277" s="12">
        <f>SUM(BB277:BE277)</f>
        <v>0</v>
      </c>
      <c r="BG277" s="12" t="n"/>
      <c r="BH277" s="12" t="n"/>
      <c r="BI277" s="12" t="n"/>
      <c r="BJ277" s="12" t="n"/>
      <c r="BK277" s="12" t="n"/>
      <c r="BL277" s="12" t="n"/>
      <c r="BM277" s="12" t="n"/>
      <c r="BN277" s="12" t="n"/>
      <c r="BO277" s="12" t="n"/>
      <c r="BP277" s="12" t="n"/>
      <c r="BQ277" s="12" t="n"/>
      <c r="BR277" s="12" t="n"/>
      <c r="BS277" s="12" t="n"/>
      <c r="BT277" s="12" t="n"/>
      <c r="BU277" s="12" t="n"/>
      <c r="BV277" s="12" t="n"/>
      <c r="BW277" s="12" t="n"/>
      <c r="BX277" s="12" t="n"/>
      <c r="BY277" s="12" t="n"/>
      <c r="BZ277" s="12" t="n"/>
      <c r="CA277" s="12" t="n"/>
      <c r="CB277" s="12" t="n"/>
      <c r="CC277" s="12" t="n"/>
      <c r="CD277" s="12" t="n"/>
      <c r="CE277" s="12" t="n"/>
      <c r="CF277" s="12" t="n"/>
      <c r="CG277" s="12" t="n"/>
      <c r="CH277" s="12" t="n"/>
      <c r="CI277" s="12" t="n"/>
      <c r="CJ277" s="12" t="n"/>
      <c r="CK277" s="12" t="n"/>
      <c r="CL277" s="12" t="n"/>
      <c r="CM277" s="12" t="n"/>
      <c r="CN277" s="12" t="n"/>
      <c r="CO277" s="12" t="n"/>
      <c r="CP277" s="12" t="n"/>
      <c r="CQ277" s="12" t="n"/>
      <c r="CR277" s="12" t="n"/>
      <c r="CS277" s="12" t="n"/>
      <c r="CT277" s="12" t="n"/>
      <c r="CU277" s="12" t="n"/>
      <c r="CV277" s="12" t="n"/>
      <c r="CW277" s="12" t="n"/>
      <c r="CX277" s="12" t="n"/>
      <c r="CY277" s="12" t="n"/>
    </row>
    <row r="278">
      <c r="C278" s="71" t="inlineStr">
        <is>
          <t>Minority interest expense</t>
        </is>
      </c>
      <c r="D278" s="12" t="n"/>
      <c r="E278" s="12" t="n"/>
      <c r="F278" s="12" t="n"/>
      <c r="G278" s="12" t="n"/>
      <c r="H278" s="12" t="n"/>
      <c r="I278" s="12" t="n"/>
      <c r="J278" s="12">
        <f>-J122</f>
        <v>91</v>
      </c>
      <c r="K278" s="12">
        <f>-K122</f>
        <v>192</v>
      </c>
      <c r="L278" s="12">
        <f>-L122</f>
        <v>209</v>
      </c>
      <c r="M278" s="12" t="n"/>
      <c r="N278" s="12">
        <f>-N122</f>
        <v>270</v>
      </c>
      <c r="O278" s="12">
        <f>-O122</f>
        <v>724</v>
      </c>
      <c r="P278" s="12">
        <f>-P122</f>
        <v>538</v>
      </c>
      <c r="Q278" s="12">
        <f>-Q122</f>
        <v>305</v>
      </c>
      <c r="R278" s="12">
        <f>SUM(N278:Q278)</f>
        <v>1837</v>
      </c>
      <c r="S278" s="12">
        <f>-S122</f>
        <v>413</v>
      </c>
      <c r="T278" s="12">
        <f>-T122</f>
        <v>273</v>
      </c>
      <c r="U278" s="12">
        <f>-U122</f>
        <v>276</v>
      </c>
      <c r="V278" s="12">
        <f>-V122</f>
        <v>382</v>
      </c>
      <c r="W278" s="12">
        <f>SUM(S278:V278)</f>
        <v>1344</v>
      </c>
      <c r="X278" s="12">
        <f>-X122</f>
        <v>346</v>
      </c>
      <c r="Y278" s="12">
        <f>-Y122</f>
        <v>331</v>
      </c>
      <c r="Z278" s="12">
        <f>-Z122</f>
        <v>361</v>
      </c>
      <c r="AA278" s="12">
        <f>-AA122</f>
        <v>345</v>
      </c>
      <c r="AB278" s="12">
        <f>SUM(X278:AA278)</f>
        <v>1383</v>
      </c>
      <c r="AC278" s="12">
        <f>-AC122</f>
        <v>320</v>
      </c>
      <c r="AD278" s="12">
        <f>-AD122</f>
        <v>272</v>
      </c>
      <c r="AE278" s="12">
        <f>-AE122</f>
        <v>220</v>
      </c>
      <c r="AF278" s="12">
        <f>-AF122</f>
        <v>108</v>
      </c>
      <c r="AG278" s="12">
        <f>SUM(AC278:AF278)</f>
        <v>920</v>
      </c>
      <c r="AH278" s="12">
        <f>-AH122</f>
        <v>289</v>
      </c>
      <c r="AI278" s="12">
        <f>-AI122</f>
        <v>356</v>
      </c>
      <c r="AJ278" s="12">
        <f>-AJ122</f>
        <v>0</v>
      </c>
      <c r="AK278" s="12">
        <f>-AK122</f>
        <v>0</v>
      </c>
      <c r="AL278" s="12">
        <f>SUM(AH278:AK278)</f>
        <v>645</v>
      </c>
      <c r="AM278" s="12">
        <f>-AM122</f>
        <v>0</v>
      </c>
      <c r="AN278" s="12">
        <f>-AN122</f>
        <v>0</v>
      </c>
      <c r="AO278" s="12">
        <f>-AO122</f>
        <v>0</v>
      </c>
      <c r="AP278" s="12">
        <f>-AP122</f>
        <v>0</v>
      </c>
      <c r="AQ278" s="12">
        <f>SUM(AM278:AP278)</f>
        <v>0</v>
      </c>
      <c r="AR278" s="12">
        <f>-AR122</f>
        <v>0</v>
      </c>
      <c r="AS278" s="12">
        <f>-AS122</f>
        <v>0</v>
      </c>
      <c r="AT278" s="12">
        <f>-AT122</f>
        <v>0</v>
      </c>
      <c r="AU278" s="12">
        <f>-AU122</f>
        <v>0</v>
      </c>
      <c r="AV278" s="12">
        <f>SUM(AR278:AU278)</f>
        <v>0</v>
      </c>
      <c r="AW278" s="12">
        <f>-AW122</f>
        <v>0</v>
      </c>
      <c r="AX278" s="12">
        <f>-AX122</f>
        <v>0</v>
      </c>
      <c r="AY278" s="12">
        <f>-AY122</f>
        <v>0</v>
      </c>
      <c r="AZ278" s="12">
        <f>-AZ122</f>
        <v>0</v>
      </c>
      <c r="BA278" s="12">
        <f>SUM(AW278:AZ278)</f>
        <v>0</v>
      </c>
      <c r="BB278" s="12">
        <f>-BB122</f>
        <v>0</v>
      </c>
      <c r="BC278" s="12">
        <f>-BC122</f>
        <v>0</v>
      </c>
      <c r="BD278" s="12">
        <f>-BD122</f>
        <v>0</v>
      </c>
      <c r="BE278" s="12">
        <f>-BE122</f>
        <v>0</v>
      </c>
      <c r="BF278" s="12">
        <f>SUM(BB278:BE278)</f>
        <v>0</v>
      </c>
      <c r="BG278" s="12" t="n"/>
      <c r="BH278" s="12" t="n"/>
      <c r="BI278" s="12" t="n"/>
      <c r="BJ278" s="12" t="n"/>
      <c r="BK278" s="12" t="n"/>
      <c r="BL278" s="12" t="n"/>
      <c r="BM278" s="12" t="n"/>
      <c r="BN278" s="12" t="n"/>
      <c r="BO278" s="12" t="n"/>
      <c r="BP278" s="12" t="n"/>
      <c r="BQ278" s="12" t="n"/>
      <c r="BR278" s="12" t="n"/>
      <c r="BS278" s="12" t="n"/>
      <c r="BT278" s="12" t="n"/>
      <c r="BU278" s="12" t="n"/>
      <c r="BV278" s="12" t="n"/>
      <c r="BW278" s="12" t="n"/>
      <c r="BX278" s="12" t="n"/>
      <c r="BY278" s="12" t="n"/>
      <c r="BZ278" s="12" t="n"/>
      <c r="CA278" s="12" t="n"/>
      <c r="CB278" s="12" t="n"/>
      <c r="CC278" s="12" t="n"/>
      <c r="CD278" s="12" t="n"/>
      <c r="CE278" s="12" t="n"/>
      <c r="CF278" s="12" t="n"/>
      <c r="CG278" s="12" t="n"/>
      <c r="CH278" s="12" t="n"/>
      <c r="CI278" s="12" t="n"/>
      <c r="CJ278" s="12" t="n"/>
      <c r="CK278" s="12" t="n"/>
      <c r="CL278" s="12" t="n"/>
      <c r="CM278" s="12" t="n"/>
      <c r="CN278" s="12" t="n"/>
      <c r="CO278" s="12" t="n"/>
      <c r="CP278" s="12" t="n"/>
      <c r="CQ278" s="12" t="n"/>
      <c r="CR278" s="12" t="n"/>
      <c r="CS278" s="12" t="n"/>
      <c r="CT278" s="12" t="n"/>
      <c r="CU278" s="12" t="n"/>
      <c r="CV278" s="12" t="n"/>
      <c r="CW278" s="12" t="n"/>
      <c r="CX278" s="12" t="n"/>
      <c r="CY278" s="12" t="n"/>
    </row>
    <row r="279">
      <c r="C279" s="14" t="inlineStr">
        <is>
          <t>Cash from operations</t>
        </is>
      </c>
      <c r="D279" s="12" t="n"/>
      <c r="E279" s="12" t="n"/>
      <c r="F279" s="12" t="n"/>
      <c r="G279" s="12" t="n"/>
      <c r="H279" s="12" t="n"/>
      <c r="I279" s="12" t="n"/>
      <c r="J279" s="12">
        <f>SUM(J263,J264,J265,J276,J277,J278)</f>
        <v>10414</v>
      </c>
      <c r="K279" s="12">
        <f>SUM(K263,K264,K265,K276,K277,K278)</f>
        <v>12964</v>
      </c>
      <c r="L279" s="12">
        <f>SUM(L263,L264,L265,L276,L277,L278)</f>
        <v>17809</v>
      </c>
      <c r="M279" s="12" t="n"/>
      <c r="N279" s="12">
        <f>SUM(N263,N264,N265,N276,N277,N278)</f>
        <v>14978</v>
      </c>
      <c r="O279" s="12">
        <f>SUM(O263,O264,O265,O276,O277,O278)</f>
        <v>21748</v>
      </c>
      <c r="P279" s="12">
        <f>SUM(P263,P264,P265,P276,P277,P278)</f>
        <v>26859</v>
      </c>
      <c r="Q279" s="12">
        <f>SUM(Q263,Q264,Q265,Q276,Q277,Q278)</f>
        <v>21146</v>
      </c>
      <c r="R279" s="12">
        <f>SUM(R263,R264,R265,R276,R277,R278)</f>
        <v>84731</v>
      </c>
      <c r="S279" s="12">
        <f>SUM(S263,S264,S265,S276,S277,S278)</f>
        <v>15785</v>
      </c>
      <c r="T279" s="12">
        <f>SUM(T263,T264,T265,T276,T277,T278)</f>
        <v>8517</v>
      </c>
      <c r="U279" s="12">
        <f>SUM(U263,U264,U265,U276,U277,U278)</f>
        <v>16804</v>
      </c>
      <c r="V279" s="12">
        <f>SUM(V263,V264,V265,V276,V277,V278)</f>
        <v>14203</v>
      </c>
      <c r="W279" s="12">
        <f>SUM(W263,W264,W265,W276,W277,W278)</f>
        <v>55309</v>
      </c>
      <c r="X279" s="12">
        <f>SUM(X263,X264,X265,X276,X277,X278)</f>
        <v>14513</v>
      </c>
      <c r="Y279" s="12">
        <f>SUM(Y263,Y264,Y265,Y276,Y277,Y278)</f>
        <v>28059</v>
      </c>
      <c r="Z279" s="12">
        <f>SUM(Z263,Z264,Z265,Z276,Z277,Z278)</f>
        <v>18004</v>
      </c>
      <c r="AA279" s="12">
        <f>SUM(AA263,AA264,AA265,AA276,AA277,AA278)</f>
        <v>12754</v>
      </c>
      <c r="AB279" s="12">
        <f>SUM(AB263,AB264,AB265,AB276,AB277,AB278)</f>
        <v>73330</v>
      </c>
      <c r="AC279" s="12">
        <f>SUM(AC263,AC264,AC265,AC276,AC277,AC278)</f>
        <v>12297</v>
      </c>
      <c r="AD279" s="12">
        <f>SUM(AD263,AD264,AD265,AD276,AD277,AD278)</f>
        <v>10814</v>
      </c>
      <c r="AE279" s="12">
        <f>SUM(AE263,AE264,AE265,AE276,AE277,AE278)</f>
        <v>16778</v>
      </c>
      <c r="AF279" s="12">
        <f>SUM(AF263,AF264,AF265,AF276,AF277,AF278)</f>
        <v>10984</v>
      </c>
      <c r="AG279" s="12">
        <f>SUM(AG263,AG264,AG265,AG276,AG277,AG278)</f>
        <v>50873</v>
      </c>
      <c r="AH279" s="12">
        <f>SUM(AH263,AH264,AH265,AH276,AH277,AH278)</f>
        <v>11207</v>
      </c>
      <c r="AI279" s="12">
        <f>SUM(AI263,AI264,AI265,AI276,AI277,AI278)</f>
        <v>21089</v>
      </c>
      <c r="AJ279" s="12">
        <f>SUM(AJ263,AJ264,AJ265,AJ276,AJ277,AJ278)</f>
        <v>18404.1052053431</v>
      </c>
      <c r="AK279" s="12">
        <f>SUM(AK263,AK264,AK265,AK276,AK277,AK278)</f>
        <v>14094.8049686194</v>
      </c>
      <c r="AL279" s="12">
        <f>SUM(AL263,AL264,AL265,AL276,AL277,AL278)</f>
        <v>64794.9101739625</v>
      </c>
      <c r="AM279" s="12">
        <f>SUM(AM263,AM264,AM265,AM276,AM277,AM278)</f>
        <v>16149.1806647575</v>
      </c>
      <c r="AN279" s="12">
        <f>SUM(AN263,AN264,AN265,AN276,AN277,AN278)</f>
        <v>26727.3288198152</v>
      </c>
      <c r="AO279" s="12">
        <f>SUM(AO263,AO264,AO265,AO276,AO277,AO278)</f>
        <v>10205.1472888294</v>
      </c>
      <c r="AP279" s="12">
        <f>SUM(AP263,AP264,AP265,AP276,AP277,AP278)</f>
        <v>14727.6453091286</v>
      </c>
      <c r="AQ279" s="12">
        <f>SUM(AQ263,AQ264,AQ265,AQ276,AQ277,AQ278)</f>
        <v>67809.3020825306</v>
      </c>
      <c r="AR279" s="12">
        <f>SUM(AR263,AR264,AR265,AR276,AR277,AR278)</f>
        <v>16482.8050580699</v>
      </c>
      <c r="AS279" s="12">
        <f>SUM(AS263,AS264,AS265,AS276,AS277,AS278)</f>
        <v>27943.4213281432</v>
      </c>
      <c r="AT279" s="12">
        <f>SUM(AT263,AT264,AT265,AT276,AT277,AT278)</f>
        <v>10592.7087923109</v>
      </c>
      <c r="AU279" s="12">
        <f>SUM(AU263,AU264,AU265,AU276,AU277,AU278)</f>
        <v>15286.0273285539</v>
      </c>
      <c r="AV279" s="12">
        <f>SUM(AV263,AV264,AV265,AV276,AV277,AV278)</f>
        <v>70304.9625070779</v>
      </c>
      <c r="AW279" s="12">
        <f>SUM(AW263,AW264,AW265,AW276,AW277,AW278)</f>
        <v>17141.7034135906</v>
      </c>
      <c r="AX279" s="12">
        <f>SUM(AX263,AX264,AX265,AX276,AX277,AX278)</f>
        <v>28653.9208555041</v>
      </c>
      <c r="AY279" s="12">
        <f>SUM(AY263,AY264,AY265,AY276,AY277,AY278)</f>
        <v>10934.8609934413</v>
      </c>
      <c r="AZ279" s="12">
        <f>SUM(AZ263,AZ264,AZ265,AZ276,AZ277,AZ278)</f>
        <v>15781.7588461984</v>
      </c>
      <c r="BA279" s="12">
        <f>SUM(BA263,BA264,BA265,BA276,BA277,BA278)</f>
        <v>72512.2441087344</v>
      </c>
      <c r="BB279" s="12">
        <f>SUM(BB263,BB264,BB265,BB276,BB277,BB278)</f>
        <v>17519.7777941807</v>
      </c>
      <c r="BC279" s="12">
        <f>SUM(BC263,BC264,BC265,BC276,BC277,BC278)</f>
        <v>29442.6035803213</v>
      </c>
      <c r="BD279" s="12">
        <f>SUM(BD263,BD264,BD265,BD276,BD277,BD278)</f>
        <v>11225.5495326893</v>
      </c>
      <c r="BE279" s="12">
        <f>SUM(BE263,BE264,BE265,BE276,BE277,BE278)</f>
        <v>16206.6820920156</v>
      </c>
      <c r="BF279" s="12">
        <f>SUM(BF263,BF264,BF265,BF276,BF277,BF278)</f>
        <v>74394.6129992069</v>
      </c>
      <c r="BG279" s="12" t="n"/>
      <c r="BH279" s="12" t="n"/>
      <c r="BI279" s="12" t="n"/>
      <c r="BJ279" s="12" t="n"/>
      <c r="BK279" s="12" t="n"/>
      <c r="BL279" s="12" t="n"/>
      <c r="BM279" s="12" t="n"/>
      <c r="BN279" s="12" t="n"/>
      <c r="BO279" s="12" t="n"/>
      <c r="BP279" s="12" t="n"/>
      <c r="BQ279" s="12" t="n"/>
      <c r="BR279" s="12" t="n"/>
      <c r="BS279" s="12" t="n"/>
      <c r="BT279" s="12" t="n"/>
      <c r="BU279" s="12" t="n"/>
      <c r="BV279" s="12" t="n"/>
      <c r="BW279" s="12" t="n"/>
      <c r="BX279" s="12" t="n"/>
      <c r="BY279" s="12" t="n"/>
      <c r="BZ279" s="12" t="n"/>
      <c r="CA279" s="12" t="n"/>
      <c r="CB279" s="12" t="n"/>
      <c r="CC279" s="12" t="n"/>
      <c r="CD279" s="12" t="n"/>
      <c r="CE279" s="12" t="n"/>
      <c r="CF279" s="12" t="n"/>
      <c r="CG279" s="12" t="n"/>
      <c r="CH279" s="12" t="n"/>
      <c r="CI279" s="12" t="n"/>
      <c r="CJ279" s="12" t="n"/>
      <c r="CK279" s="12" t="n"/>
      <c r="CL279" s="12" t="n"/>
      <c r="CM279" s="12" t="n"/>
      <c r="CN279" s="12" t="n"/>
      <c r="CO279" s="12" t="n"/>
      <c r="CP279" s="12" t="n"/>
      <c r="CQ279" s="12" t="n"/>
      <c r="CR279" s="12" t="n"/>
      <c r="CS279" s="12" t="n"/>
      <c r="CT279" s="12" t="n"/>
      <c r="CU279" s="12" t="n"/>
      <c r="CV279" s="12" t="n"/>
      <c r="CW279" s="12" t="n"/>
      <c r="CX279" s="12" t="n"/>
      <c r="CY279" s="12" t="n"/>
    </row>
    <row r="280">
      <c r="C280" s="14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  <c r="Y280" s="12" t="n"/>
      <c r="Z280" s="12" t="n"/>
      <c r="AA280" s="12" t="n"/>
      <c r="AB280" s="12" t="n"/>
      <c r="AC280" s="12" t="n"/>
      <c r="AD280" s="12" t="n"/>
      <c r="AE280" s="12" t="n"/>
      <c r="AF280" s="12" t="n"/>
      <c r="AG280" s="12" t="n"/>
      <c r="AH280" s="12" t="n"/>
      <c r="AI280" s="12" t="n"/>
      <c r="AJ280" s="12" t="n"/>
      <c r="AK280" s="12" t="n"/>
      <c r="AL280" s="12" t="n"/>
      <c r="AM280" s="12" t="n"/>
      <c r="AN280" s="12" t="n"/>
      <c r="AO280" s="12" t="n"/>
      <c r="AP280" s="12" t="n"/>
      <c r="AQ280" s="12" t="n"/>
      <c r="AR280" s="12" t="n"/>
      <c r="AS280" s="12" t="n"/>
      <c r="AT280" s="12" t="n"/>
      <c r="AU280" s="12" t="n"/>
      <c r="AV280" s="12" t="n"/>
      <c r="AW280" s="12" t="n"/>
      <c r="AX280" s="12" t="n"/>
      <c r="AY280" s="12" t="n"/>
      <c r="AZ280" s="12" t="n"/>
      <c r="BA280" s="12" t="n"/>
      <c r="BB280" s="12" t="n"/>
      <c r="BC280" s="12" t="n"/>
      <c r="BD280" s="12" t="n"/>
      <c r="BE280" s="12" t="n"/>
      <c r="BF280" s="12" t="n"/>
      <c r="BG280" s="12" t="n"/>
      <c r="BH280" s="12" t="n"/>
      <c r="BI280" s="12" t="n"/>
      <c r="BJ280" s="12" t="n"/>
      <c r="BK280" s="12" t="n"/>
      <c r="BL280" s="12" t="n"/>
      <c r="BM280" s="12" t="n"/>
      <c r="BN280" s="12" t="n"/>
      <c r="BO280" s="12" t="n"/>
      <c r="BP280" s="12" t="n"/>
      <c r="BQ280" s="12" t="n"/>
      <c r="BR280" s="12" t="n"/>
      <c r="BS280" s="12" t="n"/>
      <c r="BT280" s="12" t="n"/>
      <c r="BU280" s="12" t="n"/>
      <c r="BV280" s="12" t="n"/>
      <c r="BW280" s="12" t="n"/>
      <c r="BX280" s="12" t="n"/>
      <c r="BY280" s="12" t="n"/>
      <c r="BZ280" s="12" t="n"/>
      <c r="CA280" s="12" t="n"/>
      <c r="CB280" s="12" t="n"/>
      <c r="CC280" s="12" t="n"/>
      <c r="CD280" s="12" t="n"/>
      <c r="CE280" s="12" t="n"/>
      <c r="CF280" s="12" t="n"/>
      <c r="CG280" s="12" t="n"/>
      <c r="CH280" s="12" t="n"/>
      <c r="CI280" s="12" t="n"/>
      <c r="CJ280" s="12" t="n"/>
      <c r="CK280" s="12" t="n"/>
      <c r="CL280" s="12" t="n"/>
      <c r="CM280" s="12" t="n"/>
      <c r="CN280" s="12" t="n"/>
      <c r="CO280" s="12" t="n"/>
      <c r="CP280" s="12" t="n"/>
      <c r="CQ280" s="12" t="n"/>
      <c r="CR280" s="12" t="n"/>
      <c r="CS280" s="12" t="n"/>
      <c r="CT280" s="12" t="n"/>
      <c r="CU280" s="12" t="n"/>
      <c r="CV280" s="12" t="n"/>
      <c r="CW280" s="12" t="n"/>
      <c r="CX280" s="12" t="n"/>
      <c r="CY280" s="12" t="n"/>
    </row>
    <row r="281">
      <c r="C281" s="10" t="inlineStr">
        <is>
          <t>Purchase of fixed assets (capital expenditures)</t>
        </is>
      </c>
      <c r="D281" s="12" t="n"/>
      <c r="E281" s="12" t="n"/>
      <c r="F281" s="12" t="n"/>
      <c r="G281" s="12" t="n"/>
      <c r="H281" s="12" t="n"/>
      <c r="I281" s="12" t="n"/>
      <c r="J281" s="12">
        <f>-J154</f>
        <v>-3323</v>
      </c>
      <c r="K281" s="12">
        <f>-K154</f>
        <v>-773</v>
      </c>
      <c r="L281" s="12">
        <f>-L154</f>
        <v>-3418</v>
      </c>
      <c r="M281" s="12" t="n"/>
      <c r="N281" s="12">
        <f>-N154</f>
        <v>-5104</v>
      </c>
      <c r="O281" s="12">
        <f>-O154</f>
        <v>-837</v>
      </c>
      <c r="P281" s="12">
        <f>-P154</f>
        <v>415</v>
      </c>
      <c r="Q281" s="12">
        <f>-Q154</f>
        <v>-6654</v>
      </c>
      <c r="R281" s="12">
        <f>SUM(N281:Q281)</f>
        <v>-12180</v>
      </c>
      <c r="S281" s="12">
        <f>-S154</f>
        <v>-5575</v>
      </c>
      <c r="T281" s="12">
        <f>-T154</f>
        <v>-4955</v>
      </c>
      <c r="U281" s="12">
        <f>-U154</f>
        <v>-3541</v>
      </c>
      <c r="V281" s="12">
        <f>-V154</f>
        <v>-16818</v>
      </c>
      <c r="W281" s="12">
        <f>SUM(S281:V281)</f>
        <v>-30889</v>
      </c>
      <c r="X281" s="12">
        <f>-X154</f>
        <v>-3595</v>
      </c>
      <c r="Y281" s="12">
        <f>-Y154</f>
        <v>-90347</v>
      </c>
      <c r="Z281" s="12">
        <f>-Z154</f>
        <v>-7518</v>
      </c>
      <c r="AA281" s="12">
        <f>-AA154</f>
        <v>-1360</v>
      </c>
      <c r="AB281" s="12">
        <f>SUM(X281:AA281)</f>
        <v>-102820</v>
      </c>
      <c r="AC281" s="12">
        <f>-AC154</f>
        <v>-4030</v>
      </c>
      <c r="AD281" s="12">
        <f>-AD154</f>
        <v>-8811</v>
      </c>
      <c r="AE281" s="12">
        <f>-AE154</f>
        <v>-9507</v>
      </c>
      <c r="AF281" s="12">
        <f>-AF154</f>
        <v>-8700</v>
      </c>
      <c r="AG281" s="12">
        <f>SUM(AC281:AF281)</f>
        <v>-31048</v>
      </c>
      <c r="AH281" s="12">
        <f>-AH154</f>
        <v>-6179</v>
      </c>
      <c r="AI281" s="12">
        <f>-AI154</f>
        <v>-6206</v>
      </c>
      <c r="AJ281" s="12">
        <f>-AJ154</f>
        <v>-7244.08941146571</v>
      </c>
      <c r="AK281" s="12">
        <f>-AK154</f>
        <v>-6990.4859811818</v>
      </c>
      <c r="AL281" s="12">
        <f>SUM(AH281:AK281)</f>
        <v>-26619.5753926475</v>
      </c>
      <c r="AM281" s="12">
        <f>-AM154</f>
        <v>-7230.84020345356</v>
      </c>
      <c r="AN281" s="12">
        <f>-AN154</f>
        <v>-9853.41901247471</v>
      </c>
      <c r="AO281" s="12">
        <f>-AO154</f>
        <v>-7555.73306129325</v>
      </c>
      <c r="AP281" s="12">
        <f>-AP154</f>
        <v>-7291.21950909707</v>
      </c>
      <c r="AQ281" s="12">
        <f>SUM(AM281:AP281)</f>
        <v>-31931.2117863186</v>
      </c>
      <c r="AR281" s="12">
        <f>-AR154</f>
        <v>-7505.75966598844</v>
      </c>
      <c r="AS281" s="12">
        <f>-AS154</f>
        <v>-10228.0499796681</v>
      </c>
      <c r="AT281" s="12">
        <f>-AT154</f>
        <v>-7843.00508139344</v>
      </c>
      <c r="AU281" s="12">
        <f>-AU154</f>
        <v>-7568.43461719853</v>
      </c>
      <c r="AV281" s="12">
        <f>SUM(AR281:AU281)</f>
        <v>-33145.2493442485</v>
      </c>
      <c r="AW281" s="12">
        <f>-AW154</f>
        <v>-7753.60287910248</v>
      </c>
      <c r="AX281" s="12">
        <f>-AX154</f>
        <v>-10565.7843175178</v>
      </c>
      <c r="AY281" s="12">
        <f>-AY154</f>
        <v>-8101.98427421926</v>
      </c>
      <c r="AZ281" s="12">
        <f>-AZ154</f>
        <v>-7818.34738249395</v>
      </c>
      <c r="BA281" s="12">
        <f>SUM(AW281:AZ281)</f>
        <v>-34239.7188533335</v>
      </c>
      <c r="BB281" s="12">
        <f>-BB154</f>
        <v>-7970.86196073495</v>
      </c>
      <c r="BC281" s="12">
        <f>-BC154</f>
        <v>-10861.8418579082</v>
      </c>
      <c r="BD281" s="12">
        <f>-BD154</f>
        <v>-8329.00514313193</v>
      </c>
      <c r="BE281" s="12">
        <f>-BE154</f>
        <v>-8037.42063123904</v>
      </c>
      <c r="BF281" s="12">
        <f>SUM(BB281:BE281)</f>
        <v>-35199.1295930141</v>
      </c>
      <c r="BG281" s="12" t="n"/>
      <c r="BH281" s="12" t="n"/>
      <c r="BI281" s="12" t="n"/>
      <c r="BJ281" s="12" t="n"/>
      <c r="BK281" s="12" t="n"/>
      <c r="BL281" s="12" t="n"/>
      <c r="BM281" s="12" t="n"/>
      <c r="BN281" s="12" t="n"/>
      <c r="BO281" s="12" t="n"/>
      <c r="BP281" s="12" t="n"/>
      <c r="BQ281" s="12" t="n"/>
      <c r="BR281" s="12" t="n"/>
      <c r="BS281" s="12" t="n"/>
      <c r="BT281" s="12" t="n"/>
      <c r="BU281" s="12" t="n"/>
      <c r="BV281" s="12" t="n"/>
      <c r="BW281" s="12" t="n"/>
      <c r="BX281" s="12" t="n"/>
      <c r="BY281" s="12" t="n"/>
      <c r="BZ281" s="12" t="n"/>
      <c r="CA281" s="12" t="n"/>
      <c r="CB281" s="12" t="n"/>
      <c r="CC281" s="12" t="n"/>
      <c r="CD281" s="12" t="n"/>
      <c r="CE281" s="12" t="n"/>
      <c r="CF281" s="12" t="n"/>
      <c r="CG281" s="12" t="n"/>
      <c r="CH281" s="12" t="n"/>
      <c r="CI281" s="12" t="n"/>
      <c r="CJ281" s="12" t="n"/>
      <c r="CK281" s="12" t="n"/>
      <c r="CL281" s="12" t="n"/>
      <c r="CM281" s="12" t="n"/>
      <c r="CN281" s="12" t="n"/>
      <c r="CO281" s="12" t="n"/>
      <c r="CP281" s="12" t="n"/>
      <c r="CQ281" s="12" t="n"/>
      <c r="CR281" s="12" t="n"/>
      <c r="CS281" s="12" t="n"/>
      <c r="CT281" s="12" t="n"/>
      <c r="CU281" s="12" t="n"/>
      <c r="CV281" s="12" t="n"/>
      <c r="CW281" s="12" t="n"/>
      <c r="CX281" s="12" t="n"/>
      <c r="CY281" s="12" t="n"/>
    </row>
    <row r="282">
      <c r="C282" s="10" t="inlineStr">
        <is>
          <t>Proceeds from sale of fixed assets</t>
        </is>
      </c>
      <c r="D282" s="12" t="n"/>
      <c r="E282" s="12" t="n"/>
      <c r="F282" s="12" t="n"/>
      <c r="G282" s="12" t="n"/>
      <c r="H282" s="12" t="n"/>
      <c r="I282" s="12" t="n"/>
      <c r="J282" s="12">
        <f>-J155</f>
        <v>0</v>
      </c>
      <c r="K282" s="12">
        <f>-K155</f>
        <v>0</v>
      </c>
      <c r="L282" s="12">
        <f>-L155</f>
        <v>0</v>
      </c>
      <c r="M282" s="12" t="n"/>
      <c r="N282" s="12">
        <f>-N155</f>
        <v>0</v>
      </c>
      <c r="O282" s="12">
        <f>-O155</f>
        <v>0</v>
      </c>
      <c r="P282" s="12">
        <f>-P155</f>
        <v>0</v>
      </c>
      <c r="Q282" s="12">
        <f>-Q155</f>
        <v>0</v>
      </c>
      <c r="R282" s="12">
        <f>SUM(N282:Q282)</f>
        <v>0</v>
      </c>
      <c r="S282" s="12">
        <f>-S155</f>
        <v>0</v>
      </c>
      <c r="T282" s="12">
        <f>-T155</f>
        <v>0</v>
      </c>
      <c r="U282" s="12">
        <f>-U155</f>
        <v>0</v>
      </c>
      <c r="V282" s="12">
        <f>-V155</f>
        <v>0</v>
      </c>
      <c r="W282" s="12">
        <f>SUM(S282:V282)</f>
        <v>0</v>
      </c>
      <c r="X282" s="12">
        <f>-X155</f>
        <v>0</v>
      </c>
      <c r="Y282" s="12">
        <f>-Y155</f>
        <v>0</v>
      </c>
      <c r="Z282" s="12">
        <f>-Z155</f>
        <v>0</v>
      </c>
      <c r="AA282" s="12">
        <f>-AA155</f>
        <v>0</v>
      </c>
      <c r="AB282" s="12">
        <f>SUM(X282:AA282)</f>
        <v>0</v>
      </c>
      <c r="AC282" s="12">
        <f>-AC155</f>
        <v>0</v>
      </c>
      <c r="AD282" s="12">
        <f>-AD155</f>
        <v>0</v>
      </c>
      <c r="AE282" s="12">
        <f>-AE155</f>
        <v>0</v>
      </c>
      <c r="AF282" s="12">
        <f>-AF155</f>
        <v>0</v>
      </c>
      <c r="AG282" s="12">
        <f>SUM(AC282:AF282)</f>
        <v>0</v>
      </c>
      <c r="AH282" s="12">
        <f>-AH155</f>
        <v>0</v>
      </c>
      <c r="AI282" s="12">
        <f>-AI155</f>
        <v>0</v>
      </c>
      <c r="AJ282" s="12">
        <f>-AJ155</f>
        <v>0</v>
      </c>
      <c r="AK282" s="12">
        <f>-AK155</f>
        <v>0</v>
      </c>
      <c r="AL282" s="12">
        <f>SUM(AH282:AK282)</f>
        <v>0</v>
      </c>
      <c r="AM282" s="12">
        <f>-AM155</f>
        <v>0</v>
      </c>
      <c r="AN282" s="12">
        <f>-AN155</f>
        <v>0</v>
      </c>
      <c r="AO282" s="12">
        <f>-AO155</f>
        <v>0</v>
      </c>
      <c r="AP282" s="12">
        <f>-AP155</f>
        <v>0</v>
      </c>
      <c r="AQ282" s="12">
        <f>SUM(AM282:AP282)</f>
        <v>0</v>
      </c>
      <c r="AR282" s="12">
        <f>-AR155</f>
        <v>0</v>
      </c>
      <c r="AS282" s="12">
        <f>-AS155</f>
        <v>0</v>
      </c>
      <c r="AT282" s="12">
        <f>-AT155</f>
        <v>0</v>
      </c>
      <c r="AU282" s="12">
        <f>-AU155</f>
        <v>0</v>
      </c>
      <c r="AV282" s="12">
        <f>SUM(AR282:AU282)</f>
        <v>0</v>
      </c>
      <c r="AW282" s="12">
        <f>-AW155</f>
        <v>0</v>
      </c>
      <c r="AX282" s="12">
        <f>-AX155</f>
        <v>0</v>
      </c>
      <c r="AY282" s="12">
        <f>-AY155</f>
        <v>0</v>
      </c>
      <c r="AZ282" s="12">
        <f>-AZ155</f>
        <v>0</v>
      </c>
      <c r="BA282" s="12">
        <f>SUM(AW282:AZ282)</f>
        <v>0</v>
      </c>
      <c r="BB282" s="12">
        <f>-BB155</f>
        <v>0</v>
      </c>
      <c r="BC282" s="12">
        <f>-BC155</f>
        <v>0</v>
      </c>
      <c r="BD282" s="12">
        <f>-BD155</f>
        <v>0</v>
      </c>
      <c r="BE282" s="12">
        <f>-BE155</f>
        <v>0</v>
      </c>
      <c r="BF282" s="12">
        <f>SUM(BB282:BE282)</f>
        <v>0</v>
      </c>
      <c r="BG282" s="12" t="n"/>
      <c r="BH282" s="12" t="n"/>
      <c r="BI282" s="12" t="n"/>
      <c r="BJ282" s="12" t="n"/>
      <c r="BK282" s="12" t="n"/>
      <c r="BL282" s="12" t="n"/>
      <c r="BM282" s="12" t="n"/>
      <c r="BN282" s="12" t="n"/>
      <c r="BO282" s="12" t="n"/>
      <c r="BP282" s="12" t="n"/>
      <c r="BQ282" s="12" t="n"/>
      <c r="BR282" s="12" t="n"/>
      <c r="BS282" s="12" t="n"/>
      <c r="BT282" s="12" t="n"/>
      <c r="BU282" s="12" t="n"/>
      <c r="BV282" s="12" t="n"/>
      <c r="BW282" s="12" t="n"/>
      <c r="BX282" s="12" t="n"/>
      <c r="BY282" s="12" t="n"/>
      <c r="BZ282" s="12" t="n"/>
      <c r="CA282" s="12" t="n"/>
      <c r="CB282" s="12" t="n"/>
      <c r="CC282" s="12" t="n"/>
      <c r="CD282" s="12" t="n"/>
      <c r="CE282" s="12" t="n"/>
      <c r="CF282" s="12" t="n"/>
      <c r="CG282" s="12" t="n"/>
      <c r="CH282" s="12" t="n"/>
      <c r="CI282" s="12" t="n"/>
      <c r="CJ282" s="12" t="n"/>
      <c r="CK282" s="12" t="n"/>
      <c r="CL282" s="12" t="n"/>
      <c r="CM282" s="12" t="n"/>
      <c r="CN282" s="12" t="n"/>
      <c r="CO282" s="12" t="n"/>
      <c r="CP282" s="12" t="n"/>
      <c r="CQ282" s="12" t="n"/>
      <c r="CR282" s="12" t="n"/>
      <c r="CS282" s="12" t="n"/>
      <c r="CT282" s="12" t="n"/>
      <c r="CU282" s="12" t="n"/>
      <c r="CV282" s="12" t="n"/>
      <c r="CW282" s="12" t="n"/>
      <c r="CX282" s="12" t="n"/>
      <c r="CY282" s="12" t="n"/>
    </row>
    <row r="283">
      <c r="C283" s="10" t="inlineStr">
        <is>
          <t>Var.Right-of-use-assets</t>
        </is>
      </c>
      <c r="D283" s="12" t="n"/>
      <c r="E283" s="12" t="n"/>
      <c r="F283" s="12" t="n"/>
      <c r="G283" s="12" t="n"/>
      <c r="H283" s="12" t="n"/>
      <c r="I283" s="12" t="n"/>
      <c r="J283" s="12">
        <f>(J162-I162)*-1</f>
        <v>0</v>
      </c>
      <c r="K283" s="12">
        <f>(K162-J162)*-1</f>
        <v>0</v>
      </c>
      <c r="L283" s="12">
        <f>(L162-K162)*-1</f>
        <v>0</v>
      </c>
      <c r="M283" s="12" t="n"/>
      <c r="N283" s="12">
        <f>(N162-M162)*-1</f>
        <v>0</v>
      </c>
      <c r="O283" s="12">
        <f>(O162-N162)*-1</f>
        <v>0</v>
      </c>
      <c r="P283" s="12">
        <f>(P162-O162)*-1</f>
        <v>0</v>
      </c>
      <c r="Q283" s="12">
        <f>(Q162-P162)*-1</f>
        <v>0</v>
      </c>
      <c r="R283" s="12">
        <f>SUM(N283:Q283)</f>
        <v>0</v>
      </c>
      <c r="S283" s="12">
        <f>(S162-R162)*-1</f>
        <v>0</v>
      </c>
      <c r="T283" s="12">
        <f>(T162-S162)*-1</f>
        <v>0</v>
      </c>
      <c r="U283" s="12">
        <f>(U162-T162)*-1</f>
        <v>0</v>
      </c>
      <c r="V283" s="12">
        <f>(V162-U162)*-1</f>
        <v>0</v>
      </c>
      <c r="W283" s="12">
        <f>SUM(S283:V283)</f>
        <v>0</v>
      </c>
      <c r="X283" s="12">
        <f>(X162-W162)*-1</f>
        <v>0</v>
      </c>
      <c r="Y283" s="12">
        <f>(Y162-X162)*-1</f>
        <v>0</v>
      </c>
      <c r="Z283" s="12">
        <f>(Z162-Y162)*-1</f>
        <v>0</v>
      </c>
      <c r="AA283" s="12">
        <f>(AA162-Z162)*-1</f>
        <v>0</v>
      </c>
      <c r="AB283" s="12">
        <f>SUM(X283:AA283)</f>
        <v>0</v>
      </c>
      <c r="AC283" s="12">
        <f>(AC162-AB162)*-1</f>
        <v>0</v>
      </c>
      <c r="AD283" s="12">
        <f>(AD162-AC162)*-1</f>
        <v>0</v>
      </c>
      <c r="AE283" s="12">
        <f>(AE162-AD162)*-1</f>
        <v>0</v>
      </c>
      <c r="AF283" s="12">
        <f>(AF162-AE162)*-1</f>
        <v>0</v>
      </c>
      <c r="AG283" s="12">
        <f>SUM(AC283:AF283)</f>
        <v>0</v>
      </c>
      <c r="AH283" s="12">
        <f>(AH162-AG162)*-1</f>
        <v>0</v>
      </c>
      <c r="AI283" s="12">
        <f>(AI162-AH162)*-1</f>
        <v>0</v>
      </c>
      <c r="AJ283" s="12">
        <f>(AJ162-AI162)*-1</f>
        <v>0</v>
      </c>
      <c r="AK283" s="12">
        <f>(AK162-AJ162)*-1</f>
        <v>0</v>
      </c>
      <c r="AL283" s="12">
        <f>SUM(AH283:AK283)</f>
        <v>0</v>
      </c>
      <c r="AM283" s="12">
        <f>(AM162-AL162)*-1</f>
        <v>0</v>
      </c>
      <c r="AN283" s="12">
        <f>(AN162-AM162)*-1</f>
        <v>0</v>
      </c>
      <c r="AO283" s="12">
        <f>(AO162-AN162)*-1</f>
        <v>0</v>
      </c>
      <c r="AP283" s="12">
        <f>(AP162-AO162)*-1</f>
        <v>0</v>
      </c>
      <c r="AQ283" s="12">
        <f>SUM(AM283:AP283)</f>
        <v>0</v>
      </c>
      <c r="AR283" s="12">
        <f>(AR162-AQ162)*-1</f>
        <v>0</v>
      </c>
      <c r="AS283" s="12">
        <f>(AS162-AR162)*-1</f>
        <v>0</v>
      </c>
      <c r="AT283" s="12">
        <f>(AT162-AS162)*-1</f>
        <v>0</v>
      </c>
      <c r="AU283" s="12">
        <f>(AU162-AT162)*-1</f>
        <v>0</v>
      </c>
      <c r="AV283" s="12">
        <f>SUM(AR283:AU283)</f>
        <v>0</v>
      </c>
      <c r="AW283" s="12">
        <f>(AW162-AV162)*-1</f>
        <v>0</v>
      </c>
      <c r="AX283" s="12">
        <f>(AX162-AW162)*-1</f>
        <v>0</v>
      </c>
      <c r="AY283" s="12">
        <f>(AY162-AX162)*-1</f>
        <v>0</v>
      </c>
      <c r="AZ283" s="12">
        <f>(AZ162-AY162)*-1</f>
        <v>0</v>
      </c>
      <c r="BA283" s="12">
        <f>SUM(AW283:AZ283)</f>
        <v>0</v>
      </c>
      <c r="BB283" s="12">
        <f>(BB162-BA162)*-1</f>
        <v>0</v>
      </c>
      <c r="BC283" s="12">
        <f>(BC162-BB162)*-1</f>
        <v>0</v>
      </c>
      <c r="BD283" s="12">
        <f>(BD162-BC162)*-1</f>
        <v>0</v>
      </c>
      <c r="BE283" s="12">
        <f>(BE162-BD162)*-1</f>
        <v>0</v>
      </c>
      <c r="BF283" s="12">
        <f>SUM(BB283:BE283)</f>
        <v>0</v>
      </c>
      <c r="BG283" s="12" t="n"/>
      <c r="BH283" s="12" t="n"/>
      <c r="BI283" s="12" t="n"/>
      <c r="BJ283" s="12" t="n"/>
      <c r="BK283" s="12" t="n"/>
      <c r="BL283" s="12" t="n"/>
      <c r="BM283" s="12" t="n"/>
      <c r="BN283" s="12" t="n"/>
      <c r="BO283" s="12" t="n"/>
      <c r="BP283" s="12" t="n"/>
      <c r="BQ283" s="12" t="n"/>
      <c r="BR283" s="12" t="n"/>
      <c r="BS283" s="12" t="n"/>
      <c r="BT283" s="12" t="n"/>
      <c r="BU283" s="12" t="n"/>
      <c r="BV283" s="12" t="n"/>
      <c r="BW283" s="12" t="n"/>
      <c r="BX283" s="12" t="n"/>
      <c r="BY283" s="12" t="n"/>
      <c r="BZ283" s="12" t="n"/>
      <c r="CA283" s="12" t="n"/>
      <c r="CB283" s="12" t="n"/>
      <c r="CC283" s="12" t="n"/>
      <c r="CD283" s="12" t="n"/>
      <c r="CE283" s="12" t="n"/>
      <c r="CF283" s="12" t="n"/>
      <c r="CG283" s="12" t="n"/>
      <c r="CH283" s="12" t="n"/>
      <c r="CI283" s="12" t="n"/>
      <c r="CJ283" s="12" t="n"/>
      <c r="CK283" s="12" t="n"/>
      <c r="CL283" s="12" t="n"/>
      <c r="CM283" s="12" t="n"/>
      <c r="CN283" s="12" t="n"/>
      <c r="CO283" s="12" t="n"/>
      <c r="CP283" s="12" t="n"/>
      <c r="CQ283" s="12" t="n"/>
      <c r="CR283" s="12" t="n"/>
      <c r="CS283" s="12" t="n"/>
      <c r="CT283" s="12" t="n"/>
      <c r="CU283" s="12" t="n"/>
      <c r="CV283" s="12" t="n"/>
      <c r="CW283" s="12" t="n"/>
      <c r="CX283" s="12" t="n"/>
      <c r="CY283" s="12" t="n"/>
      <c r="CZ283" s="12" t="n"/>
      <c r="DA283" s="12" t="n"/>
      <c r="DB283" s="12" t="n"/>
      <c r="DC283" s="12" t="n"/>
    </row>
    <row r="284">
      <c r="C284" s="10" t="inlineStr">
        <is>
          <t>Purchases of intangible assets</t>
        </is>
      </c>
      <c r="D284" s="12" t="n"/>
      <c r="E284" s="12" t="n"/>
      <c r="F284" s="12" t="n"/>
      <c r="G284" s="12" t="n"/>
      <c r="H284" s="12" t="n"/>
      <c r="I284" s="12" t="n"/>
      <c r="J284" s="12">
        <f>((J166-I166)*-1)+((J165-I165)*-1)</f>
        <v>0</v>
      </c>
      <c r="K284" s="12">
        <f>((K166-J166)*-1)+((K165-J165)*-1)</f>
        <v>0</v>
      </c>
      <c r="L284" s="12">
        <f>((L166-K166)*-1)+((L165-K165)*-1)</f>
        <v>0</v>
      </c>
      <c r="M284" s="12" t="n"/>
      <c r="N284" s="12">
        <f>((N166-M166)*-1)+((N165-M165)*-1)</f>
        <v>0</v>
      </c>
      <c r="O284" s="12">
        <f>((O166-N166)*-1)+((O165-N165)*-1)</f>
        <v>0</v>
      </c>
      <c r="P284" s="12">
        <f>((P166-O166)*-1)+((P165-O165)*-1)</f>
        <v>0</v>
      </c>
      <c r="Q284" s="12">
        <f>((Q166-P166)*-1)+((Q165-P165)*-1)</f>
        <v>0</v>
      </c>
      <c r="R284" s="12">
        <f>SUM(N284:Q284)</f>
        <v>0</v>
      </c>
      <c r="S284" s="12">
        <f>((S166-R166)*-1)+((S165-R165)*-1)</f>
        <v>0</v>
      </c>
      <c r="T284" s="12">
        <f>((T166-S166)*-1)+((T165-S165)*-1)</f>
        <v>0</v>
      </c>
      <c r="U284" s="12">
        <f>((U166-T166)*-1)+((U165-T165)*-1)</f>
        <v>0</v>
      </c>
      <c r="V284" s="12">
        <f>((V166-U166)*-1)+((V165-U165)*-1)</f>
        <v>0</v>
      </c>
      <c r="W284" s="12">
        <f>SUM(S284:V284)</f>
        <v>0</v>
      </c>
      <c r="X284" s="12">
        <f>((X166-W166)*-1)+((X165-W165)*-1)</f>
        <v>0</v>
      </c>
      <c r="Y284" s="12">
        <f>((Y166-X166)*-1)+((Y165-X165)*-1)</f>
        <v>0</v>
      </c>
      <c r="Z284" s="12">
        <f>((Z166-Y166)*-1)+((Z165-Y165)*-1)</f>
        <v>0</v>
      </c>
      <c r="AA284" s="12">
        <f>((AA166-Z166)*-1)+((AA165-Z165)*-1)</f>
        <v>0</v>
      </c>
      <c r="AB284" s="12">
        <f>SUM(X284:AA284)</f>
        <v>0</v>
      </c>
      <c r="AC284" s="12">
        <f>((AC166-AB166)*-1)+((AC165-AB165)*-1)</f>
        <v>0</v>
      </c>
      <c r="AD284" s="12">
        <f>((AD166-AC166)*-1)+((AD165-AC165)*-1)</f>
        <v>0</v>
      </c>
      <c r="AE284" s="12">
        <f>((AE166-AD166)*-1)+((AE165-AD165)*-1)</f>
        <v>0</v>
      </c>
      <c r="AF284" s="12">
        <f>((AF166-AE166)*-1)+((AF165-AE165)*-1)</f>
        <v>0</v>
      </c>
      <c r="AG284" s="12">
        <f>SUM(AC284:AF284)</f>
        <v>0</v>
      </c>
      <c r="AH284" s="12">
        <f>((AH166-AG166)*-1)+((AH165-AG165)*-1)</f>
        <v>0</v>
      </c>
      <c r="AI284" s="12">
        <f>((AI166-AH166)*-1)+((AI165-AH165)*-1)</f>
        <v>0</v>
      </c>
      <c r="AJ284" s="12">
        <f>((AJ166-AI166)*-1)+((AJ165-AI165)*-1)</f>
        <v>0</v>
      </c>
      <c r="AK284" s="12">
        <f>((AK166-AJ166)*-1)+((AK165-AJ165)*-1)</f>
        <v>0</v>
      </c>
      <c r="AL284" s="12">
        <f>SUM(AH284:AK284)</f>
        <v>0</v>
      </c>
      <c r="AM284" s="12">
        <f>((AM166-AL166)*-1)+((AM165-AL165)*-1)</f>
        <v>0</v>
      </c>
      <c r="AN284" s="12">
        <f>((AN166-AM166)*-1)+((AN165-AM165)*-1)</f>
        <v>0</v>
      </c>
      <c r="AO284" s="12">
        <f>((AO166-AN166)*-1)+((AO165-AN165)*-1)</f>
        <v>0</v>
      </c>
      <c r="AP284" s="12">
        <f>((AP166-AO166)*-1)+((AP165-AO165)*-1)</f>
        <v>0</v>
      </c>
      <c r="AQ284" s="12">
        <f>SUM(AM284:AP284)</f>
        <v>0</v>
      </c>
      <c r="AR284" s="12">
        <f>((AR166-AQ166)*-1)+((AR165-AQ165)*-1)</f>
        <v>0</v>
      </c>
      <c r="AS284" s="12">
        <f>((AS166-AR166)*-1)+((AS165-AR165)*-1)</f>
        <v>0</v>
      </c>
      <c r="AT284" s="12">
        <f>((AT166-AS166)*-1)+((AT165-AS165)*-1)</f>
        <v>0</v>
      </c>
      <c r="AU284" s="12">
        <f>((AU166-AT166)*-1)+((AU165-AT165)*-1)</f>
        <v>0</v>
      </c>
      <c r="AV284" s="12">
        <f>SUM(AR284:AU284)</f>
        <v>0</v>
      </c>
      <c r="AW284" s="12">
        <f>((AW166-AV166)*-1)+((AW165-AV165)*-1)</f>
        <v>0</v>
      </c>
      <c r="AX284" s="12">
        <f>((AX166-AW166)*-1)+((AX165-AW165)*-1)</f>
        <v>0</v>
      </c>
      <c r="AY284" s="12">
        <f>((AY166-AX166)*-1)+((AY165-AX165)*-1)</f>
        <v>0</v>
      </c>
      <c r="AZ284" s="12">
        <f>((AZ166-AY166)*-1)+((AZ165-AY165)*-1)</f>
        <v>0</v>
      </c>
      <c r="BA284" s="12">
        <f>SUM(AW284:AZ284)</f>
        <v>0</v>
      </c>
      <c r="BB284" s="12">
        <f>((BB166-BA166)*-1)+((BB165-BA165)*-1)</f>
        <v>0</v>
      </c>
      <c r="BC284" s="12">
        <f>((BC166-BB166)*-1)+((BC165-BB165)*-1)</f>
        <v>0</v>
      </c>
      <c r="BD284" s="12">
        <f>((BD166-BC166)*-1)+((BD165-BC165)*-1)</f>
        <v>0</v>
      </c>
      <c r="BE284" s="12">
        <f>((BE166-BD166)*-1)+((BE165-BD165)*-1)</f>
        <v>0</v>
      </c>
      <c r="BF284" s="12">
        <f>SUM(BB284:BE284)</f>
        <v>0</v>
      </c>
      <c r="BG284" s="12" t="n"/>
      <c r="BH284" s="12" t="n"/>
      <c r="BI284" s="12" t="n"/>
      <c r="BJ284" s="12" t="n"/>
      <c r="BK284" s="12" t="n"/>
      <c r="BL284" s="12" t="n"/>
      <c r="BM284" s="12" t="n"/>
      <c r="BN284" s="12" t="n"/>
      <c r="BO284" s="12" t="n"/>
      <c r="BP284" s="12" t="n"/>
      <c r="BQ284" s="12" t="n"/>
      <c r="BR284" s="12" t="n"/>
      <c r="BS284" s="12" t="n"/>
      <c r="BT284" s="12" t="n"/>
      <c r="BU284" s="12" t="n"/>
      <c r="BV284" s="12" t="n"/>
      <c r="BW284" s="12" t="n"/>
      <c r="BX284" s="12" t="n"/>
      <c r="BY284" s="12" t="n"/>
      <c r="BZ284" s="12" t="n"/>
      <c r="CA284" s="12" t="n"/>
      <c r="CB284" s="12" t="n"/>
      <c r="CC284" s="12" t="n"/>
      <c r="CD284" s="12" t="n"/>
      <c r="CE284" s="12" t="n"/>
      <c r="CF284" s="12" t="n"/>
      <c r="CG284" s="12" t="n"/>
      <c r="CH284" s="12" t="n"/>
      <c r="CI284" s="12" t="n"/>
      <c r="CJ284" s="12" t="n"/>
      <c r="CK284" s="12" t="n"/>
      <c r="CL284" s="12" t="n"/>
      <c r="CM284" s="12" t="n"/>
      <c r="CN284" s="12" t="n"/>
      <c r="CO284" s="12" t="n"/>
      <c r="CP284" s="12" t="n"/>
      <c r="CQ284" s="12" t="n"/>
      <c r="CR284" s="12" t="n"/>
      <c r="CS284" s="12" t="n"/>
      <c r="CT284" s="12" t="n"/>
      <c r="CU284" s="12" t="n"/>
      <c r="CV284" s="12" t="n"/>
      <c r="CW284" s="12" t="n"/>
      <c r="CX284" s="12" t="n"/>
      <c r="CY284" s="12" t="n"/>
      <c r="CZ284" s="12" t="n"/>
      <c r="DA284" s="12" t="n"/>
      <c r="DB284" s="12" t="n"/>
      <c r="DC284" s="12" t="n"/>
    </row>
    <row r="285">
      <c r="C285" s="71" t="inlineStr">
        <is>
          <t>Purchases/Proceeds from other long-term assets</t>
        </is>
      </c>
      <c r="D285" s="12" t="n"/>
      <c r="E285" s="12" t="n"/>
      <c r="F285" s="12" t="n"/>
      <c r="G285" s="12" t="n"/>
      <c r="H285" s="12" t="n"/>
      <c r="I285" s="12" t="n"/>
      <c r="J285" s="12">
        <f>((J175-I175)*-1)+(J226-I226)</f>
        <v>-1105</v>
      </c>
      <c r="K285" s="12">
        <f>((K175-J175)*-1)+(K226-J226)</f>
        <v>-1889</v>
      </c>
      <c r="L285" s="12">
        <f>((L175-K175)*-1)+(L226-K226)</f>
        <v>-2554</v>
      </c>
      <c r="M285" s="12" t="n"/>
      <c r="N285" s="12">
        <f>((N175-M175)*-1)+(N226-M226)</f>
        <v>-528</v>
      </c>
      <c r="O285" s="12">
        <f>((O175-N175)*-1)+(O226-N226)</f>
        <v>-1878</v>
      </c>
      <c r="P285" s="12">
        <f>((P175-O175)*-1)+(P226-O226)</f>
        <v>-2610</v>
      </c>
      <c r="Q285" s="12">
        <f>((Q175-P175)*-1)+(Q226-P226)</f>
        <v>-7399</v>
      </c>
      <c r="R285" s="12">
        <f>SUM(N285:Q285)</f>
        <v>-12415</v>
      </c>
      <c r="S285" s="12">
        <f>((S175-R175)*-1)+(S226-R226)</f>
        <v>450</v>
      </c>
      <c r="T285" s="12">
        <f>((T175-S175)*-1)+(T226-S226)</f>
        <v>835</v>
      </c>
      <c r="U285" s="12">
        <f>((U175-T175)*-1)+(U226-T226)</f>
        <v>-794</v>
      </c>
      <c r="V285" s="12">
        <f>((V175-U175)*-1)+(V226-U226)</f>
        <v>3897</v>
      </c>
      <c r="W285" s="12">
        <f>SUM(S285:V285)</f>
        <v>4388</v>
      </c>
      <c r="X285" s="12">
        <f>((X175-W175)*-1)+(X226-W226)</f>
        <v>48</v>
      </c>
      <c r="Y285" s="12">
        <f>((Y175-X175)*-1)+(Y226-X226)</f>
        <v>-961</v>
      </c>
      <c r="Z285" s="12">
        <f>((Z175-Y175)*-1)+(Z226-Y226)</f>
        <v>-547</v>
      </c>
      <c r="AA285" s="12">
        <f>((AA175-Z175)*-1)+(AA226-Z226)</f>
        <v>-702</v>
      </c>
      <c r="AB285" s="12">
        <f>SUM(X285:AA285)</f>
        <v>-2162</v>
      </c>
      <c r="AC285" s="12">
        <f>((AC175-AB175)*-1)+(AC226-AB226)</f>
        <v>-1268</v>
      </c>
      <c r="AD285" s="12">
        <f>((AD175-AC175)*-1)+(AD226-AC226)</f>
        <v>1073</v>
      </c>
      <c r="AE285" s="12">
        <f>((AE175-AD175)*-1)+(AE226-AD226)</f>
        <v>-1349</v>
      </c>
      <c r="AF285" s="12">
        <f>((AF175-AE175)*-1)+(AF226-AE226)</f>
        <v>1288</v>
      </c>
      <c r="AG285" s="12">
        <f>SUM(AC285:AF285)</f>
        <v>-256</v>
      </c>
      <c r="AH285" s="12">
        <f>((AH175-AG175)*-1)+(AH226-AG226)</f>
        <v>-1296</v>
      </c>
      <c r="AI285" s="12">
        <f>((AI175-AH175)*-1)+(AI226-AH226)</f>
        <v>2329</v>
      </c>
      <c r="AJ285" s="12">
        <f>((AJ175-AI175)*-1)+(AJ226-AI226)</f>
        <v>0</v>
      </c>
      <c r="AK285" s="12">
        <f>((AK175-AJ175)*-1)+(AK226-AJ226)</f>
        <v>0</v>
      </c>
      <c r="AL285" s="12">
        <f>SUM(AH285:AK285)</f>
        <v>1033</v>
      </c>
      <c r="AM285" s="12">
        <f>((AM175-AL175)*-1)+(AM226-AL226)</f>
        <v>0</v>
      </c>
      <c r="AN285" s="12">
        <f>((AN175-AM175)*-1)+(AN226-AM226)</f>
        <v>0</v>
      </c>
      <c r="AO285" s="12">
        <f>((AO175-AN175)*-1)+(AO226-AN226)</f>
        <v>0</v>
      </c>
      <c r="AP285" s="12">
        <f>((AP175-AO175)*-1)+(AP226-AO226)</f>
        <v>0</v>
      </c>
      <c r="AQ285" s="12">
        <f>SUM(AM285:AP285)</f>
        <v>0</v>
      </c>
      <c r="AR285" s="12">
        <f>((AR175-AQ175)*-1)+(AR226-AQ226)</f>
        <v>0</v>
      </c>
      <c r="AS285" s="12">
        <f>((AS175-AR175)*-1)+(AS226-AR226)</f>
        <v>0</v>
      </c>
      <c r="AT285" s="12">
        <f>((AT175-AS175)*-1)+(AT226-AS226)</f>
        <v>0</v>
      </c>
      <c r="AU285" s="12">
        <f>((AU175-AT175)*-1)+(AU226-AT226)</f>
        <v>0</v>
      </c>
      <c r="AV285" s="12">
        <f>SUM(AR285:AU285)</f>
        <v>0</v>
      </c>
      <c r="AW285" s="12">
        <f>((AW175-AV175)*-1)+(AW226-AV226)</f>
        <v>0</v>
      </c>
      <c r="AX285" s="12">
        <f>((AX175-AW175)*-1)+(AX226-AW226)</f>
        <v>0</v>
      </c>
      <c r="AY285" s="12">
        <f>((AY175-AX175)*-1)+(AY226-AX226)</f>
        <v>0</v>
      </c>
      <c r="AZ285" s="12">
        <f>((AZ175-AY175)*-1)+(AZ226-AY226)</f>
        <v>0</v>
      </c>
      <c r="BA285" s="12">
        <f>SUM(AW285:AZ285)</f>
        <v>0</v>
      </c>
      <c r="BB285" s="12">
        <f>((BB175-BA175)*-1)+(BB226-BA226)</f>
        <v>0</v>
      </c>
      <c r="BC285" s="12">
        <f>((BC175-BB175)*-1)+(BC226-BB226)</f>
        <v>0</v>
      </c>
      <c r="BD285" s="12">
        <f>((BD175-BC175)*-1)+(BD226-BC226)</f>
        <v>0</v>
      </c>
      <c r="BE285" s="12">
        <f>((BE175-BD175)*-1)+(BE226-BD226)</f>
        <v>0</v>
      </c>
      <c r="BF285" s="12">
        <f>SUM(BB285:BE285)</f>
        <v>0</v>
      </c>
      <c r="BG285" s="12" t="n"/>
      <c r="BH285" s="12" t="n"/>
      <c r="BI285" s="12" t="n"/>
      <c r="BJ285" s="12" t="n"/>
      <c r="BK285" s="12" t="n"/>
      <c r="BL285" s="12" t="n"/>
      <c r="BM285" s="12" t="n"/>
      <c r="BN285" s="12" t="n"/>
      <c r="BO285" s="12" t="n"/>
      <c r="BP285" s="12" t="n"/>
      <c r="BQ285" s="12" t="n"/>
      <c r="BR285" s="12" t="n"/>
      <c r="BS285" s="12" t="n"/>
      <c r="BT285" s="12" t="n"/>
      <c r="BU285" s="12" t="n"/>
      <c r="BV285" s="12" t="n"/>
      <c r="BW285" s="12" t="n"/>
      <c r="BX285" s="12" t="n"/>
      <c r="BY285" s="12" t="n"/>
      <c r="BZ285" s="12" t="n"/>
      <c r="CA285" s="12" t="n"/>
      <c r="CB285" s="12" t="n"/>
      <c r="CC285" s="12" t="n"/>
      <c r="CD285" s="12" t="n"/>
      <c r="CE285" s="12" t="n"/>
      <c r="CF285" s="12" t="n"/>
      <c r="CG285" s="12" t="n"/>
      <c r="CH285" s="12" t="n"/>
      <c r="CI285" s="12" t="n"/>
      <c r="CJ285" s="12" t="n"/>
      <c r="CK285" s="12" t="n"/>
      <c r="CL285" s="12" t="n"/>
      <c r="CM285" s="12" t="n"/>
      <c r="CN285" s="12" t="n"/>
      <c r="CO285" s="12" t="n"/>
      <c r="CP285" s="12" t="n"/>
      <c r="CQ285" s="12" t="n"/>
      <c r="CR285" s="12" t="n"/>
      <c r="CS285" s="12" t="n"/>
      <c r="CT285" s="12" t="n"/>
      <c r="CU285" s="12" t="n"/>
      <c r="CV285" s="12" t="n"/>
      <c r="CW285" s="12" t="n"/>
      <c r="CX285" s="12" t="n"/>
      <c r="CY285" s="12" t="n"/>
    </row>
    <row r="286">
      <c r="C286" s="14" t="inlineStr">
        <is>
          <t>Cash from investing</t>
        </is>
      </c>
      <c r="D286" s="12" t="n"/>
      <c r="E286" s="12" t="n"/>
      <c r="F286" s="12" t="n"/>
      <c r="G286" s="12" t="n"/>
      <c r="H286" s="12" t="n"/>
      <c r="I286" s="12" t="n"/>
      <c r="J286" s="12">
        <f>SUM(J281,J282,J284,J285,J283)</f>
        <v>-4428</v>
      </c>
      <c r="K286" s="12">
        <f>SUM(K281,K282,K284,K285,K283)</f>
        <v>-2662</v>
      </c>
      <c r="L286" s="12">
        <f>SUM(L281,L282,L284,L285,L283)</f>
        <v>-5972</v>
      </c>
      <c r="M286" s="12" t="n"/>
      <c r="N286" s="12">
        <f>SUM(N281,N282,N284,N285,N283)</f>
        <v>-5632</v>
      </c>
      <c r="O286" s="12">
        <f>SUM(O281,O282,O284,O285,O283)</f>
        <v>-2715</v>
      </c>
      <c r="P286" s="12">
        <f>SUM(P281,P282,P284,P285,P283)</f>
        <v>-2195</v>
      </c>
      <c r="Q286" s="12">
        <f>SUM(Q281,Q282,Q284,Q285,Q283)</f>
        <v>-14053</v>
      </c>
      <c r="R286" s="12">
        <f>SUM(R281,R282,R284,R285)</f>
        <v>-24595</v>
      </c>
      <c r="S286" s="12">
        <f>SUM(S281,S282,S284,S285,S283)</f>
        <v>-5125</v>
      </c>
      <c r="T286" s="12">
        <f>SUM(T281,T282,T284,T285,T283)</f>
        <v>-4120</v>
      </c>
      <c r="U286" s="12">
        <f>SUM(U281,U282,U284,U285,U283)</f>
        <v>-4335</v>
      </c>
      <c r="V286" s="12">
        <f>SUM(V281,V282,V284,V285,V283)</f>
        <v>-12921</v>
      </c>
      <c r="W286" s="12">
        <f>SUM(W281,W282,W284,W285)</f>
        <v>-26501</v>
      </c>
      <c r="X286" s="12">
        <f>SUM(X281,X282,X284,X285,X283)</f>
        <v>-3547</v>
      </c>
      <c r="Y286" s="12">
        <f>SUM(Y281,Y282,Y284,Y285,Y283)</f>
        <v>-91308</v>
      </c>
      <c r="Z286" s="12">
        <f>SUM(Z281,Z282,Z284,Z285,Z283)</f>
        <v>-8065</v>
      </c>
      <c r="AA286" s="12">
        <f>SUM(AA281,AA282,AA284,AA285,AA283)</f>
        <v>-2062</v>
      </c>
      <c r="AB286" s="12">
        <f>SUM(AB281,AB282,AB284,AB285)</f>
        <v>-104982</v>
      </c>
      <c r="AC286" s="12">
        <f>SUM(AC281,AC282,AC284,AC285,AC283)</f>
        <v>-5298</v>
      </c>
      <c r="AD286" s="12">
        <f>SUM(AD281,AD282,AD284,AD285,AD283)</f>
        <v>-7738</v>
      </c>
      <c r="AE286" s="12">
        <f>SUM(AE281,AE282,AE284,AE285,AE283)</f>
        <v>-10856</v>
      </c>
      <c r="AF286" s="12">
        <f>SUM(AF281,AF282,AF284,AF285,AF283)</f>
        <v>-7412</v>
      </c>
      <c r="AG286" s="12">
        <f>SUM(AG281,AG282,AG284,AG285)</f>
        <v>-31304</v>
      </c>
      <c r="AH286" s="12">
        <f>SUM(AH281,AH282,AH284,AH285,AH283)</f>
        <v>-7475</v>
      </c>
      <c r="AI286" s="12">
        <f>SUM(AI281,AI282,AI284,AI285,AI283)</f>
        <v>-3877</v>
      </c>
      <c r="AJ286" s="12">
        <f>SUM(AJ281,AJ282,AJ284,AJ285,AJ283)</f>
        <v>-7244.08941146571</v>
      </c>
      <c r="AK286" s="12">
        <f>SUM(AK281,AK282,AK284,AK285,AK283)</f>
        <v>-6990.4859811818</v>
      </c>
      <c r="AL286" s="12">
        <f>SUM(AL281,AL282,AL284,AL285)</f>
        <v>-25586.5753926475</v>
      </c>
      <c r="AM286" s="12">
        <f>SUM(AM281,AM282,AM284,AM285,AM283)</f>
        <v>-7230.84020345356</v>
      </c>
      <c r="AN286" s="12">
        <f>SUM(AN281,AN282,AN284,AN285,AN283)</f>
        <v>-9853.41901247471</v>
      </c>
      <c r="AO286" s="12">
        <f>SUM(AO281,AO282,AO284,AO285,AO283)</f>
        <v>-7555.73306129325</v>
      </c>
      <c r="AP286" s="12">
        <f>SUM(AP281,AP282,AP284,AP285,AP283)</f>
        <v>-7291.21950909707</v>
      </c>
      <c r="AQ286" s="12">
        <f>SUM(AQ281,AQ282,AQ284,AQ285)</f>
        <v>-31931.2117863186</v>
      </c>
      <c r="AR286" s="12">
        <f>SUM(AR281,AR282,AR284,AR285,AR283)</f>
        <v>-7505.75966598844</v>
      </c>
      <c r="AS286" s="12">
        <f>SUM(AS281,AS282,AS284,AS285,AS283)</f>
        <v>-10228.0499796681</v>
      </c>
      <c r="AT286" s="12">
        <f>SUM(AT281,AT282,AT284,AT285,AT283)</f>
        <v>-7843.00508139344</v>
      </c>
      <c r="AU286" s="12">
        <f>SUM(AU281,AU282,AU284,AU285,AU283)</f>
        <v>-7568.43461719853</v>
      </c>
      <c r="AV286" s="12">
        <f>SUM(AV281,AV282,AV284,AV285)</f>
        <v>-33145.2493442485</v>
      </c>
      <c r="AW286" s="12">
        <f>SUM(AW281,AW282,AW284,AW285,AW283)</f>
        <v>-7753.60287910248</v>
      </c>
      <c r="AX286" s="12">
        <f>SUM(AX281,AX282,AX284,AX285,AX283)</f>
        <v>-10565.7843175178</v>
      </c>
      <c r="AY286" s="12">
        <f>SUM(AY281,AY282,AY284,AY285,AY283)</f>
        <v>-8101.98427421926</v>
      </c>
      <c r="AZ286" s="12">
        <f>SUM(AZ281,AZ282,AZ284,AZ285,AZ283)</f>
        <v>-7818.34738249395</v>
      </c>
      <c r="BA286" s="12">
        <f>SUM(BA281,BA282,BA284,BA285)</f>
        <v>-34239.7188533335</v>
      </c>
      <c r="BB286" s="12">
        <f>SUM(BB281,BB282,BB284,BB285,BB283)</f>
        <v>-7970.86196073495</v>
      </c>
      <c r="BC286" s="12">
        <f>SUM(BC281,BC282,BC284,BC285,BC283)</f>
        <v>-10861.8418579082</v>
      </c>
      <c r="BD286" s="12">
        <f>SUM(BD281,BD282,BD284,BD285,BD283)</f>
        <v>-8329.00514313193</v>
      </c>
      <c r="BE286" s="12">
        <f>SUM(BE281,BE282,BE284,BE285,BE283)</f>
        <v>-8037.42063123904</v>
      </c>
      <c r="BF286" s="12">
        <f>SUM(BF281,BF282,BF284,BF285)</f>
        <v>-35199.1295930141</v>
      </c>
      <c r="BG286" s="12" t="n"/>
      <c r="BH286" s="12" t="n"/>
      <c r="BI286" s="12" t="n"/>
      <c r="BJ286" s="12" t="n"/>
      <c r="BK286" s="12" t="n"/>
      <c r="BL286" s="12" t="n"/>
      <c r="BM286" s="12" t="n"/>
      <c r="BN286" s="12" t="n"/>
      <c r="BO286" s="12" t="n"/>
      <c r="BP286" s="12" t="n"/>
      <c r="BQ286" s="12" t="n"/>
      <c r="BR286" s="12" t="n"/>
      <c r="BS286" s="12" t="n"/>
      <c r="BT286" s="12" t="n"/>
      <c r="BU286" s="12" t="n"/>
      <c r="BV286" s="12" t="n"/>
      <c r="BW286" s="12" t="n"/>
      <c r="BX286" s="12" t="n"/>
      <c r="BY286" s="12" t="n"/>
      <c r="BZ286" s="12" t="n"/>
      <c r="CA286" s="12" t="n"/>
      <c r="CB286" s="12" t="n"/>
      <c r="CC286" s="12" t="n"/>
      <c r="CD286" s="12" t="n"/>
      <c r="CE286" s="12" t="n"/>
      <c r="CF286" s="12" t="n"/>
      <c r="CG286" s="12" t="n"/>
      <c r="CH286" s="12" t="n"/>
      <c r="CI286" s="12" t="n"/>
      <c r="CJ286" s="12" t="n"/>
      <c r="CK286" s="12" t="n"/>
      <c r="CL286" s="12" t="n"/>
      <c r="CM286" s="12" t="n"/>
      <c r="CN286" s="12" t="n"/>
      <c r="CO286" s="12" t="n"/>
      <c r="CP286" s="12" t="n"/>
      <c r="CQ286" s="12" t="n"/>
      <c r="CR286" s="12" t="n"/>
      <c r="CS286" s="12" t="n"/>
      <c r="CT286" s="12" t="n"/>
      <c r="CU286" s="12" t="n"/>
      <c r="CV286" s="12" t="n"/>
      <c r="CW286" s="12" t="n"/>
      <c r="CX286" s="12" t="n"/>
      <c r="CY286" s="12" t="n"/>
    </row>
    <row r="287">
      <c r="C287" s="14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  <c r="Y287" s="12" t="n"/>
      <c r="Z287" s="12" t="n"/>
      <c r="AA287" s="12" t="n"/>
      <c r="AB287" s="12" t="n"/>
      <c r="AC287" s="12" t="n"/>
      <c r="AD287" s="12" t="n"/>
      <c r="AE287" s="12" t="n"/>
      <c r="AF287" s="12" t="n"/>
      <c r="AG287" s="12" t="n"/>
      <c r="AH287" s="12" t="n"/>
      <c r="AI287" s="12" t="n"/>
      <c r="AJ287" s="12" t="n"/>
      <c r="AK287" s="12" t="n"/>
      <c r="AL287" s="12" t="n"/>
      <c r="AM287" s="12" t="n"/>
      <c r="AN287" s="12" t="n"/>
      <c r="AO287" s="12" t="n"/>
      <c r="AP287" s="12" t="n"/>
      <c r="AQ287" s="12" t="n"/>
      <c r="AR287" s="12" t="n"/>
      <c r="AS287" s="12" t="n"/>
      <c r="AT287" s="12" t="n"/>
      <c r="AU287" s="12" t="n"/>
      <c r="AV287" s="12" t="n"/>
      <c r="AW287" s="12" t="n"/>
      <c r="AX287" s="12" t="n"/>
      <c r="AY287" s="12" t="n"/>
      <c r="AZ287" s="12" t="n"/>
      <c r="BA287" s="12" t="n"/>
      <c r="BB287" s="12" t="n"/>
      <c r="BC287" s="12" t="n"/>
      <c r="BD287" s="12" t="n"/>
      <c r="BE287" s="12" t="n"/>
      <c r="BF287" s="12" t="n"/>
      <c r="BG287" s="12" t="n"/>
      <c r="BH287" s="12" t="n"/>
      <c r="BI287" s="12" t="n"/>
      <c r="BJ287" s="12" t="n"/>
      <c r="BK287" s="12" t="n"/>
      <c r="BL287" s="12" t="n"/>
      <c r="BM287" s="12" t="n"/>
      <c r="BN287" s="12" t="n"/>
      <c r="BO287" s="12" t="n"/>
      <c r="BP287" s="12" t="n"/>
      <c r="BQ287" s="12" t="n"/>
      <c r="BR287" s="12" t="n"/>
      <c r="BS287" s="12" t="n"/>
      <c r="BT287" s="12" t="n"/>
      <c r="BU287" s="12" t="n"/>
      <c r="BV287" s="12" t="n"/>
      <c r="BW287" s="12" t="n"/>
      <c r="BX287" s="12" t="n"/>
      <c r="BY287" s="12" t="n"/>
      <c r="BZ287" s="12" t="n"/>
      <c r="CA287" s="12" t="n"/>
      <c r="CB287" s="12" t="n"/>
      <c r="CC287" s="12" t="n"/>
      <c r="CD287" s="12" t="n"/>
      <c r="CE287" s="12" t="n"/>
      <c r="CF287" s="12" t="n"/>
      <c r="CG287" s="12" t="n"/>
      <c r="CH287" s="12" t="n"/>
      <c r="CI287" s="12" t="n"/>
      <c r="CJ287" s="12" t="n"/>
      <c r="CK287" s="12" t="n"/>
      <c r="CL287" s="12" t="n"/>
      <c r="CM287" s="12" t="n"/>
      <c r="CN287" s="12" t="n"/>
      <c r="CO287" s="12" t="n"/>
      <c r="CP287" s="12" t="n"/>
      <c r="CQ287" s="12" t="n"/>
      <c r="CR287" s="12" t="n"/>
      <c r="CS287" s="12" t="n"/>
      <c r="CT287" s="12" t="n"/>
      <c r="CU287" s="12" t="n"/>
      <c r="CV287" s="12" t="n"/>
      <c r="CW287" s="12" t="n"/>
      <c r="CX287" s="12" t="n"/>
      <c r="CY287" s="12" t="n"/>
    </row>
    <row r="288">
      <c r="C288" s="14" t="inlineStr">
        <is>
          <t>Convertible preferred stock</t>
        </is>
      </c>
      <c r="D288" s="12" t="n"/>
      <c r="E288" s="12" t="n"/>
      <c r="F288" s="12" t="n"/>
      <c r="G288" s="12" t="n"/>
      <c r="H288" s="12" t="n"/>
      <c r="I288" s="12" t="n"/>
      <c r="J288" s="12">
        <f>J239-I239</f>
        <v>0</v>
      </c>
      <c r="K288" s="12">
        <f>K239-J239</f>
        <v>0</v>
      </c>
      <c r="L288" s="12">
        <f>L239-K239</f>
        <v>0</v>
      </c>
      <c r="M288" s="12" t="n"/>
      <c r="N288" s="12">
        <f>N239-M239</f>
        <v>0</v>
      </c>
      <c r="O288" s="12">
        <f>O239-N239</f>
        <v>0</v>
      </c>
      <c r="P288" s="12">
        <f>P239-O239</f>
        <v>0</v>
      </c>
      <c r="Q288" s="12">
        <f>Q239-P239</f>
        <v>0</v>
      </c>
      <c r="R288" s="12">
        <f>SUM(N288:Q288)</f>
        <v>0</v>
      </c>
      <c r="S288" s="12">
        <f>S239-R239</f>
        <v>0</v>
      </c>
      <c r="T288" s="12">
        <f>T239-S239</f>
        <v>0</v>
      </c>
      <c r="U288" s="12">
        <f>U239-T239</f>
        <v>0</v>
      </c>
      <c r="V288" s="12">
        <f>V239-U239</f>
        <v>0</v>
      </c>
      <c r="W288" s="12">
        <f>SUM(S288:V288)</f>
        <v>0</v>
      </c>
      <c r="X288" s="12">
        <f>X239-W239</f>
        <v>0</v>
      </c>
      <c r="Y288" s="12">
        <f>Y239-X239</f>
        <v>0</v>
      </c>
      <c r="Z288" s="12">
        <f>Z239-Y239</f>
        <v>0</v>
      </c>
      <c r="AA288" s="12">
        <f>AA239-Z239</f>
        <v>0</v>
      </c>
      <c r="AB288" s="12">
        <f>SUM(X288:AA288)</f>
        <v>0</v>
      </c>
      <c r="AC288" s="12">
        <f>AC239-AB239</f>
        <v>0</v>
      </c>
      <c r="AD288" s="12">
        <f>AD239-AC239</f>
        <v>0</v>
      </c>
      <c r="AE288" s="12">
        <f>AE239-AD239</f>
        <v>0</v>
      </c>
      <c r="AF288" s="12">
        <f>AF239-AE239</f>
        <v>0</v>
      </c>
      <c r="AG288" s="12">
        <f>SUM(AC288:AF288)</f>
        <v>0</v>
      </c>
      <c r="AH288" s="12">
        <f>AH239-AG239</f>
        <v>0</v>
      </c>
      <c r="AI288" s="12">
        <f>AI239-AH239</f>
        <v>0</v>
      </c>
      <c r="AJ288" s="12">
        <f>AJ239-AI239</f>
        <v>0</v>
      </c>
      <c r="AK288" s="12">
        <f>AK239-AJ239</f>
        <v>0</v>
      </c>
      <c r="AL288" s="12">
        <f>SUM(AH288:AK288)</f>
        <v>0</v>
      </c>
      <c r="AM288" s="12">
        <f>AM239-AL239</f>
        <v>0</v>
      </c>
      <c r="AN288" s="12">
        <f>AN239-AM239</f>
        <v>0</v>
      </c>
      <c r="AO288" s="12">
        <f>AO239-AN239</f>
        <v>0</v>
      </c>
      <c r="AP288" s="12">
        <f>AP239-AO239</f>
        <v>0</v>
      </c>
      <c r="AQ288" s="12">
        <f>SUM(AM288:AP288)</f>
        <v>0</v>
      </c>
      <c r="AR288" s="12">
        <f>AR239-AQ239</f>
        <v>0</v>
      </c>
      <c r="AS288" s="12">
        <f>AS239-AR239</f>
        <v>0</v>
      </c>
      <c r="AT288" s="12">
        <f>AT239-AS239</f>
        <v>0</v>
      </c>
      <c r="AU288" s="12">
        <f>AU239-AT239</f>
        <v>0</v>
      </c>
      <c r="AV288" s="12">
        <f>SUM(AR288:AU288)</f>
        <v>0</v>
      </c>
      <c r="AW288" s="12">
        <f>AW239-AV239</f>
        <v>0</v>
      </c>
      <c r="AX288" s="12">
        <f>AX239-AW239</f>
        <v>0</v>
      </c>
      <c r="AY288" s="12">
        <f>AY239-AX239</f>
        <v>0</v>
      </c>
      <c r="AZ288" s="12">
        <f>AZ239-AY239</f>
        <v>0</v>
      </c>
      <c r="BA288" s="12">
        <f>SUM(AW288:AZ288)</f>
        <v>0</v>
      </c>
      <c r="BB288" s="12">
        <f>BB239-BA239</f>
        <v>0</v>
      </c>
      <c r="BC288" s="12">
        <f>BC239-BB239</f>
        <v>0</v>
      </c>
      <c r="BD288" s="12">
        <f>BD239-BC239</f>
        <v>0</v>
      </c>
      <c r="BE288" s="12">
        <f>BE239-BD239</f>
        <v>0</v>
      </c>
      <c r="BF288" s="12">
        <f>SUM(BB288:BE288)</f>
        <v>0</v>
      </c>
      <c r="BG288" s="12" t="n"/>
      <c r="BH288" s="12" t="n"/>
      <c r="BI288" s="12" t="n"/>
      <c r="BJ288" s="12" t="n"/>
      <c r="BK288" s="12" t="n"/>
      <c r="BL288" s="12" t="n"/>
      <c r="BM288" s="12" t="n"/>
      <c r="BN288" s="12" t="n"/>
      <c r="BO288" s="12" t="n"/>
      <c r="BP288" s="12" t="n"/>
      <c r="BQ288" s="12" t="n"/>
      <c r="BR288" s="12" t="n"/>
      <c r="BS288" s="12" t="n"/>
      <c r="BT288" s="12" t="n"/>
      <c r="BU288" s="12" t="n"/>
      <c r="BV288" s="12" t="n"/>
      <c r="BW288" s="12" t="n"/>
      <c r="BX288" s="12" t="n"/>
      <c r="BY288" s="12" t="n"/>
      <c r="BZ288" s="12" t="n"/>
      <c r="CA288" s="12" t="n"/>
      <c r="CB288" s="12" t="n"/>
      <c r="CC288" s="12" t="n"/>
      <c r="CD288" s="12" t="n"/>
      <c r="CE288" s="12" t="n"/>
      <c r="CF288" s="12" t="n"/>
      <c r="CG288" s="12" t="n"/>
      <c r="CH288" s="12" t="n"/>
      <c r="CI288" s="12" t="n"/>
      <c r="CJ288" s="12" t="n"/>
      <c r="CK288" s="12" t="n"/>
      <c r="CL288" s="12" t="n"/>
      <c r="CM288" s="12" t="n"/>
      <c r="CN288" s="12" t="n"/>
      <c r="CO288" s="12" t="n"/>
      <c r="CP288" s="12" t="n"/>
      <c r="CQ288" s="12" t="n"/>
      <c r="CR288" s="12" t="n"/>
      <c r="CS288" s="12" t="n"/>
      <c r="CT288" s="12" t="n"/>
      <c r="CU288" s="12" t="n"/>
      <c r="CV288" s="12" t="n"/>
      <c r="CW288" s="12" t="n"/>
      <c r="CX288" s="12" t="n"/>
      <c r="CY288" s="12" t="n"/>
    </row>
    <row r="289">
      <c r="C289" s="14" t="inlineStr">
        <is>
          <t>Common stock and APIC</t>
        </is>
      </c>
      <c r="D289" s="12" t="n"/>
      <c r="E289" s="12" t="n"/>
      <c r="F289" s="12" t="n"/>
      <c r="G289" s="12" t="n"/>
      <c r="H289" s="12" t="n"/>
      <c r="I289" s="12" t="n"/>
      <c r="J289" s="12">
        <f>J240-I240</f>
        <v>122</v>
      </c>
      <c r="K289" s="12">
        <f>K240-J240</f>
        <v>98</v>
      </c>
      <c r="L289" s="12">
        <f>L240-K240</f>
        <v>-358</v>
      </c>
      <c r="M289" s="12" t="n"/>
      <c r="N289" s="12">
        <f>N240-M240</f>
        <v>133</v>
      </c>
      <c r="O289" s="12">
        <f>O240-N240</f>
        <v>139</v>
      </c>
      <c r="P289" s="12">
        <f>P240-O240</f>
        <v>88</v>
      </c>
      <c r="Q289" s="12">
        <f>Q240-P240</f>
        <v>-354</v>
      </c>
      <c r="R289" s="12">
        <f>SUM(N289:Q289)</f>
        <v>6</v>
      </c>
      <c r="S289" s="12">
        <f>S240-R240</f>
        <v>152</v>
      </c>
      <c r="T289" s="12">
        <f>T240-S240</f>
        <v>125</v>
      </c>
      <c r="U289" s="12">
        <f>U240-T240</f>
        <v>136</v>
      </c>
      <c r="V289" s="12">
        <f>V240-U240</f>
        <v>1616</v>
      </c>
      <c r="W289" s="12">
        <f>SUM(S289:V289)</f>
        <v>2029</v>
      </c>
      <c r="X289" s="12">
        <f>X240-W240</f>
        <v>190</v>
      </c>
      <c r="Y289" s="12">
        <f>Y240-X240</f>
        <v>28810</v>
      </c>
      <c r="Z289" s="12">
        <f>Z240-Y240</f>
        <v>155</v>
      </c>
      <c r="AA289" s="12">
        <f>AA240-Z240</f>
        <v>-698</v>
      </c>
      <c r="AB289" s="12">
        <f>SUM(X289:AA289)</f>
        <v>28457</v>
      </c>
      <c r="AC289" s="12">
        <f>AC240-AB240</f>
        <v>188</v>
      </c>
      <c r="AD289" s="12">
        <f>AD240-AC240</f>
        <v>203</v>
      </c>
      <c r="AE289" s="12">
        <f>AE240-AD240</f>
        <v>179</v>
      </c>
      <c r="AF289" s="12">
        <f>AF240-AE240</f>
        <v>-658</v>
      </c>
      <c r="AG289" s="12">
        <f>SUM(AC289:AF289)</f>
        <v>-88</v>
      </c>
      <c r="AH289" s="12">
        <f>AH240-AG240</f>
        <v>276</v>
      </c>
      <c r="AI289" s="12">
        <f>AI240-AH240</f>
        <v>210</v>
      </c>
      <c r="AJ289" s="12">
        <f>AJ240-AI240</f>
        <v>0</v>
      </c>
      <c r="AK289" s="12">
        <f>AK240-AJ240</f>
        <v>0</v>
      </c>
      <c r="AL289" s="12">
        <f>SUM(AH289:AK289)</f>
        <v>486</v>
      </c>
      <c r="AM289" s="12">
        <f>AM240-AL240</f>
        <v>0</v>
      </c>
      <c r="AN289" s="12">
        <f>AN240-AM240</f>
        <v>0</v>
      </c>
      <c r="AO289" s="12">
        <f>AO240-AN240</f>
        <v>0</v>
      </c>
      <c r="AP289" s="12">
        <f>AP240-AO240</f>
        <v>0</v>
      </c>
      <c r="AQ289" s="12">
        <f>SUM(AM289:AP289)</f>
        <v>0</v>
      </c>
      <c r="AR289" s="12">
        <f>AR240-AQ240</f>
        <v>0</v>
      </c>
      <c r="AS289" s="12">
        <f>AS240-AR240</f>
        <v>0</v>
      </c>
      <c r="AT289" s="12">
        <f>AT240-AS240</f>
        <v>0</v>
      </c>
      <c r="AU289" s="12">
        <f>AU240-AT240</f>
        <v>0</v>
      </c>
      <c r="AV289" s="12">
        <f>SUM(AR289:AU289)</f>
        <v>0</v>
      </c>
      <c r="AW289" s="12">
        <f>AW240-AV240</f>
        <v>0</v>
      </c>
      <c r="AX289" s="12">
        <f>AX240-AW240</f>
        <v>0</v>
      </c>
      <c r="AY289" s="12">
        <f>AY240-AX240</f>
        <v>0</v>
      </c>
      <c r="AZ289" s="12">
        <f>AZ240-AY240</f>
        <v>0</v>
      </c>
      <c r="BA289" s="12">
        <f>SUM(AW289:AZ289)</f>
        <v>0</v>
      </c>
      <c r="BB289" s="12">
        <f>BB240-BA240</f>
        <v>0</v>
      </c>
      <c r="BC289" s="12">
        <f>BC240-BB240</f>
        <v>0</v>
      </c>
      <c r="BD289" s="12">
        <f>BD240-BC240</f>
        <v>0</v>
      </c>
      <c r="BE289" s="12">
        <f>BE240-BD240</f>
        <v>0</v>
      </c>
      <c r="BF289" s="12">
        <f>SUM(BB289:BE289)</f>
        <v>0</v>
      </c>
      <c r="BG289" s="12" t="n"/>
      <c r="BH289" s="12" t="n"/>
      <c r="BI289" s="12" t="n"/>
      <c r="BJ289" s="12" t="n"/>
      <c r="BK289" s="12" t="n"/>
      <c r="BL289" s="12" t="n"/>
      <c r="BM289" s="12" t="n"/>
      <c r="BN289" s="12" t="n"/>
      <c r="BO289" s="12" t="n"/>
      <c r="BP289" s="12" t="n"/>
      <c r="BQ289" s="12" t="n"/>
      <c r="BR289" s="12" t="n"/>
      <c r="BS289" s="12" t="n"/>
      <c r="BT289" s="12" t="n"/>
      <c r="BU289" s="12" t="n"/>
      <c r="BV289" s="12" t="n"/>
      <c r="BW289" s="12" t="n"/>
      <c r="BX289" s="12" t="n"/>
      <c r="BY289" s="12" t="n"/>
      <c r="BZ289" s="12" t="n"/>
      <c r="CA289" s="12" t="n"/>
      <c r="CB289" s="12" t="n"/>
      <c r="CC289" s="12" t="n"/>
      <c r="CD289" s="12" t="n"/>
      <c r="CE289" s="12" t="n"/>
      <c r="CF289" s="12" t="n"/>
      <c r="CG289" s="12" t="n"/>
      <c r="CH289" s="12" t="n"/>
      <c r="CI289" s="12" t="n"/>
      <c r="CJ289" s="12" t="n"/>
      <c r="CK289" s="12" t="n"/>
      <c r="CL289" s="12" t="n"/>
      <c r="CM289" s="12" t="n"/>
      <c r="CN289" s="12" t="n"/>
      <c r="CO289" s="12" t="n"/>
      <c r="CP289" s="12" t="n"/>
      <c r="CQ289" s="12" t="n"/>
      <c r="CR289" s="12" t="n"/>
      <c r="CS289" s="12" t="n"/>
      <c r="CT289" s="12" t="n"/>
      <c r="CU289" s="12" t="n"/>
      <c r="CV289" s="12" t="n"/>
      <c r="CW289" s="12" t="n"/>
      <c r="CX289" s="12" t="n"/>
      <c r="CY289" s="12" t="n"/>
    </row>
    <row r="290">
      <c r="C290" s="14" t="inlineStr">
        <is>
          <t>Treasury stock repurchases</t>
        </is>
      </c>
      <c r="D290" s="12" t="n"/>
      <c r="E290" s="12" t="n"/>
      <c r="F290" s="12" t="n"/>
      <c r="G290" s="12" t="n"/>
      <c r="H290" s="12" t="n"/>
      <c r="I290" s="12" t="n"/>
      <c r="J290" s="12">
        <f>J253-I253</f>
        <v>2</v>
      </c>
      <c r="K290" s="12">
        <f>K253-J253</f>
        <v>0</v>
      </c>
      <c r="L290" s="12">
        <f>L253-K253</f>
        <v>307</v>
      </c>
      <c r="M290" s="12" t="n"/>
      <c r="N290" s="12">
        <f>N253-M253</f>
        <v>-2065</v>
      </c>
      <c r="O290" s="12">
        <f>O253-N253</f>
        <v>-4058</v>
      </c>
      <c r="P290" s="12">
        <f>P253-O253</f>
        <v>-4493</v>
      </c>
      <c r="Q290" s="12">
        <f>Q253-P253</f>
        <v>-4213</v>
      </c>
      <c r="R290" s="12">
        <f>SUM(N290:Q290)</f>
        <v>-14829</v>
      </c>
      <c r="S290" s="12">
        <f>S253-R253</f>
        <v>-4383</v>
      </c>
      <c r="T290" s="12">
        <f>T253-S253</f>
        <v>-4381</v>
      </c>
      <c r="U290" s="12">
        <f>U253-T253</f>
        <v>-4455</v>
      </c>
      <c r="V290" s="12">
        <f>V253-U253</f>
        <v>-1405</v>
      </c>
      <c r="W290" s="12">
        <f>SUM(S290:V290)</f>
        <v>-14624</v>
      </c>
      <c r="X290" s="12">
        <f>X253-W253</f>
        <v>-2974</v>
      </c>
      <c r="Y290" s="12">
        <f>Y253-X253</f>
        <v>29408</v>
      </c>
      <c r="Z290" s="12">
        <f>Z253-Y253</f>
        <v>-5566</v>
      </c>
      <c r="AA290" s="12">
        <f>AA253-Z253</f>
        <v>-4768</v>
      </c>
      <c r="AB290" s="12">
        <f>SUM(X290:AA290)</f>
        <v>16100</v>
      </c>
      <c r="AC290" s="12">
        <f>AC253-AB253</f>
        <v>-4841</v>
      </c>
      <c r="AD290" s="12">
        <f>AD253-AC253</f>
        <v>-5003</v>
      </c>
      <c r="AE290" s="12">
        <f>AE253-AD253</f>
        <v>-5171</v>
      </c>
      <c r="AF290" s="12">
        <f>AF253-AE253</f>
        <v>-4563</v>
      </c>
      <c r="AG290" s="12">
        <f>SUM(AC290:AF290)</f>
        <v>-19578</v>
      </c>
      <c r="AH290" s="12">
        <f>AH253-AG253</f>
        <v>-4896</v>
      </c>
      <c r="AI290" s="12">
        <f>AI253-AH253</f>
        <v>-4985</v>
      </c>
      <c r="AJ290" s="12">
        <f>AJ253-AI253</f>
        <v>0</v>
      </c>
      <c r="AK290" s="12">
        <f>AK253-AJ253</f>
        <v>0</v>
      </c>
      <c r="AL290" s="12">
        <f>SUM(AH290:AK290)</f>
        <v>-9881</v>
      </c>
      <c r="AM290" s="12">
        <f>AM253-AL253</f>
        <v>0</v>
      </c>
      <c r="AN290" s="12">
        <f>AN253-AM253</f>
        <v>0</v>
      </c>
      <c r="AO290" s="12">
        <f>AO253-AN253</f>
        <v>0</v>
      </c>
      <c r="AP290" s="12">
        <f>AP253-AO253</f>
        <v>0</v>
      </c>
      <c r="AQ290" s="12">
        <f>SUM(AM290:AP290)</f>
        <v>0</v>
      </c>
      <c r="AR290" s="12">
        <f>AR253-AQ253</f>
        <v>0</v>
      </c>
      <c r="AS290" s="12">
        <f>AS253-AR253</f>
        <v>0</v>
      </c>
      <c r="AT290" s="12">
        <f>AT253-AS253</f>
        <v>0</v>
      </c>
      <c r="AU290" s="12">
        <f>AU253-AT253</f>
        <v>0</v>
      </c>
      <c r="AV290" s="12">
        <f>SUM(AR290:AU290)</f>
        <v>0</v>
      </c>
      <c r="AW290" s="12">
        <f>AW253-AV253</f>
        <v>0</v>
      </c>
      <c r="AX290" s="12">
        <f>AX253-AW253</f>
        <v>0</v>
      </c>
      <c r="AY290" s="12">
        <f>AY253-AX253</f>
        <v>0</v>
      </c>
      <c r="AZ290" s="12">
        <f>AZ253-AY253</f>
        <v>0</v>
      </c>
      <c r="BA290" s="12">
        <f>SUM(AW290:AZ290)</f>
        <v>0</v>
      </c>
      <c r="BB290" s="12">
        <f>BB253-BA253</f>
        <v>0</v>
      </c>
      <c r="BC290" s="12">
        <f>BC253-BB253</f>
        <v>0</v>
      </c>
      <c r="BD290" s="12">
        <f>BD253-BC253</f>
        <v>0</v>
      </c>
      <c r="BE290" s="12">
        <f>BE253-BD253</f>
        <v>0</v>
      </c>
      <c r="BF290" s="12">
        <f>SUM(BB290:BE290)</f>
        <v>0</v>
      </c>
      <c r="BG290" s="12" t="n"/>
      <c r="BH290" s="12" t="n"/>
      <c r="BI290" s="12" t="n"/>
      <c r="BJ290" s="12" t="n"/>
      <c r="BK290" s="12" t="n"/>
      <c r="BL290" s="12" t="n"/>
      <c r="BM290" s="12" t="n"/>
      <c r="BN290" s="12" t="n"/>
      <c r="BO290" s="12" t="n"/>
      <c r="BP290" s="12" t="n"/>
      <c r="BQ290" s="12" t="n"/>
      <c r="BR290" s="12" t="n"/>
      <c r="BS290" s="12" t="n"/>
      <c r="BT290" s="12" t="n"/>
      <c r="BU290" s="12" t="n"/>
      <c r="BV290" s="12" t="n"/>
      <c r="BW290" s="12" t="n"/>
      <c r="BX290" s="12" t="n"/>
      <c r="BY290" s="12" t="n"/>
      <c r="BZ290" s="12" t="n"/>
      <c r="CA290" s="12" t="n"/>
      <c r="CB290" s="12" t="n"/>
      <c r="CC290" s="12" t="n"/>
      <c r="CD290" s="12" t="n"/>
      <c r="CE290" s="12" t="n"/>
      <c r="CF290" s="12" t="n"/>
      <c r="CG290" s="12" t="n"/>
      <c r="CH290" s="12" t="n"/>
      <c r="CI290" s="12" t="n"/>
      <c r="CJ290" s="12" t="n"/>
      <c r="CK290" s="12" t="n"/>
      <c r="CL290" s="12" t="n"/>
      <c r="CM290" s="12" t="n"/>
      <c r="CN290" s="12" t="n"/>
      <c r="CO290" s="12" t="n"/>
      <c r="CP290" s="12" t="n"/>
      <c r="CQ290" s="12" t="n"/>
      <c r="CR290" s="12" t="n"/>
      <c r="CS290" s="12" t="n"/>
      <c r="CT290" s="12" t="n"/>
      <c r="CU290" s="12" t="n"/>
      <c r="CV290" s="12" t="n"/>
      <c r="CW290" s="12" t="n"/>
      <c r="CX290" s="12" t="n"/>
      <c r="CY290" s="12" t="n"/>
    </row>
    <row r="291">
      <c r="C291" s="14" t="inlineStr">
        <is>
          <t>Comprehensive accumulated loss</t>
        </is>
      </c>
      <c r="D291" s="12" t="n"/>
      <c r="E291" s="12" t="n"/>
      <c r="F291" s="12" t="n"/>
      <c r="G291" s="12" t="n"/>
      <c r="H291" s="12" t="n"/>
      <c r="I291" s="12" t="n"/>
      <c r="J291" s="12">
        <f>J254-I254</f>
        <v>504</v>
      </c>
      <c r="K291" s="12">
        <f>K254-J254</f>
        <v>-1110</v>
      </c>
      <c r="L291" s="12">
        <f>L254-K254</f>
        <v>2932</v>
      </c>
      <c r="M291" s="12" t="n"/>
      <c r="N291" s="12">
        <f>N254-M254</f>
        <v>850</v>
      </c>
      <c r="O291" s="12">
        <f>O254-N254</f>
        <v>-2103</v>
      </c>
      <c r="P291" s="12">
        <f>P254-O254</f>
        <v>-2786</v>
      </c>
      <c r="Q291" s="12">
        <f>Q254-P254</f>
        <v>4533</v>
      </c>
      <c r="R291" s="12">
        <f>SUM(N291:Q291)</f>
        <v>494</v>
      </c>
      <c r="S291" s="12">
        <f>S254-R254</f>
        <v>175</v>
      </c>
      <c r="T291" s="12">
        <f>T254-S254</f>
        <v>438</v>
      </c>
      <c r="U291" s="12">
        <f>U254-T254</f>
        <v>-431</v>
      </c>
      <c r="V291" s="12">
        <f>V254-U254</f>
        <v>1099</v>
      </c>
      <c r="W291" s="12">
        <f>SUM(S291:V291)</f>
        <v>1281</v>
      </c>
      <c r="X291" s="12">
        <f>X254-W254</f>
        <v>-1180</v>
      </c>
      <c r="Y291" s="12">
        <f>Y254-X254</f>
        <v>-18</v>
      </c>
      <c r="Z291" s="12">
        <f>Z254-Y254</f>
        <v>1228</v>
      </c>
      <c r="AA291" s="12">
        <f>AA254-Z254</f>
        <v>-2660</v>
      </c>
      <c r="AB291" s="12">
        <f>SUM(X291:AA291)</f>
        <v>-2630</v>
      </c>
      <c r="AC291" s="12">
        <f>AC254-AB254</f>
        <v>281</v>
      </c>
      <c r="AD291" s="12">
        <f>AD254-AC254</f>
        <v>1902</v>
      </c>
      <c r="AE291" s="12">
        <f>AE254-AD254</f>
        <v>-346</v>
      </c>
      <c r="AF291" s="12">
        <f>AF254-AE254</f>
        <v>1919</v>
      </c>
      <c r="AG291" s="12">
        <f>SUM(AC291:AF291)</f>
        <v>3756</v>
      </c>
      <c r="AH291" s="12">
        <f>AH254-AG254</f>
        <v>-235</v>
      </c>
      <c r="AI291" s="12">
        <f>AI254-AH254</f>
        <v>-451</v>
      </c>
      <c r="AJ291" s="12">
        <f>AJ254-AI254</f>
        <v>0</v>
      </c>
      <c r="AK291" s="12">
        <f>AK254-AJ254</f>
        <v>0</v>
      </c>
      <c r="AL291" s="12">
        <f>SUM(AH291:AK291)</f>
        <v>-686</v>
      </c>
      <c r="AM291" s="12">
        <f>AM254-AL254</f>
        <v>0</v>
      </c>
      <c r="AN291" s="12">
        <f>AN254-AM254</f>
        <v>0</v>
      </c>
      <c r="AO291" s="12">
        <f>AO254-AN254</f>
        <v>0</v>
      </c>
      <c r="AP291" s="12">
        <f>AP254-AO254</f>
        <v>0</v>
      </c>
      <c r="AQ291" s="12">
        <f>SUM(AM291:AP291)</f>
        <v>0</v>
      </c>
      <c r="AR291" s="12">
        <f>AR254-AQ254</f>
        <v>0</v>
      </c>
      <c r="AS291" s="12">
        <f>AS254-AR254</f>
        <v>0</v>
      </c>
      <c r="AT291" s="12">
        <f>AT254-AS254</f>
        <v>0</v>
      </c>
      <c r="AU291" s="12">
        <f>AU254-AT254</f>
        <v>0</v>
      </c>
      <c r="AV291" s="12">
        <f>SUM(AR291:AU291)</f>
        <v>0</v>
      </c>
      <c r="AW291" s="12">
        <f>AW254-AV254</f>
        <v>0</v>
      </c>
      <c r="AX291" s="12">
        <f>AX254-AW254</f>
        <v>0</v>
      </c>
      <c r="AY291" s="12">
        <f>AY254-AX254</f>
        <v>0</v>
      </c>
      <c r="AZ291" s="12">
        <f>AZ254-AY254</f>
        <v>0</v>
      </c>
      <c r="BA291" s="12">
        <f>SUM(AW291:AZ291)</f>
        <v>0</v>
      </c>
      <c r="BB291" s="12">
        <f>BB254-BA254</f>
        <v>0</v>
      </c>
      <c r="BC291" s="12">
        <f>BC254-BB254</f>
        <v>0</v>
      </c>
      <c r="BD291" s="12">
        <f>BD254-BC254</f>
        <v>0</v>
      </c>
      <c r="BE291" s="12">
        <f>BE254-BD254</f>
        <v>0</v>
      </c>
      <c r="BF291" s="12">
        <f>SUM(BB291:BE291)</f>
        <v>0</v>
      </c>
      <c r="BG291" s="12" t="n"/>
      <c r="BH291" s="12" t="n"/>
      <c r="BI291" s="12" t="n"/>
      <c r="BJ291" s="12" t="n"/>
      <c r="BK291" s="12" t="n"/>
      <c r="BL291" s="12" t="n"/>
      <c r="BM291" s="12" t="n"/>
      <c r="BN291" s="12" t="n"/>
      <c r="BO291" s="12" t="n"/>
      <c r="BP291" s="12" t="n"/>
      <c r="BQ291" s="12" t="n"/>
      <c r="BR291" s="12" t="n"/>
      <c r="BS291" s="12" t="n"/>
      <c r="BT291" s="12" t="n"/>
      <c r="BU291" s="12" t="n"/>
      <c r="BV291" s="12" t="n"/>
      <c r="BW291" s="12" t="n"/>
      <c r="BX291" s="12" t="n"/>
      <c r="BY291" s="12" t="n"/>
      <c r="BZ291" s="12" t="n"/>
      <c r="CA291" s="12" t="n"/>
      <c r="CB291" s="12" t="n"/>
      <c r="CC291" s="12" t="n"/>
      <c r="CD291" s="12" t="n"/>
      <c r="CE291" s="12" t="n"/>
      <c r="CF291" s="12" t="n"/>
      <c r="CG291" s="12" t="n"/>
      <c r="CH291" s="12" t="n"/>
      <c r="CI291" s="12" t="n"/>
      <c r="CJ291" s="12" t="n"/>
      <c r="CK291" s="12" t="n"/>
      <c r="CL291" s="12" t="n"/>
      <c r="CM291" s="12" t="n"/>
      <c r="CN291" s="12" t="n"/>
      <c r="CO291" s="12" t="n"/>
      <c r="CP291" s="12" t="n"/>
      <c r="CQ291" s="12" t="n"/>
      <c r="CR291" s="12" t="n"/>
      <c r="CS291" s="12" t="n"/>
      <c r="CT291" s="12" t="n"/>
      <c r="CU291" s="12" t="n"/>
      <c r="CV291" s="12" t="n"/>
      <c r="CW291" s="12" t="n"/>
      <c r="CX291" s="12" t="n"/>
      <c r="CY291" s="12" t="n"/>
    </row>
    <row r="292">
      <c r="C292" s="14" t="inlineStr">
        <is>
          <t>Other equity account</t>
        </is>
      </c>
      <c r="D292" s="12" t="n"/>
      <c r="E292" s="12" t="n"/>
      <c r="F292" s="12" t="n"/>
      <c r="G292" s="12" t="n"/>
      <c r="H292" s="12" t="n"/>
      <c r="I292" s="12" t="n"/>
      <c r="J292" s="12">
        <f>J255-I255</f>
        <v>0</v>
      </c>
      <c r="K292" s="12">
        <f>K255-J255</f>
        <v>0</v>
      </c>
      <c r="L292" s="12">
        <f>L255-K255</f>
        <v>0</v>
      </c>
      <c r="M292" s="12" t="n"/>
      <c r="N292" s="12">
        <f>N255-M255</f>
        <v>0</v>
      </c>
      <c r="O292" s="12">
        <f>O255-N255</f>
        <v>0</v>
      </c>
      <c r="P292" s="12">
        <f>P255-O255</f>
        <v>0</v>
      </c>
      <c r="Q292" s="12">
        <f>Q255-P255</f>
        <v>0</v>
      </c>
      <c r="R292" s="12">
        <f>SUM(N292:Q292)</f>
        <v>0</v>
      </c>
      <c r="S292" s="12">
        <f>S255-R255</f>
        <v>0</v>
      </c>
      <c r="T292" s="12">
        <f>T255-S255</f>
        <v>0</v>
      </c>
      <c r="U292" s="12">
        <f>U255-T255</f>
        <v>0</v>
      </c>
      <c r="V292" s="12">
        <f>V255-U255</f>
        <v>0</v>
      </c>
      <c r="W292" s="12">
        <f>SUM(S292:V292)</f>
        <v>0</v>
      </c>
      <c r="X292" s="12">
        <f>X255-W255</f>
        <v>0</v>
      </c>
      <c r="Y292" s="12">
        <f>Y255-X255</f>
        <v>0</v>
      </c>
      <c r="Z292" s="12">
        <f>Z255-Y255</f>
        <v>0</v>
      </c>
      <c r="AA292" s="12">
        <f>AA255-Z255</f>
        <v>0</v>
      </c>
      <c r="AB292" s="12">
        <f>SUM(X292:AA292)</f>
        <v>0</v>
      </c>
      <c r="AC292" s="12">
        <f>AC255-AB255</f>
        <v>0</v>
      </c>
      <c r="AD292" s="12">
        <f>AD255-AC255</f>
        <v>0</v>
      </c>
      <c r="AE292" s="12">
        <f>AE255-AD255</f>
        <v>0</v>
      </c>
      <c r="AF292" s="12">
        <f>AF255-AE255</f>
        <v>0</v>
      </c>
      <c r="AG292" s="12">
        <f>SUM(AC292:AF292)</f>
        <v>0</v>
      </c>
      <c r="AH292" s="12">
        <f>AH255-AG255</f>
        <v>0</v>
      </c>
      <c r="AI292" s="12">
        <f>AI255-AH255</f>
        <v>0</v>
      </c>
      <c r="AJ292" s="12">
        <f>AJ255-AI255</f>
        <v>0</v>
      </c>
      <c r="AK292" s="12">
        <f>AK255-AJ255</f>
        <v>0</v>
      </c>
      <c r="AL292" s="12">
        <f>SUM(AH292:AK292)</f>
        <v>0</v>
      </c>
      <c r="AM292" s="12">
        <f>AM255-AL255</f>
        <v>0</v>
      </c>
      <c r="AN292" s="12">
        <f>AN255-AM255</f>
        <v>0</v>
      </c>
      <c r="AO292" s="12">
        <f>AO255-AN255</f>
        <v>0</v>
      </c>
      <c r="AP292" s="12">
        <f>AP255-AO255</f>
        <v>0</v>
      </c>
      <c r="AQ292" s="12">
        <f>SUM(AM292:AP292)</f>
        <v>0</v>
      </c>
      <c r="AR292" s="12">
        <f>AR255-AQ255</f>
        <v>0</v>
      </c>
      <c r="AS292" s="12">
        <f>AS255-AR255</f>
        <v>0</v>
      </c>
      <c r="AT292" s="12">
        <f>AT255-AS255</f>
        <v>0</v>
      </c>
      <c r="AU292" s="12">
        <f>AU255-AT255</f>
        <v>0</v>
      </c>
      <c r="AV292" s="12">
        <f>SUM(AR292:AU292)</f>
        <v>0</v>
      </c>
      <c r="AW292" s="12">
        <f>AW255-AV255</f>
        <v>0</v>
      </c>
      <c r="AX292" s="12">
        <f>AX255-AW255</f>
        <v>0</v>
      </c>
      <c r="AY292" s="12">
        <f>AY255-AX255</f>
        <v>0</v>
      </c>
      <c r="AZ292" s="12">
        <f>AZ255-AY255</f>
        <v>0</v>
      </c>
      <c r="BA292" s="12">
        <f>SUM(AW292:AZ292)</f>
        <v>0</v>
      </c>
      <c r="BB292" s="12">
        <f>BB255-BA255</f>
        <v>0</v>
      </c>
      <c r="BC292" s="12">
        <f>BC255-BB255</f>
        <v>0</v>
      </c>
      <c r="BD292" s="12">
        <f>BD255-BC255</f>
        <v>0</v>
      </c>
      <c r="BE292" s="12">
        <f>BE255-BD255</f>
        <v>0</v>
      </c>
      <c r="BF292" s="12">
        <f>SUM(BB292:BE292)</f>
        <v>0</v>
      </c>
      <c r="BG292" s="12" t="n"/>
      <c r="BH292" s="12" t="n"/>
      <c r="BI292" s="12" t="n"/>
      <c r="BJ292" s="12" t="n"/>
      <c r="BK292" s="12" t="n"/>
      <c r="BL292" s="12" t="n"/>
      <c r="BM292" s="12" t="n"/>
      <c r="BN292" s="12" t="n"/>
      <c r="BO292" s="12" t="n"/>
      <c r="BP292" s="12" t="n"/>
      <c r="BQ292" s="12" t="n"/>
      <c r="BR292" s="12" t="n"/>
      <c r="BS292" s="12" t="n"/>
      <c r="BT292" s="12" t="n"/>
      <c r="BU292" s="12" t="n"/>
      <c r="BV292" s="12" t="n"/>
      <c r="BW292" s="12" t="n"/>
      <c r="BX292" s="12" t="n"/>
      <c r="BY292" s="12" t="n"/>
      <c r="BZ292" s="12" t="n"/>
      <c r="CA292" s="12" t="n"/>
      <c r="CB292" s="12" t="n"/>
      <c r="CC292" s="12" t="n"/>
      <c r="CD292" s="12" t="n"/>
      <c r="CE292" s="12" t="n"/>
      <c r="CF292" s="12" t="n"/>
      <c r="CG292" s="12" t="n"/>
      <c r="CH292" s="12" t="n"/>
      <c r="CI292" s="12" t="n"/>
      <c r="CJ292" s="12" t="n"/>
      <c r="CK292" s="12" t="n"/>
      <c r="CL292" s="12" t="n"/>
      <c r="CM292" s="12" t="n"/>
      <c r="CN292" s="12" t="n"/>
      <c r="CO292" s="12" t="n"/>
      <c r="CP292" s="12" t="n"/>
      <c r="CQ292" s="12" t="n"/>
      <c r="CR292" s="12" t="n"/>
      <c r="CS292" s="12" t="n"/>
      <c r="CT292" s="12" t="n"/>
      <c r="CU292" s="12" t="n"/>
      <c r="CV292" s="12" t="n"/>
      <c r="CW292" s="12" t="n"/>
      <c r="CX292" s="12" t="n"/>
      <c r="CY292" s="12" t="n"/>
    </row>
    <row r="293">
      <c r="C293" s="10" t="inlineStr">
        <is>
          <t>Common and preferred dividends</t>
        </is>
      </c>
      <c r="D293" s="12" t="n"/>
      <c r="E293" s="12" t="n"/>
      <c r="F293" s="12" t="n"/>
      <c r="G293" s="12" t="n"/>
      <c r="H293" s="12" t="n"/>
      <c r="I293" s="12" t="n"/>
      <c r="J293" s="12">
        <f>(J256-I256)-J263</f>
        <v>-3721</v>
      </c>
      <c r="K293" s="12">
        <f>(K256-J256)-K263</f>
        <v>-3720</v>
      </c>
      <c r="L293" s="12">
        <f>(L256-K256)-L263</f>
        <v>-3763</v>
      </c>
      <c r="M293" s="12" t="n"/>
      <c r="N293" s="12">
        <f>(N256-M256)-N263</f>
        <v>-3760</v>
      </c>
      <c r="O293" s="12">
        <f>(O256-N256)-O263</f>
        <v>-3727</v>
      </c>
      <c r="P293" s="12">
        <f>(P256-O256)-P263</f>
        <v>-3685</v>
      </c>
      <c r="Q293" s="12">
        <f>(Q256-P256)-Q263</f>
        <v>-3767</v>
      </c>
      <c r="R293" s="12">
        <f>SUM(N293:Q293)</f>
        <v>-14939</v>
      </c>
      <c r="S293" s="12">
        <f>(S256-R256)-S263</f>
        <v>-3738</v>
      </c>
      <c r="T293" s="12">
        <f>(T256-S256)-T263</f>
        <v>-3701</v>
      </c>
      <c r="U293" s="12">
        <f>(U256-T256)-U263</f>
        <v>-3663</v>
      </c>
      <c r="V293" s="12">
        <f>(V256-U256)-V263</f>
        <v>-3841</v>
      </c>
      <c r="W293" s="12">
        <f>SUM(S293:V293)</f>
        <v>-14943</v>
      </c>
      <c r="X293" s="12">
        <f>(X256-W256)-X263</f>
        <v>-3808</v>
      </c>
      <c r="Y293" s="12">
        <f>(Y256-X256)-Y263</f>
        <v>-4285</v>
      </c>
      <c r="Z293" s="12">
        <f>(Z256-Y256)-Z263</f>
        <v>-4240</v>
      </c>
      <c r="AA293" s="12">
        <f>(AA256-Z256)-AA263</f>
        <v>-4371</v>
      </c>
      <c r="AB293" s="12">
        <f>SUM(X293:AA293)</f>
        <v>-16704</v>
      </c>
      <c r="AC293" s="12">
        <f>(AC256-AB256)-AC263</f>
        <v>-4326</v>
      </c>
      <c r="AD293" s="12">
        <f>(AD256-AC256)-AD263</f>
        <v>-4311</v>
      </c>
      <c r="AE293" s="12">
        <f>(AE256-AD256)-AE263</f>
        <v>-4242</v>
      </c>
      <c r="AF293" s="12">
        <f>(AF256-AE256)-AF263</f>
        <v>-4374</v>
      </c>
      <c r="AG293" s="12">
        <f>SUM(AC293:AF293)</f>
        <v>-17253</v>
      </c>
      <c r="AH293" s="12">
        <f>(AH256-AG256)-AH263</f>
        <v>-4333</v>
      </c>
      <c r="AI293" s="12">
        <f>(AI256-AH256)-AI263</f>
        <v>-4300</v>
      </c>
      <c r="AJ293" s="12">
        <f>(AJ256-AI256)-AJ263</f>
        <v>0</v>
      </c>
      <c r="AK293" s="12">
        <f>(AK256-AJ256)-AK263</f>
        <v>0</v>
      </c>
      <c r="AL293" s="12">
        <f>SUM(AH293:AK293)</f>
        <v>-8633</v>
      </c>
      <c r="AM293" s="12">
        <f>(AM256-AL256)-AM263</f>
        <v>0</v>
      </c>
      <c r="AN293" s="12">
        <f>(AN256-AM256)-AN263</f>
        <v>-4.00177668780088e-11</v>
      </c>
      <c r="AO293" s="12">
        <f>(AO256-AN256)-AO263</f>
        <v>0</v>
      </c>
      <c r="AP293" s="12">
        <f>(AP256-AO256)-AP263</f>
        <v>0</v>
      </c>
      <c r="AQ293" s="12">
        <f>SUM(AM293:AP293)</f>
        <v>-4.00177668780088e-11</v>
      </c>
      <c r="AR293" s="12">
        <f>(AR256-AQ256)-AR263</f>
        <v>3.09228198602796e-11</v>
      </c>
      <c r="AS293" s="12">
        <f>(AS256-AR256)-AS263</f>
        <v>0</v>
      </c>
      <c r="AT293" s="12">
        <f>(AT256-AS256)-AT263</f>
        <v>0</v>
      </c>
      <c r="AU293" s="12">
        <f>(AU256-AT256)-AU263</f>
        <v>3.63797880709171e-11</v>
      </c>
      <c r="AV293" s="12">
        <f>SUM(AR293:AU293)</f>
        <v>6.73026079311967e-11</v>
      </c>
      <c r="AW293" s="12">
        <f>(AW256-AV256)-AW263</f>
        <v>0</v>
      </c>
      <c r="AX293" s="12">
        <f>(AX256-AW256)-AX263</f>
        <v>-5.45696821063757e-11</v>
      </c>
      <c r="AY293" s="12">
        <f>(AY256-AX256)-AY263</f>
        <v>4.00177668780088e-11</v>
      </c>
      <c r="AZ293" s="12">
        <f>(AZ256-AY256)-AZ263</f>
        <v>0</v>
      </c>
      <c r="BA293" s="12">
        <f>SUM(AW293:AZ293)</f>
        <v>-1.45519152283669e-11</v>
      </c>
      <c r="BB293" s="12">
        <f>(BB256-BA256)-BB263</f>
        <v>0</v>
      </c>
      <c r="BC293" s="12">
        <f>(BC256-BB256)-BC263</f>
        <v>-4.72937244921923e-11</v>
      </c>
      <c r="BD293" s="12">
        <f>(BD256-BC256)-BD263</f>
        <v>-4.00177668780088e-11</v>
      </c>
      <c r="BE293" s="12">
        <f>(BE256-BD256)-BE263</f>
        <v>3.27418092638254e-11</v>
      </c>
      <c r="BF293" s="12">
        <f>SUM(BB293:BE293)</f>
        <v>-5.45696821063757e-11</v>
      </c>
      <c r="BG293" s="12" t="n"/>
      <c r="BH293" s="12" t="n"/>
      <c r="BI293" s="12" t="n"/>
      <c r="BJ293" s="12" t="n"/>
      <c r="BK293" s="12" t="n"/>
      <c r="BL293" s="12" t="n"/>
      <c r="BM293" s="12" t="n"/>
      <c r="BN293" s="12" t="n"/>
      <c r="BO293" s="12" t="n"/>
      <c r="BP293" s="12" t="n"/>
      <c r="BQ293" s="12" t="n"/>
      <c r="BR293" s="12" t="n"/>
      <c r="BS293" s="12" t="n"/>
      <c r="BT293" s="12" t="n"/>
      <c r="BU293" s="12" t="n"/>
      <c r="BV293" s="12" t="n"/>
      <c r="BW293" s="12" t="n"/>
      <c r="BX293" s="12" t="n"/>
      <c r="BY293" s="12" t="n"/>
      <c r="BZ293" s="12" t="n"/>
      <c r="CA293" s="12" t="n"/>
      <c r="CB293" s="12" t="n"/>
      <c r="CC293" s="12" t="n"/>
      <c r="CD293" s="12" t="n"/>
      <c r="CE293" s="12" t="n"/>
      <c r="CF293" s="12" t="n"/>
      <c r="CG293" s="12" t="n"/>
      <c r="CH293" s="12" t="n"/>
      <c r="CI293" s="12" t="n"/>
      <c r="CJ293" s="12" t="n"/>
      <c r="CK293" s="12" t="n"/>
      <c r="CL293" s="12" t="n"/>
      <c r="CM293" s="12" t="n"/>
      <c r="CN293" s="12" t="n"/>
      <c r="CO293" s="12" t="n"/>
      <c r="CP293" s="12" t="n"/>
      <c r="CQ293" s="12" t="n"/>
      <c r="CR293" s="12" t="n"/>
      <c r="CS293" s="12" t="n"/>
      <c r="CT293" s="12" t="n"/>
      <c r="CU293" s="12" t="n"/>
      <c r="CV293" s="12" t="n"/>
      <c r="CW293" s="12" t="n"/>
      <c r="CX293" s="12" t="n"/>
      <c r="CY293" s="12" t="n"/>
    </row>
    <row r="294">
      <c r="C294" s="14" t="inlineStr">
        <is>
          <t>Dividends to minority interests</t>
        </is>
      </c>
      <c r="D294" s="12" t="n"/>
      <c r="E294" s="12" t="n"/>
      <c r="F294" s="12" t="n"/>
      <c r="G294" s="12" t="n"/>
      <c r="H294" s="12" t="n"/>
      <c r="I294" s="12" t="n"/>
      <c r="J294" s="12">
        <f>(J234-I234)+J122</f>
        <v>-233</v>
      </c>
      <c r="K294" s="12">
        <f>(K234-J234)+K122</f>
        <v>-260</v>
      </c>
      <c r="L294" s="12">
        <f>(L234-K234)+L122</f>
        <v>-20</v>
      </c>
      <c r="M294" s="12" t="n"/>
      <c r="N294" s="12">
        <f>(N234-M234)+N122</f>
        <v>-65</v>
      </c>
      <c r="O294" s="12">
        <f>(O234-N234)+O122</f>
        <v>-843</v>
      </c>
      <c r="P294" s="12">
        <f>(P234-O234)+P122</f>
        <v>-787</v>
      </c>
      <c r="Q294" s="12">
        <f>(Q234-P234)+Q122</f>
        <v>176</v>
      </c>
      <c r="R294" s="12">
        <f>SUM(N294:Q294)</f>
        <v>-1519</v>
      </c>
      <c r="S294" s="12">
        <f>(S234-R234)+S122</f>
        <v>-108</v>
      </c>
      <c r="T294" s="12">
        <f>(T234-S234)+T122</f>
        <v>-51</v>
      </c>
      <c r="U294" s="12">
        <f>(U234-T234)+U122</f>
        <v>-397</v>
      </c>
      <c r="V294" s="12">
        <f>(V234-U234)+V122</f>
        <v>-476</v>
      </c>
      <c r="W294" s="12">
        <f>SUM(S294:V294)</f>
        <v>-1032</v>
      </c>
      <c r="X294" s="12">
        <f>(X234-W234)+X122</f>
        <v>-280</v>
      </c>
      <c r="Y294" s="12">
        <f>(Y234-X234)+Y122</f>
        <v>-272</v>
      </c>
      <c r="Z294" s="12">
        <f>(Z234-Y234)+Z122</f>
        <v>-414</v>
      </c>
      <c r="AA294" s="12">
        <f>(AA234-Z234)+AA122</f>
        <v>-1252</v>
      </c>
      <c r="AB294" s="12">
        <f>SUM(X294:AA294)</f>
        <v>-2218</v>
      </c>
      <c r="AC294" s="12">
        <f>(AC234-AB234)+AC122</f>
        <v>-135</v>
      </c>
      <c r="AD294" s="12">
        <f>(AD234-AC234)+AD122</f>
        <v>11</v>
      </c>
      <c r="AE294" s="12">
        <f>(AE234-AD234)+AE122</f>
        <v>73</v>
      </c>
      <c r="AF294" s="12">
        <f>(AF234-AE234)+AF122</f>
        <v>-530</v>
      </c>
      <c r="AG294" s="12">
        <f>SUM(AC294:AF294)</f>
        <v>-581</v>
      </c>
      <c r="AH294" s="12">
        <f>(AH234-AG234)+AH122</f>
        <v>-914</v>
      </c>
      <c r="AI294" s="12">
        <f>(AI234-AH234)+AI122</f>
        <v>-240</v>
      </c>
      <c r="AJ294" s="12">
        <f>(AJ234-AI234)+AJ122</f>
        <v>0</v>
      </c>
      <c r="AK294" s="12">
        <f>(AK234-AJ234)+AK122</f>
        <v>0</v>
      </c>
      <c r="AL294" s="12">
        <f>SUM(AH294:AK294)</f>
        <v>-1154</v>
      </c>
      <c r="AM294" s="12">
        <f>(AM234-AL234)+AM122</f>
        <v>0</v>
      </c>
      <c r="AN294" s="12">
        <f>(AN234-AM234)+AN122</f>
        <v>0</v>
      </c>
      <c r="AO294" s="12">
        <f>(AO234-AN234)+AO122</f>
        <v>0</v>
      </c>
      <c r="AP294" s="12">
        <f>(AP234-AO234)+AP122</f>
        <v>0</v>
      </c>
      <c r="AQ294" s="12">
        <f>SUM(AM294:AP294)</f>
        <v>0</v>
      </c>
      <c r="AR294" s="12">
        <f>(AR234-AQ234)+AR122</f>
        <v>0</v>
      </c>
      <c r="AS294" s="12">
        <f>(AS234-AR234)+AS122</f>
        <v>0</v>
      </c>
      <c r="AT294" s="12">
        <f>(AT234-AS234)+AT122</f>
        <v>0</v>
      </c>
      <c r="AU294" s="12">
        <f>(AU234-AT234)+AU122</f>
        <v>0</v>
      </c>
      <c r="AV294" s="12">
        <f>SUM(AR294:AU294)</f>
        <v>0</v>
      </c>
      <c r="AW294" s="12">
        <f>(AW234-AV234)+AW122</f>
        <v>0</v>
      </c>
      <c r="AX294" s="12">
        <f>(AX234-AW234)+AX122</f>
        <v>0</v>
      </c>
      <c r="AY294" s="12">
        <f>(AY234-AX234)+AY122</f>
        <v>0</v>
      </c>
      <c r="AZ294" s="12">
        <f>(AZ234-AY234)+AZ122</f>
        <v>0</v>
      </c>
      <c r="BA294" s="12">
        <f>SUM(AW294:AZ294)</f>
        <v>0</v>
      </c>
      <c r="BB294" s="12">
        <f>(BB234-BA234)+BB122</f>
        <v>0</v>
      </c>
      <c r="BC294" s="12">
        <f>(BC234-BB234)+BC122</f>
        <v>0</v>
      </c>
      <c r="BD294" s="12">
        <f>(BD234-BC234)+BD122</f>
        <v>0</v>
      </c>
      <c r="BE294" s="12">
        <f>(BE234-BD234)+BE122</f>
        <v>0</v>
      </c>
      <c r="BF294" s="12">
        <f>SUM(BB294:BE294)</f>
        <v>0</v>
      </c>
      <c r="BG294" s="12" t="n"/>
      <c r="BH294" s="12" t="n"/>
      <c r="BI294" s="12" t="n"/>
      <c r="BJ294" s="12" t="n"/>
      <c r="BK294" s="12" t="n"/>
      <c r="BL294" s="12" t="n"/>
      <c r="BM294" s="12" t="n"/>
      <c r="BN294" s="12" t="n"/>
      <c r="BO294" s="12" t="n"/>
      <c r="BP294" s="12" t="n"/>
      <c r="BQ294" s="12" t="n"/>
      <c r="BR294" s="12" t="n"/>
      <c r="BS294" s="12" t="n"/>
      <c r="BT294" s="12" t="n"/>
      <c r="BU294" s="12" t="n"/>
      <c r="BV294" s="12" t="n"/>
      <c r="BW294" s="12" t="n"/>
      <c r="BX294" s="12" t="n"/>
      <c r="BY294" s="12" t="n"/>
      <c r="BZ294" s="12" t="n"/>
      <c r="CA294" s="12" t="n"/>
      <c r="CB294" s="12" t="n"/>
      <c r="CC294" s="12" t="n"/>
      <c r="CD294" s="12" t="n"/>
      <c r="CE294" s="12" t="n"/>
      <c r="CF294" s="12" t="n"/>
      <c r="CG294" s="12" t="n"/>
      <c r="CH294" s="12" t="n"/>
      <c r="CI294" s="12" t="n"/>
      <c r="CJ294" s="12" t="n"/>
      <c r="CK294" s="12" t="n"/>
      <c r="CL294" s="12" t="n"/>
      <c r="CM294" s="12" t="n"/>
      <c r="CN294" s="12" t="n"/>
      <c r="CO294" s="12" t="n"/>
      <c r="CP294" s="12" t="n"/>
      <c r="CQ294" s="12" t="n"/>
      <c r="CR294" s="12" t="n"/>
      <c r="CS294" s="12" t="n"/>
      <c r="CT294" s="12" t="n"/>
      <c r="CU294" s="12" t="n"/>
      <c r="CV294" s="12" t="n"/>
      <c r="CW294" s="12" t="n"/>
      <c r="CX294" s="12" t="n"/>
      <c r="CY294" s="12" t="n"/>
    </row>
    <row r="295">
      <c r="C295" s="15" t="inlineStr">
        <is>
          <t>Increases / (decreases) in debt</t>
        </is>
      </c>
      <c r="D295" s="12" t="n"/>
      <c r="E295" s="12" t="n"/>
      <c r="F295" s="12" t="n"/>
      <c r="G295" s="12" t="n"/>
      <c r="H295" s="12" t="n"/>
      <c r="I295" s="12" t="n"/>
      <c r="J295" s="12">
        <f>SUM(J198:J200,J203,J224,J221)-SUM(I198:I200,I203,I224,I221)</f>
        <v>-2710</v>
      </c>
      <c r="K295" s="12">
        <f>SUM(K198:K200,K203,K224,K221)-SUM(J198:J200,J203,J224,J221)</f>
        <v>-4007</v>
      </c>
      <c r="L295" s="12">
        <f>SUM(L198:L200,L203,L224,L221)-SUM(K198:K200,K203,K224,K221)</f>
        <v>-8901</v>
      </c>
      <c r="M295" s="12" t="n"/>
      <c r="N295" s="12">
        <f>SUM(N198:N200,N203,N224,N221)-SUM(M198:M200,M203,M224,M221)</f>
        <v>-167</v>
      </c>
      <c r="O295" s="12">
        <f>SUM(O198:O200,O203,O224,O221)-SUM(N198:N200,N203,N224,N221)</f>
        <v>-654</v>
      </c>
      <c r="P295" s="12">
        <f>SUM(P198:P200,P203,P224,P221)-SUM(O198:O200,O203,O224,O221)</f>
        <v>-1455</v>
      </c>
      <c r="Q295" s="12">
        <f>SUM(Q198:Q200,Q203,Q224,Q221)-SUM(P198:P200,P203,P224,P221)</f>
        <v>-4235</v>
      </c>
      <c r="R295" s="12">
        <f>SUM(N295:Q295)</f>
        <v>-6511</v>
      </c>
      <c r="S295" s="12">
        <f>SUM(S198:S200,S203,S224,S221)-SUM(R198:R200,R203,R224,R221)</f>
        <v>253</v>
      </c>
      <c r="T295" s="12">
        <f>SUM(T198:T200,T203,T224,T221)-SUM(S198:S200,S203,S224,S221)</f>
        <v>50</v>
      </c>
      <c r="U295" s="12">
        <f>SUM(U198:U200,U203,U224,U221)-SUM(T198:T200,T203,T224,T221)</f>
        <v>-243</v>
      </c>
      <c r="V295" s="12">
        <f>SUM(V198:V200,V203,V224,V221)-SUM(U198:U200,U203,U224,U221)</f>
        <v>320</v>
      </c>
      <c r="W295" s="12">
        <f>SUM(S295:V295)</f>
        <v>380</v>
      </c>
      <c r="X295" s="12">
        <f>SUM(X198:X200,X203,X224,X221)-SUM(W198:W200,W203,W224,W221)</f>
        <v>-1133</v>
      </c>
      <c r="Y295" s="12">
        <f>SUM(Y198:Y200,Y203,Y224,Y221)-SUM(X198:X200,X203,X224,X221)</f>
        <v>2746</v>
      </c>
      <c r="Z295" s="12">
        <f>SUM(Z198:Z200,Z203,Z224,Z221)-SUM(Y198:Y200,Y203,Y224,Y221)</f>
        <v>-636</v>
      </c>
      <c r="AA295" s="12">
        <f>SUM(AA198:AA200,AA203,AA224,AA221)-SUM(Z198:Z200,Z203,Z224,Z221)</f>
        <v>-840</v>
      </c>
      <c r="AB295" s="12">
        <f>SUM(X295:AA295)</f>
        <v>137</v>
      </c>
      <c r="AC295" s="12">
        <f>SUM(AC198:AC200,AC203,AC224,AC221)-SUM(AB198:AB200,AB203,AB224,AB221)</f>
        <v>-4159</v>
      </c>
      <c r="AD295" s="12">
        <f>SUM(AD198:AD200,AD203,AD224,AD221)-SUM(AC198:AC200,AC203,AC224,AC221)</f>
        <v>1438</v>
      </c>
      <c r="AE295" s="12">
        <f>SUM(AE198:AE200,AE203,AE224,AE221)-SUM(AD198:AD200,AD203,AD224,AD221)</f>
        <v>3047</v>
      </c>
      <c r="AF295" s="12">
        <f>SUM(AF198:AF200,AF203,AF224,AF221)-SUM(AE198:AE200,AE203,AE224,AE221)</f>
        <v>1501</v>
      </c>
      <c r="AG295" s="12">
        <f>SUM(AC295:AF295)</f>
        <v>1827</v>
      </c>
      <c r="AH295" s="12">
        <f>SUM(AH198:AH200,AH203,AH224,AH221)-SUM(AG198:AG200,AG203,AG224,AG221)</f>
        <v>4124</v>
      </c>
      <c r="AI295" s="12">
        <f>SUM(AI198:AI200,AI203,AI224,AI221)-SUM(AH198:AH200,AH203,AH224,AH221)</f>
        <v>-5293</v>
      </c>
      <c r="AJ295" s="12">
        <f>SUM(AJ198:AJ200,AJ203,AJ224,AJ221)-SUM(AI198:AI200,AI203,AI224,AI221)</f>
        <v>0</v>
      </c>
      <c r="AK295" s="12">
        <f>SUM(AK198:AK200,AK203,AK224,AK221)-SUM(AJ198:AJ200,AJ203,AJ224,AJ221)</f>
        <v>0</v>
      </c>
      <c r="AL295" s="12">
        <f>SUM(AH295:AK295)</f>
        <v>-1169</v>
      </c>
      <c r="AM295" s="12">
        <f>SUM(AM198:AM200,AM203,AM224,AM221)-SUM(AL198:AL200,AL203,AL224,AL221)</f>
        <v>0</v>
      </c>
      <c r="AN295" s="12">
        <f>SUM(AN198:AN200,AN203,AN224,AN221)-SUM(AM198:AM200,AM203,AM224,AM221)</f>
        <v>0</v>
      </c>
      <c r="AO295" s="12">
        <f>SUM(AO198:AO200,AO203,AO224,AO221)-SUM(AN198:AN200,AN203,AN224,AN221)</f>
        <v>0</v>
      </c>
      <c r="AP295" s="12">
        <f>SUM(AP198:AP200,AP203,AP224,AP221)-SUM(AO198:AO200,AO203,AO224,AO221)</f>
        <v>0</v>
      </c>
      <c r="AQ295" s="12">
        <f>SUM(AM295:AP295)</f>
        <v>0</v>
      </c>
      <c r="AR295" s="12">
        <f>SUM(AR198:AR200,AR203,AR224,AR221)-SUM(AQ198:AQ200,AQ203,AQ224,AQ221)</f>
        <v>0</v>
      </c>
      <c r="AS295" s="12">
        <f>SUM(AS198:AS200,AS203,AS224,AS221)-SUM(AR198:AR200,AR203,AR224,AR221)</f>
        <v>0</v>
      </c>
      <c r="AT295" s="12">
        <f>SUM(AT198:AT200,AT203,AT224,AT221)-SUM(AS198:AS200,AS203,AS224,AS221)</f>
        <v>0</v>
      </c>
      <c r="AU295" s="12">
        <f>SUM(AU198:AU200,AU203,AU224,AU221)-SUM(AT198:AT200,AT203,AT224,AT221)</f>
        <v>0</v>
      </c>
      <c r="AV295" s="12">
        <f>SUM(AR295:AU295)</f>
        <v>0</v>
      </c>
      <c r="AW295" s="12">
        <f>SUM(AW198:AW200,AW203,AW224,AW221)-SUM(AV198:AV200,AV203,AV224,AV221)</f>
        <v>0</v>
      </c>
      <c r="AX295" s="12">
        <f>SUM(AX198:AX200,AX203,AX224,AX221)-SUM(AW198:AW200,AW203,AW224,AW221)</f>
        <v>0</v>
      </c>
      <c r="AY295" s="12">
        <f>SUM(AY198:AY200,AY203,AY224,AY221)-SUM(AX198:AX200,AX203,AX224,AX221)</f>
        <v>0</v>
      </c>
      <c r="AZ295" s="12">
        <f>SUM(AZ198:AZ200,AZ203,AZ224,AZ221)-SUM(AY198:AY200,AY203,AY224,AY221)</f>
        <v>0</v>
      </c>
      <c r="BA295" s="12">
        <f>SUM(AW295:AZ295)</f>
        <v>0</v>
      </c>
      <c r="BB295" s="12">
        <f>SUM(BB198:BB200,BB203,BB224,BB221)-SUM(BA198:BA200,BA203,BA224,BA221)</f>
        <v>0</v>
      </c>
      <c r="BC295" s="12">
        <f>SUM(BC198:BC200,BC203,BC224,BC221)-SUM(BB198:BB200,BB203,BB224,BB221)</f>
        <v>0</v>
      </c>
      <c r="BD295" s="12">
        <f>SUM(BD198:BD200,BD203,BD224,BD221)-SUM(BC198:BC200,BC203,BC224,BC221)</f>
        <v>0</v>
      </c>
      <c r="BE295" s="12">
        <f>SUM(BE198:BE200,BE203,BE224,BE221)-SUM(BD198:BD200,BD203,BD224,BD221)</f>
        <v>0</v>
      </c>
      <c r="BF295" s="12">
        <f>SUM(BB295:BE295)</f>
        <v>0</v>
      </c>
      <c r="BG295" s="12" t="n"/>
      <c r="BH295" s="12" t="n"/>
      <c r="BI295" s="12" t="n"/>
      <c r="BJ295" s="12" t="n"/>
      <c r="BK295" s="12" t="n"/>
      <c r="BL295" s="12" t="n"/>
      <c r="BM295" s="12" t="n"/>
      <c r="BN295" s="12" t="n"/>
      <c r="BO295" s="12" t="n"/>
      <c r="BP295" s="12" t="n"/>
      <c r="BQ295" s="12" t="n"/>
      <c r="BR295" s="12" t="n"/>
      <c r="BS295" s="12" t="n"/>
      <c r="BT295" s="12" t="n"/>
      <c r="BU295" s="12" t="n"/>
      <c r="BV295" s="12" t="n"/>
      <c r="BW295" s="12" t="n"/>
      <c r="BX295" s="12" t="n"/>
      <c r="BY295" s="12" t="n"/>
      <c r="BZ295" s="12" t="n"/>
      <c r="CA295" s="12" t="n"/>
      <c r="CB295" s="12" t="n"/>
      <c r="CC295" s="12" t="n"/>
      <c r="CD295" s="12" t="n"/>
      <c r="CE295" s="12" t="n"/>
      <c r="CF295" s="12" t="n"/>
      <c r="CG295" s="12" t="n"/>
      <c r="CH295" s="12" t="n"/>
      <c r="CI295" s="12" t="n"/>
      <c r="CJ295" s="12" t="n"/>
      <c r="CK295" s="12" t="n"/>
      <c r="CL295" s="12" t="n"/>
      <c r="CM295" s="12" t="n"/>
      <c r="CN295" s="12" t="n"/>
      <c r="CO295" s="12" t="n"/>
      <c r="CP295" s="12" t="n"/>
      <c r="CQ295" s="12" t="n"/>
      <c r="CR295" s="12" t="n"/>
      <c r="CS295" s="12" t="n"/>
      <c r="CT295" s="12" t="n"/>
      <c r="CU295" s="12" t="n"/>
      <c r="CV295" s="12" t="n"/>
      <c r="CW295" s="12" t="n"/>
      <c r="CX295" s="12" t="n"/>
      <c r="CY295" s="12" t="n"/>
      <c r="CZ295" s="12" t="n"/>
      <c r="DA295" s="12" t="n"/>
      <c r="DB295" s="12" t="n"/>
      <c r="DC295" s="12" t="n"/>
    </row>
    <row r="296">
      <c r="C296" s="14" t="inlineStr">
        <is>
          <t>Cash from financing</t>
        </is>
      </c>
      <c r="D296" s="12" t="n"/>
      <c r="E296" s="12" t="n"/>
      <c r="F296" s="12" t="n"/>
      <c r="G296" s="12" t="n"/>
      <c r="H296" s="12" t="n"/>
      <c r="I296" s="12" t="n"/>
      <c r="J296" s="12">
        <f>SUM(J288,J289,J290,J291,J292,J293,J294,J295)</f>
        <v>-6036</v>
      </c>
      <c r="K296" s="12">
        <f>SUM(K288,K289,K290,K291,K292,K293,K294,K295)</f>
        <v>-8999</v>
      </c>
      <c r="L296" s="12">
        <f>SUM(L288,L289,L290,L291,L292,L293,L294,L295)</f>
        <v>-9803</v>
      </c>
      <c r="M296" s="12" t="n"/>
      <c r="N296" s="12">
        <f>SUM(N288,N289,N290,N291,N292,N293,N294,N295)</f>
        <v>-5074</v>
      </c>
      <c r="O296" s="12">
        <f>SUM(O288,O289,O290,O291,O292,O293,O294,O295)</f>
        <v>-11246</v>
      </c>
      <c r="P296" s="12">
        <f>SUM(P288,P289,P290,P291,P292,P293,P294,P295)</f>
        <v>-13118</v>
      </c>
      <c r="Q296" s="12">
        <f>SUM(Q288,Q289,Q290,Q291,Q292,Q293,Q294,Q295)</f>
        <v>-7860</v>
      </c>
      <c r="R296" s="12">
        <f>SUM(R288,R289,R290,R291,R292,R293,R294,R295)</f>
        <v>-37298</v>
      </c>
      <c r="S296" s="12">
        <f>SUM(S288,S289,S290,S291,S292,S293,S294,S295)</f>
        <v>-7649</v>
      </c>
      <c r="T296" s="12">
        <f>SUM(T288,T289,T290,T291,T292,T293,T294,T295)</f>
        <v>-7520</v>
      </c>
      <c r="U296" s="12">
        <f>SUM(U288,U289,U290,U291,U292,U293,U294,U295)</f>
        <v>-9053</v>
      </c>
      <c r="V296" s="12">
        <f>SUM(V288,V289,V290,V291,V292,V293,V294,V295)</f>
        <v>-2687</v>
      </c>
      <c r="W296" s="12">
        <f>SUM(W288,W289,W290,W291,W292,W293,W294,W295)</f>
        <v>-26909</v>
      </c>
      <c r="X296" s="12">
        <f>SUM(X288,X289,X290,X291,X292,X293,X294,X295)</f>
        <v>-9185</v>
      </c>
      <c r="Y296" s="12">
        <f>SUM(Y288,Y289,Y290,Y291,Y292,Y293,Y294,Y295)</f>
        <v>56389</v>
      </c>
      <c r="Z296" s="12">
        <f>SUM(Z288,Z289,Z290,Z291,Z292,Z293,Z294,Z295)</f>
        <v>-9473</v>
      </c>
      <c r="AA296" s="12">
        <f>SUM(AA288,AA289,AA290,AA291,AA292,AA293,AA294,AA295)</f>
        <v>-14589</v>
      </c>
      <c r="AB296" s="12">
        <f>SUM(AB288,AB289,AB290,AB291,AB292,AB293,AB294,AB295)</f>
        <v>23142</v>
      </c>
      <c r="AC296" s="12">
        <f>SUM(AC288,AC289,AC290,AC291,AC292,AC293,AC294,AC295)</f>
        <v>-12992</v>
      </c>
      <c r="AD296" s="12">
        <f>SUM(AD288,AD289,AD290,AD291,AD292,AD293,AD294,AD295)</f>
        <v>-5760</v>
      </c>
      <c r="AE296" s="12">
        <f>SUM(AE288,AE289,AE290,AE291,AE292,AE293,AE294,AE295)</f>
        <v>-6460</v>
      </c>
      <c r="AF296" s="12">
        <f>SUM(AF288,AF289,AF290,AF291,AF292,AF293,AF294,AF295)</f>
        <v>-6705</v>
      </c>
      <c r="AG296" s="12">
        <f>SUM(AG288,AG289,AG290,AG291,AG292,AG293,AG294,AG295)</f>
        <v>-31917</v>
      </c>
      <c r="AH296" s="12">
        <f>SUM(AH288,AH289,AH290,AH291,AH292,AH293,AH294,AH295)</f>
        <v>-5978</v>
      </c>
      <c r="AI296" s="12">
        <f>SUM(AI288,AI289,AI290,AI291,AI292,AI293,AI294,AI295)</f>
        <v>-15059</v>
      </c>
      <c r="AJ296" s="12">
        <f>SUM(AJ288,AJ289,AJ290,AJ291,AJ292,AJ293,AJ294,AJ295)</f>
        <v>0</v>
      </c>
      <c r="AK296" s="12">
        <f>SUM(AK288,AK289,AK290,AK291,AK292,AK293,AK294,AK295)</f>
        <v>0</v>
      </c>
      <c r="AL296" s="12">
        <f>SUM(AL288,AL289,AL290,AL291,AL292,AL293,AL294,AL295)</f>
        <v>-21037</v>
      </c>
      <c r="AM296" s="12">
        <f>SUM(AM288,AM289,AM290,AM291,AM292,AM293,AM294,AM295)</f>
        <v>0</v>
      </c>
      <c r="AN296" s="12">
        <f>SUM(AN288,AN289,AN290,AN291,AN292,AN293,AN294,AN295)</f>
        <v>-4.00177668780088e-11</v>
      </c>
      <c r="AO296" s="12">
        <f>SUM(AO288,AO289,AO290,AO291,AO292,AO293,AO294,AO295)</f>
        <v>0</v>
      </c>
      <c r="AP296" s="12">
        <f>SUM(AP288,AP289,AP290,AP291,AP292,AP293,AP294,AP295)</f>
        <v>0</v>
      </c>
      <c r="AQ296" s="12">
        <f>SUM(AQ288,AQ289,AQ290,AQ291,AQ292,AQ293,AQ294,AQ295)</f>
        <v>-4.00177668780088e-11</v>
      </c>
      <c r="AR296" s="12">
        <f>SUM(AR288,AR289,AR290,AR291,AR292,AR293,AR294,AR295)</f>
        <v>3.09228198602796e-11</v>
      </c>
      <c r="AS296" s="12">
        <f>SUM(AS288,AS289,AS290,AS291,AS292,AS293,AS294,AS295)</f>
        <v>0</v>
      </c>
      <c r="AT296" s="12">
        <f>SUM(AT288,AT289,AT290,AT291,AT292,AT293,AT294,AT295)</f>
        <v>0</v>
      </c>
      <c r="AU296" s="12">
        <f>SUM(AU288,AU289,AU290,AU291,AU292,AU293,AU294,AU295)</f>
        <v>3.63797880709171e-11</v>
      </c>
      <c r="AV296" s="12">
        <f>SUM(AV288,AV289,AV290,AV291,AV292,AV293,AV294,AV295)</f>
        <v>6.73026079311967e-11</v>
      </c>
      <c r="AW296" s="12">
        <f>SUM(AW288,AW289,AW290,AW291,AW292,AW293,AW294,AW295)</f>
        <v>0</v>
      </c>
      <c r="AX296" s="12">
        <f>SUM(AX288,AX289,AX290,AX291,AX292,AX293,AX294,AX295)</f>
        <v>-5.45696821063757e-11</v>
      </c>
      <c r="AY296" s="12">
        <f>SUM(AY288,AY289,AY290,AY291,AY292,AY293,AY294,AY295)</f>
        <v>4.00177668780088e-11</v>
      </c>
      <c r="AZ296" s="12">
        <f>SUM(AZ288,AZ289,AZ290,AZ291,AZ292,AZ293,AZ294,AZ295)</f>
        <v>0</v>
      </c>
      <c r="BA296" s="12">
        <f>SUM(BA288,BA289,BA290,BA291,BA292,BA293,BA294,BA295)</f>
        <v>-1.45519152283669e-11</v>
      </c>
      <c r="BB296" s="12">
        <f>SUM(BB288,BB289,BB290,BB291,BB292,BB293,BB294,BB295)</f>
        <v>0</v>
      </c>
      <c r="BC296" s="12">
        <f>SUM(BC288,BC289,BC290,BC291,BC292,BC293,BC294,BC295)</f>
        <v>-4.72937244921923e-11</v>
      </c>
      <c r="BD296" s="12">
        <f>SUM(BD288,BD289,BD290,BD291,BD292,BD293,BD294,BD295)</f>
        <v>-4.00177668780088e-11</v>
      </c>
      <c r="BE296" s="12">
        <f>SUM(BE288,BE289,BE290,BE291,BE292,BE293,BE294,BE295)</f>
        <v>3.27418092638254e-11</v>
      </c>
      <c r="BF296" s="12">
        <f>SUM(BF288,BF289,BF290,BF291,BF292,BF293,BF294,BF295)</f>
        <v>-5.45696821063757e-11</v>
      </c>
      <c r="BG296" s="12" t="n"/>
      <c r="BH296" s="12" t="n"/>
      <c r="BI296" s="12" t="n"/>
      <c r="BJ296" s="12" t="n"/>
      <c r="BK296" s="12" t="n"/>
      <c r="BL296" s="12" t="n"/>
      <c r="BM296" s="12" t="n"/>
      <c r="BN296" s="12" t="n"/>
      <c r="BO296" s="12" t="n"/>
      <c r="BP296" s="12" t="n"/>
      <c r="BQ296" s="12" t="n"/>
      <c r="BR296" s="12" t="n"/>
      <c r="BS296" s="12" t="n"/>
      <c r="BT296" s="12" t="n"/>
      <c r="BU296" s="12" t="n"/>
      <c r="BV296" s="12" t="n"/>
      <c r="BW296" s="12" t="n"/>
      <c r="BX296" s="12" t="n"/>
      <c r="BY296" s="12" t="n"/>
      <c r="BZ296" s="12" t="n"/>
      <c r="CA296" s="12" t="n"/>
      <c r="CB296" s="12" t="n"/>
      <c r="CC296" s="12" t="n"/>
      <c r="CD296" s="12" t="n"/>
      <c r="CE296" s="12" t="n"/>
      <c r="CF296" s="12" t="n"/>
      <c r="CG296" s="12" t="n"/>
      <c r="CH296" s="12" t="n"/>
      <c r="CI296" s="12" t="n"/>
      <c r="CJ296" s="12" t="n"/>
      <c r="CK296" s="12" t="n"/>
      <c r="CL296" s="12" t="n"/>
      <c r="CM296" s="12" t="n"/>
      <c r="CN296" s="12" t="n"/>
      <c r="CO296" s="12" t="n"/>
      <c r="CP296" s="12" t="n"/>
      <c r="CQ296" s="12" t="n"/>
      <c r="CR296" s="12" t="n"/>
      <c r="CS296" s="12" t="n"/>
      <c r="CT296" s="12" t="n"/>
      <c r="CU296" s="12" t="n"/>
      <c r="CV296" s="12" t="n"/>
      <c r="CW296" s="12" t="n"/>
      <c r="CX296" s="12" t="n"/>
      <c r="CY296" s="12" t="n"/>
    </row>
    <row r="297">
      <c r="C297" s="14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  <c r="Y297" s="12" t="n"/>
      <c r="Z297" s="12" t="n"/>
      <c r="AA297" s="12" t="n"/>
      <c r="AB297" s="12" t="n"/>
      <c r="AC297" s="12" t="n"/>
      <c r="AD297" s="12" t="n"/>
      <c r="AE297" s="12" t="n"/>
      <c r="AF297" s="12" t="n"/>
      <c r="AG297" s="12" t="n"/>
      <c r="AH297" s="12" t="n"/>
      <c r="AI297" s="12" t="n"/>
      <c r="AJ297" s="12" t="n"/>
      <c r="AK297" s="12" t="n"/>
      <c r="AL297" s="12" t="n"/>
      <c r="AM297" s="12" t="n"/>
      <c r="AN297" s="12" t="n"/>
      <c r="AO297" s="12" t="n"/>
      <c r="AP297" s="12" t="n"/>
      <c r="AQ297" s="12" t="n"/>
      <c r="AR297" s="12" t="n"/>
      <c r="AS297" s="12" t="n"/>
      <c r="AT297" s="12" t="n"/>
      <c r="AU297" s="12" t="n"/>
      <c r="AV297" s="12" t="n"/>
      <c r="AW297" s="12" t="n"/>
      <c r="AX297" s="12" t="n"/>
      <c r="AY297" s="12" t="n"/>
      <c r="AZ297" s="12" t="n"/>
      <c r="BA297" s="12" t="n"/>
      <c r="BB297" s="12" t="n"/>
      <c r="BC297" s="12" t="n"/>
      <c r="BD297" s="12" t="n"/>
      <c r="BE297" s="12" t="n"/>
      <c r="BF297" s="12" t="n"/>
      <c r="BG297" s="12" t="n"/>
      <c r="BH297" s="12" t="n"/>
      <c r="BI297" s="12" t="n"/>
      <c r="BJ297" s="12" t="n"/>
      <c r="BK297" s="12" t="n"/>
      <c r="BL297" s="12" t="n"/>
      <c r="BM297" s="12" t="n"/>
      <c r="BN297" s="12" t="n"/>
      <c r="BO297" s="12" t="n"/>
      <c r="BP297" s="12" t="n"/>
      <c r="BQ297" s="12" t="n"/>
      <c r="BR297" s="12" t="n"/>
      <c r="BS297" s="12" t="n"/>
      <c r="BT297" s="12" t="n"/>
      <c r="BU297" s="12" t="n"/>
      <c r="BV297" s="12" t="n"/>
      <c r="BW297" s="12" t="n"/>
      <c r="BX297" s="12" t="n"/>
      <c r="BY297" s="12" t="n"/>
      <c r="BZ297" s="12" t="n"/>
      <c r="CA297" s="12" t="n"/>
      <c r="CB297" s="12" t="n"/>
      <c r="CC297" s="12" t="n"/>
      <c r="CD297" s="12" t="n"/>
      <c r="CE297" s="12" t="n"/>
      <c r="CF297" s="12" t="n"/>
      <c r="CG297" s="12" t="n"/>
      <c r="CH297" s="12" t="n"/>
      <c r="CI297" s="12" t="n"/>
      <c r="CJ297" s="12" t="n"/>
      <c r="CK297" s="12" t="n"/>
      <c r="CL297" s="12" t="n"/>
      <c r="CM297" s="12" t="n"/>
      <c r="CN297" s="12" t="n"/>
      <c r="CO297" s="12" t="n"/>
      <c r="CP297" s="12" t="n"/>
      <c r="CQ297" s="12" t="n"/>
      <c r="CR297" s="12" t="n"/>
      <c r="CS297" s="12" t="n"/>
      <c r="CT297" s="12" t="n"/>
      <c r="CU297" s="12" t="n"/>
      <c r="CV297" s="12" t="n"/>
      <c r="CW297" s="12" t="n"/>
      <c r="CX297" s="12" t="n"/>
      <c r="CY297" s="12" t="n"/>
    </row>
    <row r="298">
      <c r="C298" s="14" t="inlineStr">
        <is>
          <t>Others / cash reconciliation plug</t>
        </is>
      </c>
      <c r="D298" s="12" t="n"/>
      <c r="E298" s="12" t="n"/>
      <c r="F298" s="12" t="n"/>
      <c r="G298" s="12" t="n"/>
      <c r="H298" s="12" t="n"/>
      <c r="I298" s="12" t="n"/>
      <c r="J298" s="12">
        <f>J130-I130-SUM(J279,J286,J296)</f>
        <v>0</v>
      </c>
      <c r="K298" s="12">
        <f>K130-J130-SUM(K279,K286,K296)</f>
        <v>0</v>
      </c>
      <c r="L298" s="12">
        <f>L130-K130-SUM(L279,L286,L296)</f>
        <v>0</v>
      </c>
      <c r="M298" s="12" t="n"/>
      <c r="N298" s="12">
        <f>N130-M130-SUM(N279,N286,N296)</f>
        <v>0</v>
      </c>
      <c r="O298" s="12">
        <f>O130-N130-SUM(O279,O286,O296)</f>
        <v>0</v>
      </c>
      <c r="P298" s="12">
        <f>P130-O130-SUM(P279,P286,P296)</f>
        <v>0</v>
      </c>
      <c r="Q298" s="12">
        <f>Q130-P130-SUM(Q279,Q286,Q296)</f>
        <v>0</v>
      </c>
      <c r="R298" s="12">
        <f>SUM(N298:Q298)</f>
        <v>0</v>
      </c>
      <c r="S298" s="12">
        <f>S130-R130-SUM(S279,S286,S296)</f>
        <v>0</v>
      </c>
      <c r="T298" s="12">
        <f>T130-S130-SUM(T279,T286,T296)</f>
        <v>0</v>
      </c>
      <c r="U298" s="12">
        <f>U130-T130-SUM(U279,U286,U296)</f>
        <v>0</v>
      </c>
      <c r="V298" s="12">
        <f>V130-U130-SUM(V279,V286,V296)</f>
        <v>0</v>
      </c>
      <c r="W298" s="12">
        <f>SUM(S298:V298)</f>
        <v>0</v>
      </c>
      <c r="X298" s="12">
        <f>X130-W130-SUM(X279,X286,X296)</f>
        <v>0</v>
      </c>
      <c r="Y298" s="12">
        <f>Y130-X130-SUM(Y279,Y286,Y296)</f>
        <v>0</v>
      </c>
      <c r="Z298" s="12">
        <f>Z130-Y130-SUM(Z279,Z286,Z296)</f>
        <v>0</v>
      </c>
      <c r="AA298" s="12">
        <f>AA130-Z130-SUM(AA279,AA286,AA296)</f>
        <v>0</v>
      </c>
      <c r="AB298" s="12">
        <f>SUM(X298:AA298)</f>
        <v>0</v>
      </c>
      <c r="AC298" s="12">
        <f>AC130-AB130-SUM(AC279,AC286,AC296)</f>
        <v>0</v>
      </c>
      <c r="AD298" s="12">
        <f>AD130-AC130-SUM(AD279,AD286,AD296)</f>
        <v>0</v>
      </c>
      <c r="AE298" s="12">
        <f>AE130-AD130-SUM(AE279,AE286,AE296)</f>
        <v>0</v>
      </c>
      <c r="AF298" s="12">
        <f>AF130-AE130-SUM(AF279,AF286,AF296)</f>
        <v>0</v>
      </c>
      <c r="AG298" s="12">
        <f>SUM(AC298:AF298)</f>
        <v>0</v>
      </c>
      <c r="AH298" s="12">
        <f>AH130-AG130-SUM(AH279,AH286,AH296)</f>
        <v>0</v>
      </c>
      <c r="AI298" s="12">
        <f>AI130-AH130-SUM(AI279,AI286,AI296)</f>
        <v>0</v>
      </c>
      <c r="AJ298" s="12">
        <f>AJ130-AI130-SUM(AJ279,AJ286,AJ296)</f>
        <v>0</v>
      </c>
      <c r="AK298" s="12">
        <f>AK130-AJ130-SUM(AK279,AK286,AK296)</f>
        <v>3.45607986673713e-11</v>
      </c>
      <c r="AL298" s="12">
        <f>SUM(AH298:AK298)</f>
        <v>3.45607986673713e-11</v>
      </c>
      <c r="AM298" s="12">
        <f>AM130-AL130-SUM(AM279,AM286,AM296)</f>
        <v>-5.0931703299284e-11</v>
      </c>
      <c r="AN298" s="12">
        <f>AN130-AM130-SUM(AN279,AN286,AN296)</f>
        <v>0</v>
      </c>
      <c r="AO298" s="12">
        <f>AO130-AN130-SUM(AO279,AO286,AO296)</f>
        <v>5.91171556152403e-11</v>
      </c>
      <c r="AP298" s="12">
        <f>AP130-AO130-SUM(AP279,AP286,AP296)</f>
        <v>-5.45696821063757e-11</v>
      </c>
      <c r="AQ298" s="12">
        <f>SUM(AM298:AP298)</f>
        <v>-4.63842297904193e-11</v>
      </c>
      <c r="AR298" s="12">
        <f>AR130-AQ130-SUM(AR279,AR286,AR296)</f>
        <v>0</v>
      </c>
      <c r="AS298" s="12">
        <f>AS130-AR130-SUM(AS279,AS286,AS296)</f>
        <v>9.82254277914763e-11</v>
      </c>
      <c r="AT298" s="12">
        <f>AT130-AS130-SUM(AT279,AT286,AT296)</f>
        <v>0</v>
      </c>
      <c r="AU298" s="12">
        <f>AU130-AT130-SUM(AU279,AU286,AU296)</f>
        <v>-8.00355337560177e-11</v>
      </c>
      <c r="AV298" s="12">
        <f>SUM(AR298:AU298)</f>
        <v>1.81898940354586e-11</v>
      </c>
      <c r="AW298" s="12">
        <f>AW130-AV130-SUM(AW279,AW286,AW296)</f>
        <v>-4.00177668780088e-11</v>
      </c>
      <c r="AX298" s="12">
        <f>AX130-AW130-SUM(AX279,AX286,AX296)</f>
        <v>0</v>
      </c>
      <c r="AY298" s="12">
        <f>AY130-AX130-SUM(AY279,AY286,AY296)</f>
        <v>-3.72892827726901e-11</v>
      </c>
      <c r="AZ298" s="12">
        <f>AZ130-AY130-SUM(AZ279,AZ286,AZ296)</f>
        <v>0</v>
      </c>
      <c r="BA298" s="12">
        <f>SUM(AW298:AZ298)</f>
        <v>-7.73070496506989e-11</v>
      </c>
      <c r="BB298" s="12">
        <f>BB130-BA130-SUM(BB279,BB286,BB296)</f>
        <v>6.00266503170133e-11</v>
      </c>
      <c r="BC298" s="12">
        <f>BC130-BB130-SUM(BC279,BC286,BC296)</f>
        <v>-8.73114913702011e-11</v>
      </c>
      <c r="BD298" s="12">
        <f>BD130-BC130-SUM(BD279,BD286,BD296)</f>
        <v>6.91215973347426e-11</v>
      </c>
      <c r="BE298" s="12">
        <f>BE130-BD130-SUM(BE279,BE286,BE296)</f>
        <v>0</v>
      </c>
      <c r="BF298" s="12">
        <f>SUM(BB298:BE298)</f>
        <v>4.18367562815547e-11</v>
      </c>
      <c r="BG298" s="12" t="n"/>
      <c r="BH298" s="12" t="n"/>
      <c r="BI298" s="12" t="n"/>
      <c r="BJ298" s="12" t="n"/>
      <c r="BK298" s="12" t="n"/>
      <c r="BL298" s="12" t="n"/>
      <c r="BM298" s="12" t="n"/>
      <c r="BN298" s="12" t="n"/>
      <c r="BO298" s="12" t="n"/>
      <c r="BP298" s="12" t="n"/>
      <c r="BQ298" s="12" t="n"/>
      <c r="BR298" s="12" t="n"/>
      <c r="BS298" s="12" t="n"/>
      <c r="BT298" s="12" t="n"/>
      <c r="BU298" s="12" t="n"/>
      <c r="BV298" s="12" t="n"/>
      <c r="BW298" s="12" t="n"/>
      <c r="BX298" s="12" t="n"/>
      <c r="BY298" s="12" t="n"/>
      <c r="BZ298" s="12" t="n"/>
      <c r="CA298" s="12" t="n"/>
      <c r="CB298" s="12" t="n"/>
      <c r="CC298" s="12" t="n"/>
      <c r="CD298" s="12" t="n"/>
      <c r="CE298" s="12" t="n"/>
      <c r="CF298" s="12" t="n"/>
      <c r="CG298" s="12" t="n"/>
      <c r="CH298" s="12" t="n"/>
      <c r="CI298" s="12" t="n"/>
      <c r="CJ298" s="12" t="n"/>
      <c r="CK298" s="12" t="n"/>
      <c r="CL298" s="12" t="n"/>
      <c r="CM298" s="12" t="n"/>
      <c r="CN298" s="12" t="n"/>
      <c r="CO298" s="12" t="n"/>
      <c r="CP298" s="12" t="n"/>
      <c r="CQ298" s="12" t="n"/>
      <c r="CR298" s="12" t="n"/>
      <c r="CS298" s="12" t="n"/>
      <c r="CT298" s="12" t="n"/>
      <c r="CU298" s="12" t="n"/>
      <c r="CV298" s="12" t="n"/>
      <c r="CW298" s="12" t="n"/>
      <c r="CX298" s="12" t="n"/>
      <c r="CY298" s="12" t="n"/>
    </row>
    <row r="299">
      <c r="C299" s="14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  <c r="Y299" s="12" t="n"/>
      <c r="Z299" s="12" t="n"/>
      <c r="AA299" s="12" t="n"/>
      <c r="AB299" s="12" t="n"/>
      <c r="AC299" s="12" t="n"/>
      <c r="AD299" s="12" t="n"/>
      <c r="AE299" s="12" t="n"/>
      <c r="AF299" s="12" t="n"/>
      <c r="AG299" s="12" t="n"/>
      <c r="AH299" s="12" t="n"/>
      <c r="AI299" s="12" t="n"/>
      <c r="AJ299" s="12" t="n"/>
      <c r="AK299" s="12" t="n"/>
      <c r="AL299" s="12" t="n"/>
      <c r="AM299" s="12" t="n"/>
      <c r="AN299" s="12" t="n"/>
      <c r="AO299" s="12" t="n"/>
      <c r="AP299" s="12" t="n"/>
      <c r="AQ299" s="12" t="n"/>
      <c r="AR299" s="12" t="n"/>
      <c r="AS299" s="12" t="n"/>
      <c r="AT299" s="12" t="n"/>
      <c r="AU299" s="12" t="n"/>
      <c r="AV299" s="12" t="n"/>
      <c r="AW299" s="12" t="n"/>
      <c r="AX299" s="12" t="n"/>
      <c r="AY299" s="12" t="n"/>
      <c r="AZ299" s="12" t="n"/>
      <c r="BA299" s="12" t="n"/>
      <c r="BB299" s="12" t="n"/>
      <c r="BC299" s="12" t="n"/>
      <c r="BD299" s="12" t="n"/>
      <c r="BE299" s="12" t="n"/>
      <c r="BF299" s="12" t="n"/>
      <c r="BG299" s="12" t="n"/>
      <c r="BH299" s="12" t="n"/>
      <c r="BI299" s="12" t="n"/>
      <c r="BJ299" s="12" t="n"/>
      <c r="BK299" s="12" t="n"/>
      <c r="BL299" s="12" t="n"/>
      <c r="BM299" s="12" t="n"/>
      <c r="BN299" s="12" t="n"/>
      <c r="BO299" s="12" t="n"/>
      <c r="BP299" s="12" t="n"/>
      <c r="BQ299" s="12" t="n"/>
      <c r="BR299" s="12" t="n"/>
      <c r="BS299" s="12" t="n"/>
      <c r="BT299" s="12" t="n"/>
      <c r="BU299" s="12" t="n"/>
      <c r="BV299" s="12" t="n"/>
      <c r="BW299" s="12" t="n"/>
      <c r="BX299" s="12" t="n"/>
      <c r="BY299" s="12" t="n"/>
      <c r="BZ299" s="12" t="n"/>
      <c r="CA299" s="12" t="n"/>
      <c r="CB299" s="12" t="n"/>
      <c r="CC299" s="12" t="n"/>
      <c r="CD299" s="12" t="n"/>
      <c r="CE299" s="12" t="n"/>
      <c r="CF299" s="12" t="n"/>
      <c r="CG299" s="12" t="n"/>
      <c r="CH299" s="12" t="n"/>
      <c r="CI299" s="12" t="n"/>
      <c r="CJ299" s="12" t="n"/>
      <c r="CK299" s="12" t="n"/>
      <c r="CL299" s="12" t="n"/>
      <c r="CM299" s="12" t="n"/>
      <c r="CN299" s="12" t="n"/>
      <c r="CO299" s="12" t="n"/>
      <c r="CP299" s="12" t="n"/>
      <c r="CQ299" s="12" t="n"/>
      <c r="CR299" s="12" t="n"/>
      <c r="CS299" s="12" t="n"/>
      <c r="CT299" s="12" t="n"/>
      <c r="CU299" s="12" t="n"/>
      <c r="CV299" s="12" t="n"/>
      <c r="CW299" s="12" t="n"/>
      <c r="CX299" s="12" t="n"/>
      <c r="CY299" s="12" t="n"/>
    </row>
    <row r="300">
      <c r="C300" s="14" t="inlineStr">
        <is>
          <t>Total increase/decrease of cash</t>
        </is>
      </c>
      <c r="D300" s="12" t="n"/>
      <c r="E300" s="12" t="n"/>
      <c r="F300" s="12" t="n"/>
      <c r="G300" s="12" t="n"/>
      <c r="H300" s="12" t="n"/>
      <c r="I300" s="12" t="n"/>
      <c r="J300" s="12">
        <f>SUM(J279,J286,J296,J298)</f>
        <v>-50</v>
      </c>
      <c r="K300" s="12">
        <f>SUM(K279,K286,K296,K298)</f>
        <v>1303</v>
      </c>
      <c r="L300" s="12">
        <f>SUM(L279,L286,L296,L298)</f>
        <v>2034</v>
      </c>
      <c r="M300" s="12" t="n"/>
      <c r="N300" s="12">
        <f>SUM(N279,N286,N296,N298)</f>
        <v>4272</v>
      </c>
      <c r="O300" s="12">
        <f>SUM(O279,O286,O296,O298)</f>
        <v>7787</v>
      </c>
      <c r="P300" s="12">
        <f>SUM(P279,P286,P296,P298)</f>
        <v>11546</v>
      </c>
      <c r="Q300" s="12">
        <f>SUM(Q279,Q286,Q296,Q298)</f>
        <v>-767</v>
      </c>
      <c r="R300" s="12">
        <f>SUM(N300:Q300)</f>
        <v>22838</v>
      </c>
      <c r="S300" s="12">
        <f>SUM(S279,S286,S296,S298)</f>
        <v>3011</v>
      </c>
      <c r="T300" s="12">
        <f>SUM(T279,T286,T296,T298)</f>
        <v>-3123</v>
      </c>
      <c r="U300" s="12">
        <f>SUM(U279,U286,U296,U298)</f>
        <v>3416</v>
      </c>
      <c r="V300" s="12">
        <f>SUM(V279,V286,V296,V298)</f>
        <v>-1405</v>
      </c>
      <c r="W300" s="12">
        <f>SUM(S300:V300)</f>
        <v>1899</v>
      </c>
      <c r="X300" s="12">
        <f>SUM(X279,X286,X296,X298)</f>
        <v>1781</v>
      </c>
      <c r="Y300" s="12">
        <f>SUM(Y279,Y286,Y296,Y298)</f>
        <v>-6860</v>
      </c>
      <c r="Z300" s="12">
        <f>SUM(Z279,Z286,Z296,Z298)</f>
        <v>466</v>
      </c>
      <c r="AA300" s="12">
        <f>SUM(AA279,AA286,AA296,AA298)</f>
        <v>-3897</v>
      </c>
      <c r="AB300" s="12">
        <f>SUM(X300:AA300)</f>
        <v>-8510</v>
      </c>
      <c r="AC300" s="12">
        <f>SUM(AC279,AC286,AC296,AC298)</f>
        <v>-5993</v>
      </c>
      <c r="AD300" s="12">
        <f>SUM(AD279,AD286,AD296,AD298)</f>
        <v>-2684</v>
      </c>
      <c r="AE300" s="12">
        <f>SUM(AE279,AE286,AE296,AE298)</f>
        <v>-538</v>
      </c>
      <c r="AF300" s="12">
        <f>SUM(AF279,AF286,AF296,AF298)</f>
        <v>-3133</v>
      </c>
      <c r="AG300" s="12">
        <f>SUM(AC300:AF300)</f>
        <v>-12348</v>
      </c>
      <c r="AH300" s="12">
        <f>SUM(AH279,AH286,AH296,AH298)</f>
        <v>-2246</v>
      </c>
      <c r="AI300" s="12">
        <f>SUM(AI279,AI286,AI296,AI298)</f>
        <v>2153</v>
      </c>
      <c r="AJ300" s="12">
        <f>SUM(AJ279,AJ286,AJ296,AJ298)</f>
        <v>11160.0157938774</v>
      </c>
      <c r="AK300" s="12">
        <f>SUM(AK279,AK286,AK296,AK298)</f>
        <v>7104.31898743764</v>
      </c>
      <c r="AL300" s="12">
        <f>SUM(AH300:AK300)</f>
        <v>18171.3347813151</v>
      </c>
      <c r="AM300" s="12">
        <f>SUM(AM279,AM286,AM296,AM298)</f>
        <v>8918.34046130389</v>
      </c>
      <c r="AN300" s="12">
        <f>SUM(AN279,AN286,AN296,AN298)</f>
        <v>16873.9098073404</v>
      </c>
      <c r="AO300" s="12">
        <f>SUM(AO279,AO286,AO296,AO298)</f>
        <v>2649.41422753618</v>
      </c>
      <c r="AP300" s="12">
        <f>SUM(AP279,AP286,AP296,AP298)</f>
        <v>7436.42580003146</v>
      </c>
      <c r="AQ300" s="12">
        <f>SUM(AM300:AP300)</f>
        <v>35878.0902962119</v>
      </c>
      <c r="AR300" s="12">
        <f>SUM(AR279,AR286,AR296,AR298)</f>
        <v>8977.04539208153</v>
      </c>
      <c r="AS300" s="12">
        <f>SUM(AS279,AS286,AS296,AS298)</f>
        <v>17715.3713484752</v>
      </c>
      <c r="AT300" s="12">
        <f>SUM(AT279,AT286,AT296,AT298)</f>
        <v>2749.70371091743</v>
      </c>
      <c r="AU300" s="12">
        <f>SUM(AU279,AU286,AU296,AU298)</f>
        <v>7717.5927113553</v>
      </c>
      <c r="AV300" s="12">
        <f>SUM(AR300:AU300)</f>
        <v>37159.7131628295</v>
      </c>
      <c r="AW300" s="12">
        <f>SUM(AW279,AW286,AW296,AW298)</f>
        <v>9388.10053448804</v>
      </c>
      <c r="AX300" s="12">
        <f>SUM(AX279,AX286,AX296,AX298)</f>
        <v>18088.1365379862</v>
      </c>
      <c r="AY300" s="12">
        <f>SUM(AY279,AY286,AY296,AY298)</f>
        <v>2832.87671922206</v>
      </c>
      <c r="AZ300" s="12">
        <f>SUM(AZ279,AZ286,AZ296,AZ298)</f>
        <v>7963.41146370449</v>
      </c>
      <c r="BA300" s="12">
        <f>SUM(AW300:AZ300)</f>
        <v>38272.5252554008</v>
      </c>
      <c r="BB300" s="12">
        <f>SUM(BB279,BB286,BB296,BB298)</f>
        <v>9548.91583344585</v>
      </c>
      <c r="BC300" s="12">
        <f>SUM(BC279,BC286,BC296,BC298)</f>
        <v>18580.761722413</v>
      </c>
      <c r="BD300" s="12">
        <f>SUM(BD279,BD286,BD296,BD298)</f>
        <v>2896.54438955738</v>
      </c>
      <c r="BE300" s="12">
        <f>SUM(BE279,BE286,BE296,BE298)</f>
        <v>8169.26146077655</v>
      </c>
      <c r="BF300" s="12">
        <f>SUM(BB300:BE300)</f>
        <v>39195.4834061927</v>
      </c>
      <c r="BG300" s="12" t="n"/>
      <c r="BH300" s="12" t="n"/>
      <c r="BI300" s="12" t="n"/>
      <c r="BJ300" s="12" t="n"/>
      <c r="BK300" s="12" t="n"/>
      <c r="BL300" s="12" t="n"/>
      <c r="BM300" s="12" t="n"/>
      <c r="BN300" s="12" t="n"/>
      <c r="BO300" s="12" t="n"/>
      <c r="BP300" s="12" t="n"/>
      <c r="BQ300" s="12" t="n"/>
      <c r="BR300" s="12" t="n"/>
      <c r="BS300" s="12" t="n"/>
      <c r="BT300" s="12" t="n"/>
      <c r="BU300" s="12" t="n"/>
      <c r="BV300" s="12" t="n"/>
      <c r="BW300" s="12" t="n"/>
      <c r="BX300" s="12" t="n"/>
      <c r="BY300" s="12" t="n"/>
      <c r="BZ300" s="12" t="n"/>
      <c r="CA300" s="12" t="n"/>
      <c r="CB300" s="12" t="n"/>
      <c r="CC300" s="12" t="n"/>
      <c r="CD300" s="12" t="n"/>
      <c r="CE300" s="12" t="n"/>
      <c r="CF300" s="12" t="n"/>
      <c r="CG300" s="12" t="n"/>
      <c r="CH300" s="12" t="n"/>
      <c r="CI300" s="12" t="n"/>
      <c r="CJ300" s="12" t="n"/>
      <c r="CK300" s="12" t="n"/>
      <c r="CL300" s="12" t="n"/>
      <c r="CM300" s="12" t="n"/>
      <c r="CN300" s="12" t="n"/>
      <c r="CO300" s="12" t="n"/>
      <c r="CP300" s="12" t="n"/>
      <c r="CQ300" s="12" t="n"/>
      <c r="CR300" s="12" t="n"/>
      <c r="CS300" s="12" t="n"/>
      <c r="CT300" s="12" t="n"/>
      <c r="CU300" s="12" t="n"/>
      <c r="CV300" s="12" t="n"/>
      <c r="CW300" s="12" t="n"/>
      <c r="CX300" s="12" t="n"/>
      <c r="CY300" s="12" t="n"/>
    </row>
    <row r="301">
      <c r="C301" s="4" t="inlineStr">
        <is>
          <t>Check</t>
        </is>
      </c>
      <c r="E301" s="72" t="n"/>
      <c r="F301" s="72" t="n"/>
      <c r="G301" s="72" t="n"/>
      <c r="I301" s="72" t="str">
        <f>""</f>
        <v/>
      </c>
      <c r="J301" s="72">
        <f>J130-I130-J300</f>
        <v>0</v>
      </c>
      <c r="K301" s="72">
        <f>K130-J130-K300</f>
        <v>0</v>
      </c>
      <c r="L301" s="72">
        <f>L130-K130-L300</f>
        <v>0</v>
      </c>
      <c r="M301" s="4" t="str">
        <f>""</f>
        <v/>
      </c>
      <c r="N301" s="72">
        <f>N130-M130-N300</f>
        <v>0</v>
      </c>
      <c r="O301" s="72">
        <f>O130-N130-O300</f>
        <v>0</v>
      </c>
      <c r="P301" s="72">
        <f>P130-O130-P300</f>
        <v>0</v>
      </c>
      <c r="Q301" s="72">
        <f>Q130-P130-Q300</f>
        <v>0</v>
      </c>
      <c r="R301" s="4">
        <f>R130-M130-R300</f>
        <v>0</v>
      </c>
      <c r="S301" s="72">
        <f>S130-R130-S300</f>
        <v>0</v>
      </c>
      <c r="T301" s="72">
        <f>T130-S130-T300</f>
        <v>0</v>
      </c>
      <c r="U301" s="72">
        <f>U130-T130-U300</f>
        <v>0</v>
      </c>
      <c r="V301" s="72">
        <f>V130-U130-V300</f>
        <v>0</v>
      </c>
      <c r="W301" s="4">
        <f>W130-R130-W300</f>
        <v>0</v>
      </c>
      <c r="X301" s="72">
        <f>X130-W130-X300</f>
        <v>0</v>
      </c>
      <c r="Y301" s="72">
        <f>Y130-X130-Y300</f>
        <v>0</v>
      </c>
      <c r="Z301" s="72">
        <f>Z130-Y130-Z300</f>
        <v>0</v>
      </c>
      <c r="AA301" s="72">
        <f>AA130-Z130-AA300</f>
        <v>0</v>
      </c>
      <c r="AB301" s="4">
        <f>AB130-W130-AB300</f>
        <v>0</v>
      </c>
      <c r="AC301" s="72">
        <f>AC130-AB130-AC300</f>
        <v>0</v>
      </c>
      <c r="AD301" s="72">
        <f>AD130-AC130-AD300</f>
        <v>0</v>
      </c>
      <c r="AE301" s="72">
        <f>AE130-AD130-AE300</f>
        <v>0</v>
      </c>
      <c r="AF301" s="72">
        <f>AF130-AE130-AF300</f>
        <v>0</v>
      </c>
      <c r="AG301" s="4">
        <f>AG130-AB130-AG300</f>
        <v>0</v>
      </c>
      <c r="AH301" s="72">
        <f>AH130-AG130-AH300</f>
        <v>0</v>
      </c>
      <c r="AI301" s="72">
        <f>AI130-AH130-AI300</f>
        <v>0</v>
      </c>
      <c r="AJ301" s="72">
        <f>AJ130-AI130-AJ300</f>
        <v>0</v>
      </c>
      <c r="AK301" s="72">
        <f>AK130-AJ130-AK300</f>
        <v>0</v>
      </c>
      <c r="AL301" s="4">
        <f>AL130-AG130-AL300</f>
        <v>0</v>
      </c>
      <c r="AM301" s="72">
        <f>AM130-AL130-AM300</f>
        <v>0</v>
      </c>
      <c r="AN301" s="72">
        <f>AN130-AM130-AN300</f>
        <v>0</v>
      </c>
      <c r="AO301" s="72">
        <f>AO130-AN130-AO300</f>
        <v>0</v>
      </c>
      <c r="AP301" s="72">
        <f>AP130-AO130-AP300</f>
        <v>0</v>
      </c>
      <c r="AQ301" s="4">
        <f>AQ130-AL130-AQ300</f>
        <v>0</v>
      </c>
      <c r="AR301" s="72">
        <f>AR130-AQ130-AR300</f>
        <v>0</v>
      </c>
      <c r="AS301" s="72">
        <f>AS130-AR130-AS300</f>
        <v>0</v>
      </c>
      <c r="AT301" s="72">
        <f>AT130-AS130-AT300</f>
        <v>0</v>
      </c>
      <c r="AU301" s="72">
        <f>AU130-AT130-AU300</f>
        <v>0</v>
      </c>
      <c r="AV301" s="4">
        <f>AV130-AQ130-AV300</f>
        <v>0</v>
      </c>
      <c r="AW301" s="72">
        <f>AW130-AV130-AW300</f>
        <v>0</v>
      </c>
      <c r="AX301" s="72">
        <f>AX130-AW130-AX300</f>
        <v>0</v>
      </c>
      <c r="AY301" s="72">
        <f>AY130-AX130-AY300</f>
        <v>0</v>
      </c>
      <c r="AZ301" s="72">
        <f>AZ130-AY130-AZ300</f>
        <v>0</v>
      </c>
      <c r="BA301" s="4">
        <f>BA130-AV130-BA300</f>
        <v>0</v>
      </c>
      <c r="BB301" s="72">
        <f>BB130-BA130-BB300</f>
        <v>0</v>
      </c>
      <c r="BC301" s="72">
        <f>BC130-BB130-BC300</f>
        <v>0</v>
      </c>
      <c r="BD301" s="72">
        <f>BD130-BC130-BD300</f>
        <v>0</v>
      </c>
      <c r="BE301" s="72">
        <f>BE130-BD130-BE300</f>
        <v>0</v>
      </c>
      <c r="BF301" s="4">
        <f>BF130-BA130-BF300</f>
        <v>0</v>
      </c>
      <c r="BG301" s="72" t="n"/>
      <c r="BH301" s="72" t="n"/>
      <c r="BI301" s="72" t="n"/>
      <c r="BJ301" s="72" t="n"/>
      <c r="BL301" s="72" t="n"/>
      <c r="BM301" s="72" t="n"/>
      <c r="BN301" s="72" t="n"/>
      <c r="BO301" s="72" t="n"/>
      <c r="BQ301" s="72" t="n"/>
      <c r="BR301" s="72" t="n"/>
      <c r="BS301" s="72" t="n"/>
      <c r="BT301" s="72" t="n"/>
      <c r="BV301" s="72" t="n"/>
      <c r="BW301" s="72" t="n"/>
      <c r="BX301" s="72" t="n"/>
      <c r="BY301" s="72" t="n"/>
      <c r="CA301" s="72" t="n"/>
      <c r="CB301" s="72" t="n"/>
      <c r="CC301" s="72" t="n"/>
      <c r="CD301" s="72" t="n"/>
      <c r="CF301" s="72" t="n"/>
      <c r="CG301" s="72" t="n"/>
      <c r="CH301" s="72" t="n"/>
      <c r="CI301" s="72" t="n"/>
      <c r="CK301" s="72" t="n"/>
      <c r="CL301" s="72" t="n"/>
      <c r="CM301" s="72" t="n"/>
      <c r="CN301" s="72" t="n"/>
      <c r="CP301" s="72" t="n"/>
      <c r="CQ301" s="72" t="n"/>
      <c r="CR301" s="72" t="n"/>
      <c r="CS301" s="72" t="n"/>
      <c r="CU301" s="72" t="n"/>
      <c r="CV301" s="72" t="n"/>
      <c r="CW301" s="72" t="n"/>
      <c r="CX301" s="72" t="n"/>
    </row>
    <row r="302"/>
    <row r="303">
      <c r="C303" s="73" t="inlineStr">
        <is>
          <t>Ratio Analysis</t>
        </is>
      </c>
      <c r="D303" s="73" t="n"/>
      <c r="E303" s="73" t="n"/>
      <c r="F303" s="73" t="n"/>
      <c r="G303" s="73" t="n"/>
      <c r="H303" s="73" t="n"/>
      <c r="I303" s="73" t="n"/>
      <c r="J303" s="73" t="n"/>
      <c r="K303" s="73" t="n"/>
      <c r="L303" s="73" t="n"/>
      <c r="M303" s="73" t="n"/>
      <c r="N303" s="73" t="n"/>
      <c r="O303" s="73" t="n"/>
      <c r="P303" s="73" t="n"/>
      <c r="Q303" s="73" t="n"/>
      <c r="R303" s="73" t="n"/>
      <c r="S303" s="73" t="n"/>
      <c r="T303" s="73" t="n"/>
      <c r="U303" s="73" t="n"/>
      <c r="V303" s="73" t="n"/>
      <c r="W303" s="73" t="n"/>
      <c r="X303" s="73" t="n"/>
      <c r="Y303" s="73" t="n"/>
      <c r="Z303" s="73" t="n"/>
      <c r="AA303" s="73" t="n"/>
      <c r="AB303" s="73" t="n"/>
      <c r="AC303" s="73" t="n"/>
      <c r="AD303" s="73" t="n"/>
      <c r="AE303" s="73" t="n"/>
      <c r="AF303" s="73" t="n"/>
      <c r="AG303" s="73" t="n"/>
      <c r="AH303" s="73" t="n"/>
      <c r="AI303" s="73" t="n"/>
      <c r="AJ303" s="73" t="n"/>
      <c r="AK303" s="73" t="n"/>
      <c r="AL303" s="73" t="n"/>
      <c r="AM303" s="73" t="n"/>
      <c r="AN303" s="73" t="n"/>
      <c r="AO303" s="73" t="n"/>
      <c r="AP303" s="73" t="n"/>
      <c r="AQ303" s="73" t="n"/>
      <c r="AR303" s="73" t="n"/>
      <c r="AS303" s="73" t="n"/>
      <c r="AT303" s="73" t="n"/>
      <c r="AU303" s="73" t="n"/>
      <c r="AV303" s="73" t="n"/>
      <c r="AW303" s="73" t="n"/>
      <c r="AX303" s="73" t="n"/>
      <c r="AY303" s="73" t="n"/>
      <c r="AZ303" s="73" t="n"/>
      <c r="BA303" s="73" t="n"/>
      <c r="BB303" s="73" t="n"/>
      <c r="BC303" s="73" t="n"/>
      <c r="BD303" s="73" t="n"/>
      <c r="BE303" s="73" t="n"/>
      <c r="BF303" s="73" t="n"/>
      <c r="BG303" s="73" t="n"/>
      <c r="BH303" s="73" t="n"/>
      <c r="BI303" s="73" t="n"/>
      <c r="BJ303" s="73" t="n"/>
      <c r="BK303" s="73" t="n"/>
      <c r="BL303" s="73" t="n"/>
      <c r="BM303" s="73" t="n"/>
      <c r="BN303" s="73" t="n"/>
      <c r="BO303" s="73" t="n"/>
      <c r="BP303" s="73" t="n"/>
      <c r="BQ303" s="73" t="n"/>
      <c r="BR303" s="73" t="n"/>
      <c r="BS303" s="73" t="n"/>
      <c r="BT303" s="73" t="n"/>
      <c r="BU303" s="73" t="n"/>
      <c r="BV303" s="73" t="n"/>
      <c r="BW303" s="73" t="n"/>
      <c r="BX303" s="73" t="n"/>
      <c r="BY303" s="73" t="n"/>
      <c r="BZ303" s="73" t="n"/>
      <c r="CA303" s="73" t="n"/>
      <c r="CB303" s="73" t="n"/>
      <c r="CC303" s="73" t="n"/>
      <c r="CD303" s="73" t="n"/>
      <c r="CE303" s="73" t="n"/>
      <c r="CF303" s="73" t="n"/>
      <c r="CG303" s="73" t="n"/>
      <c r="CH303" s="73" t="n"/>
      <c r="CI303" s="73" t="n"/>
      <c r="CJ303" s="73" t="n"/>
      <c r="CK303" s="73" t="n"/>
      <c r="CL303" s="73" t="n"/>
      <c r="CM303" s="73" t="n"/>
      <c r="CN303" s="73" t="n"/>
      <c r="CO303" s="73" t="n"/>
      <c r="CP303" s="73" t="n"/>
      <c r="CQ303" s="73" t="n"/>
      <c r="CR303" s="73" t="n"/>
      <c r="CS303" s="73" t="n"/>
      <c r="CT303" s="73" t="n"/>
      <c r="CU303" s="73" t="n"/>
      <c r="CV303" s="73" t="n"/>
      <c r="CW303" s="73" t="n"/>
      <c r="CX303" s="73" t="n"/>
      <c r="CY303" s="73" t="n"/>
    </row>
    <row r="304"/>
    <row r="305" customFormat="1" s="74">
      <c r="C305" s="74" t="inlineStr">
        <is>
          <t>YEAR</t>
        </is>
      </c>
      <c r="D305">
        <f>IFERROR(D261,"")</f>
        <v>0</v>
      </c>
      <c r="E305" s="75">
        <f>IFERROR(E261,"")</f>
        <v>0</v>
      </c>
      <c r="F305" s="75">
        <f>IFERROR(F261,"")</f>
        <v>0</v>
      </c>
      <c r="G305" s="75">
        <f>IFERROR(G261,"")</f>
        <v>0</v>
      </c>
      <c r="H305" s="75">
        <f>IFERROR(H261,"")</f>
        <v>0</v>
      </c>
      <c r="I305" s="75" t="str">
        <f>IFERROR(I261,"")</f>
        <v>1Q21</v>
      </c>
      <c r="J305" s="75" t="str">
        <f>IFERROR(J261,"")</f>
        <v>2Q21</v>
      </c>
      <c r="K305" s="75" t="str">
        <f>IFERROR(K261,"")</f>
        <v>3Q21</v>
      </c>
      <c r="L305" s="75" t="str">
        <f>IFERROR(L261,"")</f>
        <v>4Q21</v>
      </c>
      <c r="M305" s="75">
        <f>IFERROR(M261,"")</f>
        <v>2021</v>
      </c>
      <c r="N305" s="75" t="str">
        <f>IFERROR(N261,"")</f>
        <v>1Q22</v>
      </c>
      <c r="O305" s="75" t="str">
        <f>IFERROR(O261,"")</f>
        <v>2Q22</v>
      </c>
      <c r="P305" s="75" t="str">
        <f>IFERROR(P261,"")</f>
        <v>3Q22</v>
      </c>
      <c r="Q305" s="75" t="str">
        <f>IFERROR(Q261,"")</f>
        <v>4Q22</v>
      </c>
      <c r="R305" s="75">
        <f>IFERROR(R261,"")</f>
        <v>2022</v>
      </c>
      <c r="S305" s="75" t="str">
        <f>IFERROR(S261,"")</f>
        <v>1Q23</v>
      </c>
      <c r="T305" s="75" t="str">
        <f>IFERROR(T261,"")</f>
        <v>2Q23</v>
      </c>
      <c r="U305" s="75" t="str">
        <f>IFERROR(U261,"")</f>
        <v>3Q23</v>
      </c>
      <c r="V305" s="75" t="str">
        <f>IFERROR(V261,"")</f>
        <v>4Q23</v>
      </c>
      <c r="W305" s="75">
        <f>IFERROR(W261,"")</f>
        <v>2023</v>
      </c>
      <c r="X305" s="75" t="str">
        <f>IFERROR(X261,"")</f>
        <v>1Q24</v>
      </c>
      <c r="Y305" s="75" t="str">
        <f>IFERROR(Y261,"")</f>
        <v>2Q24</v>
      </c>
      <c r="Z305" s="75" t="str">
        <f>IFERROR(Z261,"")</f>
        <v>3Q24</v>
      </c>
      <c r="AA305" s="75" t="str">
        <f>IFERROR(AA261,"")</f>
        <v>4Q24</v>
      </c>
      <c r="AB305" s="75">
        <f>IFERROR(AB261,"")</f>
        <v>2024</v>
      </c>
      <c r="AC305" s="75" t="str">
        <f>IFERROR(AC261,"")</f>
        <v>1Q25</v>
      </c>
      <c r="AD305" s="75" t="str">
        <f>IFERROR(AD261,"")</f>
        <v>2Q25</v>
      </c>
      <c r="AE305" s="75" t="str">
        <f>IFERROR(AE261,"")</f>
        <v>3Q25</v>
      </c>
      <c r="AF305" s="75" t="str">
        <f>IFERROR(AF261,"")</f>
        <v>4Q25</v>
      </c>
      <c r="AG305" s="75">
        <f>IFERROR(AG261,"")</f>
        <v>2025</v>
      </c>
      <c r="AH305" s="75" t="str">
        <f>IFERROR(AH261,"")</f>
        <v>1Q26</v>
      </c>
      <c r="AI305" s="75" t="str">
        <f>IFERROR(AI261,"")</f>
        <v>2Q26</v>
      </c>
      <c r="AJ305" s="75" t="str">
        <f>IFERROR(AJ261,"")</f>
        <v>3Q26</v>
      </c>
      <c r="AK305" s="75" t="str">
        <f>IFERROR(AK261,"")</f>
        <v>4Q26</v>
      </c>
      <c r="AL305" s="75">
        <f>IFERROR(AL261,"")</f>
        <v>2026</v>
      </c>
      <c r="AM305" s="75" t="str">
        <f>IFERROR(AM261,"")</f>
        <v>1Q27</v>
      </c>
      <c r="AN305" s="75" t="str">
        <f>IFERROR(AN261,"")</f>
        <v>2Q27</v>
      </c>
      <c r="AO305" s="75" t="str">
        <f>IFERROR(AO261,"")</f>
        <v>3Q27</v>
      </c>
      <c r="AP305" s="75" t="str">
        <f>IFERROR(AP261,"")</f>
        <v>4Q27</v>
      </c>
      <c r="AQ305" s="75">
        <f>IFERROR(AQ261,"")</f>
        <v>2027</v>
      </c>
      <c r="AR305" s="75" t="str">
        <f>IFERROR(AR261,"")</f>
        <v>1Q28</v>
      </c>
      <c r="AS305" s="75" t="str">
        <f>IFERROR(AS261,"")</f>
        <v>2Q28</v>
      </c>
      <c r="AT305" s="75" t="str">
        <f>IFERROR(AT261,"")</f>
        <v>3Q28</v>
      </c>
      <c r="AU305" s="75" t="str">
        <f>IFERROR(AU261,"")</f>
        <v>4Q28</v>
      </c>
      <c r="AV305" s="75">
        <f>IFERROR(AV261,"")</f>
        <v>2028</v>
      </c>
      <c r="AW305" s="75" t="str">
        <f>IFERROR(AW261,"")</f>
        <v>1Q29</v>
      </c>
      <c r="AX305" s="75" t="str">
        <f>IFERROR(AX261,"")</f>
        <v>2Q29</v>
      </c>
      <c r="AY305" s="75" t="str">
        <f>IFERROR(AY261,"")</f>
        <v>3Q29</v>
      </c>
      <c r="AZ305" s="75" t="str">
        <f>IFERROR(AZ261,"")</f>
        <v>4Q29</v>
      </c>
      <c r="BA305" s="75">
        <f>IFERROR(BA261,"")</f>
        <v>2029</v>
      </c>
      <c r="BB305" s="75" t="str">
        <f>IFERROR(BB261,"")</f>
        <v>1Q30</v>
      </c>
      <c r="BC305" s="75" t="str">
        <f>IFERROR(BC261,"")</f>
        <v>2Q30</v>
      </c>
      <c r="BD305" s="75" t="str">
        <f>IFERROR(BD261,"")</f>
        <v>3Q30</v>
      </c>
      <c r="BE305" s="75" t="str">
        <f>IFERROR(BE261,"")</f>
        <v>4Q30</v>
      </c>
      <c r="BF305" s="75">
        <f>IFERROR(BF261,"")</f>
        <v>2030</v>
      </c>
      <c r="BG305" s="75" t="n"/>
      <c r="BH305" s="75" t="n"/>
      <c r="BI305" s="75" t="n"/>
      <c r="BJ305" s="75" t="n"/>
      <c r="BK305" s="75" t="n"/>
      <c r="BL305" s="75" t="n"/>
      <c r="BM305" s="75" t="n"/>
      <c r="BN305" s="75" t="n"/>
      <c r="BO305" s="75" t="n"/>
      <c r="BP305" s="75" t="n"/>
      <c r="BQ305" s="75" t="n"/>
      <c r="BR305" s="75" t="n"/>
      <c r="BS305" s="75" t="n"/>
      <c r="BT305" s="75" t="n"/>
      <c r="BU305" s="75" t="n"/>
      <c r="BV305" s="75" t="n"/>
      <c r="BW305" s="75" t="n"/>
      <c r="BX305" s="75" t="n"/>
      <c r="BY305" s="75" t="n"/>
      <c r="BZ305" s="75" t="n"/>
      <c r="CA305" s="75" t="n"/>
      <c r="CB305" s="75" t="n"/>
      <c r="CC305" s="75" t="n"/>
      <c r="CD305" s="75" t="n"/>
      <c r="CE305" s="75" t="n"/>
      <c r="CF305" s="75" t="n"/>
      <c r="CG305" s="75" t="n"/>
      <c r="CH305" s="75" t="n"/>
      <c r="CI305" s="75" t="n"/>
      <c r="CJ305" s="75" t="n"/>
      <c r="CK305" s="75" t="n"/>
      <c r="CL305" s="75" t="n"/>
      <c r="CM305" s="75" t="n"/>
      <c r="CN305" s="75" t="n"/>
      <c r="CO305" s="75" t="n"/>
      <c r="CP305" s="75" t="n"/>
      <c r="CQ305" s="75" t="n"/>
      <c r="CR305" s="75" t="n"/>
      <c r="CS305" s="75" t="n"/>
      <c r="CT305" s="75" t="n"/>
      <c r="CU305" s="75" t="n"/>
      <c r="CV305" s="75" t="n"/>
      <c r="CW305" s="75" t="n"/>
      <c r="CX305" s="75" t="n"/>
      <c r="CY305" s="75" t="n"/>
    </row>
    <row r="306" customFormat="1" s="77">
      <c r="A306" s="76" t="n"/>
      <c r="B306" s="76" t="n"/>
      <c r="C306" s="74" t="inlineStr">
        <is>
          <t>GROWTH &amp; MARGINS</t>
        </is>
      </c>
    </row>
    <row r="307" customFormat="1" s="77">
      <c r="A307" s="76" t="n"/>
      <c r="B307" s="76" t="n"/>
      <c r="C307" s="77" t="inlineStr">
        <is>
          <t>NET REVENUE GROWTH (YoY)</t>
        </is>
      </c>
      <c r="E307" s="78" t="str">
        <f>IFERROR(E15/D15-1,"")</f>
        <v/>
      </c>
      <c r="F307" s="78" t="str">
        <f>IFERROR(F15/E15-1,"")</f>
        <v/>
      </c>
      <c r="G307" s="78" t="str">
        <f>IFERROR(G15/F15-1,"")</f>
        <v/>
      </c>
      <c r="H307" s="257" t="str">
        <f>""</f>
        <v/>
      </c>
      <c r="I307" s="257" t="str">
        <f>""</f>
        <v/>
      </c>
      <c r="J307" s="257" t="str">
        <f>""</f>
        <v/>
      </c>
      <c r="K307" s="257" t="str">
        <f>""</f>
        <v/>
      </c>
      <c r="L307" s="257" t="str">
        <f>""</f>
        <v/>
      </c>
      <c r="M307" s="257" t="str">
        <f>IFERROR(IF(AND(ISNUMBER(M15),ISNUMBER(H15),H15&lt;&gt;0),M15/H15-1,""),"")</f>
        <v/>
      </c>
      <c r="N307" s="257">
        <f>IFERROR(IF(AND(ISNUMBER(N15),ISNUMBER(I15),I15&lt;&gt;0),N15/I15-1,""),"")</f>
        <v>0.530086056773801</v>
      </c>
      <c r="O307" s="257">
        <f>IFERROR(IF(AND(ISNUMBER(O15),ISNUMBER(J15),J15&lt;&gt;0),O15/J15-1,""),"")</f>
        <v>0.707670278409259</v>
      </c>
      <c r="P307" s="257">
        <f>IFERROR(IF(AND(ISNUMBER(P15),ISNUMBER(K15),K15&lt;&gt;0),P15/K15-1,""),"")</f>
        <v>0.518851814707397</v>
      </c>
      <c r="Q307" s="257">
        <f>IFERROR(IF(AND(ISNUMBER(Q15),ISNUMBER(L15),L15&lt;&gt;0),Q15/L15-1,""),"")</f>
        <v>0.123156593891602</v>
      </c>
      <c r="R307" s="257">
        <f>IFERROR(IF(AND(ISNUMBER(R15),ISNUMBER(M15),M15&lt;&gt;0),R15/M15-1,""),"")</f>
        <v>0.448256546702143</v>
      </c>
      <c r="S307" s="257">
        <f>IFERROR(IF(AND(ISNUMBER(S15),ISNUMBER(N15),N15&lt;&gt;0),S15/N15-1,""),"")</f>
        <v>-0.0434917127071823</v>
      </c>
      <c r="T307" s="257">
        <f>IFERROR(IF(AND(ISNUMBER(T15),ISNUMBER(O15),O15&lt;&gt;0),T15/O15-1,""),"")</f>
        <v>-0.283253083911792</v>
      </c>
      <c r="U307" s="257">
        <f>IFERROR(IF(AND(ISNUMBER(U15),ISNUMBER(P15),P15&lt;&gt;0),U15/P15-1,""),"")</f>
        <v>-0.190149014009101</v>
      </c>
      <c r="V307" s="257">
        <f>IFERROR(IF(AND(ISNUMBER(V15),ISNUMBER(Q15),Q15&lt;&gt;0),V15/Q15-1,""),"")</f>
        <v>-0.116159657965608</v>
      </c>
      <c r="W307" s="257">
        <f>IFERROR(IF(AND(ISNUMBER(W15),ISNUMBER(R15),R15&lt;&gt;0),W15/R15-1,""),"")</f>
        <v>-0.167032488880294</v>
      </c>
      <c r="X307" s="257">
        <f>IFERROR(IF(AND(ISNUMBER(X15),ISNUMBER(S15),S15&lt;&gt;0),X15/S15-1,""),"")</f>
        <v>-0.0402130215794094</v>
      </c>
      <c r="Y307" s="257">
        <f>IFERROR(IF(AND(ISNUMBER(Y15),ISNUMBER(T15),T15&lt;&gt;0),Y15/T15-1,""),"")</f>
        <v>0.122367754540849</v>
      </c>
      <c r="Z307" s="257">
        <f>IFERROR(IF(AND(ISNUMBER(Z15),ISNUMBER(U15),U15&lt;&gt;0),Z15/U15-1,""),"")</f>
        <v>-0.00819744380784482</v>
      </c>
      <c r="AA307" s="257">
        <f>IFERROR(IF(AND(ISNUMBER(AA15),ISNUMBER(V15),V15&lt;&gt;0),AA15/V15-1,""),"")</f>
        <v>-0.010883998861804</v>
      </c>
      <c r="AB307" s="257">
        <f>IFERROR(IF(AND(ISNUMBER(AB15),ISNUMBER(W15),W15&lt;&gt;0),AB15/W15-1,""),"")</f>
        <v>0.0145190404606161</v>
      </c>
      <c r="AC307" s="257">
        <f>IFERROR(IF(AND(ISNUMBER(AC15),ISNUMBER(X15),X15&lt;&gt;0),AC15/X15-1,""),"")</f>
        <v>0.000565699360880023</v>
      </c>
      <c r="AD307" s="257">
        <f>IFERROR(IF(AND(ISNUMBER(AD15),ISNUMBER(Y15),Y15&lt;&gt;0),AD15/Y15-1,""),"")</f>
        <v>-0.124156458199011</v>
      </c>
      <c r="AE307" s="257">
        <f>IFERROR(IF(AND(ISNUMBER(AE15),ISNUMBER(Z15),Z15&lt;&gt;0),AE15/Z15-1,""),"")</f>
        <v>-0.0524573409171703</v>
      </c>
      <c r="AF307" s="257">
        <f>IFERROR(IF(AND(ISNUMBER(AF15),ISNUMBER(AA15),AA15&lt;&gt;0),AF15/AA15-1,""),"")</f>
        <v>-0.0134010979790473</v>
      </c>
      <c r="AG307" s="257">
        <f>IFERROR(IF(AND(ISNUMBER(AG15),ISNUMBER(AB15),AB15&lt;&gt;0),AG15/AB15-1,""),"")</f>
        <v>-0.0496216942946637</v>
      </c>
      <c r="AH307" s="257">
        <f>IFERROR(IF(AND(ISNUMBER(AH15),ISNUMBER(AC15),AC15&lt;&gt;0),AH15/AC15-1,""),"")</f>
        <v>0.0241549380488391</v>
      </c>
      <c r="AI307" s="257">
        <f>IFERROR(IF(AND(ISNUMBER(AI15),ISNUMBER(AD15),AD15&lt;&gt;0),AI15/AD15-1,""),"")</f>
        <v>0.423416680980541</v>
      </c>
      <c r="AJ307" s="257">
        <f>IFERROR(IF(AND(ISNUMBER(AJ15),ISNUMBER(AE15),AE15&lt;&gt;0),AJ15/AE15-1,""),"")</f>
        <v>0.0430204035491719</v>
      </c>
      <c r="AK307" s="257">
        <f>IFERROR(IF(AND(ISNUMBER(AK15),ISNUMBER(AF15),AF15&lt;&gt;0),AK15/AF15-1,""),"")</f>
        <v>0.0430204035491719</v>
      </c>
      <c r="AL307" s="257">
        <f>IFERROR(IF(AND(ISNUMBER(AL15),ISNUMBER(AG15),AG15&lt;&gt;0),AL15/AG15-1,""),"")</f>
        <v>0.131620421732759</v>
      </c>
      <c r="AM307" s="257">
        <f>IFERROR(IF(AND(ISNUMBER(AM15),ISNUMBER(AH15),AH15&lt;&gt;0),AM15/AH15-1,""),"")</f>
        <v>0.0430204035491719</v>
      </c>
      <c r="AN307" s="257">
        <f>IFERROR(IF(AND(ISNUMBER(AN15),ISNUMBER(AI15),AI15&lt;&gt;0),AN15/AI15-1,""),"")</f>
        <v>0.0430204035491719</v>
      </c>
      <c r="AO307" s="257">
        <f>IFERROR(IF(AND(ISNUMBER(AO15),ISNUMBER(AJ15),AJ15&lt;&gt;0),AO15/AJ15-1,""),"")</f>
        <v>0.0430204035491719</v>
      </c>
      <c r="AP307" s="257">
        <f>IFERROR(IF(AND(ISNUMBER(AP15),ISNUMBER(AK15),AK15&lt;&gt;0),AP15/AK15-1,""),"")</f>
        <v>0.0430204035491719</v>
      </c>
      <c r="AQ307" s="257">
        <f>IFERROR(IF(AND(ISNUMBER(AQ15),ISNUMBER(AL15),AL15&lt;&gt;0),AQ15/AL15-1,""),"")</f>
        <v>0.0430204035491719</v>
      </c>
      <c r="AR307" s="257">
        <f>IFERROR(IF(AND(ISNUMBER(AR15),ISNUMBER(AM15),AM15&lt;&gt;0),AR15/AM15-1,""),"")</f>
        <v>0.0380204035491718</v>
      </c>
      <c r="AS307" s="257">
        <f>IFERROR(IF(AND(ISNUMBER(AS15),ISNUMBER(AN15),AN15&lt;&gt;0),AS15/AN15-1,""),"")</f>
        <v>0.0380204035491718</v>
      </c>
      <c r="AT307" s="257">
        <f>IFERROR(IF(AND(ISNUMBER(AT15),ISNUMBER(AO15),AO15&lt;&gt;0),AT15/AO15-1,""),"")</f>
        <v>0.0380204035491718</v>
      </c>
      <c r="AU307" s="257">
        <f>IFERROR(IF(AND(ISNUMBER(AU15),ISNUMBER(AP15),AP15&lt;&gt;0),AU15/AP15-1,""),"")</f>
        <v>0.0380204035491718</v>
      </c>
      <c r="AV307" s="257">
        <f>IFERROR(IF(AND(ISNUMBER(AV15),ISNUMBER(AQ15),AQ15&lt;&gt;0),AV15/AQ15-1,""),"")</f>
        <v>0.0380204035491718</v>
      </c>
      <c r="AW307" s="257">
        <f>IFERROR(IF(AND(ISNUMBER(AW15),ISNUMBER(AR15),AR15&lt;&gt;0),AW15/AR15-1,""),"")</f>
        <v>0.0330204035491719</v>
      </c>
      <c r="AX307" s="257">
        <f>IFERROR(IF(AND(ISNUMBER(AX15),ISNUMBER(AS15),AS15&lt;&gt;0),AX15/AS15-1,""),"")</f>
        <v>0.0330204035491719</v>
      </c>
      <c r="AY307" s="257">
        <f>IFERROR(IF(AND(ISNUMBER(AY15),ISNUMBER(AT15),AT15&lt;&gt;0),AY15/AT15-1,""),"")</f>
        <v>0.0330204035491719</v>
      </c>
      <c r="AZ307" s="257">
        <f>IFERROR(IF(AND(ISNUMBER(AZ15),ISNUMBER(AU15),AU15&lt;&gt;0),AZ15/AU15-1,""),"")</f>
        <v>0.0330204035491719</v>
      </c>
      <c r="BA307" s="257">
        <f>IFERROR(IF(AND(ISNUMBER(BA15),ISNUMBER(AV15),AV15&lt;&gt;0),BA15/AV15-1,""),"")</f>
        <v>0.0330204035491719</v>
      </c>
      <c r="BB307" s="257">
        <f>IFERROR(IF(AND(ISNUMBER(BB15),ISNUMBER(AW15),AW15&lt;&gt;0),BB15/AW15-1,""),"")</f>
        <v>0.0280204035491718</v>
      </c>
      <c r="BC307" s="257">
        <f>IFERROR(IF(AND(ISNUMBER(BC15),ISNUMBER(AX15),AX15&lt;&gt;0),BC15/AX15-1,""),"")</f>
        <v>0.0280204035491718</v>
      </c>
      <c r="BD307" s="257">
        <f>IFERROR(IF(AND(ISNUMBER(BD15),ISNUMBER(AY15),AY15&lt;&gt;0),BD15/AY15-1,""),"")</f>
        <v>0.0280204035491718</v>
      </c>
      <c r="BE307" s="257">
        <f>IFERROR(IF(AND(ISNUMBER(BE15),ISNUMBER(AZ15),AZ15&lt;&gt;0),BE15/AZ15-1,""),"")</f>
        <v>0.0280204035491718</v>
      </c>
      <c r="BF307" s="257">
        <f>IFERROR(IF(AND(ISNUMBER(BF15),ISNUMBER(BA15),BA15&lt;&gt;0),BF15/BA15-1,""),"")</f>
        <v>0.0280204035491716</v>
      </c>
      <c r="BG307" s="79" t="n"/>
      <c r="BH307" s="79" t="n"/>
      <c r="BI307" s="79" t="n"/>
      <c r="BJ307" s="79" t="n"/>
      <c r="BK307" s="78" t="n"/>
      <c r="BL307" s="79" t="n"/>
      <c r="BM307" s="79" t="n"/>
      <c r="BN307" s="79" t="n"/>
      <c r="BO307" s="79" t="n"/>
      <c r="BP307" s="78" t="n"/>
      <c r="BQ307" s="79" t="n"/>
      <c r="BR307" s="79" t="n"/>
      <c r="BS307" s="79" t="n"/>
      <c r="BT307" s="79" t="n"/>
      <c r="BU307" s="78" t="n"/>
      <c r="BV307" s="79" t="n"/>
      <c r="BW307" s="79" t="n"/>
      <c r="BX307" s="79" t="n"/>
      <c r="BY307" s="79" t="n"/>
      <c r="BZ307" s="78" t="n"/>
      <c r="CA307" s="79" t="n"/>
      <c r="CB307" s="79" t="n"/>
      <c r="CC307" s="79" t="n"/>
      <c r="CD307" s="79" t="n"/>
      <c r="CE307" s="78" t="n"/>
      <c r="CF307" s="79" t="n"/>
      <c r="CG307" s="79" t="n"/>
      <c r="CH307" s="79" t="n"/>
      <c r="CI307" s="79" t="n"/>
      <c r="CJ307" s="78" t="n"/>
      <c r="CK307" s="79" t="n"/>
      <c r="CL307" s="79" t="n"/>
      <c r="CM307" s="79" t="n"/>
      <c r="CN307" s="79" t="n"/>
      <c r="CO307" s="78" t="n"/>
      <c r="CP307" s="79" t="n"/>
      <c r="CQ307" s="79" t="n"/>
      <c r="CR307" s="79" t="n"/>
      <c r="CS307" s="79" t="n"/>
      <c r="CT307" s="78" t="n"/>
      <c r="CU307" s="79" t="n"/>
      <c r="CV307" s="79" t="n"/>
      <c r="CW307" s="79" t="n"/>
      <c r="CX307" s="79" t="n"/>
      <c r="CY307" s="78" t="n"/>
    </row>
    <row r="308" customFormat="1" s="77">
      <c r="A308" s="76" t="n"/>
      <c r="B308" s="76" t="n"/>
      <c r="C308" s="77" t="inlineStr">
        <is>
          <t>GROSS MARGIN</t>
        </is>
      </c>
      <c r="D308" s="79" t="str">
        <f>IFERROR(SUM(D15,D40)/D15,"")</f>
        <v/>
      </c>
      <c r="E308" s="79" t="str">
        <f>IFERROR(SUM(E15,E40)/E15,"")</f>
        <v/>
      </c>
      <c r="F308" s="79" t="str">
        <f>IFERROR(SUM(F15,F40)/F15,"")</f>
        <v/>
      </c>
      <c r="G308" s="79" t="str">
        <f>IFERROR(SUM(G15,G40)/G15,"")</f>
        <v/>
      </c>
      <c r="H308" s="258" t="str">
        <f>IFERROR(IF(N(H15)&lt;&gt;0,(H15+H40)/H15,""),"")</f>
        <v/>
      </c>
      <c r="I308" s="258">
        <f>IFERROR(IF(N(I15)&lt;&gt;0,(I15+I40)/I15,""),"")</f>
        <v>0.448813971968147</v>
      </c>
      <c r="J308" s="258">
        <f>IFERROR(IF(N(J15)&lt;&gt;0,(J15+J40)/J15,""),"")</f>
        <v>0.44895338194916</v>
      </c>
      <c r="K308" s="258">
        <f>IFERROR(IF(N(K15)&lt;&gt;0,(K15+K40)/K15,""),"")</f>
        <v>0.461347681131922</v>
      </c>
      <c r="L308" s="258">
        <f>IFERROR(IF(N(L15)&lt;&gt;0,(L15+L40)/L15,""),"")</f>
        <v>0.464614841405285</v>
      </c>
      <c r="M308" s="258">
        <f>IFERROR(IF(N(M15)&lt;&gt;0,(M15+M40)/M15,""),"")</f>
        <v>0.45678476403865</v>
      </c>
      <c r="N308" s="258">
        <f>IFERROR(IF(N(N15)&lt;&gt;0,(N15+N40)/N15,""),"")</f>
        <v>0.421127071823204</v>
      </c>
      <c r="O308" s="258">
        <f>IFERROR(IF(N(O15)&lt;&gt;0,(O15+O40)/O15,""),"")</f>
        <v>0.432810919684304</v>
      </c>
      <c r="P308" s="258">
        <f>IFERROR(IF(N(P15)&lt;&gt;0,(P15+P40)/P15,""),"")</f>
        <v>0.462862496653877</v>
      </c>
      <c r="Q308" s="258">
        <f>IFERROR(IF(N(Q15)&lt;&gt;0,(Q15+Q40)/Q15,""),"")</f>
        <v>0.468075742174811</v>
      </c>
      <c r="R308" s="258">
        <f>IFERROR(IF(N(R15)&lt;&gt;0,(R15+R40)/R15,""),"")</f>
        <v>0.446531135176948</v>
      </c>
      <c r="S308" s="258">
        <f>IFERROR(IF(N(S15)&lt;&gt;0,(S15+S40)/S15,""),"")</f>
        <v>0.468566609676078</v>
      </c>
      <c r="T308" s="258">
        <f>IFERROR(IF(N(T15)&lt;&gt;0,(T15+T40)/T15,""),"")</f>
        <v>0.425935306462117</v>
      </c>
      <c r="U308" s="258">
        <f>IFERROR(IF(N(U15)&lt;&gt;0,(U15+U40)/U15,""),"")</f>
        <v>0.415204936095196</v>
      </c>
      <c r="V308" s="258">
        <f>IFERROR(IF(N(V15)&lt;&gt;0,(V15+V40)/V15,""),"")</f>
        <v>0.450441050934269</v>
      </c>
      <c r="W308" s="258">
        <f>IFERROR(IF(N(W15)&lt;&gt;0,(W15+W40)/W15,""),"")</f>
        <v>0.439816937622975</v>
      </c>
      <c r="X308" s="258">
        <f>IFERROR(IF(N(X15)&lt;&gt;0,(X15+X40)/X15,""),"")</f>
        <v>0.42706690899462</v>
      </c>
      <c r="Y308" s="258">
        <f>IFERROR(IF(N(Y15)&lt;&gt;0,(Y15+Y40)/Y15,""),"")</f>
        <v>0.417590801633355</v>
      </c>
      <c r="Z308" s="258">
        <f>IFERROR(IF(N(Z15)&lt;&gt;0,(Z15+Z40)/Z15,""),"")</f>
        <v>0.43053457163171</v>
      </c>
      <c r="AA308" s="258">
        <f>IFERROR(IF(N(AA15)&lt;&gt;0,(AA15+AA40)/AA15,""),"")</f>
        <v>0.443902380552825</v>
      </c>
      <c r="AB308" s="258">
        <f>IFERROR(IF(N(AB15)&lt;&gt;0,(AB15+AB40)/AB15,""),"")</f>
        <v>0.429454925125506</v>
      </c>
      <c r="AC308" s="258">
        <f>IFERROR(IF(N(AC15)&lt;&gt;0,(AC15+AC40)/AC15,""),"")</f>
        <v>0.437170696499459</v>
      </c>
      <c r="AD308" s="258">
        <f>IFERROR(IF(N(AD15)&lt;&gt;0,(AD15+AD40)/AD15,""),"")</f>
        <v>0.443881432041813</v>
      </c>
      <c r="AE308" s="258">
        <f>IFERROR(IF(N(AE15)&lt;&gt;0,(AE15+AE40)/AE15,""),"")</f>
        <v>0.438084742185851</v>
      </c>
      <c r="AF308" s="258">
        <f>IFERROR(IF(N(AF15)&lt;&gt;0,(AF15+AF40)/AF15,""),"")</f>
        <v>0.462931914273218</v>
      </c>
      <c r="AG308" s="258">
        <f>IFERROR(IF(N(AG15)&lt;&gt;0,(AG15+AG40)/AG15,""),"")</f>
        <v>0.445433695122171</v>
      </c>
      <c r="AH308" s="258">
        <f>IFERROR(IF(N(AH15)&lt;&gt;0,(AH15+AH40)/AH15,""),"")</f>
        <v>0.391552538232047</v>
      </c>
      <c r="AI308" s="258">
        <f>IFERROR(IF(N(AI15)&lt;&gt;0,(AI15+AI40)/AI15,""),"")</f>
        <v>0.415594266357517</v>
      </c>
      <c r="AJ308" s="258">
        <f>IFERROR(IF(N(AJ15)&lt;&gt;0,(AJ15+AJ40)/AJ15,""),"")</f>
        <v>0.431535931598317</v>
      </c>
      <c r="AK308" s="258">
        <f>IFERROR(IF(N(AK15)&lt;&gt;0,(AK15+AK40)/AK15,""),"")</f>
        <v>0.431535931598317</v>
      </c>
      <c r="AL308" s="258">
        <f>IFERROR(IF(N(AL15)&lt;&gt;0,(AL15+AL40)/AL15,""),"")</f>
        <v>0.417562348679403</v>
      </c>
      <c r="AM308" s="258">
        <f>IFERROR(IF(N(AM15)&lt;&gt;0,(AM15+AM40)/AM15,""),"")</f>
        <v>0.431535931598317</v>
      </c>
      <c r="AN308" s="258">
        <f>IFERROR(IF(N(AN15)&lt;&gt;0,(AN15+AN40)/AN15,""),"")</f>
        <v>0.431535931598317</v>
      </c>
      <c r="AO308" s="258">
        <f>IFERROR(IF(N(AO15)&lt;&gt;0,(AO15+AO40)/AO15,""),"")</f>
        <v>0.431535931598317</v>
      </c>
      <c r="AP308" s="258">
        <f>IFERROR(IF(N(AP15)&lt;&gt;0,(AP15+AP40)/AP15,""),"")</f>
        <v>0.431535931598317</v>
      </c>
      <c r="AQ308" s="258">
        <f>IFERROR(IF(N(AQ15)&lt;&gt;0,(AQ15+AQ40)/AQ15,""),"")</f>
        <v>0.431535931598317</v>
      </c>
      <c r="AR308" s="258">
        <f>IFERROR(IF(N(AR15)&lt;&gt;0,(AR15+AR40)/AR15,""),"")</f>
        <v>0.431535931598317</v>
      </c>
      <c r="AS308" s="258">
        <f>IFERROR(IF(N(AS15)&lt;&gt;0,(AS15+AS40)/AS15,""),"")</f>
        <v>0.431535931598317</v>
      </c>
      <c r="AT308" s="258">
        <f>IFERROR(IF(N(AT15)&lt;&gt;0,(AT15+AT40)/AT15,""),"")</f>
        <v>0.431535931598317</v>
      </c>
      <c r="AU308" s="258">
        <f>IFERROR(IF(N(AU15)&lt;&gt;0,(AU15+AU40)/AU15,""),"")</f>
        <v>0.431535931598317</v>
      </c>
      <c r="AV308" s="258">
        <f>IFERROR(IF(N(AV15)&lt;&gt;0,(AV15+AV40)/AV15,""),"")</f>
        <v>0.431535931598317</v>
      </c>
      <c r="AW308" s="258">
        <f>IFERROR(IF(N(AW15)&lt;&gt;0,(AW15+AW40)/AW15,""),"")</f>
        <v>0.431535931598317</v>
      </c>
      <c r="AX308" s="258">
        <f>IFERROR(IF(N(AX15)&lt;&gt;0,(AX15+AX40)/AX15,""),"")</f>
        <v>0.431535931598317</v>
      </c>
      <c r="AY308" s="258">
        <f>IFERROR(IF(N(AY15)&lt;&gt;0,(AY15+AY40)/AY15,""),"")</f>
        <v>0.431535931598317</v>
      </c>
      <c r="AZ308" s="258">
        <f>IFERROR(IF(N(AZ15)&lt;&gt;0,(AZ15+AZ40)/AZ15,""),"")</f>
        <v>0.431535931598317</v>
      </c>
      <c r="BA308" s="258">
        <f>IFERROR(IF(N(BA15)&lt;&gt;0,(BA15+BA40)/BA15,""),"")</f>
        <v>0.431535931598317</v>
      </c>
      <c r="BB308" s="258">
        <f>IFERROR(IF(N(BB15)&lt;&gt;0,(BB15+BB40)/BB15,""),"")</f>
        <v>0.431535931598317</v>
      </c>
      <c r="BC308" s="258">
        <f>IFERROR(IF(N(BC15)&lt;&gt;0,(BC15+BC40)/BC15,""),"")</f>
        <v>0.431535931598317</v>
      </c>
      <c r="BD308" s="258">
        <f>IFERROR(IF(N(BD15)&lt;&gt;0,(BD15+BD40)/BD15,""),"")</f>
        <v>0.431535931598317</v>
      </c>
      <c r="BE308" s="258">
        <f>IFERROR(IF(N(BE15)&lt;&gt;0,(BE15+BE40)/BE15,""),"")</f>
        <v>0.431535931598317</v>
      </c>
      <c r="BF308" s="258">
        <f>IFERROR(IF(N(BF15)&lt;&gt;0,(BF15+BF40)/BF15,""),"")</f>
        <v>0.431535931598317</v>
      </c>
      <c r="BG308" s="80" t="n"/>
      <c r="BH308" s="80" t="n"/>
      <c r="BI308" s="80" t="n"/>
      <c r="BJ308" s="80" t="n"/>
      <c r="BL308" s="80" t="n"/>
      <c r="BM308" s="80" t="n"/>
      <c r="BN308" s="80" t="n"/>
      <c r="BO308" s="80" t="n"/>
      <c r="BQ308" s="80" t="n"/>
      <c r="BR308" s="80" t="n"/>
      <c r="BS308" s="80" t="n"/>
      <c r="BT308" s="80" t="n"/>
      <c r="BV308" s="80" t="n"/>
      <c r="BW308" s="80" t="n"/>
      <c r="BX308" s="80" t="n"/>
      <c r="BY308" s="80" t="n"/>
      <c r="CA308" s="80" t="n"/>
      <c r="CB308" s="80" t="n"/>
      <c r="CC308" s="80" t="n"/>
      <c r="CD308" s="80" t="n"/>
      <c r="CF308" s="80" t="n"/>
      <c r="CG308" s="80" t="n"/>
      <c r="CH308" s="80" t="n"/>
      <c r="CI308" s="80" t="n"/>
      <c r="CK308" s="80" t="n"/>
      <c r="CL308" s="80" t="n"/>
      <c r="CM308" s="80" t="n"/>
      <c r="CN308" s="80" t="n"/>
      <c r="CP308" s="80" t="n"/>
      <c r="CQ308" s="80" t="n"/>
      <c r="CR308" s="80" t="n"/>
      <c r="CS308" s="80" t="n"/>
      <c r="CU308" s="80" t="n"/>
      <c r="CV308" s="80" t="n"/>
      <c r="CW308" s="80" t="n"/>
      <c r="CX308" s="80" t="n"/>
    </row>
    <row r="309" customFormat="1" s="77">
      <c r="A309" s="76" t="n"/>
      <c r="B309" s="76" t="n"/>
      <c r="C309" s="77" t="inlineStr">
        <is>
          <t>EBIT MARGIN</t>
        </is>
      </c>
      <c r="D309" s="78" t="str">
        <f>IFERROR((D59/D15),"")</f>
        <v/>
      </c>
      <c r="E309" s="78" t="str">
        <f>IFERROR((E59/E15),"")</f>
        <v/>
      </c>
      <c r="F309" s="78" t="str">
        <f>IFERROR((F59/F15),"")</f>
        <v/>
      </c>
      <c r="G309" s="78" t="str">
        <f>IFERROR((G59/G15),"")</f>
        <v/>
      </c>
      <c r="H309" s="258" t="str">
        <f>IFERROR(IF(N(H15)&lt;&gt;0,H59/H15,""),"")</f>
        <v/>
      </c>
      <c r="I309" s="257">
        <f>IFERROR(IF(N(I15)&lt;&gt;0,I59/I15,""),"")</f>
        <v>0.0650920587688302</v>
      </c>
      <c r="J309" s="257">
        <f>IFERROR(IF(N(J15)&lt;&gt;0,J59/J15,""),"")</f>
        <v>0.0968527649021287</v>
      </c>
      <c r="K309" s="257">
        <f>IFERROR(IF(N(K15)&lt;&gt;0,K59/K15,""),"")</f>
        <v>0.133087577589245</v>
      </c>
      <c r="L309" s="257">
        <f>IFERROR(IF(N(L15)&lt;&gt;0,L59/L15,""),"")</f>
        <v>0.140646148414053</v>
      </c>
      <c r="M309" s="258">
        <f>IFERROR(IF(N(M15)&lt;&gt;0,M59/M15,""),"")</f>
        <v>0.112662792326005</v>
      </c>
      <c r="N309" s="257">
        <f>IFERROR(IF(N(N15)&lt;&gt;0,N59/N15,""),"")</f>
        <v>0.0966187845303867</v>
      </c>
      <c r="O309" s="257">
        <f>IFERROR(IF(N(O15)&lt;&gt;0,O59/O15,""),"")</f>
        <v>0.217209394801221</v>
      </c>
      <c r="P309" s="257">
        <f>IFERROR(IF(N(P15)&lt;&gt;0,P59/P15,""),"")</f>
        <v>0.228705273489783</v>
      </c>
      <c r="Q309" s="257">
        <f>IFERROR(IF(N(Q15)&lt;&gt;0,Q59/Q15,""),"")</f>
        <v>0.199614372989343</v>
      </c>
      <c r="R309" s="258">
        <f>IFERROR(IF(N(R15)&lt;&gt;0,R59/R15,""),"")</f>
        <v>0.189883484819184</v>
      </c>
      <c r="S309" s="257">
        <f>IFERROR(IF(N(S15)&lt;&gt;0,S59/S15,""),"")</f>
        <v>0.195947507046809</v>
      </c>
      <c r="T309" s="257">
        <f>IFERROR(IF(N(T15)&lt;&gt;0,T59/T15,""),"")</f>
        <v>0.14358250717611</v>
      </c>
      <c r="U309" s="257">
        <f>IFERROR(IF(N(U15)&lt;&gt;0,U59/U15,""),"")</f>
        <v>0.152798589687087</v>
      </c>
      <c r="V309" s="257">
        <f>IFERROR(IF(N(V15)&lt;&gt;0,V59/V15,""),"")</f>
        <v>0.129197097600304</v>
      </c>
      <c r="W309" s="258">
        <f>IFERROR(IF(N(W15)&lt;&gt;0,W59/W15,""),"")</f>
        <v>0.155643649407108</v>
      </c>
      <c r="X309" s="257">
        <f>IFERROR(IF(N(X15)&lt;&gt;0,X59/X15,""),"")</f>
        <v>0.151535211776176</v>
      </c>
      <c r="Y309" s="257">
        <f>IFERROR(IF(N(Y15)&lt;&gt;0,Y59/Y15,""),"")</f>
        <v>0.149752847625188</v>
      </c>
      <c r="Z309" s="257">
        <f>IFERROR(IF(N(Z15)&lt;&gt;0,Z59/Z15,""),"")</f>
        <v>0.147007198720228</v>
      </c>
      <c r="AA309" s="257">
        <f>IFERROR(IF(N(AA15)&lt;&gt;0,AA59/AA15,""),"")</f>
        <v>0.121185242010884</v>
      </c>
      <c r="AB309" s="258">
        <f>IFERROR(IF(N(AB15)&lt;&gt;0,AB59/AB15,""),"")</f>
        <v>0.14265200165911</v>
      </c>
      <c r="AC309" s="257">
        <f>IFERROR(IF(N(AC15)&lt;&gt;0,AC59/AC15,""),"")</f>
        <v>0.142006495849874</v>
      </c>
      <c r="AD309" s="257">
        <f>IFERROR(IF(N(AD15)&lt;&gt;0,AD59/AD15,""),"")</f>
        <v>0.133119034181533</v>
      </c>
      <c r="AE309" s="257">
        <f>IFERROR(IF(N(AE15)&lt;&gt;0,AE59/AE15,""),"")</f>
        <v>0.129223626515347</v>
      </c>
      <c r="AF309" s="257">
        <f>IFERROR(IF(N(AF15)&lt;&gt;0,AF59/AF15,""),"")</f>
        <v>0.0995528988676678</v>
      </c>
      <c r="AG309" s="258">
        <f>IFERROR(IF(N(AG15)&lt;&gt;0,AG59/AG15,""),"")</f>
        <v>0.126027125133188</v>
      </c>
      <c r="AH309" s="257">
        <f>IFERROR(IF(N(AH15)&lt;&gt;0,AH59/AH15,""),"")</f>
        <v>0.085296812234255</v>
      </c>
      <c r="AI309" s="257">
        <f>IFERROR(IF(N(AI15)&lt;&gt;0,AI59/AI15,""),"")</f>
        <v>0.169380349431549</v>
      </c>
      <c r="AJ309" s="257">
        <f>IFERROR(IF(N(AJ15)&lt;&gt;0,AJ59/AJ15,""),"")</f>
        <v>0.126429869513371</v>
      </c>
      <c r="AK309" s="257">
        <f>IFERROR(IF(N(AK15)&lt;&gt;0,AK59/AK15,""),"")</f>
        <v>0.126429869513371</v>
      </c>
      <c r="AL309" s="258">
        <f>IFERROR(IF(N(AL15)&lt;&gt;0,AL59/AL15,""),"")</f>
        <v>0.130369040754275</v>
      </c>
      <c r="AM309" s="257">
        <f>IFERROR(IF(N(AM15)&lt;&gt;0,AM59/AM15,""),"")</f>
        <v>0.126429869513371</v>
      </c>
      <c r="AN309" s="257">
        <f>IFERROR(IF(N(AN15)&lt;&gt;0,AN59/AN15,""),"")</f>
        <v>0.126429869513371</v>
      </c>
      <c r="AO309" s="257">
        <f>IFERROR(IF(N(AO15)&lt;&gt;0,AO59/AO15,""),"")</f>
        <v>0.126429869513371</v>
      </c>
      <c r="AP309" s="257">
        <f>IFERROR(IF(N(AP15)&lt;&gt;0,AP59/AP15,""),"")</f>
        <v>0.126429869513371</v>
      </c>
      <c r="AQ309" s="258">
        <f>IFERROR(IF(N(AQ15)&lt;&gt;0,AQ59/AQ15,""),"")</f>
        <v>0.126429869513371</v>
      </c>
      <c r="AR309" s="257">
        <f>IFERROR(IF(N(AR15)&lt;&gt;0,AR59/AR15,""),"")</f>
        <v>0.126429869513371</v>
      </c>
      <c r="AS309" s="257">
        <f>IFERROR(IF(N(AS15)&lt;&gt;0,AS59/AS15,""),"")</f>
        <v>0.126429869513371</v>
      </c>
      <c r="AT309" s="257">
        <f>IFERROR(IF(N(AT15)&lt;&gt;0,AT59/AT15,""),"")</f>
        <v>0.126429869513371</v>
      </c>
      <c r="AU309" s="257">
        <f>IFERROR(IF(N(AU15)&lt;&gt;0,AU59/AU15,""),"")</f>
        <v>0.126429869513371</v>
      </c>
      <c r="AV309" s="258">
        <f>IFERROR(IF(N(AV15)&lt;&gt;0,AV59/AV15,""),"")</f>
        <v>0.126429869513371</v>
      </c>
      <c r="AW309" s="257">
        <f>IFERROR(IF(N(AW15)&lt;&gt;0,AW59/AW15,""),"")</f>
        <v>0.126429869513371</v>
      </c>
      <c r="AX309" s="257">
        <f>IFERROR(IF(N(AX15)&lt;&gt;0,AX59/AX15,""),"")</f>
        <v>0.126429869513371</v>
      </c>
      <c r="AY309" s="257">
        <f>IFERROR(IF(N(AY15)&lt;&gt;0,AY59/AY15,""),"")</f>
        <v>0.126429869513371</v>
      </c>
      <c r="AZ309" s="257">
        <f>IFERROR(IF(N(AZ15)&lt;&gt;0,AZ59/AZ15,""),"")</f>
        <v>0.126429869513371</v>
      </c>
      <c r="BA309" s="258">
        <f>IFERROR(IF(N(BA15)&lt;&gt;0,BA59/BA15,""),"")</f>
        <v>0.126429869513371</v>
      </c>
      <c r="BB309" s="257">
        <f>IFERROR(IF(N(BB15)&lt;&gt;0,BB59/BB15,""),"")</f>
        <v>0.126429869513371</v>
      </c>
      <c r="BC309" s="257">
        <f>IFERROR(IF(N(BC15)&lt;&gt;0,BC59/BC15,""),"")</f>
        <v>0.126429869513371</v>
      </c>
      <c r="BD309" s="257">
        <f>IFERROR(IF(N(BD15)&lt;&gt;0,BD59/BD15,""),"")</f>
        <v>0.126429869513371</v>
      </c>
      <c r="BE309" s="257">
        <f>IFERROR(IF(N(BE15)&lt;&gt;0,BE59/BE15,""),"")</f>
        <v>0.126429869513371</v>
      </c>
      <c r="BF309" s="258">
        <f>IFERROR(IF(N(BF15)&lt;&gt;0,BF59/BF15,""),"")</f>
        <v>0.126429869513371</v>
      </c>
      <c r="BG309" s="81" t="n"/>
      <c r="BH309" s="81" t="n"/>
      <c r="BI309" s="81" t="n"/>
      <c r="BJ309" s="81" t="n"/>
      <c r="BL309" s="81" t="n"/>
      <c r="BM309" s="81" t="n"/>
      <c r="BN309" s="81" t="n"/>
      <c r="BO309" s="81" t="n"/>
      <c r="BQ309" s="81" t="n"/>
      <c r="BR309" s="81" t="n"/>
      <c r="BS309" s="81" t="n"/>
      <c r="BT309" s="81" t="n"/>
      <c r="BV309" s="81" t="n"/>
      <c r="BW309" s="81" t="n"/>
      <c r="BX309" s="81" t="n"/>
      <c r="BY309" s="81" t="n"/>
      <c r="CA309" s="81" t="n"/>
      <c r="CB309" s="81" t="n"/>
      <c r="CC309" s="81" t="n"/>
      <c r="CD309" s="81" t="n"/>
      <c r="CF309" s="81" t="n"/>
      <c r="CG309" s="81" t="n"/>
      <c r="CH309" s="81" t="n"/>
      <c r="CI309" s="81" t="n"/>
      <c r="CK309" s="81" t="n"/>
      <c r="CL309" s="81" t="n"/>
      <c r="CM309" s="81" t="n"/>
      <c r="CN309" s="81" t="n"/>
      <c r="CP309" s="81" t="n"/>
      <c r="CQ309" s="81" t="n"/>
      <c r="CR309" s="81" t="n"/>
      <c r="CS309" s="81" t="n"/>
      <c r="CU309" s="81" t="n"/>
      <c r="CV309" s="81" t="n"/>
      <c r="CW309" s="81" t="n"/>
      <c r="CX309" s="81" t="n"/>
    </row>
    <row r="310" customFormat="1" s="77">
      <c r="A310" s="76" t="n"/>
      <c r="B310" s="76" t="n"/>
      <c r="C310" s="77" t="inlineStr">
        <is>
          <t>EBITDA MARGIN</t>
        </is>
      </c>
      <c r="D310" s="78" t="str">
        <f>IFERROR(D55/D15,"")</f>
        <v/>
      </c>
      <c r="E310" s="78" t="str">
        <f>IFERROR(E55/E15,"")</f>
        <v/>
      </c>
      <c r="F310" s="78" t="str">
        <f>IFERROR(F55/F15,"")</f>
        <v/>
      </c>
      <c r="G310" s="78" t="str">
        <f>IFERROR(G55/G15,"")</f>
        <v/>
      </c>
      <c r="H310" s="258" t="str">
        <f>IFERROR(IF(N(H15)&lt;&gt;0,H55/H15,""),"")</f>
        <v/>
      </c>
      <c r="I310" s="257">
        <f>IFERROR(IF(N(I15)&lt;&gt;0,I55/I15,""),"")</f>
        <v>0.149694828140058</v>
      </c>
      <c r="J310" s="257">
        <f>IFERROR(IF(N(J15)&lt;&gt;0,J55/J15,""),"")</f>
        <v>0.169953647663193</v>
      </c>
      <c r="K310" s="257">
        <f>IFERROR(IF(N(K15)&lt;&gt;0,K55/K15,""),"")</f>
        <v>0.200715582901906</v>
      </c>
      <c r="L310" s="257">
        <f>IFERROR(IF(N(L15)&lt;&gt;0,L55/L15,""),"")</f>
        <v>0.207273583240158</v>
      </c>
      <c r="M310" s="258">
        <f>IFERROR(IF(N(M15)&lt;&gt;0,M55/M15,""),"")</f>
        <v>0.184806049572889</v>
      </c>
      <c r="N310" s="257">
        <f>IFERROR(IF(N(N15)&lt;&gt;0,N55/N15,""),"")</f>
        <v>0.194773480662983</v>
      </c>
      <c r="O310" s="257">
        <f>IFERROR(IF(N(O15)&lt;&gt;0,O55/O15,""),"")</f>
        <v>0.255685894831476</v>
      </c>
      <c r="P310" s="257">
        <f>IFERROR(IF(N(P15)&lt;&gt;0,P55/P15,""),"")</f>
        <v>0.279048808780227</v>
      </c>
      <c r="Q310" s="257">
        <f>IFERROR(IF(N(Q15)&lt;&gt;0,Q55/Q15,""),"")</f>
        <v>0.252680002934119</v>
      </c>
      <c r="R310" s="258">
        <f>IFERROR(IF(N(R15)&lt;&gt;0,R55/R15,""),"")</f>
        <v>0.247996035583059</v>
      </c>
      <c r="S310" s="257">
        <f>IFERROR(IF(N(S15)&lt;&gt;0,S55/S15,""),"")</f>
        <v>0.244974816320872</v>
      </c>
      <c r="T310" s="257">
        <f>IFERROR(IF(N(T15)&lt;&gt;0,T55/T15,""),"")</f>
        <v>0.194743951564271</v>
      </c>
      <c r="U310" s="257">
        <f>IFERROR(IF(N(U15)&lt;&gt;0,U55/U15,""),"")</f>
        <v>0.20144336712208</v>
      </c>
      <c r="V310" s="257">
        <f>IFERROR(IF(N(V15)&lt;&gt;0,V55/V15,""),"")</f>
        <v>0.220964146827279</v>
      </c>
      <c r="W310" s="258">
        <f>IFERROR(IF(N(W15)&lt;&gt;0,W55/W15,""),"")</f>
        <v>0.215545211299488</v>
      </c>
      <c r="X310" s="257">
        <f>IFERROR(IF(N(X15)&lt;&gt;0,X55/X15,""),"")</f>
        <v>0.209453197405005</v>
      </c>
      <c r="Y310" s="257">
        <f>IFERROR(IF(N(Y15)&lt;&gt;0,Y55/Y15,""),"")</f>
        <v>0.21193853427896</v>
      </c>
      <c r="Z310" s="257">
        <f>IFERROR(IF(N(Z15)&lt;&gt;0,Z55/Z15,""),"")</f>
        <v>0.216528172769285</v>
      </c>
      <c r="AA310" s="257">
        <f>IFERROR(IF(N(AA15)&lt;&gt;0,AA55/AA15,""),"")</f>
        <v>0.200117469374056</v>
      </c>
      <c r="AB310" s="258">
        <f>IFERROR(IF(N(AB15)&lt;&gt;0,AB55/AB15,""),"")</f>
        <v>0.209708654547535</v>
      </c>
      <c r="AC310" s="257">
        <f>IFERROR(IF(N(AC15)&lt;&gt;0,AC55/AC15,""),"")</f>
        <v>0.210597858775412</v>
      </c>
      <c r="AD310" s="257">
        <f>IFERROR(IF(N(AD15)&lt;&gt;0,AD55/AD15,""),"")</f>
        <v>0.207972419208402</v>
      </c>
      <c r="AE310" s="257">
        <f>IFERROR(IF(N(AE15)&lt;&gt;0,AE55/AE15,""),"")</f>
        <v>0.20513752432762</v>
      </c>
      <c r="AF310" s="257">
        <f>IFERROR(IF(N(AF15)&lt;&gt;0,AF55/AF15,""),"")</f>
        <v>0.193286193322642</v>
      </c>
      <c r="AG310" s="258">
        <f>IFERROR(IF(N(AG15)&lt;&gt;0,AG55/AG15,""),"")</f>
        <v>0.20426320890446</v>
      </c>
      <c r="AH310" s="257">
        <f>IFERROR(IF(N(AH15)&lt;&gt;0,AH55/AH15,""),"")</f>
        <v>0.164826516948953</v>
      </c>
      <c r="AI310" s="257">
        <f>IFERROR(IF(N(AI15)&lt;&gt;0,AI55/AI15,""),"")</f>
        <v>0.244274545971711</v>
      </c>
      <c r="AJ310" s="257">
        <f>IFERROR(IF(N(AJ15)&lt;&gt;0,AJ55/AJ15,""),"")</f>
        <v>0.20434917642579</v>
      </c>
      <c r="AK310" s="257">
        <f>IFERROR(IF(N(AK15)&lt;&gt;0,AK55/AK15,""),"")</f>
        <v>0.20434917642579</v>
      </c>
      <c r="AL310" s="258">
        <f>IFERROR(IF(N(AL15)&lt;&gt;0,AL55/AL15,""),"")</f>
        <v>0.207719526445436</v>
      </c>
      <c r="AM310" s="257">
        <f>IFERROR(IF(N(AM15)&lt;&gt;0,AM55/AM15,""),"")</f>
        <v>0.20434917642579</v>
      </c>
      <c r="AN310" s="257">
        <f>IFERROR(IF(N(AN15)&lt;&gt;0,AN55/AN15,""),"")</f>
        <v>0.20434917642579</v>
      </c>
      <c r="AO310" s="257">
        <f>IFERROR(IF(N(AO15)&lt;&gt;0,AO55/AO15,""),"")</f>
        <v>0.20434917642579</v>
      </c>
      <c r="AP310" s="257">
        <f>IFERROR(IF(N(AP15)&lt;&gt;0,AP55/AP15,""),"")</f>
        <v>0.20434917642579</v>
      </c>
      <c r="AQ310" s="258">
        <f>IFERROR(IF(N(AQ15)&lt;&gt;0,AQ55/AQ15,""),"")</f>
        <v>0.20434917642579</v>
      </c>
      <c r="AR310" s="257">
        <f>IFERROR(IF(N(AR15)&lt;&gt;0,AR55/AR15,""),"")</f>
        <v>0.20434917642579</v>
      </c>
      <c r="AS310" s="257">
        <f>IFERROR(IF(N(AS15)&lt;&gt;0,AS55/AS15,""),"")</f>
        <v>0.20434917642579</v>
      </c>
      <c r="AT310" s="257">
        <f>IFERROR(IF(N(AT15)&lt;&gt;0,AT55/AT15,""),"")</f>
        <v>0.20434917642579</v>
      </c>
      <c r="AU310" s="257">
        <f>IFERROR(IF(N(AU15)&lt;&gt;0,AU55/AU15,""),"")</f>
        <v>0.20434917642579</v>
      </c>
      <c r="AV310" s="258">
        <f>IFERROR(IF(N(AV15)&lt;&gt;0,AV55/AV15,""),"")</f>
        <v>0.20434917642579</v>
      </c>
      <c r="AW310" s="257">
        <f>IFERROR(IF(N(AW15)&lt;&gt;0,AW55/AW15,""),"")</f>
        <v>0.20434917642579</v>
      </c>
      <c r="AX310" s="257">
        <f>IFERROR(IF(N(AX15)&lt;&gt;0,AX55/AX15,""),"")</f>
        <v>0.20434917642579</v>
      </c>
      <c r="AY310" s="257">
        <f>IFERROR(IF(N(AY15)&lt;&gt;0,AY55/AY15,""),"")</f>
        <v>0.20434917642579</v>
      </c>
      <c r="AZ310" s="257">
        <f>IFERROR(IF(N(AZ15)&lt;&gt;0,AZ55/AZ15,""),"")</f>
        <v>0.20434917642579</v>
      </c>
      <c r="BA310" s="258">
        <f>IFERROR(IF(N(BA15)&lt;&gt;0,BA55/BA15,""),"")</f>
        <v>0.20434917642579</v>
      </c>
      <c r="BB310" s="257">
        <f>IFERROR(IF(N(BB15)&lt;&gt;0,BB55/BB15,""),"")</f>
        <v>0.20434917642579</v>
      </c>
      <c r="BC310" s="257">
        <f>IFERROR(IF(N(BC15)&lt;&gt;0,BC55/BC15,""),"")</f>
        <v>0.20434917642579</v>
      </c>
      <c r="BD310" s="257">
        <f>IFERROR(IF(N(BD15)&lt;&gt;0,BD55/BD15,""),"")</f>
        <v>0.20434917642579</v>
      </c>
      <c r="BE310" s="257">
        <f>IFERROR(IF(N(BE15)&lt;&gt;0,BE55/BE15,""),"")</f>
        <v>0.20434917642579</v>
      </c>
      <c r="BF310" s="258">
        <f>IFERROR(IF(N(BF15)&lt;&gt;0,BF55/BF15,""),"")</f>
        <v>0.20434917642579</v>
      </c>
      <c r="BG310" s="81" t="n"/>
      <c r="BH310" s="81" t="n"/>
      <c r="BI310" s="81" t="n"/>
      <c r="BJ310" s="81" t="n"/>
      <c r="BL310" s="81" t="n"/>
      <c r="BM310" s="81" t="n"/>
      <c r="BN310" s="81" t="n"/>
      <c r="BO310" s="81" t="n"/>
      <c r="BQ310" s="81" t="n"/>
      <c r="BR310" s="81" t="n"/>
      <c r="BS310" s="81" t="n"/>
      <c r="BT310" s="81" t="n"/>
      <c r="BV310" s="81" t="n"/>
      <c r="BW310" s="81" t="n"/>
      <c r="BX310" s="81" t="n"/>
      <c r="BY310" s="81" t="n"/>
      <c r="CA310" s="81" t="n"/>
      <c r="CB310" s="81" t="n"/>
      <c r="CC310" s="81" t="n"/>
      <c r="CD310" s="81" t="n"/>
      <c r="CF310" s="81" t="n"/>
      <c r="CG310" s="81" t="n"/>
      <c r="CH310" s="81" t="n"/>
      <c r="CI310" s="81" t="n"/>
      <c r="CK310" s="81" t="n"/>
      <c r="CL310" s="81" t="n"/>
      <c r="CM310" s="81" t="n"/>
      <c r="CN310" s="81" t="n"/>
      <c r="CP310" s="81" t="n"/>
      <c r="CQ310" s="81" t="n"/>
      <c r="CR310" s="81" t="n"/>
      <c r="CS310" s="81" t="n"/>
      <c r="CU310" s="81" t="n"/>
      <c r="CV310" s="81" t="n"/>
      <c r="CW310" s="81" t="n"/>
      <c r="CX310" s="81" t="n"/>
    </row>
    <row r="311" customFormat="1" s="77">
      <c r="A311" s="76" t="n"/>
      <c r="B311" s="76" t="n"/>
      <c r="C311" s="77" t="inlineStr">
        <is>
          <t>ETR</t>
        </is>
      </c>
      <c r="D311" s="78" t="str">
        <f>IFERROR(-D117/D116,"")</f>
        <v/>
      </c>
      <c r="E311" s="78" t="str">
        <f>IFERROR(-E117/E116,"")</f>
        <v/>
      </c>
      <c r="F311" s="78" t="str">
        <f>IFERROR(-F117/F116,"")</f>
        <v/>
      </c>
      <c r="G311" s="78" t="str">
        <f>IFERROR(-G117/G116,"")</f>
        <v/>
      </c>
      <c r="H311" s="258" t="str">
        <f>IFERROR(IF(N(H116)&lt;&gt;0,-H117/H116,""),"")</f>
        <v/>
      </c>
      <c r="I311" s="257">
        <f>IFERROR(IF(N(I116)&lt;&gt;0,-I117/I116,""),"")</f>
        <v>0.221603563474388</v>
      </c>
      <c r="J311" s="257">
        <f>IFERROR(IF(N(J116)&lt;&gt;0,-J117/J116,""),"")</f>
        <v>0.241953385127636</v>
      </c>
      <c r="K311" s="257">
        <f>IFERROR(IF(N(K116)&lt;&gt;0,-K117/K116,""),"")</f>
        <v>0.277326670830731</v>
      </c>
      <c r="L311" s="257">
        <f>IFERROR(IF(N(L116)&lt;&gt;0,-L117/L116,""),"")</f>
        <v>0.225935714894705</v>
      </c>
      <c r="M311" s="258">
        <f>IFERROR(IF(N(M116)&lt;&gt;0,-M117/M116,""),"")</f>
        <v>0.244477172312224</v>
      </c>
      <c r="N311" s="257">
        <f>IFERROR(IF(N(N116)&lt;&gt;0,-N117/N116,""),"")</f>
        <v>0.327956989247312</v>
      </c>
      <c r="O311" s="257">
        <f>IFERROR(IF(N(O116)&lt;&gt;0,-O117/O116,""),"")</f>
        <v>0.255043516624554</v>
      </c>
      <c r="P311" s="257">
        <f>IFERROR(IF(N(P116)&lt;&gt;0,-P117/P116,""),"")</f>
        <v>0.205491306742192</v>
      </c>
      <c r="Q311" s="257">
        <f>IFERROR(IF(N(Q116)&lt;&gt;0,-Q117/Q116,""),"")</f>
        <v>0.307133000743021</v>
      </c>
      <c r="R311" s="258">
        <f>IFERROR(IF(N(R116)&lt;&gt;0,-R117/R116,""),"")</f>
        <v>0.259488379869587</v>
      </c>
      <c r="S311" s="257">
        <f>IFERROR(IF(N(S116)&lt;&gt;0,-S117/S116,""),"")</f>
        <v>0.295185383562459</v>
      </c>
      <c r="T311" s="257">
        <f>IFERROR(IF(N(T116)&lt;&gt;0,-T117/T116,""),"")</f>
        <v>0.300531914893617</v>
      </c>
      <c r="U311" s="257">
        <f>IFERROR(IF(N(U116)&lt;&gt;0,-U117/U116,""),"")</f>
        <v>0.317760420468647</v>
      </c>
      <c r="V311" s="257">
        <f>IFERROR(IF(N(V116)&lt;&gt;0,-V117/V116,""),"")</f>
        <v>0.245929411764706</v>
      </c>
      <c r="W311" s="258">
        <f>IFERROR(IF(N(W116)&lt;&gt;0,-W117/W116,""),"")</f>
        <v>0.292310024060777</v>
      </c>
      <c r="X311" s="257">
        <f>IFERROR(IF(N(X116)&lt;&gt;0,-X117/X116,""),"")</f>
        <v>0.307462203896839</v>
      </c>
      <c r="Y311" s="257">
        <f>IFERROR(IF(N(Y116)&lt;&gt;0,-Y117/Y116,""),"")</f>
        <v>0.299597511891694</v>
      </c>
      <c r="Z311" s="257">
        <f>IFERROR(IF(N(Z116)&lt;&gt;0,-Z117/Z116,""),"")</f>
        <v>0.311300475971135</v>
      </c>
      <c r="AA311" s="257">
        <f>IFERROR(IF(N(AA116)&lt;&gt;0,-AA117/AA116,""),"")</f>
        <v>0.189340670539081</v>
      </c>
      <c r="AB311" s="258">
        <f>IFERROR(IF(N(AB116)&lt;&gt;0,-AB117/AB116,""),"")</f>
        <v>0.282569107687271</v>
      </c>
      <c r="AC311" s="257">
        <f>IFERROR(IF(N(AC116)&lt;&gt;0,-AC117/AC116,""),"")</f>
        <v>0.3075</v>
      </c>
      <c r="AD311" s="257">
        <f>IFERROR(IF(N(AD116)&lt;&gt;0,-AD117/AD116,""),"")</f>
        <v>0.31303129378795</v>
      </c>
      <c r="AE311" s="257">
        <f>IFERROR(IF(N(AE116)&lt;&gt;0,-AE117/AE116,""),"")</f>
        <v>0.289425539699963</v>
      </c>
      <c r="AF311" s="257">
        <f>IFERROR(IF(N(AF116)&lt;&gt;0,-AF117/AF116,""),"")</f>
        <v>0.177063877474785</v>
      </c>
      <c r="AG311" s="258">
        <f>IFERROR(IF(N(AG116)&lt;&gt;0,-AG117/AG116,""),"")</f>
        <v>0.278763206358438</v>
      </c>
      <c r="AH311" s="257">
        <f>IFERROR(IF(N(AH116)&lt;&gt;0,-AH117/AH116,""),"")</f>
        <v>0.358116836514999</v>
      </c>
      <c r="AI311" s="257">
        <f>IFERROR(IF(N(AI116)&lt;&gt;0,-AI117/AI116,""),"")</f>
        <v>0.233885914332784</v>
      </c>
      <c r="AJ311" s="257">
        <f>IFERROR(IF(N(AJ116)&lt;&gt;0,-AJ117/AJ116,""),"")</f>
        <v>0.27983724363508</v>
      </c>
      <c r="AK311" s="257">
        <f>IFERROR(IF(N(AK116)&lt;&gt;0,-AK117/AK116,""),"")</f>
        <v>0.27983724363508</v>
      </c>
      <c r="AL311" s="258">
        <f>IFERROR(IF(N(AL116)&lt;&gt;0,-AL117/AL116,""),"")</f>
        <v>0.272677688687792</v>
      </c>
      <c r="AM311" s="257">
        <f>IFERROR(IF(N(AM116)&lt;&gt;0,-AM117/AM116,""),"")</f>
        <v>0.27983724363508</v>
      </c>
      <c r="AN311" s="257">
        <f>IFERROR(IF(N(AN116)&lt;&gt;0,-AN117/AN116,""),"")</f>
        <v>0.27983724363508</v>
      </c>
      <c r="AO311" s="257">
        <f>IFERROR(IF(N(AO116)&lt;&gt;0,-AO117/AO116,""),"")</f>
        <v>0.27983724363508</v>
      </c>
      <c r="AP311" s="257">
        <f>IFERROR(IF(N(AP116)&lt;&gt;0,-AP117/AP116,""),"")</f>
        <v>0.27983724363508</v>
      </c>
      <c r="AQ311" s="258">
        <f>IFERROR(IF(N(AQ116)&lt;&gt;0,-AQ117/AQ116,""),"")</f>
        <v>0.27983724363508</v>
      </c>
      <c r="AR311" s="257">
        <f>IFERROR(IF(N(AR116)&lt;&gt;0,-AR117/AR116,""),"")</f>
        <v>0.27983724363508</v>
      </c>
      <c r="AS311" s="257">
        <f>IFERROR(IF(N(AS116)&lt;&gt;0,-AS117/AS116,""),"")</f>
        <v>0.27983724363508</v>
      </c>
      <c r="AT311" s="257">
        <f>IFERROR(IF(N(AT116)&lt;&gt;0,-AT117/AT116,""),"")</f>
        <v>0.27983724363508</v>
      </c>
      <c r="AU311" s="257">
        <f>IFERROR(IF(N(AU116)&lt;&gt;0,-AU117/AU116,""),"")</f>
        <v>0.27983724363508</v>
      </c>
      <c r="AV311" s="258">
        <f>IFERROR(IF(N(AV116)&lt;&gt;0,-AV117/AV116,""),"")</f>
        <v>0.27983724363508</v>
      </c>
      <c r="AW311" s="257">
        <f>IFERROR(IF(N(AW116)&lt;&gt;0,-AW117/AW116,""),"")</f>
        <v>0.27983724363508</v>
      </c>
      <c r="AX311" s="257">
        <f>IFERROR(IF(N(AX116)&lt;&gt;0,-AX117/AX116,""),"")</f>
        <v>0.27983724363508</v>
      </c>
      <c r="AY311" s="257">
        <f>IFERROR(IF(N(AY116)&lt;&gt;0,-AY117/AY116,""),"")</f>
        <v>0.27983724363508</v>
      </c>
      <c r="AZ311" s="257">
        <f>IFERROR(IF(N(AZ116)&lt;&gt;0,-AZ117/AZ116,""),"")</f>
        <v>0.27983724363508</v>
      </c>
      <c r="BA311" s="258">
        <f>IFERROR(IF(N(BA116)&lt;&gt;0,-BA117/BA116,""),"")</f>
        <v>0.27983724363508</v>
      </c>
      <c r="BB311" s="257">
        <f>IFERROR(IF(N(BB116)&lt;&gt;0,-BB117/BB116,""),"")</f>
        <v>0.27983724363508</v>
      </c>
      <c r="BC311" s="257">
        <f>IFERROR(IF(N(BC116)&lt;&gt;0,-BC117/BC116,""),"")</f>
        <v>0.27983724363508</v>
      </c>
      <c r="BD311" s="257">
        <f>IFERROR(IF(N(BD116)&lt;&gt;0,-BD117/BD116,""),"")</f>
        <v>0.27983724363508</v>
      </c>
      <c r="BE311" s="257">
        <f>IFERROR(IF(N(BE116)&lt;&gt;0,-BE117/BE116,""),"")</f>
        <v>0.27983724363508</v>
      </c>
      <c r="BF311" s="258">
        <f>IFERROR(IF(N(BF116)&lt;&gt;0,-BF117/BF116,""),"")</f>
        <v>0.27983724363508</v>
      </c>
      <c r="BG311" s="81" t="n"/>
      <c r="BH311" s="81" t="n"/>
      <c r="BI311" s="81" t="n"/>
      <c r="BJ311" s="81" t="n"/>
      <c r="BL311" s="81" t="n"/>
      <c r="BM311" s="81" t="n"/>
      <c r="BN311" s="81" t="n"/>
      <c r="BO311" s="81" t="n"/>
      <c r="BQ311" s="81" t="n"/>
      <c r="BR311" s="81" t="n"/>
      <c r="BS311" s="81" t="n"/>
      <c r="BT311" s="81" t="n"/>
      <c r="BV311" s="81" t="n"/>
      <c r="BW311" s="81" t="n"/>
      <c r="BX311" s="81" t="n"/>
      <c r="BY311" s="81" t="n"/>
      <c r="CA311" s="81" t="n"/>
      <c r="CB311" s="81" t="n"/>
      <c r="CC311" s="81" t="n"/>
      <c r="CD311" s="81" t="n"/>
      <c r="CF311" s="81" t="n"/>
      <c r="CG311" s="81" t="n"/>
      <c r="CH311" s="81" t="n"/>
      <c r="CI311" s="81" t="n"/>
      <c r="CK311" s="81" t="n"/>
      <c r="CL311" s="81" t="n"/>
      <c r="CM311" s="81" t="n"/>
      <c r="CN311" s="81" t="n"/>
      <c r="CP311" s="81" t="n"/>
      <c r="CQ311" s="81" t="n"/>
      <c r="CR311" s="81" t="n"/>
      <c r="CS311" s="81" t="n"/>
      <c r="CU311" s="81" t="n"/>
      <c r="CV311" s="81" t="n"/>
      <c r="CW311" s="81" t="n"/>
      <c r="CX311" s="81" t="n"/>
    </row>
    <row r="312" customFormat="1" s="77">
      <c r="A312" s="76" t="n"/>
      <c r="B312" s="76" t="n"/>
    </row>
    <row r="313" customFormat="1" s="77">
      <c r="A313" s="76" t="n"/>
      <c r="B313" s="76" t="n"/>
      <c r="C313" s="74" t="inlineStr">
        <is>
          <t>CAPITAL STRUCTURE</t>
        </is>
      </c>
    </row>
    <row r="314" customFormat="1" s="77">
      <c r="A314" s="76" t="n"/>
      <c r="B314" s="76" t="n"/>
      <c r="C314" s="77" t="inlineStr">
        <is>
          <t>TOTAL DEBT / EQUITY (BOOK VALUE)</t>
        </is>
      </c>
      <c r="H314" s="262" t="str">
        <f>IFERROR(IF(N(H257)&lt;&gt;0,(N(H198)+N(H199)+N(H200)+N(H203)+N(H221)+N(H224))/H257,""),"")</f>
        <v/>
      </c>
      <c r="I314" s="262">
        <f>IFERROR(IF(N(I257)&lt;&gt;0,(N(I198)+N(I199)+N(I200)+N(I203)+N(I221)+N(I224))/I257,""),"")</f>
        <v>0.385872115343599</v>
      </c>
      <c r="J314" s="262">
        <f>IFERROR(IF(N(J257)&lt;&gt;0,(N(J198)+N(J199)+N(J200)+N(J203)+N(J221)+N(J224))/J257,""),"")</f>
        <v>0.366111768827466</v>
      </c>
      <c r="K314" s="262">
        <f>IFERROR(IF(N(K257)&lt;&gt;0,(N(K198)+N(K199)+N(K200)+N(K203)+N(K221)+N(K224))/K257,""),"")</f>
        <v>0.337928193616945</v>
      </c>
      <c r="L314" s="262">
        <f>IFERROR(IF(N(L257)&lt;&gt;0,(N(L198)+N(L199)+N(L200)+N(L203)+N(L221)+N(L224))/L257,""),"")</f>
        <v>0.27153452525287</v>
      </c>
      <c r="M314" s="262">
        <f>IFERROR(IF(N(M257)&lt;&gt;0,(N(M198)+N(M199)+N(M200)+N(M203)+N(M221)+N(M224))/M257,""),"")</f>
        <v>0.27153452525287</v>
      </c>
      <c r="N314" s="262">
        <f>IFERROR(IF(N(N257)&lt;&gt;0,(N(N198)+N(N199)+N(N200)+N(N203)+N(N221)+N(N224))/N257,""),"")</f>
        <v>0.269291775715759</v>
      </c>
      <c r="O314" s="262">
        <f>IFERROR(IF(N(O257)&lt;&gt;0,(N(O198)+N(O199)+N(O200)+N(O203)+N(O221)+N(O224))/O257,""),"")</f>
        <v>0.254097383311293</v>
      </c>
      <c r="P314" s="262">
        <f>IFERROR(IF(N(P257)&lt;&gt;0,(N(P198)+N(P199)+N(P200)+N(P203)+N(P221)+N(P224))/P257,""),"")</f>
        <v>0.235325808239615</v>
      </c>
      <c r="Q314" s="262">
        <f>IFERROR(IF(N(Q257)&lt;&gt;0,(N(Q198)+N(Q199)+N(Q200)+N(Q203)+N(Q221)+N(Q224))/Q257,""),"")</f>
        <v>0.203449348802063</v>
      </c>
      <c r="R314" s="262">
        <f>IFERROR(IF(N(R257)&lt;&gt;0,(N(R198)+N(R199)+N(R200)+N(R203)+N(R221)+N(R224))/R257,""),"")</f>
        <v>0.203449348802063</v>
      </c>
      <c r="S314" s="262">
        <f>IFERROR(IF(N(S257)&lt;&gt;0,(N(S198)+N(S199)+N(S200)+N(S203)+N(S221)+N(S224))/S257,""),"")</f>
        <v>0.200790644045462</v>
      </c>
      <c r="T314" s="262">
        <f>IFERROR(IF(N(T257)&lt;&gt;0,(N(T198)+N(T199)+N(T200)+N(T203)+N(T221)+N(T224))/T257,""),"")</f>
        <v>0.20046667343005</v>
      </c>
      <c r="U314" s="262">
        <f>IFERROR(IF(N(U257)&lt;&gt;0,(N(U198)+N(U199)+N(U200)+N(U203)+N(U221)+N(U224))/U257,""),"")</f>
        <v>0.198778025663388</v>
      </c>
      <c r="V314" s="262">
        <f>IFERROR(IF(N(V257)&lt;&gt;0,(N(V198)+N(V199)+N(V200)+N(V203)+N(V221)+N(V224))/V257,""),"")</f>
        <v>0.195602668699244</v>
      </c>
      <c r="W314" s="262">
        <f>IFERROR(IF(N(W257)&lt;&gt;0,(N(W198)+N(W199)+N(W200)+N(W203)+N(W221)+N(W224))/W257,""),"")</f>
        <v>0.195602668699244</v>
      </c>
      <c r="X314" s="262">
        <f>IFERROR(IF(N(X257)&lt;&gt;0,(N(X198)+N(X199)+N(X200)+N(X203)+N(X221)+N(X224))/X257,""),"")</f>
        <v>0.189812815650639</v>
      </c>
      <c r="Y314" s="262">
        <f>IFERROR(IF(N(Y257)&lt;&gt;0,(N(Y198)+N(Y199)+N(Y200)+N(Y203)+N(Y221)+N(Y224))/Y257,""),"")</f>
        <v>0.156320357915922</v>
      </c>
      <c r="Z314" s="262">
        <f>IFERROR(IF(N(Z257)&lt;&gt;0,(N(Z198)+N(Z199)+N(Z200)+N(Z203)+N(Z221)+N(Z224))/Z257,""),"")</f>
        <v>0.153943560057887</v>
      </c>
      <c r="AA314" s="262">
        <f>IFERROR(IF(N(AA257)&lt;&gt;0,(N(AA198)+N(AA199)+N(AA200)+N(AA203)+N(AA221)+N(AA224))/AA257,""),"")</f>
        <v>0.154135532841105</v>
      </c>
      <c r="AB314" s="262">
        <f>IFERROR(IF(N(AB257)&lt;&gt;0,(N(AB198)+N(AB199)+N(AB200)+N(AB203)+N(AB221)+N(AB224))/AB257,""),"")</f>
        <v>0.154135532841105</v>
      </c>
      <c r="AC314" s="262">
        <f>IFERROR(IF(N(AC257)&lt;&gt;0,(N(AC198)+N(AC199)+N(AC200)+N(AC203)+N(AC221)+N(AC224))/AC257,""),"")</f>
        <v>0.139177779589779</v>
      </c>
      <c r="AD314" s="262">
        <f>IFERROR(IF(N(AD257)&lt;&gt;0,(N(AD198)+N(AD199)+N(AD200)+N(AD203)+N(AD221)+N(AD224))/AD257,""),"")</f>
        <v>0.144424030048674</v>
      </c>
      <c r="AE314" s="262">
        <f>IFERROR(IF(N(AE257)&lt;&gt;0,(N(AE198)+N(AE199)+N(AE200)+N(AE203)+N(AE221)+N(AE224))/AE257,""),"")</f>
        <v>0.156720340910362</v>
      </c>
      <c r="AF314" s="262">
        <f>IFERROR(IF(N(AF257)&lt;&gt;0,(N(AF198)+N(AF199)+N(AF200)+N(AF203)+N(AF221)+N(AF224))/AF257,""),"")</f>
        <v>0.163288651519357</v>
      </c>
      <c r="AG314" s="262">
        <f>IFERROR(IF(N(AG257)&lt;&gt;0,(N(AG198)+N(AG199)+N(AG200)+N(AG203)+N(AG221)+N(AG224))/AG257,""),"")</f>
        <v>0.163288651519357</v>
      </c>
      <c r="AH314" s="262">
        <f>IFERROR(IF(N(AH257)&lt;&gt;0,(N(AH198)+N(AH199)+N(AH200)+N(AH203)+N(AH221)+N(AH224))/AH257,""),"")</f>
        <v>0.182611994053549</v>
      </c>
      <c r="AI314" s="262">
        <f>IFERROR(IF(N(AI257)&lt;&gt;0,(N(AI198)+N(AI199)+N(AI200)+N(AI203)+N(AI221)+N(AI224))/AI257,""),"")</f>
        <v>0.15921175749969</v>
      </c>
      <c r="AJ314" s="262">
        <f>IFERROR(IF(N(AJ257)&lt;&gt;0,(N(AJ198)+N(AJ199)+N(AJ200)+N(AJ203)+N(AJ221)+N(AJ224))/AJ257,""),"")</f>
        <v>0.154508684692405</v>
      </c>
      <c r="AK314" s="262">
        <f>IFERROR(IF(N(AK257)&lt;&gt;0,(N(AK198)+N(AK199)+N(AK200)+N(AK203)+N(AK221)+N(AK224))/AK257,""),"")</f>
        <v>0.150226391791326</v>
      </c>
      <c r="AL314" s="262">
        <f>IFERROR(IF(N(AL257)&lt;&gt;0,(N(AL198)+N(AL199)+N(AL200)+N(AL203)+N(AL221)+N(AL224))/AL257,""),"")</f>
        <v>0.150226391791326</v>
      </c>
      <c r="AM314" s="262">
        <f>IFERROR(IF(N(AM257)&lt;&gt;0,(N(AM198)+N(AM199)+N(AM200)+N(AM203)+N(AM221)+N(AM224))/AM257,""),"")</f>
        <v>0.146039654926331</v>
      </c>
      <c r="AN314" s="262">
        <f>IFERROR(IF(N(AN257)&lt;&gt;0,(N(AN198)+N(AN199)+N(AN200)+N(AN203)+N(AN221)+N(AN224))/AN257,""),"")</f>
        <v>0.140696344195239</v>
      </c>
      <c r="AO314" s="262">
        <f>IFERROR(IF(N(AO257)&lt;&gt;0,(N(AO198)+N(AO199)+N(AO200)+N(AO203)+N(AO221)+N(AO224))/AO257,""),"")</f>
        <v>0.136856662425733</v>
      </c>
      <c r="AP314" s="262">
        <f>IFERROR(IF(N(AP257)&lt;&gt;0,(N(AP198)+N(AP199)+N(AP200)+N(AP203)+N(AP221)+N(AP224))/AP257,""),"")</f>
        <v>0.133345000308669</v>
      </c>
      <c r="AQ314" s="262">
        <f>IFERROR(IF(N(AQ257)&lt;&gt;0,(N(AQ198)+N(AQ199)+N(AQ200)+N(AQ203)+N(AQ221)+N(AQ224))/AQ257,""),"")</f>
        <v>0.133345000308669</v>
      </c>
      <c r="AR314" s="262">
        <f>IFERROR(IF(N(AR257)&lt;&gt;0,(N(AR198)+N(AR199)+N(AR200)+N(AR203)+N(AR221)+N(AR224))/AR257,""),"")</f>
        <v>0.129913411472191</v>
      </c>
      <c r="AS314" s="262">
        <f>IFERROR(IF(N(AS257)&lt;&gt;0,(N(AS198)+N(AS199)+N(AS200)+N(AS203)+N(AS221)+N(AS224))/AS257,""),"")</f>
        <v>0.125511902322773</v>
      </c>
      <c r="AT314" s="262">
        <f>IFERROR(IF(N(AT257)&lt;&gt;0,(N(AT198)+N(AT199)+N(AT200)+N(AT203)+N(AT221)+N(AT224))/AT257,""),"")</f>
        <v>0.122333686825821</v>
      </c>
      <c r="AU314" s="262">
        <f>IFERROR(IF(N(AU257)&lt;&gt;0,(N(AU198)+N(AU199)+N(AU200)+N(AU203)+N(AU221)+N(AU224))/AU257,""),"")</f>
        <v>0.1194156993575</v>
      </c>
      <c r="AV314" s="262">
        <f>IFERROR(IF(N(AV257)&lt;&gt;0,(N(AV198)+N(AV199)+N(AV200)+N(AV203)+N(AV221)+N(AV224))/AV257,""),"")</f>
        <v>0.1194156993575</v>
      </c>
      <c r="AW314" s="262">
        <f>IFERROR(IF(N(AW257)&lt;&gt;0,(N(AW198)+N(AW199)+N(AW200)+N(AW203)+N(AW221)+N(AW224))/AW257,""),"")</f>
        <v>0.11656723145494</v>
      </c>
      <c r="AX314" s="262">
        <f>IFERROR(IF(N(AX257)&lt;&gt;0,(N(AX198)+N(AX199)+N(AX200)+N(AX203)+N(AX221)+N(AX224))/AX257,""),"")</f>
        <v>0.112897515291122</v>
      </c>
      <c r="AY314" s="262">
        <f>IFERROR(IF(N(AY257)&lt;&gt;0,(N(AY198)+N(AY199)+N(AY200)+N(AY203)+N(AY221)+N(AY224))/AY257,""),"")</f>
        <v>0.110236358242272</v>
      </c>
      <c r="AZ314" s="262">
        <f>IFERROR(IF(N(AZ257)&lt;&gt;0,(N(AZ198)+N(AZ199)+N(AZ200)+N(AZ203)+N(AZ221)+N(AZ224))/AZ257,""),"")</f>
        <v>0.107784662048066</v>
      </c>
      <c r="BA314" s="262">
        <f>IFERROR(IF(N(BA257)&lt;&gt;0,(N(BA198)+N(BA199)+N(BA200)+N(BA203)+N(BA221)+N(BA224))/BA257,""),"")</f>
        <v>0.107784662048066</v>
      </c>
      <c r="BB314" s="262">
        <f>IFERROR(IF(N(BB257)&lt;&gt;0,(N(BB198)+N(BB199)+N(BB200)+N(BB203)+N(BB221)+N(BB224))/BB257,""),"")</f>
        <v>0.105394915835936</v>
      </c>
      <c r="BC314" s="262">
        <f>IFERROR(IF(N(BC257)&lt;&gt;0,(N(BC198)+N(BC199)+N(BC200)+N(BC203)+N(BC221)+N(BC224))/BC257,""),"")</f>
        <v>0.10230401077798</v>
      </c>
      <c r="BD314" s="262">
        <f>IFERROR(IF(N(BD257)&lt;&gt;0,(N(BD198)+N(BD199)+N(BD200)+N(BD203)+N(BD221)+N(BD224))/BD257,""),"")</f>
        <v>0.100053972051142</v>
      </c>
      <c r="BE314" s="262">
        <f>IFERROR(IF(N(BE257)&lt;&gt;0,(N(BE198)+N(BE199)+N(BE200)+N(BE203)+N(BE221)+N(BE224))/BE257,""),"")</f>
        <v>0.0979745897015289</v>
      </c>
      <c r="BF314" s="262">
        <f>IFERROR(IF(N(BF257)&lt;&gt;0,(N(BF198)+N(BF199)+N(BF200)+N(BF203)+N(BF221)+N(BF224))/BF257,""),"")</f>
        <v>0.0979745897015289</v>
      </c>
    </row>
    <row r="315" customFormat="1" s="77">
      <c r="A315" s="76" t="n"/>
      <c r="B315" s="76" t="n"/>
      <c r="C315" s="77" t="inlineStr">
        <is>
          <t>NET DEBT / (NET DEBT + EQUITY) (BOOK VALUE)</t>
        </is>
      </c>
      <c r="H315" s="258" t="str">
        <f>IFERROR(IF(((N(H198)+N(H199)+N(H200)+N(H203)+N(H221)+N(H224))-N(H130)+N(H257))&lt;&gt;0,((N(H198)+N(H199)+N(H200)+N(H203)+N(H221)+N(H224))-N(H130))/((N(H198)+N(H199)+N(H200)+N(H203)+N(H221)+N(H224))-N(H130)+H257),""),"")</f>
        <v/>
      </c>
      <c r="I315" s="258">
        <f>IFERROR(IF(((N(I198)+N(I199)+N(I200)+N(I203)+N(I221)+N(I224))-N(I130)+N(I257))&lt;&gt;0,((N(I198)+N(I199)+N(I200)+N(I203)+N(I221)+N(I224))-N(I130))/((N(I198)+N(I199)+N(I200)+N(I203)+N(I221)+N(I224))-N(I130)+I257),""),"")</f>
        <v>0.267105239652</v>
      </c>
      <c r="J315" s="258">
        <f>IFERROR(IF(((N(J198)+N(J199)+N(J200)+N(J203)+N(J221)+N(J224))-N(J130)+N(J257))&lt;&gt;0,((N(J198)+N(J199)+N(J200)+N(J203)+N(J221)+N(J224))-N(J130))/((N(J198)+N(J199)+N(J200)+N(J203)+N(J221)+N(J224))-N(J130)+J257),""),"")</f>
        <v>0.256606332200285</v>
      </c>
      <c r="K315" s="258">
        <f>IFERROR(IF(((N(K198)+N(K199)+N(K200)+N(K203)+N(K221)+N(K224))-N(K130)+N(K257))&lt;&gt;0,((N(K198)+N(K199)+N(K200)+N(K203)+N(K221)+N(K224))-N(K130))/((N(K198)+N(K199)+N(K200)+N(K203)+N(K221)+N(K224))-N(K130)+K257),""),"")</f>
        <v>0.236328490081744</v>
      </c>
      <c r="L315" s="258">
        <f>IFERROR(IF(((N(L198)+N(L199)+N(L200)+N(L203)+N(L221)+N(L224))-N(L130)+N(L257))&lt;&gt;0,((N(L198)+N(L199)+N(L200)+N(L203)+N(L221)+N(L224))-N(L130))/((N(L198)+N(L199)+N(L200)+N(L203)+N(L221)+N(L224))-N(L130)+L257),""),"")</f>
        <v>0.1888496433271</v>
      </c>
      <c r="M315" s="258">
        <f>IFERROR(IF(((N(M198)+N(M199)+N(M200)+N(M203)+N(M221)+N(M224))-N(M130)+N(M257))&lt;&gt;0,((N(M198)+N(M199)+N(M200)+N(M203)+N(M221)+N(M224))-N(M130))/((N(M198)+N(M199)+N(M200)+N(M203)+N(M221)+N(M224))-N(M130)+M257),""),"")</f>
        <v>0.1888496433271</v>
      </c>
      <c r="N315" s="258">
        <f>IFERROR(IF(((N(N198)+N(N199)+N(N200)+N(N203)+N(N221)+N(N224))-N(N130)+N(N257))&lt;&gt;0,((N(N198)+N(N199)+N(N200)+N(N203)+N(N221)+N(N224))-N(N130))/((N(N198)+N(N199)+N(N200)+N(N203)+N(N221)+N(N224))-N(N130)+N257),""),"")</f>
        <v>0.171196634567982</v>
      </c>
      <c r="O315" s="258">
        <f>IFERROR(IF(((N(O198)+N(O199)+N(O200)+N(O203)+N(O221)+N(O224))-N(O130)+N(O257))&lt;&gt;0,((N(O198)+N(O199)+N(O200)+N(O203)+N(O221)+N(O224))-N(O130))/((N(O198)+N(O199)+N(O200)+N(O203)+N(O221)+N(O224))-N(O130)+O257),""),"")</f>
        <v>0.131849621229944</v>
      </c>
      <c r="P315" s="258">
        <f>IFERROR(IF(((N(P198)+N(P199)+N(P200)+N(P203)+N(P221)+N(P224))-N(P130)+N(P257))&lt;&gt;0,((N(P198)+N(P199)+N(P200)+N(P203)+N(P221)+N(P224))-N(P130))/((N(P198)+N(P199)+N(P200)+N(P203)+N(P221)+N(P224))-N(P130)+P257),""),"")</f>
        <v>0.0721941325745924</v>
      </c>
      <c r="Q315" s="258">
        <f>IFERROR(IF(((N(Q198)+N(Q199)+N(Q200)+N(Q203)+N(Q221)+N(Q224))-N(Q130)+N(Q257))&lt;&gt;0,((N(Q198)+N(Q199)+N(Q200)+N(Q203)+N(Q221)+N(Q224))-N(Q130))/((N(Q198)+N(Q199)+N(Q200)+N(Q203)+N(Q221)+N(Q224))-N(Q130)+Q257),""),"")</f>
        <v>0.0539794230607496</v>
      </c>
      <c r="R315" s="258">
        <f>IFERROR(IF(((N(R198)+N(R199)+N(R200)+N(R203)+N(R221)+N(R224))-N(R130)+N(R257))&lt;&gt;0,((N(R198)+N(R199)+N(R200)+N(R203)+N(R221)+N(R224))-N(R130))/((N(R198)+N(R199)+N(R200)+N(R203)+N(R221)+N(R224))-N(R130)+R257),""),"")</f>
        <v>0.0539794230607496</v>
      </c>
      <c r="S315" s="258">
        <f>IFERROR(IF(((N(S198)+N(S199)+N(S200)+N(S203)+N(S221)+N(S224))-N(S130)+N(S257))&lt;&gt;0,((N(S198)+N(S199)+N(S200)+N(S203)+N(S221)+N(S224))-N(S130))/((N(S198)+N(S199)+N(S200)+N(S203)+N(S221)+N(S224))-N(S130)+S257),""),"")</f>
        <v>0.0408672499756051</v>
      </c>
      <c r="T315" s="258">
        <f>IFERROR(IF(((N(T198)+N(T199)+N(T200)+N(T203)+N(T221)+N(T224))-N(T130)+N(T257))&lt;&gt;0,((N(T198)+N(T199)+N(T200)+N(T203)+N(T221)+N(T224))-N(T130))/((N(T198)+N(T199)+N(T200)+N(T203)+N(T221)+N(T224))-N(T130)+T257),""),"")</f>
        <v>0.054657136985363</v>
      </c>
      <c r="U315" s="258">
        <f>IFERROR(IF(((N(U198)+N(U199)+N(U200)+N(U203)+N(U221)+N(U224))-N(U130)+N(U257))&lt;&gt;0,((N(U198)+N(U199)+N(U200)+N(U203)+N(U221)+N(U224))-N(U130))/((N(U198)+N(U199)+N(U200)+N(U203)+N(U221)+N(U224))-N(U130)+U257),""),"")</f>
        <v>0.0384957515219466</v>
      </c>
      <c r="V315" s="258">
        <f>IFERROR(IF(((N(V198)+N(V199)+N(V200)+N(V203)+N(V221)+N(V224))-N(V130)+N(V257))&lt;&gt;0,((N(V198)+N(V199)+N(V200)+N(V203)+N(V221)+N(V224))-N(V130))/((N(V198)+N(V199)+N(V200)+N(V203)+N(V221)+N(V224))-N(V130)+V257),""),"")</f>
        <v>0.0450820408676743</v>
      </c>
      <c r="W315" s="258">
        <f>IFERROR(IF(((N(W198)+N(W199)+N(W200)+N(W203)+N(W221)+N(W224))-N(W130)+N(W257))&lt;&gt;0,((N(W198)+N(W199)+N(W200)+N(W203)+N(W221)+N(W224))-N(W130))/((N(W198)+N(W199)+N(W200)+N(W203)+N(W221)+N(W224))-N(W130)+W257),""),"")</f>
        <v>0.0450820408676743</v>
      </c>
      <c r="X315" s="258">
        <f>IFERROR(IF(((N(X198)+N(X199)+N(X200)+N(X203)+N(X221)+N(X224))-N(X130)+N(X257))&lt;&gt;0,((N(X198)+N(X199)+N(X200)+N(X203)+N(X221)+N(X224))-N(X130))/((N(X198)+N(X199)+N(X200)+N(X203)+N(X221)+N(X224))-N(X130)+X257),""),"")</f>
        <v>0.0323383536507821</v>
      </c>
      <c r="Y315" s="258">
        <f>IFERROR(IF(((N(Y198)+N(Y199)+N(Y200)+N(Y203)+N(Y221)+N(Y224))-N(Y130)+N(Y257))&lt;&gt;0,((N(Y198)+N(Y199)+N(Y200)+N(Y203)+N(Y221)+N(Y224))-N(Y130))/((N(Y198)+N(Y199)+N(Y200)+N(Y203)+N(Y221)+N(Y224))-N(Y130)+Y257),""),"")</f>
        <v>0.0570868829183049</v>
      </c>
      <c r="Z315" s="258">
        <f>IFERROR(IF(((N(Z198)+N(Z199)+N(Z200)+N(Z203)+N(Z221)+N(Z224))-N(Z130)+N(Z257))&lt;&gt;0,((N(Z198)+N(Z199)+N(Z200)+N(Z203)+N(Z221)+N(Z224))-N(Z130))/((N(Z198)+N(Z199)+N(Z200)+N(Z203)+N(Z221)+N(Z224))-N(Z130)+Z257),""),"")</f>
        <v>0.0535024518532723</v>
      </c>
      <c r="AA315" s="258">
        <f>IFERROR(IF(((N(AA198)+N(AA199)+N(AA200)+N(AA203)+N(AA221)+N(AA224))-N(AA130)+N(AA257))&lt;&gt;0,((N(AA198)+N(AA199)+N(AA200)+N(AA203)+N(AA221)+N(AA224))-N(AA130))/((N(AA198)+N(AA199)+N(AA200)+N(AA203)+N(AA221)+N(AA224))-N(AA130)+AA257),""),"")</f>
        <v>0.0645760092918106</v>
      </c>
      <c r="AB315" s="258">
        <f>IFERROR(IF(((N(AB198)+N(AB199)+N(AB200)+N(AB203)+N(AB221)+N(AB224))-N(AB130)+N(AB257))&lt;&gt;0,((N(AB198)+N(AB199)+N(AB200)+N(AB203)+N(AB221)+N(AB224))-N(AB130))/((N(AB198)+N(AB199)+N(AB200)+N(AB203)+N(AB221)+N(AB224))-N(AB130)+AB257),""),"")</f>
        <v>0.0645760092918106</v>
      </c>
      <c r="AC315" s="258">
        <f>IFERROR(IF(((N(AC198)+N(AC199)+N(AC200)+N(AC203)+N(AC221)+N(AC224))-N(AC130)+N(AC257))&lt;&gt;0,((N(AC198)+N(AC199)+N(AC200)+N(AC203)+N(AC221)+N(AC224))-N(AC130))/((N(AC198)+N(AC199)+N(AC200)+N(AC203)+N(AC221)+N(AC224))-N(AC130)+AC257),""),"")</f>
        <v>0.0706631624994403</v>
      </c>
      <c r="AD315" s="258">
        <f>IFERROR(IF(((N(AD198)+N(AD199)+N(AD200)+N(AD203)+N(AD221)+N(AD224))-N(AD130)+N(AD257))&lt;&gt;0,((N(AD198)+N(AD199)+N(AD200)+N(AD203)+N(AD221)+N(AD224))-N(AD130))/((N(AD198)+N(AD199)+N(AD200)+N(AD203)+N(AD221)+N(AD224))-N(AD130)+AD257),""),"")</f>
        <v>0.0836289328884348</v>
      </c>
      <c r="AE315" s="258">
        <f>IFERROR(IF(((N(AE198)+N(AE199)+N(AE200)+N(AE203)+N(AE221)+N(AE224))-N(AE130)+N(AE257))&lt;&gt;0,((N(AE198)+N(AE199)+N(AE200)+N(AE203)+N(AE221)+N(AE224))-N(AE130))/((N(AE198)+N(AE199)+N(AE200)+N(AE203)+N(AE221)+N(AE224))-N(AE130)+AE257),""),"")</f>
        <v>0.0952014707618614</v>
      </c>
      <c r="AF315" s="258">
        <f>IFERROR(IF(((N(AF198)+N(AF199)+N(AF200)+N(AF203)+N(AF221)+N(AF224))-N(AF130)+N(AF257))&lt;&gt;0,((N(AF198)+N(AF199)+N(AF200)+N(AF203)+N(AF221)+N(AF224))-N(AF130))/((N(AF198)+N(AF199)+N(AF200)+N(AF203)+N(AF221)+N(AF224))-N(AF130)+AF257),""),"")</f>
        <v>0.109709431618595</v>
      </c>
      <c r="AG315" s="258">
        <f>IFERROR(IF(((N(AG198)+N(AG199)+N(AG200)+N(AG203)+N(AG221)+N(AG224))-N(AG130)+N(AG257))&lt;&gt;0,((N(AG198)+N(AG199)+N(AG200)+N(AG203)+N(AG221)+N(AG224))-N(AG130))/((N(AG198)+N(AG199)+N(AG200)+N(AG203)+N(AG221)+N(AG224))-N(AG130)+AG257),""),"")</f>
        <v>0.109709431618595</v>
      </c>
      <c r="AH315" s="258">
        <f>IFERROR(IF(((N(AH198)+N(AH199)+N(AH200)+N(AH203)+N(AH221)+N(AH224))-N(AH130)+N(AH257))&lt;&gt;0,((N(AH198)+N(AH199)+N(AH200)+N(AH203)+N(AH221)+N(AH224))-N(AH130))/((N(AH198)+N(AH199)+N(AH200)+N(AH203)+N(AH221)+N(AH224))-N(AH130)+AH257),""),"")</f>
        <v>0.130656647414247</v>
      </c>
      <c r="AI315" s="258">
        <f>IFERROR(IF(((N(AI198)+N(AI199)+N(AI200)+N(AI203)+N(AI221)+N(AI224))-N(AI130)+N(AI257))&lt;&gt;0,((N(AI198)+N(AI199)+N(AI200)+N(AI203)+N(AI221)+N(AI224))-N(AI130))/((N(AI198)+N(AI199)+N(AI200)+N(AI203)+N(AI221)+N(AI224))-N(AI130)+AI257),""),"")</f>
        <v>0.10668331705221</v>
      </c>
      <c r="AJ315" s="258">
        <f>IFERROR(IF(((N(AJ198)+N(AJ199)+N(AJ200)+N(AJ203)+N(AJ221)+N(AJ224))-N(AJ130)+N(AJ257))&lt;&gt;0,((N(AJ198)+N(AJ199)+N(AJ200)+N(AJ203)+N(AJ221)+N(AJ224))-N(AJ130))/((N(AJ198)+N(AJ199)+N(AJ200)+N(AJ203)+N(AJ221)+N(AJ224))-N(AJ130)+AJ257),""),"")</f>
        <v>0.0699382923858024</v>
      </c>
      <c r="AK315" s="258">
        <f>IFERROR(IF(((N(AK198)+N(AK199)+N(AK200)+N(AK203)+N(AK221)+N(AK224))-N(AK130)+N(AK257))&lt;&gt;0,((N(AK198)+N(AK199)+N(AK200)+N(AK203)+N(AK221)+N(AK224))-N(AK130))/((N(AK198)+N(AK199)+N(AK200)+N(AK203)+N(AK221)+N(AK224))-N(AK130)+AK257),""),"")</f>
        <v>0.0457315844398678</v>
      </c>
      <c r="AL315" s="258">
        <f>IFERROR(IF(((N(AL198)+N(AL199)+N(AL200)+N(AL203)+N(AL221)+N(AL224))-N(AL130)+N(AL257))&lt;&gt;0,((N(AL198)+N(AL199)+N(AL200)+N(AL203)+N(AL221)+N(AL224))-N(AL130))/((N(AL198)+N(AL199)+N(AL200)+N(AL203)+N(AL221)+N(AL224))-N(AL130)+AL257),""),"")</f>
        <v>0.0457315844398678</v>
      </c>
      <c r="AM315" s="258">
        <f>IFERROR(IF(((N(AM198)+N(AM199)+N(AM200)+N(AM203)+N(AM221)+N(AM224))-N(AM130)+N(AM257))&lt;&gt;0,((N(AM198)+N(AM199)+N(AM200)+N(AM203)+N(AM221)+N(AM224))-N(AM130))/((N(AM198)+N(AM199)+N(AM200)+N(AM203)+N(AM221)+N(AM224))-N(AM130)+AM257),""),"")</f>
        <v>0.0155994704921037</v>
      </c>
      <c r="AN315" s="258">
        <f>IFERROR(IF(((N(AN198)+N(AN199)+N(AN200)+N(AN203)+N(AN221)+N(AN224))-N(AN130)+N(AN257))&lt;&gt;0,((N(AN198)+N(AN199)+N(AN200)+N(AN203)+N(AN221)+N(AN224))-N(AN130))/((N(AN198)+N(AN199)+N(AN200)+N(AN203)+N(AN221)+N(AN224))-N(AN130)+AN257),""),"")</f>
        <v>-0.0425009753208272</v>
      </c>
      <c r="AO315" s="258">
        <f>IFERROR(IF(((N(AO198)+N(AO199)+N(AO200)+N(AO203)+N(AO221)+N(AO224))-N(AO130)+N(AO257))&lt;&gt;0,((N(AO198)+N(AO199)+N(AO200)+N(AO203)+N(AO221)+N(AO224))-N(AO130))/((N(AO198)+N(AO199)+N(AO200)+N(AO203)+N(AO221)+N(AO224))-N(AO130)+AO257),""),"")</f>
        <v>-0.0506561285703457</v>
      </c>
      <c r="AP315" s="258">
        <f>IFERROR(IF(((N(AP198)+N(AP199)+N(AP200)+N(AP203)+N(AP221)+N(AP224))-N(AP130)+N(AP257))&lt;&gt;0,((N(AP198)+N(AP199)+N(AP200)+N(AP203)+N(AP221)+N(AP224))-N(AP130))/((N(AP198)+N(AP199)+N(AP200)+N(AP203)+N(AP221)+N(AP224))-N(AP130)+AP257),""),"")</f>
        <v>-0.0757099309086231</v>
      </c>
      <c r="AQ315" s="258">
        <f>IFERROR(IF(((N(AQ198)+N(AQ199)+N(AQ200)+N(AQ203)+N(AQ221)+N(AQ224))-N(AQ130)+N(AQ257))&lt;&gt;0,((N(AQ198)+N(AQ199)+N(AQ200)+N(AQ203)+N(AQ221)+N(AQ224))-N(AQ130))/((N(AQ198)+N(AQ199)+N(AQ200)+N(AQ203)+N(AQ221)+N(AQ224))-N(AQ130)+AQ257),""),"")</f>
        <v>-0.0757099309086231</v>
      </c>
      <c r="AR315" s="258">
        <f>IFERROR(IF(((N(AR198)+N(AR199)+N(AR200)+N(AR203)+N(AR221)+N(AR224))-N(AR130)+N(AR257))&lt;&gt;0,((N(AR198)+N(AR199)+N(AR200)+N(AR203)+N(AR221)+N(AR224))-N(AR130))/((N(AR198)+N(AR199)+N(AR200)+N(AR203)+N(AR221)+N(AR224))-N(AR130)+AR257),""),"")</f>
        <v>-0.10631281589746</v>
      </c>
      <c r="AS315" s="258">
        <f>IFERROR(IF(((N(AS198)+N(AS199)+N(AS200)+N(AS203)+N(AS221)+N(AS224))-N(AS130)+N(AS257))&lt;&gt;0,((N(AS198)+N(AS199)+N(AS200)+N(AS203)+N(AS221)+N(AS224))-N(AS130))/((N(AS198)+N(AS199)+N(AS200)+N(AS203)+N(AS221)+N(AS224))-N(AS130)+AS257),""),"")</f>
        <v>-0.170030124029325</v>
      </c>
      <c r="AT315" s="258">
        <f>IFERROR(IF(((N(AT198)+N(AT199)+N(AT200)+N(AT203)+N(AT221)+N(AT224))-N(AT130)+N(AT257))&lt;&gt;0,((N(AT198)+N(AT199)+N(AT200)+N(AT203)+N(AT221)+N(AT224))-N(AT130))/((N(AT198)+N(AT199)+N(AT200)+N(AT203)+N(AT221)+N(AT224))-N(AT130)+AT257),""),"")</f>
        <v>-0.175890722580787</v>
      </c>
      <c r="AU315" s="258">
        <f>IFERROR(IF(((N(AU198)+N(AU199)+N(AU200)+N(AU203)+N(AU221)+N(AU224))-N(AU130)+N(AU257))&lt;&gt;0,((N(AU198)+N(AU199)+N(AU200)+N(AU203)+N(AU221)+N(AU224))-N(AU130))/((N(AU198)+N(AU199)+N(AU200)+N(AU203)+N(AU221)+N(AU224))-N(AU130)+AU257),""),"")</f>
        <v>-0.201584036433545</v>
      </c>
      <c r="AV315" s="258">
        <f>IFERROR(IF(((N(AV198)+N(AV199)+N(AV200)+N(AV203)+N(AV221)+N(AV224))-N(AV130)+N(AV257))&lt;&gt;0,((N(AV198)+N(AV199)+N(AV200)+N(AV203)+N(AV221)+N(AV224))-N(AV130))/((N(AV198)+N(AV199)+N(AV200)+N(AV203)+N(AV221)+N(AV224))-N(AV130)+AV257),""),"")</f>
        <v>-0.201584036433545</v>
      </c>
      <c r="AW315" s="258">
        <f>IFERROR(IF(((N(AW198)+N(AW199)+N(AW200)+N(AW203)+N(AW221)+N(AW224))-N(AW130)+N(AW257))&lt;&gt;0,((N(AW198)+N(AW199)+N(AW200)+N(AW203)+N(AW221)+N(AW224))-N(AW130))/((N(AW198)+N(AW199)+N(AW200)+N(AW203)+N(AW221)+N(AW224))-N(AW130)+AW257),""),"")</f>
        <v>-0.233947863578333</v>
      </c>
      <c r="AX315" s="258">
        <f>IFERROR(IF(((N(AX198)+N(AX199)+N(AX200)+N(AX203)+N(AX221)+N(AX224))-N(AX130)+N(AX257))&lt;&gt;0,((N(AX198)+N(AX199)+N(AX200)+N(AX203)+N(AX221)+N(AX224))-N(AX130))/((N(AX198)+N(AX199)+N(AX200)+N(AX203)+N(AX221)+N(AX224))-N(AX130)+AX257),""),"")</f>
        <v>-0.301784254643862</v>
      </c>
      <c r="AY315" s="258">
        <f>IFERROR(IF(((N(AY198)+N(AY199)+N(AY200)+N(AY203)+N(AY221)+N(AY224))-N(AY130)+N(AY257))&lt;&gt;0,((N(AY198)+N(AY199)+N(AY200)+N(AY203)+N(AY221)+N(AY224))-N(AY130))/((N(AY198)+N(AY199)+N(AY200)+N(AY203)+N(AY221)+N(AY224))-N(AY130)+AY257),""),"")</f>
        <v>-0.305022930765467</v>
      </c>
      <c r="AZ315" s="258">
        <f>IFERROR(IF(((N(AZ198)+N(AZ199)+N(AZ200)+N(AZ203)+N(AZ221)+N(AZ224))-N(AZ130)+N(AZ257))&lt;&gt;0,((N(AZ198)+N(AZ199)+N(AZ200)+N(AZ203)+N(AZ221)+N(AZ224))-N(AZ130))/((N(AZ198)+N(AZ199)+N(AZ200)+N(AZ203)+N(AZ221)+N(AZ224))-N(AZ130)+AZ257),""),"")</f>
        <v>-0.331186943316061</v>
      </c>
      <c r="BA315" s="258">
        <f>IFERROR(IF(((N(BA198)+N(BA199)+N(BA200)+N(BA203)+N(BA221)+N(BA224))-N(BA130)+N(BA257))&lt;&gt;0,((N(BA198)+N(BA199)+N(BA200)+N(BA203)+N(BA221)+N(BA224))-N(BA130))/((N(BA198)+N(BA199)+N(BA200)+N(BA203)+N(BA221)+N(BA224))-N(BA130)+BA257),""),"")</f>
        <v>-0.331186943316061</v>
      </c>
      <c r="BB315" s="258">
        <f>IFERROR(IF(((N(BB198)+N(BB199)+N(BB200)+N(BB203)+N(BB221)+N(BB224))-N(BB130)+N(BB257))&lt;&gt;0,((N(BB198)+N(BB199)+N(BB200)+N(BB203)+N(BB221)+N(BB224))-N(BB130))/((N(BB198)+N(BB199)+N(BB200)+N(BB203)+N(BB221)+N(BB224))-N(BB130)+BB257),""),"")</f>
        <v>-0.364309703009779</v>
      </c>
      <c r="BC315" s="258">
        <f>IFERROR(IF(((N(BC198)+N(BC199)+N(BC200)+N(BC203)+N(BC221)+N(BC224))-N(BC130)+N(BC257))&lt;&gt;0,((N(BC198)+N(BC199)+N(BC200)+N(BC203)+N(BC221)+N(BC224))-N(BC130))/((N(BC198)+N(BC199)+N(BC200)+N(BC203)+N(BC221)+N(BC224))-N(BC130)+BC257),""),"")</f>
        <v>-0.436912842124852</v>
      </c>
      <c r="BD315" s="258">
        <f>IFERROR(IF(((N(BD198)+N(BD199)+N(BD200)+N(BD203)+N(BD221)+N(BD224))-N(BD130)+N(BD257))&lt;&gt;0,((N(BD198)+N(BD199)+N(BD200)+N(BD203)+N(BD221)+N(BD224))-N(BD130))/((N(BD198)+N(BD199)+N(BD200)+N(BD203)+N(BD221)+N(BD224))-N(BD130)+BD257),""),"")</f>
        <v>-0.437228512385974</v>
      </c>
      <c r="BE315" s="258">
        <f>IFERROR(IF(((N(BE198)+N(BE199)+N(BE200)+N(BE203)+N(BE221)+N(BE224))-N(BE130)+N(BE257))&lt;&gt;0,((N(BE198)+N(BE199)+N(BE200)+N(BE203)+N(BE221)+N(BE224))-N(BE130))/((N(BE198)+N(BE199)+N(BE200)+N(BE203)+N(BE221)+N(BE224))-N(BE130)+BE257),""),"")</f>
        <v>-0.463668430117528</v>
      </c>
      <c r="BF315" s="258">
        <f>IFERROR(IF(((N(BF198)+N(BF199)+N(BF200)+N(BF203)+N(BF221)+N(BF224))-N(BF130)+N(BF257))&lt;&gt;0,((N(BF198)+N(BF199)+N(BF200)+N(BF203)+N(BF221)+N(BF224))-N(BF130))/((N(BF198)+N(BF199)+N(BF200)+N(BF203)+N(BF221)+N(BF224))-N(BF130)+BF257),""),"")</f>
        <v>-0.463668430117528</v>
      </c>
    </row>
    <row r="316" customFormat="1" s="77">
      <c r="A316" s="76" t="n"/>
      <c r="B316" s="76" t="n"/>
    </row>
    <row r="317" customFormat="1" s="77">
      <c r="A317" s="76" t="n"/>
      <c r="B317" s="76" t="n"/>
      <c r="C317" s="74" t="inlineStr">
        <is>
          <t>FINANCIAL RISK RATIOS</t>
        </is>
      </c>
    </row>
    <row r="318" customFormat="1" s="77">
      <c r="A318" s="76" t="n"/>
      <c r="B318" s="76" t="n"/>
      <c r="C318" s="77" t="inlineStr">
        <is>
          <t>EBITDA / TOTAL INTEREST (LTM)</t>
        </is>
      </c>
      <c r="D318" s="82" t="str">
        <f>IFERROR(D55/-D60,"")</f>
        <v/>
      </c>
      <c r="E318" s="82" t="str">
        <f>IFERROR(E55/-E60,"")</f>
        <v/>
      </c>
      <c r="F318" s="82" t="str">
        <f>IFERROR(F55/-F60,"")</f>
        <v/>
      </c>
      <c r="G318" s="82" t="str">
        <f>IFERROR(G55/-G60,"")</f>
        <v/>
      </c>
      <c r="H318" s="262" t="str">
        <f>IFERROR(IF(AND(COUNT(H55)=1,(H60)&lt;&gt;0),(H55)/-(H60),""),"")</f>
        <v/>
      </c>
      <c r="I318" s="262" t="str">
        <f>""</f>
        <v/>
      </c>
      <c r="J318" s="262" t="str">
        <f>""</f>
        <v/>
      </c>
      <c r="K318" s="262" t="str">
        <f>""</f>
        <v/>
      </c>
      <c r="L318" s="262">
        <f>IFERROR(IF(AND(COUNT(I55,J55,K55,L55)=4,(I60+J60+K60+L60)&lt;&gt;0),(I55+J55+K55+L55)/-(I60+J60+K60+L60),""),"")</f>
        <v>55.7423442449842</v>
      </c>
      <c r="M318" s="262">
        <f>IFERROR(IF(AND(COUNT(I55,J55,K55,L55)=4,(I60+J60+K60+L60)&lt;&gt;0),(I55+J55+K55+L55)/-(I60+J60+K60+L60),""),"")</f>
        <v>55.7423442449842</v>
      </c>
      <c r="N318" s="262">
        <f>IFERROR(IF(AND(COUNT(J55,K55,L55,N55)=4,(J60+K60+L60+N60)&lt;&gt;0),(J55+K55+L55+N55)/-(J60+K60+L60+N60),""),"")</f>
        <v>70.1949828962372</v>
      </c>
      <c r="O318" s="262">
        <f>IFERROR(IF(AND(COUNT(K55,L55,N55,O55)=4,(K60+L60+N60+O60)&lt;&gt;0),(K55+L55+N55+O55)/-(K60+L60+N60+O60),""),"")</f>
        <v>97.4614443084455</v>
      </c>
      <c r="P318" s="262">
        <f>IFERROR(IF(AND(COUNT(L55,N55,O55,P55)=4,(L60+N60+O60+P60)&lt;&gt;0),(L55+N55+O55+P55)/-(L60+N60+O60+P60),""),"")</f>
        <v>118.336206896552</v>
      </c>
      <c r="Q318" s="262">
        <f>IFERROR(IF(AND(COUNT(N55,O55,P55,Q55)=4,(N60+O60+P60+Q60)&lt;&gt;0),(N55+O55+P55+Q55)/-(N60+O60+P60+Q60),""),"")</f>
        <v>128.56015037594</v>
      </c>
      <c r="R318" s="262">
        <f>IFERROR(IF(AND(COUNT(N55,O55,P55,Q55)=4,(N60+O60+P60+Q60)&lt;&gt;0),(N55+O55+P55+Q55)/-(N60+O60+P60+Q60),""),"")</f>
        <v>128.56015037594</v>
      </c>
      <c r="S318" s="262">
        <f>IFERROR(IF(AND(COUNT(O55,P55,Q55,S55)=4,(O60+P60+Q60+S60)&lt;&gt;0),(O55+P55+Q55+S55)/-(O60+P60+Q60+S60),""),"")</f>
        <v>138.062418725618</v>
      </c>
      <c r="T318" s="262">
        <f>IFERROR(IF(AND(COUNT(P55,Q55,S55,T55)=4,(P60+Q60+S60+T60)&lt;&gt;0),(P55+Q55+S55+T55)/-(P60+Q60+S60+T60),""),"")</f>
        <v>112.547330097087</v>
      </c>
      <c r="U318" s="262">
        <f>IFERROR(IF(AND(COUNT(Q55,S55,T55,U55)=4,(Q60+S60+T60+U60)&lt;&gt;0),(Q55+S55+T55+U55)/-(Q60+S60+T60+U60),""),"")</f>
        <v>101.720663265306</v>
      </c>
      <c r="V318" s="262">
        <f>IFERROR(IF(AND(COUNT(S55,T55,U55,V55)=4,(S60+T60+U60+V60)&lt;&gt;0),(S55+T55+U55+V55)/-(S60+T60+U60+V60),""),"")</f>
        <v>87.4829210836278</v>
      </c>
      <c r="W318" s="262">
        <f>IFERROR(IF(AND(COUNT(S55,T55,U55,V55)=4,(S60+T60+U60+V60)&lt;&gt;0),(S55+T55+U55+V55)/-(S60+T60+U60+V60),""),"")</f>
        <v>87.4829210836278</v>
      </c>
      <c r="X318" s="262">
        <f>IFERROR(IF(AND(COUNT(T55,U55,V55,X55)=4,(T60+U60+V60+X60)&lt;&gt;0),(T55+U55+V55+X55)/-(T60+U60+V60+X60),""),"")</f>
        <v>77.3534577387486</v>
      </c>
      <c r="Y318" s="262">
        <f>IFERROR(IF(AND(COUNT(U55,V55,X55,Y55)=4,(U60+V60+X60+Y60)&lt;&gt;0),(U55+V55+X55+Y55)/-(U60+V60+X60+Y60),""),"")</f>
        <v>79.3622722400857</v>
      </c>
      <c r="Z318" s="262">
        <f>IFERROR(IF(AND(COUNT(V55,X55,Y55,Z55)=4,(V60+X60+Y60+Z60)&lt;&gt;0),(V55+X55+Y55+Z55)/-(V60+X60+Y60+Z60),""),"")</f>
        <v>77.5005149330587</v>
      </c>
      <c r="AA318" s="262">
        <f>IFERROR(IF(AND(COUNT(X55,Y55,Z55,AA55)=4,(X60+Y60+Z60+AA60)&lt;&gt;0),(X55+Y55+Z55+AA55)/-(X60+Y60+Z60+AA60),""),"")</f>
        <v>73.605421686747</v>
      </c>
      <c r="AB318" s="262">
        <f>IFERROR(IF(AND(COUNT(X55,Y55,Z55,AA55)=4,(X60+Y60+Z60+AA60)&lt;&gt;0),(X55+Y55+Z55+AA55)/-(X60+Y60+Z60+AA60),""),"")</f>
        <v>73.605421686747</v>
      </c>
      <c r="AC318" s="262">
        <f>IFERROR(IF(AND(COUNT(Y55,Z55,AA55,AC55)=4,(Y60+Z60+AA60+AC60)&lt;&gt;0),(Y55+Z55+AA55+AC55)/-(Y60+Z60+AA60+AC60),""),"")</f>
        <v>74.9142857142857</v>
      </c>
      <c r="AD318" s="262">
        <f>IFERROR(IF(AND(COUNT(Z55,AA55,AC55,AD55)=4,(Z60+AA60+AC60+AD60)&lt;&gt;0),(Z55+AA55+AC55+AD55)/-(Z60+AA60+AC60+AD60),""),"")</f>
        <v>82.7213114754098</v>
      </c>
      <c r="AE318" s="262">
        <f>IFERROR(IF(AND(COUNT(AA55,AC55,AD55,AE55)=4,(AA60+AC60+AD60+AE60)&lt;&gt;0),(AA55+AC55+AD55+AE55)/-(AA60+AC60+AD60+AE60),""),"")</f>
        <v>93.1478968792402</v>
      </c>
      <c r="AF318" s="262">
        <f>IFERROR(IF(AND(COUNT(AB55,AD55,AE55,AF55)=4,(AB60+AD60+AE60+AF60)&lt;&gt;0),(AB55+AD55+AE55+AF55)/-(AB60+AD60+AE60+AF60),""),"")</f>
        <v>88.7144906743185</v>
      </c>
      <c r="AG318" s="262">
        <f>IFERROR(IF(AND(COUNT(AC55,AD55,AE55,AF55)=4,(AC60+AD60+AE60+AF60)&lt;&gt;0),(AC55+AD55+AE55+AF55)/-(AC60+AD60+AE60+AF60),""),"")</f>
        <v>112.543946932007</v>
      </c>
      <c r="AH318" s="262">
        <f>IFERROR(IF(AND(COUNT(AD55,AF55,AG55,AH55)=4,(AD60+AF60+AG60+AH60)&lt;&gt;0),(AD55+AF55+AG55+AH55)/-(AD60+AF60+AG60+AH60),""),"")</f>
        <v>95.1550580431178</v>
      </c>
      <c r="AI318" s="262">
        <f>IFERROR(IF(AND(COUNT(AE55,AG55,AH55,AI55)=4,(AE60+AG60+AH60+AI60)&lt;&gt;0),(AE55+AG55+AH55+AI55)/-(AE60+AG60+AH60+AI60),""),"")</f>
        <v>105.130864197531</v>
      </c>
      <c r="AJ318" s="262" t="str">
        <f>IFERROR(IF(AND(COUNT(AF55,AH55,AI55,AJ55)=4,(AF60+AH60+AI60+AJ60)&lt;&gt;0),(AF55+AH55+AI55+AJ55)/-(AF60+AH60+AI60+AJ60),""),"")</f>
        <v/>
      </c>
      <c r="AK318" s="262" t="str">
        <f>IFERROR(IF(AND(COUNT(AH55,AI55,AJ55,AK55)=4,(AH60+AI60+AJ60+AK60)&lt;&gt;0),(AH55+AI55+AJ55+AK55)/-(AH60+AI60+AJ60+AK60),""),"")</f>
        <v/>
      </c>
      <c r="AL318" s="262" t="str">
        <f>IFERROR(IF(AND(COUNT(AH55,AI55,AJ55,AK55)=4,(AH60+AI60+AJ60+AK60)&lt;&gt;0),(AH55+AI55+AJ55+AK55)/-(AH60+AI60+AJ60+AK60),""),"")</f>
        <v/>
      </c>
      <c r="AM318" s="262" t="str">
        <f>IFERROR(IF(AND(COUNT(AI55,AJ55,AK55,AM55)=4,(AI60+AJ60+AK60+AM60)&lt;&gt;0),(AI55+AJ55+AK55+AM55)/-(AI60+AJ60+AK60+AM60),""),"")</f>
        <v/>
      </c>
      <c r="AN318" s="262" t="str">
        <f>IFERROR(IF(AND(COUNT(AJ55,AK55,AM55,AN55)=4,(AJ60+AK60+AM60+AN60)&lt;&gt;0),(AJ55+AK55+AM55+AN55)/-(AJ60+AK60+AM60+AN60),""),"")</f>
        <v/>
      </c>
      <c r="AO318" s="262" t="str">
        <f>IFERROR(IF(AND(COUNT(AK55,AM55,AN55,AO55)=4,(AK60+AM60+AN60+AO60)&lt;&gt;0),(AK55+AM55+AN55+AO55)/-(AK60+AM60+AN60+AO60),""),"")</f>
        <v/>
      </c>
      <c r="AP318" s="262" t="str">
        <f>IFERROR(IF(AND(COUNT(AM55,AN55,AO55,AP55)=4,(AM60+AN60+AO60+AP60)&lt;&gt;0),(AM55+AN55+AO55+AP55)/-(AM60+AN60+AO60+AP60),""),"")</f>
        <v/>
      </c>
      <c r="AQ318" s="262" t="str">
        <f>IFERROR(IF(AND(COUNT(AM55,AN55,AO55,AP55)=4,(AM60+AN60+AO60+AP60)&lt;&gt;0),(AM55+AN55+AO55+AP55)/-(AM60+AN60+AO60+AP60),""),"")</f>
        <v/>
      </c>
      <c r="AR318" s="262" t="str">
        <f>IFERROR(IF(AND(COUNT(AN55,AO55,AP55,AR55)=4,(AN60+AO60+AP60+AR60)&lt;&gt;0),(AN55+AO55+AP55+AR55)/-(AN60+AO60+AP60+AR60),""),"")</f>
        <v/>
      </c>
      <c r="AS318" s="262" t="str">
        <f>IFERROR(IF(AND(COUNT(AO55,AP55,AR55,AS55)=4,(AO60+AP60+AR60+AS60)&lt;&gt;0),(AO55+AP55+AR55+AS55)/-(AO60+AP60+AR60+AS60),""),"")</f>
        <v/>
      </c>
      <c r="AT318" s="262" t="str">
        <f>IFERROR(IF(AND(COUNT(AP55,AR55,AS55,AT55)=4,(AP60+AR60+AS60+AT60)&lt;&gt;0),(AP55+AR55+AS55+AT55)/-(AP60+AR60+AS60+AT60),""),"")</f>
        <v/>
      </c>
      <c r="AU318" s="262" t="str">
        <f>IFERROR(IF(AND(COUNT(AR55,AS55,AT55,AU55)=4,(AR60+AS60+AT60+AU60)&lt;&gt;0),(AR55+AS55+AT55+AU55)/-(AR60+AS60+AT60+AU60),""),"")</f>
        <v/>
      </c>
      <c r="AV318" s="262" t="str">
        <f>IFERROR(IF(AND(COUNT(AR55,AS55,AT55,AU55)=4,(AR60+AS60+AT60+AU60)&lt;&gt;0),(AR55+AS55+AT55+AU55)/-(AR60+AS60+AT60+AU60),""),"")</f>
        <v/>
      </c>
      <c r="AW318" s="262" t="str">
        <f>IFERROR(IF(AND(COUNT(AS55,AT55,AU55,AW55)=4,(AS60+AT60+AU60+AW60)&lt;&gt;0),(AS55+AT55+AU55+AW55)/-(AS60+AT60+AU60+AW60),""),"")</f>
        <v/>
      </c>
      <c r="AX318" s="262" t="str">
        <f>IFERROR(IF(AND(COUNT(AT55,AU55,AW55,AX55)=4,(AT60+AU60+AW60+AX60)&lt;&gt;0),(AT55+AU55+AW55+AX55)/-(AT60+AU60+AW60+AX60),""),"")</f>
        <v/>
      </c>
      <c r="AY318" s="262" t="str">
        <f>IFERROR(IF(AND(COUNT(AU55,AW55,AX55,AY55)=4,(AU60+AW60+AX60+AY60)&lt;&gt;0),(AU55+AW55+AX55+AY55)/-(AU60+AW60+AX60+AY60),""),"")</f>
        <v/>
      </c>
      <c r="AZ318" s="262" t="str">
        <f>IFERROR(IF(AND(COUNT(AW55,AX55,AY55,AZ55)=4,(AW60+AX60+AY60+AZ60)&lt;&gt;0),(AW55+AX55+AY55+AZ55)/-(AW60+AX60+AY60+AZ60),""),"")</f>
        <v/>
      </c>
      <c r="BA318" s="262" t="str">
        <f>IFERROR(IF(AND(COUNT(AW55,AX55,AY55,AZ55)=4,(AW60+AX60+AY60+AZ60)&lt;&gt;0),(AW55+AX55+AY55+AZ55)/-(AW60+AX60+AY60+AZ60),""),"")</f>
        <v/>
      </c>
      <c r="BB318" s="262" t="str">
        <f>IFERROR(IF(AND(COUNT(AX55,AY55,AZ55,BB55)=4,(AX60+AY60+AZ60+BB60)&lt;&gt;0),(AX55+AY55+AZ55+BB55)/-(AX60+AY60+AZ60+BB60),""),"")</f>
        <v/>
      </c>
      <c r="BC318" s="262" t="str">
        <f>IFERROR(IF(AND(COUNT(AY55,AZ55,BB55,BC55)=4,(AY60+AZ60+BB60+BC60)&lt;&gt;0),(AY55+AZ55+BB55+BC55)/-(AY60+AZ60+BB60+BC60),""),"")</f>
        <v/>
      </c>
      <c r="BD318" s="262" t="str">
        <f>IFERROR(IF(AND(COUNT(AZ55,BB55,BC55,BD55)=4,(AZ60+BB60+BC60+BD60)&lt;&gt;0),(AZ55+BB55+BC55+BD55)/-(AZ60+BB60+BC60+BD60),""),"")</f>
        <v/>
      </c>
      <c r="BE318" s="262" t="str">
        <f>IFERROR(IF(AND(COUNT(BB55,BC55,BD55,BE55)=4,(BB60+BC60+BD60+BE60)&lt;&gt;0),(BB55+BC55+BD55+BE55)/-(BB60+BC60+BD60+BE60),""),"")</f>
        <v/>
      </c>
      <c r="BF318" s="262" t="str">
        <f>IFERROR(IF(AND(COUNT(BB55,BC55,BD55,BE55)=4,(BB60+BC60+BD60+BE60)&lt;&gt;0),(BB55+BC55+BD55+BE55)/-(BB60+BC60+BD60+BE60),""),"")</f>
        <v/>
      </c>
      <c r="BG318" s="82" t="n"/>
      <c r="BH318" s="82" t="n"/>
      <c r="BI318" s="82" t="n"/>
      <c r="BJ318" s="82" t="n"/>
      <c r="BL318" s="82" t="n"/>
      <c r="BM318" s="82" t="n"/>
      <c r="BN318" s="82" t="n"/>
      <c r="BO318" s="82" t="n"/>
      <c r="BQ318" s="82" t="n"/>
      <c r="BR318" s="82" t="n"/>
      <c r="BS318" s="82" t="n"/>
      <c r="BT318" s="82" t="n"/>
      <c r="BV318" s="82" t="n"/>
      <c r="BW318" s="82" t="n"/>
      <c r="BX318" s="82" t="n"/>
      <c r="BY318" s="82" t="n"/>
      <c r="CA318" s="82" t="n"/>
      <c r="CB318" s="82" t="n"/>
      <c r="CC318" s="82" t="n"/>
      <c r="CD318" s="82" t="n"/>
      <c r="CF318" s="82" t="n"/>
      <c r="CG318" s="82" t="n"/>
      <c r="CH318" s="82" t="n"/>
      <c r="CI318" s="82" t="n"/>
      <c r="CK318" s="82" t="n"/>
      <c r="CL318" s="82" t="n"/>
      <c r="CM318" s="82" t="n"/>
      <c r="CN318" s="82" t="n"/>
      <c r="CP318" s="82" t="n"/>
      <c r="CQ318" s="82" t="n"/>
      <c r="CR318" s="82" t="n"/>
      <c r="CS318" s="82" t="n"/>
      <c r="CU318" s="82" t="n"/>
      <c r="CV318" s="82" t="n"/>
      <c r="CW318" s="82" t="n"/>
      <c r="CX318" s="82" t="n"/>
    </row>
    <row r="319" customFormat="1" s="77">
      <c r="A319" s="76" t="n"/>
      <c r="B319" s="76" t="n"/>
      <c r="C319" s="77" t="inlineStr">
        <is>
          <t>(EBITDA - CAPEX) / TOTAL INTEREST (LTM)</t>
        </is>
      </c>
      <c r="D319" s="82" t="str">
        <f>IFERROR((D55-D154)/-D60,"")</f>
        <v/>
      </c>
      <c r="E319" s="82" t="str">
        <f>IFERROR((E55-E154)/-E60,"")</f>
        <v/>
      </c>
      <c r="F319" s="82" t="str">
        <f>IFERROR((F55-F154)/-F60,"")</f>
        <v/>
      </c>
      <c r="G319" s="82" t="str">
        <f>IFERROR((G55-G154)/-G60,"")</f>
        <v/>
      </c>
      <c r="H319" s="262" t="str">
        <f>IFERROR(IF(AND(COUNT(H55)=1,(H60)&lt;&gt;0),((H55)-(H154))/-(H60),""),"")</f>
        <v/>
      </c>
      <c r="I319" s="262" t="str">
        <f>""</f>
        <v/>
      </c>
      <c r="J319" s="262" t="str">
        <f>""</f>
        <v/>
      </c>
      <c r="K319" s="262" t="str">
        <f>""</f>
        <v/>
      </c>
      <c r="L319" s="262">
        <f>IFERROR(IF(AND(COUNT(I55,J55,K55,L55)=4,(I60+J60+K60+L60)&lt;&gt;0),((I55+J55+K55+L55)-(I154+J154+K154+L154))/-(I60+J60+K60+L60),""),"")</f>
        <v>47.8078141499472</v>
      </c>
      <c r="M319" s="262">
        <f>IFERROR(IF(AND(COUNT(I55,J55,K55,L55)=4,(I60+J60+K60+L60)&lt;&gt;0),((I55+J55+K55+L55)-(I154+J154+K154+L154))/-(I60+J60+K60+L60),""),"")</f>
        <v>47.8078141499472</v>
      </c>
      <c r="N319" s="262">
        <f>IFERROR(IF(AND(COUNT(J55,K55,L55,N55)=4,(J60+K60+L60+N60)&lt;&gt;0),((J55+K55+L55+N55)-(J154+K154+L154+N154))/-(J60+K60+L60+N60),""),"")</f>
        <v>55.8072976054732</v>
      </c>
      <c r="O319" s="262">
        <f>IFERROR(IF(AND(COUNT(K55,L55,N55,O55)=4,(K60+L60+N60+O60)&lt;&gt;0),((K55+L55+N55+O55)-(K154+L154+N154+O154))/-(K60+L60+N60+O60),""),"")</f>
        <v>85.0599755201958</v>
      </c>
      <c r="P319" s="262">
        <f>IFERROR(IF(AND(COUNT(L55,N55,O55,P55)=4,(L60+N60+O60+P60)&lt;&gt;0),((L55+N55+O55+P55)-(L154+N154+O154+P154))/-(L60+N60+O60+P60),""),"")</f>
        <v>107.321428571429</v>
      </c>
      <c r="Q319" s="262">
        <f>IFERROR(IF(AND(COUNT(N55,O55,P55,Q55)=4,(N60+O60+P60+Q60)&lt;&gt;0),((N55+O55+P55+Q55)-(N154+O154+P154+Q154))/-(N60+O60+P60+Q60),""),"")</f>
        <v>113.296992481203</v>
      </c>
      <c r="R319" s="262">
        <f>IFERROR(IF(AND(COUNT(N55,O55,P55,Q55)=4,(N60+O60+P60+Q60)&lt;&gt;0),((N55+O55+P55+Q55)-(N154+O154+P154+Q154))/-(N60+O60+P60+Q60),""),"")</f>
        <v>113.296992481203</v>
      </c>
      <c r="S319" s="262">
        <f>IFERROR(IF(AND(COUNT(O55,P55,Q55,S55)=4,(O60+P60+Q60+S60)&lt;&gt;0),((O55+P55+Q55+S55)-(O154+P154+Q154+S154))/-(O60+P60+Q60+S60),""),"")</f>
        <v>121.611183355007</v>
      </c>
      <c r="T319" s="262">
        <f>IFERROR(IF(AND(COUNT(P55,Q55,S55,T55)=4,(P60+Q60+S60+T60)&lt;&gt;0),((P55+Q55+S55+T55)-(P154+Q154+S154+T154))/-(P60+Q60+S60+T60),""),"")</f>
        <v>92.1966019417476</v>
      </c>
      <c r="U319" s="262">
        <f>IFERROR(IF(AND(COUNT(Q55,S55,T55,U55)=4,(Q60+S60+T60+U60)&lt;&gt;0),((Q55+S55+T55+U55)-(Q154+S154+T154+U154))/-(Q60+S60+T60+U60),""),"")</f>
        <v>75.2857142857143</v>
      </c>
      <c r="V319" s="262">
        <f>IFERROR(IF(AND(COUNT(S55,T55,U55,V55)=4,(S60+T60+U60+V60)&lt;&gt;0),((S55+T55+U55+V55)-(S154+T154+U154+V154))/-(S60+T60+U60+V60),""),"")</f>
        <v>51.1001177856302</v>
      </c>
      <c r="W319" s="262">
        <f>IFERROR(IF(AND(COUNT(S55,T55,U55,V55)=4,(S60+T60+U60+V60)&lt;&gt;0),((S55+T55+U55+V55)-(S154+T154+U154+V154))/-(S60+T60+U60+V60),""),"")</f>
        <v>51.1001177856302</v>
      </c>
      <c r="X319" s="262">
        <f>IFERROR(IF(AND(COUNT(T55,U55,V55,X55)=4,(T60+U60+V60+X60)&lt;&gt;0),((T55+U55+V55+X55)-(T154+U154+V154+X154))/-(T60+U60+V60+X60),""),"")</f>
        <v>45.6201975850714</v>
      </c>
      <c r="Y319" s="262">
        <f>IFERROR(IF(AND(COUNT(U55,V55,X55,Y55)=4,(U60+V60+X60+Y60)&lt;&gt;0),((U55+V55+X55+Y55)-(U154+V154+X154+Y154))/-(U60+V60+X60+Y60),""),"")</f>
        <v>-43.1468381564845</v>
      </c>
      <c r="Z319" s="262">
        <f>IFERROR(IF(AND(COUNT(V55,X55,Y55,Z55)=4,(V60+X60+Y60+Z60)&lt;&gt;0),((V55+X55+Y55+Z55)-(V154+X154+Y154+Z154))/-(V60+X60+Y60+Z60),""),"")</f>
        <v>-44.3099897013388</v>
      </c>
      <c r="AA319" s="262">
        <f>IFERROR(IF(AND(COUNT(X55,Y55,Z55,AA55)=4,(X60+Y60+Z60+AA60)&lt;&gt;0),((X55+Y55+Z55+AA55)-(X154+Y154+Z154+AA154))/-(X60+Y60+Z60+AA60),""),"")</f>
        <v>-29.6275100401606</v>
      </c>
      <c r="AB319" s="262">
        <f>IFERROR(IF(AND(COUNT(X55,Y55,Z55,AA55)=4,(X60+Y60+Z60+AA60)&lt;&gt;0),((X55+Y55+Z55+AA55)-(X154+Y154+Z154+AA154))/-(X60+Y60+Z60+AA60),""),"")</f>
        <v>-29.6275100401606</v>
      </c>
      <c r="AC319" s="262">
        <f>IFERROR(IF(AND(COUNT(Y55,Z55,AA55,AC55)=4,(Y60+Z60+AA60+AC60)&lt;&gt;0),((Y55+Z55+AA55+AC55)-(Y154+Z154+AA154+AC154))/-(Y60+Z60+AA60+AC60),""),"")</f>
        <v>-30.4479591836735</v>
      </c>
      <c r="AD319" s="262">
        <f>IFERROR(IF(AND(COUNT(Z55,AA55,AC55,AD55)=4,(Z60+AA60+AC60+AD60)&lt;&gt;0),((Z55+AA55+AC55+AD55)-(Z154+AA154+AC154+AD154))/-(Z60+AA60+AC60+AD60),""),"")</f>
        <v>57.2892271662764</v>
      </c>
      <c r="AE319" s="262">
        <f>IFERROR(IF(AND(COUNT(AA55,AC55,AD55,AE55)=4,(AA60+AC60+AD60+AE60)&lt;&gt;0),((AA55+AC55+AD55+AE55)-(AA154+AC154+AD154+AE154))/-(AA60+AC60+AD60+AE60),""),"")</f>
        <v>60.9796472184532</v>
      </c>
      <c r="AF319" s="262">
        <f>IFERROR(IF(AND(COUNT(AB55,AD55,AE55,AF55)=4,(AB60+AD60+AE60+AF60)&lt;&gt;0),((AB55+AD55+AE55+AF55)-(AB154+AD154+AE154+AF154))/-(AB60+AD60+AE60+AF60),""),"")</f>
        <v>69.3328550932568</v>
      </c>
      <c r="AG319" s="262">
        <f>IFERROR(IF(AND(COUNT(AC55,AD55,AE55,AF55)=4,(AC60+AD60+AE60+AF60)&lt;&gt;0),((AC55+AD55+AE55+AF55)-(AC154+AD154+AE154+AF154))/-(AC60+AD60+AE60+AF60),""),"")</f>
        <v>61.0547263681592</v>
      </c>
      <c r="AH319" s="262">
        <f>IFERROR(IF(AND(COUNT(AD55,AF55,AG55,AH55)=4,(AD60+AF60+AG60+AH60)&lt;&gt;0),((AD55+AF55+AG55+AH55)-(AD154+AF154+AG154+AH154))/-(AD60+AF60+AG60+AH60),""),"")</f>
        <v>49.7669983416252</v>
      </c>
      <c r="AI319" s="262">
        <f>IFERROR(IF(AND(COUNT(AE55,AG55,AH55,AI55)=4,(AE60+AG60+AH60+AI60)&lt;&gt;0),((AE55+AG55+AH55+AI55)-(AE154+AG154+AH154+AI154))/-(AE60+AG60+AH60+AI60),""),"")</f>
        <v>61.5588477366255</v>
      </c>
      <c r="AJ319" s="262" t="str">
        <f>IFERROR(IF(AND(COUNT(AF55,AH55,AI55,AJ55)=4,(AF60+AH60+AI60+AJ60)&lt;&gt;0),((AF55+AH55+AI55+AJ55)-(AF154+AH154+AI154+AJ154))/-(AF60+AH60+AI60+AJ60),""),"")</f>
        <v/>
      </c>
      <c r="AK319" s="262" t="str">
        <f>IFERROR(IF(AND(COUNT(AH55,AI55,AJ55,AK55)=4,(AH60+AI60+AJ60+AK60)&lt;&gt;0),((AH55+AI55+AJ55+AK55)-(AH154+AI154+AJ154+AK154))/-(AH60+AI60+AJ60+AK60),""),"")</f>
        <v/>
      </c>
      <c r="AL319" s="262" t="str">
        <f>IFERROR(IF(AND(COUNT(AH55,AI55,AJ55,AK55)=4,(AH60+AI60+AJ60+AK60)&lt;&gt;0),((AH55+AI55+AJ55+AK55)-(AH154+AI154+AJ154+AK154))/-(AH60+AI60+AJ60+AK60),""),"")</f>
        <v/>
      </c>
      <c r="AM319" s="262" t="str">
        <f>IFERROR(IF(AND(COUNT(AI55,AJ55,AK55,AM55)=4,(AI60+AJ60+AK60+AM60)&lt;&gt;0),((AI55+AJ55+AK55+AM55)-(AI154+AJ154+AK154+AM154))/-(AI60+AJ60+AK60+AM60),""),"")</f>
        <v/>
      </c>
      <c r="AN319" s="262" t="str">
        <f>IFERROR(IF(AND(COUNT(AJ55,AK55,AM55,AN55)=4,(AJ60+AK60+AM60+AN60)&lt;&gt;0),((AJ55+AK55+AM55+AN55)-(AJ154+AK154+AM154+AN154))/-(AJ60+AK60+AM60+AN60),""),"")</f>
        <v/>
      </c>
      <c r="AO319" s="262" t="str">
        <f>IFERROR(IF(AND(COUNT(AK55,AM55,AN55,AO55)=4,(AK60+AM60+AN60+AO60)&lt;&gt;0),((AK55+AM55+AN55+AO55)-(AK154+AM154+AN154+AO154))/-(AK60+AM60+AN60+AO60),""),"")</f>
        <v/>
      </c>
      <c r="AP319" s="262" t="str">
        <f>IFERROR(IF(AND(COUNT(AM55,AN55,AO55,AP55)=4,(AM60+AN60+AO60+AP60)&lt;&gt;0),((AM55+AN55+AO55+AP55)-(AM154+AN154+AO154+AP154))/-(AM60+AN60+AO60+AP60),""),"")</f>
        <v/>
      </c>
      <c r="AQ319" s="262" t="str">
        <f>IFERROR(IF(AND(COUNT(AM55,AN55,AO55,AP55)=4,(AM60+AN60+AO60+AP60)&lt;&gt;0),((AM55+AN55+AO55+AP55)-(AM154+AN154+AO154+AP154))/-(AM60+AN60+AO60+AP60),""),"")</f>
        <v/>
      </c>
      <c r="AR319" s="262" t="str">
        <f>IFERROR(IF(AND(COUNT(AN55,AO55,AP55,AR55)=4,(AN60+AO60+AP60+AR60)&lt;&gt;0),((AN55+AO55+AP55+AR55)-(AN154+AO154+AP154+AR154))/-(AN60+AO60+AP60+AR60),""),"")</f>
        <v/>
      </c>
      <c r="AS319" s="262" t="str">
        <f>IFERROR(IF(AND(COUNT(AO55,AP55,AR55,AS55)=4,(AO60+AP60+AR60+AS60)&lt;&gt;0),((AO55+AP55+AR55+AS55)-(AO154+AP154+AR154+AS154))/-(AO60+AP60+AR60+AS60),""),"")</f>
        <v/>
      </c>
      <c r="AT319" s="262" t="str">
        <f>IFERROR(IF(AND(COUNT(AP55,AR55,AS55,AT55)=4,(AP60+AR60+AS60+AT60)&lt;&gt;0),((AP55+AR55+AS55+AT55)-(AP154+AR154+AS154+AT154))/-(AP60+AR60+AS60+AT60),""),"")</f>
        <v/>
      </c>
      <c r="AU319" s="262" t="str">
        <f>IFERROR(IF(AND(COUNT(AR55,AS55,AT55,AU55)=4,(AR60+AS60+AT60+AU60)&lt;&gt;0),((AR55+AS55+AT55+AU55)-(AR154+AS154+AT154+AU154))/-(AR60+AS60+AT60+AU60),""),"")</f>
        <v/>
      </c>
      <c r="AV319" s="262" t="str">
        <f>IFERROR(IF(AND(COUNT(AR55,AS55,AT55,AU55)=4,(AR60+AS60+AT60+AU60)&lt;&gt;0),((AR55+AS55+AT55+AU55)-(AR154+AS154+AT154+AU154))/-(AR60+AS60+AT60+AU60),""),"")</f>
        <v/>
      </c>
      <c r="AW319" s="262" t="str">
        <f>IFERROR(IF(AND(COUNT(AS55,AT55,AU55,AW55)=4,(AS60+AT60+AU60+AW60)&lt;&gt;0),((AS55+AT55+AU55+AW55)-(AS154+AT154+AU154+AW154))/-(AS60+AT60+AU60+AW60),""),"")</f>
        <v/>
      </c>
      <c r="AX319" s="262" t="str">
        <f>IFERROR(IF(AND(COUNT(AT55,AU55,AW55,AX55)=4,(AT60+AU60+AW60+AX60)&lt;&gt;0),((AT55+AU55+AW55+AX55)-(AT154+AU154+AW154+AX154))/-(AT60+AU60+AW60+AX60),""),"")</f>
        <v/>
      </c>
      <c r="AY319" s="262" t="str">
        <f>IFERROR(IF(AND(COUNT(AU55,AW55,AX55,AY55)=4,(AU60+AW60+AX60+AY60)&lt;&gt;0),((AU55+AW55+AX55+AY55)-(AU154+AW154+AX154+AY154))/-(AU60+AW60+AX60+AY60),""),"")</f>
        <v/>
      </c>
      <c r="AZ319" s="262" t="str">
        <f>IFERROR(IF(AND(COUNT(AW55,AX55,AY55,AZ55)=4,(AW60+AX60+AY60+AZ60)&lt;&gt;0),((AW55+AX55+AY55+AZ55)-(AW154+AX154+AY154+AZ154))/-(AW60+AX60+AY60+AZ60),""),"")</f>
        <v/>
      </c>
      <c r="BA319" s="262" t="str">
        <f>IFERROR(IF(AND(COUNT(AW55,AX55,AY55,AZ55)=4,(AW60+AX60+AY60+AZ60)&lt;&gt;0),((AW55+AX55+AY55+AZ55)-(AW154+AX154+AY154+AZ154))/-(AW60+AX60+AY60+AZ60),""),"")</f>
        <v/>
      </c>
      <c r="BB319" s="262" t="str">
        <f>IFERROR(IF(AND(COUNT(AX55,AY55,AZ55,BB55)=4,(AX60+AY60+AZ60+BB60)&lt;&gt;0),((AX55+AY55+AZ55+BB55)-(AX154+AY154+AZ154+BB154))/-(AX60+AY60+AZ60+BB60),""),"")</f>
        <v/>
      </c>
      <c r="BC319" s="262" t="str">
        <f>IFERROR(IF(AND(COUNT(AY55,AZ55,BB55,BC55)=4,(AY60+AZ60+BB60+BC60)&lt;&gt;0),((AY55+AZ55+BB55+BC55)-(AY154+AZ154+BB154+BC154))/-(AY60+AZ60+BB60+BC60),""),"")</f>
        <v/>
      </c>
      <c r="BD319" s="262" t="str">
        <f>IFERROR(IF(AND(COUNT(AZ55,BB55,BC55,BD55)=4,(AZ60+BB60+BC60+BD60)&lt;&gt;0),((AZ55+BB55+BC55+BD55)-(AZ154+BB154+BC154+BD154))/-(AZ60+BB60+BC60+BD60),""),"")</f>
        <v/>
      </c>
      <c r="BE319" s="262" t="str">
        <f>IFERROR(IF(AND(COUNT(BB55,BC55,BD55,BE55)=4,(BB60+BC60+BD60+BE60)&lt;&gt;0),((BB55+BC55+BD55+BE55)-(BB154+BC154+BD154+BE154))/-(BB60+BC60+BD60+BE60),""),"")</f>
        <v/>
      </c>
      <c r="BF319" s="262" t="str">
        <f>IFERROR(IF(AND(COUNT(BB55,BC55,BD55,BE55)=4,(BB60+BC60+BD60+BE60)&lt;&gt;0),((BB55+BC55+BD55+BE55)-(BB154+BC154+BD154+BE154))/-(BB60+BC60+BD60+BE60),""),"")</f>
        <v/>
      </c>
      <c r="BG319" s="82" t="n"/>
      <c r="BH319" s="82" t="n"/>
      <c r="BI319" s="82" t="n"/>
      <c r="BJ319" s="82" t="n"/>
      <c r="BL319" s="82" t="n"/>
      <c r="BM319" s="82" t="n"/>
      <c r="BN319" s="82" t="n"/>
      <c r="BO319" s="82" t="n"/>
      <c r="BQ319" s="82" t="n"/>
      <c r="BR319" s="82" t="n"/>
      <c r="BS319" s="82" t="n"/>
      <c r="BT319" s="82" t="n"/>
      <c r="BV319" s="82" t="n"/>
      <c r="BW319" s="82" t="n"/>
      <c r="BX319" s="82" t="n"/>
      <c r="BY319" s="82" t="n"/>
      <c r="CA319" s="82" t="n"/>
      <c r="CB319" s="82" t="n"/>
      <c r="CC319" s="82" t="n"/>
      <c r="CD319" s="82" t="n"/>
      <c r="CF319" s="82" t="n"/>
      <c r="CG319" s="82" t="n"/>
      <c r="CH319" s="82" t="n"/>
      <c r="CI319" s="82" t="n"/>
      <c r="CK319" s="82" t="n"/>
      <c r="CL319" s="82" t="n"/>
      <c r="CM319" s="82" t="n"/>
      <c r="CN319" s="82" t="n"/>
      <c r="CP319" s="82" t="n"/>
      <c r="CQ319" s="82" t="n"/>
      <c r="CR319" s="82" t="n"/>
      <c r="CS319" s="82" t="n"/>
      <c r="CU319" s="82" t="n"/>
      <c r="CV319" s="82" t="n"/>
      <c r="CW319" s="82" t="n"/>
      <c r="CX319" s="82" t="n"/>
    </row>
    <row r="320" customFormat="1" s="77">
      <c r="A320" s="76" t="n"/>
      <c r="B320" s="76" t="n"/>
      <c r="C320" s="77" t="inlineStr">
        <is>
          <t>TOTAL DEBT / EBITDA (LTM)</t>
        </is>
      </c>
      <c r="D320" s="82" t="str">
        <f>IFERROR(SUM(D198,D199,D200,D203,D221,D224)/D55,"")</f>
        <v/>
      </c>
      <c r="E320" s="82" t="str">
        <f>IFERROR(SUM(E198,E199,E200,E203,E221,E224)/E55,"")</f>
        <v/>
      </c>
      <c r="F320" s="82" t="str">
        <f>IFERROR(SUM(F198,F199,F200,F203,F221,F224)/F55,"")</f>
        <v/>
      </c>
      <c r="G320" s="82" t="str">
        <f>IFERROR(SUM(G198,G199,G200,G203,G221,G224)/G55,"")</f>
        <v/>
      </c>
      <c r="H320" s="262" t="str">
        <f>IFERROR(IF(AND(COUNT(H55)=1,(H55)&lt;&gt;0),(N(H198)+N(H199)+N(H200)+N(H203)+N(H221)+N(H224))/(H55),""),"")</f>
        <v/>
      </c>
      <c r="I320" s="262" t="str">
        <f>""</f>
        <v/>
      </c>
      <c r="J320" s="262" t="str">
        <f>""</f>
        <v/>
      </c>
      <c r="K320" s="262" t="str">
        <f>""</f>
        <v/>
      </c>
      <c r="L320" s="262">
        <f>IFERROR(IF(AND(COUNT(I55,J55,K55,L55)=4,(I55+J55+K55+L55)&lt;&gt;0),(N(L198)+N(L199)+N(L200)+N(L203)+N(L221)+N(L224))/(I55+J55+K55+L55),""),"")</f>
        <v>0.903690232628628</v>
      </c>
      <c r="M320" s="262">
        <f>IFERROR(IF(AND(COUNT(I55,J55,K55,L55)=4,(I55+J55+K55+L55)&lt;&gt;0),(N(M198)+N(M199)+N(M200)+N(M203)+N(M221)+N(M224))/(I55+J55+K55+L55),""),"")</f>
        <v>0.903690232628628</v>
      </c>
      <c r="N320" s="262">
        <f>IFERROR(IF(AND(COUNT(J55,K55,L55,N55)=4,(J55+K55+L55+N55)&lt;&gt;0),(N(N198)+N(N199)+N(N200)+N(N203)+N(N221)+N(N224))/(J55+K55+L55+N55),""),"")</f>
        <v>0.772193434154741</v>
      </c>
      <c r="O320" s="262">
        <f>IFERROR(IF(AND(COUNT(K55,L55,N55,O55)=4,(K55+L55+N55+O55)&lt;&gt;0),(N(O198)+N(O199)+N(O200)+N(O203)+N(O221)+N(O224))/(K55+L55+N55+O55),""),"")</f>
        <v>0.588790093687991</v>
      </c>
      <c r="P320" s="262">
        <f>IFERROR(IF(AND(COUNT(L55,N55,O55,P55)=4,(L55+N55+O55+P55)&lt;&gt;0),(N(P198)+N(P199)+N(P200)+N(P203)+N(P221)+N(P224))/(L55+N55+O55+P55),""),"")</f>
        <v>0.472770036112354</v>
      </c>
      <c r="Q320" s="262">
        <f>IFERROR(IF(AND(COUNT(N55,O55,P55,Q55)=4,(N55+O55+P55+Q55)&lt;&gt;0),(N(Q198)+N(Q199)+N(Q200)+N(Q203)+N(Q221)+N(Q224))/(N55+O55+P55+Q55),""),"")</f>
        <v>0.401526449688569</v>
      </c>
      <c r="R320" s="262">
        <f>IFERROR(IF(AND(COUNT(N55,O55,P55,Q55)=4,(N55+O55+P55+Q55)&lt;&gt;0),(N(R198)+N(R199)+N(R200)+N(R203)+N(R221)+N(R224))/(N55+O55+P55+Q55),""),"")</f>
        <v>0.401526449688569</v>
      </c>
      <c r="S320" s="262">
        <f>IFERROR(IF(AND(COUNT(O55,P55,Q55,S55)=4,(O55+P55+Q55+S55)&lt;&gt;0),(N(S198)+N(S199)+N(S200)+N(S203)+N(S221)+N(S224))/(O55+P55+Q55+S55),""),"")</f>
        <v>0.390373928605067</v>
      </c>
      <c r="T320" s="262">
        <f>IFERROR(IF(AND(COUNT(P55,Q55,S55,T55)=4,(P55+Q55+S55+T55)&lt;&gt;0),(N(T198)+N(T199)+N(T200)+N(T203)+N(T221)+N(T224))/(P55+Q55+S55+T55),""),"")</f>
        <v>0.447449293177628</v>
      </c>
      <c r="U320" s="262">
        <f>IFERROR(IF(AND(COUNT(Q55,S55,T55,U55)=4,(Q55+S55+T55+U55)&lt;&gt;0),(N(U198)+N(U199)+N(U200)+N(U203)+N(U221)+N(U224))/(Q55+S55+T55+U55),""),"")</f>
        <v>0.517285483203551</v>
      </c>
      <c r="V320" s="262">
        <f>IFERROR(IF(AND(COUNT(S55,T55,U55,V55)=4,(S55+T55+U55+V55)&lt;&gt;0),(N(V198)+N(V199)+N(V200)+N(V203)+N(V221)+N(V224))/(S55+T55+U55+V55),""),"")</f>
        <v>0.559732338804142</v>
      </c>
      <c r="W320" s="262">
        <f>IFERROR(IF(AND(COUNT(S55,T55,U55,V55)=4,(S55+T55+U55+V55)&lt;&gt;0),(N(W198)+N(W199)+N(W200)+N(W203)+N(W221)+N(W224))/(S55+T55+U55+V55),""),"")</f>
        <v>0.559732338804142</v>
      </c>
      <c r="X320" s="262">
        <f>IFERROR(IF(AND(COUNT(T55,U55,V55,X55)=4,(T55+U55+V55+X55)&lt;&gt;0),(N(X198)+N(X199)+N(X200)+N(X203)+N(X221)+N(X224))/(T55+U55+V55+X55),""),"")</f>
        <v>0.573869360995615</v>
      </c>
      <c r="Y320" s="262">
        <f>IFERROR(IF(AND(COUNT(U55,V55,X55,Y55)=4,(U55+V55+X55+Y55)&lt;&gt;0),(N(Y198)+N(Y199)+N(Y200)+N(Y203)+N(Y221)+N(Y224))/(U55+V55+X55+Y55),""),"")</f>
        <v>0.583239921669255</v>
      </c>
      <c r="Z320" s="262">
        <f>IFERROR(IF(AND(COUNT(V55,X55,Y55,Z55)=4,(V55+X55+Y55+Z55)&lt;&gt;0),(N(Z198)+N(Z199)+N(Z200)+N(Z203)+N(Z221)+N(Z224))/(V55+X55+Y55+Z55),""),"")</f>
        <v>0.565425963084528</v>
      </c>
      <c r="AA320" s="262">
        <f>IFERROR(IF(AND(COUNT(X55,Y55,Z55,AA55)=4,(X55+Y55+Z55+AA55)&lt;&gt;0),(N(AA198)+N(AA199)+N(AA200)+N(AA203)+N(AA221)+N(AA224))/(X55+Y55+Z55+AA55),""),"")</f>
        <v>0.568945997190053</v>
      </c>
      <c r="AB320" s="262">
        <f>IFERROR(IF(AND(COUNT(X55,Y55,Z55,AA55)=4,(X55+Y55+Z55+AA55)&lt;&gt;0),(N(AB198)+N(AB199)+N(AB200)+N(AB203)+N(AB221)+N(AB224))/(X55+Y55+Z55+AA55),""),"")</f>
        <v>0.568945997190053</v>
      </c>
      <c r="AC320" s="262">
        <f>IFERROR(IF(AND(COUNT(Y55,Z55,AA55,AC55)=4,(Y55+Z55+AA55+AC55)&lt;&gt;0),(N(AC198)+N(AC199)+N(AC200)+N(AC203)+N(AC221)+N(AC224))/(Y55+Z55+AA55+AC55),""),"")</f>
        <v>0.511482510624387</v>
      </c>
      <c r="AD320" s="262">
        <f>IFERROR(IF(AND(COUNT(Z55,AA55,AC55,AD55)=4,(Z55+AA55+AC55+AD55)&lt;&gt;0),(N(AD198)+N(AD199)+N(AD200)+N(AD203)+N(AD221)+N(AD224))/(Z55+AA55+AC55+AD55),""),"")</f>
        <v>0.551908159220882</v>
      </c>
      <c r="AE320" s="262">
        <f>IFERROR(IF(AND(COUNT(AA55,AC55,AD55,AE55)=4,(AA55+AC55+AD55+AE55)&lt;&gt;0),(N(AE198)+N(AE199)+N(AE200)+N(AE203)+N(AE221)+N(AE224))/(AA55+AC55+AD55+AE55),""),"")</f>
        <v>0.612323379461034</v>
      </c>
      <c r="AF320" s="262">
        <f>IFERROR(IF(AND(COUNT(AB55,AD55,AE55,AF55)=4,(AB55+AD55+AE55+AF55)&lt;&gt;0),(N(AF198)+N(AF199)+N(AF200)+N(AF203)+N(AF221)+N(AF224))/(AB55+AD55+AE55+AF55),""),"")</f>
        <v>0.35204741727852</v>
      </c>
      <c r="AG320" s="262">
        <f>IFERROR(IF(AND(COUNT(AC55,AD55,AE55,AF55)=4,(AC55+AD55+AE55+AF55)&lt;&gt;0),(N(AG198)+N(AG199)+N(AG200)+N(AG203)+N(AG221)+N(AG224))/(AC55+AD55+AE55+AF55),""),"")</f>
        <v>0.641533066132265</v>
      </c>
      <c r="AH320" s="262">
        <f>IFERROR(IF(AND(COUNT(AD55,AF55,AG55,AH55)=4,(AD55+AF55+AG55+AH55)&lt;&gt;0),(N(AH198)+N(AH199)+N(AH200)+N(AH203)+N(AH221)+N(AH224))/(AD55+AF55+AG55+AH55),""),"")</f>
        <v>0.415321069738665</v>
      </c>
      <c r="AI320" s="262">
        <f>IFERROR(IF(AND(COUNT(AE55,AG55,AH55,AI55)=4,(AE55+AG55+AH55+AI55)&lt;&gt;0),(N(AI198)+N(AI199)+N(AI200)+N(AI203)+N(AI221)+N(AI224))/(AE55+AG55+AH55+AI55),""),"")</f>
        <v>0.331689291809542</v>
      </c>
      <c r="AJ320" s="262">
        <f>IFERROR(IF(AND(COUNT(AF55,AH55,AI55,AJ55)=4,(AF55+AH55+AI55+AJ55)&lt;&gt;0),(N(AJ198)+N(AJ199)+N(AJ200)+N(AJ203)+N(AJ221)+N(AJ224))/(AF55+AH55+AI55+AJ55),""),"")</f>
        <v>0.554108250117984</v>
      </c>
      <c r="AK320" s="262">
        <f>IFERROR(IF(AND(COUNT(AH55,AI55,AJ55,AK55)=4,(AH55+AI55+AJ55+AK55)&lt;&gt;0),(N(AK198)+N(AK199)+N(AK200)+N(AK203)+N(AK221)+N(AK224))/(AH55+AI55+AJ55+AK55),""),"")</f>
        <v>0.542513512240336</v>
      </c>
      <c r="AL320" s="262">
        <f>IFERROR(IF(AND(COUNT(AH55,AI55,AJ55,AK55)=4,(AH55+AI55+AJ55+AK55)&lt;&gt;0),(N(AL198)+N(AL199)+N(AL200)+N(AL203)+N(AL221)+N(AL224))/(AH55+AI55+AJ55+AK55),""),"")</f>
        <v>0.542513512240336</v>
      </c>
      <c r="AM320" s="262">
        <f>IFERROR(IF(AND(COUNT(AI55,AJ55,AK55,AM55)=4,(AI55+AJ55+AK55+AM55)&lt;&gt;0),(N(AM198)+N(AM199)+N(AM200)+N(AM203)+N(AM221)+N(AM224))/(AI55+AJ55+AK55+AM55),""),"")</f>
        <v>0.515368769759179</v>
      </c>
      <c r="AN320" s="262">
        <f>IFERROR(IF(AND(COUNT(AJ55,AK55,AM55,AN55)=4,(AJ55+AK55+AM55+AN55)&lt;&gt;0),(N(AN198)+N(AN199)+N(AN200)+N(AN203)+N(AN221)+N(AN224))/(AJ55+AK55+AM55+AN55),""),"")</f>
        <v>0.539053654117007</v>
      </c>
      <c r="AO320" s="262">
        <f>IFERROR(IF(AND(COUNT(AK55,AM55,AN55,AO55)=4,(AK55+AM55+AN55+AO55)&lt;&gt;0),(N(AO198)+N(AO199)+N(AO200)+N(AO203)+N(AO221)+N(AO224))/(AK55+AM55+AN55+AO55),""),"")</f>
        <v>0.533742553638238</v>
      </c>
      <c r="AP320" s="262">
        <f>IFERROR(IF(AND(COUNT(AM55,AN55,AO55,AP55)=4,(AM55+AN55+AO55+AP55)&lt;&gt;0),(N(AP198)+N(AP199)+N(AP200)+N(AP203)+N(AP221)+N(AP224))/(AM55+AN55+AO55+AP55),""),"")</f>
        <v>0.528715676417658</v>
      </c>
      <c r="AQ320" s="262">
        <f>IFERROR(IF(AND(COUNT(AM55,AN55,AO55,AP55)=4,(AM55+AN55+AO55+AP55)&lt;&gt;0),(N(AQ198)+N(AQ199)+N(AQ200)+N(AQ203)+N(AQ221)+N(AQ224))/(AM55+AN55+AO55+AP55),""),"")</f>
        <v>0.528715676417658</v>
      </c>
      <c r="AR320" s="262">
        <f>IFERROR(IF(AND(COUNT(AN55,AO55,AP55,AR55)=4,(AN55+AO55+AP55+AR55)&lt;&gt;0),(N(AR198)+N(AR199)+N(AR200)+N(AR203)+N(AR221)+N(AR224))/(AN55+AO55+AP55+AR55),""),"")</f>
        <v>0.524202429282466</v>
      </c>
      <c r="AS320" s="262">
        <f>IFERROR(IF(AND(COUNT(AO55,AP55,AR55,AS55)=4,(AO55+AP55+AR55+AS55)&lt;&gt;0),(N(AS198)+N(AS199)+N(AS200)+N(AS203)+N(AS221)+N(AS224))/(AO55+AP55+AR55+AS55),""),"")</f>
        <v>0.518174870387896</v>
      </c>
      <c r="AT320" s="262">
        <f>IFERROR(IF(AND(COUNT(AP55,AR55,AS55,AT55)=4,(AP55+AR55+AS55+AT55)&lt;&gt;0),(N(AT198)+N(AT199)+N(AT200)+N(AT203)+N(AT221)+N(AT224))/(AP55+AR55+AS55+AT55),""),"")</f>
        <v>0.513645936874198</v>
      </c>
      <c r="AU320" s="262">
        <f>IFERROR(IF(AND(COUNT(AR55,AS55,AT55,AU55)=4,(AR55+AS55+AT55+AU55)&lt;&gt;0),(N(AU198)+N(AU199)+N(AU200)+N(AU203)+N(AU221)+N(AU224))/(AR55+AS55+AT55+AU55),""),"")</f>
        <v>0.509349984460698</v>
      </c>
      <c r="AV320" s="262">
        <f>IFERROR(IF(AND(COUNT(AR55,AS55,AT55,AU55)=4,(AR55+AS55+AT55+AU55)&lt;&gt;0),(N(AV198)+N(AV199)+N(AV200)+N(AV203)+N(AV221)+N(AV224))/(AR55+AS55+AT55+AU55),""),"")</f>
        <v>0.509349984460698</v>
      </c>
      <c r="AW320" s="262">
        <f>IFERROR(IF(AND(COUNT(AS55,AT55,AU55,AW55)=4,(AS55+AT55+AU55+AW55)&lt;&gt;0),(N(AW198)+N(AW199)+N(AW200)+N(AW203)+N(AW221)+N(AW224))/(AS55+AT55+AU55+AW55),""),"")</f>
        <v>0.505569593754702</v>
      </c>
      <c r="AX320" s="262">
        <f>IFERROR(IF(AND(COUNT(AT55,AU55,AW55,AX55)=4,(AT55+AU55+AW55+AX55)&lt;&gt;0),(N(AX198)+N(AX199)+N(AX200)+N(AX203)+N(AX221)+N(AX224))/(AT55+AU55+AW55+AX55),""),"")</f>
        <v>0.500507511745443</v>
      </c>
      <c r="AY320" s="262">
        <f>IFERROR(IF(AND(COUNT(AU55,AW55,AX55,AY55)=4,(AU55+AW55+AX55+AY55)&lt;&gt;0),(N(AY198)+N(AY199)+N(AY200)+N(AY203)+N(AY221)+N(AY224))/(AU55+AW55+AX55+AY55),""),"")</f>
        <v>0.496693985093971</v>
      </c>
      <c r="AZ320" s="262">
        <f>IFERROR(IF(AND(COUNT(AW55,AX55,AY55,AZ55)=4,(AW55+AX55+AY55+AZ55)&lt;&gt;0),(N(AZ198)+N(AZ199)+N(AZ200)+N(AZ203)+N(AZ221)+N(AZ224))/(AW55+AX55+AY55+AZ55),""),"")</f>
        <v>0.493068658383429</v>
      </c>
      <c r="BA320" s="262">
        <f>IFERROR(IF(AND(COUNT(AW55,AX55,AY55,AZ55)=4,(AW55+AX55+AY55+AZ55)&lt;&gt;0),(N(BA198)+N(BA199)+N(BA200)+N(BA203)+N(BA221)+N(BA224))/(AW55+AX55+AY55+AZ55),""),"")</f>
        <v>0.493068658383429</v>
      </c>
      <c r="BB320" s="262">
        <f>IFERROR(IF(AND(COUNT(AX55,AY55,AZ55,BB55)=4,(AX55+AY55+AZ55+BB55)&lt;&gt;0),(N(BB198)+N(BB199)+N(BB200)+N(BB203)+N(BB221)+N(BB224))/(AX55+AY55+AZ55+BB55),""),"")</f>
        <v>0.489959748365135</v>
      </c>
      <c r="BC320" s="262">
        <f>IFERROR(IF(AND(COUNT(AY55,AZ55,BB55,BC55)=4,(AY55+AZ55+BB55+BC55)&lt;&gt;0),(N(BC198)+N(BC199)+N(BC200)+N(BC203)+N(BC221)+N(BC224))/(AY55+AZ55+BB55+BC55),""),"")</f>
        <v>0.485785831583272</v>
      </c>
      <c r="BD320" s="262">
        <f>IFERROR(IF(AND(COUNT(AZ55,BB55,BC55,BD55)=4,(AZ55+BB55+BC55+BD55)&lt;&gt;0),(N(BD198)+N(BD199)+N(BD200)+N(BD203)+N(BD221)+N(BD224))/(AZ55+BB55+BC55+BD55),""),"")</f>
        <v>0.482633077325072</v>
      </c>
      <c r="BE320" s="262">
        <f>IFERROR(IF(AND(COUNT(BB55,BC55,BD55,BE55)=4,(BB55+BC55+BD55+BE55)&lt;&gt;0),(N(BE198)+N(BE199)+N(BE200)+N(BE203)+N(BE221)+N(BE224))/(BB55+BC55+BD55+BE55),""),"")</f>
        <v>0.47962925315601</v>
      </c>
      <c r="BF320" s="262">
        <f>IFERROR(IF(AND(COUNT(BB55,BC55,BD55,BE55)=4,(BB55+BC55+BD55+BE55)&lt;&gt;0),(N(BF198)+N(BF199)+N(BF200)+N(BF203)+N(BF221)+N(BF224))/(BB55+BC55+BD55+BE55),""),"")</f>
        <v>0.47962925315601</v>
      </c>
      <c r="BG320" s="82" t="n"/>
      <c r="BH320" s="82" t="n"/>
      <c r="BI320" s="82" t="n"/>
      <c r="BJ320" s="82" t="n"/>
      <c r="BL320" s="82" t="n"/>
      <c r="BM320" s="82" t="n"/>
      <c r="BN320" s="82" t="n"/>
      <c r="BO320" s="82" t="n"/>
      <c r="BQ320" s="82" t="n"/>
      <c r="BR320" s="82" t="n"/>
      <c r="BS320" s="82" t="n"/>
      <c r="BT320" s="82" t="n"/>
      <c r="BV320" s="82" t="n"/>
      <c r="BW320" s="82" t="n"/>
      <c r="BX320" s="82" t="n"/>
      <c r="BY320" s="82" t="n"/>
      <c r="CA320" s="82" t="n"/>
      <c r="CB320" s="82" t="n"/>
      <c r="CC320" s="82" t="n"/>
      <c r="CD320" s="82" t="n"/>
      <c r="CF320" s="82" t="n"/>
      <c r="CG320" s="82" t="n"/>
      <c r="CH320" s="82" t="n"/>
      <c r="CI320" s="82" t="n"/>
      <c r="CK320" s="82" t="n"/>
      <c r="CL320" s="82" t="n"/>
      <c r="CM320" s="82" t="n"/>
      <c r="CN320" s="82" t="n"/>
      <c r="CP320" s="82" t="n"/>
      <c r="CQ320" s="82" t="n"/>
      <c r="CR320" s="82" t="n"/>
      <c r="CS320" s="82" t="n"/>
      <c r="CU320" s="82" t="n"/>
      <c r="CV320" s="82" t="n"/>
      <c r="CW320" s="82" t="n"/>
      <c r="CX320" s="82" t="n"/>
    </row>
    <row r="321" customFormat="1" s="77">
      <c r="A321" s="76" t="n"/>
      <c r="B321" s="76" t="n"/>
      <c r="C321" s="77" t="inlineStr">
        <is>
          <t>TOTAL DEBT / TOTAL CAPITALIZATION</t>
        </is>
      </c>
      <c r="D321" s="80" t="str">
        <f>IFERROR(SUM(D198+D199+D200+D203+D221+D224)/(SUM(D198+D199+D200+D203+D221+D224)+D257),"")</f>
        <v/>
      </c>
      <c r="E321" s="80" t="str">
        <f>IFERROR(SUM(E198+E199+E200+E203+E221+E224)/(SUM(E198+E199+E200+E203+E221+E224)+E257),"")</f>
        <v/>
      </c>
      <c r="F321" s="80" t="str">
        <f>IFERROR(SUM(F198+F199+F200+F203+F221+F224)/(SUM(F198+F199+F200+F203+F221+F224)+F257),"")</f>
        <v/>
      </c>
      <c r="G321" s="80" t="str">
        <f>IFERROR(SUM(G198+G199+G200+G203+G221+G224)/(SUM(G198+G199+G200+G203+G221+G224)+G257),"")</f>
        <v/>
      </c>
      <c r="H321" s="258" t="str">
        <f>IFERROR(IF(((N(H198)+N(H199)+N(H200)+N(H203)+N(H221)+N(H224))+N(H257))&lt;&gt;0,(N(H198)+N(H199)+N(H200)+N(H203)+N(H221)+N(H224))/((N(H198)+N(H199)+N(H200)+N(H203)+N(H221)+N(H224))+H257),""),"")</f>
        <v/>
      </c>
      <c r="I321" s="258">
        <f>IFERROR(IF(((N(I198)+N(I199)+N(I200)+N(I203)+N(I221)+N(I224))+N(I257))&lt;&gt;0,(N(I198)+N(I199)+N(I200)+N(I203)+N(I221)+N(I224))/((N(I198)+N(I199)+N(I200)+N(I203)+N(I221)+N(I224))+I257),""),"")</f>
        <v>0.278432700298563</v>
      </c>
      <c r="J321" s="258">
        <f>IFERROR(IF(((N(J198)+N(J199)+N(J200)+N(J203)+N(J221)+N(J224))+N(J257))&lt;&gt;0,(N(J198)+N(J199)+N(J200)+N(J203)+N(J221)+N(J224))/((N(J198)+N(J199)+N(J200)+N(J203)+N(J221)+N(J224))+J257),""),"")</f>
        <v>0.267995472392204</v>
      </c>
      <c r="K321" s="258">
        <f>IFERROR(IF(((N(K198)+N(K199)+N(K200)+N(K203)+N(K221)+N(K224))+N(K257))&lt;&gt;0,(N(K198)+N(K199)+N(K200)+N(K203)+N(K221)+N(K224))/((N(K198)+N(K199)+N(K200)+N(K203)+N(K221)+N(K224))+K257),""),"")</f>
        <v>0.252575732561097</v>
      </c>
      <c r="L321" s="258">
        <f>IFERROR(IF(((N(L198)+N(L199)+N(L200)+N(L203)+N(L221)+N(L224))+N(L257))&lt;&gt;0,(N(L198)+N(L199)+N(L200)+N(L203)+N(L221)+N(L224))/((N(L198)+N(L199)+N(L200)+N(L203)+N(L221)+N(L224))+L257),""),"")</f>
        <v>0.213548684569827</v>
      </c>
      <c r="M321" s="258">
        <f>IFERROR(IF(((N(M198)+N(M199)+N(M200)+N(M203)+N(M221)+N(M224))+N(M257))&lt;&gt;0,(N(M198)+N(M199)+N(M200)+N(M203)+N(M221)+N(M224))/((N(M198)+N(M199)+N(M200)+N(M203)+N(M221)+N(M224))+M257),""),"")</f>
        <v>0.213548684569827</v>
      </c>
      <c r="N321" s="258">
        <f>IFERROR(IF(((N(N198)+N(N199)+N(N200)+N(N203)+N(N221)+N(N224))+N(N257))&lt;&gt;0,(N(N198)+N(N199)+N(N200)+N(N203)+N(N221)+N(N224))/((N(N198)+N(N199)+N(N200)+N(N203)+N(N221)+N(N224))+N257),""),"")</f>
        <v>0.212159080258677</v>
      </c>
      <c r="O321" s="258">
        <f>IFERROR(IF(((N(O198)+N(O199)+N(O200)+N(O203)+N(O221)+N(O224))+N(O257))&lt;&gt;0,(N(O198)+N(O199)+N(O200)+N(O203)+N(O221)+N(O224))/((N(O198)+N(O199)+N(O200)+N(O203)+N(O221)+N(O224))+O257),""),"")</f>
        <v>0.202613757665596</v>
      </c>
      <c r="P321" s="258">
        <f>IFERROR(IF(((N(P198)+N(P199)+N(P200)+N(P203)+N(P221)+N(P224))+N(P257))&lt;&gt;0,(N(P198)+N(P199)+N(P200)+N(P203)+N(P221)+N(P224))/((N(P198)+N(P199)+N(P200)+N(P203)+N(P221)+N(P224))+P257),""),"")</f>
        <v>0.190496957701356</v>
      </c>
      <c r="Q321" s="258">
        <f>IFERROR(IF(((N(Q198)+N(Q199)+N(Q200)+N(Q203)+N(Q221)+N(Q224))+N(Q257))&lt;&gt;0,(N(Q198)+N(Q199)+N(Q200)+N(Q203)+N(Q221)+N(Q224))/((N(Q198)+N(Q199)+N(Q200)+N(Q203)+N(Q221)+N(Q224))+Q257),""),"")</f>
        <v>0.169055182093521</v>
      </c>
      <c r="R321" s="258">
        <f>IFERROR(IF(((N(R198)+N(R199)+N(R200)+N(R203)+N(R221)+N(R224))+N(R257))&lt;&gt;0,(N(R198)+N(R199)+N(R200)+N(R203)+N(R221)+N(R224))/((N(R198)+N(R199)+N(R200)+N(R203)+N(R221)+N(R224))+R257),""),"")</f>
        <v>0.169055182093521</v>
      </c>
      <c r="S321" s="258">
        <f>IFERROR(IF(((N(S198)+N(S199)+N(S200)+N(S203)+N(S221)+N(S224))+N(S257))&lt;&gt;0,(N(S198)+N(S199)+N(S200)+N(S203)+N(S221)+N(S224))/((N(S198)+N(S199)+N(S200)+N(S203)+N(S221)+N(S224))+S257),""),"")</f>
        <v>0.16721536351166</v>
      </c>
      <c r="T321" s="258">
        <f>IFERROR(IF(((N(T198)+N(T199)+N(T200)+N(T203)+N(T221)+N(T224))+N(T257))&lt;&gt;0,(N(T198)+N(T199)+N(T200)+N(T203)+N(T221)+N(T224))/((N(T198)+N(T199)+N(T200)+N(T203)+N(T221)+N(T224))+T257),""),"")</f>
        <v>0.166990619454069</v>
      </c>
      <c r="U321" s="258">
        <f>IFERROR(IF(((N(U198)+N(U199)+N(U200)+N(U203)+N(U221)+N(U224))+N(U257))&lt;&gt;0,(N(U198)+N(U199)+N(U200)+N(U203)+N(U221)+N(U224))/((N(U198)+N(U199)+N(U200)+N(U203)+N(U221)+N(U224))+U257),""),"")</f>
        <v>0.165817208363815</v>
      </c>
      <c r="V321" s="258">
        <f>IFERROR(IF(((N(V198)+N(V199)+N(V200)+N(V203)+N(V221)+N(V224))+N(V257))&lt;&gt;0,(N(V198)+N(V199)+N(V200)+N(V203)+N(V221)+N(V224))/((N(V198)+N(V199)+N(V200)+N(V203)+N(V221)+N(V224))+V257),""),"")</f>
        <v>0.163601733100889</v>
      </c>
      <c r="W321" s="258">
        <f>IFERROR(IF(((N(W198)+N(W199)+N(W200)+N(W203)+N(W221)+N(W224))+N(W257))&lt;&gt;0,(N(W198)+N(W199)+N(W200)+N(W203)+N(W221)+N(W224))/((N(W198)+N(W199)+N(W200)+N(W203)+N(W221)+N(W224))+W257),""),"")</f>
        <v>0.163601733100889</v>
      </c>
      <c r="X321" s="258">
        <f>IFERROR(IF(((N(X198)+N(X199)+N(X200)+N(X203)+N(X221)+N(X224))+N(X257))&lt;&gt;0,(N(X198)+N(X199)+N(X200)+N(X203)+N(X221)+N(X224))/((N(X198)+N(X199)+N(X200)+N(X203)+N(X221)+N(X224))+X257),""),"")</f>
        <v>0.159531661748694</v>
      </c>
      <c r="Y321" s="258">
        <f>IFERROR(IF(((N(Y198)+N(Y199)+N(Y200)+N(Y203)+N(Y221)+N(Y224))+N(Y257))&lt;&gt;0,(N(Y198)+N(Y199)+N(Y200)+N(Y203)+N(Y221)+N(Y224))/((N(Y198)+N(Y199)+N(Y200)+N(Y203)+N(Y221)+N(Y224))+Y257),""),"")</f>
        <v>0.135187759037351</v>
      </c>
      <c r="Z321" s="258">
        <f>IFERROR(IF(((N(Z198)+N(Z199)+N(Z200)+N(Z203)+N(Z221)+N(Z224))+N(Z257))&lt;&gt;0,(N(Z198)+N(Z199)+N(Z200)+N(Z203)+N(Z221)+N(Z224))/((N(Z198)+N(Z199)+N(Z200)+N(Z203)+N(Z221)+N(Z224))+Z257),""),"")</f>
        <v>0.133406490045462</v>
      </c>
      <c r="AA321" s="258">
        <f>IFERROR(IF(((N(AA198)+N(AA199)+N(AA200)+N(AA203)+N(AA221)+N(AA224))+N(AA257))&lt;&gt;0,(N(AA198)+N(AA199)+N(AA200)+N(AA203)+N(AA221)+N(AA224))/((N(AA198)+N(AA199)+N(AA200)+N(AA203)+N(AA221)+N(AA224))+AA257),""),"")</f>
        <v>0.133550634613661</v>
      </c>
      <c r="AB321" s="258">
        <f>IFERROR(IF(((N(AB198)+N(AB199)+N(AB200)+N(AB203)+N(AB221)+N(AB224))+N(AB257))&lt;&gt;0,(N(AB198)+N(AB199)+N(AB200)+N(AB203)+N(AB221)+N(AB224))/((N(AB198)+N(AB199)+N(AB200)+N(AB203)+N(AB221)+N(AB224))+AB257),""),"")</f>
        <v>0.133550634613661</v>
      </c>
      <c r="AC321" s="258">
        <f>IFERROR(IF(((N(AC198)+N(AC199)+N(AC200)+N(AC203)+N(AC221)+N(AC224))+N(AC257))&lt;&gt;0,(N(AC198)+N(AC199)+N(AC200)+N(AC203)+N(AC221)+N(AC224))/((N(AC198)+N(AC199)+N(AC200)+N(AC203)+N(AC221)+N(AC224))+AC257),""),"")</f>
        <v>0.122173888995533</v>
      </c>
      <c r="AD321" s="258">
        <f>IFERROR(IF(((N(AD198)+N(AD199)+N(AD200)+N(AD203)+N(AD221)+N(AD224))+N(AD257))&lt;&gt;0,(N(AD198)+N(AD199)+N(AD200)+N(AD203)+N(AD221)+N(AD224))/((N(AD198)+N(AD199)+N(AD200)+N(AD203)+N(AD221)+N(AD224))+AD257),""),"")</f>
        <v>0.126198005508964</v>
      </c>
      <c r="AE321" s="258">
        <f>IFERROR(IF(((N(AE198)+N(AE199)+N(AE200)+N(AE203)+N(AE221)+N(AE224))+N(AE257))&lt;&gt;0,(N(AE198)+N(AE199)+N(AE200)+N(AE203)+N(AE221)+N(AE224))/((N(AE198)+N(AE199)+N(AE200)+N(AE203)+N(AE221)+N(AE224))+AE257),""),"")</f>
        <v>0.135486802961397</v>
      </c>
      <c r="AF321" s="258">
        <f>IFERROR(IF(((N(AF198)+N(AF199)+N(AF200)+N(AF203)+N(AF221)+N(AF224))+N(AF257))&lt;&gt;0,(N(AF198)+N(AF199)+N(AF200)+N(AF203)+N(AF221)+N(AF224))/((N(AF198)+N(AF199)+N(AF200)+N(AF203)+N(AF221)+N(AF224))+AF257),""),"")</f>
        <v>0.140368129016034</v>
      </c>
      <c r="AG321" s="258">
        <f>IFERROR(IF(((N(AG198)+N(AG199)+N(AG200)+N(AG203)+N(AG221)+N(AG224))+N(AG257))&lt;&gt;0,(N(AG198)+N(AG199)+N(AG200)+N(AG203)+N(AG221)+N(AG224))/((N(AG198)+N(AG199)+N(AG200)+N(AG203)+N(AG221)+N(AG224))+AG257),""),"")</f>
        <v>0.140368129016034</v>
      </c>
      <c r="AH321" s="258">
        <f>IFERROR(IF(((N(AH198)+N(AH199)+N(AH200)+N(AH203)+N(AH221)+N(AH224))+N(AH257))&lt;&gt;0,(N(AH198)+N(AH199)+N(AH200)+N(AH203)+N(AH221)+N(AH224))/((N(AH198)+N(AH199)+N(AH200)+N(AH203)+N(AH221)+N(AH224))+AH257),""),"")</f>
        <v>0.154414123120487</v>
      </c>
      <c r="AI321" s="258">
        <f>IFERROR(IF(((N(AI198)+N(AI199)+N(AI200)+N(AI203)+N(AI221)+N(AI224))+N(AI257))&lt;&gt;0,(N(AI198)+N(AI199)+N(AI200)+N(AI203)+N(AI221)+N(AI224))/((N(AI198)+N(AI199)+N(AI200)+N(AI203)+N(AI221)+N(AI224))+AI257),""),"")</f>
        <v>0.137344843571199</v>
      </c>
      <c r="AJ321" s="258">
        <f>IFERROR(IF(((N(AJ198)+N(AJ199)+N(AJ200)+N(AJ203)+N(AJ221)+N(AJ224))+N(AJ257))&lt;&gt;0,(N(AJ198)+N(AJ199)+N(AJ200)+N(AJ203)+N(AJ221)+N(AJ224))/((N(AJ198)+N(AJ199)+N(AJ200)+N(AJ203)+N(AJ221)+N(AJ224))+AJ257),""),"")</f>
        <v>0.133830682039062</v>
      </c>
      <c r="AK321" s="258">
        <f>IFERROR(IF(((N(AK198)+N(AK199)+N(AK200)+N(AK203)+N(AK221)+N(AK224))+N(AK257))&lt;&gt;0,(N(AK198)+N(AK199)+N(AK200)+N(AK203)+N(AK221)+N(AK224))/((N(AK198)+N(AK199)+N(AK200)+N(AK203)+N(AK221)+N(AK224))+AK257),""),"")</f>
        <v>0.130605933634828</v>
      </c>
      <c r="AL321" s="258">
        <f>IFERROR(IF(((N(AL198)+N(AL199)+N(AL200)+N(AL203)+N(AL221)+N(AL224))+N(AL257))&lt;&gt;0,(N(AL198)+N(AL199)+N(AL200)+N(AL203)+N(AL221)+N(AL224))/((N(AL198)+N(AL199)+N(AL200)+N(AL203)+N(AL221)+N(AL224))+AL257),""),"")</f>
        <v>0.130605933634828</v>
      </c>
      <c r="AM321" s="258">
        <f>IFERROR(IF(((N(AM198)+N(AM199)+N(AM200)+N(AM203)+N(AM221)+N(AM224))+N(AM257))&lt;&gt;0,(N(AM198)+N(AM199)+N(AM200)+N(AM203)+N(AM221)+N(AM224))/((N(AM198)+N(AM199)+N(AM200)+N(AM203)+N(AM221)+N(AM224))+AM257),""),"")</f>
        <v>0.127429844419929</v>
      </c>
      <c r="AN321" s="258">
        <f>IFERROR(IF(((N(AN198)+N(AN199)+N(AN200)+N(AN203)+N(AN221)+N(AN224))+N(AN257))&lt;&gt;0,(N(AN198)+N(AN199)+N(AN200)+N(AN203)+N(AN221)+N(AN224))/((N(AN198)+N(AN199)+N(AN200)+N(AN203)+N(AN221)+N(AN224))+AN257),""),"")</f>
        <v>0.123342504700057</v>
      </c>
      <c r="AO321" s="258">
        <f>IFERROR(IF(((N(AO198)+N(AO199)+N(AO200)+N(AO203)+N(AO221)+N(AO224))+N(AO257))&lt;&gt;0,(N(AO198)+N(AO199)+N(AO200)+N(AO203)+N(AO221)+N(AO224))/((N(AO198)+N(AO199)+N(AO200)+N(AO203)+N(AO221)+N(AO224))+AO257),""),"")</f>
        <v>0.120381633805725</v>
      </c>
      <c r="AP321" s="258">
        <f>IFERROR(IF(((N(AP198)+N(AP199)+N(AP200)+N(AP203)+N(AP221)+N(AP224))+N(AP257))&lt;&gt;0,(N(AP198)+N(AP199)+N(AP200)+N(AP203)+N(AP221)+N(AP224))/((N(AP198)+N(AP199)+N(AP200)+N(AP203)+N(AP221)+N(AP224))+AP257),""),"")</f>
        <v>0.11765614201532</v>
      </c>
      <c r="AQ321" s="258">
        <f>IFERROR(IF(((N(AQ198)+N(AQ199)+N(AQ200)+N(AQ203)+N(AQ221)+N(AQ224))+N(AQ257))&lt;&gt;0,(N(AQ198)+N(AQ199)+N(AQ200)+N(AQ203)+N(AQ221)+N(AQ224))/((N(AQ198)+N(AQ199)+N(AQ200)+N(AQ203)+N(AQ221)+N(AQ224))+AQ257),""),"")</f>
        <v>0.11765614201532</v>
      </c>
      <c r="AR321" s="258">
        <f>IFERROR(IF(((N(AR198)+N(AR199)+N(AR200)+N(AR203)+N(AR221)+N(AR224))+N(AR257))&lt;&gt;0,(N(AR198)+N(AR199)+N(AR200)+N(AR203)+N(AR221)+N(AR224))/((N(AR198)+N(AR199)+N(AR200)+N(AR203)+N(AR221)+N(AR224))+AR257),""),"")</f>
        <v>0.114976431072646</v>
      </c>
      <c r="AS321" s="258">
        <f>IFERROR(IF(((N(AS198)+N(AS199)+N(AS200)+N(AS203)+N(AS221)+N(AS224))+N(AS257))&lt;&gt;0,(N(AS198)+N(AS199)+N(AS200)+N(AS203)+N(AS221)+N(AS224))/((N(AS198)+N(AS199)+N(AS200)+N(AS203)+N(AS221)+N(AS224))+AS257),""),"")</f>
        <v>0.111515393185757</v>
      </c>
      <c r="AT321" s="258">
        <f>IFERROR(IF(((N(AT198)+N(AT199)+N(AT200)+N(AT203)+N(AT221)+N(AT224))+N(AT257))&lt;&gt;0,(N(AT198)+N(AT199)+N(AT200)+N(AT203)+N(AT221)+N(AT224))/((N(AT198)+N(AT199)+N(AT200)+N(AT203)+N(AT221)+N(AT224))+AT257),""),"")</f>
        <v>0.108999389630551</v>
      </c>
      <c r="AU321" s="258">
        <f>IFERROR(IF(((N(AU198)+N(AU199)+N(AU200)+N(AU203)+N(AU221)+N(AU224))+N(AU257))&lt;&gt;0,(N(AU198)+N(AU199)+N(AU200)+N(AU203)+N(AU221)+N(AU224))/((N(AU198)+N(AU199)+N(AU200)+N(AU203)+N(AU221)+N(AU224))+AU257),""),"")</f>
        <v>0.106676813114234</v>
      </c>
      <c r="AV321" s="258">
        <f>IFERROR(IF(((N(AV198)+N(AV199)+N(AV200)+N(AV203)+N(AV221)+N(AV224))+N(AV257))&lt;&gt;0,(N(AV198)+N(AV199)+N(AV200)+N(AV203)+N(AV221)+N(AV224))/((N(AV198)+N(AV199)+N(AV200)+N(AV203)+N(AV221)+N(AV224))+AV257),""),"")</f>
        <v>0.106676813114234</v>
      </c>
      <c r="AW321" s="258">
        <f>IFERROR(IF(((N(AW198)+N(AW199)+N(AW200)+N(AW203)+N(AW221)+N(AW224))+N(AW257))&lt;&gt;0,(N(AW198)+N(AW199)+N(AW200)+N(AW203)+N(AW221)+N(AW224))/((N(AW198)+N(AW199)+N(AW200)+N(AW203)+N(AW221)+N(AW224))+AW257),""),"")</f>
        <v>0.104397861741874</v>
      </c>
      <c r="AX321" s="258">
        <f>IFERROR(IF(((N(AX198)+N(AX199)+N(AX200)+N(AX203)+N(AX221)+N(AX224))+N(AX257))&lt;&gt;0,(N(AX198)+N(AX199)+N(AX200)+N(AX203)+N(AX221)+N(AX224))/((N(AX198)+N(AX199)+N(AX200)+N(AX203)+N(AX221)+N(AX224))+AX257),""),"")</f>
        <v>0.101444664706246</v>
      </c>
      <c r="AY321" s="258">
        <f>IFERROR(IF(((N(AY198)+N(AY199)+N(AY200)+N(AY203)+N(AY221)+N(AY224))+N(AY257))&lt;&gt;0,(N(AY198)+N(AY199)+N(AY200)+N(AY203)+N(AY221)+N(AY224))/((N(AY198)+N(AY199)+N(AY200)+N(AY203)+N(AY221)+N(AY224))+AY257),""),"")</f>
        <v>0.0992908919113393</v>
      </c>
      <c r="AZ321" s="258">
        <f>IFERROR(IF(((N(AZ198)+N(AZ199)+N(AZ200)+N(AZ203)+N(AZ221)+N(AZ224))+N(AZ257))&lt;&gt;0,(N(AZ198)+N(AZ199)+N(AZ200)+N(AZ203)+N(AZ221)+N(AZ224))/((N(AZ198)+N(AZ199)+N(AZ200)+N(AZ203)+N(AZ221)+N(AZ224))+AZ257),""),"")</f>
        <v>0.0972974854596691</v>
      </c>
      <c r="BA321" s="258">
        <f>IFERROR(IF(((N(BA198)+N(BA199)+N(BA200)+N(BA203)+N(BA221)+N(BA224))+N(BA257))&lt;&gt;0,(N(BA198)+N(BA199)+N(BA200)+N(BA203)+N(BA221)+N(BA224))/((N(BA198)+N(BA199)+N(BA200)+N(BA203)+N(BA221)+N(BA224))+BA257),""),"")</f>
        <v>0.0972974854596691</v>
      </c>
      <c r="BB321" s="258">
        <f>IFERROR(IF(((N(BB198)+N(BB199)+N(BB200)+N(BB203)+N(BB221)+N(BB224))+N(BB257))&lt;&gt;0,(N(BB198)+N(BB199)+N(BB200)+N(BB203)+N(BB221)+N(BB224))/((N(BB198)+N(BB199)+N(BB200)+N(BB203)+N(BB221)+N(BB224))+BB257),""),"")</f>
        <v>0.0953459386559893</v>
      </c>
      <c r="BC321" s="258">
        <f>IFERROR(IF(((N(BC198)+N(BC199)+N(BC200)+N(BC203)+N(BC221)+N(BC224))+N(BC257))&lt;&gt;0,(N(BC198)+N(BC199)+N(BC200)+N(BC203)+N(BC221)+N(BC224))/((N(BC198)+N(BC199)+N(BC200)+N(BC203)+N(BC221)+N(BC224))+BC257),""),"")</f>
        <v>0.0928092520554075</v>
      </c>
      <c r="BD321" s="258">
        <f>IFERROR(IF(((N(BD198)+N(BD199)+N(BD200)+N(BD203)+N(BD221)+N(BD224))+N(BD257))&lt;&gt;0,(N(BD198)+N(BD199)+N(BD200)+N(BD203)+N(BD221)+N(BD224))/((N(BD198)+N(BD199)+N(BD200)+N(BD203)+N(BD221)+N(BD224))+BD257),""),"")</f>
        <v>0.0909536937215751</v>
      </c>
      <c r="BE321" s="258">
        <f>IFERROR(IF(((N(BE198)+N(BE199)+N(BE200)+N(BE203)+N(BE221)+N(BE224))+N(BE257))&lt;&gt;0,(N(BE198)+N(BE199)+N(BE200)+N(BE203)+N(BE221)+N(BE224))/((N(BE198)+N(BE199)+N(BE200)+N(BE203)+N(BE221)+N(BE224))+BE257),""),"")</f>
        <v>0.0892321103060883</v>
      </c>
      <c r="BF321" s="258">
        <f>IFERROR(IF(((N(BF198)+N(BF199)+N(BF200)+N(BF203)+N(BF221)+N(BF224))+N(BF257))&lt;&gt;0,(N(BF198)+N(BF199)+N(BF200)+N(BF203)+N(BF221)+N(BF224))/((N(BF198)+N(BF199)+N(BF200)+N(BF203)+N(BF221)+N(BF224))+BF257),""),"")</f>
        <v>0.0892321103060883</v>
      </c>
      <c r="BG321" s="80" t="n"/>
      <c r="BH321" s="80" t="n"/>
      <c r="BI321" s="80" t="n"/>
      <c r="BJ321" s="80" t="n"/>
      <c r="BL321" s="80" t="n"/>
      <c r="BM321" s="80" t="n"/>
      <c r="BN321" s="80" t="n"/>
      <c r="BO321" s="80" t="n"/>
      <c r="BQ321" s="80" t="n"/>
      <c r="BR321" s="80" t="n"/>
      <c r="BS321" s="80" t="n"/>
      <c r="BT321" s="80" t="n"/>
      <c r="BV321" s="80" t="n"/>
      <c r="BW321" s="80" t="n"/>
      <c r="BX321" s="80" t="n"/>
      <c r="BY321" s="80" t="n"/>
      <c r="CA321" s="80" t="n"/>
      <c r="CB321" s="80" t="n"/>
      <c r="CC321" s="80" t="n"/>
      <c r="CD321" s="80" t="n"/>
      <c r="CF321" s="80" t="n"/>
      <c r="CG321" s="80" t="n"/>
      <c r="CH321" s="80" t="n"/>
      <c r="CI321" s="80" t="n"/>
      <c r="CK321" s="80" t="n"/>
      <c r="CL321" s="80" t="n"/>
      <c r="CM321" s="80" t="n"/>
      <c r="CN321" s="80" t="n"/>
      <c r="CP321" s="80" t="n"/>
      <c r="CQ321" s="80" t="n"/>
      <c r="CR321" s="80" t="n"/>
      <c r="CS321" s="80" t="n"/>
      <c r="CU321" s="80" t="n"/>
      <c r="CV321" s="80" t="n"/>
      <c r="CW321" s="80" t="n"/>
      <c r="CX321" s="80" t="n"/>
    </row>
    <row r="322" customFormat="1" s="77">
      <c r="A322" s="76" t="n"/>
      <c r="B322" s="76" t="n"/>
      <c r="C322" s="77" t="inlineStr">
        <is>
          <t>NET DEBT / EBITDA (LTM)</t>
        </is>
      </c>
      <c r="D322" s="82" t="str">
        <f>IFERROR(SUM((D198+D199+D200+D203+D221)-D130)/(D55*4),"")</f>
        <v/>
      </c>
      <c r="E322" s="82" t="str">
        <f>IFERROR(SUM((E198+E199+E200+E203+E221)-E130)/(E55*4),"")</f>
        <v/>
      </c>
      <c r="F322" s="82" t="str">
        <f>IFERROR(SUM((F198+F199+F200+F203+F221)-F130)/(F55*4),"")</f>
        <v/>
      </c>
      <c r="G322" s="82" t="str">
        <f>IFERROR(SUM((G198+G199+G200+G203+G221)-G130)/(G55*4),"")</f>
        <v/>
      </c>
      <c r="H322" s="262" t="str">
        <f>IFERROR(IF(AND(COUNT(H55)=1,(H55)&lt;&gt;0),((N(H198)+N(H199)+N(H200)+N(H203)+N(H221)+N(H224))-N(H130))/(H55),""),"")</f>
        <v/>
      </c>
      <c r="I322" s="262" t="str">
        <f>""</f>
        <v/>
      </c>
      <c r="J322" s="262" t="str">
        <f>""</f>
        <v/>
      </c>
      <c r="K322" s="262" t="str">
        <f>""</f>
        <v/>
      </c>
      <c r="L322" s="262">
        <f>IFERROR(IF(AND(COUNT(I55,J55,K55,L55)=4,(I55+J55+K55+L55)&lt;&gt;0),((N(L198)+N(L199)+N(L200)+N(L203)+N(L221)+N(L224))-N(L130))/(I55+J55+K55+L55),""),"")</f>
        <v>0.774835189815867</v>
      </c>
      <c r="M322" s="262">
        <f>IFERROR(IF(AND(COUNT(I55,J55,K55,L55)=4,(I55+J55+K55+L55)&lt;&gt;0),((N(M198)+N(M199)+N(M200)+N(M203)+N(M221)+N(M224))-N(M130))/(I55+J55+K55+L55),""),"")</f>
        <v>0.774835189815867</v>
      </c>
      <c r="N322" s="262">
        <f>IFERROR(IF(AND(COUNT(J55,K55,L55,N55)=4,(J55+K55+L55+N55)&lt;&gt;0),((N(N198)+N(N199)+N(N200)+N(N203)+N(N221)+N(N224))-N(N130))/(J55+K55+L55+N55),""),"")</f>
        <v>0.592306817628044</v>
      </c>
      <c r="O322" s="262">
        <f>IFERROR(IF(AND(COUNT(K55,L55,N55,O55)=4,(K55+L55+N55+O55)&lt;&gt;0),((N(O198)+N(O199)+N(O200)+N(O203)+N(O221)+N(O224))-N(O130))/(K55+L55+N55+O55),""),"")</f>
        <v>0.351920227061513</v>
      </c>
      <c r="P322" s="262">
        <f>IFERROR(IF(AND(COUNT(L55,N55,O55,P55)=4,(L55+N55+O55+P55)&lt;&gt;0),((N(P198)+N(P199)+N(P200)+N(P203)+N(P221)+N(P224))-N(P130))/(L55+N55+O55+P55),""),"")</f>
        <v>0.156323824787437</v>
      </c>
      <c r="Q322" s="262">
        <f>IFERROR(IF(AND(COUNT(N55,O55,P55,Q55)=4,(N55+O55+P55+Q55)&lt;&gt;0),((N(Q198)+N(Q199)+N(Q200)+N(Q203)+N(Q221)+N(Q224))-N(Q130))/(N55+O55+P55+Q55),""),"")</f>
        <v>0.112612217445975</v>
      </c>
      <c r="R322" s="262">
        <f>IFERROR(IF(AND(COUNT(N55,O55,P55,Q55)=4,(N55+O55+P55+Q55)&lt;&gt;0),((N(R198)+N(R199)+N(R200)+N(R203)+N(R221)+N(R224))-N(R130))/(N55+O55+P55+Q55),""),"")</f>
        <v>0.112612217445975</v>
      </c>
      <c r="S322" s="262">
        <f>IFERROR(IF(AND(COUNT(O55,P55,Q55,S55)=4,(O55+P55+Q55+S55)&lt;&gt;0),((N(S198)+N(S199)+N(S200)+N(S203)+N(S221)+N(S224))-N(S130))/(O55+P55+Q55+S55),""),"")</f>
        <v>0.0828388433644156</v>
      </c>
      <c r="T322" s="262">
        <f>IFERROR(IF(AND(COUNT(P55,Q55,S55,T55)=4,(P55+Q55+S55+T55)&lt;&gt;0),((N(T198)+N(T199)+N(T200)+N(T203)+N(T221)+N(T224))-N(T130))/(P55+Q55+S55+T55),""),"")</f>
        <v>0.129050345593547</v>
      </c>
      <c r="U322" s="262">
        <f>IFERROR(IF(AND(COUNT(Q55,S55,T55,U55)=4,(Q55+S55+T55+U55)&lt;&gt;0),((N(U198)+N(U199)+N(U200)+N(U203)+N(U221)+N(U224))-N(U130))/(Q55+S55+T55+U55),""),"")</f>
        <v>0.104189394224379</v>
      </c>
      <c r="V322" s="262">
        <f>IFERROR(IF(AND(COUNT(S55,T55,U55,V55)=4,(S55+T55+U55+V55)&lt;&gt;0),((N(V198)+N(V199)+N(V200)+N(V203)+N(V221)+N(V224))-N(V130))/(S55+T55+U55+V55),""),"")</f>
        <v>0.135096199157163</v>
      </c>
      <c r="W322" s="262">
        <f>IFERROR(IF(AND(COUNT(S55,T55,U55,V55)=4,(S55+T55+U55+V55)&lt;&gt;0),((N(W198)+N(W199)+N(W200)+N(W203)+N(W221)+N(W224))-N(W130))/(S55+T55+U55+V55),""),"")</f>
        <v>0.135096199157163</v>
      </c>
      <c r="X322" s="262">
        <f>IFERROR(IF(AND(COUNT(T55,U55,V55,X55)=4,(T55+U55+V55+X55)&lt;&gt;0),((N(X198)+N(X199)+N(X200)+N(X203)+N(X221)+N(X224))-N(X130))/(T55+U55+V55+X55),""),"")</f>
        <v>0.101037335565994</v>
      </c>
      <c r="Y322" s="262">
        <f>IFERROR(IF(AND(COUNT(U55,V55,X55,Y55)=4,(U55+V55+X55+Y55)&lt;&gt;0),((N(Y198)+N(Y199)+N(Y200)+N(Y203)+N(Y221)+N(Y224))-N(Y130))/(U55+V55+X55+Y55),""),"")</f>
        <v>0.225889661692214</v>
      </c>
      <c r="Z322" s="262">
        <f>IFERROR(IF(AND(COUNT(V55,X55,Y55,Z55)=4,(V55+X55+Y55+Z55)&lt;&gt;0),((N(Z198)+N(Z199)+N(Z200)+N(Z203)+N(Z221)+N(Z224))-N(Z130))/(V55+X55+Y55+Z55),""),"")</f>
        <v>0.207619629782201</v>
      </c>
      <c r="AA322" s="262">
        <f>IFERROR(IF(AND(COUNT(X55,Y55,Z55,AA55)=4,(X55+Y55+Z55+AA55)&lt;&gt;0),((N(AA198)+N(AA199)+N(AA200)+N(AA203)+N(AA221)+N(AA224))-N(AA130))/(X55+Y55+Z55+AA55),""),"")</f>
        <v>0.25481851291075</v>
      </c>
      <c r="AB322" s="262">
        <f>IFERROR(IF(AND(COUNT(X55,Y55,Z55,AA55)=4,(X55+Y55+Z55+AA55)&lt;&gt;0),((N(AB198)+N(AB199)+N(AB200)+N(AB203)+N(AB221)+N(AB224))-N(AB130))/(X55+Y55+Z55+AA55),""),"")</f>
        <v>0.25481851291075</v>
      </c>
      <c r="AC322" s="262">
        <f>IFERROR(IF(AND(COUNT(Y55,Z55,AA55,AC55)=4,(Y55+Z55+AA55+AC55)&lt;&gt;0),((N(AC198)+N(AC199)+N(AC200)+N(AC203)+N(AC221)+N(AC224))-N(AC130))/(Y55+Z55+AA55+AC55),""),"")</f>
        <v>0.27943500054484</v>
      </c>
      <c r="AD322" s="262">
        <f>IFERROR(IF(AND(COUNT(Z55,AA55,AC55,AD55)=4,(Z55+AA55+AC55+AD55)&lt;&gt;0),((N(AD198)+N(AD199)+N(AD200)+N(AD203)+N(AD221)+N(AD224))-N(AD130))/(Z55+AA55+AC55+AD55),""),"")</f>
        <v>0.348748655229036</v>
      </c>
      <c r="AE322" s="262">
        <f>IFERROR(IF(AND(COUNT(AA55,AC55,AD55,AE55)=4,(AA55+AC55+AD55+AE55)&lt;&gt;0),((N(AE198)+N(AE199)+N(AE200)+N(AE203)+N(AE221)+N(AE224))-N(AE130))/(AA55+AC55+AD55+AE55),""),"")</f>
        <v>0.411099781500364</v>
      </c>
      <c r="AF322" s="262">
        <f>IFERROR(IF(AND(COUNT(AB55,AD55,AE55,AF55)=4,(AB55+AD55+AE55+AF55)&lt;&gt;0),((N(AF198)+N(AF199)+N(AF200)+N(AF203)+N(AF221)+N(AF224))-N(AF130))/(AB55+AD55+AE55+AF55),""),"")</f>
        <v>0.265679076236375</v>
      </c>
      <c r="AG322" s="262">
        <f>IFERROR(IF(AND(COUNT(AC55,AD55,AE55,AF55)=4,(AC55+AD55+AE55+AF55)&lt;&gt;0),((N(AG198)+N(AG199)+N(AG200)+N(AG203)+N(AG221)+N(AG224))-N(AG130))/(AC55+AD55+AE55+AF55),""),"")</f>
        <v>0.484144760108452</v>
      </c>
      <c r="AH322" s="262">
        <f>IFERROR(IF(AND(COUNT(AD55,AF55,AG55,AH55)=4,(AD55+AF55+AG55+AH55)&lt;&gt;0),((N(AH198)+N(AH199)+N(AH200)+N(AH203)+N(AH221)+N(AH224))-N(AH130))/(AD55+AF55+AG55+AH55),""),"")</f>
        <v>0.341817928318098</v>
      </c>
      <c r="AI322" s="262">
        <f>IFERROR(IF(AND(COUNT(AE55,AG55,AH55,AI55)=4,(AE55+AG55+AH55+AI55)&lt;&gt;0),((N(AI198)+N(AI199)+N(AI200)+N(AI203)+N(AI221)+N(AI224))-N(AI130))/(AE55+AG55+AH55+AI55),""),"")</f>
        <v>0.2487982839338</v>
      </c>
      <c r="AJ322" s="262">
        <f>IFERROR(IF(AND(COUNT(AF55,AH55,AI55,AJ55)=4,(AF55+AH55+AI55+AJ55)&lt;&gt;0),((N(AJ198)+N(AJ199)+N(AJ200)+N(AJ203)+N(AJ221)+N(AJ224))-N(AJ130))/(AF55+AH55+AI55+AJ55),""),"")</f>
        <v>0.269677666302753</v>
      </c>
      <c r="AK322" s="262">
        <f>IFERROR(IF(AND(COUNT(AH55,AI55,AJ55,AK55)=4,(AH55+AI55+AJ55+AK55)&lt;&gt;0),((N(AK198)+N(AK199)+N(AK200)+N(AK203)+N(AK221)+N(AK224))-N(AK130))/(AH55+AI55+AJ55+AK55),""),"")</f>
        <v>0.173065308913645</v>
      </c>
      <c r="AL322" s="262">
        <f>IFERROR(IF(AND(COUNT(AH55,AI55,AJ55,AK55)=4,(AH55+AI55+AJ55+AK55)&lt;&gt;0),((N(AL198)+N(AL199)+N(AL200)+N(AL203)+N(AL221)+N(AL224))-N(AL130))/(AH55+AI55+AJ55+AK55),""),"")</f>
        <v>0.173065308913645</v>
      </c>
      <c r="AM322" s="262">
        <f>IFERROR(IF(AND(COUNT(AI55,AJ55,AK55,AM55)=4,(AI55+AJ55+AK55+AM55)&lt;&gt;0),((N(AM198)+N(AM199)+N(AM200)+N(AM203)+N(AM221)+N(AM224))-N(AM130))/(AI55+AJ55+AK55+AM55),""),"")</f>
        <v>0.0559223377170244</v>
      </c>
      <c r="AN322" s="262">
        <f>IFERROR(IF(AND(COUNT(AJ55,AK55,AM55,AN55)=4,(AJ55+AK55+AM55+AN55)&lt;&gt;0),((N(AN198)+N(AN199)+N(AN200)+N(AN203)+N(AN221)+N(AN224))-N(AN130))/(AJ55+AK55+AM55+AN55),""),"")</f>
        <v>-0.15619661138734</v>
      </c>
      <c r="AO322" s="262">
        <f>IFERROR(IF(AND(COUNT(AK55,AM55,AN55,AO55)=4,(AK55+AM55+AN55+AO55)&lt;&gt;0),((N(AO198)+N(AO199)+N(AO200)+N(AO203)+N(AO221)+N(AO224))-N(AO130))/(AK55+AM55+AN55+AO55),""),"")</f>
        <v>-0.188034388452912</v>
      </c>
      <c r="AP322" s="262">
        <f>IFERROR(IF(AND(COUNT(AM55,AN55,AO55,AP55)=4,(AM55+AN55+AO55+AP55)&lt;&gt;0),((N(AP198)+N(AP199)+N(AP200)+N(AP203)+N(AP221)+N(AP224))-N(AP130))/(AM55+AN55+AO55+AP55),""),"")</f>
        <v>-0.279063555069956</v>
      </c>
      <c r="AQ322" s="262">
        <f>IFERROR(IF(AND(COUNT(AM55,AN55,AO55,AP55)=4,(AM55+AN55+AO55+AP55)&lt;&gt;0),((N(AQ198)+N(AQ199)+N(AQ200)+N(AQ203)+N(AQ221)+N(AQ224))-N(AQ130))/(AM55+AN55+AO55+AP55),""),"")</f>
        <v>-0.279063555069956</v>
      </c>
      <c r="AR322" s="262">
        <f>IFERROR(IF(AND(COUNT(AN55,AO55,AP55,AR55)=4,(AN55+AO55+AP55+AR55)&lt;&gt;0),((N(AR198)+N(AR199)+N(AR200)+N(AR203)+N(AR221)+N(AR224))-N(AR130))/(AN55+AO55+AP55+AR55),""),"")</f>
        <v>-0.38775081553519</v>
      </c>
      <c r="AS322" s="262">
        <f>IFERROR(IF(AND(COUNT(AO55,AP55,AR55,AS55)=4,(AO55+AP55+AR55+AS55)&lt;&gt;0),((N(AS198)+N(AS199)+N(AS200)+N(AS203)+N(AS221)+N(AS224))-N(AS130))/(AO55+AP55+AR55+AS55),""),"")</f>
        <v>-0.599957191771722</v>
      </c>
      <c r="AT322" s="262">
        <f>IFERROR(IF(AND(COUNT(AP55,AR55,AS55,AT55)=4,(AP55+AR55+AS55+AT55)&lt;&gt;0),((N(AT198)+N(AT199)+N(AT200)+N(AT203)+N(AT221)+N(AT224))-N(AT130))/(AP55+AR55+AS55+AT55),""),"")</f>
        <v>-0.628049337296683</v>
      </c>
      <c r="AU322" s="262">
        <f>IFERROR(IF(AND(COUNT(AR55,AS55,AT55,AU55)=4,(AR55+AS55+AT55+AU55)&lt;&gt;0),((N(AU198)+N(AU199)+N(AU200)+N(AU203)+N(AU221)+N(AU224))-N(AU130))/(AR55+AS55+AT55+AU55),""),"")</f>
        <v>-0.715577798994362</v>
      </c>
      <c r="AV322" s="262">
        <f>IFERROR(IF(AND(COUNT(AR55,AS55,AT55,AU55)=4,(AR55+AS55+AT55+AU55)&lt;&gt;0),((N(AV198)+N(AV199)+N(AV200)+N(AV203)+N(AV221)+N(AV224))-N(AV130))/(AR55+AS55+AT55+AU55),""),"")</f>
        <v>-0.715577798994362</v>
      </c>
      <c r="AW322" s="262">
        <f>IFERROR(IF(AND(COUNT(AS55,AT55,AU55,AW55)=4,(AS55+AT55+AU55+AW55)&lt;&gt;0),((N(AW198)+N(AW199)+N(AW200)+N(AW203)+N(AW221)+N(AW224))-N(AW130))/(AS55+AT55+AU55+AW55),""),"")</f>
        <v>-0.822293273766467</v>
      </c>
      <c r="AX322" s="262">
        <f>IFERROR(IF(AND(COUNT(AT55,AU55,AW55,AX55)=4,(AT55+AU55+AW55+AX55)&lt;&gt;0),((N(AX198)+N(AX199)+N(AX200)+N(AX203)+N(AX221)+N(AX224))-N(AX130))/(AT55+AU55+AW55+AX55),""),"")</f>
        <v>-1.0277412281373</v>
      </c>
      <c r="AY322" s="262">
        <f>IFERROR(IF(AND(COUNT(AU55,AW55,AX55,AY55)=4,(AU55+AW55+AX55+AY55)&lt;&gt;0),((N(AY198)+N(AY199)+N(AY200)+N(AY203)+N(AY221)+N(AY224))-N(AY130))/(AU55+AW55+AX55+AY55),""),"")</f>
        <v>-1.05312128393555</v>
      </c>
      <c r="AZ322" s="262">
        <f>IFERROR(IF(AND(COUNT(AW55,AX55,AY55,AZ55)=4,(AW55+AX55+AY55+AZ55)&lt;&gt;0),((N(AZ198)+N(AZ199)+N(AZ200)+N(AZ203)+N(AZ221)+N(AZ224))-N(AZ130))/(AW55+AX55+AY55+AZ55),""),"")</f>
        <v>-1.13811092161329</v>
      </c>
      <c r="BA322" s="262">
        <f>IFERROR(IF(AND(COUNT(AW55,AX55,AY55,AZ55)=4,(AW55+AX55+AY55+AZ55)&lt;&gt;0),((N(BA198)+N(BA199)+N(BA200)+N(BA203)+N(BA221)+N(BA224))-N(BA130))/(AW55+AX55+AY55+AZ55),""),"")</f>
        <v>-1.13811092161329</v>
      </c>
      <c r="BB322" s="262">
        <f>IFERROR(IF(AND(COUNT(AX55,AY55,AZ55,BB55)=4,(AX55+AY55+AZ55+BB55)&lt;&gt;0),((N(BB198)+N(BB199)+N(BB200)+N(BB203)+N(BB221)+N(BB224))-N(BB130))/(AX55+AY55+AZ55+BB55),""),"")</f>
        <v>-1.24136218647917</v>
      </c>
      <c r="BC322" s="262">
        <f>IFERROR(IF(AND(COUNT(AY55,AZ55,BB55,BC55)=4,(AY55+AZ55+BB55+BC55)&lt;&gt;0),((N(BC198)+N(BC199)+N(BC200)+N(BC203)+N(BC221)+N(BC224))-N(BC130))/(AY55+AZ55+BB55+BC55),""),"")</f>
        <v>-1.44383168274016</v>
      </c>
      <c r="BD322" s="262">
        <f>IFERROR(IF(AND(COUNT(AZ55,BB55,BC55,BD55)=4,(AZ55+BB55+BC55+BD55)&lt;&gt;0),((N(BD198)+N(BD199)+N(BD200)+N(BD203)+N(BD221)+N(BD224))-N(BD130))/(AZ55+BB55+BC55+BD55),""),"")</f>
        <v>-1.4674570516478</v>
      </c>
      <c r="BE322" s="262">
        <f>IFERROR(IF(AND(COUNT(BB55,BC55,BD55,BE55)=4,(BB55+BC55+BD55+BE55)&lt;&gt;0),((N(BE198)+N(BE199)+N(BE200)+N(BE203)+N(BE221)+N(BE224))-N(BE130))/(BB55+BC55+BD55+BE55),""),"")</f>
        <v>-1.5508044242899</v>
      </c>
      <c r="BF322" s="262">
        <f>IFERROR(IF(AND(COUNT(BB55,BC55,BD55,BE55)=4,(BB55+BC55+BD55+BE55)&lt;&gt;0),((N(BF198)+N(BF199)+N(BF200)+N(BF203)+N(BF221)+N(BF224))-N(BF130))/(BB55+BC55+BD55+BE55),""),"")</f>
        <v>-1.5508044242899</v>
      </c>
      <c r="BG322" s="82" t="n"/>
      <c r="BH322" s="82" t="n"/>
      <c r="BI322" s="82" t="n"/>
      <c r="BJ322" s="82" t="n"/>
      <c r="BL322" s="82" t="n"/>
      <c r="BM322" s="82" t="n"/>
      <c r="BN322" s="82" t="n"/>
      <c r="BO322" s="82" t="n"/>
      <c r="BQ322" s="82" t="n"/>
      <c r="BR322" s="82" t="n"/>
      <c r="BS322" s="82" t="n"/>
      <c r="BT322" s="82" t="n"/>
      <c r="BV322" s="82" t="n"/>
      <c r="BW322" s="82" t="n"/>
      <c r="BX322" s="82" t="n"/>
      <c r="BY322" s="82" t="n"/>
      <c r="CA322" s="82" t="n"/>
      <c r="CB322" s="82" t="n"/>
      <c r="CC322" s="82" t="n"/>
      <c r="CD322" s="82" t="n"/>
      <c r="CF322" s="82" t="n"/>
      <c r="CG322" s="82" t="n"/>
      <c r="CH322" s="82" t="n"/>
      <c r="CI322" s="82" t="n"/>
      <c r="CK322" s="82" t="n"/>
      <c r="CL322" s="82" t="n"/>
      <c r="CM322" s="82" t="n"/>
      <c r="CN322" s="82" t="n"/>
      <c r="CP322" s="82" t="n"/>
      <c r="CQ322" s="82" t="n"/>
      <c r="CR322" s="82" t="n"/>
      <c r="CS322" s="82" t="n"/>
      <c r="CU322" s="82" t="n"/>
      <c r="CV322" s="82" t="n"/>
      <c r="CW322" s="82" t="n"/>
      <c r="CX322" s="82" t="n"/>
    </row>
    <row r="323" customFormat="1" s="77">
      <c r="A323" s="76" t="n"/>
      <c r="B323" s="76" t="n"/>
      <c r="C323" s="83" t="inlineStr">
        <is>
          <t>NET DEBT (EX IFRS 16.) / EBITDA (LTM)</t>
        </is>
      </c>
      <c r="D323" s="82" t="str">
        <f>IFERROR(SUM((D198+D199+D203)-D130)/(D55*4),"")</f>
        <v/>
      </c>
      <c r="E323" s="82" t="str">
        <f>IFERROR(SUM((E198+E199+E203)-E130)/(E55*4),"")</f>
        <v/>
      </c>
      <c r="F323" s="82" t="str">
        <f>IFERROR(SUM((F198+F199+F203)-F130)/(F55*4),"")</f>
        <v/>
      </c>
      <c r="G323" s="82" t="str">
        <f>IFERROR(SUM((G198+G199+G203)-G130)/(G55*4),"")</f>
        <v/>
      </c>
      <c r="H323" s="262" t="str">
        <f>IFERROR(IF(AND(COUNT(H55)=1,(H55)&lt;&gt;0),((N(H198)+N(H199)+N(H203)+N(H224))-N(H130))/(H55),""),"")</f>
        <v/>
      </c>
      <c r="I323" s="262" t="str">
        <f>""</f>
        <v/>
      </c>
      <c r="J323" s="262" t="str">
        <f>""</f>
        <v/>
      </c>
      <c r="K323" s="262" t="str">
        <f>""</f>
        <v/>
      </c>
      <c r="L323" s="262">
        <f>IFERROR(IF(AND(COUNT(I55,J55,K55,L55)=4,(I55+J55+K55+L55)&lt;&gt;0),((N(L198)+N(L199)+N(L203)+N(L224))-N(L130))/(I55+J55+K55+L55),""),"")</f>
        <v>0.774835189815867</v>
      </c>
      <c r="M323" s="262">
        <f>IFERROR(IF(AND(COUNT(I55,J55,K55,L55)=4,(I55+J55+K55+L55)&lt;&gt;0),((N(M198)+N(M199)+N(M203)+N(M224))-N(M130))/(I55+J55+K55+L55),""),"")</f>
        <v>0.774835189815867</v>
      </c>
      <c r="N323" s="262">
        <f>IFERROR(IF(AND(COUNT(J55,K55,L55,N55)=4,(J55+K55+L55+N55)&lt;&gt;0),((N(N198)+N(N199)+N(N203)+N(N224))-N(N130))/(J55+K55+L55+N55),""),"")</f>
        <v>0.592306817628044</v>
      </c>
      <c r="O323" s="262">
        <f>IFERROR(IF(AND(COUNT(K55,L55,N55,O55)=4,(K55+L55+N55+O55)&lt;&gt;0),((N(O198)+N(O199)+N(O203)+N(O224))-N(O130))/(K55+L55+N55+O55),""),"")</f>
        <v>0.351920227061513</v>
      </c>
      <c r="P323" s="262">
        <f>IFERROR(IF(AND(COUNT(L55,N55,O55,P55)=4,(L55+N55+O55+P55)&lt;&gt;0),((N(P198)+N(P199)+N(P203)+N(P224))-N(P130))/(L55+N55+O55+P55),""),"")</f>
        <v>0.156323824787437</v>
      </c>
      <c r="Q323" s="262">
        <f>IFERROR(IF(AND(COUNT(N55,O55,P55,Q55)=4,(N55+O55+P55+Q55)&lt;&gt;0),((N(Q198)+N(Q199)+N(Q203)+N(Q224))-N(Q130))/(N55+O55+P55+Q55),""),"")</f>
        <v>0.112612217445975</v>
      </c>
      <c r="R323" s="262">
        <f>IFERROR(IF(AND(COUNT(N55,O55,P55,Q55)=4,(N55+O55+P55+Q55)&lt;&gt;0),((N(R198)+N(R199)+N(R203)+N(R224))-N(R130))/(N55+O55+P55+Q55),""),"")</f>
        <v>0.112612217445975</v>
      </c>
      <c r="S323" s="262">
        <f>IFERROR(IF(AND(COUNT(O55,P55,Q55,S55)=4,(O55+P55+Q55+S55)&lt;&gt;0),((N(S198)+N(S199)+N(S203)+N(S224))-N(S130))/(O55+P55+Q55+S55),""),"")</f>
        <v>0.0828388433644156</v>
      </c>
      <c r="T323" s="262">
        <f>IFERROR(IF(AND(COUNT(P55,Q55,S55,T55)=4,(P55+Q55+S55+T55)&lt;&gt;0),((N(T198)+N(T199)+N(T203)+N(T224))-N(T130))/(P55+Q55+S55+T55),""),"")</f>
        <v>0.129050345593547</v>
      </c>
      <c r="U323" s="262">
        <f>IFERROR(IF(AND(COUNT(Q55,S55,T55,U55)=4,(Q55+S55+T55+U55)&lt;&gt;0),((N(U198)+N(U199)+N(U203)+N(U224))-N(U130))/(Q55+S55+T55+U55),""),"")</f>
        <v>0.104189394224379</v>
      </c>
      <c r="V323" s="262">
        <f>IFERROR(IF(AND(COUNT(S55,T55,U55,V55)=4,(S55+T55+U55+V55)&lt;&gt;0),((N(V198)+N(V199)+N(V203)+N(V224))-N(V130))/(S55+T55+U55+V55),""),"")</f>
        <v>0.135096199157163</v>
      </c>
      <c r="W323" s="262">
        <f>IFERROR(IF(AND(COUNT(S55,T55,U55,V55)=4,(S55+T55+U55+V55)&lt;&gt;0),((N(W198)+N(W199)+N(W203)+N(W224))-N(W130))/(S55+T55+U55+V55),""),"")</f>
        <v>0.135096199157163</v>
      </c>
      <c r="X323" s="262">
        <f>IFERROR(IF(AND(COUNT(T55,U55,V55,X55)=4,(T55+U55+V55+X55)&lt;&gt;0),((N(X198)+N(X199)+N(X203)+N(X224))-N(X130))/(T55+U55+V55+X55),""),"")</f>
        <v>0.101037335565994</v>
      </c>
      <c r="Y323" s="262">
        <f>IFERROR(IF(AND(COUNT(U55,V55,X55,Y55)=4,(U55+V55+X55+Y55)&lt;&gt;0),((N(Y198)+N(Y199)+N(Y203)+N(Y224))-N(Y130))/(U55+V55+X55+Y55),""),"")</f>
        <v>0.225889661692214</v>
      </c>
      <c r="Z323" s="262">
        <f>IFERROR(IF(AND(COUNT(V55,X55,Y55,Z55)=4,(V55+X55+Y55+Z55)&lt;&gt;0),((N(Z198)+N(Z199)+N(Z203)+N(Z224))-N(Z130))/(V55+X55+Y55+Z55),""),"")</f>
        <v>0.207619629782201</v>
      </c>
      <c r="AA323" s="262">
        <f>IFERROR(IF(AND(COUNT(X55,Y55,Z55,AA55)=4,(X55+Y55+Z55+AA55)&lt;&gt;0),((N(AA198)+N(AA199)+N(AA203)+N(AA224))-N(AA130))/(X55+Y55+Z55+AA55),""),"")</f>
        <v>0.25481851291075</v>
      </c>
      <c r="AB323" s="262">
        <f>IFERROR(IF(AND(COUNT(X55,Y55,Z55,AA55)=4,(X55+Y55+Z55+AA55)&lt;&gt;0),((N(AB198)+N(AB199)+N(AB203)+N(AB224))-N(AB130))/(X55+Y55+Z55+AA55),""),"")</f>
        <v>0.25481851291075</v>
      </c>
      <c r="AC323" s="262">
        <f>IFERROR(IF(AND(COUNT(Y55,Z55,AA55,AC55)=4,(Y55+Z55+AA55+AC55)&lt;&gt;0),((N(AC198)+N(AC199)+N(AC203)+N(AC224))-N(AC130))/(Y55+Z55+AA55+AC55),""),"")</f>
        <v>0.27943500054484</v>
      </c>
      <c r="AD323" s="262">
        <f>IFERROR(IF(AND(COUNT(Z55,AA55,AC55,AD55)=4,(Z55+AA55+AC55+AD55)&lt;&gt;0),((N(AD198)+N(AD199)+N(AD203)+N(AD224))-N(AD130))/(Z55+AA55+AC55+AD55),""),"")</f>
        <v>0.348748655229036</v>
      </c>
      <c r="AE323" s="262">
        <f>IFERROR(IF(AND(COUNT(AA55,AC55,AD55,AE55)=4,(AA55+AC55+AD55+AE55)&lt;&gt;0),((N(AE198)+N(AE199)+N(AE203)+N(AE224))-N(AE130))/(AA55+AC55+AD55+AE55),""),"")</f>
        <v>0.411099781500364</v>
      </c>
      <c r="AF323" s="262">
        <f>IFERROR(IF(AND(COUNT(AB55,AD55,AE55,AF55)=4,(AB55+AD55+AE55+AF55)&lt;&gt;0),((N(AF198)+N(AF199)+N(AF203)+N(AF224))-N(AF130))/(AB55+AD55+AE55+AF55),""),"")</f>
        <v>0.265679076236375</v>
      </c>
      <c r="AG323" s="262">
        <f>IFERROR(IF(AND(COUNT(AC55,AD55,AE55,AF55)=4,(AC55+AD55+AE55+AF55)&lt;&gt;0),((N(AG198)+N(AG199)+N(AG203)+N(AG224))-N(AG130))/(AC55+AD55+AE55+AF55),""),"")</f>
        <v>0.484144760108452</v>
      </c>
      <c r="AH323" s="262">
        <f>IFERROR(IF(AND(COUNT(AD55,AF55,AG55,AH55)=4,(AD55+AF55+AG55+AH55)&lt;&gt;0),((N(AH198)+N(AH199)+N(AH203)+N(AH224))-N(AH130))/(AD55+AF55+AG55+AH55),""),"")</f>
        <v>0.341817928318098</v>
      </c>
      <c r="AI323" s="262">
        <f>IFERROR(IF(AND(COUNT(AE55,AG55,AH55,AI55)=4,(AE55+AG55+AH55+AI55)&lt;&gt;0),((N(AI198)+N(AI199)+N(AI203)+N(AI224))-N(AI130))/(AE55+AG55+AH55+AI55),""),"")</f>
        <v>0.2487982839338</v>
      </c>
      <c r="AJ323" s="262">
        <f>IFERROR(IF(AND(COUNT(AF55,AH55,AI55,AJ55)=4,(AF55+AH55+AI55+AJ55)&lt;&gt;0),((N(AJ198)+N(AJ199)+N(AJ203)+N(AJ224))-N(AJ130))/(AF55+AH55+AI55+AJ55),""),"")</f>
        <v>0.269677666302753</v>
      </c>
      <c r="AK323" s="262">
        <f>IFERROR(IF(AND(COUNT(AH55,AI55,AJ55,AK55)=4,(AH55+AI55+AJ55+AK55)&lt;&gt;0),((N(AK198)+N(AK199)+N(AK203)+N(AK224))-N(AK130))/(AH55+AI55+AJ55+AK55),""),"")</f>
        <v>0.173065308913645</v>
      </c>
      <c r="AL323" s="262">
        <f>IFERROR(IF(AND(COUNT(AH55,AI55,AJ55,AK55)=4,(AH55+AI55+AJ55+AK55)&lt;&gt;0),((N(AL198)+N(AL199)+N(AL203)+N(AL224))-N(AL130))/(AH55+AI55+AJ55+AK55),""),"")</f>
        <v>0.173065308913645</v>
      </c>
      <c r="AM323" s="262">
        <f>IFERROR(IF(AND(COUNT(AI55,AJ55,AK55,AM55)=4,(AI55+AJ55+AK55+AM55)&lt;&gt;0),((N(AM198)+N(AM199)+N(AM203)+N(AM224))-N(AM130))/(AI55+AJ55+AK55+AM55),""),"")</f>
        <v>0.0559223377170244</v>
      </c>
      <c r="AN323" s="262">
        <f>IFERROR(IF(AND(COUNT(AJ55,AK55,AM55,AN55)=4,(AJ55+AK55+AM55+AN55)&lt;&gt;0),((N(AN198)+N(AN199)+N(AN203)+N(AN224))-N(AN130))/(AJ55+AK55+AM55+AN55),""),"")</f>
        <v>-0.15619661138734</v>
      </c>
      <c r="AO323" s="262">
        <f>IFERROR(IF(AND(COUNT(AK55,AM55,AN55,AO55)=4,(AK55+AM55+AN55+AO55)&lt;&gt;0),((N(AO198)+N(AO199)+N(AO203)+N(AO224))-N(AO130))/(AK55+AM55+AN55+AO55),""),"")</f>
        <v>-0.188034388452912</v>
      </c>
      <c r="AP323" s="262">
        <f>IFERROR(IF(AND(COUNT(AM55,AN55,AO55,AP55)=4,(AM55+AN55+AO55+AP55)&lt;&gt;0),((N(AP198)+N(AP199)+N(AP203)+N(AP224))-N(AP130))/(AM55+AN55+AO55+AP55),""),"")</f>
        <v>-0.279063555069956</v>
      </c>
      <c r="AQ323" s="262">
        <f>IFERROR(IF(AND(COUNT(AM55,AN55,AO55,AP55)=4,(AM55+AN55+AO55+AP55)&lt;&gt;0),((N(AQ198)+N(AQ199)+N(AQ203)+N(AQ224))-N(AQ130))/(AM55+AN55+AO55+AP55),""),"")</f>
        <v>-0.279063555069956</v>
      </c>
      <c r="AR323" s="262">
        <f>IFERROR(IF(AND(COUNT(AN55,AO55,AP55,AR55)=4,(AN55+AO55+AP55+AR55)&lt;&gt;0),((N(AR198)+N(AR199)+N(AR203)+N(AR224))-N(AR130))/(AN55+AO55+AP55+AR55),""),"")</f>
        <v>-0.38775081553519</v>
      </c>
      <c r="AS323" s="262">
        <f>IFERROR(IF(AND(COUNT(AO55,AP55,AR55,AS55)=4,(AO55+AP55+AR55+AS55)&lt;&gt;0),((N(AS198)+N(AS199)+N(AS203)+N(AS224))-N(AS130))/(AO55+AP55+AR55+AS55),""),"")</f>
        <v>-0.599957191771722</v>
      </c>
      <c r="AT323" s="262">
        <f>IFERROR(IF(AND(COUNT(AP55,AR55,AS55,AT55)=4,(AP55+AR55+AS55+AT55)&lt;&gt;0),((N(AT198)+N(AT199)+N(AT203)+N(AT224))-N(AT130))/(AP55+AR55+AS55+AT55),""),"")</f>
        <v>-0.628049337296683</v>
      </c>
      <c r="AU323" s="262">
        <f>IFERROR(IF(AND(COUNT(AR55,AS55,AT55,AU55)=4,(AR55+AS55+AT55+AU55)&lt;&gt;0),((N(AU198)+N(AU199)+N(AU203)+N(AU224))-N(AU130))/(AR55+AS55+AT55+AU55),""),"")</f>
        <v>-0.715577798994362</v>
      </c>
      <c r="AV323" s="262">
        <f>IFERROR(IF(AND(COUNT(AR55,AS55,AT55,AU55)=4,(AR55+AS55+AT55+AU55)&lt;&gt;0),((N(AV198)+N(AV199)+N(AV203)+N(AV224))-N(AV130))/(AR55+AS55+AT55+AU55),""),"")</f>
        <v>-0.715577798994362</v>
      </c>
      <c r="AW323" s="262">
        <f>IFERROR(IF(AND(COUNT(AS55,AT55,AU55,AW55)=4,(AS55+AT55+AU55+AW55)&lt;&gt;0),((N(AW198)+N(AW199)+N(AW203)+N(AW224))-N(AW130))/(AS55+AT55+AU55+AW55),""),"")</f>
        <v>-0.822293273766467</v>
      </c>
      <c r="AX323" s="262">
        <f>IFERROR(IF(AND(COUNT(AT55,AU55,AW55,AX55)=4,(AT55+AU55+AW55+AX55)&lt;&gt;0),((N(AX198)+N(AX199)+N(AX203)+N(AX224))-N(AX130))/(AT55+AU55+AW55+AX55),""),"")</f>
        <v>-1.0277412281373</v>
      </c>
      <c r="AY323" s="262">
        <f>IFERROR(IF(AND(COUNT(AU55,AW55,AX55,AY55)=4,(AU55+AW55+AX55+AY55)&lt;&gt;0),((N(AY198)+N(AY199)+N(AY203)+N(AY224))-N(AY130))/(AU55+AW55+AX55+AY55),""),"")</f>
        <v>-1.05312128393555</v>
      </c>
      <c r="AZ323" s="262">
        <f>IFERROR(IF(AND(COUNT(AW55,AX55,AY55,AZ55)=4,(AW55+AX55+AY55+AZ55)&lt;&gt;0),((N(AZ198)+N(AZ199)+N(AZ203)+N(AZ224))-N(AZ130))/(AW55+AX55+AY55+AZ55),""),"")</f>
        <v>-1.13811092161329</v>
      </c>
      <c r="BA323" s="262">
        <f>IFERROR(IF(AND(COUNT(AW55,AX55,AY55,AZ55)=4,(AW55+AX55+AY55+AZ55)&lt;&gt;0),((N(BA198)+N(BA199)+N(BA203)+N(BA224))-N(BA130))/(AW55+AX55+AY55+AZ55),""),"")</f>
        <v>-1.13811092161329</v>
      </c>
      <c r="BB323" s="262">
        <f>IFERROR(IF(AND(COUNT(AX55,AY55,AZ55,BB55)=4,(AX55+AY55+AZ55+BB55)&lt;&gt;0),((N(BB198)+N(BB199)+N(BB203)+N(BB224))-N(BB130))/(AX55+AY55+AZ55+BB55),""),"")</f>
        <v>-1.24136218647917</v>
      </c>
      <c r="BC323" s="262">
        <f>IFERROR(IF(AND(COUNT(AY55,AZ55,BB55,BC55)=4,(AY55+AZ55+BB55+BC55)&lt;&gt;0),((N(BC198)+N(BC199)+N(BC203)+N(BC224))-N(BC130))/(AY55+AZ55+BB55+BC55),""),"")</f>
        <v>-1.44383168274016</v>
      </c>
      <c r="BD323" s="262">
        <f>IFERROR(IF(AND(COUNT(AZ55,BB55,BC55,BD55)=4,(AZ55+BB55+BC55+BD55)&lt;&gt;0),((N(BD198)+N(BD199)+N(BD203)+N(BD224))-N(BD130))/(AZ55+BB55+BC55+BD55),""),"")</f>
        <v>-1.4674570516478</v>
      </c>
      <c r="BE323" s="262">
        <f>IFERROR(IF(AND(COUNT(BB55,BC55,BD55,BE55)=4,(BB55+BC55+BD55+BE55)&lt;&gt;0),((N(BE198)+N(BE199)+N(BE203)+N(BE224))-N(BE130))/(BB55+BC55+BD55+BE55),""),"")</f>
        <v>-1.5508044242899</v>
      </c>
      <c r="BF323" s="262">
        <f>IFERROR(IF(AND(COUNT(BB55,BC55,BD55,BE55)=4,(BB55+BC55+BD55+BE55)&lt;&gt;0),((N(BF198)+N(BF199)+N(BF203)+N(BF224))-N(BF130))/(BB55+BC55+BD55+BE55),""),"")</f>
        <v>-1.5508044242899</v>
      </c>
      <c r="BG323" s="82" t="n"/>
      <c r="BH323" s="82" t="n"/>
      <c r="BI323" s="82" t="n"/>
      <c r="BJ323" s="82" t="n"/>
      <c r="BL323" s="82" t="n"/>
      <c r="BM323" s="82" t="n"/>
      <c r="BN323" s="82" t="n"/>
      <c r="BO323" s="82" t="n"/>
      <c r="BQ323" s="82" t="n"/>
      <c r="BR323" s="82" t="n"/>
      <c r="BS323" s="82" t="n"/>
      <c r="BT323" s="82" t="n"/>
      <c r="BV323" s="82" t="n"/>
      <c r="BW323" s="82" t="n"/>
      <c r="BX323" s="82" t="n"/>
      <c r="BY323" s="82" t="n"/>
      <c r="CA323" s="82" t="n"/>
      <c r="CB323" s="82" t="n"/>
      <c r="CC323" s="82" t="n"/>
      <c r="CD323" s="82" t="n"/>
      <c r="CF323" s="82" t="n"/>
      <c r="CG323" s="82" t="n"/>
      <c r="CH323" s="82" t="n"/>
      <c r="CI323" s="82" t="n"/>
      <c r="CK323" s="82" t="n"/>
      <c r="CL323" s="82" t="n"/>
      <c r="CM323" s="82" t="n"/>
      <c r="CN323" s="82" t="n"/>
      <c r="CP323" s="82" t="n"/>
      <c r="CQ323" s="82" t="n"/>
      <c r="CR323" s="82" t="n"/>
      <c r="CS323" s="82" t="n"/>
      <c r="CU323" s="82" t="n"/>
      <c r="CV323" s="82" t="n"/>
      <c r="CW323" s="82" t="n"/>
      <c r="CX323" s="82" t="n"/>
    </row>
    <row r="324" customFormat="1" s="77">
      <c r="A324" s="76" t="n"/>
      <c r="B324" s="76" t="n"/>
      <c r="C324" s="77" t="inlineStr">
        <is>
          <t>INTEREST COVERAGE (EBIT / INTEREST, LTM)</t>
        </is>
      </c>
      <c r="D324" s="82" t="str">
        <f>IFERROR(D59/-D60,"")</f>
        <v/>
      </c>
      <c r="E324" s="82" t="str">
        <f>IFERROR(E59/-E60,"")</f>
        <v/>
      </c>
      <c r="F324" s="82" t="str">
        <f>IFERROR(F59/-F60,"")</f>
        <v/>
      </c>
      <c r="G324" s="82" t="str">
        <f>IFERROR(G59/-G60,"")</f>
        <v/>
      </c>
      <c r="H324" s="262" t="str">
        <f>IFERROR(IF(AND(COUNT(H59)=1,(H60)&lt;&gt;0),(H59)/-(H60),""),"")</f>
        <v/>
      </c>
      <c r="I324" s="262" t="str">
        <f>""</f>
        <v/>
      </c>
      <c r="J324" s="262" t="str">
        <f>""</f>
        <v/>
      </c>
      <c r="K324" s="262" t="str">
        <f>""</f>
        <v/>
      </c>
      <c r="L324" s="262">
        <f>IFERROR(IF(AND(COUNT(I59,J59,K59,L59)=4,(I60+J60+K60+L60)&lt;&gt;0),(I59+J59+K59+L59)/-(I60+J60+K60+L60),""),"")</f>
        <v>33.9820485744456</v>
      </c>
      <c r="M324" s="262">
        <f>IFERROR(IF(AND(COUNT(I59,J59,K59,L59)=4,(I60+J60+K60+L60)&lt;&gt;0),(I59+J59+K59+L59)/-(I60+J60+K60+L60),""),"")</f>
        <v>33.9820485744456</v>
      </c>
      <c r="N324" s="262">
        <f>IFERROR(IF(AND(COUNT(J59,K59,L59,N59)=4,(J60+K60+L60+N60)&lt;&gt;0),(J59+K59+L59+N59)/-(J60+K60+L60+N60),""),"")</f>
        <v>42.2748004561003</v>
      </c>
      <c r="O324" s="262">
        <f>IFERROR(IF(AND(COUNT(K59,L59,N59,O59)=4,(K60+L60+N60+O60)&lt;&gt;0),(K59+L59+N59+O59)/-(K60+L60+N60+O60),""),"")</f>
        <v>68.1040391676867</v>
      </c>
      <c r="P324" s="262">
        <f>IFERROR(IF(AND(COUNT(L59,N59,O59,P59)=4,(L60+N60+O60+P60)&lt;&gt;0),(L59+N59+O59+P59)/-(L60+N60+O60+P60),""),"")</f>
        <v>87.9950738916256</v>
      </c>
      <c r="Q324" s="262">
        <f>IFERROR(IF(AND(COUNT(N59,O59,P59,Q59)=4,(N60+O60+P60+Q60)&lt;&gt;0),(N59+O59+P59+Q59)/-(N60+O60+P60+Q60),""),"")</f>
        <v>98.4348370927318</v>
      </c>
      <c r="R324" s="262">
        <f>IFERROR(IF(AND(COUNT(N59,O59,P59,Q59)=4,(N60+O60+P60+Q60)&lt;&gt;0),(N59+O59+P59+Q59)/-(N60+O60+P60+Q60),""),"")</f>
        <v>98.4348370927318</v>
      </c>
      <c r="S324" s="262">
        <f>IFERROR(IF(AND(COUNT(O59,P59,Q59,S59)=4,(O60+P60+Q60+S60)&lt;&gt;0),(O59+P59+Q59+S59)/-(O60+P60+Q60+S60),""),"")</f>
        <v>112.83355006502</v>
      </c>
      <c r="T324" s="262">
        <f>IFERROR(IF(AND(COUNT(P59,Q59,S59,T59)=4,(P60+Q60+S60+T60)&lt;&gt;0),(P59+Q59+S59+T59)/-(P60+Q60+S60+T60),""),"")</f>
        <v>89.256067961165</v>
      </c>
      <c r="U324" s="262">
        <f>IFERROR(IF(AND(COUNT(Q59,S59,T59,U59)=4,(Q60+S60+T60+U60)&lt;&gt;0),(Q59+S59+T59+U59)/-(Q60+S60+T60+U60),""),"")</f>
        <v>78.8061224489796</v>
      </c>
      <c r="V324" s="262">
        <f>IFERROR(IF(AND(COUNT(S59,T59,U59,V59)=4,(S60+T60+U60+V60)&lt;&gt;0),(S59+T59+U59+V59)/-(S60+T60+U60+V60),""),"")</f>
        <v>63.170789163722</v>
      </c>
      <c r="W324" s="262">
        <f>IFERROR(IF(AND(COUNT(S59,T59,U59,V59)=4,(S60+T60+U60+V60)&lt;&gt;0),(S59+T59+U59+V59)/-(S60+T60+U60+V60),""),"")</f>
        <v>63.170789163722</v>
      </c>
      <c r="X324" s="262">
        <f>IFERROR(IF(AND(COUNT(T59,U59,V59,X59)=4,(T60+U60+V60+X60)&lt;&gt;0),(T59+U59+V59+X59)/-(T60+U60+V60+X60),""),"")</f>
        <v>54.0724478594951</v>
      </c>
      <c r="Y324" s="262">
        <f>IFERROR(IF(AND(COUNT(U59,V59,X59,Y59)=4,(U60+V60+X60+Y60)&lt;&gt;0),(U59+V59+X59+Y59)/-(U60+V60+X60+Y60),""),"")</f>
        <v>54.9742765273312</v>
      </c>
      <c r="Z324" s="262">
        <f>IFERROR(IF(AND(COUNT(V59,X59,Y59,Z59)=4,(V60+X60+Y60+Z60)&lt;&gt;0),(V59+X59+Y59+Z59)/-(V60+X60+Y60+Z60),""),"")</f>
        <v>52.1688980432544</v>
      </c>
      <c r="AA324" s="262">
        <f>IFERROR(IF(AND(COUNT(X59,Y59,Z59,AA59)=4,(X60+Y60+Z60+AA60)&lt;&gt;0),(X59+Y59+Z59+AA59)/-(X60+Y60+Z60+AA60),""),"")</f>
        <v>50.0692771084337</v>
      </c>
      <c r="AB324" s="262">
        <f>IFERROR(IF(AND(COUNT(X59,Y59,Z59,AA59)=4,(X60+Y60+Z60+AA60)&lt;&gt;0),(X59+Y59+Z59+AA59)/-(X60+Y60+Z60+AA60),""),"")</f>
        <v>50.0692771084337</v>
      </c>
      <c r="AC324" s="262">
        <f>IFERROR(IF(AND(COUNT(Y59,Z59,AA59,AC59)=4,(Y60+Z60+AA60+AC60)&lt;&gt;0),(Y59+Z59+AA59+AC59)/-(Y60+Z60+AA60+AC60),""),"")</f>
        <v>50.0857142857143</v>
      </c>
      <c r="AD324" s="262">
        <f>IFERROR(IF(AND(COUNT(Z59,AA59,AC59,AD59)=4,(Z60+AA60+AC60+AD60)&lt;&gt;0),(Z59+AA59+AC59+AD59)/-(Z60+AA60+AC60+AD60),""),"")</f>
        <v>53.8618266978923</v>
      </c>
      <c r="AE324" s="262">
        <f>IFERROR(IF(AND(COUNT(AA59,AC59,AD59,AE59)=4,(AA60+AC60+AD60+AE60)&lt;&gt;0),(AA59+AC59+AD59+AE59)/-(AA60+AC60+AD60+AE60),""),"")</f>
        <v>59.4124830393487</v>
      </c>
      <c r="AF324" s="262">
        <f>IFERROR(IF(AND(COUNT(AB59,AD59,AE59,AF59)=4,(AB60+AD60+AE60+AF60)&lt;&gt;0),(AB59+AD59+AE59+AF59)/-(AB60+AD60+AE60+AF60),""),"")</f>
        <v>57.3421807747489</v>
      </c>
      <c r="AG324" s="262">
        <f>IFERROR(IF(AND(COUNT(AC59,AD59,AE59,AF59)=4,(AC60+AD60+AE60+AF60)&lt;&gt;0),(AC59+AD59+AE59+AF59)/-(AC60+AD60+AE60+AF60),""),"")</f>
        <v>69.4378109452736</v>
      </c>
      <c r="AH324" s="262">
        <f>IFERROR(IF(AND(COUNT(AD59,AF59,AG59,AH59)=4,(AD60+AF60+AG60+AH60)&lt;&gt;0),(AD59+AF59+AG59+AH59)/-(AD60+AF60+AG60+AH60),""),"")</f>
        <v>56.5315091210614</v>
      </c>
      <c r="AI324" s="262">
        <f>IFERROR(IF(AND(COUNT(AE59,AG59,AH59,AI59)=4,(AE60+AG60+AH60+AI60)&lt;&gt;0),(AE59+AG59+AH59+AI59)/-(AE60+AG60+AH60+AI60),""),"")</f>
        <v>65.683950617284</v>
      </c>
      <c r="AJ324" s="262" t="str">
        <f>IFERROR(IF(AND(COUNT(AF59,AH59,AI59,AJ59)=4,(AF60+AH60+AI60+AJ60)&lt;&gt;0),(AF59+AH59+AI59+AJ59)/-(AF60+AH60+AI60+AJ60),""),"")</f>
        <v/>
      </c>
      <c r="AK324" s="262" t="str">
        <f>IFERROR(IF(AND(COUNT(AH59,AI59,AJ59,AK59)=4,(AH60+AI60+AJ60+AK60)&lt;&gt;0),(AH59+AI59+AJ59+AK59)/-(AH60+AI60+AJ60+AK60),""),"")</f>
        <v/>
      </c>
      <c r="AL324" s="262" t="str">
        <f>IFERROR(IF(AND(COUNT(AH59,AI59,AJ59,AK59)=4,(AH60+AI60+AJ60+AK60)&lt;&gt;0),(AH59+AI59+AJ59+AK59)/-(AH60+AI60+AJ60+AK60),""),"")</f>
        <v/>
      </c>
      <c r="AM324" s="262" t="str">
        <f>IFERROR(IF(AND(COUNT(AI59,AJ59,AK59,AM59)=4,(AI60+AJ60+AK60+AM60)&lt;&gt;0),(AI59+AJ59+AK59+AM59)/-(AI60+AJ60+AK60+AM60),""),"")</f>
        <v/>
      </c>
      <c r="AN324" s="262" t="str">
        <f>IFERROR(IF(AND(COUNT(AJ59,AK59,AM59,AN59)=4,(AJ60+AK60+AM60+AN60)&lt;&gt;0),(AJ59+AK59+AM59+AN59)/-(AJ60+AK60+AM60+AN60),""),"")</f>
        <v/>
      </c>
      <c r="AO324" s="262" t="str">
        <f>IFERROR(IF(AND(COUNT(AK59,AM59,AN59,AO59)=4,(AK60+AM60+AN60+AO60)&lt;&gt;0),(AK59+AM59+AN59+AO59)/-(AK60+AM60+AN60+AO60),""),"")</f>
        <v/>
      </c>
      <c r="AP324" s="262" t="str">
        <f>IFERROR(IF(AND(COUNT(AM59,AN59,AO59,AP59)=4,(AM60+AN60+AO60+AP60)&lt;&gt;0),(AM59+AN59+AO59+AP59)/-(AM60+AN60+AO60+AP60),""),"")</f>
        <v/>
      </c>
      <c r="AQ324" s="262" t="str">
        <f>IFERROR(IF(AND(COUNT(AM59,AN59,AO59,AP59)=4,(AM60+AN60+AO60+AP60)&lt;&gt;0),(AM59+AN59+AO59+AP59)/-(AM60+AN60+AO60+AP60),""),"")</f>
        <v/>
      </c>
      <c r="AR324" s="262" t="str">
        <f>IFERROR(IF(AND(COUNT(AN59,AO59,AP59,AR59)=4,(AN60+AO60+AP60+AR60)&lt;&gt;0),(AN59+AO59+AP59+AR59)/-(AN60+AO60+AP60+AR60),""),"")</f>
        <v/>
      </c>
      <c r="AS324" s="262" t="str">
        <f>IFERROR(IF(AND(COUNT(AO59,AP59,AR59,AS59)=4,(AO60+AP60+AR60+AS60)&lt;&gt;0),(AO59+AP59+AR59+AS59)/-(AO60+AP60+AR60+AS60),""),"")</f>
        <v/>
      </c>
      <c r="AT324" s="262" t="str">
        <f>IFERROR(IF(AND(COUNT(AP59,AR59,AS59,AT59)=4,(AP60+AR60+AS60+AT60)&lt;&gt;0),(AP59+AR59+AS59+AT59)/-(AP60+AR60+AS60+AT60),""),"")</f>
        <v/>
      </c>
      <c r="AU324" s="262" t="str">
        <f>IFERROR(IF(AND(COUNT(AR59,AS59,AT59,AU59)=4,(AR60+AS60+AT60+AU60)&lt;&gt;0),(AR59+AS59+AT59+AU59)/-(AR60+AS60+AT60+AU60),""),"")</f>
        <v/>
      </c>
      <c r="AV324" s="262" t="str">
        <f>IFERROR(IF(AND(COUNT(AR59,AS59,AT59,AU59)=4,(AR60+AS60+AT60+AU60)&lt;&gt;0),(AR59+AS59+AT59+AU59)/-(AR60+AS60+AT60+AU60),""),"")</f>
        <v/>
      </c>
      <c r="AW324" s="262" t="str">
        <f>IFERROR(IF(AND(COUNT(AS59,AT59,AU59,AW59)=4,(AS60+AT60+AU60+AW60)&lt;&gt;0),(AS59+AT59+AU59+AW59)/-(AS60+AT60+AU60+AW60),""),"")</f>
        <v/>
      </c>
      <c r="AX324" s="262" t="str">
        <f>IFERROR(IF(AND(COUNT(AT59,AU59,AW59,AX59)=4,(AT60+AU60+AW60+AX60)&lt;&gt;0),(AT59+AU59+AW59+AX59)/-(AT60+AU60+AW60+AX60),""),"")</f>
        <v/>
      </c>
      <c r="AY324" s="262" t="str">
        <f>IFERROR(IF(AND(COUNT(AU59,AW59,AX59,AY59)=4,(AU60+AW60+AX60+AY60)&lt;&gt;0),(AU59+AW59+AX59+AY59)/-(AU60+AW60+AX60+AY60),""),"")</f>
        <v/>
      </c>
      <c r="AZ324" s="262" t="str">
        <f>IFERROR(IF(AND(COUNT(AW59,AX59,AY59,AZ59)=4,(AW60+AX60+AY60+AZ60)&lt;&gt;0),(AW59+AX59+AY59+AZ59)/-(AW60+AX60+AY60+AZ60),""),"")</f>
        <v/>
      </c>
      <c r="BA324" s="262" t="str">
        <f>IFERROR(IF(AND(COUNT(AW59,AX59,AY59,AZ59)=4,(AW60+AX60+AY60+AZ60)&lt;&gt;0),(AW59+AX59+AY59+AZ59)/-(AW60+AX60+AY60+AZ60),""),"")</f>
        <v/>
      </c>
      <c r="BB324" s="262" t="str">
        <f>IFERROR(IF(AND(COUNT(AX59,AY59,AZ59,BB59)=4,(AX60+AY60+AZ60+BB60)&lt;&gt;0),(AX59+AY59+AZ59+BB59)/-(AX60+AY60+AZ60+BB60),""),"")</f>
        <v/>
      </c>
      <c r="BC324" s="262" t="str">
        <f>IFERROR(IF(AND(COUNT(AY59,AZ59,BB59,BC59)=4,(AY60+AZ60+BB60+BC60)&lt;&gt;0),(AY59+AZ59+BB59+BC59)/-(AY60+AZ60+BB60+BC60),""),"")</f>
        <v/>
      </c>
      <c r="BD324" s="262" t="str">
        <f>IFERROR(IF(AND(COUNT(AZ59,BB59,BC59,BD59)=4,(AZ60+BB60+BC60+BD60)&lt;&gt;0),(AZ59+BB59+BC59+BD59)/-(AZ60+BB60+BC60+BD60),""),"")</f>
        <v/>
      </c>
      <c r="BE324" s="262" t="str">
        <f>IFERROR(IF(AND(COUNT(BB59,BC59,BD59,BE59)=4,(BB60+BC60+BD60+BE60)&lt;&gt;0),(BB59+BC59+BD59+BE59)/-(BB60+BC60+BD60+BE60),""),"")</f>
        <v/>
      </c>
      <c r="BF324" s="262" t="str">
        <f>IFERROR(IF(AND(COUNT(BB59,BC59,BD59,BE59)=4,(BB60+BC60+BD60+BE60)&lt;&gt;0),(BB59+BC59+BD59+BE59)/-(BB60+BC60+BD60+BE60),""),"")</f>
        <v/>
      </c>
      <c r="BG324" s="82" t="n"/>
      <c r="BH324" s="82" t="n"/>
      <c r="BI324" s="82" t="n"/>
      <c r="BJ324" s="82" t="n"/>
      <c r="BL324" s="82" t="n"/>
      <c r="BM324" s="82" t="n"/>
      <c r="BN324" s="82" t="n"/>
      <c r="BO324" s="82" t="n"/>
      <c r="BQ324" s="82" t="n"/>
      <c r="BR324" s="82" t="n"/>
      <c r="BS324" s="82" t="n"/>
      <c r="BT324" s="82" t="n"/>
      <c r="BV324" s="82" t="n"/>
      <c r="BW324" s="82" t="n"/>
      <c r="BX324" s="82" t="n"/>
      <c r="BY324" s="82" t="n"/>
      <c r="CA324" s="82" t="n"/>
      <c r="CB324" s="82" t="n"/>
      <c r="CC324" s="82" t="n"/>
      <c r="CD324" s="82" t="n"/>
      <c r="CF324" s="82" t="n"/>
      <c r="CG324" s="82" t="n"/>
      <c r="CH324" s="82" t="n"/>
      <c r="CI324" s="82" t="n"/>
      <c r="CK324" s="82" t="n"/>
      <c r="CL324" s="82" t="n"/>
      <c r="CM324" s="82" t="n"/>
      <c r="CN324" s="82" t="n"/>
      <c r="CP324" s="82" t="n"/>
      <c r="CQ324" s="82" t="n"/>
      <c r="CR324" s="82" t="n"/>
      <c r="CS324" s="82" t="n"/>
      <c r="CU324" s="82" t="n"/>
      <c r="CV324" s="82" t="n"/>
      <c r="CW324" s="82" t="n"/>
      <c r="CX324" s="82" t="n"/>
    </row>
    <row r="325" customFormat="1" s="77">
      <c r="A325" s="76" t="n"/>
      <c r="B325" s="76" t="n"/>
    </row>
    <row r="326" customFormat="1" s="77">
      <c r="A326" s="76" t="n"/>
      <c r="B326" s="76" t="n"/>
      <c r="C326" s="74" t="inlineStr">
        <is>
          <t>INTERNAL LIQUIDITY</t>
        </is>
      </c>
    </row>
    <row r="327" customFormat="1" s="77">
      <c r="A327" s="76" t="n"/>
      <c r="B327" s="76" t="n"/>
      <c r="C327" s="77" t="inlineStr">
        <is>
          <t>CURRENT RATIO</t>
        </is>
      </c>
      <c r="D327" s="82" t="str">
        <f>IFERROR(SUM(D130,D131,D135,D139,D140,D141)/SUM(D184,D188,D190,D191),"")</f>
        <v/>
      </c>
      <c r="E327" s="82" t="str">
        <f>IFERROR(SUM(E130,E131,E135,E139,E140,E141)/SUM(E184,E188,E190,E191),"")</f>
        <v/>
      </c>
      <c r="F327" s="82" t="str">
        <f>IFERROR(SUM(F130,F131,F135,F139,F140,F141)/SUM(F184,F188,F190,F191),"")</f>
        <v/>
      </c>
      <c r="G327" s="82" t="str">
        <f>IFERROR(SUM(G130,G131,G135,G139,G140,G141)/SUM(G184,G188,G190,G191),"")</f>
        <v/>
      </c>
      <c r="H327" s="262" t="str">
        <f>IFERROR(IF((N(H184)+N(H188)+N(H190)+N(H191)+N(H198)+N(H199)+N(H200))&lt;&gt;0,(N(H130)+(N(H131)+N(H135)+N(H139)+N(H140)+N(H141)))/(N(H184)+N(H188)+N(H190)+N(H191)+N(H198)+N(H199)+N(H200)),""),"")</f>
        <v/>
      </c>
      <c r="I327" s="262">
        <f>IFERROR(IF((N(I184)+N(I188)+N(I190)+N(I191)+N(I198)+N(I199)+N(I200))&lt;&gt;0,(N(I130)+(N(I131)+N(I135)+N(I139)+N(I140)+N(I141)))/(N(I184)+N(I188)+N(I190)+N(I191)+N(I198)+N(I199)+N(I200)),""),"")</f>
        <v>0.801246882793018</v>
      </c>
      <c r="J327" s="262">
        <f>IFERROR(IF((N(J184)+N(J188)+N(J190)+N(J191)+N(J198)+N(J199)+N(J200))&lt;&gt;0,(N(J130)+(N(J131)+N(J135)+N(J139)+N(J140)+N(J141)))/(N(J184)+N(J188)+N(J190)+N(J191)+N(J198)+N(J199)+N(J200)),""),"")</f>
        <v>0.849031138532729</v>
      </c>
      <c r="K327" s="262">
        <f>IFERROR(IF((N(K184)+N(K188)+N(K190)+N(K191)+N(K198)+N(K199)+N(K200))&lt;&gt;0,(N(K130)+(N(K131)+N(K135)+N(K139)+N(K140)+N(K141)))/(N(K184)+N(K188)+N(K190)+N(K191)+N(K198)+N(K199)+N(K200)),""),"")</f>
        <v>0.898134376616658</v>
      </c>
      <c r="L327" s="262">
        <f>IFERROR(IF((N(L184)+N(L188)+N(L190)+N(L191)+N(L198)+N(L199)+N(L200))&lt;&gt;0,(N(L130)+(N(L131)+N(L135)+N(L139)+N(L140)+N(L141)))/(N(L184)+N(L188)+N(L190)+N(L191)+N(L198)+N(L199)+N(L200)),""),"")</f>
        <v>1.04433027911657</v>
      </c>
      <c r="M327" s="262">
        <f>IFERROR(IF((N(M184)+N(M188)+N(M190)+N(M191)+N(M198)+N(M199)+N(M200))&lt;&gt;0,(N(M130)+(N(M131)+N(M135)+N(M139)+N(M140)+N(M141)))/(N(M184)+N(M188)+N(M190)+N(M191)+N(M198)+N(M199)+N(M200)),""),"")</f>
        <v>1.04433027911657</v>
      </c>
      <c r="N327" s="262">
        <f>IFERROR(IF((N(N184)+N(N188)+N(N190)+N(N191)+N(N198)+N(N199)+N(N200))&lt;&gt;0,(N(N130)+(N(N131)+N(N135)+N(N139)+N(N140)+N(N141)))/(N(N184)+N(N188)+N(N190)+N(N191)+N(N198)+N(N199)+N(N200)),""),"")</f>
        <v>1.07210757851205</v>
      </c>
      <c r="O327" s="262">
        <f>IFERROR(IF((N(O184)+N(O188)+N(O190)+N(O191)+N(O198)+N(O199)+N(O200))&lt;&gt;0,(N(O130)+(N(O131)+N(O135)+N(O139)+N(O140)+N(O141)))/(N(O184)+N(O188)+N(O190)+N(O191)+N(O198)+N(O199)+N(O200)),""),"")</f>
        <v>1.16293845961803</v>
      </c>
      <c r="P327" s="262">
        <f>IFERROR(IF((N(P184)+N(P188)+N(P190)+N(P191)+N(P198)+N(P199)+N(P200))&lt;&gt;0,(N(P130)+(N(P131)+N(P135)+N(P139)+N(P140)+N(P141)))/(N(P184)+N(P188)+N(P190)+N(P191)+N(P198)+N(P199)+N(P200)),""),"")</f>
        <v>1.34071053377804</v>
      </c>
      <c r="Q327" s="262">
        <f>IFERROR(IF((N(Q184)+N(Q188)+N(Q190)+N(Q191)+N(Q198)+N(Q199)+N(Q200))&lt;&gt;0,(N(Q130)+(N(Q131)+N(Q135)+N(Q139)+N(Q140)+N(Q141)))/(N(Q184)+N(Q188)+N(Q190)+N(Q191)+N(Q198)+N(Q199)+N(Q200)),""),"")</f>
        <v>1.41401984213194</v>
      </c>
      <c r="R327" s="262">
        <f>IFERROR(IF((N(R184)+N(R188)+N(R190)+N(R191)+N(R198)+N(R199)+N(R200))&lt;&gt;0,(N(R130)+(N(R131)+N(R135)+N(R139)+N(R140)+N(R141)))/(N(R184)+N(R188)+N(R190)+N(R191)+N(R198)+N(R199)+N(R200)),""),"")</f>
        <v>1.41401984213194</v>
      </c>
      <c r="S327" s="262">
        <f>IFERROR(IF((N(S184)+N(S188)+N(S190)+N(S191)+N(S198)+N(S199)+N(S200))&lt;&gt;0,(N(S130)+(N(S131)+N(S135)+N(S139)+N(S140)+N(S141)))/(N(S184)+N(S188)+N(S190)+N(S191)+N(S198)+N(S199)+N(S200)),""),"")</f>
        <v>1.45837458374584</v>
      </c>
      <c r="T327" s="262">
        <f>IFERROR(IF((N(T184)+N(T188)+N(T190)+N(T191)+N(T198)+N(T199)+N(T200))&lt;&gt;0,(N(T130)+(N(T131)+N(T135)+N(T139)+N(T140)+N(T141)))/(N(T184)+N(T188)+N(T190)+N(T191)+N(T198)+N(T199)+N(T200)),""),"")</f>
        <v>1.48442934562808</v>
      </c>
      <c r="U327" s="262">
        <f>IFERROR(IF((N(U184)+N(U188)+N(U190)+N(U191)+N(U198)+N(U199)+N(U200))&lt;&gt;0,(N(U130)+(N(U131)+N(U135)+N(U139)+N(U140)+N(U141)))/(N(U184)+N(U188)+N(U190)+N(U191)+N(U198)+N(U199)+N(U200)),""),"")</f>
        <v>1.42081308122384</v>
      </c>
      <c r="V327" s="262">
        <f>IFERROR(IF((N(V184)+N(V188)+N(V190)+N(V191)+N(V198)+N(V199)+N(V200))&lt;&gt;0,(N(V130)+(N(V131)+N(V135)+N(V139)+N(V140)+N(V141)))/(N(V184)+N(V188)+N(V190)+N(V191)+N(V198)+N(V199)+N(V200)),""),"")</f>
        <v>1.47910159838324</v>
      </c>
      <c r="W327" s="262">
        <f>IFERROR(IF((N(W184)+N(W188)+N(W190)+N(W191)+N(W198)+N(W199)+N(W200))&lt;&gt;0,(N(W130)+(N(W131)+N(W135)+N(W139)+N(W140)+N(W141)))/(N(W184)+N(W188)+N(W190)+N(W191)+N(W198)+N(W199)+N(W200)),""),"")</f>
        <v>1.47910159838324</v>
      </c>
      <c r="X327" s="262">
        <f>IFERROR(IF((N(X184)+N(X188)+N(X190)+N(X191)+N(X198)+N(X199)+N(X200))&lt;&gt;0,(N(X130)+(N(X131)+N(X135)+N(X139)+N(X140)+N(X141)))/(N(X184)+N(X188)+N(X190)+N(X191)+N(X198)+N(X199)+N(X200)),""),"")</f>
        <v>1.38175220033092</v>
      </c>
      <c r="Y327" s="262">
        <f>IFERROR(IF((N(Y184)+N(Y188)+N(Y190)+N(Y191)+N(Y198)+N(Y199)+N(Y200))&lt;&gt;0,(N(Y130)+(N(Y131)+N(Y135)+N(Y139)+N(Y140)+N(Y141)))/(N(Y184)+N(Y188)+N(Y190)+N(Y191)+N(Y198)+N(Y199)+N(Y200)),""),"")</f>
        <v>1.36000452213728</v>
      </c>
      <c r="Z327" s="262">
        <f>IFERROR(IF((N(Z184)+N(Z188)+N(Z190)+N(Z191)+N(Z198)+N(Z199)+N(Z200))&lt;&gt;0,(N(Z130)+(N(Z131)+N(Z135)+N(Z139)+N(Z140)+N(Z141)))/(N(Z184)+N(Z188)+N(Z190)+N(Z191)+N(Z198)+N(Z199)+N(Z200)),""),"")</f>
        <v>1.34797765490835</v>
      </c>
      <c r="AA327" s="262">
        <f>IFERROR(IF((N(AA184)+N(AA188)+N(AA190)+N(AA191)+N(AA198)+N(AA199)+N(AA200))&lt;&gt;0,(N(AA130)+(N(AA131)+N(AA135)+N(AA139)+N(AA140)+N(AA141)))/(N(AA184)+N(AA188)+N(AA190)+N(AA191)+N(AA198)+N(AA199)+N(AA200)),""),"")</f>
        <v>1.30840456853514</v>
      </c>
      <c r="AB327" s="262">
        <f>IFERROR(IF((N(AB184)+N(AB188)+N(AB190)+N(AB191)+N(AB198)+N(AB199)+N(AB200))&lt;&gt;0,(N(AB130)+(N(AB131)+N(AB135)+N(AB139)+N(AB140)+N(AB141)))/(N(AB184)+N(AB188)+N(AB190)+N(AB191)+N(AB198)+N(AB199)+N(AB200)),""),"")</f>
        <v>1.30840456853514</v>
      </c>
      <c r="AC327" s="262">
        <f>IFERROR(IF((N(AC184)+N(AC188)+N(AC190)+N(AC191)+N(AC198)+N(AC199)+N(AC200))&lt;&gt;0,(N(AC130)+(N(AC131)+N(AC135)+N(AC139)+N(AC140)+N(AC141)))/(N(AC184)+N(AC188)+N(AC190)+N(AC191)+N(AC198)+N(AC199)+N(AC200)),""),"")</f>
        <v>1.23573392569316</v>
      </c>
      <c r="AD327" s="262">
        <f>IFERROR(IF((N(AD184)+N(AD188)+N(AD190)+N(AD191)+N(AD198)+N(AD199)+N(AD200))&lt;&gt;0,(N(AD130)+(N(AD131)+N(AD135)+N(AD139)+N(AD140)+N(AD141)))/(N(AD184)+N(AD188)+N(AD190)+N(AD191)+N(AD198)+N(AD199)+N(AD200)),""),"")</f>
        <v>1.24863191561157</v>
      </c>
      <c r="AE327" s="262">
        <f>IFERROR(IF((N(AE184)+N(AE188)+N(AE190)+N(AE191)+N(AE198)+N(AE199)+N(AE200))&lt;&gt;0,(N(AE130)+(N(AE131)+N(AE135)+N(AE139)+N(AE140)+N(AE141)))/(N(AE184)+N(AE188)+N(AE190)+N(AE191)+N(AE198)+N(AE199)+N(AE200)),""),"")</f>
        <v>1.13686576750161</v>
      </c>
      <c r="AF327" s="262">
        <f>IFERROR(IF((N(AF184)+N(AF188)+N(AF190)+N(AF191)+N(AF198)+N(AF199)+N(AF200))&lt;&gt;0,(N(AF130)+(N(AF131)+N(AF135)+N(AF139)+N(AF140)+N(AF141)))/(N(AF184)+N(AF188)+N(AF190)+N(AF191)+N(AF198)+N(AF199)+N(AF200)),""),"")</f>
        <v>1.15279966818747</v>
      </c>
      <c r="AG327" s="262">
        <f>IFERROR(IF((N(AG184)+N(AG188)+N(AG190)+N(AG191)+N(AG198)+N(AG199)+N(AG200))&lt;&gt;0,(N(AG130)+(N(AG131)+N(AG135)+N(AG139)+N(AG140)+N(AG141)))/(N(AG184)+N(AG188)+N(AG190)+N(AG191)+N(AG198)+N(AG199)+N(AG200)),""),"")</f>
        <v>1.15279966818747</v>
      </c>
      <c r="AH327" s="262">
        <f>IFERROR(IF((N(AH184)+N(AH188)+N(AH190)+N(AH191)+N(AH198)+N(AH199)+N(AH200))&lt;&gt;0,(N(AH130)+(N(AH131)+N(AH135)+N(AH139)+N(AH140)+N(AH141)))/(N(AH184)+N(AH188)+N(AH190)+N(AH191)+N(AH198)+N(AH199)+N(AH200)),""),"")</f>
        <v>1.03612070609676</v>
      </c>
      <c r="AI327" s="262">
        <f>IFERROR(IF((N(AI184)+N(AI188)+N(AI190)+N(AI191)+N(AI198)+N(AI199)+N(AI200))&lt;&gt;0,(N(AI130)+(N(AI131)+N(AI135)+N(AI139)+N(AI140)+N(AI141)))/(N(AI184)+N(AI188)+N(AI190)+N(AI191)+N(AI198)+N(AI199)+N(AI200)),""),"")</f>
        <v>1.13467297084318</v>
      </c>
      <c r="AJ327" s="262">
        <f>IFERROR(IF((N(AJ184)+N(AJ188)+N(AJ190)+N(AJ191)+N(AJ198)+N(AJ199)+N(AJ200))&lt;&gt;0,(N(AJ130)+(N(AJ131)+N(AJ135)+N(AJ139)+N(AJ140)+N(AJ141)))/(N(AJ184)+N(AJ188)+N(AJ190)+N(AJ191)+N(AJ198)+N(AJ199)+N(AJ200)),""),"")</f>
        <v>1.24286757470971</v>
      </c>
      <c r="AK327" s="262">
        <f>IFERROR(IF((N(AK184)+N(AK188)+N(AK190)+N(AK191)+N(AK198)+N(AK199)+N(AK200))&lt;&gt;0,(N(AK130)+(N(AK131)+N(AK135)+N(AK139)+N(AK140)+N(AK141)))/(N(AK184)+N(AK188)+N(AK190)+N(AK191)+N(AK198)+N(AK199)+N(AK200)),""),"")</f>
        <v>1.34438564395337</v>
      </c>
      <c r="AL327" s="262">
        <f>IFERROR(IF((N(AL184)+N(AL188)+N(AL190)+N(AL191)+N(AL198)+N(AL199)+N(AL200))&lt;&gt;0,(N(AL130)+(N(AL131)+N(AL135)+N(AL139)+N(AL140)+N(AL141)))/(N(AL184)+N(AL188)+N(AL190)+N(AL191)+N(AL198)+N(AL199)+N(AL200)),""),"")</f>
        <v>1.34438564395337</v>
      </c>
      <c r="AM327" s="262">
        <f>IFERROR(IF((N(AM184)+N(AM188)+N(AM190)+N(AM191)+N(AM198)+N(AM199)+N(AM200))&lt;&gt;0,(N(AM130)+(N(AM131)+N(AM135)+N(AM139)+N(AM140)+N(AM141)))/(N(AM184)+N(AM188)+N(AM190)+N(AM191)+N(AM198)+N(AM199)+N(AM200)),""),"")</f>
        <v>1.42182022287534</v>
      </c>
      <c r="AN327" s="262">
        <f>IFERROR(IF((N(AN184)+N(AN188)+N(AN190)+N(AN191)+N(AN198)+N(AN199)+N(AN200))&lt;&gt;0,(N(AN130)+(N(AN131)+N(AN135)+N(AN139)+N(AN140)+N(AN141)))/(N(AN184)+N(AN188)+N(AN190)+N(AN191)+N(AN198)+N(AN199)+N(AN200)),""),"")</f>
        <v>1.42657646342752</v>
      </c>
      <c r="AO327" s="262">
        <f>IFERROR(IF((N(AO184)+N(AO188)+N(AO190)+N(AO191)+N(AO198)+N(AO199)+N(AO200))&lt;&gt;0,(N(AO130)+(N(AO131)+N(AO135)+N(AO139)+N(AO140)+N(AO141)))/(N(AO184)+N(AO188)+N(AO190)+N(AO191)+N(AO198)+N(AO199)+N(AO200)),""),"")</f>
        <v>1.63241333546279</v>
      </c>
      <c r="AP327" s="262">
        <f>IFERROR(IF((N(AP184)+N(AP188)+N(AP190)+N(AP191)+N(AP198)+N(AP199)+N(AP200))&lt;&gt;0,(N(AP130)+(N(AP131)+N(AP135)+N(AP139)+N(AP140)+N(AP141)))/(N(AP184)+N(AP188)+N(AP190)+N(AP191)+N(AP198)+N(AP199)+N(AP200)),""),"")</f>
        <v>1.74403010781342</v>
      </c>
      <c r="AQ327" s="262">
        <f>IFERROR(IF((N(AQ184)+N(AQ188)+N(AQ190)+N(AQ191)+N(AQ198)+N(AQ199)+N(AQ200))&lt;&gt;0,(N(AQ130)+(N(AQ131)+N(AQ135)+N(AQ139)+N(AQ140)+N(AQ141)))/(N(AQ184)+N(AQ188)+N(AQ190)+N(AQ191)+N(AQ198)+N(AQ199)+N(AQ200)),""),"")</f>
        <v>1.74403010781342</v>
      </c>
      <c r="AR327" s="262">
        <f>IFERROR(IF((N(AR184)+N(AR188)+N(AR190)+N(AR191)+N(AR198)+N(AR199)+N(AR200))&lt;&gt;0,(N(AR130)+(N(AR131)+N(AR135)+N(AR139)+N(AR140)+N(AR141)))/(N(AR184)+N(AR188)+N(AR190)+N(AR191)+N(AR198)+N(AR199)+N(AR200)),""),"")</f>
        <v>1.81259814118946</v>
      </c>
      <c r="AS327" s="262">
        <f>IFERROR(IF((N(AS184)+N(AS188)+N(AS190)+N(AS191)+N(AS198)+N(AS199)+N(AS200))&lt;&gt;0,(N(AS130)+(N(AS131)+N(AS135)+N(AS139)+N(AS140)+N(AS141)))/(N(AS184)+N(AS188)+N(AS190)+N(AS191)+N(AS198)+N(AS199)+N(AS200)),""),"")</f>
        <v>1.72455211817314</v>
      </c>
      <c r="AT327" s="262">
        <f>IFERROR(IF((N(AT184)+N(AT188)+N(AT190)+N(AT191)+N(AT198)+N(AT199)+N(AT200))&lt;&gt;0,(N(AT130)+(N(AT131)+N(AT135)+N(AT139)+N(AT140)+N(AT141)))/(N(AT184)+N(AT188)+N(AT190)+N(AT191)+N(AT198)+N(AT199)+N(AT200)),""),"")</f>
        <v>2.00652411052793</v>
      </c>
      <c r="AU327" s="262">
        <f>IFERROR(IF((N(AU184)+N(AU188)+N(AU190)+N(AU191)+N(AU198)+N(AU199)+N(AU200))&lt;&gt;0,(N(AU130)+(N(AU131)+N(AU135)+N(AU139)+N(AU140)+N(AU141)))/(N(AU184)+N(AU188)+N(AU190)+N(AU191)+N(AU198)+N(AU199)+N(AU200)),""),"")</f>
        <v>2.12778043021439</v>
      </c>
      <c r="AV327" s="262">
        <f>IFERROR(IF((N(AV184)+N(AV188)+N(AV190)+N(AV191)+N(AV198)+N(AV199)+N(AV200))&lt;&gt;0,(N(AV130)+(N(AV131)+N(AV135)+N(AV139)+N(AV140)+N(AV141)))/(N(AV184)+N(AV188)+N(AV190)+N(AV191)+N(AV198)+N(AV199)+N(AV200)),""),"")</f>
        <v>2.12778043021439</v>
      </c>
      <c r="AW327" s="262">
        <f>IFERROR(IF((N(AW184)+N(AW188)+N(AW190)+N(AW191)+N(AW198)+N(AW199)+N(AW200))&lt;&gt;0,(N(AW130)+(N(AW131)+N(AW135)+N(AW139)+N(AW140)+N(AW141)))/(N(AW184)+N(AW188)+N(AW190)+N(AW191)+N(AW198)+N(AW199)+N(AW200)),""),"")</f>
        <v>2.17664731990173</v>
      </c>
      <c r="AX327" s="262">
        <f>IFERROR(IF((N(AX184)+N(AX188)+N(AX190)+N(AX191)+N(AX198)+N(AX199)+N(AX200))&lt;&gt;0,(N(AX130)+(N(AX131)+N(AX135)+N(AX139)+N(AX140)+N(AX141)))/(N(AX184)+N(AX188)+N(AX190)+N(AX191)+N(AX198)+N(AX199)+N(AX200)),""),"")</f>
        <v>2.01367730734273</v>
      </c>
      <c r="AY327" s="262">
        <f>IFERROR(IF((N(AY184)+N(AY188)+N(AY190)+N(AY191)+N(AY198)+N(AY199)+N(AY200))&lt;&gt;0,(N(AY130)+(N(AY131)+N(AY135)+N(AY139)+N(AY140)+N(AY141)))/(N(AY184)+N(AY188)+N(AY190)+N(AY191)+N(AY198)+N(AY199)+N(AY200)),""),"")</f>
        <v>2.36892582807829</v>
      </c>
      <c r="AZ327" s="262">
        <f>IFERROR(IF((N(AZ184)+N(AZ188)+N(AZ190)+N(AZ191)+N(AZ198)+N(AZ199)+N(AZ200))&lt;&gt;0,(N(AZ130)+(N(AZ131)+N(AZ135)+N(AZ139)+N(AZ140)+N(AZ141)))/(N(AZ184)+N(AZ188)+N(AZ190)+N(AZ191)+N(AZ198)+N(AZ199)+N(AZ200)),""),"")</f>
        <v>2.49951532599578</v>
      </c>
      <c r="BA327" s="262">
        <f>IFERROR(IF((N(BA184)+N(BA188)+N(BA190)+N(BA191)+N(BA198)+N(BA199)+N(BA200))&lt;&gt;0,(N(BA130)+(N(BA131)+N(BA135)+N(BA139)+N(BA140)+N(BA141)))/(N(BA184)+N(BA188)+N(BA190)+N(BA191)+N(BA198)+N(BA199)+N(BA200)),""),"")</f>
        <v>2.49951532599578</v>
      </c>
      <c r="BB327" s="262">
        <f>IFERROR(IF((N(BB184)+N(BB188)+N(BB190)+N(BB191)+N(BB198)+N(BB199)+N(BB200))&lt;&gt;0,(N(BB130)+(N(BB131)+N(BB135)+N(BB139)+N(BB140)+N(BB141)))/(N(BB184)+N(BB188)+N(BB190)+N(BB191)+N(BB198)+N(BB199)+N(BB200)),""),"")</f>
        <v>2.53957281339569</v>
      </c>
      <c r="BC327" s="262">
        <f>IFERROR(IF((N(BC184)+N(BC188)+N(BC190)+N(BC191)+N(BC198)+N(BC199)+N(BC200))&lt;&gt;0,(N(BC130)+(N(BC131)+N(BC135)+N(BC139)+N(BC140)+N(BC141)))/(N(BC184)+N(BC188)+N(BC190)+N(BC191)+N(BC198)+N(BC199)+N(BC200)),""),"")</f>
        <v>2.29693227317451</v>
      </c>
      <c r="BD327" s="262">
        <f>IFERROR(IF((N(BD184)+N(BD188)+N(BD190)+N(BD191)+N(BD198)+N(BD199)+N(BD200))&lt;&gt;0,(N(BD130)+(N(BD131)+N(BD135)+N(BD139)+N(BD140)+N(BD141)))/(N(BD184)+N(BD188)+N(BD190)+N(BD191)+N(BD198)+N(BD199)+N(BD200)),""),"")</f>
        <v>2.72347841149292</v>
      </c>
      <c r="BE327" s="262">
        <f>IFERROR(IF((N(BE184)+N(BE188)+N(BE190)+N(BE191)+N(BE198)+N(BE199)+N(BE200))&lt;&gt;0,(N(BE130)+(N(BE131)+N(BE135)+N(BE139)+N(BE140)+N(BE141)))/(N(BE184)+N(BE188)+N(BE190)+N(BE191)+N(BE198)+N(BE199)+N(BE200)),""),"")</f>
        <v>2.8633261275189</v>
      </c>
      <c r="BF327" s="262">
        <f>IFERROR(IF((N(BF184)+N(BF188)+N(BF190)+N(BF191)+N(BF198)+N(BF199)+N(BF200))&lt;&gt;0,(N(BF130)+(N(BF131)+N(BF135)+N(BF139)+N(BF140)+N(BF141)))/(N(BF184)+N(BF188)+N(BF190)+N(BF191)+N(BF198)+N(BF199)+N(BF200)),""),"")</f>
        <v>2.8633261275189</v>
      </c>
      <c r="BG327" s="82" t="n"/>
      <c r="BH327" s="82" t="n"/>
      <c r="BI327" s="82" t="n"/>
      <c r="BJ327" s="82" t="n"/>
      <c r="BL327" s="82" t="n"/>
      <c r="BM327" s="82" t="n"/>
      <c r="BN327" s="82" t="n"/>
      <c r="BO327" s="82" t="n"/>
      <c r="BQ327" s="82" t="n"/>
      <c r="BR327" s="82" t="n"/>
      <c r="BS327" s="82" t="n"/>
      <c r="BT327" s="82" t="n"/>
      <c r="BV327" s="82" t="n"/>
      <c r="BW327" s="82" t="n"/>
      <c r="BX327" s="82" t="n"/>
      <c r="BY327" s="82" t="n"/>
      <c r="CA327" s="82" t="n"/>
      <c r="CB327" s="82" t="n"/>
      <c r="CC327" s="82" t="n"/>
      <c r="CD327" s="82" t="n"/>
      <c r="CF327" s="82" t="n"/>
      <c r="CG327" s="82" t="n"/>
      <c r="CH327" s="82" t="n"/>
      <c r="CI327" s="82" t="n"/>
      <c r="CK327" s="82" t="n"/>
      <c r="CL327" s="82" t="n"/>
      <c r="CM327" s="82" t="n"/>
      <c r="CN327" s="82" t="n"/>
      <c r="CP327" s="82" t="n"/>
      <c r="CQ327" s="82" t="n"/>
      <c r="CR327" s="82" t="n"/>
      <c r="CS327" s="82" t="n"/>
      <c r="CU327" s="82" t="n"/>
      <c r="CV327" s="82" t="n"/>
      <c r="CW327" s="82" t="n"/>
      <c r="CX327" s="82" t="n"/>
    </row>
    <row r="328" customFormat="1" s="77">
      <c r="A328" s="76" t="n"/>
      <c r="B328" s="76" t="n"/>
      <c r="C328" s="77" t="inlineStr">
        <is>
          <t>CASH RATIO</t>
        </is>
      </c>
      <c r="D328" s="82" t="str">
        <f>IFERROR(SUM(D130)/SUM(D184,D188,D190,D191),"")</f>
        <v/>
      </c>
      <c r="E328" s="82" t="str">
        <f>IFERROR(SUM(E130)/SUM(E184,E188,E190,E191),"")</f>
        <v/>
      </c>
      <c r="F328" s="82" t="str">
        <f>IFERROR(SUM(F130)/SUM(F184,F188,F190,F191),"")</f>
        <v/>
      </c>
      <c r="G328" s="82" t="str">
        <f>IFERROR(SUM(G130)/SUM(G184,G188,G190,G191),"")</f>
        <v/>
      </c>
      <c r="H328" s="262" t="str">
        <f>IFERROR(IF((N(H184)+N(H188)+N(H190)+N(H191)+N(H198)+N(H199)+N(H200))&lt;&gt;0,N(H130)/(N(H184)+N(H188)+N(H190)+N(H191)+N(H198)+N(H199)+N(H200)),""),"")</f>
        <v/>
      </c>
      <c r="I328" s="262">
        <f>IFERROR(IF((N(I184)+N(I188)+N(I190)+N(I191)+N(I198)+N(I199)+N(I200))&lt;&gt;0,N(I130)/(N(I184)+N(I188)+N(I190)+N(I191)+N(I198)+N(I199)+N(I200)),""),"")</f>
        <v>0.0584372402327515</v>
      </c>
      <c r="J328" s="262">
        <f>IFERROR(IF((N(J184)+N(J188)+N(J190)+N(J191)+N(J198)+N(J199)+N(J200))&lt;&gt;0,N(J130)/(N(J184)+N(J188)+N(J190)+N(J191)+N(J198)+N(J199)+N(J200)),""),"")</f>
        <v>0.0556733828207847</v>
      </c>
      <c r="K328" s="262">
        <f>IFERROR(IF((N(K184)+N(K188)+N(K190)+N(K191)+N(K198)+N(K199)+N(K200))&lt;&gt;0,N(K130)/(N(K184)+N(K188)+N(K190)+N(K191)+N(K198)+N(K199)+N(K200)),""),"")</f>
        <v>0.0770822555613037</v>
      </c>
      <c r="L328" s="262">
        <f>IFERROR(IF((N(L184)+N(L188)+N(L190)+N(L191)+N(L198)+N(L199)+N(L200))&lt;&gt;0,N(L130)/(N(L184)+N(L188)+N(L190)+N(L191)+N(L198)+N(L199)+N(L200)),""),"")</f>
        <v>0.120085447451583</v>
      </c>
      <c r="M328" s="262">
        <f>IFERROR(IF((N(M184)+N(M188)+N(M190)+N(M191)+N(M198)+N(M199)+N(M200))&lt;&gt;0,N(M130)/(N(M184)+N(M188)+N(M190)+N(M191)+N(M198)+N(M199)+N(M200)),""),"")</f>
        <v>0.120085447451583</v>
      </c>
      <c r="N328" s="262">
        <f>IFERROR(IF((N(N184)+N(N188)+N(N190)+N(N191)+N(N198)+N(N199)+N(N200))&lt;&gt;0,N(N130)/(N(N184)+N(N188)+N(N190)+N(N191)+N(N198)+N(N199)+N(N200)),""),"")</f>
        <v>0.153679623641738</v>
      </c>
      <c r="O328" s="262">
        <f>IFERROR(IF((N(O184)+N(O188)+N(O190)+N(O191)+N(O198)+N(O199)+N(O200))&lt;&gt;0,N(O130)/(N(O184)+N(O188)+N(O190)+N(O191)+N(O198)+N(O199)+N(O200)),""),"")</f>
        <v>0.235438771688928</v>
      </c>
      <c r="P328" s="262">
        <f>IFERROR(IF((N(P184)+N(P188)+N(P190)+N(P191)+N(P198)+N(P199)+N(P200))&lt;&gt;0,N(P130)/(N(P184)+N(P188)+N(P190)+N(P191)+N(P198)+N(P199)+N(P200)),""),"")</f>
        <v>0.410589140796954</v>
      </c>
      <c r="Q328" s="262">
        <f>IFERROR(IF((N(Q184)+N(Q188)+N(Q190)+N(Q191)+N(Q198)+N(Q199)+N(Q200))&lt;&gt;0,N(Q130)/(N(Q184)+N(Q188)+N(Q190)+N(Q191)+N(Q198)+N(Q199)+N(Q200)),""),"")</f>
        <v>0.429285248750815</v>
      </c>
      <c r="R328" s="262">
        <f>IFERROR(IF((N(R184)+N(R188)+N(R190)+N(R191)+N(R198)+N(R199)+N(R200))&lt;&gt;0,N(R130)/(N(R184)+N(R188)+N(R190)+N(R191)+N(R198)+N(R199)+N(R200)),""),"")</f>
        <v>0.429285248750815</v>
      </c>
      <c r="S328" s="262">
        <f>IFERROR(IF((N(S184)+N(S188)+N(S190)+N(S191)+N(S198)+N(S199)+N(S200))&lt;&gt;0,N(S130)/(N(S184)+N(S188)+N(S190)+N(S191)+N(S198)+N(S199)+N(S200)),""),"")</f>
        <v>0.489769897698977</v>
      </c>
      <c r="T328" s="262">
        <f>IFERROR(IF((N(T184)+N(T188)+N(T190)+N(T191)+N(T198)+N(T199)+N(T200))&lt;&gt;0,N(T130)/(N(T184)+N(T188)+N(T190)+N(T191)+N(T198)+N(T199)+N(T200)),""),"")</f>
        <v>0.477683410175524</v>
      </c>
      <c r="U328" s="262">
        <f>IFERROR(IF((N(U184)+N(U188)+N(U190)+N(U191)+N(U198)+N(U199)+N(U200))&lt;&gt;0,N(U130)/(N(U184)+N(U188)+N(U190)+N(U191)+N(U198)+N(U199)+N(U200)),""),"")</f>
        <v>0.462787626780547</v>
      </c>
      <c r="V328" s="262">
        <f>IFERROR(IF((N(V184)+N(V188)+N(V190)+N(V191)+N(V198)+N(V199)+N(V200))&lt;&gt;0,N(V130)/(N(V184)+N(V188)+N(V190)+N(V191)+N(V198)+N(V199)+N(V200)),""),"")</f>
        <v>0.482867903729561</v>
      </c>
      <c r="W328" s="262">
        <f>IFERROR(IF((N(W184)+N(W188)+N(W190)+N(W191)+N(W198)+N(W199)+N(W200))&lt;&gt;0,N(W130)/(N(W184)+N(W188)+N(W190)+N(W191)+N(W198)+N(W199)+N(W200)),""),"")</f>
        <v>0.482867903729561</v>
      </c>
      <c r="X328" s="262">
        <f>IFERROR(IF((N(X184)+N(X188)+N(X190)+N(X191)+N(X198)+N(X199)+N(X200))&lt;&gt;0,N(X130)/(N(X184)+N(X188)+N(X190)+N(X191)+N(X198)+N(X199)+N(X200)),""),"")</f>
        <v>0.463286105588076</v>
      </c>
      <c r="Y328" s="262">
        <f>IFERROR(IF((N(Y184)+N(Y188)+N(Y190)+N(Y191)+N(Y198)+N(Y199)+N(Y200))&lt;&gt;0,N(Y130)/(N(Y184)+N(Y188)+N(Y190)+N(Y191)+N(Y198)+N(Y199)+N(Y200)),""),"")</f>
        <v>0.373924225937284</v>
      </c>
      <c r="Z328" s="262">
        <f>IFERROR(IF((N(Z184)+N(Z188)+N(Z190)+N(Z191)+N(Z198)+N(Z199)+N(Z200))&lt;&gt;0,N(Z130)/(N(Z184)+N(Z188)+N(Z190)+N(Z191)+N(Z198)+N(Z199)+N(Z200)),""),"")</f>
        <v>0.384695612418385</v>
      </c>
      <c r="AA328" s="262">
        <f>IFERROR(IF((N(AA184)+N(AA188)+N(AA190)+N(AA191)+N(AA198)+N(AA199)+N(AA200))&lt;&gt;0,N(AA130)/(N(AA184)+N(AA188)+N(AA190)+N(AA191)+N(AA198)+N(AA199)+N(AA200)),""),"")</f>
        <v>0.327549177180082</v>
      </c>
      <c r="AB328" s="262">
        <f>IFERROR(IF((N(AB184)+N(AB188)+N(AB190)+N(AB191)+N(AB198)+N(AB199)+N(AB200))&lt;&gt;0,N(AB130)/(N(AB184)+N(AB188)+N(AB190)+N(AB191)+N(AB198)+N(AB199)+N(AB200)),""),"")</f>
        <v>0.327549177180082</v>
      </c>
      <c r="AC328" s="262">
        <f>IFERROR(IF((N(AC184)+N(AC188)+N(AC190)+N(AC191)+N(AC198)+N(AC199)+N(AC200))&lt;&gt;0,N(AC130)/(N(AC184)+N(AC188)+N(AC190)+N(AC191)+N(AC198)+N(AC199)+N(AC200)),""),"")</f>
        <v>0.230749434504057</v>
      </c>
      <c r="AD328" s="262">
        <f>IFERROR(IF((N(AD184)+N(AD188)+N(AD190)+N(AD191)+N(AD198)+N(AD199)+N(AD200))&lt;&gt;0,N(AD130)/(N(AD184)+N(AD188)+N(AD190)+N(AD191)+N(AD198)+N(AD199)+N(AD200)),""),"")</f>
        <v>0.210560291075542</v>
      </c>
      <c r="AE328" s="262">
        <f>IFERROR(IF((N(AE184)+N(AE188)+N(AE190)+N(AE191)+N(AE198)+N(AE199)+N(AE200))&lt;&gt;0,N(AE130)/(N(AE184)+N(AE188)+N(AE190)+N(AE191)+N(AE198)+N(AE199)+N(AE200)),""),"")</f>
        <v>0.177443802183687</v>
      </c>
      <c r="AF328" s="262">
        <f>IFERROR(IF((N(AF184)+N(AF188)+N(AF190)+N(AF191)+N(AF198)+N(AF199)+N(AF200))&lt;&gt;0,N(AF130)/(N(AF184)+N(AF188)+N(AF190)+N(AF191)+N(AF198)+N(AF199)+N(AF200)),""),"")</f>
        <v>0.147670399557583</v>
      </c>
      <c r="AG328" s="262">
        <f>IFERROR(IF((N(AG184)+N(AG188)+N(AG190)+N(AG191)+N(AG198)+N(AG199)+N(AG200))&lt;&gt;0,N(AG130)/(N(AG184)+N(AG188)+N(AG190)+N(AG191)+N(AG198)+N(AG199)+N(AG200)),""),"")</f>
        <v>0.147670399557583</v>
      </c>
      <c r="AH328" s="262">
        <f>IFERROR(IF((N(AH184)+N(AH188)+N(AH190)+N(AH191)+N(AH198)+N(AH199)+N(AH200))&lt;&gt;0,N(AH130)/(N(AH184)+N(AH188)+N(AH190)+N(AH191)+N(AH198)+N(AH199)+N(AH200)),""),"")</f>
        <v>0.0893746423954735</v>
      </c>
      <c r="AI328" s="262">
        <f>IFERROR(IF((N(AI184)+N(AI188)+N(AI190)+N(AI191)+N(AI198)+N(AI199)+N(AI200))&lt;&gt;0,N(AI130)/(N(AI184)+N(AI188)+N(AI190)+N(AI191)+N(AI198)+N(AI199)+N(AI200)),""),"")</f>
        <v>0.119193966002477</v>
      </c>
      <c r="AJ328" s="262">
        <f>IFERROR(IF((N(AJ184)+N(AJ188)+N(AJ190)+N(AJ191)+N(AJ198)+N(AJ199)+N(AJ200))&lt;&gt;0,N(AJ130)/(N(AJ184)+N(AJ188)+N(AJ190)+N(AJ191)+N(AJ198)+N(AJ199)+N(AJ200)),""),"")</f>
        <v>0.267423831961754</v>
      </c>
      <c r="AK328" s="262">
        <f>IFERROR(IF((N(AK184)+N(AK188)+N(AK190)+N(AK191)+N(AK198)+N(AK199)+N(AK200))&lt;&gt;0,N(AK130)/(N(AK184)+N(AK188)+N(AK190)+N(AK191)+N(AK198)+N(AK199)+N(AK200)),""),"")</f>
        <v>0.364417264871052</v>
      </c>
      <c r="AL328" s="262">
        <f>IFERROR(IF((N(AL184)+N(AL188)+N(AL190)+N(AL191)+N(AL198)+N(AL199)+N(AL200))&lt;&gt;0,N(AL130)/(N(AL184)+N(AL188)+N(AL190)+N(AL191)+N(AL198)+N(AL199)+N(AL200)),""),"")</f>
        <v>0.364417264871052</v>
      </c>
      <c r="AM328" s="262">
        <f>IFERROR(IF((N(AM184)+N(AM188)+N(AM190)+N(AM191)+N(AM198)+N(AM199)+N(AM200))&lt;&gt;0,N(AM130)/(N(AM184)+N(AM188)+N(AM190)+N(AM191)+N(AM198)+N(AM199)+N(AM200)),""),"")</f>
        <v>0.454691363690796</v>
      </c>
      <c r="AN328" s="262">
        <f>IFERROR(IF((N(AN184)+N(AN188)+N(AN190)+N(AN191)+N(AN198)+N(AN199)+N(AN200))&lt;&gt;0,N(AN130)/(N(AN184)+N(AN188)+N(AN190)+N(AN191)+N(AN198)+N(AN199)+N(AN200)),""),"")</f>
        <v>0.510812636953939</v>
      </c>
      <c r="AO328" s="262">
        <f>IFERROR(IF((N(AO184)+N(AO188)+N(AO190)+N(AO191)+N(AO198)+N(AO199)+N(AO200))&lt;&gt;0,N(AO130)/(N(AO184)+N(AO188)+N(AO190)+N(AO191)+N(AO198)+N(AO199)+N(AO200)),""),"")</f>
        <v>0.674031222561742</v>
      </c>
      <c r="AP328" s="262">
        <f>IFERROR(IF((N(AP184)+N(AP188)+N(AP190)+N(AP191)+N(AP198)+N(AP199)+N(AP200))&lt;&gt;0,N(AP130)/(N(AP184)+N(AP188)+N(AP190)+N(AP191)+N(AP198)+N(AP199)+N(AP200)),""),"")</f>
        <v>0.781903326499685</v>
      </c>
      <c r="AQ328" s="262">
        <f>IFERROR(IF((N(AQ184)+N(AQ188)+N(AQ190)+N(AQ191)+N(AQ198)+N(AQ199)+N(AQ200))&lt;&gt;0,N(AQ130)/(N(AQ184)+N(AQ188)+N(AQ190)+N(AQ191)+N(AQ198)+N(AQ199)+N(AQ200)),""),"")</f>
        <v>0.781903326499685</v>
      </c>
      <c r="AR328" s="262">
        <f>IFERROR(IF((N(AR184)+N(AR188)+N(AR190)+N(AR191)+N(AR198)+N(AR199)+N(AR200))&lt;&gt;0,N(AR130)/(N(AR184)+N(AR188)+N(AR190)+N(AR191)+N(AR198)+N(AR199)+N(AR200)),""),"")</f>
        <v>0.859758652995601</v>
      </c>
      <c r="AS328" s="262">
        <f>IFERROR(IF((N(AS184)+N(AS188)+N(AS190)+N(AS191)+N(AS198)+N(AS199)+N(AS200))&lt;&gt;0,N(AS130)/(N(AS184)+N(AS188)+N(AS190)+N(AS191)+N(AS198)+N(AS199)+N(AS200)),""),"")</f>
        <v>0.821228583146379</v>
      </c>
      <c r="AT328" s="262">
        <f>IFERROR(IF((N(AT184)+N(AT188)+N(AT190)+N(AT191)+N(AT198)+N(AT199)+N(AT200))&lt;&gt;0,N(AT130)/(N(AT184)+N(AT188)+N(AT190)+N(AT191)+N(AT198)+N(AT199)+N(AT200)),""),"")</f>
        <v>1.06391878326187</v>
      </c>
      <c r="AU328" s="262">
        <f>IFERROR(IF((N(AU184)+N(AU188)+N(AU190)+N(AU191)+N(AU198)+N(AU199)+N(AU200))&lt;&gt;0,N(AU130)/(N(AU184)+N(AU188)+N(AU190)+N(AU191)+N(AU198)+N(AU199)+N(AU200)),""),"")</f>
        <v>1.1818464126324</v>
      </c>
      <c r="AV328" s="262">
        <f>IFERROR(IF((N(AV184)+N(AV188)+N(AV190)+N(AV191)+N(AV198)+N(AV199)+N(AV200))&lt;&gt;0,N(AV130)/(N(AV184)+N(AV188)+N(AV190)+N(AV191)+N(AV198)+N(AV199)+N(AV200)),""),"")</f>
        <v>1.1818464126324</v>
      </c>
      <c r="AW328" s="262">
        <f>IFERROR(IF((N(AW184)+N(AW188)+N(AW190)+N(AW191)+N(AW198)+N(AW199)+N(AW200))&lt;&gt;0,N(AW130)/(N(AW184)+N(AW188)+N(AW190)+N(AW191)+N(AW198)+N(AW199)+N(AW200)),""),"")</f>
        <v>1.24033128003018</v>
      </c>
      <c r="AX328" s="262">
        <f>IFERROR(IF((N(AX184)+N(AX188)+N(AX190)+N(AX191)+N(AX198)+N(AX199)+N(AX200))&lt;&gt;0,N(AX130)/(N(AX184)+N(AX188)+N(AX190)+N(AX191)+N(AX198)+N(AX199)+N(AX200)),""),"")</f>
        <v>1.12154859680343</v>
      </c>
      <c r="AY328" s="262">
        <f>IFERROR(IF((N(AY184)+N(AY188)+N(AY190)+N(AY191)+N(AY198)+N(AY199)+N(AY200))&lt;&gt;0,N(AY130)/(N(AY184)+N(AY188)+N(AY190)+N(AY191)+N(AY198)+N(AY199)+N(AY200)),""),"")</f>
        <v>1.44046015129595</v>
      </c>
      <c r="AZ328" s="262">
        <f>IFERROR(IF((N(AZ184)+N(AZ188)+N(AZ190)+N(AZ191)+N(AZ198)+N(AZ199)+N(AZ200))&lt;&gt;0,N(AZ130)/(N(AZ184)+N(AZ188)+N(AZ190)+N(AZ191)+N(AZ198)+N(AZ199)+N(AZ200)),""),"")</f>
        <v>1.56801570987936</v>
      </c>
      <c r="BA328" s="262">
        <f>IFERROR(IF((N(BA184)+N(BA188)+N(BA190)+N(BA191)+N(BA198)+N(BA199)+N(BA200))&lt;&gt;0,N(BA130)/(N(BA184)+N(BA188)+N(BA190)+N(BA191)+N(BA198)+N(BA199)+N(BA200)),""),"")</f>
        <v>1.56801570987936</v>
      </c>
      <c r="BB328" s="262">
        <f>IFERROR(IF((N(BB184)+N(BB188)+N(BB190)+N(BB191)+N(BB198)+N(BB199)+N(BB200))&lt;&gt;0,N(BB130)/(N(BB184)+N(BB188)+N(BB190)+N(BB191)+N(BB198)+N(BB199)+N(BB200)),""),"")</f>
        <v>1.61625223523964</v>
      </c>
      <c r="BC328" s="262">
        <f>IFERROR(IF((N(BC184)+N(BC188)+N(BC190)+N(BC191)+N(BC198)+N(BC199)+N(BC200))&lt;&gt;0,N(BC130)/(N(BC184)+N(BC188)+N(BC190)+N(BC191)+N(BC198)+N(BC199)+N(BC200)),""),"")</f>
        <v>1.41466778025987</v>
      </c>
      <c r="BD328" s="262">
        <f>IFERROR(IF((N(BD184)+N(BD188)+N(BD190)+N(BD191)+N(BD198)+N(BD199)+N(BD200))&lt;&gt;0,N(BD130)/(N(BD184)+N(BD188)+N(BD190)+N(BD191)+N(BD198)+N(BD199)+N(BD200)),""),"")</f>
        <v>1.80739551851516</v>
      </c>
      <c r="BE328" s="262">
        <f>IFERROR(IF((N(BE184)+N(BE188)+N(BE190)+N(BE191)+N(BE198)+N(BE199)+N(BE200))&lt;&gt;0,N(BE130)/(N(BE184)+N(BE188)+N(BE190)+N(BE191)+N(BE198)+N(BE199)+N(BE200)),""),"")</f>
        <v>1.94437858566238</v>
      </c>
      <c r="BF328" s="262">
        <f>IFERROR(IF((N(BF184)+N(BF188)+N(BF190)+N(BF191)+N(BF198)+N(BF199)+N(BF200))&lt;&gt;0,N(BF130)/(N(BF184)+N(BF188)+N(BF190)+N(BF191)+N(BF198)+N(BF199)+N(BF200)),""),"")</f>
        <v>1.94437858566238</v>
      </c>
      <c r="BG328" s="82" t="n"/>
      <c r="BH328" s="82" t="n"/>
      <c r="BI328" s="82" t="n"/>
      <c r="BJ328" s="82" t="n"/>
      <c r="BL328" s="82" t="n"/>
      <c r="BM328" s="82" t="n"/>
      <c r="BN328" s="82" t="n"/>
      <c r="BO328" s="82" t="n"/>
      <c r="BQ328" s="82" t="n"/>
      <c r="BR328" s="82" t="n"/>
      <c r="BS328" s="82" t="n"/>
      <c r="BT328" s="82" t="n"/>
      <c r="BV328" s="82" t="n"/>
      <c r="BW328" s="82" t="n"/>
      <c r="BX328" s="82" t="n"/>
      <c r="BY328" s="82" t="n"/>
      <c r="CA328" s="82" t="n"/>
      <c r="CB328" s="82" t="n"/>
      <c r="CC328" s="82" t="n"/>
      <c r="CD328" s="82" t="n"/>
      <c r="CF328" s="82" t="n"/>
      <c r="CG328" s="82" t="n"/>
      <c r="CH328" s="82" t="n"/>
      <c r="CI328" s="82" t="n"/>
      <c r="CK328" s="82" t="n"/>
      <c r="CL328" s="82" t="n"/>
      <c r="CM328" s="82" t="n"/>
      <c r="CN328" s="82" t="n"/>
      <c r="CP328" s="82" t="n"/>
      <c r="CQ328" s="82" t="n"/>
      <c r="CR328" s="82" t="n"/>
      <c r="CS328" s="82" t="n"/>
      <c r="CU328" s="82" t="n"/>
      <c r="CV328" s="82" t="n"/>
      <c r="CW328" s="82" t="n"/>
      <c r="CX328" s="82" t="n"/>
    </row>
    <row r="329" customFormat="1" s="77">
      <c r="A329" s="76" t="n"/>
      <c r="B329" s="76" t="n"/>
    </row>
    <row r="330" customFormat="1" s="77">
      <c r="A330" s="76" t="n"/>
      <c r="B330" s="76" t="n"/>
      <c r="C330" s="74" t="inlineStr">
        <is>
          <t>OPERATING EFFICIENCY</t>
        </is>
      </c>
    </row>
    <row r="331" customFormat="1" s="84">
      <c r="A331" s="81" t="n"/>
      <c r="B331" s="81" t="n"/>
      <c r="C331" s="84" t="inlineStr">
        <is>
          <t>RETURN ON CAPITAL (ROIC) - LTM</t>
        </is>
      </c>
      <c r="D331" t="str">
        <f>IFERROR(D333/D336,"")</f>
        <v/>
      </c>
      <c r="E331" t="str">
        <f>IFERROR(E333/E336,"")</f>
        <v/>
      </c>
      <c r="F331" t="str">
        <f>IFERROR(F333/F336,"")</f>
        <v/>
      </c>
      <c r="G331" t="str">
        <f>IFERROR(G333/G336,"")</f>
        <v/>
      </c>
      <c r="H331" s="257" t="str">
        <f>IFERROR(IF(AND(COUNT(H333)=1,N(H336)&lt;&gt;0),(H333)/H336,""),"")</f>
        <v/>
      </c>
      <c r="I331" s="257" t="str">
        <f>""</f>
        <v/>
      </c>
      <c r="J331" s="257" t="str">
        <f>""</f>
        <v/>
      </c>
      <c r="K331" s="257" t="str">
        <f>""</f>
        <v/>
      </c>
      <c r="L331" s="257">
        <f>IFERROR(IF(AND(COUNT(I333,J333,K333,L333)=4,N(L336)&lt;&gt;0),(I333+J333+K333+L333)/L336,""),"")</f>
        <v>0.102712103147842</v>
      </c>
      <c r="M331" s="257">
        <f>IFERROR(IF(AND(COUNT(I333,J333,K333,L333)=4,N(M336)&lt;&gt;0),(I333+J333+K333+L333)/M336,""),"")</f>
        <v>0.102712103147842</v>
      </c>
      <c r="N331" s="257">
        <f>IFERROR(IF(AND(COUNT(J333,K333,L333,N333)=4,N(N336)&lt;&gt;0),(J333+K333+L333+N333)/N336,""),"")</f>
        <v>0.116963591512414</v>
      </c>
      <c r="O331" s="257">
        <f>IFERROR(IF(AND(COUNT(K333,L333,N333,O333)=4,N(O336)&lt;&gt;0),(K333+L333+N333+O333)/O336,""),"")</f>
        <v>0.175461182509618</v>
      </c>
      <c r="P331" s="257">
        <f>IFERROR(IF(AND(COUNT(L333,N333,O333,P333)=4,N(P336)&lt;&gt;0),(L333+N333+O333+P333)/P336,""),"")</f>
        <v>0.236371583286222</v>
      </c>
      <c r="Q331" s="257">
        <f>IFERROR(IF(AND(COUNT(N333,O333,P333,Q333)=4,N(Q336)&lt;&gt;0),(N333+O333+P333+Q333)/Q336,""),"")</f>
        <v>0.245493209917828</v>
      </c>
      <c r="R331" s="257">
        <f>IFERROR(IF(AND(COUNT(N333,O333,P333,Q333)=4,N(R336)&lt;&gt;0),(N333+O333+P333+Q333)/R336,""),"")</f>
        <v>0.245493209917828</v>
      </c>
      <c r="S331" s="257">
        <f>IFERROR(IF(AND(COUNT(O333,P333,Q333,S333)=4,N(S336)&lt;&gt;0),(O333+P333+Q333+S333)/S336,""),"")</f>
        <v>0.269442051591104</v>
      </c>
      <c r="T331" s="257">
        <f>IFERROR(IF(AND(COUNT(P333,Q333,S333,T333)=4,N(T336)&lt;&gt;0),(P333+Q333+S333+T333)/T336,""),"")</f>
        <v>0.222108729969855</v>
      </c>
      <c r="U331" s="257">
        <f>IFERROR(IF(AND(COUNT(Q333,S333,T333,U333)=4,N(U336)&lt;&gt;0),(Q333+S333+T333+U333)/U336,""),"")</f>
        <v>0.179108398754524</v>
      </c>
      <c r="V331" s="257">
        <f>IFERROR(IF(AND(COUNT(S333,T333,U333,V333)=4,N(V336)&lt;&gt;0),(S333+T333+U333+V333)/V336,""),"")</f>
        <v>0.153671864944887</v>
      </c>
      <c r="W331" s="257">
        <f>IFERROR(IF(AND(COUNT(S333,T333,U333,V333)=4,N(W336)&lt;&gt;0),(S333+T333+U333+V333)/W336,""),"")</f>
        <v>0.153671864944887</v>
      </c>
      <c r="X331" s="257">
        <f>IFERROR(IF(AND(COUNT(T333,U333,V333,X333)=4,N(X336)&lt;&gt;0),(T333+U333+V333+X333)/X336,""),"")</f>
        <v>0.142152073027743</v>
      </c>
      <c r="Y331" s="257">
        <f>IFERROR(IF(AND(COUNT(U333,V333,X333,Y333)=4,N(Y336)&lt;&gt;0),(U333+V333+X333+Y333)/Y336,""),"")</f>
        <v>0.108559907816199</v>
      </c>
      <c r="Z331" s="257">
        <f>IFERROR(IF(AND(COUNT(V333,X333,Y333,Z333)=4,N(Z336)&lt;&gt;0),(V333+X333+Y333+Z333)/Z336,""),"")</f>
        <v>0.107764035836626</v>
      </c>
      <c r="AA331" s="257">
        <f>IFERROR(IF(AND(COUNT(X333,Y333,Z333,AA333)=4,N(AA336)&lt;&gt;0),(X333+Y333+Z333+AA333)/AA336,""),"")</f>
        <v>0.109004037260005</v>
      </c>
      <c r="AB331" s="257">
        <f>IFERROR(IF(AND(COUNT(X333,Y333,Z333,AA333)=4,N(AB336)&lt;&gt;0),(X333+Y333+Z333+AA333)/AB336,""),"")</f>
        <v>0.109004037260005</v>
      </c>
      <c r="AC331" s="257">
        <f>IFERROR(IF(AND(COUNT(Y333,Z333,AA333,AC333)=4,N(AC336)&lt;&gt;0),(Y333+Z333+AA333+AC333)/AC336,""),"")</f>
        <v>0.10699397167256</v>
      </c>
      <c r="AD331" s="257">
        <f>IFERROR(IF(AND(COUNT(Z333,AA333,AC333,AD333)=4,N(AD336)&lt;&gt;0),(Z333+AA333+AC333+AD333)/AD336,""),"")</f>
        <v>0.0986262103283397</v>
      </c>
      <c r="AE331" s="257">
        <f>IFERROR(IF(AND(COUNT(AA333,AC333,AD333,AE333)=4,N(AE336)&lt;&gt;0),(AA333+AC333+AD333+AE333)/AE336,""),"")</f>
        <v>0.0941067594308866</v>
      </c>
      <c r="AF331" s="257">
        <f>IFERROR(IF(AND(COUNT(AB333,AD333,AE333,AF333)=4,N(AF336)&lt;&gt;0),(AB333+AD333+AE333+AF333)/AF336,""),"")</f>
        <v>0.17016956802967</v>
      </c>
      <c r="AG331" s="257">
        <f>IFERROR(IF(AND(COUNT(AC333,AD333,AE333,AF333)=4,N(AG336)&lt;&gt;0),(AC333+AD333+AE333+AF333)/AG336,""),"")</f>
        <v>0.0889132795948147</v>
      </c>
      <c r="AH331" s="257">
        <f>IFERROR(IF(AND(COUNT(AD333,AF333,AG333,AH333)=4,N(AH336)&lt;&gt;0),(AD333+AF333+AG333+AH333)/AH336,""),"")</f>
        <v>0.144183547996021</v>
      </c>
      <c r="AI331" s="257">
        <f>IFERROR(IF(AND(COUNT(AE333,AG333,AH333,AI333)=4,N(AI336)&lt;&gt;0),(AE333+AG333+AH333+AI333)/AI336,""),"")</f>
        <v>0.171134525611203</v>
      </c>
      <c r="AJ331" s="257">
        <f>IFERROR(IF(AND(COUNT(AF333,AH333,AI333,AJ333)=4,N(AJ336)&lt;&gt;0),(AF333+AH333+AI333+AJ333)/AJ336,""),"")</f>
        <v>0.103354938499225</v>
      </c>
      <c r="AK331" s="257">
        <f>IFERROR(IF(AND(COUNT(AH333,AI333,AJ333,AK333)=4,N(AK336)&lt;&gt;0),(AH333+AI333+AJ333+AK333)/AK336,""),"")</f>
        <v>0.106338621229096</v>
      </c>
      <c r="AL331" s="257">
        <f>IFERROR(IF(AND(COUNT(AH333,AI333,AJ333,AK333)=4,N(AL336)&lt;&gt;0),(AH333+AI333+AJ333+AK333)/AL336,""),"")</f>
        <v>0.106338621229096</v>
      </c>
      <c r="AM331" s="257">
        <f>IFERROR(IF(AND(COUNT(AI333,AJ333,AK333,AM333)=4,N(AM336)&lt;&gt;0),(AI333+AJ333+AK333+AM333)/AM336,""),"")</f>
        <v>0.116847133270682</v>
      </c>
      <c r="AN331" s="257">
        <f>IFERROR(IF(AND(COUNT(AJ333,AK333,AM333,AN333)=4,N(AN336)&lt;&gt;0),(AJ333+AK333+AM333+AN333)/AN336,""),"")</f>
        <v>0.106637515323575</v>
      </c>
      <c r="AO331" s="257">
        <f>IFERROR(IF(AND(COUNT(AK333,AM333,AN333,AO333)=4,N(AO336)&lt;&gt;0),(AK333+AM333+AN333+AO333)/AO336,""),"")</f>
        <v>0.10582979526278</v>
      </c>
      <c r="AP331" s="257">
        <f>IFERROR(IF(AND(COUNT(AM333,AN333,AO333,AP333)=4,N(AP336)&lt;&gt;0),(AM333+AN333+AO333+AP333)/AP336,""),"")</f>
        <v>0.106607468562956</v>
      </c>
      <c r="AQ331" s="257">
        <f>IFERROR(IF(AND(COUNT(AM333,AN333,AO333,AP333)=4,N(AQ336)&lt;&gt;0),(AM333+AN333+AO333+AP333)/AQ336,""),"")</f>
        <v>0.106607468562956</v>
      </c>
      <c r="AR331" s="257">
        <f>IFERROR(IF(AND(COUNT(AN333,AO333,AP333,AR333)=4,N(AR336)&lt;&gt;0),(AN333+AO333+AP333+AR333)/AR336,""),"")</f>
        <v>0.10771325942868</v>
      </c>
      <c r="AS331" s="257">
        <f>IFERROR(IF(AND(COUNT(AO333,AP333,AR333,AS333)=4,N(AS336)&lt;&gt;0),(AO333+AP333+AR333+AS333)/AS336,""),"")</f>
        <v>0.11105173884566</v>
      </c>
      <c r="AT331" s="257">
        <f>IFERROR(IF(AND(COUNT(AP333,AR333,AS333,AT333)=4,N(AT336)&lt;&gt;0),(AP333+AR333+AS333+AT333)/AT336,""),"")</f>
        <v>0.110012071563334</v>
      </c>
      <c r="AU331" s="257">
        <f>IFERROR(IF(AND(COUNT(AR333,AS333,AT333,AU333)=4,N(AU336)&lt;&gt;0),(AR333+AS333+AT333+AU333)/AU336,""),"")</f>
        <v>0.110693015095069</v>
      </c>
      <c r="AV331" s="257">
        <f>IFERROR(IF(AND(COUNT(AR333,AS333,AT333,AU333)=4,N(AV336)&lt;&gt;0),(AR333+AS333+AT333+AU333)/AV336,""),"")</f>
        <v>0.110693015095069</v>
      </c>
      <c r="AW331" s="257">
        <f>IFERROR(IF(AND(COUNT(AS333,AT333,AU333,AW333)=4,N(AW336)&lt;&gt;0),(AS333+AT333+AU333+AW333)/AW336,""),"")</f>
        <v>0.111760470294068</v>
      </c>
      <c r="AX331" s="257">
        <f>IFERROR(IF(AND(COUNT(AT333,AU333,AW333,AX333)=4,N(AX336)&lt;&gt;0),(AT333+AU333+AW333+AX333)/AX336,""),"")</f>
        <v>0.115051259957258</v>
      </c>
      <c r="AY331" s="257">
        <f>IFERROR(IF(AND(COUNT(AU333,AW333,AX333,AY333)=4,N(AY336)&lt;&gt;0),(AU333+AW333+AX333+AY333)/AY336,""),"")</f>
        <v>0.113773658322612</v>
      </c>
      <c r="AZ331" s="257">
        <f>IFERROR(IF(AND(COUNT(AW333,AX333,AY333,AZ333)=4,N(AZ336)&lt;&gt;0),(AW333+AX333+AY333+AZ333)/AZ336,""),"")</f>
        <v>0.114343600784243</v>
      </c>
      <c r="BA331" s="257">
        <f>IFERROR(IF(AND(COUNT(AW333,AX333,AY333,AZ333)=4,N(BA336)&lt;&gt;0),(AW333+AX333+AY333+AZ333)/BA336,""),"")</f>
        <v>0.114343600784243</v>
      </c>
      <c r="BB331" s="257">
        <f>IFERROR(IF(AND(COUNT(AX333,AY333,AZ333,BB333)=4,N(BB336)&lt;&gt;0),(AX333+AY333+AZ333+BB333)/BB336,""),"")</f>
        <v>0.115288170785249</v>
      </c>
      <c r="BC331" s="257">
        <f>IFERROR(IF(AND(COUNT(AY333,AZ333,BB333,BC333)=4,N(BC336)&lt;&gt;0),(AY333+AZ333+BB333+BC333)/BC336,""),"")</f>
        <v>0.118561803400394</v>
      </c>
      <c r="BD331" s="257">
        <f>IFERROR(IF(AND(COUNT(AZ333,BB333,BC333,BD333)=4,N(BD336)&lt;&gt;0),(AZ333+BB333+BC333+BD333)/BD336,""),"")</f>
        <v>0.117044858310283</v>
      </c>
      <c r="BE331" s="257">
        <f>IFERROR(IF(AND(COUNT(BB333,BC333,BD333,BE333)=4,N(BE336)&lt;&gt;0),(BB333+BC333+BD333+BE333)/BE336,""),"")</f>
        <v>0.117490314372145</v>
      </c>
      <c r="BF331" s="257">
        <f>IFERROR(IF(AND(COUNT(BB333,BC333,BD333,BE333)=4,N(BF336)&lt;&gt;0),(BB333+BC333+BD333+BE333)/BF336,""),"")</f>
        <v>0.117490314372145</v>
      </c>
      <c r="BG331" s="81" t="n"/>
      <c r="BH331" s="81" t="n"/>
      <c r="BI331" s="81" t="n"/>
      <c r="BJ331" s="81" t="n"/>
      <c r="BL331" s="81" t="n"/>
      <c r="BM331" s="81" t="n"/>
      <c r="BN331" s="81" t="n"/>
      <c r="BO331" s="81" t="n"/>
      <c r="BQ331" s="81" t="n"/>
      <c r="BR331" s="81" t="n"/>
      <c r="BS331" s="81" t="n"/>
      <c r="BT331" s="81" t="n"/>
      <c r="BV331" s="81" t="n"/>
      <c r="BW331" s="81" t="n"/>
      <c r="BX331" s="81" t="n"/>
      <c r="BY331" s="81" t="n"/>
      <c r="CA331" s="81" t="n"/>
      <c r="CB331" s="81" t="n"/>
      <c r="CC331" s="81" t="n"/>
      <c r="CD331" s="81" t="n"/>
      <c r="CF331" s="81" t="n"/>
      <c r="CG331" s="81" t="n"/>
      <c r="CH331" s="81" t="n"/>
      <c r="CI331" s="81" t="n"/>
      <c r="CK331" s="81" t="n"/>
      <c r="CL331" s="81" t="n"/>
      <c r="CM331" s="81" t="n"/>
      <c r="CN331" s="81" t="n"/>
      <c r="CP331" s="81" t="n"/>
      <c r="CQ331" s="81" t="n"/>
      <c r="CR331" s="81" t="n"/>
      <c r="CS331" s="81" t="n"/>
      <c r="CU331" s="81" t="n"/>
      <c r="CV331" s="81" t="n"/>
      <c r="CW331" s="81" t="n"/>
      <c r="CX331" s="81" t="n"/>
    </row>
    <row r="332" customFormat="1" s="84">
      <c r="A332" s="81" t="n"/>
      <c r="B332" s="81" t="n"/>
      <c r="C332" s="84" t="inlineStr">
        <is>
          <t>RETURN ON CAPITAL (ROIC) - EX GOODWILL - LTM</t>
        </is>
      </c>
      <c r="D332" t="str">
        <f>IFERROR(D333/D337,"")</f>
        <v/>
      </c>
      <c r="E332" t="str">
        <f>IFERROR(E333/E337,"")</f>
        <v/>
      </c>
      <c r="F332" t="str">
        <f>IFERROR(F333/F337,"")</f>
        <v/>
      </c>
      <c r="G332" t="str">
        <f>IFERROR(G333/G337,"")</f>
        <v/>
      </c>
      <c r="H332" s="257" t="str">
        <f>IFERROR(IF(AND(COUNT(H333)=1,N(H337)&lt;&gt;0),(H333)/H337,""),"")</f>
        <v/>
      </c>
      <c r="I332" s="257" t="str">
        <f>""</f>
        <v/>
      </c>
      <c r="J332" s="257" t="str">
        <f>""</f>
        <v/>
      </c>
      <c r="K332" s="257" t="str">
        <f>""</f>
        <v/>
      </c>
      <c r="L332" s="257">
        <f>IFERROR(IF(AND(COUNT(I333,J333,K333,L333)=4,N(L337)&lt;&gt;0),(I333+J333+K333+L333)/L337,""),"")</f>
        <v>0.102712103147842</v>
      </c>
      <c r="M332" s="257">
        <f>IFERROR(IF(AND(COUNT(I333,J333,K333,L333)=4,N(M337)&lt;&gt;0),(I333+J333+K333+L333)/M337,""),"")</f>
        <v>0.102712103147842</v>
      </c>
      <c r="N332" s="257">
        <f>IFERROR(IF(AND(COUNT(J333,K333,L333,N333)=4,N(N337)&lt;&gt;0),(J333+K333+L333+N333)/N337,""),"")</f>
        <v>0.116963591512414</v>
      </c>
      <c r="O332" s="257">
        <f>IFERROR(IF(AND(COUNT(K333,L333,N333,O333)=4,N(O337)&lt;&gt;0),(K333+L333+N333+O333)/O337,""),"")</f>
        <v>0.175461182509618</v>
      </c>
      <c r="P332" s="257">
        <f>IFERROR(IF(AND(COUNT(L333,N333,O333,P333)=4,N(P337)&lt;&gt;0),(L333+N333+O333+P333)/P337,""),"")</f>
        <v>0.236371583286222</v>
      </c>
      <c r="Q332" s="257">
        <f>IFERROR(IF(AND(COUNT(N333,O333,P333,Q333)=4,N(Q337)&lt;&gt;0),(N333+O333+P333+Q333)/Q337,""),"")</f>
        <v>0.245493209917828</v>
      </c>
      <c r="R332" s="257">
        <f>IFERROR(IF(AND(COUNT(N333,O333,P333,Q333)=4,N(R337)&lt;&gt;0),(N333+O333+P333+Q333)/R337,""),"")</f>
        <v>0.245493209917828</v>
      </c>
      <c r="S332" s="257">
        <f>IFERROR(IF(AND(COUNT(O333,P333,Q333,S333)=4,N(S337)&lt;&gt;0),(O333+P333+Q333+S333)/S337,""),"")</f>
        <v>0.269442051591104</v>
      </c>
      <c r="T332" s="257">
        <f>IFERROR(IF(AND(COUNT(P333,Q333,S333,T333)=4,N(T337)&lt;&gt;0),(P333+Q333+S333+T333)/T337,""),"")</f>
        <v>0.222108729969855</v>
      </c>
      <c r="U332" s="257">
        <f>IFERROR(IF(AND(COUNT(Q333,S333,T333,U333)=4,N(U337)&lt;&gt;0),(Q333+S333+T333+U333)/U337,""),"")</f>
        <v>0.179108398754524</v>
      </c>
      <c r="V332" s="257">
        <f>IFERROR(IF(AND(COUNT(S333,T333,U333,V333)=4,N(V337)&lt;&gt;0),(S333+T333+U333+V333)/V337,""),"")</f>
        <v>0.153671864944887</v>
      </c>
      <c r="W332" s="257">
        <f>IFERROR(IF(AND(COUNT(S333,T333,U333,V333)=4,N(W337)&lt;&gt;0),(S333+T333+U333+V333)/W337,""),"")</f>
        <v>0.153671864944887</v>
      </c>
      <c r="X332" s="257">
        <f>IFERROR(IF(AND(COUNT(T333,U333,V333,X333)=4,N(X337)&lt;&gt;0),(T333+U333+V333+X333)/X337,""),"")</f>
        <v>0.142152073027743</v>
      </c>
      <c r="Y332" s="257">
        <f>IFERROR(IF(AND(COUNT(U333,V333,X333,Y333)=4,N(Y337)&lt;&gt;0),(U333+V333+X333+Y333)/Y337,""),"")</f>
        <v>0.108559907816199</v>
      </c>
      <c r="Z332" s="257">
        <f>IFERROR(IF(AND(COUNT(V333,X333,Y333,Z333)=4,N(Z337)&lt;&gt;0),(V333+X333+Y333+Z333)/Z337,""),"")</f>
        <v>0.107764035836626</v>
      </c>
      <c r="AA332" s="257">
        <f>IFERROR(IF(AND(COUNT(X333,Y333,Z333,AA333)=4,N(AA337)&lt;&gt;0),(X333+Y333+Z333+AA333)/AA337,""),"")</f>
        <v>0.109004037260005</v>
      </c>
      <c r="AB332" s="257">
        <f>IFERROR(IF(AND(COUNT(X333,Y333,Z333,AA333)=4,N(AB337)&lt;&gt;0),(X333+Y333+Z333+AA333)/AB337,""),"")</f>
        <v>0.109004037260005</v>
      </c>
      <c r="AC332" s="257">
        <f>IFERROR(IF(AND(COUNT(Y333,Z333,AA333,AC333)=4,N(AC337)&lt;&gt;0),(Y333+Z333+AA333+AC333)/AC337,""),"")</f>
        <v>0.10699397167256</v>
      </c>
      <c r="AD332" s="257">
        <f>IFERROR(IF(AND(COUNT(Z333,AA333,AC333,AD333)=4,N(AD337)&lt;&gt;0),(Z333+AA333+AC333+AD333)/AD337,""),"")</f>
        <v>0.0986262103283397</v>
      </c>
      <c r="AE332" s="257">
        <f>IFERROR(IF(AND(COUNT(AA333,AC333,AD333,AE333)=4,N(AE337)&lt;&gt;0),(AA333+AC333+AD333+AE333)/AE337,""),"")</f>
        <v>0.0941067594308866</v>
      </c>
      <c r="AF332" s="257">
        <f>IFERROR(IF(AND(COUNT(AB333,AD333,AE333,AF333)=4,N(AF337)&lt;&gt;0),(AB333+AD333+AE333+AF333)/AF337,""),"")</f>
        <v>0.17016956802967</v>
      </c>
      <c r="AG332" s="257">
        <f>IFERROR(IF(AND(COUNT(AC333,AD333,AE333,AF333)=4,N(AG337)&lt;&gt;0),(AC333+AD333+AE333+AF333)/AG337,""),"")</f>
        <v>0.0889132795948147</v>
      </c>
      <c r="AH332" s="257">
        <f>IFERROR(IF(AND(COUNT(AD333,AF333,AG333,AH333)=4,N(AH337)&lt;&gt;0),(AD333+AF333+AG333+AH333)/AH337,""),"")</f>
        <v>0.144183547996021</v>
      </c>
      <c r="AI332" s="257">
        <f>IFERROR(IF(AND(COUNT(AE333,AG333,AH333,AI333)=4,N(AI337)&lt;&gt;0),(AE333+AG333+AH333+AI333)/AI337,""),"")</f>
        <v>0.171134525611203</v>
      </c>
      <c r="AJ332" s="257">
        <f>IFERROR(IF(AND(COUNT(AF333,AH333,AI333,AJ333)=4,N(AJ337)&lt;&gt;0),(AF333+AH333+AI333+AJ333)/AJ337,""),"")</f>
        <v>0.103354938499225</v>
      </c>
      <c r="AK332" s="257">
        <f>IFERROR(IF(AND(COUNT(AH333,AI333,AJ333,AK333)=4,N(AK337)&lt;&gt;0),(AH333+AI333+AJ333+AK333)/AK337,""),"")</f>
        <v>0.106338621229096</v>
      </c>
      <c r="AL332" s="257">
        <f>IFERROR(IF(AND(COUNT(AH333,AI333,AJ333,AK333)=4,N(AL337)&lt;&gt;0),(AH333+AI333+AJ333+AK333)/AL337,""),"")</f>
        <v>0.106338621229096</v>
      </c>
      <c r="AM332" s="257">
        <f>IFERROR(IF(AND(COUNT(AI333,AJ333,AK333,AM333)=4,N(AM337)&lt;&gt;0),(AI333+AJ333+AK333+AM333)/AM337,""),"")</f>
        <v>0.116847133270682</v>
      </c>
      <c r="AN332" s="257">
        <f>IFERROR(IF(AND(COUNT(AJ333,AK333,AM333,AN333)=4,N(AN337)&lt;&gt;0),(AJ333+AK333+AM333+AN333)/AN337,""),"")</f>
        <v>0.106637515323575</v>
      </c>
      <c r="AO332" s="257">
        <f>IFERROR(IF(AND(COUNT(AK333,AM333,AN333,AO333)=4,N(AO337)&lt;&gt;0),(AK333+AM333+AN333+AO333)/AO337,""),"")</f>
        <v>0.10582979526278</v>
      </c>
      <c r="AP332" s="257">
        <f>IFERROR(IF(AND(COUNT(AM333,AN333,AO333,AP333)=4,N(AP337)&lt;&gt;0),(AM333+AN333+AO333+AP333)/AP337,""),"")</f>
        <v>0.106607468562956</v>
      </c>
      <c r="AQ332" s="257">
        <f>IFERROR(IF(AND(COUNT(AM333,AN333,AO333,AP333)=4,N(AQ337)&lt;&gt;0),(AM333+AN333+AO333+AP333)/AQ337,""),"")</f>
        <v>0.106607468562956</v>
      </c>
      <c r="AR332" s="257">
        <f>IFERROR(IF(AND(COUNT(AN333,AO333,AP333,AR333)=4,N(AR337)&lt;&gt;0),(AN333+AO333+AP333+AR333)/AR337,""),"")</f>
        <v>0.10771325942868</v>
      </c>
      <c r="AS332" s="257">
        <f>IFERROR(IF(AND(COUNT(AO333,AP333,AR333,AS333)=4,N(AS337)&lt;&gt;0),(AO333+AP333+AR333+AS333)/AS337,""),"")</f>
        <v>0.11105173884566</v>
      </c>
      <c r="AT332" s="257">
        <f>IFERROR(IF(AND(COUNT(AP333,AR333,AS333,AT333)=4,N(AT337)&lt;&gt;0),(AP333+AR333+AS333+AT333)/AT337,""),"")</f>
        <v>0.110012071563334</v>
      </c>
      <c r="AU332" s="257">
        <f>IFERROR(IF(AND(COUNT(AR333,AS333,AT333,AU333)=4,N(AU337)&lt;&gt;0),(AR333+AS333+AT333+AU333)/AU337,""),"")</f>
        <v>0.110693015095069</v>
      </c>
      <c r="AV332" s="257">
        <f>IFERROR(IF(AND(COUNT(AR333,AS333,AT333,AU333)=4,N(AV337)&lt;&gt;0),(AR333+AS333+AT333+AU333)/AV337,""),"")</f>
        <v>0.110693015095069</v>
      </c>
      <c r="AW332" s="257">
        <f>IFERROR(IF(AND(COUNT(AS333,AT333,AU333,AW333)=4,N(AW337)&lt;&gt;0),(AS333+AT333+AU333+AW333)/AW337,""),"")</f>
        <v>0.111760470294068</v>
      </c>
      <c r="AX332" s="257">
        <f>IFERROR(IF(AND(COUNT(AT333,AU333,AW333,AX333)=4,N(AX337)&lt;&gt;0),(AT333+AU333+AW333+AX333)/AX337,""),"")</f>
        <v>0.115051259957258</v>
      </c>
      <c r="AY332" s="257">
        <f>IFERROR(IF(AND(COUNT(AU333,AW333,AX333,AY333)=4,N(AY337)&lt;&gt;0),(AU333+AW333+AX333+AY333)/AY337,""),"")</f>
        <v>0.113773658322612</v>
      </c>
      <c r="AZ332" s="257">
        <f>IFERROR(IF(AND(COUNT(AW333,AX333,AY333,AZ333)=4,N(AZ337)&lt;&gt;0),(AW333+AX333+AY333+AZ333)/AZ337,""),"")</f>
        <v>0.114343600784243</v>
      </c>
      <c r="BA332" s="257">
        <f>IFERROR(IF(AND(COUNT(AW333,AX333,AY333,AZ333)=4,N(BA337)&lt;&gt;0),(AW333+AX333+AY333+AZ333)/BA337,""),"")</f>
        <v>0.114343600784243</v>
      </c>
      <c r="BB332" s="257">
        <f>IFERROR(IF(AND(COUNT(AX333,AY333,AZ333,BB333)=4,N(BB337)&lt;&gt;0),(AX333+AY333+AZ333+BB333)/BB337,""),"")</f>
        <v>0.115288170785249</v>
      </c>
      <c r="BC332" s="257">
        <f>IFERROR(IF(AND(COUNT(AY333,AZ333,BB333,BC333)=4,N(BC337)&lt;&gt;0),(AY333+AZ333+BB333+BC333)/BC337,""),"")</f>
        <v>0.118561803400394</v>
      </c>
      <c r="BD332" s="257">
        <f>IFERROR(IF(AND(COUNT(AZ333,BB333,BC333,BD333)=4,N(BD337)&lt;&gt;0),(AZ333+BB333+BC333+BD333)/BD337,""),"")</f>
        <v>0.117044858310283</v>
      </c>
      <c r="BE332" s="257">
        <f>IFERROR(IF(AND(COUNT(BB333,BC333,BD333,BE333)=4,N(BE337)&lt;&gt;0),(BB333+BC333+BD333+BE333)/BE337,""),"")</f>
        <v>0.117490314372145</v>
      </c>
      <c r="BF332" s="257">
        <f>IFERROR(IF(AND(COUNT(BB333,BC333,BD333,BE333)=4,N(BF337)&lt;&gt;0),(BB333+BC333+BD333+BE333)/BF337,""),"")</f>
        <v>0.117490314372145</v>
      </c>
      <c r="BG332" s="81" t="n"/>
      <c r="BH332" s="81" t="n"/>
      <c r="BI332" s="81" t="n"/>
      <c r="BJ332" s="81" t="n"/>
      <c r="BL332" s="81" t="n"/>
      <c r="BM332" s="81" t="n"/>
      <c r="BN332" s="81" t="n"/>
      <c r="BO332" s="81" t="n"/>
      <c r="BQ332" s="81" t="n"/>
      <c r="BR332" s="81" t="n"/>
      <c r="BS332" s="81" t="n"/>
      <c r="BT332" s="81" t="n"/>
      <c r="BV332" s="81" t="n"/>
      <c r="BW332" s="81" t="n"/>
      <c r="BX332" s="81" t="n"/>
      <c r="BY332" s="81" t="n"/>
      <c r="CA332" s="81" t="n"/>
      <c r="CB332" s="81" t="n"/>
      <c r="CC332" s="81" t="n"/>
      <c r="CD332" s="81" t="n"/>
      <c r="CF332" s="81" t="n"/>
      <c r="CG332" s="81" t="n"/>
      <c r="CH332" s="81" t="n"/>
      <c r="CI332" s="81" t="n"/>
      <c r="CK332" s="81" t="n"/>
      <c r="CL332" s="81" t="n"/>
      <c r="CM332" s="81" t="n"/>
      <c r="CN332" s="81" t="n"/>
      <c r="CP332" s="81" t="n"/>
      <c r="CQ332" s="81" t="n"/>
      <c r="CR332" s="81" t="n"/>
      <c r="CS332" s="81" t="n"/>
      <c r="CU332" s="81" t="n"/>
      <c r="CV332" s="81" t="n"/>
      <c r="CW332" s="81" t="n"/>
      <c r="CX332" s="81" t="n"/>
    </row>
    <row r="333" customFormat="1" s="77">
      <c r="A333" s="76" t="n"/>
      <c r="B333" s="76" t="n"/>
      <c r="C333" s="77" t="inlineStr">
        <is>
          <t>NOPLAT</t>
        </is>
      </c>
      <c r="D333">
        <f>IFERROR(D334*(1-D335),"")</f>
        <v>0</v>
      </c>
      <c r="E333">
        <f>IFERROR(E334*(1-E335),"")</f>
        <v>0</v>
      </c>
      <c r="F333">
        <f>IFERROR(F334*(1-F335),"")</f>
        <v>0</v>
      </c>
      <c r="G333">
        <f>IFERROR(G334*(1-G335),"")</f>
        <v>0</v>
      </c>
      <c r="H333" s="263">
        <f>IFERROR(H334*(1-N(H335)),0)</f>
        <v>0</v>
      </c>
      <c r="I333" s="263">
        <f>IFERROR(I334*(1-N(I335)),0)</f>
        <v>2996.82628062361</v>
      </c>
      <c r="J333" s="263">
        <f>IFERROR(J334*(1-N(J335)),0)</f>
        <v>4973.54384017758</v>
      </c>
      <c r="K333" s="263">
        <f>IFERROR(K334*(1-N(K335)),0)</f>
        <v>7096.65209244222</v>
      </c>
      <c r="L333" s="263">
        <f>IFERROR(L334*(1-N(L335)),0)</f>
        <v>9250.06820700827</v>
      </c>
      <c r="M333" s="263">
        <f>IFERROR(M334*(1-N(M335)),0)</f>
        <v>24313.4801178203</v>
      </c>
      <c r="N333" s="263">
        <f>IFERROR(N334*(1-N(N335)),0)</f>
        <v>5876.34408602151</v>
      </c>
      <c r="O333" s="263">
        <f>IFERROR(O334*(1-N(O335)),0)</f>
        <v>18718.5215577748</v>
      </c>
      <c r="P333" s="263">
        <f>IFERROR(P334*(1-N(P335)),0)</f>
        <v>20364.0523168909</v>
      </c>
      <c r="Q333" s="263">
        <f>IFERROR(Q334*(1-N(Q335)),0)</f>
        <v>13198.4234688462</v>
      </c>
      <c r="R333" s="263">
        <f>IFERROR(R334*(1-N(R335)),0)</f>
        <v>58167.9282728641</v>
      </c>
      <c r="S333" s="263">
        <f>IFERROR(S334*(1-N(S335)),0)</f>
        <v>11955.0655240136</v>
      </c>
      <c r="T333" s="263">
        <f>IFERROR(T334*(1-N(T335)),0)</f>
        <v>8327.16755319149</v>
      </c>
      <c r="U333" s="263">
        <f>IFERROR(U334*(1-N(U335)),0)</f>
        <v>9461.2984889408</v>
      </c>
      <c r="V333" s="263">
        <f>IFERROR(V334*(1-N(V335)),0)</f>
        <v>8217.1072</v>
      </c>
      <c r="W333" s="263">
        <f>IFERROR(W334*(1-N(W335)),0)</f>
        <v>37954.8287895724</v>
      </c>
      <c r="X333" s="263">
        <f>IFERROR(X334*(1-N(X335)),0)</f>
        <v>8719.0508529388</v>
      </c>
      <c r="Y333" s="263">
        <f>IFERROR(Y334*(1-N(Y335)),0)</f>
        <v>9760.80907427735</v>
      </c>
      <c r="Z333" s="263">
        <f>IFERROR(Z334*(1-N(Z335)),0)</f>
        <v>9113.56080147398</v>
      </c>
      <c r="AA333" s="263">
        <f>IFERROR(AA334*(1-N(AA335)),0)</f>
        <v>8195.76582084989</v>
      </c>
      <c r="AB333" s="263">
        <f>IFERROR(AB334*(1-N(AB335)),0)</f>
        <v>35777.5611687435</v>
      </c>
      <c r="AC333" s="263">
        <f>IFERROR(AC334*(1-N(AC335)),0)</f>
        <v>8174.9625</v>
      </c>
      <c r="AD333" s="263">
        <f>IFERROR(AD334*(1-N(AD335)),0)</f>
        <v>7453.61046240075</v>
      </c>
      <c r="AE333" s="263">
        <f>IFERROR(AE334*(1-N(AE335)),0)</f>
        <v>7831.951701427</v>
      </c>
      <c r="AF333" s="263">
        <f>IFERROR(AF334*(1-N(AF335)),0)</f>
        <v>6743.13858797161</v>
      </c>
      <c r="AG333" s="263">
        <f>IFERROR(AG334*(1-N(AG335)),0)</f>
        <v>30198.9057865659</v>
      </c>
      <c r="AH333" s="263">
        <f>IFERROR(AH334*(1-N(AH335)),0)</f>
        <v>4661.35553322808</v>
      </c>
      <c r="AI333" s="263">
        <f>IFERROR(AI334*(1-N(AI335)),0)</f>
        <v>15054.9078974465</v>
      </c>
      <c r="AJ333" s="263">
        <f>IFERROR(AJ334*(1-N(AJ335)),0)</f>
        <v>8100.12337048255</v>
      </c>
      <c r="AK333" s="263">
        <f>IFERROR(AK334*(1-N(AK335)),0)</f>
        <v>7816.55162587847</v>
      </c>
      <c r="AL333" s="263">
        <f>IFERROR(AL334*(1-N(AL335)),0)</f>
        <v>35649.337242866</v>
      </c>
      <c r="AM333" s="263">
        <f>IFERROR(AM334*(1-N(AM335)),0)</f>
        <v>8085.30850371824</v>
      </c>
      <c r="AN333" s="263">
        <f>IFERROR(AN334*(1-N(AN335)),0)</f>
        <v>11017.7974192003</v>
      </c>
      <c r="AO333" s="263">
        <f>IFERROR(AO334*(1-N(AO335)),0)</f>
        <v>8448.59394667879</v>
      </c>
      <c r="AP333" s="263">
        <f>IFERROR(AP334*(1-N(AP335)),0)</f>
        <v>8152.8228311867</v>
      </c>
      <c r="AQ333" s="263">
        <f>IFERROR(AQ334*(1-N(AQ335)),0)</f>
        <v>35704.5227007841</v>
      </c>
      <c r="AR333" s="263">
        <f>IFERROR(AR334*(1-N(AR335)),0)</f>
        <v>8392.71519584916</v>
      </c>
      <c r="AS333" s="263">
        <f>IFERROR(AS334*(1-N(AS335)),0)</f>
        <v>11436.6985233014</v>
      </c>
      <c r="AT333" s="263">
        <f>IFERROR(AT334*(1-N(AT335)),0)</f>
        <v>8769.81289795461</v>
      </c>
      <c r="AU333" s="263">
        <f>IFERROR(AU334*(1-N(AU335)),0)</f>
        <v>8462.79644529332</v>
      </c>
      <c r="AV333" s="263">
        <f>IFERROR(AV334*(1-N(AV335)),0)</f>
        <v>37062.0230623984</v>
      </c>
      <c r="AW333" s="263">
        <f>IFERROR(AW334*(1-N(AW335)),0)</f>
        <v>8669.84603848936</v>
      </c>
      <c r="AX333" s="263">
        <f>IFERROR(AX334*(1-N(AX335)),0)</f>
        <v>11814.342923811</v>
      </c>
      <c r="AY333" s="263">
        <f>IFERROR(AY334*(1-N(AY335)),0)</f>
        <v>9059.3956588958</v>
      </c>
      <c r="AZ333" s="263">
        <f>IFERROR(AZ334*(1-N(AZ335)),0)</f>
        <v>8742.2413990714</v>
      </c>
      <c r="BA333" s="263">
        <f>IFERROR(BA334*(1-N(BA335)),0)</f>
        <v>38285.8260202676</v>
      </c>
      <c r="BB333" s="263">
        <f>IFERROR(BB334*(1-N(BB335)),0)</f>
        <v>8912.77862319702</v>
      </c>
      <c r="BC333" s="263">
        <f>IFERROR(BC334*(1-N(BC335)),0)</f>
        <v>12145.3855802045</v>
      </c>
      <c r="BD333" s="263">
        <f>IFERROR(BD334*(1-N(BD335)),0)</f>
        <v>9313.24358116967</v>
      </c>
      <c r="BE333" s="263">
        <f>IFERROR(BE334*(1-N(BE335)),0)</f>
        <v>8987.20253099766</v>
      </c>
      <c r="BF333" s="263">
        <f>IFERROR(BF334*(1-N(BF335)),0)</f>
        <v>39358.6103155688</v>
      </c>
      <c r="BG333" s="85" t="n"/>
      <c r="BH333" s="76" t="n"/>
      <c r="BI333" s="76" t="n"/>
      <c r="BJ333" s="76" t="n"/>
      <c r="BL333" s="85" t="n"/>
      <c r="BM333" s="76" t="n"/>
      <c r="BN333" s="76" t="n"/>
      <c r="BO333" s="76" t="n"/>
      <c r="BQ333" s="85" t="n"/>
      <c r="BR333" s="76" t="n"/>
      <c r="BS333" s="76" t="n"/>
      <c r="BT333" s="76" t="n"/>
      <c r="BV333" s="85" t="n"/>
      <c r="BW333" s="76" t="n"/>
      <c r="BX333" s="76" t="n"/>
      <c r="BY333" s="76" t="n"/>
      <c r="CA333" s="85" t="n"/>
      <c r="CB333" s="76" t="n"/>
      <c r="CC333" s="76" t="n"/>
      <c r="CD333" s="76" t="n"/>
      <c r="CF333" s="85" t="n"/>
      <c r="CG333" s="76" t="n"/>
      <c r="CH333" s="76" t="n"/>
      <c r="CI333" s="76" t="n"/>
      <c r="CK333" s="85" t="n"/>
      <c r="CL333" s="76" t="n"/>
      <c r="CM333" s="76" t="n"/>
      <c r="CN333" s="76" t="n"/>
      <c r="CP333" s="85" t="n"/>
      <c r="CQ333" s="76" t="n"/>
      <c r="CR333" s="76" t="n"/>
      <c r="CS333" s="76" t="n"/>
      <c r="CU333" s="85" t="n"/>
      <c r="CV333" s="76" t="n"/>
      <c r="CW333" s="76" t="n"/>
      <c r="CX333" s="76" t="n"/>
    </row>
    <row r="334" customFormat="1" s="77">
      <c r="A334" s="76" t="n"/>
      <c r="B334" s="76" t="n"/>
      <c r="C334" s="77" t="inlineStr">
        <is>
          <t>EBIT</t>
        </is>
      </c>
      <c r="D334" s="86">
        <f>IFERROR(D116,"")</f>
        <v>0</v>
      </c>
      <c r="E334" s="86">
        <f>IFERROR(E116,"")</f>
        <v>0</v>
      </c>
      <c r="F334" s="86">
        <f>IFERROR(F116,"")</f>
        <v>0</v>
      </c>
      <c r="G334" s="86">
        <f>IFERROR(G116,"")</f>
        <v>0</v>
      </c>
      <c r="H334" s="263">
        <f>IFERROR(H59,0)</f>
        <v>0</v>
      </c>
      <c r="I334" s="263">
        <f>IFERROR(I59,0)</f>
        <v>3850</v>
      </c>
      <c r="J334" s="263">
        <f>IFERROR(J59,0)</f>
        <v>6561</v>
      </c>
      <c r="K334" s="263">
        <f>IFERROR(K59,0)</f>
        <v>9820</v>
      </c>
      <c r="L334" s="263">
        <f>IFERROR(L59,0)</f>
        <v>11950</v>
      </c>
      <c r="M334" s="263">
        <f>IFERROR(M59,0)</f>
        <v>32181</v>
      </c>
      <c r="N334" s="263">
        <f>IFERROR(N59,0)</f>
        <v>8744</v>
      </c>
      <c r="O334" s="263">
        <f>IFERROR(O59,0)</f>
        <v>25127</v>
      </c>
      <c r="P334" s="263">
        <f>IFERROR(P59,0)</f>
        <v>25631</v>
      </c>
      <c r="Q334" s="263">
        <f>IFERROR(Q59,0)</f>
        <v>19049</v>
      </c>
      <c r="R334" s="263">
        <f>IFERROR(R59,0)</f>
        <v>78551</v>
      </c>
      <c r="S334" s="263">
        <f>IFERROR(S59,0)</f>
        <v>16962</v>
      </c>
      <c r="T334" s="263">
        <f>IFERROR(T59,0)</f>
        <v>11905</v>
      </c>
      <c r="U334" s="263">
        <f>IFERROR(U59,0)</f>
        <v>13868</v>
      </c>
      <c r="V334" s="263">
        <f>IFERROR(V59,0)</f>
        <v>10897</v>
      </c>
      <c r="W334" s="263">
        <f>IFERROR(W59,0)</f>
        <v>53632</v>
      </c>
      <c r="X334" s="263">
        <f>IFERROR(X59,0)</f>
        <v>12590</v>
      </c>
      <c r="Y334" s="263">
        <f>IFERROR(Y59,0)</f>
        <v>13936</v>
      </c>
      <c r="Z334" s="263">
        <f>IFERROR(Z59,0)</f>
        <v>13233</v>
      </c>
      <c r="AA334" s="263">
        <f>IFERROR(AA59,0)</f>
        <v>10110</v>
      </c>
      <c r="AB334" s="263">
        <f>IFERROR(AB59,0)</f>
        <v>49869</v>
      </c>
      <c r="AC334" s="263">
        <f>IFERROR(AC59,0)</f>
        <v>11805</v>
      </c>
      <c r="AD334" s="263">
        <f>IFERROR(AD59,0)</f>
        <v>10850</v>
      </c>
      <c r="AE334" s="263">
        <f>IFERROR(AE59,0)</f>
        <v>11022</v>
      </c>
      <c r="AF334" s="263">
        <f>IFERROR(AF59,0)</f>
        <v>8194</v>
      </c>
      <c r="AG334" s="263">
        <f>IFERROR(AG59,0)</f>
        <v>41871</v>
      </c>
      <c r="AH334" s="263">
        <f>IFERROR(AH59,0)</f>
        <v>7262</v>
      </c>
      <c r="AI334" s="263">
        <f>IFERROR(AI59,0)</f>
        <v>19651</v>
      </c>
      <c r="AJ334" s="263">
        <f>IFERROR(AJ59,0)</f>
        <v>11247.628815698</v>
      </c>
      <c r="AK334" s="263">
        <f>IFERROR(AK59,0)</f>
        <v>10853.8681802057</v>
      </c>
      <c r="AL334" s="263">
        <f>IFERROR(AL59,0)</f>
        <v>49014.4969959037</v>
      </c>
      <c r="AM334" s="263">
        <f>IFERROR(AM59,0)</f>
        <v>11227.0572620688</v>
      </c>
      <c r="AN334" s="263">
        <f>IFERROR(AN59,0)</f>
        <v>15299.0380602485</v>
      </c>
      <c r="AO334" s="263">
        <f>IFERROR(AO59,0)</f>
        <v>11731.5063463206</v>
      </c>
      <c r="AP334" s="263">
        <f>IFERROR(AP59,0)</f>
        <v>11320.8059693877</v>
      </c>
      <c r="AQ334" s="263">
        <f>IFERROR(AQ59,0)</f>
        <v>49578.4076380255</v>
      </c>
      <c r="AR334" s="263">
        <f>IFERROR(AR59,0)</f>
        <v>11653.9145098423</v>
      </c>
      <c r="AS334" s="263">
        <f>IFERROR(AS59,0)</f>
        <v>15880.7136612132</v>
      </c>
      <c r="AT334" s="263">
        <f>IFERROR(AT59,0)</f>
        <v>12177.5429518474</v>
      </c>
      <c r="AU334" s="263">
        <f>IFERROR(AU59,0)</f>
        <v>11751.2275808457</v>
      </c>
      <c r="AV334" s="263">
        <f>IFERROR(AV59,0)</f>
        <v>51463.3987037486</v>
      </c>
      <c r="AW334" s="263">
        <f>IFERROR(AW59,0)</f>
        <v>12038.7314698848</v>
      </c>
      <c r="AX334" s="263">
        <f>IFERROR(AX59,0)</f>
        <v>16405.1012349554</v>
      </c>
      <c r="AY334" s="263">
        <f>IFERROR(AY59,0)</f>
        <v>12579.6503343547</v>
      </c>
      <c r="AZ334" s="263">
        <f>IFERROR(AZ59,0)</f>
        <v>12139.2578577634</v>
      </c>
      <c r="BA334" s="263">
        <f>IFERROR(BA59,0)</f>
        <v>53162.7408969583</v>
      </c>
      <c r="BB334" s="263">
        <f>IFERROR(BB59,0)</f>
        <v>12376.0615838911</v>
      </c>
      <c r="BC334" s="263">
        <f>IFERROR(BC59,0)</f>
        <v>16864.7787918238</v>
      </c>
      <c r="BD334" s="263">
        <f>IFERROR(BD59,0)</f>
        <v>12932.1372132308</v>
      </c>
      <c r="BE334" s="263">
        <f>IFERROR(BE59,0)</f>
        <v>12479.4047617254</v>
      </c>
      <c r="BF334" s="263">
        <f>IFERROR(BF59,0)</f>
        <v>54652.3823506712</v>
      </c>
      <c r="BG334" s="63" t="n"/>
      <c r="BH334" s="63" t="n"/>
      <c r="BI334" s="63" t="n"/>
      <c r="BJ334" s="63" t="n"/>
      <c r="BL334" s="63" t="n"/>
      <c r="BM334" s="63" t="n"/>
      <c r="BN334" s="63" t="n"/>
      <c r="BO334" s="63" t="n"/>
      <c r="BQ334" s="63" t="n"/>
      <c r="BR334" s="63" t="n"/>
      <c r="BS334" s="63" t="n"/>
      <c r="BT334" s="63" t="n"/>
      <c r="BV334" s="63" t="n"/>
      <c r="BW334" s="63" t="n"/>
      <c r="BX334" s="63" t="n"/>
      <c r="BY334" s="63" t="n"/>
      <c r="CA334" s="63" t="n"/>
      <c r="CB334" s="63" t="n"/>
      <c r="CC334" s="63" t="n"/>
      <c r="CD334" s="63" t="n"/>
      <c r="CF334" s="63" t="n"/>
      <c r="CG334" s="63" t="n"/>
      <c r="CH334" s="63" t="n"/>
      <c r="CI334" s="63" t="n"/>
      <c r="CK334" s="63" t="n"/>
      <c r="CL334" s="63" t="n"/>
      <c r="CM334" s="63" t="n"/>
      <c r="CN334" s="63" t="n"/>
      <c r="CP334" s="63" t="n"/>
      <c r="CQ334" s="63" t="n"/>
      <c r="CR334" s="63" t="n"/>
      <c r="CS334" s="63" t="n"/>
      <c r="CU334" s="63" t="n"/>
      <c r="CV334" s="63" t="n"/>
      <c r="CW334" s="63" t="n"/>
      <c r="CX334" s="63" t="n"/>
    </row>
    <row r="335" customFormat="1" s="77">
      <c r="A335" s="76" t="n"/>
      <c r="B335" s="76" t="n"/>
      <c r="C335" s="77" t="inlineStr">
        <is>
          <t>ETR (LIMITED TO 0%-100%)</t>
        </is>
      </c>
      <c r="D335" s="87">
        <f>IFERROR(D118,"")</f>
        <v>0</v>
      </c>
      <c r="E335" s="87">
        <f>IFERROR(E118,"")</f>
        <v>0</v>
      </c>
      <c r="F335" s="87">
        <f>IFERROR(F118,"")</f>
        <v>0</v>
      </c>
      <c r="G335" s="87">
        <f>IFERROR(G118,"")</f>
        <v>0</v>
      </c>
      <c r="H335" s="258" t="str">
        <f>IFERROR(IF(N(H116)&lt;&gt;0,MAX(0,MIN(1,-H117/H116)),""),"")</f>
        <v/>
      </c>
      <c r="I335" s="258">
        <f>IFERROR(IF(N(I116)&lt;&gt;0,MAX(0,MIN(1,-I117/I116)),""),"")</f>
        <v>0.221603563474388</v>
      </c>
      <c r="J335" s="258">
        <f>IFERROR(IF(N(J116)&lt;&gt;0,MAX(0,MIN(1,-J117/J116)),""),"")</f>
        <v>0.241953385127636</v>
      </c>
      <c r="K335" s="258">
        <f>IFERROR(IF(N(K116)&lt;&gt;0,MAX(0,MIN(1,-K117/K116)),""),"")</f>
        <v>0.277326670830731</v>
      </c>
      <c r="L335" s="258">
        <f>IFERROR(IF(N(L116)&lt;&gt;0,MAX(0,MIN(1,-L117/L116)),""),"")</f>
        <v>0.225935714894705</v>
      </c>
      <c r="M335" s="258">
        <f>IFERROR(IF(N(M116)&lt;&gt;0,MAX(0,MIN(1,-M117/M116)),""),"")</f>
        <v>0.244477172312224</v>
      </c>
      <c r="N335" s="258">
        <f>IFERROR(IF(N(N116)&lt;&gt;0,MAX(0,MIN(1,-N117/N116)),""),"")</f>
        <v>0.327956989247312</v>
      </c>
      <c r="O335" s="258">
        <f>IFERROR(IF(N(O116)&lt;&gt;0,MAX(0,MIN(1,-O117/O116)),""),"")</f>
        <v>0.255043516624554</v>
      </c>
      <c r="P335" s="258">
        <f>IFERROR(IF(N(P116)&lt;&gt;0,MAX(0,MIN(1,-P117/P116)),""),"")</f>
        <v>0.205491306742192</v>
      </c>
      <c r="Q335" s="258">
        <f>IFERROR(IF(N(Q116)&lt;&gt;0,MAX(0,MIN(1,-Q117/Q116)),""),"")</f>
        <v>0.307133000743021</v>
      </c>
      <c r="R335" s="258">
        <f>IFERROR(IF(N(R116)&lt;&gt;0,MAX(0,MIN(1,-R117/R116)),""),"")</f>
        <v>0.259488379869587</v>
      </c>
      <c r="S335" s="258">
        <f>IFERROR(IF(N(S116)&lt;&gt;0,MAX(0,MIN(1,-S117/S116)),""),"")</f>
        <v>0.295185383562459</v>
      </c>
      <c r="T335" s="258">
        <f>IFERROR(IF(N(T116)&lt;&gt;0,MAX(0,MIN(1,-T117/T116)),""),"")</f>
        <v>0.300531914893617</v>
      </c>
      <c r="U335" s="258">
        <f>IFERROR(IF(N(U116)&lt;&gt;0,MAX(0,MIN(1,-U117/U116)),""),"")</f>
        <v>0.317760420468647</v>
      </c>
      <c r="V335" s="258">
        <f>IFERROR(IF(N(V116)&lt;&gt;0,MAX(0,MIN(1,-V117/V116)),""),"")</f>
        <v>0.245929411764706</v>
      </c>
      <c r="W335" s="258">
        <f>IFERROR(IF(N(W116)&lt;&gt;0,MAX(0,MIN(1,-W117/W116)),""),"")</f>
        <v>0.292310024060777</v>
      </c>
      <c r="X335" s="258">
        <f>IFERROR(IF(N(X116)&lt;&gt;0,MAX(0,MIN(1,-X117/X116)),""),"")</f>
        <v>0.307462203896839</v>
      </c>
      <c r="Y335" s="258">
        <f>IFERROR(IF(N(Y116)&lt;&gt;0,MAX(0,MIN(1,-Y117/Y116)),""),"")</f>
        <v>0.299597511891694</v>
      </c>
      <c r="Z335" s="258">
        <f>IFERROR(IF(N(Z116)&lt;&gt;0,MAX(0,MIN(1,-Z117/Z116)),""),"")</f>
        <v>0.311300475971135</v>
      </c>
      <c r="AA335" s="258">
        <f>IFERROR(IF(N(AA116)&lt;&gt;0,MAX(0,MIN(1,-AA117/AA116)),""),"")</f>
        <v>0.189340670539081</v>
      </c>
      <c r="AB335" s="258">
        <f>IFERROR(IF(N(AB116)&lt;&gt;0,MAX(0,MIN(1,-AB117/AB116)),""),"")</f>
        <v>0.282569107687271</v>
      </c>
      <c r="AC335" s="258">
        <f>IFERROR(IF(N(AC116)&lt;&gt;0,MAX(0,MIN(1,-AC117/AC116)),""),"")</f>
        <v>0.3075</v>
      </c>
      <c r="AD335" s="258">
        <f>IFERROR(IF(N(AD116)&lt;&gt;0,MAX(0,MIN(1,-AD117/AD116)),""),"")</f>
        <v>0.31303129378795</v>
      </c>
      <c r="AE335" s="258">
        <f>IFERROR(IF(N(AE116)&lt;&gt;0,MAX(0,MIN(1,-AE117/AE116)),""),"")</f>
        <v>0.289425539699963</v>
      </c>
      <c r="AF335" s="258">
        <f>IFERROR(IF(N(AF116)&lt;&gt;0,MAX(0,MIN(1,-AF117/AF116)),""),"")</f>
        <v>0.177063877474785</v>
      </c>
      <c r="AG335" s="258">
        <f>IFERROR(IF(N(AG116)&lt;&gt;0,MAX(0,MIN(1,-AG117/AG116)),""),"")</f>
        <v>0.278763206358438</v>
      </c>
      <c r="AH335" s="258">
        <f>IFERROR(IF(N(AH116)&lt;&gt;0,MAX(0,MIN(1,-AH117/AH116)),""),"")</f>
        <v>0.358116836514999</v>
      </c>
      <c r="AI335" s="258">
        <f>IFERROR(IF(N(AI116)&lt;&gt;0,MAX(0,MIN(1,-AI117/AI116)),""),"")</f>
        <v>0.233885914332784</v>
      </c>
      <c r="AJ335" s="258">
        <f>IFERROR(IF(N(AJ116)&lt;&gt;0,MAX(0,MIN(1,-AJ117/AJ116)),""),"")</f>
        <v>0.27983724363508</v>
      </c>
      <c r="AK335" s="258">
        <f>IFERROR(IF(N(AK116)&lt;&gt;0,MAX(0,MIN(1,-AK117/AK116)),""),"")</f>
        <v>0.27983724363508</v>
      </c>
      <c r="AL335" s="258">
        <f>IFERROR(IF(N(AL116)&lt;&gt;0,MAX(0,MIN(1,-AL117/AL116)),""),"")</f>
        <v>0.272677688687792</v>
      </c>
      <c r="AM335" s="258">
        <f>IFERROR(IF(N(AM116)&lt;&gt;0,MAX(0,MIN(1,-AM117/AM116)),""),"")</f>
        <v>0.27983724363508</v>
      </c>
      <c r="AN335" s="258">
        <f>IFERROR(IF(N(AN116)&lt;&gt;0,MAX(0,MIN(1,-AN117/AN116)),""),"")</f>
        <v>0.27983724363508</v>
      </c>
      <c r="AO335" s="258">
        <f>IFERROR(IF(N(AO116)&lt;&gt;0,MAX(0,MIN(1,-AO117/AO116)),""),"")</f>
        <v>0.27983724363508</v>
      </c>
      <c r="AP335" s="258">
        <f>IFERROR(IF(N(AP116)&lt;&gt;0,MAX(0,MIN(1,-AP117/AP116)),""),"")</f>
        <v>0.27983724363508</v>
      </c>
      <c r="AQ335" s="258">
        <f>IFERROR(IF(N(AQ116)&lt;&gt;0,MAX(0,MIN(1,-AQ117/AQ116)),""),"")</f>
        <v>0.27983724363508</v>
      </c>
      <c r="AR335" s="258">
        <f>IFERROR(IF(N(AR116)&lt;&gt;0,MAX(0,MIN(1,-AR117/AR116)),""),"")</f>
        <v>0.27983724363508</v>
      </c>
      <c r="AS335" s="258">
        <f>IFERROR(IF(N(AS116)&lt;&gt;0,MAX(0,MIN(1,-AS117/AS116)),""),"")</f>
        <v>0.27983724363508</v>
      </c>
      <c r="AT335" s="258">
        <f>IFERROR(IF(N(AT116)&lt;&gt;0,MAX(0,MIN(1,-AT117/AT116)),""),"")</f>
        <v>0.27983724363508</v>
      </c>
      <c r="AU335" s="258">
        <f>IFERROR(IF(N(AU116)&lt;&gt;0,MAX(0,MIN(1,-AU117/AU116)),""),"")</f>
        <v>0.27983724363508</v>
      </c>
      <c r="AV335" s="258">
        <f>IFERROR(IF(N(AV116)&lt;&gt;0,MAX(0,MIN(1,-AV117/AV116)),""),"")</f>
        <v>0.27983724363508</v>
      </c>
      <c r="AW335" s="258">
        <f>IFERROR(IF(N(AW116)&lt;&gt;0,MAX(0,MIN(1,-AW117/AW116)),""),"")</f>
        <v>0.27983724363508</v>
      </c>
      <c r="AX335" s="258">
        <f>IFERROR(IF(N(AX116)&lt;&gt;0,MAX(0,MIN(1,-AX117/AX116)),""),"")</f>
        <v>0.27983724363508</v>
      </c>
      <c r="AY335" s="258">
        <f>IFERROR(IF(N(AY116)&lt;&gt;0,MAX(0,MIN(1,-AY117/AY116)),""),"")</f>
        <v>0.27983724363508</v>
      </c>
      <c r="AZ335" s="258">
        <f>IFERROR(IF(N(AZ116)&lt;&gt;0,MAX(0,MIN(1,-AZ117/AZ116)),""),"")</f>
        <v>0.27983724363508</v>
      </c>
      <c r="BA335" s="258">
        <f>IFERROR(IF(N(BA116)&lt;&gt;0,MAX(0,MIN(1,-BA117/BA116)),""),"")</f>
        <v>0.27983724363508</v>
      </c>
      <c r="BB335" s="258">
        <f>IFERROR(IF(N(BB116)&lt;&gt;0,MAX(0,MIN(1,-BB117/BB116)),""),"")</f>
        <v>0.27983724363508</v>
      </c>
      <c r="BC335" s="258">
        <f>IFERROR(IF(N(BC116)&lt;&gt;0,MAX(0,MIN(1,-BC117/BC116)),""),"")</f>
        <v>0.27983724363508</v>
      </c>
      <c r="BD335" s="258">
        <f>IFERROR(IF(N(BD116)&lt;&gt;0,MAX(0,MIN(1,-BD117/BD116)),""),"")</f>
        <v>0.27983724363508</v>
      </c>
      <c r="BE335" s="258">
        <f>IFERROR(IF(N(BE116)&lt;&gt;0,MAX(0,MIN(1,-BE117/BE116)),""),"")</f>
        <v>0.27983724363508</v>
      </c>
      <c r="BF335" s="258">
        <f>IFERROR(IF(N(BF116)&lt;&gt;0,MAX(0,MIN(1,-BF117/BF116)),""),"")</f>
        <v>0.27983724363508</v>
      </c>
      <c r="BG335" s="88" t="n"/>
      <c r="BH335" s="88" t="n"/>
      <c r="BI335" s="88" t="n"/>
      <c r="BJ335" s="88" t="n"/>
      <c r="BL335" s="88" t="n"/>
      <c r="BM335" s="88" t="n"/>
      <c r="BN335" s="88" t="n"/>
      <c r="BO335" s="88" t="n"/>
      <c r="BQ335" s="88" t="n"/>
      <c r="BR335" s="88" t="n"/>
      <c r="BS335" s="88" t="n"/>
      <c r="BT335" s="88" t="n"/>
      <c r="BV335" s="88" t="n"/>
      <c r="BW335" s="88" t="n"/>
      <c r="BX335" s="88" t="n"/>
      <c r="BY335" s="88" t="n"/>
      <c r="CA335" s="88" t="n"/>
      <c r="CB335" s="88" t="n"/>
      <c r="CC335" s="88" t="n"/>
      <c r="CD335" s="88" t="n"/>
      <c r="CF335" s="88" t="n"/>
      <c r="CG335" s="88" t="n"/>
      <c r="CH335" s="88" t="n"/>
      <c r="CI335" s="88" t="n"/>
      <c r="CK335" s="88" t="n"/>
      <c r="CL335" s="88" t="n"/>
      <c r="CM335" s="88" t="n"/>
      <c r="CN335" s="88" t="n"/>
      <c r="CP335" s="88" t="n"/>
      <c r="CQ335" s="88" t="n"/>
      <c r="CR335" s="88" t="n"/>
      <c r="CS335" s="88" t="n"/>
      <c r="CU335" s="88" t="n"/>
      <c r="CV335" s="88" t="n"/>
      <c r="CW335" s="88" t="n"/>
      <c r="CX335" s="88" t="n"/>
    </row>
    <row r="336" customFormat="1" s="77">
      <c r="A336" s="76" t="n"/>
      <c r="B336" s="76" t="n"/>
      <c r="C336" s="77" t="inlineStr">
        <is>
          <t>INVESTED CAPITAL</t>
        </is>
      </c>
      <c r="D336" s="86">
        <f>IFERROR(D339-D340+D341,"")</f>
        <v>0</v>
      </c>
      <c r="E336" s="86">
        <f>IFERROR(E339-E340+E341,"")</f>
        <v>0</v>
      </c>
      <c r="F336" s="86">
        <f>IFERROR(F339-F340+F341,"")</f>
        <v>0</v>
      </c>
      <c r="G336" s="86">
        <f>IFERROR(G339-G340+G341,"")</f>
        <v>0</v>
      </c>
      <c r="H336" s="263">
        <f>IFERROR(H338+H341,0)</f>
        <v>0</v>
      </c>
      <c r="I336" s="263">
        <f>IFERROR(I338+I341,0)</f>
        <v>242021</v>
      </c>
      <c r="J336" s="263">
        <f>IFERROR(J338+J341,0)</f>
        <v>241214</v>
      </c>
      <c r="K336" s="263">
        <f>IFERROR(K338+K341,0)</f>
        <v>238351</v>
      </c>
      <c r="L336" s="263">
        <f>IFERROR(L338+L341,0)</f>
        <v>236750</v>
      </c>
      <c r="M336" s="263">
        <f>IFERROR(M338+M341,0)</f>
        <v>236750</v>
      </c>
      <c r="N336" s="263">
        <f>IFERROR(N338+N341,0)</f>
        <v>232522</v>
      </c>
      <c r="O336" s="263">
        <f>IFERROR(O338+O341,0)</f>
        <v>233337</v>
      </c>
      <c r="P336" s="263">
        <f>IFERROR(P338+P341,0)</f>
        <v>229338</v>
      </c>
      <c r="Q336" s="263">
        <f>IFERROR(Q338+Q341,0)</f>
        <v>236900</v>
      </c>
      <c r="R336" s="263">
        <f>IFERROR(R338+R341,0)</f>
        <v>236900</v>
      </c>
      <c r="S336" s="263">
        <f>IFERROR(S338+S341,0)</f>
        <v>238404</v>
      </c>
      <c r="T336" s="263">
        <f>IFERROR(T338+T341,0)</f>
        <v>242425</v>
      </c>
      <c r="U336" s="263">
        <f>IFERROR(U338+U341,0)</f>
        <v>239754</v>
      </c>
      <c r="V336" s="263">
        <f>IFERROR(V338+V341,0)</f>
        <v>247024</v>
      </c>
      <c r="W336" s="263">
        <f>IFERROR(W338+W341,0)</f>
        <v>247024</v>
      </c>
      <c r="X336" s="263">
        <f>IFERROR(X338+X341,0)</f>
        <v>244278</v>
      </c>
      <c r="Y336" s="263">
        <f>IFERROR(Y338+Y341,0)</f>
        <v>333072</v>
      </c>
      <c r="Z336" s="263">
        <f>IFERROR(Z338+Z341,0)</f>
        <v>332305</v>
      </c>
      <c r="AA336" s="263">
        <f>IFERROR(AA338+AA341,0)</f>
        <v>328329</v>
      </c>
      <c r="AB336" s="263">
        <f>IFERROR(AB338+AB341,0)</f>
        <v>328329</v>
      </c>
      <c r="AC336" s="263">
        <f>IFERROR(AC338+AC341,0)</f>
        <v>329412</v>
      </c>
      <c r="AD336" s="263">
        <f>IFERROR(AD338+AD341,0)</f>
        <v>333967</v>
      </c>
      <c r="AE336" s="263">
        <f>IFERROR(AE338+AE341,0)</f>
        <v>336387</v>
      </c>
      <c r="AF336" s="263">
        <f>IFERROR(AF338+AF341,0)</f>
        <v>339698</v>
      </c>
      <c r="AG336" s="263">
        <f>IFERROR(AG338+AG341,0)</f>
        <v>339698</v>
      </c>
      <c r="AH336" s="263">
        <f>IFERROR(AH338+AH341,0)</f>
        <v>340240</v>
      </c>
      <c r="AI336" s="263">
        <f>IFERROR(AI338+AI341,0)</f>
        <v>337437</v>
      </c>
      <c r="AJ336" s="263">
        <f>IFERROR(AJ338+AJ341,0)</f>
        <v>334377.107576605</v>
      </c>
      <c r="AK336" s="263">
        <f>IFERROR(AK338+AK341,0)</f>
        <v>335089.340215046</v>
      </c>
      <c r="AL336" s="263">
        <f>IFERROR(AL338+AL341,0)</f>
        <v>335089.340215046</v>
      </c>
      <c r="AM336" s="263">
        <f>IFERROR(AM338+AM341,0)</f>
        <v>334256.30825746</v>
      </c>
      <c r="AN336" s="263">
        <f>IFERROR(AN338+AN341,0)</f>
        <v>328400.19586932</v>
      </c>
      <c r="AO336" s="263">
        <f>IFERROR(AO338+AO341,0)</f>
        <v>334199.375588463</v>
      </c>
      <c r="AP336" s="263">
        <f>IFERROR(AP338+AP341,0)</f>
        <v>334915.772619618</v>
      </c>
      <c r="AQ336" s="263">
        <f>IFERROR(AQ338+AQ341,0)</f>
        <v>334915.772619618</v>
      </c>
      <c r="AR336" s="263">
        <f>IFERROR(AR338+AR341,0)</f>
        <v>334331.442423386</v>
      </c>
      <c r="AS336" s="263">
        <f>IFERROR(AS338+AS341,0)</f>
        <v>328052.769598212</v>
      </c>
      <c r="AT336" s="263">
        <f>IFERROR(AT338+AT341,0)</f>
        <v>334072.878785249</v>
      </c>
      <c r="AU336" s="263">
        <f>IFERROR(AU338+AU341,0)</f>
        <v>334818.082519187</v>
      </c>
      <c r="AV336" s="263">
        <f>IFERROR(AV338+AV341,0)</f>
        <v>334818.082519187</v>
      </c>
      <c r="AW336" s="263">
        <f>IFERROR(AW338+AW341,0)</f>
        <v>334099.828023188</v>
      </c>
      <c r="AX336" s="263">
        <f>IFERROR(AX338+AX341,0)</f>
        <v>327826.034409013</v>
      </c>
      <c r="AY336" s="263">
        <f>IFERROR(AY338+AY341,0)</f>
        <v>334052.553348687</v>
      </c>
      <c r="AZ336" s="263">
        <f>IFERROR(AZ338+AZ341,0)</f>
        <v>334831.383284054</v>
      </c>
      <c r="BA336" s="263">
        <f>IFERROR(BA338+BA341,0)</f>
        <v>334831.383284054</v>
      </c>
      <c r="BB336" s="263">
        <f>IFERROR(BB338+BB341,0)</f>
        <v>334195.246073805</v>
      </c>
      <c r="BC336" s="263">
        <f>IFERROR(BC338+BC341,0)</f>
        <v>327759.869931596</v>
      </c>
      <c r="BD336" s="263">
        <f>IFERROR(BD338+BD341,0)</f>
        <v>334176.569123209</v>
      </c>
      <c r="BE336" s="263">
        <f>IFERROR(BE338+BE341,0)</f>
        <v>334994.51019343</v>
      </c>
      <c r="BF336" s="263">
        <f>IFERROR(BF338+BF341,0)</f>
        <v>334994.51019343</v>
      </c>
      <c r="BG336" s="63" t="n"/>
      <c r="BH336" s="63" t="n"/>
      <c r="BI336" s="63" t="n"/>
      <c r="BJ336" s="63" t="n"/>
      <c r="BL336" s="63" t="n"/>
      <c r="BM336" s="63" t="n"/>
      <c r="BN336" s="63" t="n"/>
      <c r="BO336" s="63" t="n"/>
      <c r="BQ336" s="63" t="n"/>
      <c r="BR336" s="63" t="n"/>
      <c r="BS336" s="63" t="n"/>
      <c r="BT336" s="63" t="n"/>
      <c r="BV336" s="63" t="n"/>
      <c r="BW336" s="63" t="n"/>
      <c r="BX336" s="63" t="n"/>
      <c r="BY336" s="63" t="n"/>
      <c r="CA336" s="63" t="n"/>
      <c r="CB336" s="63" t="n"/>
      <c r="CC336" s="63" t="n"/>
      <c r="CD336" s="63" t="n"/>
      <c r="CF336" s="63" t="n"/>
      <c r="CG336" s="63" t="n"/>
      <c r="CH336" s="63" t="n"/>
      <c r="CI336" s="63" t="n"/>
      <c r="CK336" s="63" t="n"/>
      <c r="CL336" s="63" t="n"/>
      <c r="CM336" s="63" t="n"/>
      <c r="CN336" s="63" t="n"/>
      <c r="CP336" s="63" t="n"/>
      <c r="CQ336" s="63" t="n"/>
      <c r="CR336" s="63" t="n"/>
      <c r="CS336" s="63" t="n"/>
      <c r="CU336" s="63" t="n"/>
      <c r="CV336" s="63" t="n"/>
      <c r="CW336" s="63" t="n"/>
      <c r="CX336" s="63" t="n"/>
    </row>
    <row r="337" customFormat="1" s="77">
      <c r="A337" s="76" t="n"/>
      <c r="B337" s="76" t="n"/>
      <c r="C337" s="77" t="inlineStr">
        <is>
          <t>INVESTED CAPITAL - EX GOODWILL</t>
        </is>
      </c>
      <c r="D337" s="89">
        <f>IFERROR(D336-D165,"")</f>
        <v>0</v>
      </c>
      <c r="E337" s="89">
        <f>IFERROR(E336-E165,"")</f>
        <v>0</v>
      </c>
      <c r="F337" s="89">
        <f>IFERROR(F336-F165,"")</f>
        <v>0</v>
      </c>
      <c r="G337" s="89">
        <f>IFERROR(G336-G165,"")</f>
        <v>0</v>
      </c>
      <c r="H337" s="263">
        <f>IFERROR(H336-N(H165),0)</f>
        <v>0</v>
      </c>
      <c r="I337" s="263">
        <f>IFERROR(I336-N(I165),0)</f>
        <v>242021</v>
      </c>
      <c r="J337" s="263">
        <f>IFERROR(J336-N(J165),0)</f>
        <v>241214</v>
      </c>
      <c r="K337" s="263">
        <f>IFERROR(K336-N(K165),0)</f>
        <v>238351</v>
      </c>
      <c r="L337" s="263">
        <f>IFERROR(L336-N(L165),0)</f>
        <v>236750</v>
      </c>
      <c r="M337" s="263">
        <f>IFERROR(M336-N(M165),0)</f>
        <v>236750</v>
      </c>
      <c r="N337" s="263">
        <f>IFERROR(N336-N(N165),0)</f>
        <v>232522</v>
      </c>
      <c r="O337" s="263">
        <f>IFERROR(O336-N(O165),0)</f>
        <v>233337</v>
      </c>
      <c r="P337" s="263">
        <f>IFERROR(P336-N(P165),0)</f>
        <v>229338</v>
      </c>
      <c r="Q337" s="263">
        <f>IFERROR(Q336-N(Q165),0)</f>
        <v>236900</v>
      </c>
      <c r="R337" s="263">
        <f>IFERROR(R336-N(R165),0)</f>
        <v>236900</v>
      </c>
      <c r="S337" s="263">
        <f>IFERROR(S336-N(S165),0)</f>
        <v>238404</v>
      </c>
      <c r="T337" s="263">
        <f>IFERROR(T336-N(T165),0)</f>
        <v>242425</v>
      </c>
      <c r="U337" s="263">
        <f>IFERROR(U336-N(U165),0)</f>
        <v>239754</v>
      </c>
      <c r="V337" s="263">
        <f>IFERROR(V336-N(V165),0)</f>
        <v>247024</v>
      </c>
      <c r="W337" s="263">
        <f>IFERROR(W336-N(W165),0)</f>
        <v>247024</v>
      </c>
      <c r="X337" s="263">
        <f>IFERROR(X336-N(X165),0)</f>
        <v>244278</v>
      </c>
      <c r="Y337" s="263">
        <f>IFERROR(Y336-N(Y165),0)</f>
        <v>333072</v>
      </c>
      <c r="Z337" s="263">
        <f>IFERROR(Z336-N(Z165),0)</f>
        <v>332305</v>
      </c>
      <c r="AA337" s="263">
        <f>IFERROR(AA336-N(AA165),0)</f>
        <v>328329</v>
      </c>
      <c r="AB337" s="263">
        <f>IFERROR(AB336-N(AB165),0)</f>
        <v>328329</v>
      </c>
      <c r="AC337" s="263">
        <f>IFERROR(AC336-N(AC165),0)</f>
        <v>329412</v>
      </c>
      <c r="AD337" s="263">
        <f>IFERROR(AD336-N(AD165),0)</f>
        <v>333967</v>
      </c>
      <c r="AE337" s="263">
        <f>IFERROR(AE336-N(AE165),0)</f>
        <v>336387</v>
      </c>
      <c r="AF337" s="263">
        <f>IFERROR(AF336-N(AF165),0)</f>
        <v>339698</v>
      </c>
      <c r="AG337" s="263">
        <f>IFERROR(AG336-N(AG165),0)</f>
        <v>339698</v>
      </c>
      <c r="AH337" s="263">
        <f>IFERROR(AH336-N(AH165),0)</f>
        <v>340240</v>
      </c>
      <c r="AI337" s="263">
        <f>IFERROR(AI336-N(AI165),0)</f>
        <v>337437</v>
      </c>
      <c r="AJ337" s="263">
        <f>IFERROR(AJ336-N(AJ165),0)</f>
        <v>334377.107576605</v>
      </c>
      <c r="AK337" s="263">
        <f>IFERROR(AK336-N(AK165),0)</f>
        <v>335089.340215046</v>
      </c>
      <c r="AL337" s="263">
        <f>IFERROR(AL336-N(AL165),0)</f>
        <v>335089.340215046</v>
      </c>
      <c r="AM337" s="263">
        <f>IFERROR(AM336-N(AM165),0)</f>
        <v>334256.30825746</v>
      </c>
      <c r="AN337" s="263">
        <f>IFERROR(AN336-N(AN165),0)</f>
        <v>328400.19586932</v>
      </c>
      <c r="AO337" s="263">
        <f>IFERROR(AO336-N(AO165),0)</f>
        <v>334199.375588463</v>
      </c>
      <c r="AP337" s="263">
        <f>IFERROR(AP336-N(AP165),0)</f>
        <v>334915.772619618</v>
      </c>
      <c r="AQ337" s="263">
        <f>IFERROR(AQ336-N(AQ165),0)</f>
        <v>334915.772619618</v>
      </c>
      <c r="AR337" s="263">
        <f>IFERROR(AR336-N(AR165),0)</f>
        <v>334331.442423386</v>
      </c>
      <c r="AS337" s="263">
        <f>IFERROR(AS336-N(AS165),0)</f>
        <v>328052.769598212</v>
      </c>
      <c r="AT337" s="263">
        <f>IFERROR(AT336-N(AT165),0)</f>
        <v>334072.878785249</v>
      </c>
      <c r="AU337" s="263">
        <f>IFERROR(AU336-N(AU165),0)</f>
        <v>334818.082519187</v>
      </c>
      <c r="AV337" s="263">
        <f>IFERROR(AV336-N(AV165),0)</f>
        <v>334818.082519187</v>
      </c>
      <c r="AW337" s="263">
        <f>IFERROR(AW336-N(AW165),0)</f>
        <v>334099.828023188</v>
      </c>
      <c r="AX337" s="263">
        <f>IFERROR(AX336-N(AX165),0)</f>
        <v>327826.034409013</v>
      </c>
      <c r="AY337" s="263">
        <f>IFERROR(AY336-N(AY165),0)</f>
        <v>334052.553348687</v>
      </c>
      <c r="AZ337" s="263">
        <f>IFERROR(AZ336-N(AZ165),0)</f>
        <v>334831.383284054</v>
      </c>
      <c r="BA337" s="263">
        <f>IFERROR(BA336-N(BA165),0)</f>
        <v>334831.383284054</v>
      </c>
      <c r="BB337" s="263">
        <f>IFERROR(BB336-N(BB165),0)</f>
        <v>334195.246073805</v>
      </c>
      <c r="BC337" s="263">
        <f>IFERROR(BC336-N(BC165),0)</f>
        <v>327759.869931596</v>
      </c>
      <c r="BD337" s="263">
        <f>IFERROR(BD336-N(BD165),0)</f>
        <v>334176.569123209</v>
      </c>
      <c r="BE337" s="263">
        <f>IFERROR(BE336-N(BE165),0)</f>
        <v>334994.51019343</v>
      </c>
      <c r="BF337" s="263">
        <f>IFERROR(BF336-N(BF165),0)</f>
        <v>334994.51019343</v>
      </c>
      <c r="BG337" s="90" t="n"/>
      <c r="BH337" s="90" t="n"/>
      <c r="BI337" s="90" t="n"/>
      <c r="BJ337" s="90" t="n"/>
      <c r="BL337" s="90" t="n"/>
      <c r="BM337" s="90" t="n"/>
      <c r="BN337" s="90" t="n"/>
      <c r="BO337" s="90" t="n"/>
      <c r="BQ337" s="90" t="n"/>
      <c r="BR337" s="90" t="n"/>
      <c r="BS337" s="90" t="n"/>
      <c r="BT337" s="90" t="n"/>
      <c r="BV337" s="90" t="n"/>
      <c r="BW337" s="90" t="n"/>
      <c r="BX337" s="90" t="n"/>
      <c r="BY337" s="90" t="n"/>
      <c r="CA337" s="90" t="n"/>
      <c r="CB337" s="90" t="n"/>
      <c r="CC337" s="90" t="n"/>
      <c r="CD337" s="90" t="n"/>
      <c r="CF337" s="90" t="n"/>
      <c r="CG337" s="90" t="n"/>
      <c r="CH337" s="90" t="n"/>
      <c r="CI337" s="90" t="n"/>
      <c r="CK337" s="90" t="n"/>
      <c r="CL337" s="90" t="n"/>
      <c r="CM337" s="90" t="n"/>
      <c r="CN337" s="90" t="n"/>
      <c r="CP337" s="90" t="n"/>
      <c r="CQ337" s="90" t="n"/>
      <c r="CR337" s="90" t="n"/>
      <c r="CS337" s="90" t="n"/>
      <c r="CU337" s="90" t="n"/>
      <c r="CV337" s="90" t="n"/>
      <c r="CW337" s="90" t="n"/>
      <c r="CX337" s="90" t="n"/>
    </row>
    <row r="338" customFormat="1" s="77">
      <c r="A338" s="76" t="n"/>
      <c r="B338" s="76" t="n"/>
      <c r="C338" s="77" t="inlineStr">
        <is>
          <t>OPERATING WORKING CAPITAL</t>
        </is>
      </c>
      <c r="D338" s="91">
        <f>IFERROR(D339-D340,"")</f>
        <v>0</v>
      </c>
      <c r="E338" s="91">
        <f>IFERROR(E339-E340,"")</f>
        <v>0</v>
      </c>
      <c r="F338" s="91">
        <f>IFERROR(F339-F340,"")</f>
        <v>0</v>
      </c>
      <c r="G338" s="91">
        <f>IFERROR(G339-G340,"")</f>
        <v>0</v>
      </c>
      <c r="H338" s="263">
        <f>IFERROR(H339-H340,0)</f>
        <v>0</v>
      </c>
      <c r="I338" s="263">
        <f>IFERROR(I339-I340,0)</f>
        <v>2715</v>
      </c>
      <c r="J338" s="263">
        <f>IFERROR(J339-J340,0)</f>
        <v>2432</v>
      </c>
      <c r="K338" s="263">
        <f>IFERROR(K339-K340,0)</f>
        <v>1897</v>
      </c>
      <c r="L338" s="263">
        <f>IFERROR(L339-L340,0)</f>
        <v>-15</v>
      </c>
      <c r="M338" s="263">
        <f>IFERROR(M339-M340,0)</f>
        <v>-15</v>
      </c>
      <c r="N338" s="263">
        <f>IFERROR(N339-N340,0)</f>
        <v>-992</v>
      </c>
      <c r="O338" s="263">
        <f>IFERROR(O339-O340,0)</f>
        <v>1559</v>
      </c>
      <c r="P338" s="263">
        <f>IFERROR(P339-P340,0)</f>
        <v>1007</v>
      </c>
      <c r="Q338" s="263">
        <f>IFERROR(Q339-Q340,0)</f>
        <v>-420</v>
      </c>
      <c r="R338" s="263">
        <f>IFERROR(R339-R340,0)</f>
        <v>-420</v>
      </c>
      <c r="S338" s="263">
        <f>IFERROR(S339-S340,0)</f>
        <v>203</v>
      </c>
      <c r="T338" s="263">
        <f>IFERROR(T339-T340,0)</f>
        <v>4346</v>
      </c>
      <c r="U338" s="263">
        <f>IFERROR(U339-U340,0)</f>
        <v>1755</v>
      </c>
      <c r="V338" s="263">
        <f>IFERROR(V339-V340,0)</f>
        <v>3844</v>
      </c>
      <c r="W338" s="263">
        <f>IFERROR(W339-W340,0)</f>
        <v>3844</v>
      </c>
      <c r="X338" s="263">
        <f>IFERROR(X339-X340,0)</f>
        <v>2363</v>
      </c>
      <c r="Y338" s="263">
        <f>IFERROR(Y339-Y340,0)</f>
        <v>5636</v>
      </c>
      <c r="Z338" s="263">
        <f>IFERROR(Z339-Z340,0)</f>
        <v>3062</v>
      </c>
      <c r="AA338" s="263">
        <f>IFERROR(AA339-AA340,0)</f>
        <v>3609</v>
      </c>
      <c r="AB338" s="263">
        <f>IFERROR(AB339-AB340,0)</f>
        <v>3609</v>
      </c>
      <c r="AC338" s="263">
        <f>IFERROR(AC339-AC340,0)</f>
        <v>5096</v>
      </c>
      <c r="AD338" s="263">
        <f>IFERROR(AD339-AD340,0)</f>
        <v>8014</v>
      </c>
      <c r="AE338" s="263">
        <f>IFERROR(AE339-AE340,0)</f>
        <v>6053</v>
      </c>
      <c r="AF338" s="263">
        <f>IFERROR(AF339-AF340,0)</f>
        <v>9667</v>
      </c>
      <c r="AG338" s="263">
        <f>IFERROR(AG339-AG340,0)</f>
        <v>9667</v>
      </c>
      <c r="AH338" s="263">
        <f>IFERROR(AH339-AH340,0)</f>
        <v>9505</v>
      </c>
      <c r="AI338" s="263">
        <f>IFERROR(AI339-AI340,0)</f>
        <v>11514</v>
      </c>
      <c r="AJ338" s="263">
        <f>IFERROR(AJ339-AJ340,0)</f>
        <v>8141.98325456516</v>
      </c>
      <c r="AK338" s="263">
        <f>IFERROR(AK339-AK340,0)</f>
        <v>8553.01852040696</v>
      </c>
      <c r="AL338" s="263">
        <f>IFERROR(AL339-AL340,0)</f>
        <v>8553.01852040696</v>
      </c>
      <c r="AM338" s="263">
        <f>IFERROR(AM339-AM340,0)</f>
        <v>7408.4331061908</v>
      </c>
      <c r="AN338" s="263">
        <f>IFERROR(AN339-AN340,0)</f>
        <v>1127.7688448813</v>
      </c>
      <c r="AO338" s="263">
        <f>IFERROR(AO339-AO340,0)</f>
        <v>6601.39652769233</v>
      </c>
      <c r="AP338" s="263">
        <f>IFERROR(AP339-AP340,0)</f>
        <v>7003.63855373127</v>
      </c>
      <c r="AQ338" s="263">
        <f>IFERROR(AQ339-AQ340,0)</f>
        <v>7003.63855373127</v>
      </c>
      <c r="AR338" s="263">
        <f>IFERROR(AR339-AR340,0)</f>
        <v>6095.90951272026</v>
      </c>
      <c r="AS338" s="263">
        <f>IFERROR(AS339-AS340,0)</f>
        <v>-623.45681916835</v>
      </c>
      <c r="AT338" s="263">
        <f>IFERROR(AT339-AT340,0)</f>
        <v>5058.72271173961</v>
      </c>
      <c r="AU338" s="263">
        <f>IFERROR(AU339-AU340,0)</f>
        <v>5477.82714048983</v>
      </c>
      <c r="AV338" s="263">
        <f>IFERROR(AV339-AV340,0)</f>
        <v>5477.82714048983</v>
      </c>
      <c r="AW338" s="263">
        <f>IFERROR(AW339-AW340,0)</f>
        <v>4425.49503935051</v>
      </c>
      <c r="AX338" s="263">
        <f>IFERROR(AX339-AX340,0)</f>
        <v>-2303.54395897285</v>
      </c>
      <c r="AY338" s="263">
        <f>IFERROR(AY339-AY340,0)</f>
        <v>3573.88675095505</v>
      </c>
      <c r="AZ338" s="263">
        <f>IFERROR(AZ339-AZ340,0)</f>
        <v>4015.84945047983</v>
      </c>
      <c r="BA338" s="263">
        <f>IFERROR(BA339-BA340,0)</f>
        <v>4015.84945047983</v>
      </c>
      <c r="BB338" s="263">
        <f>IFERROR(BB339-BB340,0)</f>
        <v>3036.27364577766</v>
      </c>
      <c r="BC338" s="263">
        <f>IFERROR(BC339-BC340,0)</f>
        <v>-3867.10403995674</v>
      </c>
      <c r="BD338" s="263">
        <f>IFERROR(BD339-BD340,0)</f>
        <v>2190.72532883799</v>
      </c>
      <c r="BE338" s="263">
        <f>IFERROR(BE339-BE340,0)</f>
        <v>2662.36000732619</v>
      </c>
      <c r="BF338" s="263">
        <f>IFERROR(BF339-BF340,0)</f>
        <v>2662.36000732619</v>
      </c>
      <c r="BG338" s="63" t="n"/>
      <c r="BH338" s="63" t="n"/>
      <c r="BI338" s="63" t="n"/>
      <c r="BJ338" s="63" t="n"/>
      <c r="BL338" s="63" t="n"/>
      <c r="BM338" s="63" t="n"/>
      <c r="BN338" s="63" t="n"/>
      <c r="BO338" s="63" t="n"/>
      <c r="BQ338" s="63" t="n"/>
      <c r="BR338" s="63" t="n"/>
      <c r="BS338" s="63" t="n"/>
      <c r="BT338" s="63" t="n"/>
      <c r="BV338" s="63" t="n"/>
      <c r="BW338" s="63" t="n"/>
      <c r="BX338" s="63" t="n"/>
      <c r="BY338" s="63" t="n"/>
      <c r="CA338" s="63" t="n"/>
      <c r="CB338" s="63" t="n"/>
      <c r="CC338" s="63" t="n"/>
      <c r="CD338" s="63" t="n"/>
      <c r="CF338" s="63" t="n"/>
      <c r="CG338" s="63" t="n"/>
      <c r="CH338" s="63" t="n"/>
      <c r="CI338" s="63" t="n"/>
      <c r="CK338" s="63" t="n"/>
      <c r="CL338" s="63" t="n"/>
      <c r="CM338" s="63" t="n"/>
      <c r="CN338" s="63" t="n"/>
      <c r="CP338" s="63" t="n"/>
      <c r="CQ338" s="63" t="n"/>
      <c r="CR338" s="63" t="n"/>
      <c r="CS338" s="63" t="n"/>
      <c r="CU338" s="63" t="n"/>
      <c r="CV338" s="63" t="n"/>
      <c r="CW338" s="63" t="n"/>
      <c r="CX338" s="63" t="n"/>
    </row>
    <row r="339" customFormat="1" s="77">
      <c r="A339" s="76" t="n"/>
      <c r="B339" s="76" t="n"/>
      <c r="C339" s="77" t="inlineStr">
        <is>
          <t>CURRENT ASSETS (OPERATING, EX CASH)</t>
        </is>
      </c>
      <c r="D339" s="89">
        <f>IFERROR(D131+D135+D139+D140+D141,"")</f>
        <v>0</v>
      </c>
      <c r="E339" s="89">
        <f>IFERROR(E131+E135+E139+E140+E141,"")</f>
        <v>0</v>
      </c>
      <c r="F339" s="89">
        <f>IFERROR(F131+F135+F139+F140+F141,"")</f>
        <v>0</v>
      </c>
      <c r="G339" s="89">
        <f>IFERROR(G131+G135+G139+G140+G141,"")</f>
        <v>0</v>
      </c>
      <c r="H339" s="263">
        <f>IFERROR((N(H131)+N(H135)+N(H139)+N(H140)+N(H141)),0)</f>
        <v>0</v>
      </c>
      <c r="I339" s="263">
        <f>IFERROR((N(I131)+N(I135)+N(I139)+N(I140)+N(I141)),0)</f>
        <v>44680</v>
      </c>
      <c r="J339" s="263">
        <f>IFERROR((N(J131)+N(J135)+N(J139)+N(J140)+N(J141)),0)</f>
        <v>49377</v>
      </c>
      <c r="K339" s="263">
        <f>IFERROR((N(K131)+N(K135)+N(K139)+N(K140)+N(K141)),0)</f>
        <v>50787</v>
      </c>
      <c r="L339" s="263">
        <f>IFERROR((N(L131)+N(L135)+N(L139)+N(L140)+N(L141)),0)</f>
        <v>52352</v>
      </c>
      <c r="M339" s="263">
        <f>IFERROR((N(M131)+N(M135)+N(M139)+N(M140)+N(M141)),0)</f>
        <v>52352</v>
      </c>
      <c r="N339" s="263">
        <f>IFERROR((N(N131)+N(N135)+N(N139)+N(N140)+N(N141)),0)</f>
        <v>66181</v>
      </c>
      <c r="O339" s="263">
        <f>IFERROR((N(O131)+N(O135)+N(O139)+N(O140)+N(O141)),0)</f>
        <v>74302</v>
      </c>
      <c r="P339" s="263">
        <f>IFERROR((N(P131)+N(P135)+N(P139)+N(P140)+N(P141)),0)</f>
        <v>68882</v>
      </c>
      <c r="Q339" s="263">
        <f>IFERROR((N(Q131)+N(Q135)+N(Q139)+N(Q140)+N(Q141)),0)</f>
        <v>67991</v>
      </c>
      <c r="R339" s="263">
        <f>IFERROR((N(R131)+N(R135)+N(R139)+N(R140)+N(R141)),0)</f>
        <v>67991</v>
      </c>
      <c r="S339" s="263">
        <f>IFERROR((N(S131)+N(S135)+N(S139)+N(S140)+N(S141)),0)</f>
        <v>64573</v>
      </c>
      <c r="T339" s="263">
        <f>IFERROR((N(T131)+N(T135)+N(T139)+N(T140)+N(T141)),0)</f>
        <v>62232</v>
      </c>
      <c r="U339" s="263">
        <f>IFERROR((N(U131)+N(U135)+N(U139)+N(U140)+N(U141)),0)</f>
        <v>68198</v>
      </c>
      <c r="V339" s="263">
        <f>IFERROR((N(V131)+N(V135)+N(V139)+N(V140)+N(V141)),0)</f>
        <v>65070</v>
      </c>
      <c r="W339" s="263">
        <f>IFERROR((N(W131)+N(W135)+N(W139)+N(W140)+N(W141)),0)</f>
        <v>65070</v>
      </c>
      <c r="X339" s="263">
        <f>IFERROR((N(X131)+N(X135)+N(X139)+N(X140)+N(X141)),0)</f>
        <v>66057</v>
      </c>
      <c r="Y339" s="263">
        <f>IFERROR((N(Y131)+N(Y135)+N(Y139)+N(Y140)+N(Y141)),0)</f>
        <v>69778</v>
      </c>
      <c r="Z339" s="263">
        <f>IFERROR((N(Z131)+N(Z135)+N(Z139)+N(Z140)+N(Z141)),0)</f>
        <v>67423</v>
      </c>
      <c r="AA339" s="263">
        <f>IFERROR((N(AA131)+N(AA135)+N(AA139)+N(AA140)+N(AA141)),0)</f>
        <v>68961</v>
      </c>
      <c r="AB339" s="263">
        <f>IFERROR((N(AB131)+N(AB135)+N(AB139)+N(AB140)+N(AB141)),0)</f>
        <v>68961</v>
      </c>
      <c r="AC339" s="263">
        <f>IFERROR((N(AC131)+N(AC135)+N(AC139)+N(AC140)+N(AC141)),0)</f>
        <v>74197</v>
      </c>
      <c r="AD339" s="263">
        <f>IFERROR((N(AD131)+N(AD135)+N(AD139)+N(AD140)+N(AD141)),0)</f>
        <v>70756</v>
      </c>
      <c r="AE339" s="263">
        <f>IFERROR((N(AE131)+N(AE135)+N(AE139)+N(AE140)+N(AE141)),0)</f>
        <v>74691</v>
      </c>
      <c r="AF339" s="263">
        <f>IFERROR((N(AF131)+N(AF135)+N(AF139)+N(AF140)+N(AF141)),0)</f>
        <v>72701</v>
      </c>
      <c r="AG339" s="263">
        <f>IFERROR((N(AG131)+N(AG135)+N(AG139)+N(AG140)+N(AG141)),0)</f>
        <v>72701</v>
      </c>
      <c r="AH339" s="263">
        <f>IFERROR((N(AH131)+N(AH135)+N(AH139)+N(AH140)+N(AH141)),0)</f>
        <v>89352</v>
      </c>
      <c r="AI339" s="263">
        <f>IFERROR((N(AI131)+N(AI135)+N(AI139)+N(AI140)+N(AI141)),0)</f>
        <v>90205</v>
      </c>
      <c r="AJ339" s="263">
        <f>IFERROR((N(AJ131)+N(AJ135)+N(AJ139)+N(AJ140)+N(AJ141)),0)</f>
        <v>79327.1331418039</v>
      </c>
      <c r="AK339" s="263">
        <f>IFERROR((N(AK131)+N(AK135)+N(AK139)+N(AK140)+N(AK141)),0)</f>
        <v>77587.9149369897</v>
      </c>
      <c r="AL339" s="263">
        <f>IFERROR((N(AL131)+N(AL135)+N(AL139)+N(AL140)+N(AL141)),0)</f>
        <v>77587.9149369897</v>
      </c>
      <c r="AM339" s="263">
        <f>IFERROR((N(AM131)+N(AM135)+N(AM139)+N(AM140)+N(AM141)),0)</f>
        <v>80338.2535386461</v>
      </c>
      <c r="AN339" s="263">
        <f>IFERROR((N(AN131)+N(AN135)+N(AN139)+N(AN140)+N(AN141)),0)</f>
        <v>97964.5581985161</v>
      </c>
      <c r="AO339" s="263">
        <f>IFERROR((N(AO131)+N(AO135)+N(AO139)+N(AO140)+N(AO141)),0)</f>
        <v>81464.3925179409</v>
      </c>
      <c r="AP339" s="263">
        <f>IFERROR((N(AP131)+N(AP135)+N(AP139)+N(AP140)+N(AP141)),0)</f>
        <v>79650.3524440955</v>
      </c>
      <c r="AQ339" s="263">
        <f>IFERROR((N(AQ131)+N(AQ135)+N(AQ139)+N(AQ140)+N(AQ141)),0)</f>
        <v>79650.3524440955</v>
      </c>
      <c r="AR339" s="263">
        <f>IFERROR((N(AR131)+N(AR135)+N(AR139)+N(AR140)+N(AR141)),0)</f>
        <v>81687.3295704823</v>
      </c>
      <c r="AS339" s="263">
        <f>IFERROR((N(AS131)+N(AS135)+N(AS139)+N(AS140)+N(AS141)),0)</f>
        <v>100562.019330718</v>
      </c>
      <c r="AT339" s="263">
        <f>IFERROR((N(AT131)+N(AT135)+N(AT139)+N(AT140)+N(AT141)),0)</f>
        <v>83434.5106923389</v>
      </c>
      <c r="AU339" s="263">
        <f>IFERROR((N(AU131)+N(AU135)+N(AU139)+N(AU140)+N(AU141)),0)</f>
        <v>81551.5000828315</v>
      </c>
      <c r="AV339" s="263">
        <f>IFERROR((N(AV131)+N(AV135)+N(AV139)+N(AV140)+N(AV141)),0)</f>
        <v>81551.5000828315</v>
      </c>
      <c r="AW339" s="263">
        <f>IFERROR((N(AW131)+N(AW135)+N(AW139)+N(AW140)+N(AW141)),0)</f>
        <v>84003.0413898841</v>
      </c>
      <c r="AX339" s="263">
        <f>IFERROR((N(AX131)+N(AX135)+N(AX139)+N(AX140)+N(AX141)),0)</f>
        <v>102903.661886715</v>
      </c>
      <c r="AY339" s="263">
        <f>IFERROR((N(AY131)+N(AY135)+N(AY139)+N(AY140)+N(AY141)),0)</f>
        <v>85210.5960013053</v>
      </c>
      <c r="AZ339" s="263">
        <f>IFERROR((N(AZ131)+N(AZ135)+N(AZ139)+N(AZ140)+N(AZ141)),0)</f>
        <v>83265.4076215846</v>
      </c>
      <c r="BA339" s="263">
        <f>IFERROR((N(BA131)+N(BA135)+N(BA139)+N(BA140)+N(BA141)),0)</f>
        <v>83265.4076215846</v>
      </c>
      <c r="BB339" s="263">
        <f>IFERROR((N(BB131)+N(BB135)+N(BB139)+N(BB140)+N(BB141)),0)</f>
        <v>85526.1196049642</v>
      </c>
      <c r="BC339" s="263">
        <f>IFERROR((N(BC131)+N(BC135)+N(BC139)+N(BC140)+N(BC141)),0)</f>
        <v>104956.343115446</v>
      </c>
      <c r="BD339" s="263">
        <f>IFERROR((N(BD131)+N(BD135)+N(BD139)+N(BD140)+N(BD141)),0)</f>
        <v>86767.510383905</v>
      </c>
      <c r="BE339" s="263">
        <f>IFERROR((N(BE131)+N(BE135)+N(BE139)+N(BE140)+N(BE141)),0)</f>
        <v>84767.8170408054</v>
      </c>
      <c r="BF339" s="263">
        <f>IFERROR((N(BF131)+N(BF135)+N(BF139)+N(BF140)+N(BF141)),0)</f>
        <v>84767.8170408054</v>
      </c>
      <c r="BG339" s="90" t="n"/>
      <c r="BH339" s="90" t="n"/>
      <c r="BI339" s="90" t="n"/>
      <c r="BJ339" s="90" t="n"/>
      <c r="BL339" s="90" t="n"/>
      <c r="BM339" s="90" t="n"/>
      <c r="BN339" s="90" t="n"/>
      <c r="BO339" s="90" t="n"/>
      <c r="BQ339" s="90" t="n"/>
      <c r="BR339" s="90" t="n"/>
      <c r="BS339" s="90" t="n"/>
      <c r="BT339" s="90" t="n"/>
      <c r="BV339" s="90" t="n"/>
      <c r="BW339" s="90" t="n"/>
      <c r="BX339" s="90" t="n"/>
      <c r="BY339" s="90" t="n"/>
      <c r="CA339" s="90" t="n"/>
      <c r="CB339" s="90" t="n"/>
      <c r="CC339" s="90" t="n"/>
      <c r="CD339" s="90" t="n"/>
      <c r="CF339" s="90" t="n"/>
      <c r="CG339" s="90" t="n"/>
      <c r="CH339" s="90" t="n"/>
      <c r="CI339" s="90" t="n"/>
      <c r="CK339" s="90" t="n"/>
      <c r="CL339" s="90" t="n"/>
      <c r="CM339" s="90" t="n"/>
      <c r="CN339" s="90" t="n"/>
      <c r="CP339" s="90" t="n"/>
      <c r="CQ339" s="90" t="n"/>
      <c r="CR339" s="90" t="n"/>
      <c r="CS339" s="90" t="n"/>
      <c r="CU339" s="90" t="n"/>
      <c r="CV339" s="90" t="n"/>
      <c r="CW339" s="90" t="n"/>
      <c r="CX339" s="90" t="n"/>
    </row>
    <row r="340" customFormat="1" s="77">
      <c r="A340" s="76" t="n"/>
      <c r="B340" s="76" t="n"/>
      <c r="C340" s="77" t="inlineStr">
        <is>
          <t>CURRENT LIABILITIES (OPERATING, EX DEBT)</t>
        </is>
      </c>
      <c r="D340" s="89">
        <f>IFERROR(D184+D188+D190+D191,"")</f>
        <v>0</v>
      </c>
      <c r="E340" s="89">
        <f>IFERROR(E184+E188+E190+E191,"")</f>
        <v>0</v>
      </c>
      <c r="F340" s="89">
        <f>IFERROR(F184+F188+F190+F191,"")</f>
        <v>0</v>
      </c>
      <c r="G340" s="89">
        <f>IFERROR(G184+G188+G190+G191,"")</f>
        <v>0</v>
      </c>
      <c r="H340" s="263">
        <f>IFERROR((N(H184)+N(H188)+N(H190)+N(H191)),0)</f>
        <v>0</v>
      </c>
      <c r="I340" s="263">
        <f>IFERROR((N(I184)+N(I188)+N(I190)+N(I191)),0)</f>
        <v>41965</v>
      </c>
      <c r="J340" s="263">
        <f>IFERROR((N(J184)+N(J188)+N(J190)+N(J191)),0)</f>
        <v>46945</v>
      </c>
      <c r="K340" s="263">
        <f>IFERROR((N(K184)+N(K188)+N(K190)+N(K191)),0)</f>
        <v>48890</v>
      </c>
      <c r="L340" s="263">
        <f>IFERROR((N(L184)+N(L188)+N(L190)+N(L191)),0)</f>
        <v>52367</v>
      </c>
      <c r="M340" s="263">
        <f>IFERROR((N(M184)+N(M188)+N(M190)+N(M191)),0)</f>
        <v>52367</v>
      </c>
      <c r="N340" s="263">
        <f>IFERROR((N(N184)+N(N188)+N(N190)+N(N191)),0)</f>
        <v>67173</v>
      </c>
      <c r="O340" s="263">
        <f>IFERROR((N(O184)+N(O188)+N(O190)+N(O191)),0)</f>
        <v>72743</v>
      </c>
      <c r="P340" s="263">
        <f>IFERROR((N(P184)+N(P188)+N(P190)+N(P191)),0)</f>
        <v>67875</v>
      </c>
      <c r="Q340" s="263">
        <f>IFERROR((N(Q184)+N(Q188)+N(Q190)+N(Q191)),0)</f>
        <v>68411</v>
      </c>
      <c r="R340" s="263">
        <f>IFERROR((N(R184)+N(R188)+N(R190)+N(R191)),0)</f>
        <v>68411</v>
      </c>
      <c r="S340" s="263">
        <f>IFERROR((N(S184)+N(S188)+N(S190)+N(S191)),0)</f>
        <v>64370</v>
      </c>
      <c r="T340" s="263">
        <f>IFERROR((N(T184)+N(T188)+N(T190)+N(T191)),0)</f>
        <v>57886</v>
      </c>
      <c r="U340" s="263">
        <f>IFERROR((N(U184)+N(U188)+N(U190)+N(U191)),0)</f>
        <v>66443</v>
      </c>
      <c r="V340" s="263">
        <f>IFERROR((N(V184)+N(V188)+N(V190)+N(V191)),0)</f>
        <v>61226</v>
      </c>
      <c r="W340" s="263">
        <f>IFERROR((N(W184)+N(W188)+N(W190)+N(W191)),0)</f>
        <v>61226</v>
      </c>
      <c r="X340" s="263">
        <f>IFERROR((N(X184)+N(X188)+N(X190)+N(X191)),0)</f>
        <v>63694</v>
      </c>
      <c r="Y340" s="263">
        <f>IFERROR((N(Y184)+N(Y188)+N(Y190)+N(Y191)),0)</f>
        <v>64142</v>
      </c>
      <c r="Z340" s="263">
        <f>IFERROR((N(Z184)+N(Z188)+N(Z190)+N(Z191)),0)</f>
        <v>64361</v>
      </c>
      <c r="AA340" s="263">
        <f>IFERROR((N(AA184)+N(AA188)+N(AA190)+N(AA191)),0)</f>
        <v>65352</v>
      </c>
      <c r="AB340" s="263">
        <f>IFERROR((N(AB184)+N(AB188)+N(AB190)+N(AB191)),0)</f>
        <v>65352</v>
      </c>
      <c r="AC340" s="263">
        <f>IFERROR((N(AC184)+N(AC188)+N(AC190)+N(AC191)),0)</f>
        <v>69101</v>
      </c>
      <c r="AD340" s="263">
        <f>IFERROR((N(AD184)+N(AD188)+N(AD190)+N(AD191)),0)</f>
        <v>62742</v>
      </c>
      <c r="AE340" s="263">
        <f>IFERROR((N(AE184)+N(AE188)+N(AE190)+N(AE191)),0)</f>
        <v>68638</v>
      </c>
      <c r="AF340" s="263">
        <f>IFERROR((N(AF184)+N(AF188)+N(AF190)+N(AF191)),0)</f>
        <v>63034</v>
      </c>
      <c r="AG340" s="263">
        <f>IFERROR((N(AG184)+N(AG188)+N(AG190)+N(AG191)),0)</f>
        <v>63034</v>
      </c>
      <c r="AH340" s="263">
        <f>IFERROR((N(AH184)+N(AH188)+N(AH190)+N(AH191)),0)</f>
        <v>79847</v>
      </c>
      <c r="AI340" s="263">
        <f>IFERROR((N(AI184)+N(AI188)+N(AI190)+N(AI191)),0)</f>
        <v>78691</v>
      </c>
      <c r="AJ340" s="263">
        <f>IFERROR((N(AJ184)+N(AJ188)+N(AJ190)+N(AJ191)),0)</f>
        <v>71185.1498872388</v>
      </c>
      <c r="AK340" s="263">
        <f>IFERROR((N(AK184)+N(AK188)+N(AK190)+N(AK191)),0)</f>
        <v>69034.8964165827</v>
      </c>
      <c r="AL340" s="263">
        <f>IFERROR((N(AL184)+N(AL188)+N(AL190)+N(AL191)),0)</f>
        <v>69034.8964165827</v>
      </c>
      <c r="AM340" s="263">
        <f>IFERROR((N(AM184)+N(AM188)+N(AM190)+N(AM191)),0)</f>
        <v>72929.8204324553</v>
      </c>
      <c r="AN340" s="263">
        <f>IFERROR((N(AN184)+N(AN188)+N(AN190)+N(AN191)),0)</f>
        <v>96836.7893536348</v>
      </c>
      <c r="AO340" s="263">
        <f>IFERROR((N(AO184)+N(AO188)+N(AO190)+N(AO191)),0)</f>
        <v>74862.9959902486</v>
      </c>
      <c r="AP340" s="263">
        <f>IFERROR((N(AP184)+N(AP188)+N(AP190)+N(AP191)),0)</f>
        <v>72646.7138903642</v>
      </c>
      <c r="AQ340" s="263">
        <f>IFERROR((N(AQ184)+N(AQ188)+N(AQ190)+N(AQ191)),0)</f>
        <v>72646.7138903642</v>
      </c>
      <c r="AR340" s="263">
        <f>IFERROR((N(AR184)+N(AR188)+N(AR190)+N(AR191)),0)</f>
        <v>75591.4200577621</v>
      </c>
      <c r="AS340" s="263">
        <f>IFERROR((N(AS184)+N(AS188)+N(AS190)+N(AS191)),0)</f>
        <v>101185.476149886</v>
      </c>
      <c r="AT340" s="263">
        <f>IFERROR((N(AT184)+N(AT188)+N(AT190)+N(AT191)),0)</f>
        <v>78375.7879805993</v>
      </c>
      <c r="AU340" s="263">
        <f>IFERROR((N(AU184)+N(AU188)+N(AU190)+N(AU191)),0)</f>
        <v>76073.6729423417</v>
      </c>
      <c r="AV340" s="263">
        <f>IFERROR((N(AV184)+N(AV188)+N(AV190)+N(AV191)),0)</f>
        <v>76073.6729423417</v>
      </c>
      <c r="AW340" s="263">
        <f>IFERROR((N(AW184)+N(AW188)+N(AW190)+N(AW191)),0)</f>
        <v>79577.5463505336</v>
      </c>
      <c r="AX340" s="263">
        <f>IFERROR((N(AX184)+N(AX188)+N(AX190)+N(AX191)),0)</f>
        <v>105207.205845688</v>
      </c>
      <c r="AY340" s="263">
        <f>IFERROR((N(AY184)+N(AY188)+N(AY190)+N(AY191)),0)</f>
        <v>81636.7092503503</v>
      </c>
      <c r="AZ340" s="263">
        <f>IFERROR((N(AZ184)+N(AZ188)+N(AZ190)+N(AZ191)),0)</f>
        <v>79249.5581711048</v>
      </c>
      <c r="BA340" s="263">
        <f>IFERROR((N(BA184)+N(BA188)+N(BA190)+N(BA191)),0)</f>
        <v>79249.5581711048</v>
      </c>
      <c r="BB340" s="263">
        <f>IFERROR((N(BB184)+N(BB188)+N(BB190)+N(BB191)),0)</f>
        <v>82489.8459591865</v>
      </c>
      <c r="BC340" s="263">
        <f>IFERROR((N(BC184)+N(BC188)+N(BC190)+N(BC191)),0)</f>
        <v>108823.447155403</v>
      </c>
      <c r="BD340" s="263">
        <f>IFERROR((N(BD184)+N(BD188)+N(BD190)+N(BD191)),0)</f>
        <v>84576.785055067</v>
      </c>
      <c r="BE340" s="263">
        <f>IFERROR((N(BE184)+N(BE188)+N(BE190)+N(BE191)),0)</f>
        <v>82105.4570334792</v>
      </c>
      <c r="BF340" s="263">
        <f>IFERROR((N(BF184)+N(BF188)+N(BF190)+N(BF191)),0)</f>
        <v>82105.4570334792</v>
      </c>
      <c r="BG340" s="90" t="n"/>
      <c r="BH340" s="90" t="n"/>
      <c r="BI340" s="90" t="n"/>
      <c r="BJ340" s="90" t="n"/>
      <c r="BL340" s="90" t="n"/>
      <c r="BM340" s="90" t="n"/>
      <c r="BN340" s="90" t="n"/>
      <c r="BO340" s="90" t="n"/>
      <c r="BQ340" s="90" t="n"/>
      <c r="BR340" s="90" t="n"/>
      <c r="BS340" s="90" t="n"/>
      <c r="BT340" s="90" t="n"/>
      <c r="BV340" s="90" t="n"/>
      <c r="BW340" s="90" t="n"/>
      <c r="BX340" s="90" t="n"/>
      <c r="BY340" s="90" t="n"/>
      <c r="CA340" s="90" t="n"/>
      <c r="CB340" s="90" t="n"/>
      <c r="CC340" s="90" t="n"/>
      <c r="CD340" s="90" t="n"/>
      <c r="CF340" s="90" t="n"/>
      <c r="CG340" s="90" t="n"/>
      <c r="CH340" s="90" t="n"/>
      <c r="CI340" s="90" t="n"/>
      <c r="CK340" s="90" t="n"/>
      <c r="CL340" s="90" t="n"/>
      <c r="CM340" s="90" t="n"/>
      <c r="CN340" s="90" t="n"/>
      <c r="CP340" s="90" t="n"/>
      <c r="CQ340" s="90" t="n"/>
      <c r="CR340" s="90" t="n"/>
      <c r="CS340" s="90" t="n"/>
      <c r="CU340" s="90" t="n"/>
      <c r="CV340" s="90" t="n"/>
      <c r="CW340" s="90" t="n"/>
      <c r="CX340" s="90" t="n"/>
    </row>
    <row r="341" customFormat="1" s="77">
      <c r="A341" s="76" t="n"/>
      <c r="B341" s="76" t="n"/>
      <c r="C341" s="77" t="inlineStr">
        <is>
          <t>FIXED ASSETS</t>
        </is>
      </c>
      <c r="D341" s="89">
        <f>IFERROR(D152+D162+D165+D166+D175-D226,"")</f>
        <v>0</v>
      </c>
      <c r="E341" s="89">
        <f>IFERROR(E152+E162+E165+E166+E175-E226,"")</f>
        <v>0</v>
      </c>
      <c r="F341" s="89">
        <f>IFERROR(F152+F162+F165+F166+F175-F226,"")</f>
        <v>0</v>
      </c>
      <c r="G341" s="89">
        <f>IFERROR(G152+G162+G165+G166+G175-G226,"")</f>
        <v>0</v>
      </c>
      <c r="H341" s="263">
        <f>IFERROR((N(H152)+N(H162)+N(H165)+N(H166)+N(H175))-N(H226),0)</f>
        <v>0</v>
      </c>
      <c r="I341" s="263">
        <f>IFERROR((N(I152)+N(I162)+N(I165)+N(I166)+N(I175))-N(I226),0)</f>
        <v>239306</v>
      </c>
      <c r="J341" s="263">
        <f>IFERROR((N(J152)+N(J162)+N(J165)+N(J166)+N(J175))-N(J226),0)</f>
        <v>238782</v>
      </c>
      <c r="K341" s="263">
        <f>IFERROR((N(K152)+N(K162)+N(K165)+N(K166)+N(K175))-N(K226),0)</f>
        <v>236454</v>
      </c>
      <c r="L341" s="263">
        <f>IFERROR((N(L152)+N(L162)+N(L165)+N(L166)+N(L175))-N(L226),0)</f>
        <v>236765</v>
      </c>
      <c r="M341" s="263">
        <f>IFERROR((N(M152)+N(M162)+N(M165)+N(M166)+N(M175))-N(M226),0)</f>
        <v>236765</v>
      </c>
      <c r="N341" s="263">
        <f>IFERROR((N(N152)+N(N162)+N(N165)+N(N166)+N(N175))-N(N226),0)</f>
        <v>233514</v>
      </c>
      <c r="O341" s="263">
        <f>IFERROR((N(O152)+N(O162)+N(O165)+N(O166)+N(O175))-N(O226),0)</f>
        <v>231778</v>
      </c>
      <c r="P341" s="263">
        <f>IFERROR((N(P152)+N(P162)+N(P165)+N(P166)+N(P175))-N(P226),0)</f>
        <v>228331</v>
      </c>
      <c r="Q341" s="263">
        <f>IFERROR((N(Q152)+N(Q162)+N(Q165)+N(Q166)+N(Q175))-N(Q226),0)</f>
        <v>237320</v>
      </c>
      <c r="R341" s="263">
        <f>IFERROR((N(R152)+N(R162)+N(R165)+N(R166)+N(R175))-N(R226),0)</f>
        <v>237320</v>
      </c>
      <c r="S341" s="263">
        <f>IFERROR((N(S152)+N(S162)+N(S165)+N(S166)+N(S175))-N(S226),0)</f>
        <v>238201</v>
      </c>
      <c r="T341" s="263">
        <f>IFERROR((N(T152)+N(T162)+N(T165)+N(T166)+N(T175))-N(T226),0)</f>
        <v>238079</v>
      </c>
      <c r="U341" s="263">
        <f>IFERROR((N(U152)+N(U162)+N(U165)+N(U166)+N(U175))-N(U226),0)</f>
        <v>237999</v>
      </c>
      <c r="V341" s="263">
        <f>IFERROR((N(V152)+N(V162)+N(V165)+N(V166)+N(V175))-N(V226),0)</f>
        <v>243180</v>
      </c>
      <c r="W341" s="263">
        <f>IFERROR((N(W152)+N(W162)+N(W165)+N(W166)+N(W175))-N(W226),0)</f>
        <v>243180</v>
      </c>
      <c r="X341" s="263">
        <f>IFERROR((N(X152)+N(X162)+N(X165)+N(X166)+N(X175))-N(X226),0)</f>
        <v>241915</v>
      </c>
      <c r="Y341" s="263">
        <f>IFERROR((N(Y152)+N(Y162)+N(Y165)+N(Y166)+N(Y175))-N(Y226),0)</f>
        <v>327436</v>
      </c>
      <c r="Z341" s="263">
        <f>IFERROR((N(Z152)+N(Z162)+N(Z165)+N(Z166)+N(Z175))-N(Z226),0)</f>
        <v>329243</v>
      </c>
      <c r="AA341" s="263">
        <f>IFERROR((N(AA152)+N(AA162)+N(AA165)+N(AA166)+N(AA175))-N(AA226),0)</f>
        <v>324720</v>
      </c>
      <c r="AB341" s="263">
        <f>IFERROR((N(AB152)+N(AB162)+N(AB165)+N(AB166)+N(AB175))-N(AB226),0)</f>
        <v>324720</v>
      </c>
      <c r="AC341" s="263">
        <f>IFERROR((N(AC152)+N(AC162)+N(AC165)+N(AC166)+N(AC175))-N(AC226),0)</f>
        <v>324316</v>
      </c>
      <c r="AD341" s="263">
        <f>IFERROR((N(AD152)+N(AD162)+N(AD165)+N(AD166)+N(AD175))-N(AD226),0)</f>
        <v>325953</v>
      </c>
      <c r="AE341" s="263">
        <f>IFERROR((N(AE152)+N(AE162)+N(AE165)+N(AE166)+N(AE175))-N(AE226),0)</f>
        <v>330334</v>
      </c>
      <c r="AF341" s="263">
        <f>IFERROR((N(AF152)+N(AF162)+N(AF165)+N(AF166)+N(AF175))-N(AF226),0)</f>
        <v>330031</v>
      </c>
      <c r="AG341" s="263">
        <f>IFERROR((N(AG152)+N(AG162)+N(AG165)+N(AG166)+N(AG175))-N(AG226),0)</f>
        <v>330031</v>
      </c>
      <c r="AH341" s="263">
        <f>IFERROR((N(AH152)+N(AH162)+N(AH165)+N(AH166)+N(AH175))-N(AH226),0)</f>
        <v>330735</v>
      </c>
      <c r="AI341" s="263">
        <f>IFERROR((N(AI152)+N(AI162)+N(AI165)+N(AI166)+N(AI175))-N(AI226),0)</f>
        <v>325923</v>
      </c>
      <c r="AJ341" s="263">
        <f>IFERROR((N(AJ152)+N(AJ162)+N(AJ165)+N(AJ166)+N(AJ175))-N(AJ226),0)</f>
        <v>326235.12432204</v>
      </c>
      <c r="AK341" s="263">
        <f>IFERROR((N(AK152)+N(AK162)+N(AK165)+N(AK166)+N(AK175))-N(AK226),0)</f>
        <v>326536.321694639</v>
      </c>
      <c r="AL341" s="263">
        <f>IFERROR((N(AL152)+N(AL162)+N(AL165)+N(AL166)+N(AL175))-N(AL226),0)</f>
        <v>326536.321694639</v>
      </c>
      <c r="AM341" s="263">
        <f>IFERROR((N(AM152)+N(AM162)+N(AM165)+N(AM166)+N(AM175))-N(AM226),0)</f>
        <v>326847.87515127</v>
      </c>
      <c r="AN341" s="263">
        <f>IFERROR((N(AN152)+N(AN162)+N(AN165)+N(AN166)+N(AN175))-N(AN226),0)</f>
        <v>327272.427024439</v>
      </c>
      <c r="AO341" s="263">
        <f>IFERROR((N(AO152)+N(AO162)+N(AO165)+N(AO166)+N(AO175))-N(AO226),0)</f>
        <v>327597.979060771</v>
      </c>
      <c r="AP341" s="263">
        <f>IFERROR((N(AP152)+N(AP162)+N(AP165)+N(AP166)+N(AP175))-N(AP226),0)</f>
        <v>327912.134065887</v>
      </c>
      <c r="AQ341" s="263">
        <f>IFERROR((N(AQ152)+N(AQ162)+N(AQ165)+N(AQ166)+N(AQ175))-N(AQ226),0)</f>
        <v>327912.134065887</v>
      </c>
      <c r="AR341" s="263">
        <f>IFERROR((N(AR152)+N(AR162)+N(AR165)+N(AR166)+N(AR175))-N(AR226),0)</f>
        <v>328235.532910665</v>
      </c>
      <c r="AS341" s="263">
        <f>IFERROR((N(AS152)+N(AS162)+N(AS165)+N(AS166)+N(AS175))-N(AS226),0)</f>
        <v>328676.22641738</v>
      </c>
      <c r="AT341" s="263">
        <f>IFERROR((N(AT152)+N(AT162)+N(AT165)+N(AT166)+N(AT175))-N(AT226),0)</f>
        <v>329014.15607351</v>
      </c>
      <c r="AU341" s="263">
        <f>IFERROR((N(AU152)+N(AU162)+N(AU165)+N(AU166)+N(AU175))-N(AU226),0)</f>
        <v>329340.255378697</v>
      </c>
      <c r="AV341" s="263">
        <f>IFERROR((N(AV152)+N(AV162)+N(AV165)+N(AV166)+N(AV175))-N(AV226),0)</f>
        <v>329340.255378697</v>
      </c>
      <c r="AW341" s="263">
        <f>IFERROR((N(AW152)+N(AW162)+N(AW165)+N(AW166)+N(AW175))-N(AW226),0)</f>
        <v>329674.332983838</v>
      </c>
      <c r="AX341" s="263">
        <f>IFERROR((N(AX152)+N(AX162)+N(AX165)+N(AX166)+N(AX175))-N(AX226),0)</f>
        <v>330129.578367986</v>
      </c>
      <c r="AY341" s="263">
        <f>IFERROR((N(AY152)+N(AY162)+N(AY165)+N(AY166)+N(AY175))-N(AY226),0)</f>
        <v>330478.666597732</v>
      </c>
      <c r="AZ341" s="263">
        <f>IFERROR((N(AZ152)+N(AZ162)+N(AZ165)+N(AZ166)+N(AZ175))-N(AZ226),0)</f>
        <v>330815.533833574</v>
      </c>
      <c r="BA341" s="263">
        <f>IFERROR((N(BA152)+N(BA162)+N(BA165)+N(BA166)+N(BA175))-N(BA226),0)</f>
        <v>330815.533833574</v>
      </c>
      <c r="BB341" s="263">
        <f>IFERROR((N(BB152)+N(BB162)+N(BB165)+N(BB166)+N(BB175))-N(BB226),0)</f>
        <v>331158.972428027</v>
      </c>
      <c r="BC341" s="263">
        <f>IFERROR((N(BC152)+N(BC162)+N(BC165)+N(BC166)+N(BC175))-N(BC226),0)</f>
        <v>331626.973971553</v>
      </c>
      <c r="BD341" s="263">
        <f>IFERROR((N(BD152)+N(BD162)+N(BD165)+N(BD166)+N(BD175))-N(BD226),0)</f>
        <v>331985.843794371</v>
      </c>
      <c r="BE341" s="263">
        <f>IFERROR((N(BE152)+N(BE162)+N(BE165)+N(BE166)+N(BE175))-N(BE226),0)</f>
        <v>332332.150186104</v>
      </c>
      <c r="BF341" s="263">
        <f>IFERROR((N(BF152)+N(BF162)+N(BF165)+N(BF166)+N(BF175))-N(BF226),0)</f>
        <v>332332.150186104</v>
      </c>
      <c r="BG341" s="90" t="n"/>
      <c r="BH341" s="90" t="n"/>
      <c r="BI341" s="90" t="n"/>
      <c r="BJ341" s="90" t="n"/>
      <c r="BL341" s="90" t="n"/>
      <c r="BM341" s="90" t="n"/>
      <c r="BN341" s="90" t="n"/>
      <c r="BO341" s="90" t="n"/>
      <c r="BQ341" s="90" t="n"/>
      <c r="BR341" s="90" t="n"/>
      <c r="BS341" s="90" t="n"/>
      <c r="BT341" s="90" t="n"/>
      <c r="BV341" s="90" t="n"/>
      <c r="BW341" s="90" t="n"/>
      <c r="BX341" s="90" t="n"/>
      <c r="BY341" s="90" t="n"/>
      <c r="CA341" s="90" t="n"/>
      <c r="CB341" s="90" t="n"/>
      <c r="CC341" s="90" t="n"/>
      <c r="CD341" s="90" t="n"/>
      <c r="CF341" s="90" t="n"/>
      <c r="CG341" s="90" t="n"/>
      <c r="CH341" s="90" t="n"/>
      <c r="CI341" s="90" t="n"/>
      <c r="CK341" s="90" t="n"/>
      <c r="CL341" s="90" t="n"/>
      <c r="CM341" s="90" t="n"/>
      <c r="CN341" s="90" t="n"/>
      <c r="CP341" s="90" t="n"/>
      <c r="CQ341" s="90" t="n"/>
      <c r="CR341" s="90" t="n"/>
      <c r="CS341" s="90" t="n"/>
      <c r="CU341" s="90" t="n"/>
      <c r="CV341" s="90" t="n"/>
      <c r="CW341" s="90" t="n"/>
      <c r="CX341" s="90" t="n"/>
    </row>
    <row r="342" customFormat="1" s="77">
      <c r="A342" s="76" t="n"/>
      <c r="B342" s="76" t="n"/>
    </row>
    <row r="343" customFormat="1" s="77">
      <c r="A343" s="76" t="n"/>
      <c r="B343" s="76" t="n"/>
    </row>
    <row r="344" customFormat="1" s="77">
      <c r="A344" s="76" t="n"/>
      <c r="B344" s="76" t="n"/>
    </row>
    <row r="345" customFormat="1" s="77">
      <c r="A345" s="76" t="n"/>
      <c r="B345" s="76" t="n"/>
    </row>
    <row r="346" customFormat="1" s="77">
      <c r="A346" s="76" t="n"/>
      <c r="B346" s="76" t="n"/>
    </row>
    <row r="347" customFormat="1" s="77">
      <c r="A347" s="76" t="n"/>
      <c r="B347" s="76" t="n"/>
    </row>
    <row r="348" customFormat="1" s="77">
      <c r="A348" s="76" t="n"/>
      <c r="B348" s="76" t="n"/>
    </row>
    <row r="349" customFormat="1" s="77">
      <c r="A349" s="76" t="n"/>
      <c r="B349" s="76" t="n"/>
      <c r="C349" s="74" t="inlineStr">
        <is>
          <t>DUPONT ANALYSIS</t>
        </is>
      </c>
    </row>
    <row r="350" customFormat="1" s="77">
      <c r="A350" s="76" t="n"/>
      <c r="B350" s="76" t="n"/>
      <c r="C350" s="77" t="inlineStr">
        <is>
          <t>NET PROFIT MARGIN (LTM)</t>
        </is>
      </c>
      <c r="D350" s="84" t="str">
        <f>IFERROR(D123/D15,"")</f>
        <v/>
      </c>
      <c r="E350" s="84" t="str">
        <f>IFERROR(E123/E15,"")</f>
        <v/>
      </c>
      <c r="F350" s="84" t="str">
        <f>IFERROR(F123/F15,"")</f>
        <v/>
      </c>
      <c r="G350" s="84" t="str">
        <f>IFERROR(G123/G15,"")</f>
        <v/>
      </c>
      <c r="H350" s="258" t="str">
        <f>IFERROR(IF(AND(COUNT(H123)=1,(H15)&lt;&gt;0),(H123)/(H15),""),"")</f>
        <v/>
      </c>
      <c r="I350" s="257" t="str">
        <f>""</f>
        <v/>
      </c>
      <c r="J350" s="257" t="str">
        <f>""</f>
        <v/>
      </c>
      <c r="K350" s="257" t="str">
        <f>""</f>
        <v/>
      </c>
      <c r="L350" s="257">
        <f>IFERROR(IF(AND(COUNT(I123,J123,K123,L123)=4,(I15+J15+K15+L15)&lt;&gt;0),(I123+J123+K123+L123)/(I15+J15+K15+L15),""),"")</f>
        <v>0.0806609718526817</v>
      </c>
      <c r="M350" s="258">
        <f>IFERROR(IF(AND(COUNT(I123,J123,K123,L123)=4,(I15+J15+K15+L15)&lt;&gt;0),(I123+J123+K123+L123)/(I15+J15+K15+L15),""),"")</f>
        <v>0.0806609718526817</v>
      </c>
      <c r="N350" s="257">
        <f>IFERROR(IF(AND(COUNT(J123,K123,L123,N123)=4,(J15+K15+L15+N15)&lt;&gt;0),(J123+K123+L123+N123)/(J15+K15+L15+N15),""),"")</f>
        <v>0.0813582634316846</v>
      </c>
      <c r="O350" s="257">
        <f>IFERROR(IF(AND(COUNT(K123,L123,N123,O123)=4,(K15+L15+N15+O15)&lt;&gt;0),(K123+L123+N123+O123)/(K15+L15+N15+O15),""),"")</f>
        <v>0.106732213124637</v>
      </c>
      <c r="P350" s="257">
        <f>IFERROR(IF(AND(COUNT(L123,N123,O123,P123)=4,(L15+N15+O15+P15)&lt;&gt;0),(L123+N123+O123+P123)/(L15+N15+O15+P15),""),"")</f>
        <v>0.128615927939368</v>
      </c>
      <c r="Q350" s="257">
        <f>IFERROR(IF(AND(COUNT(N123,O123,P123,Q123)=4,(N15+O15+P15+Q15)&lt;&gt;0),(N123+O123+P123+Q123)/(N15+O15+P15+Q15),""),"")</f>
        <v>0.134741829433378</v>
      </c>
      <c r="R350" s="258">
        <f>IFERROR(IF(AND(COUNT(N123,O123,P123,Q123)=4,(N15+O15+P15+Q15)&lt;&gt;0),(N123+O123+P123+Q123)/(N15+O15+P15+Q15),""),"")</f>
        <v>0.134741829433378</v>
      </c>
      <c r="S350" s="257">
        <f>IFERROR(IF(AND(COUNT(O123,P123,Q123,S123)=4,(O15+P15+Q15+S15)&lt;&gt;0),(O123+P123+Q123+S123)/(O15+P15+Q15+S15),""),"")</f>
        <v>0.150557421219103</v>
      </c>
      <c r="T350" s="257">
        <f>IFERROR(IF(AND(COUNT(P123,Q123,S123,T123)=4,(P15+Q15+S15+T15)&lt;&gt;0),(P123+Q123+S123+T123)/(P15+Q15+S15+T15),""),"")</f>
        <v>0.137196699002857</v>
      </c>
      <c r="U350" s="257">
        <f>IFERROR(IF(AND(COUNT(Q123,S123,T123,U123)=4,(Q15+S15+T15+U15)&lt;&gt;0),(Q123+S123+T123+U123)/(Q15+S15+T15+U15),""),"")</f>
        <v>0.115641878498708</v>
      </c>
      <c r="V350" s="257">
        <f>IFERROR(IF(AND(COUNT(S123,T123,U123,V123)=4,(S15+T15+U15+V15)&lt;&gt;0),(S123+T123+U123+V123)/(S15+T15+U15+V15),""),"")</f>
        <v>0.104503427340952</v>
      </c>
      <c r="W350" s="258">
        <f>IFERROR(IF(AND(COUNT(S123,T123,U123,V123)=4,(S15+T15+U15+V15)&lt;&gt;0),(S123+T123+U123+V123)/(S15+T15+U15+V15),""),"")</f>
        <v>0.104503427340952</v>
      </c>
      <c r="X350" s="257">
        <f>IFERROR(IF(AND(COUNT(T123,U123,V123,X123)=4,(T15+U15+V15+X15)&lt;&gt;0),(T123+U123+V123+X123)/(T15+U15+V15+X15),""),"")</f>
        <v>0.0961592021131571</v>
      </c>
      <c r="Y350" s="257">
        <f>IFERROR(IF(AND(COUNT(U123,V123,X123,Y123)=4,(U15+V15+X15+Y15)&lt;&gt;0),(U123+V123+X123+Y123)/(U15+V15+X15+Y15),""),"")</f>
        <v>0.0972534996740186</v>
      </c>
      <c r="Z350" s="257">
        <f>IFERROR(IF(AND(COUNT(V123,X123,Y123,Z123)=4,(V15+X15+Y15+Z15)&lt;&gt;0),(V123+X123+Y123+Z123)/(V15+X15+Y15+Z15),""),"")</f>
        <v>0.0961475365403435</v>
      </c>
      <c r="AA350" s="257">
        <f>IFERROR(IF(AND(COUNT(X123,Y123,Z123,AA123)=4,(X15+Y15+Z15+AA15)&lt;&gt;0),(X123+Y123+Z123+AA123)/(X15+Y15+Z15+AA15),""),"")</f>
        <v>0.0963428064705293</v>
      </c>
      <c r="AB350" s="258">
        <f>IFERROR(IF(AND(COUNT(X123,Y123,Z123,AA123)=4,(X15+Y15+Z15+AA15)&lt;&gt;0),(X123+Y123+Z123+AA123)/(X15+Y15+Z15+AA15),""),"")</f>
        <v>0.0963428064705293</v>
      </c>
      <c r="AC350" s="257">
        <f>IFERROR(IF(AND(COUNT(Y123,Z123,AA123,AC123)=4,(Y15+Z15+AA15+AC15)&lt;&gt;0),(Y123+Z123+AA123+AC123)/(Y15+Z15+AA15+AC15),""),"")</f>
        <v>0.0948797592897675</v>
      </c>
      <c r="AD350" s="257">
        <f>IFERROR(IF(AND(COUNT(Z123,AA123,AC123,AD123)=4,(Z15+AA15+AC15+AD15)&lt;&gt;0),(Z123+AA123+AC123+AD123)/(Z15+AA15+AC15+AD15),""),"")</f>
        <v>0.0917391844485592</v>
      </c>
      <c r="AE350" s="257">
        <f>IFERROR(IF(AND(COUNT(AA123,AC123,AD123,AE123)=4,(AA15+AC15+AD15+AE15)&lt;&gt;0),(AA123+AC123+AD123+AE123)/(AA15+AC15+AD15+AE15),""),"")</f>
        <v>0.0898528900034798</v>
      </c>
      <c r="AF350" s="257">
        <f>IFERROR(IF(AND(COUNT(AB123,AD123,AE123,AF123)=4,(AB15+AD15+AE15+AF15)&lt;&gt;0),(AB123+AD123+AE123+AF123)/(AB15+AD15+AE15+AF15),""),"")</f>
        <v>0.0915510954696314</v>
      </c>
      <c r="AG350" s="258">
        <f>IFERROR(IF(AND(COUNT(AC123,AD123,AE123,AF123)=4,(AC15+AD15+AE15+AF15)&lt;&gt;0),(AC123+AD123+AE123+AF123)/(AC15+AD15+AE15+AF15),""),"")</f>
        <v>0.0868172815872959</v>
      </c>
      <c r="AH350" s="257">
        <f>IFERROR(IF(AND(COUNT(AD123,AF123,AG123,AH123)=4,(AD15+AF15+AG15+AH15)&lt;&gt;0),(AD123+AF123+AG123+AH123)/(AD15+AF15+AG15+AH15),""),"")</f>
        <v>0.0801975257661006</v>
      </c>
      <c r="AI350" s="257">
        <f>IFERROR(IF(AND(COUNT(AE123,AG123,AH123,AI123)=4,(AE15+AG15+AH15+AI15)&lt;&gt;0),(AE123+AG123+AH123+AI123)/(AE15+AG15+AH15+AI15),""),"")</f>
        <v>0.0890595729342947</v>
      </c>
      <c r="AJ350" s="257">
        <f>IFERROR(IF(AND(COUNT(AF123,AH123,AI123,AJ123)=4,(AF15+AH15+AI15+AJ15)&lt;&gt;0),(AF123+AH123+AI123+AJ123)/(AF15+AH15+AI15+AJ15),""),"")</f>
        <v>0.0894381412099377</v>
      </c>
      <c r="AK350" s="257">
        <f>IFERROR(IF(AND(COUNT(AH123,AI123,AJ123,AK123)=4,(AH15+AI15+AJ15+AK15)&lt;&gt;0),(AH123+AI123+AJ123+AK123)/(AH15+AI15+AJ15+AK15),""),"")</f>
        <v>0.0920949095138399</v>
      </c>
      <c r="AL350" s="258">
        <f>IFERROR(IF(AND(COUNT(AH123,AI123,AJ123,AK123)=4,(AH15+AI15+AJ15+AK15)&lt;&gt;0),(AH123+AI123+AJ123+AK123)/(AH15+AI15+AJ15+AK15),""),"")</f>
        <v>0.0920949095138399</v>
      </c>
      <c r="AM350" s="257">
        <f>IFERROR(IF(AND(COUNT(AI123,AJ123,AK123,AM123)=4,(AI15+AJ15+AK15+AM15)&lt;&gt;0),(AI123+AJ123+AK123+AM123)/(AI15+AJ15+AK15+AM15),""),"")</f>
        <v>0.10148561982787</v>
      </c>
      <c r="AN350" s="257">
        <f>IFERROR(IF(AND(COUNT(AJ123,AK123,AM123,AN123)=4,(AJ15+AK15+AM15+AN15)&lt;&gt;0),(AJ123+AK123+AM123+AN123)/(AJ15+AK15+AM15+AN15),""),"")</f>
        <v>0.0910500833156063</v>
      </c>
      <c r="AO350" s="257">
        <f>IFERROR(IF(AND(COUNT(AK123,AM123,AN123,AO123)=4,(AK15+AM15+AN15+AO15)&lt;&gt;0),(AK123+AM123+AN123+AO123)/(AK15+AM15+AN15+AO15),""),"")</f>
        <v>0.0910500833156063</v>
      </c>
      <c r="AP350" s="257">
        <f>IFERROR(IF(AND(COUNT(AM123,AN123,AO123,AP123)=4,(AM15+AN15+AO15+AP15)&lt;&gt;0),(AM123+AN123+AO123+AP123)/(AM15+AN15+AO15+AP15),""),"")</f>
        <v>0.0910500833156063</v>
      </c>
      <c r="AQ350" s="258">
        <f>IFERROR(IF(AND(COUNT(AM123,AN123,AO123,AP123)=4,(AM15+AN15+AO15+AP15)&lt;&gt;0),(AM123+AN123+AO123+AP123)/(AM15+AN15+AO15+AP15),""),"")</f>
        <v>0.0910500833156063</v>
      </c>
      <c r="AR350" s="257">
        <f>IFERROR(IF(AND(COUNT(AN123,AO123,AP123,AR123)=4,(AN15+AO15+AP15+AR15)&lt;&gt;0),(AN123+AO123+AP123+AR123)/(AN15+AO15+AP15+AR15),""),"")</f>
        <v>0.0910500833156063</v>
      </c>
      <c r="AS350" s="257">
        <f>IFERROR(IF(AND(COUNT(AO123,AP123,AR123,AS123)=4,(AO15+AP15+AR15+AS15)&lt;&gt;0),(AO123+AP123+AR123+AS123)/(AO15+AP15+AR15+AS15),""),"")</f>
        <v>0.0910500833156063</v>
      </c>
      <c r="AT350" s="257">
        <f>IFERROR(IF(AND(COUNT(AP123,AR123,AS123,AT123)=4,(AP15+AR15+AS15+AT15)&lt;&gt;0),(AP123+AR123+AS123+AT123)/(AP15+AR15+AS15+AT15),""),"")</f>
        <v>0.0910500833156063</v>
      </c>
      <c r="AU350" s="257">
        <f>IFERROR(IF(AND(COUNT(AR123,AS123,AT123,AU123)=4,(AR15+AS15+AT15+AU15)&lt;&gt;0),(AR123+AS123+AT123+AU123)/(AR15+AS15+AT15+AU15),""),"")</f>
        <v>0.0910500833156063</v>
      </c>
      <c r="AV350" s="258">
        <f>IFERROR(IF(AND(COUNT(AR123,AS123,AT123,AU123)=4,(AR15+AS15+AT15+AU15)&lt;&gt;0),(AR123+AS123+AT123+AU123)/(AR15+AS15+AT15+AU15),""),"")</f>
        <v>0.0910500833156063</v>
      </c>
      <c r="AW350" s="257">
        <f>IFERROR(IF(AND(COUNT(AS123,AT123,AU123,AW123)=4,(AS15+AT15+AU15+AW15)&lt;&gt;0),(AS123+AT123+AU123+AW123)/(AS15+AT15+AU15+AW15),""),"")</f>
        <v>0.0910500833156063</v>
      </c>
      <c r="AX350" s="257">
        <f>IFERROR(IF(AND(COUNT(AT123,AU123,AW123,AX123)=4,(AT15+AU15+AW15+AX15)&lt;&gt;0),(AT123+AU123+AW123+AX123)/(AT15+AU15+AW15+AX15),""),"")</f>
        <v>0.0910500833156063</v>
      </c>
      <c r="AY350" s="257">
        <f>IFERROR(IF(AND(COUNT(AU123,AW123,AX123,AY123)=4,(AU15+AW15+AX15+AY15)&lt;&gt;0),(AU123+AW123+AX123+AY123)/(AU15+AW15+AX15+AY15),""),"")</f>
        <v>0.0910500833156063</v>
      </c>
      <c r="AZ350" s="257">
        <f>IFERROR(IF(AND(COUNT(AW123,AX123,AY123,AZ123)=4,(AW15+AX15+AY15+AZ15)&lt;&gt;0),(AW123+AX123+AY123+AZ123)/(AW15+AX15+AY15+AZ15),""),"")</f>
        <v>0.0910500833156063</v>
      </c>
      <c r="BA350" s="258">
        <f>IFERROR(IF(AND(COUNT(AW123,AX123,AY123,AZ123)=4,(AW15+AX15+AY15+AZ15)&lt;&gt;0),(AW123+AX123+AY123+AZ123)/(AW15+AX15+AY15+AZ15),""),"")</f>
        <v>0.0910500833156063</v>
      </c>
      <c r="BB350" s="257">
        <f>IFERROR(IF(AND(COUNT(AX123,AY123,AZ123,BB123)=4,(AX15+AY15+AZ15+BB15)&lt;&gt;0),(AX123+AY123+AZ123+BB123)/(AX15+AY15+AZ15+BB15),""),"")</f>
        <v>0.0910500833156063</v>
      </c>
      <c r="BC350" s="257">
        <f>IFERROR(IF(AND(COUNT(AY123,AZ123,BB123,BC123)=4,(AY15+AZ15+BB15+BC15)&lt;&gt;0),(AY123+AZ123+BB123+BC123)/(AY15+AZ15+BB15+BC15),""),"")</f>
        <v>0.0910500833156063</v>
      </c>
      <c r="BD350" s="257">
        <f>IFERROR(IF(AND(COUNT(AZ123,BB123,BC123,BD123)=4,(AZ15+BB15+BC15+BD15)&lt;&gt;0),(AZ123+BB123+BC123+BD123)/(AZ15+BB15+BC15+BD15),""),"")</f>
        <v>0.0910500833156063</v>
      </c>
      <c r="BE350" s="257">
        <f>IFERROR(IF(AND(COUNT(BB123,BC123,BD123,BE123)=4,(BB15+BC15+BD15+BE15)&lt;&gt;0),(BB123+BC123+BD123+BE123)/(BB15+BC15+BD15+BE15),""),"")</f>
        <v>0.0910500833156063</v>
      </c>
      <c r="BF350" s="258">
        <f>IFERROR(IF(AND(COUNT(BB123,BC123,BD123,BE123)=4,(BB15+BC15+BD15+BE15)&lt;&gt;0),(BB123+BC123+BD123+BE123)/(BB15+BC15+BD15+BE15),""),"")</f>
        <v>0.0910500833156063</v>
      </c>
      <c r="BG350" s="81" t="n"/>
      <c r="BH350" s="81" t="n"/>
      <c r="BI350" s="81" t="n"/>
      <c r="BJ350" s="81" t="n"/>
      <c r="BL350" s="81" t="n"/>
      <c r="BM350" s="81" t="n"/>
      <c r="BN350" s="81" t="n"/>
      <c r="BO350" s="81" t="n"/>
      <c r="BQ350" s="81" t="n"/>
      <c r="BR350" s="81" t="n"/>
      <c r="BS350" s="81" t="n"/>
      <c r="BT350" s="81" t="n"/>
      <c r="BV350" s="81" t="n"/>
      <c r="BW350" s="81" t="n"/>
      <c r="BX350" s="81" t="n"/>
      <c r="BY350" s="81" t="n"/>
      <c r="CA350" s="81" t="n"/>
      <c r="CB350" s="81" t="n"/>
      <c r="CC350" s="81" t="n"/>
      <c r="CD350" s="81" t="n"/>
      <c r="CF350" s="81" t="n"/>
      <c r="CG350" s="81" t="n"/>
      <c r="CH350" s="81" t="n"/>
      <c r="CI350" s="81" t="n"/>
      <c r="CK350" s="81" t="n"/>
      <c r="CL350" s="81" t="n"/>
      <c r="CM350" s="81" t="n"/>
      <c r="CN350" s="81" t="n"/>
      <c r="CP350" s="81" t="n"/>
      <c r="CQ350" s="81" t="n"/>
      <c r="CR350" s="81" t="n"/>
      <c r="CS350" s="81" t="n"/>
      <c r="CU350" s="81" t="n"/>
      <c r="CV350" s="81" t="n"/>
      <c r="CW350" s="81" t="n"/>
      <c r="CX350" s="81" t="n"/>
    </row>
    <row r="351" customFormat="1" s="77">
      <c r="A351" s="76" t="n"/>
      <c r="B351" s="76" t="n"/>
      <c r="C351" s="77" t="inlineStr">
        <is>
          <t>ASSET TURNOVER (LTM REVENUE / ASSETS)</t>
        </is>
      </c>
      <c r="D351" s="84" t="str">
        <f>IFERROR(D15/D183,"")</f>
        <v/>
      </c>
      <c r="E351" s="84" t="str">
        <f>IFERROR(E15/E183,"")</f>
        <v/>
      </c>
      <c r="F351" s="84" t="str">
        <f>IFERROR(F15/F183,"")</f>
        <v/>
      </c>
      <c r="G351" s="84" t="str">
        <f>IFERROR(G15/G183,"")</f>
        <v/>
      </c>
      <c r="H351" s="262" t="str">
        <f>IFERROR(IF(AND(COUNT(H15)=1,N(H183)&lt;&gt;0),(H15)/H183,""),"")</f>
        <v/>
      </c>
      <c r="I351" s="264" t="str">
        <f>""</f>
        <v/>
      </c>
      <c r="J351" s="264" t="str">
        <f>""</f>
        <v/>
      </c>
      <c r="K351" s="264" t="str">
        <f>""</f>
        <v/>
      </c>
      <c r="L351" s="264">
        <f>IFERROR(IF(AND(COUNT(I15,J15,K15,L15)=4,N(L183)&lt;&gt;0),(I15+J15+K15+L15)/L183,""),"")</f>
        <v>0.842787299770154</v>
      </c>
      <c r="M351" s="262">
        <f>IFERROR(IF(AND(COUNT(I15,J15,K15,L15)=4,N(M183)&lt;&gt;0),(I15+J15+K15+L15)/M183,""),"")</f>
        <v>0.842787299770154</v>
      </c>
      <c r="N351" s="264">
        <f>IFERROR(IF(AND(COUNT(J15,K15,L15,N15)=4,N(N183)&lt;&gt;0),(J15+K15+L15+N15)/N183,""),"")</f>
        <v>0.89351440788565</v>
      </c>
      <c r="O351" s="264">
        <f>IFERROR(IF(AND(COUNT(K15,L15,N15,O15)=4,N(O183)&lt;&gt;0),(K15+L15+N15+O15)/O183,""),"")</f>
        <v>0.992272428175999</v>
      </c>
      <c r="P351" s="264">
        <f>IFERROR(IF(AND(COUNT(L15,N15,O15,P15)=4,N(P183)&lt;&gt;0),(L15+N15+O15+P15)/P183,""),"")</f>
        <v>1.08932546629493</v>
      </c>
      <c r="Q351" s="264">
        <f>IFERROR(IF(AND(COUNT(N15,O15,P15,Q15)=4,N(Q183)&lt;&gt;0),(N15+O15+P15+Q15)/Q183,""),"")</f>
        <v>1.12088049053424</v>
      </c>
      <c r="R351" s="262">
        <f>IFERROR(IF(AND(COUNT(N15,O15,P15,Q15)=4,N(R183)&lt;&gt;0),(N15+O15+P15+Q15)/R183,""),"")</f>
        <v>1.12088049053424</v>
      </c>
      <c r="S351" s="264">
        <f>IFERROR(IF(AND(COUNT(O15,P15,Q15,S15)=4,N(S183)&lt;&gt;0),(O15+P15+Q15+S15)/S183,""),"")</f>
        <v>1.10930202966665</v>
      </c>
      <c r="T351" s="264">
        <f>IFERROR(IF(AND(COUNT(P15,Q15,S15,T15)=4,N(T183)&lt;&gt;0),(P15+Q15+S15+T15)/T183,""),"")</f>
        <v>1.03779511518302</v>
      </c>
      <c r="U351" s="264">
        <f>IFERROR(IF(AND(COUNT(Q15,S15,T15,U15)=4,N(U183)&lt;&gt;0),(Q15+S15+T15+U15)/U183,""),"")</f>
        <v>0.955428881504544</v>
      </c>
      <c r="V351" s="264">
        <f>IFERROR(IF(AND(COUNT(S15,T15,U15,V15)=4,N(V183)&lt;&gt;0),(S15+T15+U15+V15)/V183,""),"")</f>
        <v>0.915669502042161</v>
      </c>
      <c r="W351" s="262">
        <f>IFERROR(IF(AND(COUNT(S15,T15,U15,V15)=4,N(W183)&lt;&gt;0),(S15+T15+U15+V15)/W183,""),"")</f>
        <v>0.915669502042161</v>
      </c>
      <c r="X351" s="264">
        <f>IFERROR(IF(AND(COUNT(T15,U15,V15,X15)=4,N(X183)&lt;&gt;0),(T15+U15+V15+X15)/X183,""),"")</f>
        <v>0.902579395530247</v>
      </c>
      <c r="Y351" s="264">
        <f>IFERROR(IF(AND(COUNT(U15,V15,X15,Y15)=4,N(Y183)&lt;&gt;0),(U15+V15+X15+Y15)/Y183,""),"")</f>
        <v>0.762408645842151</v>
      </c>
      <c r="Z351" s="264">
        <f>IFERROR(IF(AND(COUNT(V15,X15,Y15,Z15)=4,N(Z183)&lt;&gt;0),(V15+X15+Y15+Z15)/Z183,""),"")</f>
        <v>0.758802466249275</v>
      </c>
      <c r="AA351" s="264">
        <f>IFERROR(IF(AND(COUNT(X15,Y15,Z15,AA15)=4,N(AA183)&lt;&gt;0),(X15+Y15+Z15+AA15)/AA183,""),"")</f>
        <v>0.770902475329401</v>
      </c>
      <c r="AB351" s="262">
        <f>IFERROR(IF(AND(COUNT(X15,Y15,Z15,AA15)=4,N(AB183)&lt;&gt;0),(X15+Y15+Z15+AA15)/AB183,""),"")</f>
        <v>0.770902475329401</v>
      </c>
      <c r="AC351" s="264">
        <f>IFERROR(IF(AND(COUNT(Y15,Z15,AA15,AC15)=4,N(AC183)&lt;&gt;0),(Y15+Z15+AA15+AC15)/AC183,""),"")</f>
        <v>0.77367959850235</v>
      </c>
      <c r="AD351" s="264">
        <f>IFERROR(IF(AND(COUNT(Z15,AA15,AC15,AD15)=4,N(AD183)&lt;&gt;0),(Z15+AA15+AC15+AD15)/AD183,""),"")</f>
        <v>0.755317841719225</v>
      </c>
      <c r="AE351" s="264">
        <f>IFERROR(IF(AND(COUNT(AA15,AC15,AD15,AE15)=4,N(AE183)&lt;&gt;0),(AA15+AC15+AD15+AE15)/AE183,""),"")</f>
        <v>0.733714839107277</v>
      </c>
      <c r="AF351" s="264">
        <f>IFERROR(IF(AND(COUNT(AB15,AD15,AE15,AF15)=4,N(AF183)&lt;&gt;0),(AB15+AD15+AE15+AF15)/AF183,""),"")</f>
        <v>1.33345137868056</v>
      </c>
      <c r="AG351" s="262">
        <f>IFERROR(IF(AND(COUNT(AC15,AD15,AE15,AF15)=4,N(AG183)&lt;&gt;0),(AC15+AD15+AE15+AF15)/AG183,""),"")</f>
        <v>0.739983963650942</v>
      </c>
      <c r="AH351" s="264">
        <f>IFERROR(IF(AND(COUNT(AD15,AF15,AG15,AH15)=4,N(AH183)&lt;&gt;0),(AD15+AF15+AG15+AH15)/AH183,""),"")</f>
        <v>1.25145884024892</v>
      </c>
      <c r="AI351" s="264">
        <f>IFERROR(IF(AND(COUNT(AE15,AG15,AH15,AI15)=4,N(AI183)&lt;&gt;0),(AE15+AG15+AH15+AI15)/AI183,""),"")</f>
        <v>1.33199348952166</v>
      </c>
      <c r="AJ351" s="264">
        <f>IFERROR(IF(AND(COUNT(AF15,AH15,AI15,AJ15)=4,N(AJ183)&lt;&gt;0),(AF15+AH15+AI15+AJ15)/AJ183,""),"")</f>
        <v>0.800785599513789</v>
      </c>
      <c r="AK351" s="264">
        <f>IFERROR(IF(AND(COUNT(AH15,AI15,AJ15,AK15)=4,N(AK183)&lt;&gt;0),(AH15+AI15+AJ15+AK15)/AK183,""),"")</f>
        <v>0.798668589813695</v>
      </c>
      <c r="AL351" s="262">
        <f>IFERROR(IF(AND(COUNT(AH15,AI15,AJ15,AK15)=4,N(AL183)&lt;&gt;0),(AH15+AI15+AJ15+AK15)/AL183,""),"")</f>
        <v>0.798668589813695</v>
      </c>
      <c r="AM351" s="264">
        <f>IFERROR(IF(AND(COUNT(AI15,AJ15,AK15,AM15)=4,N(AM183)&lt;&gt;0),(AI15+AJ15+AK15+AM15)/AM183,""),"")</f>
        <v>0.786434727550337</v>
      </c>
      <c r="AN351" s="264">
        <f>IFERROR(IF(AND(COUNT(AJ15,AK15,AM15,AN15)=4,N(AN183)&lt;&gt;0),(AJ15+AK15+AM15+AN15)/AN183,""),"")</f>
        <v>0.74301725158065</v>
      </c>
      <c r="AO351" s="264">
        <f>IFERROR(IF(AND(COUNT(AK15,AM15,AN15,AO15)=4,N(AO183)&lt;&gt;0),(AK15+AM15+AN15+AO15)/AO183,""),"")</f>
        <v>0.770543697355656</v>
      </c>
      <c r="AP351" s="264">
        <f>IFERROR(IF(AND(COUNT(AM15,AN15,AO15,AP15)=4,N(AP183)&lt;&gt;0),(AM15+AN15+AO15+AP15)/AP183,""),"")</f>
        <v>0.768816232749677</v>
      </c>
      <c r="AQ351" s="262">
        <f>IFERROR(IF(AND(COUNT(AM15,AN15,AO15,AP15)=4,N(AQ183)&lt;&gt;0),(AM15+AN15+AO15+AP15)/AQ183,""),"")</f>
        <v>0.768816232749677</v>
      </c>
      <c r="AR351" s="264">
        <f>IFERROR(IF(AND(COUNT(AN15,AO15,AP15,AR15)=4,N(AR183)&lt;&gt;0),(AN15+AO15+AP15+AR15)/AR183,""),"")</f>
        <v>0.758574204003434</v>
      </c>
      <c r="AS351" s="264">
        <f>IFERROR(IF(AND(COUNT(AO15,AP15,AR15,AS15)=4,N(AS183)&lt;&gt;0),(AO15+AP15+AR15+AS15)/AS183,""),"")</f>
        <v>0.716509986481836</v>
      </c>
      <c r="AT351" s="264">
        <f>IFERROR(IF(AND(COUNT(AP15,AR15,AS15,AT15)=4,N(AT183)&lt;&gt;0),(AP15+AR15+AS15+AT15)/AT183,""),"")</f>
        <v>0.74146951430052</v>
      </c>
      <c r="AU351" s="264">
        <f>IFERROR(IF(AND(COUNT(AR15,AS15,AT15,AU15)=4,N(AU183)&lt;&gt;0),(AR15+AS15+AT15+AU15)/AU183,""),"")</f>
        <v>0.739356114730786</v>
      </c>
      <c r="AV351" s="262">
        <f>IFERROR(IF(AND(COUNT(AR15,AS15,AT15,AU15)=4,N(AV183)&lt;&gt;0),(AR15+AS15+AT15+AU15)/AV183,""),"")</f>
        <v>0.739356114730786</v>
      </c>
      <c r="AW351" s="264">
        <f>IFERROR(IF(AND(COUNT(AS15,AT15,AU15,AW15)=4,N(AW183)&lt;&gt;0),(AS15+AT15+AU15+AW15)/AW183,""),"")</f>
        <v>0.728770071726255</v>
      </c>
      <c r="AX351" s="264">
        <f>IFERROR(IF(AND(COUNT(AT15,AU15,AW15,AX15)=4,N(AX183)&lt;&gt;0),(AT15+AU15+AW15+AX15)/AX183,""),"")</f>
        <v>0.690213360061422</v>
      </c>
      <c r="AY351" s="264">
        <f>IFERROR(IF(AND(COUNT(AU15,AW15,AX15,AY15)=4,N(AY183)&lt;&gt;0),(AU15+AW15+AX15+AY15)/AY183,""),"")</f>
        <v>0.712745814129366</v>
      </c>
      <c r="AZ351" s="264">
        <f>IFERROR(IF(AND(COUNT(AW15,AX15,AY15,AZ15)=4,N(AZ183)&lt;&gt;0),(AW15+AX15+AY15+AZ15)/AZ183,""),"")</f>
        <v>0.710278912424767</v>
      </c>
      <c r="BA351" s="262">
        <f>IFERROR(IF(AND(COUNT(AW15,AX15,AY15,AZ15)=4,N(BA183)&lt;&gt;0),(AW15+AX15+AY15+AZ15)/BA183,""),"")</f>
        <v>0.710278912424767</v>
      </c>
      <c r="BB351" s="264">
        <f>IFERROR(IF(AND(COUNT(AX15,AY15,AZ15,BB15)=4,N(BB183)&lt;&gt;0),(AX15+AY15+AZ15+BB15)/BB183,""),"")</f>
        <v>0.70040748759828</v>
      </c>
      <c r="BC351" s="264">
        <f>IFERROR(IF(AND(COUNT(AY15,AZ15,BB15,BC15)=4,N(BC183)&lt;&gt;0),(AY15+AZ15+BB15+BC15)/BC183,""),"")</f>
        <v>0.664127330831314</v>
      </c>
      <c r="BD351" s="264">
        <f>IFERROR(IF(AND(COUNT(AZ15,BB15,BC15,BD15)=4,N(BD183)&lt;&gt;0),(AZ15+BB15+BC15+BD15)/BD183,""),"")</f>
        <v>0.684368732432118</v>
      </c>
      <c r="BE351" s="264">
        <f>IFERROR(IF(AND(COUNT(BB15,BC15,BD15,BE15)=4,N(BE183)&lt;&gt;0),(BB15+BC15+BD15+BE15)/BE183,""),"")</f>
        <v>0.681579716887669</v>
      </c>
      <c r="BF351" s="262">
        <f>IFERROR(IF(AND(COUNT(BB15,BC15,BD15,BE15)=4,N(BF183)&lt;&gt;0),(BB15+BC15+BD15+BE15)/BF183,""),"")</f>
        <v>0.681579716887669</v>
      </c>
      <c r="BG351" s="81" t="n"/>
      <c r="BH351" s="81" t="n"/>
      <c r="BI351" s="81" t="n"/>
      <c r="BJ351" s="81" t="n"/>
      <c r="BL351" s="81" t="n"/>
      <c r="BM351" s="81" t="n"/>
      <c r="BN351" s="81" t="n"/>
      <c r="BO351" s="81" t="n"/>
      <c r="BQ351" s="81" t="n"/>
      <c r="BR351" s="81" t="n"/>
      <c r="BS351" s="81" t="n"/>
      <c r="BT351" s="81" t="n"/>
      <c r="BV351" s="81" t="n"/>
      <c r="BW351" s="81" t="n"/>
      <c r="BX351" s="81" t="n"/>
      <c r="BY351" s="81" t="n"/>
      <c r="CA351" s="81" t="n"/>
      <c r="CB351" s="81" t="n"/>
      <c r="CC351" s="81" t="n"/>
      <c r="CD351" s="81" t="n"/>
      <c r="CF351" s="81" t="n"/>
      <c r="CG351" s="81" t="n"/>
      <c r="CH351" s="81" t="n"/>
      <c r="CI351" s="81" t="n"/>
      <c r="CK351" s="81" t="n"/>
      <c r="CL351" s="81" t="n"/>
      <c r="CM351" s="81" t="n"/>
      <c r="CN351" s="81" t="n"/>
      <c r="CP351" s="81" t="n"/>
      <c r="CQ351" s="81" t="n"/>
      <c r="CR351" s="81" t="n"/>
      <c r="CS351" s="81" t="n"/>
      <c r="CU351" s="81" t="n"/>
      <c r="CV351" s="81" t="n"/>
      <c r="CW351" s="81" t="n"/>
      <c r="CX351" s="81" t="n"/>
    </row>
    <row r="352" customFormat="1" s="77">
      <c r="A352" s="76" t="n"/>
      <c r="B352" s="76" t="n"/>
      <c r="C352" s="77" t="inlineStr">
        <is>
          <t>EQUITY MULTIPLIER (ASSETS / EQUITY)</t>
        </is>
      </c>
      <c r="D352" s="84" t="str">
        <f>IFERROR(D183/D257,"")</f>
        <v/>
      </c>
      <c r="E352" s="84" t="str">
        <f>IFERROR(E183/E257,"")</f>
        <v/>
      </c>
      <c r="F352" s="84" t="str">
        <f>IFERROR(F183/F257,"")</f>
        <v/>
      </c>
      <c r="G352" s="84" t="str">
        <f>IFERROR(G183/G257,"")</f>
        <v/>
      </c>
      <c r="H352" s="262" t="str">
        <f>IFERROR(IF(N(H257)&lt;&gt;0,H183/H257,""),"")</f>
        <v/>
      </c>
      <c r="I352" s="264">
        <f>IFERROR(IF(N(I257)&lt;&gt;0,I183/I257,""),"")</f>
        <v>2.0339303233984</v>
      </c>
      <c r="J352" s="264">
        <f>IFERROR(IF(N(J257)&lt;&gt;0,J183/J257,""),"")</f>
        <v>2.03731063809225</v>
      </c>
      <c r="K352" s="264">
        <f>IFERROR(IF(N(K257)&lt;&gt;0,K183/K257,""),"")</f>
        <v>2.01000561173928</v>
      </c>
      <c r="L352" s="264">
        <f>IFERROR(IF(N(L257)&lt;&gt;0,L183/L257,""),"")</f>
        <v>1.929173568302</v>
      </c>
      <c r="M352" s="262">
        <f>IFERROR(IF(N(M257)&lt;&gt;0,M183/M257,""),"")</f>
        <v>1.929173568302</v>
      </c>
      <c r="N352" s="264">
        <f>IFERROR(IF(N(N257)&lt;&gt;0,N183/N257,""),"")</f>
        <v>2.00973794228612</v>
      </c>
      <c r="O352" s="264">
        <f>IFERROR(IF(N(O257)&lt;&gt;0,O183/O257,""),"")</f>
        <v>1.99326858456002</v>
      </c>
      <c r="P352" s="264">
        <f>IFERROR(IF(N(P257)&lt;&gt;0,P183/P257,""),"")</f>
        <v>1.91745880451506</v>
      </c>
      <c r="Q352" s="264">
        <f>IFERROR(IF(N(Q257)&lt;&gt;0,Q183/Q257,""),"")</f>
        <v>1.82279612590321</v>
      </c>
      <c r="R352" s="262">
        <f>IFERROR(IF(N(R257)&lt;&gt;0,R183/R257,""),"")</f>
        <v>1.82279612590321</v>
      </c>
      <c r="S352" s="264">
        <f>IFERROR(IF(N(S257)&lt;&gt;0,S183/S257,""),"")</f>
        <v>1.78946679973258</v>
      </c>
      <c r="T352" s="264">
        <f>IFERROR(IF(N(T257)&lt;&gt;0,T183/T257,""),"")</f>
        <v>1.75484668859935</v>
      </c>
      <c r="U352" s="264">
        <f>IFERROR(IF(N(U257)&lt;&gt;0,U183/U257,""),"")</f>
        <v>1.79373400856731</v>
      </c>
      <c r="V352" s="264">
        <f>IFERROR(IF(N(V257)&lt;&gt;0,V183/V257,""),"")</f>
        <v>1.77058690681196</v>
      </c>
      <c r="W352" s="262">
        <f>IFERROR(IF(N(W257)&lt;&gt;0,W183/W257,""),"")</f>
        <v>1.77058690681196</v>
      </c>
      <c r="X352" s="264">
        <f>IFERROR(IF(N(X257)&lt;&gt;0,X183/X257,""),"")</f>
        <v>1.77382986313201</v>
      </c>
      <c r="Y352" s="264">
        <f>IFERROR(IF(N(Y257)&lt;&gt;0,Y183/Y257,""),"")</f>
        <v>1.66762106086163</v>
      </c>
      <c r="Z352" s="264">
        <f>IFERROR(IF(N(Z257)&lt;&gt;0,Z183/Z257,""),"")</f>
        <v>1.67118668596237</v>
      </c>
      <c r="AA352" s="264">
        <f>IFERROR(IF(N(AA257)&lt;&gt;0,AA183/AA257,""),"")</f>
        <v>1.67577585123759</v>
      </c>
      <c r="AB352" s="262">
        <f>IFERROR(IF(N(AB257)&lt;&gt;0,AB183/AB257,""),"")</f>
        <v>1.67577585123759</v>
      </c>
      <c r="AC352" s="264">
        <f>IFERROR(IF(N(AC257)&lt;&gt;0,AC183/AC257,""),"")</f>
        <v>1.67493680644611</v>
      </c>
      <c r="AD352" s="264">
        <f>IFERROR(IF(N(AD257)&lt;&gt;0,AD183/AD257,""),"")</f>
        <v>1.6580000148169</v>
      </c>
      <c r="AE352" s="264">
        <f>IFERROR(IF(N(AE257)&lt;&gt;0,AE183/AE257,""),"")</f>
        <v>1.69388904008978</v>
      </c>
      <c r="AF352" s="264">
        <f>IFERROR(IF(N(AF257)&lt;&gt;0,AF183/AF257,""),"")</f>
        <v>1.68393179959944</v>
      </c>
      <c r="AG352" s="262">
        <f>IFERROR(IF(N(AG257)&lt;&gt;0,AG183/AG257,""),"")</f>
        <v>1.68393179959944</v>
      </c>
      <c r="AH352" s="264">
        <f>IFERROR(IF(N(AH257)&lt;&gt;0,AH183/AH257,""),"")</f>
        <v>1.77937592913301</v>
      </c>
      <c r="AI352" s="264">
        <f>IFERROR(IF(N(AI257)&lt;&gt;0,AI183/AI257,""),"")</f>
        <v>1.74544457012299</v>
      </c>
      <c r="AJ352" s="264">
        <f>IFERROR(IF(N(AJ257)&lt;&gt;0,AJ183/AJ257,""),"")</f>
        <v>1.69605181416862</v>
      </c>
      <c r="AK352" s="264">
        <f>IFERROR(IF(N(AK257)&lt;&gt;0,AK183/AK257,""),"")</f>
        <v>1.66913609247397</v>
      </c>
      <c r="AL352" s="262">
        <f>IFERROR(IF(N(AL257)&lt;&gt;0,AL183/AL257,""),"")</f>
        <v>1.66913609247397</v>
      </c>
      <c r="AM352" s="264">
        <f>IFERROR(IF(N(AM257)&lt;&gt;0,AM183/AM257,""),"")</f>
        <v>1.6639131351817</v>
      </c>
      <c r="AN352" s="264">
        <f>IFERROR(IF(N(AN257)&lt;&gt;0,AN183/AN257,""),"")</f>
        <v>1.71901247920475</v>
      </c>
      <c r="AO352" s="264">
        <f>IFERROR(IF(N(AO257)&lt;&gt;0,AO183/AO257,""),"")</f>
        <v>1.62841071397112</v>
      </c>
      <c r="AP352" s="264">
        <f>IFERROR(IF(N(AP257)&lt;&gt;0,AP183/AP257,""),"")</f>
        <v>1.60531074686263</v>
      </c>
      <c r="AQ352" s="262">
        <f>IFERROR(IF(N(AQ257)&lt;&gt;0,AQ183/AQ257,""),"")</f>
        <v>1.60531074686263</v>
      </c>
      <c r="AR352" s="264">
        <f>IFERROR(IF(N(AR257)&lt;&gt;0,AR183/AR257,""),"")</f>
        <v>1.5987626591466</v>
      </c>
      <c r="AS352" s="264">
        <f>IFERROR(IF(N(AS257)&lt;&gt;0,AS183/AS257,""),"")</f>
        <v>1.65429678221765</v>
      </c>
      <c r="AT352" s="264">
        <f>IFERROR(IF(N(AT257)&lt;&gt;0,AT183/AT257,""),"")</f>
        <v>1.57186779505428</v>
      </c>
      <c r="AU352" s="264">
        <f>IFERROR(IF(N(AU257)&lt;&gt;0,AU183/AU257,""),"")</f>
        <v>1.5517386177353</v>
      </c>
      <c r="AV352" s="262">
        <f>IFERROR(IF(N(AV257)&lt;&gt;0,AV183/AV257,""),"")</f>
        <v>1.5517386177353</v>
      </c>
      <c r="AW352" s="264">
        <f>IFERROR(IF(N(AW257)&lt;&gt;0,AW183/AW257,""),"")</f>
        <v>1.54821800709465</v>
      </c>
      <c r="AX352" s="264">
        <f>IFERROR(IF(N(AX257)&lt;&gt;0,AX183/AX257,""),"")</f>
        <v>1.59925431365043</v>
      </c>
      <c r="AY352" s="264">
        <f>IFERROR(IF(N(AY257)&lt;&gt;0,AY183/AY257,""),"")</f>
        <v>1.52380147472331</v>
      </c>
      <c r="AZ352" s="264">
        <f>IFERROR(IF(N(AZ257)&lt;&gt;0,AZ183/AZ257,""),"")</f>
        <v>1.50607900299386</v>
      </c>
      <c r="BA352" s="262">
        <f>IFERROR(IF(N(BA257)&lt;&gt;0,BA183/BA257,""),"")</f>
        <v>1.50607900299386</v>
      </c>
      <c r="BB352" s="264">
        <f>IFERROR(IF(N(BB257)&lt;&gt;0,BB183/BB257,""),"")</f>
        <v>1.50291904030005</v>
      </c>
      <c r="BC352" s="264">
        <f>IFERROR(IF(N(BC257)&lt;&gt;0,BC183/BC257,""),"")</f>
        <v>1.55175649359403</v>
      </c>
      <c r="BD352" s="264">
        <f>IFERROR(IF(N(BD257)&lt;&gt;0,BD183/BD257,""),"")</f>
        <v>1.48236175092418</v>
      </c>
      <c r="BE352" s="264">
        <f>IFERROR(IF(N(BE257)&lt;&gt;0,BE183/BE257,""),"")</f>
        <v>1.46662215258192</v>
      </c>
      <c r="BF352" s="262">
        <f>IFERROR(IF(N(BF257)&lt;&gt;0,BF183/BF257,""),"")</f>
        <v>1.46662215258192</v>
      </c>
      <c r="BG352" s="81" t="n"/>
      <c r="BH352" s="81" t="n"/>
      <c r="BI352" s="81" t="n"/>
      <c r="BJ352" s="81" t="n"/>
      <c r="BL352" s="81" t="n"/>
      <c r="BM352" s="81" t="n"/>
      <c r="BN352" s="81" t="n"/>
      <c r="BO352" s="81" t="n"/>
      <c r="BQ352" s="81" t="n"/>
      <c r="BR352" s="81" t="n"/>
      <c r="BS352" s="81" t="n"/>
      <c r="BT352" s="81" t="n"/>
      <c r="BV352" s="81" t="n"/>
      <c r="BW352" s="81" t="n"/>
      <c r="BX352" s="81" t="n"/>
      <c r="BY352" s="81" t="n"/>
      <c r="CA352" s="81" t="n"/>
      <c r="CB352" s="81" t="n"/>
      <c r="CC352" s="81" t="n"/>
      <c r="CD352" s="81" t="n"/>
      <c r="CF352" s="81" t="n"/>
      <c r="CG352" s="81" t="n"/>
      <c r="CH352" s="81" t="n"/>
      <c r="CI352" s="81" t="n"/>
      <c r="CK352" s="81" t="n"/>
      <c r="CL352" s="81" t="n"/>
      <c r="CM352" s="81" t="n"/>
      <c r="CN352" s="81" t="n"/>
      <c r="CP352" s="81" t="n"/>
      <c r="CQ352" s="81" t="n"/>
      <c r="CR352" s="81" t="n"/>
      <c r="CS352" s="81" t="n"/>
      <c r="CU352" s="81" t="n"/>
      <c r="CV352" s="81" t="n"/>
      <c r="CW352" s="81" t="n"/>
      <c r="CX352" s="81" t="n"/>
    </row>
    <row r="353" customFormat="1" s="77">
      <c r="A353" s="76" t="n"/>
      <c r="B353" s="76" t="n"/>
      <c r="C353" s="77" t="inlineStr">
        <is>
          <t>ROE - DUPONT</t>
        </is>
      </c>
      <c r="D353" s="84">
        <f>IFERROR(PRODUCT(D350:D352),"")</f>
        <v>0</v>
      </c>
      <c r="E353" s="84">
        <f>IFERROR(PRODUCT(E350:E352),"")</f>
        <v>0</v>
      </c>
      <c r="F353" s="84">
        <f>IFERROR(PRODUCT(F350:F352),"")</f>
        <v>0</v>
      </c>
      <c r="G353" s="84">
        <f>IFERROR(PRODUCT(G350:G352),"")</f>
        <v>0</v>
      </c>
      <c r="H353" s="258" t="str">
        <f>IFERROR(IF(COUNT(H350,H351,H352)=3,H350*H351*H352,""),"")</f>
        <v/>
      </c>
      <c r="I353" s="257" t="str">
        <f>IFERROR(IF(COUNT(I350,I351,I352)=3,I350*I351*I352,""),"")</f>
        <v/>
      </c>
      <c r="J353" s="257" t="str">
        <f>IFERROR(IF(COUNT(J350,J351,J352)=3,J350*J351*J352,""),"")</f>
        <v/>
      </c>
      <c r="K353" s="257" t="str">
        <f>IFERROR(IF(COUNT(K350,K351,K352)=3,K350*K351*K352,""),"")</f>
        <v/>
      </c>
      <c r="L353" s="257">
        <f>IFERROR(IF(COUNT(L350,L351,L352)=3,L350*L351*L352,""),"")</f>
        <v>0.131145301480508</v>
      </c>
      <c r="M353" s="258">
        <f>IFERROR(IF(COUNT(M350,M351,M352)=3,M350*M351*M352,""),"")</f>
        <v>0.131145301480508</v>
      </c>
      <c r="N353" s="257">
        <f>IFERROR(IF(COUNT(N350,N351,N352)=3,N350*N351*N352,""),"")</f>
        <v>0.146097458731292</v>
      </c>
      <c r="O353" s="257">
        <f>IFERROR(IF(COUNT(O350,O351,O352)=3,O350*O351*O352,""),"")</f>
        <v>0.211101957638693</v>
      </c>
      <c r="P353" s="257">
        <f>IFERROR(IF(COUNT(P350,P351,P352)=3,P350*P351*P352,""),"")</f>
        <v>0.26864480970561</v>
      </c>
      <c r="Q353" s="257">
        <f>IFERROR(IF(COUNT(Q350,Q351,Q352)=3,Q350*Q351*Q352,""),"")</f>
        <v>0.275295965387978</v>
      </c>
      <c r="R353" s="258">
        <f>IFERROR(IF(COUNT(R350,R351,R352)=3,R350*R351*R352,""),"")</f>
        <v>0.275295965387978</v>
      </c>
      <c r="S353" s="257">
        <f>IFERROR(IF(COUNT(S350,S351,S352)=3,S350*S351*S352,""),"")</f>
        <v>0.298865387037701</v>
      </c>
      <c r="T353" s="257">
        <f>IFERROR(IF(COUNT(T350,T351,T352)=3,T350*T351*T352,""),"")</f>
        <v>0.249858693604255</v>
      </c>
      <c r="U353" s="257">
        <f>IFERROR(IF(COUNT(U350,U351,U352)=3,U350*U351*U352,""),"")</f>
        <v>0.198185348836089</v>
      </c>
      <c r="V353" s="257">
        <f>IFERROR(IF(COUNT(V350,V351,V352)=3,V350*V351*V352,""),"")</f>
        <v>0.169428525722459</v>
      </c>
      <c r="W353" s="258">
        <f>IFERROR(IF(COUNT(W350,W351,W352)=3,W350*W351*W352,""),"")</f>
        <v>0.169428525722459</v>
      </c>
      <c r="X353" s="257">
        <f>IFERROR(IF(COUNT(X350,X351,X352)=3,X350*X351*X352,""),"")</f>
        <v>0.153953025552447</v>
      </c>
      <c r="Y353" s="257">
        <f>IFERROR(IF(COUNT(Y350,Y351,Y352)=3,Y350*Y351*Y352,""),"")</f>
        <v>0.123648947029312</v>
      </c>
      <c r="Z353" s="257">
        <f>IFERROR(IF(COUNT(Z350,Z351,Z352)=3,Z350*Z351*Z352,""),"")</f>
        <v>0.12192474674385</v>
      </c>
      <c r="AA353" s="257">
        <f>IFERROR(IF(COUNT(AA350,AA351,AA352)=3,AA350*AA351*AA352,""),"")</f>
        <v>0.124461394056303</v>
      </c>
      <c r="AB353" s="258">
        <f>IFERROR(IF(COUNT(AB350,AB351,AB352)=3,AB350*AB351*AB352,""),"")</f>
        <v>0.124461394056303</v>
      </c>
      <c r="AC353" s="257">
        <f>IFERROR(IF(COUNT(AC350,AC351,AC352)=3,AC350*AC351*AC352,""),"")</f>
        <v>0.122951305753023</v>
      </c>
      <c r="AD353" s="257">
        <f>IFERROR(IF(COUNT(AD350,AD351,AD352)=3,AD350*AD351*AD352,""),"")</f>
        <v>0.114886539587053</v>
      </c>
      <c r="AE353" s="257">
        <f>IFERROR(IF(COUNT(AE350,AE351,AE352)=3,AE350*AE351*AE352,""),"")</f>
        <v>0.111672004265108</v>
      </c>
      <c r="AF353" s="257">
        <f>IFERROR(IF(COUNT(AF350,AF351,AF352)=3,AF350*AF351*AF352,""),"")</f>
        <v>0.205572599821473</v>
      </c>
      <c r="AG353" s="258">
        <f>IFERROR(IF(COUNT(AG350,AG351,AG352)=3,AG350*AG351*AG352,""),"")</f>
        <v>0.108181497678396</v>
      </c>
      <c r="AH353" s="257">
        <f>IFERROR(IF(COUNT(AH350,AH351,AH352)=3,AH350*AH351*AH352,""),"")</f>
        <v>0.178585112415516</v>
      </c>
      <c r="AI353" s="257">
        <f>IFERROR(IF(COUNT(AI350,AI351,AI352)=3,AI350*AI351*AI352,""),"")</f>
        <v>0.207056453885785</v>
      </c>
      <c r="AJ353" s="257">
        <f>IFERROR(IF(COUNT(AJ350,AJ351,AJ352)=3,AJ350*AJ351*AJ352,""),"")</f>
        <v>0.121472546266765</v>
      </c>
      <c r="AK353" s="257">
        <f>IFERROR(IF(COUNT(AK350,AK351,AK352)=3,AK350*AK351*AK352,""),"")</f>
        <v>0.122770486963053</v>
      </c>
      <c r="AL353" s="258">
        <f>IFERROR(IF(COUNT(AL350,AL351,AL352)=3,AL350*AL351*AL352,""),"")</f>
        <v>0.122770486963053</v>
      </c>
      <c r="AM353" s="257">
        <f>IFERROR(IF(COUNT(AM350,AM351,AM352)=3,AM350*AM351*AM352,""),"")</f>
        <v>0.132799928618392</v>
      </c>
      <c r="AN353" s="257">
        <f>IFERROR(IF(COUNT(AN350,AN351,AN352)=3,AN350*AN351*AN352,""),"")</f>
        <v>0.11629425863531</v>
      </c>
      <c r="AO353" s="257">
        <f>IFERROR(IF(COUNT(AO350,AO351,AO352)=3,AO350*AO351*AO352,""),"")</f>
        <v>0.114246149346317</v>
      </c>
      <c r="AP353" s="257">
        <f>IFERROR(IF(COUNT(AP350,AP351,AP352)=3,AP350*AP351*AP352,""),"")</f>
        <v>0.112373007707632</v>
      </c>
      <c r="AQ353" s="258">
        <f>IFERROR(IF(COUNT(AQ350,AQ351,AQ352)=3,AQ350*AQ351*AQ352,""),"")</f>
        <v>0.112373007707632</v>
      </c>
      <c r="AR353" s="257">
        <f>IFERROR(IF(COUNT(AR350,AR351,AR352)=3,AR350*AR351*AR352,""),"")</f>
        <v>0.110423730200369</v>
      </c>
      <c r="AS353" s="257">
        <f>IFERROR(IF(COUNT(AS350,AS351,AS352)=3,AS350*AS351*AS352,""),"")</f>
        <v>0.107923499784719</v>
      </c>
      <c r="AT353" s="257">
        <f>IFERROR(IF(COUNT(AT350,AT351,AT352)=3,AT350*AT351*AT352,""),"")</f>
        <v>0.106118148305665</v>
      </c>
      <c r="AU353" s="257">
        <f>IFERROR(IF(COUNT(AU350,AU351,AU352)=3,AU350*AU351*AU352,""),"")</f>
        <v>0.104460616587993</v>
      </c>
      <c r="AV353" s="258">
        <f>IFERROR(IF(COUNT(AV350,AV351,AV352)=3,AV350*AV351*AV352,""),"")</f>
        <v>0.104460616587993</v>
      </c>
      <c r="AW353" s="257">
        <f>IFERROR(IF(COUNT(AW350,AW351,AW352)=3,AW350*AW351*AW352,""),"")</f>
        <v>0.102731349027102</v>
      </c>
      <c r="AX353" s="257">
        <f>IFERROR(IF(COUNT(AX350,AX351,AX352)=3,AX350*AX351*AX352,""),"")</f>
        <v>0.100503512401643</v>
      </c>
      <c r="AY353" s="257">
        <f>IFERROR(IF(COUNT(AY350,AY351,AY352)=3,AY350*AY351*AY352,""),"")</f>
        <v>0.0988879588070679</v>
      </c>
      <c r="AZ353" s="257">
        <f>IFERROR(IF(COUNT(AZ350,AZ351,AZ352)=3,AZ350*AZ351*AZ352,""),"")</f>
        <v>0.0973995661543051</v>
      </c>
      <c r="BA353" s="258">
        <f>IFERROR(IF(COUNT(BA350,BA351,BA352)=3,BA350*BA351*BA352,""),"")</f>
        <v>0.0973995661543051</v>
      </c>
      <c r="BB353" s="257">
        <f>IFERROR(IF(COUNT(BB350,BB351,BB352)=3,BB350*BB351*BB352,""),"")</f>
        <v>0.0958443936564021</v>
      </c>
      <c r="BC353" s="257">
        <f>IFERROR(IF(COUNT(BC350,BC351,BC352)=3,BC350*BC351*BC352,""),"")</f>
        <v>0.0938329287923251</v>
      </c>
      <c r="BD353" s="257">
        <f>IFERROR(IF(COUNT(BD350,BD351,BD352)=3,BD350*BD351*BD352,""),"")</f>
        <v>0.0923686735800211</v>
      </c>
      <c r="BE353" s="257">
        <f>IFERROR(IF(COUNT(BE350,BE351,BE352)=3,BE350*BE351*BE352,""),"")</f>
        <v>0.0910154762294708</v>
      </c>
      <c r="BF353" s="258">
        <f>IFERROR(IF(COUNT(BF350,BF351,BF352)=3,BF350*BF351*BF352,""),"")</f>
        <v>0.0910154762294708</v>
      </c>
      <c r="BG353" s="81" t="n"/>
      <c r="BH353" s="81" t="n"/>
      <c r="BI353" s="81" t="n"/>
      <c r="BJ353" s="81" t="n"/>
      <c r="BL353" s="81" t="n"/>
      <c r="BM353" s="81" t="n"/>
      <c r="BN353" s="81" t="n"/>
      <c r="BO353" s="81" t="n"/>
      <c r="BQ353" s="81" t="n"/>
      <c r="BR353" s="81" t="n"/>
      <c r="BS353" s="81" t="n"/>
      <c r="BT353" s="81" t="n"/>
      <c r="BV353" s="81" t="n"/>
      <c r="BW353" s="81" t="n"/>
      <c r="BX353" s="81" t="n"/>
      <c r="BY353" s="81" t="n"/>
      <c r="CA353" s="81" t="n"/>
      <c r="CB353" s="81" t="n"/>
      <c r="CC353" s="81" t="n"/>
      <c r="CD353" s="81" t="n"/>
      <c r="CF353" s="81" t="n"/>
      <c r="CG353" s="81" t="n"/>
      <c r="CH353" s="81" t="n"/>
      <c r="CI353" s="81" t="n"/>
      <c r="CK353" s="81" t="n"/>
      <c r="CL353" s="81" t="n"/>
      <c r="CM353" s="81" t="n"/>
      <c r="CN353" s="81" t="n"/>
      <c r="CP353" s="81" t="n"/>
      <c r="CQ353" s="81" t="n"/>
      <c r="CR353" s="81" t="n"/>
      <c r="CS353" s="81" t="n"/>
      <c r="CU353" s="81" t="n"/>
      <c r="CV353" s="81" t="n"/>
      <c r="CW353" s="81" t="n"/>
      <c r="CX353" s="81" t="n"/>
    </row>
    <row r="354" customFormat="1" s="77">
      <c r="A354" s="76" t="n"/>
      <c r="B354" s="76" t="n"/>
      <c r="C354" s="77" t="inlineStr">
        <is>
          <t>ROE (LTM)</t>
        </is>
      </c>
      <c r="D354" s="84" t="str">
        <f>IFERROR(D123/D257,"")</f>
        <v/>
      </c>
      <c r="E354" s="84" t="str">
        <f>IFERROR(E123/E257,"")</f>
        <v/>
      </c>
      <c r="F354" s="84" t="str">
        <f>IFERROR(F123/F257,"")</f>
        <v/>
      </c>
      <c r="G354" s="84" t="str">
        <f>IFERROR(G123/G257,"")</f>
        <v/>
      </c>
      <c r="H354" s="258" t="str">
        <f>IFERROR(IF(AND(COUNT(H123)=1,N(H257)&lt;&gt;0),(H123)/H257,""),"")</f>
        <v/>
      </c>
      <c r="I354" s="257" t="str">
        <f>""</f>
        <v/>
      </c>
      <c r="J354" s="257" t="str">
        <f>""</f>
        <v/>
      </c>
      <c r="K354" s="257" t="str">
        <f>""</f>
        <v/>
      </c>
      <c r="L354" s="257">
        <f>IFERROR(IF(AND(COUNT(I123,J123,K123,L123)=4,N(L257)&lt;&gt;0),(I123+J123+K123+L123)/L257,""),"")</f>
        <v>0.131145301480508</v>
      </c>
      <c r="M354" s="258">
        <f>IFERROR(IF(AND(COUNT(I123,J123,K123,L123)=4,N(M257)&lt;&gt;0),(I123+J123+K123+L123)/M257,""),"")</f>
        <v>0.131145301480508</v>
      </c>
      <c r="N354" s="257">
        <f>IFERROR(IF(AND(COUNT(J123,K123,L123,N123)=4,N(N257)&lt;&gt;0),(J123+K123+L123+N123)/N257,""),"")</f>
        <v>0.146097458731292</v>
      </c>
      <c r="O354" s="257">
        <f>IFERROR(IF(AND(COUNT(K123,L123,N123,O123)=4,N(O257)&lt;&gt;0),(K123+L123+N123+O123)/O257,""),"")</f>
        <v>0.211101957638693</v>
      </c>
      <c r="P354" s="257">
        <f>IFERROR(IF(AND(COUNT(L123,N123,O123,P123)=4,N(P257)&lt;&gt;0),(L123+N123+O123+P123)/P257,""),"")</f>
        <v>0.26864480970561</v>
      </c>
      <c r="Q354" s="257">
        <f>IFERROR(IF(AND(COUNT(N123,O123,P123,Q123)=4,N(Q257)&lt;&gt;0),(N123+O123+P123+Q123)/Q257,""),"")</f>
        <v>0.275295965387978</v>
      </c>
      <c r="R354" s="258">
        <f>IFERROR(IF(AND(COUNT(N123,O123,P123,Q123)=4,N(R257)&lt;&gt;0),(N123+O123+P123+Q123)/R257,""),"")</f>
        <v>0.275295965387978</v>
      </c>
      <c r="S354" s="257">
        <f>IFERROR(IF(AND(COUNT(O123,P123,Q123,S123)=4,N(S257)&lt;&gt;0),(O123+P123+Q123+S123)/S257,""),"")</f>
        <v>0.298865387037701</v>
      </c>
      <c r="T354" s="257">
        <f>IFERROR(IF(AND(COUNT(P123,Q123,S123,T123)=4,N(T257)&lt;&gt;0),(P123+Q123+S123+T123)/T257,""),"")</f>
        <v>0.249858693604255</v>
      </c>
      <c r="U354" s="257">
        <f>IFERROR(IF(AND(COUNT(Q123,S123,T123,U123)=4,N(U257)&lt;&gt;0),(Q123+S123+T123+U123)/U257,""),"")</f>
        <v>0.198185348836089</v>
      </c>
      <c r="V354" s="257">
        <f>IFERROR(IF(AND(COUNT(S123,T123,U123,V123)=4,N(V257)&lt;&gt;0),(S123+T123+U123+V123)/V257,""),"")</f>
        <v>0.169428525722459</v>
      </c>
      <c r="W354" s="258">
        <f>IFERROR(IF(AND(COUNT(S123,T123,U123,V123)=4,N(W257)&lt;&gt;0),(S123+T123+U123+V123)/W257,""),"")</f>
        <v>0.169428525722459</v>
      </c>
      <c r="X354" s="257">
        <f>IFERROR(IF(AND(COUNT(T123,U123,V123,X123)=4,N(X257)&lt;&gt;0),(T123+U123+V123+X123)/X257,""),"")</f>
        <v>0.153953025552447</v>
      </c>
      <c r="Y354" s="257">
        <f>IFERROR(IF(AND(COUNT(U123,V123,X123,Y123)=4,N(Y257)&lt;&gt;0),(U123+V123+X123+Y123)/Y257,""),"")</f>
        <v>0.123648947029312</v>
      </c>
      <c r="Z354" s="257">
        <f>IFERROR(IF(AND(COUNT(V123,X123,Y123,Z123)=4,N(Z257)&lt;&gt;0),(V123+X123+Y123+Z123)/Z257,""),"")</f>
        <v>0.12192474674385</v>
      </c>
      <c r="AA354" s="257">
        <f>IFERROR(IF(AND(COUNT(X123,Y123,Z123,AA123)=4,N(AA257)&lt;&gt;0),(X123+Y123+Z123+AA123)/AA257,""),"")</f>
        <v>0.124461394056303</v>
      </c>
      <c r="AB354" s="258">
        <f>IFERROR(IF(AND(COUNT(X123,Y123,Z123,AA123)=4,N(AB257)&lt;&gt;0),(X123+Y123+Z123+AA123)/AB257,""),"")</f>
        <v>0.124461394056303</v>
      </c>
      <c r="AC354" s="257">
        <f>IFERROR(IF(AND(COUNT(Y123,Z123,AA123,AC123)=4,N(AC257)&lt;&gt;0),(Y123+Z123+AA123+AC123)/AC257,""),"")</f>
        <v>0.122951305753023</v>
      </c>
      <c r="AD354" s="257">
        <f>IFERROR(IF(AND(COUNT(Z123,AA123,AC123,AD123)=4,N(AD257)&lt;&gt;0),(Z123+AA123+AC123+AD123)/AD257,""),"")</f>
        <v>0.114886539587053</v>
      </c>
      <c r="AE354" s="257">
        <f>IFERROR(IF(AND(COUNT(AA123,AC123,AD123,AE123)=4,N(AE257)&lt;&gt;0),(AA123+AC123+AD123+AE123)/AE257,""),"")</f>
        <v>0.111672004265108</v>
      </c>
      <c r="AF354" s="257">
        <f>IFERROR(IF(AND(COUNT(AB123,AD123,AE123,AF123)=4,N(AF257)&lt;&gt;0),(AB123+AD123+AE123+AF123)/AF257,""),"")</f>
        <v>0.205572599821473</v>
      </c>
      <c r="AG354" s="258">
        <f>IFERROR(IF(AND(COUNT(AC123,AD123,AE123,AF123)=4,N(AG257)&lt;&gt;0),(AC123+AD123+AE123+AF123)/AG257,""),"")</f>
        <v>0.108181497678396</v>
      </c>
      <c r="AH354" s="257">
        <f>IFERROR(IF(AND(COUNT(AD123,AF123,AG123,AH123)=4,N(AH257)&lt;&gt;0),(AD123+AF123+AG123+AH123)/AH257,""),"")</f>
        <v>0.178585112415516</v>
      </c>
      <c r="AI354" s="257">
        <f>IFERROR(IF(AND(COUNT(AE123,AG123,AH123,AI123)=4,N(AI257)&lt;&gt;0),(AE123+AG123+AH123+AI123)/AI257,""),"")</f>
        <v>0.207056453885785</v>
      </c>
      <c r="AJ354" s="257">
        <f>IFERROR(IF(AND(COUNT(AF123,AH123,AI123,AJ123)=4,N(AJ257)&lt;&gt;0),(AF123+AH123+AI123+AJ123)/AJ257,""),"")</f>
        <v>0.121472546266765</v>
      </c>
      <c r="AK354" s="257">
        <f>IFERROR(IF(AND(COUNT(AH123,AI123,AJ123,AK123)=4,N(AK257)&lt;&gt;0),(AH123+AI123+AJ123+AK123)/AK257,""),"")</f>
        <v>0.122770486963053</v>
      </c>
      <c r="AL354" s="258">
        <f>IFERROR(IF(AND(COUNT(AH123,AI123,AJ123,AK123)=4,N(AL257)&lt;&gt;0),(AH123+AI123+AJ123+AK123)/AL257,""),"")</f>
        <v>0.122770486963053</v>
      </c>
      <c r="AM354" s="257">
        <f>IFERROR(IF(AND(COUNT(AI123,AJ123,AK123,AM123)=4,N(AM257)&lt;&gt;0),(AI123+AJ123+AK123+AM123)/AM257,""),"")</f>
        <v>0.132799928618392</v>
      </c>
      <c r="AN354" s="257">
        <f>IFERROR(IF(AND(COUNT(AJ123,AK123,AM123,AN123)=4,N(AN257)&lt;&gt;0),(AJ123+AK123+AM123+AN123)/AN257,""),"")</f>
        <v>0.11629425863531</v>
      </c>
      <c r="AO354" s="257">
        <f>IFERROR(IF(AND(COUNT(AK123,AM123,AN123,AO123)=4,N(AO257)&lt;&gt;0),(AK123+AM123+AN123+AO123)/AO257,""),"")</f>
        <v>0.114246149346317</v>
      </c>
      <c r="AP354" s="257">
        <f>IFERROR(IF(AND(COUNT(AM123,AN123,AO123,AP123)=4,N(AP257)&lt;&gt;0),(AM123+AN123+AO123+AP123)/AP257,""),"")</f>
        <v>0.112373007707632</v>
      </c>
      <c r="AQ354" s="258">
        <f>IFERROR(IF(AND(COUNT(AM123,AN123,AO123,AP123)=4,N(AQ257)&lt;&gt;0),(AM123+AN123+AO123+AP123)/AQ257,""),"")</f>
        <v>0.112373007707632</v>
      </c>
      <c r="AR354" s="257">
        <f>IFERROR(IF(AND(COUNT(AN123,AO123,AP123,AR123)=4,N(AR257)&lt;&gt;0),(AN123+AO123+AP123+AR123)/AR257,""),"")</f>
        <v>0.110423730200369</v>
      </c>
      <c r="AS354" s="257">
        <f>IFERROR(IF(AND(COUNT(AO123,AP123,AR123,AS123)=4,N(AS257)&lt;&gt;0),(AO123+AP123+AR123+AS123)/AS257,""),"")</f>
        <v>0.107923499784719</v>
      </c>
      <c r="AT354" s="257">
        <f>IFERROR(IF(AND(COUNT(AP123,AR123,AS123,AT123)=4,N(AT257)&lt;&gt;0),(AP123+AR123+AS123+AT123)/AT257,""),"")</f>
        <v>0.106118148305665</v>
      </c>
      <c r="AU354" s="257">
        <f>IFERROR(IF(AND(COUNT(AR123,AS123,AT123,AU123)=4,N(AU257)&lt;&gt;0),(AR123+AS123+AT123+AU123)/AU257,""),"")</f>
        <v>0.104460616587993</v>
      </c>
      <c r="AV354" s="258">
        <f>IFERROR(IF(AND(COUNT(AR123,AS123,AT123,AU123)=4,N(AV257)&lt;&gt;0),(AR123+AS123+AT123+AU123)/AV257,""),"")</f>
        <v>0.104460616587993</v>
      </c>
      <c r="AW354" s="257">
        <f>IFERROR(IF(AND(COUNT(AS123,AT123,AU123,AW123)=4,N(AW257)&lt;&gt;0),(AS123+AT123+AU123+AW123)/AW257,""),"")</f>
        <v>0.102731349027102</v>
      </c>
      <c r="AX354" s="257">
        <f>IFERROR(IF(AND(COUNT(AT123,AU123,AW123,AX123)=4,N(AX257)&lt;&gt;0),(AT123+AU123+AW123+AX123)/AX257,""),"")</f>
        <v>0.100503512401643</v>
      </c>
      <c r="AY354" s="257">
        <f>IFERROR(IF(AND(COUNT(AU123,AW123,AX123,AY123)=4,N(AY257)&lt;&gt;0),(AU123+AW123+AX123+AY123)/AY257,""),"")</f>
        <v>0.0988879588070679</v>
      </c>
      <c r="AZ354" s="257">
        <f>IFERROR(IF(AND(COUNT(AW123,AX123,AY123,AZ123)=4,N(AZ257)&lt;&gt;0),(AW123+AX123+AY123+AZ123)/AZ257,""),"")</f>
        <v>0.0973995661543051</v>
      </c>
      <c r="BA354" s="258">
        <f>IFERROR(IF(AND(COUNT(AW123,AX123,AY123,AZ123)=4,N(BA257)&lt;&gt;0),(AW123+AX123+AY123+AZ123)/BA257,""),"")</f>
        <v>0.0973995661543051</v>
      </c>
      <c r="BB354" s="257">
        <f>IFERROR(IF(AND(COUNT(AX123,AY123,AZ123,BB123)=4,N(BB257)&lt;&gt;0),(AX123+AY123+AZ123+BB123)/BB257,""),"")</f>
        <v>0.0958443936564021</v>
      </c>
      <c r="BC354" s="257">
        <f>IFERROR(IF(AND(COUNT(AY123,AZ123,BB123,BC123)=4,N(BC257)&lt;&gt;0),(AY123+AZ123+BB123+BC123)/BC257,""),"")</f>
        <v>0.0938329287923251</v>
      </c>
      <c r="BD354" s="257">
        <f>IFERROR(IF(AND(COUNT(AZ123,BB123,BC123,BD123)=4,N(BD257)&lt;&gt;0),(AZ123+BB123+BC123+BD123)/BD257,""),"")</f>
        <v>0.0923686735800211</v>
      </c>
      <c r="BE354" s="257">
        <f>IFERROR(IF(AND(COUNT(BB123,BC123,BD123,BE123)=4,N(BE257)&lt;&gt;0),(BB123+BC123+BD123+BE123)/BE257,""),"")</f>
        <v>0.0910154762294708</v>
      </c>
      <c r="BF354" s="258">
        <f>IFERROR(IF(AND(COUNT(BB123,BC123,BD123,BE123)=4,N(BF257)&lt;&gt;0),(BB123+BC123+BD123+BE123)/BF257,""),"")</f>
        <v>0.0910154762294708</v>
      </c>
      <c r="BG354" s="81" t="n"/>
      <c r="BH354" s="81" t="n"/>
      <c r="BI354" s="81" t="n"/>
      <c r="BJ354" s="81" t="n"/>
      <c r="BL354" s="81" t="n"/>
      <c r="BM354" s="81" t="n"/>
      <c r="BN354" s="81" t="n"/>
      <c r="BO354" s="81" t="n"/>
      <c r="BQ354" s="81" t="n"/>
      <c r="BR354" s="81" t="n"/>
      <c r="BS354" s="81" t="n"/>
      <c r="BT354" s="81" t="n"/>
      <c r="BV354" s="81" t="n"/>
      <c r="BW354" s="81" t="n"/>
      <c r="BX354" s="81" t="n"/>
      <c r="BY354" s="81" t="n"/>
      <c r="CA354" s="81" t="n"/>
      <c r="CB354" s="81" t="n"/>
      <c r="CC354" s="81" t="n"/>
      <c r="CD354" s="81" t="n"/>
      <c r="CF354" s="81" t="n"/>
      <c r="CG354" s="81" t="n"/>
      <c r="CH354" s="81" t="n"/>
      <c r="CI354" s="81" t="n"/>
      <c r="CK354" s="81" t="n"/>
      <c r="CL354" s="81" t="n"/>
      <c r="CM354" s="81" t="n"/>
      <c r="CN354" s="81" t="n"/>
      <c r="CP354" s="81" t="n"/>
      <c r="CQ354" s="81" t="n"/>
      <c r="CR354" s="81" t="n"/>
      <c r="CS354" s="81" t="n"/>
      <c r="CU354" s="81" t="n"/>
      <c r="CV354" s="81" t="n"/>
      <c r="CW354" s="81" t="n"/>
      <c r="CX354" s="81" t="n"/>
    </row>
    <row r="355"/>
    <row r="356">
      <c r="C356" s="73" t="inlineStr">
        <is>
          <t>Scenario Analysis</t>
        </is>
      </c>
      <c r="D356" s="73" t="n"/>
      <c r="E356" s="73" t="n"/>
      <c r="F356" s="73" t="n"/>
      <c r="G356" s="73" t="n"/>
      <c r="H356" s="73" t="n"/>
      <c r="I356" s="73" t="n"/>
      <c r="J356" s="73" t="n"/>
      <c r="K356" s="73" t="n"/>
      <c r="L356" s="73" t="n"/>
      <c r="M356" s="73" t="n"/>
      <c r="N356" s="73" t="n"/>
      <c r="O356" s="73" t="n"/>
      <c r="P356" s="73" t="n"/>
      <c r="Q356" s="73" t="n"/>
      <c r="R356" s="73" t="n"/>
      <c r="S356" s="73" t="n"/>
      <c r="T356" s="73" t="n"/>
      <c r="U356" s="73" t="n"/>
      <c r="V356" s="73" t="n"/>
      <c r="W356" s="73" t="n"/>
      <c r="X356" s="73" t="n"/>
      <c r="Y356" s="73" t="n"/>
      <c r="Z356" s="73" t="n"/>
      <c r="AA356" s="73" t="n"/>
      <c r="AB356" s="73" t="n"/>
      <c r="AC356" s="73" t="n"/>
      <c r="AD356" s="73" t="n"/>
      <c r="AE356" s="73" t="n"/>
      <c r="AF356" s="73" t="n"/>
      <c r="AG356" s="73" t="n"/>
      <c r="AH356" s="73" t="n"/>
      <c r="AI356" s="73" t="n"/>
      <c r="AJ356" s="73" t="n"/>
      <c r="AK356" s="73" t="n"/>
      <c r="AL356" s="73" t="n"/>
      <c r="AM356" s="73" t="n"/>
      <c r="AN356" s="73" t="n"/>
      <c r="AO356" s="73" t="n"/>
      <c r="AP356" s="73" t="n"/>
      <c r="AQ356" s="73" t="n"/>
      <c r="AR356" s="73" t="n"/>
      <c r="AS356" s="73" t="n"/>
      <c r="AT356" s="73" t="n"/>
      <c r="AU356" s="73" t="n"/>
      <c r="AV356" s="73" t="n"/>
      <c r="AW356" s="73" t="n"/>
      <c r="AX356" s="73" t="n"/>
      <c r="AY356" s="73" t="n"/>
      <c r="AZ356" s="73" t="n"/>
      <c r="BA356" s="73" t="n"/>
      <c r="BB356" s="73" t="n"/>
      <c r="BC356" s="73" t="n"/>
      <c r="BD356" s="73" t="n"/>
      <c r="BE356" s="73" t="n"/>
      <c r="BF356" s="73" t="n"/>
      <c r="BG356" s="73" t="n"/>
      <c r="BH356" s="73" t="n"/>
      <c r="BI356" s="73" t="n"/>
      <c r="BJ356" s="73" t="n"/>
      <c r="BK356" s="73" t="n"/>
      <c r="BL356" s="73" t="n"/>
      <c r="BM356" s="73" t="n"/>
      <c r="BN356" s="73" t="n"/>
      <c r="BO356" s="73" t="n"/>
      <c r="BP356" s="73" t="n"/>
      <c r="BQ356" s="73" t="n"/>
      <c r="BR356" s="73" t="n"/>
      <c r="BS356" s="73" t="n"/>
      <c r="BT356" s="73" t="n"/>
      <c r="BU356" s="73" t="n"/>
      <c r="BV356" s="73" t="n"/>
      <c r="BW356" s="73" t="n"/>
      <c r="BX356" s="73" t="n"/>
      <c r="BY356" s="73" t="n"/>
      <c r="BZ356" s="73" t="n"/>
      <c r="CA356" s="73" t="n"/>
      <c r="CB356" s="73" t="n"/>
      <c r="CC356" s="73" t="n"/>
      <c r="CD356" s="73" t="n"/>
      <c r="CE356" s="73" t="n"/>
      <c r="CF356" s="73" t="n"/>
      <c r="CG356" s="73" t="n"/>
      <c r="CH356" s="73" t="n"/>
      <c r="CI356" s="73" t="n"/>
      <c r="CJ356" s="73" t="n"/>
      <c r="CK356" s="73" t="n"/>
      <c r="CL356" s="73" t="n"/>
      <c r="CM356" s="73" t="n"/>
      <c r="CN356" s="73" t="n"/>
      <c r="CO356" s="73" t="n"/>
      <c r="CP356" s="73" t="n"/>
      <c r="CQ356" s="73" t="n"/>
      <c r="CR356" s="73" t="n"/>
      <c r="CS356" s="73" t="n"/>
      <c r="CT356" s="73" t="n"/>
      <c r="CU356" s="73" t="n"/>
      <c r="CV356" s="73" t="n"/>
      <c r="CW356" s="73" t="n"/>
      <c r="CX356" s="73" t="n"/>
      <c r="CY356" s="73" t="n"/>
    </row>
    <row r="357"/>
    <row r="358"/>
    <row r="359">
      <c r="C359" s="4" t="inlineStr">
        <is>
          <t>Bull case</t>
        </is>
      </c>
    </row>
    <row r="360">
      <c r="C360" s="4" t="inlineStr">
        <is>
          <t>Base case</t>
        </is>
      </c>
    </row>
    <row r="361">
      <c r="C361" s="4" t="inlineStr">
        <is>
          <t>Bear case</t>
        </is>
      </c>
    </row>
    <row r="362"/>
    <row r="363"/>
    <row r="364">
      <c r="C364" s="4" t="inlineStr">
        <is>
          <t>Bull case</t>
        </is>
      </c>
    </row>
    <row r="365">
      <c r="C365" s="4" t="inlineStr">
        <is>
          <t>Base case</t>
        </is>
      </c>
    </row>
    <row r="366">
      <c r="C366" s="4" t="inlineStr">
        <is>
          <t>Bear case</t>
        </is>
      </c>
    </row>
    <row r="367"/>
    <row r="368"/>
    <row r="369">
      <c r="C369" s="4" t="inlineStr">
        <is>
          <t>% Gross Margin</t>
        </is>
      </c>
    </row>
    <row r="370">
      <c r="C370" s="4" t="inlineStr">
        <is>
          <t>Bull case</t>
        </is>
      </c>
    </row>
    <row r="371">
      <c r="C371" s="4" t="inlineStr">
        <is>
          <t>Base case</t>
        </is>
      </c>
    </row>
    <row r="372">
      <c r="C372" s="4" t="inlineStr">
        <is>
          <t>Bear case</t>
        </is>
      </c>
    </row>
    <row r="373"/>
    <row r="374"/>
    <row r="375">
      <c r="C375" s="4" t="inlineStr">
        <is>
          <t>Capital expenditures</t>
        </is>
      </c>
    </row>
    <row r="376">
      <c r="C376" s="4" t="inlineStr">
        <is>
          <t>Bull case</t>
        </is>
      </c>
    </row>
    <row r="377">
      <c r="C377" s="4" t="inlineStr">
        <is>
          <t>Base case</t>
        </is>
      </c>
    </row>
    <row r="378">
      <c r="C378" s="4" t="inlineStr">
        <is>
          <t>Bear case</t>
        </is>
      </c>
    </row>
  </sheetData>
  <conditionalFormatting sqref="B1:B4 B13:B1048576">
    <cfRule type="expression" priority="25" dxfId="23">
      <formula>B1&lt;&gt;""</formula>
    </cfRule>
  </conditionalFormatting>
  <conditionalFormatting sqref="D1:CY3">
    <cfRule type="cellIs" priority="18" operator="greaterThan" dxfId="22">
      <formula>1</formula>
    </cfRule>
  </conditionalFormatting>
  <conditionalFormatting sqref="E301:G301">
    <cfRule type="cellIs" priority="16" operator="notEqual" dxfId="0">
      <formula>0</formula>
    </cfRule>
  </conditionalFormatting>
  <conditionalFormatting sqref="E5:H5">
    <cfRule type="cellIs" priority="17" operator="greaterThan" dxfId="18">
      <formula>$B$5</formula>
    </cfRule>
  </conditionalFormatting>
  <conditionalFormatting sqref="I301:L301">
    <cfRule type="cellIs" priority="23" operator="notEqual" dxfId="0">
      <formula>0</formula>
    </cfRule>
  </conditionalFormatting>
  <conditionalFormatting sqref="J5:CY5">
    <cfRule type="cellIs" priority="24" operator="greaterThan" dxfId="18">
      <formula>$B$5</formula>
    </cfRule>
  </conditionalFormatting>
  <conditionalFormatting sqref="N301:Q301">
    <cfRule type="cellIs" priority="22" operator="notEqual" dxfId="0">
      <formula>0</formula>
    </cfRule>
  </conditionalFormatting>
  <conditionalFormatting sqref="S301:V301">
    <cfRule type="cellIs" priority="21" operator="notEqual" dxfId="0">
      <formula>0</formula>
    </cfRule>
  </conditionalFormatting>
  <conditionalFormatting sqref="X301:AA301">
    <cfRule type="cellIs" priority="20" operator="notEqual" dxfId="0">
      <formula>0</formula>
    </cfRule>
  </conditionalFormatting>
  <conditionalFormatting sqref="AC301:AF301">
    <cfRule type="cellIs" priority="19" operator="notEqual" dxfId="0">
      <formula>0</formula>
    </cfRule>
  </conditionalFormatting>
  <conditionalFormatting sqref="AH301:AK301">
    <cfRule type="cellIs" priority="15" operator="notEqual" dxfId="0">
      <formula>0</formula>
    </cfRule>
  </conditionalFormatting>
  <conditionalFormatting sqref="AM301:AP301">
    <cfRule type="cellIs" priority="14" operator="notEqual" dxfId="0">
      <formula>0</formula>
    </cfRule>
  </conditionalFormatting>
  <conditionalFormatting sqref="AR301:AU301">
    <cfRule type="cellIs" priority="13" operator="notEqual" dxfId="0">
      <formula>0</formula>
    </cfRule>
  </conditionalFormatting>
  <conditionalFormatting sqref="AW301:AZ301">
    <cfRule type="cellIs" priority="12" operator="notEqual" dxfId="0">
      <formula>0</formula>
    </cfRule>
  </conditionalFormatting>
  <conditionalFormatting sqref="BB301:BE301">
    <cfRule type="cellIs" priority="11" operator="notEqual" dxfId="0">
      <formula>0</formula>
    </cfRule>
  </conditionalFormatting>
  <conditionalFormatting sqref="BG301:BJ301">
    <cfRule type="cellIs" priority="10" operator="notEqual" dxfId="0">
      <formula>0</formula>
    </cfRule>
  </conditionalFormatting>
  <conditionalFormatting sqref="BL301:BO301">
    <cfRule type="cellIs" priority="9" operator="notEqual" dxfId="0">
      <formula>0</formula>
    </cfRule>
  </conditionalFormatting>
  <conditionalFormatting sqref="BQ301:BT301">
    <cfRule type="cellIs" priority="8" operator="notEqual" dxfId="0">
      <formula>0</formula>
    </cfRule>
  </conditionalFormatting>
  <conditionalFormatting sqref="BV301:BY301">
    <cfRule type="cellIs" priority="7" operator="notEqual" dxfId="0">
      <formula>0</formula>
    </cfRule>
  </conditionalFormatting>
  <conditionalFormatting sqref="CA301:CD301">
    <cfRule type="cellIs" priority="6" operator="notEqual" dxfId="0">
      <formula>0</formula>
    </cfRule>
  </conditionalFormatting>
  <conditionalFormatting sqref="CF301:CI301">
    <cfRule type="cellIs" priority="5" operator="notEqual" dxfId="0">
      <formula>0</formula>
    </cfRule>
  </conditionalFormatting>
  <conditionalFormatting sqref="CK301:CN301">
    <cfRule type="cellIs" priority="4" operator="notEqual" dxfId="0">
      <formula>0</formula>
    </cfRule>
  </conditionalFormatting>
  <conditionalFormatting sqref="CP301:CS301">
    <cfRule type="cellIs" priority="3" operator="notEqual" dxfId="0">
      <formula>0</formula>
    </cfRule>
  </conditionalFormatting>
  <conditionalFormatting sqref="CU301:CX301">
    <cfRule type="cellIs" priority="2" operator="notEqual" dxfId="0">
      <formula>0</formula>
    </cfRule>
  </conditionalFormatting>
  <pageMargins left="0.7" right="0.7" top="0.75" bottom="0.75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02"/>
  <sheetViews>
    <sheetView zoomScaleNormal="100" workbookViewId="0">
      <selection activeCell="A1" sqref="A1"/>
    </sheetView>
  </sheetViews>
  <sheetFormatPr baseColWidth="8" defaultColWidth="10.42578125" defaultRowHeight="12.75"/>
  <cols>
    <col width="2.28515625" customWidth="1" style="251" min="1" max="1"/>
    <col width="4.85546875" customWidth="1" style="251" min="2" max="2"/>
    <col width="62" customWidth="1" style="251" min="3" max="3"/>
    <col width="14.5703125" customWidth="1" style="251" min="4" max="4"/>
    <col width="12.85546875" customWidth="1" style="251" min="5" max="6"/>
    <col width="13.42578125" customWidth="1" style="251" min="7" max="7"/>
    <col width="16" customWidth="1" style="251" min="8" max="8"/>
    <col width="15.5703125" customWidth="1" style="251" min="9" max="9"/>
    <col width="12.85546875" customWidth="1" style="251" min="10" max="12"/>
    <col width="13.28515625" customWidth="1" style="251" min="13" max="13"/>
    <col width="13.140625" customWidth="1" style="251" min="14" max="14"/>
    <col width="13.28515625" customWidth="1" style="251" min="15" max="15"/>
    <col width="12.28515625" customWidth="1" style="251" min="16" max="20"/>
    <col width="13.28515625" customWidth="1" style="251" min="21" max="22"/>
    <col width="10.5703125" customWidth="1" style="251" min="23" max="23"/>
    <col width="13" customWidth="1" style="251" min="24" max="25"/>
    <col width="11.28515625" customWidth="1" style="251" min="26" max="26"/>
    <col width="10.42578125" customWidth="1" style="251" min="27" max="27"/>
    <col width="21.5703125" customWidth="1" style="251" min="28" max="28"/>
    <col width="10.42578125" customWidth="1" style="251" min="29" max="31"/>
    <col width="9.140625" customWidth="1" style="251" min="32" max="32"/>
    <col width="10.42578125" customWidth="1" style="251" min="33" max="261"/>
    <col width="2.28515625" customWidth="1" style="251" min="262" max="263"/>
    <col width="35.42578125" customWidth="1" style="251" min="264" max="264"/>
    <col width="14.7109375" customWidth="1" style="251" min="265" max="265"/>
    <col width="12.85546875" customWidth="1" style="251" min="266" max="268"/>
    <col width="15.5703125" customWidth="1" style="251" min="269" max="269"/>
    <col width="12.85546875" customWidth="1" style="251" min="270" max="273"/>
    <col width="10.42578125" customWidth="1" style="251" min="274" max="275"/>
    <col width="12.28515625" customWidth="1" style="251" min="276" max="276"/>
    <col width="10.42578125" customWidth="1" style="251" min="277" max="517"/>
    <col width="2.28515625" customWidth="1" style="251" min="518" max="519"/>
    <col width="35.42578125" customWidth="1" style="251" min="520" max="520"/>
    <col width="14.7109375" customWidth="1" style="251" min="521" max="521"/>
    <col width="12.85546875" customWidth="1" style="251" min="522" max="524"/>
    <col width="15.5703125" customWidth="1" style="251" min="525" max="525"/>
    <col width="12.85546875" customWidth="1" style="251" min="526" max="529"/>
    <col width="10.42578125" customWidth="1" style="251" min="530" max="531"/>
    <col width="12.28515625" customWidth="1" style="251" min="532" max="532"/>
    <col width="10.42578125" customWidth="1" style="251" min="533" max="773"/>
    <col width="2.28515625" customWidth="1" style="251" min="774" max="775"/>
    <col width="35.42578125" customWidth="1" style="251" min="776" max="776"/>
    <col width="14.7109375" customWidth="1" style="251" min="777" max="777"/>
    <col width="12.85546875" customWidth="1" style="251" min="778" max="780"/>
    <col width="15.5703125" customWidth="1" style="251" min="781" max="781"/>
    <col width="12.85546875" customWidth="1" style="251" min="782" max="785"/>
    <col width="10.42578125" customWidth="1" style="251" min="786" max="787"/>
    <col width="12.28515625" customWidth="1" style="251" min="788" max="788"/>
    <col width="10.42578125" customWidth="1" style="251" min="789" max="1029"/>
    <col width="2.28515625" customWidth="1" style="251" min="1030" max="1031"/>
    <col width="35.42578125" customWidth="1" style="251" min="1032" max="1032"/>
    <col width="14.7109375" customWidth="1" style="251" min="1033" max="1033"/>
    <col width="12.85546875" customWidth="1" style="251" min="1034" max="1036"/>
    <col width="15.5703125" customWidth="1" style="251" min="1037" max="1037"/>
    <col width="12.85546875" customWidth="1" style="251" min="1038" max="1041"/>
    <col width="10.42578125" customWidth="1" style="251" min="1042" max="1043"/>
    <col width="12.28515625" customWidth="1" style="251" min="1044" max="1044"/>
    <col width="10.42578125" customWidth="1" style="251" min="1045" max="1285"/>
    <col width="2.28515625" customWidth="1" style="251" min="1286" max="1287"/>
    <col width="35.42578125" customWidth="1" style="251" min="1288" max="1288"/>
    <col width="14.7109375" customWidth="1" style="251" min="1289" max="1289"/>
    <col width="12.85546875" customWidth="1" style="251" min="1290" max="1292"/>
    <col width="15.5703125" customWidth="1" style="251" min="1293" max="1293"/>
    <col width="12.85546875" customWidth="1" style="251" min="1294" max="1297"/>
    <col width="10.42578125" customWidth="1" style="251" min="1298" max="1299"/>
    <col width="12.28515625" customWidth="1" style="251" min="1300" max="1300"/>
    <col width="10.42578125" customWidth="1" style="251" min="1301" max="1541"/>
    <col width="2.28515625" customWidth="1" style="251" min="1542" max="1543"/>
    <col width="35.42578125" customWidth="1" style="251" min="1544" max="1544"/>
    <col width="14.7109375" customWidth="1" style="251" min="1545" max="1545"/>
    <col width="12.85546875" customWidth="1" style="251" min="1546" max="1548"/>
    <col width="15.5703125" customWidth="1" style="251" min="1549" max="1549"/>
    <col width="12.85546875" customWidth="1" style="251" min="1550" max="1553"/>
    <col width="10.42578125" customWidth="1" style="251" min="1554" max="1555"/>
    <col width="12.28515625" customWidth="1" style="251" min="1556" max="1556"/>
    <col width="10.42578125" customWidth="1" style="251" min="1557" max="1797"/>
    <col width="2.28515625" customWidth="1" style="251" min="1798" max="1799"/>
    <col width="35.42578125" customWidth="1" style="251" min="1800" max="1800"/>
    <col width="14.7109375" customWidth="1" style="251" min="1801" max="1801"/>
    <col width="12.85546875" customWidth="1" style="251" min="1802" max="1804"/>
    <col width="15.5703125" customWidth="1" style="251" min="1805" max="1805"/>
    <col width="12.85546875" customWidth="1" style="251" min="1806" max="1809"/>
    <col width="10.42578125" customWidth="1" style="251" min="1810" max="1811"/>
    <col width="12.28515625" customWidth="1" style="251" min="1812" max="1812"/>
    <col width="10.42578125" customWidth="1" style="251" min="1813" max="2053"/>
    <col width="2.28515625" customWidth="1" style="251" min="2054" max="2055"/>
    <col width="35.42578125" customWidth="1" style="251" min="2056" max="2056"/>
    <col width="14.7109375" customWidth="1" style="251" min="2057" max="2057"/>
    <col width="12.85546875" customWidth="1" style="251" min="2058" max="2060"/>
    <col width="15.5703125" customWidth="1" style="251" min="2061" max="2061"/>
    <col width="12.85546875" customWidth="1" style="251" min="2062" max="2065"/>
    <col width="10.42578125" customWidth="1" style="251" min="2066" max="2067"/>
    <col width="12.28515625" customWidth="1" style="251" min="2068" max="2068"/>
    <col width="10.42578125" customWidth="1" style="251" min="2069" max="2309"/>
    <col width="2.28515625" customWidth="1" style="251" min="2310" max="2311"/>
    <col width="35.42578125" customWidth="1" style="251" min="2312" max="2312"/>
    <col width="14.7109375" customWidth="1" style="251" min="2313" max="2313"/>
    <col width="12.85546875" customWidth="1" style="251" min="2314" max="2316"/>
    <col width="15.5703125" customWidth="1" style="251" min="2317" max="2317"/>
    <col width="12.85546875" customWidth="1" style="251" min="2318" max="2321"/>
    <col width="10.42578125" customWidth="1" style="251" min="2322" max="2323"/>
    <col width="12.28515625" customWidth="1" style="251" min="2324" max="2324"/>
    <col width="10.42578125" customWidth="1" style="251" min="2325" max="2565"/>
    <col width="2.28515625" customWidth="1" style="251" min="2566" max="2567"/>
    <col width="35.42578125" customWidth="1" style="251" min="2568" max="2568"/>
    <col width="14.7109375" customWidth="1" style="251" min="2569" max="2569"/>
    <col width="12.85546875" customWidth="1" style="251" min="2570" max="2572"/>
    <col width="15.5703125" customWidth="1" style="251" min="2573" max="2573"/>
    <col width="12.85546875" customWidth="1" style="251" min="2574" max="2577"/>
    <col width="10.42578125" customWidth="1" style="251" min="2578" max="2579"/>
    <col width="12.28515625" customWidth="1" style="251" min="2580" max="2580"/>
    <col width="10.42578125" customWidth="1" style="251" min="2581" max="2821"/>
    <col width="2.28515625" customWidth="1" style="251" min="2822" max="2823"/>
    <col width="35.42578125" customWidth="1" style="251" min="2824" max="2824"/>
    <col width="14.7109375" customWidth="1" style="251" min="2825" max="2825"/>
    <col width="12.85546875" customWidth="1" style="251" min="2826" max="2828"/>
    <col width="15.5703125" customWidth="1" style="251" min="2829" max="2829"/>
    <col width="12.85546875" customWidth="1" style="251" min="2830" max="2833"/>
    <col width="10.42578125" customWidth="1" style="251" min="2834" max="2835"/>
    <col width="12.28515625" customWidth="1" style="251" min="2836" max="2836"/>
    <col width="10.42578125" customWidth="1" style="251" min="2837" max="3077"/>
    <col width="2.28515625" customWidth="1" style="251" min="3078" max="3079"/>
    <col width="35.42578125" customWidth="1" style="251" min="3080" max="3080"/>
    <col width="14.7109375" customWidth="1" style="251" min="3081" max="3081"/>
    <col width="12.85546875" customWidth="1" style="251" min="3082" max="3084"/>
    <col width="15.5703125" customWidth="1" style="251" min="3085" max="3085"/>
    <col width="12.85546875" customWidth="1" style="251" min="3086" max="3089"/>
    <col width="10.42578125" customWidth="1" style="251" min="3090" max="3091"/>
    <col width="12.28515625" customWidth="1" style="251" min="3092" max="3092"/>
    <col width="10.42578125" customWidth="1" style="251" min="3093" max="3333"/>
    <col width="2.28515625" customWidth="1" style="251" min="3334" max="3335"/>
    <col width="35.42578125" customWidth="1" style="251" min="3336" max="3336"/>
    <col width="14.7109375" customWidth="1" style="251" min="3337" max="3337"/>
    <col width="12.85546875" customWidth="1" style="251" min="3338" max="3340"/>
    <col width="15.5703125" customWidth="1" style="251" min="3341" max="3341"/>
    <col width="12.85546875" customWidth="1" style="251" min="3342" max="3345"/>
    <col width="10.42578125" customWidth="1" style="251" min="3346" max="3347"/>
    <col width="12.28515625" customWidth="1" style="251" min="3348" max="3348"/>
    <col width="10.42578125" customWidth="1" style="251" min="3349" max="3589"/>
    <col width="2.28515625" customWidth="1" style="251" min="3590" max="3591"/>
    <col width="35.42578125" customWidth="1" style="251" min="3592" max="3592"/>
    <col width="14.7109375" customWidth="1" style="251" min="3593" max="3593"/>
    <col width="12.85546875" customWidth="1" style="251" min="3594" max="3596"/>
    <col width="15.5703125" customWidth="1" style="251" min="3597" max="3597"/>
    <col width="12.85546875" customWidth="1" style="251" min="3598" max="3601"/>
    <col width="10.42578125" customWidth="1" style="251" min="3602" max="3603"/>
    <col width="12.28515625" customWidth="1" style="251" min="3604" max="3604"/>
    <col width="10.42578125" customWidth="1" style="251" min="3605" max="3845"/>
    <col width="2.28515625" customWidth="1" style="251" min="3846" max="3847"/>
    <col width="35.42578125" customWidth="1" style="251" min="3848" max="3848"/>
    <col width="14.7109375" customWidth="1" style="251" min="3849" max="3849"/>
    <col width="12.85546875" customWidth="1" style="251" min="3850" max="3852"/>
    <col width="15.5703125" customWidth="1" style="251" min="3853" max="3853"/>
    <col width="12.85546875" customWidth="1" style="251" min="3854" max="3857"/>
    <col width="10.42578125" customWidth="1" style="251" min="3858" max="3859"/>
    <col width="12.28515625" customWidth="1" style="251" min="3860" max="3860"/>
    <col width="10.42578125" customWidth="1" style="251" min="3861" max="4101"/>
    <col width="2.28515625" customWidth="1" style="251" min="4102" max="4103"/>
    <col width="35.42578125" customWidth="1" style="251" min="4104" max="4104"/>
    <col width="14.7109375" customWidth="1" style="251" min="4105" max="4105"/>
    <col width="12.85546875" customWidth="1" style="251" min="4106" max="4108"/>
    <col width="15.5703125" customWidth="1" style="251" min="4109" max="4109"/>
    <col width="12.85546875" customWidth="1" style="251" min="4110" max="4113"/>
    <col width="10.42578125" customWidth="1" style="251" min="4114" max="4115"/>
    <col width="12.28515625" customWidth="1" style="251" min="4116" max="4116"/>
    <col width="10.42578125" customWidth="1" style="251" min="4117" max="4357"/>
    <col width="2.28515625" customWidth="1" style="251" min="4358" max="4359"/>
    <col width="35.42578125" customWidth="1" style="251" min="4360" max="4360"/>
    <col width="14.7109375" customWidth="1" style="251" min="4361" max="4361"/>
    <col width="12.85546875" customWidth="1" style="251" min="4362" max="4364"/>
    <col width="15.5703125" customWidth="1" style="251" min="4365" max="4365"/>
    <col width="12.85546875" customWidth="1" style="251" min="4366" max="4369"/>
    <col width="10.42578125" customWidth="1" style="251" min="4370" max="4371"/>
    <col width="12.28515625" customWidth="1" style="251" min="4372" max="4372"/>
    <col width="10.42578125" customWidth="1" style="251" min="4373" max="4613"/>
    <col width="2.28515625" customWidth="1" style="251" min="4614" max="4615"/>
    <col width="35.42578125" customWidth="1" style="251" min="4616" max="4616"/>
    <col width="14.7109375" customWidth="1" style="251" min="4617" max="4617"/>
    <col width="12.85546875" customWidth="1" style="251" min="4618" max="4620"/>
    <col width="15.5703125" customWidth="1" style="251" min="4621" max="4621"/>
    <col width="12.85546875" customWidth="1" style="251" min="4622" max="4625"/>
    <col width="10.42578125" customWidth="1" style="251" min="4626" max="4627"/>
    <col width="12.28515625" customWidth="1" style="251" min="4628" max="4628"/>
    <col width="10.42578125" customWidth="1" style="251" min="4629" max="4869"/>
    <col width="2.28515625" customWidth="1" style="251" min="4870" max="4871"/>
    <col width="35.42578125" customWidth="1" style="251" min="4872" max="4872"/>
    <col width="14.7109375" customWidth="1" style="251" min="4873" max="4873"/>
    <col width="12.85546875" customWidth="1" style="251" min="4874" max="4876"/>
    <col width="15.5703125" customWidth="1" style="251" min="4877" max="4877"/>
    <col width="12.85546875" customWidth="1" style="251" min="4878" max="4881"/>
    <col width="10.42578125" customWidth="1" style="251" min="4882" max="4883"/>
    <col width="12.28515625" customWidth="1" style="251" min="4884" max="4884"/>
    <col width="10.42578125" customWidth="1" style="251" min="4885" max="5125"/>
    <col width="2.28515625" customWidth="1" style="251" min="5126" max="5127"/>
    <col width="35.42578125" customWidth="1" style="251" min="5128" max="5128"/>
    <col width="14.7109375" customWidth="1" style="251" min="5129" max="5129"/>
    <col width="12.85546875" customWidth="1" style="251" min="5130" max="5132"/>
    <col width="15.5703125" customWidth="1" style="251" min="5133" max="5133"/>
    <col width="12.85546875" customWidth="1" style="251" min="5134" max="5137"/>
    <col width="10.42578125" customWidth="1" style="251" min="5138" max="5139"/>
    <col width="12.28515625" customWidth="1" style="251" min="5140" max="5140"/>
    <col width="10.42578125" customWidth="1" style="251" min="5141" max="5381"/>
    <col width="2.28515625" customWidth="1" style="251" min="5382" max="5383"/>
    <col width="35.42578125" customWidth="1" style="251" min="5384" max="5384"/>
    <col width="14.7109375" customWidth="1" style="251" min="5385" max="5385"/>
    <col width="12.85546875" customWidth="1" style="251" min="5386" max="5388"/>
    <col width="15.5703125" customWidth="1" style="251" min="5389" max="5389"/>
    <col width="12.85546875" customWidth="1" style="251" min="5390" max="5393"/>
    <col width="10.42578125" customWidth="1" style="251" min="5394" max="5395"/>
    <col width="12.28515625" customWidth="1" style="251" min="5396" max="5396"/>
    <col width="10.42578125" customWidth="1" style="251" min="5397" max="5637"/>
    <col width="2.28515625" customWidth="1" style="251" min="5638" max="5639"/>
    <col width="35.42578125" customWidth="1" style="251" min="5640" max="5640"/>
    <col width="14.7109375" customWidth="1" style="251" min="5641" max="5641"/>
    <col width="12.85546875" customWidth="1" style="251" min="5642" max="5644"/>
    <col width="15.5703125" customWidth="1" style="251" min="5645" max="5645"/>
    <col width="12.85546875" customWidth="1" style="251" min="5646" max="5649"/>
    <col width="10.42578125" customWidth="1" style="251" min="5650" max="5651"/>
    <col width="12.28515625" customWidth="1" style="251" min="5652" max="5652"/>
    <col width="10.42578125" customWidth="1" style="251" min="5653" max="5893"/>
    <col width="2.28515625" customWidth="1" style="251" min="5894" max="5895"/>
    <col width="35.42578125" customWidth="1" style="251" min="5896" max="5896"/>
    <col width="14.7109375" customWidth="1" style="251" min="5897" max="5897"/>
    <col width="12.85546875" customWidth="1" style="251" min="5898" max="5900"/>
    <col width="15.5703125" customWidth="1" style="251" min="5901" max="5901"/>
    <col width="12.85546875" customWidth="1" style="251" min="5902" max="5905"/>
    <col width="10.42578125" customWidth="1" style="251" min="5906" max="5907"/>
    <col width="12.28515625" customWidth="1" style="251" min="5908" max="5908"/>
    <col width="10.42578125" customWidth="1" style="251" min="5909" max="6149"/>
    <col width="2.28515625" customWidth="1" style="251" min="6150" max="6151"/>
    <col width="35.42578125" customWidth="1" style="251" min="6152" max="6152"/>
    <col width="14.7109375" customWidth="1" style="251" min="6153" max="6153"/>
    <col width="12.85546875" customWidth="1" style="251" min="6154" max="6156"/>
    <col width="15.5703125" customWidth="1" style="251" min="6157" max="6157"/>
    <col width="12.85546875" customWidth="1" style="251" min="6158" max="6161"/>
    <col width="10.42578125" customWidth="1" style="251" min="6162" max="6163"/>
    <col width="12.28515625" customWidth="1" style="251" min="6164" max="6164"/>
    <col width="10.42578125" customWidth="1" style="251" min="6165" max="6405"/>
    <col width="2.28515625" customWidth="1" style="251" min="6406" max="6407"/>
    <col width="35.42578125" customWidth="1" style="251" min="6408" max="6408"/>
    <col width="14.7109375" customWidth="1" style="251" min="6409" max="6409"/>
    <col width="12.85546875" customWidth="1" style="251" min="6410" max="6412"/>
    <col width="15.5703125" customWidth="1" style="251" min="6413" max="6413"/>
    <col width="12.85546875" customWidth="1" style="251" min="6414" max="6417"/>
    <col width="10.42578125" customWidth="1" style="251" min="6418" max="6419"/>
    <col width="12.28515625" customWidth="1" style="251" min="6420" max="6420"/>
    <col width="10.42578125" customWidth="1" style="251" min="6421" max="6661"/>
    <col width="2.28515625" customWidth="1" style="251" min="6662" max="6663"/>
    <col width="35.42578125" customWidth="1" style="251" min="6664" max="6664"/>
    <col width="14.7109375" customWidth="1" style="251" min="6665" max="6665"/>
    <col width="12.85546875" customWidth="1" style="251" min="6666" max="6668"/>
    <col width="15.5703125" customWidth="1" style="251" min="6669" max="6669"/>
    <col width="12.85546875" customWidth="1" style="251" min="6670" max="6673"/>
    <col width="10.42578125" customWidth="1" style="251" min="6674" max="6675"/>
    <col width="12.28515625" customWidth="1" style="251" min="6676" max="6676"/>
    <col width="10.42578125" customWidth="1" style="251" min="6677" max="6917"/>
    <col width="2.28515625" customWidth="1" style="251" min="6918" max="6919"/>
    <col width="35.42578125" customWidth="1" style="251" min="6920" max="6920"/>
    <col width="14.7109375" customWidth="1" style="251" min="6921" max="6921"/>
    <col width="12.85546875" customWidth="1" style="251" min="6922" max="6924"/>
    <col width="15.5703125" customWidth="1" style="251" min="6925" max="6925"/>
    <col width="12.85546875" customWidth="1" style="251" min="6926" max="6929"/>
    <col width="10.42578125" customWidth="1" style="251" min="6930" max="6931"/>
    <col width="12.28515625" customWidth="1" style="251" min="6932" max="6932"/>
    <col width="10.42578125" customWidth="1" style="251" min="6933" max="7173"/>
    <col width="2.28515625" customWidth="1" style="251" min="7174" max="7175"/>
    <col width="35.42578125" customWidth="1" style="251" min="7176" max="7176"/>
    <col width="14.7109375" customWidth="1" style="251" min="7177" max="7177"/>
    <col width="12.85546875" customWidth="1" style="251" min="7178" max="7180"/>
    <col width="15.5703125" customWidth="1" style="251" min="7181" max="7181"/>
    <col width="12.85546875" customWidth="1" style="251" min="7182" max="7185"/>
    <col width="10.42578125" customWidth="1" style="251" min="7186" max="7187"/>
    <col width="12.28515625" customWidth="1" style="251" min="7188" max="7188"/>
    <col width="10.42578125" customWidth="1" style="251" min="7189" max="7429"/>
    <col width="2.28515625" customWidth="1" style="251" min="7430" max="7431"/>
    <col width="35.42578125" customWidth="1" style="251" min="7432" max="7432"/>
    <col width="14.7109375" customWidth="1" style="251" min="7433" max="7433"/>
    <col width="12.85546875" customWidth="1" style="251" min="7434" max="7436"/>
    <col width="15.5703125" customWidth="1" style="251" min="7437" max="7437"/>
    <col width="12.85546875" customWidth="1" style="251" min="7438" max="7441"/>
    <col width="10.42578125" customWidth="1" style="251" min="7442" max="7443"/>
    <col width="12.28515625" customWidth="1" style="251" min="7444" max="7444"/>
    <col width="10.42578125" customWidth="1" style="251" min="7445" max="7685"/>
    <col width="2.28515625" customWidth="1" style="251" min="7686" max="7687"/>
    <col width="35.42578125" customWidth="1" style="251" min="7688" max="7688"/>
    <col width="14.7109375" customWidth="1" style="251" min="7689" max="7689"/>
    <col width="12.85546875" customWidth="1" style="251" min="7690" max="7692"/>
    <col width="15.5703125" customWidth="1" style="251" min="7693" max="7693"/>
    <col width="12.85546875" customWidth="1" style="251" min="7694" max="7697"/>
    <col width="10.42578125" customWidth="1" style="251" min="7698" max="7699"/>
    <col width="12.28515625" customWidth="1" style="251" min="7700" max="7700"/>
    <col width="10.42578125" customWidth="1" style="251" min="7701" max="7941"/>
    <col width="2.28515625" customWidth="1" style="251" min="7942" max="7943"/>
    <col width="35.42578125" customWidth="1" style="251" min="7944" max="7944"/>
    <col width="14.7109375" customWidth="1" style="251" min="7945" max="7945"/>
    <col width="12.85546875" customWidth="1" style="251" min="7946" max="7948"/>
    <col width="15.5703125" customWidth="1" style="251" min="7949" max="7949"/>
    <col width="12.85546875" customWidth="1" style="251" min="7950" max="7953"/>
    <col width="10.42578125" customWidth="1" style="251" min="7954" max="7955"/>
    <col width="12.28515625" customWidth="1" style="251" min="7956" max="7956"/>
    <col width="10.42578125" customWidth="1" style="251" min="7957" max="8197"/>
    <col width="2.28515625" customWidth="1" style="251" min="8198" max="8199"/>
    <col width="35.42578125" customWidth="1" style="251" min="8200" max="8200"/>
    <col width="14.7109375" customWidth="1" style="251" min="8201" max="8201"/>
    <col width="12.85546875" customWidth="1" style="251" min="8202" max="8204"/>
    <col width="15.5703125" customWidth="1" style="251" min="8205" max="8205"/>
    <col width="12.85546875" customWidth="1" style="251" min="8206" max="8209"/>
    <col width="10.42578125" customWidth="1" style="251" min="8210" max="8211"/>
    <col width="12.28515625" customWidth="1" style="251" min="8212" max="8212"/>
    <col width="10.42578125" customWidth="1" style="251" min="8213" max="8453"/>
    <col width="2.28515625" customWidth="1" style="251" min="8454" max="8455"/>
    <col width="35.42578125" customWidth="1" style="251" min="8456" max="8456"/>
    <col width="14.7109375" customWidth="1" style="251" min="8457" max="8457"/>
    <col width="12.85546875" customWidth="1" style="251" min="8458" max="8460"/>
    <col width="15.5703125" customWidth="1" style="251" min="8461" max="8461"/>
    <col width="12.85546875" customWidth="1" style="251" min="8462" max="8465"/>
    <col width="10.42578125" customWidth="1" style="251" min="8466" max="8467"/>
    <col width="12.28515625" customWidth="1" style="251" min="8468" max="8468"/>
    <col width="10.42578125" customWidth="1" style="251" min="8469" max="8709"/>
    <col width="2.28515625" customWidth="1" style="251" min="8710" max="8711"/>
    <col width="35.42578125" customWidth="1" style="251" min="8712" max="8712"/>
    <col width="14.7109375" customWidth="1" style="251" min="8713" max="8713"/>
    <col width="12.85546875" customWidth="1" style="251" min="8714" max="8716"/>
    <col width="15.5703125" customWidth="1" style="251" min="8717" max="8717"/>
    <col width="12.85546875" customWidth="1" style="251" min="8718" max="8721"/>
    <col width="10.42578125" customWidth="1" style="251" min="8722" max="8723"/>
    <col width="12.28515625" customWidth="1" style="251" min="8724" max="8724"/>
    <col width="10.42578125" customWidth="1" style="251" min="8725" max="8965"/>
    <col width="2.28515625" customWidth="1" style="251" min="8966" max="8967"/>
    <col width="35.42578125" customWidth="1" style="251" min="8968" max="8968"/>
    <col width="14.7109375" customWidth="1" style="251" min="8969" max="8969"/>
    <col width="12.85546875" customWidth="1" style="251" min="8970" max="8972"/>
    <col width="15.5703125" customWidth="1" style="251" min="8973" max="8973"/>
    <col width="12.85546875" customWidth="1" style="251" min="8974" max="8977"/>
    <col width="10.42578125" customWidth="1" style="251" min="8978" max="8979"/>
    <col width="12.28515625" customWidth="1" style="251" min="8980" max="8980"/>
    <col width="10.42578125" customWidth="1" style="251" min="8981" max="9221"/>
    <col width="2.28515625" customWidth="1" style="251" min="9222" max="9223"/>
    <col width="35.42578125" customWidth="1" style="251" min="9224" max="9224"/>
    <col width="14.7109375" customWidth="1" style="251" min="9225" max="9225"/>
    <col width="12.85546875" customWidth="1" style="251" min="9226" max="9228"/>
    <col width="15.5703125" customWidth="1" style="251" min="9229" max="9229"/>
    <col width="12.85546875" customWidth="1" style="251" min="9230" max="9233"/>
    <col width="10.42578125" customWidth="1" style="251" min="9234" max="9235"/>
    <col width="12.28515625" customWidth="1" style="251" min="9236" max="9236"/>
    <col width="10.42578125" customWidth="1" style="251" min="9237" max="9477"/>
    <col width="2.28515625" customWidth="1" style="251" min="9478" max="9479"/>
    <col width="35.42578125" customWidth="1" style="251" min="9480" max="9480"/>
    <col width="14.7109375" customWidth="1" style="251" min="9481" max="9481"/>
    <col width="12.85546875" customWidth="1" style="251" min="9482" max="9484"/>
    <col width="15.5703125" customWidth="1" style="251" min="9485" max="9485"/>
    <col width="12.85546875" customWidth="1" style="251" min="9486" max="9489"/>
    <col width="10.42578125" customWidth="1" style="251" min="9490" max="9491"/>
    <col width="12.28515625" customWidth="1" style="251" min="9492" max="9492"/>
    <col width="10.42578125" customWidth="1" style="251" min="9493" max="9733"/>
    <col width="2.28515625" customWidth="1" style="251" min="9734" max="9735"/>
    <col width="35.42578125" customWidth="1" style="251" min="9736" max="9736"/>
    <col width="14.7109375" customWidth="1" style="251" min="9737" max="9737"/>
    <col width="12.85546875" customWidth="1" style="251" min="9738" max="9740"/>
    <col width="15.5703125" customWidth="1" style="251" min="9741" max="9741"/>
    <col width="12.85546875" customWidth="1" style="251" min="9742" max="9745"/>
    <col width="10.42578125" customWidth="1" style="251" min="9746" max="9747"/>
    <col width="12.28515625" customWidth="1" style="251" min="9748" max="9748"/>
    <col width="10.42578125" customWidth="1" style="251" min="9749" max="9989"/>
    <col width="2.28515625" customWidth="1" style="251" min="9990" max="9991"/>
    <col width="35.42578125" customWidth="1" style="251" min="9992" max="9992"/>
    <col width="14.7109375" customWidth="1" style="251" min="9993" max="9993"/>
    <col width="12.85546875" customWidth="1" style="251" min="9994" max="9996"/>
    <col width="15.5703125" customWidth="1" style="251" min="9997" max="9997"/>
    <col width="12.85546875" customWidth="1" style="251" min="9998" max="10001"/>
    <col width="10.42578125" customWidth="1" style="251" min="10002" max="10003"/>
    <col width="12.28515625" customWidth="1" style="251" min="10004" max="10004"/>
    <col width="10.42578125" customWidth="1" style="251" min="10005" max="10245"/>
    <col width="2.28515625" customWidth="1" style="251" min="10246" max="10247"/>
    <col width="35.42578125" customWidth="1" style="251" min="10248" max="10248"/>
    <col width="14.7109375" customWidth="1" style="251" min="10249" max="10249"/>
    <col width="12.85546875" customWidth="1" style="251" min="10250" max="10252"/>
    <col width="15.5703125" customWidth="1" style="251" min="10253" max="10253"/>
    <col width="12.85546875" customWidth="1" style="251" min="10254" max="10257"/>
    <col width="10.42578125" customWidth="1" style="251" min="10258" max="10259"/>
    <col width="12.28515625" customWidth="1" style="251" min="10260" max="10260"/>
    <col width="10.42578125" customWidth="1" style="251" min="10261" max="10501"/>
    <col width="2.28515625" customWidth="1" style="251" min="10502" max="10503"/>
    <col width="35.42578125" customWidth="1" style="251" min="10504" max="10504"/>
    <col width="14.7109375" customWidth="1" style="251" min="10505" max="10505"/>
    <col width="12.85546875" customWidth="1" style="251" min="10506" max="10508"/>
    <col width="15.5703125" customWidth="1" style="251" min="10509" max="10509"/>
    <col width="12.85546875" customWidth="1" style="251" min="10510" max="10513"/>
    <col width="10.42578125" customWidth="1" style="251" min="10514" max="10515"/>
    <col width="12.28515625" customWidth="1" style="251" min="10516" max="10516"/>
    <col width="10.42578125" customWidth="1" style="251" min="10517" max="10757"/>
    <col width="2.28515625" customWidth="1" style="251" min="10758" max="10759"/>
    <col width="35.42578125" customWidth="1" style="251" min="10760" max="10760"/>
    <col width="14.7109375" customWidth="1" style="251" min="10761" max="10761"/>
    <col width="12.85546875" customWidth="1" style="251" min="10762" max="10764"/>
    <col width="15.5703125" customWidth="1" style="251" min="10765" max="10765"/>
    <col width="12.85546875" customWidth="1" style="251" min="10766" max="10769"/>
    <col width="10.42578125" customWidth="1" style="251" min="10770" max="10771"/>
    <col width="12.28515625" customWidth="1" style="251" min="10772" max="10772"/>
    <col width="10.42578125" customWidth="1" style="251" min="10773" max="11013"/>
    <col width="2.28515625" customWidth="1" style="251" min="11014" max="11015"/>
    <col width="35.42578125" customWidth="1" style="251" min="11016" max="11016"/>
    <col width="14.7109375" customWidth="1" style="251" min="11017" max="11017"/>
    <col width="12.85546875" customWidth="1" style="251" min="11018" max="11020"/>
    <col width="15.5703125" customWidth="1" style="251" min="11021" max="11021"/>
    <col width="12.85546875" customWidth="1" style="251" min="11022" max="11025"/>
    <col width="10.42578125" customWidth="1" style="251" min="11026" max="11027"/>
    <col width="12.28515625" customWidth="1" style="251" min="11028" max="11028"/>
    <col width="10.42578125" customWidth="1" style="251" min="11029" max="11269"/>
    <col width="2.28515625" customWidth="1" style="251" min="11270" max="11271"/>
    <col width="35.42578125" customWidth="1" style="251" min="11272" max="11272"/>
    <col width="14.7109375" customWidth="1" style="251" min="11273" max="11273"/>
    <col width="12.85546875" customWidth="1" style="251" min="11274" max="11276"/>
    <col width="15.5703125" customWidth="1" style="251" min="11277" max="11277"/>
    <col width="12.85546875" customWidth="1" style="251" min="11278" max="11281"/>
    <col width="10.42578125" customWidth="1" style="251" min="11282" max="11283"/>
    <col width="12.28515625" customWidth="1" style="251" min="11284" max="11284"/>
    <col width="10.42578125" customWidth="1" style="251" min="11285" max="11525"/>
    <col width="2.28515625" customWidth="1" style="251" min="11526" max="11527"/>
    <col width="35.42578125" customWidth="1" style="251" min="11528" max="11528"/>
    <col width="14.7109375" customWidth="1" style="251" min="11529" max="11529"/>
    <col width="12.85546875" customWidth="1" style="251" min="11530" max="11532"/>
    <col width="15.5703125" customWidth="1" style="251" min="11533" max="11533"/>
    <col width="12.85546875" customWidth="1" style="251" min="11534" max="11537"/>
    <col width="10.42578125" customWidth="1" style="251" min="11538" max="11539"/>
    <col width="12.28515625" customWidth="1" style="251" min="11540" max="11540"/>
    <col width="10.42578125" customWidth="1" style="251" min="11541" max="11781"/>
    <col width="2.28515625" customWidth="1" style="251" min="11782" max="11783"/>
    <col width="35.42578125" customWidth="1" style="251" min="11784" max="11784"/>
    <col width="14.7109375" customWidth="1" style="251" min="11785" max="11785"/>
    <col width="12.85546875" customWidth="1" style="251" min="11786" max="11788"/>
    <col width="15.5703125" customWidth="1" style="251" min="11789" max="11789"/>
    <col width="12.85546875" customWidth="1" style="251" min="11790" max="11793"/>
    <col width="10.42578125" customWidth="1" style="251" min="11794" max="11795"/>
    <col width="12.28515625" customWidth="1" style="251" min="11796" max="11796"/>
    <col width="10.42578125" customWidth="1" style="251" min="11797" max="12037"/>
    <col width="2.28515625" customWidth="1" style="251" min="12038" max="12039"/>
    <col width="35.42578125" customWidth="1" style="251" min="12040" max="12040"/>
    <col width="14.7109375" customWidth="1" style="251" min="12041" max="12041"/>
    <col width="12.85546875" customWidth="1" style="251" min="12042" max="12044"/>
    <col width="15.5703125" customWidth="1" style="251" min="12045" max="12045"/>
    <col width="12.85546875" customWidth="1" style="251" min="12046" max="12049"/>
    <col width="10.42578125" customWidth="1" style="251" min="12050" max="12051"/>
    <col width="12.28515625" customWidth="1" style="251" min="12052" max="12052"/>
    <col width="10.42578125" customWidth="1" style="251" min="12053" max="12293"/>
    <col width="2.28515625" customWidth="1" style="251" min="12294" max="12295"/>
    <col width="35.42578125" customWidth="1" style="251" min="12296" max="12296"/>
    <col width="14.7109375" customWidth="1" style="251" min="12297" max="12297"/>
    <col width="12.85546875" customWidth="1" style="251" min="12298" max="12300"/>
    <col width="15.5703125" customWidth="1" style="251" min="12301" max="12301"/>
    <col width="12.85546875" customWidth="1" style="251" min="12302" max="12305"/>
    <col width="10.42578125" customWidth="1" style="251" min="12306" max="12307"/>
    <col width="12.28515625" customWidth="1" style="251" min="12308" max="12308"/>
    <col width="10.42578125" customWidth="1" style="251" min="12309" max="12549"/>
    <col width="2.28515625" customWidth="1" style="251" min="12550" max="12551"/>
    <col width="35.42578125" customWidth="1" style="251" min="12552" max="12552"/>
    <col width="14.7109375" customWidth="1" style="251" min="12553" max="12553"/>
    <col width="12.85546875" customWidth="1" style="251" min="12554" max="12556"/>
    <col width="15.5703125" customWidth="1" style="251" min="12557" max="12557"/>
    <col width="12.85546875" customWidth="1" style="251" min="12558" max="12561"/>
    <col width="10.42578125" customWidth="1" style="251" min="12562" max="12563"/>
    <col width="12.28515625" customWidth="1" style="251" min="12564" max="12564"/>
    <col width="10.42578125" customWidth="1" style="251" min="12565" max="12805"/>
    <col width="2.28515625" customWidth="1" style="251" min="12806" max="12807"/>
    <col width="35.42578125" customWidth="1" style="251" min="12808" max="12808"/>
    <col width="14.7109375" customWidth="1" style="251" min="12809" max="12809"/>
    <col width="12.85546875" customWidth="1" style="251" min="12810" max="12812"/>
    <col width="15.5703125" customWidth="1" style="251" min="12813" max="12813"/>
    <col width="12.85546875" customWidth="1" style="251" min="12814" max="12817"/>
    <col width="10.42578125" customWidth="1" style="251" min="12818" max="12819"/>
    <col width="12.28515625" customWidth="1" style="251" min="12820" max="12820"/>
    <col width="10.42578125" customWidth="1" style="251" min="12821" max="13061"/>
    <col width="2.28515625" customWidth="1" style="251" min="13062" max="13063"/>
    <col width="35.42578125" customWidth="1" style="251" min="13064" max="13064"/>
    <col width="14.7109375" customWidth="1" style="251" min="13065" max="13065"/>
    <col width="12.85546875" customWidth="1" style="251" min="13066" max="13068"/>
    <col width="15.5703125" customWidth="1" style="251" min="13069" max="13069"/>
    <col width="12.85546875" customWidth="1" style="251" min="13070" max="13073"/>
    <col width="10.42578125" customWidth="1" style="251" min="13074" max="13075"/>
    <col width="12.28515625" customWidth="1" style="251" min="13076" max="13076"/>
    <col width="10.42578125" customWidth="1" style="251" min="13077" max="13317"/>
    <col width="2.28515625" customWidth="1" style="251" min="13318" max="13319"/>
    <col width="35.42578125" customWidth="1" style="251" min="13320" max="13320"/>
    <col width="14.7109375" customWidth="1" style="251" min="13321" max="13321"/>
    <col width="12.85546875" customWidth="1" style="251" min="13322" max="13324"/>
    <col width="15.5703125" customWidth="1" style="251" min="13325" max="13325"/>
    <col width="12.85546875" customWidth="1" style="251" min="13326" max="13329"/>
    <col width="10.42578125" customWidth="1" style="251" min="13330" max="13331"/>
    <col width="12.28515625" customWidth="1" style="251" min="13332" max="13332"/>
    <col width="10.42578125" customWidth="1" style="251" min="13333" max="13573"/>
    <col width="2.28515625" customWidth="1" style="251" min="13574" max="13575"/>
    <col width="35.42578125" customWidth="1" style="251" min="13576" max="13576"/>
    <col width="14.7109375" customWidth="1" style="251" min="13577" max="13577"/>
    <col width="12.85546875" customWidth="1" style="251" min="13578" max="13580"/>
    <col width="15.5703125" customWidth="1" style="251" min="13581" max="13581"/>
    <col width="12.85546875" customWidth="1" style="251" min="13582" max="13585"/>
    <col width="10.42578125" customWidth="1" style="251" min="13586" max="13587"/>
    <col width="12.28515625" customWidth="1" style="251" min="13588" max="13588"/>
    <col width="10.42578125" customWidth="1" style="251" min="13589" max="13829"/>
    <col width="2.28515625" customWidth="1" style="251" min="13830" max="13831"/>
    <col width="35.42578125" customWidth="1" style="251" min="13832" max="13832"/>
    <col width="14.7109375" customWidth="1" style="251" min="13833" max="13833"/>
    <col width="12.85546875" customWidth="1" style="251" min="13834" max="13836"/>
    <col width="15.5703125" customWidth="1" style="251" min="13837" max="13837"/>
    <col width="12.85546875" customWidth="1" style="251" min="13838" max="13841"/>
    <col width="10.42578125" customWidth="1" style="251" min="13842" max="13843"/>
    <col width="12.28515625" customWidth="1" style="251" min="13844" max="13844"/>
    <col width="10.42578125" customWidth="1" style="251" min="13845" max="14085"/>
    <col width="2.28515625" customWidth="1" style="251" min="14086" max="14087"/>
    <col width="35.42578125" customWidth="1" style="251" min="14088" max="14088"/>
    <col width="14.7109375" customWidth="1" style="251" min="14089" max="14089"/>
    <col width="12.85546875" customWidth="1" style="251" min="14090" max="14092"/>
    <col width="15.5703125" customWidth="1" style="251" min="14093" max="14093"/>
    <col width="12.85546875" customWidth="1" style="251" min="14094" max="14097"/>
    <col width="10.42578125" customWidth="1" style="251" min="14098" max="14099"/>
    <col width="12.28515625" customWidth="1" style="251" min="14100" max="14100"/>
    <col width="10.42578125" customWidth="1" style="251" min="14101" max="14341"/>
    <col width="2.28515625" customWidth="1" style="251" min="14342" max="14343"/>
    <col width="35.42578125" customWidth="1" style="251" min="14344" max="14344"/>
    <col width="14.7109375" customWidth="1" style="251" min="14345" max="14345"/>
    <col width="12.85546875" customWidth="1" style="251" min="14346" max="14348"/>
    <col width="15.5703125" customWidth="1" style="251" min="14349" max="14349"/>
    <col width="12.85546875" customWidth="1" style="251" min="14350" max="14353"/>
    <col width="10.42578125" customWidth="1" style="251" min="14354" max="14355"/>
    <col width="12.28515625" customWidth="1" style="251" min="14356" max="14356"/>
    <col width="10.42578125" customWidth="1" style="251" min="14357" max="14597"/>
    <col width="2.28515625" customWidth="1" style="251" min="14598" max="14599"/>
    <col width="35.42578125" customWidth="1" style="251" min="14600" max="14600"/>
    <col width="14.7109375" customWidth="1" style="251" min="14601" max="14601"/>
    <col width="12.85546875" customWidth="1" style="251" min="14602" max="14604"/>
    <col width="15.5703125" customWidth="1" style="251" min="14605" max="14605"/>
    <col width="12.85546875" customWidth="1" style="251" min="14606" max="14609"/>
    <col width="10.42578125" customWidth="1" style="251" min="14610" max="14611"/>
    <col width="12.28515625" customWidth="1" style="251" min="14612" max="14612"/>
    <col width="10.42578125" customWidth="1" style="251" min="14613" max="14853"/>
    <col width="2.28515625" customWidth="1" style="251" min="14854" max="14855"/>
    <col width="35.42578125" customWidth="1" style="251" min="14856" max="14856"/>
    <col width="14.7109375" customWidth="1" style="251" min="14857" max="14857"/>
    <col width="12.85546875" customWidth="1" style="251" min="14858" max="14860"/>
    <col width="15.5703125" customWidth="1" style="251" min="14861" max="14861"/>
    <col width="12.85546875" customWidth="1" style="251" min="14862" max="14865"/>
    <col width="10.42578125" customWidth="1" style="251" min="14866" max="14867"/>
    <col width="12.28515625" customWidth="1" style="251" min="14868" max="14868"/>
    <col width="10.42578125" customWidth="1" style="251" min="14869" max="15109"/>
    <col width="2.28515625" customWidth="1" style="251" min="15110" max="15111"/>
    <col width="35.42578125" customWidth="1" style="251" min="15112" max="15112"/>
    <col width="14.7109375" customWidth="1" style="251" min="15113" max="15113"/>
    <col width="12.85546875" customWidth="1" style="251" min="15114" max="15116"/>
    <col width="15.5703125" customWidth="1" style="251" min="15117" max="15117"/>
    <col width="12.85546875" customWidth="1" style="251" min="15118" max="15121"/>
    <col width="10.42578125" customWidth="1" style="251" min="15122" max="15123"/>
    <col width="12.28515625" customWidth="1" style="251" min="15124" max="15124"/>
    <col width="10.42578125" customWidth="1" style="251" min="15125" max="15365"/>
    <col width="2.28515625" customWidth="1" style="251" min="15366" max="15367"/>
    <col width="35.42578125" customWidth="1" style="251" min="15368" max="15368"/>
    <col width="14.7109375" customWidth="1" style="251" min="15369" max="15369"/>
    <col width="12.85546875" customWidth="1" style="251" min="15370" max="15372"/>
    <col width="15.5703125" customWidth="1" style="251" min="15373" max="15373"/>
    <col width="12.85546875" customWidth="1" style="251" min="15374" max="15377"/>
    <col width="10.42578125" customWidth="1" style="251" min="15378" max="15379"/>
    <col width="12.28515625" customWidth="1" style="251" min="15380" max="15380"/>
    <col width="10.42578125" customWidth="1" style="251" min="15381" max="15621"/>
    <col width="2.28515625" customWidth="1" style="251" min="15622" max="15623"/>
    <col width="35.42578125" customWidth="1" style="251" min="15624" max="15624"/>
    <col width="14.7109375" customWidth="1" style="251" min="15625" max="15625"/>
    <col width="12.85546875" customWidth="1" style="251" min="15626" max="15628"/>
    <col width="15.5703125" customWidth="1" style="251" min="15629" max="15629"/>
    <col width="12.85546875" customWidth="1" style="251" min="15630" max="15633"/>
    <col width="10.42578125" customWidth="1" style="251" min="15634" max="15635"/>
    <col width="12.28515625" customWidth="1" style="251" min="15636" max="15636"/>
    <col width="10.42578125" customWidth="1" style="251" min="15637" max="15877"/>
    <col width="2.28515625" customWidth="1" style="251" min="15878" max="15879"/>
    <col width="35.42578125" customWidth="1" style="251" min="15880" max="15880"/>
    <col width="14.7109375" customWidth="1" style="251" min="15881" max="15881"/>
    <col width="12.85546875" customWidth="1" style="251" min="15882" max="15884"/>
    <col width="15.5703125" customWidth="1" style="251" min="15885" max="15885"/>
    <col width="12.85546875" customWidth="1" style="251" min="15886" max="15889"/>
    <col width="10.42578125" customWidth="1" style="251" min="15890" max="15891"/>
    <col width="12.28515625" customWidth="1" style="251" min="15892" max="15892"/>
    <col width="10.42578125" customWidth="1" style="251" min="15893" max="16133"/>
    <col width="2.28515625" customWidth="1" style="251" min="16134" max="16135"/>
    <col width="35.42578125" customWidth="1" style="251" min="16136" max="16136"/>
    <col width="14.7109375" customWidth="1" style="251" min="16137" max="16137"/>
    <col width="12.85546875" customWidth="1" style="251" min="16138" max="16140"/>
    <col width="15.5703125" customWidth="1" style="251" min="16141" max="16141"/>
    <col width="12.85546875" customWidth="1" style="251" min="16142" max="16145"/>
    <col width="10.42578125" customWidth="1" style="251" min="16146" max="16147"/>
    <col width="12.28515625" customWidth="1" style="251" min="16148" max="16148"/>
    <col width="10.42578125" customWidth="1" style="251" min="16149" max="16384"/>
  </cols>
  <sheetData>
    <row r="1" ht="6.75" customFormat="1" customHeight="1" s="93"/>
    <row r="2" ht="6.75" customFormat="1" customHeight="1" s="93"/>
    <row r="3">
      <c r="C3" s="251" t="inlineStr">
        <is>
          <t>Discounted Cash Flow Model</t>
        </is>
      </c>
    </row>
    <row r="4" ht="13.5" customHeight="1">
      <c r="C4" s="94" t="inlineStr">
        <is>
          <t>All figures in millions, except per share data</t>
        </is>
      </c>
      <c r="D4" s="94" t="n"/>
      <c r="E4" s="94" t="n"/>
      <c r="F4" s="94" t="n"/>
      <c r="G4" s="94" t="n"/>
      <c r="H4" s="94" t="n"/>
      <c r="I4" s="94" t="n"/>
      <c r="J4" s="94" t="n"/>
      <c r="K4" s="94" t="n"/>
      <c r="L4" s="94" t="n"/>
      <c r="M4" s="94" t="n"/>
      <c r="N4" s="94" t="n"/>
      <c r="O4" s="94" t="n"/>
      <c r="P4" s="94" t="n"/>
      <c r="Q4" s="94" t="n"/>
      <c r="R4" s="94" t="n"/>
      <c r="S4" s="94" t="n"/>
      <c r="T4" s="94" t="n"/>
      <c r="U4" s="94" t="n"/>
      <c r="V4" s="94" t="n"/>
    </row>
    <row r="5"/>
    <row r="6"/>
    <row r="7">
      <c r="C7" s="251" t="inlineStr">
        <is>
          <t>Ticker</t>
        </is>
      </c>
      <c r="D7" s="95" t="str">
        <f>IFERROR(IF(Control!B4="","",Control!B4),"")</f>
        <v>XOM</v>
      </c>
      <c r="F7" s="251" t="inlineStr">
        <is>
          <t>Last close</t>
        </is>
      </c>
      <c r="G7" s="96" t="str">
        <f>IFERROR(IF(Control!E4="","",Control!E4),"")</f>
        <v/>
      </c>
    </row>
    <row r="8">
      <c r="C8" s="251" t="inlineStr">
        <is>
          <t>Operating scenario:</t>
        </is>
      </c>
      <c r="D8" s="97" t="str">
        <f>IFERROR(IF(Control!B10=1,"Bull Case",IF(Control!B10=2,"Base Case","Bear Case")),"")</f>
        <v>Base Case</v>
      </c>
    </row>
    <row r="9">
      <c r="C9" s="251" t="inlineStr">
        <is>
          <t>Last fiscal year end date:</t>
        </is>
      </c>
      <c r="D9" s="98" t="str">
        <f>IFERROR(IF(Control!B12="","",DATE(YEAR(Control!B12)-1,12,31)),"")</f>
        <v/>
      </c>
    </row>
    <row r="10">
      <c r="C10" s="251" t="inlineStr">
        <is>
          <t>Valuation / deal date:</t>
        </is>
      </c>
      <c r="D10" s="98" t="str">
        <f>IFERROR(IF(Control!B12="","",Control!B12),"")</f>
        <v/>
      </c>
    </row>
    <row r="11">
      <c r="C11" s="251" t="inlineStr">
        <is>
          <t>Stub year fraction:</t>
        </is>
      </c>
      <c r="D11" s="99" t="str">
        <f>IFERROR(IF(Control!B12="","",Control!B13),"")</f>
        <v/>
      </c>
      <c r="E11" s="100" t="n"/>
      <c r="I11" s="101" t="n"/>
      <c r="O11" s="102" t="n"/>
      <c r="Z11" s="103" t="n"/>
    </row>
    <row r="12">
      <c r="C12" s="251" t="inlineStr">
        <is>
          <t>Weighted average cost of capital:</t>
        </is>
      </c>
      <c r="D12" s="99" t="str">
        <f>IFERROR(IF(Control!E12="","",Control!E12),"")</f>
        <v/>
      </c>
      <c r="I12" s="101" t="n"/>
    </row>
    <row r="13">
      <c r="D13" s="99" t="n"/>
      <c r="E13" s="99" t="n"/>
    </row>
    <row r="14" ht="14.85" customHeight="1">
      <c r="C14" s="104" t="inlineStr">
        <is>
          <t>Historicals</t>
        </is>
      </c>
      <c r="D14" s="104" t="n"/>
      <c r="E14" s="104" t="n"/>
      <c r="F14" s="104" t="n"/>
      <c r="G14" s="250" t="inlineStr">
        <is>
          <t>Projected Annual Forecast</t>
        </is>
      </c>
    </row>
    <row r="15">
      <c r="C15" s="105" t="n"/>
      <c r="D15" s="105" t="n"/>
      <c r="E15" s="105" t="n"/>
      <c r="F15" s="105" t="n"/>
      <c r="G15" s="256" t="inlineStr">
        <is>
          <t>Granular</t>
        </is>
      </c>
      <c r="H15" s="253" t="n"/>
      <c r="I15" s="253" t="n"/>
      <c r="J15" s="253" t="n"/>
      <c r="K15" s="253" t="n"/>
      <c r="L15" s="253" t="n"/>
      <c r="M15" s="253" t="n"/>
      <c r="N15" s="253" t="n"/>
      <c r="O15" s="253" t="n"/>
      <c r="P15" s="253" t="n"/>
      <c r="Q15" s="253" t="n"/>
      <c r="R15" s="253" t="n"/>
      <c r="S15" s="253" t="n"/>
      <c r="T15" s="253" t="n"/>
      <c r="U15" s="253" t="n"/>
      <c r="V15" s="253" t="n"/>
      <c r="X15" s="106" t="n"/>
      <c r="Y15" s="107" t="n"/>
      <c r="Z15" s="107" t="n"/>
    </row>
    <row r="16">
      <c r="D16" s="108" t="n">
        <v>2023</v>
      </c>
      <c r="E16" s="108" t="n">
        <v>2024</v>
      </c>
      <c r="F16" s="108" t="n">
        <v>2025</v>
      </c>
      <c r="G16" s="108" t="n">
        <v>2026</v>
      </c>
      <c r="H16" s="108" t="n">
        <v>2027</v>
      </c>
      <c r="I16" s="108" t="n">
        <v>2028</v>
      </c>
      <c r="J16" s="108" t="n">
        <v>2029</v>
      </c>
      <c r="K16" s="108" t="n">
        <v>2030</v>
      </c>
      <c r="L16" s="108" t="n"/>
      <c r="M16" s="108" t="n"/>
      <c r="N16" s="108" t="n"/>
      <c r="O16" s="108" t="n"/>
      <c r="P16" s="108" t="n"/>
      <c r="Q16" s="108" t="n"/>
      <c r="R16" s="108" t="n"/>
      <c r="S16" s="108" t="n"/>
      <c r="T16" s="108" t="n"/>
      <c r="U16" s="108" t="n"/>
      <c r="V16" s="108" t="n"/>
      <c r="W16" s="108" t="n"/>
      <c r="X16" s="107" t="n"/>
      <c r="Y16" s="107" t="n"/>
      <c r="Z16" s="107" t="n"/>
    </row>
    <row r="17">
      <c r="C17" s="109" t="n"/>
      <c r="D17" s="110" t="n">
        <v>45291</v>
      </c>
      <c r="E17" s="110" t="n">
        <v>45657</v>
      </c>
      <c r="F17" s="110" t="n">
        <v>46022</v>
      </c>
      <c r="G17" s="110" t="n">
        <v>46387</v>
      </c>
      <c r="H17" s="110" t="n">
        <v>46752</v>
      </c>
      <c r="I17" s="110" t="n">
        <v>47118</v>
      </c>
      <c r="J17" s="110" t="n">
        <v>47483</v>
      </c>
      <c r="K17" s="110" t="n">
        <v>47848</v>
      </c>
      <c r="L17" s="110" t="n"/>
      <c r="M17" s="110" t="n"/>
      <c r="N17" s="110" t="n"/>
      <c r="O17" s="110" t="n"/>
      <c r="P17" s="110" t="n"/>
      <c r="Q17" s="110" t="n"/>
      <c r="R17" s="110" t="n"/>
      <c r="S17" s="110" t="n"/>
      <c r="T17" s="110" t="n"/>
      <c r="U17" s="110" t="n"/>
      <c r="V17" s="110" t="n"/>
      <c r="W17" s="111" t="n"/>
      <c r="X17" s="107" t="n"/>
      <c r="Y17" s="107" t="n"/>
      <c r="Z17" s="107" t="n"/>
    </row>
    <row r="18">
      <c r="C18" s="112" t="inlineStr">
        <is>
          <t>Net Revenues</t>
        </is>
      </c>
      <c r="D18" s="113">
        <f>IFERROR(Model!W15,"")</f>
        <v>344582</v>
      </c>
      <c r="E18" s="113">
        <f>IFERROR(Model!AB15,"")</f>
        <v>349585</v>
      </c>
      <c r="F18" s="113">
        <f>IFERROR(Model!AG15,"")</f>
        <v>332238</v>
      </c>
      <c r="G18" s="113">
        <f>IFERROR(Model!AL15,"")</f>
        <v>375967.305675648</v>
      </c>
      <c r="H18" s="113">
        <f>IFERROR(Model!AQ15,"")</f>
        <v>392141.57088711</v>
      </c>
      <c r="I18" s="113">
        <f>IFERROR(Model!AV15,"")</f>
        <v>407050.951660644</v>
      </c>
      <c r="J18" s="113">
        <f>IFERROR(Model!BA15,"")</f>
        <v>420491.938349553</v>
      </c>
      <c r="K18" s="113">
        <f>IFERROR(Model!BF15,"")</f>
        <v>432274.29215128</v>
      </c>
      <c r="L18" s="113" t="n"/>
      <c r="M18" s="113" t="n"/>
      <c r="N18" s="113" t="n"/>
      <c r="O18" s="113" t="n"/>
      <c r="P18" s="113" t="n"/>
      <c r="Q18" s="113" t="n"/>
      <c r="R18" s="113" t="n"/>
      <c r="S18" s="113" t="n"/>
      <c r="T18" s="113" t="n"/>
      <c r="U18" s="113" t="n"/>
      <c r="V18" s="114" t="n"/>
      <c r="X18" s="115" t="n"/>
      <c r="Y18" s="115" t="n"/>
      <c r="Z18" s="107" t="n"/>
    </row>
    <row r="19">
      <c r="C19" s="116" t="n"/>
      <c r="D19" s="109" t="str">
        <f>IFERROR("","")</f>
        <v/>
      </c>
      <c r="E19" s="117">
        <f>IFERROR(IF(D18=0,"",E18/D18-1),"")</f>
        <v>0.0145190404606161</v>
      </c>
      <c r="F19" s="117">
        <f>IFERROR(IF(E18=0,"",F18/E18-1),"")</f>
        <v>-0.0496216942946637</v>
      </c>
      <c r="G19" s="117">
        <f>IFERROR(IF(F18=0,"",G18/F18-1),"")</f>
        <v>0.131620421732759</v>
      </c>
      <c r="H19" s="117">
        <f>IFERROR(IF(G18=0,"",H18/G18-1),"")</f>
        <v>0.0430204035491719</v>
      </c>
      <c r="I19" s="117">
        <f>IFERROR(IF(H18=0,"",I18/H18-1),"")</f>
        <v>0.0380204035491718</v>
      </c>
      <c r="J19" s="117">
        <f>IFERROR(IF(I18=0,"",J18/I18-1),"")</f>
        <v>0.0330204035491719</v>
      </c>
      <c r="K19" s="117">
        <f>IFERROR(IF(J18=0,"",K18/J18-1),"")</f>
        <v>0.0280204035491716</v>
      </c>
      <c r="L19" s="117" t="n"/>
      <c r="M19" s="117" t="n"/>
      <c r="N19" s="117" t="n"/>
      <c r="O19" s="117" t="n"/>
      <c r="P19" s="117" t="n"/>
      <c r="Q19" s="117" t="n"/>
      <c r="R19" s="117" t="n"/>
      <c r="S19" s="117" t="n"/>
      <c r="T19" s="117" t="n"/>
      <c r="U19" s="117" t="n"/>
      <c r="V19" s="118" t="n"/>
      <c r="X19" s="107" t="n"/>
      <c r="Y19" s="107" t="n"/>
      <c r="Z19" s="107" t="n"/>
    </row>
    <row r="20">
      <c r="C20" s="119" t="inlineStr">
        <is>
          <t>EBITDA</t>
        </is>
      </c>
      <c r="D20" s="113">
        <f>IFERROR(Model!W55,"")</f>
        <v>74273</v>
      </c>
      <c r="E20" s="113">
        <f>IFERROR(Model!AB55,"")</f>
        <v>73311</v>
      </c>
      <c r="F20" s="113">
        <f>IFERROR(Model!AG55,"")</f>
        <v>67864</v>
      </c>
      <c r="G20" s="113">
        <f>IFERROR(Model!AL55,"")</f>
        <v>78095.7506939122</v>
      </c>
      <c r="H20" s="113">
        <f>IFERROR(Model!AQ55,"")</f>
        <v>80133.8070530964</v>
      </c>
      <c r="I20" s="113">
        <f>IFERROR(Model!AV55,"")</f>
        <v>83180.5267351866</v>
      </c>
      <c r="J20" s="113">
        <f>IFERROR(Model!BA55,"")</f>
        <v>85927.1812954152</v>
      </c>
      <c r="K20" s="113">
        <f>IFERROR(Model!BF55,"")</f>
        <v>88334.8955911555</v>
      </c>
      <c r="L20" s="113" t="n"/>
      <c r="M20" s="120" t="n"/>
      <c r="N20" s="120" t="n"/>
      <c r="O20" s="120" t="n"/>
      <c r="P20" s="120" t="n"/>
      <c r="Q20" s="120" t="n"/>
      <c r="R20" s="120" t="n"/>
      <c r="S20" s="120" t="n"/>
      <c r="T20" s="120" t="n"/>
      <c r="U20" s="120" t="n"/>
      <c r="V20" s="121" t="n"/>
      <c r="X20" s="107" t="n"/>
      <c r="Y20" s="107" t="n"/>
      <c r="Z20" s="107" t="n"/>
    </row>
    <row r="21">
      <c r="C21" s="116" t="n"/>
      <c r="D21" s="122">
        <f>IFERROR(IF(D18=0,"",D20/D18),"")</f>
        <v>0.215545211299488</v>
      </c>
      <c r="E21" s="122">
        <f>IFERROR(IF(E18=0,"",E20/E18),"")</f>
        <v>0.209708654547535</v>
      </c>
      <c r="F21" s="122">
        <f>IFERROR(IF(F18=0,"",F20/F18),"")</f>
        <v>0.20426320890446</v>
      </c>
      <c r="G21" s="122">
        <f>IFERROR(IF(G18=0,"",G20/G18),"")</f>
        <v>0.207719526445436</v>
      </c>
      <c r="H21" s="122">
        <f>IFERROR(IF(H18=0,"",H20/H18),"")</f>
        <v>0.20434917642579</v>
      </c>
      <c r="I21" s="122">
        <f>IFERROR(IF(I18=0,"",I20/I18),"")</f>
        <v>0.20434917642579</v>
      </c>
      <c r="J21" s="122">
        <f>IFERROR(IF(J18=0,"",J20/J18),"")</f>
        <v>0.20434917642579</v>
      </c>
      <c r="K21" s="122">
        <f>IFERROR(IF(K18=0,"",K20/K18),"")</f>
        <v>0.20434917642579</v>
      </c>
      <c r="L21" s="122" t="n"/>
      <c r="M21" s="109" t="n"/>
      <c r="N21" s="109" t="n"/>
      <c r="O21" s="109" t="n"/>
      <c r="P21" s="109" t="n"/>
      <c r="Q21" s="109" t="n"/>
      <c r="R21" s="109" t="n"/>
      <c r="S21" s="109" t="n"/>
      <c r="T21" s="109" t="n"/>
      <c r="U21" s="109" t="n"/>
      <c r="V21" s="123" t="n"/>
      <c r="X21" s="115" t="n"/>
      <c r="Y21" s="115" t="n"/>
      <c r="Z21" s="107" t="n"/>
    </row>
    <row r="22">
      <c r="C22" s="112" t="inlineStr">
        <is>
          <t>EBIT</t>
        </is>
      </c>
      <c r="D22" s="113">
        <f>IFERROR(Model!W59,"")</f>
        <v>53632</v>
      </c>
      <c r="E22" s="113">
        <f>IFERROR(Model!AB59,"")</f>
        <v>49869</v>
      </c>
      <c r="F22" s="113">
        <f>IFERROR(Model!AG59,"")</f>
        <v>41871</v>
      </c>
      <c r="G22" s="113">
        <f>IFERROR(Model!AL59,"")</f>
        <v>49014.4969959037</v>
      </c>
      <c r="H22" s="113">
        <f>IFERROR(Model!AQ59,"")</f>
        <v>49578.4076380255</v>
      </c>
      <c r="I22" s="113">
        <f>IFERROR(Model!AV59,"")</f>
        <v>51463.3987037486</v>
      </c>
      <c r="J22" s="113">
        <f>IFERROR(Model!BA59,"")</f>
        <v>53162.7408969583</v>
      </c>
      <c r="K22" s="113">
        <f>IFERROR(Model!BF59,"")</f>
        <v>54652.3823506712</v>
      </c>
      <c r="L22" s="113" t="n"/>
      <c r="M22" s="113" t="n"/>
      <c r="N22" s="113" t="n"/>
      <c r="O22" s="113" t="n"/>
      <c r="P22" s="113" t="n"/>
      <c r="Q22" s="113" t="n"/>
      <c r="R22" s="113" t="n"/>
      <c r="S22" s="113" t="n"/>
      <c r="T22" s="113" t="n"/>
      <c r="U22" s="113" t="n"/>
      <c r="V22" s="114" t="n"/>
      <c r="X22" s="115" t="n"/>
      <c r="Y22" s="115" t="n"/>
      <c r="Z22" s="107" t="n"/>
    </row>
    <row r="23">
      <c r="C23" s="116" t="n"/>
      <c r="D23" s="122">
        <f>IFERROR(IF(D18=0,"",D22/D18),"")</f>
        <v>0.155643649407108</v>
      </c>
      <c r="E23" s="122">
        <f>IFERROR(IF(E18=0,"",E22/E18),"")</f>
        <v>0.14265200165911</v>
      </c>
      <c r="F23" s="122">
        <f>IFERROR(IF(F18=0,"",F22/F18),"")</f>
        <v>0.126027125133188</v>
      </c>
      <c r="G23" s="122">
        <f>IFERROR(IF(G18=0,"",G22/G18),"")</f>
        <v>0.130369040754275</v>
      </c>
      <c r="H23" s="122">
        <f>IFERROR(IF(H18=0,"",H22/H18),"")</f>
        <v>0.126429869513371</v>
      </c>
      <c r="I23" s="122">
        <f>IFERROR(IF(I18=0,"",I22/I18),"")</f>
        <v>0.126429869513371</v>
      </c>
      <c r="J23" s="122">
        <f>IFERROR(IF(J18=0,"",J22/J18),"")</f>
        <v>0.126429869513371</v>
      </c>
      <c r="K23" s="122">
        <f>IFERROR(IF(K18=0,"",K22/K18),"")</f>
        <v>0.126429869513371</v>
      </c>
      <c r="L23" s="122" t="n"/>
      <c r="M23" s="122" t="n"/>
      <c r="N23" s="122" t="n"/>
      <c r="O23" s="122" t="n"/>
      <c r="P23" s="122" t="n"/>
      <c r="Q23" s="122" t="n"/>
      <c r="R23" s="122" t="n"/>
      <c r="S23" s="122" t="n"/>
      <c r="T23" s="122" t="n"/>
      <c r="U23" s="122" t="n"/>
      <c r="V23" s="124" t="n"/>
      <c r="X23" s="107" t="n"/>
      <c r="Y23" s="107" t="n"/>
      <c r="Z23" s="107" t="n"/>
    </row>
    <row r="24">
      <c r="C24" s="112" t="inlineStr">
        <is>
          <t>Tax rate</t>
        </is>
      </c>
      <c r="D24" s="125">
        <f>IFERROR(Model!W118,"")</f>
        <v>0.292310024060777</v>
      </c>
      <c r="E24" s="125">
        <f>IFERROR(Model!AB118,"")</f>
        <v>0.282569107687271</v>
      </c>
      <c r="F24" s="125">
        <f>IFERROR(Model!AG118,"")</f>
        <v>0.278763206358438</v>
      </c>
      <c r="G24" s="125">
        <f>IFERROR(Model!AL118,"")</f>
        <v>0.272677688687792</v>
      </c>
      <c r="H24" s="125">
        <f>IFERROR(Model!AQ118,"")</f>
        <v>0.27983724363508</v>
      </c>
      <c r="I24" s="125">
        <f>IFERROR(Model!AV118,"")</f>
        <v>0.27983724363508</v>
      </c>
      <c r="J24" s="125">
        <f>IFERROR(Model!BA118,"")</f>
        <v>0.27983724363508</v>
      </c>
      <c r="K24" s="125">
        <f>IFERROR(Model!BF118,"")</f>
        <v>0.27983724363508</v>
      </c>
      <c r="L24" s="125" t="n"/>
      <c r="M24" s="125" t="n"/>
      <c r="N24" s="125" t="n"/>
      <c r="O24" s="125" t="n"/>
      <c r="P24" s="125" t="n"/>
      <c r="Q24" s="125" t="n"/>
      <c r="R24" s="125" t="n"/>
      <c r="S24" s="125" t="n"/>
      <c r="T24" s="125" t="n"/>
      <c r="U24" s="125" t="n"/>
      <c r="V24" s="126" t="n"/>
      <c r="X24" s="107" t="n"/>
      <c r="Y24" s="107" t="n"/>
      <c r="Z24" s="107" t="n"/>
    </row>
    <row r="25">
      <c r="C25" s="116" t="inlineStr">
        <is>
          <t>NOPLAT</t>
        </is>
      </c>
      <c r="D25" s="127">
        <f>IFERROR(D22*(1-D24),"")</f>
        <v>37954.8287895724</v>
      </c>
      <c r="E25" s="127">
        <f>IFERROR(E22*(1-E24),"")</f>
        <v>35777.5611687435</v>
      </c>
      <c r="F25" s="127">
        <f>IFERROR(F22*(1-F24),"")</f>
        <v>30198.9057865659</v>
      </c>
      <c r="G25" s="127">
        <f>IFERROR(G22*(1-G24),"")</f>
        <v>35649.337242866</v>
      </c>
      <c r="H25" s="127">
        <f>IFERROR(H22*(1-H24),"")</f>
        <v>35704.5227007841</v>
      </c>
      <c r="I25" s="127">
        <f>IFERROR(I22*(1-I24),"")</f>
        <v>37062.0230623984</v>
      </c>
      <c r="J25" s="127">
        <f>IFERROR(J22*(1-J24),"")</f>
        <v>38285.8260202676</v>
      </c>
      <c r="K25" s="127">
        <f>IFERROR(K22*(1-K24),"")</f>
        <v>39358.6103155688</v>
      </c>
      <c r="L25" s="127" t="n"/>
      <c r="M25" s="127" t="n"/>
      <c r="N25" s="127" t="n"/>
      <c r="O25" s="127" t="n"/>
      <c r="P25" s="127" t="n"/>
      <c r="Q25" s="127" t="n"/>
      <c r="R25" s="127" t="n"/>
      <c r="S25" s="127" t="n"/>
      <c r="T25" s="127" t="n"/>
      <c r="U25" s="127" t="n"/>
      <c r="V25" s="128" t="n"/>
      <c r="X25" s="115" t="n"/>
      <c r="Y25" s="115" t="n"/>
      <c r="Z25" s="107" t="n"/>
    </row>
    <row r="26">
      <c r="C26" s="129" t="inlineStr">
        <is>
          <t>Depreciation &amp; Amortization</t>
        </is>
      </c>
      <c r="D26" s="130">
        <f>IFERROR(-Model!W56,"")</f>
        <v>20641</v>
      </c>
      <c r="E26" s="130">
        <f>IFERROR(-Model!AB56,"")</f>
        <v>23442</v>
      </c>
      <c r="F26" s="130">
        <f>IFERROR(-Model!AG56,"")</f>
        <v>25993</v>
      </c>
      <c r="G26" s="130">
        <f>IFERROR(-Model!AL56,"")</f>
        <v>29081.2536980085</v>
      </c>
      <c r="H26" s="130">
        <f>IFERROR(-Model!AQ56,"")</f>
        <v>30555.3994150709</v>
      </c>
      <c r="I26" s="130">
        <f>IFERROR(-Model!AV56,"")</f>
        <v>31717.128031438</v>
      </c>
      <c r="J26" s="130">
        <f>IFERROR(-Model!BA56,"")</f>
        <v>32764.4403984568</v>
      </c>
      <c r="K26" s="130">
        <f>IFERROR(-Model!BF56,"")</f>
        <v>33682.5132404844</v>
      </c>
      <c r="L26" s="131" t="n"/>
      <c r="X26" s="107" t="n"/>
      <c r="Y26" s="107" t="n"/>
      <c r="Z26" s="107" t="n"/>
    </row>
    <row r="27">
      <c r="C27" s="132" t="inlineStr">
        <is>
          <t>Cash from working capital</t>
        </is>
      </c>
      <c r="D27" s="133">
        <f>IFERROR(Model!W265,"")</f>
        <v>-2686</v>
      </c>
      <c r="E27" s="133">
        <f>IFERROR(Model!AB265,"")</f>
        <v>14825</v>
      </c>
      <c r="F27" s="133">
        <f>IFERROR(Model!AG265,"")</f>
        <v>-4884</v>
      </c>
      <c r="G27" s="133">
        <f>IFERROR(Model!AL265,"")</f>
        <v>443.981479593046</v>
      </c>
      <c r="H27" s="133">
        <f>IFERROR(Model!AQ265,"")</f>
        <v>1549.37996667568</v>
      </c>
      <c r="I27" s="133">
        <f>IFERROR(Model!AV265,"")</f>
        <v>1525.81141324145</v>
      </c>
      <c r="J27" s="133">
        <f>IFERROR(Model!BA265,"")</f>
        <v>1461.97769001</v>
      </c>
      <c r="K27" s="133">
        <f>IFERROR(Model!BF265,"")</f>
        <v>1353.48944315364</v>
      </c>
      <c r="L27" s="134" t="n"/>
      <c r="X27" s="107" t="n"/>
      <c r="Y27" s="107" t="n"/>
      <c r="Z27" s="107" t="n"/>
    </row>
    <row r="28">
      <c r="C28" s="135" t="inlineStr">
        <is>
          <t>Accounts receivable</t>
        </is>
      </c>
      <c r="D28" s="136">
        <f>IFERROR(Model!W266,"")</f>
        <v>3734</v>
      </c>
      <c r="E28" s="136">
        <f>IFERROR(Model!AB266,"")</f>
        <v>-5666</v>
      </c>
      <c r="F28" s="136">
        <f>IFERROR(Model!AG266,"")</f>
        <v>-881</v>
      </c>
      <c r="G28" s="136">
        <f>IFERROR(Model!AL266,"")</f>
        <v>-3378.91493698969</v>
      </c>
      <c r="H28" s="136">
        <f>IFERROR(Model!AQ266,"")</f>
        <v>-2062.43750710582</v>
      </c>
      <c r="I28" s="136">
        <f>IFERROR(Model!AV266,"")</f>
        <v>-1901.14763873598</v>
      </c>
      <c r="J28" s="136">
        <f>IFERROR(Model!BA266,"")</f>
        <v>-1713.90753875312</v>
      </c>
      <c r="K28" s="136">
        <f>IFERROR(Model!BF266,"")</f>
        <v>-1502.40941922079</v>
      </c>
      <c r="L28" s="137" t="n"/>
      <c r="X28" s="107" t="n"/>
      <c r="Y28" s="107" t="n"/>
      <c r="Z28" s="107" t="n"/>
    </row>
    <row r="29">
      <c r="C29" s="135" t="inlineStr">
        <is>
          <t>Inventories</t>
        </is>
      </c>
      <c r="D29" s="136">
        <f>IFERROR(Model!W267,"")</f>
        <v>0</v>
      </c>
      <c r="E29" s="136">
        <f>IFERROR(Model!AB267,"")</f>
        <v>0</v>
      </c>
      <c r="F29" s="136">
        <f>IFERROR(Model!AG267,"")</f>
        <v>0</v>
      </c>
      <c r="G29" s="136">
        <f>IFERROR(Model!AL267,"")</f>
        <v>0</v>
      </c>
      <c r="H29" s="136">
        <f>IFERROR(Model!AQ267,"")</f>
        <v>0</v>
      </c>
      <c r="I29" s="136">
        <f>IFERROR(Model!AV267,"")</f>
        <v>0</v>
      </c>
      <c r="J29" s="136">
        <f>IFERROR(Model!BA267,"")</f>
        <v>0</v>
      </c>
      <c r="K29" s="136">
        <f>IFERROR(Model!BF267,"")</f>
        <v>0</v>
      </c>
      <c r="L29" s="137" t="n"/>
      <c r="X29" s="107" t="n"/>
      <c r="Y29" s="107" t="n"/>
      <c r="Z29" s="107" t="n"/>
    </row>
    <row r="30">
      <c r="C30" s="135" t="inlineStr">
        <is>
          <t>Deferred income taxes (assets)</t>
        </is>
      </c>
      <c r="D30" s="136">
        <f>IFERROR(Model!W268,"")</f>
        <v>0</v>
      </c>
      <c r="E30" s="136">
        <f>IFERROR(Model!AB268,"")</f>
        <v>0</v>
      </c>
      <c r="F30" s="136">
        <f>IFERROR(Model!AG268,"")</f>
        <v>0</v>
      </c>
      <c r="G30" s="136">
        <f>IFERROR(Model!AL268,"")</f>
        <v>0</v>
      </c>
      <c r="H30" s="136">
        <f>IFERROR(Model!AQ268,"")</f>
        <v>0</v>
      </c>
      <c r="I30" s="136">
        <f>IFERROR(Model!AV268,"")</f>
        <v>0</v>
      </c>
      <c r="J30" s="136">
        <f>IFERROR(Model!BA268,"")</f>
        <v>0</v>
      </c>
      <c r="K30" s="136">
        <f>IFERROR(Model!BF268,"")</f>
        <v>0</v>
      </c>
      <c r="L30" s="137" t="n"/>
      <c r="X30" s="107" t="n"/>
      <c r="Y30" s="107" t="n"/>
      <c r="Z30" s="107" t="n"/>
    </row>
    <row r="31">
      <c r="C31" s="135" t="inlineStr">
        <is>
          <t>Prepaid expenses</t>
        </is>
      </c>
      <c r="D31" s="136">
        <f>IFERROR(Model!W269,"")</f>
        <v>0</v>
      </c>
      <c r="E31" s="136">
        <f>IFERROR(Model!AB269,"")</f>
        <v>0</v>
      </c>
      <c r="F31" s="136">
        <f>IFERROR(Model!AG269,"")</f>
        <v>0</v>
      </c>
      <c r="G31" s="136">
        <f>IFERROR(Model!AL269,"")</f>
        <v>0</v>
      </c>
      <c r="H31" s="136">
        <f>IFERROR(Model!AQ269,"")</f>
        <v>0</v>
      </c>
      <c r="I31" s="136">
        <f>IFERROR(Model!AV269,"")</f>
        <v>0</v>
      </c>
      <c r="J31" s="136">
        <f>IFERROR(Model!BA269,"")</f>
        <v>0</v>
      </c>
      <c r="K31" s="136">
        <f>IFERROR(Model!BF269,"")</f>
        <v>0</v>
      </c>
      <c r="L31" s="137" t="n"/>
      <c r="X31" s="107" t="n"/>
      <c r="Y31" s="107" t="n"/>
      <c r="Z31" s="107" t="n"/>
    </row>
    <row r="32">
      <c r="C32" s="135" t="inlineStr">
        <is>
          <t>Other current assets</t>
        </is>
      </c>
      <c r="D32" s="136">
        <f>IFERROR(Model!W270,"")</f>
        <v>-813</v>
      </c>
      <c r="E32" s="136">
        <f>IFERROR(Model!AB270,"")</f>
        <v>1775</v>
      </c>
      <c r="F32" s="136">
        <f>IFERROR(Model!AG270,"")</f>
        <v>-2859</v>
      </c>
      <c r="G32" s="136">
        <f>IFERROR(Model!AL270,"")</f>
        <v>-1508</v>
      </c>
      <c r="H32" s="136">
        <f>IFERROR(Model!AQ270,"")</f>
        <v>0</v>
      </c>
      <c r="I32" s="136">
        <f>IFERROR(Model!AV270,"")</f>
        <v>0</v>
      </c>
      <c r="J32" s="136">
        <f>IFERROR(Model!BA270,"")</f>
        <v>0</v>
      </c>
      <c r="K32" s="136">
        <f>IFERROR(Model!BF270,"")</f>
        <v>0</v>
      </c>
      <c r="L32" s="137" t="n"/>
      <c r="X32" s="107" t="n"/>
      <c r="Y32" s="107" t="n"/>
      <c r="Z32" s="107" t="n"/>
    </row>
    <row r="33">
      <c r="C33" s="135" t="inlineStr">
        <is>
          <t>Accounts payable</t>
        </is>
      </c>
      <c r="D33" s="136">
        <f>IFERROR(Model!W271,"")</f>
        <v>-5160</v>
      </c>
      <c r="E33" s="136">
        <f>IFERROR(Model!AB271,"")</f>
        <v>3260</v>
      </c>
      <c r="F33" s="136">
        <f>IFERROR(Model!AG271,"")</f>
        <v>-386</v>
      </c>
      <c r="G33" s="136">
        <f>IFERROR(Model!AL271,"")</f>
        <v>3554.75185525925</v>
      </c>
      <c r="H33" s="136">
        <f>IFERROR(Model!AQ271,"")</f>
        <v>2773.34265991404</v>
      </c>
      <c r="I33" s="136">
        <f>IFERROR(Model!AV271,"")</f>
        <v>2556.45750774779</v>
      </c>
      <c r="J33" s="136">
        <f>IFERROR(Model!BA271,"")</f>
        <v>2304.67729373409</v>
      </c>
      <c r="K33" s="136">
        <f>IFERROR(Model!BF271,"")</f>
        <v>2020.2775214405</v>
      </c>
      <c r="L33" s="137" t="n"/>
      <c r="X33" s="107" t="n"/>
      <c r="Y33" s="107" t="n"/>
      <c r="Z33" s="107" t="n"/>
    </row>
    <row r="34">
      <c r="C34" s="135" t="inlineStr">
        <is>
          <t>Accrued expenses</t>
        </is>
      </c>
      <c r="D34" s="136">
        <f>IFERROR(Model!W272,"")</f>
        <v>0</v>
      </c>
      <c r="E34" s="136">
        <f>IFERROR(Model!AB272,"")</f>
        <v>0</v>
      </c>
      <c r="F34" s="136">
        <f>IFERROR(Model!AG272,"")</f>
        <v>0</v>
      </c>
      <c r="G34" s="136">
        <f>IFERROR(Model!AL272,"")</f>
        <v>0</v>
      </c>
      <c r="H34" s="136">
        <f>IFERROR(Model!AQ272,"")</f>
        <v>0</v>
      </c>
      <c r="I34" s="136">
        <f>IFERROR(Model!AV272,"")</f>
        <v>0</v>
      </c>
      <c r="J34" s="136">
        <f>IFERROR(Model!BA272,"")</f>
        <v>0</v>
      </c>
      <c r="K34" s="136">
        <f>IFERROR(Model!BF272,"")</f>
        <v>0</v>
      </c>
      <c r="L34" s="137" t="n"/>
      <c r="X34" s="107" t="n"/>
      <c r="Y34" s="107" t="n"/>
      <c r="Z34" s="107" t="n"/>
    </row>
    <row r="35">
      <c r="C35" s="135" t="inlineStr">
        <is>
          <t>Taxes payable</t>
        </is>
      </c>
      <c r="D35" s="136">
        <f>IFERROR(Model!W273,"")</f>
        <v>-2025</v>
      </c>
      <c r="E35" s="136">
        <f>IFERROR(Model!AB273,"")</f>
        <v>866</v>
      </c>
      <c r="F35" s="136">
        <f>IFERROR(Model!AG273,"")</f>
        <v>-1932</v>
      </c>
      <c r="G35" s="136">
        <f>IFERROR(Model!AL273,"")</f>
        <v>2446.14456132349</v>
      </c>
      <c r="H35" s="136">
        <f>IFERROR(Model!AQ273,"")</f>
        <v>838.474813867463</v>
      </c>
      <c r="I35" s="136">
        <f>IFERROR(Model!AV273,"")</f>
        <v>870.501544229634</v>
      </c>
      <c r="J35" s="136">
        <f>IFERROR(Model!BA273,"")</f>
        <v>871.207935029037</v>
      </c>
      <c r="K35" s="136">
        <f>IFERROR(Model!BF273,"")</f>
        <v>835.621340933934</v>
      </c>
      <c r="L35" s="137" t="n"/>
      <c r="X35" s="107" t="n"/>
      <c r="Y35" s="107" t="n"/>
      <c r="Z35" s="107" t="n"/>
    </row>
    <row r="36">
      <c r="C36" s="135" t="inlineStr">
        <is>
          <t>Other current liabilities</t>
        </is>
      </c>
      <c r="D36" s="136">
        <f>IFERROR(Model!W274,"")</f>
        <v>0</v>
      </c>
      <c r="E36" s="136">
        <f>IFERROR(Model!AB274,"")</f>
        <v>0</v>
      </c>
      <c r="F36" s="136">
        <f>IFERROR(Model!AG274,"")</f>
        <v>0</v>
      </c>
      <c r="G36" s="136">
        <f>IFERROR(Model!AL274,"")</f>
        <v>0</v>
      </c>
      <c r="H36" s="136">
        <f>IFERROR(Model!AQ274,"")</f>
        <v>0</v>
      </c>
      <c r="I36" s="136">
        <f>IFERROR(Model!AV274,"")</f>
        <v>0</v>
      </c>
      <c r="J36" s="136">
        <f>IFERROR(Model!BA274,"")</f>
        <v>0</v>
      </c>
      <c r="K36" s="136">
        <f>IFERROR(Model!BF274,"")</f>
        <v>0</v>
      </c>
      <c r="L36" s="137" t="n"/>
      <c r="X36" s="107" t="n"/>
      <c r="Y36" s="107" t="n"/>
      <c r="Z36" s="107" t="n"/>
    </row>
    <row r="37">
      <c r="C37" s="135" t="inlineStr">
        <is>
          <t>Deferred tax (liabilities)</t>
        </is>
      </c>
      <c r="D37" s="136">
        <f>IFERROR(Model!W275,"")</f>
        <v>1578</v>
      </c>
      <c r="E37" s="136">
        <f>IFERROR(Model!AB275,"")</f>
        <v>14590</v>
      </c>
      <c r="F37" s="136">
        <f>IFERROR(Model!AG275,"")</f>
        <v>1174</v>
      </c>
      <c r="G37" s="136">
        <f>IFERROR(Model!AL275,"")</f>
        <v>-670</v>
      </c>
      <c r="H37" s="136">
        <f>IFERROR(Model!AQ275,"")</f>
        <v>0</v>
      </c>
      <c r="I37" s="136">
        <f>IFERROR(Model!AV275,"")</f>
        <v>0</v>
      </c>
      <c r="J37" s="136">
        <f>IFERROR(Model!BA275,"")</f>
        <v>0</v>
      </c>
      <c r="K37" s="136">
        <f>IFERROR(Model!BF275,"")</f>
        <v>0</v>
      </c>
      <c r="L37" s="137" t="n"/>
      <c r="X37" s="107" t="n"/>
      <c r="Y37" s="107" t="n"/>
      <c r="Z37" s="107" t="n"/>
    </row>
    <row r="38">
      <c r="C38" s="135" t="inlineStr">
        <is>
          <t>Other non-current assets</t>
        </is>
      </c>
      <c r="D38" s="136">
        <f>IFERROR((Model!W175-Model!R175)*-1,"")</f>
        <v>1976</v>
      </c>
      <c r="E38" s="136">
        <f>IFERROR((Model!AB175-Model!W175)*-1,"")</f>
        <v>-2399</v>
      </c>
      <c r="F38" s="136">
        <f>IFERROR((Model!AG175-Model!AB175)*-1,"")</f>
        <v>942</v>
      </c>
      <c r="G38" s="136">
        <f>IFERROR((Model!AL175-Model!AG175)*-1,"")</f>
        <v>-1166</v>
      </c>
      <c r="H38" s="136">
        <f>IFERROR((Model!AQ175-Model!AL175)*-1,"")</f>
        <v>0</v>
      </c>
      <c r="I38" s="136">
        <f>IFERROR((Model!AV175-Model!AQ175)*-1,"")</f>
        <v>0</v>
      </c>
      <c r="J38" s="136">
        <f>IFERROR((Model!BA175-Model!AV175)*-1,"")</f>
        <v>0</v>
      </c>
      <c r="K38" s="136">
        <f>IFERROR((Model!BF175-Model!BA175)*-1,"")</f>
        <v>0</v>
      </c>
      <c r="L38" s="137" t="n"/>
      <c r="X38" s="107" t="n"/>
      <c r="Y38" s="107" t="n"/>
      <c r="Z38" s="107" t="n"/>
    </row>
    <row r="39">
      <c r="C39" s="135" t="inlineStr">
        <is>
          <t>Other non-current liabilities</t>
        </is>
      </c>
      <c r="D39" s="136">
        <f>IFERROR(Model!W226-Model!R226,"")</f>
        <v>2412</v>
      </c>
      <c r="E39" s="136">
        <f>IFERROR(Model!AB226-Model!W226,"")</f>
        <v>237</v>
      </c>
      <c r="F39" s="136">
        <f>IFERROR(Model!AG226-Model!AB226,"")</f>
        <v>-1198</v>
      </c>
      <c r="G39" s="136">
        <f>IFERROR(Model!AL226-Model!AG226,"")</f>
        <v>2199</v>
      </c>
      <c r="H39" s="136">
        <f>IFERROR(Model!AQ226-Model!AL226,"")</f>
        <v>0</v>
      </c>
      <c r="I39" s="136">
        <f>IFERROR(Model!AV226-Model!AQ226,"")</f>
        <v>0</v>
      </c>
      <c r="J39" s="136">
        <f>IFERROR(Model!BA226-Model!AV226,"")</f>
        <v>0</v>
      </c>
      <c r="K39" s="136">
        <f>IFERROR(Model!BF226-Model!BA226,"")</f>
        <v>0</v>
      </c>
      <c r="L39" s="137" t="n"/>
      <c r="X39" s="107" t="n"/>
      <c r="Y39" s="107" t="n"/>
      <c r="Z39" s="107" t="n"/>
    </row>
    <row r="40">
      <c r="C40" s="135" t="inlineStr">
        <is>
          <t>Capital expenditures</t>
        </is>
      </c>
      <c r="D40" s="136">
        <f>IFERROR(Model!W281,"")</f>
        <v>-30889</v>
      </c>
      <c r="E40" s="136">
        <f>IFERROR(Model!AB281,"")</f>
        <v>-102820</v>
      </c>
      <c r="F40" s="136">
        <f>IFERROR(Model!AG281,"")</f>
        <v>-31048</v>
      </c>
      <c r="G40" s="136">
        <f>IFERROR(Model!AL281,"")</f>
        <v>-26619.5753926475</v>
      </c>
      <c r="H40" s="136">
        <f>IFERROR(Model!AQ281,"")</f>
        <v>-31931.2117863186</v>
      </c>
      <c r="I40" s="136">
        <f>IFERROR(Model!AV281,"")</f>
        <v>-33145.2493442485</v>
      </c>
      <c r="J40" s="136">
        <f>IFERROR(Model!BA281,"")</f>
        <v>-34239.7188533335</v>
      </c>
      <c r="K40" s="136">
        <f>IFERROR(Model!BF281,"")</f>
        <v>-35199.1295930141</v>
      </c>
      <c r="L40" s="137" t="n"/>
      <c r="X40" s="107" t="n"/>
      <c r="Y40" s="107" t="n"/>
      <c r="Z40" s="107" t="n"/>
    </row>
    <row r="41">
      <c r="C41" s="135" t="inlineStr">
        <is>
          <t>Capital expenditures [IFRS16 - implied lease payments]</t>
        </is>
      </c>
      <c r="D41" s="251">
        <f>IFERROR(0,"")</f>
        <v>0</v>
      </c>
      <c r="E41" s="251">
        <f>IFERROR(0,"")</f>
        <v>0</v>
      </c>
      <c r="F41" s="136">
        <f>IFERROR(0,"")</f>
        <v>0</v>
      </c>
      <c r="G41" s="136">
        <f>IFERROR(0,"")</f>
        <v>0</v>
      </c>
      <c r="H41" s="136">
        <f>IFERROR(0,"")</f>
        <v>0</v>
      </c>
      <c r="I41" s="136">
        <f>IFERROR(0,"")</f>
        <v>0</v>
      </c>
      <c r="J41" s="136">
        <f>IFERROR(0,"")</f>
        <v>0</v>
      </c>
      <c r="K41" s="136">
        <f>IFERROR(0,"")</f>
        <v>0</v>
      </c>
      <c r="L41" s="137" t="n"/>
      <c r="X41" s="107" t="n"/>
      <c r="Y41" s="107" t="n"/>
      <c r="Z41" s="107" t="n"/>
    </row>
    <row r="42">
      <c r="C42" s="138" t="inlineStr">
        <is>
          <t>Purchase of intangible assets</t>
        </is>
      </c>
      <c r="D42" s="139">
        <f>IFERROR(0,"")</f>
        <v>0</v>
      </c>
      <c r="E42" s="139">
        <f>IFERROR(0,"")</f>
        <v>0</v>
      </c>
      <c r="F42" s="139">
        <f>IFERROR(0,"")</f>
        <v>0</v>
      </c>
      <c r="G42" s="139">
        <f>IFERROR(0,"")</f>
        <v>0</v>
      </c>
      <c r="H42" s="139">
        <f>IFERROR(0,"")</f>
        <v>0</v>
      </c>
      <c r="I42" s="139">
        <f>IFERROR(0,"")</f>
        <v>0</v>
      </c>
      <c r="J42" s="139">
        <f>IFERROR(0,"")</f>
        <v>0</v>
      </c>
      <c r="K42" s="139">
        <f>IFERROR(0,"")</f>
        <v>0</v>
      </c>
      <c r="L42" s="140" t="n"/>
      <c r="M42" s="141" t="n"/>
      <c r="X42" s="107" t="n"/>
      <c r="Y42" s="107" t="n"/>
      <c r="Z42" s="107" t="n"/>
      <c r="AB42" s="102" t="n"/>
    </row>
    <row r="43">
      <c r="X43" s="107" t="n"/>
      <c r="Y43" s="107" t="n"/>
      <c r="Z43" s="107" t="n"/>
    </row>
    <row r="44">
      <c r="C44" s="112" t="inlineStr">
        <is>
          <t>Net Investments</t>
        </is>
      </c>
      <c r="D44" s="133">
        <f>IFERROR(SUM(D27,D40:D42,D26),"")</f>
        <v>-12934</v>
      </c>
      <c r="E44" s="133">
        <f>IFERROR(SUM(E27,E40:E42,E26),"")</f>
        <v>-64553</v>
      </c>
      <c r="F44" s="133">
        <f>IFERROR(SUM(F27,F40:F42,F26),"")</f>
        <v>-9939</v>
      </c>
      <c r="G44" s="133">
        <f>IFERROR(SUM(G27,G40:G42,G26),"")</f>
        <v>2905.65978495402</v>
      </c>
      <c r="H44" s="133">
        <f>IFERROR(SUM(H27,H40:H42,H26),"")</f>
        <v>173.567595427962</v>
      </c>
      <c r="I44" s="133">
        <f>IFERROR(SUM(I27,I40:I42,I26),"")</f>
        <v>97.6901004309502</v>
      </c>
      <c r="J44" s="133">
        <f>IFERROR(SUM(J27,J40:J42,J26),"")</f>
        <v>-13.3007648666644</v>
      </c>
      <c r="K44" s="133">
        <f>IFERROR(SUM(K27,K40:K42,K26),"")</f>
        <v>-163.126909376077</v>
      </c>
      <c r="L44" s="133" t="n"/>
      <c r="M44" s="142" t="n"/>
      <c r="N44" s="133" t="n"/>
      <c r="O44" s="133" t="n"/>
      <c r="P44" s="133" t="n"/>
      <c r="Q44" s="133" t="n"/>
      <c r="R44" s="133" t="n"/>
      <c r="S44" s="133" t="n"/>
      <c r="T44" s="133" t="n"/>
      <c r="U44" s="133" t="n"/>
      <c r="V44" s="134" t="n"/>
      <c r="X44" s="107" t="n"/>
      <c r="Y44" s="141" t="n"/>
      <c r="Z44" s="107" t="n"/>
    </row>
    <row r="45">
      <c r="C45" s="143" t="n"/>
      <c r="D45" s="141" t="n"/>
      <c r="E45" s="141" t="n"/>
      <c r="F45" s="141" t="n"/>
      <c r="G45" s="141" t="n"/>
      <c r="H45" s="141" t="n"/>
      <c r="I45" s="141" t="n"/>
      <c r="J45" s="141" t="n"/>
      <c r="K45" s="141" t="n"/>
      <c r="L45" s="141" t="n"/>
      <c r="V45" s="144" t="n"/>
      <c r="X45" s="107" t="n"/>
      <c r="Y45" s="107" t="n"/>
      <c r="Z45" s="107" t="n"/>
    </row>
    <row r="46">
      <c r="C46" s="143" t="inlineStr">
        <is>
          <t>Invested Capital</t>
        </is>
      </c>
      <c r="D46" s="136">
        <f>IFERROR(Model!W336,"")</f>
        <v>247024</v>
      </c>
      <c r="E46" s="136">
        <f>IFERROR(Model!AB336,"")</f>
        <v>328329</v>
      </c>
      <c r="F46" s="136">
        <f>IFERROR(Model!AG336,"")</f>
        <v>339698</v>
      </c>
      <c r="G46" s="136">
        <f>IFERROR(Model!AL336,"")</f>
        <v>335089.340215046</v>
      </c>
      <c r="H46" s="136">
        <f>IFERROR(Model!AQ336,"")</f>
        <v>334915.772619618</v>
      </c>
      <c r="I46" s="136">
        <f>IFERROR(Model!AV336,"")</f>
        <v>334818.082519187</v>
      </c>
      <c r="J46" s="136">
        <f>IFERROR(Model!BA336,"")</f>
        <v>334831.383284054</v>
      </c>
      <c r="K46" s="136">
        <f>IFERROR(Model!BF336,"")</f>
        <v>334994.51019343</v>
      </c>
      <c r="L46" s="136" t="n"/>
      <c r="M46" s="145" t="n"/>
      <c r="N46" s="145" t="n"/>
      <c r="O46" s="145" t="n"/>
      <c r="P46" s="145" t="n"/>
      <c r="Q46" s="145" t="n"/>
      <c r="R46" s="145" t="n"/>
      <c r="S46" s="145" t="n"/>
      <c r="T46" s="145" t="n"/>
      <c r="U46" s="145" t="n"/>
      <c r="V46" s="146" t="n"/>
      <c r="X46" s="141" t="n"/>
      <c r="Y46" s="141" t="n"/>
      <c r="Z46" s="107" t="n"/>
    </row>
    <row r="47">
      <c r="C47" s="143" t="inlineStr">
        <is>
          <t>Invested Capital (ex Goodwill)</t>
        </is>
      </c>
      <c r="D47" s="136">
        <f>IFERROR(Model!W337,"")</f>
        <v>247024</v>
      </c>
      <c r="E47" s="136">
        <f>IFERROR(Model!AB337,"")</f>
        <v>328329</v>
      </c>
      <c r="F47" s="136">
        <f>IFERROR(Model!AG337,"")</f>
        <v>339698</v>
      </c>
      <c r="G47" s="136">
        <f>IFERROR(Model!AL337,"")</f>
        <v>335089.340215046</v>
      </c>
      <c r="H47" s="136">
        <f>IFERROR(Model!AQ337,"")</f>
        <v>334915.772619618</v>
      </c>
      <c r="I47" s="136">
        <f>IFERROR(Model!AV337,"")</f>
        <v>334818.082519187</v>
      </c>
      <c r="J47" s="136">
        <f>IFERROR(Model!BA337,"")</f>
        <v>334831.383284054</v>
      </c>
      <c r="K47" s="136">
        <f>IFERROR(Model!BF337,"")</f>
        <v>334994.51019343</v>
      </c>
      <c r="L47" s="136" t="n"/>
      <c r="V47" s="144" t="n"/>
      <c r="X47" s="107" t="n"/>
      <c r="Y47" s="107" t="n"/>
      <c r="Z47" s="107" t="n"/>
    </row>
    <row r="48">
      <c r="C48" s="116" t="inlineStr">
        <is>
          <t>Invested Capital / Net Revenues</t>
        </is>
      </c>
      <c r="D48" s="122">
        <f>IFERROR(IF(D18=0,"",D46/D18),"")</f>
        <v>0.716880162051413</v>
      </c>
      <c r="E48" s="122">
        <f>IFERROR(IF(E18=0,"",E46/E18),"")</f>
        <v>0.939196475821331</v>
      </c>
      <c r="F48" s="122">
        <f>IFERROR(IF(F18=0,"",F46/F18),"")</f>
        <v>1.02245378313137</v>
      </c>
      <c r="G48" s="122">
        <f>IFERROR(IF(G18=0,"",G46/G18),"")</f>
        <v>0.891272552577037</v>
      </c>
      <c r="H48" s="122">
        <f>IFERROR(IF(H18=0,"",H46/H18),"")</f>
        <v>0.854068523931206</v>
      </c>
      <c r="I48" s="122">
        <f>IFERROR(IF(I18=0,"",I46/I18),"")</f>
        <v>0.822545878232766</v>
      </c>
      <c r="J48" s="122">
        <f>IFERROR(IF(J18=0,"",J46/J18),"")</f>
        <v>0.796284905242845</v>
      </c>
      <c r="K48" s="122">
        <f>IFERROR(IF(K18=0,"",K46/K18),"")</f>
        <v>0.774958206573603</v>
      </c>
      <c r="L48" s="122" t="n"/>
      <c r="M48" s="147" t="n"/>
      <c r="N48" s="147" t="n"/>
      <c r="O48" s="147" t="n"/>
      <c r="P48" s="147" t="n"/>
      <c r="Q48" s="147" t="n"/>
      <c r="R48" s="147" t="n"/>
      <c r="S48" s="147" t="n"/>
      <c r="T48" s="147" t="n"/>
      <c r="U48" s="147" t="n"/>
      <c r="V48" s="148" t="n"/>
      <c r="X48" s="106" t="n"/>
      <c r="Y48" s="107" t="n"/>
      <c r="Z48" s="107" t="n"/>
    </row>
    <row r="49">
      <c r="X49" s="107" t="n"/>
      <c r="Y49" s="107" t="n"/>
      <c r="Z49" s="107" t="n"/>
    </row>
    <row r="50">
      <c r="C50" s="149" t="inlineStr">
        <is>
          <t>ROIC</t>
        </is>
      </c>
      <c r="D50" s="150">
        <f>IFERROR(IF(D46=0,"",D25/D46),"")</f>
        <v>0.153648345057858</v>
      </c>
      <c r="E50" s="150">
        <f>IFERROR(IF(E46=0,"",E25/E46),"")</f>
        <v>0.108968629541538</v>
      </c>
      <c r="F50" s="150">
        <f>IFERROR(IF(F46=0,"",F25/F46),"")</f>
        <v>0.0888992746102887</v>
      </c>
      <c r="G50" s="150">
        <f>IFERROR(IF(G46=0,"",G25/G46),"")</f>
        <v>0.106387559866834</v>
      </c>
      <c r="H50" s="150">
        <f>IFERROR(IF(H46=0,"",H25/H46),"")</f>
        <v>0.106607468562956</v>
      </c>
      <c r="I50" s="150">
        <f>IFERROR(IF(I46=0,"",I25/I46),"")</f>
        <v>0.110693015095069</v>
      </c>
      <c r="J50" s="150">
        <f>IFERROR(IF(J46=0,"",J25/J46),"")</f>
        <v>0.114343600784243</v>
      </c>
      <c r="K50" s="150">
        <f>IFERROR(IF(K46=0,"",K25/K46),"")</f>
        <v>0.117490314372145</v>
      </c>
      <c r="L50" s="150" t="n"/>
      <c r="M50" s="151" t="n"/>
      <c r="N50" s="151" t="n"/>
      <c r="O50" s="151" t="n"/>
      <c r="P50" s="151" t="n"/>
      <c r="Q50" s="151" t="n"/>
      <c r="R50" s="151" t="n"/>
      <c r="S50" s="151" t="n"/>
      <c r="T50" s="151" t="n"/>
      <c r="U50" s="151" t="n"/>
      <c r="V50" s="152" t="n"/>
      <c r="X50" s="115" t="n"/>
      <c r="Y50" s="115" t="n"/>
      <c r="Z50" s="153" t="n"/>
    </row>
    <row r="51">
      <c r="C51" s="102" t="inlineStr">
        <is>
          <t>Capital Turnover</t>
        </is>
      </c>
      <c r="D51" s="154">
        <f>IFERROR(IF(D46=0,"",D18/D46),"")</f>
        <v>1.39493328583457</v>
      </c>
      <c r="E51" s="154">
        <f>IFERROR(IF(E46=0,"",E18/E46),"")</f>
        <v>1.06473994073018</v>
      </c>
      <c r="F51" s="154">
        <f>IFERROR(IF(F46=0,"",F18/F46),"")</f>
        <v>0.978039317275933</v>
      </c>
      <c r="G51" s="154">
        <f>IFERROR(IF(G46=0,"",G18/G46),"")</f>
        <v>1.12199124398994</v>
      </c>
      <c r="H51" s="154">
        <f>IFERROR(IF(H46=0,"",H18/H46),"")</f>
        <v>1.17086623845717</v>
      </c>
      <c r="I51" s="154">
        <f>IFERROR(IF(I46=0,"",I18/I46),"")</f>
        <v>1.21573765848598</v>
      </c>
      <c r="J51" s="154">
        <f>IFERROR(IF(J46=0,"",J18/J46),"")</f>
        <v>1.25583191821905</v>
      </c>
      <c r="K51" s="154">
        <f>IFERROR(IF(K46=0,"",K18/K46),"")</f>
        <v>1.29039216762591</v>
      </c>
      <c r="L51" s="154" t="n"/>
      <c r="M51" s="154" t="n"/>
      <c r="N51" s="154" t="n"/>
      <c r="O51" s="154" t="n"/>
      <c r="P51" s="154" t="n"/>
      <c r="Q51" s="154" t="n"/>
      <c r="R51" s="154" t="n"/>
      <c r="S51" s="154" t="n"/>
      <c r="T51" s="154" t="n"/>
      <c r="U51" s="154" t="n"/>
      <c r="V51" s="154" t="n"/>
    </row>
    <row r="52"/>
    <row r="53" customFormat="1" s="102">
      <c r="A53" s="251" t="n"/>
      <c r="B53" s="251" t="n"/>
      <c r="C53" s="102" t="inlineStr">
        <is>
          <t>Unlevered free cash flows = FCFF</t>
        </is>
      </c>
      <c r="D53" s="155">
        <f>IFERROR(D25+D44,"")</f>
        <v>25020.8287895724</v>
      </c>
      <c r="E53" s="155">
        <f>IFERROR(E25+E44,"")</f>
        <v>-28775.4388312565</v>
      </c>
      <c r="F53" s="155">
        <f>IFERROR(F25+F44,"")</f>
        <v>20259.9057865659</v>
      </c>
      <c r="G53" s="156">
        <f>IFERROR(G25+G44,"")</f>
        <v>38554.99702782</v>
      </c>
      <c r="H53" s="155">
        <f>IFERROR(H25+H44,"")</f>
        <v>35878.090296212</v>
      </c>
      <c r="I53" s="155">
        <f>IFERROR(I25+I44,"")</f>
        <v>37159.7131628294</v>
      </c>
      <c r="J53" s="155">
        <f>IFERROR(J25+J44,"")</f>
        <v>38272.5252554009</v>
      </c>
      <c r="K53" s="155">
        <f>IFERROR(K25+K44,"")</f>
        <v>39195.4834061928</v>
      </c>
      <c r="L53" s="155" t="n"/>
      <c r="M53" s="155" t="n"/>
      <c r="N53" s="155" t="n"/>
      <c r="O53" s="155" t="n"/>
      <c r="P53" s="155" t="n"/>
      <c r="Q53" s="155" t="n"/>
      <c r="R53" s="155" t="n"/>
      <c r="S53" s="155" t="n"/>
      <c r="T53" s="155" t="n"/>
      <c r="U53" s="155" t="n"/>
      <c r="V53" s="155" t="n"/>
    </row>
    <row r="54">
      <c r="C54" s="157" t="inlineStr">
        <is>
          <t>Discount factor</t>
        </is>
      </c>
      <c r="G54" s="158" t="str">
        <f>IFERROR(IF(Control!E12="","",1/(1+Control!E12)^Control!B13),"")</f>
        <v/>
      </c>
      <c r="H54" s="158" t="str">
        <f>IFERROR(IF(G54="","",G54/(1+Control!E12)),"")</f>
        <v/>
      </c>
      <c r="I54" s="158" t="str">
        <f>IFERROR(IF(H54="","",H54/(1+Control!E12)),"")</f>
        <v/>
      </c>
      <c r="J54" s="158" t="str">
        <f>IFERROR(IF(I54="","",I54/(1+Control!E12)),"")</f>
        <v/>
      </c>
      <c r="K54" s="158" t="str">
        <f>IFERROR(IF(J54="","",J54/(1+Control!E12)),"")</f>
        <v/>
      </c>
      <c r="L54" s="158" t="n"/>
      <c r="M54" s="158" t="n"/>
      <c r="N54" s="158" t="n"/>
      <c r="O54" s="158" t="n"/>
      <c r="P54" s="158" t="n"/>
      <c r="Q54" s="158" t="n"/>
      <c r="R54" s="158" t="n"/>
      <c r="S54" s="158" t="n"/>
      <c r="T54" s="158" t="n"/>
      <c r="U54" s="158" t="n"/>
      <c r="V54" s="158" t="n"/>
    </row>
    <row r="55">
      <c r="C55" s="157" t="inlineStr">
        <is>
          <t>Midyear adjustment factor</t>
        </is>
      </c>
      <c r="G55" s="159" t="str">
        <f>IFERROR(IF(Control!E12="","",(1+Control!E12)^0.5),"")</f>
        <v/>
      </c>
      <c r="H55" s="158" t="str">
        <f>IFERROR(G55,"")</f>
        <v/>
      </c>
      <c r="I55" s="158" t="str">
        <f>IFERROR(H55,"")</f>
        <v/>
      </c>
      <c r="J55" s="158" t="str">
        <f>IFERROR(I55,"")</f>
        <v/>
      </c>
      <c r="K55" s="158" t="str">
        <f>IFERROR(J55,"")</f>
        <v/>
      </c>
      <c r="L55" s="158" t="n"/>
      <c r="M55" s="158" t="n"/>
      <c r="N55" s="158" t="n"/>
      <c r="O55" s="158" t="n"/>
      <c r="P55" s="158" t="n"/>
      <c r="Q55" s="158" t="n"/>
      <c r="R55" s="158" t="n"/>
      <c r="S55" s="158" t="n"/>
      <c r="T55" s="158" t="n"/>
      <c r="U55" s="158" t="n"/>
      <c r="V55" s="158" t="n"/>
    </row>
    <row r="56">
      <c r="C56" s="157" t="inlineStr">
        <is>
          <t>Present value of free cash flows</t>
        </is>
      </c>
      <c r="G56" s="141" t="str">
        <f>IFERROR(IF(G54="","",G53*G54*G55),"")</f>
        <v/>
      </c>
      <c r="H56" s="141" t="str">
        <f>IFERROR(IF(H54="","",H53*H54*H55),"")</f>
        <v/>
      </c>
      <c r="I56" s="141" t="str">
        <f>IFERROR(IF(I54="","",I53*I54*I55),"")</f>
        <v/>
      </c>
      <c r="J56" s="141" t="str">
        <f>IFERROR(IF(J54="","",J53*J54*J55),"")</f>
        <v/>
      </c>
      <c r="K56" s="141" t="str">
        <f>IFERROR(IF(K54="","",K53*K54*K55),"")</f>
        <v/>
      </c>
      <c r="L56" s="141" t="n"/>
      <c r="M56" s="141" t="n"/>
      <c r="N56" s="141" t="n"/>
      <c r="O56" s="141" t="n"/>
      <c r="P56" s="141" t="n"/>
      <c r="Q56" s="141" t="n"/>
      <c r="R56" s="141" t="n"/>
      <c r="S56" s="141" t="n"/>
      <c r="T56" s="141" t="n"/>
      <c r="U56" s="141" t="n"/>
      <c r="V56" s="141" t="n"/>
    </row>
    <row r="57">
      <c r="C57" s="102" t="inlineStr">
        <is>
          <t>Sum of present values of FCFs</t>
        </is>
      </c>
      <c r="G57" s="155" t="str">
        <f>IFERROR(IF(COUNT(G56:K56)=0,"",SUM(G56:K56)),"")</f>
        <v/>
      </c>
      <c r="H57" s="141" t="n"/>
      <c r="N57" s="160" t="n"/>
    </row>
    <row r="58"/>
    <row r="59">
      <c r="C59" s="102" t="n"/>
      <c r="D59" s="95">
        <f>IFERROR(IF(Control!B9="","",Control!B9),"")</f>
        <v>47848.0</v>
      </c>
      <c r="E59" s="161" t="n"/>
      <c r="F59" s="162" t="n"/>
      <c r="G59" s="162" t="n"/>
      <c r="H59" s="95">
        <f>IFERROR(IF(Control!B7="","",Control!B7),"")</f>
        <v>46203.0</v>
      </c>
      <c r="I59" s="162" t="n"/>
      <c r="J59" s="162" t="n"/>
      <c r="K59" s="162" t="n"/>
      <c r="L59" s="162" t="n"/>
    </row>
    <row r="60" ht="13.5" customHeight="1">
      <c r="C60" s="163" t="inlineStr">
        <is>
          <t>Terminal value</t>
        </is>
      </c>
      <c r="D60" s="164" t="n"/>
      <c r="E60" s="165" t="inlineStr">
        <is>
          <t>Equity value calculations</t>
        </is>
      </c>
      <c r="F60" s="166" t="n"/>
      <c r="G60" s="166" t="n"/>
      <c r="H60" s="166" t="n"/>
      <c r="I60" s="167" t="inlineStr">
        <is>
          <t xml:space="preserve"> Shares Outstanding Worksheet</t>
        </is>
      </c>
      <c r="J60" s="168" t="n"/>
      <c r="K60" s="169" t="n"/>
      <c r="L60" s="170" t="n"/>
    </row>
    <row r="61">
      <c r="C61" s="143" t="n"/>
      <c r="D61" s="144" t="n"/>
      <c r="I61" s="143" t="n"/>
      <c r="L61" s="144" t="n"/>
    </row>
    <row r="62">
      <c r="C62" s="171" t="inlineStr">
        <is>
          <t>Key value driver method</t>
        </is>
      </c>
      <c r="D62" s="172" t="n"/>
      <c r="E62" s="173" t="inlineStr">
        <is>
          <t>Enterprise value</t>
        </is>
      </c>
      <c r="H62" s="155" t="str">
        <f>IFERROR(D80,"")</f>
        <v/>
      </c>
      <c r="I62" s="174" t="inlineStr">
        <is>
          <t>Basic Shares Outanding :</t>
        </is>
      </c>
      <c r="J62" s="97" t="n"/>
      <c r="L62" s="175" t="n"/>
    </row>
    <row r="63" ht="13.5" customHeight="1">
      <c r="C63" s="171" t="inlineStr">
        <is>
          <t>g</t>
        </is>
      </c>
      <c r="D63" s="176" t="str">
        <f>IFERROR(IF(Control!E13="","",Control!E13),"")</f>
        <v/>
      </c>
      <c r="E63" s="157" t="inlineStr">
        <is>
          <t>Calculation of net debt:</t>
        </is>
      </c>
      <c r="H63" s="141" t="n"/>
      <c r="I63" s="174" t="inlineStr">
        <is>
          <t>Current Share Price:</t>
        </is>
      </c>
      <c r="L63" s="177" t="n"/>
    </row>
    <row r="64" ht="13.5" customHeight="1">
      <c r="C64" s="171" t="inlineStr">
        <is>
          <t>RONIC</t>
        </is>
      </c>
      <c r="D64" s="178">
        <f>IFERROR(K50,"")</f>
        <v>0.117490314372145</v>
      </c>
      <c r="E64" s="157" t="inlineStr">
        <is>
          <t>Current portion of long-term debt</t>
        </is>
      </c>
      <c r="H64" s="137">
        <f>IFERROR(INDEX(Model!$I$198:$BF$198,1,MATCH(Control!$B$7,Model!$I$5:$BF$5,0)),"")</f>
        <v>10139</v>
      </c>
      <c r="I64" s="179" t="inlineStr">
        <is>
          <t>Options / Warrants Data</t>
        </is>
      </c>
      <c r="J64" s="109" t="n"/>
      <c r="K64" s="109" t="n"/>
      <c r="L64" s="180" t="n"/>
    </row>
    <row r="65">
      <c r="C65" s="171" t="inlineStr">
        <is>
          <t>NOPLAT (t+1)</t>
        </is>
      </c>
      <c r="D65" s="181" t="str">
        <f>IFERROR(K25*(1+D63),"")</f>
        <v/>
      </c>
      <c r="E65" s="157" t="inlineStr">
        <is>
          <t>Short term debt</t>
        </is>
      </c>
      <c r="H65" s="137">
        <f>IFERROR(INDEX(Model!$I$199:$BF$199,1,MATCH(Control!$B$7,Model!$I$5:$BF$5,0)),"")</f>
        <v>0</v>
      </c>
      <c r="I65" s="179" t="n"/>
      <c r="J65" s="182" t="inlineStr">
        <is>
          <t># of options</t>
        </is>
      </c>
      <c r="K65" s="182" t="inlineStr">
        <is>
          <t xml:space="preserve">$ strike </t>
        </is>
      </c>
      <c r="L65" s="180" t="n"/>
    </row>
    <row r="66">
      <c r="C66" s="171" t="inlineStr">
        <is>
          <t>Terminal value</t>
        </is>
      </c>
      <c r="D66" s="181" t="str">
        <f>IFERROR(IF(OR(Control!E12="",D64="",D64&lt;=D63,Control!E12&lt;=D63),"",(D65*(1-D63/D64))/(Control!E12-D63)),"")</f>
        <v/>
      </c>
      <c r="E66" s="157" t="inlineStr">
        <is>
          <t>Long term debt</t>
        </is>
      </c>
      <c r="H66" s="137">
        <f>IFERROR(INDEX(Model!$I$203:$BF$203,1,MATCH(Control!$B$7,Model!$I$5:$BF$5,0)),"")</f>
        <v>32229</v>
      </c>
      <c r="I66" s="157" t="inlineStr">
        <is>
          <t>Batch 1</t>
        </is>
      </c>
      <c r="J66" s="183" t="n"/>
      <c r="K66" s="184" t="n"/>
      <c r="L66" s="185" t="n"/>
    </row>
    <row r="67">
      <c r="C67" s="171" t="inlineStr">
        <is>
          <t>Midyear adjusted terminal value</t>
        </is>
      </c>
      <c r="D67" s="181" t="str">
        <f>IFERROR(IF(D66="","",D66*K55),"")</f>
        <v/>
      </c>
      <c r="E67" s="157" t="inlineStr">
        <is>
          <t>Convertible debt</t>
        </is>
      </c>
      <c r="H67" s="137">
        <f>IFERROR(INDEX(Model!$I$224:$BF$224,1,MATCH(Control!$B$7,Model!$I$5:$BF$5,0)),"")</f>
        <v>0</v>
      </c>
      <c r="I67" s="157" t="inlineStr">
        <is>
          <t>Batch 2</t>
        </is>
      </c>
      <c r="J67" s="186" t="n"/>
      <c r="K67" s="187" t="n"/>
      <c r="L67" s="185" t="n"/>
    </row>
    <row r="68">
      <c r="C68" s="171" t="inlineStr">
        <is>
          <t>Present value of terminal value</t>
        </is>
      </c>
      <c r="D68" s="181" t="str">
        <f>IFERROR(IF(D67="","",D67*K54),"")</f>
        <v/>
      </c>
      <c r="E68" s="157" t="inlineStr">
        <is>
          <t>Minority interest</t>
        </is>
      </c>
      <c r="H68" s="137">
        <f>IFERROR(INDEX(Model!$I$234:$BF$234,1,MATCH(Control!$B$7,Model!$I$5:$BF$5,0)),"")</f>
        <v>6731</v>
      </c>
      <c r="I68" s="157" t="inlineStr">
        <is>
          <t>Batch 3</t>
        </is>
      </c>
      <c r="J68" s="186" t="n"/>
      <c r="K68" s="187" t="n"/>
      <c r="L68" s="185" t="n"/>
    </row>
    <row r="69">
      <c r="C69" s="174" t="inlineStr">
        <is>
          <t>Enterprise value</t>
        </is>
      </c>
      <c r="D69" s="188" t="str">
        <f>IFERROR(IF(OR(D68="",G57=""),"",D68+G57),"")</f>
        <v/>
      </c>
      <c r="E69" s="157" t="inlineStr">
        <is>
          <t>Convertible preferred stock</t>
        </is>
      </c>
      <c r="H69" s="137">
        <f>IFERROR(INDEX(Model!$I$239:$BF$239,1,MATCH(Control!$B$7,Model!$I$5:$BF$5,0)),"")</f>
        <v>0</v>
      </c>
      <c r="I69" s="157" t="inlineStr">
        <is>
          <t>Batch 4</t>
        </is>
      </c>
      <c r="J69" s="186" t="n"/>
      <c r="K69" s="187" t="n"/>
      <c r="L69" s="185" t="n"/>
    </row>
    <row r="70">
      <c r="C70" s="143" t="n"/>
      <c r="D70" s="144" t="n"/>
      <c r="E70" s="157" t="inlineStr">
        <is>
          <t>Short term operating leases</t>
        </is>
      </c>
      <c r="H70" s="137">
        <f>IFERROR(INDEX(Model!$I$200:$BF$200,1,MATCH(Control!$B$7,Model!$I$5:$BF$5,0)),"")</f>
        <v>0</v>
      </c>
      <c r="I70" s="157" t="inlineStr">
        <is>
          <t>Batch 5</t>
        </is>
      </c>
      <c r="J70" s="186" t="n"/>
      <c r="K70" s="187" t="n"/>
      <c r="L70" s="185" t="n"/>
    </row>
    <row r="71">
      <c r="C71" s="171" t="inlineStr">
        <is>
          <t>Exit multiple method</t>
        </is>
      </c>
      <c r="D71" s="172" t="n"/>
      <c r="E71" s="157" t="inlineStr">
        <is>
          <t>Long term operating leases</t>
        </is>
      </c>
      <c r="H71" s="137">
        <f>IFERROR(INDEX(Model!$I$221:$BF$221,1,MATCH(Control!$B$7,Model!$I$5:$BF$5,0)),"")</f>
        <v>0</v>
      </c>
      <c r="I71" s="179" t="inlineStr">
        <is>
          <t>Batch 6</t>
        </is>
      </c>
      <c r="J71" s="189" t="n"/>
      <c r="K71" s="190" t="n"/>
      <c r="L71" s="191" t="n"/>
    </row>
    <row r="72">
      <c r="C72" s="174" t="inlineStr">
        <is>
          <t>Exit EV / EBITDA multiple</t>
        </is>
      </c>
      <c r="D72" s="192" t="str">
        <f>IFERROR(IF(Control!E14="","",Control!E14),"")</f>
        <v/>
      </c>
      <c r="E72" s="157" t="inlineStr">
        <is>
          <t>Less: Excess cash</t>
        </is>
      </c>
      <c r="H72" s="137">
        <f>IFERROR(-INDEX(Model!$I$130:$BF$130,1,MATCH(Control!$B$7,Model!$I$5:$BF$5,0)),"")</f>
        <v>-10588</v>
      </c>
      <c r="J72" s="162" t="n"/>
      <c r="K72" s="193" t="inlineStr">
        <is>
          <t>Total in-the-$ options:</t>
        </is>
      </c>
      <c r="L72" s="185" t="n"/>
    </row>
    <row r="73">
      <c r="C73" s="174" t="inlineStr">
        <is>
          <t>LTM EBITDA at end of projection</t>
        </is>
      </c>
      <c r="D73" s="188">
        <f>IFERROR(K20,"")</f>
        <v>88334.8955911555</v>
      </c>
      <c r="E73" s="157" t="inlineStr">
        <is>
          <t>Less: Equity investments</t>
        </is>
      </c>
      <c r="H73" s="137">
        <f>IFERROR(-INDEX(Model!$I$147:$BF$147,1,MATCH(Control!$B$7,Model!$I$5:$BF$5,0)),"")</f>
        <v>0</v>
      </c>
      <c r="J73" s="162" t="n"/>
      <c r="K73" s="193" t="inlineStr">
        <is>
          <t>Total $ proceeds:</t>
        </is>
      </c>
      <c r="L73" s="194" t="n"/>
    </row>
    <row r="74">
      <c r="C74" s="174" t="inlineStr">
        <is>
          <t>Terminal value</t>
        </is>
      </c>
      <c r="D74" s="188" t="str">
        <f>IFERROR(IF(OR(D72="",D73=""),"",D73*D72),"")</f>
        <v/>
      </c>
      <c r="E74" s="157" t="inlineStr">
        <is>
          <t>Net debt</t>
        </is>
      </c>
      <c r="H74" s="188">
        <f>IFERROR(SUM(H64:H73),"")</f>
        <v>38511</v>
      </c>
      <c r="J74" s="162" t="n"/>
      <c r="K74" s="193" t="inlineStr">
        <is>
          <t>Total shares repurchased:</t>
        </is>
      </c>
      <c r="L74" s="185" t="n"/>
    </row>
    <row r="75">
      <c r="C75" s="174" t="inlineStr">
        <is>
          <t>Present value of terminal value</t>
        </is>
      </c>
      <c r="D75" s="188" t="str">
        <f>IFERROR(IF(OR(D74="",K54="",K55=""),"",D74*K54*K55),"")</f>
        <v/>
      </c>
      <c r="E75" s="173" t="inlineStr">
        <is>
          <t>Equity value</t>
        </is>
      </c>
      <c r="H75" s="181" t="str">
        <f>IFERROR(IF(H62="","",H62-H74),"")</f>
        <v/>
      </c>
      <c r="J75" s="162" t="n"/>
      <c r="K75" s="195" t="inlineStr">
        <is>
          <t>Basic shares outstanding</t>
        </is>
      </c>
      <c r="L75" s="172" t="n"/>
    </row>
    <row r="76" ht="13.5" customHeight="1">
      <c r="C76" s="174" t="inlineStr">
        <is>
          <t>Enterprise value</t>
        </is>
      </c>
      <c r="D76" s="188" t="str">
        <f>IFERROR(IF(OR(D75="",G57=""),"",G57+D75),"")</f>
        <v/>
      </c>
      <c r="E76" s="157" t="inlineStr">
        <is>
          <t>Shares outstanding</t>
        </is>
      </c>
      <c r="H76" s="188" t="str">
        <f>IFERROR(IF(Control!E5="","",Control!E5),"")</f>
        <v/>
      </c>
      <c r="J76" s="196" t="n"/>
      <c r="K76" s="195" t="inlineStr">
        <is>
          <t>New shares from options:</t>
        </is>
      </c>
      <c r="L76" s="172" t="n"/>
    </row>
    <row r="77" ht="13.5" customHeight="1">
      <c r="C77" s="143" t="n"/>
      <c r="D77" s="197" t="n"/>
      <c r="E77" s="173" t="inlineStr">
        <is>
          <t>Equity value / share</t>
        </is>
      </c>
      <c r="H77" s="198" t="str">
        <f>IFERROR(IF(OR(H75="",H76="",H76=0),"",H75/H76),"")</f>
        <v/>
      </c>
      <c r="K77" s="195" t="inlineStr">
        <is>
          <t>New shares from convert. pref. stock:</t>
        </is>
      </c>
      <c r="L77" s="199" t="n"/>
    </row>
    <row r="78">
      <c r="C78" s="171" t="inlineStr">
        <is>
          <t>Select a terminal value method</t>
        </is>
      </c>
      <c r="D78" s="200" t="n"/>
      <c r="F78" s="160" t="n"/>
      <c r="H78" s="201" t="n"/>
      <c r="K78" s="195" t="inlineStr">
        <is>
          <t>New shares from convertible debt:</t>
        </is>
      </c>
      <c r="L78" s="202" t="n"/>
    </row>
    <row r="79">
      <c r="C79" s="174" t="inlineStr">
        <is>
          <t>Perpetual growth = 1 / Exit multiple = 2</t>
        </is>
      </c>
      <c r="D79" s="203">
        <f>IFERROR(Control!B11,"")</f>
        <v>1</v>
      </c>
      <c r="H79" s="201" t="n"/>
      <c r="K79" s="204" t="inlineStr">
        <is>
          <t>Total Shares Outstanding:</t>
        </is>
      </c>
      <c r="L79" s="205" t="n"/>
    </row>
    <row r="80">
      <c r="C80" s="174" t="inlineStr">
        <is>
          <t>Enterprise value</t>
        </is>
      </c>
      <c r="D80" s="172" t="str">
        <f>IFERROR(IF(D79=1,D69,D76),"")</f>
        <v/>
      </c>
      <c r="H80" s="144" t="n"/>
      <c r="K80" s="204" t="n"/>
      <c r="L80" s="205" t="n"/>
    </row>
    <row r="81">
      <c r="C81" s="206" t="inlineStr">
        <is>
          <t>Terminal value as percent of total value</t>
        </is>
      </c>
      <c r="D81" s="207" t="str">
        <f>IFERROR(IF(D79=1,D68/D69,D75/D76),"")</f>
        <v/>
      </c>
      <c r="E81" s="109" t="n"/>
      <c r="F81" s="109" t="n"/>
      <c r="G81" s="109" t="n"/>
      <c r="H81" s="123" t="n"/>
      <c r="I81" s="109" t="n"/>
      <c r="J81" s="109" t="n"/>
      <c r="K81" s="109" t="n"/>
      <c r="L81" s="123" t="n"/>
    </row>
    <row r="82"/>
    <row r="83" ht="13.5" customHeight="1">
      <c r="C83" s="208" t="inlineStr">
        <is>
          <t>Analysis of WACC</t>
        </is>
      </c>
      <c r="D83" s="209" t="n"/>
      <c r="E83" s="210" t="n"/>
      <c r="F83" s="210" t="n"/>
      <c r="G83" s="208" t="n"/>
      <c r="H83" s="209" t="n"/>
      <c r="I83" s="210" t="n"/>
      <c r="J83" s="210" t="n"/>
      <c r="K83" s="210" t="n"/>
      <c r="L83" s="210" t="n"/>
    </row>
    <row r="84"/>
    <row r="85">
      <c r="C85" s="211" t="inlineStr">
        <is>
          <t>Cost of debt</t>
        </is>
      </c>
      <c r="D85" s="109" t="n"/>
      <c r="F85" s="211" t="inlineStr">
        <is>
          <t>Capital structure</t>
        </is>
      </c>
      <c r="G85" s="211" t="n"/>
      <c r="H85" s="211" t="n"/>
      <c r="I85" s="211" t="n"/>
      <c r="J85" s="211" t="n"/>
    </row>
    <row r="86">
      <c r="C86" s="157" t="inlineStr">
        <is>
          <t>Cost of debt</t>
        </is>
      </c>
      <c r="D86" s="212" t="str">
        <f>IFERROR(IF(Control!E9="","",Control!E9),"")</f>
        <v/>
      </c>
      <c r="G86" s="252" t="inlineStr">
        <is>
          <t>Current capital structure</t>
        </is>
      </c>
      <c r="H86" s="253" t="n"/>
      <c r="I86" s="254" t="inlineStr">
        <is>
          <t>Target capital structure</t>
        </is>
      </c>
      <c r="J86" s="255" t="n"/>
    </row>
    <row r="87">
      <c r="C87" s="157" t="inlineStr">
        <is>
          <t>Marginal tax rate</t>
        </is>
      </c>
      <c r="D87" s="212" t="str">
        <f>IFERROR(IF(Control!E10="","",Control!E10),"")</f>
        <v/>
      </c>
      <c r="F87" s="109" t="n"/>
      <c r="G87" s="182" t="inlineStr">
        <is>
          <t>Market value</t>
        </is>
      </c>
      <c r="H87" s="182" t="inlineStr">
        <is>
          <t>% Weight</t>
        </is>
      </c>
      <c r="I87" s="182" t="inlineStr">
        <is>
          <t>override</t>
        </is>
      </c>
      <c r="J87" s="213" t="inlineStr">
        <is>
          <t>% Weight</t>
        </is>
      </c>
      <c r="K87" s="214" t="n"/>
      <c r="L87" s="215" t="n"/>
    </row>
    <row r="88">
      <c r="C88" s="251" t="inlineStr">
        <is>
          <t>Cost of debt after tax shield</t>
        </is>
      </c>
      <c r="D88" s="216" t="str">
        <f>IFERROR(IF(D86="","",D86*(1-D87)),"")</f>
        <v/>
      </c>
      <c r="F88" s="251" t="inlineStr">
        <is>
          <t>Net debt</t>
        </is>
      </c>
      <c r="G88" s="217">
        <f>IFERROR(H74,"")</f>
        <v>38511</v>
      </c>
      <c r="H88" s="97">
        <f>IFERROR(debt/totalcap,"")</f>
        <v>1</v>
      </c>
      <c r="I88" s="212" t="n"/>
      <c r="J88" s="97">
        <f>IFERROR(IF(I88,I88,H88),"")</f>
        <v>1</v>
      </c>
      <c r="L88" s="218" t="n"/>
    </row>
    <row r="89">
      <c r="F89" s="251" t="inlineStr">
        <is>
          <t>Equity</t>
        </is>
      </c>
      <c r="G89" s="217">
        <f>IFERROR(L63*L79,"")</f>
        <v>0</v>
      </c>
      <c r="H89" s="97">
        <f>IFERROR(1-H88,"")</f>
        <v>0</v>
      </c>
      <c r="J89" s="97">
        <f>IFERROR(1-debt_weight,"")</f>
        <v>0</v>
      </c>
    </row>
    <row r="90">
      <c r="C90" s="211" t="inlineStr">
        <is>
          <t>Cost of equity</t>
        </is>
      </c>
      <c r="D90" s="109" t="n"/>
      <c r="F90" s="251" t="inlineStr">
        <is>
          <t>Total</t>
        </is>
      </c>
      <c r="G90" s="214">
        <f>IFERROR(SUM(G88:G89),"")</f>
        <v>38511</v>
      </c>
    </row>
    <row r="91">
      <c r="C91" s="157" t="inlineStr">
        <is>
          <t>Risk-Free Rate (rf)</t>
        </is>
      </c>
      <c r="D91" s="212" t="str">
        <f>IFERROR(IF(Control!E6="","",Control!E6),"")</f>
        <v/>
      </c>
      <c r="E91" s="195" t="n"/>
    </row>
    <row r="92">
      <c r="C92" s="157" t="inlineStr">
        <is>
          <t>Market Risk Premium (rm-rf)</t>
        </is>
      </c>
      <c r="D92" s="212" t="str">
        <f>IFERROR(IF(Control!E7="","",Control!E7),"")</f>
        <v/>
      </c>
      <c r="F92" s="211" t="inlineStr">
        <is>
          <t>Weighted average cost of capital</t>
        </is>
      </c>
      <c r="G92" s="109" t="n"/>
      <c r="H92" s="109" t="n"/>
      <c r="I92" s="109" t="n"/>
      <c r="J92" s="109" t="n"/>
    </row>
    <row r="93">
      <c r="C93" s="157" t="inlineStr">
        <is>
          <t>Raw (observed) beta</t>
        </is>
      </c>
      <c r="D93" s="219" t="str">
        <f>IFERROR(IF(Control!E8="","",Control!E8),"")</f>
        <v/>
      </c>
      <c r="F93" s="251" t="inlineStr">
        <is>
          <t>Weighted average cost of capital:</t>
        </is>
      </c>
      <c r="J93" s="97" t="str">
        <f>IFERROR(IF(Control!E12="","",Control!E12),"")</f>
        <v/>
      </c>
    </row>
    <row r="94">
      <c r="C94" s="157" t="inlineStr">
        <is>
          <t>Cost of equity using relevered industry beta</t>
        </is>
      </c>
      <c r="D94" s="216" t="str">
        <f>IFERROR(IF(COUNT(D91:D93)&lt;3,"",D91+D93*D92),"")</f>
        <v/>
      </c>
      <c r="E94" s="102" t="n"/>
    </row>
    <row r="95">
      <c r="C95" s="157" t="n"/>
      <c r="D95" s="216" t="n"/>
      <c r="E95" s="102" t="n"/>
      <c r="G95" s="214" t="n"/>
    </row>
    <row r="96">
      <c r="C96" s="211" t="inlineStr">
        <is>
          <t>Industry beta calculation</t>
        </is>
      </c>
      <c r="D96" s="109" t="n"/>
      <c r="E96" s="109" t="n"/>
      <c r="F96" s="109" t="n"/>
      <c r="G96" s="109" t="n"/>
      <c r="H96" s="109" t="n"/>
      <c r="I96" s="109" t="n"/>
      <c r="J96" s="109" t="n"/>
      <c r="K96" s="109" t="n"/>
      <c r="L96" s="109" t="n"/>
      <c r="M96" s="109" t="n"/>
    </row>
    <row r="97" ht="25.5" customHeight="1">
      <c r="C97" s="220" t="inlineStr">
        <is>
          <t xml:space="preserve">Comps </t>
        </is>
      </c>
      <c r="D97" s="221" t="inlineStr">
        <is>
          <t>Raw beta</t>
        </is>
      </c>
      <c r="E97" s="221" t="inlineStr">
        <is>
          <t>Share price</t>
        </is>
      </c>
      <c r="F97" s="221" t="inlineStr">
        <is>
          <t>Shares</t>
        </is>
      </c>
      <c r="G97" s="221" t="inlineStr">
        <is>
          <t>Market cap.</t>
        </is>
      </c>
      <c r="H97" s="221" t="inlineStr">
        <is>
          <t>Debt</t>
        </is>
      </c>
      <c r="I97" s="221" t="inlineStr">
        <is>
          <t>D / E</t>
        </is>
      </c>
      <c r="J97" s="221" t="inlineStr">
        <is>
          <t>Tax rate</t>
        </is>
      </c>
      <c r="K97" s="221" t="inlineStr">
        <is>
          <t>Unl. Beta</t>
        </is>
      </c>
      <c r="L97" s="221" t="n"/>
      <c r="M97" s="221" t="n"/>
    </row>
    <row r="98">
      <c r="C98" s="251" t="str">
        <f>IFERROR(ticker,"")</f>
        <v>XOM</v>
      </c>
      <c r="D98" s="222" t="n"/>
      <c r="E98" s="223" t="n"/>
      <c r="F98" s="141" t="n"/>
      <c r="G98" s="141" t="n"/>
      <c r="H98" s="141" t="n"/>
      <c r="I98" s="224" t="n"/>
      <c r="J98" s="224" t="n"/>
      <c r="K98" s="222" t="n"/>
      <c r="L98" s="225" t="n"/>
    </row>
    <row r="99">
      <c r="C99" s="226" t="inlineStr">
        <is>
          <t>TICKER 2</t>
        </is>
      </c>
      <c r="D99" s="219" t="n"/>
      <c r="E99" s="227" t="n"/>
      <c r="F99" s="228" t="n"/>
      <c r="G99" s="141" t="n"/>
      <c r="H99" s="228" t="n"/>
      <c r="I99" s="224" t="n"/>
      <c r="J99" s="229" t="n"/>
      <c r="K99" s="222" t="n"/>
      <c r="L99" s="225" t="n"/>
    </row>
    <row r="100">
      <c r="C100" s="226" t="inlineStr">
        <is>
          <t>TICKER 3</t>
        </is>
      </c>
      <c r="D100" s="219" t="n"/>
      <c r="E100" s="227" t="n"/>
      <c r="F100" s="228" t="n"/>
      <c r="G100" s="141" t="n"/>
      <c r="H100" s="228" t="n"/>
      <c r="I100" s="224" t="n"/>
      <c r="J100" s="229" t="n"/>
      <c r="K100" s="222" t="n"/>
      <c r="L100" s="225" t="n"/>
    </row>
    <row r="101">
      <c r="C101" s="230" t="inlineStr">
        <is>
          <t>TICKER 4</t>
        </is>
      </c>
      <c r="D101" s="231" t="n"/>
      <c r="E101" s="232" t="n"/>
      <c r="F101" s="233" t="n"/>
      <c r="G101" s="127" t="n"/>
      <c r="H101" s="233" t="n"/>
      <c r="I101" s="234" t="n"/>
      <c r="J101" s="235" t="n"/>
      <c r="K101" s="236" t="n"/>
      <c r="L101" s="225" t="n"/>
      <c r="M101" s="237" t="n"/>
    </row>
    <row r="102">
      <c r="D102" s="222" t="n"/>
      <c r="E102" s="204" t="n"/>
      <c r="F102" s="161" t="n"/>
      <c r="G102" s="141" t="n"/>
      <c r="I102" s="222" t="n"/>
      <c r="J102" s="237" t="n"/>
      <c r="K102" s="238" t="n"/>
      <c r="L102" s="238" t="n"/>
      <c r="M102" s="238" t="n"/>
    </row>
  </sheetData>
  <mergeCells count="4">
    <mergeCell ref="G14:V14"/>
    <mergeCell ref="G86:H86"/>
    <mergeCell ref="I86:J86"/>
    <mergeCell ref="G15:V15"/>
  </mergeCells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F33"/>
  <sheetViews>
    <sheetView showGridLines="0" zoomScaleNormal="100" workbookViewId="0">
      <pane ySplit="1" topLeftCell="A2" activePane="bottomLeft" state="frozen"/>
      <selection pane="bottomLeft" activeCell="B3" sqref="B3:B12"/>
    </sheetView>
  </sheetViews>
  <sheetFormatPr baseColWidth="8" defaultColWidth="9.7109375" defaultRowHeight="12.75"/>
  <cols>
    <col width="43.140625" customWidth="1" min="1" max="1"/>
    <col width="27.28515625" customWidth="1" min="2" max="2"/>
    <col width="18.140625" customWidth="1" min="3" max="3"/>
    <col width="34" customWidth="1" min="4" max="4"/>
    <col width="18.140625" customWidth="1" min="5" max="6"/>
  </cols>
  <sheetData>
    <row r="1" ht="18" customHeight="1">
      <c r="A1" s="239" t="inlineStr">
        <is>
          <t>CONTROL &amp; ASSUMPTIONS – BASE MODEL</t>
        </is>
      </c>
      <c r="B1" s="239" t="n"/>
      <c r="C1" s="239" t="n"/>
      <c r="D1" s="239" t="n"/>
      <c r="E1" s="239" t="n"/>
      <c r="F1" s="239" t="n"/>
    </row>
    <row r="3" ht="14.25" customHeight="1">
      <c r="A3" t="inlineStr">
        <is>
          <t>Company</t>
        </is>
      </c>
      <c r="B3" s="240" t="inlineStr">
        <is>
          <t>Exxon Mobil Corporation</t>
        </is>
      </c>
      <c r="D3" s="241" t="inlineStr">
        <is>
          <t>Valuation assumptions</t>
        </is>
      </c>
      <c r="E3" s="241" t="n"/>
      <c r="F3" s="241" t="n"/>
    </row>
    <row r="4" ht="14.25" customHeight="1">
      <c r="A4" t="inlineStr">
        <is>
          <t>Ticker</t>
        </is>
      </c>
      <c r="B4" s="240" t="inlineStr">
        <is>
          <t>XOM</t>
        </is>
      </c>
      <c r="D4" t="inlineStr">
        <is>
          <t>Last close (US$/share)</t>
        </is>
      </c>
      <c r="E4" s="242" t="n"/>
    </row>
    <row r="5" ht="14.25" customHeight="1">
      <c r="A5" t="inlineStr">
        <is>
          <t>Currency</t>
        </is>
      </c>
      <c r="B5" s="240" t="inlineStr">
        <is>
          <t>USD</t>
        </is>
      </c>
      <c r="D5" t="inlineStr">
        <is>
          <t>Shares outstanding (mm)</t>
        </is>
      </c>
      <c r="E5" s="243" t="n"/>
    </row>
    <row r="6" ht="14.25" customHeight="1">
      <c r="A6" t="inlineStr">
        <is>
          <t>Model unit</t>
        </is>
      </c>
      <c r="B6" s="240" t="inlineStr">
        <is>
          <t>US$ milhões</t>
        </is>
      </c>
      <c r="D6" t="inlineStr">
        <is>
          <t>Risk-free rate</t>
        </is>
      </c>
      <c r="E6" s="244" t="n"/>
    </row>
    <row r="7" ht="14.25" customHeight="1">
      <c r="A7" t="inlineStr">
        <is>
          <t>Last actual period</t>
        </is>
      </c>
      <c r="B7" s="274" t="n">
        <v>46203</v>
      </c>
      <c r="D7" t="inlineStr">
        <is>
          <t>Market risk premium</t>
        </is>
      </c>
      <c r="E7" s="244" t="n"/>
    </row>
    <row r="8" ht="14.25" customHeight="1">
      <c r="A8" t="inlineStr">
        <is>
          <t>Quarterly forecast through</t>
        </is>
      </c>
      <c r="B8" s="245" t="n">
        <v>47118</v>
      </c>
      <c r="D8" t="inlineStr">
        <is>
          <t>Beta</t>
        </is>
      </c>
      <c r="E8" s="246" t="n"/>
    </row>
    <row r="9" ht="15" customHeight="1">
      <c r="A9" t="inlineStr">
        <is>
          <t>Forecast end</t>
        </is>
      </c>
      <c r="B9" s="245" t="n">
        <v>47848</v>
      </c>
      <c r="D9" t="inlineStr">
        <is>
          <t>Pre-tax cost of debt</t>
        </is>
      </c>
      <c r="E9" s="247" t="str">
        <f>IFERROR(-Model!AG60/AVERAGE(Model!AB78,Model!AG78),"")</f>
        <v/>
      </c>
    </row>
    <row r="10" ht="14.25" customHeight="1">
      <c r="A10" t="inlineStr">
        <is>
          <t>Scenario (1 Bull / 2 Base / 3 Bear)</t>
        </is>
      </c>
      <c r="B10" s="240" t="n">
        <v>2</v>
      </c>
      <c r="D10" t="inlineStr">
        <is>
          <t>Marginal tax rate</t>
        </is>
      </c>
      <c r="E10" s="244" t="n"/>
    </row>
    <row r="11" ht="14.25" customHeight="1">
      <c r="A11" t="inlineStr">
        <is>
          <t>Terminal method (1 Perpetuity / 2 Exit)</t>
        </is>
      </c>
      <c r="B11" s="240" t="n">
        <v>1</v>
      </c>
      <c r="D11" t="inlineStr">
        <is>
          <t>Target debt weight</t>
        </is>
      </c>
      <c r="E11" s="244" t="n"/>
    </row>
    <row r="12" ht="15" customHeight="1">
      <c r="A12" t="inlineStr">
        <is>
          <t>Valuation date</t>
        </is>
      </c>
      <c r="B12" s="245" t="n"/>
      <c r="D12" t="inlineStr">
        <is>
          <t>WACC</t>
        </is>
      </c>
      <c r="E12" s="247" t="str">
        <f>IF(COUNT(E6:E11)&lt;6,"",E11*E9*(1-E10)+(1-E11)*(E6+E8*E7))</f>
        <v/>
      </c>
    </row>
    <row r="13" ht="15" customHeight="1">
      <c r="A13" t="inlineStr">
        <is>
          <t>Stub year fraction</t>
        </is>
      </c>
      <c r="B13" s="247">
        <f>IFERROR((DATE(YEAR(B12),12,31)-B12)/365,"")</f>
        <v>0.00273972602739726</v>
      </c>
      <c r="D13" t="inlineStr">
        <is>
          <t>Terminal growth</t>
        </is>
      </c>
      <c r="E13" s="244" t="n"/>
    </row>
    <row r="14" ht="14.25" customHeight="1">
      <c r="D14" t="inlineStr">
        <is>
          <t>Exit EV/EBITDA</t>
        </is>
      </c>
      <c r="E14" s="248" t="n"/>
    </row>
    <row r="15" ht="14.25" customHeight="1">
      <c r="D15" t="inlineStr">
        <is>
          <t>Dividend payout</t>
        </is>
      </c>
      <c r="E15" s="244" t="n"/>
    </row>
    <row r="17" ht="14.25" customHeight="1">
      <c r="A17" s="241" t="inlineStr">
        <is>
          <t>Forecast drivers</t>
        </is>
      </c>
      <c r="B17" s="241" t="inlineStr">
        <is>
          <t>2026E</t>
        </is>
      </c>
      <c r="C17" s="241" t="inlineStr">
        <is>
          <t>2027E</t>
        </is>
      </c>
      <c r="D17" s="241" t="inlineStr">
        <is>
          <t>2028E</t>
        </is>
      </c>
      <c r="E17" s="241" t="inlineStr">
        <is>
          <t>2029E</t>
        </is>
      </c>
      <c r="F17" s="241" t="inlineStr">
        <is>
          <t>2030E</t>
        </is>
      </c>
    </row>
    <row r="18" ht="15" customHeight="1">
      <c r="A18" t="inlineStr">
        <is>
          <t>Revenue growth</t>
        </is>
      </c>
      <c r="B18" s="247">
        <f>IFERROR(AVERAGE(Model!AC16:AF16,Model!AH16:AI16),"")</f>
        <v>0.0430204035491719</v>
      </c>
      <c r="C18" s="247">
        <f>IF(B18="","",B18)</f>
        <v>0.0430204035491719</v>
      </c>
      <c r="D18" s="247">
        <f>IF(C18="","",MAX(0,C18-0.5%))</f>
        <v>0.0380204035491719</v>
      </c>
      <c r="E18" s="247">
        <f>IF(D18="","",MAX(0,D18-0.5%))</f>
        <v>0.0330204035491719</v>
      </c>
      <c r="F18" s="247">
        <f>IF(E18="","",MAX(0,E18-0.5%))</f>
        <v>0.0280204035491719</v>
      </c>
    </row>
    <row r="19" ht="15" customHeight="1">
      <c r="A19" t="inlineStr">
        <is>
          <t>Gross margin</t>
        </is>
      </c>
      <c r="B19" s="247">
        <f>IFERROR(AVERAGE(Model!AC41:AF41,Model!AH41:AI41),"")</f>
        <v>0.431535931598317</v>
      </c>
      <c r="C19" s="247">
        <f>IF(B19="","",B19)</f>
        <v>0.431535931598317</v>
      </c>
      <c r="D19" s="247">
        <f>IF(C19="","",C19)</f>
        <v>0.431535931598317</v>
      </c>
      <c r="E19" s="247">
        <f>IF(D19="","",D19)</f>
        <v>0.431535931598317</v>
      </c>
      <c r="F19" s="247">
        <f>IF(E19="","",E19)</f>
        <v>0.431535931598317</v>
      </c>
    </row>
    <row r="20" ht="15" customHeight="1">
      <c r="A20" t="inlineStr">
        <is>
          <t>SG&amp;A / Revenue</t>
        </is>
      </c>
      <c r="B20" s="247">
        <f>IFERROR(AVERAGE(Model!AC45:AF45,Model!AH45:AI45),"")</f>
        <v>0.227186755172527</v>
      </c>
      <c r="C20" s="247">
        <f>IF(B20="","",B20)</f>
        <v>0.227186755172527</v>
      </c>
      <c r="D20" s="247">
        <f>IF(C20="","",C20)</f>
        <v>0.227186755172527</v>
      </c>
      <c r="E20" s="247">
        <f>IF(D20="","",D20)</f>
        <v>0.227186755172527</v>
      </c>
      <c r="F20" s="247">
        <f>IF(E20="","",E20)</f>
        <v>0.227186755172527</v>
      </c>
    </row>
    <row r="21" ht="15" customHeight="1">
      <c r="A21" t="inlineStr">
        <is>
          <t>D&amp;A / Revenue</t>
        </is>
      </c>
      <c r="B21" s="247">
        <f>IFERROR(AVERAGE(Model!AC57:AF57,Model!AH57:AI57),"")</f>
        <v>0.0779193069124192</v>
      </c>
      <c r="C21" s="247">
        <f>IF(B21="","",B21)</f>
        <v>0.0779193069124192</v>
      </c>
      <c r="D21" s="247">
        <f>IF(C21="","",C21)</f>
        <v>0.0779193069124192</v>
      </c>
      <c r="E21" s="247">
        <f>IF(D21="","",D21)</f>
        <v>0.0779193069124192</v>
      </c>
      <c r="F21" s="247">
        <f>IF(E21="","",E21)</f>
        <v>0.0779193069124192</v>
      </c>
    </row>
    <row r="22" ht="15" customHeight="1">
      <c r="A22" t="inlineStr">
        <is>
          <t>Effective tax rate</t>
        </is>
      </c>
      <c r="B22" s="247">
        <f>IFERROR(AVERAGE(Model!AC118:AF118,Model!AH118:AI118),"")</f>
        <v>0.27983724363508</v>
      </c>
      <c r="C22" s="247">
        <f>IF(B22="","",B22)</f>
        <v>0.27983724363508</v>
      </c>
      <c r="D22" s="247">
        <f>IF(C22="","",C22)</f>
        <v>0.27983724363508</v>
      </c>
      <c r="E22" s="247">
        <f>IF(D22="","",D22)</f>
        <v>0.27983724363508</v>
      </c>
      <c r="F22" s="247">
        <f>IF(E22="","",E22)</f>
        <v>0.27983724363508</v>
      </c>
    </row>
    <row r="23" ht="15" customHeight="1">
      <c r="A23" t="inlineStr">
        <is>
          <t>Financial income / Revenue</t>
        </is>
      </c>
      <c r="B23" s="247">
        <f>IFERROR(AVERAGE(Model!AC109:AF109,Model!AH109:AI109)/AVERAGE(Model!AC15:AF15,Model!AH15:AI15),"")</f>
        <v>0</v>
      </c>
      <c r="C23" s="247">
        <f>IF(B23="","",B23)</f>
        <v>0</v>
      </c>
      <c r="D23" s="247">
        <f>IF(C23="","",C23)</f>
        <v>0</v>
      </c>
      <c r="E23" s="247">
        <f>IF(D23="","",D23)</f>
        <v>0</v>
      </c>
      <c r="F23" s="247">
        <f>IF(E23="","",E23)</f>
        <v>0</v>
      </c>
    </row>
    <row r="24" ht="15" customHeight="1">
      <c r="A24" t="inlineStr">
        <is>
          <t>Capex / Revenue</t>
        </is>
      </c>
      <c r="B24" s="247">
        <f>IFERROR(-AVERAGE(Model!AC281:AF281,Model!AH281:AI281)/AVERAGE(Model!AC15:AF15,Model!AH15:AI15),"")</f>
        <v>0.0814277652687606</v>
      </c>
      <c r="C24" s="247">
        <f>IF(B24="","",B24)</f>
        <v>0.0814277652687606</v>
      </c>
      <c r="D24" s="247">
        <f>IF(C24="","",C24)</f>
        <v>0.0814277652687606</v>
      </c>
      <c r="E24" s="247">
        <f>IF(D24="","",D24)</f>
        <v>0.0814277652687606</v>
      </c>
      <c r="F24" s="247">
        <f>IF(E24="","",E24)</f>
        <v>0.0814277652687606</v>
      </c>
    </row>
    <row r="25" ht="15" customHeight="1">
      <c r="A25" t="inlineStr">
        <is>
          <t>DSO</t>
        </is>
      </c>
      <c r="B25" s="249">
        <f>IFERROR(AVERAGE(Model!AC132:AF132,Model!AH132:AI132),0)</f>
        <v>51.37588219855</v>
      </c>
      <c r="C25" s="249">
        <f>IF(B25="","",B25)</f>
        <v>51.37588219855</v>
      </c>
      <c r="D25" s="249">
        <f>IF(C25="","",C25)</f>
        <v>51.37588219855</v>
      </c>
      <c r="E25" s="249">
        <f>IF(D25="","",D25)</f>
        <v>51.37588219855</v>
      </c>
      <c r="F25" s="249">
        <f>IF(E25="","",E25)</f>
        <v>51.37588219855</v>
      </c>
    </row>
    <row r="26" ht="15" customHeight="1">
      <c r="A26" t="inlineStr">
        <is>
          <t>DIO</t>
        </is>
      </c>
      <c r="B26" s="249">
        <f>IFERROR(AVERAGE(Model!AC136:AF136,Model!AH136:AI136),0)</f>
        <v>0</v>
      </c>
      <c r="C26" s="249">
        <f>IF(B26="","",B26)</f>
        <v>0</v>
      </c>
      <c r="D26" s="249">
        <f>IF(C26="","",C26)</f>
        <v>0</v>
      </c>
      <c r="E26" s="249">
        <f>IF(D26="","",D26)</f>
        <v>0</v>
      </c>
      <c r="F26" s="249">
        <f>IF(E26="","",E26)</f>
        <v>0</v>
      </c>
    </row>
    <row r="27" ht="15" customHeight="1">
      <c r="A27" t="inlineStr">
        <is>
          <t>DPO</t>
        </is>
      </c>
      <c r="B27" s="249">
        <f>IFERROR(AVERAGE(Model!AC185:AF185,Model!AH185:AI185),0)</f>
        <v>121.528743443221</v>
      </c>
      <c r="C27" s="249">
        <f>IF(B27="","",B27)</f>
        <v>121.528743443221</v>
      </c>
      <c r="D27" s="249">
        <f>IF(C27="","",C27)</f>
        <v>121.528743443221</v>
      </c>
      <c r="E27" s="249">
        <f>IF(D27="","",D27)</f>
        <v>121.528743443221</v>
      </c>
      <c r="F27" s="249">
        <f>IF(E27="","",E27)</f>
        <v>121.528743443221</v>
      </c>
    </row>
    <row r="29">
      <c r="A29" t="inlineStr">
        <is>
          <t>Model status</t>
        </is>
      </c>
    </row>
    <row r="30">
      <c r="A30" t="inlineStr">
        <is>
          <t>Source</t>
        </is>
      </c>
      <c r="B30" t="inlineStr">
        <is>
          <t>Exxon Mobil Corporation (XOM, CIK 34088) - fonte: SEC EDGAR XBRL (instâncias dos 10-Q/10-K). Moeda: USD. Brutos em USD unidades (fator 0,000001 -&gt; milhões). Colunas = trimestres-CALENDÁRIO (cada fechamento vai para o fim de trimestre mais próximo); a</t>
        </is>
      </c>
    </row>
    <row r="31">
      <c r="A31" t="inlineStr">
        <is>
          <t>Unit flow</t>
        </is>
      </c>
      <c r="B31" t="inlineStr">
        <is>
          <t>US$ mil na Inputs → US$ milhões via Inputs (2)</t>
        </is>
      </c>
    </row>
    <row r="32">
      <c r="A32" t="inlineStr">
        <is>
          <t>Historical coverage</t>
        </is>
      </c>
      <c r="B32" t="str">
        <f>IF(B7="","","1Q21–"&amp;ROUNDUP(MONTH(B7)/3,0)&amp;"Q"&amp;RIGHT(YEAR(B7),2))</f>
        <v>1Q21–2Q26</v>
      </c>
    </row>
    <row r="33">
      <c r="A33" t="inlineStr">
        <is>
          <t>Valuation readiness</t>
        </is>
      </c>
      <c r="B33" t="str">
        <f>IF(OR(B3="",B4=""),"PENDING COMPANY SETUP",IF(OR(E4="",E5="",E12=""),"PENDING MARKET INPUTS","READY"))</f>
        <v>PENDING MARKET INPUTS</v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2026-09-23T00:39:42Z</dcterms:created>
  <dcterms:modified xmlns:dcterms="http://purl.org/dc/terms/" xmlns:xsi="http://www.w3.org/2001/XMLSchema-instance" xsi:type="dcterms:W3CDTF">2026-10-16T15:38:03Z</dcterms:modified>
  <cp:lastModifiedBy>Lucas Nascimento</cp:lastModifiedBy>
  <cp:revision>0</cp:revision>
</cp:coreProperties>
</file>