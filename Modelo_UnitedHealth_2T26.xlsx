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b val="1"/>
      <color theme="1"/>
      <sz val="10"/>
    </font>
    <font>
      <name val="Verdana"/>
      <b val="1"/>
      <sz val="10"/>
    </font>
  </fonts>
  <fills count="15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9" borderId="0" applyAlignment="1" pivotButton="0" quotePrefix="0" xfId="0">
      <alignment horizontal="left" vertical="bottom"/>
    </xf>
    <xf numFmtId="0" fontId="24" fillId="7" borderId="0" applyAlignment="1" pivotButton="0" quotePrefix="0" xfId="0">
      <alignment horizontal="general" vertical="bottom"/>
    </xf>
    <xf numFmtId="3" fontId="24" fillId="7" borderId="0" applyAlignment="1" pivotButton="0" quotePrefix="0" xfId="0">
      <alignment horizontal="center" vertical="bottom"/>
    </xf>
    <xf numFmtId="3" fontId="24" fillId="0" borderId="0" applyAlignment="1" pivotButton="0" quotePrefix="0" xfId="0">
      <alignment horizontal="center" vertical="bottom"/>
    </xf>
    <xf numFmtId="0" fontId="25" fillId="7" borderId="0" applyAlignment="1" pivotButton="0" quotePrefix="0" xfId="0">
      <alignment horizontal="general" vertical="bottom"/>
    </xf>
    <xf numFmtId="171" fontId="24" fillId="7" borderId="0" applyAlignment="1" pivotButton="0" quotePrefix="0" xfId="0">
      <alignment horizontal="center" vertical="bottom"/>
    </xf>
    <xf numFmtId="171" fontId="24" fillId="0" borderId="0" applyAlignment="1" pivotButton="0" quotePrefix="0" xfId="0">
      <alignment horizontal="center" vertical="bottom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3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70196000</v>
      </c>
      <c r="E5" s="265" t="n">
        <v>71321000</v>
      </c>
      <c r="F5" s="265" t="n">
        <v>72337000</v>
      </c>
      <c r="G5" s="265" t="n">
        <v>73743000</v>
      </c>
      <c r="I5" s="265" t="n">
        <v>80149000</v>
      </c>
      <c r="J5" s="265" t="n">
        <v>80332000</v>
      </c>
      <c r="K5" s="265" t="n">
        <v>80894000</v>
      </c>
      <c r="L5" s="265" t="n">
        <v>82787000</v>
      </c>
      <c r="N5" s="265" t="n">
        <v>91931000</v>
      </c>
      <c r="O5" s="265" t="n">
        <v>92903000</v>
      </c>
      <c r="P5" s="265" t="n">
        <v>92361000</v>
      </c>
      <c r="Q5" s="265" t="n">
        <v>94427000</v>
      </c>
      <c r="S5" s="265" t="n">
        <v>99796000</v>
      </c>
      <c r="T5" s="265" t="n">
        <v>98855000</v>
      </c>
      <c r="U5" s="265" t="n">
        <v>100820000</v>
      </c>
      <c r="V5" s="265" t="n">
        <v>100807000</v>
      </c>
      <c r="X5" s="265" t="n">
        <v>109575000</v>
      </c>
      <c r="Y5" s="265" t="n">
        <v>111616000</v>
      </c>
      <c r="Z5" s="265" t="n">
        <v>113161000</v>
      </c>
      <c r="AA5" s="265" t="n">
        <v>113215000</v>
      </c>
      <c r="AC5" s="265" t="n">
        <v>111721000</v>
      </c>
      <c r="AD5" s="265" t="n">
        <v>112032000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7572000</v>
      </c>
      <c r="E6" s="265" t="n">
        <v>7660000</v>
      </c>
      <c r="F6" s="265" t="n">
        <v>7802000</v>
      </c>
      <c r="G6" s="265" t="n">
        <v>8000000</v>
      </c>
      <c r="I6" s="265" t="n">
        <v>8487000</v>
      </c>
      <c r="J6" s="265" t="n">
        <v>8596000</v>
      </c>
      <c r="K6" s="265" t="n">
        <v>8306000</v>
      </c>
      <c r="L6" s="265" t="n">
        <v>8314000</v>
      </c>
      <c r="N6" s="265" t="n">
        <v>9405000</v>
      </c>
      <c r="O6" s="265" t="n">
        <v>9748000</v>
      </c>
      <c r="P6" s="265" t="n">
        <v>9423000</v>
      </c>
      <c r="Q6" s="265" t="n">
        <v>10194000</v>
      </c>
      <c r="S6" s="265" t="n">
        <v>11056000</v>
      </c>
      <c r="T6" s="265" t="n">
        <v>11340000</v>
      </c>
      <c r="U6" s="265" t="n">
        <v>11834000</v>
      </c>
      <c r="V6" s="265" t="n">
        <v>12464000</v>
      </c>
      <c r="X6" s="265" t="n">
        <v>12390000</v>
      </c>
      <c r="Y6" s="265" t="n">
        <v>13019000</v>
      </c>
      <c r="Z6" s="265" t="n">
        <v>12566000</v>
      </c>
      <c r="AA6" s="265" t="n">
        <v>12680000</v>
      </c>
      <c r="AC6" s="265" t="n">
        <v>12823000</v>
      </c>
      <c r="AD6" s="265" t="n">
        <v>13375000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-7572000</v>
      </c>
      <c r="E7" s="265">
        <f>IF(E6="","",-1*E6)</f>
        <v>-7660000</v>
      </c>
      <c r="F7" s="265">
        <f>IF(F6="","",-1*F6)</f>
        <v>-7802000</v>
      </c>
      <c r="G7" s="265">
        <f>IF(G6="","",-1*G6)</f>
        <v>-8000000</v>
      </c>
      <c r="I7" s="265">
        <f>IF(I6="","",-1*I6)</f>
        <v>-8487000</v>
      </c>
      <c r="J7" s="265">
        <f>IF(J6="","",-1*J6)</f>
        <v>-8596000</v>
      </c>
      <c r="K7" s="265">
        <f>IF(K6="","",-1*K6)</f>
        <v>-8306000</v>
      </c>
      <c r="L7" s="265">
        <f>IF(L6="","",-1*L6)</f>
        <v>-8314000</v>
      </c>
      <c r="N7" s="265">
        <f>IF(N6="","",-1*N6)</f>
        <v>-9405000</v>
      </c>
      <c r="O7" s="265">
        <f>IF(O6="","",-1*O6)</f>
        <v>-9748000</v>
      </c>
      <c r="P7" s="265">
        <f>IF(P6="","",-1*P6)</f>
        <v>-9423000</v>
      </c>
      <c r="Q7" s="265">
        <f>IF(Q6="","",-1*Q6)</f>
        <v>-10194000</v>
      </c>
      <c r="S7" s="265">
        <f>IF(S6="","",-1*S6)</f>
        <v>-11056000</v>
      </c>
      <c r="T7" s="265">
        <f>IF(T6="","",-1*T6)</f>
        <v>-11340000</v>
      </c>
      <c r="U7" s="265">
        <f>IF(U6="","",-1*U6)</f>
        <v>-11834000</v>
      </c>
      <c r="V7" s="265">
        <f>IF(V6="","",-1*V6)</f>
        <v>-12464000</v>
      </c>
      <c r="X7" s="265">
        <f>IF(X6="","",-1*X6)</f>
        <v>-12390000</v>
      </c>
      <c r="Y7" s="265">
        <f>IF(Y6="","",-1*Y6)</f>
        <v>-13019000</v>
      </c>
      <c r="Z7" s="265">
        <f>IF(Z6="","",-1*Z6)</f>
        <v>-12566000</v>
      </c>
      <c r="AA7" s="265">
        <f>IF(AA6="","",-1*AA6)</f>
        <v>-12680000</v>
      </c>
      <c r="AC7" s="265">
        <f>IF(AC6="","",-1*AC6)</f>
        <v>-12823000</v>
      </c>
      <c r="AD7" s="265">
        <f>IF(AD6="","",-1*AD6)</f>
        <v>-13375000</v>
      </c>
    </row>
    <row r="8">
      <c r="A8" t="inlineStr">
        <is>
          <t>Lucro operacional [us-gaap:OperatingIncomeLoss] · memoria · unid. moeda</t>
        </is>
      </c>
      <c r="C8" t="inlineStr">
        <is>
          <t>[linha bruta, sem código; lançada nas linhas abaixo]</t>
        </is>
      </c>
      <c r="D8" s="265" t="n">
        <v>6739000</v>
      </c>
      <c r="E8" s="265" t="n">
        <v>5978000</v>
      </c>
      <c r="F8" s="265" t="n">
        <v>5712000</v>
      </c>
      <c r="G8" s="265" t="n">
        <v>5541000</v>
      </c>
      <c r="I8" s="265" t="n">
        <v>6950000</v>
      </c>
      <c r="J8" s="265" t="n">
        <v>7132000</v>
      </c>
      <c r="K8" s="265" t="n">
        <v>7462000</v>
      </c>
      <c r="L8" s="265" t="n">
        <v>6891000</v>
      </c>
      <c r="N8" s="265" t="n">
        <v>8086000</v>
      </c>
      <c r="O8" s="265" t="n">
        <v>8057000</v>
      </c>
      <c r="P8" s="265" t="n">
        <v>8526000</v>
      </c>
      <c r="Q8" s="265" t="n">
        <v>7689000</v>
      </c>
      <c r="S8" s="265" t="n">
        <v>7931000</v>
      </c>
      <c r="T8" s="265" t="n">
        <v>7875000</v>
      </c>
      <c r="U8" s="265" t="n">
        <v>8708000</v>
      </c>
      <c r="V8" s="265" t="n">
        <v>7773000</v>
      </c>
      <c r="X8" s="265" t="n">
        <v>9119000</v>
      </c>
      <c r="Y8" s="265" t="n">
        <v>5150000</v>
      </c>
      <c r="Z8" s="265" t="n">
        <v>4315000</v>
      </c>
      <c r="AA8" s="265" t="n">
        <v>380000</v>
      </c>
      <c r="AC8" s="265" t="n">
        <v>8990000</v>
      </c>
      <c r="AD8" s="265" t="n">
        <v>7991000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55885000</v>
      </c>
      <c r="E9" s="265">
        <f>N(E5)-N(E6)-N(E8)</f>
        <v>57683000</v>
      </c>
      <c r="F9" s="265">
        <f>N(F5)-N(F6)-N(F8)</f>
        <v>58823000</v>
      </c>
      <c r="G9" s="265">
        <f>N(G5)-N(G6)-N(G8)</f>
        <v>60202000</v>
      </c>
      <c r="I9" s="265">
        <f>N(I5)-N(I6)-N(I8)</f>
        <v>64712000</v>
      </c>
      <c r="J9" s="265">
        <f>N(J5)-N(J6)-N(J8)</f>
        <v>64604000</v>
      </c>
      <c r="K9" s="265">
        <f>N(K5)-N(K6)-N(K8)</f>
        <v>65126000</v>
      </c>
      <c r="L9" s="265">
        <f>N(L5)-N(L6)-N(L8)</f>
        <v>67582000</v>
      </c>
      <c r="N9" s="265">
        <f>N(N5)-N(N6)-N(N8)</f>
        <v>74440000</v>
      </c>
      <c r="O9" s="265">
        <f>N(O5)-N(O6)-N(O8)</f>
        <v>75098000</v>
      </c>
      <c r="P9" s="265">
        <f>N(P5)-N(P6)-N(P8)</f>
        <v>74412000</v>
      </c>
      <c r="Q9" s="265">
        <f>N(Q5)-N(Q6)-N(Q8)</f>
        <v>76544000</v>
      </c>
      <c r="S9" s="265">
        <f>N(S5)-N(S6)-N(S8)</f>
        <v>80809000</v>
      </c>
      <c r="T9" s="265">
        <f>N(T5)-N(T6)-N(T8)</f>
        <v>79640000</v>
      </c>
      <c r="U9" s="265">
        <f>N(U5)-N(U6)-N(U8)</f>
        <v>80278000</v>
      </c>
      <c r="V9" s="265">
        <f>N(V5)-N(V6)-N(V8)</f>
        <v>80570000</v>
      </c>
      <c r="X9" s="265">
        <f>N(X5)-N(X6)-N(X8)</f>
        <v>88066000</v>
      </c>
      <c r="Y9" s="265">
        <f>N(Y5)-N(Y6)-N(Y8)</f>
        <v>93447000</v>
      </c>
      <c r="Z9" s="265">
        <f>N(Z5)-N(Z6)-N(Z8)</f>
        <v>96280000</v>
      </c>
      <c r="AA9" s="265">
        <f>N(AA5)-N(AA6)-N(AA8)</f>
        <v>100155000</v>
      </c>
      <c r="AC9" s="265">
        <f>N(AC5)-N(AC6)-N(AC8)</f>
        <v>89908000</v>
      </c>
      <c r="AD9" s="265">
        <f>N(AD5)-N(AD6)-N(AD8)</f>
        <v>90666000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-55885000</v>
      </c>
      <c r="E10" s="265">
        <f>IF(E9="","",-1*E9)</f>
        <v>-57683000</v>
      </c>
      <c r="F10" s="265">
        <f>IF(F9="","",-1*F9)</f>
        <v>-58823000</v>
      </c>
      <c r="G10" s="265">
        <f>IF(G9="","",-1*G9)</f>
        <v>-60202000</v>
      </c>
      <c r="I10" s="265">
        <f>IF(I9="","",-1*I9)</f>
        <v>-64712000</v>
      </c>
      <c r="J10" s="265">
        <f>IF(J9="","",-1*J9)</f>
        <v>-64604000</v>
      </c>
      <c r="K10" s="265">
        <f>IF(K9="","",-1*K9)</f>
        <v>-65126000</v>
      </c>
      <c r="L10" s="265">
        <f>IF(L9="","",-1*L9)</f>
        <v>-67582000</v>
      </c>
      <c r="N10" s="265">
        <f>IF(N9="","",-1*N9)</f>
        <v>-74440000</v>
      </c>
      <c r="O10" s="265">
        <f>IF(O9="","",-1*O9)</f>
        <v>-75098000</v>
      </c>
      <c r="P10" s="265">
        <f>IF(P9="","",-1*P9)</f>
        <v>-74412000</v>
      </c>
      <c r="Q10" s="265">
        <f>IF(Q9="","",-1*Q9)</f>
        <v>-76544000</v>
      </c>
      <c r="S10" s="265">
        <f>IF(S9="","",-1*S9)</f>
        <v>-80809000</v>
      </c>
      <c r="T10" s="265">
        <f>IF(T9="","",-1*T9)</f>
        <v>-79640000</v>
      </c>
      <c r="U10" s="265">
        <f>IF(U9="","",-1*U9)</f>
        <v>-80278000</v>
      </c>
      <c r="V10" s="265">
        <f>IF(V9="","",-1*V9)</f>
        <v>-80570000</v>
      </c>
      <c r="X10" s="265">
        <f>IF(X9="","",-1*X9)</f>
        <v>-88066000</v>
      </c>
      <c r="Y10" s="265">
        <f>IF(Y9="","",-1*Y9)</f>
        <v>-93447000</v>
      </c>
      <c r="Z10" s="265">
        <f>IF(Z9="","",-1*Z9)</f>
        <v>-96280000</v>
      </c>
      <c r="AA10" s="265">
        <f>IF(AA9="","",-1*AA9)</f>
        <v>-100155000</v>
      </c>
      <c r="AC10" s="265">
        <f>IF(AC9="","",-1*AC9)</f>
        <v>-89908000</v>
      </c>
      <c r="AD10" s="265">
        <f>IF(AD9="","",-1*AD9)</f>
        <v>-90666000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6342000</v>
      </c>
      <c r="E11" s="265" t="n">
        <v>5568000</v>
      </c>
      <c r="F11" s="265" t="n">
        <v>5290000</v>
      </c>
      <c r="G11" s="265" t="n">
        <v>5110000</v>
      </c>
      <c r="I11" s="265" t="n">
        <v>6517000</v>
      </c>
      <c r="J11" s="265" t="n">
        <v>6665000</v>
      </c>
      <c r="K11" s="265" t="n">
        <v>6946000</v>
      </c>
      <c r="L11" s="265" t="n">
        <v>6215000</v>
      </c>
      <c r="N11" s="265" t="n">
        <v>7332000</v>
      </c>
      <c r="O11" s="265" t="n">
        <v>7229000</v>
      </c>
      <c r="P11" s="265" t="n">
        <v>7692000</v>
      </c>
      <c r="Q11" s="265" t="n">
        <v>6859000</v>
      </c>
      <c r="S11" s="265" t="n">
        <v>1000</v>
      </c>
      <c r="T11" s="265" t="n">
        <v>5665000</v>
      </c>
      <c r="U11" s="265" t="n">
        <v>7614000</v>
      </c>
      <c r="V11" s="265" t="n">
        <v>6791000</v>
      </c>
      <c r="X11" s="265" t="n">
        <v>8106000</v>
      </c>
      <c r="Y11" s="265" t="n">
        <v>4082000</v>
      </c>
      <c r="Z11" s="265" t="n">
        <v>3229000</v>
      </c>
      <c r="AA11" s="265" t="n">
        <v>-720000</v>
      </c>
      <c r="AC11" s="265" t="n">
        <v>7963000</v>
      </c>
      <c r="AD11" s="265" t="n">
        <v>6968000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-397000</v>
      </c>
      <c r="E12" s="265">
        <f>N(E11)-N(E8)</f>
        <v>-410000</v>
      </c>
      <c r="F12" s="265">
        <f>N(F11)-N(F8)</f>
        <v>-422000</v>
      </c>
      <c r="G12" s="265">
        <f>N(G11)-N(G8)</f>
        <v>-431000</v>
      </c>
      <c r="I12" s="265">
        <f>N(I11)-N(I8)</f>
        <v>-433000</v>
      </c>
      <c r="J12" s="265">
        <f>N(J11)-N(J8)</f>
        <v>-467000</v>
      </c>
      <c r="K12" s="265">
        <f>N(K11)-N(K8)</f>
        <v>-516000</v>
      </c>
      <c r="L12" s="265">
        <f>N(L11)-N(L8)</f>
        <v>-676000</v>
      </c>
      <c r="N12" s="265">
        <f>N(N11)-N(N8)</f>
        <v>-754000</v>
      </c>
      <c r="O12" s="265">
        <f>N(O11)-N(O8)</f>
        <v>-828000</v>
      </c>
      <c r="P12" s="265">
        <f>N(P11)-N(P8)</f>
        <v>-834000</v>
      </c>
      <c r="Q12" s="265">
        <f>N(Q11)-N(Q8)</f>
        <v>-830000</v>
      </c>
      <c r="S12" s="265">
        <f>N(S11)-N(S8)</f>
        <v>-7930000</v>
      </c>
      <c r="T12" s="265">
        <f>N(T11)-N(T8)</f>
        <v>-2210000</v>
      </c>
      <c r="U12" s="265">
        <f>N(U11)-N(U8)</f>
        <v>-1094000</v>
      </c>
      <c r="V12" s="265">
        <f>N(V11)-N(V8)</f>
        <v>-982000</v>
      </c>
      <c r="X12" s="265">
        <f>N(X11)-N(X8)</f>
        <v>-1013000</v>
      </c>
      <c r="Y12" s="265">
        <f>N(Y11)-N(Y8)</f>
        <v>-1068000</v>
      </c>
      <c r="Z12" s="265">
        <f>N(Z11)-N(Z8)</f>
        <v>-1086000</v>
      </c>
      <c r="AA12" s="265">
        <f>N(AA11)-N(AA8)</f>
        <v>-1100000</v>
      </c>
      <c r="AC12" s="265">
        <f>N(AC11)-N(AC8)</f>
        <v>-1027000</v>
      </c>
      <c r="AD12" s="265">
        <f>N(AD11)-N(AD8)</f>
        <v>-1023000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397000</v>
      </c>
      <c r="E13" s="265" t="n">
        <v>410000</v>
      </c>
      <c r="F13" s="265" t="n">
        <v>422000</v>
      </c>
      <c r="G13" s="265" t="n">
        <v>431000</v>
      </c>
      <c r="I13" s="265" t="n">
        <v>433000</v>
      </c>
      <c r="J13" s="265" t="n">
        <v>467000</v>
      </c>
      <c r="K13" s="265" t="n">
        <v>516000</v>
      </c>
      <c r="L13" s="265" t="n">
        <v>676000</v>
      </c>
      <c r="N13" s="265" t="n">
        <v>754000</v>
      </c>
      <c r="O13" s="265" t="n">
        <v>828000</v>
      </c>
      <c r="P13" s="265" t="n">
        <v>834000</v>
      </c>
      <c r="Q13" s="265" t="n">
        <v>830000</v>
      </c>
      <c r="S13" s="265" t="n">
        <v>844000</v>
      </c>
      <c r="T13" s="265" t="n">
        <v>985000</v>
      </c>
      <c r="U13" s="265" t="n">
        <v>1074000</v>
      </c>
      <c r="V13" s="265" t="n">
        <v>1003000</v>
      </c>
      <c r="X13" s="265" t="n">
        <v>998000</v>
      </c>
      <c r="Y13" s="265" t="n">
        <v>1027000</v>
      </c>
      <c r="Z13" s="265" t="n">
        <v>1003000</v>
      </c>
      <c r="AA13" s="265" t="n">
        <v>974000</v>
      </c>
      <c r="AC13" s="265" t="n">
        <v>955000</v>
      </c>
      <c r="AD13" s="265" t="n">
        <v>962000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-397000</v>
      </c>
      <c r="E14" s="265">
        <f>IF(E13="","",-1*E13)</f>
        <v>-410000</v>
      </c>
      <c r="F14" s="265">
        <f>IF(F13="","",-1*F13)</f>
        <v>-422000</v>
      </c>
      <c r="G14" s="265">
        <f>IF(G13="","",-1*G13)</f>
        <v>-431000</v>
      </c>
      <c r="I14" s="265">
        <f>IF(I13="","",-1*I13)</f>
        <v>-433000</v>
      </c>
      <c r="J14" s="265">
        <f>IF(J13="","",-1*J13)</f>
        <v>-467000</v>
      </c>
      <c r="K14" s="265">
        <f>IF(K13="","",-1*K13)</f>
        <v>-516000</v>
      </c>
      <c r="L14" s="265">
        <f>IF(L13="","",-1*L13)</f>
        <v>-676000</v>
      </c>
      <c r="N14" s="265">
        <f>IF(N13="","",-1*N13)</f>
        <v>-754000</v>
      </c>
      <c r="O14" s="265">
        <f>IF(O13="","",-1*O13)</f>
        <v>-828000</v>
      </c>
      <c r="P14" s="265">
        <f>IF(P13="","",-1*P13)</f>
        <v>-834000</v>
      </c>
      <c r="Q14" s="265">
        <f>IF(Q13="","",-1*Q13)</f>
        <v>-830000</v>
      </c>
      <c r="S14" s="265">
        <f>IF(S13="","",-1*S13)</f>
        <v>-844000</v>
      </c>
      <c r="T14" s="265">
        <f>IF(T13="","",-1*T13)</f>
        <v>-985000</v>
      </c>
      <c r="U14" s="265">
        <f>IF(U13="","",-1*U13)</f>
        <v>-1074000</v>
      </c>
      <c r="V14" s="265">
        <f>IF(V13="","",-1*V13)</f>
        <v>-1003000</v>
      </c>
      <c r="X14" s="265">
        <f>IF(X13="","",-1*X13)</f>
        <v>-998000</v>
      </c>
      <c r="Y14" s="265">
        <f>IF(Y13="","",-1*Y13)</f>
        <v>-1027000</v>
      </c>
      <c r="Z14" s="265">
        <f>IF(Z13="","",-1*Z13)</f>
        <v>-1003000</v>
      </c>
      <c r="AA14" s="265">
        <f>IF(AA13="","",-1*AA13)</f>
        <v>-974000</v>
      </c>
      <c r="AC14" s="265">
        <f>IF(AC13="","",-1*AC13)</f>
        <v>-955000</v>
      </c>
      <c r="AD14" s="265">
        <f>IF(AD13="","",-1*AD13)</f>
        <v>-962000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397000</v>
      </c>
      <c r="E15" s="265">
        <f>IF(E13="","",E13)</f>
        <v>410000</v>
      </c>
      <c r="F15" s="265">
        <f>IF(F13="","",F13)</f>
        <v>422000</v>
      </c>
      <c r="G15" s="265">
        <f>IF(G13="","",G13)</f>
        <v>431000</v>
      </c>
      <c r="I15" s="265">
        <f>IF(I13="","",I13)</f>
        <v>433000</v>
      </c>
      <c r="J15" s="265">
        <f>IF(J13="","",J13)</f>
        <v>467000</v>
      </c>
      <c r="K15" s="265">
        <f>IF(K13="","",K13)</f>
        <v>516000</v>
      </c>
      <c r="L15" s="265">
        <f>IF(L13="","",L13)</f>
        <v>676000</v>
      </c>
      <c r="N15" s="265">
        <f>IF(N13="","",N13)</f>
        <v>754000</v>
      </c>
      <c r="O15" s="265">
        <f>IF(O13="","",O13)</f>
        <v>828000</v>
      </c>
      <c r="P15" s="265">
        <f>IF(P13="","",P13)</f>
        <v>834000</v>
      </c>
      <c r="Q15" s="265">
        <f>IF(Q13="","",Q13)</f>
        <v>830000</v>
      </c>
      <c r="S15" s="265">
        <f>IF(S13="","",S13)</f>
        <v>844000</v>
      </c>
      <c r="T15" s="265">
        <f>IF(T13="","",T13)</f>
        <v>985000</v>
      </c>
      <c r="U15" s="265">
        <f>IF(U13="","",U13)</f>
        <v>1074000</v>
      </c>
      <c r="V15" s="265">
        <f>IF(V13="","",V13)</f>
        <v>1003000</v>
      </c>
      <c r="X15" s="265">
        <f>IF(X13="","",X13)</f>
        <v>998000</v>
      </c>
      <c r="Y15" s="265">
        <f>IF(Y13="","",Y13)</f>
        <v>1027000</v>
      </c>
      <c r="Z15" s="265">
        <f>IF(Z13="","",Z13)</f>
        <v>1003000</v>
      </c>
      <c r="AA15" s="265">
        <f>IF(AA13="","",AA13)</f>
        <v>974000</v>
      </c>
      <c r="AC15" s="265">
        <f>IF(AC13="","",AC13)</f>
        <v>955000</v>
      </c>
      <c r="AD15" s="265">
        <f>IF(AD13="","",AD13)</f>
        <v>962000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1364000</v>
      </c>
      <c r="E16" s="265" t="n">
        <v>1196000</v>
      </c>
      <c r="F16" s="265" t="n">
        <v>1099000</v>
      </c>
      <c r="G16" s="265" t="n">
        <v>919000</v>
      </c>
      <c r="I16" s="265" t="n">
        <v>1369000</v>
      </c>
      <c r="J16" s="265" t="n">
        <v>1466000</v>
      </c>
      <c r="K16" s="265" t="n">
        <v>1562000</v>
      </c>
      <c r="L16" s="265" t="n">
        <v>1307000</v>
      </c>
      <c r="N16" s="265" t="n">
        <v>1558000</v>
      </c>
      <c r="O16" s="265" t="n">
        <v>1572000</v>
      </c>
      <c r="P16" s="265" t="n">
        <v>1654000</v>
      </c>
      <c r="Q16" s="265" t="n">
        <v>1184000</v>
      </c>
      <c r="S16" s="265" t="n">
        <v>1222000</v>
      </c>
      <c r="T16" s="265" t="n">
        <v>1244000</v>
      </c>
      <c r="U16" s="265" t="n">
        <v>1356000</v>
      </c>
      <c r="V16" s="265" t="n">
        <v>1007000</v>
      </c>
      <c r="X16" s="265" t="n">
        <v>1632000</v>
      </c>
      <c r="Y16" s="265" t="n">
        <v>510000</v>
      </c>
      <c r="Z16" s="265" t="n">
        <v>686000</v>
      </c>
      <c r="AA16" s="265" t="n">
        <v>-938000</v>
      </c>
      <c r="AC16" s="265" t="n">
        <v>1482000</v>
      </c>
      <c r="AD16" s="265" t="n">
        <v>1298000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-1364000</v>
      </c>
      <c r="E17" s="265">
        <f>IF(E16="","",-1*E16)</f>
        <v>-1196000</v>
      </c>
      <c r="F17" s="265">
        <f>IF(F16="","",-1*F16)</f>
        <v>-1099000</v>
      </c>
      <c r="G17" s="265">
        <f>IF(G16="","",-1*G16)</f>
        <v>-919000</v>
      </c>
      <c r="I17" s="265">
        <f>IF(I16="","",-1*I16)</f>
        <v>-1369000</v>
      </c>
      <c r="J17" s="265">
        <f>IF(J16="","",-1*J16)</f>
        <v>-1466000</v>
      </c>
      <c r="K17" s="265">
        <f>IF(K16="","",-1*K16)</f>
        <v>-1562000</v>
      </c>
      <c r="L17" s="265">
        <f>IF(L16="","",-1*L16)</f>
        <v>-1307000</v>
      </c>
      <c r="N17" s="265">
        <f>IF(N16="","",-1*N16)</f>
        <v>-1558000</v>
      </c>
      <c r="O17" s="265">
        <f>IF(O16="","",-1*O16)</f>
        <v>-1572000</v>
      </c>
      <c r="P17" s="265">
        <f>IF(P16="","",-1*P16)</f>
        <v>-1654000</v>
      </c>
      <c r="Q17" s="265">
        <f>IF(Q16="","",-1*Q16)</f>
        <v>-1184000</v>
      </c>
      <c r="S17" s="265">
        <f>IF(S16="","",-1*S16)</f>
        <v>-1222000</v>
      </c>
      <c r="T17" s="265">
        <f>IF(T16="","",-1*T16)</f>
        <v>-1244000</v>
      </c>
      <c r="U17" s="265">
        <f>IF(U16="","",-1*U16)</f>
        <v>-1356000</v>
      </c>
      <c r="V17" s="265">
        <f>IF(V16="","",-1*V16)</f>
        <v>-1007000</v>
      </c>
      <c r="X17" s="265">
        <f>IF(X16="","",-1*X16)</f>
        <v>-1632000</v>
      </c>
      <c r="Y17" s="265">
        <f>IF(Y16="","",-1*Y16)</f>
        <v>-510000</v>
      </c>
      <c r="Z17" s="265">
        <f>IF(Z16="","",-1*Z16)</f>
        <v>-686000</v>
      </c>
      <c r="AA17" s="265">
        <f>IF(AA16="","",-1*AA16)</f>
        <v>938000</v>
      </c>
      <c r="AC17" s="265">
        <f>IF(AC16="","",-1*AC16)</f>
        <v>-1482000</v>
      </c>
      <c r="AD17" s="265">
        <f>IF(AD16="","",-1*AD16)</f>
        <v>-1298000</v>
      </c>
    </row>
    <row r="18">
      <c r="A18" t="inlineStr">
        <is>
          <t>Lucro atribuído a não controladores (divulgado positivo) [us-gaap:NetIncomeLossAttributableToNoncontrollingInterest] · fonte · unid. moeda</t>
        </is>
      </c>
      <c r="C18" t="inlineStr">
        <is>
          <t>[linha bruta, sem código; lançada nas linhas abaixo]</t>
        </is>
      </c>
      <c r="D18" s="265" t="n">
        <v>116000</v>
      </c>
      <c r="E18" s="265" t="n">
        <v>106000</v>
      </c>
      <c r="F18" s="265" t="n">
        <v>105000</v>
      </c>
      <c r="G18" s="265" t="n">
        <v>120000</v>
      </c>
      <c r="I18" s="265" t="n">
        <v>121000</v>
      </c>
      <c r="J18" s="265" t="n">
        <v>129000</v>
      </c>
      <c r="K18" s="265" t="n">
        <v>122000</v>
      </c>
      <c r="L18" s="265" t="n">
        <v>147000</v>
      </c>
      <c r="N18" s="265" t="n">
        <v>163000</v>
      </c>
      <c r="O18" s="265" t="n">
        <v>183000</v>
      </c>
      <c r="P18" s="265" t="n">
        <v>197000</v>
      </c>
      <c r="Q18" s="265" t="n">
        <v>220000</v>
      </c>
      <c r="S18" s="265" t="n">
        <v>188000</v>
      </c>
      <c r="T18" s="265" t="n">
        <v>205000</v>
      </c>
      <c r="U18" s="265" t="n">
        <v>203000</v>
      </c>
      <c r="V18" s="265" t="n">
        <v>241000</v>
      </c>
      <c r="X18" s="265" t="n">
        <v>182000</v>
      </c>
      <c r="Y18" s="265" t="n">
        <v>166000</v>
      </c>
      <c r="Z18" s="265" t="n">
        <v>195000</v>
      </c>
      <c r="AA18" s="265" t="n">
        <v>208000</v>
      </c>
      <c r="AC18" s="265" t="n">
        <v>201000</v>
      </c>
      <c r="AD18" s="265" t="n">
        <v>186000</v>
      </c>
    </row>
    <row r="19">
      <c r="A19" t="inlineStr">
        <is>
          <t>(lançamento) código 9, sinal -1 sobre a linha bruta 18: Lucro atribuído a não controladores (divulgado positivo) [us-gaap:NetIncomeLossAttributabl</t>
        </is>
      </c>
      <c r="B19" t="n">
        <v>9</v>
      </c>
      <c r="C19" t="inlineStr">
        <is>
          <t>Minority Interest Expense, after tax (enter as - )</t>
        </is>
      </c>
      <c r="D19" s="265">
        <f>IF(D18="","",-1*D18)</f>
        <v>-116000</v>
      </c>
      <c r="E19" s="265">
        <f>IF(E18="","",-1*E18)</f>
        <v>-106000</v>
      </c>
      <c r="F19" s="265">
        <f>IF(F18="","",-1*F18)</f>
        <v>-105000</v>
      </c>
      <c r="G19" s="265">
        <f>IF(G18="","",-1*G18)</f>
        <v>-120000</v>
      </c>
      <c r="I19" s="265">
        <f>IF(I18="","",-1*I18)</f>
        <v>-121000</v>
      </c>
      <c r="J19" s="265">
        <f>IF(J18="","",-1*J18)</f>
        <v>-129000</v>
      </c>
      <c r="K19" s="265">
        <f>IF(K18="","",-1*K18)</f>
        <v>-122000</v>
      </c>
      <c r="L19" s="265">
        <f>IF(L18="","",-1*L18)</f>
        <v>-147000</v>
      </c>
      <c r="N19" s="265">
        <f>IF(N18="","",-1*N18)</f>
        <v>-163000</v>
      </c>
      <c r="O19" s="265">
        <f>IF(O18="","",-1*O18)</f>
        <v>-183000</v>
      </c>
      <c r="P19" s="265">
        <f>IF(P18="","",-1*P18)</f>
        <v>-197000</v>
      </c>
      <c r="Q19" s="265">
        <f>IF(Q18="","",-1*Q18)</f>
        <v>-220000</v>
      </c>
      <c r="S19" s="265">
        <f>IF(S18="","",-1*S18)</f>
        <v>-188000</v>
      </c>
      <c r="T19" s="265">
        <f>IF(T18="","",-1*T18)</f>
        <v>-205000</v>
      </c>
      <c r="U19" s="265">
        <f>IF(U18="","",-1*U18)</f>
        <v>-203000</v>
      </c>
      <c r="V19" s="265">
        <f>IF(V18="","",-1*V18)</f>
        <v>-241000</v>
      </c>
      <c r="X19" s="265">
        <f>IF(X18="","",-1*X18)</f>
        <v>-182000</v>
      </c>
      <c r="Y19" s="265">
        <f>IF(Y18="","",-1*Y18)</f>
        <v>-166000</v>
      </c>
      <c r="Z19" s="265">
        <f>IF(Z18="","",-1*Z18)</f>
        <v>-195000</v>
      </c>
      <c r="AA19" s="265">
        <f>IF(AA18="","",-1*AA18)</f>
        <v>-208000</v>
      </c>
      <c r="AC19" s="265">
        <f>IF(AC18="","",-1*AC18)</f>
        <v>-201000</v>
      </c>
      <c r="AD19" s="265">
        <f>IF(AD18="","",-1*AD18)</f>
        <v>-186000</v>
      </c>
    </row>
    <row r="20">
      <c r="A20" t="inlineStr">
        <is>
          <t>Lucro líquido atribuído à companhia [us-gaap:NetIncomeLoss] · memoria · unid. moeda</t>
        </is>
      </c>
      <c r="C20" t="inlineStr">
        <is>
          <t>[linha bruta, sem código; lançada nas linhas abaixo]</t>
        </is>
      </c>
      <c r="D20" s="265" t="n">
        <v>4862000</v>
      </c>
      <c r="E20" s="265" t="n">
        <v>4266000</v>
      </c>
      <c r="F20" s="265" t="n">
        <v>4086000</v>
      </c>
      <c r="G20" s="265" t="n">
        <v>4071000</v>
      </c>
      <c r="I20" s="265" t="n">
        <v>5027000</v>
      </c>
      <c r="J20" s="265" t="n">
        <v>5070000</v>
      </c>
      <c r="K20" s="265" t="n">
        <v>5262000</v>
      </c>
      <c r="L20" s="265" t="n">
        <v>4761000</v>
      </c>
      <c r="N20" s="265" t="n">
        <v>5611000</v>
      </c>
      <c r="O20" s="265" t="n">
        <v>5474000</v>
      </c>
      <c r="P20" s="265" t="n">
        <v>5841000</v>
      </c>
      <c r="Q20" s="265" t="n">
        <v>5455000</v>
      </c>
      <c r="S20" s="265" t="n">
        <v>-1409000</v>
      </c>
      <c r="T20" s="265" t="n">
        <v>4216000</v>
      </c>
      <c r="U20" s="265" t="n">
        <v>6055000</v>
      </c>
      <c r="V20" s="265" t="n">
        <v>5543000</v>
      </c>
      <c r="X20" s="265" t="n">
        <v>6292000</v>
      </c>
      <c r="Y20" s="265" t="n">
        <v>3406000</v>
      </c>
      <c r="Z20" s="265" t="n">
        <v>2348000</v>
      </c>
      <c r="AA20" s="265" t="n">
        <v>10000</v>
      </c>
      <c r="AC20" s="265" t="n">
        <v>6280000</v>
      </c>
      <c r="AD20" s="265" t="n">
        <v>5484000</v>
      </c>
    </row>
    <row r="21">
      <c r="A21" t="inlineStr">
        <is>
          <t>Resultado após IR não classificado acima (equivalência patrimonial, operações descontinuadas): lucro - (LAIR - IR - minoritários); zero quando não há · derivada · unid. moeda</t>
        </is>
      </c>
      <c r="B21" t="n">
        <v>8</v>
      </c>
      <c r="C21" t="inlineStr">
        <is>
          <t>Equity in Income of Affiliates, after tax (enter as +)</t>
        </is>
      </c>
      <c r="D21" s="265">
        <f>N(D20)-(N(D11)-N(D16)-N(D18))</f>
        <v>0</v>
      </c>
      <c r="E21" s="265">
        <f>N(E20)-(N(E11)-N(E16)-N(E18))</f>
        <v>0</v>
      </c>
      <c r="F21" s="265">
        <f>N(F20)-(N(F11)-N(F16)-N(F18))</f>
        <v>0</v>
      </c>
      <c r="G21" s="265">
        <f>N(G20)-(N(G11)-N(G16)-N(G18))</f>
        <v>0</v>
      </c>
      <c r="I21" s="265">
        <f>N(I20)-(N(I11)-N(I16)-N(I18))</f>
        <v>0</v>
      </c>
      <c r="J21" s="265">
        <f>N(J20)-(N(J11)-N(J16)-N(J18))</f>
        <v>0</v>
      </c>
      <c r="K21" s="265">
        <f>N(K20)-(N(K11)-N(K16)-N(K18))</f>
        <v>0</v>
      </c>
      <c r="L21" s="265">
        <f>N(L20)-(N(L11)-N(L16)-N(L18))</f>
        <v>0</v>
      </c>
      <c r="N21" s="265">
        <f>N(N20)-(N(N11)-N(N16)-N(N18))</f>
        <v>0</v>
      </c>
      <c r="O21" s="265">
        <f>N(O20)-(N(O11)-N(O16)-N(O18))</f>
        <v>0</v>
      </c>
      <c r="P21" s="265">
        <f>N(P20)-(N(P11)-N(P16)-N(P18))</f>
        <v>0</v>
      </c>
      <c r="Q21" s="265">
        <f>N(Q20)-(N(Q11)-N(Q16)-N(Q18))</f>
        <v>0</v>
      </c>
      <c r="S21" s="265">
        <f>N(S20)-(N(S11)-N(S16)-N(S18))</f>
        <v>0</v>
      </c>
      <c r="T21" s="265">
        <f>N(T20)-(N(T11)-N(T16)-N(T18))</f>
        <v>0</v>
      </c>
      <c r="U21" s="265">
        <f>N(U20)-(N(U11)-N(U16)-N(U18))</f>
        <v>0</v>
      </c>
      <c r="V21" s="265">
        <f>N(V20)-(N(V11)-N(V16)-N(V18))</f>
        <v>0</v>
      </c>
      <c r="X21" s="265">
        <f>N(X20)-(N(X11)-N(X16)-N(X18))</f>
        <v>0</v>
      </c>
      <c r="Y21" s="265">
        <f>N(Y20)-(N(Y11)-N(Y16)-N(Y18))</f>
        <v>0</v>
      </c>
      <c r="Z21" s="265">
        <f>N(Z20)-(N(Z11)-N(Z16)-N(Z18))</f>
        <v>0</v>
      </c>
      <c r="AA21" s="265">
        <f>N(AA20)-(N(AA11)-N(AA16)-N(AA18))</f>
        <v>0</v>
      </c>
      <c r="AC21" s="265">
        <f>N(AC20)-(N(AC11)-N(AC16)-N(AC18))</f>
        <v>0</v>
      </c>
      <c r="AD21" s="265">
        <f>N(AD20)-(N(AD11)-N(AD16)-N(AD18))</f>
        <v>0</v>
      </c>
    </row>
    <row r="22">
      <c r="A22" t="inlineStr">
        <is>
          <t>Lucro líquido (check IS, código 44) · derivada · unid. moeda</t>
        </is>
      </c>
      <c r="B22" t="n">
        <v>44</v>
      </c>
      <c r="C22" t="inlineStr">
        <is>
          <t>Lucro líquido (check IS, código 44)</t>
        </is>
      </c>
      <c r="D22" s="265">
        <f>N(D20)</f>
        <v>4862000</v>
      </c>
      <c r="E22" s="265">
        <f>N(E20)</f>
        <v>4266000</v>
      </c>
      <c r="F22" s="265">
        <f>N(F20)</f>
        <v>4086000</v>
      </c>
      <c r="G22" s="265">
        <f>N(G20)</f>
        <v>4071000</v>
      </c>
      <c r="I22" s="265">
        <f>N(I20)</f>
        <v>5027000</v>
      </c>
      <c r="J22" s="265">
        <f>N(J20)</f>
        <v>5070000</v>
      </c>
      <c r="K22" s="265">
        <f>N(K20)</f>
        <v>5262000</v>
      </c>
      <c r="L22" s="265">
        <f>N(L20)</f>
        <v>4761000</v>
      </c>
      <c r="N22" s="265">
        <f>N(N20)</f>
        <v>5611000</v>
      </c>
      <c r="O22" s="265">
        <f>N(O20)</f>
        <v>5474000</v>
      </c>
      <c r="P22" s="265">
        <f>N(P20)</f>
        <v>5841000</v>
      </c>
      <c r="Q22" s="265">
        <f>N(Q20)</f>
        <v>5455000</v>
      </c>
      <c r="S22" s="265">
        <f>N(S20)</f>
        <v>-1409000</v>
      </c>
      <c r="T22" s="265">
        <f>N(T20)</f>
        <v>4216000</v>
      </c>
      <c r="U22" s="265">
        <f>N(U20)</f>
        <v>6055000</v>
      </c>
      <c r="V22" s="265">
        <f>N(V20)</f>
        <v>5543000</v>
      </c>
      <c r="X22" s="265">
        <f>N(X20)</f>
        <v>6292000</v>
      </c>
      <c r="Y22" s="265">
        <f>N(Y20)</f>
        <v>3406000</v>
      </c>
      <c r="Z22" s="265">
        <f>N(Z20)</f>
        <v>2348000</v>
      </c>
      <c r="AA22" s="265">
        <f>N(AA20)</f>
        <v>10000</v>
      </c>
      <c r="AC22" s="265">
        <f>N(AC20)</f>
        <v>6280000</v>
      </c>
      <c r="AD22" s="265">
        <f>N(AD20)</f>
        <v>5484000</v>
      </c>
    </row>
    <row r="23">
      <c r="A23" t="inlineStr">
        <is>
          <t>DFC - trimestre isolado (desacumulado na extração)</t>
        </is>
      </c>
      <c r="C23" t="inlineStr">
        <is>
          <t>[linha bruta, sem código; lançada nas linhas abaixo]</t>
        </is>
      </c>
      <c r="D23" s="265" t="n"/>
      <c r="E23" s="265" t="n"/>
      <c r="F23" s="265" t="n"/>
      <c r="G23" s="265" t="n"/>
      <c r="I23" s="265" t="n"/>
      <c r="J23" s="265" t="n"/>
      <c r="K23" s="265" t="n"/>
      <c r="L23" s="265" t="n"/>
      <c r="N23" s="265" t="n"/>
      <c r="O23" s="265" t="n"/>
      <c r="P23" s="265" t="n"/>
      <c r="Q23" s="265" t="n"/>
      <c r="S23" s="265" t="n"/>
      <c r="T23" s="265" t="n"/>
      <c r="U23" s="265" t="n"/>
      <c r="V23" s="265" t="n"/>
      <c r="X23" s="265" t="n"/>
      <c r="Y23" s="265" t="n"/>
      <c r="Z23" s="265" t="n"/>
      <c r="AA23" s="265" t="n"/>
      <c r="AC23" s="265" t="n"/>
      <c r="AD23" s="265" t="n"/>
    </row>
    <row r="24">
      <c r="A2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 · fonte · unid. moeda</t>
        </is>
      </c>
      <c r="C24" t="inlineStr">
        <is>
          <t>[linha bruta, sem código; lançada nas linhas abaixo]</t>
        </is>
      </c>
      <c r="D24" s="265" t="n">
        <v>758000</v>
      </c>
      <c r="E24" s="265" t="n">
        <v>778000</v>
      </c>
      <c r="F24" s="265" t="n">
        <v>796000</v>
      </c>
      <c r="G24" s="265" t="n">
        <v>771000</v>
      </c>
      <c r="I24" s="265" t="n">
        <v>788000</v>
      </c>
      <c r="J24" s="265" t="n">
        <v>802000</v>
      </c>
      <c r="K24" s="265" t="n">
        <v>828000</v>
      </c>
      <c r="L24" s="265" t="n">
        <v>982000</v>
      </c>
      <c r="N24" s="265" t="n">
        <v>970000</v>
      </c>
      <c r="O24" s="265" t="n">
        <v>1021000</v>
      </c>
      <c r="P24" s="265" t="n">
        <v>1007000</v>
      </c>
      <c r="Q24" s="265" t="n">
        <v>974000</v>
      </c>
      <c r="S24" s="265" t="n">
        <v>997000</v>
      </c>
      <c r="T24" s="265" t="n">
        <v>1020000</v>
      </c>
      <c r="U24" s="265" t="n">
        <v>1041000</v>
      </c>
      <c r="V24" s="265" t="n">
        <v>1041000</v>
      </c>
      <c r="X24" s="265" t="n">
        <v>1061000</v>
      </c>
      <c r="Y24" s="265" t="n">
        <v>1084000</v>
      </c>
      <c r="Z24" s="265" t="n">
        <v>1099000</v>
      </c>
      <c r="AA24" s="265" t="n">
        <v>1117000</v>
      </c>
      <c r="AC24" s="265" t="n">
        <v>1029000</v>
      </c>
      <c r="AD24" s="265" t="n">
        <v>1040000</v>
      </c>
    </row>
    <row r="25">
      <c r="A25" t="inlineStr">
        <is>
          <t>(lançamento) código 4, sinal -1 sobre a linha bruta 24: D&amp;A (fluxo de caixa). COD1=4 lança (positivo -&gt; -1); COD2=3 devolve às despesas operaciona</t>
        </is>
      </c>
      <c r="B25" t="n">
        <v>4</v>
      </c>
      <c r="C25" t="inlineStr">
        <is>
          <t>D&amp;A</t>
        </is>
      </c>
      <c r="D25" s="265">
        <f>IF(D24="","",-1*D24)</f>
        <v>-758000</v>
      </c>
      <c r="E25" s="265">
        <f>IF(E24="","",-1*E24)</f>
        <v>-778000</v>
      </c>
      <c r="F25" s="265">
        <f>IF(F24="","",-1*F24)</f>
        <v>-796000</v>
      </c>
      <c r="G25" s="265">
        <f>IF(G24="","",-1*G24)</f>
        <v>-771000</v>
      </c>
      <c r="I25" s="265">
        <f>IF(I24="","",-1*I24)</f>
        <v>-788000</v>
      </c>
      <c r="J25" s="265">
        <f>IF(J24="","",-1*J24)</f>
        <v>-802000</v>
      </c>
      <c r="K25" s="265">
        <f>IF(K24="","",-1*K24)</f>
        <v>-828000</v>
      </c>
      <c r="L25" s="265">
        <f>IF(L24="","",-1*L24)</f>
        <v>-982000</v>
      </c>
      <c r="N25" s="265">
        <f>IF(N24="","",-1*N24)</f>
        <v>-970000</v>
      </c>
      <c r="O25" s="265">
        <f>IF(O24="","",-1*O24)</f>
        <v>-1021000</v>
      </c>
      <c r="P25" s="265">
        <f>IF(P24="","",-1*P24)</f>
        <v>-1007000</v>
      </c>
      <c r="Q25" s="265">
        <f>IF(Q24="","",-1*Q24)</f>
        <v>-974000</v>
      </c>
      <c r="S25" s="265">
        <f>IF(S24="","",-1*S24)</f>
        <v>-997000</v>
      </c>
      <c r="T25" s="265">
        <f>IF(T24="","",-1*T24)</f>
        <v>-1020000</v>
      </c>
      <c r="U25" s="265">
        <f>IF(U24="","",-1*U24)</f>
        <v>-1041000</v>
      </c>
      <c r="V25" s="265">
        <f>IF(V24="","",-1*V24)</f>
        <v>-1041000</v>
      </c>
      <c r="X25" s="265">
        <f>IF(X24="","",-1*X24)</f>
        <v>-1061000</v>
      </c>
      <c r="Y25" s="265">
        <f>IF(Y24="","",-1*Y24)</f>
        <v>-1084000</v>
      </c>
      <c r="Z25" s="265">
        <f>IF(Z24="","",-1*Z24)</f>
        <v>-1099000</v>
      </c>
      <c r="AA25" s="265">
        <f>IF(AA24="","",-1*AA24)</f>
        <v>-1117000</v>
      </c>
      <c r="AC25" s="265">
        <f>IF(AC24="","",-1*AC24)</f>
        <v>-1029000</v>
      </c>
      <c r="AD25" s="265">
        <f>IF(AD24="","",-1*AD24)</f>
        <v>-1040000</v>
      </c>
    </row>
    <row r="26">
      <c r="A26" t="inlineStr">
        <is>
          <t>(lançamento) código 3, sinal +1 sobre a linha bruta 24: D&amp;A (fluxo de caixa). COD1=4 lança (positivo -&gt; -1); COD2=3 devolve às despesas operaciona</t>
        </is>
      </c>
      <c r="B26" t="n">
        <v>3</v>
      </c>
      <c r="C26" t="inlineStr">
        <is>
          <t>SG&amp;A and Other (cash)</t>
        </is>
      </c>
      <c r="D26" s="265">
        <f>IF(D24="","",D24)</f>
        <v>758000</v>
      </c>
      <c r="E26" s="265">
        <f>IF(E24="","",E24)</f>
        <v>778000</v>
      </c>
      <c r="F26" s="265">
        <f>IF(F24="","",F24)</f>
        <v>796000</v>
      </c>
      <c r="G26" s="265">
        <f>IF(G24="","",G24)</f>
        <v>771000</v>
      </c>
      <c r="I26" s="265">
        <f>IF(I24="","",I24)</f>
        <v>788000</v>
      </c>
      <c r="J26" s="265">
        <f>IF(J24="","",J24)</f>
        <v>802000</v>
      </c>
      <c r="K26" s="265">
        <f>IF(K24="","",K24)</f>
        <v>828000</v>
      </c>
      <c r="L26" s="265">
        <f>IF(L24="","",L24)</f>
        <v>982000</v>
      </c>
      <c r="N26" s="265">
        <f>IF(N24="","",N24)</f>
        <v>970000</v>
      </c>
      <c r="O26" s="265">
        <f>IF(O24="","",O24)</f>
        <v>1021000</v>
      </c>
      <c r="P26" s="265">
        <f>IF(P24="","",P24)</f>
        <v>1007000</v>
      </c>
      <c r="Q26" s="265">
        <f>IF(Q24="","",Q24)</f>
        <v>974000</v>
      </c>
      <c r="S26" s="265">
        <f>IF(S24="","",S24)</f>
        <v>997000</v>
      </c>
      <c r="T26" s="265">
        <f>IF(T24="","",T24)</f>
        <v>1020000</v>
      </c>
      <c r="U26" s="265">
        <f>IF(U24="","",U24)</f>
        <v>1041000</v>
      </c>
      <c r="V26" s="265">
        <f>IF(V24="","",V24)</f>
        <v>1041000</v>
      </c>
      <c r="X26" s="265">
        <f>IF(X24="","",X24)</f>
        <v>1061000</v>
      </c>
      <c r="Y26" s="265">
        <f>IF(Y24="","",Y24)</f>
        <v>1084000</v>
      </c>
      <c r="Z26" s="265">
        <f>IF(Z24="","",Z24)</f>
        <v>1099000</v>
      </c>
      <c r="AA26" s="265">
        <f>IF(AA24="","",AA24)</f>
        <v>1117000</v>
      </c>
      <c r="AC26" s="265">
        <f>IF(AC24="","",AC24)</f>
        <v>1029000</v>
      </c>
      <c r="AD26" s="265">
        <f>IF(AD24="","",AD24)</f>
        <v>1040000</v>
      </c>
    </row>
    <row r="27">
      <c r="A27" t="inlineStr">
        <is>
          <t>Dividendos pagos [us-gaap:PaymentsOfDividends] · fonte · unid. moeda</t>
        </is>
      </c>
      <c r="C27" t="inlineStr">
        <is>
          <t>[linha bruta, sem código; lançada nas linhas abaixo]</t>
        </is>
      </c>
      <c r="D27" s="265" t="n">
        <v>1181000</v>
      </c>
      <c r="E27" s="265" t="n">
        <v>1367000</v>
      </c>
      <c r="F27" s="265" t="n">
        <v>1367000</v>
      </c>
      <c r="G27" s="265" t="n">
        <v>1365000</v>
      </c>
      <c r="I27" s="265" t="n">
        <v>1363000</v>
      </c>
      <c r="J27" s="265" t="n">
        <v>1545000</v>
      </c>
      <c r="K27" s="265" t="n">
        <v>1542000</v>
      </c>
      <c r="L27" s="265" t="n">
        <v>1541000</v>
      </c>
      <c r="N27" s="265" t="n">
        <v>1537000</v>
      </c>
      <c r="O27" s="265" t="n">
        <v>1747000</v>
      </c>
      <c r="P27" s="265" t="n">
        <v>1739000</v>
      </c>
      <c r="Q27" s="265" t="n">
        <v>1738000</v>
      </c>
      <c r="S27" s="265" t="n">
        <v>1729000</v>
      </c>
      <c r="T27" s="265" t="n">
        <v>1935000</v>
      </c>
      <c r="U27" s="265" t="n">
        <v>1937000</v>
      </c>
      <c r="V27" s="265" t="n">
        <v>1932000</v>
      </c>
      <c r="X27" s="265" t="n">
        <v>1912000</v>
      </c>
      <c r="Y27" s="265" t="n">
        <v>2000000</v>
      </c>
      <c r="Z27" s="265" t="n">
        <v>2002000</v>
      </c>
      <c r="AA27" s="265" t="n">
        <v>2002000</v>
      </c>
      <c r="AC27" s="265" t="n">
        <v>2005000</v>
      </c>
      <c r="AD27" s="265" t="n">
        <v>2087000</v>
      </c>
    </row>
    <row r="28">
      <c r="A28" t="inlineStr">
        <is>
          <t>(lançamento) código 10, sinal -1 sobre a linha bruta 27: Dividendos pagos [us-gaap:PaymentsOfDividends]</t>
        </is>
      </c>
      <c r="B28" t="n">
        <v>10</v>
      </c>
      <c r="C28" t="inlineStr">
        <is>
          <t>Common Dividends</t>
        </is>
      </c>
      <c r="D28" s="265">
        <f>IF(D27="","",-1*D27)</f>
        <v>-1181000</v>
      </c>
      <c r="E28" s="265">
        <f>IF(E27="","",-1*E27)</f>
        <v>-1367000</v>
      </c>
      <c r="F28" s="265">
        <f>IF(F27="","",-1*F27)</f>
        <v>-1367000</v>
      </c>
      <c r="G28" s="265">
        <f>IF(G27="","",-1*G27)</f>
        <v>-1365000</v>
      </c>
      <c r="I28" s="265">
        <f>IF(I27="","",-1*I27)</f>
        <v>-1363000</v>
      </c>
      <c r="J28" s="265">
        <f>IF(J27="","",-1*J27)</f>
        <v>-1545000</v>
      </c>
      <c r="K28" s="265">
        <f>IF(K27="","",-1*K27)</f>
        <v>-1542000</v>
      </c>
      <c r="L28" s="265">
        <f>IF(L27="","",-1*L27)</f>
        <v>-1541000</v>
      </c>
      <c r="N28" s="265">
        <f>IF(N27="","",-1*N27)</f>
        <v>-1537000</v>
      </c>
      <c r="O28" s="265">
        <f>IF(O27="","",-1*O27)</f>
        <v>-1747000</v>
      </c>
      <c r="P28" s="265">
        <f>IF(P27="","",-1*P27)</f>
        <v>-1739000</v>
      </c>
      <c r="Q28" s="265">
        <f>IF(Q27="","",-1*Q27)</f>
        <v>-1738000</v>
      </c>
      <c r="S28" s="265">
        <f>IF(S27="","",-1*S27)</f>
        <v>-1729000</v>
      </c>
      <c r="T28" s="265">
        <f>IF(T27="","",-1*T27)</f>
        <v>-1935000</v>
      </c>
      <c r="U28" s="265">
        <f>IF(U27="","",-1*U27)</f>
        <v>-1937000</v>
      </c>
      <c r="V28" s="265">
        <f>IF(V27="","",-1*V27)</f>
        <v>-1932000</v>
      </c>
      <c r="X28" s="265">
        <f>IF(X27="","",-1*X27)</f>
        <v>-1912000</v>
      </c>
      <c r="Y28" s="265">
        <f>IF(Y27="","",-1*Y27)</f>
        <v>-2000000</v>
      </c>
      <c r="Z28" s="265">
        <f>IF(Z27="","",-1*Z27)</f>
        <v>-2002000</v>
      </c>
      <c r="AA28" s="265">
        <f>IF(AA27="","",-1*AA27)</f>
        <v>-2002000</v>
      </c>
      <c r="AC28" s="265">
        <f>IF(AC27="","",-1*AC27)</f>
        <v>-2005000</v>
      </c>
      <c r="AD28" s="265">
        <f>IF(AD27="","",-1*AD27)</f>
        <v>-2087000</v>
      </c>
    </row>
    <row r="29">
      <c r="A29" t="inlineStr">
        <is>
          <t>BALANÇO DE FACE (USD, saldo no fim do trimestre; cada trimestre lido da instância do próprio 10-Q/10-K)</t>
        </is>
      </c>
      <c r="C29" t="inlineStr">
        <is>
          <t>[linha bruta, sem código; lançada nas linhas abaixo]</t>
        </is>
      </c>
      <c r="D29" s="265" t="n"/>
      <c r="E29" s="265" t="n"/>
      <c r="F29" s="265" t="n"/>
      <c r="G29" s="265" t="n"/>
      <c r="I29" s="265" t="n"/>
      <c r="J29" s="265" t="n"/>
      <c r="K29" s="265" t="n"/>
      <c r="L29" s="265" t="n"/>
      <c r="N29" s="265" t="n"/>
      <c r="O29" s="265" t="n"/>
      <c r="P29" s="265" t="n"/>
      <c r="Q29" s="265" t="n"/>
      <c r="S29" s="265" t="n"/>
      <c r="T29" s="265" t="n"/>
      <c r="U29" s="265" t="n"/>
      <c r="V29" s="265" t="n"/>
      <c r="X29" s="265" t="n"/>
      <c r="Y29" s="265" t="n"/>
      <c r="Z29" s="265" t="n"/>
      <c r="AA29" s="265" t="n"/>
      <c r="AC29" s="265" t="n"/>
      <c r="AD29" s="265" t="n"/>
    </row>
    <row r="30">
      <c r="A30" t="inlineStr">
        <is>
          <t>CashAndCashEquivalentsAtCarryingValue · fonte · unid. moeda</t>
        </is>
      </c>
      <c r="B30" t="n">
        <v>11</v>
      </c>
      <c r="C30" t="inlineStr">
        <is>
          <t>Cash and equivalents (inc. investment securities)</t>
        </is>
      </c>
      <c r="D30" s="265" t="n">
        <v>19955000</v>
      </c>
      <c r="E30" s="265" t="n">
        <v>19832000</v>
      </c>
      <c r="F30" s="265" t="n">
        <v>21085000</v>
      </c>
      <c r="G30" s="265" t="n">
        <v>21375000</v>
      </c>
      <c r="I30" s="265" t="n">
        <v>25482000</v>
      </c>
      <c r="J30" s="265" t="n">
        <v>24612000</v>
      </c>
      <c r="K30" s="265" t="n">
        <v>38845000</v>
      </c>
      <c r="L30" s="265" t="n">
        <v>23365000</v>
      </c>
      <c r="N30" s="265" t="n">
        <v>41913000</v>
      </c>
      <c r="O30" s="265" t="n">
        <v>41813000</v>
      </c>
      <c r="P30" s="265" t="n">
        <v>38915000</v>
      </c>
      <c r="Q30" s="265" t="n">
        <v>25427000</v>
      </c>
      <c r="S30" s="265" t="n">
        <v>28414000</v>
      </c>
      <c r="T30" s="265" t="n">
        <v>26286000</v>
      </c>
      <c r="U30" s="265" t="n">
        <v>32400000</v>
      </c>
      <c r="V30" s="265" t="n">
        <v>25312000</v>
      </c>
      <c r="X30" s="265" t="n">
        <v>30717000</v>
      </c>
      <c r="Y30" s="265" t="n">
        <v>28596000</v>
      </c>
      <c r="Z30" s="265" t="n">
        <v>27210000</v>
      </c>
      <c r="AA30" s="265" t="n">
        <v>24365000</v>
      </c>
      <c r="AC30" s="265" t="n">
        <v>28001000</v>
      </c>
      <c r="AD30" s="265" t="n">
        <v>28585000</v>
      </c>
    </row>
    <row r="31">
      <c r="A31" t="inlineStr">
        <is>
          <t>ShortTermInvestments · fonte · unid. moeda</t>
        </is>
      </c>
      <c r="B31" t="n">
        <v>11</v>
      </c>
      <c r="C31" t="inlineStr">
        <is>
          <t>Cash and equivalents (inc. investment securities)</t>
        </is>
      </c>
      <c r="D31" s="265" t="n">
        <v>2962000</v>
      </c>
      <c r="E31" s="265" t="n">
        <v>2729000</v>
      </c>
      <c r="F31" s="265" t="n">
        <v>2786000</v>
      </c>
      <c r="G31" s="265" t="n">
        <v>2532000</v>
      </c>
      <c r="I31" s="265" t="n">
        <v>2914000</v>
      </c>
      <c r="J31" s="265" t="n">
        <v>3352000</v>
      </c>
      <c r="K31" s="265" t="n">
        <v>3682000</v>
      </c>
      <c r="L31" s="265" t="n">
        <v>4546000</v>
      </c>
      <c r="N31" s="265" t="n">
        <v>4584000</v>
      </c>
      <c r="O31" s="265" t="n">
        <v>4466000</v>
      </c>
      <c r="P31" s="265" t="n">
        <v>5182000</v>
      </c>
      <c r="Q31" s="265" t="n">
        <v>4201000</v>
      </c>
      <c r="S31" s="265" t="n">
        <v>4296000</v>
      </c>
      <c r="T31" s="265" t="n">
        <v>5037000</v>
      </c>
      <c r="U31" s="265" t="n">
        <v>4734000</v>
      </c>
      <c r="V31" s="265" t="n">
        <v>3801000</v>
      </c>
      <c r="X31" s="265" t="n">
        <v>3574000</v>
      </c>
      <c r="Y31" s="265" t="n">
        <v>3424000</v>
      </c>
      <c r="Z31" s="265" t="n">
        <v>3404000</v>
      </c>
      <c r="AA31" s="265" t="n">
        <v>3756000</v>
      </c>
      <c r="AC31" s="265" t="n">
        <v>3228000</v>
      </c>
      <c r="AD31" s="265" t="n">
        <v>2883000</v>
      </c>
    </row>
    <row r="32">
      <c r="A32" t="inlineStr">
        <is>
          <t>AccountsReceivableNetCurrent · fonte · unid. moeda</t>
        </is>
      </c>
      <c r="B32" t="n">
        <v>12</v>
      </c>
      <c r="C32" t="inlineStr">
        <is>
          <t>Accounts receivable</t>
        </is>
      </c>
      <c r="D32" s="265" t="n">
        <v>15980000</v>
      </c>
      <c r="E32" s="265" t="n">
        <v>14587000</v>
      </c>
      <c r="F32" s="265" t="n">
        <v>14152000</v>
      </c>
      <c r="G32" s="265" t="n">
        <v>14216000</v>
      </c>
      <c r="I32" s="265" t="n">
        <v>18871000</v>
      </c>
      <c r="J32" s="265" t="n">
        <v>18718000</v>
      </c>
      <c r="K32" s="265" t="n">
        <v>17047000</v>
      </c>
      <c r="L32" s="265" t="n">
        <v>17681000</v>
      </c>
      <c r="N32" s="265" t="n">
        <v>22414000</v>
      </c>
      <c r="O32" s="265" t="n">
        <v>17952000</v>
      </c>
      <c r="P32" s="265" t="n">
        <v>20673000</v>
      </c>
      <c r="Q32" s="265" t="n">
        <v>21276000</v>
      </c>
      <c r="S32" s="265" t="n">
        <v>27197000</v>
      </c>
      <c r="T32" s="265" t="n">
        <v>23115000</v>
      </c>
      <c r="U32" s="265" t="n">
        <v>20024000</v>
      </c>
      <c r="V32" s="265" t="n">
        <v>22365000</v>
      </c>
      <c r="X32" s="265" t="n">
        <v>26936000</v>
      </c>
      <c r="Y32" s="265" t="n">
        <v>24142000</v>
      </c>
      <c r="Z32" s="265" t="n">
        <v>22672000</v>
      </c>
      <c r="AA32" s="265" t="n">
        <v>23018000</v>
      </c>
      <c r="AC32" s="265" t="n">
        <v>26587000</v>
      </c>
      <c r="AD32" s="265" t="n">
        <v>21573000</v>
      </c>
    </row>
    <row r="33">
      <c r="A33" t="inlineStr">
        <is>
          <t>OtherReceivablesNetCurrent · fonte · unid. moeda</t>
        </is>
      </c>
      <c r="B33" t="n">
        <v>16</v>
      </c>
      <c r="C33" t="inlineStr">
        <is>
          <t>Other current assets</t>
        </is>
      </c>
      <c r="D33" s="265" t="n">
        <v>11546000</v>
      </c>
      <c r="E33" s="265" t="n">
        <v>12630000</v>
      </c>
      <c r="F33" s="265" t="n">
        <v>14080000</v>
      </c>
      <c r="G33" s="265" t="n">
        <v>13866000</v>
      </c>
      <c r="I33" s="265" t="n">
        <v>11994000</v>
      </c>
      <c r="J33" s="265" t="n">
        <v>12439000</v>
      </c>
      <c r="K33" s="265" t="n">
        <v>13684000</v>
      </c>
      <c r="L33" s="265" t="n">
        <v>12769000</v>
      </c>
      <c r="N33" s="265" t="n">
        <v>14696000</v>
      </c>
      <c r="O33" s="265" t="n">
        <v>16131000</v>
      </c>
      <c r="P33" s="265" t="n">
        <v>17752000</v>
      </c>
      <c r="Q33" s="265" t="n">
        <v>17694000</v>
      </c>
      <c r="S33" s="265" t="n">
        <v>19284000</v>
      </c>
      <c r="T33" s="265" t="n">
        <v>26762000</v>
      </c>
      <c r="U33" s="265" t="n">
        <v>27461000</v>
      </c>
      <c r="V33" s="265" t="n">
        <v>26089000</v>
      </c>
      <c r="X33" s="265" t="n">
        <v>26022000</v>
      </c>
      <c r="Y33" s="265" t="n">
        <v>28582000</v>
      </c>
      <c r="Z33" s="265" t="n">
        <v>32762000</v>
      </c>
      <c r="AA33" s="265" t="n">
        <v>29697000</v>
      </c>
      <c r="AC33" s="265" t="n">
        <v>24588000</v>
      </c>
      <c r="AD33" s="265" t="n">
        <v>24722000</v>
      </c>
    </row>
    <row r="34">
      <c r="A34" t="inlineStr">
        <is>
          <t>AarpAssetsUnderManagement · fonte · unid. moeda</t>
        </is>
      </c>
      <c r="B34" t="n">
        <v>16</v>
      </c>
      <c r="C34" t="inlineStr">
        <is>
          <t>Other current assets</t>
        </is>
      </c>
      <c r="D34" s="265" t="n">
        <v>4094000</v>
      </c>
      <c r="E34" s="265" t="n">
        <v>4198000</v>
      </c>
      <c r="F34" s="265" t="n">
        <v>4304000</v>
      </c>
      <c r="G34" s="265" t="n">
        <v>4449000</v>
      </c>
      <c r="I34" s="265" t="n">
        <v>4155000</v>
      </c>
      <c r="J34" s="265" t="n">
        <v>4017000</v>
      </c>
      <c r="K34" s="265" t="n">
        <v>4022000</v>
      </c>
      <c r="L34" s="265" t="n">
        <v>4087000</v>
      </c>
      <c r="N34" s="265" t="n">
        <v>3837000</v>
      </c>
      <c r="O34" s="265" t="n">
        <v>3623000</v>
      </c>
      <c r="P34" s="265" t="n">
        <v>3616000</v>
      </c>
      <c r="Q34" s="265" t="n">
        <v>3755000</v>
      </c>
      <c r="S34" s="265" t="n">
        <v>3619000</v>
      </c>
      <c r="T34" s="265" t="n">
        <v>3414000</v>
      </c>
      <c r="U34" s="265" t="n">
        <v>0</v>
      </c>
      <c r="V34" s="265" t="n">
        <v>0</v>
      </c>
      <c r="X34" s="265" t="n">
        <v>0</v>
      </c>
      <c r="Y34" s="265" t="n">
        <v>0</v>
      </c>
      <c r="Z34" s="265" t="n">
        <v>0</v>
      </c>
      <c r="AA34" s="265" t="n">
        <v>0</v>
      </c>
      <c r="AC34" s="265" t="n">
        <v>0</v>
      </c>
      <c r="AD34" s="265" t="n">
        <v>0</v>
      </c>
    </row>
    <row r="35">
      <c r="A35" t="inlineStr">
        <is>
          <t>PrepaidExpenseAndOtherAssetsCurrent · fonte · unid. moeda</t>
        </is>
      </c>
      <c r="B35" t="n">
        <v>16</v>
      </c>
      <c r="C35" t="inlineStr">
        <is>
          <t>Other current assets</t>
        </is>
      </c>
      <c r="D35" s="265" t="n">
        <v>4971000</v>
      </c>
      <c r="E35" s="265" t="n">
        <v>4940000</v>
      </c>
      <c r="F35" s="265" t="n">
        <v>5203000</v>
      </c>
      <c r="G35" s="265" t="n">
        <v>5320000</v>
      </c>
      <c r="I35" s="265" t="n">
        <v>5613000</v>
      </c>
      <c r="J35" s="265" t="n">
        <v>5218000</v>
      </c>
      <c r="K35" s="265" t="n">
        <v>5657000</v>
      </c>
      <c r="L35" s="265" t="n">
        <v>6621000</v>
      </c>
      <c r="N35" s="265" t="n">
        <v>6451000</v>
      </c>
      <c r="O35" s="265" t="n">
        <v>5884000</v>
      </c>
      <c r="P35" s="265" t="n">
        <v>5767000</v>
      </c>
      <c r="Q35" s="265" t="n">
        <v>6084000</v>
      </c>
      <c r="S35" s="265" t="n">
        <v>6132000</v>
      </c>
      <c r="T35" s="265" t="n">
        <v>7424000</v>
      </c>
      <c r="U35" s="265" t="n">
        <v>7639000</v>
      </c>
      <c r="V35" s="265" t="n">
        <v>8212000</v>
      </c>
      <c r="X35" s="265" t="n">
        <v>9036000</v>
      </c>
      <c r="Y35" s="265" t="n">
        <v>8955000</v>
      </c>
      <c r="Z35" s="265" t="n">
        <v>9019000</v>
      </c>
      <c r="AA35" s="265" t="n">
        <v>9746000</v>
      </c>
      <c r="AC35" s="265" t="n">
        <v>8723000</v>
      </c>
      <c r="AD35" s="265" t="n">
        <v>9097000</v>
      </c>
    </row>
    <row r="36">
      <c r="A36" t="inlineStr">
        <is>
          <t>AssetsUnderManagement · fonte · unid. moeda</t>
        </is>
      </c>
      <c r="B36" t="n">
        <v>16</v>
      </c>
      <c r="C36" t="inlineStr">
        <is>
          <t>Other current assets</t>
        </is>
      </c>
      <c r="D36" s="265" t="n">
        <v>0</v>
      </c>
      <c r="E36" s="265" t="n">
        <v>0</v>
      </c>
      <c r="F36" s="265" t="n">
        <v>0</v>
      </c>
      <c r="G36" s="265" t="n">
        <v>0</v>
      </c>
      <c r="I36" s="265" t="n">
        <v>0</v>
      </c>
      <c r="J36" s="265" t="n">
        <v>0</v>
      </c>
      <c r="K36" s="265" t="n">
        <v>0</v>
      </c>
      <c r="L36" s="265" t="n">
        <v>0</v>
      </c>
      <c r="N36" s="265" t="n">
        <v>0</v>
      </c>
      <c r="O36" s="265" t="n">
        <v>0</v>
      </c>
      <c r="P36" s="265" t="n">
        <v>0</v>
      </c>
      <c r="Q36" s="265" t="n">
        <v>0</v>
      </c>
      <c r="S36" s="265" t="n">
        <v>0</v>
      </c>
      <c r="T36" s="265" t="n">
        <v>0</v>
      </c>
      <c r="U36" s="265" t="n">
        <v>0</v>
      </c>
      <c r="V36" s="265" t="n">
        <v>0</v>
      </c>
      <c r="X36" s="265" t="n">
        <v>0</v>
      </c>
      <c r="Y36" s="265" t="n">
        <v>0</v>
      </c>
      <c r="Z36" s="265" t="n">
        <v>0</v>
      </c>
      <c r="AA36" s="265" t="n">
        <v>0</v>
      </c>
      <c r="AC36" s="265" t="n">
        <v>0</v>
      </c>
      <c r="AD36" s="265" t="n">
        <v>0</v>
      </c>
    </row>
    <row r="37">
      <c r="A37" t="inlineStr">
        <is>
          <t>PropertyPlantAndEquipmentNet · fonte · unid. moeda</t>
        </is>
      </c>
      <c r="B37" t="n">
        <v>18</v>
      </c>
      <c r="C37" t="inlineStr">
        <is>
          <t>PP&amp;E</t>
        </is>
      </c>
      <c r="D37" s="265" t="n">
        <v>8496000</v>
      </c>
      <c r="E37" s="265" t="n">
        <v>8735000</v>
      </c>
      <c r="F37" s="265" t="n">
        <v>8730000</v>
      </c>
      <c r="G37" s="265" t="n">
        <v>8969000</v>
      </c>
      <c r="I37" s="265" t="n">
        <v>9183000</v>
      </c>
      <c r="J37" s="265" t="n">
        <v>9421000</v>
      </c>
      <c r="K37" s="265" t="n">
        <v>9469000</v>
      </c>
      <c r="L37" s="265" t="n">
        <v>10128000</v>
      </c>
      <c r="N37" s="265" t="n">
        <v>10637000</v>
      </c>
      <c r="O37" s="265" t="n">
        <v>10926000</v>
      </c>
      <c r="P37" s="265" t="n">
        <v>11070000</v>
      </c>
      <c r="Q37" s="265" t="n">
        <v>11450000</v>
      </c>
      <c r="S37" s="265" t="n">
        <v>10429000</v>
      </c>
      <c r="T37" s="265" t="n">
        <v>9801000</v>
      </c>
      <c r="U37" s="265" t="n">
        <v>10139000</v>
      </c>
      <c r="V37" s="265" t="n">
        <v>10553000</v>
      </c>
      <c r="X37" s="265" t="n">
        <v>10734000</v>
      </c>
      <c r="Y37" s="265" t="n">
        <v>10923000</v>
      </c>
      <c r="Z37" s="265" t="n">
        <v>11104000</v>
      </c>
      <c r="AA37" s="265" t="n">
        <v>10762000</v>
      </c>
      <c r="AC37" s="265" t="n">
        <v>10667000</v>
      </c>
      <c r="AD37" s="265" t="n">
        <v>10762000</v>
      </c>
    </row>
    <row r="38">
      <c r="A38" t="inlineStr">
        <is>
          <t>Goodwill · fonte · unid. moeda</t>
        </is>
      </c>
      <c r="B38" t="n">
        <v>20</v>
      </c>
      <c r="C38" t="inlineStr">
        <is>
          <t>Goodwill</t>
        </is>
      </c>
      <c r="D38" s="265" t="n">
        <v>72162000</v>
      </c>
      <c r="E38" s="265" t="n">
        <v>75827000</v>
      </c>
      <c r="F38" s="265" t="n">
        <v>75435000</v>
      </c>
      <c r="G38" s="265" t="n">
        <v>75795000</v>
      </c>
      <c r="I38" s="265" t="n">
        <v>77548000</v>
      </c>
      <c r="J38" s="265" t="n">
        <v>84159000</v>
      </c>
      <c r="K38" s="265" t="n">
        <v>83904000</v>
      </c>
      <c r="L38" s="265" t="n">
        <v>93352000</v>
      </c>
      <c r="N38" s="265" t="n">
        <v>100406000</v>
      </c>
      <c r="O38" s="265" t="n">
        <v>101669000</v>
      </c>
      <c r="P38" s="265" t="n">
        <v>101703000</v>
      </c>
      <c r="Q38" s="265" t="n">
        <v>103732000</v>
      </c>
      <c r="S38" s="265" t="n">
        <v>105664000</v>
      </c>
      <c r="T38" s="265" t="n">
        <v>105436000</v>
      </c>
      <c r="U38" s="265" t="n">
        <v>105978000</v>
      </c>
      <c r="V38" s="265" t="n">
        <v>106734000</v>
      </c>
      <c r="X38" s="265" t="n">
        <v>107566000</v>
      </c>
      <c r="Y38" s="265" t="n">
        <v>107677000</v>
      </c>
      <c r="Z38" s="265" t="n">
        <v>110340000</v>
      </c>
      <c r="AA38" s="265" t="n">
        <v>110499000</v>
      </c>
      <c r="AC38" s="265" t="n">
        <v>110512000</v>
      </c>
      <c r="AD38" s="265" t="n">
        <v>110645000</v>
      </c>
    </row>
    <row r="39">
      <c r="A39" t="inlineStr">
        <is>
          <t>IntangibleAssetsNetExcludingGoodwill · fonte · unid. moeda</t>
        </is>
      </c>
      <c r="B39" t="n">
        <v>21</v>
      </c>
      <c r="C39" t="inlineStr">
        <is>
          <t>Intangibles</t>
        </is>
      </c>
      <c r="D39" s="265" t="n">
        <v>10842000</v>
      </c>
      <c r="E39" s="265" t="n">
        <v>10806000</v>
      </c>
      <c r="F39" s="265" t="n">
        <v>10436000</v>
      </c>
      <c r="G39" s="265" t="n">
        <v>10044000</v>
      </c>
      <c r="I39" s="265" t="n">
        <v>9918000</v>
      </c>
      <c r="J39" s="265" t="n">
        <v>11285000</v>
      </c>
      <c r="K39" s="265" t="n">
        <v>10785000</v>
      </c>
      <c r="L39" s="265" t="n">
        <v>14401000</v>
      </c>
      <c r="N39" s="265" t="n">
        <v>16165000</v>
      </c>
      <c r="O39" s="265" t="n">
        <v>15643000</v>
      </c>
      <c r="P39" s="265" t="n">
        <v>15200000</v>
      </c>
      <c r="Q39" s="265" t="n">
        <v>15194000</v>
      </c>
      <c r="S39" s="265" t="n">
        <v>15543000</v>
      </c>
      <c r="T39" s="265" t="n">
        <v>14729000</v>
      </c>
      <c r="U39" s="265" t="n">
        <v>23594000</v>
      </c>
      <c r="V39" s="265" t="n">
        <v>23268000</v>
      </c>
      <c r="X39" s="265" t="n">
        <v>22947000</v>
      </c>
      <c r="Y39" s="265" t="n">
        <v>22510000</v>
      </c>
      <c r="Z39" s="265" t="n">
        <v>22785000</v>
      </c>
      <c r="AA39" s="265" t="n">
        <v>20474000</v>
      </c>
      <c r="AC39" s="265" t="n">
        <v>20093000</v>
      </c>
      <c r="AD39" s="265" t="n">
        <v>19749000</v>
      </c>
    </row>
    <row r="40">
      <c r="A40" t="inlineStr">
        <is>
          <t>LongTermInvestments · fonte · unid. moeda</t>
        </is>
      </c>
      <c r="B40" t="n">
        <v>22</v>
      </c>
      <c r="C40" t="inlineStr">
        <is>
          <t>Other non-current assets</t>
        </is>
      </c>
      <c r="D40" s="265" t="n">
        <v>42406000</v>
      </c>
      <c r="E40" s="265" t="n">
        <v>44061000</v>
      </c>
      <c r="F40" s="265" t="n">
        <v>44777000</v>
      </c>
      <c r="G40" s="265" t="n">
        <v>43114000</v>
      </c>
      <c r="I40" s="265" t="n">
        <v>42353000</v>
      </c>
      <c r="J40" s="265" t="n">
        <v>42427000</v>
      </c>
      <c r="K40" s="265" t="n">
        <v>41557000</v>
      </c>
      <c r="L40" s="265" t="n">
        <v>43728000</v>
      </c>
      <c r="N40" s="265" t="n">
        <v>46884000</v>
      </c>
      <c r="O40" s="265" t="n">
        <v>45988000</v>
      </c>
      <c r="P40" s="265" t="n">
        <v>45474000</v>
      </c>
      <c r="Q40" s="265" t="n">
        <v>47609000</v>
      </c>
      <c r="S40" s="265" t="n">
        <v>45928000</v>
      </c>
      <c r="T40" s="265" t="n">
        <v>46113000</v>
      </c>
      <c r="U40" s="265" t="n">
        <v>48689000</v>
      </c>
      <c r="V40" s="265" t="n">
        <v>52354000</v>
      </c>
      <c r="X40" s="265" t="n">
        <v>51863000</v>
      </c>
      <c r="Y40" s="265" t="n">
        <v>52466000</v>
      </c>
      <c r="Z40" s="265" t="n">
        <v>52996000</v>
      </c>
      <c r="AA40" s="265" t="n">
        <v>54251000</v>
      </c>
      <c r="AC40" s="265" t="n">
        <v>56788000</v>
      </c>
      <c r="AD40" s="265" t="n">
        <v>57716000</v>
      </c>
    </row>
    <row r="41">
      <c r="A41" t="inlineStr">
        <is>
          <t>OtherAssetsNoncurrent · fonte · unid. moeda</t>
        </is>
      </c>
      <c r="B41" t="n">
        <v>22</v>
      </c>
      <c r="C41" t="inlineStr">
        <is>
          <t>Other non-current assets</t>
        </is>
      </c>
      <c r="D41" s="265" t="n">
        <v>11757000</v>
      </c>
      <c r="E41" s="265" t="n">
        <v>11947000</v>
      </c>
      <c r="F41" s="265" t="n">
        <v>12057000</v>
      </c>
      <c r="G41" s="265" t="n">
        <v>12526000</v>
      </c>
      <c r="I41" s="265" t="n">
        <v>13207000</v>
      </c>
      <c r="J41" s="265" t="n">
        <v>14524000</v>
      </c>
      <c r="K41" s="265" t="n">
        <v>14412000</v>
      </c>
      <c r="L41" s="265" t="n">
        <v>15027000</v>
      </c>
      <c r="N41" s="265" t="n">
        <v>15692000</v>
      </c>
      <c r="O41" s="265" t="n">
        <v>16069000</v>
      </c>
      <c r="P41" s="265" t="n">
        <v>16711000</v>
      </c>
      <c r="Q41" s="265" t="n">
        <v>17298000</v>
      </c>
      <c r="S41" s="265" t="n">
        <v>17704000</v>
      </c>
      <c r="T41" s="265" t="n">
        <v>17939000</v>
      </c>
      <c r="U41" s="265" t="n">
        <v>18651000</v>
      </c>
      <c r="V41" s="265" t="n">
        <v>19590000</v>
      </c>
      <c r="X41" s="265" t="n">
        <v>20395000</v>
      </c>
      <c r="Y41" s="265" t="n">
        <v>21298000</v>
      </c>
      <c r="Z41" s="265" t="n">
        <v>22977000</v>
      </c>
      <c r="AA41" s="265" t="n">
        <v>23013000</v>
      </c>
      <c r="AC41" s="265" t="n">
        <v>23457000</v>
      </c>
      <c r="AD41" s="265" t="n">
        <v>23995000</v>
      </c>
    </row>
    <row r="42">
      <c r="A42" t="inlineStr">
        <is>
          <t>AccountsPayableAndAccruedLiabilitiesCurrent · fonte · unid. moeda</t>
        </is>
      </c>
      <c r="B42" t="n">
        <v>23</v>
      </c>
      <c r="C42" t="inlineStr">
        <is>
          <t>Accounts payable</t>
        </is>
      </c>
      <c r="D42" s="265" t="n">
        <v>22997000</v>
      </c>
      <c r="E42" s="265" t="n">
        <v>23013000</v>
      </c>
      <c r="F42" s="265" t="n">
        <v>24292000</v>
      </c>
      <c r="G42" s="265" t="n">
        <v>24643000</v>
      </c>
      <c r="I42" s="265" t="n">
        <v>25058000</v>
      </c>
      <c r="J42" s="265" t="n">
        <v>25145000</v>
      </c>
      <c r="K42" s="265" t="n">
        <v>27232000</v>
      </c>
      <c r="L42" s="265" t="n">
        <v>27715000</v>
      </c>
      <c r="N42" s="265" t="n">
        <v>29856000</v>
      </c>
      <c r="O42" s="265" t="n">
        <v>29516000</v>
      </c>
      <c r="P42" s="265" t="n">
        <v>31164000</v>
      </c>
      <c r="Q42" s="265" t="n">
        <v>31958000</v>
      </c>
      <c r="S42" s="265" t="n">
        <v>30738000</v>
      </c>
      <c r="T42" s="265" t="n">
        <v>30886000</v>
      </c>
      <c r="U42" s="265" t="n">
        <v>33080000</v>
      </c>
      <c r="V42" s="265" t="n">
        <v>34337000</v>
      </c>
      <c r="X42" s="265" t="n">
        <v>33566000</v>
      </c>
      <c r="Y42" s="265" t="n">
        <v>34330000</v>
      </c>
      <c r="Z42" s="265" t="n">
        <v>36033000</v>
      </c>
      <c r="AA42" s="265" t="n">
        <v>38032000</v>
      </c>
      <c r="AC42" s="265" t="n">
        <v>38631000</v>
      </c>
      <c r="AD42" s="265" t="n">
        <v>39741000</v>
      </c>
    </row>
    <row r="43">
      <c r="A43" t="inlineStr">
        <is>
          <t>LiabilityForClaimsAndClaimsAdjustmentExpense · fonte · unid. moeda</t>
        </is>
      </c>
      <c r="B43" t="n">
        <v>26</v>
      </c>
      <c r="C43" t="inlineStr">
        <is>
          <t>Other current liabilities (non-debt)</t>
        </is>
      </c>
      <c r="D43" s="265" t="n">
        <v>24833000</v>
      </c>
      <c r="E43" s="265" t="n">
        <v>25131000</v>
      </c>
      <c r="F43" s="265" t="n">
        <v>25918000</v>
      </c>
      <c r="G43" s="265" t="n">
        <v>24483000</v>
      </c>
      <c r="I43" s="265" t="n">
        <v>28676000</v>
      </c>
      <c r="J43" s="265" t="n">
        <v>28978000</v>
      </c>
      <c r="K43" s="265" t="n">
        <v>29064000</v>
      </c>
      <c r="L43" s="265" t="n">
        <v>29056000</v>
      </c>
      <c r="N43" s="265" t="n">
        <v>31809000</v>
      </c>
      <c r="O43" s="265" t="n">
        <v>31947000</v>
      </c>
      <c r="P43" s="265" t="n">
        <v>32792000</v>
      </c>
      <c r="Q43" s="265" t="n">
        <v>32395000</v>
      </c>
      <c r="S43" s="265" t="n">
        <v>34032000</v>
      </c>
      <c r="T43" s="265" t="n">
        <v>32547000</v>
      </c>
      <c r="U43" s="265" t="n">
        <v>33951000</v>
      </c>
      <c r="V43" s="265" t="n">
        <v>34224000</v>
      </c>
      <c r="X43" s="265" t="n">
        <v>37136000</v>
      </c>
      <c r="Y43" s="265" t="n">
        <v>38427000</v>
      </c>
      <c r="Z43" s="265" t="n">
        <v>40181000</v>
      </c>
      <c r="AA43" s="265" t="n">
        <v>39337000</v>
      </c>
      <c r="AC43" s="265" t="n">
        <v>39659000</v>
      </c>
      <c r="AD43" s="265" t="n">
        <v>38930000</v>
      </c>
    </row>
    <row r="44">
      <c r="A44" t="inlineStr">
        <is>
          <t>DeferredRevenueCurrent · fonte · unid. moeda</t>
        </is>
      </c>
      <c r="B44" t="n">
        <v>26</v>
      </c>
      <c r="C44" t="inlineStr">
        <is>
          <t>Other current liabilities (non-debt)</t>
        </is>
      </c>
      <c r="D44" s="265" t="n">
        <v>2612000</v>
      </c>
      <c r="E44" s="265" t="n">
        <v>2365000</v>
      </c>
      <c r="F44" s="265" t="n">
        <v>2556000</v>
      </c>
      <c r="G44" s="265" t="n">
        <v>2571000</v>
      </c>
      <c r="I44" s="265" t="n">
        <v>2675000</v>
      </c>
      <c r="J44" s="265" t="n">
        <v>2212000</v>
      </c>
      <c r="K44" s="265" t="n">
        <v>12847000</v>
      </c>
      <c r="L44" s="265" t="n">
        <v>3075000</v>
      </c>
      <c r="N44" s="265" t="n">
        <v>14487000</v>
      </c>
      <c r="O44" s="265" t="n">
        <v>14852000</v>
      </c>
      <c r="P44" s="265" t="n">
        <v>15311000</v>
      </c>
      <c r="Q44" s="265" t="n">
        <v>3355000</v>
      </c>
      <c r="S44" s="265" t="n">
        <v>3206000</v>
      </c>
      <c r="T44" s="265" t="n">
        <v>2572000</v>
      </c>
      <c r="U44" s="265" t="n">
        <v>3320000</v>
      </c>
      <c r="V44" s="265" t="n">
        <v>3317000</v>
      </c>
      <c r="X44" s="265" t="n">
        <v>3296000</v>
      </c>
      <c r="Y44" s="265" t="n">
        <v>3032000</v>
      </c>
      <c r="Z44" s="265" t="n">
        <v>3366000</v>
      </c>
      <c r="AA44" s="265" t="n">
        <v>3413000</v>
      </c>
      <c r="AC44" s="265" t="n">
        <v>3419000</v>
      </c>
      <c r="AD44" s="265" t="n">
        <v>2986000</v>
      </c>
    </row>
    <row r="45">
      <c r="A45" t="inlineStr">
        <is>
          <t>OtherLiabilitiesCurrent · fonte · unid. moeda</t>
        </is>
      </c>
      <c r="B45" t="n">
        <v>26</v>
      </c>
      <c r="C45" t="inlineStr">
        <is>
          <t>Other current liabilities (non-debt)</t>
        </is>
      </c>
      <c r="D45" s="265" t="n">
        <v>21361000</v>
      </c>
      <c r="E45" s="265" t="n">
        <v>22180000</v>
      </c>
      <c r="F45" s="265" t="n">
        <v>23189000</v>
      </c>
      <c r="G45" s="265" t="n">
        <v>22975000</v>
      </c>
      <c r="I45" s="265" t="n">
        <v>25064000</v>
      </c>
      <c r="J45" s="265" t="n">
        <v>26771000</v>
      </c>
      <c r="K45" s="265" t="n">
        <v>28563000</v>
      </c>
      <c r="L45" s="265" t="n">
        <v>26281000</v>
      </c>
      <c r="N45" s="265" t="n">
        <v>30399000</v>
      </c>
      <c r="O45" s="265" t="n">
        <v>30345000</v>
      </c>
      <c r="P45" s="265" t="n">
        <v>29622000</v>
      </c>
      <c r="Q45" s="265" t="n">
        <v>27072000</v>
      </c>
      <c r="S45" s="265" t="n">
        <v>26668000</v>
      </c>
      <c r="T45" s="265" t="n">
        <v>27294000</v>
      </c>
      <c r="U45" s="265" t="n">
        <v>27305000</v>
      </c>
      <c r="V45" s="265" t="n">
        <v>27346000</v>
      </c>
      <c r="X45" s="265" t="n">
        <v>29487000</v>
      </c>
      <c r="Y45" s="265" t="n">
        <v>29294000</v>
      </c>
      <c r="Z45" s="265" t="n">
        <v>28209000</v>
      </c>
      <c r="AA45" s="265" t="n">
        <v>28046000</v>
      </c>
      <c r="AC45" s="265" t="n">
        <v>25938000</v>
      </c>
      <c r="AD45" s="265" t="n">
        <v>26336000</v>
      </c>
    </row>
    <row r="46">
      <c r="A46" t="inlineStr">
        <is>
          <t>DebtCurrent · fonte · unid. moeda</t>
        </is>
      </c>
      <c r="B46" t="n">
        <v>27</v>
      </c>
      <c r="C46" t="inlineStr">
        <is>
          <t>Current portion of long-term debt</t>
        </is>
      </c>
      <c r="D46" s="265" t="n">
        <v>8838000</v>
      </c>
      <c r="E46" s="265" t="n">
        <v>3868000</v>
      </c>
      <c r="F46" s="265" t="n">
        <v>3620000</v>
      </c>
      <c r="G46" s="265" t="n">
        <v>0</v>
      </c>
      <c r="I46" s="265" t="n">
        <v>6697000</v>
      </c>
      <c r="J46" s="265" t="n">
        <v>5592000</v>
      </c>
      <c r="K46" s="265" t="n">
        <v>3229000</v>
      </c>
      <c r="L46" s="265" t="n">
        <v>3110000</v>
      </c>
      <c r="N46" s="265" t="n">
        <v>9931000</v>
      </c>
      <c r="O46" s="265" t="n">
        <v>6321000</v>
      </c>
      <c r="P46" s="265" t="n">
        <v>5290000</v>
      </c>
      <c r="Q46" s="265" t="n">
        <v>4274000</v>
      </c>
      <c r="S46" s="265" t="n">
        <v>9787000</v>
      </c>
      <c r="T46" s="265" t="n">
        <v>11371000</v>
      </c>
      <c r="U46" s="265" t="n">
        <v>3909000</v>
      </c>
      <c r="V46" s="265" t="n">
        <v>4545000</v>
      </c>
      <c r="X46" s="265" t="n">
        <v>9986000</v>
      </c>
      <c r="Y46" s="265" t="n">
        <v>5698000</v>
      </c>
      <c r="Z46" s="265" t="n">
        <v>7737000</v>
      </c>
      <c r="AA46" s="265" t="n">
        <v>6069000</v>
      </c>
      <c r="AC46" s="265" t="n">
        <v>6477000</v>
      </c>
      <c r="AD46" s="265" t="n">
        <v>3827000</v>
      </c>
    </row>
    <row r="47">
      <c r="A47" t="inlineStr">
        <is>
          <t>LongTermDebtCurrent · fonte · unid. moeda</t>
        </is>
      </c>
      <c r="B47" t="n">
        <v>27</v>
      </c>
      <c r="C47" t="inlineStr">
        <is>
          <t>Current portion of long-term debt</t>
        </is>
      </c>
      <c r="D47" s="265" t="n">
        <v>0</v>
      </c>
      <c r="E47" s="265" t="n">
        <v>0</v>
      </c>
      <c r="F47" s="265" t="n">
        <v>0</v>
      </c>
      <c r="G47" s="265" t="n">
        <v>3620000</v>
      </c>
      <c r="I47" s="265" t="n">
        <v>0</v>
      </c>
      <c r="J47" s="265" t="n">
        <v>0</v>
      </c>
      <c r="K47" s="265" t="n">
        <v>0</v>
      </c>
      <c r="L47" s="265" t="n">
        <v>0</v>
      </c>
      <c r="N47" s="265" t="n">
        <v>0</v>
      </c>
      <c r="O47" s="265" t="n">
        <v>0</v>
      </c>
      <c r="P47" s="265" t="n">
        <v>0</v>
      </c>
      <c r="Q47" s="265" t="n">
        <v>0</v>
      </c>
      <c r="S47" s="265" t="n">
        <v>0</v>
      </c>
      <c r="T47" s="265" t="n">
        <v>0</v>
      </c>
      <c r="U47" s="265" t="n">
        <v>0</v>
      </c>
      <c r="V47" s="265" t="n">
        <v>0</v>
      </c>
      <c r="X47" s="265" t="n">
        <v>0</v>
      </c>
      <c r="Y47" s="265" t="n">
        <v>0</v>
      </c>
      <c r="Z47" s="265" t="n">
        <v>0</v>
      </c>
      <c r="AA47" s="265" t="n">
        <v>0</v>
      </c>
      <c r="AC47" s="265" t="n">
        <v>0</v>
      </c>
      <c r="AD47" s="265" t="n">
        <v>0</v>
      </c>
    </row>
    <row r="48">
      <c r="A48" t="inlineStr">
        <is>
          <t>LongTermDebtNoncurrent · fonte · unid. moeda</t>
        </is>
      </c>
      <c r="B48" t="n">
        <v>30</v>
      </c>
      <c r="C48" t="inlineStr">
        <is>
          <t>Long term debt</t>
        </is>
      </c>
      <c r="D48" s="265" t="n">
        <v>37420000</v>
      </c>
      <c r="E48" s="265" t="n">
        <v>44348000</v>
      </c>
      <c r="F48" s="265" t="n">
        <v>43345000</v>
      </c>
      <c r="G48" s="265" t="n">
        <v>42383000</v>
      </c>
      <c r="I48" s="265" t="n">
        <v>40796000</v>
      </c>
      <c r="J48" s="265" t="n">
        <v>45799000</v>
      </c>
      <c r="K48" s="265" t="n">
        <v>45438000</v>
      </c>
      <c r="L48" s="265" t="n">
        <v>54513000</v>
      </c>
      <c r="N48" s="265" t="n">
        <v>60657000</v>
      </c>
      <c r="O48" s="265" t="n">
        <v>59268000</v>
      </c>
      <c r="P48" s="265" t="n">
        <v>58079000</v>
      </c>
      <c r="Q48" s="265" t="n">
        <v>58263000</v>
      </c>
      <c r="S48" s="265" t="n">
        <v>63850000</v>
      </c>
      <c r="T48" s="265" t="n">
        <v>63727000</v>
      </c>
      <c r="U48" s="265" t="n">
        <v>74101000</v>
      </c>
      <c r="V48" s="265" t="n">
        <v>72359000</v>
      </c>
      <c r="X48" s="265" t="n">
        <v>71285000</v>
      </c>
      <c r="Y48" s="265" t="n">
        <v>73495000</v>
      </c>
      <c r="Z48" s="265" t="n">
        <v>72399000</v>
      </c>
      <c r="AA48" s="265" t="n">
        <v>72320000</v>
      </c>
      <c r="AC48" s="265" t="n">
        <v>71440000</v>
      </c>
      <c r="AD48" s="265" t="n">
        <v>69501000</v>
      </c>
    </row>
    <row r="49">
      <c r="A49" t="inlineStr">
        <is>
          <t>DeferredIncomeTaxLiabilitiesNet · fonte · unid. moeda</t>
        </is>
      </c>
      <c r="B49" t="n">
        <v>33</v>
      </c>
      <c r="C49" t="inlineStr">
        <is>
          <t>Deferred income taxes</t>
        </is>
      </c>
      <c r="D49" s="265" t="n">
        <v>3602000</v>
      </c>
      <c r="E49" s="265" t="n">
        <v>3641000</v>
      </c>
      <c r="F49" s="265" t="n">
        <v>3649000</v>
      </c>
      <c r="G49" s="265" t="n">
        <v>3265000</v>
      </c>
      <c r="I49" s="265" t="n">
        <v>2954000</v>
      </c>
      <c r="J49" s="265" t="n">
        <v>2581000</v>
      </c>
      <c r="K49" s="265" t="n">
        <v>1659000</v>
      </c>
      <c r="L49" s="265" t="n">
        <v>2769000</v>
      </c>
      <c r="N49" s="265" t="n">
        <v>2834000</v>
      </c>
      <c r="O49" s="265" t="n">
        <v>2498000</v>
      </c>
      <c r="P49" s="265" t="n">
        <v>2210000</v>
      </c>
      <c r="Q49" s="265" t="n">
        <v>3021000</v>
      </c>
      <c r="S49" s="265" t="n">
        <v>4167000</v>
      </c>
      <c r="T49" s="265" t="n">
        <v>3631000</v>
      </c>
      <c r="U49" s="265" t="n">
        <v>4014000</v>
      </c>
      <c r="V49" s="265" t="n">
        <v>3620000</v>
      </c>
      <c r="X49" s="265" t="n">
        <v>3902000</v>
      </c>
      <c r="Y49" s="265" t="n">
        <v>3804000</v>
      </c>
      <c r="Z49" s="265" t="n">
        <v>3162000</v>
      </c>
      <c r="AA49" s="265" t="n">
        <v>2421000</v>
      </c>
      <c r="AC49" s="265" t="n">
        <v>2864000</v>
      </c>
      <c r="AD49" s="265" t="n">
        <v>2722000</v>
      </c>
    </row>
    <row r="50">
      <c r="A50" t="inlineStr">
        <is>
          <t>OtherLiabilitiesNoncurrent · fonte · unid. moeda</t>
        </is>
      </c>
      <c r="B50" t="n">
        <v>34</v>
      </c>
      <c r="C50" t="inlineStr">
        <is>
          <t>Other non-current liabilities</t>
        </is>
      </c>
      <c r="D50" s="265" t="n">
        <v>12926000</v>
      </c>
      <c r="E50" s="265" t="n">
        <v>12425000</v>
      </c>
      <c r="F50" s="265" t="n">
        <v>11844000</v>
      </c>
      <c r="G50" s="265" t="n">
        <v>11787000</v>
      </c>
      <c r="I50" s="265" t="n">
        <v>11671000</v>
      </c>
      <c r="J50" s="265" t="n">
        <v>11967000</v>
      </c>
      <c r="K50" s="265" t="n">
        <v>12111000</v>
      </c>
      <c r="L50" s="265" t="n">
        <v>12839000</v>
      </c>
      <c r="N50" s="265" t="n">
        <v>13084000</v>
      </c>
      <c r="O50" s="265" t="n">
        <v>13261000</v>
      </c>
      <c r="P50" s="265" t="n">
        <v>13615000</v>
      </c>
      <c r="Q50" s="265" t="n">
        <v>14463000</v>
      </c>
      <c r="S50" s="265" t="n">
        <v>14844000</v>
      </c>
      <c r="T50" s="265" t="n">
        <v>14794000</v>
      </c>
      <c r="U50" s="265" t="n">
        <v>15174000</v>
      </c>
      <c r="V50" s="265" t="n">
        <v>15939000</v>
      </c>
      <c r="X50" s="265" t="n">
        <v>15963000</v>
      </c>
      <c r="Y50" s="265" t="n">
        <v>15709000</v>
      </c>
      <c r="Z50" s="265" t="n">
        <v>18369000</v>
      </c>
      <c r="AA50" s="265" t="n">
        <v>18245000</v>
      </c>
      <c r="AC50" s="265" t="n">
        <v>18897000</v>
      </c>
      <c r="AD50" s="265" t="n">
        <v>19735000</v>
      </c>
    </row>
    <row r="51">
      <c r="A51" t="inlineStr">
        <is>
          <t>RedeemableNoncontrollingInterestEquityCarryingAmount · fonte · unid. moeda</t>
        </is>
      </c>
      <c r="B51" t="n">
        <v>35</v>
      </c>
      <c r="C51" t="inlineStr">
        <is>
          <t>Minority interest</t>
        </is>
      </c>
      <c r="D51" s="265" t="n">
        <v>1269000</v>
      </c>
      <c r="E51" s="265" t="n">
        <v>1299000</v>
      </c>
      <c r="F51" s="265" t="n">
        <v>1373000</v>
      </c>
      <c r="G51" s="265" t="n">
        <v>1434000</v>
      </c>
      <c r="I51" s="265" t="n">
        <v>1519000</v>
      </c>
      <c r="J51" s="265" t="n">
        <v>4922000</v>
      </c>
      <c r="K51" s="265" t="n">
        <v>4857000</v>
      </c>
      <c r="L51" s="265" t="n">
        <v>4897000</v>
      </c>
      <c r="N51" s="265" t="n">
        <v>4801000</v>
      </c>
      <c r="O51" s="265" t="n">
        <v>4788000</v>
      </c>
      <c r="P51" s="265" t="n">
        <v>4416000</v>
      </c>
      <c r="Q51" s="265" t="n">
        <v>4498000</v>
      </c>
      <c r="S51" s="265" t="n">
        <v>4548000</v>
      </c>
      <c r="T51" s="265" t="n">
        <v>4558000</v>
      </c>
      <c r="U51" s="265" t="n">
        <v>4574000</v>
      </c>
      <c r="V51" s="265" t="n">
        <v>4323000</v>
      </c>
      <c r="X51" s="265" t="n">
        <v>4358000</v>
      </c>
      <c r="Y51" s="265" t="n">
        <v>4315000</v>
      </c>
      <c r="Z51" s="265" t="n">
        <v>4244000</v>
      </c>
      <c r="AA51" s="265" t="n">
        <v>1608000</v>
      </c>
      <c r="AC51" s="265" t="n">
        <v>1424000</v>
      </c>
      <c r="AD51" s="265" t="n">
        <v>1436000</v>
      </c>
    </row>
    <row r="52">
      <c r="A52" t="inlineStr">
        <is>
          <t>MinorityInterest · fonte · unid. moeda</t>
        </is>
      </c>
      <c r="B52" t="n">
        <v>35</v>
      </c>
      <c r="C52" t="inlineStr">
        <is>
          <t>Minority interest</t>
        </is>
      </c>
      <c r="D52" s="265" t="n">
        <v>2909000</v>
      </c>
      <c r="E52" s="265" t="n">
        <v>3008000</v>
      </c>
      <c r="F52" s="265" t="n">
        <v>2981000</v>
      </c>
      <c r="G52" s="265" t="n">
        <v>3285000</v>
      </c>
      <c r="I52" s="265" t="n">
        <v>3362000</v>
      </c>
      <c r="J52" s="265" t="n">
        <v>3385000</v>
      </c>
      <c r="K52" s="265" t="n">
        <v>3418000</v>
      </c>
      <c r="L52" s="265" t="n">
        <v>3678000</v>
      </c>
      <c r="N52" s="265" t="n">
        <v>4509000</v>
      </c>
      <c r="O52" s="265" t="n">
        <v>5015000</v>
      </c>
      <c r="P52" s="265" t="n">
        <v>5070000</v>
      </c>
      <c r="Q52" s="265" t="n">
        <v>5665000</v>
      </c>
      <c r="S52" s="265" t="n">
        <v>5682000</v>
      </c>
      <c r="T52" s="265" t="n">
        <v>5317000</v>
      </c>
      <c r="U52" s="265" t="n">
        <v>5346000</v>
      </c>
      <c r="V52" s="265" t="n">
        <v>5610000</v>
      </c>
      <c r="X52" s="265" t="n">
        <v>5773000</v>
      </c>
      <c r="Y52" s="265" t="n">
        <v>5745000</v>
      </c>
      <c r="Z52" s="265" t="n">
        <v>5782000</v>
      </c>
      <c r="AA52" s="265" t="n">
        <v>5980000</v>
      </c>
      <c r="AC52" s="265" t="n">
        <v>6014000</v>
      </c>
      <c r="AD52" s="265" t="n">
        <v>6066000</v>
      </c>
    </row>
    <row r="53">
      <c r="A53" t="inlineStr">
        <is>
          <t>CommonStockValue · fonte · unid. moeda</t>
        </is>
      </c>
      <c r="B53" t="n">
        <v>37</v>
      </c>
      <c r="C53" t="inlineStr">
        <is>
          <t>Common Stock and APIC</t>
        </is>
      </c>
      <c r="D53" s="265" t="n">
        <v>10000</v>
      </c>
      <c r="E53" s="265" t="n">
        <v>10000</v>
      </c>
      <c r="F53" s="265" t="n">
        <v>10000</v>
      </c>
      <c r="G53" s="265" t="n">
        <v>10000</v>
      </c>
      <c r="I53" s="265" t="n">
        <v>10000</v>
      </c>
      <c r="J53" s="265" t="n">
        <v>10000</v>
      </c>
      <c r="K53" s="265" t="n">
        <v>10000</v>
      </c>
      <c r="L53" s="265" t="n">
        <v>9000</v>
      </c>
      <c r="N53" s="265" t="n">
        <v>9000</v>
      </c>
      <c r="O53" s="265" t="n">
        <v>9000</v>
      </c>
      <c r="P53" s="265" t="n">
        <v>9000</v>
      </c>
      <c r="Q53" s="265" t="n">
        <v>9000</v>
      </c>
      <c r="S53" s="265" t="n">
        <v>9000</v>
      </c>
      <c r="T53" s="265" t="n">
        <v>9000</v>
      </c>
      <c r="U53" s="265" t="n">
        <v>9000</v>
      </c>
      <c r="V53" s="265" t="n">
        <v>9000</v>
      </c>
      <c r="X53" s="265" t="n">
        <v>9000</v>
      </c>
      <c r="Y53" s="265" t="n">
        <v>9000</v>
      </c>
      <c r="Z53" s="265" t="n">
        <v>9000</v>
      </c>
      <c r="AA53" s="265" t="n">
        <v>9000</v>
      </c>
      <c r="AC53" s="265" t="n">
        <v>9000</v>
      </c>
      <c r="AD53" s="265" t="n">
        <v>9000</v>
      </c>
    </row>
    <row r="54">
      <c r="A54" t="inlineStr">
        <is>
          <t>AdditionalPaidInCapital · fonte · unid. moeda</t>
        </is>
      </c>
      <c r="B54" t="n">
        <v>37</v>
      </c>
      <c r="C54" t="inlineStr">
        <is>
          <t>Common Stock and APIC</t>
        </is>
      </c>
      <c r="D54" s="265" t="n">
        <v>0</v>
      </c>
      <c r="E54" s="265" t="n">
        <v>0</v>
      </c>
      <c r="F54" s="265" t="n">
        <v>0</v>
      </c>
      <c r="G54" s="265" t="n">
        <v>0</v>
      </c>
      <c r="I54" s="265" t="n">
        <v>0</v>
      </c>
      <c r="J54" s="265" t="n">
        <v>0</v>
      </c>
      <c r="K54" s="265" t="n">
        <v>0</v>
      </c>
      <c r="L54" s="265" t="n">
        <v>0</v>
      </c>
      <c r="N54" s="265" t="n">
        <v>0</v>
      </c>
      <c r="O54" s="265" t="n">
        <v>0</v>
      </c>
      <c r="P54" s="265" t="n">
        <v>0</v>
      </c>
      <c r="Q54" s="265" t="n">
        <v>0</v>
      </c>
      <c r="S54" s="265" t="n">
        <v>0</v>
      </c>
      <c r="T54" s="265" t="n">
        <v>373000</v>
      </c>
      <c r="U54" s="265" t="n">
        <v>461000</v>
      </c>
      <c r="V54" s="265" t="n">
        <v>0</v>
      </c>
      <c r="X54" s="265" t="n">
        <v>0</v>
      </c>
      <c r="Y54" s="265" t="n">
        <v>0</v>
      </c>
      <c r="Z54" s="265" t="n">
        <v>394000</v>
      </c>
      <c r="AA54" s="265" t="n">
        <v>559000</v>
      </c>
      <c r="AC54" s="265" t="n">
        <v>556000</v>
      </c>
      <c r="AD54" s="265" t="n">
        <v>0</v>
      </c>
    </row>
    <row r="55">
      <c r="A55" t="inlineStr">
        <is>
          <t>AccumulatedOtherComprehensiveIncomeLossNetOfTax · fonte · unid. moeda</t>
        </is>
      </c>
      <c r="B55" t="n">
        <v>39</v>
      </c>
      <c r="C55" t="inlineStr">
        <is>
          <t>Comprehensive (accumulated) loss</t>
        </is>
      </c>
      <c r="D55" s="265" t="n">
        <v>-4826000</v>
      </c>
      <c r="E55" s="265" t="n">
        <v>-4086000</v>
      </c>
      <c r="F55" s="265" t="n">
        <v>-4856000</v>
      </c>
      <c r="G55" s="265" t="n">
        <v>-5384000</v>
      </c>
      <c r="I55" s="265" t="n">
        <v>-6026000</v>
      </c>
      <c r="J55" s="265" t="n">
        <v>-7730000</v>
      </c>
      <c r="K55" s="265" t="n">
        <v>-9086000</v>
      </c>
      <c r="L55" s="265" t="n">
        <v>-8393000</v>
      </c>
      <c r="N55" s="265" t="n">
        <v>-7549000</v>
      </c>
      <c r="O55" s="265" t="n">
        <v>-7650000</v>
      </c>
      <c r="P55" s="265" t="n">
        <v>-8688000</v>
      </c>
      <c r="Q55" s="265" t="n">
        <v>-7027000</v>
      </c>
      <c r="S55" s="265" t="n">
        <v>-3439000</v>
      </c>
      <c r="T55" s="265" t="n">
        <v>-3423000</v>
      </c>
      <c r="U55" s="265" t="n">
        <v>-2453000</v>
      </c>
      <c r="V55" s="265" t="n">
        <v>-3387000</v>
      </c>
      <c r="X55" s="265" t="n">
        <v>-2905000</v>
      </c>
      <c r="Y55" s="265" t="n">
        <v>-2535000</v>
      </c>
      <c r="Z55" s="265" t="n">
        <v>-2211000</v>
      </c>
      <c r="AA55" s="265" t="n">
        <v>-2061000</v>
      </c>
      <c r="AC55" s="265" t="n">
        <v>-2562000</v>
      </c>
      <c r="AD55" s="265" t="n">
        <v>-2519000</v>
      </c>
    </row>
    <row r="56">
      <c r="A56" t="inlineStr">
        <is>
          <t>RetainedEarningsAccumulatedDeficit · fonte · unid. moeda</t>
        </is>
      </c>
      <c r="B56" t="n">
        <v>41</v>
      </c>
      <c r="C56" t="inlineStr">
        <is>
          <t>Retained earnings</t>
        </is>
      </c>
      <c r="D56" s="265" t="n">
        <v>71220000</v>
      </c>
      <c r="E56" s="265" t="n">
        <v>73090000</v>
      </c>
      <c r="F56" s="265" t="n">
        <v>75124000</v>
      </c>
      <c r="G56" s="265" t="n">
        <v>77134000</v>
      </c>
      <c r="I56" s="265" t="n">
        <v>78782000</v>
      </c>
      <c r="J56" s="265" t="n">
        <v>80540000</v>
      </c>
      <c r="K56" s="265" t="n">
        <v>83722000</v>
      </c>
      <c r="L56" s="265" t="n">
        <v>86156000</v>
      </c>
      <c r="N56" s="265" t="n">
        <v>88852000</v>
      </c>
      <c r="O56" s="265" t="n">
        <v>89994000</v>
      </c>
      <c r="P56" s="265" t="n">
        <v>93173000</v>
      </c>
      <c r="Q56" s="265" t="n">
        <v>95774000</v>
      </c>
      <c r="S56" s="265" t="n">
        <v>90118000</v>
      </c>
      <c r="T56" s="265" t="n">
        <v>92400000</v>
      </c>
      <c r="U56" s="265" t="n">
        <v>96518000</v>
      </c>
      <c r="V56" s="265" t="n">
        <v>96036000</v>
      </c>
      <c r="X56" s="265" t="n">
        <v>97934000</v>
      </c>
      <c r="Y56" s="265" t="n">
        <v>97250000</v>
      </c>
      <c r="Z56" s="265" t="n">
        <v>97595000</v>
      </c>
      <c r="AA56" s="265" t="n">
        <v>95603000</v>
      </c>
      <c r="AC56" s="265" t="n">
        <v>99878000</v>
      </c>
      <c r="AD56" s="265" t="n">
        <v>100957000</v>
      </c>
    </row>
    <row r="57">
      <c r="A57" t="inlineStr">
        <is>
          <t>[vazio] Estoques: não aparece como linha própria nas demonstrações (zero) · derivada · unid. moeda</t>
        </is>
      </c>
      <c r="B57" t="n">
        <v>13</v>
      </c>
      <c r="C57" t="inlineStr">
        <is>
          <t>Inventories</t>
        </is>
      </c>
      <c r="D57" s="265" t="n">
        <v>0</v>
      </c>
      <c r="E57" s="265" t="n">
        <v>0</v>
      </c>
      <c r="F57" s="265" t="n">
        <v>0</v>
      </c>
      <c r="G57" s="265" t="n">
        <v>0</v>
      </c>
      <c r="I57" s="265" t="n">
        <v>0</v>
      </c>
      <c r="J57" s="265" t="n">
        <v>0</v>
      </c>
      <c r="K57" s="265" t="n">
        <v>0</v>
      </c>
      <c r="L57" s="265" t="n">
        <v>0</v>
      </c>
      <c r="N57" s="265" t="n">
        <v>0</v>
      </c>
      <c r="O57" s="265" t="n">
        <v>0</v>
      </c>
      <c r="P57" s="265" t="n">
        <v>0</v>
      </c>
      <c r="Q57" s="265" t="n">
        <v>0</v>
      </c>
      <c r="S57" s="265" t="n">
        <v>0</v>
      </c>
      <c r="T57" s="265" t="n">
        <v>0</v>
      </c>
      <c r="U57" s="265" t="n">
        <v>0</v>
      </c>
      <c r="V57" s="265" t="n">
        <v>0</v>
      </c>
      <c r="X57" s="265" t="n">
        <v>0</v>
      </c>
      <c r="Y57" s="265" t="n">
        <v>0</v>
      </c>
      <c r="Z57" s="265" t="n">
        <v>0</v>
      </c>
      <c r="AA57" s="265" t="n">
        <v>0</v>
      </c>
      <c r="AC57" s="265" t="n">
        <v>0</v>
      </c>
      <c r="AD57" s="265" t="n">
        <v>0</v>
      </c>
    </row>
    <row r="58">
      <c r="A58" t="inlineStr">
        <is>
          <t>[vazio] IR diferido ativo: não aparece como linha própria nas demonstrações (zero) · derivada · unid. moeda</t>
        </is>
      </c>
      <c r="B58" t="n">
        <v>14</v>
      </c>
      <c r="C58" t="inlineStr">
        <is>
          <t>Deferred income taxes</t>
        </is>
      </c>
      <c r="D58" s="265" t="n">
        <v>0</v>
      </c>
      <c r="E58" s="265" t="n">
        <v>0</v>
      </c>
      <c r="F58" s="265" t="n">
        <v>0</v>
      </c>
      <c r="G58" s="265" t="n">
        <v>0</v>
      </c>
      <c r="I58" s="265" t="n">
        <v>0</v>
      </c>
      <c r="J58" s="265" t="n">
        <v>0</v>
      </c>
      <c r="K58" s="265" t="n">
        <v>0</v>
      </c>
      <c r="L58" s="265" t="n">
        <v>0</v>
      </c>
      <c r="N58" s="265" t="n">
        <v>0</v>
      </c>
      <c r="O58" s="265" t="n">
        <v>0</v>
      </c>
      <c r="P58" s="265" t="n">
        <v>0</v>
      </c>
      <c r="Q58" s="265" t="n">
        <v>0</v>
      </c>
      <c r="S58" s="265" t="n">
        <v>0</v>
      </c>
      <c r="T58" s="265" t="n">
        <v>0</v>
      </c>
      <c r="U58" s="265" t="n">
        <v>0</v>
      </c>
      <c r="V58" s="265" t="n">
        <v>0</v>
      </c>
      <c r="X58" s="265" t="n">
        <v>0</v>
      </c>
      <c r="Y58" s="265" t="n">
        <v>0</v>
      </c>
      <c r="Z58" s="265" t="n">
        <v>0</v>
      </c>
      <c r="AA58" s="265" t="n">
        <v>0</v>
      </c>
      <c r="AC58" s="265" t="n">
        <v>0</v>
      </c>
      <c r="AD58" s="265" t="n">
        <v>0</v>
      </c>
    </row>
    <row r="59">
      <c r="A59" t="inlineStr">
        <is>
          <t>[vazio] Despesas antecipadas: não aparece como linha própria nas demonstrações (zero) · derivada · unid. moeda</t>
        </is>
      </c>
      <c r="B59" t="n">
        <v>15</v>
      </c>
      <c r="C59" t="inlineStr">
        <is>
          <t>Prepaid expenses</t>
        </is>
      </c>
      <c r="D59" s="265" t="n">
        <v>0</v>
      </c>
      <c r="E59" s="265" t="n">
        <v>0</v>
      </c>
      <c r="F59" s="265" t="n">
        <v>0</v>
      </c>
      <c r="G59" s="265" t="n">
        <v>0</v>
      </c>
      <c r="I59" s="265" t="n">
        <v>0</v>
      </c>
      <c r="J59" s="265" t="n">
        <v>0</v>
      </c>
      <c r="K59" s="265" t="n">
        <v>0</v>
      </c>
      <c r="L59" s="265" t="n">
        <v>0</v>
      </c>
      <c r="N59" s="265" t="n">
        <v>0</v>
      </c>
      <c r="O59" s="265" t="n">
        <v>0</v>
      </c>
      <c r="P59" s="265" t="n">
        <v>0</v>
      </c>
      <c r="Q59" s="265" t="n">
        <v>0</v>
      </c>
      <c r="S59" s="265" t="n">
        <v>0</v>
      </c>
      <c r="T59" s="265" t="n">
        <v>0</v>
      </c>
      <c r="U59" s="265" t="n">
        <v>0</v>
      </c>
      <c r="V59" s="265" t="n">
        <v>0</v>
      </c>
      <c r="X59" s="265" t="n">
        <v>0</v>
      </c>
      <c r="Y59" s="265" t="n">
        <v>0</v>
      </c>
      <c r="Z59" s="265" t="n">
        <v>0</v>
      </c>
      <c r="AA59" s="265" t="n">
        <v>0</v>
      </c>
      <c r="AC59" s="265" t="n">
        <v>0</v>
      </c>
      <c r="AD59" s="265" t="n">
        <v>0</v>
      </c>
    </row>
    <row r="60">
      <c r="A60" t="inlineStr">
        <is>
          <t>[vazio] Investimentos em coligadas: não aparece como linha própria nas demonstrações (zero) · derivada · unid. moeda</t>
        </is>
      </c>
      <c r="B60" t="n">
        <v>17</v>
      </c>
      <c r="C60" t="inlineStr">
        <is>
          <t>Equity in affiliates</t>
        </is>
      </c>
      <c r="D60" s="265" t="n">
        <v>0</v>
      </c>
      <c r="E60" s="265" t="n">
        <v>0</v>
      </c>
      <c r="F60" s="265" t="n">
        <v>0</v>
      </c>
      <c r="G60" s="265" t="n">
        <v>0</v>
      </c>
      <c r="I60" s="265" t="n">
        <v>0</v>
      </c>
      <c r="J60" s="265" t="n">
        <v>0</v>
      </c>
      <c r="K60" s="265" t="n">
        <v>0</v>
      </c>
      <c r="L60" s="265" t="n">
        <v>0</v>
      </c>
      <c r="N60" s="265" t="n">
        <v>0</v>
      </c>
      <c r="O60" s="265" t="n">
        <v>0</v>
      </c>
      <c r="P60" s="265" t="n">
        <v>0</v>
      </c>
      <c r="Q60" s="265" t="n">
        <v>0</v>
      </c>
      <c r="S60" s="265" t="n">
        <v>0</v>
      </c>
      <c r="T60" s="265" t="n">
        <v>0</v>
      </c>
      <c r="U60" s="265" t="n">
        <v>0</v>
      </c>
      <c r="V60" s="265" t="n">
        <v>0</v>
      </c>
      <c r="X60" s="265" t="n">
        <v>0</v>
      </c>
      <c r="Y60" s="265" t="n">
        <v>0</v>
      </c>
      <c r="Z60" s="265" t="n">
        <v>0</v>
      </c>
      <c r="AA60" s="265" t="n">
        <v>0</v>
      </c>
      <c r="AC60" s="265" t="n">
        <v>0</v>
      </c>
      <c r="AD60" s="265" t="n">
        <v>0</v>
      </c>
    </row>
    <row r="61">
      <c r="A61" t="inlineStr">
        <is>
          <t>[vazio] Direito de uso: não aparece como linha própria nas demonstrações (zero) · derivada · unid. moeda</t>
        </is>
      </c>
      <c r="B61" t="n">
        <v>19</v>
      </c>
      <c r="C61" t="inlineStr">
        <is>
          <t>Right-of-use-assets</t>
        </is>
      </c>
      <c r="D61" s="265" t="n">
        <v>0</v>
      </c>
      <c r="E61" s="265" t="n">
        <v>0</v>
      </c>
      <c r="F61" s="265" t="n">
        <v>0</v>
      </c>
      <c r="G61" s="265" t="n">
        <v>0</v>
      </c>
      <c r="I61" s="265" t="n">
        <v>0</v>
      </c>
      <c r="J61" s="265" t="n">
        <v>0</v>
      </c>
      <c r="K61" s="265" t="n">
        <v>0</v>
      </c>
      <c r="L61" s="265" t="n">
        <v>0</v>
      </c>
      <c r="N61" s="265" t="n">
        <v>0</v>
      </c>
      <c r="O61" s="265" t="n">
        <v>0</v>
      </c>
      <c r="P61" s="265" t="n">
        <v>0</v>
      </c>
      <c r="Q61" s="265" t="n">
        <v>0</v>
      </c>
      <c r="S61" s="265" t="n">
        <v>0</v>
      </c>
      <c r="T61" s="265" t="n">
        <v>0</v>
      </c>
      <c r="U61" s="265" t="n">
        <v>0</v>
      </c>
      <c r="V61" s="265" t="n">
        <v>0</v>
      </c>
      <c r="X61" s="265" t="n">
        <v>0</v>
      </c>
      <c r="Y61" s="265" t="n">
        <v>0</v>
      </c>
      <c r="Z61" s="265" t="n">
        <v>0</v>
      </c>
      <c r="AA61" s="265" t="n">
        <v>0</v>
      </c>
      <c r="AC61" s="265" t="n">
        <v>0</v>
      </c>
      <c r="AD61" s="265" t="n">
        <v>0</v>
      </c>
    </row>
    <row r="62">
      <c r="A62" t="inlineStr">
        <is>
          <t>[vazio] Despesas provisionadas: não aparece como linha própria nas demonstrações (zero) · derivada · unid. moeda</t>
        </is>
      </c>
      <c r="B62" t="n">
        <v>24</v>
      </c>
      <c r="C62" t="inlineStr">
        <is>
          <t>Accrued expenses</t>
        </is>
      </c>
      <c r="D62" s="265" t="n">
        <v>0</v>
      </c>
      <c r="E62" s="265" t="n">
        <v>0</v>
      </c>
      <c r="F62" s="265" t="n">
        <v>0</v>
      </c>
      <c r="G62" s="265" t="n">
        <v>0</v>
      </c>
      <c r="I62" s="265" t="n">
        <v>0</v>
      </c>
      <c r="J62" s="265" t="n">
        <v>0</v>
      </c>
      <c r="K62" s="265" t="n">
        <v>0</v>
      </c>
      <c r="L62" s="265" t="n">
        <v>0</v>
      </c>
      <c r="N62" s="265" t="n">
        <v>0</v>
      </c>
      <c r="O62" s="265" t="n">
        <v>0</v>
      </c>
      <c r="P62" s="265" t="n">
        <v>0</v>
      </c>
      <c r="Q62" s="265" t="n">
        <v>0</v>
      </c>
      <c r="S62" s="265" t="n">
        <v>0</v>
      </c>
      <c r="T62" s="265" t="n">
        <v>0</v>
      </c>
      <c r="U62" s="265" t="n">
        <v>0</v>
      </c>
      <c r="V62" s="265" t="n">
        <v>0</v>
      </c>
      <c r="X62" s="265" t="n">
        <v>0</v>
      </c>
      <c r="Y62" s="265" t="n">
        <v>0</v>
      </c>
      <c r="Z62" s="265" t="n">
        <v>0</v>
      </c>
      <c r="AA62" s="265" t="n">
        <v>0</v>
      </c>
      <c r="AC62" s="265" t="n">
        <v>0</v>
      </c>
      <c r="AD62" s="265" t="n">
        <v>0</v>
      </c>
    </row>
    <row r="63">
      <c r="A63" t="inlineStr">
        <is>
          <t>[vazio] Impostos a pagar: não aparece como linha própria nas demonstrações (zero) · derivada · unid. moeda</t>
        </is>
      </c>
      <c r="B63" t="n">
        <v>25</v>
      </c>
      <c r="C63" t="inlineStr">
        <is>
          <t>Taxes payable</t>
        </is>
      </c>
      <c r="D63" s="265" t="n">
        <v>0</v>
      </c>
      <c r="E63" s="265" t="n">
        <v>0</v>
      </c>
      <c r="F63" s="265" t="n">
        <v>0</v>
      </c>
      <c r="G63" s="265" t="n">
        <v>0</v>
      </c>
      <c r="I63" s="265" t="n">
        <v>0</v>
      </c>
      <c r="J63" s="265" t="n">
        <v>0</v>
      </c>
      <c r="K63" s="265" t="n">
        <v>0</v>
      </c>
      <c r="L63" s="265" t="n">
        <v>0</v>
      </c>
      <c r="N63" s="265" t="n">
        <v>0</v>
      </c>
      <c r="O63" s="265" t="n">
        <v>0</v>
      </c>
      <c r="P63" s="265" t="n">
        <v>0</v>
      </c>
      <c r="Q63" s="265" t="n">
        <v>0</v>
      </c>
      <c r="S63" s="265" t="n">
        <v>0</v>
      </c>
      <c r="T63" s="265" t="n">
        <v>0</v>
      </c>
      <c r="U63" s="265" t="n">
        <v>0</v>
      </c>
      <c r="V63" s="265" t="n">
        <v>0</v>
      </c>
      <c r="X63" s="265" t="n">
        <v>0</v>
      </c>
      <c r="Y63" s="265" t="n">
        <v>0</v>
      </c>
      <c r="Z63" s="265" t="n">
        <v>0</v>
      </c>
      <c r="AA63" s="265" t="n">
        <v>0</v>
      </c>
      <c r="AC63" s="265" t="n">
        <v>0</v>
      </c>
      <c r="AD63" s="265" t="n">
        <v>0</v>
      </c>
    </row>
    <row r="64">
      <c r="A64" t="inlineStr">
        <is>
          <t>[vazio] Revolving: não aparece como linha própria nas demonstrações (zero) · derivada · unid. moeda</t>
        </is>
      </c>
      <c r="B64" t="n">
        <v>28</v>
      </c>
      <c r="C64" t="inlineStr">
        <is>
          <t>Short term debt (Revolving credit facility)</t>
        </is>
      </c>
      <c r="D64" s="265" t="n">
        <v>0</v>
      </c>
      <c r="E64" s="265" t="n">
        <v>0</v>
      </c>
      <c r="F64" s="265" t="n">
        <v>0</v>
      </c>
      <c r="G64" s="265" t="n">
        <v>0</v>
      </c>
      <c r="I64" s="265" t="n">
        <v>0</v>
      </c>
      <c r="J64" s="265" t="n">
        <v>0</v>
      </c>
      <c r="K64" s="265" t="n">
        <v>0</v>
      </c>
      <c r="L64" s="265" t="n">
        <v>0</v>
      </c>
      <c r="N64" s="265" t="n">
        <v>0</v>
      </c>
      <c r="O64" s="265" t="n">
        <v>0</v>
      </c>
      <c r="P64" s="265" t="n">
        <v>0</v>
      </c>
      <c r="Q64" s="265" t="n">
        <v>0</v>
      </c>
      <c r="S64" s="265" t="n">
        <v>0</v>
      </c>
      <c r="T64" s="265" t="n">
        <v>0</v>
      </c>
      <c r="U64" s="265" t="n">
        <v>0</v>
      </c>
      <c r="V64" s="265" t="n">
        <v>0</v>
      </c>
      <c r="X64" s="265" t="n">
        <v>0</v>
      </c>
      <c r="Y64" s="265" t="n">
        <v>0</v>
      </c>
      <c r="Z64" s="265" t="n">
        <v>0</v>
      </c>
      <c r="AA64" s="265" t="n">
        <v>0</v>
      </c>
      <c r="AC64" s="265" t="n">
        <v>0</v>
      </c>
      <c r="AD64" s="265" t="n">
        <v>0</v>
      </c>
    </row>
    <row r="65">
      <c r="A65" t="inlineStr">
        <is>
          <t>[vazio] Arrendamento CP: não aparece como linha própria nas demonstrações (zero) · derivada · unid. moeda</t>
        </is>
      </c>
      <c r="B65" t="n">
        <v>29</v>
      </c>
      <c r="C65" t="inlineStr">
        <is>
          <t>Short term operating leases</t>
        </is>
      </c>
      <c r="D65" s="265" t="n">
        <v>0</v>
      </c>
      <c r="E65" s="265" t="n">
        <v>0</v>
      </c>
      <c r="F65" s="265" t="n">
        <v>0</v>
      </c>
      <c r="G65" s="265" t="n">
        <v>0</v>
      </c>
      <c r="I65" s="265" t="n">
        <v>0</v>
      </c>
      <c r="J65" s="265" t="n">
        <v>0</v>
      </c>
      <c r="K65" s="265" t="n">
        <v>0</v>
      </c>
      <c r="L65" s="265" t="n">
        <v>0</v>
      </c>
      <c r="N65" s="265" t="n">
        <v>0</v>
      </c>
      <c r="O65" s="265" t="n">
        <v>0</v>
      </c>
      <c r="P65" s="265" t="n">
        <v>0</v>
      </c>
      <c r="Q65" s="265" t="n">
        <v>0</v>
      </c>
      <c r="S65" s="265" t="n">
        <v>0</v>
      </c>
      <c r="T65" s="265" t="n">
        <v>0</v>
      </c>
      <c r="U65" s="265" t="n">
        <v>0</v>
      </c>
      <c r="V65" s="265" t="n">
        <v>0</v>
      </c>
      <c r="X65" s="265" t="n">
        <v>0</v>
      </c>
      <c r="Y65" s="265" t="n">
        <v>0</v>
      </c>
      <c r="Z65" s="265" t="n">
        <v>0</v>
      </c>
      <c r="AA65" s="265" t="n">
        <v>0</v>
      </c>
      <c r="AC65" s="265" t="n">
        <v>0</v>
      </c>
      <c r="AD65" s="265" t="n">
        <v>0</v>
      </c>
    </row>
    <row r="66">
      <c r="A66" t="inlineStr">
        <is>
          <t>[vazio] Arrendamento LP: não aparece como linha própria nas demonstrações (zero) · derivada · unid. moeda</t>
        </is>
      </c>
      <c r="B66" t="n">
        <v>31</v>
      </c>
      <c r="C66" t="inlineStr">
        <is>
          <t>Long term operating leases</t>
        </is>
      </c>
      <c r="D66" s="265" t="n">
        <v>0</v>
      </c>
      <c r="E66" s="265" t="n">
        <v>0</v>
      </c>
      <c r="F66" s="265" t="n">
        <v>0</v>
      </c>
      <c r="G66" s="265" t="n">
        <v>0</v>
      </c>
      <c r="I66" s="265" t="n">
        <v>0</v>
      </c>
      <c r="J66" s="265" t="n">
        <v>0</v>
      </c>
      <c r="K66" s="265" t="n">
        <v>0</v>
      </c>
      <c r="L66" s="265" t="n">
        <v>0</v>
      </c>
      <c r="N66" s="265" t="n">
        <v>0</v>
      </c>
      <c r="O66" s="265" t="n">
        <v>0</v>
      </c>
      <c r="P66" s="265" t="n">
        <v>0</v>
      </c>
      <c r="Q66" s="265" t="n">
        <v>0</v>
      </c>
      <c r="S66" s="265" t="n">
        <v>0</v>
      </c>
      <c r="T66" s="265" t="n">
        <v>0</v>
      </c>
      <c r="U66" s="265" t="n">
        <v>0</v>
      </c>
      <c r="V66" s="265" t="n">
        <v>0</v>
      </c>
      <c r="X66" s="265" t="n">
        <v>0</v>
      </c>
      <c r="Y66" s="265" t="n">
        <v>0</v>
      </c>
      <c r="Z66" s="265" t="n">
        <v>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[vazio] Dívida conversível: não aparece como linha própria nas demonstrações (zero) · derivada · unid. moeda</t>
        </is>
      </c>
      <c r="B67" t="n">
        <v>32</v>
      </c>
      <c r="C67" t="inlineStr">
        <is>
          <t>Convertible debt</t>
        </is>
      </c>
      <c r="D67" s="265" t="n">
        <v>0</v>
      </c>
      <c r="E67" s="265" t="n">
        <v>0</v>
      </c>
      <c r="F67" s="265" t="n">
        <v>0</v>
      </c>
      <c r="G67" s="265" t="n">
        <v>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0</v>
      </c>
      <c r="T67" s="265" t="n">
        <v>0</v>
      </c>
      <c r="U67" s="265" t="n">
        <v>0</v>
      </c>
      <c r="V67" s="265" t="n">
        <v>0</v>
      </c>
      <c r="X67" s="265" t="n">
        <v>0</v>
      </c>
      <c r="Y67" s="265" t="n">
        <v>0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[vazio] Tesouraria: não aparece como linha própria nas demonstrações (zero) · derivada · unid. moeda</t>
        </is>
      </c>
      <c r="B68" t="n">
        <v>38</v>
      </c>
      <c r="C68" t="inlineStr">
        <is>
          <t>Treasury stock (contra account)</t>
        </is>
      </c>
      <c r="D68" s="265" t="n">
        <v>0</v>
      </c>
      <c r="E68" s="265" t="n">
        <v>0</v>
      </c>
      <c r="F68" s="265" t="n">
        <v>0</v>
      </c>
      <c r="G68" s="265" t="n">
        <v>0</v>
      </c>
      <c r="I68" s="265" t="n">
        <v>0</v>
      </c>
      <c r="J68" s="265" t="n">
        <v>0</v>
      </c>
      <c r="K68" s="265" t="n">
        <v>0</v>
      </c>
      <c r="L68" s="265" t="n">
        <v>0</v>
      </c>
      <c r="N68" s="265" t="n">
        <v>0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0</v>
      </c>
      <c r="U68" s="265" t="n">
        <v>0</v>
      </c>
      <c r="V68" s="265" t="n">
        <v>0</v>
      </c>
      <c r="X68" s="265" t="n">
        <v>0</v>
      </c>
      <c r="Y68" s="265" t="n">
        <v>0</v>
      </c>
      <c r="Z68" s="265" t="n">
        <v>0</v>
      </c>
      <c r="AA68" s="265" t="n">
        <v>0</v>
      </c>
      <c r="AC68" s="265" t="n">
        <v>0</v>
      </c>
      <c r="AD68" s="265" t="n">
        <v>0</v>
      </c>
    </row>
    <row r="69">
      <c r="A69" t="inlineStr">
        <is>
          <t>[vazio] Outras contas do PL: não aparece como linha própria nas demonstrações (zero) · derivada · unid. moeda</t>
        </is>
      </c>
      <c r="B69" t="n">
        <v>40</v>
      </c>
      <c r="C69" t="inlineStr">
        <is>
          <t>Other equity account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BALANÇO - totais divulgados (memória)</t>
        </is>
      </c>
      <c r="C70" t="inlineStr">
        <is>
          <t>[linha bruta, sem código; lançada nas linhas abaixo]</t>
        </is>
      </c>
      <c r="D70" s="265" t="n"/>
      <c r="E70" s="265" t="n"/>
      <c r="F70" s="265" t="n"/>
      <c r="G70" s="265" t="n"/>
      <c r="I70" s="265" t="n"/>
      <c r="J70" s="265" t="n"/>
      <c r="K70" s="265" t="n"/>
      <c r="L70" s="265" t="n"/>
      <c r="N70" s="265" t="n"/>
      <c r="O70" s="265" t="n"/>
      <c r="P70" s="265" t="n"/>
      <c r="Q70" s="265" t="n"/>
      <c r="S70" s="265" t="n"/>
      <c r="T70" s="265" t="n"/>
      <c r="U70" s="265" t="n"/>
      <c r="V70" s="265" t="n"/>
      <c r="X70" s="265" t="n"/>
      <c r="Y70" s="265" t="n"/>
      <c r="Z70" s="265" t="n"/>
      <c r="AA70" s="265" t="n"/>
      <c r="AC70" s="265" t="n"/>
      <c r="AD70" s="265" t="n"/>
    </row>
    <row r="71">
      <c r="A71" t="inlineStr">
        <is>
          <t>Total do ativo [us-gaap:Assets] · memoria · unid. moeda</t>
        </is>
      </c>
      <c r="C71" t="inlineStr">
        <is>
          <t>[linha bruta, sem código; lançada nas linhas abaixo]</t>
        </is>
      </c>
      <c r="D71" s="265" t="n">
        <v>205171000</v>
      </c>
      <c r="E71" s="265" t="n">
        <v>210292000</v>
      </c>
      <c r="F71" s="265" t="n">
        <v>213045000</v>
      </c>
      <c r="G71" s="265" t="n">
        <v>212206000</v>
      </c>
      <c r="I71" s="265" t="n">
        <v>221238000</v>
      </c>
      <c r="J71" s="265" t="n">
        <v>230172000</v>
      </c>
      <c r="K71" s="265" t="n">
        <v>243064000</v>
      </c>
      <c r="L71" s="265" t="n">
        <v>245705000</v>
      </c>
      <c r="N71" s="265" t="n">
        <v>283679000</v>
      </c>
      <c r="O71" s="265" t="n">
        <v>280164000</v>
      </c>
      <c r="P71" s="265" t="n">
        <v>282063000</v>
      </c>
      <c r="Q71" s="265" t="n">
        <v>273720000</v>
      </c>
      <c r="S71" s="265" t="n">
        <v>284210000</v>
      </c>
      <c r="T71" s="265" t="n">
        <v>286056000</v>
      </c>
      <c r="U71" s="265" t="n">
        <v>299309000</v>
      </c>
      <c r="V71" s="265" t="n">
        <v>298278000</v>
      </c>
      <c r="X71" s="265" t="n">
        <v>309790000</v>
      </c>
      <c r="Y71" s="265" t="n">
        <v>308573000</v>
      </c>
      <c r="Z71" s="265" t="n">
        <v>315269000</v>
      </c>
      <c r="AA71" s="265" t="n">
        <v>309581000</v>
      </c>
      <c r="AC71" s="265" t="n">
        <v>312644000</v>
      </c>
      <c r="AD71" s="265" t="n">
        <v>309727000</v>
      </c>
    </row>
    <row r="72">
      <c r="A72" t="inlineStr">
        <is>
          <t>Total do passivo + PL [us-gaap:LiabilitiesAndStockholdersEquity] · memoria · unid. moeda</t>
        </is>
      </c>
      <c r="C72" t="inlineStr">
        <is>
          <t>[linha bruta, sem código; lançada nas linhas abaixo]</t>
        </is>
      </c>
      <c r="D72" s="265" t="n">
        <v>205171000</v>
      </c>
      <c r="E72" s="265" t="n">
        <v>210292000</v>
      </c>
      <c r="F72" s="265" t="n">
        <v>213045000</v>
      </c>
      <c r="G72" s="265" t="n">
        <v>212206000</v>
      </c>
      <c r="I72" s="265" t="n">
        <v>221238000</v>
      </c>
      <c r="J72" s="265" t="n">
        <v>230172000</v>
      </c>
      <c r="K72" s="265" t="n">
        <v>243064000</v>
      </c>
      <c r="L72" s="265" t="n">
        <v>245705000</v>
      </c>
      <c r="N72" s="265" t="n">
        <v>283679000</v>
      </c>
      <c r="O72" s="265" t="n">
        <v>280164000</v>
      </c>
      <c r="P72" s="265" t="n">
        <v>282063000</v>
      </c>
      <c r="Q72" s="265" t="n">
        <v>273720000</v>
      </c>
      <c r="S72" s="265" t="n">
        <v>284210000</v>
      </c>
      <c r="T72" s="265" t="n">
        <v>286056000</v>
      </c>
      <c r="U72" s="265" t="n">
        <v>299309000</v>
      </c>
      <c r="V72" s="265" t="n">
        <v>298278000</v>
      </c>
      <c r="X72" s="265" t="n">
        <v>309790000</v>
      </c>
      <c r="Y72" s="265" t="n">
        <v>308573000</v>
      </c>
      <c r="Z72" s="265" t="n">
        <v>315269000</v>
      </c>
      <c r="AA72" s="265" t="n">
        <v>309581000</v>
      </c>
      <c r="AC72" s="265" t="n">
        <v>312644000</v>
      </c>
      <c r="AD72" s="265" t="n">
        <v>309727000</v>
      </c>
    </row>
    <row r="73">
      <c r="A73" t="inlineStr">
        <is>
          <t>CHECKS (devem ser 0)</t>
        </is>
      </c>
      <c r="C73" t="inlineStr">
        <is>
          <t>[linha bruta, sem código; lançada nas linhas abaixo]</t>
        </is>
      </c>
      <c r="D73" s="265" t="n"/>
      <c r="E73" s="265" t="n"/>
      <c r="F73" s="265" t="n"/>
      <c r="G73" s="265" t="n"/>
      <c r="I73" s="265" t="n"/>
      <c r="J73" s="265" t="n"/>
      <c r="K73" s="265" t="n"/>
      <c r="L73" s="265" t="n"/>
      <c r="N73" s="265" t="n"/>
      <c r="O73" s="265" t="n"/>
      <c r="P73" s="265" t="n"/>
      <c r="Q73" s="265" t="n"/>
      <c r="S73" s="265" t="n"/>
      <c r="T73" s="265" t="n"/>
      <c r="U73" s="265" t="n"/>
      <c r="V73" s="265" t="n"/>
      <c r="X73" s="265" t="n"/>
      <c r="Y73" s="265" t="n"/>
      <c r="Z73" s="265" t="n"/>
      <c r="AA73" s="265" t="n"/>
      <c r="AC73" s="265" t="n"/>
      <c r="AD73" s="265" t="n"/>
    </row>
    <row r="74">
      <c r="A74" t="inlineStr">
        <is>
          <t>CHECK: contas de ativo - ativo total (USD, arredondado a 100 mil) · derivada · unid. moeda</t>
        </is>
      </c>
      <c r="C74" t="inlineStr">
        <is>
          <t>[linha bruta, sem código; lançada nas linhas abaixo]</t>
        </is>
      </c>
      <c r="D74" s="265">
        <f>ROUND(N(D30)+N(D31)+N(D32)+N(D33)+N(D34)+N(D35)+N(D36)+N(D37)+N(D38)+N(D39)+N(D40)+N(D41)-N(D71),-2)</f>
        <v>0</v>
      </c>
      <c r="E74" s="265">
        <f>ROUND(N(E30)+N(E31)+N(E32)+N(E33)+N(E34)+N(E35)+N(E36)+N(E37)+N(E38)+N(E39)+N(E40)+N(E41)-N(E71),-2)</f>
        <v>0</v>
      </c>
      <c r="F74" s="265">
        <f>ROUND(N(F30)+N(F31)+N(F32)+N(F33)+N(F34)+N(F35)+N(F36)+N(F37)+N(F38)+N(F39)+N(F40)+N(F41)-N(F71),-2)</f>
        <v>0</v>
      </c>
      <c r="G74" s="265">
        <f>ROUND(N(G30)+N(G31)+N(G32)+N(G33)+N(G34)+N(G35)+N(G36)+N(G37)+N(G38)+N(G39)+N(G40)+N(G41)-N(G71),-2)</f>
        <v>0</v>
      </c>
      <c r="I74" s="265">
        <f>ROUND(N(I30)+N(I31)+N(I32)+N(I33)+N(I34)+N(I35)+N(I36)+N(I37)+N(I38)+N(I39)+N(I40)+N(I41)-N(I71),-2)</f>
        <v>0</v>
      </c>
      <c r="J74" s="265">
        <f>ROUND(N(J30)+N(J31)+N(J32)+N(J33)+N(J34)+N(J35)+N(J36)+N(J37)+N(J38)+N(J39)+N(J40)+N(J41)-N(J71),-2)</f>
        <v>0</v>
      </c>
      <c r="K74" s="265">
        <f>ROUND(N(K30)+N(K31)+N(K32)+N(K33)+N(K34)+N(K35)+N(K36)+N(K37)+N(K38)+N(K39)+N(K40)+N(K41)-N(K71),-2)</f>
        <v>0</v>
      </c>
      <c r="L74" s="265">
        <f>ROUND(N(L30)+N(L31)+N(L32)+N(L33)+N(L34)+N(L35)+N(L36)+N(L37)+N(L38)+N(L39)+N(L40)+N(L41)-N(L71),-2)</f>
        <v>0</v>
      </c>
      <c r="N74" s="265">
        <f>ROUND(N(N30)+N(N31)+N(N32)+N(N33)+N(N34)+N(N35)+N(N36)+N(N37)+N(N38)+N(N39)+N(N40)+N(N41)-N(N71),-2)</f>
        <v>0</v>
      </c>
      <c r="O74" s="265">
        <f>ROUND(N(O30)+N(O31)+N(O32)+N(O33)+N(O34)+N(O35)+N(O36)+N(O37)+N(O38)+N(O39)+N(O40)+N(O41)-N(O71),-2)</f>
        <v>0</v>
      </c>
      <c r="P74" s="265">
        <f>ROUND(N(P30)+N(P31)+N(P32)+N(P33)+N(P34)+N(P35)+N(P36)+N(P37)+N(P38)+N(P39)+N(P40)+N(P41)-N(P71),-2)</f>
        <v>0</v>
      </c>
      <c r="Q74" s="265">
        <f>ROUND(N(Q30)+N(Q31)+N(Q32)+N(Q33)+N(Q34)+N(Q35)+N(Q36)+N(Q37)+N(Q38)+N(Q39)+N(Q40)+N(Q41)-N(Q71),-2)</f>
        <v>0</v>
      </c>
      <c r="S74" s="265">
        <f>ROUND(N(S30)+N(S31)+N(S32)+N(S33)+N(S34)+N(S35)+N(S36)+N(S37)+N(S38)+N(S39)+N(S40)+N(S41)-N(S71),-2)</f>
        <v>0</v>
      </c>
      <c r="T74" s="265">
        <f>ROUND(N(T30)+N(T31)+N(T32)+N(T33)+N(T34)+N(T35)+N(T36)+N(T37)+N(T38)+N(T39)+N(T40)+N(T41)-N(T71),-2)</f>
        <v>0</v>
      </c>
      <c r="U74" s="265">
        <f>ROUND(N(U30)+N(U31)+N(U32)+N(U33)+N(U34)+N(U35)+N(U36)+N(U37)+N(U38)+N(U39)+N(U40)+N(U41)-N(U71),-2)</f>
        <v>0</v>
      </c>
      <c r="V74" s="265">
        <f>ROUND(N(V30)+N(V31)+N(V32)+N(V33)+N(V34)+N(V35)+N(V36)+N(V37)+N(V38)+N(V39)+N(V40)+N(V41)-N(V71),-2)</f>
        <v>0</v>
      </c>
      <c r="X74" s="265">
        <f>ROUND(N(X30)+N(X31)+N(X32)+N(X33)+N(X34)+N(X35)+N(X36)+N(X37)+N(X38)+N(X39)+N(X40)+N(X41)-N(X71),-2)</f>
        <v>0</v>
      </c>
      <c r="Y74" s="265">
        <f>ROUND(N(Y30)+N(Y31)+N(Y32)+N(Y33)+N(Y34)+N(Y35)+N(Y36)+N(Y37)+N(Y38)+N(Y39)+N(Y40)+N(Y41)-N(Y71),-2)</f>
        <v>0</v>
      </c>
      <c r="Z74" s="265">
        <f>ROUND(N(Z30)+N(Z31)+N(Z32)+N(Z33)+N(Z34)+N(Z35)+N(Z36)+N(Z37)+N(Z38)+N(Z39)+N(Z40)+N(Z41)-N(Z71),-2)</f>
        <v>0</v>
      </c>
      <c r="AA74" s="265">
        <f>ROUND(N(AA30)+N(AA31)+N(AA32)+N(AA33)+N(AA34)+N(AA35)+N(AA36)+N(AA37)+N(AA38)+N(AA39)+N(AA40)+N(AA41)-N(AA71),-2)</f>
        <v>0</v>
      </c>
      <c r="AC74" s="265">
        <f>ROUND(N(AC30)+N(AC31)+N(AC32)+N(AC33)+N(AC34)+N(AC35)+N(AC36)+N(AC37)+N(AC38)+N(AC39)+N(AC40)+N(AC41)-N(AC71),-2)</f>
        <v>0</v>
      </c>
      <c r="AD74" s="265">
        <f>ROUND(N(AD30)+N(AD31)+N(AD32)+N(AD33)+N(AD34)+N(AD35)+N(AD36)+N(AD37)+N(AD38)+N(AD39)+N(AD40)+N(AD41)-N(AD71),-2)</f>
        <v>0</v>
      </c>
    </row>
    <row r="75">
      <c r="A75" t="inlineStr">
        <is>
          <t>CHECK: passivo + PL (contas) - passivo + PL total · derivada · unid. moeda</t>
        </is>
      </c>
      <c r="C75" t="inlineStr">
        <is>
          <t>[linha bruta, sem código; lançada nas linhas abaixo]</t>
        </is>
      </c>
      <c r="D75" s="265">
        <f>ROUND(N(D42)+N(D43)+N(D44)+N(D45)+N(D46)+N(D47)+N(D48)+N(D49)+N(D50)+N(D51)+N(D52)+N(D53)+N(D54)+N(D55)+N(D56)-N(D72),-2)</f>
        <v>0</v>
      </c>
      <c r="E75" s="265">
        <f>ROUND(N(E42)+N(E43)+N(E44)+N(E45)+N(E46)+N(E47)+N(E48)+N(E49)+N(E50)+N(E51)+N(E52)+N(E53)+N(E54)+N(E55)+N(E56)-N(E72),-2)</f>
        <v>0</v>
      </c>
      <c r="F75" s="265">
        <f>ROUND(N(F42)+N(F43)+N(F44)+N(F45)+N(F46)+N(F47)+N(F48)+N(F49)+N(F50)+N(F51)+N(F52)+N(F53)+N(F54)+N(F55)+N(F56)-N(F72),-2)</f>
        <v>0</v>
      </c>
      <c r="G75" s="265">
        <f>ROUND(N(G42)+N(G43)+N(G44)+N(G45)+N(G46)+N(G47)+N(G48)+N(G49)+N(G50)+N(G51)+N(G52)+N(G53)+N(G54)+N(G55)+N(G56)-N(G72),-2)</f>
        <v>0</v>
      </c>
      <c r="I75" s="265">
        <f>ROUND(N(I42)+N(I43)+N(I44)+N(I45)+N(I46)+N(I47)+N(I48)+N(I49)+N(I50)+N(I51)+N(I52)+N(I53)+N(I54)+N(I55)+N(I56)-N(I72),-2)</f>
        <v>0</v>
      </c>
      <c r="J75" s="265">
        <f>ROUND(N(J42)+N(J43)+N(J44)+N(J45)+N(J46)+N(J47)+N(J48)+N(J49)+N(J50)+N(J51)+N(J52)+N(J53)+N(J54)+N(J55)+N(J56)-N(J72),-2)</f>
        <v>0</v>
      </c>
      <c r="K75" s="265">
        <f>ROUND(N(K42)+N(K43)+N(K44)+N(K45)+N(K46)+N(K47)+N(K48)+N(K49)+N(K50)+N(K51)+N(K52)+N(K53)+N(K54)+N(K55)+N(K56)-N(K72),-2)</f>
        <v>0</v>
      </c>
      <c r="L75" s="265">
        <f>ROUND(N(L42)+N(L43)+N(L44)+N(L45)+N(L46)+N(L47)+N(L48)+N(L49)+N(L50)+N(L51)+N(L52)+N(L53)+N(L54)+N(L55)+N(L56)-N(L72),-2)</f>
        <v>0</v>
      </c>
      <c r="N75" s="265">
        <f>ROUND(N(N42)+N(N43)+N(N44)+N(N45)+N(N46)+N(N47)+N(N48)+N(N49)+N(N50)+N(N51)+N(N52)+N(N53)+N(N54)+N(N55)+N(N56)-N(N72),-2)</f>
        <v>0</v>
      </c>
      <c r="O75" s="265">
        <f>ROUND(N(O42)+N(O43)+N(O44)+N(O45)+N(O46)+N(O47)+N(O48)+N(O49)+N(O50)+N(O51)+N(O52)+N(O53)+N(O54)+N(O55)+N(O56)-N(O72),-2)</f>
        <v>0</v>
      </c>
      <c r="P75" s="265">
        <f>ROUND(N(P42)+N(P43)+N(P44)+N(P45)+N(P46)+N(P47)+N(P48)+N(P49)+N(P50)+N(P51)+N(P52)+N(P53)+N(P54)+N(P55)+N(P56)-N(P72),-2)</f>
        <v>0</v>
      </c>
      <c r="Q75" s="265">
        <f>ROUND(N(Q42)+N(Q43)+N(Q44)+N(Q45)+N(Q46)+N(Q47)+N(Q48)+N(Q49)+N(Q50)+N(Q51)+N(Q52)+N(Q53)+N(Q54)+N(Q55)+N(Q56)-N(Q72),-2)</f>
        <v>0</v>
      </c>
      <c r="S75" s="265">
        <f>ROUND(N(S42)+N(S43)+N(S44)+N(S45)+N(S46)+N(S47)+N(S48)+N(S49)+N(S50)+N(S51)+N(S52)+N(S53)+N(S54)+N(S55)+N(S56)-N(S72),-2)</f>
        <v>0</v>
      </c>
      <c r="T75" s="265">
        <f>ROUND(N(T42)+N(T43)+N(T44)+N(T45)+N(T46)+N(T47)+N(T48)+N(T49)+N(T50)+N(T51)+N(T52)+N(T53)+N(T54)+N(T55)+N(T56)-N(T72),-2)</f>
        <v>0</v>
      </c>
      <c r="U75" s="265">
        <f>ROUND(N(U42)+N(U43)+N(U44)+N(U45)+N(U46)+N(U47)+N(U48)+N(U49)+N(U50)+N(U51)+N(U52)+N(U53)+N(U54)+N(U55)+N(U56)-N(U72),-2)</f>
        <v>0</v>
      </c>
      <c r="V75" s="265">
        <f>ROUND(N(V42)+N(V43)+N(V44)+N(V45)+N(V46)+N(V47)+N(V48)+N(V49)+N(V50)+N(V51)+N(V52)+N(V53)+N(V54)+N(V55)+N(V56)-N(V72),-2)</f>
        <v>0</v>
      </c>
      <c r="X75" s="265">
        <f>ROUND(N(X42)+N(X43)+N(X44)+N(X45)+N(X46)+N(X47)+N(X48)+N(X49)+N(X50)+N(X51)+N(X52)+N(X53)+N(X54)+N(X55)+N(X56)-N(X72),-2)</f>
        <v>0</v>
      </c>
      <c r="Y75" s="265">
        <f>ROUND(N(Y42)+N(Y43)+N(Y44)+N(Y45)+N(Y46)+N(Y47)+N(Y48)+N(Y49)+N(Y50)+N(Y51)+N(Y52)+N(Y53)+N(Y54)+N(Y55)+N(Y56)-N(Y72),-2)</f>
        <v>0</v>
      </c>
      <c r="Z75" s="265">
        <f>ROUND(N(Z42)+N(Z43)+N(Z44)+N(Z45)+N(Z46)+N(Z47)+N(Z48)+N(Z49)+N(Z50)+N(Z51)+N(Z52)+N(Z53)+N(Z54)+N(Z55)+N(Z56)-N(Z72),-2)</f>
        <v>0</v>
      </c>
      <c r="AA75" s="265">
        <f>ROUND(N(AA42)+N(AA43)+N(AA44)+N(AA45)+N(AA46)+N(AA47)+N(AA48)+N(AA49)+N(AA50)+N(AA51)+N(AA52)+N(AA53)+N(AA54)+N(AA55)+N(AA56)-N(AA72),-2)</f>
        <v>0</v>
      </c>
      <c r="AC75" s="265">
        <f>ROUND(N(AC42)+N(AC43)+N(AC44)+N(AC45)+N(AC46)+N(AC47)+N(AC48)+N(AC49)+N(AC50)+N(AC51)+N(AC52)+N(AC53)+N(AC54)+N(AC55)+N(AC56)-N(AC72),-2)</f>
        <v>0</v>
      </c>
      <c r="AD75" s="265">
        <f>ROUND(N(AD42)+N(AD43)+N(AD44)+N(AD45)+N(AD46)+N(AD47)+N(AD48)+N(AD49)+N(AD50)+N(AD51)+N(AD52)+N(AD53)+N(AD54)+N(AD55)+N(AD56)-N(AD72),-2)</f>
        <v>0</v>
      </c>
    </row>
    <row r="76">
      <c r="A76" t="inlineStr">
        <is>
          <t>CHECK: receita - custo - despesas + não operacional - IR - minoritários + outros após IR - lucro (deve ser 0) · derivada</t>
        </is>
      </c>
      <c r="C76" t="inlineStr">
        <is>
          <t>[linha bruta, sem código; lançada nas linhas abaixo]</t>
        </is>
      </c>
      <c r="D76" s="265">
        <f>ROUND(N(D5)-N(D6)-N(D9)+N(D12)-N(D16)-N(D18)+N(D21)-N(D22),-2)</f>
        <v>0</v>
      </c>
      <c r="E76" s="265">
        <f>ROUND(N(E5)-N(E6)-N(E9)+N(E12)-N(E16)-N(E18)+N(E21)-N(E22),-2)</f>
        <v>0</v>
      </c>
      <c r="F76" s="265">
        <f>ROUND(N(F5)-N(F6)-N(F9)+N(F12)-N(F16)-N(F18)+N(F21)-N(F22),-2)</f>
        <v>0</v>
      </c>
      <c r="G76" s="265">
        <f>ROUND(N(G5)-N(G6)-N(G9)+N(G12)-N(G16)-N(G18)+N(G21)-N(G22),-2)</f>
        <v>0</v>
      </c>
      <c r="I76" s="265">
        <f>ROUND(N(I5)-N(I6)-N(I9)+N(I12)-N(I16)-N(I18)+N(I21)-N(I22),-2)</f>
        <v>0</v>
      </c>
      <c r="J76" s="265">
        <f>ROUND(N(J5)-N(J6)-N(J9)+N(J12)-N(J16)-N(J18)+N(J21)-N(J22),-2)</f>
        <v>0</v>
      </c>
      <c r="K76" s="265">
        <f>ROUND(N(K5)-N(K6)-N(K9)+N(K12)-N(K16)-N(K18)+N(K21)-N(K22),-2)</f>
        <v>0</v>
      </c>
      <c r="L76" s="265">
        <f>ROUND(N(L5)-N(L6)-N(L9)+N(L12)-N(L16)-N(L18)+N(L21)-N(L22),-2)</f>
        <v>0</v>
      </c>
      <c r="N76" s="265">
        <f>ROUND(N(N5)-N(N6)-N(N9)+N(N12)-N(N16)-N(N18)+N(N21)-N(N22),-2)</f>
        <v>0</v>
      </c>
      <c r="O76" s="265">
        <f>ROUND(N(O5)-N(O6)-N(O9)+N(O12)-N(O16)-N(O18)+N(O21)-N(O22),-2)</f>
        <v>0</v>
      </c>
      <c r="P76" s="265">
        <f>ROUND(N(P5)-N(P6)-N(P9)+N(P12)-N(P16)-N(P18)+N(P21)-N(P22),-2)</f>
        <v>0</v>
      </c>
      <c r="Q76" s="265">
        <f>ROUND(N(Q5)-N(Q6)-N(Q9)+N(Q12)-N(Q16)-N(Q18)+N(Q21)-N(Q22),-2)</f>
        <v>0</v>
      </c>
      <c r="S76" s="265">
        <f>ROUND(N(S5)-N(S6)-N(S9)+N(S12)-N(S16)-N(S18)+N(S21)-N(S22),-2)</f>
        <v>0</v>
      </c>
      <c r="T76" s="265">
        <f>ROUND(N(T5)-N(T6)-N(T9)+N(T12)-N(T16)-N(T18)+N(T21)-N(T22),-2)</f>
        <v>0</v>
      </c>
      <c r="U76" s="265">
        <f>ROUND(N(U5)-N(U6)-N(U9)+N(U12)-N(U16)-N(U18)+N(U21)-N(U22),-2)</f>
        <v>0</v>
      </c>
      <c r="V76" s="265">
        <f>ROUND(N(V5)-N(V6)-N(V9)+N(V12)-N(V16)-N(V18)+N(V21)-N(V22),-2)</f>
        <v>0</v>
      </c>
      <c r="X76" s="265">
        <f>ROUND(N(X5)-N(X6)-N(X9)+N(X12)-N(X16)-N(X18)+N(X21)-N(X22),-2)</f>
        <v>0</v>
      </c>
      <c r="Y76" s="265">
        <f>ROUND(N(Y5)-N(Y6)-N(Y9)+N(Y12)-N(Y16)-N(Y18)+N(Y21)-N(Y22),-2)</f>
        <v>0</v>
      </c>
      <c r="Z76" s="265">
        <f>ROUND(N(Z5)-N(Z6)-N(Z9)+N(Z12)-N(Z16)-N(Z18)+N(Z21)-N(Z22),-2)</f>
        <v>0</v>
      </c>
      <c r="AA76" s="265">
        <f>ROUND(N(AA5)-N(AA6)-N(AA9)+N(AA12)-N(AA16)-N(AA18)+N(AA21)-N(AA22),-2)</f>
        <v>0</v>
      </c>
      <c r="AC76" s="265">
        <f>ROUND(N(AC5)-N(AC6)-N(AC9)+N(AC12)-N(AC16)-N(AC18)+N(AC21)-N(AC22),-2)</f>
        <v>0</v>
      </c>
      <c r="AD76" s="265">
        <f>ROUND(N(AD5)-N(AD6)-N(AD9)+N(AD12)-N(AD16)-N(AD18)+N(AD21)-N(AD22),-2)</f>
        <v>0</v>
      </c>
    </row>
    <row r="77">
      <c r="D77" s="265" t="n"/>
      <c r="E77" s="265" t="n"/>
      <c r="F77" s="265" t="n"/>
      <c r="G77" s="265" t="n"/>
      <c r="I77" s="265" t="n"/>
      <c r="J77" s="265" t="n"/>
      <c r="K77" s="265" t="n"/>
      <c r="L77" s="265" t="n"/>
      <c r="N77" s="265" t="n"/>
      <c r="O77" s="265" t="n"/>
      <c r="P77" s="265" t="n"/>
      <c r="Q77" s="265" t="n"/>
      <c r="S77" s="265" t="n"/>
      <c r="T77" s="265" t="n"/>
      <c r="U77" s="265" t="n"/>
      <c r="V77" s="265" t="n"/>
      <c r="X77" s="265" t="n"/>
      <c r="Y77" s="265" t="n"/>
      <c r="Z77" s="265" t="n"/>
      <c r="AA77" s="265" t="n"/>
      <c r="AC77" s="265" t="n"/>
      <c r="AD77" s="265" t="n"/>
    </row>
    <row r="78">
      <c r="A78" t="inlineStr">
        <is>
          <t>DRIVERS DE RECEITA (codigos 45+): UnitedHealthcare, Optum Health, Optum Insight, Optum Rx (receita total do segmento e lucro operacional), total Optum e produtos x serviços - SEC XBRL (USD, fator 0,000001).</t>
        </is>
      </c>
      <c r="C78" t="inlineStr">
        <is>
          <t>[linha bruta, sem código; lançada nas linhas abaixo]</t>
        </is>
      </c>
      <c r="D78" s="265" t="n"/>
      <c r="E78" s="265" t="n"/>
      <c r="F78" s="265" t="n"/>
      <c r="G78" s="265" t="n"/>
      <c r="I78" s="265" t="n"/>
      <c r="J78" s="265" t="n"/>
      <c r="K78" s="265" t="n"/>
      <c r="L78" s="265" t="n"/>
      <c r="N78" s="265" t="n"/>
      <c r="O78" s="265" t="n"/>
      <c r="P78" s="265" t="n"/>
      <c r="Q78" s="265" t="n"/>
      <c r="S78" s="265" t="n"/>
      <c r="T78" s="265" t="n"/>
      <c r="U78" s="265" t="n"/>
      <c r="V78" s="265" t="n"/>
      <c r="X78" s="265" t="n"/>
      <c r="Y78" s="265" t="n"/>
      <c r="Z78" s="265" t="n"/>
      <c r="AA78" s="265" t="n"/>
      <c r="AC78" s="265" t="n"/>
      <c r="AD78" s="265" t="n"/>
    </row>
    <row r="79">
      <c r="A79" t="inlineStr">
        <is>
          <t>UnitedHealthcare - receita (USD) · fonte · unid. moeda</t>
        </is>
      </c>
      <c r="B79" t="n">
        <v>45</v>
      </c>
      <c r="C79" t="inlineStr">
        <is>
          <t>UnitedHealthcare - receita (USD)</t>
        </is>
      </c>
      <c r="D79" s="265" t="n">
        <v>55114000</v>
      </c>
      <c r="E79" s="265" t="n">
        <v>55474000</v>
      </c>
      <c r="F79" s="265" t="n">
        <v>55927000</v>
      </c>
      <c r="G79" s="265" t="n">
        <v>56384000</v>
      </c>
      <c r="I79" s="265" t="n">
        <v>62595000</v>
      </c>
      <c r="J79" s="265" t="n">
        <v>62105000</v>
      </c>
      <c r="K79" s="265" t="n">
        <v>61995000</v>
      </c>
      <c r="L79" s="265" t="n">
        <v>63046000</v>
      </c>
      <c r="N79" s="265" t="n">
        <v>70468000</v>
      </c>
      <c r="O79" s="265" t="n">
        <v>70231000</v>
      </c>
      <c r="P79" s="265" t="n">
        <v>69853000</v>
      </c>
      <c r="Q79" s="265" t="n">
        <v>70808000</v>
      </c>
      <c r="S79" s="265" t="n">
        <v>75357000</v>
      </c>
      <c r="T79" s="265" t="n">
        <v>73866000</v>
      </c>
      <c r="U79" s="265" t="n">
        <v>74853000</v>
      </c>
      <c r="V79" s="265" t="n">
        <v>74132000</v>
      </c>
      <c r="X79" s="265" t="n">
        <v>84617000</v>
      </c>
      <c r="Y79" s="265" t="n">
        <v>86103000</v>
      </c>
      <c r="Z79" s="265" t="n">
        <v>87070000</v>
      </c>
      <c r="AA79" s="265" t="n">
        <v>87113000</v>
      </c>
      <c r="AC79" s="265" t="n">
        <v>86265000</v>
      </c>
      <c r="AD79" s="265" t="n">
        <v>86017000</v>
      </c>
    </row>
    <row r="80">
      <c r="A80" t="inlineStr">
        <is>
          <t>UnitedHealthcare - lucro do segmento (USD) · fonte · unid. moeda</t>
        </is>
      </c>
      <c r="B80" t="n">
        <v>46</v>
      </c>
      <c r="C80" t="inlineStr">
        <is>
          <t>UnitedHealthcare - lucro do segmento (USD)</t>
        </is>
      </c>
      <c r="D80" s="265" t="n">
        <v>4108000</v>
      </c>
      <c r="E80" s="265" t="n">
        <v>3095000</v>
      </c>
      <c r="F80" s="265" t="n">
        <v>2651000</v>
      </c>
      <c r="G80" s="265" t="n">
        <v>2121000</v>
      </c>
      <c r="I80" s="265" t="n">
        <v>3798000</v>
      </c>
      <c r="J80" s="265" t="n">
        <v>3850000</v>
      </c>
      <c r="K80" s="265" t="n">
        <v>3799000</v>
      </c>
      <c r="L80" s="265" t="n">
        <v>2932000</v>
      </c>
      <c r="N80" s="265" t="n">
        <v>4343000</v>
      </c>
      <c r="O80" s="265" t="n">
        <v>4358000</v>
      </c>
      <c r="P80" s="265" t="n">
        <v>4592000</v>
      </c>
      <c r="Q80" s="265" t="n">
        <v>3122000</v>
      </c>
      <c r="S80" s="265" t="n">
        <v>4395000</v>
      </c>
      <c r="T80" s="265" t="n">
        <v>4004000</v>
      </c>
      <c r="U80" s="265" t="n">
        <v>4212000</v>
      </c>
      <c r="V80" s="265" t="n">
        <v>2973000</v>
      </c>
      <c r="X80" s="265" t="n">
        <v>5226000</v>
      </c>
      <c r="Y80" s="265" t="n">
        <v>2075000</v>
      </c>
      <c r="Z80" s="265" t="n">
        <v>1805000</v>
      </c>
      <c r="AA80" s="265" t="n">
        <v>319000</v>
      </c>
      <c r="AC80" s="265" t="n">
        <v>5694000</v>
      </c>
      <c r="AD80" s="265" t="n">
        <v>3942000</v>
      </c>
    </row>
    <row r="81">
      <c r="A81" t="inlineStr">
        <is>
          <t>Optum Health - receita (USD) · fonte · unid. moeda</t>
        </is>
      </c>
      <c r="B81" t="n">
        <v>47</v>
      </c>
      <c r="C81" t="inlineStr">
        <is>
          <t>Optum Health - receita (USD)</t>
        </is>
      </c>
      <c r="D81" s="265" t="n">
        <v>12403000</v>
      </c>
      <c r="E81" s="265" t="n">
        <v>13300000</v>
      </c>
      <c r="F81" s="265" t="n">
        <v>13812000</v>
      </c>
      <c r="G81" s="265" t="n">
        <v>14550000</v>
      </c>
      <c r="I81" s="265" t="n">
        <v>16682000</v>
      </c>
      <c r="J81" s="265" t="n">
        <v>17583000</v>
      </c>
      <c r="K81" s="265" t="n">
        <v>18463000</v>
      </c>
      <c r="L81" s="265" t="n">
        <v>18446000</v>
      </c>
      <c r="N81" s="265" t="n">
        <v>23004000</v>
      </c>
      <c r="O81" s="265" t="n">
        <v>23917000</v>
      </c>
      <c r="P81" s="265" t="n">
        <v>23864000</v>
      </c>
      <c r="Q81" s="265" t="n">
        <v>24534000</v>
      </c>
      <c r="S81" s="265" t="n">
        <v>26731000</v>
      </c>
      <c r="T81" s="265" t="n">
        <v>27050000</v>
      </c>
      <c r="U81" s="265" t="n">
        <v>25917000</v>
      </c>
      <c r="V81" s="265" t="n">
        <v>25660000</v>
      </c>
      <c r="X81" s="265" t="n">
        <v>24837000</v>
      </c>
      <c r="Y81" s="265" t="n">
        <v>24725000</v>
      </c>
      <c r="Z81" s="265" t="n">
        <v>25900000</v>
      </c>
      <c r="AA81" s="265" t="n">
        <v>25543000</v>
      </c>
      <c r="AC81" s="265" t="n">
        <v>24109000</v>
      </c>
      <c r="AD81" s="265" t="n">
        <v>23472000</v>
      </c>
    </row>
    <row r="82">
      <c r="A82" t="inlineStr">
        <is>
          <t>Optum Health - lucro do segmento (USD) · fonte · unid. moeda</t>
        </is>
      </c>
      <c r="B82" t="n">
        <v>48</v>
      </c>
      <c r="C82" t="inlineStr">
        <is>
          <t>Optum Health - lucro do segmento (USD)</t>
        </is>
      </c>
      <c r="D82" s="265" t="n">
        <v>962000</v>
      </c>
      <c r="E82" s="265" t="n">
        <v>1128000</v>
      </c>
      <c r="F82" s="265" t="n">
        <v>1143000</v>
      </c>
      <c r="G82" s="265" t="n">
        <v>1229000</v>
      </c>
      <c r="I82" s="265" t="n">
        <v>1366000</v>
      </c>
      <c r="J82" s="265" t="n">
        <v>1399000</v>
      </c>
      <c r="K82" s="265" t="n">
        <v>1575000</v>
      </c>
      <c r="L82" s="265" t="n">
        <v>1692000</v>
      </c>
      <c r="N82" s="265" t="n">
        <v>1776000</v>
      </c>
      <c r="O82" s="265" t="n">
        <v>1525000</v>
      </c>
      <c r="P82" s="265" t="n">
        <v>1568000</v>
      </c>
      <c r="Q82" s="265" t="n">
        <v>1691000</v>
      </c>
      <c r="S82" s="265" t="n">
        <v>1899000</v>
      </c>
      <c r="T82" s="265" t="n">
        <v>1919000</v>
      </c>
      <c r="U82" s="265" t="n">
        <v>2161000</v>
      </c>
      <c r="V82" s="265" t="n">
        <v>1791000</v>
      </c>
      <c r="X82" s="265" t="n">
        <v>1411000</v>
      </c>
      <c r="Y82" s="265" t="n">
        <v>429000</v>
      </c>
      <c r="Z82" s="265" t="n">
        <v>255000</v>
      </c>
      <c r="AA82" s="265" t="n">
        <v>-2783000</v>
      </c>
      <c r="AC82" s="265" t="n">
        <v>1141000</v>
      </c>
      <c r="AD82" s="265" t="n">
        <v>1190000</v>
      </c>
    </row>
    <row r="83">
      <c r="A83" t="inlineStr">
        <is>
          <t>Optum Insight - receita (USD) · fonte · unid. moeda</t>
        </is>
      </c>
      <c r="B83" t="n">
        <v>49</v>
      </c>
      <c r="C83" t="inlineStr">
        <is>
          <t>Optum Insight - receita (USD)</t>
        </is>
      </c>
      <c r="D83" s="265" t="n">
        <v>2852000</v>
      </c>
      <c r="E83" s="265" t="n">
        <v>2957000</v>
      </c>
      <c r="F83" s="265" t="n">
        <v>3139000</v>
      </c>
      <c r="G83" s="265" t="n">
        <v>3251000</v>
      </c>
      <c r="I83" s="265" t="n">
        <v>3219000</v>
      </c>
      <c r="J83" s="265" t="n">
        <v>3282000</v>
      </c>
      <c r="K83" s="265" t="n">
        <v>3693000</v>
      </c>
      <c r="L83" s="265" t="n">
        <v>4387000</v>
      </c>
      <c r="N83" s="265" t="n">
        <v>4496000</v>
      </c>
      <c r="O83" s="265" t="n">
        <v>4674000</v>
      </c>
      <c r="P83" s="265" t="n">
        <v>4977000</v>
      </c>
      <c r="Q83" s="265" t="n">
        <v>4785000</v>
      </c>
      <c r="S83" s="265" t="n">
        <v>4502000</v>
      </c>
      <c r="T83" s="265" t="n">
        <v>4543000</v>
      </c>
      <c r="U83" s="265" t="n">
        <v>4931000</v>
      </c>
      <c r="V83" s="265" t="n">
        <v>4781000</v>
      </c>
      <c r="X83" s="265" t="n">
        <v>5027000</v>
      </c>
      <c r="Y83" s="265" t="n">
        <v>5232000</v>
      </c>
      <c r="Z83" s="265" t="n">
        <v>4915000</v>
      </c>
      <c r="AA83" s="265" t="n">
        <v>5044000</v>
      </c>
      <c r="AC83" s="265" t="n">
        <v>5125000</v>
      </c>
      <c r="AD83" s="265" t="n">
        <v>5402000</v>
      </c>
    </row>
    <row r="84">
      <c r="A84" t="inlineStr">
        <is>
          <t>Optum Insight - lucro do segmento (USD) · fonte · unid. moeda</t>
        </is>
      </c>
      <c r="B84" t="n">
        <v>50</v>
      </c>
      <c r="C84" t="inlineStr">
        <is>
          <t>Optum Insight - lucro do segmento (USD)</t>
        </is>
      </c>
      <c r="D84" s="265" t="n">
        <v>779000</v>
      </c>
      <c r="E84" s="265" t="n">
        <v>762000</v>
      </c>
      <c r="F84" s="265" t="n">
        <v>906000</v>
      </c>
      <c r="G84" s="265" t="n">
        <v>951000</v>
      </c>
      <c r="I84" s="265" t="n">
        <v>847000</v>
      </c>
      <c r="J84" s="265" t="n">
        <v>839000</v>
      </c>
      <c r="K84" s="265" t="n">
        <v>1007000</v>
      </c>
      <c r="L84" s="265" t="n">
        <v>895000</v>
      </c>
      <c r="N84" s="265" t="n">
        <v>907000</v>
      </c>
      <c r="O84" s="265" t="n">
        <v>968000</v>
      </c>
      <c r="P84" s="265" t="n">
        <v>1109000</v>
      </c>
      <c r="Q84" s="265" t="n">
        <v>1284000</v>
      </c>
      <c r="S84" s="265" t="n">
        <v>490000</v>
      </c>
      <c r="T84" s="265" t="n">
        <v>546000</v>
      </c>
      <c r="U84" s="265" t="n">
        <v>791000</v>
      </c>
      <c r="V84" s="265" t="n">
        <v>1270000</v>
      </c>
      <c r="X84" s="265" t="n">
        <v>1164000</v>
      </c>
      <c r="Y84" s="265" t="n">
        <v>1205000</v>
      </c>
      <c r="Z84" s="265" t="n">
        <v>706000</v>
      </c>
      <c r="AA84" s="265" t="n">
        <v>-41000</v>
      </c>
      <c r="AC84" s="265" t="n">
        <v>963000</v>
      </c>
      <c r="AD84" s="265" t="n">
        <v>1369000</v>
      </c>
    </row>
    <row r="85">
      <c r="A85" t="inlineStr">
        <is>
          <t>Optum Rx - receita (USD) · fonte · unid. moeda</t>
        </is>
      </c>
      <c r="B85" t="n">
        <v>51</v>
      </c>
      <c r="C85" t="inlineStr">
        <is>
          <t>Optum Rx - receita (USD)</t>
        </is>
      </c>
      <c r="D85" s="265" t="n">
        <v>21604000</v>
      </c>
      <c r="E85" s="265" t="n">
        <v>22524000</v>
      </c>
      <c r="F85" s="265" t="n">
        <v>23337000</v>
      </c>
      <c r="G85" s="265" t="n">
        <v>23849000</v>
      </c>
      <c r="I85" s="265" t="n">
        <v>23911000</v>
      </c>
      <c r="J85" s="265" t="n">
        <v>24805000</v>
      </c>
      <c r="K85" s="265" t="n">
        <v>25203000</v>
      </c>
      <c r="L85" s="265" t="n">
        <v>25854000</v>
      </c>
      <c r="N85" s="265" t="n">
        <v>27418000</v>
      </c>
      <c r="O85" s="265" t="n">
        <v>28646000</v>
      </c>
      <c r="P85" s="265" t="n">
        <v>28857000</v>
      </c>
      <c r="Q85" s="265" t="n">
        <v>31166000</v>
      </c>
      <c r="S85" s="265" t="n">
        <v>30835000</v>
      </c>
      <c r="T85" s="265" t="n">
        <v>32415000</v>
      </c>
      <c r="U85" s="265" t="n">
        <v>34207000</v>
      </c>
      <c r="V85" s="265" t="n">
        <v>35774000</v>
      </c>
      <c r="X85" s="265" t="n">
        <v>35132000</v>
      </c>
      <c r="Y85" s="265" t="n">
        <v>38459000</v>
      </c>
      <c r="Z85" s="265" t="n">
        <v>39679000</v>
      </c>
      <c r="AA85" s="265" t="n">
        <v>41456000</v>
      </c>
      <c r="AC85" s="265" t="n">
        <v>35736000</v>
      </c>
      <c r="AD85" s="265" t="n">
        <v>38292000</v>
      </c>
    </row>
    <row r="86">
      <c r="A86" t="inlineStr">
        <is>
          <t>Optum Rx - lucro do segmento (USD) · fonte · unid. moeda</t>
        </is>
      </c>
      <c r="B86" t="n">
        <v>52</v>
      </c>
      <c r="C86" t="inlineStr">
        <is>
          <t>Optum Rx - lucro do segmento (USD)</t>
        </is>
      </c>
      <c r="D86" s="265" t="n">
        <v>890000</v>
      </c>
      <c r="E86" s="265" t="n">
        <v>993000</v>
      </c>
      <c r="F86" s="265" t="n">
        <v>1012000</v>
      </c>
      <c r="G86" s="265" t="n">
        <v>1240000</v>
      </c>
      <c r="I86" s="265" t="n">
        <v>939000</v>
      </c>
      <c r="J86" s="265" t="n">
        <v>1044000</v>
      </c>
      <c r="K86" s="265" t="n">
        <v>1081000</v>
      </c>
      <c r="L86" s="265" t="n">
        <v>1372000</v>
      </c>
      <c r="N86" s="265" t="n">
        <v>1060000</v>
      </c>
      <c r="O86" s="265" t="n">
        <v>1206000</v>
      </c>
      <c r="P86" s="265" t="n">
        <v>1257000</v>
      </c>
      <c r="Q86" s="265" t="n">
        <v>1592000</v>
      </c>
      <c r="S86" s="265" t="n">
        <v>1147000</v>
      </c>
      <c r="T86" s="265" t="n">
        <v>1406000</v>
      </c>
      <c r="U86" s="265" t="n">
        <v>1544000</v>
      </c>
      <c r="V86" s="265" t="n">
        <v>1739000</v>
      </c>
      <c r="X86" s="265" t="n">
        <v>1318000</v>
      </c>
      <c r="Y86" s="265" t="n">
        <v>1441000</v>
      </c>
      <c r="Z86" s="265" t="n">
        <v>1549000</v>
      </c>
      <c r="AA86" s="265" t="n">
        <v>2885000</v>
      </c>
      <c r="AC86" s="265" t="n">
        <v>1192000</v>
      </c>
      <c r="AD86" s="265" t="n">
        <v>1490000</v>
      </c>
    </row>
    <row r="87">
      <c r="A87" t="inlineStr">
        <is>
          <t>Optum total - receita (USD) · fonte · unid. moeda</t>
        </is>
      </c>
      <c r="B87" t="n">
        <v>53</v>
      </c>
      <c r="C87" t="inlineStr">
        <is>
          <t>Optum total - receita (USD)</t>
        </is>
      </c>
      <c r="D87" s="265" t="n">
        <v>36384000</v>
      </c>
      <c r="E87" s="265" t="n">
        <v>38303000</v>
      </c>
      <c r="F87" s="265" t="n">
        <v>39785000</v>
      </c>
      <c r="G87" s="265" t="n">
        <v>41093000</v>
      </c>
      <c r="I87" s="265" t="n">
        <v>43259000</v>
      </c>
      <c r="J87" s="265" t="n">
        <v>45082000</v>
      </c>
      <c r="K87" s="265" t="n">
        <v>46559000</v>
      </c>
      <c r="L87" s="265" t="n">
        <v>47868000</v>
      </c>
      <c r="N87" s="265" t="n">
        <v>54059000</v>
      </c>
      <c r="O87" s="265" t="n">
        <v>56344000</v>
      </c>
      <c r="P87" s="265" t="n">
        <v>56737000</v>
      </c>
      <c r="Q87" s="265" t="n">
        <v>59495000</v>
      </c>
      <c r="S87" s="265" t="n">
        <v>61052000</v>
      </c>
      <c r="T87" s="265" t="n">
        <v>62879000</v>
      </c>
      <c r="U87" s="265" t="n">
        <v>63925000</v>
      </c>
      <c r="V87" s="265" t="n">
        <v>65101000</v>
      </c>
      <c r="X87" s="265" t="n">
        <v>63885000</v>
      </c>
      <c r="Y87" s="265" t="n">
        <v>67225000</v>
      </c>
      <c r="Z87" s="265" t="n">
        <v>69177000</v>
      </c>
      <c r="AA87" s="265" t="n">
        <v>70333000</v>
      </c>
      <c r="AC87" s="265" t="n">
        <v>63749000</v>
      </c>
      <c r="AD87" s="265" t="n">
        <v>65663000</v>
      </c>
    </row>
    <row r="88">
      <c r="A88" t="inlineStr">
        <is>
          <t>Optum total - lucro operacional (USD) · fonte · unid. moeda</t>
        </is>
      </c>
      <c r="B88" t="n">
        <v>54</v>
      </c>
      <c r="C88" t="inlineStr">
        <is>
          <t>Optum total - lucro operacional (USD)</t>
        </is>
      </c>
      <c r="D88" s="265" t="n">
        <v>2631000</v>
      </c>
      <c r="E88" s="265" t="n">
        <v>2883000</v>
      </c>
      <c r="F88" s="265" t="n">
        <v>3061000</v>
      </c>
      <c r="G88" s="265" t="n">
        <v>3420000</v>
      </c>
      <c r="I88" s="265" t="n">
        <v>3152000</v>
      </c>
      <c r="J88" s="265" t="n">
        <v>3282000</v>
      </c>
      <c r="K88" s="265" t="n">
        <v>3663000</v>
      </c>
      <c r="L88" s="265" t="n">
        <v>3959000</v>
      </c>
      <c r="N88" s="265" t="n">
        <v>3743000</v>
      </c>
      <c r="O88" s="265" t="n">
        <v>3699000</v>
      </c>
      <c r="P88" s="265" t="n">
        <v>3934000</v>
      </c>
      <c r="Q88" s="265" t="n">
        <v>4567000</v>
      </c>
      <c r="S88" s="265" t="n">
        <v>3536000</v>
      </c>
      <c r="T88" s="265" t="n">
        <v>3871000</v>
      </c>
      <c r="U88" s="265" t="n">
        <v>4496000</v>
      </c>
      <c r="V88" s="265" t="n">
        <v>4800000</v>
      </c>
      <c r="X88" s="265" t="n">
        <v>3893000</v>
      </c>
      <c r="Y88" s="265" t="n">
        <v>3075000</v>
      </c>
      <c r="Z88" s="265" t="n">
        <v>2510000</v>
      </c>
      <c r="AA88" s="265" t="n">
        <v>61000</v>
      </c>
      <c r="AC88" s="265" t="n">
        <v>3296000</v>
      </c>
      <c r="AD88" s="265" t="n">
        <v>4049000</v>
      </c>
    </row>
    <row r="89">
      <c r="A89" t="inlineStr">
        <is>
          <t>Receita de produtos (USD) · fonte · unid. moeda</t>
        </is>
      </c>
      <c r="B89" t="n">
        <v>55</v>
      </c>
      <c r="C89" t="inlineStr">
        <is>
          <t>Receita de produtos (USD)</t>
        </is>
      </c>
      <c r="D89" s="265" t="n">
        <v>8340000</v>
      </c>
      <c r="E89" s="265" t="n">
        <v>8433000</v>
      </c>
      <c r="F89" s="265" t="n">
        <v>8703000</v>
      </c>
      <c r="G89" s="265" t="n">
        <v>8961000</v>
      </c>
      <c r="I89" s="265" t="n">
        <v>9340000</v>
      </c>
      <c r="J89" s="265" t="n">
        <v>9496000</v>
      </c>
      <c r="K89" s="265" t="n">
        <v>9190000</v>
      </c>
      <c r="L89" s="265" t="n">
        <v>9398000</v>
      </c>
      <c r="N89" s="265" t="n">
        <v>10267000</v>
      </c>
      <c r="O89" s="265" t="n">
        <v>10651000</v>
      </c>
      <c r="P89" s="265" t="n">
        <v>10354000</v>
      </c>
      <c r="Q89" s="265" t="n">
        <v>11311000</v>
      </c>
      <c r="S89" s="265" t="n">
        <v>11909000</v>
      </c>
      <c r="T89" s="265" t="n">
        <v>12211000</v>
      </c>
      <c r="U89" s="265" t="n">
        <v>12631000</v>
      </c>
      <c r="V89" s="265" t="n">
        <v>13475000</v>
      </c>
      <c r="X89" s="265" t="n">
        <v>13036000</v>
      </c>
      <c r="Y89" s="265" t="n">
        <v>13564000</v>
      </c>
      <c r="Z89" s="265" t="n">
        <v>13296000</v>
      </c>
      <c r="AA89" s="265" t="n">
        <v>13484000</v>
      </c>
      <c r="AC89" s="265" t="n">
        <v>13250000</v>
      </c>
      <c r="AD89" s="265" t="n">
        <v>13835000</v>
      </c>
    </row>
    <row r="90">
      <c r="A90" t="inlineStr">
        <is>
          <t>Receita de serviços (contratos com clientes) (USD) · fonte · unid. moeda</t>
        </is>
      </c>
      <c r="B90" t="n">
        <v>56</v>
      </c>
      <c r="C90" t="inlineStr">
        <is>
          <t>Receita de serviços (contratos com clientes) (USD)</t>
        </is>
      </c>
      <c r="D90" s="265" t="n">
        <v>5918000</v>
      </c>
      <c r="E90" s="265" t="n">
        <v>6099000</v>
      </c>
      <c r="F90" s="265" t="n">
        <v>6164000</v>
      </c>
      <c r="G90" s="265" t="n">
        <v>6422000</v>
      </c>
      <c r="I90" s="265" t="n">
        <v>6372000</v>
      </c>
      <c r="J90" s="265" t="n">
        <v>6645000</v>
      </c>
      <c r="K90" s="265" t="n">
        <v>6700000</v>
      </c>
      <c r="L90" s="265" t="n">
        <v>7834000</v>
      </c>
      <c r="N90" s="265" t="n">
        <v>8080000</v>
      </c>
      <c r="O90" s="265" t="n">
        <v>8663000</v>
      </c>
      <c r="P90" s="265" t="n">
        <v>8671000</v>
      </c>
      <c r="Q90" s="265" t="n">
        <v>8709000</v>
      </c>
      <c r="S90" s="265" t="n">
        <v>8888000</v>
      </c>
      <c r="T90" s="265" t="n">
        <v>8750000</v>
      </c>
      <c r="U90" s="265" t="n">
        <v>9104000</v>
      </c>
      <c r="V90" s="265" t="n">
        <v>9298000</v>
      </c>
      <c r="X90" s="265" t="n">
        <v>8972000</v>
      </c>
      <c r="Y90" s="265" t="n">
        <v>9039000</v>
      </c>
      <c r="Z90" s="265" t="n">
        <v>9754000</v>
      </c>
      <c r="AA90" s="265" t="n">
        <v>10273000</v>
      </c>
      <c r="AC90" s="265" t="n">
        <v>9779000</v>
      </c>
      <c r="AD90" s="265" t="n">
        <v>10018000</v>
      </c>
    </row>
    <row r="91">
      <c r="A91" t="inlineStr">
        <is>
          <t>Notas: valores dimensionais das instâncias XBRL. A receita de cada segmento inclui vendas intersegmento (eliminadas no consolidado), por isso a soma supera a receita do modelo; a linha de diferença mostra as eliminações.</t>
        </is>
      </c>
      <c r="C91" t="inlineStr">
        <is>
          <t>[linha bruta, sem código; lançada nas linhas abaixo]</t>
        </is>
      </c>
      <c r="D91" s="265" t="n"/>
      <c r="E91" s="265" t="n"/>
      <c r="F91" s="265" t="n"/>
      <c r="G91" s="265" t="n"/>
      <c r="I91" s="265" t="n"/>
      <c r="J91" s="265" t="n"/>
      <c r="K91" s="265" t="n"/>
      <c r="L91" s="265" t="n"/>
      <c r="N91" s="265" t="n"/>
      <c r="O91" s="265" t="n"/>
      <c r="P91" s="265" t="n"/>
      <c r="Q91" s="265" t="n"/>
      <c r="S91" s="265" t="n"/>
      <c r="T91" s="265" t="n"/>
      <c r="U91" s="265" t="n"/>
      <c r="V91" s="265" t="n"/>
      <c r="X91" s="265" t="n"/>
      <c r="Y91" s="265" t="n"/>
      <c r="Z91" s="265" t="n"/>
      <c r="AA91" s="265" t="n"/>
      <c r="AC91" s="265" t="n"/>
      <c r="AD91" s="265" t="n"/>
    </row>
    <row r="93">
      <c r="A93" t="inlineStr">
        <is>
          <t>Linhas de origem: 4 a 91. A Inputs (2) varre as linhas 4 a 150; as linhas 92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4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UnitedHealth Group Incorporated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70196</v>
      </c>
      <c r="E4" s="11">
        <f>IF(E$3=0,"",SUMIFS(INDEX(Inputs!$D$4:$AG$150,0,MATCH(E$2,Inputs!$D$2:$AG$2,0)),Inputs!$B$4:$B$150,$B4)/1000)</f>
        <v>71321</v>
      </c>
      <c r="F4" s="11">
        <f>IF(F$3=0,"",SUMIFS(INDEX(Inputs!$D$4:$AG$150,0,MATCH(F$2,Inputs!$D$2:$AG$2,0)),Inputs!$B$4:$B$150,$B4)/1000)</f>
        <v>72337</v>
      </c>
      <c r="G4" s="11">
        <f>IF(G$3=0,"",SUMIFS(INDEX(Inputs!$D$4:$AG$150,0,MATCH(G$2,Inputs!$D$2:$AG$2,0)),Inputs!$B$4:$B$150,$B4)/1000)</f>
        <v>73743</v>
      </c>
      <c r="H4" s="12">
        <f>IF(COUNT(D4:G4)=4,SUM(D4:G4),"")</f>
        <v>287597</v>
      </c>
      <c r="I4" s="11">
        <f>IF(I$3=0,"",SUMIFS(INDEX(Inputs!$D$4:$AG$150,0,MATCH(I$2,Inputs!$D$2:$AG$2,0)),Inputs!$B$4:$B$150,$B4)/1000)</f>
        <v>80149</v>
      </c>
      <c r="J4" s="11">
        <f>IF(J$3=0,"",SUMIFS(INDEX(Inputs!$D$4:$AG$150,0,MATCH(J$2,Inputs!$D$2:$AG$2,0)),Inputs!$B$4:$B$150,$B4)/1000)</f>
        <v>80332</v>
      </c>
      <c r="K4" s="11">
        <f>IF(K$3=0,"",SUMIFS(INDEX(Inputs!$D$4:$AG$150,0,MATCH(K$2,Inputs!$D$2:$AG$2,0)),Inputs!$B$4:$B$150,$B4)/1000)</f>
        <v>80894</v>
      </c>
      <c r="L4" s="11">
        <f>IF(L$3=0,"",SUMIFS(INDEX(Inputs!$D$4:$AG$150,0,MATCH(L$2,Inputs!$D$2:$AG$2,0)),Inputs!$B$4:$B$150,$B4)/1000)</f>
        <v>82787</v>
      </c>
      <c r="M4" s="12">
        <f>IF(COUNT(I4:L4)=4,SUM(I4:L4),"")</f>
        <v>324162</v>
      </c>
      <c r="N4" s="11">
        <f>IF(N$3=0,"",SUMIFS(INDEX(Inputs!$D$4:$AG$150,0,MATCH(N$2,Inputs!$D$2:$AG$2,0)),Inputs!$B$4:$B$150,$B4)/1000)</f>
        <v>91931</v>
      </c>
      <c r="O4" s="11">
        <f>IF(O$3=0,"",SUMIFS(INDEX(Inputs!$D$4:$AG$150,0,MATCH(O$2,Inputs!$D$2:$AG$2,0)),Inputs!$B$4:$B$150,$B4)/1000)</f>
        <v>92903</v>
      </c>
      <c r="P4" s="11">
        <f>IF(P$3=0,"",SUMIFS(INDEX(Inputs!$D$4:$AG$150,0,MATCH(P$2,Inputs!$D$2:$AG$2,0)),Inputs!$B$4:$B$150,$B4)/1000)</f>
        <v>92361</v>
      </c>
      <c r="Q4" s="11">
        <f>IF(Q$3=0,"",SUMIFS(INDEX(Inputs!$D$4:$AG$150,0,MATCH(Q$2,Inputs!$D$2:$AG$2,0)),Inputs!$B$4:$B$150,$B4)/1000)</f>
        <v>94427</v>
      </c>
      <c r="R4" s="12">
        <f>IF(COUNT(N4:Q4)=4,SUM(N4:Q4),"")</f>
        <v>371622</v>
      </c>
      <c r="S4" s="11">
        <f>IF(S$3=0,"",SUMIFS(INDEX(Inputs!$D$4:$AG$150,0,MATCH(S$2,Inputs!$D$2:$AG$2,0)),Inputs!$B$4:$B$150,$B4)/1000)</f>
        <v>99796</v>
      </c>
      <c r="T4" s="11">
        <f>IF(T$3=0,"",SUMIFS(INDEX(Inputs!$D$4:$AG$150,0,MATCH(T$2,Inputs!$D$2:$AG$2,0)),Inputs!$B$4:$B$150,$B4)/1000)</f>
        <v>98855</v>
      </c>
      <c r="U4" s="11">
        <f>IF(U$3=0,"",SUMIFS(INDEX(Inputs!$D$4:$AG$150,0,MATCH(U$2,Inputs!$D$2:$AG$2,0)),Inputs!$B$4:$B$150,$B4)/1000)</f>
        <v>100820</v>
      </c>
      <c r="V4" s="11">
        <f>IF(V$3=0,"",SUMIFS(INDEX(Inputs!$D$4:$AG$150,0,MATCH(V$2,Inputs!$D$2:$AG$2,0)),Inputs!$B$4:$B$150,$B4)/1000)</f>
        <v>100807</v>
      </c>
      <c r="W4" s="12">
        <f>IF(COUNT(S4:V4)=4,SUM(S4:V4),"")</f>
        <v>400278</v>
      </c>
      <c r="X4" s="11">
        <f>IF(X$3=0,"",SUMIFS(INDEX(Inputs!$D$4:$AG$150,0,MATCH(X$2,Inputs!$D$2:$AG$2,0)),Inputs!$B$4:$B$150,$B4)/1000)</f>
        <v>109575</v>
      </c>
      <c r="Y4" s="11">
        <f>IF(Y$3=0,"",SUMIFS(INDEX(Inputs!$D$4:$AG$150,0,MATCH(Y$2,Inputs!$D$2:$AG$2,0)),Inputs!$B$4:$B$150,$B4)/1000)</f>
        <v>111616</v>
      </c>
      <c r="Z4" s="11">
        <f>IF(Z$3=0,"",SUMIFS(INDEX(Inputs!$D$4:$AG$150,0,MATCH(Z$2,Inputs!$D$2:$AG$2,0)),Inputs!$B$4:$B$150,$B4)/1000)</f>
        <v>113161</v>
      </c>
      <c r="AA4" s="11">
        <f>IF(AA$3=0,"",SUMIFS(INDEX(Inputs!$D$4:$AG$150,0,MATCH(AA$2,Inputs!$D$2:$AG$2,0)),Inputs!$B$4:$B$150,$B4)/1000)</f>
        <v>113215</v>
      </c>
      <c r="AB4" s="12">
        <f>IF(COUNT(X4:AA4)=4,SUM(X4:AA4),"")</f>
        <v>447567</v>
      </c>
      <c r="AC4" s="11">
        <f>IF(AC$3=0,"",SUMIFS(INDEX(Inputs!$D$4:$AG$150,0,MATCH(AC$2,Inputs!$D$2:$AG$2,0)),Inputs!$B$4:$B$150,$B4)/1000)</f>
        <v>111721</v>
      </c>
      <c r="AD4" s="11">
        <f>IF(AD$3=0,"",SUMIFS(INDEX(Inputs!$D$4:$AG$150,0,MATCH(AD$2,Inputs!$D$2:$AG$2,0)),Inputs!$B$4:$B$150,$B4)/1000)</f>
        <v>112032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-7572</v>
      </c>
      <c r="E5" s="11">
        <f>IF(E$3=0,"",SUMIFS(INDEX(Inputs!$D$4:$AG$150,0,MATCH(E$2,Inputs!$D$2:$AG$2,0)),Inputs!$B$4:$B$150,$B5)/1000)</f>
        <v>-7660</v>
      </c>
      <c r="F5" s="11">
        <f>IF(F$3=0,"",SUMIFS(INDEX(Inputs!$D$4:$AG$150,0,MATCH(F$2,Inputs!$D$2:$AG$2,0)),Inputs!$B$4:$B$150,$B5)/1000)</f>
        <v>-7802</v>
      </c>
      <c r="G5" s="11">
        <f>IF(G$3=0,"",SUMIFS(INDEX(Inputs!$D$4:$AG$150,0,MATCH(G$2,Inputs!$D$2:$AG$2,0)),Inputs!$B$4:$B$150,$B5)/1000)</f>
        <v>-8000</v>
      </c>
      <c r="H5" s="12">
        <f>IF(COUNT(D5:G5)=4,SUM(D5:G5),"")</f>
        <v>-31034</v>
      </c>
      <c r="I5" s="11">
        <f>IF(I$3=0,"",SUMIFS(INDEX(Inputs!$D$4:$AG$150,0,MATCH(I$2,Inputs!$D$2:$AG$2,0)),Inputs!$B$4:$B$150,$B5)/1000)</f>
        <v>-8487</v>
      </c>
      <c r="J5" s="11">
        <f>IF(J$3=0,"",SUMIFS(INDEX(Inputs!$D$4:$AG$150,0,MATCH(J$2,Inputs!$D$2:$AG$2,0)),Inputs!$B$4:$B$150,$B5)/1000)</f>
        <v>-8596</v>
      </c>
      <c r="K5" s="11">
        <f>IF(K$3=0,"",SUMIFS(INDEX(Inputs!$D$4:$AG$150,0,MATCH(K$2,Inputs!$D$2:$AG$2,0)),Inputs!$B$4:$B$150,$B5)/1000)</f>
        <v>-8306</v>
      </c>
      <c r="L5" s="11">
        <f>IF(L$3=0,"",SUMIFS(INDEX(Inputs!$D$4:$AG$150,0,MATCH(L$2,Inputs!$D$2:$AG$2,0)),Inputs!$B$4:$B$150,$B5)/1000)</f>
        <v>-8314</v>
      </c>
      <c r="M5" s="12">
        <f>IF(COUNT(I5:L5)=4,SUM(I5:L5),"")</f>
        <v>-33703</v>
      </c>
      <c r="N5" s="11">
        <f>IF(N$3=0,"",SUMIFS(INDEX(Inputs!$D$4:$AG$150,0,MATCH(N$2,Inputs!$D$2:$AG$2,0)),Inputs!$B$4:$B$150,$B5)/1000)</f>
        <v>-9405</v>
      </c>
      <c r="O5" s="11">
        <f>IF(O$3=0,"",SUMIFS(INDEX(Inputs!$D$4:$AG$150,0,MATCH(O$2,Inputs!$D$2:$AG$2,0)),Inputs!$B$4:$B$150,$B5)/1000)</f>
        <v>-9748</v>
      </c>
      <c r="P5" s="11">
        <f>IF(P$3=0,"",SUMIFS(INDEX(Inputs!$D$4:$AG$150,0,MATCH(P$2,Inputs!$D$2:$AG$2,0)),Inputs!$B$4:$B$150,$B5)/1000)</f>
        <v>-9423</v>
      </c>
      <c r="Q5" s="11">
        <f>IF(Q$3=0,"",SUMIFS(INDEX(Inputs!$D$4:$AG$150,0,MATCH(Q$2,Inputs!$D$2:$AG$2,0)),Inputs!$B$4:$B$150,$B5)/1000)</f>
        <v>-10194</v>
      </c>
      <c r="R5" s="12">
        <f>IF(COUNT(N5:Q5)=4,SUM(N5:Q5),"")</f>
        <v>-38770</v>
      </c>
      <c r="S5" s="11">
        <f>IF(S$3=0,"",SUMIFS(INDEX(Inputs!$D$4:$AG$150,0,MATCH(S$2,Inputs!$D$2:$AG$2,0)),Inputs!$B$4:$B$150,$B5)/1000)</f>
        <v>-11056</v>
      </c>
      <c r="T5" s="11">
        <f>IF(T$3=0,"",SUMIFS(INDEX(Inputs!$D$4:$AG$150,0,MATCH(T$2,Inputs!$D$2:$AG$2,0)),Inputs!$B$4:$B$150,$B5)/1000)</f>
        <v>-11340</v>
      </c>
      <c r="U5" s="11">
        <f>IF(U$3=0,"",SUMIFS(INDEX(Inputs!$D$4:$AG$150,0,MATCH(U$2,Inputs!$D$2:$AG$2,0)),Inputs!$B$4:$B$150,$B5)/1000)</f>
        <v>-11834</v>
      </c>
      <c r="V5" s="11">
        <f>IF(V$3=0,"",SUMIFS(INDEX(Inputs!$D$4:$AG$150,0,MATCH(V$2,Inputs!$D$2:$AG$2,0)),Inputs!$B$4:$B$150,$B5)/1000)</f>
        <v>-12464</v>
      </c>
      <c r="W5" s="12">
        <f>IF(COUNT(S5:V5)=4,SUM(S5:V5),"")</f>
        <v>-46694</v>
      </c>
      <c r="X5" s="11">
        <f>IF(X$3=0,"",SUMIFS(INDEX(Inputs!$D$4:$AG$150,0,MATCH(X$2,Inputs!$D$2:$AG$2,0)),Inputs!$B$4:$B$150,$B5)/1000)</f>
        <v>-12390</v>
      </c>
      <c r="Y5" s="11">
        <f>IF(Y$3=0,"",SUMIFS(INDEX(Inputs!$D$4:$AG$150,0,MATCH(Y$2,Inputs!$D$2:$AG$2,0)),Inputs!$B$4:$B$150,$B5)/1000)</f>
        <v>-13019</v>
      </c>
      <c r="Z5" s="11">
        <f>IF(Z$3=0,"",SUMIFS(INDEX(Inputs!$D$4:$AG$150,0,MATCH(Z$2,Inputs!$D$2:$AG$2,0)),Inputs!$B$4:$B$150,$B5)/1000)</f>
        <v>-12566</v>
      </c>
      <c r="AA5" s="11">
        <f>IF(AA$3=0,"",SUMIFS(INDEX(Inputs!$D$4:$AG$150,0,MATCH(AA$2,Inputs!$D$2:$AG$2,0)),Inputs!$B$4:$B$150,$B5)/1000)</f>
        <v>-12680</v>
      </c>
      <c r="AB5" s="12">
        <f>IF(COUNT(X5:AA5)=4,SUM(X5:AA5),"")</f>
        <v>-50655</v>
      </c>
      <c r="AC5" s="11">
        <f>IF(AC$3=0,"",SUMIFS(INDEX(Inputs!$D$4:$AG$150,0,MATCH(AC$2,Inputs!$D$2:$AG$2,0)),Inputs!$B$4:$B$150,$B5)/1000)</f>
        <v>-12823</v>
      </c>
      <c r="AD5" s="11">
        <f>IF(AD$3=0,"",SUMIFS(INDEX(Inputs!$D$4:$AG$150,0,MATCH(AD$2,Inputs!$D$2:$AG$2,0)),Inputs!$B$4:$B$150,$B5)/1000)</f>
        <v>-13375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-55127</v>
      </c>
      <c r="E6" s="11">
        <f>IF(E$3=0,"",SUMIFS(INDEX(Inputs!$D$4:$AG$150,0,MATCH(E$2,Inputs!$D$2:$AG$2,0)),Inputs!$B$4:$B$150,$B6)/1000)</f>
        <v>-56905</v>
      </c>
      <c r="F6" s="11">
        <f>IF(F$3=0,"",SUMIFS(INDEX(Inputs!$D$4:$AG$150,0,MATCH(F$2,Inputs!$D$2:$AG$2,0)),Inputs!$B$4:$B$150,$B6)/1000)</f>
        <v>-58027</v>
      </c>
      <c r="G6" s="11">
        <f>IF(G$3=0,"",SUMIFS(INDEX(Inputs!$D$4:$AG$150,0,MATCH(G$2,Inputs!$D$2:$AG$2,0)),Inputs!$B$4:$B$150,$B6)/1000)</f>
        <v>-59431</v>
      </c>
      <c r="H6" s="12">
        <f>IF(COUNT(D6:G6)=4,SUM(D6:G6),"")</f>
        <v>-229490</v>
      </c>
      <c r="I6" s="11">
        <f>IF(I$3=0,"",SUMIFS(INDEX(Inputs!$D$4:$AG$150,0,MATCH(I$2,Inputs!$D$2:$AG$2,0)),Inputs!$B$4:$B$150,$B6)/1000)</f>
        <v>-63924</v>
      </c>
      <c r="J6" s="11">
        <f>IF(J$3=0,"",SUMIFS(INDEX(Inputs!$D$4:$AG$150,0,MATCH(J$2,Inputs!$D$2:$AG$2,0)),Inputs!$B$4:$B$150,$B6)/1000)</f>
        <v>-63802</v>
      </c>
      <c r="K6" s="11">
        <f>IF(K$3=0,"",SUMIFS(INDEX(Inputs!$D$4:$AG$150,0,MATCH(K$2,Inputs!$D$2:$AG$2,0)),Inputs!$B$4:$B$150,$B6)/1000)</f>
        <v>-64298</v>
      </c>
      <c r="L6" s="11">
        <f>IF(L$3=0,"",SUMIFS(INDEX(Inputs!$D$4:$AG$150,0,MATCH(L$2,Inputs!$D$2:$AG$2,0)),Inputs!$B$4:$B$150,$B6)/1000)</f>
        <v>-66600</v>
      </c>
      <c r="M6" s="12">
        <f>IF(COUNT(I6:L6)=4,SUM(I6:L6),"")</f>
        <v>-258624</v>
      </c>
      <c r="N6" s="11">
        <f>IF(N$3=0,"",SUMIFS(INDEX(Inputs!$D$4:$AG$150,0,MATCH(N$2,Inputs!$D$2:$AG$2,0)),Inputs!$B$4:$B$150,$B6)/1000)</f>
        <v>-73470</v>
      </c>
      <c r="O6" s="11">
        <f>IF(O$3=0,"",SUMIFS(INDEX(Inputs!$D$4:$AG$150,0,MATCH(O$2,Inputs!$D$2:$AG$2,0)),Inputs!$B$4:$B$150,$B6)/1000)</f>
        <v>-74077</v>
      </c>
      <c r="P6" s="11">
        <f>IF(P$3=0,"",SUMIFS(INDEX(Inputs!$D$4:$AG$150,0,MATCH(P$2,Inputs!$D$2:$AG$2,0)),Inputs!$B$4:$B$150,$B6)/1000)</f>
        <v>-73405</v>
      </c>
      <c r="Q6" s="11">
        <f>IF(Q$3=0,"",SUMIFS(INDEX(Inputs!$D$4:$AG$150,0,MATCH(Q$2,Inputs!$D$2:$AG$2,0)),Inputs!$B$4:$B$150,$B6)/1000)</f>
        <v>-75570</v>
      </c>
      <c r="R6" s="12">
        <f>IF(COUNT(N6:Q6)=4,SUM(N6:Q6),"")</f>
        <v>-296522</v>
      </c>
      <c r="S6" s="11">
        <f>IF(S$3=0,"",SUMIFS(INDEX(Inputs!$D$4:$AG$150,0,MATCH(S$2,Inputs!$D$2:$AG$2,0)),Inputs!$B$4:$B$150,$B6)/1000)</f>
        <v>-79812</v>
      </c>
      <c r="T6" s="11">
        <f>IF(T$3=0,"",SUMIFS(INDEX(Inputs!$D$4:$AG$150,0,MATCH(T$2,Inputs!$D$2:$AG$2,0)),Inputs!$B$4:$B$150,$B6)/1000)</f>
        <v>-78620</v>
      </c>
      <c r="U6" s="11">
        <f>IF(U$3=0,"",SUMIFS(INDEX(Inputs!$D$4:$AG$150,0,MATCH(U$2,Inputs!$D$2:$AG$2,0)),Inputs!$B$4:$B$150,$B6)/1000)</f>
        <v>-79237</v>
      </c>
      <c r="V6" s="11">
        <f>IF(V$3=0,"",SUMIFS(INDEX(Inputs!$D$4:$AG$150,0,MATCH(V$2,Inputs!$D$2:$AG$2,0)),Inputs!$B$4:$B$150,$B6)/1000)</f>
        <v>-79529</v>
      </c>
      <c r="W6" s="12">
        <f>IF(COUNT(S6:V6)=4,SUM(S6:V6),"")</f>
        <v>-317198</v>
      </c>
      <c r="X6" s="11">
        <f>IF(X$3=0,"",SUMIFS(INDEX(Inputs!$D$4:$AG$150,0,MATCH(X$2,Inputs!$D$2:$AG$2,0)),Inputs!$B$4:$B$150,$B6)/1000)</f>
        <v>-87005</v>
      </c>
      <c r="Y6" s="11">
        <f>IF(Y$3=0,"",SUMIFS(INDEX(Inputs!$D$4:$AG$150,0,MATCH(Y$2,Inputs!$D$2:$AG$2,0)),Inputs!$B$4:$B$150,$B6)/1000)</f>
        <v>-92363</v>
      </c>
      <c r="Z6" s="11">
        <f>IF(Z$3=0,"",SUMIFS(INDEX(Inputs!$D$4:$AG$150,0,MATCH(Z$2,Inputs!$D$2:$AG$2,0)),Inputs!$B$4:$B$150,$B6)/1000)</f>
        <v>-95181</v>
      </c>
      <c r="AA6" s="11">
        <f>IF(AA$3=0,"",SUMIFS(INDEX(Inputs!$D$4:$AG$150,0,MATCH(AA$2,Inputs!$D$2:$AG$2,0)),Inputs!$B$4:$B$150,$B6)/1000)</f>
        <v>-99038</v>
      </c>
      <c r="AB6" s="12">
        <f>IF(COUNT(X6:AA6)=4,SUM(X6:AA6),"")</f>
        <v>-373587</v>
      </c>
      <c r="AC6" s="11">
        <f>IF(AC$3=0,"",SUMIFS(INDEX(Inputs!$D$4:$AG$150,0,MATCH(AC$2,Inputs!$D$2:$AG$2,0)),Inputs!$B$4:$B$150,$B6)/1000)</f>
        <v>-88879</v>
      </c>
      <c r="AD6" s="11">
        <f>IF(AD$3=0,"",SUMIFS(INDEX(Inputs!$D$4:$AG$150,0,MATCH(AD$2,Inputs!$D$2:$AG$2,0)),Inputs!$B$4:$B$150,$B6)/1000)</f>
        <v>-89626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-758</v>
      </c>
      <c r="E7" s="11">
        <f>IF(E$3=0,"",SUMIFS(INDEX(Inputs!$D$4:$AG$150,0,MATCH(E$2,Inputs!$D$2:$AG$2,0)),Inputs!$B$4:$B$150,$B7)/1000)</f>
        <v>-778</v>
      </c>
      <c r="F7" s="11">
        <f>IF(F$3=0,"",SUMIFS(INDEX(Inputs!$D$4:$AG$150,0,MATCH(F$2,Inputs!$D$2:$AG$2,0)),Inputs!$B$4:$B$150,$B7)/1000)</f>
        <v>-796</v>
      </c>
      <c r="G7" s="11">
        <f>IF(G$3=0,"",SUMIFS(INDEX(Inputs!$D$4:$AG$150,0,MATCH(G$2,Inputs!$D$2:$AG$2,0)),Inputs!$B$4:$B$150,$B7)/1000)</f>
        <v>-771</v>
      </c>
      <c r="H7" s="12">
        <f>IF(COUNT(D7:G7)=4,SUM(D7:G7),"")</f>
        <v>-3103</v>
      </c>
      <c r="I7" s="11">
        <f>IF(I$3=0,"",SUMIFS(INDEX(Inputs!$D$4:$AG$150,0,MATCH(I$2,Inputs!$D$2:$AG$2,0)),Inputs!$B$4:$B$150,$B7)/1000)</f>
        <v>-788</v>
      </c>
      <c r="J7" s="11">
        <f>IF(J$3=0,"",SUMIFS(INDEX(Inputs!$D$4:$AG$150,0,MATCH(J$2,Inputs!$D$2:$AG$2,0)),Inputs!$B$4:$B$150,$B7)/1000)</f>
        <v>-802</v>
      </c>
      <c r="K7" s="11">
        <f>IF(K$3=0,"",SUMIFS(INDEX(Inputs!$D$4:$AG$150,0,MATCH(K$2,Inputs!$D$2:$AG$2,0)),Inputs!$B$4:$B$150,$B7)/1000)</f>
        <v>-828</v>
      </c>
      <c r="L7" s="11">
        <f>IF(L$3=0,"",SUMIFS(INDEX(Inputs!$D$4:$AG$150,0,MATCH(L$2,Inputs!$D$2:$AG$2,0)),Inputs!$B$4:$B$150,$B7)/1000)</f>
        <v>-982</v>
      </c>
      <c r="M7" s="12">
        <f>IF(COUNT(I7:L7)=4,SUM(I7:L7),"")</f>
        <v>-3400</v>
      </c>
      <c r="N7" s="11">
        <f>IF(N$3=0,"",SUMIFS(INDEX(Inputs!$D$4:$AG$150,0,MATCH(N$2,Inputs!$D$2:$AG$2,0)),Inputs!$B$4:$B$150,$B7)/1000)</f>
        <v>-970</v>
      </c>
      <c r="O7" s="11">
        <f>IF(O$3=0,"",SUMIFS(INDEX(Inputs!$D$4:$AG$150,0,MATCH(O$2,Inputs!$D$2:$AG$2,0)),Inputs!$B$4:$B$150,$B7)/1000)</f>
        <v>-1021</v>
      </c>
      <c r="P7" s="11">
        <f>IF(P$3=0,"",SUMIFS(INDEX(Inputs!$D$4:$AG$150,0,MATCH(P$2,Inputs!$D$2:$AG$2,0)),Inputs!$B$4:$B$150,$B7)/1000)</f>
        <v>-1007</v>
      </c>
      <c r="Q7" s="11">
        <f>IF(Q$3=0,"",SUMIFS(INDEX(Inputs!$D$4:$AG$150,0,MATCH(Q$2,Inputs!$D$2:$AG$2,0)),Inputs!$B$4:$B$150,$B7)/1000)</f>
        <v>-974</v>
      </c>
      <c r="R7" s="12">
        <f>IF(COUNT(N7:Q7)=4,SUM(N7:Q7),"")</f>
        <v>-3972</v>
      </c>
      <c r="S7" s="11">
        <f>IF(S$3=0,"",SUMIFS(INDEX(Inputs!$D$4:$AG$150,0,MATCH(S$2,Inputs!$D$2:$AG$2,0)),Inputs!$B$4:$B$150,$B7)/1000)</f>
        <v>-997</v>
      </c>
      <c r="T7" s="11">
        <f>IF(T$3=0,"",SUMIFS(INDEX(Inputs!$D$4:$AG$150,0,MATCH(T$2,Inputs!$D$2:$AG$2,0)),Inputs!$B$4:$B$150,$B7)/1000)</f>
        <v>-1020</v>
      </c>
      <c r="U7" s="11">
        <f>IF(U$3=0,"",SUMIFS(INDEX(Inputs!$D$4:$AG$150,0,MATCH(U$2,Inputs!$D$2:$AG$2,0)),Inputs!$B$4:$B$150,$B7)/1000)</f>
        <v>-1041</v>
      </c>
      <c r="V7" s="11">
        <f>IF(V$3=0,"",SUMIFS(INDEX(Inputs!$D$4:$AG$150,0,MATCH(V$2,Inputs!$D$2:$AG$2,0)),Inputs!$B$4:$B$150,$B7)/1000)</f>
        <v>-1041</v>
      </c>
      <c r="W7" s="12">
        <f>IF(COUNT(S7:V7)=4,SUM(S7:V7),"")</f>
        <v>-4099</v>
      </c>
      <c r="X7" s="11">
        <f>IF(X$3=0,"",SUMIFS(INDEX(Inputs!$D$4:$AG$150,0,MATCH(X$2,Inputs!$D$2:$AG$2,0)),Inputs!$B$4:$B$150,$B7)/1000)</f>
        <v>-1061</v>
      </c>
      <c r="Y7" s="11">
        <f>IF(Y$3=0,"",SUMIFS(INDEX(Inputs!$D$4:$AG$150,0,MATCH(Y$2,Inputs!$D$2:$AG$2,0)),Inputs!$B$4:$B$150,$B7)/1000)</f>
        <v>-1084</v>
      </c>
      <c r="Z7" s="11">
        <f>IF(Z$3=0,"",SUMIFS(INDEX(Inputs!$D$4:$AG$150,0,MATCH(Z$2,Inputs!$D$2:$AG$2,0)),Inputs!$B$4:$B$150,$B7)/1000)</f>
        <v>-1099</v>
      </c>
      <c r="AA7" s="11">
        <f>IF(AA$3=0,"",SUMIFS(INDEX(Inputs!$D$4:$AG$150,0,MATCH(AA$2,Inputs!$D$2:$AG$2,0)),Inputs!$B$4:$B$150,$B7)/1000)</f>
        <v>-1117</v>
      </c>
      <c r="AB7" s="12">
        <f>IF(COUNT(X7:AA7)=4,SUM(X7:AA7),"")</f>
        <v>-4361</v>
      </c>
      <c r="AC7" s="11">
        <f>IF(AC$3=0,"",SUMIFS(INDEX(Inputs!$D$4:$AG$150,0,MATCH(AC$2,Inputs!$D$2:$AG$2,0)),Inputs!$B$4:$B$150,$B7)/1000)</f>
        <v>-1029</v>
      </c>
      <c r="AD7" s="11">
        <f>IF(AD$3=0,"",SUMIFS(INDEX(Inputs!$D$4:$AG$150,0,MATCH(AD$2,Inputs!$D$2:$AG$2,0)),Inputs!$B$4:$B$150,$B7)/1000)</f>
        <v>-1040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-397</v>
      </c>
      <c r="E8" s="11">
        <f>IF(E$3=0,"",SUMIFS(INDEX(Inputs!$D$4:$AG$150,0,MATCH(E$2,Inputs!$D$2:$AG$2,0)),Inputs!$B$4:$B$150,$B8)/1000)</f>
        <v>-410</v>
      </c>
      <c r="F8" s="11">
        <f>IF(F$3=0,"",SUMIFS(INDEX(Inputs!$D$4:$AG$150,0,MATCH(F$2,Inputs!$D$2:$AG$2,0)),Inputs!$B$4:$B$150,$B8)/1000)</f>
        <v>-422</v>
      </c>
      <c r="G8" s="11">
        <f>IF(G$3=0,"",SUMIFS(INDEX(Inputs!$D$4:$AG$150,0,MATCH(G$2,Inputs!$D$2:$AG$2,0)),Inputs!$B$4:$B$150,$B8)/1000)</f>
        <v>-431</v>
      </c>
      <c r="H8" s="12">
        <f>IF(COUNT(D8:G8)=4,SUM(D8:G8),"")</f>
        <v>-1660</v>
      </c>
      <c r="I8" s="11">
        <f>IF(I$3=0,"",SUMIFS(INDEX(Inputs!$D$4:$AG$150,0,MATCH(I$2,Inputs!$D$2:$AG$2,0)),Inputs!$B$4:$B$150,$B8)/1000)</f>
        <v>-433</v>
      </c>
      <c r="J8" s="11">
        <f>IF(J$3=0,"",SUMIFS(INDEX(Inputs!$D$4:$AG$150,0,MATCH(J$2,Inputs!$D$2:$AG$2,0)),Inputs!$B$4:$B$150,$B8)/1000)</f>
        <v>-467</v>
      </c>
      <c r="K8" s="11">
        <f>IF(K$3=0,"",SUMIFS(INDEX(Inputs!$D$4:$AG$150,0,MATCH(K$2,Inputs!$D$2:$AG$2,0)),Inputs!$B$4:$B$150,$B8)/1000)</f>
        <v>-516</v>
      </c>
      <c r="L8" s="11">
        <f>IF(L$3=0,"",SUMIFS(INDEX(Inputs!$D$4:$AG$150,0,MATCH(L$2,Inputs!$D$2:$AG$2,0)),Inputs!$B$4:$B$150,$B8)/1000)</f>
        <v>-676</v>
      </c>
      <c r="M8" s="12">
        <f>IF(COUNT(I8:L8)=4,SUM(I8:L8),"")</f>
        <v>-2092</v>
      </c>
      <c r="N8" s="11">
        <f>IF(N$3=0,"",SUMIFS(INDEX(Inputs!$D$4:$AG$150,0,MATCH(N$2,Inputs!$D$2:$AG$2,0)),Inputs!$B$4:$B$150,$B8)/1000)</f>
        <v>-754</v>
      </c>
      <c r="O8" s="11">
        <f>IF(O$3=0,"",SUMIFS(INDEX(Inputs!$D$4:$AG$150,0,MATCH(O$2,Inputs!$D$2:$AG$2,0)),Inputs!$B$4:$B$150,$B8)/1000)</f>
        <v>-828</v>
      </c>
      <c r="P8" s="11">
        <f>IF(P$3=0,"",SUMIFS(INDEX(Inputs!$D$4:$AG$150,0,MATCH(P$2,Inputs!$D$2:$AG$2,0)),Inputs!$B$4:$B$150,$B8)/1000)</f>
        <v>-834</v>
      </c>
      <c r="Q8" s="11">
        <f>IF(Q$3=0,"",SUMIFS(INDEX(Inputs!$D$4:$AG$150,0,MATCH(Q$2,Inputs!$D$2:$AG$2,0)),Inputs!$B$4:$B$150,$B8)/1000)</f>
        <v>-830</v>
      </c>
      <c r="R8" s="12">
        <f>IF(COUNT(N8:Q8)=4,SUM(N8:Q8),"")</f>
        <v>-3246</v>
      </c>
      <c r="S8" s="11">
        <f>IF(S$3=0,"",SUMIFS(INDEX(Inputs!$D$4:$AG$150,0,MATCH(S$2,Inputs!$D$2:$AG$2,0)),Inputs!$B$4:$B$150,$B8)/1000)</f>
        <v>-844</v>
      </c>
      <c r="T8" s="11">
        <f>IF(T$3=0,"",SUMIFS(INDEX(Inputs!$D$4:$AG$150,0,MATCH(T$2,Inputs!$D$2:$AG$2,0)),Inputs!$B$4:$B$150,$B8)/1000)</f>
        <v>-985</v>
      </c>
      <c r="U8" s="11">
        <f>IF(U$3=0,"",SUMIFS(INDEX(Inputs!$D$4:$AG$150,0,MATCH(U$2,Inputs!$D$2:$AG$2,0)),Inputs!$B$4:$B$150,$B8)/1000)</f>
        <v>-1074</v>
      </c>
      <c r="V8" s="11">
        <f>IF(V$3=0,"",SUMIFS(INDEX(Inputs!$D$4:$AG$150,0,MATCH(V$2,Inputs!$D$2:$AG$2,0)),Inputs!$B$4:$B$150,$B8)/1000)</f>
        <v>-1003</v>
      </c>
      <c r="W8" s="12">
        <f>IF(COUNT(S8:V8)=4,SUM(S8:V8),"")</f>
        <v>-3906</v>
      </c>
      <c r="X8" s="11">
        <f>IF(X$3=0,"",SUMIFS(INDEX(Inputs!$D$4:$AG$150,0,MATCH(X$2,Inputs!$D$2:$AG$2,0)),Inputs!$B$4:$B$150,$B8)/1000)</f>
        <v>-998</v>
      </c>
      <c r="Y8" s="11">
        <f>IF(Y$3=0,"",SUMIFS(INDEX(Inputs!$D$4:$AG$150,0,MATCH(Y$2,Inputs!$D$2:$AG$2,0)),Inputs!$B$4:$B$150,$B8)/1000)</f>
        <v>-1027</v>
      </c>
      <c r="Z8" s="11">
        <f>IF(Z$3=0,"",SUMIFS(INDEX(Inputs!$D$4:$AG$150,0,MATCH(Z$2,Inputs!$D$2:$AG$2,0)),Inputs!$B$4:$B$150,$B8)/1000)</f>
        <v>-1003</v>
      </c>
      <c r="AA8" s="11">
        <f>IF(AA$3=0,"",SUMIFS(INDEX(Inputs!$D$4:$AG$150,0,MATCH(AA$2,Inputs!$D$2:$AG$2,0)),Inputs!$B$4:$B$150,$B8)/1000)</f>
        <v>-974</v>
      </c>
      <c r="AB8" s="12">
        <f>IF(COUNT(X8:AA8)=4,SUM(X8:AA8),"")</f>
        <v>-4002</v>
      </c>
      <c r="AC8" s="11">
        <f>IF(AC$3=0,"",SUMIFS(INDEX(Inputs!$D$4:$AG$150,0,MATCH(AC$2,Inputs!$D$2:$AG$2,0)),Inputs!$B$4:$B$150,$B8)/1000)</f>
        <v>-955</v>
      </c>
      <c r="AD8" s="11">
        <f>IF(AD$3=0,"",SUMIFS(INDEX(Inputs!$D$4:$AG$150,0,MATCH(AD$2,Inputs!$D$2:$AG$2,0)),Inputs!$B$4:$B$150,$B8)/1000)</f>
        <v>-962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0</v>
      </c>
      <c r="E9" s="11">
        <f>IF(E$3=0,"",SUMIFS(INDEX(Inputs!$D$4:$AG$150,0,MATCH(E$2,Inputs!$D$2:$AG$2,0)),Inputs!$B$4:$B$150,$B9)/1000)</f>
        <v>0</v>
      </c>
      <c r="F9" s="11">
        <f>IF(F$3=0,"",SUMIFS(INDEX(Inputs!$D$4:$AG$150,0,MATCH(F$2,Inputs!$D$2:$AG$2,0)),Inputs!$B$4:$B$150,$B9)/1000)</f>
        <v>0</v>
      </c>
      <c r="G9" s="11">
        <f>IF(G$3=0,"",SUMIFS(INDEX(Inputs!$D$4:$AG$150,0,MATCH(G$2,Inputs!$D$2:$AG$2,0)),Inputs!$B$4:$B$150,$B9)/1000)</f>
        <v>0</v>
      </c>
      <c r="H9" s="12">
        <f>IF(COUNT(D9:G9)=4,SUM(D9:G9),"")</f>
        <v>0</v>
      </c>
      <c r="I9" s="11">
        <f>IF(I$3=0,"",SUMIFS(INDEX(Inputs!$D$4:$AG$150,0,MATCH(I$2,Inputs!$D$2:$AG$2,0)),Inputs!$B$4:$B$150,$B9)/1000)</f>
        <v>0</v>
      </c>
      <c r="J9" s="11">
        <f>IF(J$3=0,"",SUMIFS(INDEX(Inputs!$D$4:$AG$150,0,MATCH(J$2,Inputs!$D$2:$AG$2,0)),Inputs!$B$4:$B$150,$B9)/1000)</f>
        <v>0</v>
      </c>
      <c r="K9" s="11">
        <f>IF(K$3=0,"",SUMIFS(INDEX(Inputs!$D$4:$AG$150,0,MATCH(K$2,Inputs!$D$2:$AG$2,0)),Inputs!$B$4:$B$150,$B9)/1000)</f>
        <v>0</v>
      </c>
      <c r="L9" s="11">
        <f>IF(L$3=0,"",SUMIFS(INDEX(Inputs!$D$4:$AG$150,0,MATCH(L$2,Inputs!$D$2:$AG$2,0)),Inputs!$B$4:$B$150,$B9)/1000)</f>
        <v>0</v>
      </c>
      <c r="M9" s="12">
        <f>IF(COUNT(I9:L9)=4,SUM(I9:L9),"")</f>
        <v>0</v>
      </c>
      <c r="N9" s="11">
        <f>IF(N$3=0,"",SUMIFS(INDEX(Inputs!$D$4:$AG$150,0,MATCH(N$2,Inputs!$D$2:$AG$2,0)),Inputs!$B$4:$B$150,$B9)/1000)</f>
        <v>0</v>
      </c>
      <c r="O9" s="11">
        <f>IF(O$3=0,"",SUMIFS(INDEX(Inputs!$D$4:$AG$150,0,MATCH(O$2,Inputs!$D$2:$AG$2,0)),Inputs!$B$4:$B$150,$B9)/1000)</f>
        <v>0</v>
      </c>
      <c r="P9" s="11">
        <f>IF(P$3=0,"",SUMIFS(INDEX(Inputs!$D$4:$AG$150,0,MATCH(P$2,Inputs!$D$2:$AG$2,0)),Inputs!$B$4:$B$150,$B9)/1000)</f>
        <v>0</v>
      </c>
      <c r="Q9" s="11">
        <f>IF(Q$3=0,"",SUMIFS(INDEX(Inputs!$D$4:$AG$150,0,MATCH(Q$2,Inputs!$D$2:$AG$2,0)),Inputs!$B$4:$B$150,$B9)/1000)</f>
        <v>0</v>
      </c>
      <c r="R9" s="12">
        <f>IF(COUNT(N9:Q9)=4,SUM(N9:Q9),"")</f>
        <v>0</v>
      </c>
      <c r="S9" s="11">
        <f>IF(S$3=0,"",SUMIFS(INDEX(Inputs!$D$4:$AG$150,0,MATCH(S$2,Inputs!$D$2:$AG$2,0)),Inputs!$B$4:$B$150,$B9)/1000)</f>
        <v>-7086</v>
      </c>
      <c r="T9" s="11">
        <f>IF(T$3=0,"",SUMIFS(INDEX(Inputs!$D$4:$AG$150,0,MATCH(T$2,Inputs!$D$2:$AG$2,0)),Inputs!$B$4:$B$150,$B9)/1000)</f>
        <v>-1225</v>
      </c>
      <c r="U9" s="11">
        <f>IF(U$3=0,"",SUMIFS(INDEX(Inputs!$D$4:$AG$150,0,MATCH(U$2,Inputs!$D$2:$AG$2,0)),Inputs!$B$4:$B$150,$B9)/1000)</f>
        <v>-20</v>
      </c>
      <c r="V9" s="11">
        <f>IF(V$3=0,"",SUMIFS(INDEX(Inputs!$D$4:$AG$150,0,MATCH(V$2,Inputs!$D$2:$AG$2,0)),Inputs!$B$4:$B$150,$B9)/1000)</f>
        <v>21</v>
      </c>
      <c r="W9" s="12">
        <f>IF(COUNT(S9:V9)=4,SUM(S9:V9),"")</f>
        <v>-8310</v>
      </c>
      <c r="X9" s="11">
        <f>IF(X$3=0,"",SUMIFS(INDEX(Inputs!$D$4:$AG$150,0,MATCH(X$2,Inputs!$D$2:$AG$2,0)),Inputs!$B$4:$B$150,$B9)/1000)</f>
        <v>-15</v>
      </c>
      <c r="Y9" s="11">
        <f>IF(Y$3=0,"",SUMIFS(INDEX(Inputs!$D$4:$AG$150,0,MATCH(Y$2,Inputs!$D$2:$AG$2,0)),Inputs!$B$4:$B$150,$B9)/1000)</f>
        <v>-41</v>
      </c>
      <c r="Z9" s="11">
        <f>IF(Z$3=0,"",SUMIFS(INDEX(Inputs!$D$4:$AG$150,0,MATCH(Z$2,Inputs!$D$2:$AG$2,0)),Inputs!$B$4:$B$150,$B9)/1000)</f>
        <v>-83</v>
      </c>
      <c r="AA9" s="11">
        <f>IF(AA$3=0,"",SUMIFS(INDEX(Inputs!$D$4:$AG$150,0,MATCH(AA$2,Inputs!$D$2:$AG$2,0)),Inputs!$B$4:$B$150,$B9)/1000)</f>
        <v>-126</v>
      </c>
      <c r="AB9" s="12">
        <f>IF(COUNT(X9:AA9)=4,SUM(X9:AA9),"")</f>
        <v>-265</v>
      </c>
      <c r="AC9" s="11">
        <f>IF(AC$3=0,"",SUMIFS(INDEX(Inputs!$D$4:$AG$150,0,MATCH(AC$2,Inputs!$D$2:$AG$2,0)),Inputs!$B$4:$B$150,$B9)/1000)</f>
        <v>-72</v>
      </c>
      <c r="AD9" s="11">
        <f>IF(AD$3=0,"",SUMIFS(INDEX(Inputs!$D$4:$AG$150,0,MATCH(AD$2,Inputs!$D$2:$AG$2,0)),Inputs!$B$4:$B$150,$B9)/1000)</f>
        <v>-61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-1364</v>
      </c>
      <c r="E10" s="11">
        <f>IF(E$3=0,"",SUMIFS(INDEX(Inputs!$D$4:$AG$150,0,MATCH(E$2,Inputs!$D$2:$AG$2,0)),Inputs!$B$4:$B$150,$B10)/1000)</f>
        <v>-1196</v>
      </c>
      <c r="F10" s="11">
        <f>IF(F$3=0,"",SUMIFS(INDEX(Inputs!$D$4:$AG$150,0,MATCH(F$2,Inputs!$D$2:$AG$2,0)),Inputs!$B$4:$B$150,$B10)/1000)</f>
        <v>-1099</v>
      </c>
      <c r="G10" s="11">
        <f>IF(G$3=0,"",SUMIFS(INDEX(Inputs!$D$4:$AG$150,0,MATCH(G$2,Inputs!$D$2:$AG$2,0)),Inputs!$B$4:$B$150,$B10)/1000)</f>
        <v>-919</v>
      </c>
      <c r="H10" s="12">
        <f>IF(COUNT(D10:G10)=4,SUM(D10:G10),"")</f>
        <v>-4578</v>
      </c>
      <c r="I10" s="11">
        <f>IF(I$3=0,"",SUMIFS(INDEX(Inputs!$D$4:$AG$150,0,MATCH(I$2,Inputs!$D$2:$AG$2,0)),Inputs!$B$4:$B$150,$B10)/1000)</f>
        <v>-1369</v>
      </c>
      <c r="J10" s="11">
        <f>IF(J$3=0,"",SUMIFS(INDEX(Inputs!$D$4:$AG$150,0,MATCH(J$2,Inputs!$D$2:$AG$2,0)),Inputs!$B$4:$B$150,$B10)/1000)</f>
        <v>-1466</v>
      </c>
      <c r="K10" s="11">
        <f>IF(K$3=0,"",SUMIFS(INDEX(Inputs!$D$4:$AG$150,0,MATCH(K$2,Inputs!$D$2:$AG$2,0)),Inputs!$B$4:$B$150,$B10)/1000)</f>
        <v>-1562</v>
      </c>
      <c r="L10" s="11">
        <f>IF(L$3=0,"",SUMIFS(INDEX(Inputs!$D$4:$AG$150,0,MATCH(L$2,Inputs!$D$2:$AG$2,0)),Inputs!$B$4:$B$150,$B10)/1000)</f>
        <v>-1307</v>
      </c>
      <c r="M10" s="12">
        <f>IF(COUNT(I10:L10)=4,SUM(I10:L10),"")</f>
        <v>-5704</v>
      </c>
      <c r="N10" s="11">
        <f>IF(N$3=0,"",SUMIFS(INDEX(Inputs!$D$4:$AG$150,0,MATCH(N$2,Inputs!$D$2:$AG$2,0)),Inputs!$B$4:$B$150,$B10)/1000)</f>
        <v>-1558</v>
      </c>
      <c r="O10" s="11">
        <f>IF(O$3=0,"",SUMIFS(INDEX(Inputs!$D$4:$AG$150,0,MATCH(O$2,Inputs!$D$2:$AG$2,0)),Inputs!$B$4:$B$150,$B10)/1000)</f>
        <v>-1572</v>
      </c>
      <c r="P10" s="11">
        <f>IF(P$3=0,"",SUMIFS(INDEX(Inputs!$D$4:$AG$150,0,MATCH(P$2,Inputs!$D$2:$AG$2,0)),Inputs!$B$4:$B$150,$B10)/1000)</f>
        <v>-1654</v>
      </c>
      <c r="Q10" s="11">
        <f>IF(Q$3=0,"",SUMIFS(INDEX(Inputs!$D$4:$AG$150,0,MATCH(Q$2,Inputs!$D$2:$AG$2,0)),Inputs!$B$4:$B$150,$B10)/1000)</f>
        <v>-1184</v>
      </c>
      <c r="R10" s="12">
        <f>IF(COUNT(N10:Q10)=4,SUM(N10:Q10),"")</f>
        <v>-5968</v>
      </c>
      <c r="S10" s="11">
        <f>IF(S$3=0,"",SUMIFS(INDEX(Inputs!$D$4:$AG$150,0,MATCH(S$2,Inputs!$D$2:$AG$2,0)),Inputs!$B$4:$B$150,$B10)/1000)</f>
        <v>-1222</v>
      </c>
      <c r="T10" s="11">
        <f>IF(T$3=0,"",SUMIFS(INDEX(Inputs!$D$4:$AG$150,0,MATCH(T$2,Inputs!$D$2:$AG$2,0)),Inputs!$B$4:$B$150,$B10)/1000)</f>
        <v>-1244</v>
      </c>
      <c r="U10" s="11">
        <f>IF(U$3=0,"",SUMIFS(INDEX(Inputs!$D$4:$AG$150,0,MATCH(U$2,Inputs!$D$2:$AG$2,0)),Inputs!$B$4:$B$150,$B10)/1000)</f>
        <v>-1356</v>
      </c>
      <c r="V10" s="11">
        <f>IF(V$3=0,"",SUMIFS(INDEX(Inputs!$D$4:$AG$150,0,MATCH(V$2,Inputs!$D$2:$AG$2,0)),Inputs!$B$4:$B$150,$B10)/1000)</f>
        <v>-1007</v>
      </c>
      <c r="W10" s="12">
        <f>IF(COUNT(S10:V10)=4,SUM(S10:V10),"")</f>
        <v>-4829</v>
      </c>
      <c r="X10" s="11">
        <f>IF(X$3=0,"",SUMIFS(INDEX(Inputs!$D$4:$AG$150,0,MATCH(X$2,Inputs!$D$2:$AG$2,0)),Inputs!$B$4:$B$150,$B10)/1000)</f>
        <v>-1632</v>
      </c>
      <c r="Y10" s="11">
        <f>IF(Y$3=0,"",SUMIFS(INDEX(Inputs!$D$4:$AG$150,0,MATCH(Y$2,Inputs!$D$2:$AG$2,0)),Inputs!$B$4:$B$150,$B10)/1000)</f>
        <v>-510</v>
      </c>
      <c r="Z10" s="11">
        <f>IF(Z$3=0,"",SUMIFS(INDEX(Inputs!$D$4:$AG$150,0,MATCH(Z$2,Inputs!$D$2:$AG$2,0)),Inputs!$B$4:$B$150,$B10)/1000)</f>
        <v>-686</v>
      </c>
      <c r="AA10" s="11">
        <f>IF(AA$3=0,"",SUMIFS(INDEX(Inputs!$D$4:$AG$150,0,MATCH(AA$2,Inputs!$D$2:$AG$2,0)),Inputs!$B$4:$B$150,$B10)/1000)</f>
        <v>938</v>
      </c>
      <c r="AB10" s="12">
        <f>IF(COUNT(X10:AA10)=4,SUM(X10:AA10),"")</f>
        <v>-1890</v>
      </c>
      <c r="AC10" s="11">
        <f>IF(AC$3=0,"",SUMIFS(INDEX(Inputs!$D$4:$AG$150,0,MATCH(AC$2,Inputs!$D$2:$AG$2,0)),Inputs!$B$4:$B$150,$B10)/1000)</f>
        <v>-1482</v>
      </c>
      <c r="AD10" s="11">
        <f>IF(AD$3=0,"",SUMIFS(INDEX(Inputs!$D$4:$AG$150,0,MATCH(AD$2,Inputs!$D$2:$AG$2,0)),Inputs!$B$4:$B$150,$B10)/1000)</f>
        <v>-1298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0</v>
      </c>
      <c r="E11" s="11">
        <f>IF(E$3=0,"",SUMIFS(INDEX(Inputs!$D$4:$AG$150,0,MATCH(E$2,Inputs!$D$2:$AG$2,0)),Inputs!$B$4:$B$150,$B11)/1000)</f>
        <v>0</v>
      </c>
      <c r="F11" s="11">
        <f>IF(F$3=0,"",SUMIFS(INDEX(Inputs!$D$4:$AG$150,0,MATCH(F$2,Inputs!$D$2:$AG$2,0)),Inputs!$B$4:$B$150,$B11)/1000)</f>
        <v>0</v>
      </c>
      <c r="G11" s="11">
        <f>IF(G$3=0,"",SUMIFS(INDEX(Inputs!$D$4:$AG$150,0,MATCH(G$2,Inputs!$D$2:$AG$2,0)),Inputs!$B$4:$B$150,$B11)/1000)</f>
        <v>0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0</v>
      </c>
      <c r="J11" s="11">
        <f>IF(J$3=0,"",SUMIFS(INDEX(Inputs!$D$4:$AG$150,0,MATCH(J$2,Inputs!$D$2:$AG$2,0)),Inputs!$B$4:$B$150,$B11)/1000)</f>
        <v>0</v>
      </c>
      <c r="K11" s="11">
        <f>IF(K$3=0,"",SUMIFS(INDEX(Inputs!$D$4:$AG$150,0,MATCH(K$2,Inputs!$D$2:$AG$2,0)),Inputs!$B$4:$B$150,$B11)/1000)</f>
        <v>0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0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0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-116</v>
      </c>
      <c r="E12" s="11">
        <f>IF(E$3=0,"",SUMIFS(INDEX(Inputs!$D$4:$AG$150,0,MATCH(E$2,Inputs!$D$2:$AG$2,0)),Inputs!$B$4:$B$150,$B12)/1000)</f>
        <v>-106</v>
      </c>
      <c r="F12" s="11">
        <f>IF(F$3=0,"",SUMIFS(INDEX(Inputs!$D$4:$AG$150,0,MATCH(F$2,Inputs!$D$2:$AG$2,0)),Inputs!$B$4:$B$150,$B12)/1000)</f>
        <v>-105</v>
      </c>
      <c r="G12" s="11">
        <f>IF(G$3=0,"",SUMIFS(INDEX(Inputs!$D$4:$AG$150,0,MATCH(G$2,Inputs!$D$2:$AG$2,0)),Inputs!$B$4:$B$150,$B12)/1000)</f>
        <v>-120</v>
      </c>
      <c r="H12" s="12">
        <f>IF(COUNT(D12:G12)=4,SUM(D12:G12),"")</f>
        <v>-447</v>
      </c>
      <c r="I12" s="11">
        <f>IF(I$3=0,"",SUMIFS(INDEX(Inputs!$D$4:$AG$150,0,MATCH(I$2,Inputs!$D$2:$AG$2,0)),Inputs!$B$4:$B$150,$B12)/1000)</f>
        <v>-121</v>
      </c>
      <c r="J12" s="11">
        <f>IF(J$3=0,"",SUMIFS(INDEX(Inputs!$D$4:$AG$150,0,MATCH(J$2,Inputs!$D$2:$AG$2,0)),Inputs!$B$4:$B$150,$B12)/1000)</f>
        <v>-129</v>
      </c>
      <c r="K12" s="11">
        <f>IF(K$3=0,"",SUMIFS(INDEX(Inputs!$D$4:$AG$150,0,MATCH(K$2,Inputs!$D$2:$AG$2,0)),Inputs!$B$4:$B$150,$B12)/1000)</f>
        <v>-122</v>
      </c>
      <c r="L12" s="11">
        <f>IF(L$3=0,"",SUMIFS(INDEX(Inputs!$D$4:$AG$150,0,MATCH(L$2,Inputs!$D$2:$AG$2,0)),Inputs!$B$4:$B$150,$B12)/1000)</f>
        <v>-147</v>
      </c>
      <c r="M12" s="12">
        <f>IF(COUNT(I12:L12)=4,SUM(I12:L12),"")</f>
        <v>-519</v>
      </c>
      <c r="N12" s="11">
        <f>IF(N$3=0,"",SUMIFS(INDEX(Inputs!$D$4:$AG$150,0,MATCH(N$2,Inputs!$D$2:$AG$2,0)),Inputs!$B$4:$B$150,$B12)/1000)</f>
        <v>-163</v>
      </c>
      <c r="O12" s="11">
        <f>IF(O$3=0,"",SUMIFS(INDEX(Inputs!$D$4:$AG$150,0,MATCH(O$2,Inputs!$D$2:$AG$2,0)),Inputs!$B$4:$B$150,$B12)/1000)</f>
        <v>-183</v>
      </c>
      <c r="P12" s="11">
        <f>IF(P$3=0,"",SUMIFS(INDEX(Inputs!$D$4:$AG$150,0,MATCH(P$2,Inputs!$D$2:$AG$2,0)),Inputs!$B$4:$B$150,$B12)/1000)</f>
        <v>-197</v>
      </c>
      <c r="Q12" s="11">
        <f>IF(Q$3=0,"",SUMIFS(INDEX(Inputs!$D$4:$AG$150,0,MATCH(Q$2,Inputs!$D$2:$AG$2,0)),Inputs!$B$4:$B$150,$B12)/1000)</f>
        <v>-220</v>
      </c>
      <c r="R12" s="12">
        <f>IF(COUNT(N12:Q12)=4,SUM(N12:Q12),"")</f>
        <v>-763</v>
      </c>
      <c r="S12" s="11">
        <f>IF(S$3=0,"",SUMIFS(INDEX(Inputs!$D$4:$AG$150,0,MATCH(S$2,Inputs!$D$2:$AG$2,0)),Inputs!$B$4:$B$150,$B12)/1000)</f>
        <v>-188</v>
      </c>
      <c r="T12" s="11">
        <f>IF(T$3=0,"",SUMIFS(INDEX(Inputs!$D$4:$AG$150,0,MATCH(T$2,Inputs!$D$2:$AG$2,0)),Inputs!$B$4:$B$150,$B12)/1000)</f>
        <v>-205</v>
      </c>
      <c r="U12" s="11">
        <f>IF(U$3=0,"",SUMIFS(INDEX(Inputs!$D$4:$AG$150,0,MATCH(U$2,Inputs!$D$2:$AG$2,0)),Inputs!$B$4:$B$150,$B12)/1000)</f>
        <v>-203</v>
      </c>
      <c r="V12" s="11">
        <f>IF(V$3=0,"",SUMIFS(INDEX(Inputs!$D$4:$AG$150,0,MATCH(V$2,Inputs!$D$2:$AG$2,0)),Inputs!$B$4:$B$150,$B12)/1000)</f>
        <v>-241</v>
      </c>
      <c r="W12" s="12">
        <f>IF(COUNT(S12:V12)=4,SUM(S12:V12),"")</f>
        <v>-837</v>
      </c>
      <c r="X12" s="11">
        <f>IF(X$3=0,"",SUMIFS(INDEX(Inputs!$D$4:$AG$150,0,MATCH(X$2,Inputs!$D$2:$AG$2,0)),Inputs!$B$4:$B$150,$B12)/1000)</f>
        <v>-182</v>
      </c>
      <c r="Y12" s="11">
        <f>IF(Y$3=0,"",SUMIFS(INDEX(Inputs!$D$4:$AG$150,0,MATCH(Y$2,Inputs!$D$2:$AG$2,0)),Inputs!$B$4:$B$150,$B12)/1000)</f>
        <v>-166</v>
      </c>
      <c r="Z12" s="11">
        <f>IF(Z$3=0,"",SUMIFS(INDEX(Inputs!$D$4:$AG$150,0,MATCH(Z$2,Inputs!$D$2:$AG$2,0)),Inputs!$B$4:$B$150,$B12)/1000)</f>
        <v>-195</v>
      </c>
      <c r="AA12" s="11">
        <f>IF(AA$3=0,"",SUMIFS(INDEX(Inputs!$D$4:$AG$150,0,MATCH(AA$2,Inputs!$D$2:$AG$2,0)),Inputs!$B$4:$B$150,$B12)/1000)</f>
        <v>-208</v>
      </c>
      <c r="AB12" s="12">
        <f>IF(COUNT(X12:AA12)=4,SUM(X12:AA12),"")</f>
        <v>-751</v>
      </c>
      <c r="AC12" s="11">
        <f>IF(AC$3=0,"",SUMIFS(INDEX(Inputs!$D$4:$AG$150,0,MATCH(AC$2,Inputs!$D$2:$AG$2,0)),Inputs!$B$4:$B$150,$B12)/1000)</f>
        <v>-201</v>
      </c>
      <c r="AD12" s="11">
        <f>IF(AD$3=0,"",SUMIFS(INDEX(Inputs!$D$4:$AG$150,0,MATCH(AD$2,Inputs!$D$2:$AG$2,0)),Inputs!$B$4:$B$150,$B12)/1000)</f>
        <v>-186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-1181</v>
      </c>
      <c r="E13" s="11">
        <f>IF(E$3=0,"",SUMIFS(INDEX(Inputs!$D$4:$AG$150,0,MATCH(E$2,Inputs!$D$2:$AG$2,0)),Inputs!$B$4:$B$150,$B13)/1000)</f>
        <v>-1367</v>
      </c>
      <c r="F13" s="11">
        <f>IF(F$3=0,"",SUMIFS(INDEX(Inputs!$D$4:$AG$150,0,MATCH(F$2,Inputs!$D$2:$AG$2,0)),Inputs!$B$4:$B$150,$B13)/1000)</f>
        <v>-1367</v>
      </c>
      <c r="G13" s="11">
        <f>IF(G$3=0,"",SUMIFS(INDEX(Inputs!$D$4:$AG$150,0,MATCH(G$2,Inputs!$D$2:$AG$2,0)),Inputs!$B$4:$B$150,$B13)/1000)</f>
        <v>-1365</v>
      </c>
      <c r="H13" s="12">
        <f>IF(COUNT(D13:G13)=4,SUM(D13:G13),"")</f>
        <v>-5280</v>
      </c>
      <c r="I13" s="11">
        <f>IF(I$3=0,"",SUMIFS(INDEX(Inputs!$D$4:$AG$150,0,MATCH(I$2,Inputs!$D$2:$AG$2,0)),Inputs!$B$4:$B$150,$B13)/1000)</f>
        <v>-1363</v>
      </c>
      <c r="J13" s="11">
        <f>IF(J$3=0,"",SUMIFS(INDEX(Inputs!$D$4:$AG$150,0,MATCH(J$2,Inputs!$D$2:$AG$2,0)),Inputs!$B$4:$B$150,$B13)/1000)</f>
        <v>-1545</v>
      </c>
      <c r="K13" s="11">
        <f>IF(K$3=0,"",SUMIFS(INDEX(Inputs!$D$4:$AG$150,0,MATCH(K$2,Inputs!$D$2:$AG$2,0)),Inputs!$B$4:$B$150,$B13)/1000)</f>
        <v>-1542</v>
      </c>
      <c r="L13" s="11">
        <f>IF(L$3=0,"",SUMIFS(INDEX(Inputs!$D$4:$AG$150,0,MATCH(L$2,Inputs!$D$2:$AG$2,0)),Inputs!$B$4:$B$150,$B13)/1000)</f>
        <v>-1541</v>
      </c>
      <c r="M13" s="12">
        <f>IF(COUNT(I13:L13)=4,SUM(I13:L13),"")</f>
        <v>-5991</v>
      </c>
      <c r="N13" s="11">
        <f>IF(N$3=0,"",SUMIFS(INDEX(Inputs!$D$4:$AG$150,0,MATCH(N$2,Inputs!$D$2:$AG$2,0)),Inputs!$B$4:$B$150,$B13)/1000)</f>
        <v>-1537</v>
      </c>
      <c r="O13" s="11">
        <f>IF(O$3=0,"",SUMIFS(INDEX(Inputs!$D$4:$AG$150,0,MATCH(O$2,Inputs!$D$2:$AG$2,0)),Inputs!$B$4:$B$150,$B13)/1000)</f>
        <v>-1747</v>
      </c>
      <c r="P13" s="11">
        <f>IF(P$3=0,"",SUMIFS(INDEX(Inputs!$D$4:$AG$150,0,MATCH(P$2,Inputs!$D$2:$AG$2,0)),Inputs!$B$4:$B$150,$B13)/1000)</f>
        <v>-1739</v>
      </c>
      <c r="Q13" s="11">
        <f>IF(Q$3=0,"",SUMIFS(INDEX(Inputs!$D$4:$AG$150,0,MATCH(Q$2,Inputs!$D$2:$AG$2,0)),Inputs!$B$4:$B$150,$B13)/1000)</f>
        <v>-1738</v>
      </c>
      <c r="R13" s="12">
        <f>IF(COUNT(N13:Q13)=4,SUM(N13:Q13),"")</f>
        <v>-6761</v>
      </c>
      <c r="S13" s="11">
        <f>IF(S$3=0,"",SUMIFS(INDEX(Inputs!$D$4:$AG$150,0,MATCH(S$2,Inputs!$D$2:$AG$2,0)),Inputs!$B$4:$B$150,$B13)/1000)</f>
        <v>-1729</v>
      </c>
      <c r="T13" s="11">
        <f>IF(T$3=0,"",SUMIFS(INDEX(Inputs!$D$4:$AG$150,0,MATCH(T$2,Inputs!$D$2:$AG$2,0)),Inputs!$B$4:$B$150,$B13)/1000)</f>
        <v>-1935</v>
      </c>
      <c r="U13" s="11">
        <f>IF(U$3=0,"",SUMIFS(INDEX(Inputs!$D$4:$AG$150,0,MATCH(U$2,Inputs!$D$2:$AG$2,0)),Inputs!$B$4:$B$150,$B13)/1000)</f>
        <v>-1937</v>
      </c>
      <c r="V13" s="11">
        <f>IF(V$3=0,"",SUMIFS(INDEX(Inputs!$D$4:$AG$150,0,MATCH(V$2,Inputs!$D$2:$AG$2,0)),Inputs!$B$4:$B$150,$B13)/1000)</f>
        <v>-1932</v>
      </c>
      <c r="W13" s="12">
        <f>IF(COUNT(S13:V13)=4,SUM(S13:V13),"")</f>
        <v>-7533</v>
      </c>
      <c r="X13" s="11">
        <f>IF(X$3=0,"",SUMIFS(INDEX(Inputs!$D$4:$AG$150,0,MATCH(X$2,Inputs!$D$2:$AG$2,0)),Inputs!$B$4:$B$150,$B13)/1000)</f>
        <v>-1912</v>
      </c>
      <c r="Y13" s="11">
        <f>IF(Y$3=0,"",SUMIFS(INDEX(Inputs!$D$4:$AG$150,0,MATCH(Y$2,Inputs!$D$2:$AG$2,0)),Inputs!$B$4:$B$150,$B13)/1000)</f>
        <v>-2000</v>
      </c>
      <c r="Z13" s="11">
        <f>IF(Z$3=0,"",SUMIFS(INDEX(Inputs!$D$4:$AG$150,0,MATCH(Z$2,Inputs!$D$2:$AG$2,0)),Inputs!$B$4:$B$150,$B13)/1000)</f>
        <v>-2002</v>
      </c>
      <c r="AA13" s="11">
        <f>IF(AA$3=0,"",SUMIFS(INDEX(Inputs!$D$4:$AG$150,0,MATCH(AA$2,Inputs!$D$2:$AG$2,0)),Inputs!$B$4:$B$150,$B13)/1000)</f>
        <v>-2002</v>
      </c>
      <c r="AB13" s="12">
        <f>IF(COUNT(X13:AA13)=4,SUM(X13:AA13),"")</f>
        <v>-7916</v>
      </c>
      <c r="AC13" s="11">
        <f>IF(AC$3=0,"",SUMIFS(INDEX(Inputs!$D$4:$AG$150,0,MATCH(AC$2,Inputs!$D$2:$AG$2,0)),Inputs!$B$4:$B$150,$B13)/1000)</f>
        <v>-2005</v>
      </c>
      <c r="AD13" s="11">
        <f>IF(AD$3=0,"",SUMIFS(INDEX(Inputs!$D$4:$AG$150,0,MATCH(AD$2,Inputs!$D$2:$AG$2,0)),Inputs!$B$4:$B$150,$B13)/1000)</f>
        <v>-2087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22917</v>
      </c>
      <c r="E15" s="11">
        <f>IF(E$3=0,"",SUMIFS(INDEX(Inputs!$D$4:$AG$150,0,MATCH(E$2,Inputs!$D$2:$AG$2,0)),Inputs!$B$4:$B$150,$B15)/1000)</f>
        <v>22561</v>
      </c>
      <c r="F15" s="11">
        <f>IF(F$3=0,"",SUMIFS(INDEX(Inputs!$D$4:$AG$150,0,MATCH(F$2,Inputs!$D$2:$AG$2,0)),Inputs!$B$4:$B$150,$B15)/1000)</f>
        <v>23871</v>
      </c>
      <c r="G15" s="11">
        <f>IF(G$3=0,"",SUMIFS(INDEX(Inputs!$D$4:$AG$150,0,MATCH(G$2,Inputs!$D$2:$AG$2,0)),Inputs!$B$4:$B$150,$B15)/1000)</f>
        <v>23907</v>
      </c>
      <c r="H15" s="12">
        <f>IF(G15="","",G15)</f>
        <v>23907</v>
      </c>
      <c r="I15" s="11">
        <f>IF(I$3=0,"",SUMIFS(INDEX(Inputs!$D$4:$AG$150,0,MATCH(I$2,Inputs!$D$2:$AG$2,0)),Inputs!$B$4:$B$150,$B15)/1000)</f>
        <v>28396</v>
      </c>
      <c r="J15" s="11">
        <f>IF(J$3=0,"",SUMIFS(INDEX(Inputs!$D$4:$AG$150,0,MATCH(J$2,Inputs!$D$2:$AG$2,0)),Inputs!$B$4:$B$150,$B15)/1000)</f>
        <v>27964</v>
      </c>
      <c r="K15" s="11">
        <f>IF(K$3=0,"",SUMIFS(INDEX(Inputs!$D$4:$AG$150,0,MATCH(K$2,Inputs!$D$2:$AG$2,0)),Inputs!$B$4:$B$150,$B15)/1000)</f>
        <v>42527</v>
      </c>
      <c r="L15" s="11">
        <f>IF(L$3=0,"",SUMIFS(INDEX(Inputs!$D$4:$AG$150,0,MATCH(L$2,Inputs!$D$2:$AG$2,0)),Inputs!$B$4:$B$150,$B15)/1000)</f>
        <v>27911</v>
      </c>
      <c r="M15" s="12">
        <f>IF(L15="","",L15)</f>
        <v>27911</v>
      </c>
      <c r="N15" s="11">
        <f>IF(N$3=0,"",SUMIFS(INDEX(Inputs!$D$4:$AG$150,0,MATCH(N$2,Inputs!$D$2:$AG$2,0)),Inputs!$B$4:$B$150,$B15)/1000)</f>
        <v>46497</v>
      </c>
      <c r="O15" s="11">
        <f>IF(O$3=0,"",SUMIFS(INDEX(Inputs!$D$4:$AG$150,0,MATCH(O$2,Inputs!$D$2:$AG$2,0)),Inputs!$B$4:$B$150,$B15)/1000)</f>
        <v>46279</v>
      </c>
      <c r="P15" s="11">
        <f>IF(P$3=0,"",SUMIFS(INDEX(Inputs!$D$4:$AG$150,0,MATCH(P$2,Inputs!$D$2:$AG$2,0)),Inputs!$B$4:$B$150,$B15)/1000)</f>
        <v>44097</v>
      </c>
      <c r="Q15" s="11">
        <f>IF(Q$3=0,"",SUMIFS(INDEX(Inputs!$D$4:$AG$150,0,MATCH(Q$2,Inputs!$D$2:$AG$2,0)),Inputs!$B$4:$B$150,$B15)/1000)</f>
        <v>29628</v>
      </c>
      <c r="R15" s="12">
        <f>IF(Q15="","",Q15)</f>
        <v>29628</v>
      </c>
      <c r="S15" s="11">
        <f>IF(S$3=0,"",SUMIFS(INDEX(Inputs!$D$4:$AG$150,0,MATCH(S$2,Inputs!$D$2:$AG$2,0)),Inputs!$B$4:$B$150,$B15)/1000)</f>
        <v>32710</v>
      </c>
      <c r="T15" s="11">
        <f>IF(T$3=0,"",SUMIFS(INDEX(Inputs!$D$4:$AG$150,0,MATCH(T$2,Inputs!$D$2:$AG$2,0)),Inputs!$B$4:$B$150,$B15)/1000)</f>
        <v>31323</v>
      </c>
      <c r="U15" s="11">
        <f>IF(U$3=0,"",SUMIFS(INDEX(Inputs!$D$4:$AG$150,0,MATCH(U$2,Inputs!$D$2:$AG$2,0)),Inputs!$B$4:$B$150,$B15)/1000)</f>
        <v>37134</v>
      </c>
      <c r="V15" s="11">
        <f>IF(V$3=0,"",SUMIFS(INDEX(Inputs!$D$4:$AG$150,0,MATCH(V$2,Inputs!$D$2:$AG$2,0)),Inputs!$B$4:$B$150,$B15)/1000)</f>
        <v>29113</v>
      </c>
      <c r="W15" s="12">
        <f>IF(V15="","",V15)</f>
        <v>29113</v>
      </c>
      <c r="X15" s="11">
        <f>IF(X$3=0,"",SUMIFS(INDEX(Inputs!$D$4:$AG$150,0,MATCH(X$2,Inputs!$D$2:$AG$2,0)),Inputs!$B$4:$B$150,$B15)/1000)</f>
        <v>34291</v>
      </c>
      <c r="Y15" s="11">
        <f>IF(Y$3=0,"",SUMIFS(INDEX(Inputs!$D$4:$AG$150,0,MATCH(Y$2,Inputs!$D$2:$AG$2,0)),Inputs!$B$4:$B$150,$B15)/1000)</f>
        <v>32020</v>
      </c>
      <c r="Z15" s="11">
        <f>IF(Z$3=0,"",SUMIFS(INDEX(Inputs!$D$4:$AG$150,0,MATCH(Z$2,Inputs!$D$2:$AG$2,0)),Inputs!$B$4:$B$150,$B15)/1000)</f>
        <v>30614</v>
      </c>
      <c r="AA15" s="11">
        <f>IF(AA$3=0,"",SUMIFS(INDEX(Inputs!$D$4:$AG$150,0,MATCH(AA$2,Inputs!$D$2:$AG$2,0)),Inputs!$B$4:$B$150,$B15)/1000)</f>
        <v>28121</v>
      </c>
      <c r="AB15" s="12">
        <f>IF(AA15="","",AA15)</f>
        <v>28121</v>
      </c>
      <c r="AC15" s="11">
        <f>IF(AC$3=0,"",SUMIFS(INDEX(Inputs!$D$4:$AG$150,0,MATCH(AC$2,Inputs!$D$2:$AG$2,0)),Inputs!$B$4:$B$150,$B15)/1000)</f>
        <v>31229</v>
      </c>
      <c r="AD15" s="11">
        <f>IF(AD$3=0,"",SUMIFS(INDEX(Inputs!$D$4:$AG$150,0,MATCH(AD$2,Inputs!$D$2:$AG$2,0)),Inputs!$B$4:$B$150,$B15)/1000)</f>
        <v>31468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15980</v>
      </c>
      <c r="E16" s="11">
        <f>IF(E$3=0,"",SUMIFS(INDEX(Inputs!$D$4:$AG$150,0,MATCH(E$2,Inputs!$D$2:$AG$2,0)),Inputs!$B$4:$B$150,$B16)/1000)</f>
        <v>14587</v>
      </c>
      <c r="F16" s="11">
        <f>IF(F$3=0,"",SUMIFS(INDEX(Inputs!$D$4:$AG$150,0,MATCH(F$2,Inputs!$D$2:$AG$2,0)),Inputs!$B$4:$B$150,$B16)/1000)</f>
        <v>14152</v>
      </c>
      <c r="G16" s="11">
        <f>IF(G$3=0,"",SUMIFS(INDEX(Inputs!$D$4:$AG$150,0,MATCH(G$2,Inputs!$D$2:$AG$2,0)),Inputs!$B$4:$B$150,$B16)/1000)</f>
        <v>14216</v>
      </c>
      <c r="H16" s="12">
        <f>IF(G16="","",G16)</f>
        <v>14216</v>
      </c>
      <c r="I16" s="11">
        <f>IF(I$3=0,"",SUMIFS(INDEX(Inputs!$D$4:$AG$150,0,MATCH(I$2,Inputs!$D$2:$AG$2,0)),Inputs!$B$4:$B$150,$B16)/1000)</f>
        <v>18871</v>
      </c>
      <c r="J16" s="11">
        <f>IF(J$3=0,"",SUMIFS(INDEX(Inputs!$D$4:$AG$150,0,MATCH(J$2,Inputs!$D$2:$AG$2,0)),Inputs!$B$4:$B$150,$B16)/1000)</f>
        <v>18718</v>
      </c>
      <c r="K16" s="11">
        <f>IF(K$3=0,"",SUMIFS(INDEX(Inputs!$D$4:$AG$150,0,MATCH(K$2,Inputs!$D$2:$AG$2,0)),Inputs!$B$4:$B$150,$B16)/1000)</f>
        <v>17047</v>
      </c>
      <c r="L16" s="11">
        <f>IF(L$3=0,"",SUMIFS(INDEX(Inputs!$D$4:$AG$150,0,MATCH(L$2,Inputs!$D$2:$AG$2,0)),Inputs!$B$4:$B$150,$B16)/1000)</f>
        <v>17681</v>
      </c>
      <c r="M16" s="12">
        <f>IF(L16="","",L16)</f>
        <v>17681</v>
      </c>
      <c r="N16" s="11">
        <f>IF(N$3=0,"",SUMIFS(INDEX(Inputs!$D$4:$AG$150,0,MATCH(N$2,Inputs!$D$2:$AG$2,0)),Inputs!$B$4:$B$150,$B16)/1000)</f>
        <v>22414</v>
      </c>
      <c r="O16" s="11">
        <f>IF(O$3=0,"",SUMIFS(INDEX(Inputs!$D$4:$AG$150,0,MATCH(O$2,Inputs!$D$2:$AG$2,0)),Inputs!$B$4:$B$150,$B16)/1000)</f>
        <v>17952</v>
      </c>
      <c r="P16" s="11">
        <f>IF(P$3=0,"",SUMIFS(INDEX(Inputs!$D$4:$AG$150,0,MATCH(P$2,Inputs!$D$2:$AG$2,0)),Inputs!$B$4:$B$150,$B16)/1000)</f>
        <v>20673</v>
      </c>
      <c r="Q16" s="11">
        <f>IF(Q$3=0,"",SUMIFS(INDEX(Inputs!$D$4:$AG$150,0,MATCH(Q$2,Inputs!$D$2:$AG$2,0)),Inputs!$B$4:$B$150,$B16)/1000)</f>
        <v>21276</v>
      </c>
      <c r="R16" s="12">
        <f>IF(Q16="","",Q16)</f>
        <v>21276</v>
      </c>
      <c r="S16" s="11">
        <f>IF(S$3=0,"",SUMIFS(INDEX(Inputs!$D$4:$AG$150,0,MATCH(S$2,Inputs!$D$2:$AG$2,0)),Inputs!$B$4:$B$150,$B16)/1000)</f>
        <v>27197</v>
      </c>
      <c r="T16" s="11">
        <f>IF(T$3=0,"",SUMIFS(INDEX(Inputs!$D$4:$AG$150,0,MATCH(T$2,Inputs!$D$2:$AG$2,0)),Inputs!$B$4:$B$150,$B16)/1000)</f>
        <v>23115</v>
      </c>
      <c r="U16" s="11">
        <f>IF(U$3=0,"",SUMIFS(INDEX(Inputs!$D$4:$AG$150,0,MATCH(U$2,Inputs!$D$2:$AG$2,0)),Inputs!$B$4:$B$150,$B16)/1000)</f>
        <v>20024</v>
      </c>
      <c r="V16" s="11">
        <f>IF(V$3=0,"",SUMIFS(INDEX(Inputs!$D$4:$AG$150,0,MATCH(V$2,Inputs!$D$2:$AG$2,0)),Inputs!$B$4:$B$150,$B16)/1000)</f>
        <v>22365</v>
      </c>
      <c r="W16" s="12">
        <f>IF(V16="","",V16)</f>
        <v>22365</v>
      </c>
      <c r="X16" s="11">
        <f>IF(X$3=0,"",SUMIFS(INDEX(Inputs!$D$4:$AG$150,0,MATCH(X$2,Inputs!$D$2:$AG$2,0)),Inputs!$B$4:$B$150,$B16)/1000)</f>
        <v>26936</v>
      </c>
      <c r="Y16" s="11">
        <f>IF(Y$3=0,"",SUMIFS(INDEX(Inputs!$D$4:$AG$150,0,MATCH(Y$2,Inputs!$D$2:$AG$2,0)),Inputs!$B$4:$B$150,$B16)/1000)</f>
        <v>24142</v>
      </c>
      <c r="Z16" s="11">
        <f>IF(Z$3=0,"",SUMIFS(INDEX(Inputs!$D$4:$AG$150,0,MATCH(Z$2,Inputs!$D$2:$AG$2,0)),Inputs!$B$4:$B$150,$B16)/1000)</f>
        <v>22672</v>
      </c>
      <c r="AA16" s="11">
        <f>IF(AA$3=0,"",SUMIFS(INDEX(Inputs!$D$4:$AG$150,0,MATCH(AA$2,Inputs!$D$2:$AG$2,0)),Inputs!$B$4:$B$150,$B16)/1000)</f>
        <v>23018</v>
      </c>
      <c r="AB16" s="12">
        <f>IF(AA16="","",AA16)</f>
        <v>23018</v>
      </c>
      <c r="AC16" s="11">
        <f>IF(AC$3=0,"",SUMIFS(INDEX(Inputs!$D$4:$AG$150,0,MATCH(AC$2,Inputs!$D$2:$AG$2,0)),Inputs!$B$4:$B$150,$B16)/1000)</f>
        <v>26587</v>
      </c>
      <c r="AD16" s="11">
        <f>IF(AD$3=0,"",SUMIFS(INDEX(Inputs!$D$4:$AG$150,0,MATCH(AD$2,Inputs!$D$2:$AG$2,0)),Inputs!$B$4:$B$150,$B16)/1000)</f>
        <v>21573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0</v>
      </c>
      <c r="E17" s="11">
        <f>IF(E$3=0,"",SUMIFS(INDEX(Inputs!$D$4:$AG$150,0,MATCH(E$2,Inputs!$D$2:$AG$2,0)),Inputs!$B$4:$B$150,$B17)/1000)</f>
        <v>0</v>
      </c>
      <c r="F17" s="11">
        <f>IF(F$3=0,"",SUMIFS(INDEX(Inputs!$D$4:$AG$150,0,MATCH(F$2,Inputs!$D$2:$AG$2,0)),Inputs!$B$4:$B$150,$B17)/1000)</f>
        <v>0</v>
      </c>
      <c r="G17" s="11">
        <f>IF(G$3=0,"",SUMIFS(INDEX(Inputs!$D$4:$AG$150,0,MATCH(G$2,Inputs!$D$2:$AG$2,0)),Inputs!$B$4:$B$150,$B17)/1000)</f>
        <v>0</v>
      </c>
      <c r="H17" s="12">
        <f>IF(G17="","",G17)</f>
        <v>0</v>
      </c>
      <c r="I17" s="11">
        <f>IF(I$3=0,"",SUMIFS(INDEX(Inputs!$D$4:$AG$150,0,MATCH(I$2,Inputs!$D$2:$AG$2,0)),Inputs!$B$4:$B$150,$B17)/1000)</f>
        <v>0</v>
      </c>
      <c r="J17" s="11">
        <f>IF(J$3=0,"",SUMIFS(INDEX(Inputs!$D$4:$AG$150,0,MATCH(J$2,Inputs!$D$2:$AG$2,0)),Inputs!$B$4:$B$150,$B17)/1000)</f>
        <v>0</v>
      </c>
      <c r="K17" s="11">
        <f>IF(K$3=0,"",SUMIFS(INDEX(Inputs!$D$4:$AG$150,0,MATCH(K$2,Inputs!$D$2:$AG$2,0)),Inputs!$B$4:$B$150,$B17)/1000)</f>
        <v>0</v>
      </c>
      <c r="L17" s="11">
        <f>IF(L$3=0,"",SUMIFS(INDEX(Inputs!$D$4:$AG$150,0,MATCH(L$2,Inputs!$D$2:$AG$2,0)),Inputs!$B$4:$B$150,$B17)/1000)</f>
        <v>0</v>
      </c>
      <c r="M17" s="12">
        <f>IF(L17="","",L17)</f>
        <v>0</v>
      </c>
      <c r="N17" s="11">
        <f>IF(N$3=0,"",SUMIFS(INDEX(Inputs!$D$4:$AG$150,0,MATCH(N$2,Inputs!$D$2:$AG$2,0)),Inputs!$B$4:$B$150,$B17)/1000)</f>
        <v>0</v>
      </c>
      <c r="O17" s="11">
        <f>IF(O$3=0,"",SUMIFS(INDEX(Inputs!$D$4:$AG$150,0,MATCH(O$2,Inputs!$D$2:$AG$2,0)),Inputs!$B$4:$B$150,$B17)/1000)</f>
        <v>0</v>
      </c>
      <c r="P17" s="11">
        <f>IF(P$3=0,"",SUMIFS(INDEX(Inputs!$D$4:$AG$150,0,MATCH(P$2,Inputs!$D$2:$AG$2,0)),Inputs!$B$4:$B$150,$B17)/1000)</f>
        <v>0</v>
      </c>
      <c r="Q17" s="11">
        <f>IF(Q$3=0,"",SUMIFS(INDEX(Inputs!$D$4:$AG$150,0,MATCH(Q$2,Inputs!$D$2:$AG$2,0)),Inputs!$B$4:$B$150,$B17)/1000)</f>
        <v>0</v>
      </c>
      <c r="R17" s="12">
        <f>IF(Q17="","",Q17)</f>
        <v>0</v>
      </c>
      <c r="S17" s="11">
        <f>IF(S$3=0,"",SUMIFS(INDEX(Inputs!$D$4:$AG$150,0,MATCH(S$2,Inputs!$D$2:$AG$2,0)),Inputs!$B$4:$B$150,$B17)/1000)</f>
        <v>0</v>
      </c>
      <c r="T17" s="11">
        <f>IF(T$3=0,"",SUMIFS(INDEX(Inputs!$D$4:$AG$150,0,MATCH(T$2,Inputs!$D$2:$AG$2,0)),Inputs!$B$4:$B$150,$B17)/1000)</f>
        <v>0</v>
      </c>
      <c r="U17" s="11">
        <f>IF(U$3=0,"",SUMIFS(INDEX(Inputs!$D$4:$AG$150,0,MATCH(U$2,Inputs!$D$2:$AG$2,0)),Inputs!$B$4:$B$150,$B17)/1000)</f>
        <v>0</v>
      </c>
      <c r="V17" s="11">
        <f>IF(V$3=0,"",SUMIFS(INDEX(Inputs!$D$4:$AG$150,0,MATCH(V$2,Inputs!$D$2:$AG$2,0)),Inputs!$B$4:$B$150,$B17)/1000)</f>
        <v>0</v>
      </c>
      <c r="W17" s="12">
        <f>IF(V17="","",V17)</f>
        <v>0</v>
      </c>
      <c r="X17" s="11">
        <f>IF(X$3=0,"",SUMIFS(INDEX(Inputs!$D$4:$AG$150,0,MATCH(X$2,Inputs!$D$2:$AG$2,0)),Inputs!$B$4:$B$150,$B17)/1000)</f>
        <v>0</v>
      </c>
      <c r="Y17" s="11">
        <f>IF(Y$3=0,"",SUMIFS(INDEX(Inputs!$D$4:$AG$150,0,MATCH(Y$2,Inputs!$D$2:$AG$2,0)),Inputs!$B$4:$B$150,$B17)/1000)</f>
        <v>0</v>
      </c>
      <c r="Z17" s="11">
        <f>IF(Z$3=0,"",SUMIFS(INDEX(Inputs!$D$4:$AG$150,0,MATCH(Z$2,Inputs!$D$2:$AG$2,0)),Inputs!$B$4:$B$150,$B17)/1000)</f>
        <v>0</v>
      </c>
      <c r="AA17" s="11">
        <f>IF(AA$3=0,"",SUMIFS(INDEX(Inputs!$D$4:$AG$150,0,MATCH(AA$2,Inputs!$D$2:$AG$2,0)),Inputs!$B$4:$B$150,$B17)/1000)</f>
        <v>0</v>
      </c>
      <c r="AB17" s="12">
        <f>IF(AA17="","",AA17)</f>
        <v>0</v>
      </c>
      <c r="AC17" s="11">
        <f>IF(AC$3=0,"",SUMIFS(INDEX(Inputs!$D$4:$AG$150,0,MATCH(AC$2,Inputs!$D$2:$AG$2,0)),Inputs!$B$4:$B$150,$B17)/1000)</f>
        <v>0</v>
      </c>
      <c r="AD17" s="11">
        <f>IF(AD$3=0,"",SUMIFS(INDEX(Inputs!$D$4:$AG$150,0,MATCH(AD$2,Inputs!$D$2:$AG$2,0)),Inputs!$B$4:$B$150,$B17)/1000)</f>
        <v>0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0</v>
      </c>
      <c r="E18" s="11">
        <f>IF(E$3=0,"",SUMIFS(INDEX(Inputs!$D$4:$AG$150,0,MATCH(E$2,Inputs!$D$2:$AG$2,0)),Inputs!$B$4:$B$150,$B18)/1000)</f>
        <v>0</v>
      </c>
      <c r="F18" s="11">
        <f>IF(F$3=0,"",SUMIFS(INDEX(Inputs!$D$4:$AG$150,0,MATCH(F$2,Inputs!$D$2:$AG$2,0)),Inputs!$B$4:$B$150,$B18)/1000)</f>
        <v>0</v>
      </c>
      <c r="G18" s="11">
        <f>IF(G$3=0,"",SUMIFS(INDEX(Inputs!$D$4:$AG$150,0,MATCH(G$2,Inputs!$D$2:$AG$2,0)),Inputs!$B$4:$B$150,$B18)/1000)</f>
        <v>0</v>
      </c>
      <c r="H18" s="12">
        <f>IF(G18="","",G18)</f>
        <v>0</v>
      </c>
      <c r="I18" s="11">
        <f>IF(I$3=0,"",SUMIFS(INDEX(Inputs!$D$4:$AG$150,0,MATCH(I$2,Inputs!$D$2:$AG$2,0)),Inputs!$B$4:$B$150,$B18)/1000)</f>
        <v>0</v>
      </c>
      <c r="J18" s="11">
        <f>IF(J$3=0,"",SUMIFS(INDEX(Inputs!$D$4:$AG$150,0,MATCH(J$2,Inputs!$D$2:$AG$2,0)),Inputs!$B$4:$B$150,$B18)/1000)</f>
        <v>0</v>
      </c>
      <c r="K18" s="11">
        <f>IF(K$3=0,"",SUMIFS(INDEX(Inputs!$D$4:$AG$150,0,MATCH(K$2,Inputs!$D$2:$AG$2,0)),Inputs!$B$4:$B$150,$B18)/1000)</f>
        <v>0</v>
      </c>
      <c r="L18" s="11">
        <f>IF(L$3=0,"",SUMIFS(INDEX(Inputs!$D$4:$AG$150,0,MATCH(L$2,Inputs!$D$2:$AG$2,0)),Inputs!$B$4:$B$150,$B18)/1000)</f>
        <v>0</v>
      </c>
      <c r="M18" s="12">
        <f>IF(L18="","",L18)</f>
        <v>0</v>
      </c>
      <c r="N18" s="11">
        <f>IF(N$3=0,"",SUMIFS(INDEX(Inputs!$D$4:$AG$150,0,MATCH(N$2,Inputs!$D$2:$AG$2,0)),Inputs!$B$4:$B$150,$B18)/1000)</f>
        <v>0</v>
      </c>
      <c r="O18" s="11">
        <f>IF(O$3=0,"",SUMIFS(INDEX(Inputs!$D$4:$AG$150,0,MATCH(O$2,Inputs!$D$2:$AG$2,0)),Inputs!$B$4:$B$150,$B18)/1000)</f>
        <v>0</v>
      </c>
      <c r="P18" s="11">
        <f>IF(P$3=0,"",SUMIFS(INDEX(Inputs!$D$4:$AG$150,0,MATCH(P$2,Inputs!$D$2:$AG$2,0)),Inputs!$B$4:$B$150,$B18)/1000)</f>
        <v>0</v>
      </c>
      <c r="Q18" s="11">
        <f>IF(Q$3=0,"",SUMIFS(INDEX(Inputs!$D$4:$AG$150,0,MATCH(Q$2,Inputs!$D$2:$AG$2,0)),Inputs!$B$4:$B$150,$B18)/1000)</f>
        <v>0</v>
      </c>
      <c r="R18" s="12">
        <f>IF(Q18="","",Q18)</f>
        <v>0</v>
      </c>
      <c r="S18" s="11">
        <f>IF(S$3=0,"",SUMIFS(INDEX(Inputs!$D$4:$AG$150,0,MATCH(S$2,Inputs!$D$2:$AG$2,0)),Inputs!$B$4:$B$150,$B18)/1000)</f>
        <v>0</v>
      </c>
      <c r="T18" s="11">
        <f>IF(T$3=0,"",SUMIFS(INDEX(Inputs!$D$4:$AG$150,0,MATCH(T$2,Inputs!$D$2:$AG$2,0)),Inputs!$B$4:$B$150,$B18)/1000)</f>
        <v>0</v>
      </c>
      <c r="U18" s="11">
        <f>IF(U$3=0,"",SUMIFS(INDEX(Inputs!$D$4:$AG$150,0,MATCH(U$2,Inputs!$D$2:$AG$2,0)),Inputs!$B$4:$B$150,$B18)/1000)</f>
        <v>0</v>
      </c>
      <c r="V18" s="11">
        <f>IF(V$3=0,"",SUMIFS(INDEX(Inputs!$D$4:$AG$150,0,MATCH(V$2,Inputs!$D$2:$AG$2,0)),Inputs!$B$4:$B$150,$B18)/1000)</f>
        <v>0</v>
      </c>
      <c r="W18" s="12">
        <f>IF(V18="","",V18)</f>
        <v>0</v>
      </c>
      <c r="X18" s="11">
        <f>IF(X$3=0,"",SUMIFS(INDEX(Inputs!$D$4:$AG$150,0,MATCH(X$2,Inputs!$D$2:$AG$2,0)),Inputs!$B$4:$B$150,$B18)/1000)</f>
        <v>0</v>
      </c>
      <c r="Y18" s="11">
        <f>IF(Y$3=0,"",SUMIFS(INDEX(Inputs!$D$4:$AG$150,0,MATCH(Y$2,Inputs!$D$2:$AG$2,0)),Inputs!$B$4:$B$150,$B18)/1000)</f>
        <v>0</v>
      </c>
      <c r="Z18" s="11">
        <f>IF(Z$3=0,"",SUMIFS(INDEX(Inputs!$D$4:$AG$150,0,MATCH(Z$2,Inputs!$D$2:$AG$2,0)),Inputs!$B$4:$B$150,$B18)/1000)</f>
        <v>0</v>
      </c>
      <c r="AA18" s="11">
        <f>IF(AA$3=0,"",SUMIFS(INDEX(Inputs!$D$4:$AG$150,0,MATCH(AA$2,Inputs!$D$2:$AG$2,0)),Inputs!$B$4:$B$150,$B18)/1000)</f>
        <v>0</v>
      </c>
      <c r="AB18" s="12">
        <f>IF(AA18="","",AA18)</f>
        <v>0</v>
      </c>
      <c r="AC18" s="11">
        <f>IF(AC$3=0,"",SUMIFS(INDEX(Inputs!$D$4:$AG$150,0,MATCH(AC$2,Inputs!$D$2:$AG$2,0)),Inputs!$B$4:$B$150,$B18)/1000)</f>
        <v>0</v>
      </c>
      <c r="AD18" s="11">
        <f>IF(AD$3=0,"",SUMIFS(INDEX(Inputs!$D$4:$AG$150,0,MATCH(AD$2,Inputs!$D$2:$AG$2,0)),Inputs!$B$4:$B$150,$B18)/1000)</f>
        <v>0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20611</v>
      </c>
      <c r="E20" s="11">
        <f>IF(E$3=0,"",SUMIFS(INDEX(Inputs!$D$4:$AG$150,0,MATCH(E$2,Inputs!$D$2:$AG$2,0)),Inputs!$B$4:$B$150,$B20)/1000)</f>
        <v>21768</v>
      </c>
      <c r="F20" s="11">
        <f>IF(F$3=0,"",SUMIFS(INDEX(Inputs!$D$4:$AG$150,0,MATCH(F$2,Inputs!$D$2:$AG$2,0)),Inputs!$B$4:$B$150,$B20)/1000)</f>
        <v>23587</v>
      </c>
      <c r="G20" s="11">
        <f>IF(G$3=0,"",SUMIFS(INDEX(Inputs!$D$4:$AG$150,0,MATCH(G$2,Inputs!$D$2:$AG$2,0)),Inputs!$B$4:$B$150,$B20)/1000)</f>
        <v>23635</v>
      </c>
      <c r="H20" s="12">
        <f>IF(G20="","",G20)</f>
        <v>23635</v>
      </c>
      <c r="I20" s="11">
        <f>IF(I$3=0,"",SUMIFS(INDEX(Inputs!$D$4:$AG$150,0,MATCH(I$2,Inputs!$D$2:$AG$2,0)),Inputs!$B$4:$B$150,$B20)/1000)</f>
        <v>21762</v>
      </c>
      <c r="J20" s="11">
        <f>IF(J$3=0,"",SUMIFS(INDEX(Inputs!$D$4:$AG$150,0,MATCH(J$2,Inputs!$D$2:$AG$2,0)),Inputs!$B$4:$B$150,$B20)/1000)</f>
        <v>21674</v>
      </c>
      <c r="K20" s="11">
        <f>IF(K$3=0,"",SUMIFS(INDEX(Inputs!$D$4:$AG$150,0,MATCH(K$2,Inputs!$D$2:$AG$2,0)),Inputs!$B$4:$B$150,$B20)/1000)</f>
        <v>23363</v>
      </c>
      <c r="L20" s="11">
        <f>IF(L$3=0,"",SUMIFS(INDEX(Inputs!$D$4:$AG$150,0,MATCH(L$2,Inputs!$D$2:$AG$2,0)),Inputs!$B$4:$B$150,$B20)/1000)</f>
        <v>23477</v>
      </c>
      <c r="M20" s="12">
        <f>IF(L20="","",L20)</f>
        <v>23477</v>
      </c>
      <c r="N20" s="11">
        <f>IF(N$3=0,"",SUMIFS(INDEX(Inputs!$D$4:$AG$150,0,MATCH(N$2,Inputs!$D$2:$AG$2,0)),Inputs!$B$4:$B$150,$B20)/1000)</f>
        <v>24984</v>
      </c>
      <c r="O20" s="11">
        <f>IF(O$3=0,"",SUMIFS(INDEX(Inputs!$D$4:$AG$150,0,MATCH(O$2,Inputs!$D$2:$AG$2,0)),Inputs!$B$4:$B$150,$B20)/1000)</f>
        <v>25638</v>
      </c>
      <c r="P20" s="11">
        <f>IF(P$3=0,"",SUMIFS(INDEX(Inputs!$D$4:$AG$150,0,MATCH(P$2,Inputs!$D$2:$AG$2,0)),Inputs!$B$4:$B$150,$B20)/1000)</f>
        <v>27135</v>
      </c>
      <c r="Q20" s="11">
        <f>IF(Q$3=0,"",SUMIFS(INDEX(Inputs!$D$4:$AG$150,0,MATCH(Q$2,Inputs!$D$2:$AG$2,0)),Inputs!$B$4:$B$150,$B20)/1000)</f>
        <v>27533</v>
      </c>
      <c r="R20" s="12">
        <f>IF(Q20="","",Q20)</f>
        <v>27533</v>
      </c>
      <c r="S20" s="11">
        <f>IF(S$3=0,"",SUMIFS(INDEX(Inputs!$D$4:$AG$150,0,MATCH(S$2,Inputs!$D$2:$AG$2,0)),Inputs!$B$4:$B$150,$B20)/1000)</f>
        <v>29035</v>
      </c>
      <c r="T20" s="11">
        <f>IF(T$3=0,"",SUMIFS(INDEX(Inputs!$D$4:$AG$150,0,MATCH(T$2,Inputs!$D$2:$AG$2,0)),Inputs!$B$4:$B$150,$B20)/1000)</f>
        <v>37600</v>
      </c>
      <c r="U20" s="11">
        <f>IF(U$3=0,"",SUMIFS(INDEX(Inputs!$D$4:$AG$150,0,MATCH(U$2,Inputs!$D$2:$AG$2,0)),Inputs!$B$4:$B$150,$B20)/1000)</f>
        <v>35100</v>
      </c>
      <c r="V20" s="11">
        <f>IF(V$3=0,"",SUMIFS(INDEX(Inputs!$D$4:$AG$150,0,MATCH(V$2,Inputs!$D$2:$AG$2,0)),Inputs!$B$4:$B$150,$B20)/1000)</f>
        <v>34301</v>
      </c>
      <c r="W20" s="12">
        <f>IF(V20="","",V20)</f>
        <v>34301</v>
      </c>
      <c r="X20" s="11">
        <f>IF(X$3=0,"",SUMIFS(INDEX(Inputs!$D$4:$AG$150,0,MATCH(X$2,Inputs!$D$2:$AG$2,0)),Inputs!$B$4:$B$150,$B20)/1000)</f>
        <v>35058</v>
      </c>
      <c r="Y20" s="11">
        <f>IF(Y$3=0,"",SUMIFS(INDEX(Inputs!$D$4:$AG$150,0,MATCH(Y$2,Inputs!$D$2:$AG$2,0)),Inputs!$B$4:$B$150,$B20)/1000)</f>
        <v>37537</v>
      </c>
      <c r="Z20" s="11">
        <f>IF(Z$3=0,"",SUMIFS(INDEX(Inputs!$D$4:$AG$150,0,MATCH(Z$2,Inputs!$D$2:$AG$2,0)),Inputs!$B$4:$B$150,$B20)/1000)</f>
        <v>41781</v>
      </c>
      <c r="AA20" s="11">
        <f>IF(AA$3=0,"",SUMIFS(INDEX(Inputs!$D$4:$AG$150,0,MATCH(AA$2,Inputs!$D$2:$AG$2,0)),Inputs!$B$4:$B$150,$B20)/1000)</f>
        <v>39443</v>
      </c>
      <c r="AB20" s="12">
        <f>IF(AA20="","",AA20)</f>
        <v>39443</v>
      </c>
      <c r="AC20" s="11">
        <f>IF(AC$3=0,"",SUMIFS(INDEX(Inputs!$D$4:$AG$150,0,MATCH(AC$2,Inputs!$D$2:$AG$2,0)),Inputs!$B$4:$B$150,$B20)/1000)</f>
        <v>33311</v>
      </c>
      <c r="AD20" s="11">
        <f>IF(AD$3=0,"",SUMIFS(INDEX(Inputs!$D$4:$AG$150,0,MATCH(AD$2,Inputs!$D$2:$AG$2,0)),Inputs!$B$4:$B$150,$B20)/1000)</f>
        <v>33819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0</v>
      </c>
      <c r="E21" s="11">
        <f>IF(E$3=0,"",SUMIFS(INDEX(Inputs!$D$4:$AG$150,0,MATCH(E$2,Inputs!$D$2:$AG$2,0)),Inputs!$B$4:$B$150,$B21)/1000)</f>
        <v>0</v>
      </c>
      <c r="F21" s="11">
        <f>IF(F$3=0,"",SUMIFS(INDEX(Inputs!$D$4:$AG$150,0,MATCH(F$2,Inputs!$D$2:$AG$2,0)),Inputs!$B$4:$B$150,$B21)/1000)</f>
        <v>0</v>
      </c>
      <c r="G21" s="11">
        <f>IF(G$3=0,"",SUMIFS(INDEX(Inputs!$D$4:$AG$150,0,MATCH(G$2,Inputs!$D$2:$AG$2,0)),Inputs!$B$4:$B$150,$B21)/1000)</f>
        <v>0</v>
      </c>
      <c r="H21" s="12">
        <f>IF(G21="","",G21)</f>
        <v>0</v>
      </c>
      <c r="I21" s="11">
        <f>IF(I$3=0,"",SUMIFS(INDEX(Inputs!$D$4:$AG$150,0,MATCH(I$2,Inputs!$D$2:$AG$2,0)),Inputs!$B$4:$B$150,$B21)/1000)</f>
        <v>0</v>
      </c>
      <c r="J21" s="11">
        <f>IF(J$3=0,"",SUMIFS(INDEX(Inputs!$D$4:$AG$150,0,MATCH(J$2,Inputs!$D$2:$AG$2,0)),Inputs!$B$4:$B$150,$B21)/1000)</f>
        <v>0</v>
      </c>
      <c r="K21" s="11">
        <f>IF(K$3=0,"",SUMIFS(INDEX(Inputs!$D$4:$AG$150,0,MATCH(K$2,Inputs!$D$2:$AG$2,0)),Inputs!$B$4:$B$150,$B21)/1000)</f>
        <v>0</v>
      </c>
      <c r="L21" s="11">
        <f>IF(L$3=0,"",SUMIFS(INDEX(Inputs!$D$4:$AG$150,0,MATCH(L$2,Inputs!$D$2:$AG$2,0)),Inputs!$B$4:$B$150,$B21)/1000)</f>
        <v>0</v>
      </c>
      <c r="M21" s="12">
        <f>IF(L21="","",L21)</f>
        <v>0</v>
      </c>
      <c r="N21" s="11">
        <f>IF(N$3=0,"",SUMIFS(INDEX(Inputs!$D$4:$AG$150,0,MATCH(N$2,Inputs!$D$2:$AG$2,0)),Inputs!$B$4:$B$150,$B21)/1000)</f>
        <v>0</v>
      </c>
      <c r="O21" s="11">
        <f>IF(O$3=0,"",SUMIFS(INDEX(Inputs!$D$4:$AG$150,0,MATCH(O$2,Inputs!$D$2:$AG$2,0)),Inputs!$B$4:$B$150,$B21)/1000)</f>
        <v>0</v>
      </c>
      <c r="P21" s="11">
        <f>IF(P$3=0,"",SUMIFS(INDEX(Inputs!$D$4:$AG$150,0,MATCH(P$2,Inputs!$D$2:$AG$2,0)),Inputs!$B$4:$B$150,$B21)/1000)</f>
        <v>0</v>
      </c>
      <c r="Q21" s="11">
        <f>IF(Q$3=0,"",SUMIFS(INDEX(Inputs!$D$4:$AG$150,0,MATCH(Q$2,Inputs!$D$2:$AG$2,0)),Inputs!$B$4:$B$150,$B21)/1000)</f>
        <v>0</v>
      </c>
      <c r="R21" s="12">
        <f>IF(Q21="","",Q21)</f>
        <v>0</v>
      </c>
      <c r="S21" s="11">
        <f>IF(S$3=0,"",SUMIFS(INDEX(Inputs!$D$4:$AG$150,0,MATCH(S$2,Inputs!$D$2:$AG$2,0)),Inputs!$B$4:$B$150,$B21)/1000)</f>
        <v>0</v>
      </c>
      <c r="T21" s="11">
        <f>IF(T$3=0,"",SUMIFS(INDEX(Inputs!$D$4:$AG$150,0,MATCH(T$2,Inputs!$D$2:$AG$2,0)),Inputs!$B$4:$B$150,$B21)/1000)</f>
        <v>0</v>
      </c>
      <c r="U21" s="11">
        <f>IF(U$3=0,"",SUMIFS(INDEX(Inputs!$D$4:$AG$150,0,MATCH(U$2,Inputs!$D$2:$AG$2,0)),Inputs!$B$4:$B$150,$B21)/1000)</f>
        <v>0</v>
      </c>
      <c r="V21" s="11">
        <f>IF(V$3=0,"",SUMIFS(INDEX(Inputs!$D$4:$AG$150,0,MATCH(V$2,Inputs!$D$2:$AG$2,0)),Inputs!$B$4:$B$150,$B21)/1000)</f>
        <v>0</v>
      </c>
      <c r="W21" s="12">
        <f>IF(V21="","",V21)</f>
        <v>0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8496</v>
      </c>
      <c r="E22" s="11">
        <f>IF(E$3=0,"",SUMIFS(INDEX(Inputs!$D$4:$AG$150,0,MATCH(E$2,Inputs!$D$2:$AG$2,0)),Inputs!$B$4:$B$150,$B22)/1000)</f>
        <v>8735</v>
      </c>
      <c r="F22" s="11">
        <f>IF(F$3=0,"",SUMIFS(INDEX(Inputs!$D$4:$AG$150,0,MATCH(F$2,Inputs!$D$2:$AG$2,0)),Inputs!$B$4:$B$150,$B22)/1000)</f>
        <v>8730</v>
      </c>
      <c r="G22" s="11">
        <f>IF(G$3=0,"",SUMIFS(INDEX(Inputs!$D$4:$AG$150,0,MATCH(G$2,Inputs!$D$2:$AG$2,0)),Inputs!$B$4:$B$150,$B22)/1000)</f>
        <v>8969</v>
      </c>
      <c r="H22" s="12">
        <f>IF(G22="","",G22)</f>
        <v>8969</v>
      </c>
      <c r="I22" s="11">
        <f>IF(I$3=0,"",SUMIFS(INDEX(Inputs!$D$4:$AG$150,0,MATCH(I$2,Inputs!$D$2:$AG$2,0)),Inputs!$B$4:$B$150,$B22)/1000)</f>
        <v>9183</v>
      </c>
      <c r="J22" s="11">
        <f>IF(J$3=0,"",SUMIFS(INDEX(Inputs!$D$4:$AG$150,0,MATCH(J$2,Inputs!$D$2:$AG$2,0)),Inputs!$B$4:$B$150,$B22)/1000)</f>
        <v>9421</v>
      </c>
      <c r="K22" s="11">
        <f>IF(K$3=0,"",SUMIFS(INDEX(Inputs!$D$4:$AG$150,0,MATCH(K$2,Inputs!$D$2:$AG$2,0)),Inputs!$B$4:$B$150,$B22)/1000)</f>
        <v>9469</v>
      </c>
      <c r="L22" s="11">
        <f>IF(L$3=0,"",SUMIFS(INDEX(Inputs!$D$4:$AG$150,0,MATCH(L$2,Inputs!$D$2:$AG$2,0)),Inputs!$B$4:$B$150,$B22)/1000)</f>
        <v>10128</v>
      </c>
      <c r="M22" s="12">
        <f>IF(L22="","",L22)</f>
        <v>10128</v>
      </c>
      <c r="N22" s="11">
        <f>IF(N$3=0,"",SUMIFS(INDEX(Inputs!$D$4:$AG$150,0,MATCH(N$2,Inputs!$D$2:$AG$2,0)),Inputs!$B$4:$B$150,$B22)/1000)</f>
        <v>10637</v>
      </c>
      <c r="O22" s="11">
        <f>IF(O$3=0,"",SUMIFS(INDEX(Inputs!$D$4:$AG$150,0,MATCH(O$2,Inputs!$D$2:$AG$2,0)),Inputs!$B$4:$B$150,$B22)/1000)</f>
        <v>10926</v>
      </c>
      <c r="P22" s="11">
        <f>IF(P$3=0,"",SUMIFS(INDEX(Inputs!$D$4:$AG$150,0,MATCH(P$2,Inputs!$D$2:$AG$2,0)),Inputs!$B$4:$B$150,$B22)/1000)</f>
        <v>11070</v>
      </c>
      <c r="Q22" s="11">
        <f>IF(Q$3=0,"",SUMIFS(INDEX(Inputs!$D$4:$AG$150,0,MATCH(Q$2,Inputs!$D$2:$AG$2,0)),Inputs!$B$4:$B$150,$B22)/1000)</f>
        <v>11450</v>
      </c>
      <c r="R22" s="12">
        <f>IF(Q22="","",Q22)</f>
        <v>11450</v>
      </c>
      <c r="S22" s="11">
        <f>IF(S$3=0,"",SUMIFS(INDEX(Inputs!$D$4:$AG$150,0,MATCH(S$2,Inputs!$D$2:$AG$2,0)),Inputs!$B$4:$B$150,$B22)/1000)</f>
        <v>10429</v>
      </c>
      <c r="T22" s="11">
        <f>IF(T$3=0,"",SUMIFS(INDEX(Inputs!$D$4:$AG$150,0,MATCH(T$2,Inputs!$D$2:$AG$2,0)),Inputs!$B$4:$B$150,$B22)/1000)</f>
        <v>9801</v>
      </c>
      <c r="U22" s="11">
        <f>IF(U$3=0,"",SUMIFS(INDEX(Inputs!$D$4:$AG$150,0,MATCH(U$2,Inputs!$D$2:$AG$2,0)),Inputs!$B$4:$B$150,$B22)/1000)</f>
        <v>10139</v>
      </c>
      <c r="V22" s="11">
        <f>IF(V$3=0,"",SUMIFS(INDEX(Inputs!$D$4:$AG$150,0,MATCH(V$2,Inputs!$D$2:$AG$2,0)),Inputs!$B$4:$B$150,$B22)/1000)</f>
        <v>10553</v>
      </c>
      <c r="W22" s="12">
        <f>IF(V22="","",V22)</f>
        <v>10553</v>
      </c>
      <c r="X22" s="11">
        <f>IF(X$3=0,"",SUMIFS(INDEX(Inputs!$D$4:$AG$150,0,MATCH(X$2,Inputs!$D$2:$AG$2,0)),Inputs!$B$4:$B$150,$B22)/1000)</f>
        <v>10734</v>
      </c>
      <c r="Y22" s="11">
        <f>IF(Y$3=0,"",SUMIFS(INDEX(Inputs!$D$4:$AG$150,0,MATCH(Y$2,Inputs!$D$2:$AG$2,0)),Inputs!$B$4:$B$150,$B22)/1000)</f>
        <v>10923</v>
      </c>
      <c r="Z22" s="11">
        <f>IF(Z$3=0,"",SUMIFS(INDEX(Inputs!$D$4:$AG$150,0,MATCH(Z$2,Inputs!$D$2:$AG$2,0)),Inputs!$B$4:$B$150,$B22)/1000)</f>
        <v>11104</v>
      </c>
      <c r="AA22" s="11">
        <f>IF(AA$3=0,"",SUMIFS(INDEX(Inputs!$D$4:$AG$150,0,MATCH(AA$2,Inputs!$D$2:$AG$2,0)),Inputs!$B$4:$B$150,$B22)/1000)</f>
        <v>10762</v>
      </c>
      <c r="AB22" s="12">
        <f>IF(AA22="","",AA22)</f>
        <v>10762</v>
      </c>
      <c r="AC22" s="11">
        <f>IF(AC$3=0,"",SUMIFS(INDEX(Inputs!$D$4:$AG$150,0,MATCH(AC$2,Inputs!$D$2:$AG$2,0)),Inputs!$B$4:$B$150,$B22)/1000)</f>
        <v>10667</v>
      </c>
      <c r="AD22" s="11">
        <f>IF(AD$3=0,"",SUMIFS(INDEX(Inputs!$D$4:$AG$150,0,MATCH(AD$2,Inputs!$D$2:$AG$2,0)),Inputs!$B$4:$B$150,$B22)/1000)</f>
        <v>10762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0</v>
      </c>
      <c r="E23" s="11">
        <f>IF(E$3=0,"",SUMIFS(INDEX(Inputs!$D$4:$AG$150,0,MATCH(E$2,Inputs!$D$2:$AG$2,0)),Inputs!$B$4:$B$150,$B23)/1000)</f>
        <v>0</v>
      </c>
      <c r="F23" s="11">
        <f>IF(F$3=0,"",SUMIFS(INDEX(Inputs!$D$4:$AG$150,0,MATCH(F$2,Inputs!$D$2:$AG$2,0)),Inputs!$B$4:$B$150,$B23)/1000)</f>
        <v>0</v>
      </c>
      <c r="G23" s="11">
        <f>IF(G$3=0,"",SUMIFS(INDEX(Inputs!$D$4:$AG$150,0,MATCH(G$2,Inputs!$D$2:$AG$2,0)),Inputs!$B$4:$B$150,$B23)/1000)</f>
        <v>0</v>
      </c>
      <c r="H23" s="12">
        <f>IF(G23="","",G23)</f>
        <v>0</v>
      </c>
      <c r="I23" s="11">
        <f>IF(I$3=0,"",SUMIFS(INDEX(Inputs!$D$4:$AG$150,0,MATCH(I$2,Inputs!$D$2:$AG$2,0)),Inputs!$B$4:$B$150,$B23)/1000)</f>
        <v>0</v>
      </c>
      <c r="J23" s="11">
        <f>IF(J$3=0,"",SUMIFS(INDEX(Inputs!$D$4:$AG$150,0,MATCH(J$2,Inputs!$D$2:$AG$2,0)),Inputs!$B$4:$B$150,$B23)/1000)</f>
        <v>0</v>
      </c>
      <c r="K23" s="11">
        <f>IF(K$3=0,"",SUMIFS(INDEX(Inputs!$D$4:$AG$150,0,MATCH(K$2,Inputs!$D$2:$AG$2,0)),Inputs!$B$4:$B$150,$B23)/1000)</f>
        <v>0</v>
      </c>
      <c r="L23" s="11">
        <f>IF(L$3=0,"",SUMIFS(INDEX(Inputs!$D$4:$AG$150,0,MATCH(L$2,Inputs!$D$2:$AG$2,0)),Inputs!$B$4:$B$150,$B23)/1000)</f>
        <v>0</v>
      </c>
      <c r="M23" s="12">
        <f>IF(L23="","",L23)</f>
        <v>0</v>
      </c>
      <c r="N23" s="11">
        <f>IF(N$3=0,"",SUMIFS(INDEX(Inputs!$D$4:$AG$150,0,MATCH(N$2,Inputs!$D$2:$AG$2,0)),Inputs!$B$4:$B$150,$B23)/1000)</f>
        <v>0</v>
      </c>
      <c r="O23" s="11">
        <f>IF(O$3=0,"",SUMIFS(INDEX(Inputs!$D$4:$AG$150,0,MATCH(O$2,Inputs!$D$2:$AG$2,0)),Inputs!$B$4:$B$150,$B23)/1000)</f>
        <v>0</v>
      </c>
      <c r="P23" s="11">
        <f>IF(P$3=0,"",SUMIFS(INDEX(Inputs!$D$4:$AG$150,0,MATCH(P$2,Inputs!$D$2:$AG$2,0)),Inputs!$B$4:$B$150,$B23)/1000)</f>
        <v>0</v>
      </c>
      <c r="Q23" s="11">
        <f>IF(Q$3=0,"",SUMIFS(INDEX(Inputs!$D$4:$AG$150,0,MATCH(Q$2,Inputs!$D$2:$AG$2,0)),Inputs!$B$4:$B$150,$B23)/1000)</f>
        <v>0</v>
      </c>
      <c r="R23" s="12">
        <f>IF(Q23="","",Q23)</f>
        <v>0</v>
      </c>
      <c r="S23" s="11">
        <f>IF(S$3=0,"",SUMIFS(INDEX(Inputs!$D$4:$AG$150,0,MATCH(S$2,Inputs!$D$2:$AG$2,0)),Inputs!$B$4:$B$150,$B23)/1000)</f>
        <v>0</v>
      </c>
      <c r="T23" s="11">
        <f>IF(T$3=0,"",SUMIFS(INDEX(Inputs!$D$4:$AG$150,0,MATCH(T$2,Inputs!$D$2:$AG$2,0)),Inputs!$B$4:$B$150,$B23)/1000)</f>
        <v>0</v>
      </c>
      <c r="U23" s="11">
        <f>IF(U$3=0,"",SUMIFS(INDEX(Inputs!$D$4:$AG$150,0,MATCH(U$2,Inputs!$D$2:$AG$2,0)),Inputs!$B$4:$B$150,$B23)/1000)</f>
        <v>0</v>
      </c>
      <c r="V23" s="11">
        <f>IF(V$3=0,"",SUMIFS(INDEX(Inputs!$D$4:$AG$150,0,MATCH(V$2,Inputs!$D$2:$AG$2,0)),Inputs!$B$4:$B$150,$B23)/1000)</f>
        <v>0</v>
      </c>
      <c r="W23" s="12">
        <f>IF(V23="","",V23)</f>
        <v>0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72162</v>
      </c>
      <c r="E24" s="11">
        <f>IF(E$3=0,"",SUMIFS(INDEX(Inputs!$D$4:$AG$150,0,MATCH(E$2,Inputs!$D$2:$AG$2,0)),Inputs!$B$4:$B$150,$B24)/1000)</f>
        <v>75827</v>
      </c>
      <c r="F24" s="11">
        <f>IF(F$3=0,"",SUMIFS(INDEX(Inputs!$D$4:$AG$150,0,MATCH(F$2,Inputs!$D$2:$AG$2,0)),Inputs!$B$4:$B$150,$B24)/1000)</f>
        <v>75435</v>
      </c>
      <c r="G24" s="11">
        <f>IF(G$3=0,"",SUMIFS(INDEX(Inputs!$D$4:$AG$150,0,MATCH(G$2,Inputs!$D$2:$AG$2,0)),Inputs!$B$4:$B$150,$B24)/1000)</f>
        <v>75795</v>
      </c>
      <c r="H24" s="12">
        <f>IF(G24="","",G24)</f>
        <v>75795</v>
      </c>
      <c r="I24" s="11">
        <f>IF(I$3=0,"",SUMIFS(INDEX(Inputs!$D$4:$AG$150,0,MATCH(I$2,Inputs!$D$2:$AG$2,0)),Inputs!$B$4:$B$150,$B24)/1000)</f>
        <v>77548</v>
      </c>
      <c r="J24" s="11">
        <f>IF(J$3=0,"",SUMIFS(INDEX(Inputs!$D$4:$AG$150,0,MATCH(J$2,Inputs!$D$2:$AG$2,0)),Inputs!$B$4:$B$150,$B24)/1000)</f>
        <v>84159</v>
      </c>
      <c r="K24" s="11">
        <f>IF(K$3=0,"",SUMIFS(INDEX(Inputs!$D$4:$AG$150,0,MATCH(K$2,Inputs!$D$2:$AG$2,0)),Inputs!$B$4:$B$150,$B24)/1000)</f>
        <v>83904</v>
      </c>
      <c r="L24" s="11">
        <f>IF(L$3=0,"",SUMIFS(INDEX(Inputs!$D$4:$AG$150,0,MATCH(L$2,Inputs!$D$2:$AG$2,0)),Inputs!$B$4:$B$150,$B24)/1000)</f>
        <v>93352</v>
      </c>
      <c r="M24" s="12">
        <f>IF(L24="","",L24)</f>
        <v>93352</v>
      </c>
      <c r="N24" s="11">
        <f>IF(N$3=0,"",SUMIFS(INDEX(Inputs!$D$4:$AG$150,0,MATCH(N$2,Inputs!$D$2:$AG$2,0)),Inputs!$B$4:$B$150,$B24)/1000)</f>
        <v>100406</v>
      </c>
      <c r="O24" s="11">
        <f>IF(O$3=0,"",SUMIFS(INDEX(Inputs!$D$4:$AG$150,0,MATCH(O$2,Inputs!$D$2:$AG$2,0)),Inputs!$B$4:$B$150,$B24)/1000)</f>
        <v>101669</v>
      </c>
      <c r="P24" s="11">
        <f>IF(P$3=0,"",SUMIFS(INDEX(Inputs!$D$4:$AG$150,0,MATCH(P$2,Inputs!$D$2:$AG$2,0)),Inputs!$B$4:$B$150,$B24)/1000)</f>
        <v>101703</v>
      </c>
      <c r="Q24" s="11">
        <f>IF(Q$3=0,"",SUMIFS(INDEX(Inputs!$D$4:$AG$150,0,MATCH(Q$2,Inputs!$D$2:$AG$2,0)),Inputs!$B$4:$B$150,$B24)/1000)</f>
        <v>103732</v>
      </c>
      <c r="R24" s="12">
        <f>IF(Q24="","",Q24)</f>
        <v>103732</v>
      </c>
      <c r="S24" s="11">
        <f>IF(S$3=0,"",SUMIFS(INDEX(Inputs!$D$4:$AG$150,0,MATCH(S$2,Inputs!$D$2:$AG$2,0)),Inputs!$B$4:$B$150,$B24)/1000)</f>
        <v>105664</v>
      </c>
      <c r="T24" s="11">
        <f>IF(T$3=0,"",SUMIFS(INDEX(Inputs!$D$4:$AG$150,0,MATCH(T$2,Inputs!$D$2:$AG$2,0)),Inputs!$B$4:$B$150,$B24)/1000)</f>
        <v>105436</v>
      </c>
      <c r="U24" s="11">
        <f>IF(U$3=0,"",SUMIFS(INDEX(Inputs!$D$4:$AG$150,0,MATCH(U$2,Inputs!$D$2:$AG$2,0)),Inputs!$B$4:$B$150,$B24)/1000)</f>
        <v>105978</v>
      </c>
      <c r="V24" s="11">
        <f>IF(V$3=0,"",SUMIFS(INDEX(Inputs!$D$4:$AG$150,0,MATCH(V$2,Inputs!$D$2:$AG$2,0)),Inputs!$B$4:$B$150,$B24)/1000)</f>
        <v>106734</v>
      </c>
      <c r="W24" s="12">
        <f>IF(V24="","",V24)</f>
        <v>106734</v>
      </c>
      <c r="X24" s="11">
        <f>IF(X$3=0,"",SUMIFS(INDEX(Inputs!$D$4:$AG$150,0,MATCH(X$2,Inputs!$D$2:$AG$2,0)),Inputs!$B$4:$B$150,$B24)/1000)</f>
        <v>107566</v>
      </c>
      <c r="Y24" s="11">
        <f>IF(Y$3=0,"",SUMIFS(INDEX(Inputs!$D$4:$AG$150,0,MATCH(Y$2,Inputs!$D$2:$AG$2,0)),Inputs!$B$4:$B$150,$B24)/1000)</f>
        <v>107677</v>
      </c>
      <c r="Z24" s="11">
        <f>IF(Z$3=0,"",SUMIFS(INDEX(Inputs!$D$4:$AG$150,0,MATCH(Z$2,Inputs!$D$2:$AG$2,0)),Inputs!$B$4:$B$150,$B24)/1000)</f>
        <v>110340</v>
      </c>
      <c r="AA24" s="11">
        <f>IF(AA$3=0,"",SUMIFS(INDEX(Inputs!$D$4:$AG$150,0,MATCH(AA$2,Inputs!$D$2:$AG$2,0)),Inputs!$B$4:$B$150,$B24)/1000)</f>
        <v>110499</v>
      </c>
      <c r="AB24" s="12">
        <f>IF(AA24="","",AA24)</f>
        <v>110499</v>
      </c>
      <c r="AC24" s="11">
        <f>IF(AC$3=0,"",SUMIFS(INDEX(Inputs!$D$4:$AG$150,0,MATCH(AC$2,Inputs!$D$2:$AG$2,0)),Inputs!$B$4:$B$150,$B24)/1000)</f>
        <v>110512</v>
      </c>
      <c r="AD24" s="11">
        <f>IF(AD$3=0,"",SUMIFS(INDEX(Inputs!$D$4:$AG$150,0,MATCH(AD$2,Inputs!$D$2:$AG$2,0)),Inputs!$B$4:$B$150,$B24)/1000)</f>
        <v>110645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10842</v>
      </c>
      <c r="E25" s="11">
        <f>IF(E$3=0,"",SUMIFS(INDEX(Inputs!$D$4:$AG$150,0,MATCH(E$2,Inputs!$D$2:$AG$2,0)),Inputs!$B$4:$B$150,$B25)/1000)</f>
        <v>10806</v>
      </c>
      <c r="F25" s="11">
        <f>IF(F$3=0,"",SUMIFS(INDEX(Inputs!$D$4:$AG$150,0,MATCH(F$2,Inputs!$D$2:$AG$2,0)),Inputs!$B$4:$B$150,$B25)/1000)</f>
        <v>10436</v>
      </c>
      <c r="G25" s="11">
        <f>IF(G$3=0,"",SUMIFS(INDEX(Inputs!$D$4:$AG$150,0,MATCH(G$2,Inputs!$D$2:$AG$2,0)),Inputs!$B$4:$B$150,$B25)/1000)</f>
        <v>10044</v>
      </c>
      <c r="H25" s="12">
        <f>IF(G25="","",G25)</f>
        <v>10044</v>
      </c>
      <c r="I25" s="11">
        <f>IF(I$3=0,"",SUMIFS(INDEX(Inputs!$D$4:$AG$150,0,MATCH(I$2,Inputs!$D$2:$AG$2,0)),Inputs!$B$4:$B$150,$B25)/1000)</f>
        <v>9918</v>
      </c>
      <c r="J25" s="11">
        <f>IF(J$3=0,"",SUMIFS(INDEX(Inputs!$D$4:$AG$150,0,MATCH(J$2,Inputs!$D$2:$AG$2,0)),Inputs!$B$4:$B$150,$B25)/1000)</f>
        <v>11285</v>
      </c>
      <c r="K25" s="11">
        <f>IF(K$3=0,"",SUMIFS(INDEX(Inputs!$D$4:$AG$150,0,MATCH(K$2,Inputs!$D$2:$AG$2,0)),Inputs!$B$4:$B$150,$B25)/1000)</f>
        <v>10785</v>
      </c>
      <c r="L25" s="11">
        <f>IF(L$3=0,"",SUMIFS(INDEX(Inputs!$D$4:$AG$150,0,MATCH(L$2,Inputs!$D$2:$AG$2,0)),Inputs!$B$4:$B$150,$B25)/1000)</f>
        <v>14401</v>
      </c>
      <c r="M25" s="12">
        <f>IF(L25="","",L25)</f>
        <v>14401</v>
      </c>
      <c r="N25" s="11">
        <f>IF(N$3=0,"",SUMIFS(INDEX(Inputs!$D$4:$AG$150,0,MATCH(N$2,Inputs!$D$2:$AG$2,0)),Inputs!$B$4:$B$150,$B25)/1000)</f>
        <v>16165</v>
      </c>
      <c r="O25" s="11">
        <f>IF(O$3=0,"",SUMIFS(INDEX(Inputs!$D$4:$AG$150,0,MATCH(O$2,Inputs!$D$2:$AG$2,0)),Inputs!$B$4:$B$150,$B25)/1000)</f>
        <v>15643</v>
      </c>
      <c r="P25" s="11">
        <f>IF(P$3=0,"",SUMIFS(INDEX(Inputs!$D$4:$AG$150,0,MATCH(P$2,Inputs!$D$2:$AG$2,0)),Inputs!$B$4:$B$150,$B25)/1000)</f>
        <v>15200</v>
      </c>
      <c r="Q25" s="11">
        <f>IF(Q$3=0,"",SUMIFS(INDEX(Inputs!$D$4:$AG$150,0,MATCH(Q$2,Inputs!$D$2:$AG$2,0)),Inputs!$B$4:$B$150,$B25)/1000)</f>
        <v>15194</v>
      </c>
      <c r="R25" s="12">
        <f>IF(Q25="","",Q25)</f>
        <v>15194</v>
      </c>
      <c r="S25" s="11">
        <f>IF(S$3=0,"",SUMIFS(INDEX(Inputs!$D$4:$AG$150,0,MATCH(S$2,Inputs!$D$2:$AG$2,0)),Inputs!$B$4:$B$150,$B25)/1000)</f>
        <v>15543</v>
      </c>
      <c r="T25" s="11">
        <f>IF(T$3=0,"",SUMIFS(INDEX(Inputs!$D$4:$AG$150,0,MATCH(T$2,Inputs!$D$2:$AG$2,0)),Inputs!$B$4:$B$150,$B25)/1000)</f>
        <v>14729</v>
      </c>
      <c r="U25" s="11">
        <f>IF(U$3=0,"",SUMIFS(INDEX(Inputs!$D$4:$AG$150,0,MATCH(U$2,Inputs!$D$2:$AG$2,0)),Inputs!$B$4:$B$150,$B25)/1000)</f>
        <v>23594</v>
      </c>
      <c r="V25" s="11">
        <f>IF(V$3=0,"",SUMIFS(INDEX(Inputs!$D$4:$AG$150,0,MATCH(V$2,Inputs!$D$2:$AG$2,0)),Inputs!$B$4:$B$150,$B25)/1000)</f>
        <v>23268</v>
      </c>
      <c r="W25" s="12">
        <f>IF(V25="","",V25)</f>
        <v>23268</v>
      </c>
      <c r="X25" s="11">
        <f>IF(X$3=0,"",SUMIFS(INDEX(Inputs!$D$4:$AG$150,0,MATCH(X$2,Inputs!$D$2:$AG$2,0)),Inputs!$B$4:$B$150,$B25)/1000)</f>
        <v>22947</v>
      </c>
      <c r="Y25" s="11">
        <f>IF(Y$3=0,"",SUMIFS(INDEX(Inputs!$D$4:$AG$150,0,MATCH(Y$2,Inputs!$D$2:$AG$2,0)),Inputs!$B$4:$B$150,$B25)/1000)</f>
        <v>22510</v>
      </c>
      <c r="Z25" s="11">
        <f>IF(Z$3=0,"",SUMIFS(INDEX(Inputs!$D$4:$AG$150,0,MATCH(Z$2,Inputs!$D$2:$AG$2,0)),Inputs!$B$4:$B$150,$B25)/1000)</f>
        <v>22785</v>
      </c>
      <c r="AA25" s="11">
        <f>IF(AA$3=0,"",SUMIFS(INDEX(Inputs!$D$4:$AG$150,0,MATCH(AA$2,Inputs!$D$2:$AG$2,0)),Inputs!$B$4:$B$150,$B25)/1000)</f>
        <v>20474</v>
      </c>
      <c r="AB25" s="12">
        <f>IF(AA25="","",AA25)</f>
        <v>20474</v>
      </c>
      <c r="AC25" s="11">
        <f>IF(AC$3=0,"",SUMIFS(INDEX(Inputs!$D$4:$AG$150,0,MATCH(AC$2,Inputs!$D$2:$AG$2,0)),Inputs!$B$4:$B$150,$B25)/1000)</f>
        <v>20093</v>
      </c>
      <c r="AD25" s="11">
        <f>IF(AD$3=0,"",SUMIFS(INDEX(Inputs!$D$4:$AG$150,0,MATCH(AD$2,Inputs!$D$2:$AG$2,0)),Inputs!$B$4:$B$150,$B25)/1000)</f>
        <v>19749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54163</v>
      </c>
      <c r="E26" s="11">
        <f>IF(E$3=0,"",SUMIFS(INDEX(Inputs!$D$4:$AG$150,0,MATCH(E$2,Inputs!$D$2:$AG$2,0)),Inputs!$B$4:$B$150,$B26)/1000)</f>
        <v>56008</v>
      </c>
      <c r="F26" s="11">
        <f>IF(F$3=0,"",SUMIFS(INDEX(Inputs!$D$4:$AG$150,0,MATCH(F$2,Inputs!$D$2:$AG$2,0)),Inputs!$B$4:$B$150,$B26)/1000)</f>
        <v>56834</v>
      </c>
      <c r="G26" s="11">
        <f>IF(G$3=0,"",SUMIFS(INDEX(Inputs!$D$4:$AG$150,0,MATCH(G$2,Inputs!$D$2:$AG$2,0)),Inputs!$B$4:$B$150,$B26)/1000)</f>
        <v>55640</v>
      </c>
      <c r="H26" s="12">
        <f>IF(G26="","",G26)</f>
        <v>55640</v>
      </c>
      <c r="I26" s="11">
        <f>IF(I$3=0,"",SUMIFS(INDEX(Inputs!$D$4:$AG$150,0,MATCH(I$2,Inputs!$D$2:$AG$2,0)),Inputs!$B$4:$B$150,$B26)/1000)</f>
        <v>55560</v>
      </c>
      <c r="J26" s="11">
        <f>IF(J$3=0,"",SUMIFS(INDEX(Inputs!$D$4:$AG$150,0,MATCH(J$2,Inputs!$D$2:$AG$2,0)),Inputs!$B$4:$B$150,$B26)/1000)</f>
        <v>56951</v>
      </c>
      <c r="K26" s="11">
        <f>IF(K$3=0,"",SUMIFS(INDEX(Inputs!$D$4:$AG$150,0,MATCH(K$2,Inputs!$D$2:$AG$2,0)),Inputs!$B$4:$B$150,$B26)/1000)</f>
        <v>55969</v>
      </c>
      <c r="L26" s="11">
        <f>IF(L$3=0,"",SUMIFS(INDEX(Inputs!$D$4:$AG$150,0,MATCH(L$2,Inputs!$D$2:$AG$2,0)),Inputs!$B$4:$B$150,$B26)/1000)</f>
        <v>58755</v>
      </c>
      <c r="M26" s="12">
        <f>IF(L26="","",L26)</f>
        <v>58755</v>
      </c>
      <c r="N26" s="11">
        <f>IF(N$3=0,"",SUMIFS(INDEX(Inputs!$D$4:$AG$150,0,MATCH(N$2,Inputs!$D$2:$AG$2,0)),Inputs!$B$4:$B$150,$B26)/1000)</f>
        <v>62576</v>
      </c>
      <c r="O26" s="11">
        <f>IF(O$3=0,"",SUMIFS(INDEX(Inputs!$D$4:$AG$150,0,MATCH(O$2,Inputs!$D$2:$AG$2,0)),Inputs!$B$4:$B$150,$B26)/1000)</f>
        <v>62057</v>
      </c>
      <c r="P26" s="11">
        <f>IF(P$3=0,"",SUMIFS(INDEX(Inputs!$D$4:$AG$150,0,MATCH(P$2,Inputs!$D$2:$AG$2,0)),Inputs!$B$4:$B$150,$B26)/1000)</f>
        <v>62185</v>
      </c>
      <c r="Q26" s="11">
        <f>IF(Q$3=0,"",SUMIFS(INDEX(Inputs!$D$4:$AG$150,0,MATCH(Q$2,Inputs!$D$2:$AG$2,0)),Inputs!$B$4:$B$150,$B26)/1000)</f>
        <v>64907</v>
      </c>
      <c r="R26" s="12">
        <f>IF(Q26="","",Q26)</f>
        <v>64907</v>
      </c>
      <c r="S26" s="11">
        <f>IF(S$3=0,"",SUMIFS(INDEX(Inputs!$D$4:$AG$150,0,MATCH(S$2,Inputs!$D$2:$AG$2,0)),Inputs!$B$4:$B$150,$B26)/1000)</f>
        <v>63632</v>
      </c>
      <c r="T26" s="11">
        <f>IF(T$3=0,"",SUMIFS(INDEX(Inputs!$D$4:$AG$150,0,MATCH(T$2,Inputs!$D$2:$AG$2,0)),Inputs!$B$4:$B$150,$B26)/1000)</f>
        <v>64052</v>
      </c>
      <c r="U26" s="11">
        <f>IF(U$3=0,"",SUMIFS(INDEX(Inputs!$D$4:$AG$150,0,MATCH(U$2,Inputs!$D$2:$AG$2,0)),Inputs!$B$4:$B$150,$B26)/1000)</f>
        <v>67340</v>
      </c>
      <c r="V26" s="11">
        <f>IF(V$3=0,"",SUMIFS(INDEX(Inputs!$D$4:$AG$150,0,MATCH(V$2,Inputs!$D$2:$AG$2,0)),Inputs!$B$4:$B$150,$B26)/1000)</f>
        <v>71944</v>
      </c>
      <c r="W26" s="12">
        <f>IF(V26="","",V26)</f>
        <v>71944</v>
      </c>
      <c r="X26" s="11">
        <f>IF(X$3=0,"",SUMIFS(INDEX(Inputs!$D$4:$AG$150,0,MATCH(X$2,Inputs!$D$2:$AG$2,0)),Inputs!$B$4:$B$150,$B26)/1000)</f>
        <v>72258</v>
      </c>
      <c r="Y26" s="11">
        <f>IF(Y$3=0,"",SUMIFS(INDEX(Inputs!$D$4:$AG$150,0,MATCH(Y$2,Inputs!$D$2:$AG$2,0)),Inputs!$B$4:$B$150,$B26)/1000)</f>
        <v>73764</v>
      </c>
      <c r="Z26" s="11">
        <f>IF(Z$3=0,"",SUMIFS(INDEX(Inputs!$D$4:$AG$150,0,MATCH(Z$2,Inputs!$D$2:$AG$2,0)),Inputs!$B$4:$B$150,$B26)/1000)</f>
        <v>75973</v>
      </c>
      <c r="AA26" s="11">
        <f>IF(AA$3=0,"",SUMIFS(INDEX(Inputs!$D$4:$AG$150,0,MATCH(AA$2,Inputs!$D$2:$AG$2,0)),Inputs!$B$4:$B$150,$B26)/1000)</f>
        <v>77264</v>
      </c>
      <c r="AB26" s="12">
        <f>IF(AA26="","",AA26)</f>
        <v>77264</v>
      </c>
      <c r="AC26" s="11">
        <f>IF(AC$3=0,"",SUMIFS(INDEX(Inputs!$D$4:$AG$150,0,MATCH(AC$2,Inputs!$D$2:$AG$2,0)),Inputs!$B$4:$B$150,$B26)/1000)</f>
        <v>80245</v>
      </c>
      <c r="AD26" s="11">
        <f>IF(AD$3=0,"",SUMIFS(INDEX(Inputs!$D$4:$AG$150,0,MATCH(AD$2,Inputs!$D$2:$AG$2,0)),Inputs!$B$4:$B$150,$B26)/1000)</f>
        <v>81711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22997</v>
      </c>
      <c r="E28" s="11">
        <f>IF(E$3=0,"",SUMIFS(INDEX(Inputs!$D$4:$AG$150,0,MATCH(E$2,Inputs!$D$2:$AG$2,0)),Inputs!$B$4:$B$150,$B28)/1000)</f>
        <v>23013</v>
      </c>
      <c r="F28" s="11">
        <f>IF(F$3=0,"",SUMIFS(INDEX(Inputs!$D$4:$AG$150,0,MATCH(F$2,Inputs!$D$2:$AG$2,0)),Inputs!$B$4:$B$150,$B28)/1000)</f>
        <v>24292</v>
      </c>
      <c r="G28" s="11">
        <f>IF(G$3=0,"",SUMIFS(INDEX(Inputs!$D$4:$AG$150,0,MATCH(G$2,Inputs!$D$2:$AG$2,0)),Inputs!$B$4:$B$150,$B28)/1000)</f>
        <v>24643</v>
      </c>
      <c r="H28" s="12">
        <f>IF(G28="","",G28)</f>
        <v>24643</v>
      </c>
      <c r="I28" s="11">
        <f>IF(I$3=0,"",SUMIFS(INDEX(Inputs!$D$4:$AG$150,0,MATCH(I$2,Inputs!$D$2:$AG$2,0)),Inputs!$B$4:$B$150,$B28)/1000)</f>
        <v>25058</v>
      </c>
      <c r="J28" s="11">
        <f>IF(J$3=0,"",SUMIFS(INDEX(Inputs!$D$4:$AG$150,0,MATCH(J$2,Inputs!$D$2:$AG$2,0)),Inputs!$B$4:$B$150,$B28)/1000)</f>
        <v>25145</v>
      </c>
      <c r="K28" s="11">
        <f>IF(K$3=0,"",SUMIFS(INDEX(Inputs!$D$4:$AG$150,0,MATCH(K$2,Inputs!$D$2:$AG$2,0)),Inputs!$B$4:$B$150,$B28)/1000)</f>
        <v>27232</v>
      </c>
      <c r="L28" s="11">
        <f>IF(L$3=0,"",SUMIFS(INDEX(Inputs!$D$4:$AG$150,0,MATCH(L$2,Inputs!$D$2:$AG$2,0)),Inputs!$B$4:$B$150,$B28)/1000)</f>
        <v>27715</v>
      </c>
      <c r="M28" s="12">
        <f>IF(L28="","",L28)</f>
        <v>27715</v>
      </c>
      <c r="N28" s="11">
        <f>IF(N$3=0,"",SUMIFS(INDEX(Inputs!$D$4:$AG$150,0,MATCH(N$2,Inputs!$D$2:$AG$2,0)),Inputs!$B$4:$B$150,$B28)/1000)</f>
        <v>29856</v>
      </c>
      <c r="O28" s="11">
        <f>IF(O$3=0,"",SUMIFS(INDEX(Inputs!$D$4:$AG$150,0,MATCH(O$2,Inputs!$D$2:$AG$2,0)),Inputs!$B$4:$B$150,$B28)/1000)</f>
        <v>29516</v>
      </c>
      <c r="P28" s="11">
        <f>IF(P$3=0,"",SUMIFS(INDEX(Inputs!$D$4:$AG$150,0,MATCH(P$2,Inputs!$D$2:$AG$2,0)),Inputs!$B$4:$B$150,$B28)/1000)</f>
        <v>31164</v>
      </c>
      <c r="Q28" s="11">
        <f>IF(Q$3=0,"",SUMIFS(INDEX(Inputs!$D$4:$AG$150,0,MATCH(Q$2,Inputs!$D$2:$AG$2,0)),Inputs!$B$4:$B$150,$B28)/1000)</f>
        <v>31958</v>
      </c>
      <c r="R28" s="12">
        <f>IF(Q28="","",Q28)</f>
        <v>31958</v>
      </c>
      <c r="S28" s="11">
        <f>IF(S$3=0,"",SUMIFS(INDEX(Inputs!$D$4:$AG$150,0,MATCH(S$2,Inputs!$D$2:$AG$2,0)),Inputs!$B$4:$B$150,$B28)/1000)</f>
        <v>30738</v>
      </c>
      <c r="T28" s="11">
        <f>IF(T$3=0,"",SUMIFS(INDEX(Inputs!$D$4:$AG$150,0,MATCH(T$2,Inputs!$D$2:$AG$2,0)),Inputs!$B$4:$B$150,$B28)/1000)</f>
        <v>30886</v>
      </c>
      <c r="U28" s="11">
        <f>IF(U$3=0,"",SUMIFS(INDEX(Inputs!$D$4:$AG$150,0,MATCH(U$2,Inputs!$D$2:$AG$2,0)),Inputs!$B$4:$B$150,$B28)/1000)</f>
        <v>33080</v>
      </c>
      <c r="V28" s="11">
        <f>IF(V$3=0,"",SUMIFS(INDEX(Inputs!$D$4:$AG$150,0,MATCH(V$2,Inputs!$D$2:$AG$2,0)),Inputs!$B$4:$B$150,$B28)/1000)</f>
        <v>34337</v>
      </c>
      <c r="W28" s="12">
        <f>IF(V28="","",V28)</f>
        <v>34337</v>
      </c>
      <c r="X28" s="11">
        <f>IF(X$3=0,"",SUMIFS(INDEX(Inputs!$D$4:$AG$150,0,MATCH(X$2,Inputs!$D$2:$AG$2,0)),Inputs!$B$4:$B$150,$B28)/1000)</f>
        <v>33566</v>
      </c>
      <c r="Y28" s="11">
        <f>IF(Y$3=0,"",SUMIFS(INDEX(Inputs!$D$4:$AG$150,0,MATCH(Y$2,Inputs!$D$2:$AG$2,0)),Inputs!$B$4:$B$150,$B28)/1000)</f>
        <v>34330</v>
      </c>
      <c r="Z28" s="11">
        <f>IF(Z$3=0,"",SUMIFS(INDEX(Inputs!$D$4:$AG$150,0,MATCH(Z$2,Inputs!$D$2:$AG$2,0)),Inputs!$B$4:$B$150,$B28)/1000)</f>
        <v>36033</v>
      </c>
      <c r="AA28" s="11">
        <f>IF(AA$3=0,"",SUMIFS(INDEX(Inputs!$D$4:$AG$150,0,MATCH(AA$2,Inputs!$D$2:$AG$2,0)),Inputs!$B$4:$B$150,$B28)/1000)</f>
        <v>38032</v>
      </c>
      <c r="AB28" s="12">
        <f>IF(AA28="","",AA28)</f>
        <v>38032</v>
      </c>
      <c r="AC28" s="11">
        <f>IF(AC$3=0,"",SUMIFS(INDEX(Inputs!$D$4:$AG$150,0,MATCH(AC$2,Inputs!$D$2:$AG$2,0)),Inputs!$B$4:$B$150,$B28)/1000)</f>
        <v>38631</v>
      </c>
      <c r="AD28" s="11">
        <f>IF(AD$3=0,"",SUMIFS(INDEX(Inputs!$D$4:$AG$150,0,MATCH(AD$2,Inputs!$D$2:$AG$2,0)),Inputs!$B$4:$B$150,$B28)/1000)</f>
        <v>39741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0</v>
      </c>
      <c r="E29" s="11">
        <f>IF(E$3=0,"",SUMIFS(INDEX(Inputs!$D$4:$AG$150,0,MATCH(E$2,Inputs!$D$2:$AG$2,0)),Inputs!$B$4:$B$150,$B29)/1000)</f>
        <v>0</v>
      </c>
      <c r="F29" s="11">
        <f>IF(F$3=0,"",SUMIFS(INDEX(Inputs!$D$4:$AG$150,0,MATCH(F$2,Inputs!$D$2:$AG$2,0)),Inputs!$B$4:$B$150,$B29)/1000)</f>
        <v>0</v>
      </c>
      <c r="G29" s="11">
        <f>IF(G$3=0,"",SUMIFS(INDEX(Inputs!$D$4:$AG$150,0,MATCH(G$2,Inputs!$D$2:$AG$2,0)),Inputs!$B$4:$B$150,$B29)/1000)</f>
        <v>0</v>
      </c>
      <c r="H29" s="12">
        <f>IF(G29="","",G29)</f>
        <v>0</v>
      </c>
      <c r="I29" s="11">
        <f>IF(I$3=0,"",SUMIFS(INDEX(Inputs!$D$4:$AG$150,0,MATCH(I$2,Inputs!$D$2:$AG$2,0)),Inputs!$B$4:$B$150,$B29)/1000)</f>
        <v>0</v>
      </c>
      <c r="J29" s="11">
        <f>IF(J$3=0,"",SUMIFS(INDEX(Inputs!$D$4:$AG$150,0,MATCH(J$2,Inputs!$D$2:$AG$2,0)),Inputs!$B$4:$B$150,$B29)/1000)</f>
        <v>0</v>
      </c>
      <c r="K29" s="11">
        <f>IF(K$3=0,"",SUMIFS(INDEX(Inputs!$D$4:$AG$150,0,MATCH(K$2,Inputs!$D$2:$AG$2,0)),Inputs!$B$4:$B$150,$B29)/1000)</f>
        <v>0</v>
      </c>
      <c r="L29" s="11">
        <f>IF(L$3=0,"",SUMIFS(INDEX(Inputs!$D$4:$AG$150,0,MATCH(L$2,Inputs!$D$2:$AG$2,0)),Inputs!$B$4:$B$150,$B29)/1000)</f>
        <v>0</v>
      </c>
      <c r="M29" s="12">
        <f>IF(L29="","",L29)</f>
        <v>0</v>
      </c>
      <c r="N29" s="11">
        <f>IF(N$3=0,"",SUMIFS(INDEX(Inputs!$D$4:$AG$150,0,MATCH(N$2,Inputs!$D$2:$AG$2,0)),Inputs!$B$4:$B$150,$B29)/1000)</f>
        <v>0</v>
      </c>
      <c r="O29" s="11">
        <f>IF(O$3=0,"",SUMIFS(INDEX(Inputs!$D$4:$AG$150,0,MATCH(O$2,Inputs!$D$2:$AG$2,0)),Inputs!$B$4:$B$150,$B29)/1000)</f>
        <v>0</v>
      </c>
      <c r="P29" s="11">
        <f>IF(P$3=0,"",SUMIFS(INDEX(Inputs!$D$4:$AG$150,0,MATCH(P$2,Inputs!$D$2:$AG$2,0)),Inputs!$B$4:$B$150,$B29)/1000)</f>
        <v>0</v>
      </c>
      <c r="Q29" s="11">
        <f>IF(Q$3=0,"",SUMIFS(INDEX(Inputs!$D$4:$AG$150,0,MATCH(Q$2,Inputs!$D$2:$AG$2,0)),Inputs!$B$4:$B$150,$B29)/1000)</f>
        <v>0</v>
      </c>
      <c r="R29" s="12">
        <f>IF(Q29="","",Q29)</f>
        <v>0</v>
      </c>
      <c r="S29" s="11">
        <f>IF(S$3=0,"",SUMIFS(INDEX(Inputs!$D$4:$AG$150,0,MATCH(S$2,Inputs!$D$2:$AG$2,0)),Inputs!$B$4:$B$150,$B29)/1000)</f>
        <v>0</v>
      </c>
      <c r="T29" s="11">
        <f>IF(T$3=0,"",SUMIFS(INDEX(Inputs!$D$4:$AG$150,0,MATCH(T$2,Inputs!$D$2:$AG$2,0)),Inputs!$B$4:$B$150,$B29)/1000)</f>
        <v>0</v>
      </c>
      <c r="U29" s="11">
        <f>IF(U$3=0,"",SUMIFS(INDEX(Inputs!$D$4:$AG$150,0,MATCH(U$2,Inputs!$D$2:$AG$2,0)),Inputs!$B$4:$B$150,$B29)/1000)</f>
        <v>0</v>
      </c>
      <c r="V29" s="11">
        <f>IF(V$3=0,"",SUMIFS(INDEX(Inputs!$D$4:$AG$150,0,MATCH(V$2,Inputs!$D$2:$AG$2,0)),Inputs!$B$4:$B$150,$B29)/1000)</f>
        <v>0</v>
      </c>
      <c r="W29" s="12">
        <f>IF(V29="","",V29)</f>
        <v>0</v>
      </c>
      <c r="X29" s="11">
        <f>IF(X$3=0,"",SUMIFS(INDEX(Inputs!$D$4:$AG$150,0,MATCH(X$2,Inputs!$D$2:$AG$2,0)),Inputs!$B$4:$B$150,$B29)/1000)</f>
        <v>0</v>
      </c>
      <c r="Y29" s="11">
        <f>IF(Y$3=0,"",SUMIFS(INDEX(Inputs!$D$4:$AG$150,0,MATCH(Y$2,Inputs!$D$2:$AG$2,0)),Inputs!$B$4:$B$150,$B29)/1000)</f>
        <v>0</v>
      </c>
      <c r="Z29" s="11">
        <f>IF(Z$3=0,"",SUMIFS(INDEX(Inputs!$D$4:$AG$150,0,MATCH(Z$2,Inputs!$D$2:$AG$2,0)),Inputs!$B$4:$B$150,$B29)/1000)</f>
        <v>0</v>
      </c>
      <c r="AA29" s="11">
        <f>IF(AA$3=0,"",SUMIFS(INDEX(Inputs!$D$4:$AG$150,0,MATCH(AA$2,Inputs!$D$2:$AG$2,0)),Inputs!$B$4:$B$150,$B29)/1000)</f>
        <v>0</v>
      </c>
      <c r="AB29" s="12">
        <f>IF(AA29="","",AA29)</f>
        <v>0</v>
      </c>
      <c r="AC29" s="11">
        <f>IF(AC$3=0,"",SUMIFS(INDEX(Inputs!$D$4:$AG$150,0,MATCH(AC$2,Inputs!$D$2:$AG$2,0)),Inputs!$B$4:$B$150,$B29)/1000)</f>
        <v>0</v>
      </c>
      <c r="AD29" s="11">
        <f>IF(AD$3=0,"",SUMIFS(INDEX(Inputs!$D$4:$AG$150,0,MATCH(AD$2,Inputs!$D$2:$AG$2,0)),Inputs!$B$4:$B$150,$B29)/1000)</f>
        <v>0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0</v>
      </c>
      <c r="E30" s="11">
        <f>IF(E$3=0,"",SUMIFS(INDEX(Inputs!$D$4:$AG$150,0,MATCH(E$2,Inputs!$D$2:$AG$2,0)),Inputs!$B$4:$B$150,$B30)/1000)</f>
        <v>0</v>
      </c>
      <c r="F30" s="11">
        <f>IF(F$3=0,"",SUMIFS(INDEX(Inputs!$D$4:$AG$150,0,MATCH(F$2,Inputs!$D$2:$AG$2,0)),Inputs!$B$4:$B$150,$B30)/1000)</f>
        <v>0</v>
      </c>
      <c r="G30" s="11">
        <f>IF(G$3=0,"",SUMIFS(INDEX(Inputs!$D$4:$AG$150,0,MATCH(G$2,Inputs!$D$2:$AG$2,0)),Inputs!$B$4:$B$150,$B30)/1000)</f>
        <v>0</v>
      </c>
      <c r="H30" s="12">
        <f>IF(G30="","",G30)</f>
        <v>0</v>
      </c>
      <c r="I30" s="11">
        <f>IF(I$3=0,"",SUMIFS(INDEX(Inputs!$D$4:$AG$150,0,MATCH(I$2,Inputs!$D$2:$AG$2,0)),Inputs!$B$4:$B$150,$B30)/1000)</f>
        <v>0</v>
      </c>
      <c r="J30" s="11">
        <f>IF(J$3=0,"",SUMIFS(INDEX(Inputs!$D$4:$AG$150,0,MATCH(J$2,Inputs!$D$2:$AG$2,0)),Inputs!$B$4:$B$150,$B30)/1000)</f>
        <v>0</v>
      </c>
      <c r="K30" s="11">
        <f>IF(K$3=0,"",SUMIFS(INDEX(Inputs!$D$4:$AG$150,0,MATCH(K$2,Inputs!$D$2:$AG$2,0)),Inputs!$B$4:$B$150,$B30)/1000)</f>
        <v>0</v>
      </c>
      <c r="L30" s="11">
        <f>IF(L$3=0,"",SUMIFS(INDEX(Inputs!$D$4:$AG$150,0,MATCH(L$2,Inputs!$D$2:$AG$2,0)),Inputs!$B$4:$B$150,$B30)/1000)</f>
        <v>0</v>
      </c>
      <c r="M30" s="12">
        <f>IF(L30="","",L30)</f>
        <v>0</v>
      </c>
      <c r="N30" s="11">
        <f>IF(N$3=0,"",SUMIFS(INDEX(Inputs!$D$4:$AG$150,0,MATCH(N$2,Inputs!$D$2:$AG$2,0)),Inputs!$B$4:$B$150,$B30)/1000)</f>
        <v>0</v>
      </c>
      <c r="O30" s="11">
        <f>IF(O$3=0,"",SUMIFS(INDEX(Inputs!$D$4:$AG$150,0,MATCH(O$2,Inputs!$D$2:$AG$2,0)),Inputs!$B$4:$B$150,$B30)/1000)</f>
        <v>0</v>
      </c>
      <c r="P30" s="11">
        <f>IF(P$3=0,"",SUMIFS(INDEX(Inputs!$D$4:$AG$150,0,MATCH(P$2,Inputs!$D$2:$AG$2,0)),Inputs!$B$4:$B$150,$B30)/1000)</f>
        <v>0</v>
      </c>
      <c r="Q30" s="11">
        <f>IF(Q$3=0,"",SUMIFS(INDEX(Inputs!$D$4:$AG$150,0,MATCH(Q$2,Inputs!$D$2:$AG$2,0)),Inputs!$B$4:$B$150,$B30)/1000)</f>
        <v>0</v>
      </c>
      <c r="R30" s="12">
        <f>IF(Q30="","",Q30)</f>
        <v>0</v>
      </c>
      <c r="S30" s="11">
        <f>IF(S$3=0,"",SUMIFS(INDEX(Inputs!$D$4:$AG$150,0,MATCH(S$2,Inputs!$D$2:$AG$2,0)),Inputs!$B$4:$B$150,$B30)/1000)</f>
        <v>0</v>
      </c>
      <c r="T30" s="11">
        <f>IF(T$3=0,"",SUMIFS(INDEX(Inputs!$D$4:$AG$150,0,MATCH(T$2,Inputs!$D$2:$AG$2,0)),Inputs!$B$4:$B$150,$B30)/1000)</f>
        <v>0</v>
      </c>
      <c r="U30" s="11">
        <f>IF(U$3=0,"",SUMIFS(INDEX(Inputs!$D$4:$AG$150,0,MATCH(U$2,Inputs!$D$2:$AG$2,0)),Inputs!$B$4:$B$150,$B30)/1000)</f>
        <v>0</v>
      </c>
      <c r="V30" s="11">
        <f>IF(V$3=0,"",SUMIFS(INDEX(Inputs!$D$4:$AG$150,0,MATCH(V$2,Inputs!$D$2:$AG$2,0)),Inputs!$B$4:$B$150,$B30)/1000)</f>
        <v>0</v>
      </c>
      <c r="W30" s="12">
        <f>IF(V30="","",V30)</f>
        <v>0</v>
      </c>
      <c r="X30" s="11">
        <f>IF(X$3=0,"",SUMIFS(INDEX(Inputs!$D$4:$AG$150,0,MATCH(X$2,Inputs!$D$2:$AG$2,0)),Inputs!$B$4:$B$150,$B30)/1000)</f>
        <v>0</v>
      </c>
      <c r="Y30" s="11">
        <f>IF(Y$3=0,"",SUMIFS(INDEX(Inputs!$D$4:$AG$150,0,MATCH(Y$2,Inputs!$D$2:$AG$2,0)),Inputs!$B$4:$B$150,$B30)/1000)</f>
        <v>0</v>
      </c>
      <c r="Z30" s="11">
        <f>IF(Z$3=0,"",SUMIFS(INDEX(Inputs!$D$4:$AG$150,0,MATCH(Z$2,Inputs!$D$2:$AG$2,0)),Inputs!$B$4:$B$150,$B30)/1000)</f>
        <v>0</v>
      </c>
      <c r="AA30" s="11">
        <f>IF(AA$3=0,"",SUMIFS(INDEX(Inputs!$D$4:$AG$150,0,MATCH(AA$2,Inputs!$D$2:$AG$2,0)),Inputs!$B$4:$B$150,$B30)/1000)</f>
        <v>0</v>
      </c>
      <c r="AB30" s="12">
        <f>IF(AA30="","",AA30)</f>
        <v>0</v>
      </c>
      <c r="AC30" s="11">
        <f>IF(AC$3=0,"",SUMIFS(INDEX(Inputs!$D$4:$AG$150,0,MATCH(AC$2,Inputs!$D$2:$AG$2,0)),Inputs!$B$4:$B$150,$B30)/1000)</f>
        <v>0</v>
      </c>
      <c r="AD30" s="11">
        <f>IF(AD$3=0,"",SUMIFS(INDEX(Inputs!$D$4:$AG$150,0,MATCH(AD$2,Inputs!$D$2:$AG$2,0)),Inputs!$B$4:$B$150,$B30)/1000)</f>
        <v>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48806</v>
      </c>
      <c r="E31" s="11">
        <f>IF(E$3=0,"",SUMIFS(INDEX(Inputs!$D$4:$AG$150,0,MATCH(E$2,Inputs!$D$2:$AG$2,0)),Inputs!$B$4:$B$150,$B31)/1000)</f>
        <v>49676</v>
      </c>
      <c r="F31" s="11">
        <f>IF(F$3=0,"",SUMIFS(INDEX(Inputs!$D$4:$AG$150,0,MATCH(F$2,Inputs!$D$2:$AG$2,0)),Inputs!$B$4:$B$150,$B31)/1000)</f>
        <v>51663</v>
      </c>
      <c r="G31" s="11">
        <f>IF(G$3=0,"",SUMIFS(INDEX(Inputs!$D$4:$AG$150,0,MATCH(G$2,Inputs!$D$2:$AG$2,0)),Inputs!$B$4:$B$150,$B31)/1000)</f>
        <v>50029</v>
      </c>
      <c r="H31" s="12">
        <f>IF(G31="","",G31)</f>
        <v>50029</v>
      </c>
      <c r="I31" s="11">
        <f>IF(I$3=0,"",SUMIFS(INDEX(Inputs!$D$4:$AG$150,0,MATCH(I$2,Inputs!$D$2:$AG$2,0)),Inputs!$B$4:$B$150,$B31)/1000)</f>
        <v>56415</v>
      </c>
      <c r="J31" s="11">
        <f>IF(J$3=0,"",SUMIFS(INDEX(Inputs!$D$4:$AG$150,0,MATCH(J$2,Inputs!$D$2:$AG$2,0)),Inputs!$B$4:$B$150,$B31)/1000)</f>
        <v>57961</v>
      </c>
      <c r="K31" s="11">
        <f>IF(K$3=0,"",SUMIFS(INDEX(Inputs!$D$4:$AG$150,0,MATCH(K$2,Inputs!$D$2:$AG$2,0)),Inputs!$B$4:$B$150,$B31)/1000)</f>
        <v>70474</v>
      </c>
      <c r="L31" s="11">
        <f>IF(L$3=0,"",SUMIFS(INDEX(Inputs!$D$4:$AG$150,0,MATCH(L$2,Inputs!$D$2:$AG$2,0)),Inputs!$B$4:$B$150,$B31)/1000)</f>
        <v>58412</v>
      </c>
      <c r="M31" s="12">
        <f>IF(L31="","",L31)</f>
        <v>58412</v>
      </c>
      <c r="N31" s="11">
        <f>IF(N$3=0,"",SUMIFS(INDEX(Inputs!$D$4:$AG$150,0,MATCH(N$2,Inputs!$D$2:$AG$2,0)),Inputs!$B$4:$B$150,$B31)/1000)</f>
        <v>76695</v>
      </c>
      <c r="O31" s="11">
        <f>IF(O$3=0,"",SUMIFS(INDEX(Inputs!$D$4:$AG$150,0,MATCH(O$2,Inputs!$D$2:$AG$2,0)),Inputs!$B$4:$B$150,$B31)/1000)</f>
        <v>77144</v>
      </c>
      <c r="P31" s="11">
        <f>IF(P$3=0,"",SUMIFS(INDEX(Inputs!$D$4:$AG$150,0,MATCH(P$2,Inputs!$D$2:$AG$2,0)),Inputs!$B$4:$B$150,$B31)/1000)</f>
        <v>77725</v>
      </c>
      <c r="Q31" s="11">
        <f>IF(Q$3=0,"",SUMIFS(INDEX(Inputs!$D$4:$AG$150,0,MATCH(Q$2,Inputs!$D$2:$AG$2,0)),Inputs!$B$4:$B$150,$B31)/1000)</f>
        <v>62822</v>
      </c>
      <c r="R31" s="12">
        <f>IF(Q31="","",Q31)</f>
        <v>62822</v>
      </c>
      <c r="S31" s="11">
        <f>IF(S$3=0,"",SUMIFS(INDEX(Inputs!$D$4:$AG$150,0,MATCH(S$2,Inputs!$D$2:$AG$2,0)),Inputs!$B$4:$B$150,$B31)/1000)</f>
        <v>63906</v>
      </c>
      <c r="T31" s="11">
        <f>IF(T$3=0,"",SUMIFS(INDEX(Inputs!$D$4:$AG$150,0,MATCH(T$2,Inputs!$D$2:$AG$2,0)),Inputs!$B$4:$B$150,$B31)/1000)</f>
        <v>62413</v>
      </c>
      <c r="U31" s="11">
        <f>IF(U$3=0,"",SUMIFS(INDEX(Inputs!$D$4:$AG$150,0,MATCH(U$2,Inputs!$D$2:$AG$2,0)),Inputs!$B$4:$B$150,$B31)/1000)</f>
        <v>64576</v>
      </c>
      <c r="V31" s="11">
        <f>IF(V$3=0,"",SUMIFS(INDEX(Inputs!$D$4:$AG$150,0,MATCH(V$2,Inputs!$D$2:$AG$2,0)),Inputs!$B$4:$B$150,$B31)/1000)</f>
        <v>64887</v>
      </c>
      <c r="W31" s="12">
        <f>IF(V31="","",V31)</f>
        <v>64887</v>
      </c>
      <c r="X31" s="11">
        <f>IF(X$3=0,"",SUMIFS(INDEX(Inputs!$D$4:$AG$150,0,MATCH(X$2,Inputs!$D$2:$AG$2,0)),Inputs!$B$4:$B$150,$B31)/1000)</f>
        <v>69919</v>
      </c>
      <c r="Y31" s="11">
        <f>IF(Y$3=0,"",SUMIFS(INDEX(Inputs!$D$4:$AG$150,0,MATCH(Y$2,Inputs!$D$2:$AG$2,0)),Inputs!$B$4:$B$150,$B31)/1000)</f>
        <v>70753</v>
      </c>
      <c r="Z31" s="11">
        <f>IF(Z$3=0,"",SUMIFS(INDEX(Inputs!$D$4:$AG$150,0,MATCH(Z$2,Inputs!$D$2:$AG$2,0)),Inputs!$B$4:$B$150,$B31)/1000)</f>
        <v>71756</v>
      </c>
      <c r="AA31" s="11">
        <f>IF(AA$3=0,"",SUMIFS(INDEX(Inputs!$D$4:$AG$150,0,MATCH(AA$2,Inputs!$D$2:$AG$2,0)),Inputs!$B$4:$B$150,$B31)/1000)</f>
        <v>70796</v>
      </c>
      <c r="AB31" s="12">
        <f>IF(AA31="","",AA31)</f>
        <v>70796</v>
      </c>
      <c r="AC31" s="11">
        <f>IF(AC$3=0,"",SUMIFS(INDEX(Inputs!$D$4:$AG$150,0,MATCH(AC$2,Inputs!$D$2:$AG$2,0)),Inputs!$B$4:$B$150,$B31)/1000)</f>
        <v>69016</v>
      </c>
      <c r="AD31" s="11">
        <f>IF(AD$3=0,"",SUMIFS(INDEX(Inputs!$D$4:$AG$150,0,MATCH(AD$2,Inputs!$D$2:$AG$2,0)),Inputs!$B$4:$B$150,$B31)/1000)</f>
        <v>68252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8838</v>
      </c>
      <c r="E32" s="11">
        <f>IF(E$3=0,"",SUMIFS(INDEX(Inputs!$D$4:$AG$150,0,MATCH(E$2,Inputs!$D$2:$AG$2,0)),Inputs!$B$4:$B$150,$B32)/1000)</f>
        <v>3868</v>
      </c>
      <c r="F32" s="11">
        <f>IF(F$3=0,"",SUMIFS(INDEX(Inputs!$D$4:$AG$150,0,MATCH(F$2,Inputs!$D$2:$AG$2,0)),Inputs!$B$4:$B$150,$B32)/1000)</f>
        <v>3620</v>
      </c>
      <c r="G32" s="11">
        <f>IF(G$3=0,"",SUMIFS(INDEX(Inputs!$D$4:$AG$150,0,MATCH(G$2,Inputs!$D$2:$AG$2,0)),Inputs!$B$4:$B$150,$B32)/1000)</f>
        <v>3620</v>
      </c>
      <c r="H32" s="12">
        <f>IF(G32="","",G32)</f>
        <v>3620</v>
      </c>
      <c r="I32" s="11">
        <f>IF(I$3=0,"",SUMIFS(INDEX(Inputs!$D$4:$AG$150,0,MATCH(I$2,Inputs!$D$2:$AG$2,0)),Inputs!$B$4:$B$150,$B32)/1000)</f>
        <v>6697</v>
      </c>
      <c r="J32" s="11">
        <f>IF(J$3=0,"",SUMIFS(INDEX(Inputs!$D$4:$AG$150,0,MATCH(J$2,Inputs!$D$2:$AG$2,0)),Inputs!$B$4:$B$150,$B32)/1000)</f>
        <v>5592</v>
      </c>
      <c r="K32" s="11">
        <f>IF(K$3=0,"",SUMIFS(INDEX(Inputs!$D$4:$AG$150,0,MATCH(K$2,Inputs!$D$2:$AG$2,0)),Inputs!$B$4:$B$150,$B32)/1000)</f>
        <v>3229</v>
      </c>
      <c r="L32" s="11">
        <f>IF(L$3=0,"",SUMIFS(INDEX(Inputs!$D$4:$AG$150,0,MATCH(L$2,Inputs!$D$2:$AG$2,0)),Inputs!$B$4:$B$150,$B32)/1000)</f>
        <v>3110</v>
      </c>
      <c r="M32" s="12">
        <f>IF(L32="","",L32)</f>
        <v>3110</v>
      </c>
      <c r="N32" s="11">
        <f>IF(N$3=0,"",SUMIFS(INDEX(Inputs!$D$4:$AG$150,0,MATCH(N$2,Inputs!$D$2:$AG$2,0)),Inputs!$B$4:$B$150,$B32)/1000)</f>
        <v>9931</v>
      </c>
      <c r="O32" s="11">
        <f>IF(O$3=0,"",SUMIFS(INDEX(Inputs!$D$4:$AG$150,0,MATCH(O$2,Inputs!$D$2:$AG$2,0)),Inputs!$B$4:$B$150,$B32)/1000)</f>
        <v>6321</v>
      </c>
      <c r="P32" s="11">
        <f>IF(P$3=0,"",SUMIFS(INDEX(Inputs!$D$4:$AG$150,0,MATCH(P$2,Inputs!$D$2:$AG$2,0)),Inputs!$B$4:$B$150,$B32)/1000)</f>
        <v>5290</v>
      </c>
      <c r="Q32" s="11">
        <f>IF(Q$3=0,"",SUMIFS(INDEX(Inputs!$D$4:$AG$150,0,MATCH(Q$2,Inputs!$D$2:$AG$2,0)),Inputs!$B$4:$B$150,$B32)/1000)</f>
        <v>4274</v>
      </c>
      <c r="R32" s="12">
        <f>IF(Q32="","",Q32)</f>
        <v>4274</v>
      </c>
      <c r="S32" s="11">
        <f>IF(S$3=0,"",SUMIFS(INDEX(Inputs!$D$4:$AG$150,0,MATCH(S$2,Inputs!$D$2:$AG$2,0)),Inputs!$B$4:$B$150,$B32)/1000)</f>
        <v>9787</v>
      </c>
      <c r="T32" s="11">
        <f>IF(T$3=0,"",SUMIFS(INDEX(Inputs!$D$4:$AG$150,0,MATCH(T$2,Inputs!$D$2:$AG$2,0)),Inputs!$B$4:$B$150,$B32)/1000)</f>
        <v>11371</v>
      </c>
      <c r="U32" s="11">
        <f>IF(U$3=0,"",SUMIFS(INDEX(Inputs!$D$4:$AG$150,0,MATCH(U$2,Inputs!$D$2:$AG$2,0)),Inputs!$B$4:$B$150,$B32)/1000)</f>
        <v>3909</v>
      </c>
      <c r="V32" s="11">
        <f>IF(V$3=0,"",SUMIFS(INDEX(Inputs!$D$4:$AG$150,0,MATCH(V$2,Inputs!$D$2:$AG$2,0)),Inputs!$B$4:$B$150,$B32)/1000)</f>
        <v>4545</v>
      </c>
      <c r="W32" s="12">
        <f>IF(V32="","",V32)</f>
        <v>4545</v>
      </c>
      <c r="X32" s="11">
        <f>IF(X$3=0,"",SUMIFS(INDEX(Inputs!$D$4:$AG$150,0,MATCH(X$2,Inputs!$D$2:$AG$2,0)),Inputs!$B$4:$B$150,$B32)/1000)</f>
        <v>9986</v>
      </c>
      <c r="Y32" s="11">
        <f>IF(Y$3=0,"",SUMIFS(INDEX(Inputs!$D$4:$AG$150,0,MATCH(Y$2,Inputs!$D$2:$AG$2,0)),Inputs!$B$4:$B$150,$B32)/1000)</f>
        <v>5698</v>
      </c>
      <c r="Z32" s="11">
        <f>IF(Z$3=0,"",SUMIFS(INDEX(Inputs!$D$4:$AG$150,0,MATCH(Z$2,Inputs!$D$2:$AG$2,0)),Inputs!$B$4:$B$150,$B32)/1000)</f>
        <v>7737</v>
      </c>
      <c r="AA32" s="11">
        <f>IF(AA$3=0,"",SUMIFS(INDEX(Inputs!$D$4:$AG$150,0,MATCH(AA$2,Inputs!$D$2:$AG$2,0)),Inputs!$B$4:$B$150,$B32)/1000)</f>
        <v>6069</v>
      </c>
      <c r="AB32" s="12">
        <f>IF(AA32="","",AA32)</f>
        <v>6069</v>
      </c>
      <c r="AC32" s="11">
        <f>IF(AC$3=0,"",SUMIFS(INDEX(Inputs!$D$4:$AG$150,0,MATCH(AC$2,Inputs!$D$2:$AG$2,0)),Inputs!$B$4:$B$150,$B32)/1000)</f>
        <v>6477</v>
      </c>
      <c r="AD32" s="11">
        <f>IF(AD$3=0,"",SUMIFS(INDEX(Inputs!$D$4:$AG$150,0,MATCH(AD$2,Inputs!$D$2:$AG$2,0)),Inputs!$B$4:$B$150,$B32)/1000)</f>
        <v>3827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37420</v>
      </c>
      <c r="E35" s="11">
        <f>IF(E$3=0,"",SUMIFS(INDEX(Inputs!$D$4:$AG$150,0,MATCH(E$2,Inputs!$D$2:$AG$2,0)),Inputs!$B$4:$B$150,$B35)/1000)</f>
        <v>44348</v>
      </c>
      <c r="F35" s="11">
        <f>IF(F$3=0,"",SUMIFS(INDEX(Inputs!$D$4:$AG$150,0,MATCH(F$2,Inputs!$D$2:$AG$2,0)),Inputs!$B$4:$B$150,$B35)/1000)</f>
        <v>43345</v>
      </c>
      <c r="G35" s="11">
        <f>IF(G$3=0,"",SUMIFS(INDEX(Inputs!$D$4:$AG$150,0,MATCH(G$2,Inputs!$D$2:$AG$2,0)),Inputs!$B$4:$B$150,$B35)/1000)</f>
        <v>42383</v>
      </c>
      <c r="H35" s="12">
        <f>IF(G35="","",G35)</f>
        <v>42383</v>
      </c>
      <c r="I35" s="11">
        <f>IF(I$3=0,"",SUMIFS(INDEX(Inputs!$D$4:$AG$150,0,MATCH(I$2,Inputs!$D$2:$AG$2,0)),Inputs!$B$4:$B$150,$B35)/1000)</f>
        <v>40796</v>
      </c>
      <c r="J35" s="11">
        <f>IF(J$3=0,"",SUMIFS(INDEX(Inputs!$D$4:$AG$150,0,MATCH(J$2,Inputs!$D$2:$AG$2,0)),Inputs!$B$4:$B$150,$B35)/1000)</f>
        <v>45799</v>
      </c>
      <c r="K35" s="11">
        <f>IF(K$3=0,"",SUMIFS(INDEX(Inputs!$D$4:$AG$150,0,MATCH(K$2,Inputs!$D$2:$AG$2,0)),Inputs!$B$4:$B$150,$B35)/1000)</f>
        <v>45438</v>
      </c>
      <c r="L35" s="11">
        <f>IF(L$3=0,"",SUMIFS(INDEX(Inputs!$D$4:$AG$150,0,MATCH(L$2,Inputs!$D$2:$AG$2,0)),Inputs!$B$4:$B$150,$B35)/1000)</f>
        <v>54513</v>
      </c>
      <c r="M35" s="12">
        <f>IF(L35="","",L35)</f>
        <v>54513</v>
      </c>
      <c r="N35" s="11">
        <f>IF(N$3=0,"",SUMIFS(INDEX(Inputs!$D$4:$AG$150,0,MATCH(N$2,Inputs!$D$2:$AG$2,0)),Inputs!$B$4:$B$150,$B35)/1000)</f>
        <v>60657</v>
      </c>
      <c r="O35" s="11">
        <f>IF(O$3=0,"",SUMIFS(INDEX(Inputs!$D$4:$AG$150,0,MATCH(O$2,Inputs!$D$2:$AG$2,0)),Inputs!$B$4:$B$150,$B35)/1000)</f>
        <v>59268</v>
      </c>
      <c r="P35" s="11">
        <f>IF(P$3=0,"",SUMIFS(INDEX(Inputs!$D$4:$AG$150,0,MATCH(P$2,Inputs!$D$2:$AG$2,0)),Inputs!$B$4:$B$150,$B35)/1000)</f>
        <v>58079</v>
      </c>
      <c r="Q35" s="11">
        <f>IF(Q$3=0,"",SUMIFS(INDEX(Inputs!$D$4:$AG$150,0,MATCH(Q$2,Inputs!$D$2:$AG$2,0)),Inputs!$B$4:$B$150,$B35)/1000)</f>
        <v>58263</v>
      </c>
      <c r="R35" s="12">
        <f>IF(Q35="","",Q35)</f>
        <v>58263</v>
      </c>
      <c r="S35" s="11">
        <f>IF(S$3=0,"",SUMIFS(INDEX(Inputs!$D$4:$AG$150,0,MATCH(S$2,Inputs!$D$2:$AG$2,0)),Inputs!$B$4:$B$150,$B35)/1000)</f>
        <v>63850</v>
      </c>
      <c r="T35" s="11">
        <f>IF(T$3=0,"",SUMIFS(INDEX(Inputs!$D$4:$AG$150,0,MATCH(T$2,Inputs!$D$2:$AG$2,0)),Inputs!$B$4:$B$150,$B35)/1000)</f>
        <v>63727</v>
      </c>
      <c r="U35" s="11">
        <f>IF(U$3=0,"",SUMIFS(INDEX(Inputs!$D$4:$AG$150,0,MATCH(U$2,Inputs!$D$2:$AG$2,0)),Inputs!$B$4:$B$150,$B35)/1000)</f>
        <v>74101</v>
      </c>
      <c r="V35" s="11">
        <f>IF(V$3=0,"",SUMIFS(INDEX(Inputs!$D$4:$AG$150,0,MATCH(V$2,Inputs!$D$2:$AG$2,0)),Inputs!$B$4:$B$150,$B35)/1000)</f>
        <v>72359</v>
      </c>
      <c r="W35" s="12">
        <f>IF(V35="","",V35)</f>
        <v>72359</v>
      </c>
      <c r="X35" s="11">
        <f>IF(X$3=0,"",SUMIFS(INDEX(Inputs!$D$4:$AG$150,0,MATCH(X$2,Inputs!$D$2:$AG$2,0)),Inputs!$B$4:$B$150,$B35)/1000)</f>
        <v>71285</v>
      </c>
      <c r="Y35" s="11">
        <f>IF(Y$3=0,"",SUMIFS(INDEX(Inputs!$D$4:$AG$150,0,MATCH(Y$2,Inputs!$D$2:$AG$2,0)),Inputs!$B$4:$B$150,$B35)/1000)</f>
        <v>73495</v>
      </c>
      <c r="Z35" s="11">
        <f>IF(Z$3=0,"",SUMIFS(INDEX(Inputs!$D$4:$AG$150,0,MATCH(Z$2,Inputs!$D$2:$AG$2,0)),Inputs!$B$4:$B$150,$B35)/1000)</f>
        <v>72399</v>
      </c>
      <c r="AA35" s="11">
        <f>IF(AA$3=0,"",SUMIFS(INDEX(Inputs!$D$4:$AG$150,0,MATCH(AA$2,Inputs!$D$2:$AG$2,0)),Inputs!$B$4:$B$150,$B35)/1000)</f>
        <v>72320</v>
      </c>
      <c r="AB35" s="12">
        <f>IF(AA35="","",AA35)</f>
        <v>72320</v>
      </c>
      <c r="AC35" s="11">
        <f>IF(AC$3=0,"",SUMIFS(INDEX(Inputs!$D$4:$AG$150,0,MATCH(AC$2,Inputs!$D$2:$AG$2,0)),Inputs!$B$4:$B$150,$B35)/1000)</f>
        <v>71440</v>
      </c>
      <c r="AD35" s="11">
        <f>IF(AD$3=0,"",SUMIFS(INDEX(Inputs!$D$4:$AG$150,0,MATCH(AD$2,Inputs!$D$2:$AG$2,0)),Inputs!$B$4:$B$150,$B35)/1000)</f>
        <v>69501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0</v>
      </c>
      <c r="Z36" s="11">
        <f>IF(Z$3=0,"",SUMIFS(INDEX(Inputs!$D$4:$AG$150,0,MATCH(Z$2,Inputs!$D$2:$AG$2,0)),Inputs!$B$4:$B$150,$B36)/1000)</f>
        <v>0</v>
      </c>
      <c r="AA36" s="11">
        <f>IF(AA$3=0,"",SUMIFS(INDEX(Inputs!$D$4:$AG$150,0,MATCH(AA$2,Inputs!$D$2:$AG$2,0)),Inputs!$B$4:$B$150,$B36)/1000)</f>
        <v>0</v>
      </c>
      <c r="AB36" s="12">
        <f>IF(AA36="","",AA36)</f>
        <v>0</v>
      </c>
      <c r="AC36" s="11">
        <f>IF(AC$3=0,"",SUMIFS(INDEX(Inputs!$D$4:$AG$150,0,MATCH(AC$2,Inputs!$D$2:$AG$2,0)),Inputs!$B$4:$B$150,$B36)/1000)</f>
        <v>0</v>
      </c>
      <c r="AD36" s="11">
        <f>IF(AD$3=0,"",SUMIFS(INDEX(Inputs!$D$4:$AG$150,0,MATCH(AD$2,Inputs!$D$2:$AG$2,0)),Inputs!$B$4:$B$150,$B36)/1000)</f>
        <v>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3602</v>
      </c>
      <c r="E38" s="11">
        <f>IF(E$3=0,"",SUMIFS(INDEX(Inputs!$D$4:$AG$150,0,MATCH(E$2,Inputs!$D$2:$AG$2,0)),Inputs!$B$4:$B$150,$B38)/1000)</f>
        <v>3641</v>
      </c>
      <c r="F38" s="11">
        <f>IF(F$3=0,"",SUMIFS(INDEX(Inputs!$D$4:$AG$150,0,MATCH(F$2,Inputs!$D$2:$AG$2,0)),Inputs!$B$4:$B$150,$B38)/1000)</f>
        <v>3649</v>
      </c>
      <c r="G38" s="11">
        <f>IF(G$3=0,"",SUMIFS(INDEX(Inputs!$D$4:$AG$150,0,MATCH(G$2,Inputs!$D$2:$AG$2,0)),Inputs!$B$4:$B$150,$B38)/1000)</f>
        <v>3265</v>
      </c>
      <c r="H38" s="12">
        <f>IF(G38="","",G38)</f>
        <v>3265</v>
      </c>
      <c r="I38" s="11">
        <f>IF(I$3=0,"",SUMIFS(INDEX(Inputs!$D$4:$AG$150,0,MATCH(I$2,Inputs!$D$2:$AG$2,0)),Inputs!$B$4:$B$150,$B38)/1000)</f>
        <v>2954</v>
      </c>
      <c r="J38" s="11">
        <f>IF(J$3=0,"",SUMIFS(INDEX(Inputs!$D$4:$AG$150,0,MATCH(J$2,Inputs!$D$2:$AG$2,0)),Inputs!$B$4:$B$150,$B38)/1000)</f>
        <v>2581</v>
      </c>
      <c r="K38" s="11">
        <f>IF(K$3=0,"",SUMIFS(INDEX(Inputs!$D$4:$AG$150,0,MATCH(K$2,Inputs!$D$2:$AG$2,0)),Inputs!$B$4:$B$150,$B38)/1000)</f>
        <v>1659</v>
      </c>
      <c r="L38" s="11">
        <f>IF(L$3=0,"",SUMIFS(INDEX(Inputs!$D$4:$AG$150,0,MATCH(L$2,Inputs!$D$2:$AG$2,0)),Inputs!$B$4:$B$150,$B38)/1000)</f>
        <v>2769</v>
      </c>
      <c r="M38" s="12">
        <f>IF(L38="","",L38)</f>
        <v>2769</v>
      </c>
      <c r="N38" s="11">
        <f>IF(N$3=0,"",SUMIFS(INDEX(Inputs!$D$4:$AG$150,0,MATCH(N$2,Inputs!$D$2:$AG$2,0)),Inputs!$B$4:$B$150,$B38)/1000)</f>
        <v>2834</v>
      </c>
      <c r="O38" s="11">
        <f>IF(O$3=0,"",SUMIFS(INDEX(Inputs!$D$4:$AG$150,0,MATCH(O$2,Inputs!$D$2:$AG$2,0)),Inputs!$B$4:$B$150,$B38)/1000)</f>
        <v>2498</v>
      </c>
      <c r="P38" s="11">
        <f>IF(P$3=0,"",SUMIFS(INDEX(Inputs!$D$4:$AG$150,0,MATCH(P$2,Inputs!$D$2:$AG$2,0)),Inputs!$B$4:$B$150,$B38)/1000)</f>
        <v>2210</v>
      </c>
      <c r="Q38" s="11">
        <f>IF(Q$3=0,"",SUMIFS(INDEX(Inputs!$D$4:$AG$150,0,MATCH(Q$2,Inputs!$D$2:$AG$2,0)),Inputs!$B$4:$B$150,$B38)/1000)</f>
        <v>3021</v>
      </c>
      <c r="R38" s="12">
        <f>IF(Q38="","",Q38)</f>
        <v>3021</v>
      </c>
      <c r="S38" s="11">
        <f>IF(S$3=0,"",SUMIFS(INDEX(Inputs!$D$4:$AG$150,0,MATCH(S$2,Inputs!$D$2:$AG$2,0)),Inputs!$B$4:$B$150,$B38)/1000)</f>
        <v>4167</v>
      </c>
      <c r="T38" s="11">
        <f>IF(T$3=0,"",SUMIFS(INDEX(Inputs!$D$4:$AG$150,0,MATCH(T$2,Inputs!$D$2:$AG$2,0)),Inputs!$B$4:$B$150,$B38)/1000)</f>
        <v>3631</v>
      </c>
      <c r="U38" s="11">
        <f>IF(U$3=0,"",SUMIFS(INDEX(Inputs!$D$4:$AG$150,0,MATCH(U$2,Inputs!$D$2:$AG$2,0)),Inputs!$B$4:$B$150,$B38)/1000)</f>
        <v>4014</v>
      </c>
      <c r="V38" s="11">
        <f>IF(V$3=0,"",SUMIFS(INDEX(Inputs!$D$4:$AG$150,0,MATCH(V$2,Inputs!$D$2:$AG$2,0)),Inputs!$B$4:$B$150,$B38)/1000)</f>
        <v>3620</v>
      </c>
      <c r="W38" s="12">
        <f>IF(V38="","",V38)</f>
        <v>3620</v>
      </c>
      <c r="X38" s="11">
        <f>IF(X$3=0,"",SUMIFS(INDEX(Inputs!$D$4:$AG$150,0,MATCH(X$2,Inputs!$D$2:$AG$2,0)),Inputs!$B$4:$B$150,$B38)/1000)</f>
        <v>3902</v>
      </c>
      <c r="Y38" s="11">
        <f>IF(Y$3=0,"",SUMIFS(INDEX(Inputs!$D$4:$AG$150,0,MATCH(Y$2,Inputs!$D$2:$AG$2,0)),Inputs!$B$4:$B$150,$B38)/1000)</f>
        <v>3804</v>
      </c>
      <c r="Z38" s="11">
        <f>IF(Z$3=0,"",SUMIFS(INDEX(Inputs!$D$4:$AG$150,0,MATCH(Z$2,Inputs!$D$2:$AG$2,0)),Inputs!$B$4:$B$150,$B38)/1000)</f>
        <v>3162</v>
      </c>
      <c r="AA38" s="11">
        <f>IF(AA$3=0,"",SUMIFS(INDEX(Inputs!$D$4:$AG$150,0,MATCH(AA$2,Inputs!$D$2:$AG$2,0)),Inputs!$B$4:$B$150,$B38)/1000)</f>
        <v>2421</v>
      </c>
      <c r="AB38" s="12">
        <f>IF(AA38="","",AA38)</f>
        <v>2421</v>
      </c>
      <c r="AC38" s="11">
        <f>IF(AC$3=0,"",SUMIFS(INDEX(Inputs!$D$4:$AG$150,0,MATCH(AC$2,Inputs!$D$2:$AG$2,0)),Inputs!$B$4:$B$150,$B38)/1000)</f>
        <v>2864</v>
      </c>
      <c r="AD38" s="11">
        <f>IF(AD$3=0,"",SUMIFS(INDEX(Inputs!$D$4:$AG$150,0,MATCH(AD$2,Inputs!$D$2:$AG$2,0)),Inputs!$B$4:$B$150,$B38)/1000)</f>
        <v>2722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12926</v>
      </c>
      <c r="E39" s="11">
        <f>IF(E$3=0,"",SUMIFS(INDEX(Inputs!$D$4:$AG$150,0,MATCH(E$2,Inputs!$D$2:$AG$2,0)),Inputs!$B$4:$B$150,$B39)/1000)</f>
        <v>12425</v>
      </c>
      <c r="F39" s="11">
        <f>IF(F$3=0,"",SUMIFS(INDEX(Inputs!$D$4:$AG$150,0,MATCH(F$2,Inputs!$D$2:$AG$2,0)),Inputs!$B$4:$B$150,$B39)/1000)</f>
        <v>11844</v>
      </c>
      <c r="G39" s="11">
        <f>IF(G$3=0,"",SUMIFS(INDEX(Inputs!$D$4:$AG$150,0,MATCH(G$2,Inputs!$D$2:$AG$2,0)),Inputs!$B$4:$B$150,$B39)/1000)</f>
        <v>11787</v>
      </c>
      <c r="H39" s="12">
        <f>IF(G39="","",G39)</f>
        <v>11787</v>
      </c>
      <c r="I39" s="11">
        <f>IF(I$3=0,"",SUMIFS(INDEX(Inputs!$D$4:$AG$150,0,MATCH(I$2,Inputs!$D$2:$AG$2,0)),Inputs!$B$4:$B$150,$B39)/1000)</f>
        <v>11671</v>
      </c>
      <c r="J39" s="11">
        <f>IF(J$3=0,"",SUMIFS(INDEX(Inputs!$D$4:$AG$150,0,MATCH(J$2,Inputs!$D$2:$AG$2,0)),Inputs!$B$4:$B$150,$B39)/1000)</f>
        <v>11967</v>
      </c>
      <c r="K39" s="11">
        <f>IF(K$3=0,"",SUMIFS(INDEX(Inputs!$D$4:$AG$150,0,MATCH(K$2,Inputs!$D$2:$AG$2,0)),Inputs!$B$4:$B$150,$B39)/1000)</f>
        <v>12111</v>
      </c>
      <c r="L39" s="11">
        <f>IF(L$3=0,"",SUMIFS(INDEX(Inputs!$D$4:$AG$150,0,MATCH(L$2,Inputs!$D$2:$AG$2,0)),Inputs!$B$4:$B$150,$B39)/1000)</f>
        <v>12839</v>
      </c>
      <c r="M39" s="12">
        <f>IF(L39="","",L39)</f>
        <v>12839</v>
      </c>
      <c r="N39" s="11">
        <f>IF(N$3=0,"",SUMIFS(INDEX(Inputs!$D$4:$AG$150,0,MATCH(N$2,Inputs!$D$2:$AG$2,0)),Inputs!$B$4:$B$150,$B39)/1000)</f>
        <v>13084</v>
      </c>
      <c r="O39" s="11">
        <f>IF(O$3=0,"",SUMIFS(INDEX(Inputs!$D$4:$AG$150,0,MATCH(O$2,Inputs!$D$2:$AG$2,0)),Inputs!$B$4:$B$150,$B39)/1000)</f>
        <v>13261</v>
      </c>
      <c r="P39" s="11">
        <f>IF(P$3=0,"",SUMIFS(INDEX(Inputs!$D$4:$AG$150,0,MATCH(P$2,Inputs!$D$2:$AG$2,0)),Inputs!$B$4:$B$150,$B39)/1000)</f>
        <v>13615</v>
      </c>
      <c r="Q39" s="11">
        <f>IF(Q$3=0,"",SUMIFS(INDEX(Inputs!$D$4:$AG$150,0,MATCH(Q$2,Inputs!$D$2:$AG$2,0)),Inputs!$B$4:$B$150,$B39)/1000)</f>
        <v>14463</v>
      </c>
      <c r="R39" s="12">
        <f>IF(Q39="","",Q39)</f>
        <v>14463</v>
      </c>
      <c r="S39" s="11">
        <f>IF(S$3=0,"",SUMIFS(INDEX(Inputs!$D$4:$AG$150,0,MATCH(S$2,Inputs!$D$2:$AG$2,0)),Inputs!$B$4:$B$150,$B39)/1000)</f>
        <v>14844</v>
      </c>
      <c r="T39" s="11">
        <f>IF(T$3=0,"",SUMIFS(INDEX(Inputs!$D$4:$AG$150,0,MATCH(T$2,Inputs!$D$2:$AG$2,0)),Inputs!$B$4:$B$150,$B39)/1000)</f>
        <v>14794</v>
      </c>
      <c r="U39" s="11">
        <f>IF(U$3=0,"",SUMIFS(INDEX(Inputs!$D$4:$AG$150,0,MATCH(U$2,Inputs!$D$2:$AG$2,0)),Inputs!$B$4:$B$150,$B39)/1000)</f>
        <v>15174</v>
      </c>
      <c r="V39" s="11">
        <f>IF(V$3=0,"",SUMIFS(INDEX(Inputs!$D$4:$AG$150,0,MATCH(V$2,Inputs!$D$2:$AG$2,0)),Inputs!$B$4:$B$150,$B39)/1000)</f>
        <v>15939</v>
      </c>
      <c r="W39" s="12">
        <f>IF(V39="","",V39)</f>
        <v>15939</v>
      </c>
      <c r="X39" s="11">
        <f>IF(X$3=0,"",SUMIFS(INDEX(Inputs!$D$4:$AG$150,0,MATCH(X$2,Inputs!$D$2:$AG$2,0)),Inputs!$B$4:$B$150,$B39)/1000)</f>
        <v>15963</v>
      </c>
      <c r="Y39" s="11">
        <f>IF(Y$3=0,"",SUMIFS(INDEX(Inputs!$D$4:$AG$150,0,MATCH(Y$2,Inputs!$D$2:$AG$2,0)),Inputs!$B$4:$B$150,$B39)/1000)</f>
        <v>15709</v>
      </c>
      <c r="Z39" s="11">
        <f>IF(Z$3=0,"",SUMIFS(INDEX(Inputs!$D$4:$AG$150,0,MATCH(Z$2,Inputs!$D$2:$AG$2,0)),Inputs!$B$4:$B$150,$B39)/1000)</f>
        <v>18369</v>
      </c>
      <c r="AA39" s="11">
        <f>IF(AA$3=0,"",SUMIFS(INDEX(Inputs!$D$4:$AG$150,0,MATCH(AA$2,Inputs!$D$2:$AG$2,0)),Inputs!$B$4:$B$150,$B39)/1000)</f>
        <v>18245</v>
      </c>
      <c r="AB39" s="12">
        <f>IF(AA39="","",AA39)</f>
        <v>18245</v>
      </c>
      <c r="AC39" s="11">
        <f>IF(AC$3=0,"",SUMIFS(INDEX(Inputs!$D$4:$AG$150,0,MATCH(AC$2,Inputs!$D$2:$AG$2,0)),Inputs!$B$4:$B$150,$B39)/1000)</f>
        <v>18897</v>
      </c>
      <c r="AD39" s="11">
        <f>IF(AD$3=0,"",SUMIFS(INDEX(Inputs!$D$4:$AG$150,0,MATCH(AD$2,Inputs!$D$2:$AG$2,0)),Inputs!$B$4:$B$150,$B39)/1000)</f>
        <v>19735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4178</v>
      </c>
      <c r="E41" s="11">
        <f>IF(E$3=0,"",SUMIFS(INDEX(Inputs!$D$4:$AG$150,0,MATCH(E$2,Inputs!$D$2:$AG$2,0)),Inputs!$B$4:$B$150,$B41)/1000)</f>
        <v>4307</v>
      </c>
      <c r="F41" s="11">
        <f>IF(F$3=0,"",SUMIFS(INDEX(Inputs!$D$4:$AG$150,0,MATCH(F$2,Inputs!$D$2:$AG$2,0)),Inputs!$B$4:$B$150,$B41)/1000)</f>
        <v>4354</v>
      </c>
      <c r="G41" s="11">
        <f>IF(G$3=0,"",SUMIFS(INDEX(Inputs!$D$4:$AG$150,0,MATCH(G$2,Inputs!$D$2:$AG$2,0)),Inputs!$B$4:$B$150,$B41)/1000)</f>
        <v>4719</v>
      </c>
      <c r="H41" s="12">
        <f>IF(G41="","",G41)</f>
        <v>4719</v>
      </c>
      <c r="I41" s="11">
        <f>IF(I$3=0,"",SUMIFS(INDEX(Inputs!$D$4:$AG$150,0,MATCH(I$2,Inputs!$D$2:$AG$2,0)),Inputs!$B$4:$B$150,$B41)/1000)</f>
        <v>4881</v>
      </c>
      <c r="J41" s="11">
        <f>IF(J$3=0,"",SUMIFS(INDEX(Inputs!$D$4:$AG$150,0,MATCH(J$2,Inputs!$D$2:$AG$2,0)),Inputs!$B$4:$B$150,$B41)/1000)</f>
        <v>8307</v>
      </c>
      <c r="K41" s="11">
        <f>IF(K$3=0,"",SUMIFS(INDEX(Inputs!$D$4:$AG$150,0,MATCH(K$2,Inputs!$D$2:$AG$2,0)),Inputs!$B$4:$B$150,$B41)/1000)</f>
        <v>8275</v>
      </c>
      <c r="L41" s="11">
        <f>IF(L$3=0,"",SUMIFS(INDEX(Inputs!$D$4:$AG$150,0,MATCH(L$2,Inputs!$D$2:$AG$2,0)),Inputs!$B$4:$B$150,$B41)/1000)</f>
        <v>8575</v>
      </c>
      <c r="M41" s="12">
        <f>IF(L41="","",L41)</f>
        <v>8575</v>
      </c>
      <c r="N41" s="11">
        <f>IF(N$3=0,"",SUMIFS(INDEX(Inputs!$D$4:$AG$150,0,MATCH(N$2,Inputs!$D$2:$AG$2,0)),Inputs!$B$4:$B$150,$B41)/1000)</f>
        <v>9310</v>
      </c>
      <c r="O41" s="11">
        <f>IF(O$3=0,"",SUMIFS(INDEX(Inputs!$D$4:$AG$150,0,MATCH(O$2,Inputs!$D$2:$AG$2,0)),Inputs!$B$4:$B$150,$B41)/1000)</f>
        <v>9803</v>
      </c>
      <c r="P41" s="11">
        <f>IF(P$3=0,"",SUMIFS(INDEX(Inputs!$D$4:$AG$150,0,MATCH(P$2,Inputs!$D$2:$AG$2,0)),Inputs!$B$4:$B$150,$B41)/1000)</f>
        <v>9486</v>
      </c>
      <c r="Q41" s="11">
        <f>IF(Q$3=0,"",SUMIFS(INDEX(Inputs!$D$4:$AG$150,0,MATCH(Q$2,Inputs!$D$2:$AG$2,0)),Inputs!$B$4:$B$150,$B41)/1000)</f>
        <v>10163</v>
      </c>
      <c r="R41" s="12">
        <f>IF(Q41="","",Q41)</f>
        <v>10163</v>
      </c>
      <c r="S41" s="11">
        <f>IF(S$3=0,"",SUMIFS(INDEX(Inputs!$D$4:$AG$150,0,MATCH(S$2,Inputs!$D$2:$AG$2,0)),Inputs!$B$4:$B$150,$B41)/1000)</f>
        <v>10230</v>
      </c>
      <c r="T41" s="11">
        <f>IF(T$3=0,"",SUMIFS(INDEX(Inputs!$D$4:$AG$150,0,MATCH(T$2,Inputs!$D$2:$AG$2,0)),Inputs!$B$4:$B$150,$B41)/1000)</f>
        <v>9875</v>
      </c>
      <c r="U41" s="11">
        <f>IF(U$3=0,"",SUMIFS(INDEX(Inputs!$D$4:$AG$150,0,MATCH(U$2,Inputs!$D$2:$AG$2,0)),Inputs!$B$4:$B$150,$B41)/1000)</f>
        <v>9920</v>
      </c>
      <c r="V41" s="11">
        <f>IF(V$3=0,"",SUMIFS(INDEX(Inputs!$D$4:$AG$150,0,MATCH(V$2,Inputs!$D$2:$AG$2,0)),Inputs!$B$4:$B$150,$B41)/1000)</f>
        <v>9933</v>
      </c>
      <c r="W41" s="12">
        <f>IF(V41="","",V41)</f>
        <v>9933</v>
      </c>
      <c r="X41" s="11">
        <f>IF(X$3=0,"",SUMIFS(INDEX(Inputs!$D$4:$AG$150,0,MATCH(X$2,Inputs!$D$2:$AG$2,0)),Inputs!$B$4:$B$150,$B41)/1000)</f>
        <v>10131</v>
      </c>
      <c r="Y41" s="11">
        <f>IF(Y$3=0,"",SUMIFS(INDEX(Inputs!$D$4:$AG$150,0,MATCH(Y$2,Inputs!$D$2:$AG$2,0)),Inputs!$B$4:$B$150,$B41)/1000)</f>
        <v>10060</v>
      </c>
      <c r="Z41" s="11">
        <f>IF(Z$3=0,"",SUMIFS(INDEX(Inputs!$D$4:$AG$150,0,MATCH(Z$2,Inputs!$D$2:$AG$2,0)),Inputs!$B$4:$B$150,$B41)/1000)</f>
        <v>10026</v>
      </c>
      <c r="AA41" s="11">
        <f>IF(AA$3=0,"",SUMIFS(INDEX(Inputs!$D$4:$AG$150,0,MATCH(AA$2,Inputs!$D$2:$AG$2,0)),Inputs!$B$4:$B$150,$B41)/1000)</f>
        <v>7588</v>
      </c>
      <c r="AB41" s="12">
        <f>IF(AA41="","",AA41)</f>
        <v>7588</v>
      </c>
      <c r="AC41" s="11">
        <f>IF(AC$3=0,"",SUMIFS(INDEX(Inputs!$D$4:$AG$150,0,MATCH(AC$2,Inputs!$D$2:$AG$2,0)),Inputs!$B$4:$B$150,$B41)/1000)</f>
        <v>7438</v>
      </c>
      <c r="AD41" s="11">
        <f>IF(AD$3=0,"",SUMIFS(INDEX(Inputs!$D$4:$AG$150,0,MATCH(AD$2,Inputs!$D$2:$AG$2,0)),Inputs!$B$4:$B$150,$B41)/1000)</f>
        <v>7502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10</v>
      </c>
      <c r="E43" s="11">
        <f>IF(E$3=0,"",SUMIFS(INDEX(Inputs!$D$4:$AG$150,0,MATCH(E$2,Inputs!$D$2:$AG$2,0)),Inputs!$B$4:$B$150,$B43)/1000)</f>
        <v>10</v>
      </c>
      <c r="F43" s="11">
        <f>IF(F$3=0,"",SUMIFS(INDEX(Inputs!$D$4:$AG$150,0,MATCH(F$2,Inputs!$D$2:$AG$2,0)),Inputs!$B$4:$B$150,$B43)/1000)</f>
        <v>10</v>
      </c>
      <c r="G43" s="11">
        <f>IF(G$3=0,"",SUMIFS(INDEX(Inputs!$D$4:$AG$150,0,MATCH(G$2,Inputs!$D$2:$AG$2,0)),Inputs!$B$4:$B$150,$B43)/1000)</f>
        <v>10</v>
      </c>
      <c r="H43" s="12">
        <f>IF(G43="","",G43)</f>
        <v>10</v>
      </c>
      <c r="I43" s="11">
        <f>IF(I$3=0,"",SUMIFS(INDEX(Inputs!$D$4:$AG$150,0,MATCH(I$2,Inputs!$D$2:$AG$2,0)),Inputs!$B$4:$B$150,$B43)/1000)</f>
        <v>10</v>
      </c>
      <c r="J43" s="11">
        <f>IF(J$3=0,"",SUMIFS(INDEX(Inputs!$D$4:$AG$150,0,MATCH(J$2,Inputs!$D$2:$AG$2,0)),Inputs!$B$4:$B$150,$B43)/1000)</f>
        <v>10</v>
      </c>
      <c r="K43" s="11">
        <f>IF(K$3=0,"",SUMIFS(INDEX(Inputs!$D$4:$AG$150,0,MATCH(K$2,Inputs!$D$2:$AG$2,0)),Inputs!$B$4:$B$150,$B43)/1000)</f>
        <v>10</v>
      </c>
      <c r="L43" s="11">
        <f>IF(L$3=0,"",SUMIFS(INDEX(Inputs!$D$4:$AG$150,0,MATCH(L$2,Inputs!$D$2:$AG$2,0)),Inputs!$B$4:$B$150,$B43)/1000)</f>
        <v>9</v>
      </c>
      <c r="M43" s="12">
        <f>IF(L43="","",L43)</f>
        <v>9</v>
      </c>
      <c r="N43" s="11">
        <f>IF(N$3=0,"",SUMIFS(INDEX(Inputs!$D$4:$AG$150,0,MATCH(N$2,Inputs!$D$2:$AG$2,0)),Inputs!$B$4:$B$150,$B43)/1000)</f>
        <v>9</v>
      </c>
      <c r="O43" s="11">
        <f>IF(O$3=0,"",SUMIFS(INDEX(Inputs!$D$4:$AG$150,0,MATCH(O$2,Inputs!$D$2:$AG$2,0)),Inputs!$B$4:$B$150,$B43)/1000)</f>
        <v>9</v>
      </c>
      <c r="P43" s="11">
        <f>IF(P$3=0,"",SUMIFS(INDEX(Inputs!$D$4:$AG$150,0,MATCH(P$2,Inputs!$D$2:$AG$2,0)),Inputs!$B$4:$B$150,$B43)/1000)</f>
        <v>9</v>
      </c>
      <c r="Q43" s="11">
        <f>IF(Q$3=0,"",SUMIFS(INDEX(Inputs!$D$4:$AG$150,0,MATCH(Q$2,Inputs!$D$2:$AG$2,0)),Inputs!$B$4:$B$150,$B43)/1000)</f>
        <v>9</v>
      </c>
      <c r="R43" s="12">
        <f>IF(Q43="","",Q43)</f>
        <v>9</v>
      </c>
      <c r="S43" s="11">
        <f>IF(S$3=0,"",SUMIFS(INDEX(Inputs!$D$4:$AG$150,0,MATCH(S$2,Inputs!$D$2:$AG$2,0)),Inputs!$B$4:$B$150,$B43)/1000)</f>
        <v>9</v>
      </c>
      <c r="T43" s="11">
        <f>IF(T$3=0,"",SUMIFS(INDEX(Inputs!$D$4:$AG$150,0,MATCH(T$2,Inputs!$D$2:$AG$2,0)),Inputs!$B$4:$B$150,$B43)/1000)</f>
        <v>382</v>
      </c>
      <c r="U43" s="11">
        <f>IF(U$3=0,"",SUMIFS(INDEX(Inputs!$D$4:$AG$150,0,MATCH(U$2,Inputs!$D$2:$AG$2,0)),Inputs!$B$4:$B$150,$B43)/1000)</f>
        <v>470</v>
      </c>
      <c r="V43" s="11">
        <f>IF(V$3=0,"",SUMIFS(INDEX(Inputs!$D$4:$AG$150,0,MATCH(V$2,Inputs!$D$2:$AG$2,0)),Inputs!$B$4:$B$150,$B43)/1000)</f>
        <v>9</v>
      </c>
      <c r="W43" s="12">
        <f>IF(V43="","",V43)</f>
        <v>9</v>
      </c>
      <c r="X43" s="11">
        <f>IF(X$3=0,"",SUMIFS(INDEX(Inputs!$D$4:$AG$150,0,MATCH(X$2,Inputs!$D$2:$AG$2,0)),Inputs!$B$4:$B$150,$B43)/1000)</f>
        <v>9</v>
      </c>
      <c r="Y43" s="11">
        <f>IF(Y$3=0,"",SUMIFS(INDEX(Inputs!$D$4:$AG$150,0,MATCH(Y$2,Inputs!$D$2:$AG$2,0)),Inputs!$B$4:$B$150,$B43)/1000)</f>
        <v>9</v>
      </c>
      <c r="Z43" s="11">
        <f>IF(Z$3=0,"",SUMIFS(INDEX(Inputs!$D$4:$AG$150,0,MATCH(Z$2,Inputs!$D$2:$AG$2,0)),Inputs!$B$4:$B$150,$B43)/1000)</f>
        <v>403</v>
      </c>
      <c r="AA43" s="11">
        <f>IF(AA$3=0,"",SUMIFS(INDEX(Inputs!$D$4:$AG$150,0,MATCH(AA$2,Inputs!$D$2:$AG$2,0)),Inputs!$B$4:$B$150,$B43)/1000)</f>
        <v>568</v>
      </c>
      <c r="AB43" s="12">
        <f>IF(AA43="","",AA43)</f>
        <v>568</v>
      </c>
      <c r="AC43" s="11">
        <f>IF(AC$3=0,"",SUMIFS(INDEX(Inputs!$D$4:$AG$150,0,MATCH(AC$2,Inputs!$D$2:$AG$2,0)),Inputs!$B$4:$B$150,$B43)/1000)</f>
        <v>565</v>
      </c>
      <c r="AD43" s="11">
        <f>IF(AD$3=0,"",SUMIFS(INDEX(Inputs!$D$4:$AG$150,0,MATCH(AD$2,Inputs!$D$2:$AG$2,0)),Inputs!$B$4:$B$150,$B43)/1000)</f>
        <v>9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0</v>
      </c>
      <c r="E44" s="11">
        <f>IF(E$3=0,"",SUMIFS(INDEX(Inputs!$D$4:$AG$150,0,MATCH(E$2,Inputs!$D$2:$AG$2,0)),Inputs!$B$4:$B$150,$B44)/1000)</f>
        <v>0</v>
      </c>
      <c r="F44" s="11">
        <f>IF(F$3=0,"",SUMIFS(INDEX(Inputs!$D$4:$AG$150,0,MATCH(F$2,Inputs!$D$2:$AG$2,0)),Inputs!$B$4:$B$150,$B44)/1000)</f>
        <v>0</v>
      </c>
      <c r="G44" s="11">
        <f>IF(G$3=0,"",SUMIFS(INDEX(Inputs!$D$4:$AG$150,0,MATCH(G$2,Inputs!$D$2:$AG$2,0)),Inputs!$B$4:$B$150,$B44)/1000)</f>
        <v>0</v>
      </c>
      <c r="H44" s="12">
        <f>IF(G44="","",G44)</f>
        <v>0</v>
      </c>
      <c r="I44" s="11">
        <f>IF(I$3=0,"",SUMIFS(INDEX(Inputs!$D$4:$AG$150,0,MATCH(I$2,Inputs!$D$2:$AG$2,0)),Inputs!$B$4:$B$150,$B44)/1000)</f>
        <v>0</v>
      </c>
      <c r="J44" s="11">
        <f>IF(J$3=0,"",SUMIFS(INDEX(Inputs!$D$4:$AG$150,0,MATCH(J$2,Inputs!$D$2:$AG$2,0)),Inputs!$B$4:$B$150,$B44)/1000)</f>
        <v>0</v>
      </c>
      <c r="K44" s="11">
        <f>IF(K$3=0,"",SUMIFS(INDEX(Inputs!$D$4:$AG$150,0,MATCH(K$2,Inputs!$D$2:$AG$2,0)),Inputs!$B$4:$B$150,$B44)/1000)</f>
        <v>0</v>
      </c>
      <c r="L44" s="11">
        <f>IF(L$3=0,"",SUMIFS(INDEX(Inputs!$D$4:$AG$150,0,MATCH(L$2,Inputs!$D$2:$AG$2,0)),Inputs!$B$4:$B$150,$B44)/1000)</f>
        <v>0</v>
      </c>
      <c r="M44" s="12">
        <f>IF(L44="","",L44)</f>
        <v>0</v>
      </c>
      <c r="N44" s="11">
        <f>IF(N$3=0,"",SUMIFS(INDEX(Inputs!$D$4:$AG$150,0,MATCH(N$2,Inputs!$D$2:$AG$2,0)),Inputs!$B$4:$B$150,$B44)/1000)</f>
        <v>0</v>
      </c>
      <c r="O44" s="11">
        <f>IF(O$3=0,"",SUMIFS(INDEX(Inputs!$D$4:$AG$150,0,MATCH(O$2,Inputs!$D$2:$AG$2,0)),Inputs!$B$4:$B$150,$B44)/1000)</f>
        <v>0</v>
      </c>
      <c r="P44" s="11">
        <f>IF(P$3=0,"",SUMIFS(INDEX(Inputs!$D$4:$AG$150,0,MATCH(P$2,Inputs!$D$2:$AG$2,0)),Inputs!$B$4:$B$150,$B44)/1000)</f>
        <v>0</v>
      </c>
      <c r="Q44" s="11">
        <f>IF(Q$3=0,"",SUMIFS(INDEX(Inputs!$D$4:$AG$150,0,MATCH(Q$2,Inputs!$D$2:$AG$2,0)),Inputs!$B$4:$B$150,$B44)/1000)</f>
        <v>0</v>
      </c>
      <c r="R44" s="12">
        <f>IF(Q44="","",Q44)</f>
        <v>0</v>
      </c>
      <c r="S44" s="11">
        <f>IF(S$3=0,"",SUMIFS(INDEX(Inputs!$D$4:$AG$150,0,MATCH(S$2,Inputs!$D$2:$AG$2,0)),Inputs!$B$4:$B$150,$B44)/1000)</f>
        <v>0</v>
      </c>
      <c r="T44" s="11">
        <f>IF(T$3=0,"",SUMIFS(INDEX(Inputs!$D$4:$AG$150,0,MATCH(T$2,Inputs!$D$2:$AG$2,0)),Inputs!$B$4:$B$150,$B44)/1000)</f>
        <v>0</v>
      </c>
      <c r="U44" s="11">
        <f>IF(U$3=0,"",SUMIFS(INDEX(Inputs!$D$4:$AG$150,0,MATCH(U$2,Inputs!$D$2:$AG$2,0)),Inputs!$B$4:$B$150,$B44)/1000)</f>
        <v>0</v>
      </c>
      <c r="V44" s="11">
        <f>IF(V$3=0,"",SUMIFS(INDEX(Inputs!$D$4:$AG$150,0,MATCH(V$2,Inputs!$D$2:$AG$2,0)),Inputs!$B$4:$B$150,$B44)/1000)</f>
        <v>0</v>
      </c>
      <c r="W44" s="12">
        <f>IF(V44="","",V44)</f>
        <v>0</v>
      </c>
      <c r="X44" s="11">
        <f>IF(X$3=0,"",SUMIFS(INDEX(Inputs!$D$4:$AG$150,0,MATCH(X$2,Inputs!$D$2:$AG$2,0)),Inputs!$B$4:$B$150,$B44)/1000)</f>
        <v>0</v>
      </c>
      <c r="Y44" s="11">
        <f>IF(Y$3=0,"",SUMIFS(INDEX(Inputs!$D$4:$AG$150,0,MATCH(Y$2,Inputs!$D$2:$AG$2,0)),Inputs!$B$4:$B$150,$B44)/1000)</f>
        <v>0</v>
      </c>
      <c r="Z44" s="11">
        <f>IF(Z$3=0,"",SUMIFS(INDEX(Inputs!$D$4:$AG$150,0,MATCH(Z$2,Inputs!$D$2:$AG$2,0)),Inputs!$B$4:$B$150,$B44)/1000)</f>
        <v>0</v>
      </c>
      <c r="AA44" s="11">
        <f>IF(AA$3=0,"",SUMIFS(INDEX(Inputs!$D$4:$AG$150,0,MATCH(AA$2,Inputs!$D$2:$AG$2,0)),Inputs!$B$4:$B$150,$B44)/1000)</f>
        <v>0</v>
      </c>
      <c r="AB44" s="12">
        <f>IF(AA44="","",AA44)</f>
        <v>0</v>
      </c>
      <c r="AC44" s="11">
        <f>IF(AC$3=0,"",SUMIFS(INDEX(Inputs!$D$4:$AG$150,0,MATCH(AC$2,Inputs!$D$2:$AG$2,0)),Inputs!$B$4:$B$150,$B44)/1000)</f>
        <v>0</v>
      </c>
      <c r="AD44" s="11">
        <f>IF(AD$3=0,"",SUMIFS(INDEX(Inputs!$D$4:$AG$150,0,MATCH(AD$2,Inputs!$D$2:$AG$2,0)),Inputs!$B$4:$B$150,$B44)/1000)</f>
        <v>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-4826</v>
      </c>
      <c r="E45" s="11">
        <f>IF(E$3=0,"",SUMIFS(INDEX(Inputs!$D$4:$AG$150,0,MATCH(E$2,Inputs!$D$2:$AG$2,0)),Inputs!$B$4:$B$150,$B45)/1000)</f>
        <v>-4086</v>
      </c>
      <c r="F45" s="11">
        <f>IF(F$3=0,"",SUMIFS(INDEX(Inputs!$D$4:$AG$150,0,MATCH(F$2,Inputs!$D$2:$AG$2,0)),Inputs!$B$4:$B$150,$B45)/1000)</f>
        <v>-4856</v>
      </c>
      <c r="G45" s="11">
        <f>IF(G$3=0,"",SUMIFS(INDEX(Inputs!$D$4:$AG$150,0,MATCH(G$2,Inputs!$D$2:$AG$2,0)),Inputs!$B$4:$B$150,$B45)/1000)</f>
        <v>-5384</v>
      </c>
      <c r="H45" s="12">
        <f>IF(G45="","",G45)</f>
        <v>-5384</v>
      </c>
      <c r="I45" s="11">
        <f>IF(I$3=0,"",SUMIFS(INDEX(Inputs!$D$4:$AG$150,0,MATCH(I$2,Inputs!$D$2:$AG$2,0)),Inputs!$B$4:$B$150,$B45)/1000)</f>
        <v>-6026</v>
      </c>
      <c r="J45" s="11">
        <f>IF(J$3=0,"",SUMIFS(INDEX(Inputs!$D$4:$AG$150,0,MATCH(J$2,Inputs!$D$2:$AG$2,0)),Inputs!$B$4:$B$150,$B45)/1000)</f>
        <v>-7730</v>
      </c>
      <c r="K45" s="11">
        <f>IF(K$3=0,"",SUMIFS(INDEX(Inputs!$D$4:$AG$150,0,MATCH(K$2,Inputs!$D$2:$AG$2,0)),Inputs!$B$4:$B$150,$B45)/1000)</f>
        <v>-9086</v>
      </c>
      <c r="L45" s="11">
        <f>IF(L$3=0,"",SUMIFS(INDEX(Inputs!$D$4:$AG$150,0,MATCH(L$2,Inputs!$D$2:$AG$2,0)),Inputs!$B$4:$B$150,$B45)/1000)</f>
        <v>-8393</v>
      </c>
      <c r="M45" s="12">
        <f>IF(L45="","",L45)</f>
        <v>-8393</v>
      </c>
      <c r="N45" s="11">
        <f>IF(N$3=0,"",SUMIFS(INDEX(Inputs!$D$4:$AG$150,0,MATCH(N$2,Inputs!$D$2:$AG$2,0)),Inputs!$B$4:$B$150,$B45)/1000)</f>
        <v>-7549</v>
      </c>
      <c r="O45" s="11">
        <f>IF(O$3=0,"",SUMIFS(INDEX(Inputs!$D$4:$AG$150,0,MATCH(O$2,Inputs!$D$2:$AG$2,0)),Inputs!$B$4:$B$150,$B45)/1000)</f>
        <v>-7650</v>
      </c>
      <c r="P45" s="11">
        <f>IF(P$3=0,"",SUMIFS(INDEX(Inputs!$D$4:$AG$150,0,MATCH(P$2,Inputs!$D$2:$AG$2,0)),Inputs!$B$4:$B$150,$B45)/1000)</f>
        <v>-8688</v>
      </c>
      <c r="Q45" s="11">
        <f>IF(Q$3=0,"",SUMIFS(INDEX(Inputs!$D$4:$AG$150,0,MATCH(Q$2,Inputs!$D$2:$AG$2,0)),Inputs!$B$4:$B$150,$B45)/1000)</f>
        <v>-7027</v>
      </c>
      <c r="R45" s="12">
        <f>IF(Q45="","",Q45)</f>
        <v>-7027</v>
      </c>
      <c r="S45" s="11">
        <f>IF(S$3=0,"",SUMIFS(INDEX(Inputs!$D$4:$AG$150,0,MATCH(S$2,Inputs!$D$2:$AG$2,0)),Inputs!$B$4:$B$150,$B45)/1000)</f>
        <v>-3439</v>
      </c>
      <c r="T45" s="11">
        <f>IF(T$3=0,"",SUMIFS(INDEX(Inputs!$D$4:$AG$150,0,MATCH(T$2,Inputs!$D$2:$AG$2,0)),Inputs!$B$4:$B$150,$B45)/1000)</f>
        <v>-3423</v>
      </c>
      <c r="U45" s="11">
        <f>IF(U$3=0,"",SUMIFS(INDEX(Inputs!$D$4:$AG$150,0,MATCH(U$2,Inputs!$D$2:$AG$2,0)),Inputs!$B$4:$B$150,$B45)/1000)</f>
        <v>-2453</v>
      </c>
      <c r="V45" s="11">
        <f>IF(V$3=0,"",SUMIFS(INDEX(Inputs!$D$4:$AG$150,0,MATCH(V$2,Inputs!$D$2:$AG$2,0)),Inputs!$B$4:$B$150,$B45)/1000)</f>
        <v>-3387</v>
      </c>
      <c r="W45" s="12">
        <f>IF(V45="","",V45)</f>
        <v>-3387</v>
      </c>
      <c r="X45" s="11">
        <f>IF(X$3=0,"",SUMIFS(INDEX(Inputs!$D$4:$AG$150,0,MATCH(X$2,Inputs!$D$2:$AG$2,0)),Inputs!$B$4:$B$150,$B45)/1000)</f>
        <v>-2905</v>
      </c>
      <c r="Y45" s="11">
        <f>IF(Y$3=0,"",SUMIFS(INDEX(Inputs!$D$4:$AG$150,0,MATCH(Y$2,Inputs!$D$2:$AG$2,0)),Inputs!$B$4:$B$150,$B45)/1000)</f>
        <v>-2535</v>
      </c>
      <c r="Z45" s="11">
        <f>IF(Z$3=0,"",SUMIFS(INDEX(Inputs!$D$4:$AG$150,0,MATCH(Z$2,Inputs!$D$2:$AG$2,0)),Inputs!$B$4:$B$150,$B45)/1000)</f>
        <v>-2211</v>
      </c>
      <c r="AA45" s="11">
        <f>IF(AA$3=0,"",SUMIFS(INDEX(Inputs!$D$4:$AG$150,0,MATCH(AA$2,Inputs!$D$2:$AG$2,0)),Inputs!$B$4:$B$150,$B45)/1000)</f>
        <v>-2061</v>
      </c>
      <c r="AB45" s="12">
        <f>IF(AA45="","",AA45)</f>
        <v>-2061</v>
      </c>
      <c r="AC45" s="11">
        <f>IF(AC$3=0,"",SUMIFS(INDEX(Inputs!$D$4:$AG$150,0,MATCH(AC$2,Inputs!$D$2:$AG$2,0)),Inputs!$B$4:$B$150,$B45)/1000)</f>
        <v>-2562</v>
      </c>
      <c r="AD45" s="11">
        <f>IF(AD$3=0,"",SUMIFS(INDEX(Inputs!$D$4:$AG$150,0,MATCH(AD$2,Inputs!$D$2:$AG$2,0)),Inputs!$B$4:$B$150,$B45)/1000)</f>
        <v>-2519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0</v>
      </c>
      <c r="E46" s="11">
        <f>IF(E$3=0,"",SUMIFS(INDEX(Inputs!$D$4:$AG$150,0,MATCH(E$2,Inputs!$D$2:$AG$2,0)),Inputs!$B$4:$B$150,$B46)/1000)</f>
        <v>0</v>
      </c>
      <c r="F46" s="11">
        <f>IF(F$3=0,"",SUMIFS(INDEX(Inputs!$D$4:$AG$150,0,MATCH(F$2,Inputs!$D$2:$AG$2,0)),Inputs!$B$4:$B$150,$B46)/1000)</f>
        <v>0</v>
      </c>
      <c r="G46" s="11">
        <f>IF(G$3=0,"",SUMIFS(INDEX(Inputs!$D$4:$AG$150,0,MATCH(G$2,Inputs!$D$2:$AG$2,0)),Inputs!$B$4:$B$150,$B46)/1000)</f>
        <v>0</v>
      </c>
      <c r="H46" s="12">
        <f>IF(G46="","",G46)</f>
        <v>0</v>
      </c>
      <c r="I46" s="11">
        <f>IF(I$3=0,"",SUMIFS(INDEX(Inputs!$D$4:$AG$150,0,MATCH(I$2,Inputs!$D$2:$AG$2,0)),Inputs!$B$4:$B$150,$B46)/1000)</f>
        <v>0</v>
      </c>
      <c r="J46" s="11">
        <f>IF(J$3=0,"",SUMIFS(INDEX(Inputs!$D$4:$AG$150,0,MATCH(J$2,Inputs!$D$2:$AG$2,0)),Inputs!$B$4:$B$150,$B46)/1000)</f>
        <v>0</v>
      </c>
      <c r="K46" s="11">
        <f>IF(K$3=0,"",SUMIFS(INDEX(Inputs!$D$4:$AG$150,0,MATCH(K$2,Inputs!$D$2:$AG$2,0)),Inputs!$B$4:$B$150,$B46)/1000)</f>
        <v>0</v>
      </c>
      <c r="L46" s="11">
        <f>IF(L$3=0,"",SUMIFS(INDEX(Inputs!$D$4:$AG$150,0,MATCH(L$2,Inputs!$D$2:$AG$2,0)),Inputs!$B$4:$B$150,$B46)/1000)</f>
        <v>0</v>
      </c>
      <c r="M46" s="12">
        <f>IF(L46="","",L46)</f>
        <v>0</v>
      </c>
      <c r="N46" s="11">
        <f>IF(N$3=0,"",SUMIFS(INDEX(Inputs!$D$4:$AG$150,0,MATCH(N$2,Inputs!$D$2:$AG$2,0)),Inputs!$B$4:$B$150,$B46)/1000)</f>
        <v>0</v>
      </c>
      <c r="O46" s="11">
        <f>IF(O$3=0,"",SUMIFS(INDEX(Inputs!$D$4:$AG$150,0,MATCH(O$2,Inputs!$D$2:$AG$2,0)),Inputs!$B$4:$B$150,$B46)/1000)</f>
        <v>0</v>
      </c>
      <c r="P46" s="11">
        <f>IF(P$3=0,"",SUMIFS(INDEX(Inputs!$D$4:$AG$150,0,MATCH(P$2,Inputs!$D$2:$AG$2,0)),Inputs!$B$4:$B$150,$B46)/1000)</f>
        <v>0</v>
      </c>
      <c r="Q46" s="11">
        <f>IF(Q$3=0,"",SUMIFS(INDEX(Inputs!$D$4:$AG$150,0,MATCH(Q$2,Inputs!$D$2:$AG$2,0)),Inputs!$B$4:$B$150,$B46)/1000)</f>
        <v>0</v>
      </c>
      <c r="R46" s="12">
        <f>IF(Q46="","",Q46)</f>
        <v>0</v>
      </c>
      <c r="S46" s="11">
        <f>IF(S$3=0,"",SUMIFS(INDEX(Inputs!$D$4:$AG$150,0,MATCH(S$2,Inputs!$D$2:$AG$2,0)),Inputs!$B$4:$B$150,$B46)/1000)</f>
        <v>0</v>
      </c>
      <c r="T46" s="11">
        <f>IF(T$3=0,"",SUMIFS(INDEX(Inputs!$D$4:$AG$150,0,MATCH(T$2,Inputs!$D$2:$AG$2,0)),Inputs!$B$4:$B$150,$B46)/1000)</f>
        <v>0</v>
      </c>
      <c r="U46" s="11">
        <f>IF(U$3=0,"",SUMIFS(INDEX(Inputs!$D$4:$AG$150,0,MATCH(U$2,Inputs!$D$2:$AG$2,0)),Inputs!$B$4:$B$150,$B46)/1000)</f>
        <v>0</v>
      </c>
      <c r="V46" s="11">
        <f>IF(V$3=0,"",SUMIFS(INDEX(Inputs!$D$4:$AG$150,0,MATCH(V$2,Inputs!$D$2:$AG$2,0)),Inputs!$B$4:$B$150,$B46)/1000)</f>
        <v>0</v>
      </c>
      <c r="W46" s="12">
        <f>IF(V46="","",V46)</f>
        <v>0</v>
      </c>
      <c r="X46" s="11">
        <f>IF(X$3=0,"",SUMIFS(INDEX(Inputs!$D$4:$AG$150,0,MATCH(X$2,Inputs!$D$2:$AG$2,0)),Inputs!$B$4:$B$150,$B46)/1000)</f>
        <v>0</v>
      </c>
      <c r="Y46" s="11">
        <f>IF(Y$3=0,"",SUMIFS(INDEX(Inputs!$D$4:$AG$150,0,MATCH(Y$2,Inputs!$D$2:$AG$2,0)),Inputs!$B$4:$B$150,$B46)/1000)</f>
        <v>0</v>
      </c>
      <c r="Z46" s="11">
        <f>IF(Z$3=0,"",SUMIFS(INDEX(Inputs!$D$4:$AG$150,0,MATCH(Z$2,Inputs!$D$2:$AG$2,0)),Inputs!$B$4:$B$150,$B46)/1000)</f>
        <v>0</v>
      </c>
      <c r="AA46" s="11">
        <f>IF(AA$3=0,"",SUMIFS(INDEX(Inputs!$D$4:$AG$150,0,MATCH(AA$2,Inputs!$D$2:$AG$2,0)),Inputs!$B$4:$B$150,$B46)/1000)</f>
        <v>0</v>
      </c>
      <c r="AB46" s="12">
        <f>IF(AA46="","",AA46)</f>
        <v>0</v>
      </c>
      <c r="AC46" s="11">
        <f>IF(AC$3=0,"",SUMIFS(INDEX(Inputs!$D$4:$AG$150,0,MATCH(AC$2,Inputs!$D$2:$AG$2,0)),Inputs!$B$4:$B$150,$B46)/1000)</f>
        <v>0</v>
      </c>
      <c r="AD46" s="11">
        <f>IF(AD$3=0,"",SUMIFS(INDEX(Inputs!$D$4:$AG$150,0,MATCH(AD$2,Inputs!$D$2:$AG$2,0)),Inputs!$B$4:$B$150,$B46)/1000)</f>
        <v>0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71220</v>
      </c>
      <c r="E47" s="11">
        <f>IF(E$3=0,"",SUMIFS(INDEX(Inputs!$D$4:$AG$150,0,MATCH(E$2,Inputs!$D$2:$AG$2,0)),Inputs!$B$4:$B$150,$B47)/1000)</f>
        <v>73090</v>
      </c>
      <c r="F47" s="11">
        <f>IF(F$3=0,"",SUMIFS(INDEX(Inputs!$D$4:$AG$150,0,MATCH(F$2,Inputs!$D$2:$AG$2,0)),Inputs!$B$4:$B$150,$B47)/1000)</f>
        <v>75124</v>
      </c>
      <c r="G47" s="11">
        <f>IF(G$3=0,"",SUMIFS(INDEX(Inputs!$D$4:$AG$150,0,MATCH(G$2,Inputs!$D$2:$AG$2,0)),Inputs!$B$4:$B$150,$B47)/1000)</f>
        <v>77134</v>
      </c>
      <c r="H47" s="12">
        <f>IF(G47="","",G47)</f>
        <v>77134</v>
      </c>
      <c r="I47" s="11">
        <f>IF(I$3=0,"",SUMIFS(INDEX(Inputs!$D$4:$AG$150,0,MATCH(I$2,Inputs!$D$2:$AG$2,0)),Inputs!$B$4:$B$150,$B47)/1000)</f>
        <v>78782</v>
      </c>
      <c r="J47" s="11">
        <f>IF(J$3=0,"",SUMIFS(INDEX(Inputs!$D$4:$AG$150,0,MATCH(J$2,Inputs!$D$2:$AG$2,0)),Inputs!$B$4:$B$150,$B47)/1000)</f>
        <v>80540</v>
      </c>
      <c r="K47" s="11">
        <f>IF(K$3=0,"",SUMIFS(INDEX(Inputs!$D$4:$AG$150,0,MATCH(K$2,Inputs!$D$2:$AG$2,0)),Inputs!$B$4:$B$150,$B47)/1000)</f>
        <v>83722</v>
      </c>
      <c r="L47" s="11">
        <f>IF(L$3=0,"",SUMIFS(INDEX(Inputs!$D$4:$AG$150,0,MATCH(L$2,Inputs!$D$2:$AG$2,0)),Inputs!$B$4:$B$150,$B47)/1000)</f>
        <v>86156</v>
      </c>
      <c r="M47" s="12">
        <f>IF(L47="","",L47)</f>
        <v>86156</v>
      </c>
      <c r="N47" s="11">
        <f>IF(N$3=0,"",SUMIFS(INDEX(Inputs!$D$4:$AG$150,0,MATCH(N$2,Inputs!$D$2:$AG$2,0)),Inputs!$B$4:$B$150,$B47)/1000)</f>
        <v>88852</v>
      </c>
      <c r="O47" s="11">
        <f>IF(O$3=0,"",SUMIFS(INDEX(Inputs!$D$4:$AG$150,0,MATCH(O$2,Inputs!$D$2:$AG$2,0)),Inputs!$B$4:$B$150,$B47)/1000)</f>
        <v>89994</v>
      </c>
      <c r="P47" s="11">
        <f>IF(P$3=0,"",SUMIFS(INDEX(Inputs!$D$4:$AG$150,0,MATCH(P$2,Inputs!$D$2:$AG$2,0)),Inputs!$B$4:$B$150,$B47)/1000)</f>
        <v>93173</v>
      </c>
      <c r="Q47" s="11">
        <f>IF(Q$3=0,"",SUMIFS(INDEX(Inputs!$D$4:$AG$150,0,MATCH(Q$2,Inputs!$D$2:$AG$2,0)),Inputs!$B$4:$B$150,$B47)/1000)</f>
        <v>95774</v>
      </c>
      <c r="R47" s="12">
        <f>IF(Q47="","",Q47)</f>
        <v>95774</v>
      </c>
      <c r="S47" s="11">
        <f>IF(S$3=0,"",SUMIFS(INDEX(Inputs!$D$4:$AG$150,0,MATCH(S$2,Inputs!$D$2:$AG$2,0)),Inputs!$B$4:$B$150,$B47)/1000)</f>
        <v>90118</v>
      </c>
      <c r="T47" s="11">
        <f>IF(T$3=0,"",SUMIFS(INDEX(Inputs!$D$4:$AG$150,0,MATCH(T$2,Inputs!$D$2:$AG$2,0)),Inputs!$B$4:$B$150,$B47)/1000)</f>
        <v>92400</v>
      </c>
      <c r="U47" s="11">
        <f>IF(U$3=0,"",SUMIFS(INDEX(Inputs!$D$4:$AG$150,0,MATCH(U$2,Inputs!$D$2:$AG$2,0)),Inputs!$B$4:$B$150,$B47)/1000)</f>
        <v>96518</v>
      </c>
      <c r="V47" s="11">
        <f>IF(V$3=0,"",SUMIFS(INDEX(Inputs!$D$4:$AG$150,0,MATCH(V$2,Inputs!$D$2:$AG$2,0)),Inputs!$B$4:$B$150,$B47)/1000)</f>
        <v>96036</v>
      </c>
      <c r="W47" s="12">
        <f>IF(V47="","",V47)</f>
        <v>96036</v>
      </c>
      <c r="X47" s="11">
        <f>IF(X$3=0,"",SUMIFS(INDEX(Inputs!$D$4:$AG$150,0,MATCH(X$2,Inputs!$D$2:$AG$2,0)),Inputs!$B$4:$B$150,$B47)/1000)</f>
        <v>97934</v>
      </c>
      <c r="Y47" s="11">
        <f>IF(Y$3=0,"",SUMIFS(INDEX(Inputs!$D$4:$AG$150,0,MATCH(Y$2,Inputs!$D$2:$AG$2,0)),Inputs!$B$4:$B$150,$B47)/1000)</f>
        <v>97250</v>
      </c>
      <c r="Z47" s="11">
        <f>IF(Z$3=0,"",SUMIFS(INDEX(Inputs!$D$4:$AG$150,0,MATCH(Z$2,Inputs!$D$2:$AG$2,0)),Inputs!$B$4:$B$150,$B47)/1000)</f>
        <v>97595</v>
      </c>
      <c r="AA47" s="11">
        <f>IF(AA$3=0,"",SUMIFS(INDEX(Inputs!$D$4:$AG$150,0,MATCH(AA$2,Inputs!$D$2:$AG$2,0)),Inputs!$B$4:$B$150,$B47)/1000)</f>
        <v>95603</v>
      </c>
      <c r="AB47" s="12">
        <f>IF(AA47="","",AA47)</f>
        <v>95603</v>
      </c>
      <c r="AC47" s="11">
        <f>IF(AC$3=0,"",SUMIFS(INDEX(Inputs!$D$4:$AG$150,0,MATCH(AC$2,Inputs!$D$2:$AG$2,0)),Inputs!$B$4:$B$150,$B47)/1000)</f>
        <v>99878</v>
      </c>
      <c r="AD47" s="11">
        <f>IF(AD$3=0,"",SUMIFS(INDEX(Inputs!$D$4:$AG$150,0,MATCH(AD$2,Inputs!$D$2:$AG$2,0)),Inputs!$B$4:$B$150,$B47)/1000)</f>
        <v>100957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4862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4266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4086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4071</v>
      </c>
      <c r="H50" s="12">
        <f>IF(COUNT(D50:G50)=4,SUM(D50:G50),"")</f>
        <v>17285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5027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5070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5262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4761</v>
      </c>
      <c r="M50" s="12">
        <f>IF(COUNT(I50:L50)=4,SUM(I50:L50),"")</f>
        <v>20120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5611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5474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5841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5455</v>
      </c>
      <c r="R50" s="12">
        <f>IF(COUNT(N50:Q50)=4,SUM(N50:Q50),"")</f>
        <v>22381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-1409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4216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6055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5543</v>
      </c>
      <c r="W50" s="12">
        <f>IF(COUNT(S50:V50)=4,SUM(S50:V50),"")</f>
        <v>14405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6292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3406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2348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10</v>
      </c>
      <c r="AB50" s="12">
        <f>IF(COUNT(X50:AA50)=4,SUM(X50:AA50),"")</f>
        <v>12056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6280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5484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UnitedHealthcare - receita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55114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55474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55927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56384</v>
      </c>
      <c r="H53" s="12">
        <f>IF(COUNT(D53:G53)=4,SUM(D53:G53),"")</f>
        <v>222899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62595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62105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61995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63046</v>
      </c>
      <c r="M53" s="12">
        <f>IF(COUNT(I53:L53)=4,SUM(I53:L53),"")</f>
        <v>249741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70468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70231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69853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70808</v>
      </c>
      <c r="R53" s="12">
        <f>IF(COUNT(N53:Q53)=4,SUM(N53:Q53),"")</f>
        <v>281360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75357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73866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74853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74132</v>
      </c>
      <c r="W53" s="12">
        <f>IF(COUNT(S53:V53)=4,SUM(S53:V53),"")</f>
        <v>298208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84617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86103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87070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87113</v>
      </c>
      <c r="AB53" s="12">
        <f>IF(COUNT(X53:AA53)=4,SUM(X53:AA53),"")</f>
        <v>344903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86265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86017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UnitedHealthcare - lucro do segmento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4108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3095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2651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2121</v>
      </c>
      <c r="H54" s="12">
        <f>IF(COUNT(D54:G54)=4,SUM(D54:G54),"")</f>
        <v>11975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3798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3850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3799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2932</v>
      </c>
      <c r="M54" s="12">
        <f>IF(COUNT(I54:L54)=4,SUM(I54:L54),"")</f>
        <v>14379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4343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4358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4592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3122</v>
      </c>
      <c r="R54" s="12">
        <f>IF(COUNT(N54:Q54)=4,SUM(N54:Q54),"")</f>
        <v>16415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4395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4004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4212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2973</v>
      </c>
      <c r="W54" s="12">
        <f>IF(COUNT(S54:V54)=4,SUM(S54:V54),"")</f>
        <v>15584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5226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2075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1805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319</v>
      </c>
      <c r="AB54" s="12">
        <f>IF(COUNT(X54:AA54)=4,SUM(X54:AA54),"")</f>
        <v>9425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5694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3942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Optum Health - receita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12403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13300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13812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14550</v>
      </c>
      <c r="H55" s="12">
        <f>IF(COUNT(D55:G55)=4,SUM(D55:G55),"")</f>
        <v>54065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16682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17583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18463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18446</v>
      </c>
      <c r="M55" s="12">
        <f>IF(COUNT(I55:L55)=4,SUM(I55:L55),"")</f>
        <v>71174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23004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23917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23864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24534</v>
      </c>
      <c r="R55" s="12">
        <f>IF(COUNT(N55:Q55)=4,SUM(N55:Q55),"")</f>
        <v>95319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26731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27050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25917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25660</v>
      </c>
      <c r="W55" s="12">
        <f>IF(COUNT(S55:V55)=4,SUM(S55:V55),"")</f>
        <v>105358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24837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24725</v>
      </c>
      <c r="Z55" s="11">
        <f>IF(SUMPRODUCT((Inputs!$B$4:$B$150=$B55)*ISNUMBER(INDEX(Inputs!$D$4:$AG$150,0,MATCH(Z$2,Inputs!$D$2:$AG$2,0))))=0,"",SUMIFS(INDEX(Inputs!$D$4:$AG$150,0,MATCH(Z$2,Inputs!$D$2:$AG$2,0)),Inputs!$B$4:$B$150,$B55)/1000)</f>
        <v>25900</v>
      </c>
      <c r="AA55" s="11">
        <f>IF(SUMPRODUCT((Inputs!$B$4:$B$150=$B55)*ISNUMBER(INDEX(Inputs!$D$4:$AG$150,0,MATCH(AA$2,Inputs!$D$2:$AG$2,0))))=0,"",SUMIFS(INDEX(Inputs!$D$4:$AG$150,0,MATCH(AA$2,Inputs!$D$2:$AG$2,0)),Inputs!$B$4:$B$150,$B55)/1000)</f>
        <v>25543</v>
      </c>
      <c r="AB55" s="12">
        <f>IF(COUNT(X55:AA55)=4,SUM(X55:AA55),"")</f>
        <v>101005</v>
      </c>
      <c r="AC55" s="11">
        <f>IF(SUMPRODUCT((Inputs!$B$4:$B$150=$B55)*ISNUMBER(INDEX(Inputs!$D$4:$AG$150,0,MATCH(AC$2,Inputs!$D$2:$AG$2,0))))=0,"",SUMIFS(INDEX(Inputs!$D$4:$AG$150,0,MATCH(AC$2,Inputs!$D$2:$AG$2,0)),Inputs!$B$4:$B$150,$B55)/1000)</f>
        <v>24109</v>
      </c>
      <c r="AD55" s="11">
        <f>IF(SUMPRODUCT((Inputs!$B$4:$B$150=$B55)*ISNUMBER(INDEX(Inputs!$D$4:$AG$150,0,MATCH(AD$2,Inputs!$D$2:$AG$2,0))))=0,"",SUMIFS(INDEX(Inputs!$D$4:$AG$150,0,MATCH(AD$2,Inputs!$D$2:$AG$2,0)),Inputs!$B$4:$B$150,$B55)/1000)</f>
        <v>23472</v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Optum Health - lucro do segmento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962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1128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1143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1229</v>
      </c>
      <c r="H56" s="12">
        <f>IF(COUNT(D56:G56)=4,SUM(D56:G56),"")</f>
        <v>4462</v>
      </c>
      <c r="I56" s="11">
        <f>IF(SUMPRODUCT((Inputs!$B$4:$B$150=$B56)*ISNUMBER(INDEX(Inputs!$D$4:$AG$150,0,MATCH(I$2,Inputs!$D$2:$AG$2,0))))=0,"",SUMIFS(INDEX(Inputs!$D$4:$AG$150,0,MATCH(I$2,Inputs!$D$2:$AG$2,0)),Inputs!$B$4:$B$150,$B56)/1000)</f>
        <v>1366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1399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1575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1692</v>
      </c>
      <c r="M56" s="12">
        <f>IF(COUNT(I56:L56)=4,SUM(I56:L56),"")</f>
        <v>6032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1776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1525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1568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1691</v>
      </c>
      <c r="R56" s="12">
        <f>IF(COUNT(N56:Q56)=4,SUM(N56:Q56),"")</f>
        <v>6560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1899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1919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2161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1791</v>
      </c>
      <c r="W56" s="12">
        <f>IF(COUNT(S56:V56)=4,SUM(S56:V56),"")</f>
        <v>7770</v>
      </c>
      <c r="X56" s="11">
        <f>IF(SUMPRODUCT((Inputs!$B$4:$B$150=$B56)*ISNUMBER(INDEX(Inputs!$D$4:$AG$150,0,MATCH(X$2,Inputs!$D$2:$AG$2,0))))=0,"",SUMIFS(INDEX(Inputs!$D$4:$AG$150,0,MATCH(X$2,Inputs!$D$2:$AG$2,0)),Inputs!$B$4:$B$150,$B56)/1000)</f>
        <v>1411</v>
      </c>
      <c r="Y56" s="11">
        <f>IF(SUMPRODUCT((Inputs!$B$4:$B$150=$B56)*ISNUMBER(INDEX(Inputs!$D$4:$AG$150,0,MATCH(Y$2,Inputs!$D$2:$AG$2,0))))=0,"",SUMIFS(INDEX(Inputs!$D$4:$AG$150,0,MATCH(Y$2,Inputs!$D$2:$AG$2,0)),Inputs!$B$4:$B$150,$B56)/1000)</f>
        <v>429</v>
      </c>
      <c r="Z56" s="11">
        <f>IF(SUMPRODUCT((Inputs!$B$4:$B$150=$B56)*ISNUMBER(INDEX(Inputs!$D$4:$AG$150,0,MATCH(Z$2,Inputs!$D$2:$AG$2,0))))=0,"",SUMIFS(INDEX(Inputs!$D$4:$AG$150,0,MATCH(Z$2,Inputs!$D$2:$AG$2,0)),Inputs!$B$4:$B$150,$B56)/1000)</f>
        <v>255</v>
      </c>
      <c r="AA56" s="11">
        <f>IF(SUMPRODUCT((Inputs!$B$4:$B$150=$B56)*ISNUMBER(INDEX(Inputs!$D$4:$AG$150,0,MATCH(AA$2,Inputs!$D$2:$AG$2,0))))=0,"",SUMIFS(INDEX(Inputs!$D$4:$AG$150,0,MATCH(AA$2,Inputs!$D$2:$AG$2,0)),Inputs!$B$4:$B$150,$B56)/1000)</f>
        <v>-2783</v>
      </c>
      <c r="AB56" s="12">
        <f>IF(COUNT(X56:AA56)=4,SUM(X56:AA56),"")</f>
        <v>-688</v>
      </c>
      <c r="AC56" s="11">
        <f>IF(SUMPRODUCT((Inputs!$B$4:$B$150=$B56)*ISNUMBER(INDEX(Inputs!$D$4:$AG$150,0,MATCH(AC$2,Inputs!$D$2:$AG$2,0))))=0,"",SUMIFS(INDEX(Inputs!$D$4:$AG$150,0,MATCH(AC$2,Inputs!$D$2:$AG$2,0)),Inputs!$B$4:$B$150,$B56)/1000)</f>
        <v>1141</v>
      </c>
      <c r="AD56" s="11">
        <f>IF(SUMPRODUCT((Inputs!$B$4:$B$150=$B56)*ISNUMBER(INDEX(Inputs!$D$4:$AG$150,0,MATCH(AD$2,Inputs!$D$2:$AG$2,0))))=0,"",SUMIFS(INDEX(Inputs!$D$4:$AG$150,0,MATCH(AD$2,Inputs!$D$2:$AG$2,0)),Inputs!$B$4:$B$150,$B56)/1000)</f>
        <v>1190</v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Optum Insight - receita (USD)</t>
        </is>
      </c>
      <c r="D57" s="11">
        <f>IF(SUMPRODUCT((Inputs!$B$4:$B$150=$B57)*ISNUMBER(INDEX(Inputs!$D$4:$AG$150,0,MATCH(D$2,Inputs!$D$2:$AG$2,0))))=0,"",SUMIFS(INDEX(Inputs!$D$4:$AG$150,0,MATCH(D$2,Inputs!$D$2:$AG$2,0)),Inputs!$B$4:$B$150,$B57)/1000)</f>
        <v>2852</v>
      </c>
      <c r="E57" s="11">
        <f>IF(SUMPRODUCT((Inputs!$B$4:$B$150=$B57)*ISNUMBER(INDEX(Inputs!$D$4:$AG$150,0,MATCH(E$2,Inputs!$D$2:$AG$2,0))))=0,"",SUMIFS(INDEX(Inputs!$D$4:$AG$150,0,MATCH(E$2,Inputs!$D$2:$AG$2,0)),Inputs!$B$4:$B$150,$B57)/1000)</f>
        <v>2957</v>
      </c>
      <c r="F57" s="11">
        <f>IF(SUMPRODUCT((Inputs!$B$4:$B$150=$B57)*ISNUMBER(INDEX(Inputs!$D$4:$AG$150,0,MATCH(F$2,Inputs!$D$2:$AG$2,0))))=0,"",SUMIFS(INDEX(Inputs!$D$4:$AG$150,0,MATCH(F$2,Inputs!$D$2:$AG$2,0)),Inputs!$B$4:$B$150,$B57)/1000)</f>
        <v>3139</v>
      </c>
      <c r="G57" s="11">
        <f>IF(SUMPRODUCT((Inputs!$B$4:$B$150=$B57)*ISNUMBER(INDEX(Inputs!$D$4:$AG$150,0,MATCH(G$2,Inputs!$D$2:$AG$2,0))))=0,"",SUMIFS(INDEX(Inputs!$D$4:$AG$150,0,MATCH(G$2,Inputs!$D$2:$AG$2,0)),Inputs!$B$4:$B$150,$B57)/1000)</f>
        <v>3251</v>
      </c>
      <c r="H57" s="12">
        <f>IF(COUNT(D57:G57)=4,SUM(D57:G57),"")</f>
        <v>12199</v>
      </c>
      <c r="I57" s="11">
        <f>IF(SUMPRODUCT((Inputs!$B$4:$B$150=$B57)*ISNUMBER(INDEX(Inputs!$D$4:$AG$150,0,MATCH(I$2,Inputs!$D$2:$AG$2,0))))=0,"",SUMIFS(INDEX(Inputs!$D$4:$AG$150,0,MATCH(I$2,Inputs!$D$2:$AG$2,0)),Inputs!$B$4:$B$150,$B57)/1000)</f>
        <v>3219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3282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3693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4387</v>
      </c>
      <c r="M57" s="12">
        <f>IF(COUNT(I57:L57)=4,SUM(I57:L57),"")</f>
        <v>14581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4496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4674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4977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4785</v>
      </c>
      <c r="R57" s="12">
        <f>IF(COUNT(N57:Q57)=4,SUM(N57:Q57),"")</f>
        <v>18932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4502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4543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4931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4781</v>
      </c>
      <c r="W57" s="12">
        <f>IF(COUNT(S57:V57)=4,SUM(S57:V57),"")</f>
        <v>18757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5027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5232</v>
      </c>
      <c r="Z57" s="11">
        <f>IF(SUMPRODUCT((Inputs!$B$4:$B$150=$B57)*ISNUMBER(INDEX(Inputs!$D$4:$AG$150,0,MATCH(Z$2,Inputs!$D$2:$AG$2,0))))=0,"",SUMIFS(INDEX(Inputs!$D$4:$AG$150,0,MATCH(Z$2,Inputs!$D$2:$AG$2,0)),Inputs!$B$4:$B$150,$B57)/1000)</f>
        <v>4915</v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5044</v>
      </c>
      <c r="AB57" s="12">
        <f>IF(COUNT(X57:AA57)=4,SUM(X57:AA57),"")</f>
        <v>20218</v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5125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5402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Optum Insight - lucro do segmento (USD)</t>
        </is>
      </c>
      <c r="D58" s="11">
        <f>IF(SUMPRODUCT((Inputs!$B$4:$B$150=$B58)*ISNUMBER(INDEX(Inputs!$D$4:$AG$150,0,MATCH(D$2,Inputs!$D$2:$AG$2,0))))=0,"",SUMIFS(INDEX(Inputs!$D$4:$AG$150,0,MATCH(D$2,Inputs!$D$2:$AG$2,0)),Inputs!$B$4:$B$150,$B58)/1000)</f>
        <v>779</v>
      </c>
      <c r="E58" s="11">
        <f>IF(SUMPRODUCT((Inputs!$B$4:$B$150=$B58)*ISNUMBER(INDEX(Inputs!$D$4:$AG$150,0,MATCH(E$2,Inputs!$D$2:$AG$2,0))))=0,"",SUMIFS(INDEX(Inputs!$D$4:$AG$150,0,MATCH(E$2,Inputs!$D$2:$AG$2,0)),Inputs!$B$4:$B$150,$B58)/1000)</f>
        <v>762</v>
      </c>
      <c r="F58" s="11">
        <f>IF(SUMPRODUCT((Inputs!$B$4:$B$150=$B58)*ISNUMBER(INDEX(Inputs!$D$4:$AG$150,0,MATCH(F$2,Inputs!$D$2:$AG$2,0))))=0,"",SUMIFS(INDEX(Inputs!$D$4:$AG$150,0,MATCH(F$2,Inputs!$D$2:$AG$2,0)),Inputs!$B$4:$B$150,$B58)/1000)</f>
        <v>906</v>
      </c>
      <c r="G58" s="11">
        <f>IF(SUMPRODUCT((Inputs!$B$4:$B$150=$B58)*ISNUMBER(INDEX(Inputs!$D$4:$AG$150,0,MATCH(G$2,Inputs!$D$2:$AG$2,0))))=0,"",SUMIFS(INDEX(Inputs!$D$4:$AG$150,0,MATCH(G$2,Inputs!$D$2:$AG$2,0)),Inputs!$B$4:$B$150,$B58)/1000)</f>
        <v>951</v>
      </c>
      <c r="H58" s="12">
        <f>IF(COUNT(D58:G58)=4,SUM(D58:G58),"")</f>
        <v>3398</v>
      </c>
      <c r="I58" s="11">
        <f>IF(SUMPRODUCT((Inputs!$B$4:$B$150=$B58)*ISNUMBER(INDEX(Inputs!$D$4:$AG$150,0,MATCH(I$2,Inputs!$D$2:$AG$2,0))))=0,"",SUMIFS(INDEX(Inputs!$D$4:$AG$150,0,MATCH(I$2,Inputs!$D$2:$AG$2,0)),Inputs!$B$4:$B$150,$B58)/1000)</f>
        <v>847</v>
      </c>
      <c r="J58" s="11">
        <f>IF(SUMPRODUCT((Inputs!$B$4:$B$150=$B58)*ISNUMBER(INDEX(Inputs!$D$4:$AG$150,0,MATCH(J$2,Inputs!$D$2:$AG$2,0))))=0,"",SUMIFS(INDEX(Inputs!$D$4:$AG$150,0,MATCH(J$2,Inputs!$D$2:$AG$2,0)),Inputs!$B$4:$B$150,$B58)/1000)</f>
        <v>839</v>
      </c>
      <c r="K58" s="11">
        <f>IF(SUMPRODUCT((Inputs!$B$4:$B$150=$B58)*ISNUMBER(INDEX(Inputs!$D$4:$AG$150,0,MATCH(K$2,Inputs!$D$2:$AG$2,0))))=0,"",SUMIFS(INDEX(Inputs!$D$4:$AG$150,0,MATCH(K$2,Inputs!$D$2:$AG$2,0)),Inputs!$B$4:$B$150,$B58)/1000)</f>
        <v>1007</v>
      </c>
      <c r="L58" s="11">
        <f>IF(SUMPRODUCT((Inputs!$B$4:$B$150=$B58)*ISNUMBER(INDEX(Inputs!$D$4:$AG$150,0,MATCH(L$2,Inputs!$D$2:$AG$2,0))))=0,"",SUMIFS(INDEX(Inputs!$D$4:$AG$150,0,MATCH(L$2,Inputs!$D$2:$AG$2,0)),Inputs!$B$4:$B$150,$B58)/1000)</f>
        <v>895</v>
      </c>
      <c r="M58" s="12">
        <f>IF(COUNT(I58:L58)=4,SUM(I58:L58),"")</f>
        <v>3588</v>
      </c>
      <c r="N58" s="11">
        <f>IF(SUMPRODUCT((Inputs!$B$4:$B$150=$B58)*ISNUMBER(INDEX(Inputs!$D$4:$AG$150,0,MATCH(N$2,Inputs!$D$2:$AG$2,0))))=0,"",SUMIFS(INDEX(Inputs!$D$4:$AG$150,0,MATCH(N$2,Inputs!$D$2:$AG$2,0)),Inputs!$B$4:$B$150,$B58)/1000)</f>
        <v>907</v>
      </c>
      <c r="O58" s="11">
        <f>IF(SUMPRODUCT((Inputs!$B$4:$B$150=$B58)*ISNUMBER(INDEX(Inputs!$D$4:$AG$150,0,MATCH(O$2,Inputs!$D$2:$AG$2,0))))=0,"",SUMIFS(INDEX(Inputs!$D$4:$AG$150,0,MATCH(O$2,Inputs!$D$2:$AG$2,0)),Inputs!$B$4:$B$150,$B58)/1000)</f>
        <v>968</v>
      </c>
      <c r="P58" s="11">
        <f>IF(SUMPRODUCT((Inputs!$B$4:$B$150=$B58)*ISNUMBER(INDEX(Inputs!$D$4:$AG$150,0,MATCH(P$2,Inputs!$D$2:$AG$2,0))))=0,"",SUMIFS(INDEX(Inputs!$D$4:$AG$150,0,MATCH(P$2,Inputs!$D$2:$AG$2,0)),Inputs!$B$4:$B$150,$B58)/1000)</f>
        <v>1109</v>
      </c>
      <c r="Q58" s="11">
        <f>IF(SUMPRODUCT((Inputs!$B$4:$B$150=$B58)*ISNUMBER(INDEX(Inputs!$D$4:$AG$150,0,MATCH(Q$2,Inputs!$D$2:$AG$2,0))))=0,"",SUMIFS(INDEX(Inputs!$D$4:$AG$150,0,MATCH(Q$2,Inputs!$D$2:$AG$2,0)),Inputs!$B$4:$B$150,$B58)/1000)</f>
        <v>1284</v>
      </c>
      <c r="R58" s="12">
        <f>IF(COUNT(N58:Q58)=4,SUM(N58:Q58),"")</f>
        <v>4268</v>
      </c>
      <c r="S58" s="11">
        <f>IF(SUMPRODUCT((Inputs!$B$4:$B$150=$B58)*ISNUMBER(INDEX(Inputs!$D$4:$AG$150,0,MATCH(S$2,Inputs!$D$2:$AG$2,0))))=0,"",SUMIFS(INDEX(Inputs!$D$4:$AG$150,0,MATCH(S$2,Inputs!$D$2:$AG$2,0)),Inputs!$B$4:$B$150,$B58)/1000)</f>
        <v>490</v>
      </c>
      <c r="T58" s="11">
        <f>IF(SUMPRODUCT((Inputs!$B$4:$B$150=$B58)*ISNUMBER(INDEX(Inputs!$D$4:$AG$150,0,MATCH(T$2,Inputs!$D$2:$AG$2,0))))=0,"",SUMIFS(INDEX(Inputs!$D$4:$AG$150,0,MATCH(T$2,Inputs!$D$2:$AG$2,0)),Inputs!$B$4:$B$150,$B58)/1000)</f>
        <v>546</v>
      </c>
      <c r="U58" s="11">
        <f>IF(SUMPRODUCT((Inputs!$B$4:$B$150=$B58)*ISNUMBER(INDEX(Inputs!$D$4:$AG$150,0,MATCH(U$2,Inputs!$D$2:$AG$2,0))))=0,"",SUMIFS(INDEX(Inputs!$D$4:$AG$150,0,MATCH(U$2,Inputs!$D$2:$AG$2,0)),Inputs!$B$4:$B$150,$B58)/1000)</f>
        <v>791</v>
      </c>
      <c r="V58" s="11">
        <f>IF(SUMPRODUCT((Inputs!$B$4:$B$150=$B58)*ISNUMBER(INDEX(Inputs!$D$4:$AG$150,0,MATCH(V$2,Inputs!$D$2:$AG$2,0))))=0,"",SUMIFS(INDEX(Inputs!$D$4:$AG$150,0,MATCH(V$2,Inputs!$D$2:$AG$2,0)),Inputs!$B$4:$B$150,$B58)/1000)</f>
        <v>1270</v>
      </c>
      <c r="W58" s="12">
        <f>IF(COUNT(S58:V58)=4,SUM(S58:V58),"")</f>
        <v>3097</v>
      </c>
      <c r="X58" s="11">
        <f>IF(SUMPRODUCT((Inputs!$B$4:$B$150=$B58)*ISNUMBER(INDEX(Inputs!$D$4:$AG$150,0,MATCH(X$2,Inputs!$D$2:$AG$2,0))))=0,"",SUMIFS(INDEX(Inputs!$D$4:$AG$150,0,MATCH(X$2,Inputs!$D$2:$AG$2,0)),Inputs!$B$4:$B$150,$B58)/1000)</f>
        <v>1164</v>
      </c>
      <c r="Y58" s="11">
        <f>IF(SUMPRODUCT((Inputs!$B$4:$B$150=$B58)*ISNUMBER(INDEX(Inputs!$D$4:$AG$150,0,MATCH(Y$2,Inputs!$D$2:$AG$2,0))))=0,"",SUMIFS(INDEX(Inputs!$D$4:$AG$150,0,MATCH(Y$2,Inputs!$D$2:$AG$2,0)),Inputs!$B$4:$B$150,$B58)/1000)</f>
        <v>1205</v>
      </c>
      <c r="Z58" s="11">
        <f>IF(SUMPRODUCT((Inputs!$B$4:$B$150=$B58)*ISNUMBER(INDEX(Inputs!$D$4:$AG$150,0,MATCH(Z$2,Inputs!$D$2:$AG$2,0))))=0,"",SUMIFS(INDEX(Inputs!$D$4:$AG$150,0,MATCH(Z$2,Inputs!$D$2:$AG$2,0)),Inputs!$B$4:$B$150,$B58)/1000)</f>
        <v>706</v>
      </c>
      <c r="AA58" s="11">
        <f>IF(SUMPRODUCT((Inputs!$B$4:$B$150=$B58)*ISNUMBER(INDEX(Inputs!$D$4:$AG$150,0,MATCH(AA$2,Inputs!$D$2:$AG$2,0))))=0,"",SUMIFS(INDEX(Inputs!$D$4:$AG$150,0,MATCH(AA$2,Inputs!$D$2:$AG$2,0)),Inputs!$B$4:$B$150,$B58)/1000)</f>
        <v>-41</v>
      </c>
      <c r="AB58" s="12">
        <f>IF(COUNT(X58:AA58)=4,SUM(X58:AA58),"")</f>
        <v>3034</v>
      </c>
      <c r="AC58" s="11">
        <f>IF(SUMPRODUCT((Inputs!$B$4:$B$150=$B58)*ISNUMBER(INDEX(Inputs!$D$4:$AG$150,0,MATCH(AC$2,Inputs!$D$2:$AG$2,0))))=0,"",SUMIFS(INDEX(Inputs!$D$4:$AG$150,0,MATCH(AC$2,Inputs!$D$2:$AG$2,0)),Inputs!$B$4:$B$150,$B58)/1000)</f>
        <v>963</v>
      </c>
      <c r="AD58" s="11">
        <f>IF(SUMPRODUCT((Inputs!$B$4:$B$150=$B58)*ISNUMBER(INDEX(Inputs!$D$4:$AG$150,0,MATCH(AD$2,Inputs!$D$2:$AG$2,0))))=0,"",SUMIFS(INDEX(Inputs!$D$4:$AG$150,0,MATCH(AD$2,Inputs!$D$2:$AG$2,0)),Inputs!$B$4:$B$150,$B58)/1000)</f>
        <v>1369</v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Optum Rx - receita (USD)</t>
        </is>
      </c>
      <c r="D59" s="11">
        <f>IF(SUMPRODUCT((Inputs!$B$4:$B$150=$B59)*ISNUMBER(INDEX(Inputs!$D$4:$AG$150,0,MATCH(D$2,Inputs!$D$2:$AG$2,0))))=0,"",SUMIFS(INDEX(Inputs!$D$4:$AG$150,0,MATCH(D$2,Inputs!$D$2:$AG$2,0)),Inputs!$B$4:$B$150,$B59)/1000)</f>
        <v>21604</v>
      </c>
      <c r="E59" s="11">
        <f>IF(SUMPRODUCT((Inputs!$B$4:$B$150=$B59)*ISNUMBER(INDEX(Inputs!$D$4:$AG$150,0,MATCH(E$2,Inputs!$D$2:$AG$2,0))))=0,"",SUMIFS(INDEX(Inputs!$D$4:$AG$150,0,MATCH(E$2,Inputs!$D$2:$AG$2,0)),Inputs!$B$4:$B$150,$B59)/1000)</f>
        <v>22524</v>
      </c>
      <c r="F59" s="11">
        <f>IF(SUMPRODUCT((Inputs!$B$4:$B$150=$B59)*ISNUMBER(INDEX(Inputs!$D$4:$AG$150,0,MATCH(F$2,Inputs!$D$2:$AG$2,0))))=0,"",SUMIFS(INDEX(Inputs!$D$4:$AG$150,0,MATCH(F$2,Inputs!$D$2:$AG$2,0)),Inputs!$B$4:$B$150,$B59)/1000)</f>
        <v>23337</v>
      </c>
      <c r="G59" s="11">
        <f>IF(SUMPRODUCT((Inputs!$B$4:$B$150=$B59)*ISNUMBER(INDEX(Inputs!$D$4:$AG$150,0,MATCH(G$2,Inputs!$D$2:$AG$2,0))))=0,"",SUMIFS(INDEX(Inputs!$D$4:$AG$150,0,MATCH(G$2,Inputs!$D$2:$AG$2,0)),Inputs!$B$4:$B$150,$B59)/1000)</f>
        <v>23849</v>
      </c>
      <c r="H59" s="12">
        <f>IF(COUNT(D59:G59)=4,SUM(D59:G59),"")</f>
        <v>91314</v>
      </c>
      <c r="I59" s="11">
        <f>IF(SUMPRODUCT((Inputs!$B$4:$B$150=$B59)*ISNUMBER(INDEX(Inputs!$D$4:$AG$150,0,MATCH(I$2,Inputs!$D$2:$AG$2,0))))=0,"",SUMIFS(INDEX(Inputs!$D$4:$AG$150,0,MATCH(I$2,Inputs!$D$2:$AG$2,0)),Inputs!$B$4:$B$150,$B59)/1000)</f>
        <v>23911</v>
      </c>
      <c r="J59" s="11">
        <f>IF(SUMPRODUCT((Inputs!$B$4:$B$150=$B59)*ISNUMBER(INDEX(Inputs!$D$4:$AG$150,0,MATCH(J$2,Inputs!$D$2:$AG$2,0))))=0,"",SUMIFS(INDEX(Inputs!$D$4:$AG$150,0,MATCH(J$2,Inputs!$D$2:$AG$2,0)),Inputs!$B$4:$B$150,$B59)/1000)</f>
        <v>24805</v>
      </c>
      <c r="K59" s="11">
        <f>IF(SUMPRODUCT((Inputs!$B$4:$B$150=$B59)*ISNUMBER(INDEX(Inputs!$D$4:$AG$150,0,MATCH(K$2,Inputs!$D$2:$AG$2,0))))=0,"",SUMIFS(INDEX(Inputs!$D$4:$AG$150,0,MATCH(K$2,Inputs!$D$2:$AG$2,0)),Inputs!$B$4:$B$150,$B59)/1000)</f>
        <v>25203</v>
      </c>
      <c r="L59" s="11">
        <f>IF(SUMPRODUCT((Inputs!$B$4:$B$150=$B59)*ISNUMBER(INDEX(Inputs!$D$4:$AG$150,0,MATCH(L$2,Inputs!$D$2:$AG$2,0))))=0,"",SUMIFS(INDEX(Inputs!$D$4:$AG$150,0,MATCH(L$2,Inputs!$D$2:$AG$2,0)),Inputs!$B$4:$B$150,$B59)/1000)</f>
        <v>25854</v>
      </c>
      <c r="M59" s="12">
        <f>IF(COUNT(I59:L59)=4,SUM(I59:L59),"")</f>
        <v>99773</v>
      </c>
      <c r="N59" s="11">
        <f>IF(SUMPRODUCT((Inputs!$B$4:$B$150=$B59)*ISNUMBER(INDEX(Inputs!$D$4:$AG$150,0,MATCH(N$2,Inputs!$D$2:$AG$2,0))))=0,"",SUMIFS(INDEX(Inputs!$D$4:$AG$150,0,MATCH(N$2,Inputs!$D$2:$AG$2,0)),Inputs!$B$4:$B$150,$B59)/1000)</f>
        <v>27418</v>
      </c>
      <c r="O59" s="11">
        <f>IF(SUMPRODUCT((Inputs!$B$4:$B$150=$B59)*ISNUMBER(INDEX(Inputs!$D$4:$AG$150,0,MATCH(O$2,Inputs!$D$2:$AG$2,0))))=0,"",SUMIFS(INDEX(Inputs!$D$4:$AG$150,0,MATCH(O$2,Inputs!$D$2:$AG$2,0)),Inputs!$B$4:$B$150,$B59)/1000)</f>
        <v>28646</v>
      </c>
      <c r="P59" s="11">
        <f>IF(SUMPRODUCT((Inputs!$B$4:$B$150=$B59)*ISNUMBER(INDEX(Inputs!$D$4:$AG$150,0,MATCH(P$2,Inputs!$D$2:$AG$2,0))))=0,"",SUMIFS(INDEX(Inputs!$D$4:$AG$150,0,MATCH(P$2,Inputs!$D$2:$AG$2,0)),Inputs!$B$4:$B$150,$B59)/1000)</f>
        <v>28857</v>
      </c>
      <c r="Q59" s="11">
        <f>IF(SUMPRODUCT((Inputs!$B$4:$B$150=$B59)*ISNUMBER(INDEX(Inputs!$D$4:$AG$150,0,MATCH(Q$2,Inputs!$D$2:$AG$2,0))))=0,"",SUMIFS(INDEX(Inputs!$D$4:$AG$150,0,MATCH(Q$2,Inputs!$D$2:$AG$2,0)),Inputs!$B$4:$B$150,$B59)/1000)</f>
        <v>31166</v>
      </c>
      <c r="R59" s="12">
        <f>IF(COUNT(N59:Q59)=4,SUM(N59:Q59),"")</f>
        <v>116087</v>
      </c>
      <c r="S59" s="11">
        <f>IF(SUMPRODUCT((Inputs!$B$4:$B$150=$B59)*ISNUMBER(INDEX(Inputs!$D$4:$AG$150,0,MATCH(S$2,Inputs!$D$2:$AG$2,0))))=0,"",SUMIFS(INDEX(Inputs!$D$4:$AG$150,0,MATCH(S$2,Inputs!$D$2:$AG$2,0)),Inputs!$B$4:$B$150,$B59)/1000)</f>
        <v>30835</v>
      </c>
      <c r="T59" s="11">
        <f>IF(SUMPRODUCT((Inputs!$B$4:$B$150=$B59)*ISNUMBER(INDEX(Inputs!$D$4:$AG$150,0,MATCH(T$2,Inputs!$D$2:$AG$2,0))))=0,"",SUMIFS(INDEX(Inputs!$D$4:$AG$150,0,MATCH(T$2,Inputs!$D$2:$AG$2,0)),Inputs!$B$4:$B$150,$B59)/1000)</f>
        <v>32415</v>
      </c>
      <c r="U59" s="11">
        <f>IF(SUMPRODUCT((Inputs!$B$4:$B$150=$B59)*ISNUMBER(INDEX(Inputs!$D$4:$AG$150,0,MATCH(U$2,Inputs!$D$2:$AG$2,0))))=0,"",SUMIFS(INDEX(Inputs!$D$4:$AG$150,0,MATCH(U$2,Inputs!$D$2:$AG$2,0)),Inputs!$B$4:$B$150,$B59)/1000)</f>
        <v>34207</v>
      </c>
      <c r="V59" s="11">
        <f>IF(SUMPRODUCT((Inputs!$B$4:$B$150=$B59)*ISNUMBER(INDEX(Inputs!$D$4:$AG$150,0,MATCH(V$2,Inputs!$D$2:$AG$2,0))))=0,"",SUMIFS(INDEX(Inputs!$D$4:$AG$150,0,MATCH(V$2,Inputs!$D$2:$AG$2,0)),Inputs!$B$4:$B$150,$B59)/1000)</f>
        <v>35774</v>
      </c>
      <c r="W59" s="12">
        <f>IF(COUNT(S59:V59)=4,SUM(S59:V59),"")</f>
        <v>133231</v>
      </c>
      <c r="X59" s="11">
        <f>IF(SUMPRODUCT((Inputs!$B$4:$B$150=$B59)*ISNUMBER(INDEX(Inputs!$D$4:$AG$150,0,MATCH(X$2,Inputs!$D$2:$AG$2,0))))=0,"",SUMIFS(INDEX(Inputs!$D$4:$AG$150,0,MATCH(X$2,Inputs!$D$2:$AG$2,0)),Inputs!$B$4:$B$150,$B59)/1000)</f>
        <v>35132</v>
      </c>
      <c r="Y59" s="11">
        <f>IF(SUMPRODUCT((Inputs!$B$4:$B$150=$B59)*ISNUMBER(INDEX(Inputs!$D$4:$AG$150,0,MATCH(Y$2,Inputs!$D$2:$AG$2,0))))=0,"",SUMIFS(INDEX(Inputs!$D$4:$AG$150,0,MATCH(Y$2,Inputs!$D$2:$AG$2,0)),Inputs!$B$4:$B$150,$B59)/1000)</f>
        <v>38459</v>
      </c>
      <c r="Z59" s="11">
        <f>IF(SUMPRODUCT((Inputs!$B$4:$B$150=$B59)*ISNUMBER(INDEX(Inputs!$D$4:$AG$150,0,MATCH(Z$2,Inputs!$D$2:$AG$2,0))))=0,"",SUMIFS(INDEX(Inputs!$D$4:$AG$150,0,MATCH(Z$2,Inputs!$D$2:$AG$2,0)),Inputs!$B$4:$B$150,$B59)/1000)</f>
        <v>39679</v>
      </c>
      <c r="AA59" s="11">
        <f>IF(SUMPRODUCT((Inputs!$B$4:$B$150=$B59)*ISNUMBER(INDEX(Inputs!$D$4:$AG$150,0,MATCH(AA$2,Inputs!$D$2:$AG$2,0))))=0,"",SUMIFS(INDEX(Inputs!$D$4:$AG$150,0,MATCH(AA$2,Inputs!$D$2:$AG$2,0)),Inputs!$B$4:$B$150,$B59)/1000)</f>
        <v>41456</v>
      </c>
      <c r="AB59" s="12">
        <f>IF(COUNT(X59:AA59)=4,SUM(X59:AA59),"")</f>
        <v>154726</v>
      </c>
      <c r="AC59" s="11">
        <f>IF(SUMPRODUCT((Inputs!$B$4:$B$150=$B59)*ISNUMBER(INDEX(Inputs!$D$4:$AG$150,0,MATCH(AC$2,Inputs!$D$2:$AG$2,0))))=0,"",SUMIFS(INDEX(Inputs!$D$4:$AG$150,0,MATCH(AC$2,Inputs!$D$2:$AG$2,0)),Inputs!$B$4:$B$150,$B59)/1000)</f>
        <v>35736</v>
      </c>
      <c r="AD59" s="11">
        <f>IF(SUMPRODUCT((Inputs!$B$4:$B$150=$B59)*ISNUMBER(INDEX(Inputs!$D$4:$AG$150,0,MATCH(AD$2,Inputs!$D$2:$AG$2,0))))=0,"",SUMIFS(INDEX(Inputs!$D$4:$AG$150,0,MATCH(AD$2,Inputs!$D$2:$AG$2,0)),Inputs!$B$4:$B$150,$B59)/1000)</f>
        <v>38292</v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Optum Rx - lucro do segmento (USD)</t>
        </is>
      </c>
      <c r="D60" s="11">
        <f>IF(SUMPRODUCT((Inputs!$B$4:$B$150=$B60)*ISNUMBER(INDEX(Inputs!$D$4:$AG$150,0,MATCH(D$2,Inputs!$D$2:$AG$2,0))))=0,"",SUMIFS(INDEX(Inputs!$D$4:$AG$150,0,MATCH(D$2,Inputs!$D$2:$AG$2,0)),Inputs!$B$4:$B$150,$B60)/1000)</f>
        <v>890</v>
      </c>
      <c r="E60" s="11">
        <f>IF(SUMPRODUCT((Inputs!$B$4:$B$150=$B60)*ISNUMBER(INDEX(Inputs!$D$4:$AG$150,0,MATCH(E$2,Inputs!$D$2:$AG$2,0))))=0,"",SUMIFS(INDEX(Inputs!$D$4:$AG$150,0,MATCH(E$2,Inputs!$D$2:$AG$2,0)),Inputs!$B$4:$B$150,$B60)/1000)</f>
        <v>993</v>
      </c>
      <c r="F60" s="11">
        <f>IF(SUMPRODUCT((Inputs!$B$4:$B$150=$B60)*ISNUMBER(INDEX(Inputs!$D$4:$AG$150,0,MATCH(F$2,Inputs!$D$2:$AG$2,0))))=0,"",SUMIFS(INDEX(Inputs!$D$4:$AG$150,0,MATCH(F$2,Inputs!$D$2:$AG$2,0)),Inputs!$B$4:$B$150,$B60)/1000)</f>
        <v>1012</v>
      </c>
      <c r="G60" s="11">
        <f>IF(SUMPRODUCT((Inputs!$B$4:$B$150=$B60)*ISNUMBER(INDEX(Inputs!$D$4:$AG$150,0,MATCH(G$2,Inputs!$D$2:$AG$2,0))))=0,"",SUMIFS(INDEX(Inputs!$D$4:$AG$150,0,MATCH(G$2,Inputs!$D$2:$AG$2,0)),Inputs!$B$4:$B$150,$B60)/1000)</f>
        <v>1240</v>
      </c>
      <c r="H60" s="12">
        <f>IF(COUNT(D60:G60)=4,SUM(D60:G60),"")</f>
        <v>4135</v>
      </c>
      <c r="I60" s="11">
        <f>IF(SUMPRODUCT((Inputs!$B$4:$B$150=$B60)*ISNUMBER(INDEX(Inputs!$D$4:$AG$150,0,MATCH(I$2,Inputs!$D$2:$AG$2,0))))=0,"",SUMIFS(INDEX(Inputs!$D$4:$AG$150,0,MATCH(I$2,Inputs!$D$2:$AG$2,0)),Inputs!$B$4:$B$150,$B60)/1000)</f>
        <v>939</v>
      </c>
      <c r="J60" s="11">
        <f>IF(SUMPRODUCT((Inputs!$B$4:$B$150=$B60)*ISNUMBER(INDEX(Inputs!$D$4:$AG$150,0,MATCH(J$2,Inputs!$D$2:$AG$2,0))))=0,"",SUMIFS(INDEX(Inputs!$D$4:$AG$150,0,MATCH(J$2,Inputs!$D$2:$AG$2,0)),Inputs!$B$4:$B$150,$B60)/1000)</f>
        <v>1044</v>
      </c>
      <c r="K60" s="11">
        <f>IF(SUMPRODUCT((Inputs!$B$4:$B$150=$B60)*ISNUMBER(INDEX(Inputs!$D$4:$AG$150,0,MATCH(K$2,Inputs!$D$2:$AG$2,0))))=0,"",SUMIFS(INDEX(Inputs!$D$4:$AG$150,0,MATCH(K$2,Inputs!$D$2:$AG$2,0)),Inputs!$B$4:$B$150,$B60)/1000)</f>
        <v>1081</v>
      </c>
      <c r="L60" s="11">
        <f>IF(SUMPRODUCT((Inputs!$B$4:$B$150=$B60)*ISNUMBER(INDEX(Inputs!$D$4:$AG$150,0,MATCH(L$2,Inputs!$D$2:$AG$2,0))))=0,"",SUMIFS(INDEX(Inputs!$D$4:$AG$150,0,MATCH(L$2,Inputs!$D$2:$AG$2,0)),Inputs!$B$4:$B$150,$B60)/1000)</f>
        <v>1372</v>
      </c>
      <c r="M60" s="12">
        <f>IF(COUNT(I60:L60)=4,SUM(I60:L60),"")</f>
        <v>4436</v>
      </c>
      <c r="N60" s="11">
        <f>IF(SUMPRODUCT((Inputs!$B$4:$B$150=$B60)*ISNUMBER(INDEX(Inputs!$D$4:$AG$150,0,MATCH(N$2,Inputs!$D$2:$AG$2,0))))=0,"",SUMIFS(INDEX(Inputs!$D$4:$AG$150,0,MATCH(N$2,Inputs!$D$2:$AG$2,0)),Inputs!$B$4:$B$150,$B60)/1000)</f>
        <v>1060</v>
      </c>
      <c r="O60" s="11">
        <f>IF(SUMPRODUCT((Inputs!$B$4:$B$150=$B60)*ISNUMBER(INDEX(Inputs!$D$4:$AG$150,0,MATCH(O$2,Inputs!$D$2:$AG$2,0))))=0,"",SUMIFS(INDEX(Inputs!$D$4:$AG$150,0,MATCH(O$2,Inputs!$D$2:$AG$2,0)),Inputs!$B$4:$B$150,$B60)/1000)</f>
        <v>1206</v>
      </c>
      <c r="P60" s="11">
        <f>IF(SUMPRODUCT((Inputs!$B$4:$B$150=$B60)*ISNUMBER(INDEX(Inputs!$D$4:$AG$150,0,MATCH(P$2,Inputs!$D$2:$AG$2,0))))=0,"",SUMIFS(INDEX(Inputs!$D$4:$AG$150,0,MATCH(P$2,Inputs!$D$2:$AG$2,0)),Inputs!$B$4:$B$150,$B60)/1000)</f>
        <v>1257</v>
      </c>
      <c r="Q60" s="11">
        <f>IF(SUMPRODUCT((Inputs!$B$4:$B$150=$B60)*ISNUMBER(INDEX(Inputs!$D$4:$AG$150,0,MATCH(Q$2,Inputs!$D$2:$AG$2,0))))=0,"",SUMIFS(INDEX(Inputs!$D$4:$AG$150,0,MATCH(Q$2,Inputs!$D$2:$AG$2,0)),Inputs!$B$4:$B$150,$B60)/1000)</f>
        <v>1592</v>
      </c>
      <c r="R60" s="12">
        <f>IF(COUNT(N60:Q60)=4,SUM(N60:Q60),"")</f>
        <v>5115</v>
      </c>
      <c r="S60" s="11">
        <f>IF(SUMPRODUCT((Inputs!$B$4:$B$150=$B60)*ISNUMBER(INDEX(Inputs!$D$4:$AG$150,0,MATCH(S$2,Inputs!$D$2:$AG$2,0))))=0,"",SUMIFS(INDEX(Inputs!$D$4:$AG$150,0,MATCH(S$2,Inputs!$D$2:$AG$2,0)),Inputs!$B$4:$B$150,$B60)/1000)</f>
        <v>1147</v>
      </c>
      <c r="T60" s="11">
        <f>IF(SUMPRODUCT((Inputs!$B$4:$B$150=$B60)*ISNUMBER(INDEX(Inputs!$D$4:$AG$150,0,MATCH(T$2,Inputs!$D$2:$AG$2,0))))=0,"",SUMIFS(INDEX(Inputs!$D$4:$AG$150,0,MATCH(T$2,Inputs!$D$2:$AG$2,0)),Inputs!$B$4:$B$150,$B60)/1000)</f>
        <v>1406</v>
      </c>
      <c r="U60" s="11">
        <f>IF(SUMPRODUCT((Inputs!$B$4:$B$150=$B60)*ISNUMBER(INDEX(Inputs!$D$4:$AG$150,0,MATCH(U$2,Inputs!$D$2:$AG$2,0))))=0,"",SUMIFS(INDEX(Inputs!$D$4:$AG$150,0,MATCH(U$2,Inputs!$D$2:$AG$2,0)),Inputs!$B$4:$B$150,$B60)/1000)</f>
        <v>1544</v>
      </c>
      <c r="V60" s="11">
        <f>IF(SUMPRODUCT((Inputs!$B$4:$B$150=$B60)*ISNUMBER(INDEX(Inputs!$D$4:$AG$150,0,MATCH(V$2,Inputs!$D$2:$AG$2,0))))=0,"",SUMIFS(INDEX(Inputs!$D$4:$AG$150,0,MATCH(V$2,Inputs!$D$2:$AG$2,0)),Inputs!$B$4:$B$150,$B60)/1000)</f>
        <v>1739</v>
      </c>
      <c r="W60" s="12">
        <f>IF(COUNT(S60:V60)=4,SUM(S60:V60),"")</f>
        <v>5836</v>
      </c>
      <c r="X60" s="11">
        <f>IF(SUMPRODUCT((Inputs!$B$4:$B$150=$B60)*ISNUMBER(INDEX(Inputs!$D$4:$AG$150,0,MATCH(X$2,Inputs!$D$2:$AG$2,0))))=0,"",SUMIFS(INDEX(Inputs!$D$4:$AG$150,0,MATCH(X$2,Inputs!$D$2:$AG$2,0)),Inputs!$B$4:$B$150,$B60)/1000)</f>
        <v>1318</v>
      </c>
      <c r="Y60" s="11">
        <f>IF(SUMPRODUCT((Inputs!$B$4:$B$150=$B60)*ISNUMBER(INDEX(Inputs!$D$4:$AG$150,0,MATCH(Y$2,Inputs!$D$2:$AG$2,0))))=0,"",SUMIFS(INDEX(Inputs!$D$4:$AG$150,0,MATCH(Y$2,Inputs!$D$2:$AG$2,0)),Inputs!$B$4:$B$150,$B60)/1000)</f>
        <v>1441</v>
      </c>
      <c r="Z60" s="11">
        <f>IF(SUMPRODUCT((Inputs!$B$4:$B$150=$B60)*ISNUMBER(INDEX(Inputs!$D$4:$AG$150,0,MATCH(Z$2,Inputs!$D$2:$AG$2,0))))=0,"",SUMIFS(INDEX(Inputs!$D$4:$AG$150,0,MATCH(Z$2,Inputs!$D$2:$AG$2,0)),Inputs!$B$4:$B$150,$B60)/1000)</f>
        <v>1549</v>
      </c>
      <c r="AA60" s="11">
        <f>IF(SUMPRODUCT((Inputs!$B$4:$B$150=$B60)*ISNUMBER(INDEX(Inputs!$D$4:$AG$150,0,MATCH(AA$2,Inputs!$D$2:$AG$2,0))))=0,"",SUMIFS(INDEX(Inputs!$D$4:$AG$150,0,MATCH(AA$2,Inputs!$D$2:$AG$2,0)),Inputs!$B$4:$B$150,$B60)/1000)</f>
        <v>2885</v>
      </c>
      <c r="AB60" s="12">
        <f>IF(COUNT(X60:AA60)=4,SUM(X60:AA60),"")</f>
        <v>7193</v>
      </c>
      <c r="AC60" s="11">
        <f>IF(SUMPRODUCT((Inputs!$B$4:$B$150=$B60)*ISNUMBER(INDEX(Inputs!$D$4:$AG$150,0,MATCH(AC$2,Inputs!$D$2:$AG$2,0))))=0,"",SUMIFS(INDEX(Inputs!$D$4:$AG$150,0,MATCH(AC$2,Inputs!$D$2:$AG$2,0)),Inputs!$B$4:$B$150,$B60)/1000)</f>
        <v>1192</v>
      </c>
      <c r="AD60" s="11">
        <f>IF(SUMPRODUCT((Inputs!$B$4:$B$150=$B60)*ISNUMBER(INDEX(Inputs!$D$4:$AG$150,0,MATCH(AD$2,Inputs!$D$2:$AG$2,0))))=0,"",SUMIFS(INDEX(Inputs!$D$4:$AG$150,0,MATCH(AD$2,Inputs!$D$2:$AG$2,0)),Inputs!$B$4:$B$150,$B60)/1000)</f>
        <v>1490</v>
      </c>
      <c r="AE60" s="11" t="str">
        <f>IF(SUMPRODUCT((Inputs!$B$4:$B$150=$B60)*ISNUMBER(INDEX(Inputs!$D$4:$AG$150,0,MATCH(AE$2,Inputs!$D$2:$AG$2,0))))=0,"",SUMIFS(INDEX(Inputs!$D$4:$AG$150,0,MATCH(AE$2,Inputs!$D$2:$AG$2,0)),Inputs!$B$4:$B$150,$B60)/1000)</f>
        <v/>
      </c>
      <c r="AF60" s="11" t="str">
        <f>IF(SUMPRODUCT((Inputs!$B$4:$B$150=$B60)*ISNUMBER(INDEX(Inputs!$D$4:$AG$150,0,MATCH(AF$2,Inputs!$D$2:$AG$2,0))))=0,"",SUMIFS(INDEX(Inputs!$D$4:$AG$150,0,MATCH(AF$2,Inputs!$D$2:$AG$2,0)),Inputs!$B$4:$B$150,$B60)/1000)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Optum total - receita (USD)</t>
        </is>
      </c>
      <c r="D61" s="11">
        <f>IF(SUMPRODUCT((Inputs!$B$4:$B$150=$B61)*ISNUMBER(INDEX(Inputs!$D$4:$AG$150,0,MATCH(D$2,Inputs!$D$2:$AG$2,0))))=0,"",SUMIFS(INDEX(Inputs!$D$4:$AG$150,0,MATCH(D$2,Inputs!$D$2:$AG$2,0)),Inputs!$B$4:$B$150,$B61)/1000)</f>
        <v>36384</v>
      </c>
      <c r="E61" s="11">
        <f>IF(SUMPRODUCT((Inputs!$B$4:$B$150=$B61)*ISNUMBER(INDEX(Inputs!$D$4:$AG$150,0,MATCH(E$2,Inputs!$D$2:$AG$2,0))))=0,"",SUMIFS(INDEX(Inputs!$D$4:$AG$150,0,MATCH(E$2,Inputs!$D$2:$AG$2,0)),Inputs!$B$4:$B$150,$B61)/1000)</f>
        <v>38303</v>
      </c>
      <c r="F61" s="11">
        <f>IF(SUMPRODUCT((Inputs!$B$4:$B$150=$B61)*ISNUMBER(INDEX(Inputs!$D$4:$AG$150,0,MATCH(F$2,Inputs!$D$2:$AG$2,0))))=0,"",SUMIFS(INDEX(Inputs!$D$4:$AG$150,0,MATCH(F$2,Inputs!$D$2:$AG$2,0)),Inputs!$B$4:$B$150,$B61)/1000)</f>
        <v>39785</v>
      </c>
      <c r="G61" s="11">
        <f>IF(SUMPRODUCT((Inputs!$B$4:$B$150=$B61)*ISNUMBER(INDEX(Inputs!$D$4:$AG$150,0,MATCH(G$2,Inputs!$D$2:$AG$2,0))))=0,"",SUMIFS(INDEX(Inputs!$D$4:$AG$150,0,MATCH(G$2,Inputs!$D$2:$AG$2,0)),Inputs!$B$4:$B$150,$B61)/1000)</f>
        <v>41093</v>
      </c>
      <c r="H61" s="12">
        <f>IF(COUNT(D61:G61)=4,SUM(D61:G61),"")</f>
        <v>155565</v>
      </c>
      <c r="I61" s="11">
        <f>IF(SUMPRODUCT((Inputs!$B$4:$B$150=$B61)*ISNUMBER(INDEX(Inputs!$D$4:$AG$150,0,MATCH(I$2,Inputs!$D$2:$AG$2,0))))=0,"",SUMIFS(INDEX(Inputs!$D$4:$AG$150,0,MATCH(I$2,Inputs!$D$2:$AG$2,0)),Inputs!$B$4:$B$150,$B61)/1000)</f>
        <v>43259</v>
      </c>
      <c r="J61" s="11">
        <f>IF(SUMPRODUCT((Inputs!$B$4:$B$150=$B61)*ISNUMBER(INDEX(Inputs!$D$4:$AG$150,0,MATCH(J$2,Inputs!$D$2:$AG$2,0))))=0,"",SUMIFS(INDEX(Inputs!$D$4:$AG$150,0,MATCH(J$2,Inputs!$D$2:$AG$2,0)),Inputs!$B$4:$B$150,$B61)/1000)</f>
        <v>45082</v>
      </c>
      <c r="K61" s="11">
        <f>IF(SUMPRODUCT((Inputs!$B$4:$B$150=$B61)*ISNUMBER(INDEX(Inputs!$D$4:$AG$150,0,MATCH(K$2,Inputs!$D$2:$AG$2,0))))=0,"",SUMIFS(INDEX(Inputs!$D$4:$AG$150,0,MATCH(K$2,Inputs!$D$2:$AG$2,0)),Inputs!$B$4:$B$150,$B61)/1000)</f>
        <v>46559</v>
      </c>
      <c r="L61" s="11">
        <f>IF(SUMPRODUCT((Inputs!$B$4:$B$150=$B61)*ISNUMBER(INDEX(Inputs!$D$4:$AG$150,0,MATCH(L$2,Inputs!$D$2:$AG$2,0))))=0,"",SUMIFS(INDEX(Inputs!$D$4:$AG$150,0,MATCH(L$2,Inputs!$D$2:$AG$2,0)),Inputs!$B$4:$B$150,$B61)/1000)</f>
        <v>47868</v>
      </c>
      <c r="M61" s="12">
        <f>IF(COUNT(I61:L61)=4,SUM(I61:L61),"")</f>
        <v>182768</v>
      </c>
      <c r="N61" s="11">
        <f>IF(SUMPRODUCT((Inputs!$B$4:$B$150=$B61)*ISNUMBER(INDEX(Inputs!$D$4:$AG$150,0,MATCH(N$2,Inputs!$D$2:$AG$2,0))))=0,"",SUMIFS(INDEX(Inputs!$D$4:$AG$150,0,MATCH(N$2,Inputs!$D$2:$AG$2,0)),Inputs!$B$4:$B$150,$B61)/1000)</f>
        <v>54059</v>
      </c>
      <c r="O61" s="11">
        <f>IF(SUMPRODUCT((Inputs!$B$4:$B$150=$B61)*ISNUMBER(INDEX(Inputs!$D$4:$AG$150,0,MATCH(O$2,Inputs!$D$2:$AG$2,0))))=0,"",SUMIFS(INDEX(Inputs!$D$4:$AG$150,0,MATCH(O$2,Inputs!$D$2:$AG$2,0)),Inputs!$B$4:$B$150,$B61)/1000)</f>
        <v>56344</v>
      </c>
      <c r="P61" s="11">
        <f>IF(SUMPRODUCT((Inputs!$B$4:$B$150=$B61)*ISNUMBER(INDEX(Inputs!$D$4:$AG$150,0,MATCH(P$2,Inputs!$D$2:$AG$2,0))))=0,"",SUMIFS(INDEX(Inputs!$D$4:$AG$150,0,MATCH(P$2,Inputs!$D$2:$AG$2,0)),Inputs!$B$4:$B$150,$B61)/1000)</f>
        <v>56737</v>
      </c>
      <c r="Q61" s="11">
        <f>IF(SUMPRODUCT((Inputs!$B$4:$B$150=$B61)*ISNUMBER(INDEX(Inputs!$D$4:$AG$150,0,MATCH(Q$2,Inputs!$D$2:$AG$2,0))))=0,"",SUMIFS(INDEX(Inputs!$D$4:$AG$150,0,MATCH(Q$2,Inputs!$D$2:$AG$2,0)),Inputs!$B$4:$B$150,$B61)/1000)</f>
        <v>59495</v>
      </c>
      <c r="R61" s="12">
        <f>IF(COUNT(N61:Q61)=4,SUM(N61:Q61),"")</f>
        <v>226635</v>
      </c>
      <c r="S61" s="11">
        <f>IF(SUMPRODUCT((Inputs!$B$4:$B$150=$B61)*ISNUMBER(INDEX(Inputs!$D$4:$AG$150,0,MATCH(S$2,Inputs!$D$2:$AG$2,0))))=0,"",SUMIFS(INDEX(Inputs!$D$4:$AG$150,0,MATCH(S$2,Inputs!$D$2:$AG$2,0)),Inputs!$B$4:$B$150,$B61)/1000)</f>
        <v>61052</v>
      </c>
      <c r="T61" s="11">
        <f>IF(SUMPRODUCT((Inputs!$B$4:$B$150=$B61)*ISNUMBER(INDEX(Inputs!$D$4:$AG$150,0,MATCH(T$2,Inputs!$D$2:$AG$2,0))))=0,"",SUMIFS(INDEX(Inputs!$D$4:$AG$150,0,MATCH(T$2,Inputs!$D$2:$AG$2,0)),Inputs!$B$4:$B$150,$B61)/1000)</f>
        <v>62879</v>
      </c>
      <c r="U61" s="11">
        <f>IF(SUMPRODUCT((Inputs!$B$4:$B$150=$B61)*ISNUMBER(INDEX(Inputs!$D$4:$AG$150,0,MATCH(U$2,Inputs!$D$2:$AG$2,0))))=0,"",SUMIFS(INDEX(Inputs!$D$4:$AG$150,0,MATCH(U$2,Inputs!$D$2:$AG$2,0)),Inputs!$B$4:$B$150,$B61)/1000)</f>
        <v>63925</v>
      </c>
      <c r="V61" s="11">
        <f>IF(SUMPRODUCT((Inputs!$B$4:$B$150=$B61)*ISNUMBER(INDEX(Inputs!$D$4:$AG$150,0,MATCH(V$2,Inputs!$D$2:$AG$2,0))))=0,"",SUMIFS(INDEX(Inputs!$D$4:$AG$150,0,MATCH(V$2,Inputs!$D$2:$AG$2,0)),Inputs!$B$4:$B$150,$B61)/1000)</f>
        <v>65101</v>
      </c>
      <c r="W61" s="12">
        <f>IF(COUNT(S61:V61)=4,SUM(S61:V61),"")</f>
        <v>252957</v>
      </c>
      <c r="X61" s="11">
        <f>IF(SUMPRODUCT((Inputs!$B$4:$B$150=$B61)*ISNUMBER(INDEX(Inputs!$D$4:$AG$150,0,MATCH(X$2,Inputs!$D$2:$AG$2,0))))=0,"",SUMIFS(INDEX(Inputs!$D$4:$AG$150,0,MATCH(X$2,Inputs!$D$2:$AG$2,0)),Inputs!$B$4:$B$150,$B61)/1000)</f>
        <v>63885</v>
      </c>
      <c r="Y61" s="11">
        <f>IF(SUMPRODUCT((Inputs!$B$4:$B$150=$B61)*ISNUMBER(INDEX(Inputs!$D$4:$AG$150,0,MATCH(Y$2,Inputs!$D$2:$AG$2,0))))=0,"",SUMIFS(INDEX(Inputs!$D$4:$AG$150,0,MATCH(Y$2,Inputs!$D$2:$AG$2,0)),Inputs!$B$4:$B$150,$B61)/1000)</f>
        <v>67225</v>
      </c>
      <c r="Z61" s="11">
        <f>IF(SUMPRODUCT((Inputs!$B$4:$B$150=$B61)*ISNUMBER(INDEX(Inputs!$D$4:$AG$150,0,MATCH(Z$2,Inputs!$D$2:$AG$2,0))))=0,"",SUMIFS(INDEX(Inputs!$D$4:$AG$150,0,MATCH(Z$2,Inputs!$D$2:$AG$2,0)),Inputs!$B$4:$B$150,$B61)/1000)</f>
        <v>69177</v>
      </c>
      <c r="AA61" s="11">
        <f>IF(SUMPRODUCT((Inputs!$B$4:$B$150=$B61)*ISNUMBER(INDEX(Inputs!$D$4:$AG$150,0,MATCH(AA$2,Inputs!$D$2:$AG$2,0))))=0,"",SUMIFS(INDEX(Inputs!$D$4:$AG$150,0,MATCH(AA$2,Inputs!$D$2:$AG$2,0)),Inputs!$B$4:$B$150,$B61)/1000)</f>
        <v>70333</v>
      </c>
      <c r="AB61" s="12">
        <f>IF(COUNT(X61:AA61)=4,SUM(X61:AA61),"")</f>
        <v>270620</v>
      </c>
      <c r="AC61" s="11">
        <f>IF(SUMPRODUCT((Inputs!$B$4:$B$150=$B61)*ISNUMBER(INDEX(Inputs!$D$4:$AG$150,0,MATCH(AC$2,Inputs!$D$2:$AG$2,0))))=0,"",SUMIFS(INDEX(Inputs!$D$4:$AG$150,0,MATCH(AC$2,Inputs!$D$2:$AG$2,0)),Inputs!$B$4:$B$150,$B61)/1000)</f>
        <v>63749</v>
      </c>
      <c r="AD61" s="11">
        <f>IF(SUMPRODUCT((Inputs!$B$4:$B$150=$B61)*ISNUMBER(INDEX(Inputs!$D$4:$AG$150,0,MATCH(AD$2,Inputs!$D$2:$AG$2,0))))=0,"",SUMIFS(INDEX(Inputs!$D$4:$AG$150,0,MATCH(AD$2,Inputs!$D$2:$AG$2,0)),Inputs!$B$4:$B$150,$B61)/1000)</f>
        <v>65663</v>
      </c>
      <c r="AE61" s="11" t="str">
        <f>IF(SUMPRODUCT((Inputs!$B$4:$B$150=$B61)*ISNUMBER(INDEX(Inputs!$D$4:$AG$150,0,MATCH(AE$2,Inputs!$D$2:$AG$2,0))))=0,"",SUMIFS(INDEX(Inputs!$D$4:$AG$150,0,MATCH(AE$2,Inputs!$D$2:$AG$2,0)),Inputs!$B$4:$B$150,$B61)/1000)</f>
        <v/>
      </c>
      <c r="AF61" s="11" t="str">
        <f>IF(SUMPRODUCT((Inputs!$B$4:$B$150=$B61)*ISNUMBER(INDEX(Inputs!$D$4:$AG$150,0,MATCH(AF$2,Inputs!$D$2:$AG$2,0))))=0,"",SUMIFS(INDEX(Inputs!$D$4:$AG$150,0,MATCH(AF$2,Inputs!$D$2:$AG$2,0)),Inputs!$B$4:$B$150,$B61)/1000)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Optum total - lucro operacional (USD)</t>
        </is>
      </c>
      <c r="D62" s="11">
        <f>IF(SUMPRODUCT((Inputs!$B$4:$B$150=$B62)*ISNUMBER(INDEX(Inputs!$D$4:$AG$150,0,MATCH(D$2,Inputs!$D$2:$AG$2,0))))=0,"",SUMIFS(INDEX(Inputs!$D$4:$AG$150,0,MATCH(D$2,Inputs!$D$2:$AG$2,0)),Inputs!$B$4:$B$150,$B62)/1000)</f>
        <v>2631</v>
      </c>
      <c r="E62" s="11">
        <f>IF(SUMPRODUCT((Inputs!$B$4:$B$150=$B62)*ISNUMBER(INDEX(Inputs!$D$4:$AG$150,0,MATCH(E$2,Inputs!$D$2:$AG$2,0))))=0,"",SUMIFS(INDEX(Inputs!$D$4:$AG$150,0,MATCH(E$2,Inputs!$D$2:$AG$2,0)),Inputs!$B$4:$B$150,$B62)/1000)</f>
        <v>2883</v>
      </c>
      <c r="F62" s="11">
        <f>IF(SUMPRODUCT((Inputs!$B$4:$B$150=$B62)*ISNUMBER(INDEX(Inputs!$D$4:$AG$150,0,MATCH(F$2,Inputs!$D$2:$AG$2,0))))=0,"",SUMIFS(INDEX(Inputs!$D$4:$AG$150,0,MATCH(F$2,Inputs!$D$2:$AG$2,0)),Inputs!$B$4:$B$150,$B62)/1000)</f>
        <v>3061</v>
      </c>
      <c r="G62" s="11">
        <f>IF(SUMPRODUCT((Inputs!$B$4:$B$150=$B62)*ISNUMBER(INDEX(Inputs!$D$4:$AG$150,0,MATCH(G$2,Inputs!$D$2:$AG$2,0))))=0,"",SUMIFS(INDEX(Inputs!$D$4:$AG$150,0,MATCH(G$2,Inputs!$D$2:$AG$2,0)),Inputs!$B$4:$B$150,$B62)/1000)</f>
        <v>3420</v>
      </c>
      <c r="H62" s="12">
        <f>IF(COUNT(D62:G62)=4,SUM(D62:G62),"")</f>
        <v>11995</v>
      </c>
      <c r="I62" s="11">
        <f>IF(SUMPRODUCT((Inputs!$B$4:$B$150=$B62)*ISNUMBER(INDEX(Inputs!$D$4:$AG$150,0,MATCH(I$2,Inputs!$D$2:$AG$2,0))))=0,"",SUMIFS(INDEX(Inputs!$D$4:$AG$150,0,MATCH(I$2,Inputs!$D$2:$AG$2,0)),Inputs!$B$4:$B$150,$B62)/1000)</f>
        <v>3152</v>
      </c>
      <c r="J62" s="11">
        <f>IF(SUMPRODUCT((Inputs!$B$4:$B$150=$B62)*ISNUMBER(INDEX(Inputs!$D$4:$AG$150,0,MATCH(J$2,Inputs!$D$2:$AG$2,0))))=0,"",SUMIFS(INDEX(Inputs!$D$4:$AG$150,0,MATCH(J$2,Inputs!$D$2:$AG$2,0)),Inputs!$B$4:$B$150,$B62)/1000)</f>
        <v>3282</v>
      </c>
      <c r="K62" s="11">
        <f>IF(SUMPRODUCT((Inputs!$B$4:$B$150=$B62)*ISNUMBER(INDEX(Inputs!$D$4:$AG$150,0,MATCH(K$2,Inputs!$D$2:$AG$2,0))))=0,"",SUMIFS(INDEX(Inputs!$D$4:$AG$150,0,MATCH(K$2,Inputs!$D$2:$AG$2,0)),Inputs!$B$4:$B$150,$B62)/1000)</f>
        <v>3663</v>
      </c>
      <c r="L62" s="11">
        <f>IF(SUMPRODUCT((Inputs!$B$4:$B$150=$B62)*ISNUMBER(INDEX(Inputs!$D$4:$AG$150,0,MATCH(L$2,Inputs!$D$2:$AG$2,0))))=0,"",SUMIFS(INDEX(Inputs!$D$4:$AG$150,0,MATCH(L$2,Inputs!$D$2:$AG$2,0)),Inputs!$B$4:$B$150,$B62)/1000)</f>
        <v>3959</v>
      </c>
      <c r="M62" s="12">
        <f>IF(COUNT(I62:L62)=4,SUM(I62:L62),"")</f>
        <v>14056</v>
      </c>
      <c r="N62" s="11">
        <f>IF(SUMPRODUCT((Inputs!$B$4:$B$150=$B62)*ISNUMBER(INDEX(Inputs!$D$4:$AG$150,0,MATCH(N$2,Inputs!$D$2:$AG$2,0))))=0,"",SUMIFS(INDEX(Inputs!$D$4:$AG$150,0,MATCH(N$2,Inputs!$D$2:$AG$2,0)),Inputs!$B$4:$B$150,$B62)/1000)</f>
        <v>3743</v>
      </c>
      <c r="O62" s="11">
        <f>IF(SUMPRODUCT((Inputs!$B$4:$B$150=$B62)*ISNUMBER(INDEX(Inputs!$D$4:$AG$150,0,MATCH(O$2,Inputs!$D$2:$AG$2,0))))=0,"",SUMIFS(INDEX(Inputs!$D$4:$AG$150,0,MATCH(O$2,Inputs!$D$2:$AG$2,0)),Inputs!$B$4:$B$150,$B62)/1000)</f>
        <v>3699</v>
      </c>
      <c r="P62" s="11">
        <f>IF(SUMPRODUCT((Inputs!$B$4:$B$150=$B62)*ISNUMBER(INDEX(Inputs!$D$4:$AG$150,0,MATCH(P$2,Inputs!$D$2:$AG$2,0))))=0,"",SUMIFS(INDEX(Inputs!$D$4:$AG$150,0,MATCH(P$2,Inputs!$D$2:$AG$2,0)),Inputs!$B$4:$B$150,$B62)/1000)</f>
        <v>3934</v>
      </c>
      <c r="Q62" s="11">
        <f>IF(SUMPRODUCT((Inputs!$B$4:$B$150=$B62)*ISNUMBER(INDEX(Inputs!$D$4:$AG$150,0,MATCH(Q$2,Inputs!$D$2:$AG$2,0))))=0,"",SUMIFS(INDEX(Inputs!$D$4:$AG$150,0,MATCH(Q$2,Inputs!$D$2:$AG$2,0)),Inputs!$B$4:$B$150,$B62)/1000)</f>
        <v>4567</v>
      </c>
      <c r="R62" s="12">
        <f>IF(COUNT(N62:Q62)=4,SUM(N62:Q62),"")</f>
        <v>15943</v>
      </c>
      <c r="S62" s="11">
        <f>IF(SUMPRODUCT((Inputs!$B$4:$B$150=$B62)*ISNUMBER(INDEX(Inputs!$D$4:$AG$150,0,MATCH(S$2,Inputs!$D$2:$AG$2,0))))=0,"",SUMIFS(INDEX(Inputs!$D$4:$AG$150,0,MATCH(S$2,Inputs!$D$2:$AG$2,0)),Inputs!$B$4:$B$150,$B62)/1000)</f>
        <v>3536</v>
      </c>
      <c r="T62" s="11">
        <f>IF(SUMPRODUCT((Inputs!$B$4:$B$150=$B62)*ISNUMBER(INDEX(Inputs!$D$4:$AG$150,0,MATCH(T$2,Inputs!$D$2:$AG$2,0))))=0,"",SUMIFS(INDEX(Inputs!$D$4:$AG$150,0,MATCH(T$2,Inputs!$D$2:$AG$2,0)),Inputs!$B$4:$B$150,$B62)/1000)</f>
        <v>3871</v>
      </c>
      <c r="U62" s="11">
        <f>IF(SUMPRODUCT((Inputs!$B$4:$B$150=$B62)*ISNUMBER(INDEX(Inputs!$D$4:$AG$150,0,MATCH(U$2,Inputs!$D$2:$AG$2,0))))=0,"",SUMIFS(INDEX(Inputs!$D$4:$AG$150,0,MATCH(U$2,Inputs!$D$2:$AG$2,0)),Inputs!$B$4:$B$150,$B62)/1000)</f>
        <v>4496</v>
      </c>
      <c r="V62" s="11">
        <f>IF(SUMPRODUCT((Inputs!$B$4:$B$150=$B62)*ISNUMBER(INDEX(Inputs!$D$4:$AG$150,0,MATCH(V$2,Inputs!$D$2:$AG$2,0))))=0,"",SUMIFS(INDEX(Inputs!$D$4:$AG$150,0,MATCH(V$2,Inputs!$D$2:$AG$2,0)),Inputs!$B$4:$B$150,$B62)/1000)</f>
        <v>4800</v>
      </c>
      <c r="W62" s="12">
        <f>IF(COUNT(S62:V62)=4,SUM(S62:V62),"")</f>
        <v>16703</v>
      </c>
      <c r="X62" s="11">
        <f>IF(SUMPRODUCT((Inputs!$B$4:$B$150=$B62)*ISNUMBER(INDEX(Inputs!$D$4:$AG$150,0,MATCH(X$2,Inputs!$D$2:$AG$2,0))))=0,"",SUMIFS(INDEX(Inputs!$D$4:$AG$150,0,MATCH(X$2,Inputs!$D$2:$AG$2,0)),Inputs!$B$4:$B$150,$B62)/1000)</f>
        <v>3893</v>
      </c>
      <c r="Y62" s="11">
        <f>IF(SUMPRODUCT((Inputs!$B$4:$B$150=$B62)*ISNUMBER(INDEX(Inputs!$D$4:$AG$150,0,MATCH(Y$2,Inputs!$D$2:$AG$2,0))))=0,"",SUMIFS(INDEX(Inputs!$D$4:$AG$150,0,MATCH(Y$2,Inputs!$D$2:$AG$2,0)),Inputs!$B$4:$B$150,$B62)/1000)</f>
        <v>3075</v>
      </c>
      <c r="Z62" s="11">
        <f>IF(SUMPRODUCT((Inputs!$B$4:$B$150=$B62)*ISNUMBER(INDEX(Inputs!$D$4:$AG$150,0,MATCH(Z$2,Inputs!$D$2:$AG$2,0))))=0,"",SUMIFS(INDEX(Inputs!$D$4:$AG$150,0,MATCH(Z$2,Inputs!$D$2:$AG$2,0)),Inputs!$B$4:$B$150,$B62)/1000)</f>
        <v>2510</v>
      </c>
      <c r="AA62" s="11">
        <f>IF(SUMPRODUCT((Inputs!$B$4:$B$150=$B62)*ISNUMBER(INDEX(Inputs!$D$4:$AG$150,0,MATCH(AA$2,Inputs!$D$2:$AG$2,0))))=0,"",SUMIFS(INDEX(Inputs!$D$4:$AG$150,0,MATCH(AA$2,Inputs!$D$2:$AG$2,0)),Inputs!$B$4:$B$150,$B62)/1000)</f>
        <v>61</v>
      </c>
      <c r="AB62" s="12">
        <f>IF(COUNT(X62:AA62)=4,SUM(X62:AA62),"")</f>
        <v>9539</v>
      </c>
      <c r="AC62" s="11">
        <f>IF(SUMPRODUCT((Inputs!$B$4:$B$150=$B62)*ISNUMBER(INDEX(Inputs!$D$4:$AG$150,0,MATCH(AC$2,Inputs!$D$2:$AG$2,0))))=0,"",SUMIFS(INDEX(Inputs!$D$4:$AG$150,0,MATCH(AC$2,Inputs!$D$2:$AG$2,0)),Inputs!$B$4:$B$150,$B62)/1000)</f>
        <v>3296</v>
      </c>
      <c r="AD62" s="11">
        <f>IF(SUMPRODUCT((Inputs!$B$4:$B$150=$B62)*ISNUMBER(INDEX(Inputs!$D$4:$AG$150,0,MATCH(AD$2,Inputs!$D$2:$AG$2,0))))=0,"",SUMIFS(INDEX(Inputs!$D$4:$AG$150,0,MATCH(AD$2,Inputs!$D$2:$AG$2,0)),Inputs!$B$4:$B$150,$B62)/1000)</f>
        <v>4049</v>
      </c>
      <c r="AE62" s="11" t="str">
        <f>IF(SUMPRODUCT((Inputs!$B$4:$B$150=$B62)*ISNUMBER(INDEX(Inputs!$D$4:$AG$150,0,MATCH(AE$2,Inputs!$D$2:$AG$2,0))))=0,"",SUMIFS(INDEX(Inputs!$D$4:$AG$150,0,MATCH(AE$2,Inputs!$D$2:$AG$2,0)),Inputs!$B$4:$B$150,$B62)/1000)</f>
        <v/>
      </c>
      <c r="AF62" s="11" t="str">
        <f>IF(SUMPRODUCT((Inputs!$B$4:$B$150=$B62)*ISNUMBER(INDEX(Inputs!$D$4:$AG$150,0,MATCH(AF$2,Inputs!$D$2:$AG$2,0))))=0,"",SUMIFS(INDEX(Inputs!$D$4:$AG$150,0,MATCH(AF$2,Inputs!$D$2:$AG$2,0)),Inputs!$B$4:$B$150,$B62)/1000)</f>
        <v/>
      </c>
      <c r="AG62" s="12" t="str">
        <f>IF(COUNT(AC62:AF62)=4,SUM(AC62:AF62),"")</f>
        <v/>
      </c>
    </row>
    <row r="63">
      <c r="B63" s="9" t="n">
        <v>55</v>
      </c>
      <c r="C63" s="10" t="inlineStr">
        <is>
          <t>Receita de produtos (USD)</t>
        </is>
      </c>
      <c r="D63" s="11">
        <f>IF(SUMPRODUCT((Inputs!$B$4:$B$150=$B63)*ISNUMBER(INDEX(Inputs!$D$4:$AG$150,0,MATCH(D$2,Inputs!$D$2:$AG$2,0))))=0,"",SUMIFS(INDEX(Inputs!$D$4:$AG$150,0,MATCH(D$2,Inputs!$D$2:$AG$2,0)),Inputs!$B$4:$B$150,$B63)/1000)</f>
        <v>8340</v>
      </c>
      <c r="E63" s="11">
        <f>IF(SUMPRODUCT((Inputs!$B$4:$B$150=$B63)*ISNUMBER(INDEX(Inputs!$D$4:$AG$150,0,MATCH(E$2,Inputs!$D$2:$AG$2,0))))=0,"",SUMIFS(INDEX(Inputs!$D$4:$AG$150,0,MATCH(E$2,Inputs!$D$2:$AG$2,0)),Inputs!$B$4:$B$150,$B63)/1000)</f>
        <v>8433</v>
      </c>
      <c r="F63" s="11">
        <f>IF(SUMPRODUCT((Inputs!$B$4:$B$150=$B63)*ISNUMBER(INDEX(Inputs!$D$4:$AG$150,0,MATCH(F$2,Inputs!$D$2:$AG$2,0))))=0,"",SUMIFS(INDEX(Inputs!$D$4:$AG$150,0,MATCH(F$2,Inputs!$D$2:$AG$2,0)),Inputs!$B$4:$B$150,$B63)/1000)</f>
        <v>8703</v>
      </c>
      <c r="G63" s="11">
        <f>IF(SUMPRODUCT((Inputs!$B$4:$B$150=$B63)*ISNUMBER(INDEX(Inputs!$D$4:$AG$150,0,MATCH(G$2,Inputs!$D$2:$AG$2,0))))=0,"",SUMIFS(INDEX(Inputs!$D$4:$AG$150,0,MATCH(G$2,Inputs!$D$2:$AG$2,0)),Inputs!$B$4:$B$150,$B63)/1000)</f>
        <v>8961</v>
      </c>
      <c r="H63" s="12">
        <f>IF(COUNT(D63:G63)=4,SUM(D63:G63),"")</f>
        <v>34437</v>
      </c>
      <c r="I63" s="11">
        <f>IF(SUMPRODUCT((Inputs!$B$4:$B$150=$B63)*ISNUMBER(INDEX(Inputs!$D$4:$AG$150,0,MATCH(I$2,Inputs!$D$2:$AG$2,0))))=0,"",SUMIFS(INDEX(Inputs!$D$4:$AG$150,0,MATCH(I$2,Inputs!$D$2:$AG$2,0)),Inputs!$B$4:$B$150,$B63)/1000)</f>
        <v>9340</v>
      </c>
      <c r="J63" s="11">
        <f>IF(SUMPRODUCT((Inputs!$B$4:$B$150=$B63)*ISNUMBER(INDEX(Inputs!$D$4:$AG$150,0,MATCH(J$2,Inputs!$D$2:$AG$2,0))))=0,"",SUMIFS(INDEX(Inputs!$D$4:$AG$150,0,MATCH(J$2,Inputs!$D$2:$AG$2,0)),Inputs!$B$4:$B$150,$B63)/1000)</f>
        <v>9496</v>
      </c>
      <c r="K63" s="11">
        <f>IF(SUMPRODUCT((Inputs!$B$4:$B$150=$B63)*ISNUMBER(INDEX(Inputs!$D$4:$AG$150,0,MATCH(K$2,Inputs!$D$2:$AG$2,0))))=0,"",SUMIFS(INDEX(Inputs!$D$4:$AG$150,0,MATCH(K$2,Inputs!$D$2:$AG$2,0)),Inputs!$B$4:$B$150,$B63)/1000)</f>
        <v>9190</v>
      </c>
      <c r="L63" s="11">
        <f>IF(SUMPRODUCT((Inputs!$B$4:$B$150=$B63)*ISNUMBER(INDEX(Inputs!$D$4:$AG$150,0,MATCH(L$2,Inputs!$D$2:$AG$2,0))))=0,"",SUMIFS(INDEX(Inputs!$D$4:$AG$150,0,MATCH(L$2,Inputs!$D$2:$AG$2,0)),Inputs!$B$4:$B$150,$B63)/1000)</f>
        <v>9398</v>
      </c>
      <c r="M63" s="12">
        <f>IF(COUNT(I63:L63)=4,SUM(I63:L63),"")</f>
        <v>37424</v>
      </c>
      <c r="N63" s="11">
        <f>IF(SUMPRODUCT((Inputs!$B$4:$B$150=$B63)*ISNUMBER(INDEX(Inputs!$D$4:$AG$150,0,MATCH(N$2,Inputs!$D$2:$AG$2,0))))=0,"",SUMIFS(INDEX(Inputs!$D$4:$AG$150,0,MATCH(N$2,Inputs!$D$2:$AG$2,0)),Inputs!$B$4:$B$150,$B63)/1000)</f>
        <v>10267</v>
      </c>
      <c r="O63" s="11">
        <f>IF(SUMPRODUCT((Inputs!$B$4:$B$150=$B63)*ISNUMBER(INDEX(Inputs!$D$4:$AG$150,0,MATCH(O$2,Inputs!$D$2:$AG$2,0))))=0,"",SUMIFS(INDEX(Inputs!$D$4:$AG$150,0,MATCH(O$2,Inputs!$D$2:$AG$2,0)),Inputs!$B$4:$B$150,$B63)/1000)</f>
        <v>10651</v>
      </c>
      <c r="P63" s="11">
        <f>IF(SUMPRODUCT((Inputs!$B$4:$B$150=$B63)*ISNUMBER(INDEX(Inputs!$D$4:$AG$150,0,MATCH(P$2,Inputs!$D$2:$AG$2,0))))=0,"",SUMIFS(INDEX(Inputs!$D$4:$AG$150,0,MATCH(P$2,Inputs!$D$2:$AG$2,0)),Inputs!$B$4:$B$150,$B63)/1000)</f>
        <v>10354</v>
      </c>
      <c r="Q63" s="11">
        <f>IF(SUMPRODUCT((Inputs!$B$4:$B$150=$B63)*ISNUMBER(INDEX(Inputs!$D$4:$AG$150,0,MATCH(Q$2,Inputs!$D$2:$AG$2,0))))=0,"",SUMIFS(INDEX(Inputs!$D$4:$AG$150,0,MATCH(Q$2,Inputs!$D$2:$AG$2,0)),Inputs!$B$4:$B$150,$B63)/1000)</f>
        <v>11311</v>
      </c>
      <c r="R63" s="12">
        <f>IF(COUNT(N63:Q63)=4,SUM(N63:Q63),"")</f>
        <v>42583</v>
      </c>
      <c r="S63" s="11">
        <f>IF(SUMPRODUCT((Inputs!$B$4:$B$150=$B63)*ISNUMBER(INDEX(Inputs!$D$4:$AG$150,0,MATCH(S$2,Inputs!$D$2:$AG$2,0))))=0,"",SUMIFS(INDEX(Inputs!$D$4:$AG$150,0,MATCH(S$2,Inputs!$D$2:$AG$2,0)),Inputs!$B$4:$B$150,$B63)/1000)</f>
        <v>11909</v>
      </c>
      <c r="T63" s="11">
        <f>IF(SUMPRODUCT((Inputs!$B$4:$B$150=$B63)*ISNUMBER(INDEX(Inputs!$D$4:$AG$150,0,MATCH(T$2,Inputs!$D$2:$AG$2,0))))=0,"",SUMIFS(INDEX(Inputs!$D$4:$AG$150,0,MATCH(T$2,Inputs!$D$2:$AG$2,0)),Inputs!$B$4:$B$150,$B63)/1000)</f>
        <v>12211</v>
      </c>
      <c r="U63" s="11">
        <f>IF(SUMPRODUCT((Inputs!$B$4:$B$150=$B63)*ISNUMBER(INDEX(Inputs!$D$4:$AG$150,0,MATCH(U$2,Inputs!$D$2:$AG$2,0))))=0,"",SUMIFS(INDEX(Inputs!$D$4:$AG$150,0,MATCH(U$2,Inputs!$D$2:$AG$2,0)),Inputs!$B$4:$B$150,$B63)/1000)</f>
        <v>12631</v>
      </c>
      <c r="V63" s="11">
        <f>IF(SUMPRODUCT((Inputs!$B$4:$B$150=$B63)*ISNUMBER(INDEX(Inputs!$D$4:$AG$150,0,MATCH(V$2,Inputs!$D$2:$AG$2,0))))=0,"",SUMIFS(INDEX(Inputs!$D$4:$AG$150,0,MATCH(V$2,Inputs!$D$2:$AG$2,0)),Inputs!$B$4:$B$150,$B63)/1000)</f>
        <v>13475</v>
      </c>
      <c r="W63" s="12">
        <f>IF(COUNT(S63:V63)=4,SUM(S63:V63),"")</f>
        <v>50226</v>
      </c>
      <c r="X63" s="11">
        <f>IF(SUMPRODUCT((Inputs!$B$4:$B$150=$B63)*ISNUMBER(INDEX(Inputs!$D$4:$AG$150,0,MATCH(X$2,Inputs!$D$2:$AG$2,0))))=0,"",SUMIFS(INDEX(Inputs!$D$4:$AG$150,0,MATCH(X$2,Inputs!$D$2:$AG$2,0)),Inputs!$B$4:$B$150,$B63)/1000)</f>
        <v>13036</v>
      </c>
      <c r="Y63" s="11">
        <f>IF(SUMPRODUCT((Inputs!$B$4:$B$150=$B63)*ISNUMBER(INDEX(Inputs!$D$4:$AG$150,0,MATCH(Y$2,Inputs!$D$2:$AG$2,0))))=0,"",SUMIFS(INDEX(Inputs!$D$4:$AG$150,0,MATCH(Y$2,Inputs!$D$2:$AG$2,0)),Inputs!$B$4:$B$150,$B63)/1000)</f>
        <v>13564</v>
      </c>
      <c r="Z63" s="11">
        <f>IF(SUMPRODUCT((Inputs!$B$4:$B$150=$B63)*ISNUMBER(INDEX(Inputs!$D$4:$AG$150,0,MATCH(Z$2,Inputs!$D$2:$AG$2,0))))=0,"",SUMIFS(INDEX(Inputs!$D$4:$AG$150,0,MATCH(Z$2,Inputs!$D$2:$AG$2,0)),Inputs!$B$4:$B$150,$B63)/1000)</f>
        <v>13296</v>
      </c>
      <c r="AA63" s="11">
        <f>IF(SUMPRODUCT((Inputs!$B$4:$B$150=$B63)*ISNUMBER(INDEX(Inputs!$D$4:$AG$150,0,MATCH(AA$2,Inputs!$D$2:$AG$2,0))))=0,"",SUMIFS(INDEX(Inputs!$D$4:$AG$150,0,MATCH(AA$2,Inputs!$D$2:$AG$2,0)),Inputs!$B$4:$B$150,$B63)/1000)</f>
        <v>13484</v>
      </c>
      <c r="AB63" s="12">
        <f>IF(COUNT(X63:AA63)=4,SUM(X63:AA63),"")</f>
        <v>53380</v>
      </c>
      <c r="AC63" s="11">
        <f>IF(SUMPRODUCT((Inputs!$B$4:$B$150=$B63)*ISNUMBER(INDEX(Inputs!$D$4:$AG$150,0,MATCH(AC$2,Inputs!$D$2:$AG$2,0))))=0,"",SUMIFS(INDEX(Inputs!$D$4:$AG$150,0,MATCH(AC$2,Inputs!$D$2:$AG$2,0)),Inputs!$B$4:$B$150,$B63)/1000)</f>
        <v>13250</v>
      </c>
      <c r="AD63" s="11">
        <f>IF(SUMPRODUCT((Inputs!$B$4:$B$150=$B63)*ISNUMBER(INDEX(Inputs!$D$4:$AG$150,0,MATCH(AD$2,Inputs!$D$2:$AG$2,0))))=0,"",SUMIFS(INDEX(Inputs!$D$4:$AG$150,0,MATCH(AD$2,Inputs!$D$2:$AG$2,0)),Inputs!$B$4:$B$150,$B63)/1000)</f>
        <v>13835</v>
      </c>
      <c r="AE63" s="11" t="str">
        <f>IF(SUMPRODUCT((Inputs!$B$4:$B$150=$B63)*ISNUMBER(INDEX(Inputs!$D$4:$AG$150,0,MATCH(AE$2,Inputs!$D$2:$AG$2,0))))=0,"",SUMIFS(INDEX(Inputs!$D$4:$AG$150,0,MATCH(AE$2,Inputs!$D$2:$AG$2,0)),Inputs!$B$4:$B$150,$B63)/1000)</f>
        <v/>
      </c>
      <c r="AF63" s="11" t="str">
        <f>IF(SUMPRODUCT((Inputs!$B$4:$B$150=$B63)*ISNUMBER(INDEX(Inputs!$D$4:$AG$150,0,MATCH(AF$2,Inputs!$D$2:$AG$2,0))))=0,"",SUMIFS(INDEX(Inputs!$D$4:$AG$150,0,MATCH(AF$2,Inputs!$D$2:$AG$2,0)),Inputs!$B$4:$B$150,$B63)/1000)</f>
        <v/>
      </c>
      <c r="AG63" s="12" t="str">
        <f>IF(COUNT(AC63:AF63)=4,SUM(AC63:AF63),"")</f>
        <v/>
      </c>
    </row>
    <row r="64">
      <c r="B64" s="9" t="n">
        <v>56</v>
      </c>
      <c r="C64" s="10" t="inlineStr">
        <is>
          <t>Receita de serviços (contratos com clientes) (USD)</t>
        </is>
      </c>
      <c r="D64" s="11">
        <f>IF(SUMPRODUCT((Inputs!$B$4:$B$150=$B64)*ISNUMBER(INDEX(Inputs!$D$4:$AG$150,0,MATCH(D$2,Inputs!$D$2:$AG$2,0))))=0,"",SUMIFS(INDEX(Inputs!$D$4:$AG$150,0,MATCH(D$2,Inputs!$D$2:$AG$2,0)),Inputs!$B$4:$B$150,$B64)/1000)</f>
        <v>5918</v>
      </c>
      <c r="E64" s="11">
        <f>IF(SUMPRODUCT((Inputs!$B$4:$B$150=$B64)*ISNUMBER(INDEX(Inputs!$D$4:$AG$150,0,MATCH(E$2,Inputs!$D$2:$AG$2,0))))=0,"",SUMIFS(INDEX(Inputs!$D$4:$AG$150,0,MATCH(E$2,Inputs!$D$2:$AG$2,0)),Inputs!$B$4:$B$150,$B64)/1000)</f>
        <v>6099</v>
      </c>
      <c r="F64" s="11">
        <f>IF(SUMPRODUCT((Inputs!$B$4:$B$150=$B64)*ISNUMBER(INDEX(Inputs!$D$4:$AG$150,0,MATCH(F$2,Inputs!$D$2:$AG$2,0))))=0,"",SUMIFS(INDEX(Inputs!$D$4:$AG$150,0,MATCH(F$2,Inputs!$D$2:$AG$2,0)),Inputs!$B$4:$B$150,$B64)/1000)</f>
        <v>6164</v>
      </c>
      <c r="G64" s="11">
        <f>IF(SUMPRODUCT((Inputs!$B$4:$B$150=$B64)*ISNUMBER(INDEX(Inputs!$D$4:$AG$150,0,MATCH(G$2,Inputs!$D$2:$AG$2,0))))=0,"",SUMIFS(INDEX(Inputs!$D$4:$AG$150,0,MATCH(G$2,Inputs!$D$2:$AG$2,0)),Inputs!$B$4:$B$150,$B64)/1000)</f>
        <v>6422</v>
      </c>
      <c r="H64" s="12">
        <f>IF(COUNT(D64:G64)=4,SUM(D64:G64),"")</f>
        <v>24603</v>
      </c>
      <c r="I64" s="11">
        <f>IF(SUMPRODUCT((Inputs!$B$4:$B$150=$B64)*ISNUMBER(INDEX(Inputs!$D$4:$AG$150,0,MATCH(I$2,Inputs!$D$2:$AG$2,0))))=0,"",SUMIFS(INDEX(Inputs!$D$4:$AG$150,0,MATCH(I$2,Inputs!$D$2:$AG$2,0)),Inputs!$B$4:$B$150,$B64)/1000)</f>
        <v>6372</v>
      </c>
      <c r="J64" s="11">
        <f>IF(SUMPRODUCT((Inputs!$B$4:$B$150=$B64)*ISNUMBER(INDEX(Inputs!$D$4:$AG$150,0,MATCH(J$2,Inputs!$D$2:$AG$2,0))))=0,"",SUMIFS(INDEX(Inputs!$D$4:$AG$150,0,MATCH(J$2,Inputs!$D$2:$AG$2,0)),Inputs!$B$4:$B$150,$B64)/1000)</f>
        <v>6645</v>
      </c>
      <c r="K64" s="11">
        <f>IF(SUMPRODUCT((Inputs!$B$4:$B$150=$B64)*ISNUMBER(INDEX(Inputs!$D$4:$AG$150,0,MATCH(K$2,Inputs!$D$2:$AG$2,0))))=0,"",SUMIFS(INDEX(Inputs!$D$4:$AG$150,0,MATCH(K$2,Inputs!$D$2:$AG$2,0)),Inputs!$B$4:$B$150,$B64)/1000)</f>
        <v>6700</v>
      </c>
      <c r="L64" s="11">
        <f>IF(SUMPRODUCT((Inputs!$B$4:$B$150=$B64)*ISNUMBER(INDEX(Inputs!$D$4:$AG$150,0,MATCH(L$2,Inputs!$D$2:$AG$2,0))))=0,"",SUMIFS(INDEX(Inputs!$D$4:$AG$150,0,MATCH(L$2,Inputs!$D$2:$AG$2,0)),Inputs!$B$4:$B$150,$B64)/1000)</f>
        <v>7834</v>
      </c>
      <c r="M64" s="12">
        <f>IF(COUNT(I64:L64)=4,SUM(I64:L64),"")</f>
        <v>27551</v>
      </c>
      <c r="N64" s="11">
        <f>IF(SUMPRODUCT((Inputs!$B$4:$B$150=$B64)*ISNUMBER(INDEX(Inputs!$D$4:$AG$150,0,MATCH(N$2,Inputs!$D$2:$AG$2,0))))=0,"",SUMIFS(INDEX(Inputs!$D$4:$AG$150,0,MATCH(N$2,Inputs!$D$2:$AG$2,0)),Inputs!$B$4:$B$150,$B64)/1000)</f>
        <v>8080</v>
      </c>
      <c r="O64" s="11">
        <f>IF(SUMPRODUCT((Inputs!$B$4:$B$150=$B64)*ISNUMBER(INDEX(Inputs!$D$4:$AG$150,0,MATCH(O$2,Inputs!$D$2:$AG$2,0))))=0,"",SUMIFS(INDEX(Inputs!$D$4:$AG$150,0,MATCH(O$2,Inputs!$D$2:$AG$2,0)),Inputs!$B$4:$B$150,$B64)/1000)</f>
        <v>8663</v>
      </c>
      <c r="P64" s="11">
        <f>IF(SUMPRODUCT((Inputs!$B$4:$B$150=$B64)*ISNUMBER(INDEX(Inputs!$D$4:$AG$150,0,MATCH(P$2,Inputs!$D$2:$AG$2,0))))=0,"",SUMIFS(INDEX(Inputs!$D$4:$AG$150,0,MATCH(P$2,Inputs!$D$2:$AG$2,0)),Inputs!$B$4:$B$150,$B64)/1000)</f>
        <v>8671</v>
      </c>
      <c r="Q64" s="11">
        <f>IF(SUMPRODUCT((Inputs!$B$4:$B$150=$B64)*ISNUMBER(INDEX(Inputs!$D$4:$AG$150,0,MATCH(Q$2,Inputs!$D$2:$AG$2,0))))=0,"",SUMIFS(INDEX(Inputs!$D$4:$AG$150,0,MATCH(Q$2,Inputs!$D$2:$AG$2,0)),Inputs!$B$4:$B$150,$B64)/1000)</f>
        <v>8709</v>
      </c>
      <c r="R64" s="12">
        <f>IF(COUNT(N64:Q64)=4,SUM(N64:Q64),"")</f>
        <v>34123</v>
      </c>
      <c r="S64" s="11">
        <f>IF(SUMPRODUCT((Inputs!$B$4:$B$150=$B64)*ISNUMBER(INDEX(Inputs!$D$4:$AG$150,0,MATCH(S$2,Inputs!$D$2:$AG$2,0))))=0,"",SUMIFS(INDEX(Inputs!$D$4:$AG$150,0,MATCH(S$2,Inputs!$D$2:$AG$2,0)),Inputs!$B$4:$B$150,$B64)/1000)</f>
        <v>8888</v>
      </c>
      <c r="T64" s="11">
        <f>IF(SUMPRODUCT((Inputs!$B$4:$B$150=$B64)*ISNUMBER(INDEX(Inputs!$D$4:$AG$150,0,MATCH(T$2,Inputs!$D$2:$AG$2,0))))=0,"",SUMIFS(INDEX(Inputs!$D$4:$AG$150,0,MATCH(T$2,Inputs!$D$2:$AG$2,0)),Inputs!$B$4:$B$150,$B64)/1000)</f>
        <v>8750</v>
      </c>
      <c r="U64" s="11">
        <f>IF(SUMPRODUCT((Inputs!$B$4:$B$150=$B64)*ISNUMBER(INDEX(Inputs!$D$4:$AG$150,0,MATCH(U$2,Inputs!$D$2:$AG$2,0))))=0,"",SUMIFS(INDEX(Inputs!$D$4:$AG$150,0,MATCH(U$2,Inputs!$D$2:$AG$2,0)),Inputs!$B$4:$B$150,$B64)/1000)</f>
        <v>9104</v>
      </c>
      <c r="V64" s="11">
        <f>IF(SUMPRODUCT((Inputs!$B$4:$B$150=$B64)*ISNUMBER(INDEX(Inputs!$D$4:$AG$150,0,MATCH(V$2,Inputs!$D$2:$AG$2,0))))=0,"",SUMIFS(INDEX(Inputs!$D$4:$AG$150,0,MATCH(V$2,Inputs!$D$2:$AG$2,0)),Inputs!$B$4:$B$150,$B64)/1000)</f>
        <v>9298</v>
      </c>
      <c r="W64" s="12">
        <f>IF(COUNT(S64:V64)=4,SUM(S64:V64),"")</f>
        <v>36040</v>
      </c>
      <c r="X64" s="11">
        <f>IF(SUMPRODUCT((Inputs!$B$4:$B$150=$B64)*ISNUMBER(INDEX(Inputs!$D$4:$AG$150,0,MATCH(X$2,Inputs!$D$2:$AG$2,0))))=0,"",SUMIFS(INDEX(Inputs!$D$4:$AG$150,0,MATCH(X$2,Inputs!$D$2:$AG$2,0)),Inputs!$B$4:$B$150,$B64)/1000)</f>
        <v>8972</v>
      </c>
      <c r="Y64" s="11">
        <f>IF(SUMPRODUCT((Inputs!$B$4:$B$150=$B64)*ISNUMBER(INDEX(Inputs!$D$4:$AG$150,0,MATCH(Y$2,Inputs!$D$2:$AG$2,0))))=0,"",SUMIFS(INDEX(Inputs!$D$4:$AG$150,0,MATCH(Y$2,Inputs!$D$2:$AG$2,0)),Inputs!$B$4:$B$150,$B64)/1000)</f>
        <v>9039</v>
      </c>
      <c r="Z64" s="11">
        <f>IF(SUMPRODUCT((Inputs!$B$4:$B$150=$B64)*ISNUMBER(INDEX(Inputs!$D$4:$AG$150,0,MATCH(Z$2,Inputs!$D$2:$AG$2,0))))=0,"",SUMIFS(INDEX(Inputs!$D$4:$AG$150,0,MATCH(Z$2,Inputs!$D$2:$AG$2,0)),Inputs!$B$4:$B$150,$B64)/1000)</f>
        <v>9754</v>
      </c>
      <c r="AA64" s="11">
        <f>IF(SUMPRODUCT((Inputs!$B$4:$B$150=$B64)*ISNUMBER(INDEX(Inputs!$D$4:$AG$150,0,MATCH(AA$2,Inputs!$D$2:$AG$2,0))))=0,"",SUMIFS(INDEX(Inputs!$D$4:$AG$150,0,MATCH(AA$2,Inputs!$D$2:$AG$2,0)),Inputs!$B$4:$B$150,$B64)/1000)</f>
        <v>10273</v>
      </c>
      <c r="AB64" s="12">
        <f>IF(COUNT(X64:AA64)=4,SUM(X64:AA64),"")</f>
        <v>38038</v>
      </c>
      <c r="AC64" s="11">
        <f>IF(SUMPRODUCT((Inputs!$B$4:$B$150=$B64)*ISNUMBER(INDEX(Inputs!$D$4:$AG$150,0,MATCH(AC$2,Inputs!$D$2:$AG$2,0))))=0,"",SUMIFS(INDEX(Inputs!$D$4:$AG$150,0,MATCH(AC$2,Inputs!$D$2:$AG$2,0)),Inputs!$B$4:$B$150,$B64)/1000)</f>
        <v>9779</v>
      </c>
      <c r="AD64" s="11">
        <f>IF(SUMPRODUCT((Inputs!$B$4:$B$150=$B64)*ISNUMBER(INDEX(Inputs!$D$4:$AG$150,0,MATCH(AD$2,Inputs!$D$2:$AG$2,0))))=0,"",SUMIFS(INDEX(Inputs!$D$4:$AG$150,0,MATCH(AD$2,Inputs!$D$2:$AG$2,0)),Inputs!$B$4:$B$150,$B64)/1000)</f>
        <v>10018</v>
      </c>
      <c r="AE64" s="11" t="str">
        <f>IF(SUMPRODUCT((Inputs!$B$4:$B$150=$B64)*ISNUMBER(INDEX(Inputs!$D$4:$AG$150,0,MATCH(AE$2,Inputs!$D$2:$AG$2,0))))=0,"",SUMIFS(INDEX(Inputs!$D$4:$AG$150,0,MATCH(AE$2,Inputs!$D$2:$AG$2,0)),Inputs!$B$4:$B$150,$B64)/1000)</f>
        <v/>
      </c>
      <c r="AF64" s="11" t="str">
        <f>IF(SUMPRODUCT((Inputs!$B$4:$B$150=$B64)*ISNUMBER(INDEX(Inputs!$D$4:$AG$150,0,MATCH(AF$2,Inputs!$D$2:$AG$2,0))))=0,"",SUMIFS(INDEX(Inputs!$D$4:$AG$150,0,MATCH(AF$2,Inputs!$D$2:$AG$2,0)),Inputs!$B$4:$B$150,$B64)/1000)</f>
        <v/>
      </c>
      <c r="AG64" s="12" t="str">
        <f>IF(COUNT(AC64:AF64)=4,SUM(AC64:AF64),"")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2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4111.36526590802</v>
      </c>
      <c r="AK1" s="12">
        <f>IF(AK2="","",SUM(AK2,AK3))</f>
        <v>4113.32719381922</v>
      </c>
      <c r="AL1" s="12">
        <f>IF(AL2="","",SUM(AL2,AL3))</f>
        <v>19988.6924597272</v>
      </c>
      <c r="AM1" s="12">
        <f>IF(AM2="","",SUM(AM2,AM3))</f>
        <v>4059.04718827608</v>
      </c>
      <c r="AN1" s="12">
        <f>IF(AN2="","",SUM(AN2,AN3))</f>
        <v>4070.34643976465</v>
      </c>
      <c r="AO1" s="12">
        <f>IF(AO2="","",SUM(AO2,AO3))</f>
        <v>4451.15777823487</v>
      </c>
      <c r="AP1" s="12">
        <f>IF(AP2="","",SUM(AP2,AP3))</f>
        <v>4453.28185384418</v>
      </c>
      <c r="AQ1" s="12">
        <f>IF(AQ2="","",SUM(AQ2,AQ3))</f>
        <v>17033.8332601198</v>
      </c>
      <c r="AR1" s="12">
        <f>IF(AR2="","",SUM(AR2,AR3))</f>
        <v>4374.22052604533</v>
      </c>
      <c r="AS1" s="12">
        <f>IF(AS2="","",SUM(AS2,AS3))</f>
        <v>4386.39713190815</v>
      </c>
      <c r="AT1" s="12">
        <f>IF(AT2="","",SUM(AT2,AT3))</f>
        <v>4796.77737535507</v>
      </c>
      <c r="AU1" s="12">
        <f>IF(AU2="","",SUM(AU2,AU3))</f>
        <v>4799.06637932524</v>
      </c>
      <c r="AV1" s="12">
        <f>IF(AV2="","",SUM(AV2,AV3))</f>
        <v>18356.4614126338</v>
      </c>
      <c r="AW1" s="12">
        <f>IF(AW2="","",SUM(AW2,AW3))</f>
        <v>4691.99506422323</v>
      </c>
      <c r="AX1" s="12">
        <f>IF(AX2="","",SUM(AX2,AX3))</f>
        <v>4705.05626547432</v>
      </c>
      <c r="AY1" s="12">
        <f>IF(AY2="","",SUM(AY2,AY3))</f>
        <v>5145.24945309317</v>
      </c>
      <c r="AZ1" s="12">
        <f>IF(AZ2="","",SUM(AZ2,AZ3))</f>
        <v>5147.70474661714</v>
      </c>
      <c r="BA1" s="12">
        <f>IF(BA2="","",SUM(BA2,BA3))</f>
        <v>19690.0055294079</v>
      </c>
      <c r="BB1" s="12">
        <f>IF(BB2="","",SUM(BB2,BB3))</f>
        <v>5009.39503315704</v>
      </c>
      <c r="BC1" s="12">
        <f>IF(BC2="","",SUM(BC2,BC3))</f>
        <v>5023.33978710045</v>
      </c>
      <c r="BD1" s="12">
        <f>IF(BD2="","",SUM(BD2,BD3))</f>
        <v>5493.31077758623</v>
      </c>
      <c r="BE1" s="12">
        <f>IF(BE2="","",SUM(BE2,BE3))</f>
        <v>5495.93216465413</v>
      </c>
      <c r="BF1" s="12">
        <f>IF(BF2="","",SUM(BF2,BF3))</f>
        <v>21021.9777624978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IF(COUNT(I197,I273)&lt;2,"",ABS(I197-I273))</f>
        <v>0</v>
      </c>
      <c r="J2" s="12">
        <f>IF(COUNT(J197,J273)&lt;2,"",ABS(J197-J273))</f>
        <v>0</v>
      </c>
      <c r="K2" s="12">
        <f>IF(COUNT(K197,K273)&lt;2,"",ABS(K197-K273))</f>
        <v>0</v>
      </c>
      <c r="L2" s="12">
        <f>IF(COUNT(L197,L273)&lt;2,"",ABS(L197-L273))</f>
        <v>0</v>
      </c>
      <c r="M2" s="12">
        <f>IF(COUNT(M197,M273)&lt;2,"",ABS(M197-M273))</f>
        <v>0</v>
      </c>
      <c r="N2" s="12">
        <f>IF(COUNT(N197,N273)&lt;2,"",ABS(N197-N273))</f>
        <v>0</v>
      </c>
      <c r="O2" s="12">
        <f>IF(COUNT(O197,O273)&lt;2,"",ABS(O197-O273))</f>
        <v>0</v>
      </c>
      <c r="P2" s="12">
        <f>IF(COUNT(P197,P273)&lt;2,"",ABS(P197-P273))</f>
        <v>0</v>
      </c>
      <c r="Q2" s="12">
        <f>IF(COUNT(Q197,Q273)&lt;2,"",ABS(Q197-Q273))</f>
        <v>0</v>
      </c>
      <c r="R2" s="12">
        <f>IF(COUNT(R197,R273)&lt;2,"",ABS(R197-R273))</f>
        <v>0</v>
      </c>
      <c r="S2" s="12">
        <f>IF(COUNT(S197,S273)&lt;2,"",ABS(S197-S273))</f>
        <v>0</v>
      </c>
      <c r="T2" s="12">
        <f>IF(COUNT(T197,T273)&lt;2,"",ABS(T197-T273))</f>
        <v>0</v>
      </c>
      <c r="U2" s="12">
        <f>IF(COUNT(U197,U273)&lt;2,"",ABS(U197-U273))</f>
        <v>0</v>
      </c>
      <c r="V2" s="12">
        <f>IF(COUNT(V197,V273)&lt;2,"",ABS(V197-V273))</f>
        <v>0</v>
      </c>
      <c r="W2" s="12">
        <f>IF(COUNT(W197,W273)&lt;2,"",ABS(W197-W273))</f>
        <v>0</v>
      </c>
      <c r="X2" s="12">
        <f>IF(COUNT(X197,X273)&lt;2,"",ABS(X197-X273))</f>
        <v>0</v>
      </c>
      <c r="Y2" s="12">
        <f>IF(COUNT(Y197,Y273)&lt;2,"",ABS(Y197-Y273))</f>
        <v>0</v>
      </c>
      <c r="Z2" s="12">
        <f>IF(COUNT(Z197,Z273)&lt;2,"",ABS(Z197-Z273))</f>
        <v>0</v>
      </c>
      <c r="AA2" s="12">
        <f>IF(COUNT(AA197,AA273)&lt;2,"",ABS(AA197-AA273))</f>
        <v>0</v>
      </c>
      <c r="AB2" s="12">
        <f>IF(COUNT(AB197,AB273)&lt;2,"",ABS(AB197-AB273))</f>
        <v>0</v>
      </c>
      <c r="AC2" s="12">
        <f>IF(COUNT(AC197,AC273)&lt;2,"",ABS(AC197-AC273))</f>
        <v>0</v>
      </c>
      <c r="AD2" s="12">
        <f>IF(COUNT(AD197,AD273)&lt;2,"",ABS(AD197-AD273))</f>
        <v>0</v>
      </c>
      <c r="AE2" s="12">
        <f>IF(COUNT(AE197,AE273)&lt;2,"",ABS(AE197-AE273))</f>
        <v>0</v>
      </c>
      <c r="AF2" s="12">
        <f>IF(COUNT(AF197,AF273)&lt;2,"",ABS(AF197-AF273))</f>
        <v>0</v>
      </c>
      <c r="AG2" s="12">
        <f>IF(COUNT(AG197,AG273)&lt;2,"",ABS(AG197-AG273))</f>
        <v>0</v>
      </c>
      <c r="AH2" s="12">
        <f>IF(COUNT(AH197,AH273)&lt;2,"",ABS(AH197-AH273))</f>
        <v>0</v>
      </c>
      <c r="AI2" s="12">
        <f>IF(COUNT(AI197,AI273)&lt;2,"",ABS(AI197-AI273))</f>
        <v>0</v>
      </c>
      <c r="AJ2" s="12">
        <f>IF(COUNT(AJ197,AJ273)&lt;2,"",ABS(AJ197-AJ273))</f>
        <v>0</v>
      </c>
      <c r="AK2" s="12">
        <f>IF(COUNT(AK197,AK273)&lt;2,"",ABS(AK197-AK273))</f>
        <v>0</v>
      </c>
      <c r="AL2" s="12">
        <f>IF(COUNT(AL197,AL273)&lt;2,"",ABS(AL197-AL273))</f>
        <v>0</v>
      </c>
      <c r="AM2" s="12">
        <f>IF(COUNT(AM197,AM273)&lt;2,"",ABS(AM197-AM273))</f>
        <v>0</v>
      </c>
      <c r="AN2" s="12">
        <f>IF(COUNT(AN197,AN273)&lt;2,"",ABS(AN197-AN273))</f>
        <v>0</v>
      </c>
      <c r="AO2" s="12">
        <f>IF(COUNT(AO197,AO273)&lt;2,"",ABS(AO197-AO273))</f>
        <v>0</v>
      </c>
      <c r="AP2" s="12">
        <f>IF(COUNT(AP197,AP273)&lt;2,"",ABS(AP197-AP273))</f>
        <v>0</v>
      </c>
      <c r="AQ2" s="12">
        <f>IF(COUNT(AQ197,AQ273)&lt;2,"",ABS(AQ197-AQ273))</f>
        <v>0</v>
      </c>
      <c r="AR2" s="12">
        <f>IF(COUNT(AR197,AR273)&lt;2,"",ABS(AR197-AR273))</f>
        <v>0</v>
      </c>
      <c r="AS2" s="12">
        <f>IF(COUNT(AS197,AS273)&lt;2,"",ABS(AS197-AS273))</f>
        <v>0</v>
      </c>
      <c r="AT2" s="12">
        <f>IF(COUNT(AT197,AT273)&lt;2,"",ABS(AT197-AT273))</f>
        <v>0</v>
      </c>
      <c r="AU2" s="12">
        <f>IF(COUNT(AU197,AU273)&lt;2,"",ABS(AU197-AU273))</f>
        <v>0</v>
      </c>
      <c r="AV2" s="12">
        <f>IF(COUNT(AV197,AV273)&lt;2,"",ABS(AV197-AV273))</f>
        <v>0</v>
      </c>
      <c r="AW2" s="12">
        <f>IF(COUNT(AW197,AW273)&lt;2,"",ABS(AW197-AW273))</f>
        <v>0</v>
      </c>
      <c r="AX2" s="12">
        <f>IF(COUNT(AX197,AX273)&lt;2,"",ABS(AX197-AX273))</f>
        <v>0</v>
      </c>
      <c r="AY2" s="12">
        <f>IF(COUNT(AY197,AY273)&lt;2,"",ABS(AY197-AY273))</f>
        <v>0</v>
      </c>
      <c r="AZ2" s="12">
        <f>IF(COUNT(AZ197,AZ273)&lt;2,"",ABS(AZ197-AZ273))</f>
        <v>0</v>
      </c>
      <c r="BA2" s="12">
        <f>IF(COUNT(BA197,BA273)&lt;2,"",ABS(BA197-BA273))</f>
        <v>0</v>
      </c>
      <c r="BB2" s="12">
        <f>IF(COUNT(BB197,BB273)&lt;2,"",ABS(BB197-BB273))</f>
        <v>0</v>
      </c>
      <c r="BC2" s="12">
        <f>IF(COUNT(BC197,BC273)&lt;2,"",ABS(BC197-BC273))</f>
        <v>0</v>
      </c>
      <c r="BD2" s="12">
        <f>IF(COUNT(BD197,BD273)&lt;2,"",ABS(BD197-BD273))</f>
        <v>0</v>
      </c>
      <c r="BE2" s="12">
        <f>IF(COUNT(BE197,BE273)&lt;2,"",ABS(BE197-BE273))</f>
        <v>0</v>
      </c>
      <c r="BF2" s="12">
        <f>IF(COUNT(BF197,BF273)&lt;2,"",ABS(BF197-BF273))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IF(COUNT(I137,I4)&lt;2,"",ABS(I137-I4))</f>
        <v>0</v>
      </c>
      <c r="J3" s="12">
        <f>IF(COUNT(J137,J4)&lt;2,"",ABS(J137-J4))</f>
        <v>0</v>
      </c>
      <c r="K3" s="12">
        <f>IF(COUNT(K137,K4)&lt;2,"",ABS(K137-K4))</f>
        <v>0</v>
      </c>
      <c r="L3" s="12">
        <f>IF(COUNT(L137,L4)&lt;2,"",ABS(L137-L4))</f>
        <v>0</v>
      </c>
      <c r="M3" s="12">
        <f>IF(COUNT(M137,M4)&lt;2,"",ABS(M137-M4))</f>
        <v>0</v>
      </c>
      <c r="N3" s="12">
        <f>IF(COUNT(N137,N4)&lt;2,"",ABS(N137-N4))</f>
        <v>0</v>
      </c>
      <c r="O3" s="12">
        <f>IF(COUNT(O137,O4)&lt;2,"",ABS(O137-O4))</f>
        <v>0</v>
      </c>
      <c r="P3" s="12">
        <f>IF(COUNT(P137,P4)&lt;2,"",ABS(P137-P4))</f>
        <v>0</v>
      </c>
      <c r="Q3" s="12">
        <f>IF(COUNT(Q137,Q4)&lt;2,"",ABS(Q137-Q4))</f>
        <v>0</v>
      </c>
      <c r="R3" s="12">
        <f>IF(COUNT(R137,R4)&lt;2,"",ABS(R137-R4))</f>
        <v>0</v>
      </c>
      <c r="S3" s="12">
        <f>IF(COUNT(S137,S4)&lt;2,"",ABS(S137-S4))</f>
        <v>0</v>
      </c>
      <c r="T3" s="12">
        <f>IF(COUNT(T137,T4)&lt;2,"",ABS(T137-T4))</f>
        <v>0</v>
      </c>
      <c r="U3" s="12">
        <f>IF(COUNT(U137,U4)&lt;2,"",ABS(U137-U4))</f>
        <v>0</v>
      </c>
      <c r="V3" s="12">
        <f>IF(COUNT(V137,V4)&lt;2,"",ABS(V137-V4))</f>
        <v>0</v>
      </c>
      <c r="W3" s="12">
        <f>IF(COUNT(W137,W4)&lt;2,"",ABS(W137-W4))</f>
        <v>0</v>
      </c>
      <c r="X3" s="12">
        <f>IF(COUNT(X137,X4)&lt;2,"",ABS(X137-X4))</f>
        <v>0</v>
      </c>
      <c r="Y3" s="12">
        <f>IF(COUNT(Y137,Y4)&lt;2,"",ABS(Y137-Y4))</f>
        <v>0</v>
      </c>
      <c r="Z3" s="12">
        <f>IF(COUNT(Z137,Z4)&lt;2,"",ABS(Z137-Z4))</f>
        <v>0</v>
      </c>
      <c r="AA3" s="12">
        <f>IF(COUNT(AA137,AA4)&lt;2,"",ABS(AA137-AA4))</f>
        <v>0</v>
      </c>
      <c r="AB3" s="12">
        <f>IF(COUNT(AB137,AB4)&lt;2,"",ABS(AB137-AB4))</f>
        <v>0</v>
      </c>
      <c r="AC3" s="12">
        <f>IF(COUNT(AC137,AC4)&lt;2,"",ABS(AC137-AC4))</f>
        <v>0</v>
      </c>
      <c r="AD3" s="12">
        <f>IF(COUNT(AD137,AD4)&lt;2,"",ABS(AD137-AD4))</f>
        <v>0</v>
      </c>
      <c r="AE3" s="12">
        <f>IF(COUNT(AE137,AE4)&lt;2,"",ABS(AE137-AE4))</f>
        <v>0</v>
      </c>
      <c r="AF3" s="12">
        <f>IF(COUNT(AF137,AF4)&lt;2,"",ABS(AF137-AF4))</f>
        <v>0</v>
      </c>
      <c r="AG3" s="12">
        <f>IF(COUNT(AG137,AG4)&lt;2,"",ABS(AG137-AG4))</f>
        <v>0</v>
      </c>
      <c r="AH3" s="12">
        <f>IF(COUNT(AH137,AH4)&lt;2,"",ABS(AH137-AH4))</f>
        <v>0</v>
      </c>
      <c r="AI3" s="12">
        <f>IF(COUNT(AI137,AI4)&lt;2,"",ABS(AI137-AI4))</f>
        <v>0</v>
      </c>
      <c r="AJ3" s="12">
        <f>ABS(AJ137-AJ4)</f>
        <v>4111.36526590802</v>
      </c>
      <c r="AK3" s="12">
        <f>ABS(AK137-AK4)</f>
        <v>4113.32719381922</v>
      </c>
      <c r="AL3" s="12">
        <f>ABS(AL137-AL4)</f>
        <v>19988.6924597272</v>
      </c>
      <c r="AM3" s="12">
        <f>ABS(AM137-AM4)</f>
        <v>4059.04718827608</v>
      </c>
      <c r="AN3" s="12">
        <f>ABS(AN137-AN4)</f>
        <v>4070.34643976465</v>
      </c>
      <c r="AO3" s="12">
        <f>ABS(AO137-AO4)</f>
        <v>4451.15777823487</v>
      </c>
      <c r="AP3" s="12">
        <f>ABS(AP137-AP4)</f>
        <v>4453.28185384418</v>
      </c>
      <c r="AQ3" s="12">
        <f>ABS(AQ137-AQ4)</f>
        <v>17033.8332601198</v>
      </c>
      <c r="AR3" s="12">
        <f>ABS(AR137-AR4)</f>
        <v>4374.22052604533</v>
      </c>
      <c r="AS3" s="12">
        <f>ABS(AS137-AS4)</f>
        <v>4386.39713190815</v>
      </c>
      <c r="AT3" s="12">
        <f>ABS(AT137-AT4)</f>
        <v>4796.77737535507</v>
      </c>
      <c r="AU3" s="12">
        <f>ABS(AU137-AU4)</f>
        <v>4799.06637932524</v>
      </c>
      <c r="AV3" s="12">
        <f>ABS(AV137-AV4)</f>
        <v>18356.4614126338</v>
      </c>
      <c r="AW3" s="12">
        <f>ABS(AW137-AW4)</f>
        <v>4691.99506422323</v>
      </c>
      <c r="AX3" s="12">
        <f>ABS(AX137-AX4)</f>
        <v>4705.05626547432</v>
      </c>
      <c r="AY3" s="12">
        <f>ABS(AY137-AY4)</f>
        <v>5145.24945309317</v>
      </c>
      <c r="AZ3" s="12">
        <f>ABS(AZ137-AZ4)</f>
        <v>5147.70474661714</v>
      </c>
      <c r="BA3" s="12">
        <f>ABS(BA137-BA4)</f>
        <v>19690.0055294079</v>
      </c>
      <c r="BB3" s="12">
        <f>ABS(BB137-BB4)</f>
        <v>5009.39503315704</v>
      </c>
      <c r="BC3" s="12">
        <f>ABS(BC137-BC4)</f>
        <v>5023.33978710045</v>
      </c>
      <c r="BD3" s="12">
        <f>ABS(BD137-BD4)</f>
        <v>5493.31077758623</v>
      </c>
      <c r="BE3" s="12">
        <f>ABS(BE137-BE4)</f>
        <v>5495.93216465413</v>
      </c>
      <c r="BF3" s="12">
        <f>ABS(BF137-BF4)</f>
        <v>21021.9777624978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4862</v>
      </c>
      <c r="J4">
        <f>IF(ISNUMBER('Inputs (2)'!E50),'Inputs (2)'!E50,"")</f>
        <v>4266</v>
      </c>
      <c r="K4">
        <f>IF(ISNUMBER('Inputs (2)'!F50),'Inputs (2)'!F50,"")</f>
        <v>4086</v>
      </c>
      <c r="L4">
        <f>IF(ISNUMBER('Inputs (2)'!G50),'Inputs (2)'!G50,"")</f>
        <v>4071</v>
      </c>
      <c r="M4" s="11">
        <f>IF(COUNT(I4:L4)=4,SUM(I4:L4),"")</f>
        <v>17285</v>
      </c>
      <c r="N4">
        <f>IF(ISNUMBER('Inputs (2)'!I50),'Inputs (2)'!I50,"")</f>
        <v>5027</v>
      </c>
      <c r="O4">
        <f>IF(ISNUMBER('Inputs (2)'!J50),'Inputs (2)'!J50,"")</f>
        <v>5070</v>
      </c>
      <c r="P4">
        <f>IF(ISNUMBER('Inputs (2)'!K50),'Inputs (2)'!K50,"")</f>
        <v>5262</v>
      </c>
      <c r="Q4">
        <f>IF(ISNUMBER('Inputs (2)'!L50),'Inputs (2)'!L50,"")</f>
        <v>4761</v>
      </c>
      <c r="R4" s="11">
        <f>IF(COUNT(N4:Q4)=4,SUM(N4:Q4),"")</f>
        <v>20120</v>
      </c>
      <c r="S4">
        <f>IF(ISNUMBER('Inputs (2)'!N50),'Inputs (2)'!N50,"")</f>
        <v>5611</v>
      </c>
      <c r="T4">
        <f>IF(ISNUMBER('Inputs (2)'!O50),'Inputs (2)'!O50,"")</f>
        <v>5474</v>
      </c>
      <c r="U4">
        <f>IF(ISNUMBER('Inputs (2)'!P50),'Inputs (2)'!P50,"")</f>
        <v>5841</v>
      </c>
      <c r="V4">
        <f>IF(ISNUMBER('Inputs (2)'!Q50),'Inputs (2)'!Q50,"")</f>
        <v>5455</v>
      </c>
      <c r="W4" s="11">
        <f>IF(COUNT(S4:V4)=4,SUM(S4:V4),"")</f>
        <v>22381</v>
      </c>
      <c r="X4">
        <f>IF(ISNUMBER('Inputs (2)'!S50),'Inputs (2)'!S50,"")</f>
        <v>-1409</v>
      </c>
      <c r="Y4">
        <f>IF(ISNUMBER('Inputs (2)'!T50),'Inputs (2)'!T50,"")</f>
        <v>4216</v>
      </c>
      <c r="Z4">
        <f>IF(ISNUMBER('Inputs (2)'!U50),'Inputs (2)'!U50,"")</f>
        <v>6055</v>
      </c>
      <c r="AA4">
        <f>IF(ISNUMBER('Inputs (2)'!V50),'Inputs (2)'!V50,"")</f>
        <v>5543</v>
      </c>
      <c r="AB4" s="11">
        <f>IF(COUNT(X4:AA4)=4,SUM(X4:AA4),"")</f>
        <v>14405</v>
      </c>
      <c r="AC4">
        <f>IF(ISNUMBER('Inputs (2)'!X50),'Inputs (2)'!X50,"")</f>
        <v>6292</v>
      </c>
      <c r="AD4">
        <f>IF(ISNUMBER('Inputs (2)'!Y50),'Inputs (2)'!Y50,"")</f>
        <v>3406</v>
      </c>
      <c r="AE4">
        <f>IF(ISNUMBER('Inputs (2)'!Z50),'Inputs (2)'!Z50,"")</f>
        <v>2348</v>
      </c>
      <c r="AF4">
        <f>IF(ISNUMBER('Inputs (2)'!AA50),'Inputs (2)'!AA50,"")</f>
        <v>10</v>
      </c>
      <c r="AG4" s="11">
        <f>IF(COUNT(AC4:AF4)=4,SUM(AC4:AF4),"")</f>
        <v>12056</v>
      </c>
      <c r="AH4" s="11">
        <f>IF(ISNUMBER('Inputs (2)'!AC50),'Inputs (2)'!AC50,"")</f>
        <v>6280</v>
      </c>
      <c r="AI4" s="11">
        <f>IF(ISNUMBER('Inputs (2)'!AD50),'Inputs (2)'!AD50,"")</f>
        <v>5484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70196</v>
      </c>
      <c r="J15" s="34">
        <f>'Inputs (2)'!E4</f>
        <v>71321</v>
      </c>
      <c r="K15" s="34">
        <f>'Inputs (2)'!F4</f>
        <v>72337</v>
      </c>
      <c r="L15" s="34">
        <f>'Inputs (2)'!G4</f>
        <v>73743</v>
      </c>
      <c r="M15" s="35">
        <f>'Inputs (2)'!H4</f>
        <v>287597</v>
      </c>
      <c r="N15" s="34">
        <f>'Inputs (2)'!I4</f>
        <v>80149</v>
      </c>
      <c r="O15" s="34">
        <f>'Inputs (2)'!J4</f>
        <v>80332</v>
      </c>
      <c r="P15" s="34">
        <f>'Inputs (2)'!K4</f>
        <v>80894</v>
      </c>
      <c r="Q15" s="34">
        <f>'Inputs (2)'!L4</f>
        <v>82787</v>
      </c>
      <c r="R15" s="35">
        <f>'Inputs (2)'!M4</f>
        <v>324162</v>
      </c>
      <c r="S15" s="34">
        <f>'Inputs (2)'!N4</f>
        <v>91931</v>
      </c>
      <c r="T15" s="34">
        <f>'Inputs (2)'!O4</f>
        <v>92903</v>
      </c>
      <c r="U15" s="34">
        <f>'Inputs (2)'!P4</f>
        <v>92361</v>
      </c>
      <c r="V15" s="34">
        <f>'Inputs (2)'!Q4</f>
        <v>94427</v>
      </c>
      <c r="W15" s="35">
        <f>'Inputs (2)'!R4</f>
        <v>371622</v>
      </c>
      <c r="X15" s="34">
        <f>'Inputs (2)'!S4</f>
        <v>99796</v>
      </c>
      <c r="Y15" s="34">
        <f>'Inputs (2)'!T4</f>
        <v>98855</v>
      </c>
      <c r="Z15" s="34">
        <f>'Inputs (2)'!U4</f>
        <v>100820</v>
      </c>
      <c r="AA15" s="34">
        <f>'Inputs (2)'!V4</f>
        <v>100807</v>
      </c>
      <c r="AB15" s="35">
        <f>'Inputs (2)'!W4</f>
        <v>400278</v>
      </c>
      <c r="AC15" s="34">
        <f>'Inputs (2)'!X4</f>
        <v>109575</v>
      </c>
      <c r="AD15" s="34">
        <f>'Inputs (2)'!Y4</f>
        <v>111616</v>
      </c>
      <c r="AE15" s="34">
        <f>'Inputs (2)'!Z4</f>
        <v>113161</v>
      </c>
      <c r="AF15" s="34">
        <f>'Inputs (2)'!AA4</f>
        <v>113215</v>
      </c>
      <c r="AG15" s="35">
        <f>'Inputs (2)'!AB4</f>
        <v>447567</v>
      </c>
      <c r="AH15" s="35">
        <f>'Inputs (2)'!AC4</f>
        <v>111721</v>
      </c>
      <c r="AI15" s="35">
        <f>'Inputs (2)'!AD4</f>
        <v>112032</v>
      </c>
      <c r="AJ15" s="35">
        <f>AE15*(1+AJ16)</f>
        <v>122513.431127018</v>
      </c>
      <c r="AK15" s="35">
        <f>AF15*(1+AK16)</f>
        <v>122571.89407168</v>
      </c>
      <c r="AL15" s="35">
        <f>SUM(AH15:AK15)</f>
        <v>468838.325198698</v>
      </c>
      <c r="AM15" s="35">
        <f>AH15*(1+AM16)</f>
        <v>120954.419269374</v>
      </c>
      <c r="AN15" s="35">
        <f>AI15*(1+AN16)</f>
        <v>121291.12252474</v>
      </c>
      <c r="AO15" s="35">
        <f>AJ15*(1+AO16)</f>
        <v>132638.813783146</v>
      </c>
      <c r="AP15" s="35">
        <f>AK15*(1+AP16)</f>
        <v>132702.108522008</v>
      </c>
      <c r="AQ15" s="35">
        <f>SUM(AM15:AP15)</f>
        <v>507586.464099267</v>
      </c>
      <c r="AR15" s="35">
        <f>AM15*(1+AR16)</f>
        <v>130346.18198383</v>
      </c>
      <c r="AS15" s="35">
        <f>AN15*(1+AS16)</f>
        <v>130709.029278403</v>
      </c>
      <c r="AT15" s="35">
        <f>AO15*(1+AT16)</f>
        <v>142937.836119849</v>
      </c>
      <c r="AU15" s="35">
        <f>AP15*(1+AU16)</f>
        <v>143006.045513107</v>
      </c>
      <c r="AV15" s="35">
        <f>SUM(AR15:AU15)</f>
        <v>546999.092895189</v>
      </c>
      <c r="AW15" s="35">
        <f>AR15*(1+AW16)</f>
        <v>139815.457146464</v>
      </c>
      <c r="AX15" s="35">
        <f>AS15*(1+AX16)</f>
        <v>140204.664253208</v>
      </c>
      <c r="AY15" s="35">
        <f>AT15*(1+AY16)</f>
        <v>153321.858733862</v>
      </c>
      <c r="AZ15" s="35">
        <f>AU15*(1+AZ16)</f>
        <v>153395.023343327</v>
      </c>
      <c r="BA15" s="35">
        <f>SUM(AW15:AZ15)</f>
        <v>586737.00347686</v>
      </c>
      <c r="BB15" s="35">
        <f>AW15*(1+BB16)</f>
        <v>149273.570624275</v>
      </c>
      <c r="BC15" s="35">
        <f>AX15*(1+BC16)</f>
        <v>149689.106472183</v>
      </c>
      <c r="BD15" s="35">
        <f>AY15*(1+BD16)</f>
        <v>163693.641426063</v>
      </c>
      <c r="BE15" s="35">
        <f>AZ15*(1+BE16)</f>
        <v>163771.75541089</v>
      </c>
      <c r="BF15" s="35">
        <f>SUM(BB15:BE15)</f>
        <v>626428.07393341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0.141788705909169</v>
      </c>
      <c r="O16" s="40">
        <f>IFERROR(O15/J15-1,"")</f>
        <v>0.126344274477363</v>
      </c>
      <c r="P16" s="40">
        <f>IFERROR(P15/K15-1,"")</f>
        <v>0.118293542723641</v>
      </c>
      <c r="Q16" s="40">
        <f>IFERROR(Q15/L15-1,"")</f>
        <v>0.122642149085337</v>
      </c>
      <c r="R16" s="40">
        <f>IFERROR(R15/M15-1,"")</f>
        <v>0.127139712862095</v>
      </c>
      <c r="S16" s="40">
        <f>IFERROR(S15/N15-1,"")</f>
        <v>0.147001210245917</v>
      </c>
      <c r="T16" s="40">
        <f>IFERROR(T15/O15-1,"")</f>
        <v>0.156488074490863</v>
      </c>
      <c r="U16" s="40">
        <f>IFERROR(U15/P15-1,"")</f>
        <v>0.141753405691399</v>
      </c>
      <c r="V16" s="40">
        <f>IFERROR(V15/Q15-1,"")</f>
        <v>0.140601785304456</v>
      </c>
      <c r="W16" s="40">
        <f>IFERROR(W15/R15-1,"")</f>
        <v>0.14640827734281</v>
      </c>
      <c r="X16" s="40">
        <f>IFERROR(X15/S15-1,"")</f>
        <v>0.0855532954063374</v>
      </c>
      <c r="Y16" s="40">
        <f>IFERROR(Y15/T15-1,"")</f>
        <v>0.0640668223846377</v>
      </c>
      <c r="Z16" s="40">
        <f>IFERROR(Z15/U15-1,"")</f>
        <v>0.0915862755925121</v>
      </c>
      <c r="AA16" s="40">
        <f>IFERROR(AA15/V15-1,"")</f>
        <v>0.0675654209071559</v>
      </c>
      <c r="AB16" s="40">
        <f>IFERROR(AB15/W15-1,"")</f>
        <v>0.0771106123964673</v>
      </c>
      <c r="AC16" s="40">
        <f>IFERROR(AC15/X15-1,"")</f>
        <v>0.0979898993947652</v>
      </c>
      <c r="AD16" s="40">
        <f>IFERROR(AD15/Y15-1,"")</f>
        <v>0.129088058267159</v>
      </c>
      <c r="AE16" s="40">
        <f>IFERROR(AE15/Z15-1,"")</f>
        <v>0.1224062685975</v>
      </c>
      <c r="AF16" s="41">
        <f>IFERROR(AF15/AA15-1,"")</f>
        <v>0.123086690408404</v>
      </c>
      <c r="AG16" s="40">
        <f>IFERROR(AG15/AB15-1,"")</f>
        <v>0.118140392427263</v>
      </c>
      <c r="AH16" s="41">
        <f>IFERROR(AH15/AC15-1,"")</f>
        <v>0.0195847592972849</v>
      </c>
      <c r="AI16" s="41">
        <f>IFERROR(AI15/AD15-1,"")</f>
        <v>0.00372706422018343</v>
      </c>
      <c r="AJ16" s="41">
        <f>Control!$B$18</f>
        <v>0.0826471233642162</v>
      </c>
      <c r="AK16" s="41">
        <f>Control!$B$18</f>
        <v>0.0826471233642162</v>
      </c>
      <c r="AL16" s="42">
        <f>IFERROR(AL15/AG15-1,"")</f>
        <v>0.0475265718846514</v>
      </c>
      <c r="AM16" s="41">
        <f>Control!$C$18</f>
        <v>0.0826471233642162</v>
      </c>
      <c r="AN16" s="41">
        <f>Control!$C$18</f>
        <v>0.0826471233642162</v>
      </c>
      <c r="AO16" s="41">
        <f>Control!$C$18</f>
        <v>0.0826471233642162</v>
      </c>
      <c r="AP16" s="41">
        <f>Control!$C$18</f>
        <v>0.0826471233642162</v>
      </c>
      <c r="AQ16" s="42">
        <f>IFERROR(AQ15/AL15-1,"")</f>
        <v>0.0826471233642165</v>
      </c>
      <c r="AR16" s="41">
        <f>Control!$D$18</f>
        <v>0.0776471233642162</v>
      </c>
      <c r="AS16" s="41">
        <f>Control!$D$18</f>
        <v>0.0776471233642162</v>
      </c>
      <c r="AT16" s="41">
        <f>Control!$D$18</f>
        <v>0.0776471233642162</v>
      </c>
      <c r="AU16" s="41">
        <f>Control!$D$18</f>
        <v>0.0776471233642162</v>
      </c>
      <c r="AV16" s="42">
        <f>IFERROR(AV15/AQ15-1,"")</f>
        <v>0.0776471233642162</v>
      </c>
      <c r="AW16" s="41">
        <f>Control!$E$18</f>
        <v>0.0726471233642162</v>
      </c>
      <c r="AX16" s="41">
        <f>Control!$E$18</f>
        <v>0.0726471233642162</v>
      </c>
      <c r="AY16" s="41">
        <f>Control!$E$18</f>
        <v>0.0726471233642162</v>
      </c>
      <c r="AZ16" s="41">
        <f>Control!$E$18</f>
        <v>0.0726471233642162</v>
      </c>
      <c r="BA16" s="42">
        <f>IFERROR(BA15/AV15-1,"")</f>
        <v>0.0726471233642161</v>
      </c>
      <c r="BB16" s="41">
        <f>Control!$F$18</f>
        <v>0.0676471233642162</v>
      </c>
      <c r="BC16" s="41">
        <f>Control!$F$18</f>
        <v>0.0676471233642162</v>
      </c>
      <c r="BD16" s="41">
        <f>Control!$F$18</f>
        <v>0.0676471233642162</v>
      </c>
      <c r="BE16" s="41">
        <f>Control!$F$18</f>
        <v>0.0676471233642162</v>
      </c>
      <c r="BF16" s="42">
        <f>IFERROR(BF15/BA15-1,"")</f>
        <v>0.0676471233642162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 t="n"/>
      <c r="J17" s="40" t="n"/>
      <c r="K17" s="40" t="n"/>
      <c r="L17" s="40" t="n"/>
      <c r="M17" s="39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1" t="n"/>
      <c r="AI17" s="41" t="n"/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Segmentos - receita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UnitedHealthcare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55114</v>
      </c>
      <c r="J19" s="269">
        <f>IFERROR(INDEX('Inputs (2)'!$D$53:$AL$53,MATCH(J$7&amp;"",'Inputs (2)'!$D$2:$AL$2,0)),"")</f>
        <v>55474</v>
      </c>
      <c r="K19" s="269">
        <f>IFERROR(INDEX('Inputs (2)'!$D$53:$AL$53,MATCH(K$7&amp;"",'Inputs (2)'!$D$2:$AL$2,0)),"")</f>
        <v>55927</v>
      </c>
      <c r="L19" s="269">
        <f>IFERROR(INDEX('Inputs (2)'!$D$53:$AL$53,MATCH(L$7&amp;"",'Inputs (2)'!$D$2:$AL$2,0)),"")</f>
        <v>56384</v>
      </c>
      <c r="M19" s="270">
        <f>IF(COUNT(I19:L19)=4,SUM(I19:L19),"")</f>
        <v>222899</v>
      </c>
      <c r="N19" s="269">
        <f>IFERROR(INDEX('Inputs (2)'!$D$53:$AL$53,MATCH(N$7&amp;"",'Inputs (2)'!$D$2:$AL$2,0)),"")</f>
        <v>62595</v>
      </c>
      <c r="O19" s="269">
        <f>IFERROR(INDEX('Inputs (2)'!$D$53:$AL$53,MATCH(O$7&amp;"",'Inputs (2)'!$D$2:$AL$2,0)),"")</f>
        <v>62105</v>
      </c>
      <c r="P19" s="269">
        <f>IFERROR(INDEX('Inputs (2)'!$D$53:$AL$53,MATCH(P$7&amp;"",'Inputs (2)'!$D$2:$AL$2,0)),"")</f>
        <v>61995</v>
      </c>
      <c r="Q19" s="269">
        <f>IFERROR(INDEX('Inputs (2)'!$D$53:$AL$53,MATCH(Q$7&amp;"",'Inputs (2)'!$D$2:$AL$2,0)),"")</f>
        <v>63046</v>
      </c>
      <c r="R19" s="270">
        <f>IF(COUNT(N19:Q19)=4,SUM(N19:Q19),"")</f>
        <v>249741</v>
      </c>
      <c r="S19" s="269">
        <f>IFERROR(INDEX('Inputs (2)'!$D$53:$AL$53,MATCH(S$7&amp;"",'Inputs (2)'!$D$2:$AL$2,0)),"")</f>
        <v>70468</v>
      </c>
      <c r="T19" s="269">
        <f>IFERROR(INDEX('Inputs (2)'!$D$53:$AL$53,MATCH(T$7&amp;"",'Inputs (2)'!$D$2:$AL$2,0)),"")</f>
        <v>70231</v>
      </c>
      <c r="U19" s="269">
        <f>IFERROR(INDEX('Inputs (2)'!$D$53:$AL$53,MATCH(U$7&amp;"",'Inputs (2)'!$D$2:$AL$2,0)),"")</f>
        <v>69853</v>
      </c>
      <c r="V19" s="269">
        <f>IFERROR(INDEX('Inputs (2)'!$D$53:$AL$53,MATCH(V$7&amp;"",'Inputs (2)'!$D$2:$AL$2,0)),"")</f>
        <v>70808</v>
      </c>
      <c r="W19" s="270">
        <f>IF(COUNT(S19:V19)=4,SUM(S19:V19),"")</f>
        <v>281360</v>
      </c>
      <c r="X19" s="269">
        <f>IFERROR(INDEX('Inputs (2)'!$D$53:$AL$53,MATCH(X$7&amp;"",'Inputs (2)'!$D$2:$AL$2,0)),"")</f>
        <v>75357</v>
      </c>
      <c r="Y19" s="269">
        <f>IFERROR(INDEX('Inputs (2)'!$D$53:$AL$53,MATCH(Y$7&amp;"",'Inputs (2)'!$D$2:$AL$2,0)),"")</f>
        <v>73866</v>
      </c>
      <c r="Z19" s="269">
        <f>IFERROR(INDEX('Inputs (2)'!$D$53:$AL$53,MATCH(Z$7&amp;"",'Inputs (2)'!$D$2:$AL$2,0)),"")</f>
        <v>74853</v>
      </c>
      <c r="AA19" s="269">
        <f>IFERROR(INDEX('Inputs (2)'!$D$53:$AL$53,MATCH(AA$7&amp;"",'Inputs (2)'!$D$2:$AL$2,0)),"")</f>
        <v>74132</v>
      </c>
      <c r="AB19" s="270">
        <f>IF(COUNT(X19:AA19)=4,SUM(X19:AA19),"")</f>
        <v>298208</v>
      </c>
      <c r="AC19" s="269">
        <f>IFERROR(INDEX('Inputs (2)'!$D$53:$AL$53,MATCH(AC$7&amp;"",'Inputs (2)'!$D$2:$AL$2,0)),"")</f>
        <v>84617</v>
      </c>
      <c r="AD19" s="269">
        <f>IFERROR(INDEX('Inputs (2)'!$D$53:$AL$53,MATCH(AD$7&amp;"",'Inputs (2)'!$D$2:$AL$2,0)),"")</f>
        <v>86103</v>
      </c>
      <c r="AE19" s="269">
        <f>IFERROR(INDEX('Inputs (2)'!$D$53:$AL$53,MATCH(AE$7&amp;"",'Inputs (2)'!$D$2:$AL$2,0)),"")</f>
        <v>87070</v>
      </c>
      <c r="AF19" s="269">
        <f>IFERROR(INDEX('Inputs (2)'!$D$53:$AL$53,MATCH(AF$7&amp;"",'Inputs (2)'!$D$2:$AL$2,0)),"")</f>
        <v>87113</v>
      </c>
      <c r="AG19" s="270">
        <f>IF(COUNT(AC19:AF19)=4,SUM(AC19:AF19),"")</f>
        <v>344903</v>
      </c>
      <c r="AH19" s="270">
        <f>IFERROR(INDEX('Inputs (2)'!$D$53:$AL$53,MATCH(AH$7&amp;"",'Inputs (2)'!$D$2:$AL$2,0)),"")</f>
        <v>86265</v>
      </c>
      <c r="AI19" s="270">
        <f>IFERROR(INDEX('Inputs (2)'!$D$53:$AL$53,MATCH(AI$7&amp;"",'Inputs (2)'!$D$2:$AL$2,0)),"")</f>
        <v>86017</v>
      </c>
    </row>
    <row r="20">
      <c r="C20" s="268" t="inlineStr">
        <is>
          <t xml:space="preserve">   Optum Health</t>
        </is>
      </c>
      <c r="D20" s="269" t="str">
        <f>IFERROR(INDEX('Inputs (2)'!$D$55:$AL$55,MATCH(D$7&amp;"",'Inputs (2)'!$D$2:$AL$2,0)),"")</f>
        <v/>
      </c>
      <c r="E20" s="269" t="str">
        <f>IFERROR(INDEX('Inputs (2)'!$D$55:$AL$55,MATCH(E$7&amp;"",'Inputs (2)'!$D$2:$AL$2,0)),"")</f>
        <v/>
      </c>
      <c r="F20" s="269" t="str">
        <f>IFERROR(INDEX('Inputs (2)'!$D$55:$AL$55,MATCH(F$7&amp;"",'Inputs (2)'!$D$2:$AL$2,0)),"")</f>
        <v/>
      </c>
      <c r="G20" s="269" t="str">
        <f>IFERROR(INDEX('Inputs (2)'!$D$55:$AL$55,MATCH(G$7&amp;"",'Inputs (2)'!$D$2:$AL$2,0)),"")</f>
        <v/>
      </c>
      <c r="H20" s="270" t="str">
        <f>IF(COUNT(D20:G20)=4,SUM(D20:G20),"")</f>
        <v/>
      </c>
      <c r="I20" s="269">
        <f>IFERROR(INDEX('Inputs (2)'!$D$55:$AL$55,MATCH(I$7&amp;"",'Inputs (2)'!$D$2:$AL$2,0)),"")</f>
        <v>12403</v>
      </c>
      <c r="J20" s="269">
        <f>IFERROR(INDEX('Inputs (2)'!$D$55:$AL$55,MATCH(J$7&amp;"",'Inputs (2)'!$D$2:$AL$2,0)),"")</f>
        <v>13300</v>
      </c>
      <c r="K20" s="269">
        <f>IFERROR(INDEX('Inputs (2)'!$D$55:$AL$55,MATCH(K$7&amp;"",'Inputs (2)'!$D$2:$AL$2,0)),"")</f>
        <v>13812</v>
      </c>
      <c r="L20" s="269">
        <f>IFERROR(INDEX('Inputs (2)'!$D$55:$AL$55,MATCH(L$7&amp;"",'Inputs (2)'!$D$2:$AL$2,0)),"")</f>
        <v>14550</v>
      </c>
      <c r="M20" s="270">
        <f>IF(COUNT(I20:L20)=4,SUM(I20:L20),"")</f>
        <v>54065</v>
      </c>
      <c r="N20" s="269">
        <f>IFERROR(INDEX('Inputs (2)'!$D$55:$AL$55,MATCH(N$7&amp;"",'Inputs (2)'!$D$2:$AL$2,0)),"")</f>
        <v>16682</v>
      </c>
      <c r="O20" s="269">
        <f>IFERROR(INDEX('Inputs (2)'!$D$55:$AL$55,MATCH(O$7&amp;"",'Inputs (2)'!$D$2:$AL$2,0)),"")</f>
        <v>17583</v>
      </c>
      <c r="P20" s="269">
        <f>IFERROR(INDEX('Inputs (2)'!$D$55:$AL$55,MATCH(P$7&amp;"",'Inputs (2)'!$D$2:$AL$2,0)),"")</f>
        <v>18463</v>
      </c>
      <c r="Q20" s="269">
        <f>IFERROR(INDEX('Inputs (2)'!$D$55:$AL$55,MATCH(Q$7&amp;"",'Inputs (2)'!$D$2:$AL$2,0)),"")</f>
        <v>18446</v>
      </c>
      <c r="R20" s="270">
        <f>IF(COUNT(N20:Q20)=4,SUM(N20:Q20),"")</f>
        <v>71174</v>
      </c>
      <c r="S20" s="269">
        <f>IFERROR(INDEX('Inputs (2)'!$D$55:$AL$55,MATCH(S$7&amp;"",'Inputs (2)'!$D$2:$AL$2,0)),"")</f>
        <v>23004</v>
      </c>
      <c r="T20" s="269">
        <f>IFERROR(INDEX('Inputs (2)'!$D$55:$AL$55,MATCH(T$7&amp;"",'Inputs (2)'!$D$2:$AL$2,0)),"")</f>
        <v>23917</v>
      </c>
      <c r="U20" s="269">
        <f>IFERROR(INDEX('Inputs (2)'!$D$55:$AL$55,MATCH(U$7&amp;"",'Inputs (2)'!$D$2:$AL$2,0)),"")</f>
        <v>23864</v>
      </c>
      <c r="V20" s="269">
        <f>IFERROR(INDEX('Inputs (2)'!$D$55:$AL$55,MATCH(V$7&amp;"",'Inputs (2)'!$D$2:$AL$2,0)),"")</f>
        <v>24534</v>
      </c>
      <c r="W20" s="270">
        <f>IF(COUNT(S20:V20)=4,SUM(S20:V20),"")</f>
        <v>95319</v>
      </c>
      <c r="X20" s="269">
        <f>IFERROR(INDEX('Inputs (2)'!$D$55:$AL$55,MATCH(X$7&amp;"",'Inputs (2)'!$D$2:$AL$2,0)),"")</f>
        <v>26731</v>
      </c>
      <c r="Y20" s="269">
        <f>IFERROR(INDEX('Inputs (2)'!$D$55:$AL$55,MATCH(Y$7&amp;"",'Inputs (2)'!$D$2:$AL$2,0)),"")</f>
        <v>27050</v>
      </c>
      <c r="Z20" s="269">
        <f>IFERROR(INDEX('Inputs (2)'!$D$55:$AL$55,MATCH(Z$7&amp;"",'Inputs (2)'!$D$2:$AL$2,0)),"")</f>
        <v>25917</v>
      </c>
      <c r="AA20" s="269">
        <f>IFERROR(INDEX('Inputs (2)'!$D$55:$AL$55,MATCH(AA$7&amp;"",'Inputs (2)'!$D$2:$AL$2,0)),"")</f>
        <v>25660</v>
      </c>
      <c r="AB20" s="270">
        <f>IF(COUNT(X20:AA20)=4,SUM(X20:AA20),"")</f>
        <v>105358</v>
      </c>
      <c r="AC20" s="269">
        <f>IFERROR(INDEX('Inputs (2)'!$D$55:$AL$55,MATCH(AC$7&amp;"",'Inputs (2)'!$D$2:$AL$2,0)),"")</f>
        <v>24837</v>
      </c>
      <c r="AD20" s="269">
        <f>IFERROR(INDEX('Inputs (2)'!$D$55:$AL$55,MATCH(AD$7&amp;"",'Inputs (2)'!$D$2:$AL$2,0)),"")</f>
        <v>24725</v>
      </c>
      <c r="AE20" s="269">
        <f>IFERROR(INDEX('Inputs (2)'!$D$55:$AL$55,MATCH(AE$7&amp;"",'Inputs (2)'!$D$2:$AL$2,0)),"")</f>
        <v>25900</v>
      </c>
      <c r="AF20" s="269">
        <f>IFERROR(INDEX('Inputs (2)'!$D$55:$AL$55,MATCH(AF$7&amp;"",'Inputs (2)'!$D$2:$AL$2,0)),"")</f>
        <v>25543</v>
      </c>
      <c r="AG20" s="270">
        <f>IF(COUNT(AC20:AF20)=4,SUM(AC20:AF20),"")</f>
        <v>101005</v>
      </c>
      <c r="AH20" s="270">
        <f>IFERROR(INDEX('Inputs (2)'!$D$55:$AL$55,MATCH(AH$7&amp;"",'Inputs (2)'!$D$2:$AL$2,0)),"")</f>
        <v>24109</v>
      </c>
      <c r="AI20" s="270">
        <f>IFERROR(INDEX('Inputs (2)'!$D$55:$AL$55,MATCH(AI$7&amp;"",'Inputs (2)'!$D$2:$AL$2,0)),"")</f>
        <v>23472</v>
      </c>
    </row>
    <row r="21">
      <c r="C21" s="268" t="inlineStr">
        <is>
          <t xml:space="preserve">   Optum Insight</t>
        </is>
      </c>
      <c r="D21" s="269" t="str">
        <f>IFERROR(INDEX('Inputs (2)'!$D$57:$AL$57,MATCH(D$7&amp;"",'Inputs (2)'!$D$2:$AL$2,0)),"")</f>
        <v/>
      </c>
      <c r="E21" s="269" t="str">
        <f>IFERROR(INDEX('Inputs (2)'!$D$57:$AL$57,MATCH(E$7&amp;"",'Inputs (2)'!$D$2:$AL$2,0)),"")</f>
        <v/>
      </c>
      <c r="F21" s="269" t="str">
        <f>IFERROR(INDEX('Inputs (2)'!$D$57:$AL$57,MATCH(F$7&amp;"",'Inputs (2)'!$D$2:$AL$2,0)),"")</f>
        <v/>
      </c>
      <c r="G21" s="269" t="str">
        <f>IFERROR(INDEX('Inputs (2)'!$D$57:$AL$57,MATCH(G$7&amp;"",'Inputs (2)'!$D$2:$AL$2,0)),"")</f>
        <v/>
      </c>
      <c r="H21" s="270" t="str">
        <f>IF(COUNT(D21:G21)=4,SUM(D21:G21),"")</f>
        <v/>
      </c>
      <c r="I21" s="269">
        <f>IFERROR(INDEX('Inputs (2)'!$D$57:$AL$57,MATCH(I$7&amp;"",'Inputs (2)'!$D$2:$AL$2,0)),"")</f>
        <v>2852</v>
      </c>
      <c r="J21" s="269">
        <f>IFERROR(INDEX('Inputs (2)'!$D$57:$AL$57,MATCH(J$7&amp;"",'Inputs (2)'!$D$2:$AL$2,0)),"")</f>
        <v>2957</v>
      </c>
      <c r="K21" s="269">
        <f>IFERROR(INDEX('Inputs (2)'!$D$57:$AL$57,MATCH(K$7&amp;"",'Inputs (2)'!$D$2:$AL$2,0)),"")</f>
        <v>3139</v>
      </c>
      <c r="L21" s="269">
        <f>IFERROR(INDEX('Inputs (2)'!$D$57:$AL$57,MATCH(L$7&amp;"",'Inputs (2)'!$D$2:$AL$2,0)),"")</f>
        <v>3251</v>
      </c>
      <c r="M21" s="270">
        <f>IF(COUNT(I21:L21)=4,SUM(I21:L21),"")</f>
        <v>12199</v>
      </c>
      <c r="N21" s="269">
        <f>IFERROR(INDEX('Inputs (2)'!$D$57:$AL$57,MATCH(N$7&amp;"",'Inputs (2)'!$D$2:$AL$2,0)),"")</f>
        <v>3219</v>
      </c>
      <c r="O21" s="269">
        <f>IFERROR(INDEX('Inputs (2)'!$D$57:$AL$57,MATCH(O$7&amp;"",'Inputs (2)'!$D$2:$AL$2,0)),"")</f>
        <v>3282</v>
      </c>
      <c r="P21" s="269">
        <f>IFERROR(INDEX('Inputs (2)'!$D$57:$AL$57,MATCH(P$7&amp;"",'Inputs (2)'!$D$2:$AL$2,0)),"")</f>
        <v>3693</v>
      </c>
      <c r="Q21" s="269">
        <f>IFERROR(INDEX('Inputs (2)'!$D$57:$AL$57,MATCH(Q$7&amp;"",'Inputs (2)'!$D$2:$AL$2,0)),"")</f>
        <v>4387</v>
      </c>
      <c r="R21" s="270">
        <f>IF(COUNT(N21:Q21)=4,SUM(N21:Q21),"")</f>
        <v>14581</v>
      </c>
      <c r="S21" s="269">
        <f>IFERROR(INDEX('Inputs (2)'!$D$57:$AL$57,MATCH(S$7&amp;"",'Inputs (2)'!$D$2:$AL$2,0)),"")</f>
        <v>4496</v>
      </c>
      <c r="T21" s="269">
        <f>IFERROR(INDEX('Inputs (2)'!$D$57:$AL$57,MATCH(T$7&amp;"",'Inputs (2)'!$D$2:$AL$2,0)),"")</f>
        <v>4674</v>
      </c>
      <c r="U21" s="269">
        <f>IFERROR(INDEX('Inputs (2)'!$D$57:$AL$57,MATCH(U$7&amp;"",'Inputs (2)'!$D$2:$AL$2,0)),"")</f>
        <v>4977</v>
      </c>
      <c r="V21" s="269">
        <f>IFERROR(INDEX('Inputs (2)'!$D$57:$AL$57,MATCH(V$7&amp;"",'Inputs (2)'!$D$2:$AL$2,0)),"")</f>
        <v>4785</v>
      </c>
      <c r="W21" s="270">
        <f>IF(COUNT(S21:V21)=4,SUM(S21:V21),"")</f>
        <v>18932</v>
      </c>
      <c r="X21" s="269">
        <f>IFERROR(INDEX('Inputs (2)'!$D$57:$AL$57,MATCH(X$7&amp;"",'Inputs (2)'!$D$2:$AL$2,0)),"")</f>
        <v>4502</v>
      </c>
      <c r="Y21" s="269">
        <f>IFERROR(INDEX('Inputs (2)'!$D$57:$AL$57,MATCH(Y$7&amp;"",'Inputs (2)'!$D$2:$AL$2,0)),"")</f>
        <v>4543</v>
      </c>
      <c r="Z21" s="269">
        <f>IFERROR(INDEX('Inputs (2)'!$D$57:$AL$57,MATCH(Z$7&amp;"",'Inputs (2)'!$D$2:$AL$2,0)),"")</f>
        <v>4931</v>
      </c>
      <c r="AA21" s="269">
        <f>IFERROR(INDEX('Inputs (2)'!$D$57:$AL$57,MATCH(AA$7&amp;"",'Inputs (2)'!$D$2:$AL$2,0)),"")</f>
        <v>4781</v>
      </c>
      <c r="AB21" s="270">
        <f>IF(COUNT(X21:AA21)=4,SUM(X21:AA21),"")</f>
        <v>18757</v>
      </c>
      <c r="AC21" s="269">
        <f>IFERROR(INDEX('Inputs (2)'!$D$57:$AL$57,MATCH(AC$7&amp;"",'Inputs (2)'!$D$2:$AL$2,0)),"")</f>
        <v>5027</v>
      </c>
      <c r="AD21" s="269">
        <f>IFERROR(INDEX('Inputs (2)'!$D$57:$AL$57,MATCH(AD$7&amp;"",'Inputs (2)'!$D$2:$AL$2,0)),"")</f>
        <v>5232</v>
      </c>
      <c r="AE21" s="269">
        <f>IFERROR(INDEX('Inputs (2)'!$D$57:$AL$57,MATCH(AE$7&amp;"",'Inputs (2)'!$D$2:$AL$2,0)),"")</f>
        <v>4915</v>
      </c>
      <c r="AF21" s="269">
        <f>IFERROR(INDEX('Inputs (2)'!$D$57:$AL$57,MATCH(AF$7&amp;"",'Inputs (2)'!$D$2:$AL$2,0)),"")</f>
        <v>5044</v>
      </c>
      <c r="AG21" s="270">
        <f>IF(COUNT(AC21:AF21)=4,SUM(AC21:AF21),"")</f>
        <v>20218</v>
      </c>
      <c r="AH21" s="270">
        <f>IFERROR(INDEX('Inputs (2)'!$D$57:$AL$57,MATCH(AH$7&amp;"",'Inputs (2)'!$D$2:$AL$2,0)),"")</f>
        <v>5125</v>
      </c>
      <c r="AI21" s="270">
        <f>IFERROR(INDEX('Inputs (2)'!$D$57:$AL$57,MATCH(AI$7&amp;"",'Inputs (2)'!$D$2:$AL$2,0)),"")</f>
        <v>5402</v>
      </c>
    </row>
    <row r="22">
      <c r="C22" s="268" t="inlineStr">
        <is>
          <t xml:space="preserve">   Optum Rx</t>
        </is>
      </c>
      <c r="D22" s="269" t="str">
        <f>IFERROR(INDEX('Inputs (2)'!$D$59:$AL$59,MATCH(D$7&amp;"",'Inputs (2)'!$D$2:$AL$2,0)),"")</f>
        <v/>
      </c>
      <c r="E22" s="269" t="str">
        <f>IFERROR(INDEX('Inputs (2)'!$D$59:$AL$59,MATCH(E$7&amp;"",'Inputs (2)'!$D$2:$AL$2,0)),"")</f>
        <v/>
      </c>
      <c r="F22" s="269" t="str">
        <f>IFERROR(INDEX('Inputs (2)'!$D$59:$AL$59,MATCH(F$7&amp;"",'Inputs (2)'!$D$2:$AL$2,0)),"")</f>
        <v/>
      </c>
      <c r="G22" s="269" t="str">
        <f>IFERROR(INDEX('Inputs (2)'!$D$59:$AL$59,MATCH(G$7&amp;"",'Inputs (2)'!$D$2:$AL$2,0)),"")</f>
        <v/>
      </c>
      <c r="H22" s="270" t="str">
        <f>IF(COUNT(D22:G22)=4,SUM(D22:G22),"")</f>
        <v/>
      </c>
      <c r="I22" s="269">
        <f>IFERROR(INDEX('Inputs (2)'!$D$59:$AL$59,MATCH(I$7&amp;"",'Inputs (2)'!$D$2:$AL$2,0)),"")</f>
        <v>21604</v>
      </c>
      <c r="J22" s="269">
        <f>IFERROR(INDEX('Inputs (2)'!$D$59:$AL$59,MATCH(J$7&amp;"",'Inputs (2)'!$D$2:$AL$2,0)),"")</f>
        <v>22524</v>
      </c>
      <c r="K22" s="269">
        <f>IFERROR(INDEX('Inputs (2)'!$D$59:$AL$59,MATCH(K$7&amp;"",'Inputs (2)'!$D$2:$AL$2,0)),"")</f>
        <v>23337</v>
      </c>
      <c r="L22" s="269">
        <f>IFERROR(INDEX('Inputs (2)'!$D$59:$AL$59,MATCH(L$7&amp;"",'Inputs (2)'!$D$2:$AL$2,0)),"")</f>
        <v>23849</v>
      </c>
      <c r="M22" s="270">
        <f>IF(COUNT(I22:L22)=4,SUM(I22:L22),"")</f>
        <v>91314</v>
      </c>
      <c r="N22" s="269">
        <f>IFERROR(INDEX('Inputs (2)'!$D$59:$AL$59,MATCH(N$7&amp;"",'Inputs (2)'!$D$2:$AL$2,0)),"")</f>
        <v>23911</v>
      </c>
      <c r="O22" s="269">
        <f>IFERROR(INDEX('Inputs (2)'!$D$59:$AL$59,MATCH(O$7&amp;"",'Inputs (2)'!$D$2:$AL$2,0)),"")</f>
        <v>24805</v>
      </c>
      <c r="P22" s="269">
        <f>IFERROR(INDEX('Inputs (2)'!$D$59:$AL$59,MATCH(P$7&amp;"",'Inputs (2)'!$D$2:$AL$2,0)),"")</f>
        <v>25203</v>
      </c>
      <c r="Q22" s="269">
        <f>IFERROR(INDEX('Inputs (2)'!$D$59:$AL$59,MATCH(Q$7&amp;"",'Inputs (2)'!$D$2:$AL$2,0)),"")</f>
        <v>25854</v>
      </c>
      <c r="R22" s="270">
        <f>IF(COUNT(N22:Q22)=4,SUM(N22:Q22),"")</f>
        <v>99773</v>
      </c>
      <c r="S22" s="269">
        <f>IFERROR(INDEX('Inputs (2)'!$D$59:$AL$59,MATCH(S$7&amp;"",'Inputs (2)'!$D$2:$AL$2,0)),"")</f>
        <v>27418</v>
      </c>
      <c r="T22" s="269">
        <f>IFERROR(INDEX('Inputs (2)'!$D$59:$AL$59,MATCH(T$7&amp;"",'Inputs (2)'!$D$2:$AL$2,0)),"")</f>
        <v>28646</v>
      </c>
      <c r="U22" s="269">
        <f>IFERROR(INDEX('Inputs (2)'!$D$59:$AL$59,MATCH(U$7&amp;"",'Inputs (2)'!$D$2:$AL$2,0)),"")</f>
        <v>28857</v>
      </c>
      <c r="V22" s="269">
        <f>IFERROR(INDEX('Inputs (2)'!$D$59:$AL$59,MATCH(V$7&amp;"",'Inputs (2)'!$D$2:$AL$2,0)),"")</f>
        <v>31166</v>
      </c>
      <c r="W22" s="270">
        <f>IF(COUNT(S22:V22)=4,SUM(S22:V22),"")</f>
        <v>116087</v>
      </c>
      <c r="X22" s="269">
        <f>IFERROR(INDEX('Inputs (2)'!$D$59:$AL$59,MATCH(X$7&amp;"",'Inputs (2)'!$D$2:$AL$2,0)),"")</f>
        <v>30835</v>
      </c>
      <c r="Y22" s="269">
        <f>IFERROR(INDEX('Inputs (2)'!$D$59:$AL$59,MATCH(Y$7&amp;"",'Inputs (2)'!$D$2:$AL$2,0)),"")</f>
        <v>32415</v>
      </c>
      <c r="Z22" s="269">
        <f>IFERROR(INDEX('Inputs (2)'!$D$59:$AL$59,MATCH(Z$7&amp;"",'Inputs (2)'!$D$2:$AL$2,0)),"")</f>
        <v>34207</v>
      </c>
      <c r="AA22" s="269">
        <f>IFERROR(INDEX('Inputs (2)'!$D$59:$AL$59,MATCH(AA$7&amp;"",'Inputs (2)'!$D$2:$AL$2,0)),"")</f>
        <v>35774</v>
      </c>
      <c r="AB22" s="270">
        <f>IF(COUNT(X22:AA22)=4,SUM(X22:AA22),"")</f>
        <v>133231</v>
      </c>
      <c r="AC22" s="269">
        <f>IFERROR(INDEX('Inputs (2)'!$D$59:$AL$59,MATCH(AC$7&amp;"",'Inputs (2)'!$D$2:$AL$2,0)),"")</f>
        <v>35132</v>
      </c>
      <c r="AD22" s="269">
        <f>IFERROR(INDEX('Inputs (2)'!$D$59:$AL$59,MATCH(AD$7&amp;"",'Inputs (2)'!$D$2:$AL$2,0)),"")</f>
        <v>38459</v>
      </c>
      <c r="AE22" s="269">
        <f>IFERROR(INDEX('Inputs (2)'!$D$59:$AL$59,MATCH(AE$7&amp;"",'Inputs (2)'!$D$2:$AL$2,0)),"")</f>
        <v>39679</v>
      </c>
      <c r="AF22" s="269">
        <f>IFERROR(INDEX('Inputs (2)'!$D$59:$AL$59,MATCH(AF$7&amp;"",'Inputs (2)'!$D$2:$AL$2,0)),"")</f>
        <v>41456</v>
      </c>
      <c r="AG22" s="270">
        <f>IF(COUNT(AC22:AF22)=4,SUM(AC22:AF22),"")</f>
        <v>154726</v>
      </c>
      <c r="AH22" s="270">
        <f>IFERROR(INDEX('Inputs (2)'!$D$59:$AL$59,MATCH(AH$7&amp;"",'Inputs (2)'!$D$2:$AL$2,0)),"")</f>
        <v>35736</v>
      </c>
      <c r="AI22" s="270">
        <f>IFERROR(INDEX('Inputs (2)'!$D$59:$AL$59,MATCH(AI$7&amp;"",'Inputs (2)'!$D$2:$AL$2,0)),"")</f>
        <v>38292</v>
      </c>
    </row>
    <row r="23">
      <c r="C23" s="271" t="inlineStr">
        <is>
          <t>Receita (soma dos segmentos)</t>
        </is>
      </c>
      <c r="D23" s="269" t="str">
        <f>IF(COUNT(D19,D20,D21,D22)=0,"",N(D19)+N(D20)+N(D21)+N(D22))</f>
        <v/>
      </c>
      <c r="E23" s="269" t="str">
        <f>IF(COUNT(E19,E20,E21,E22)=0,"",N(E19)+N(E20)+N(E21)+N(E22))</f>
        <v/>
      </c>
      <c r="F23" s="269" t="str">
        <f>IF(COUNT(F19,F20,F21,F22)=0,"",N(F19)+N(F20)+N(F21)+N(F22))</f>
        <v/>
      </c>
      <c r="G23" s="269" t="str">
        <f>IF(COUNT(G19,G20,G21,G22)=0,"",N(G19)+N(G20)+N(G21)+N(G22))</f>
        <v/>
      </c>
      <c r="H23" s="270" t="str">
        <f>IF(COUNT(H19,H20,H21,H22)=0,"",N(H19)+N(H20)+N(H21)+N(H22))</f>
        <v/>
      </c>
      <c r="I23" s="269">
        <f>IF(COUNT(I19,I20,I21,I22)=0,"",N(I19)+N(I20)+N(I21)+N(I22))</f>
        <v>91973</v>
      </c>
      <c r="J23" s="269">
        <f>IF(COUNT(J19,J20,J21,J22)=0,"",N(J19)+N(J20)+N(J21)+N(J22))</f>
        <v>94255</v>
      </c>
      <c r="K23" s="269">
        <f>IF(COUNT(K19,K20,K21,K22)=0,"",N(K19)+N(K20)+N(K21)+N(K22))</f>
        <v>96215</v>
      </c>
      <c r="L23" s="269">
        <f>IF(COUNT(L19,L20,L21,L22)=0,"",N(L19)+N(L20)+N(L21)+N(L22))</f>
        <v>98034</v>
      </c>
      <c r="M23" s="270">
        <f>IF(COUNT(M19,M20,M21,M22)=0,"",N(M19)+N(M20)+N(M21)+N(M22))</f>
        <v>380477</v>
      </c>
      <c r="N23" s="269">
        <f>IF(COUNT(N19,N20,N21,N22)=0,"",N(N19)+N(N20)+N(N21)+N(N22))</f>
        <v>106407</v>
      </c>
      <c r="O23" s="269">
        <f>IF(COUNT(O19,O20,O21,O22)=0,"",N(O19)+N(O20)+N(O21)+N(O22))</f>
        <v>107775</v>
      </c>
      <c r="P23" s="269">
        <f>IF(COUNT(P19,P20,P21,P22)=0,"",N(P19)+N(P20)+N(P21)+N(P22))</f>
        <v>109354</v>
      </c>
      <c r="Q23" s="269">
        <f>IF(COUNT(Q19,Q20,Q21,Q22)=0,"",N(Q19)+N(Q20)+N(Q21)+N(Q22))</f>
        <v>111733</v>
      </c>
      <c r="R23" s="270">
        <f>IF(COUNT(R19,R20,R21,R22)=0,"",N(R19)+N(R20)+N(R21)+N(R22))</f>
        <v>435269</v>
      </c>
      <c r="S23" s="269">
        <f>IF(COUNT(S19,S20,S21,S22)=0,"",N(S19)+N(S20)+N(S21)+N(S22))</f>
        <v>125386</v>
      </c>
      <c r="T23" s="269">
        <f>IF(COUNT(T19,T20,T21,T22)=0,"",N(T19)+N(T20)+N(T21)+N(T22))</f>
        <v>127468</v>
      </c>
      <c r="U23" s="269">
        <f>IF(COUNT(U19,U20,U21,U22)=0,"",N(U19)+N(U20)+N(U21)+N(U22))</f>
        <v>127551</v>
      </c>
      <c r="V23" s="269">
        <f>IF(COUNT(V19,V20,V21,V22)=0,"",N(V19)+N(V20)+N(V21)+N(V22))</f>
        <v>131293</v>
      </c>
      <c r="W23" s="270">
        <f>IF(COUNT(W19,W20,W21,W22)=0,"",N(W19)+N(W20)+N(W21)+N(W22))</f>
        <v>511698</v>
      </c>
      <c r="X23" s="269">
        <f>IF(COUNT(X19,X20,X21,X22)=0,"",N(X19)+N(X20)+N(X21)+N(X22))</f>
        <v>137425</v>
      </c>
      <c r="Y23" s="269">
        <f>IF(COUNT(Y19,Y20,Y21,Y22)=0,"",N(Y19)+N(Y20)+N(Y21)+N(Y22))</f>
        <v>137874</v>
      </c>
      <c r="Z23" s="269">
        <f>IF(COUNT(Z19,Z20,Z21,Z22)=0,"",N(Z19)+N(Z20)+N(Z21)+N(Z22))</f>
        <v>139908</v>
      </c>
      <c r="AA23" s="269">
        <f>IF(COUNT(AA19,AA20,AA21,AA22)=0,"",N(AA19)+N(AA20)+N(AA21)+N(AA22))</f>
        <v>140347</v>
      </c>
      <c r="AB23" s="270">
        <f>IF(COUNT(AB19,AB20,AB21,AB22)=0,"",N(AB19)+N(AB20)+N(AB21)+N(AB22))</f>
        <v>555554</v>
      </c>
      <c r="AC23" s="269">
        <f>IF(COUNT(AC19,AC20,AC21,AC22)=0,"",N(AC19)+N(AC20)+N(AC21)+N(AC22))</f>
        <v>149613</v>
      </c>
      <c r="AD23" s="269">
        <f>IF(COUNT(AD19,AD20,AD21,AD22)=0,"",N(AD19)+N(AD20)+N(AD21)+N(AD22))</f>
        <v>154519</v>
      </c>
      <c r="AE23" s="269">
        <f>IF(COUNT(AE19,AE20,AE21,AE22)=0,"",N(AE19)+N(AE20)+N(AE21)+N(AE22))</f>
        <v>157564</v>
      </c>
      <c r="AF23" s="269">
        <f>IF(COUNT(AF19,AF20,AF21,AF22)=0,"",N(AF19)+N(AF20)+N(AF21)+N(AF22))</f>
        <v>159156</v>
      </c>
      <c r="AG23" s="270">
        <f>IF(COUNT(AG19,AG20,AG21,AG22)=0,"",N(AG19)+N(AG20)+N(AG21)+N(AG22))</f>
        <v>620852</v>
      </c>
      <c r="AH23" s="270">
        <f>IF(COUNT(AH19,AH20,AH21,AH22)=0,"",N(AH19)+N(AH20)+N(AH21)+N(AH22))</f>
        <v>151235</v>
      </c>
      <c r="AI23" s="270">
        <f>IF(COUNT(AI19,AI20,AI21,AI22)=0,"",N(AI19)+N(AI20)+N(AI21)+N(AI22))</f>
        <v>153183</v>
      </c>
    </row>
    <row r="24">
      <c r="C24" s="268" t="inlineStr">
        <is>
          <t>Receita não alocada aos segmentos (linha 15 - soma)</t>
        </is>
      </c>
      <c r="D24" s="269" t="str">
        <f>IF(COUNT(D23)=0,"",ROUND(D15-D23,1))</f>
        <v/>
      </c>
      <c r="E24" s="269" t="str">
        <f>IF(COUNT(E23)=0,"",ROUND(E15-E23,1))</f>
        <v/>
      </c>
      <c r="F24" s="269" t="str">
        <f>IF(COUNT(F23)=0,"",ROUND(F15-F23,1))</f>
        <v/>
      </c>
      <c r="G24" s="269" t="str">
        <f>IF(COUNT(G23)=0,"",ROUND(G15-G23,1))</f>
        <v/>
      </c>
      <c r="H24" s="270" t="str">
        <f>IF(COUNT(H23)=0,"",ROUND(H15-H23,1))</f>
        <v/>
      </c>
      <c r="I24" s="269">
        <f>IF(COUNT(I23)=0,"",ROUND(I15-I23,1))</f>
        <v>-21777</v>
      </c>
      <c r="J24" s="269">
        <f>IF(COUNT(J23)=0,"",ROUND(J15-J23,1))</f>
        <v>-22934</v>
      </c>
      <c r="K24" s="269">
        <f>IF(COUNT(K23)=0,"",ROUND(K15-K23,1))</f>
        <v>-23878</v>
      </c>
      <c r="L24" s="269">
        <f>IF(COUNT(L23)=0,"",ROUND(L15-L23,1))</f>
        <v>-24291</v>
      </c>
      <c r="M24" s="270">
        <f>IF(COUNT(M23)=0,"",ROUND(M15-M23,1))</f>
        <v>-92880</v>
      </c>
      <c r="N24" s="269">
        <f>IF(COUNT(N23)=0,"",ROUND(N15-N23,1))</f>
        <v>-26258</v>
      </c>
      <c r="O24" s="269">
        <f>IF(COUNT(O23)=0,"",ROUND(O15-O23,1))</f>
        <v>-27443</v>
      </c>
      <c r="P24" s="269">
        <f>IF(COUNT(P23)=0,"",ROUND(P15-P23,1))</f>
        <v>-28460</v>
      </c>
      <c r="Q24" s="269">
        <f>IF(COUNT(Q23)=0,"",ROUND(Q15-Q23,1))</f>
        <v>-28946</v>
      </c>
      <c r="R24" s="270">
        <f>IF(COUNT(R23)=0,"",ROUND(R15-R23,1))</f>
        <v>-111107</v>
      </c>
      <c r="S24" s="269">
        <f>IF(COUNT(S23)=0,"",ROUND(S15-S23,1))</f>
        <v>-33455</v>
      </c>
      <c r="T24" s="269">
        <f>IF(COUNT(T23)=0,"",ROUND(T15-T23,1))</f>
        <v>-34565</v>
      </c>
      <c r="U24" s="269">
        <f>IF(COUNT(U23)=0,"",ROUND(U15-U23,1))</f>
        <v>-35190</v>
      </c>
      <c r="V24" s="269">
        <f>IF(COUNT(V23)=0,"",ROUND(V15-V23,1))</f>
        <v>-36866</v>
      </c>
      <c r="W24" s="270">
        <f>IF(COUNT(W23)=0,"",ROUND(W15-W23,1))</f>
        <v>-140076</v>
      </c>
      <c r="X24" s="269">
        <f>IF(COUNT(X23)=0,"",ROUND(X15-X23,1))</f>
        <v>-37629</v>
      </c>
      <c r="Y24" s="269">
        <f>IF(COUNT(Y23)=0,"",ROUND(Y15-Y23,1))</f>
        <v>-39019</v>
      </c>
      <c r="Z24" s="269">
        <f>IF(COUNT(Z23)=0,"",ROUND(Z15-Z23,1))</f>
        <v>-39088</v>
      </c>
      <c r="AA24" s="269">
        <f>IF(COUNT(AA23)=0,"",ROUND(AA15-AA23,1))</f>
        <v>-39540</v>
      </c>
      <c r="AB24" s="270">
        <f>IF(COUNT(AB23)=0,"",ROUND(AB15-AB23,1))</f>
        <v>-155276</v>
      </c>
      <c r="AC24" s="269">
        <f>IF(COUNT(AC23)=0,"",ROUND(AC15-AC23,1))</f>
        <v>-40038</v>
      </c>
      <c r="AD24" s="269">
        <f>IF(COUNT(AD23)=0,"",ROUND(AD15-AD23,1))</f>
        <v>-42903</v>
      </c>
      <c r="AE24" s="269">
        <f>IF(COUNT(AE23)=0,"",ROUND(AE15-AE23,1))</f>
        <v>-44403</v>
      </c>
      <c r="AF24" s="269">
        <f>IF(COUNT(AF23)=0,"",ROUND(AF15-AF23,1))</f>
        <v>-45941</v>
      </c>
      <c r="AG24" s="270">
        <f>IF(COUNT(AG23)=0,"",ROUND(AG15-AG23,1))</f>
        <v>-173285</v>
      </c>
      <c r="AH24" s="270">
        <f>IF(COUNT(AH23)=0,"",ROUND(AH15-AH23,1))</f>
        <v>-39514</v>
      </c>
      <c r="AI24" s="270">
        <f>IF(COUNT(AI23)=0,"",ROUND(AI15-AI23,1))</f>
        <v>-41151</v>
      </c>
    </row>
    <row r="25">
      <c r="C25" s="268" t="inlineStr">
        <is>
          <t xml:space="preserve">   % YoY UnitedHealthcare</t>
        </is>
      </c>
      <c r="D25" s="272" t="str">
        <f>""</f>
        <v/>
      </c>
      <c r="E25" s="272" t="str">
        <f>""</f>
        <v/>
      </c>
      <c r="F25" s="272" t="str">
        <f>""</f>
        <v/>
      </c>
      <c r="G25" s="272" t="str">
        <f>""</f>
        <v/>
      </c>
      <c r="H25" s="273" t="str">
        <f>""</f>
        <v/>
      </c>
      <c r="I25" s="272" t="str">
        <f>IFERROR(I19/D19-1,"")</f>
        <v/>
      </c>
      <c r="J25" s="272" t="str">
        <f>IFERROR(J19/E19-1,"")</f>
        <v/>
      </c>
      <c r="K25" s="272" t="str">
        <f>IFERROR(K19/F19-1,"")</f>
        <v/>
      </c>
      <c r="L25" s="272" t="str">
        <f>IFERROR(L19/G19-1,"")</f>
        <v/>
      </c>
      <c r="M25" s="273" t="str">
        <f>IFERROR(M19/H19-1,"")</f>
        <v/>
      </c>
      <c r="N25" s="272">
        <f>IFERROR(N19/I19-1,"")</f>
        <v>0.135736836375512</v>
      </c>
      <c r="O25" s="272">
        <f>IFERROR(O19/J19-1,"")</f>
        <v>0.119533475141508</v>
      </c>
      <c r="P25" s="272">
        <f>IFERROR(P19/K19-1,"")</f>
        <v>0.108498578504121</v>
      </c>
      <c r="Q25" s="272">
        <f>IFERROR(Q19/L19-1,"")</f>
        <v>0.118154086265607</v>
      </c>
      <c r="R25" s="273">
        <f>IFERROR(R19/M19-1,"")</f>
        <v>0.120422254025366</v>
      </c>
      <c r="S25" s="272">
        <f>IFERROR(S19/N19-1,"")</f>
        <v>0.125776819234763</v>
      </c>
      <c r="T25" s="272">
        <f>IFERROR(T19/O19-1,"")</f>
        <v>0.130842927300539</v>
      </c>
      <c r="U25" s="272">
        <f>IFERROR(U19/P19-1,"")</f>
        <v>0.126752157432051</v>
      </c>
      <c r="V25" s="272">
        <f>IFERROR(V19/Q19-1,"")</f>
        <v>0.123116454652159</v>
      </c>
      <c r="W25" s="273">
        <f>IFERROR(W19/R19-1,"")</f>
        <v>0.126607165022964</v>
      </c>
      <c r="X25" s="272">
        <f>IFERROR(X19/S19-1,"")</f>
        <v>0.0693790089118465</v>
      </c>
      <c r="Y25" s="272">
        <f>IFERROR(Y19/T19-1,"")</f>
        <v>0.051757770784981</v>
      </c>
      <c r="Z25" s="272">
        <f>IFERROR(Z19/U19-1,"")</f>
        <v>0.0715788870914635</v>
      </c>
      <c r="AA25" s="272">
        <f>IFERROR(AA19/V19-1,"")</f>
        <v>0.0469438481527511</v>
      </c>
      <c r="AB25" s="273">
        <f>IFERROR(AB19/W19-1,"")</f>
        <v>0.0598805800398066</v>
      </c>
      <c r="AC25" s="272">
        <f>IFERROR(AC19/X19-1,"")</f>
        <v>0.122881749538862</v>
      </c>
      <c r="AD25" s="272">
        <f>IFERROR(AD19/Y19-1,"")</f>
        <v>0.165664852570872</v>
      </c>
      <c r="AE25" s="272">
        <f>IFERROR(AE19/Z19-1,"")</f>
        <v>0.163213231266616</v>
      </c>
      <c r="AF25" s="272">
        <f>IFERROR(AF19/AA19-1,"")</f>
        <v>0.175106566664868</v>
      </c>
      <c r="AG25" s="273">
        <f>IFERROR(AG19/AB19-1,"")</f>
        <v>0.156585336409486</v>
      </c>
      <c r="AH25" s="273">
        <f>IFERROR(AH19/AC19-1,"")</f>
        <v>0.0194759918219742</v>
      </c>
      <c r="AI25" s="273">
        <f>IFERROR(AI19/AD19-1,"")</f>
        <v>-0.000998803758289535</v>
      </c>
    </row>
    <row r="26">
      <c r="C26" s="268" t="inlineStr">
        <is>
          <t xml:space="preserve">   % YoY Optum Health</t>
        </is>
      </c>
      <c r="D26" s="272" t="str">
        <f>""</f>
        <v/>
      </c>
      <c r="E26" s="272" t="str">
        <f>""</f>
        <v/>
      </c>
      <c r="F26" s="272" t="str">
        <f>""</f>
        <v/>
      </c>
      <c r="G26" s="272" t="str">
        <f>""</f>
        <v/>
      </c>
      <c r="H26" s="273" t="str">
        <f>""</f>
        <v/>
      </c>
      <c r="I26" s="272" t="str">
        <f>IFERROR(I20/D20-1,"")</f>
        <v/>
      </c>
      <c r="J26" s="272" t="str">
        <f>IFERROR(J20/E20-1,"")</f>
        <v/>
      </c>
      <c r="K26" s="272" t="str">
        <f>IFERROR(K20/F20-1,"")</f>
        <v/>
      </c>
      <c r="L26" s="272" t="str">
        <f>IFERROR(L20/G20-1,"")</f>
        <v/>
      </c>
      <c r="M26" s="273" t="str">
        <f>IFERROR(M20/H20-1,"")</f>
        <v/>
      </c>
      <c r="N26" s="272">
        <f>IFERROR(N20/I20-1,"")</f>
        <v>0.344997178102072</v>
      </c>
      <c r="O26" s="272">
        <f>IFERROR(O20/J20-1,"")</f>
        <v>0.32203007518797</v>
      </c>
      <c r="P26" s="272">
        <f>IFERROR(P20/K20-1,"")</f>
        <v>0.33673617144512</v>
      </c>
      <c r="Q26" s="272">
        <f>IFERROR(Q20/L20-1,"")</f>
        <v>0.267766323024055</v>
      </c>
      <c r="R26" s="273">
        <f>IFERROR(R20/M20-1,"")</f>
        <v>0.316452418385277</v>
      </c>
      <c r="S26" s="272">
        <f>IFERROR(S20/N20-1,"")</f>
        <v>0.378971346361348</v>
      </c>
      <c r="T26" s="272">
        <f>IFERROR(T20/O20-1,"")</f>
        <v>0.360234317238241</v>
      </c>
      <c r="U26" s="272">
        <f>IFERROR(U20/P20-1,"")</f>
        <v>0.29253100796187</v>
      </c>
      <c r="V26" s="272">
        <f>IFERROR(V20/Q20-1,"")</f>
        <v>0.330044454082186</v>
      </c>
      <c r="W26" s="273">
        <f>IFERROR(W20/R20-1,"")</f>
        <v>0.339239047966954</v>
      </c>
      <c r="X26" s="272">
        <f>IFERROR(X20/S20-1,"")</f>
        <v>0.162015301686663</v>
      </c>
      <c r="Y26" s="272">
        <f>IFERROR(Y20/T20-1,"")</f>
        <v>0.130994689969478</v>
      </c>
      <c r="Z26" s="272">
        <f>IFERROR(Z20/U20-1,"")</f>
        <v>0.0860291652698626</v>
      </c>
      <c r="AA26" s="272">
        <f>IFERROR(AA20/V20-1,"")</f>
        <v>0.0458954919703269</v>
      </c>
      <c r="AB26" s="273">
        <f>IFERROR(AB20/W20-1,"")</f>
        <v>0.105320030633977</v>
      </c>
      <c r="AC26" s="272">
        <f>IFERROR(AC20/X20-1,"")</f>
        <v>-0.0708540645692267</v>
      </c>
      <c r="AD26" s="272">
        <f>IFERROR(AD20/Y20-1,"")</f>
        <v>-0.0859519408502772</v>
      </c>
      <c r="AE26" s="272">
        <f>IFERROR(AE20/Z20-1,"")</f>
        <v>-0.000655940116525811</v>
      </c>
      <c r="AF26" s="272">
        <f>IFERROR(AF20/AA20-1,"")</f>
        <v>-0.0045596258768511</v>
      </c>
      <c r="AG26" s="273">
        <f>IFERROR(AG20/AB20-1,"")</f>
        <v>-0.0413162740370926</v>
      </c>
      <c r="AH26" s="273">
        <f>IFERROR(AH20/AC20-1,"")</f>
        <v>-0.0293111084269436</v>
      </c>
      <c r="AI26" s="273">
        <f>IFERROR(AI20/AD20-1,"")</f>
        <v>-0.0506774519716886</v>
      </c>
    </row>
    <row r="27">
      <c r="C27" s="268" t="inlineStr">
        <is>
          <t xml:space="preserve">   % YoY Optum Insight</t>
        </is>
      </c>
      <c r="D27" s="272" t="str">
        <f>""</f>
        <v/>
      </c>
      <c r="E27" s="272" t="str">
        <f>""</f>
        <v/>
      </c>
      <c r="F27" s="272" t="str">
        <f>""</f>
        <v/>
      </c>
      <c r="G27" s="272" t="str">
        <f>""</f>
        <v/>
      </c>
      <c r="H27" s="273" t="str">
        <f>""</f>
        <v/>
      </c>
      <c r="I27" s="272" t="str">
        <f>IFERROR(I21/D21-1,"")</f>
        <v/>
      </c>
      <c r="J27" s="272" t="str">
        <f>IFERROR(J21/E21-1,"")</f>
        <v/>
      </c>
      <c r="K27" s="272" t="str">
        <f>IFERROR(K21/F21-1,"")</f>
        <v/>
      </c>
      <c r="L27" s="272" t="str">
        <f>IFERROR(L21/G21-1,"")</f>
        <v/>
      </c>
      <c r="M27" s="273" t="str">
        <f>IFERROR(M21/H21-1,"")</f>
        <v/>
      </c>
      <c r="N27" s="272">
        <f>IFERROR(N21/I21-1,"")</f>
        <v>0.128681626928471</v>
      </c>
      <c r="O27" s="272">
        <f>IFERROR(O21/J21-1,"")</f>
        <v>0.109908691241123</v>
      </c>
      <c r="P27" s="272">
        <f>IFERROR(P21/K21-1,"")</f>
        <v>0.176489327811405</v>
      </c>
      <c r="Q27" s="272">
        <f>IFERROR(Q21/L21-1,"")</f>
        <v>0.349430944324823</v>
      </c>
      <c r="R27" s="273">
        <f>IFERROR(R21/M21-1,"")</f>
        <v>0.195261906713665</v>
      </c>
      <c r="S27" s="272">
        <f>IFERROR(S21/N21-1,"")</f>
        <v>0.396707051879466</v>
      </c>
      <c r="T27" s="272">
        <f>IFERROR(T21/O21-1,"")</f>
        <v>0.424131627056673</v>
      </c>
      <c r="U27" s="272">
        <f>IFERROR(U21/P21-1,"")</f>
        <v>0.347684809098294</v>
      </c>
      <c r="V27" s="272">
        <f>IFERROR(V21/Q21-1,"")</f>
        <v>0.0907225894688855</v>
      </c>
      <c r="W27" s="273">
        <f>IFERROR(W21/R21-1,"")</f>
        <v>0.298402030039092</v>
      </c>
      <c r="X27" s="272">
        <f>IFERROR(X21/S21-1,"")</f>
        <v>0.00133451957295372</v>
      </c>
      <c r="Y27" s="272">
        <f>IFERROR(Y21/T21-1,"")</f>
        <v>-0.0280273855370132</v>
      </c>
      <c r="Z27" s="272">
        <f>IFERROR(Z21/U21-1,"")</f>
        <v>-0.00924251557162947</v>
      </c>
      <c r="AA27" s="272">
        <f>IFERROR(AA21/V21-1,"")</f>
        <v>-0.000835945663531845</v>
      </c>
      <c r="AB27" s="273">
        <f>IFERROR(AB21/W21-1,"")</f>
        <v>-0.00924360870483842</v>
      </c>
      <c r="AC27" s="272">
        <f>IFERROR(AC21/X21-1,"")</f>
        <v>0.116614837849845</v>
      </c>
      <c r="AD27" s="272">
        <f>IFERROR(AD21/Y21-1,"")</f>
        <v>0.151661897424609</v>
      </c>
      <c r="AE27" s="272">
        <f>IFERROR(AE21/Z21-1,"")</f>
        <v>-0.00324477793551004</v>
      </c>
      <c r="AF27" s="272">
        <f>IFERROR(AF21/AA21-1,"")</f>
        <v>0.0550094122568501</v>
      </c>
      <c r="AG27" s="273">
        <f>IFERROR(AG21/AB21-1,"")</f>
        <v>0.0778909207229301</v>
      </c>
      <c r="AH27" s="273">
        <f>IFERROR(AH21/AC21-1,"")</f>
        <v>0.0194947284662821</v>
      </c>
      <c r="AI27" s="273">
        <f>IFERROR(AI21/AD21-1,"")</f>
        <v>0.0324923547400611</v>
      </c>
    </row>
    <row r="28"/>
    <row r="29">
      <c r="C29" s="267" t="inlineStr">
        <is>
          <t>Segmentos - lucro e margem (USD milhões)</t>
        </is>
      </c>
      <c r="D29" s="267">
        <f>D7</f>
        <v>0</v>
      </c>
      <c r="E29" s="267">
        <f>E7</f>
        <v>0</v>
      </c>
      <c r="F29" s="267">
        <f>F7</f>
        <v>0</v>
      </c>
      <c r="G29" s="267">
        <f>G7</f>
        <v>0</v>
      </c>
      <c r="H29" s="267">
        <f>H7</f>
        <v>2020</v>
      </c>
      <c r="I29" s="267" t="str">
        <f>I7</f>
        <v>1Q21</v>
      </c>
      <c r="J29" s="267" t="str">
        <f>J7</f>
        <v>2Q21</v>
      </c>
      <c r="K29" s="267" t="str">
        <f>K7</f>
        <v>3Q21</v>
      </c>
      <c r="L29" s="267" t="str">
        <f>L7</f>
        <v>4Q21</v>
      </c>
      <c r="M29" s="267">
        <f>M7</f>
        <v>2021</v>
      </c>
      <c r="N29" s="267" t="str">
        <f>N7</f>
        <v>1Q22</v>
      </c>
      <c r="O29" s="267" t="str">
        <f>O7</f>
        <v>2Q22</v>
      </c>
      <c r="P29" s="267" t="str">
        <f>P7</f>
        <v>3Q22</v>
      </c>
      <c r="Q29" s="267" t="str">
        <f>Q7</f>
        <v>4Q22</v>
      </c>
      <c r="R29" s="267">
        <f>R7</f>
        <v>2022</v>
      </c>
      <c r="S29" s="267" t="str">
        <f>S7</f>
        <v>1Q23</v>
      </c>
      <c r="T29" s="267" t="str">
        <f>T7</f>
        <v>2Q23</v>
      </c>
      <c r="U29" s="267" t="str">
        <f>U7</f>
        <v>3Q23</v>
      </c>
      <c r="V29" s="267" t="str">
        <f>V7</f>
        <v>4Q23</v>
      </c>
      <c r="W29" s="267">
        <f>W7</f>
        <v>2023</v>
      </c>
      <c r="X29" s="267" t="str">
        <f>X7</f>
        <v>1Q24</v>
      </c>
      <c r="Y29" s="267" t="str">
        <f>Y7</f>
        <v>2Q24</v>
      </c>
      <c r="Z29" s="267" t="str">
        <f>Z7</f>
        <v>3Q24</v>
      </c>
      <c r="AA29" s="267" t="str">
        <f>AA7</f>
        <v>4Q24</v>
      </c>
      <c r="AB29" s="267">
        <f>AB7</f>
        <v>2024</v>
      </c>
      <c r="AC29" s="267" t="str">
        <f>AC7</f>
        <v>1Q25</v>
      </c>
      <c r="AD29" s="267" t="str">
        <f>AD7</f>
        <v>2Q25</v>
      </c>
      <c r="AE29" s="267" t="str">
        <f>AE7</f>
        <v>3Q25</v>
      </c>
      <c r="AF29" s="267" t="str">
        <f>AF7</f>
        <v>4Q25</v>
      </c>
      <c r="AG29" s="267">
        <f>AG7</f>
        <v>2025</v>
      </c>
      <c r="AH29" s="267" t="str">
        <f>AH7</f>
        <v>1Q26</v>
      </c>
      <c r="AI29" s="267" t="str">
        <f>AI7</f>
        <v>2Q26</v>
      </c>
    </row>
    <row r="30">
      <c r="C30" s="268" t="inlineStr">
        <is>
          <t xml:space="preserve">   UnitedHealthcare</t>
        </is>
      </c>
      <c r="D30" s="269" t="str">
        <f>IFERROR(INDEX('Inputs (2)'!$D$54:$AL$54,MATCH(D$7&amp;"",'Inputs (2)'!$D$2:$AL$2,0)),"")</f>
        <v/>
      </c>
      <c r="E30" s="269" t="str">
        <f>IFERROR(INDEX('Inputs (2)'!$D$54:$AL$54,MATCH(E$7&amp;"",'Inputs (2)'!$D$2:$AL$2,0)),"")</f>
        <v/>
      </c>
      <c r="F30" s="269" t="str">
        <f>IFERROR(INDEX('Inputs (2)'!$D$54:$AL$54,MATCH(F$7&amp;"",'Inputs (2)'!$D$2:$AL$2,0)),"")</f>
        <v/>
      </c>
      <c r="G30" s="269" t="str">
        <f>IFERROR(INDEX('Inputs (2)'!$D$54:$AL$54,MATCH(G$7&amp;"",'Inputs (2)'!$D$2:$AL$2,0)),"")</f>
        <v/>
      </c>
      <c r="H30" s="270" t="str">
        <f>IF(COUNT(D30:G30)=4,SUM(D30:G30),"")</f>
        <v/>
      </c>
      <c r="I30" s="269">
        <f>IFERROR(INDEX('Inputs (2)'!$D$54:$AL$54,MATCH(I$7&amp;"",'Inputs (2)'!$D$2:$AL$2,0)),"")</f>
        <v>4108</v>
      </c>
      <c r="J30" s="269">
        <f>IFERROR(INDEX('Inputs (2)'!$D$54:$AL$54,MATCH(J$7&amp;"",'Inputs (2)'!$D$2:$AL$2,0)),"")</f>
        <v>3095</v>
      </c>
      <c r="K30" s="269">
        <f>IFERROR(INDEX('Inputs (2)'!$D$54:$AL$54,MATCH(K$7&amp;"",'Inputs (2)'!$D$2:$AL$2,0)),"")</f>
        <v>2651</v>
      </c>
      <c r="L30" s="269">
        <f>IFERROR(INDEX('Inputs (2)'!$D$54:$AL$54,MATCH(L$7&amp;"",'Inputs (2)'!$D$2:$AL$2,0)),"")</f>
        <v>2121</v>
      </c>
      <c r="M30" s="270">
        <f>IF(COUNT(I30:L30)=4,SUM(I30:L30),"")</f>
        <v>11975</v>
      </c>
      <c r="N30" s="269">
        <f>IFERROR(INDEX('Inputs (2)'!$D$54:$AL$54,MATCH(N$7&amp;"",'Inputs (2)'!$D$2:$AL$2,0)),"")</f>
        <v>3798</v>
      </c>
      <c r="O30" s="269">
        <f>IFERROR(INDEX('Inputs (2)'!$D$54:$AL$54,MATCH(O$7&amp;"",'Inputs (2)'!$D$2:$AL$2,0)),"")</f>
        <v>3850</v>
      </c>
      <c r="P30" s="269">
        <f>IFERROR(INDEX('Inputs (2)'!$D$54:$AL$54,MATCH(P$7&amp;"",'Inputs (2)'!$D$2:$AL$2,0)),"")</f>
        <v>3799</v>
      </c>
      <c r="Q30" s="269">
        <f>IFERROR(INDEX('Inputs (2)'!$D$54:$AL$54,MATCH(Q$7&amp;"",'Inputs (2)'!$D$2:$AL$2,0)),"")</f>
        <v>2932</v>
      </c>
      <c r="R30" s="270">
        <f>IF(COUNT(N30:Q30)=4,SUM(N30:Q30),"")</f>
        <v>14379</v>
      </c>
      <c r="S30" s="269">
        <f>IFERROR(INDEX('Inputs (2)'!$D$54:$AL$54,MATCH(S$7&amp;"",'Inputs (2)'!$D$2:$AL$2,0)),"")</f>
        <v>4343</v>
      </c>
      <c r="T30" s="269">
        <f>IFERROR(INDEX('Inputs (2)'!$D$54:$AL$54,MATCH(T$7&amp;"",'Inputs (2)'!$D$2:$AL$2,0)),"")</f>
        <v>4358</v>
      </c>
      <c r="U30" s="269">
        <f>IFERROR(INDEX('Inputs (2)'!$D$54:$AL$54,MATCH(U$7&amp;"",'Inputs (2)'!$D$2:$AL$2,0)),"")</f>
        <v>4592</v>
      </c>
      <c r="V30" s="269">
        <f>IFERROR(INDEX('Inputs (2)'!$D$54:$AL$54,MATCH(V$7&amp;"",'Inputs (2)'!$D$2:$AL$2,0)),"")</f>
        <v>3122</v>
      </c>
      <c r="W30" s="270">
        <f>IF(COUNT(S30:V30)=4,SUM(S30:V30),"")</f>
        <v>16415</v>
      </c>
      <c r="X30" s="269">
        <f>IFERROR(INDEX('Inputs (2)'!$D$54:$AL$54,MATCH(X$7&amp;"",'Inputs (2)'!$D$2:$AL$2,0)),"")</f>
        <v>4395</v>
      </c>
      <c r="Y30" s="269">
        <f>IFERROR(INDEX('Inputs (2)'!$D$54:$AL$54,MATCH(Y$7&amp;"",'Inputs (2)'!$D$2:$AL$2,0)),"")</f>
        <v>4004</v>
      </c>
      <c r="Z30" s="269">
        <f>IFERROR(INDEX('Inputs (2)'!$D$54:$AL$54,MATCH(Z$7&amp;"",'Inputs (2)'!$D$2:$AL$2,0)),"")</f>
        <v>4212</v>
      </c>
      <c r="AA30" s="269">
        <f>IFERROR(INDEX('Inputs (2)'!$D$54:$AL$54,MATCH(AA$7&amp;"",'Inputs (2)'!$D$2:$AL$2,0)),"")</f>
        <v>2973</v>
      </c>
      <c r="AB30" s="270">
        <f>IF(COUNT(X30:AA30)=4,SUM(X30:AA30),"")</f>
        <v>15584</v>
      </c>
      <c r="AC30" s="269">
        <f>IFERROR(INDEX('Inputs (2)'!$D$54:$AL$54,MATCH(AC$7&amp;"",'Inputs (2)'!$D$2:$AL$2,0)),"")</f>
        <v>5226</v>
      </c>
      <c r="AD30" s="269">
        <f>IFERROR(INDEX('Inputs (2)'!$D$54:$AL$54,MATCH(AD$7&amp;"",'Inputs (2)'!$D$2:$AL$2,0)),"")</f>
        <v>2075</v>
      </c>
      <c r="AE30" s="269">
        <f>IFERROR(INDEX('Inputs (2)'!$D$54:$AL$54,MATCH(AE$7&amp;"",'Inputs (2)'!$D$2:$AL$2,0)),"")</f>
        <v>1805</v>
      </c>
      <c r="AF30" s="269">
        <f>IFERROR(INDEX('Inputs (2)'!$D$54:$AL$54,MATCH(AF$7&amp;"",'Inputs (2)'!$D$2:$AL$2,0)),"")</f>
        <v>319</v>
      </c>
      <c r="AG30" s="270">
        <f>IF(COUNT(AC30:AF30)=4,SUM(AC30:AF30),"")</f>
        <v>9425</v>
      </c>
      <c r="AH30" s="270">
        <f>IFERROR(INDEX('Inputs (2)'!$D$54:$AL$54,MATCH(AH$7&amp;"",'Inputs (2)'!$D$2:$AL$2,0)),"")</f>
        <v>5694</v>
      </c>
      <c r="AI30" s="270">
        <f>IFERROR(INDEX('Inputs (2)'!$D$54:$AL$54,MATCH(AI$7&amp;"",'Inputs (2)'!$D$2:$AL$2,0)),"")</f>
        <v>3942</v>
      </c>
    </row>
    <row r="31">
      <c r="C31" s="268" t="inlineStr">
        <is>
          <t xml:space="preserve">   Optum Health</t>
        </is>
      </c>
      <c r="D31" s="269" t="str">
        <f>IFERROR(INDEX('Inputs (2)'!$D$56:$AL$56,MATCH(D$7&amp;"",'Inputs (2)'!$D$2:$AL$2,0)),"")</f>
        <v/>
      </c>
      <c r="E31" s="269" t="str">
        <f>IFERROR(INDEX('Inputs (2)'!$D$56:$AL$56,MATCH(E$7&amp;"",'Inputs (2)'!$D$2:$AL$2,0)),"")</f>
        <v/>
      </c>
      <c r="F31" s="269" t="str">
        <f>IFERROR(INDEX('Inputs (2)'!$D$56:$AL$56,MATCH(F$7&amp;"",'Inputs (2)'!$D$2:$AL$2,0)),"")</f>
        <v/>
      </c>
      <c r="G31" s="269" t="str">
        <f>IFERROR(INDEX('Inputs (2)'!$D$56:$AL$56,MATCH(G$7&amp;"",'Inputs (2)'!$D$2:$AL$2,0)),"")</f>
        <v/>
      </c>
      <c r="H31" s="270" t="str">
        <f>IF(COUNT(D31:G31)=4,SUM(D31:G31),"")</f>
        <v/>
      </c>
      <c r="I31" s="269">
        <f>IFERROR(INDEX('Inputs (2)'!$D$56:$AL$56,MATCH(I$7&amp;"",'Inputs (2)'!$D$2:$AL$2,0)),"")</f>
        <v>962</v>
      </c>
      <c r="J31" s="269">
        <f>IFERROR(INDEX('Inputs (2)'!$D$56:$AL$56,MATCH(J$7&amp;"",'Inputs (2)'!$D$2:$AL$2,0)),"")</f>
        <v>1128</v>
      </c>
      <c r="K31" s="269">
        <f>IFERROR(INDEX('Inputs (2)'!$D$56:$AL$56,MATCH(K$7&amp;"",'Inputs (2)'!$D$2:$AL$2,0)),"")</f>
        <v>1143</v>
      </c>
      <c r="L31" s="269">
        <f>IFERROR(INDEX('Inputs (2)'!$D$56:$AL$56,MATCH(L$7&amp;"",'Inputs (2)'!$D$2:$AL$2,0)),"")</f>
        <v>1229</v>
      </c>
      <c r="M31" s="270">
        <f>IF(COUNT(I31:L31)=4,SUM(I31:L31),"")</f>
        <v>4462</v>
      </c>
      <c r="N31" s="269">
        <f>IFERROR(INDEX('Inputs (2)'!$D$56:$AL$56,MATCH(N$7&amp;"",'Inputs (2)'!$D$2:$AL$2,0)),"")</f>
        <v>1366</v>
      </c>
      <c r="O31" s="269">
        <f>IFERROR(INDEX('Inputs (2)'!$D$56:$AL$56,MATCH(O$7&amp;"",'Inputs (2)'!$D$2:$AL$2,0)),"")</f>
        <v>1399</v>
      </c>
      <c r="P31" s="269">
        <f>IFERROR(INDEX('Inputs (2)'!$D$56:$AL$56,MATCH(P$7&amp;"",'Inputs (2)'!$D$2:$AL$2,0)),"")</f>
        <v>1575</v>
      </c>
      <c r="Q31" s="269">
        <f>IFERROR(INDEX('Inputs (2)'!$D$56:$AL$56,MATCH(Q$7&amp;"",'Inputs (2)'!$D$2:$AL$2,0)),"")</f>
        <v>1692</v>
      </c>
      <c r="R31" s="270">
        <f>IF(COUNT(N31:Q31)=4,SUM(N31:Q31),"")</f>
        <v>6032</v>
      </c>
      <c r="S31" s="269">
        <f>IFERROR(INDEX('Inputs (2)'!$D$56:$AL$56,MATCH(S$7&amp;"",'Inputs (2)'!$D$2:$AL$2,0)),"")</f>
        <v>1776</v>
      </c>
      <c r="T31" s="269">
        <f>IFERROR(INDEX('Inputs (2)'!$D$56:$AL$56,MATCH(T$7&amp;"",'Inputs (2)'!$D$2:$AL$2,0)),"")</f>
        <v>1525</v>
      </c>
      <c r="U31" s="269">
        <f>IFERROR(INDEX('Inputs (2)'!$D$56:$AL$56,MATCH(U$7&amp;"",'Inputs (2)'!$D$2:$AL$2,0)),"")</f>
        <v>1568</v>
      </c>
      <c r="V31" s="269">
        <f>IFERROR(INDEX('Inputs (2)'!$D$56:$AL$56,MATCH(V$7&amp;"",'Inputs (2)'!$D$2:$AL$2,0)),"")</f>
        <v>1691</v>
      </c>
      <c r="W31" s="270">
        <f>IF(COUNT(S31:V31)=4,SUM(S31:V31),"")</f>
        <v>6560</v>
      </c>
      <c r="X31" s="269">
        <f>IFERROR(INDEX('Inputs (2)'!$D$56:$AL$56,MATCH(X$7&amp;"",'Inputs (2)'!$D$2:$AL$2,0)),"")</f>
        <v>1899</v>
      </c>
      <c r="Y31" s="269">
        <f>IFERROR(INDEX('Inputs (2)'!$D$56:$AL$56,MATCH(Y$7&amp;"",'Inputs (2)'!$D$2:$AL$2,0)),"")</f>
        <v>1919</v>
      </c>
      <c r="Z31" s="269">
        <f>IFERROR(INDEX('Inputs (2)'!$D$56:$AL$56,MATCH(Z$7&amp;"",'Inputs (2)'!$D$2:$AL$2,0)),"")</f>
        <v>2161</v>
      </c>
      <c r="AA31" s="269">
        <f>IFERROR(INDEX('Inputs (2)'!$D$56:$AL$56,MATCH(AA$7&amp;"",'Inputs (2)'!$D$2:$AL$2,0)),"")</f>
        <v>1791</v>
      </c>
      <c r="AB31" s="270">
        <f>IF(COUNT(X31:AA31)=4,SUM(X31:AA31),"")</f>
        <v>7770</v>
      </c>
      <c r="AC31" s="269">
        <f>IFERROR(INDEX('Inputs (2)'!$D$56:$AL$56,MATCH(AC$7&amp;"",'Inputs (2)'!$D$2:$AL$2,0)),"")</f>
        <v>1411</v>
      </c>
      <c r="AD31" s="269">
        <f>IFERROR(INDEX('Inputs (2)'!$D$56:$AL$56,MATCH(AD$7&amp;"",'Inputs (2)'!$D$2:$AL$2,0)),"")</f>
        <v>429</v>
      </c>
      <c r="AE31" s="269">
        <f>IFERROR(INDEX('Inputs (2)'!$D$56:$AL$56,MATCH(AE$7&amp;"",'Inputs (2)'!$D$2:$AL$2,0)),"")</f>
        <v>255</v>
      </c>
      <c r="AF31" s="269">
        <f>IFERROR(INDEX('Inputs (2)'!$D$56:$AL$56,MATCH(AF$7&amp;"",'Inputs (2)'!$D$2:$AL$2,0)),"")</f>
        <v>-2783</v>
      </c>
      <c r="AG31" s="270">
        <f>IF(COUNT(AC31:AF31)=4,SUM(AC31:AF31),"")</f>
        <v>-688</v>
      </c>
      <c r="AH31" s="270">
        <f>IFERROR(INDEX('Inputs (2)'!$D$56:$AL$56,MATCH(AH$7&amp;"",'Inputs (2)'!$D$2:$AL$2,0)),"")</f>
        <v>1141</v>
      </c>
      <c r="AI31" s="270">
        <f>IFERROR(INDEX('Inputs (2)'!$D$56:$AL$56,MATCH(AI$7&amp;"",'Inputs (2)'!$D$2:$AL$2,0)),"")</f>
        <v>1190</v>
      </c>
    </row>
    <row r="32">
      <c r="C32" s="268" t="inlineStr">
        <is>
          <t xml:space="preserve">   Optum Insight</t>
        </is>
      </c>
      <c r="D32" s="269" t="str">
        <f>IFERROR(INDEX('Inputs (2)'!$D$58:$AL$58,MATCH(D$7&amp;"",'Inputs (2)'!$D$2:$AL$2,0)),"")</f>
        <v/>
      </c>
      <c r="E32" s="269" t="str">
        <f>IFERROR(INDEX('Inputs (2)'!$D$58:$AL$58,MATCH(E$7&amp;"",'Inputs (2)'!$D$2:$AL$2,0)),"")</f>
        <v/>
      </c>
      <c r="F32" s="269" t="str">
        <f>IFERROR(INDEX('Inputs (2)'!$D$58:$AL$58,MATCH(F$7&amp;"",'Inputs (2)'!$D$2:$AL$2,0)),"")</f>
        <v/>
      </c>
      <c r="G32" s="269" t="str">
        <f>IFERROR(INDEX('Inputs (2)'!$D$58:$AL$58,MATCH(G$7&amp;"",'Inputs (2)'!$D$2:$AL$2,0)),"")</f>
        <v/>
      </c>
      <c r="H32" s="270" t="str">
        <f>IF(COUNT(D32:G32)=4,SUM(D32:G32),"")</f>
        <v/>
      </c>
      <c r="I32" s="269">
        <f>IFERROR(INDEX('Inputs (2)'!$D$58:$AL$58,MATCH(I$7&amp;"",'Inputs (2)'!$D$2:$AL$2,0)),"")</f>
        <v>779</v>
      </c>
      <c r="J32" s="269">
        <f>IFERROR(INDEX('Inputs (2)'!$D$58:$AL$58,MATCH(J$7&amp;"",'Inputs (2)'!$D$2:$AL$2,0)),"")</f>
        <v>762</v>
      </c>
      <c r="K32" s="269">
        <f>IFERROR(INDEX('Inputs (2)'!$D$58:$AL$58,MATCH(K$7&amp;"",'Inputs (2)'!$D$2:$AL$2,0)),"")</f>
        <v>906</v>
      </c>
      <c r="L32" s="269">
        <f>IFERROR(INDEX('Inputs (2)'!$D$58:$AL$58,MATCH(L$7&amp;"",'Inputs (2)'!$D$2:$AL$2,0)),"")</f>
        <v>951</v>
      </c>
      <c r="M32" s="270">
        <f>IF(COUNT(I32:L32)=4,SUM(I32:L32),"")</f>
        <v>3398</v>
      </c>
      <c r="N32" s="269">
        <f>IFERROR(INDEX('Inputs (2)'!$D$58:$AL$58,MATCH(N$7&amp;"",'Inputs (2)'!$D$2:$AL$2,0)),"")</f>
        <v>847</v>
      </c>
      <c r="O32" s="269">
        <f>IFERROR(INDEX('Inputs (2)'!$D$58:$AL$58,MATCH(O$7&amp;"",'Inputs (2)'!$D$2:$AL$2,0)),"")</f>
        <v>839</v>
      </c>
      <c r="P32" s="269">
        <f>IFERROR(INDEX('Inputs (2)'!$D$58:$AL$58,MATCH(P$7&amp;"",'Inputs (2)'!$D$2:$AL$2,0)),"")</f>
        <v>1007</v>
      </c>
      <c r="Q32" s="269">
        <f>IFERROR(INDEX('Inputs (2)'!$D$58:$AL$58,MATCH(Q$7&amp;"",'Inputs (2)'!$D$2:$AL$2,0)),"")</f>
        <v>895</v>
      </c>
      <c r="R32" s="270">
        <f>IF(COUNT(N32:Q32)=4,SUM(N32:Q32),"")</f>
        <v>3588</v>
      </c>
      <c r="S32" s="269">
        <f>IFERROR(INDEX('Inputs (2)'!$D$58:$AL$58,MATCH(S$7&amp;"",'Inputs (2)'!$D$2:$AL$2,0)),"")</f>
        <v>907</v>
      </c>
      <c r="T32" s="269">
        <f>IFERROR(INDEX('Inputs (2)'!$D$58:$AL$58,MATCH(T$7&amp;"",'Inputs (2)'!$D$2:$AL$2,0)),"")</f>
        <v>968</v>
      </c>
      <c r="U32" s="269">
        <f>IFERROR(INDEX('Inputs (2)'!$D$58:$AL$58,MATCH(U$7&amp;"",'Inputs (2)'!$D$2:$AL$2,0)),"")</f>
        <v>1109</v>
      </c>
      <c r="V32" s="269">
        <f>IFERROR(INDEX('Inputs (2)'!$D$58:$AL$58,MATCH(V$7&amp;"",'Inputs (2)'!$D$2:$AL$2,0)),"")</f>
        <v>1284</v>
      </c>
      <c r="W32" s="270">
        <f>IF(COUNT(S32:V32)=4,SUM(S32:V32),"")</f>
        <v>4268</v>
      </c>
      <c r="X32" s="269">
        <f>IFERROR(INDEX('Inputs (2)'!$D$58:$AL$58,MATCH(X$7&amp;"",'Inputs (2)'!$D$2:$AL$2,0)),"")</f>
        <v>490</v>
      </c>
      <c r="Y32" s="269">
        <f>IFERROR(INDEX('Inputs (2)'!$D$58:$AL$58,MATCH(Y$7&amp;"",'Inputs (2)'!$D$2:$AL$2,0)),"")</f>
        <v>546</v>
      </c>
      <c r="Z32" s="269">
        <f>IFERROR(INDEX('Inputs (2)'!$D$58:$AL$58,MATCH(Z$7&amp;"",'Inputs (2)'!$D$2:$AL$2,0)),"")</f>
        <v>791</v>
      </c>
      <c r="AA32" s="269">
        <f>IFERROR(INDEX('Inputs (2)'!$D$58:$AL$58,MATCH(AA$7&amp;"",'Inputs (2)'!$D$2:$AL$2,0)),"")</f>
        <v>1270</v>
      </c>
      <c r="AB32" s="270">
        <f>IF(COUNT(X32:AA32)=4,SUM(X32:AA32),"")</f>
        <v>3097</v>
      </c>
      <c r="AC32" s="269">
        <f>IFERROR(INDEX('Inputs (2)'!$D$58:$AL$58,MATCH(AC$7&amp;"",'Inputs (2)'!$D$2:$AL$2,0)),"")</f>
        <v>1164</v>
      </c>
      <c r="AD32" s="269">
        <f>IFERROR(INDEX('Inputs (2)'!$D$58:$AL$58,MATCH(AD$7&amp;"",'Inputs (2)'!$D$2:$AL$2,0)),"")</f>
        <v>1205</v>
      </c>
      <c r="AE32" s="269">
        <f>IFERROR(INDEX('Inputs (2)'!$D$58:$AL$58,MATCH(AE$7&amp;"",'Inputs (2)'!$D$2:$AL$2,0)),"")</f>
        <v>706</v>
      </c>
      <c r="AF32" s="269">
        <f>IFERROR(INDEX('Inputs (2)'!$D$58:$AL$58,MATCH(AF$7&amp;"",'Inputs (2)'!$D$2:$AL$2,0)),"")</f>
        <v>-41</v>
      </c>
      <c r="AG32" s="270">
        <f>IF(COUNT(AC32:AF32)=4,SUM(AC32:AF32),"")</f>
        <v>3034</v>
      </c>
      <c r="AH32" s="270">
        <f>IFERROR(INDEX('Inputs (2)'!$D$58:$AL$58,MATCH(AH$7&amp;"",'Inputs (2)'!$D$2:$AL$2,0)),"")</f>
        <v>963</v>
      </c>
      <c r="AI32" s="270">
        <f>IFERROR(INDEX('Inputs (2)'!$D$58:$AL$58,MATCH(AI$7&amp;"",'Inputs (2)'!$D$2:$AL$2,0)),"")</f>
        <v>1369</v>
      </c>
    </row>
    <row r="33">
      <c r="C33" s="268" t="inlineStr">
        <is>
          <t xml:space="preserve">   Optum Rx</t>
        </is>
      </c>
      <c r="D33" s="269" t="str">
        <f>IFERROR(INDEX('Inputs (2)'!$D$60:$AL$60,MATCH(D$7&amp;"",'Inputs (2)'!$D$2:$AL$2,0)),"")</f>
        <v/>
      </c>
      <c r="E33" s="269" t="str">
        <f>IFERROR(INDEX('Inputs (2)'!$D$60:$AL$60,MATCH(E$7&amp;"",'Inputs (2)'!$D$2:$AL$2,0)),"")</f>
        <v/>
      </c>
      <c r="F33" s="269" t="str">
        <f>IFERROR(INDEX('Inputs (2)'!$D$60:$AL$60,MATCH(F$7&amp;"",'Inputs (2)'!$D$2:$AL$2,0)),"")</f>
        <v/>
      </c>
      <c r="G33" s="269" t="str">
        <f>IFERROR(INDEX('Inputs (2)'!$D$60:$AL$60,MATCH(G$7&amp;"",'Inputs (2)'!$D$2:$AL$2,0)),"")</f>
        <v/>
      </c>
      <c r="H33" s="270" t="str">
        <f>IF(COUNT(D33:G33)=4,SUM(D33:G33),"")</f>
        <v/>
      </c>
      <c r="I33" s="269">
        <f>IFERROR(INDEX('Inputs (2)'!$D$60:$AL$60,MATCH(I$7&amp;"",'Inputs (2)'!$D$2:$AL$2,0)),"")</f>
        <v>890</v>
      </c>
      <c r="J33" s="269">
        <f>IFERROR(INDEX('Inputs (2)'!$D$60:$AL$60,MATCH(J$7&amp;"",'Inputs (2)'!$D$2:$AL$2,0)),"")</f>
        <v>993</v>
      </c>
      <c r="K33" s="269">
        <f>IFERROR(INDEX('Inputs (2)'!$D$60:$AL$60,MATCH(K$7&amp;"",'Inputs (2)'!$D$2:$AL$2,0)),"")</f>
        <v>1012</v>
      </c>
      <c r="L33" s="269">
        <f>IFERROR(INDEX('Inputs (2)'!$D$60:$AL$60,MATCH(L$7&amp;"",'Inputs (2)'!$D$2:$AL$2,0)),"")</f>
        <v>1240</v>
      </c>
      <c r="M33" s="270">
        <f>IF(COUNT(I33:L33)=4,SUM(I33:L33),"")</f>
        <v>4135</v>
      </c>
      <c r="N33" s="269">
        <f>IFERROR(INDEX('Inputs (2)'!$D$60:$AL$60,MATCH(N$7&amp;"",'Inputs (2)'!$D$2:$AL$2,0)),"")</f>
        <v>939</v>
      </c>
      <c r="O33" s="269">
        <f>IFERROR(INDEX('Inputs (2)'!$D$60:$AL$60,MATCH(O$7&amp;"",'Inputs (2)'!$D$2:$AL$2,0)),"")</f>
        <v>1044</v>
      </c>
      <c r="P33" s="269">
        <f>IFERROR(INDEX('Inputs (2)'!$D$60:$AL$60,MATCH(P$7&amp;"",'Inputs (2)'!$D$2:$AL$2,0)),"")</f>
        <v>1081</v>
      </c>
      <c r="Q33" s="269">
        <f>IFERROR(INDEX('Inputs (2)'!$D$60:$AL$60,MATCH(Q$7&amp;"",'Inputs (2)'!$D$2:$AL$2,0)),"")</f>
        <v>1372</v>
      </c>
      <c r="R33" s="270">
        <f>IF(COUNT(N33:Q33)=4,SUM(N33:Q33),"")</f>
        <v>4436</v>
      </c>
      <c r="S33" s="269">
        <f>IFERROR(INDEX('Inputs (2)'!$D$60:$AL$60,MATCH(S$7&amp;"",'Inputs (2)'!$D$2:$AL$2,0)),"")</f>
        <v>1060</v>
      </c>
      <c r="T33" s="269">
        <f>IFERROR(INDEX('Inputs (2)'!$D$60:$AL$60,MATCH(T$7&amp;"",'Inputs (2)'!$D$2:$AL$2,0)),"")</f>
        <v>1206</v>
      </c>
      <c r="U33" s="269">
        <f>IFERROR(INDEX('Inputs (2)'!$D$60:$AL$60,MATCH(U$7&amp;"",'Inputs (2)'!$D$2:$AL$2,0)),"")</f>
        <v>1257</v>
      </c>
      <c r="V33" s="269">
        <f>IFERROR(INDEX('Inputs (2)'!$D$60:$AL$60,MATCH(V$7&amp;"",'Inputs (2)'!$D$2:$AL$2,0)),"")</f>
        <v>1592</v>
      </c>
      <c r="W33" s="270">
        <f>IF(COUNT(S33:V33)=4,SUM(S33:V33),"")</f>
        <v>5115</v>
      </c>
      <c r="X33" s="269">
        <f>IFERROR(INDEX('Inputs (2)'!$D$60:$AL$60,MATCH(X$7&amp;"",'Inputs (2)'!$D$2:$AL$2,0)),"")</f>
        <v>1147</v>
      </c>
      <c r="Y33" s="269">
        <f>IFERROR(INDEX('Inputs (2)'!$D$60:$AL$60,MATCH(Y$7&amp;"",'Inputs (2)'!$D$2:$AL$2,0)),"")</f>
        <v>1406</v>
      </c>
      <c r="Z33" s="269">
        <f>IFERROR(INDEX('Inputs (2)'!$D$60:$AL$60,MATCH(Z$7&amp;"",'Inputs (2)'!$D$2:$AL$2,0)),"")</f>
        <v>1544</v>
      </c>
      <c r="AA33" s="269">
        <f>IFERROR(INDEX('Inputs (2)'!$D$60:$AL$60,MATCH(AA$7&amp;"",'Inputs (2)'!$D$2:$AL$2,0)),"")</f>
        <v>1739</v>
      </c>
      <c r="AB33" s="270">
        <f>IF(COUNT(X33:AA33)=4,SUM(X33:AA33),"")</f>
        <v>5836</v>
      </c>
      <c r="AC33" s="269">
        <f>IFERROR(INDEX('Inputs (2)'!$D$60:$AL$60,MATCH(AC$7&amp;"",'Inputs (2)'!$D$2:$AL$2,0)),"")</f>
        <v>1318</v>
      </c>
      <c r="AD33" s="269">
        <f>IFERROR(INDEX('Inputs (2)'!$D$60:$AL$60,MATCH(AD$7&amp;"",'Inputs (2)'!$D$2:$AL$2,0)),"")</f>
        <v>1441</v>
      </c>
      <c r="AE33" s="269">
        <f>IFERROR(INDEX('Inputs (2)'!$D$60:$AL$60,MATCH(AE$7&amp;"",'Inputs (2)'!$D$2:$AL$2,0)),"")</f>
        <v>1549</v>
      </c>
      <c r="AF33" s="269">
        <f>IFERROR(INDEX('Inputs (2)'!$D$60:$AL$60,MATCH(AF$7&amp;"",'Inputs (2)'!$D$2:$AL$2,0)),"")</f>
        <v>2885</v>
      </c>
      <c r="AG33" s="270">
        <f>IF(COUNT(AC33:AF33)=4,SUM(AC33:AF33),"")</f>
        <v>7193</v>
      </c>
      <c r="AH33" s="270">
        <f>IFERROR(INDEX('Inputs (2)'!$D$60:$AL$60,MATCH(AH$7&amp;"",'Inputs (2)'!$D$2:$AL$2,0)),"")</f>
        <v>1192</v>
      </c>
      <c r="AI33" s="270">
        <f>IFERROR(INDEX('Inputs (2)'!$D$60:$AL$60,MATCH(AI$7&amp;"",'Inputs (2)'!$D$2:$AL$2,0)),"")</f>
        <v>1490</v>
      </c>
    </row>
    <row r="34">
      <c r="C34" s="268" t="inlineStr">
        <is>
          <t xml:space="preserve">   Margem UnitedHealthcare</t>
        </is>
      </c>
      <c r="D34" s="272" t="str">
        <f>IFERROR(D30/D19,"")</f>
        <v/>
      </c>
      <c r="E34" s="272" t="str">
        <f>IFERROR(E30/E19,"")</f>
        <v/>
      </c>
      <c r="F34" s="272" t="str">
        <f>IFERROR(F30/F19,"")</f>
        <v/>
      </c>
      <c r="G34" s="272" t="str">
        <f>IFERROR(G30/G19,"")</f>
        <v/>
      </c>
      <c r="H34" s="273" t="str">
        <f>IFERROR(H30/H19,"")</f>
        <v/>
      </c>
      <c r="I34" s="272">
        <f>IFERROR(I30/I19,"")</f>
        <v>0.0745364154298363</v>
      </c>
      <c r="J34" s="272">
        <f>IFERROR(J30/J19,"")</f>
        <v>0.0557919025128889</v>
      </c>
      <c r="K34" s="272">
        <f>IFERROR(K30/K19,"")</f>
        <v>0.0474010764031684</v>
      </c>
      <c r="L34" s="272">
        <f>IFERROR(L30/L19,"")</f>
        <v>0.0376170544835414</v>
      </c>
      <c r="M34" s="273">
        <f>IFERROR(M30/M19,"")</f>
        <v>0.0537238839115474</v>
      </c>
      <c r="N34" s="272">
        <f>IFERROR(N30/N19,"")</f>
        <v>0.0606757728253055</v>
      </c>
      <c r="O34" s="272">
        <f>IFERROR(O30/O19,"")</f>
        <v>0.061991788100797</v>
      </c>
      <c r="P34" s="272">
        <f>IFERROR(P30/P19,"")</f>
        <v>0.0612791354141463</v>
      </c>
      <c r="Q34" s="272">
        <f>IFERROR(Q30/Q19,"")</f>
        <v>0.0465057259778574</v>
      </c>
      <c r="R34" s="273">
        <f>IFERROR(R30/R19,"")</f>
        <v>0.0575756483717131</v>
      </c>
      <c r="S34" s="272">
        <f>IFERROR(S30/S19,"")</f>
        <v>0.0616308111483226</v>
      </c>
      <c r="T34" s="272">
        <f>IFERROR(T30/T19,"")</f>
        <v>0.062052370036024</v>
      </c>
      <c r="U34" s="272">
        <f>IFERROR(U30/U19,"")</f>
        <v>0.0657380499048001</v>
      </c>
      <c r="V34" s="272">
        <f>IFERROR(V30/V19,"")</f>
        <v>0.0440910631567055</v>
      </c>
      <c r="W34" s="273">
        <f>IFERROR(W30/W19,"")</f>
        <v>0.0583416263861245</v>
      </c>
      <c r="X34" s="272">
        <f>IFERROR(X30/X19,"")</f>
        <v>0.0583223854452805</v>
      </c>
      <c r="Y34" s="272">
        <f>IFERROR(Y30/Y19,"")</f>
        <v>0.0542062653995072</v>
      </c>
      <c r="Z34" s="272">
        <f>IFERROR(Z30/Z19,"")</f>
        <v>0.0562702897679452</v>
      </c>
      <c r="AA34" s="272">
        <f>IFERROR(AA30/AA19,"")</f>
        <v>0.0401041385636432</v>
      </c>
      <c r="AB34" s="273">
        <f>IFERROR(AB30/AB19,"")</f>
        <v>0.0522588260542977</v>
      </c>
      <c r="AC34" s="272">
        <f>IFERROR(AC30/AC19,"")</f>
        <v>0.0617606391150714</v>
      </c>
      <c r="AD34" s="272">
        <f>IFERROR(AD30/AD19,"")</f>
        <v>0.0240990441680313</v>
      </c>
      <c r="AE34" s="272">
        <f>IFERROR(AE30/AE19,"")</f>
        <v>0.0207304467669691</v>
      </c>
      <c r="AF34" s="272">
        <f>IFERROR(AF30/AF19,"")</f>
        <v>0.00366191039224915</v>
      </c>
      <c r="AG34" s="273">
        <f>IFERROR(AG30/AG19,"")</f>
        <v>0.0273265236892692</v>
      </c>
      <c r="AH34" s="273">
        <f>IFERROR(AH30/AH19,"")</f>
        <v>0.0660059120153017</v>
      </c>
      <c r="AI34" s="273">
        <f>IFERROR(AI30/AI19,"")</f>
        <v>0.0458281502493693</v>
      </c>
    </row>
    <row r="35">
      <c r="C35" s="268" t="inlineStr">
        <is>
          <t xml:space="preserve">   Margem Optum Health</t>
        </is>
      </c>
      <c r="D35" s="272" t="str">
        <f>IFERROR(D31/D20,"")</f>
        <v/>
      </c>
      <c r="E35" s="272" t="str">
        <f>IFERROR(E31/E20,"")</f>
        <v/>
      </c>
      <c r="F35" s="272" t="str">
        <f>IFERROR(F31/F20,"")</f>
        <v/>
      </c>
      <c r="G35" s="272" t="str">
        <f>IFERROR(G31/G20,"")</f>
        <v/>
      </c>
      <c r="H35" s="273" t="str">
        <f>IFERROR(H31/H20,"")</f>
        <v/>
      </c>
      <c r="I35" s="272">
        <f>IFERROR(I31/I20,"")</f>
        <v>0.0775618801902765</v>
      </c>
      <c r="J35" s="272">
        <f>IFERROR(J31/J20,"")</f>
        <v>0.084812030075188</v>
      </c>
      <c r="K35" s="272">
        <f>IFERROR(K31/K20,"")</f>
        <v>0.0827541268462207</v>
      </c>
      <c r="L35" s="272">
        <f>IFERROR(L31/L20,"")</f>
        <v>0.08446735395189</v>
      </c>
      <c r="M35" s="273">
        <f>IFERROR(M31/M20,"")</f>
        <v>0.0825302876167576</v>
      </c>
      <c r="N35" s="272">
        <f>IFERROR(N31/N20,"")</f>
        <v>0.0818846661071814</v>
      </c>
      <c r="O35" s="272">
        <f>IFERROR(O31/O20,"")</f>
        <v>0.0795654893931639</v>
      </c>
      <c r="P35" s="272">
        <f>IFERROR(P31/P20,"")</f>
        <v>0.0853057466283919</v>
      </c>
      <c r="Q35" s="272">
        <f>IFERROR(Q31/Q20,"")</f>
        <v>0.0917272037298059</v>
      </c>
      <c r="R35" s="273">
        <f>IFERROR(R31/R20,"")</f>
        <v>0.0847500491752606</v>
      </c>
      <c r="S35" s="272">
        <f>IFERROR(S31/S20,"")</f>
        <v>0.0772039645279082</v>
      </c>
      <c r="T35" s="272">
        <f>IFERROR(T31/T20,"")</f>
        <v>0.0637621775306268</v>
      </c>
      <c r="U35" s="272">
        <f>IFERROR(U31/U20,"")</f>
        <v>0.0657056654374791</v>
      </c>
      <c r="V35" s="272">
        <f>IFERROR(V31/V20,"")</f>
        <v>0.0689247574794163</v>
      </c>
      <c r="W35" s="273">
        <f>IFERROR(W31/W20,"")</f>
        <v>0.0688215361050787</v>
      </c>
      <c r="X35" s="272">
        <f>IFERROR(X31/X20,"")</f>
        <v>0.0710411133141297</v>
      </c>
      <c r="Y35" s="272">
        <f>IFERROR(Y31/Y20,"")</f>
        <v>0.0709426987060998</v>
      </c>
      <c r="Z35" s="272">
        <f>IFERROR(Z31/Z20,"")</f>
        <v>0.0833815642242544</v>
      </c>
      <c r="AA35" s="272">
        <f>IFERROR(AA31/AA20,"")</f>
        <v>0.0697973499610288</v>
      </c>
      <c r="AB35" s="273">
        <f>IFERROR(AB31/AB20,"")</f>
        <v>0.0737485525541487</v>
      </c>
      <c r="AC35" s="272">
        <f>IFERROR(AC31/AC20,"")</f>
        <v>0.0568104038329911</v>
      </c>
      <c r="AD35" s="272">
        <f>IFERROR(AD31/AD20,"")</f>
        <v>0.0173508594539939</v>
      </c>
      <c r="AE35" s="272">
        <f>IFERROR(AE31/AE20,"")</f>
        <v>0.00984555984555985</v>
      </c>
      <c r="AF35" s="272">
        <f>IFERROR(AF31/AF20,"")</f>
        <v>-0.108953529342677</v>
      </c>
      <c r="AG35" s="273">
        <f>IFERROR(AG31/AG20,"")</f>
        <v>-0.00681154398297114</v>
      </c>
      <c r="AH35" s="273">
        <f>IFERROR(AH31/AH20,"")</f>
        <v>0.0473267244597453</v>
      </c>
      <c r="AI35" s="273">
        <f>IFERROR(AI31/AI20,"")</f>
        <v>0.0506987048398091</v>
      </c>
    </row>
    <row r="36">
      <c r="C36" s="268" t="inlineStr">
        <is>
          <t xml:space="preserve">   Margem Optum Insight</t>
        </is>
      </c>
      <c r="D36" s="272" t="str">
        <f>IFERROR(D32/D21,"")</f>
        <v/>
      </c>
      <c r="E36" s="272" t="str">
        <f>IFERROR(E32/E21,"")</f>
        <v/>
      </c>
      <c r="F36" s="272" t="str">
        <f>IFERROR(F32/F21,"")</f>
        <v/>
      </c>
      <c r="G36" s="272" t="str">
        <f>IFERROR(G32/G21,"")</f>
        <v/>
      </c>
      <c r="H36" s="273" t="str">
        <f>IFERROR(H32/H21,"")</f>
        <v/>
      </c>
      <c r="I36" s="272">
        <f>IFERROR(I32/I21,"")</f>
        <v>0.273141654978962</v>
      </c>
      <c r="J36" s="272">
        <f>IFERROR(J32/J21,"")</f>
        <v>0.257693608386879</v>
      </c>
      <c r="K36" s="272">
        <f>IFERROR(K32/K21,"")</f>
        <v>0.288626951258363</v>
      </c>
      <c r="L36" s="272">
        <f>IFERROR(L32/L21,"")</f>
        <v>0.292525376807136</v>
      </c>
      <c r="M36" s="273">
        <f>IFERROR(M32/M21,"")</f>
        <v>0.27854742191983</v>
      </c>
      <c r="N36" s="272">
        <f>IFERROR(N32/N21,"")</f>
        <v>0.263125194159677</v>
      </c>
      <c r="O36" s="272">
        <f>IFERROR(O32/O21,"")</f>
        <v>0.255636806825107</v>
      </c>
      <c r="P36" s="272">
        <f>IFERROR(P32/P21,"")</f>
        <v>0.272678039534254</v>
      </c>
      <c r="Q36" s="272">
        <f>IFERROR(Q32/Q21,"")</f>
        <v>0.204011853202644</v>
      </c>
      <c r="R36" s="273">
        <f>IFERROR(R32/R21,"")</f>
        <v>0.246073657499486</v>
      </c>
      <c r="S36" s="272">
        <f>IFERROR(S32/S21,"")</f>
        <v>0.20173487544484</v>
      </c>
      <c r="T36" s="272">
        <f>IFERROR(T32/T21,"")</f>
        <v>0.207103123662816</v>
      </c>
      <c r="U36" s="272">
        <f>IFERROR(U32/U21,"")</f>
        <v>0.222824994976894</v>
      </c>
      <c r="V36" s="272">
        <f>IFERROR(V32/V21,"")</f>
        <v>0.26833855799373</v>
      </c>
      <c r="W36" s="273">
        <f>IFERROR(W32/W21,"")</f>
        <v>0.225438411155715</v>
      </c>
      <c r="X36" s="272">
        <f>IFERROR(X32/X21,"")</f>
        <v>0.108840515326522</v>
      </c>
      <c r="Y36" s="272">
        <f>IFERROR(Y32/Y21,"")</f>
        <v>0.120184899845917</v>
      </c>
      <c r="Z36" s="272">
        <f>IFERROR(Z32/Z21,"")</f>
        <v>0.160413709186778</v>
      </c>
      <c r="AA36" s="272">
        <f>IFERROR(AA32/AA21,"")</f>
        <v>0.265634804434219</v>
      </c>
      <c r="AB36" s="273">
        <f>IFERROR(AB32/AB21,"")</f>
        <v>0.165111691635123</v>
      </c>
      <c r="AC36" s="272">
        <f>IFERROR(AC32/AC21,"")</f>
        <v>0.231549631987269</v>
      </c>
      <c r="AD36" s="272">
        <f>IFERROR(AD32/AD21,"")</f>
        <v>0.230313455657492</v>
      </c>
      <c r="AE36" s="272">
        <f>IFERROR(AE32/AE21,"")</f>
        <v>0.143641912512716</v>
      </c>
      <c r="AF36" s="272">
        <f>IFERROR(AF32/AF21,"")</f>
        <v>-0.00812846946867566</v>
      </c>
      <c r="AG36" s="273">
        <f>IFERROR(AG32/AG21,"")</f>
        <v>0.150064299139381</v>
      </c>
      <c r="AH36" s="273">
        <f>IFERROR(AH32/AH21,"")</f>
        <v>0.18790243902439</v>
      </c>
      <c r="AI36" s="273">
        <f>IFERROR(AI32/AI21,"")</f>
        <v>0.253424657534247</v>
      </c>
    </row>
    <row r="37">
      <c r="C37" s="268" t="inlineStr">
        <is>
          <t xml:space="preserve">   Margem Optum Rx</t>
        </is>
      </c>
      <c r="D37" s="272" t="str">
        <f>IFERROR(D33/D22,"")</f>
        <v/>
      </c>
      <c r="E37" s="272" t="str">
        <f>IFERROR(E33/E22,"")</f>
        <v/>
      </c>
      <c r="F37" s="272" t="str">
        <f>IFERROR(F33/F22,"")</f>
        <v/>
      </c>
      <c r="G37" s="272" t="str">
        <f>IFERROR(G33/G22,"")</f>
        <v/>
      </c>
      <c r="H37" s="273" t="str">
        <f>IFERROR(H33/H22,"")</f>
        <v/>
      </c>
      <c r="I37" s="272">
        <f>IFERROR(I33/I22,"")</f>
        <v>0.0411960748009628</v>
      </c>
      <c r="J37" s="272">
        <f>IFERROR(J33/J22,"")</f>
        <v>0.0440863079381993</v>
      </c>
      <c r="K37" s="272">
        <f>IFERROR(K33/K22,"")</f>
        <v>0.043364614132065</v>
      </c>
      <c r="L37" s="272">
        <f>IFERROR(L33/L22,"")</f>
        <v>0.0519937942890687</v>
      </c>
      <c r="M37" s="273">
        <f>IFERROR(M33/M22,"")</f>
        <v>0.0452833081455199</v>
      </c>
      <c r="N37" s="272">
        <f>IFERROR(N33/N22,"")</f>
        <v>0.0392706285809878</v>
      </c>
      <c r="O37" s="272">
        <f>IFERROR(O33/O22,"")</f>
        <v>0.0420882886514816</v>
      </c>
      <c r="P37" s="272">
        <f>IFERROR(P33/P22,"")</f>
        <v>0.042891719239773</v>
      </c>
      <c r="Q37" s="272">
        <f>IFERROR(Q33/Q22,"")</f>
        <v>0.0530672236404425</v>
      </c>
      <c r="R37" s="273">
        <f>IFERROR(R33/R22,"")</f>
        <v>0.0444609263027071</v>
      </c>
      <c r="S37" s="272">
        <f>IFERROR(S33/S22,"")</f>
        <v>0.0386607338244949</v>
      </c>
      <c r="T37" s="272">
        <f>IFERROR(T33/T22,"")</f>
        <v>0.0421001186902185</v>
      </c>
      <c r="U37" s="272">
        <f>IFERROR(U33/U22,"")</f>
        <v>0.0435596215822851</v>
      </c>
      <c r="V37" s="272">
        <f>IFERROR(V33/V22,"")</f>
        <v>0.0510813065520118</v>
      </c>
      <c r="W37" s="273">
        <f>IFERROR(W33/W22,"")</f>
        <v>0.0440617812502692</v>
      </c>
      <c r="X37" s="272">
        <f>IFERROR(X33/X22,"")</f>
        <v>0.0371979892978758</v>
      </c>
      <c r="Y37" s="272">
        <f>IFERROR(Y33/Y22,"")</f>
        <v>0.043374980718803</v>
      </c>
      <c r="Z37" s="272">
        <f>IFERROR(Z33/Z22,"")</f>
        <v>0.0451369602712895</v>
      </c>
      <c r="AA37" s="272">
        <f>IFERROR(AA33/AA22,"")</f>
        <v>0.0486107228713591</v>
      </c>
      <c r="AB37" s="273">
        <f>IFERROR(AB33/AB22,"")</f>
        <v>0.0438036192777957</v>
      </c>
      <c r="AC37" s="272">
        <f>IFERROR(AC33/AC22,"")</f>
        <v>0.0375156552430832</v>
      </c>
      <c r="AD37" s="272">
        <f>IFERROR(AD33/AD22,"")</f>
        <v>0.0374684729192127</v>
      </c>
      <c r="AE37" s="272">
        <f>IFERROR(AE33/AE22,"")</f>
        <v>0.0390382822147736</v>
      </c>
      <c r="AF37" s="272">
        <f>IFERROR(AF33/AF22,"")</f>
        <v>0.0695918564260903</v>
      </c>
      <c r="AG37" s="273">
        <f>IFERROR(AG33/AG22,"")</f>
        <v>0.046488631516358</v>
      </c>
      <c r="AH37" s="273">
        <f>IFERROR(AH33/AH22,"")</f>
        <v>0.0333557197224088</v>
      </c>
      <c r="AI37" s="273">
        <f>IFERROR(AI33/AI22,"")</f>
        <v>0.0389115219889272</v>
      </c>
    </row>
    <row r="38"/>
    <row r="39">
      <c r="C39" s="267" t="inlineStr">
        <is>
          <t>Outras aberturas (USD milhões)</t>
        </is>
      </c>
      <c r="D39" s="267">
        <f>D7</f>
        <v>0</v>
      </c>
      <c r="E39" s="267">
        <f>E7</f>
        <v>0</v>
      </c>
      <c r="F39" s="267">
        <f>F7</f>
        <v>0</v>
      </c>
      <c r="G39" s="267">
        <f>G7</f>
        <v>0</v>
      </c>
      <c r="H39" s="267">
        <f>H7</f>
        <v>2020</v>
      </c>
      <c r="I39" s="267" t="str">
        <f>I7</f>
        <v>1Q21</v>
      </c>
      <c r="J39" s="267" t="str">
        <f>J7</f>
        <v>2Q21</v>
      </c>
      <c r="K39" s="267" t="str">
        <f>K7</f>
        <v>3Q21</v>
      </c>
      <c r="L39" s="267" t="str">
        <f>L7</f>
        <v>4Q21</v>
      </c>
      <c r="M39" s="267">
        <f>M7</f>
        <v>2021</v>
      </c>
      <c r="N39" s="267" t="str">
        <f>N7</f>
        <v>1Q22</v>
      </c>
      <c r="O39" s="267" t="str">
        <f>O7</f>
        <v>2Q22</v>
      </c>
      <c r="P39" s="267" t="str">
        <f>P7</f>
        <v>3Q22</v>
      </c>
      <c r="Q39" s="267" t="str">
        <f>Q7</f>
        <v>4Q22</v>
      </c>
      <c r="R39" s="267">
        <f>R7</f>
        <v>2022</v>
      </c>
      <c r="S39" s="267" t="str">
        <f>S7</f>
        <v>1Q23</v>
      </c>
      <c r="T39" s="267" t="str">
        <f>T7</f>
        <v>2Q23</v>
      </c>
      <c r="U39" s="267" t="str">
        <f>U7</f>
        <v>3Q23</v>
      </c>
      <c r="V39" s="267" t="str">
        <f>V7</f>
        <v>4Q23</v>
      </c>
      <c r="W39" s="267">
        <f>W7</f>
        <v>2023</v>
      </c>
      <c r="X39" s="267" t="str">
        <f>X7</f>
        <v>1Q24</v>
      </c>
      <c r="Y39" s="267" t="str">
        <f>Y7</f>
        <v>2Q24</v>
      </c>
      <c r="Z39" s="267" t="str">
        <f>Z7</f>
        <v>3Q24</v>
      </c>
      <c r="AA39" s="267" t="str">
        <f>AA7</f>
        <v>4Q24</v>
      </c>
      <c r="AB39" s="267">
        <f>AB7</f>
        <v>2024</v>
      </c>
      <c r="AC39" s="267" t="str">
        <f>AC7</f>
        <v>1Q25</v>
      </c>
      <c r="AD39" s="267" t="str">
        <f>AD7</f>
        <v>2Q25</v>
      </c>
      <c r="AE39" s="267" t="str">
        <f>AE7</f>
        <v>3Q25</v>
      </c>
      <c r="AF39" s="267" t="str">
        <f>AF7</f>
        <v>4Q25</v>
      </c>
      <c r="AG39" s="267">
        <f>AG7</f>
        <v>2025</v>
      </c>
      <c r="AH39" s="267" t="str">
        <f>AH7</f>
        <v>1Q26</v>
      </c>
      <c r="AI39" s="267" t="str">
        <f>AI7</f>
        <v>2Q26</v>
      </c>
    </row>
    <row r="40">
      <c r="C40" s="268" t="inlineStr">
        <is>
          <t xml:space="preserve">   Optum total - receita</t>
        </is>
      </c>
      <c r="D40" s="269" t="str">
        <f>IFERROR(INDEX('Inputs (2)'!$D$61:$AL$61,MATCH(D$7&amp;"",'Inputs (2)'!$D$2:$AL$2,0)),"")</f>
        <v/>
      </c>
      <c r="E40" s="269" t="str">
        <f>IFERROR(INDEX('Inputs (2)'!$D$61:$AL$61,MATCH(E$7&amp;"",'Inputs (2)'!$D$2:$AL$2,0)),"")</f>
        <v/>
      </c>
      <c r="F40" s="269" t="str">
        <f>IFERROR(INDEX('Inputs (2)'!$D$61:$AL$61,MATCH(F$7&amp;"",'Inputs (2)'!$D$2:$AL$2,0)),"")</f>
        <v/>
      </c>
      <c r="G40" s="269" t="str">
        <f>IFERROR(INDEX('Inputs (2)'!$D$61:$AL$61,MATCH(G$7&amp;"",'Inputs (2)'!$D$2:$AL$2,0)),"")</f>
        <v/>
      </c>
      <c r="H40" s="270" t="str">
        <f>IF(COUNT(D40:G40)=4,SUM(D40:G40),"")</f>
        <v/>
      </c>
      <c r="I40" s="269">
        <f>IFERROR(INDEX('Inputs (2)'!$D$61:$AL$61,MATCH(I$7&amp;"",'Inputs (2)'!$D$2:$AL$2,0)),"")</f>
        <v>36384</v>
      </c>
      <c r="J40" s="269">
        <f>IFERROR(INDEX('Inputs (2)'!$D$61:$AL$61,MATCH(J$7&amp;"",'Inputs (2)'!$D$2:$AL$2,0)),"")</f>
        <v>38303</v>
      </c>
      <c r="K40" s="269">
        <f>IFERROR(INDEX('Inputs (2)'!$D$61:$AL$61,MATCH(K$7&amp;"",'Inputs (2)'!$D$2:$AL$2,0)),"")</f>
        <v>39785</v>
      </c>
      <c r="L40" s="269">
        <f>IFERROR(INDEX('Inputs (2)'!$D$61:$AL$61,MATCH(L$7&amp;"",'Inputs (2)'!$D$2:$AL$2,0)),"")</f>
        <v>41093</v>
      </c>
      <c r="M40" s="270">
        <f>IF(COUNT(I40:L40)=4,SUM(I40:L40),"")</f>
        <v>155565</v>
      </c>
      <c r="N40" s="269">
        <f>IFERROR(INDEX('Inputs (2)'!$D$61:$AL$61,MATCH(N$7&amp;"",'Inputs (2)'!$D$2:$AL$2,0)),"")</f>
        <v>43259</v>
      </c>
      <c r="O40" s="269">
        <f>IFERROR(INDEX('Inputs (2)'!$D$61:$AL$61,MATCH(O$7&amp;"",'Inputs (2)'!$D$2:$AL$2,0)),"")</f>
        <v>45082</v>
      </c>
      <c r="P40" s="269">
        <f>IFERROR(INDEX('Inputs (2)'!$D$61:$AL$61,MATCH(P$7&amp;"",'Inputs (2)'!$D$2:$AL$2,0)),"")</f>
        <v>46559</v>
      </c>
      <c r="Q40" s="269">
        <f>IFERROR(INDEX('Inputs (2)'!$D$61:$AL$61,MATCH(Q$7&amp;"",'Inputs (2)'!$D$2:$AL$2,0)),"")</f>
        <v>47868</v>
      </c>
      <c r="R40" s="270">
        <f>IF(COUNT(N40:Q40)=4,SUM(N40:Q40),"")</f>
        <v>182768</v>
      </c>
      <c r="S40" s="269">
        <f>IFERROR(INDEX('Inputs (2)'!$D$61:$AL$61,MATCH(S$7&amp;"",'Inputs (2)'!$D$2:$AL$2,0)),"")</f>
        <v>54059</v>
      </c>
      <c r="T40" s="269">
        <f>IFERROR(INDEX('Inputs (2)'!$D$61:$AL$61,MATCH(T$7&amp;"",'Inputs (2)'!$D$2:$AL$2,0)),"")</f>
        <v>56344</v>
      </c>
      <c r="U40" s="269">
        <f>IFERROR(INDEX('Inputs (2)'!$D$61:$AL$61,MATCH(U$7&amp;"",'Inputs (2)'!$D$2:$AL$2,0)),"")</f>
        <v>56737</v>
      </c>
      <c r="V40" s="269">
        <f>IFERROR(INDEX('Inputs (2)'!$D$61:$AL$61,MATCH(V$7&amp;"",'Inputs (2)'!$D$2:$AL$2,0)),"")</f>
        <v>59495</v>
      </c>
      <c r="W40" s="270">
        <f>IF(COUNT(S40:V40)=4,SUM(S40:V40),"")</f>
        <v>226635</v>
      </c>
      <c r="X40" s="269">
        <f>IFERROR(INDEX('Inputs (2)'!$D$61:$AL$61,MATCH(X$7&amp;"",'Inputs (2)'!$D$2:$AL$2,0)),"")</f>
        <v>61052</v>
      </c>
      <c r="Y40" s="269">
        <f>IFERROR(INDEX('Inputs (2)'!$D$61:$AL$61,MATCH(Y$7&amp;"",'Inputs (2)'!$D$2:$AL$2,0)),"")</f>
        <v>62879</v>
      </c>
      <c r="Z40" s="269">
        <f>IFERROR(INDEX('Inputs (2)'!$D$61:$AL$61,MATCH(Z$7&amp;"",'Inputs (2)'!$D$2:$AL$2,0)),"")</f>
        <v>63925</v>
      </c>
      <c r="AA40" s="269">
        <f>IFERROR(INDEX('Inputs (2)'!$D$61:$AL$61,MATCH(AA$7&amp;"",'Inputs (2)'!$D$2:$AL$2,0)),"")</f>
        <v>65101</v>
      </c>
      <c r="AB40" s="270">
        <f>IF(COUNT(X40:AA40)=4,SUM(X40:AA40),"")</f>
        <v>252957</v>
      </c>
      <c r="AC40" s="269">
        <f>IFERROR(INDEX('Inputs (2)'!$D$61:$AL$61,MATCH(AC$7&amp;"",'Inputs (2)'!$D$2:$AL$2,0)),"")</f>
        <v>63885</v>
      </c>
      <c r="AD40" s="269">
        <f>IFERROR(INDEX('Inputs (2)'!$D$61:$AL$61,MATCH(AD$7&amp;"",'Inputs (2)'!$D$2:$AL$2,0)),"")</f>
        <v>67225</v>
      </c>
      <c r="AE40" s="269">
        <f>IFERROR(INDEX('Inputs (2)'!$D$61:$AL$61,MATCH(AE$7&amp;"",'Inputs (2)'!$D$2:$AL$2,0)),"")</f>
        <v>69177</v>
      </c>
      <c r="AF40" s="269">
        <f>IFERROR(INDEX('Inputs (2)'!$D$61:$AL$61,MATCH(AF$7&amp;"",'Inputs (2)'!$D$2:$AL$2,0)),"")</f>
        <v>70333</v>
      </c>
      <c r="AG40" s="270">
        <f>IF(COUNT(AC40:AF40)=4,SUM(AC40:AF40),"")</f>
        <v>270620</v>
      </c>
      <c r="AH40" s="270">
        <f>IFERROR(INDEX('Inputs (2)'!$D$61:$AL$61,MATCH(AH$7&amp;"",'Inputs (2)'!$D$2:$AL$2,0)),"")</f>
        <v>63749</v>
      </c>
      <c r="AI40" s="270">
        <f>IFERROR(INDEX('Inputs (2)'!$D$61:$AL$61,MATCH(AI$7&amp;"",'Inputs (2)'!$D$2:$AL$2,0)),"")</f>
        <v>65663</v>
      </c>
    </row>
    <row r="41">
      <c r="C41" s="268" t="inlineStr">
        <is>
          <t xml:space="preserve">   Optum total - lucro operacional</t>
        </is>
      </c>
      <c r="D41" s="269" t="str">
        <f>IFERROR(INDEX('Inputs (2)'!$D$62:$AL$62,MATCH(D$7&amp;"",'Inputs (2)'!$D$2:$AL$2,0)),"")</f>
        <v/>
      </c>
      <c r="E41" s="269" t="str">
        <f>IFERROR(INDEX('Inputs (2)'!$D$62:$AL$62,MATCH(E$7&amp;"",'Inputs (2)'!$D$2:$AL$2,0)),"")</f>
        <v/>
      </c>
      <c r="F41" s="269" t="str">
        <f>IFERROR(INDEX('Inputs (2)'!$D$62:$AL$62,MATCH(F$7&amp;"",'Inputs (2)'!$D$2:$AL$2,0)),"")</f>
        <v/>
      </c>
      <c r="G41" s="269" t="str">
        <f>IFERROR(INDEX('Inputs (2)'!$D$62:$AL$62,MATCH(G$7&amp;"",'Inputs (2)'!$D$2:$AL$2,0)),"")</f>
        <v/>
      </c>
      <c r="H41" s="270" t="str">
        <f>IF(COUNT(D41:G41)=4,SUM(D41:G41),"")</f>
        <v/>
      </c>
      <c r="I41" s="269">
        <f>IFERROR(INDEX('Inputs (2)'!$D$62:$AL$62,MATCH(I$7&amp;"",'Inputs (2)'!$D$2:$AL$2,0)),"")</f>
        <v>2631</v>
      </c>
      <c r="J41" s="269">
        <f>IFERROR(INDEX('Inputs (2)'!$D$62:$AL$62,MATCH(J$7&amp;"",'Inputs (2)'!$D$2:$AL$2,0)),"")</f>
        <v>2883</v>
      </c>
      <c r="K41" s="269">
        <f>IFERROR(INDEX('Inputs (2)'!$D$62:$AL$62,MATCH(K$7&amp;"",'Inputs (2)'!$D$2:$AL$2,0)),"")</f>
        <v>3061</v>
      </c>
      <c r="L41" s="269">
        <f>IFERROR(INDEX('Inputs (2)'!$D$62:$AL$62,MATCH(L$7&amp;"",'Inputs (2)'!$D$2:$AL$2,0)),"")</f>
        <v>3420</v>
      </c>
      <c r="M41" s="270">
        <f>IF(COUNT(I41:L41)=4,SUM(I41:L41),"")</f>
        <v>11995</v>
      </c>
      <c r="N41" s="269">
        <f>IFERROR(INDEX('Inputs (2)'!$D$62:$AL$62,MATCH(N$7&amp;"",'Inputs (2)'!$D$2:$AL$2,0)),"")</f>
        <v>3152</v>
      </c>
      <c r="O41" s="269">
        <f>IFERROR(INDEX('Inputs (2)'!$D$62:$AL$62,MATCH(O$7&amp;"",'Inputs (2)'!$D$2:$AL$2,0)),"")</f>
        <v>3282</v>
      </c>
      <c r="P41" s="269">
        <f>IFERROR(INDEX('Inputs (2)'!$D$62:$AL$62,MATCH(P$7&amp;"",'Inputs (2)'!$D$2:$AL$2,0)),"")</f>
        <v>3663</v>
      </c>
      <c r="Q41" s="269">
        <f>IFERROR(INDEX('Inputs (2)'!$D$62:$AL$62,MATCH(Q$7&amp;"",'Inputs (2)'!$D$2:$AL$2,0)),"")</f>
        <v>3959</v>
      </c>
      <c r="R41" s="270">
        <f>IF(COUNT(N41:Q41)=4,SUM(N41:Q41),"")</f>
        <v>14056</v>
      </c>
      <c r="S41" s="269">
        <f>IFERROR(INDEX('Inputs (2)'!$D$62:$AL$62,MATCH(S$7&amp;"",'Inputs (2)'!$D$2:$AL$2,0)),"")</f>
        <v>3743</v>
      </c>
      <c r="T41" s="269">
        <f>IFERROR(INDEX('Inputs (2)'!$D$62:$AL$62,MATCH(T$7&amp;"",'Inputs (2)'!$D$2:$AL$2,0)),"")</f>
        <v>3699</v>
      </c>
      <c r="U41" s="269">
        <f>IFERROR(INDEX('Inputs (2)'!$D$62:$AL$62,MATCH(U$7&amp;"",'Inputs (2)'!$D$2:$AL$2,0)),"")</f>
        <v>3934</v>
      </c>
      <c r="V41" s="269">
        <f>IFERROR(INDEX('Inputs (2)'!$D$62:$AL$62,MATCH(V$7&amp;"",'Inputs (2)'!$D$2:$AL$2,0)),"")</f>
        <v>4567</v>
      </c>
      <c r="W41" s="270">
        <f>IF(COUNT(S41:V41)=4,SUM(S41:V41),"")</f>
        <v>15943</v>
      </c>
      <c r="X41" s="269">
        <f>IFERROR(INDEX('Inputs (2)'!$D$62:$AL$62,MATCH(X$7&amp;"",'Inputs (2)'!$D$2:$AL$2,0)),"")</f>
        <v>3536</v>
      </c>
      <c r="Y41" s="269">
        <f>IFERROR(INDEX('Inputs (2)'!$D$62:$AL$62,MATCH(Y$7&amp;"",'Inputs (2)'!$D$2:$AL$2,0)),"")</f>
        <v>3871</v>
      </c>
      <c r="Z41" s="269">
        <f>IFERROR(INDEX('Inputs (2)'!$D$62:$AL$62,MATCH(Z$7&amp;"",'Inputs (2)'!$D$2:$AL$2,0)),"")</f>
        <v>4496</v>
      </c>
      <c r="AA41" s="269">
        <f>IFERROR(INDEX('Inputs (2)'!$D$62:$AL$62,MATCH(AA$7&amp;"",'Inputs (2)'!$D$2:$AL$2,0)),"")</f>
        <v>4800</v>
      </c>
      <c r="AB41" s="270">
        <f>IF(COUNT(X41:AA41)=4,SUM(X41:AA41),"")</f>
        <v>16703</v>
      </c>
      <c r="AC41" s="269">
        <f>IFERROR(INDEX('Inputs (2)'!$D$62:$AL$62,MATCH(AC$7&amp;"",'Inputs (2)'!$D$2:$AL$2,0)),"")</f>
        <v>3893</v>
      </c>
      <c r="AD41" s="269">
        <f>IFERROR(INDEX('Inputs (2)'!$D$62:$AL$62,MATCH(AD$7&amp;"",'Inputs (2)'!$D$2:$AL$2,0)),"")</f>
        <v>3075</v>
      </c>
      <c r="AE41" s="269">
        <f>IFERROR(INDEX('Inputs (2)'!$D$62:$AL$62,MATCH(AE$7&amp;"",'Inputs (2)'!$D$2:$AL$2,0)),"")</f>
        <v>2510</v>
      </c>
      <c r="AF41" s="269">
        <f>IFERROR(INDEX('Inputs (2)'!$D$62:$AL$62,MATCH(AF$7&amp;"",'Inputs (2)'!$D$2:$AL$2,0)),"")</f>
        <v>61</v>
      </c>
      <c r="AG41" s="270">
        <f>IF(COUNT(AC41:AF41)=4,SUM(AC41:AF41),"")</f>
        <v>9539</v>
      </c>
      <c r="AH41" s="270">
        <f>IFERROR(INDEX('Inputs (2)'!$D$62:$AL$62,MATCH(AH$7&amp;"",'Inputs (2)'!$D$2:$AL$2,0)),"")</f>
        <v>3296</v>
      </c>
      <c r="AI41" s="270">
        <f>IFERROR(INDEX('Inputs (2)'!$D$62:$AL$62,MATCH(AI$7&amp;"",'Inputs (2)'!$D$2:$AL$2,0)),"")</f>
        <v>4049</v>
      </c>
    </row>
    <row r="42">
      <c r="C42" s="268" t="inlineStr">
        <is>
          <t xml:space="preserve">   Receita de produtos</t>
        </is>
      </c>
      <c r="D42" s="269" t="str">
        <f>IFERROR(INDEX('Inputs (2)'!$D$63:$AL$63,MATCH(D$7&amp;"",'Inputs (2)'!$D$2:$AL$2,0)),"")</f>
        <v/>
      </c>
      <c r="E42" s="269" t="str">
        <f>IFERROR(INDEX('Inputs (2)'!$D$63:$AL$63,MATCH(E$7&amp;"",'Inputs (2)'!$D$2:$AL$2,0)),"")</f>
        <v/>
      </c>
      <c r="F42" s="269" t="str">
        <f>IFERROR(INDEX('Inputs (2)'!$D$63:$AL$63,MATCH(F$7&amp;"",'Inputs (2)'!$D$2:$AL$2,0)),"")</f>
        <v/>
      </c>
      <c r="G42" s="269" t="str">
        <f>IFERROR(INDEX('Inputs (2)'!$D$63:$AL$63,MATCH(G$7&amp;"",'Inputs (2)'!$D$2:$AL$2,0)),"")</f>
        <v/>
      </c>
      <c r="H42" s="270" t="str">
        <f>IF(COUNT(D42:G42)=4,SUM(D42:G42),"")</f>
        <v/>
      </c>
      <c r="I42" s="269">
        <f>IFERROR(INDEX('Inputs (2)'!$D$63:$AL$63,MATCH(I$7&amp;"",'Inputs (2)'!$D$2:$AL$2,0)),"")</f>
        <v>8340</v>
      </c>
      <c r="J42" s="269">
        <f>IFERROR(INDEX('Inputs (2)'!$D$63:$AL$63,MATCH(J$7&amp;"",'Inputs (2)'!$D$2:$AL$2,0)),"")</f>
        <v>8433</v>
      </c>
      <c r="K42" s="269">
        <f>IFERROR(INDEX('Inputs (2)'!$D$63:$AL$63,MATCH(K$7&amp;"",'Inputs (2)'!$D$2:$AL$2,0)),"")</f>
        <v>8703</v>
      </c>
      <c r="L42" s="269">
        <f>IFERROR(INDEX('Inputs (2)'!$D$63:$AL$63,MATCH(L$7&amp;"",'Inputs (2)'!$D$2:$AL$2,0)),"")</f>
        <v>8961</v>
      </c>
      <c r="M42" s="270">
        <f>IF(COUNT(I42:L42)=4,SUM(I42:L42),"")</f>
        <v>34437</v>
      </c>
      <c r="N42" s="269">
        <f>IFERROR(INDEX('Inputs (2)'!$D$63:$AL$63,MATCH(N$7&amp;"",'Inputs (2)'!$D$2:$AL$2,0)),"")</f>
        <v>9340</v>
      </c>
      <c r="O42" s="269">
        <f>IFERROR(INDEX('Inputs (2)'!$D$63:$AL$63,MATCH(O$7&amp;"",'Inputs (2)'!$D$2:$AL$2,0)),"")</f>
        <v>9496</v>
      </c>
      <c r="P42" s="269">
        <f>IFERROR(INDEX('Inputs (2)'!$D$63:$AL$63,MATCH(P$7&amp;"",'Inputs (2)'!$D$2:$AL$2,0)),"")</f>
        <v>9190</v>
      </c>
      <c r="Q42" s="269">
        <f>IFERROR(INDEX('Inputs (2)'!$D$63:$AL$63,MATCH(Q$7&amp;"",'Inputs (2)'!$D$2:$AL$2,0)),"")</f>
        <v>9398</v>
      </c>
      <c r="R42" s="270">
        <f>IF(COUNT(N42:Q42)=4,SUM(N42:Q42),"")</f>
        <v>37424</v>
      </c>
      <c r="S42" s="269">
        <f>IFERROR(INDEX('Inputs (2)'!$D$63:$AL$63,MATCH(S$7&amp;"",'Inputs (2)'!$D$2:$AL$2,0)),"")</f>
        <v>10267</v>
      </c>
      <c r="T42" s="269">
        <f>IFERROR(INDEX('Inputs (2)'!$D$63:$AL$63,MATCH(T$7&amp;"",'Inputs (2)'!$D$2:$AL$2,0)),"")</f>
        <v>10651</v>
      </c>
      <c r="U42" s="269">
        <f>IFERROR(INDEX('Inputs (2)'!$D$63:$AL$63,MATCH(U$7&amp;"",'Inputs (2)'!$D$2:$AL$2,0)),"")</f>
        <v>10354</v>
      </c>
      <c r="V42" s="269">
        <f>IFERROR(INDEX('Inputs (2)'!$D$63:$AL$63,MATCH(V$7&amp;"",'Inputs (2)'!$D$2:$AL$2,0)),"")</f>
        <v>11311</v>
      </c>
      <c r="W42" s="270">
        <f>IF(COUNT(S42:V42)=4,SUM(S42:V42),"")</f>
        <v>42583</v>
      </c>
      <c r="X42" s="269">
        <f>IFERROR(INDEX('Inputs (2)'!$D$63:$AL$63,MATCH(X$7&amp;"",'Inputs (2)'!$D$2:$AL$2,0)),"")</f>
        <v>11909</v>
      </c>
      <c r="Y42" s="269">
        <f>IFERROR(INDEX('Inputs (2)'!$D$63:$AL$63,MATCH(Y$7&amp;"",'Inputs (2)'!$D$2:$AL$2,0)),"")</f>
        <v>12211</v>
      </c>
      <c r="Z42" s="269">
        <f>IFERROR(INDEX('Inputs (2)'!$D$63:$AL$63,MATCH(Z$7&amp;"",'Inputs (2)'!$D$2:$AL$2,0)),"")</f>
        <v>12631</v>
      </c>
      <c r="AA42" s="269">
        <f>IFERROR(INDEX('Inputs (2)'!$D$63:$AL$63,MATCH(AA$7&amp;"",'Inputs (2)'!$D$2:$AL$2,0)),"")</f>
        <v>13475</v>
      </c>
      <c r="AB42" s="270">
        <f>IF(COUNT(X42:AA42)=4,SUM(X42:AA42),"")</f>
        <v>50226</v>
      </c>
      <c r="AC42" s="269">
        <f>IFERROR(INDEX('Inputs (2)'!$D$63:$AL$63,MATCH(AC$7&amp;"",'Inputs (2)'!$D$2:$AL$2,0)),"")</f>
        <v>13036</v>
      </c>
      <c r="AD42" s="269">
        <f>IFERROR(INDEX('Inputs (2)'!$D$63:$AL$63,MATCH(AD$7&amp;"",'Inputs (2)'!$D$2:$AL$2,0)),"")</f>
        <v>13564</v>
      </c>
      <c r="AE42" s="269">
        <f>IFERROR(INDEX('Inputs (2)'!$D$63:$AL$63,MATCH(AE$7&amp;"",'Inputs (2)'!$D$2:$AL$2,0)),"")</f>
        <v>13296</v>
      </c>
      <c r="AF42" s="269">
        <f>IFERROR(INDEX('Inputs (2)'!$D$63:$AL$63,MATCH(AF$7&amp;"",'Inputs (2)'!$D$2:$AL$2,0)),"")</f>
        <v>13484</v>
      </c>
      <c r="AG42" s="270">
        <f>IF(COUNT(AC42:AF42)=4,SUM(AC42:AF42),"")</f>
        <v>53380</v>
      </c>
      <c r="AH42" s="270">
        <f>IFERROR(INDEX('Inputs (2)'!$D$63:$AL$63,MATCH(AH$7&amp;"",'Inputs (2)'!$D$2:$AL$2,0)),"")</f>
        <v>13250</v>
      </c>
      <c r="AI42" s="270">
        <f>IFERROR(INDEX('Inputs (2)'!$D$63:$AL$63,MATCH(AI$7&amp;"",'Inputs (2)'!$D$2:$AL$2,0)),"")</f>
        <v>13835</v>
      </c>
    </row>
    <row r="43">
      <c r="C43" s="268" t="inlineStr">
        <is>
          <t xml:space="preserve">   Receita de serviços (contratos com clientes)</t>
        </is>
      </c>
      <c r="D43" s="269" t="str">
        <f>IFERROR(INDEX('Inputs (2)'!$D$64:$AL$64,MATCH(D$7&amp;"",'Inputs (2)'!$D$2:$AL$2,0)),"")</f>
        <v/>
      </c>
      <c r="E43" s="269" t="str">
        <f>IFERROR(INDEX('Inputs (2)'!$D$64:$AL$64,MATCH(E$7&amp;"",'Inputs (2)'!$D$2:$AL$2,0)),"")</f>
        <v/>
      </c>
      <c r="F43" s="269" t="str">
        <f>IFERROR(INDEX('Inputs (2)'!$D$64:$AL$64,MATCH(F$7&amp;"",'Inputs (2)'!$D$2:$AL$2,0)),"")</f>
        <v/>
      </c>
      <c r="G43" s="269" t="str">
        <f>IFERROR(INDEX('Inputs (2)'!$D$64:$AL$64,MATCH(G$7&amp;"",'Inputs (2)'!$D$2:$AL$2,0)),"")</f>
        <v/>
      </c>
      <c r="H43" s="270" t="str">
        <f>IF(COUNT(D43:G43)=4,SUM(D43:G43),"")</f>
        <v/>
      </c>
      <c r="I43" s="269">
        <f>IFERROR(INDEX('Inputs (2)'!$D$64:$AL$64,MATCH(I$7&amp;"",'Inputs (2)'!$D$2:$AL$2,0)),"")</f>
        <v>5918</v>
      </c>
      <c r="J43" s="269">
        <f>IFERROR(INDEX('Inputs (2)'!$D$64:$AL$64,MATCH(J$7&amp;"",'Inputs (2)'!$D$2:$AL$2,0)),"")</f>
        <v>6099</v>
      </c>
      <c r="K43" s="269">
        <f>IFERROR(INDEX('Inputs (2)'!$D$64:$AL$64,MATCH(K$7&amp;"",'Inputs (2)'!$D$2:$AL$2,0)),"")</f>
        <v>6164</v>
      </c>
      <c r="L43" s="269">
        <f>IFERROR(INDEX('Inputs (2)'!$D$64:$AL$64,MATCH(L$7&amp;"",'Inputs (2)'!$D$2:$AL$2,0)),"")</f>
        <v>6422</v>
      </c>
      <c r="M43" s="270">
        <f>IF(COUNT(I43:L43)=4,SUM(I43:L43),"")</f>
        <v>24603</v>
      </c>
      <c r="N43" s="269">
        <f>IFERROR(INDEX('Inputs (2)'!$D$64:$AL$64,MATCH(N$7&amp;"",'Inputs (2)'!$D$2:$AL$2,0)),"")</f>
        <v>6372</v>
      </c>
      <c r="O43" s="269">
        <f>IFERROR(INDEX('Inputs (2)'!$D$64:$AL$64,MATCH(O$7&amp;"",'Inputs (2)'!$D$2:$AL$2,0)),"")</f>
        <v>6645</v>
      </c>
      <c r="P43" s="269">
        <f>IFERROR(INDEX('Inputs (2)'!$D$64:$AL$64,MATCH(P$7&amp;"",'Inputs (2)'!$D$2:$AL$2,0)),"")</f>
        <v>6700</v>
      </c>
      <c r="Q43" s="269">
        <f>IFERROR(INDEX('Inputs (2)'!$D$64:$AL$64,MATCH(Q$7&amp;"",'Inputs (2)'!$D$2:$AL$2,0)),"")</f>
        <v>7834</v>
      </c>
      <c r="R43" s="270">
        <f>IF(COUNT(N43:Q43)=4,SUM(N43:Q43),"")</f>
        <v>27551</v>
      </c>
      <c r="S43" s="269">
        <f>IFERROR(INDEX('Inputs (2)'!$D$64:$AL$64,MATCH(S$7&amp;"",'Inputs (2)'!$D$2:$AL$2,0)),"")</f>
        <v>8080</v>
      </c>
      <c r="T43" s="269">
        <f>IFERROR(INDEX('Inputs (2)'!$D$64:$AL$64,MATCH(T$7&amp;"",'Inputs (2)'!$D$2:$AL$2,0)),"")</f>
        <v>8663</v>
      </c>
      <c r="U43" s="269">
        <f>IFERROR(INDEX('Inputs (2)'!$D$64:$AL$64,MATCH(U$7&amp;"",'Inputs (2)'!$D$2:$AL$2,0)),"")</f>
        <v>8671</v>
      </c>
      <c r="V43" s="269">
        <f>IFERROR(INDEX('Inputs (2)'!$D$64:$AL$64,MATCH(V$7&amp;"",'Inputs (2)'!$D$2:$AL$2,0)),"")</f>
        <v>8709</v>
      </c>
      <c r="W43" s="270">
        <f>IF(COUNT(S43:V43)=4,SUM(S43:V43),"")</f>
        <v>34123</v>
      </c>
      <c r="X43" s="269">
        <f>IFERROR(INDEX('Inputs (2)'!$D$64:$AL$64,MATCH(X$7&amp;"",'Inputs (2)'!$D$2:$AL$2,0)),"")</f>
        <v>8888</v>
      </c>
      <c r="Y43" s="269">
        <f>IFERROR(INDEX('Inputs (2)'!$D$64:$AL$64,MATCH(Y$7&amp;"",'Inputs (2)'!$D$2:$AL$2,0)),"")</f>
        <v>8750</v>
      </c>
      <c r="Z43" s="269">
        <f>IFERROR(INDEX('Inputs (2)'!$D$64:$AL$64,MATCH(Z$7&amp;"",'Inputs (2)'!$D$2:$AL$2,0)),"")</f>
        <v>9104</v>
      </c>
      <c r="AA43" s="269">
        <f>IFERROR(INDEX('Inputs (2)'!$D$64:$AL$64,MATCH(AA$7&amp;"",'Inputs (2)'!$D$2:$AL$2,0)),"")</f>
        <v>9298</v>
      </c>
      <c r="AB43" s="270">
        <f>IF(COUNT(X43:AA43)=4,SUM(X43:AA43),"")</f>
        <v>36040</v>
      </c>
      <c r="AC43" s="269">
        <f>IFERROR(INDEX('Inputs (2)'!$D$64:$AL$64,MATCH(AC$7&amp;"",'Inputs (2)'!$D$2:$AL$2,0)),"")</f>
        <v>8972</v>
      </c>
      <c r="AD43" s="269">
        <f>IFERROR(INDEX('Inputs (2)'!$D$64:$AL$64,MATCH(AD$7&amp;"",'Inputs (2)'!$D$2:$AL$2,0)),"")</f>
        <v>9039</v>
      </c>
      <c r="AE43" s="269">
        <f>IFERROR(INDEX('Inputs (2)'!$D$64:$AL$64,MATCH(AE$7&amp;"",'Inputs (2)'!$D$2:$AL$2,0)),"")</f>
        <v>9754</v>
      </c>
      <c r="AF43" s="269">
        <f>IFERROR(INDEX('Inputs (2)'!$D$64:$AL$64,MATCH(AF$7&amp;"",'Inputs (2)'!$D$2:$AL$2,0)),"")</f>
        <v>10273</v>
      </c>
      <c r="AG43" s="270">
        <f>IF(COUNT(AC43:AF43)=4,SUM(AC43:AF43),"")</f>
        <v>38038</v>
      </c>
      <c r="AH43" s="270">
        <f>IFERROR(INDEX('Inputs (2)'!$D$64:$AL$64,MATCH(AH$7&amp;"",'Inputs (2)'!$D$2:$AL$2,0)),"")</f>
        <v>9779</v>
      </c>
      <c r="AI43" s="270">
        <f>IFERROR(INDEX('Inputs (2)'!$D$64:$AL$64,MATCH(AI$7&amp;"",'Inputs (2)'!$D$2:$AL$2,0)),"")</f>
        <v>10018</v>
      </c>
    </row>
    <row r="44"/>
    <row r="45"/>
    <row r="46"/>
    <row r="47"/>
    <row r="48"/>
    <row r="49"/>
    <row r="50"/>
    <row r="51"/>
    <row r="52" hidden="1" outlineLevel="1" customFormat="1" s="43">
      <c r="A52" s="36" t="n"/>
      <c r="B52" s="37" t="n"/>
      <c r="C52" s="45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  <c r="CU52" s="39" t="n"/>
      <c r="CV52" s="39" t="n"/>
      <c r="CW52" s="39" t="n"/>
      <c r="CX52" s="39" t="n"/>
      <c r="CY52" s="39" t="n"/>
    </row>
    <row r="53" hidden="1" outlineLevel="1" customFormat="1" s="43">
      <c r="A53" s="36" t="n"/>
      <c r="B53" s="37" t="n"/>
      <c r="C53" s="45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39" t="n"/>
      <c r="CJ53" s="39" t="n"/>
      <c r="CK53" s="39" t="n"/>
      <c r="CL53" s="39" t="n"/>
      <c r="CM53" s="39" t="n"/>
      <c r="CN53" s="39" t="n"/>
      <c r="CO53" s="39" t="n"/>
      <c r="CP53" s="39" t="n"/>
      <c r="CQ53" s="39" t="n"/>
      <c r="CR53" s="39" t="n"/>
      <c r="CS53" s="39" t="n"/>
      <c r="CT53" s="39" t="n"/>
      <c r="CU53" s="39" t="n"/>
      <c r="CV53" s="39" t="n"/>
      <c r="CW53" s="39" t="n"/>
      <c r="CX53" s="39" t="n"/>
      <c r="CY53" s="39" t="n"/>
    </row>
    <row r="54" collapsed="1">
      <c r="C54" s="13" t="inlineStr">
        <is>
          <t>COGS (cash)</t>
        </is>
      </c>
      <c r="D54" s="46" t="n"/>
      <c r="E54" s="46" t="n"/>
      <c r="F54" s="46" t="n"/>
      <c r="G54" s="46" t="n"/>
      <c r="H54" s="12" t="n"/>
      <c r="I54" s="46">
        <f>'Inputs (2)'!D5</f>
        <v>-7572</v>
      </c>
      <c r="J54" s="46">
        <f>'Inputs (2)'!E5</f>
        <v>-7660</v>
      </c>
      <c r="K54" s="46">
        <f>'Inputs (2)'!F5</f>
        <v>-7802</v>
      </c>
      <c r="L54" s="46">
        <f>'Inputs (2)'!G5</f>
        <v>-8000</v>
      </c>
      <c r="M54" s="12">
        <f>'Inputs (2)'!H5</f>
        <v>-31034</v>
      </c>
      <c r="N54" s="46">
        <f>'Inputs (2)'!I5</f>
        <v>-8487</v>
      </c>
      <c r="O54" s="46">
        <f>'Inputs (2)'!J5</f>
        <v>-8596</v>
      </c>
      <c r="P54" s="46">
        <f>'Inputs (2)'!K5</f>
        <v>-8306</v>
      </c>
      <c r="Q54" s="46">
        <f>'Inputs (2)'!L5</f>
        <v>-8314</v>
      </c>
      <c r="R54" s="12">
        <f>'Inputs (2)'!M5</f>
        <v>-33703</v>
      </c>
      <c r="S54" s="46">
        <f>'Inputs (2)'!N5</f>
        <v>-9405</v>
      </c>
      <c r="T54" s="46">
        <f>'Inputs (2)'!O5</f>
        <v>-9748</v>
      </c>
      <c r="U54" s="46">
        <f>'Inputs (2)'!P5</f>
        <v>-9423</v>
      </c>
      <c r="V54" s="46">
        <f>'Inputs (2)'!Q5</f>
        <v>-10194</v>
      </c>
      <c r="W54" s="12">
        <f>'Inputs (2)'!R5</f>
        <v>-38770</v>
      </c>
      <c r="X54" s="46">
        <f>'Inputs (2)'!S5</f>
        <v>-11056</v>
      </c>
      <c r="Y54" s="46">
        <f>'Inputs (2)'!T5</f>
        <v>-11340</v>
      </c>
      <c r="Z54" s="46">
        <f>'Inputs (2)'!U5</f>
        <v>-11834</v>
      </c>
      <c r="AA54" s="46">
        <f>'Inputs (2)'!V5</f>
        <v>-12464</v>
      </c>
      <c r="AB54" s="12">
        <f>'Inputs (2)'!W5</f>
        <v>-46694</v>
      </c>
      <c r="AC54" s="46">
        <f>'Inputs (2)'!X5</f>
        <v>-12390</v>
      </c>
      <c r="AD54" s="46">
        <f>'Inputs (2)'!Y5</f>
        <v>-13019</v>
      </c>
      <c r="AE54" s="46">
        <f>'Inputs (2)'!Z5</f>
        <v>-12566</v>
      </c>
      <c r="AF54" s="46">
        <f>'Inputs (2)'!AA5</f>
        <v>-12680</v>
      </c>
      <c r="AG54" s="12">
        <f>'Inputs (2)'!AB5</f>
        <v>-50655</v>
      </c>
      <c r="AH54" s="12">
        <f>'Inputs (2)'!AC5</f>
        <v>-12823</v>
      </c>
      <c r="AI54" s="12">
        <f>'Inputs (2)'!AD5</f>
        <v>-13375</v>
      </c>
      <c r="AJ54" s="12">
        <f>-(1-AJ55)*AJ15</f>
        <v>-14026.1821391942</v>
      </c>
      <c r="AK54" s="12">
        <f>-(1-AK55)*AK15</f>
        <v>-14032.8753801122</v>
      </c>
      <c r="AL54" s="12">
        <f>SUM(AH54:AK54)</f>
        <v>-54257.0575193064</v>
      </c>
      <c r="AM54" s="12">
        <f>-(1-AM55)*AM15</f>
        <v>-13847.6957147155</v>
      </c>
      <c r="AN54" s="12">
        <f>-(1-AN55)*AN15</f>
        <v>-13886.2438244466</v>
      </c>
      <c r="AO54" s="12">
        <f>-(1-AO55)*AO15</f>
        <v>-15185.4057447812</v>
      </c>
      <c r="AP54" s="12">
        <f>-(1-AP55)*AP15</f>
        <v>-15192.652162807</v>
      </c>
      <c r="AQ54" s="12">
        <f>SUM(AM54:AP54)</f>
        <v>-58111.9974467503</v>
      </c>
      <c r="AR54" s="12">
        <f>-(1-AR55)*AR15</f>
        <v>-14922.9294521861</v>
      </c>
      <c r="AS54" s="12">
        <f>-(1-AS55)*AS15</f>
        <v>-14964.470711749</v>
      </c>
      <c r="AT54" s="12">
        <f>-(1-AT55)*AT15</f>
        <v>-16364.5088179819</v>
      </c>
      <c r="AU54" s="12">
        <f>-(1-AU55)*AU15</f>
        <v>-16372.3178995221</v>
      </c>
      <c r="AV54" s="12">
        <f>SUM(AR54:AU54)</f>
        <v>-62624.2268814391</v>
      </c>
      <c r="AW54" s="12">
        <f>-(1-AW55)*AW15</f>
        <v>-16007.0373490546</v>
      </c>
      <c r="AX54" s="12">
        <f>-(1-AX55)*AX15</f>
        <v>-16051.5964616257</v>
      </c>
      <c r="AY54" s="12">
        <f>-(1-AY55)*AY15</f>
        <v>-17553.3433088766</v>
      </c>
      <c r="AZ54" s="12">
        <f>-(1-AZ55)*AZ15</f>
        <v>-17561.7196977268</v>
      </c>
      <c r="BA54" s="12">
        <f>SUM(AW54:AZ54)</f>
        <v>-67173.6968172837</v>
      </c>
      <c r="BB54" s="12">
        <f>-(1-BB55)*BB15</f>
        <v>-17089.8673793017</v>
      </c>
      <c r="BC54" s="12">
        <f>-(1-BC55)*BC15</f>
        <v>-17137.4407876579</v>
      </c>
      <c r="BD54" s="12">
        <f>-(1-BD55)*BD15</f>
        <v>-18740.7764891466</v>
      </c>
      <c r="BE54" s="12">
        <f>-(1-BE55)*BE15</f>
        <v>-18749.7195166067</v>
      </c>
      <c r="BF54" s="12">
        <f>SUM(BB54:BE54)</f>
        <v>-71717.8041727129</v>
      </c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</row>
    <row r="55" hidden="1" outlineLevel="1" customFormat="1" s="3">
      <c r="C55" s="47" t="inlineStr">
        <is>
          <t>% Gross Margin</t>
        </is>
      </c>
      <c r="D55" s="48" t="n"/>
      <c r="E55" s="48" t="n"/>
      <c r="F55" s="48" t="n"/>
      <c r="G55" s="48" t="n"/>
      <c r="H55" s="48" t="n"/>
      <c r="I55" s="48">
        <f>IFERROR((I15+I54)/I$15,"")</f>
        <v>0.89213060573252</v>
      </c>
      <c r="J55" s="48">
        <f>IFERROR((J15+J54)/J$15,"")</f>
        <v>0.892598252968971</v>
      </c>
      <c r="K55" s="48">
        <f>IFERROR((K15+K54)/K$15,"")</f>
        <v>0.89214371621715</v>
      </c>
      <c r="L55" s="48">
        <f>IFERROR((L15+L54)/L$15,"")</f>
        <v>0.891515126859499</v>
      </c>
      <c r="M55" s="48">
        <f>IFERROR((M15+M54)/M$15,"")</f>
        <v>0.89209205937475</v>
      </c>
      <c r="N55" s="48">
        <f>IFERROR((N15+N54)/N$15,"")</f>
        <v>0.894109720645298</v>
      </c>
      <c r="O55" s="48">
        <f>IFERROR((O15+O54)/O$15,"")</f>
        <v>0.89299407459045</v>
      </c>
      <c r="P55" s="48">
        <f>IFERROR((P15+P54)/P$15,"")</f>
        <v>0.897322421934878</v>
      </c>
      <c r="Q55" s="48">
        <f>IFERROR((Q15+Q54)/Q$15,"")</f>
        <v>0.899573604551439</v>
      </c>
      <c r="R55" s="48">
        <f>IFERROR((R15+R54)/R$15,"")</f>
        <v>0.896030379871793</v>
      </c>
      <c r="S55" s="48">
        <f>IFERROR((S15+S54)/S$15,"")</f>
        <v>0.897695010388226</v>
      </c>
      <c r="T55" s="48">
        <f>IFERROR((T15+T54)/T$15,"")</f>
        <v>0.895073356081074</v>
      </c>
      <c r="U55" s="48">
        <f>IFERROR((U15+U54)/U$15,"")</f>
        <v>0.897976418618248</v>
      </c>
      <c r="V55" s="48">
        <f>IFERROR((V15+V54)/V$15,"")</f>
        <v>0.892043589227657</v>
      </c>
      <c r="W55" s="48">
        <f>IFERROR((W15+W54)/W$15,"")</f>
        <v>0.895673560768738</v>
      </c>
      <c r="X55" s="48">
        <f>IFERROR((X15+X54)/X$15,"")</f>
        <v>0.889213996552968</v>
      </c>
      <c r="Y55" s="48">
        <f>IFERROR((Y15+Y54)/Y$15,"")</f>
        <v>0.885286530777401</v>
      </c>
      <c r="Z55" s="48">
        <f>IFERROR((Z15+Z54)/Z$15,"")</f>
        <v>0.8826224955366</v>
      </c>
      <c r="AA55" s="48">
        <f>IFERROR((AA15+AA54)/AA$15,"")</f>
        <v>0.876357792613608</v>
      </c>
      <c r="AB55" s="48">
        <f>IFERROR((AB15+AB54)/AB$15,"")</f>
        <v>0.883346074478238</v>
      </c>
      <c r="AC55" s="48">
        <f>IFERROR((AC15+AC54)/AC$15,"")</f>
        <v>0.886926762491444</v>
      </c>
      <c r="AD55" s="48">
        <f>IFERROR((AD15+AD54)/AD$15,"")</f>
        <v>0.88335901662844</v>
      </c>
      <c r="AE55" s="48">
        <f>IFERROR((AE15+AE54)/AE$15,"")</f>
        <v>0.888954675197285</v>
      </c>
      <c r="AF55" s="41">
        <f>IFERROR((AF15+AF54)/AF$15,"")</f>
        <v>0.888000706620148</v>
      </c>
      <c r="AG55" s="48">
        <f>IFERROR((AG15+AG54)/AG$15,"")</f>
        <v>0.886821414447446</v>
      </c>
      <c r="AH55" s="49">
        <f>IFERROR((AH15+AH54)/AH$15,"")</f>
        <v>0.885223010893207</v>
      </c>
      <c r="AI55" s="49">
        <f>IFERROR((AI15+AI54)/AI$15,"")</f>
        <v>0.880614467295059</v>
      </c>
      <c r="AJ55" s="49">
        <f>Control!$B$19</f>
        <v>0.885513106520931</v>
      </c>
      <c r="AK55" s="49">
        <f>Control!$B$19</f>
        <v>0.885513106520931</v>
      </c>
      <c r="AL55" s="48">
        <f>IFERROR((AL15+AL54)/AL$15,"")</f>
        <v>0.884273416648881</v>
      </c>
      <c r="AM55" s="49">
        <f>Control!$C$19</f>
        <v>0.885513106520931</v>
      </c>
      <c r="AN55" s="49">
        <f>Control!$C$19</f>
        <v>0.885513106520931</v>
      </c>
      <c r="AO55" s="49">
        <f>Control!$C$19</f>
        <v>0.885513106520931</v>
      </c>
      <c r="AP55" s="49">
        <f>Control!$C$19</f>
        <v>0.885513106520931</v>
      </c>
      <c r="AQ55" s="48">
        <f>IFERROR((AQ15+AQ54)/AQ$15,"")</f>
        <v>0.885513106520931</v>
      </c>
      <c r="AR55" s="49">
        <f>Control!$D$19</f>
        <v>0.885513106520931</v>
      </c>
      <c r="AS55" s="49">
        <f>Control!$D$19</f>
        <v>0.885513106520931</v>
      </c>
      <c r="AT55" s="49">
        <f>Control!$D$19</f>
        <v>0.885513106520931</v>
      </c>
      <c r="AU55" s="49">
        <f>Control!$D$19</f>
        <v>0.885513106520931</v>
      </c>
      <c r="AV55" s="48">
        <f>IFERROR((AV15+AV54)/AV$15,"")</f>
        <v>0.885513106520931</v>
      </c>
      <c r="AW55" s="49">
        <f>Control!$E$19</f>
        <v>0.885513106520931</v>
      </c>
      <c r="AX55" s="49">
        <f>Control!$E$19</f>
        <v>0.885513106520931</v>
      </c>
      <c r="AY55" s="49">
        <f>Control!$E$19</f>
        <v>0.885513106520931</v>
      </c>
      <c r="AZ55" s="49">
        <f>Control!$E$19</f>
        <v>0.885513106520931</v>
      </c>
      <c r="BA55" s="48">
        <f>IFERROR((BA15+BA54)/BA$15,"")</f>
        <v>0.885513106520931</v>
      </c>
      <c r="BB55" s="49">
        <f>Control!$F$19</f>
        <v>0.885513106520931</v>
      </c>
      <c r="BC55" s="49">
        <f>Control!$F$19</f>
        <v>0.885513106520931</v>
      </c>
      <c r="BD55" s="49">
        <f>Control!$F$19</f>
        <v>0.885513106520931</v>
      </c>
      <c r="BE55" s="49">
        <f>Control!$F$19</f>
        <v>0.885513106520931</v>
      </c>
      <c r="BF55" s="48">
        <f>IFERROR((BF15+BF54)/BF$15,"")</f>
        <v>0.885513106520931</v>
      </c>
      <c r="BG55" s="49" t="n"/>
      <c r="BH55" s="49" t="n"/>
      <c r="BI55" s="49" t="n"/>
      <c r="BJ55" s="49" t="n"/>
      <c r="BK55" s="48" t="n"/>
      <c r="BL55" s="49" t="n"/>
      <c r="BM55" s="49" t="n"/>
      <c r="BN55" s="49" t="n"/>
      <c r="BO55" s="49" t="n"/>
      <c r="BP55" s="48" t="n"/>
      <c r="BQ55" s="49" t="n"/>
      <c r="BR55" s="49" t="n"/>
      <c r="BS55" s="49" t="n"/>
      <c r="BT55" s="49" t="n"/>
      <c r="BU55" s="48" t="n"/>
      <c r="BV55" s="49" t="n"/>
      <c r="BW55" s="49" t="n"/>
      <c r="BX55" s="49" t="n"/>
      <c r="BY55" s="49" t="n"/>
      <c r="BZ55" s="48" t="n"/>
      <c r="CA55" s="49" t="n"/>
      <c r="CB55" s="49" t="n"/>
      <c r="CC55" s="49" t="n"/>
      <c r="CD55" s="49" t="n"/>
      <c r="CE55" s="48" t="n"/>
      <c r="CF55" s="49" t="n"/>
      <c r="CG55" s="49" t="n"/>
      <c r="CH55" s="49" t="n"/>
      <c r="CI55" s="49" t="n"/>
      <c r="CJ55" s="48" t="n"/>
      <c r="CK55" s="49" t="n"/>
      <c r="CL55" s="49" t="n"/>
      <c r="CM55" s="49" t="n"/>
      <c r="CN55" s="49" t="n"/>
      <c r="CO55" s="48" t="n"/>
      <c r="CP55" s="49" t="n"/>
      <c r="CQ55" s="49" t="n"/>
      <c r="CR55" s="49" t="n"/>
      <c r="CS55" s="49" t="n"/>
      <c r="CT55" s="48" t="n"/>
      <c r="CU55" s="49" t="n"/>
      <c r="CV55" s="49" t="n"/>
      <c r="CW55" s="49" t="n"/>
      <c r="CX55" s="49" t="n"/>
      <c r="CY55" s="48" t="n"/>
    </row>
    <row r="56" hidden="1" outlineLevel="1"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hidden="1" outlineLevel="1"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  <c r="AV57" s="50" t="n"/>
      <c r="AW57" s="50" t="n"/>
      <c r="AX57" s="50" t="n"/>
      <c r="AY57" s="50" t="n"/>
      <c r="AZ57" s="50" t="n"/>
      <c r="BA57" s="50" t="n"/>
      <c r="BB57" s="50" t="n"/>
      <c r="BC57" s="50" t="n"/>
      <c r="BD57" s="50" t="n"/>
      <c r="BE57" s="50" t="n"/>
      <c r="BF57" s="50" t="n"/>
      <c r="BG57" s="50" t="n"/>
      <c r="BH57" s="50" t="n"/>
      <c r="BI57" s="50" t="n"/>
      <c r="BJ57" s="50" t="n"/>
      <c r="BK57" s="50" t="n"/>
      <c r="BL57" s="50" t="n"/>
      <c r="BM57" s="50" t="n"/>
      <c r="BN57" s="50" t="n"/>
      <c r="BO57" s="50" t="n"/>
      <c r="BP57" s="50" t="n"/>
      <c r="BQ57" s="50" t="n"/>
      <c r="BR57" s="50" t="n"/>
      <c r="BS57" s="50" t="n"/>
      <c r="BT57" s="50" t="n"/>
      <c r="BU57" s="50" t="n"/>
      <c r="BV57" s="50" t="n"/>
      <c r="BW57" s="50" t="n"/>
      <c r="BX57" s="50" t="n"/>
      <c r="BY57" s="50" t="n"/>
      <c r="BZ57" s="50" t="n"/>
      <c r="CA57" s="50" t="n"/>
      <c r="CB57" s="50" t="n"/>
      <c r="CC57" s="50" t="n"/>
      <c r="CD57" s="50" t="n"/>
      <c r="CE57" s="50" t="n"/>
      <c r="CF57" s="50" t="n"/>
      <c r="CG57" s="50" t="n"/>
      <c r="CH57" s="50" t="n"/>
      <c r="CI57" s="50" t="n"/>
      <c r="CJ57" s="50" t="n"/>
      <c r="CK57" s="50" t="n"/>
      <c r="CL57" s="50" t="n"/>
      <c r="CM57" s="50" t="n"/>
      <c r="CN57" s="50" t="n"/>
      <c r="CO57" s="50" t="n"/>
      <c r="CP57" s="50" t="n"/>
      <c r="CQ57" s="50" t="n"/>
      <c r="CR57" s="50" t="n"/>
      <c r="CS57" s="50" t="n"/>
      <c r="CT57" s="50" t="n"/>
      <c r="CU57" s="50" t="n"/>
      <c r="CV57" s="50" t="n"/>
      <c r="CW57" s="50" t="n"/>
      <c r="CX57" s="50" t="n"/>
      <c r="CY57" s="50" t="n"/>
    </row>
    <row r="58" collapsed="1">
      <c r="C58" s="13" t="inlineStr">
        <is>
          <t>SG&amp;A and Other (cash)</t>
        </is>
      </c>
      <c r="D58" s="46" t="n"/>
      <c r="E58" s="46" t="n"/>
      <c r="F58" s="46" t="n"/>
      <c r="G58" s="46" t="n"/>
      <c r="H58" s="12" t="n"/>
      <c r="I58" s="46">
        <f>'Inputs (2)'!D6</f>
        <v>-55127</v>
      </c>
      <c r="J58" s="46">
        <f>'Inputs (2)'!E6</f>
        <v>-56905</v>
      </c>
      <c r="K58" s="46">
        <f>'Inputs (2)'!F6</f>
        <v>-58027</v>
      </c>
      <c r="L58" s="46">
        <f>'Inputs (2)'!G6</f>
        <v>-59431</v>
      </c>
      <c r="M58" s="12">
        <f>'Inputs (2)'!H6</f>
        <v>-229490</v>
      </c>
      <c r="N58" s="46">
        <f>'Inputs (2)'!I6</f>
        <v>-63924</v>
      </c>
      <c r="O58" s="46">
        <f>'Inputs (2)'!J6</f>
        <v>-63802</v>
      </c>
      <c r="P58" s="46">
        <f>'Inputs (2)'!K6</f>
        <v>-64298</v>
      </c>
      <c r="Q58" s="46">
        <f>'Inputs (2)'!L6</f>
        <v>-66600</v>
      </c>
      <c r="R58" s="12">
        <f>'Inputs (2)'!M6</f>
        <v>-258624</v>
      </c>
      <c r="S58" s="46">
        <f>'Inputs (2)'!N6</f>
        <v>-73470</v>
      </c>
      <c r="T58" s="46">
        <f>'Inputs (2)'!O6</f>
        <v>-74077</v>
      </c>
      <c r="U58" s="46">
        <f>'Inputs (2)'!P6</f>
        <v>-73405</v>
      </c>
      <c r="V58" s="46">
        <f>'Inputs (2)'!Q6</f>
        <v>-75570</v>
      </c>
      <c r="W58" s="12">
        <f>'Inputs (2)'!R6</f>
        <v>-296522</v>
      </c>
      <c r="X58" s="46">
        <f>'Inputs (2)'!S6</f>
        <v>-79812</v>
      </c>
      <c r="Y58" s="46">
        <f>'Inputs (2)'!T6</f>
        <v>-78620</v>
      </c>
      <c r="Z58" s="46">
        <f>'Inputs (2)'!U6</f>
        <v>-79237</v>
      </c>
      <c r="AA58" s="46">
        <f>'Inputs (2)'!V6</f>
        <v>-79529</v>
      </c>
      <c r="AB58" s="12">
        <f>'Inputs (2)'!W6</f>
        <v>-317198</v>
      </c>
      <c r="AC58" s="46">
        <f>'Inputs (2)'!X6</f>
        <v>-87005</v>
      </c>
      <c r="AD58" s="46">
        <f>'Inputs (2)'!Y6</f>
        <v>-92363</v>
      </c>
      <c r="AE58" s="46">
        <f>'Inputs (2)'!Z6</f>
        <v>-95181</v>
      </c>
      <c r="AF58" s="46">
        <f>'Inputs (2)'!AA6</f>
        <v>-99038</v>
      </c>
      <c r="AG58" s="12">
        <f>'Inputs (2)'!AB6</f>
        <v>-373587</v>
      </c>
      <c r="AH58" s="12">
        <f>'Inputs (2)'!AC6</f>
        <v>-88879</v>
      </c>
      <c r="AI58" s="12">
        <f>'Inputs (2)'!AD6</f>
        <v>-89626</v>
      </c>
      <c r="AJ58" s="12">
        <f>-AJ15*AJ59</f>
        <v>-100725.773424812</v>
      </c>
      <c r="AK58" s="12">
        <f>-AK15*AK59</f>
        <v>-100773.839381855</v>
      </c>
      <c r="AL58" s="12">
        <f>SUM(AH58:AK58)</f>
        <v>-380004.612806667</v>
      </c>
      <c r="AM58" s="12">
        <f>-AM15*AM59</f>
        <v>-99444.0145703327</v>
      </c>
      <c r="AN58" s="12">
        <f>-AN15*AN59</f>
        <v>-99720.8388784876</v>
      </c>
      <c r="AO58" s="12">
        <f>-AO15*AO59</f>
        <v>-109050.468847009</v>
      </c>
      <c r="AP58" s="12">
        <f>-AP15*AP59</f>
        <v>-109102.507317133</v>
      </c>
      <c r="AQ58" s="12">
        <f>SUM(AM58:AP58)</f>
        <v>-417317.829612962</v>
      </c>
      <c r="AR58" s="12">
        <f>-AR15*AR59</f>
        <v>-107165.556237508</v>
      </c>
      <c r="AS58" s="12">
        <f>-AS15*AS59</f>
        <v>-107463.875156869</v>
      </c>
      <c r="AT58" s="12">
        <f>-AT15*AT59</f>
        <v>-117517.924054498</v>
      </c>
      <c r="AU58" s="12">
        <f>-AU15*AU59</f>
        <v>-117574.003162132</v>
      </c>
      <c r="AV58" s="12">
        <f>SUM(AR58:AU58)</f>
        <v>-449721.358611006</v>
      </c>
      <c r="AW58" s="12">
        <f>-AW15*AW59</f>
        <v>-114950.825621889</v>
      </c>
      <c r="AX58" s="12">
        <f>-AX15*AX59</f>
        <v>-115270.816552586</v>
      </c>
      <c r="AY58" s="12">
        <f>-AY15*AY59</f>
        <v>-126055.263180791</v>
      </c>
      <c r="AZ58" s="12">
        <f>-AZ15*AZ59</f>
        <v>-126115.416274276</v>
      </c>
      <c r="BA58" s="12">
        <f>SUM(AW58:AZ58)</f>
        <v>-482392.321629543</v>
      </c>
      <c r="BB58" s="12">
        <f>-BB15*BB59</f>
        <v>-122726.918303552</v>
      </c>
      <c r="BC58" s="12">
        <f>-BC15*BC59</f>
        <v>-123068.555700213</v>
      </c>
      <c r="BD58" s="12">
        <f>-BD15*BD59</f>
        <v>-134582.539119891</v>
      </c>
      <c r="BE58" s="12">
        <f>-BE15*BE59</f>
        <v>-134646.761397111</v>
      </c>
      <c r="BF58" s="12">
        <f>SUM(BB58:BE58)</f>
        <v>-515024.774520767</v>
      </c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>
      <c r="C59" s="38" t="inlineStr">
        <is>
          <t>% SG&amp;A and Other Margin</t>
        </is>
      </c>
      <c r="D59" s="51" t="n"/>
      <c r="E59" s="51" t="n"/>
      <c r="F59" s="51" t="n"/>
      <c r="G59" s="51" t="n"/>
      <c r="H59" s="51" t="n"/>
      <c r="I59" s="51">
        <f>IFERROR(-(I58/I$15),"")</f>
        <v>0.785329648413015</v>
      </c>
      <c r="J59" s="51">
        <f>IFERROR(-(J58/J$15),"")</f>
        <v>0.7978715946215</v>
      </c>
      <c r="K59" s="51">
        <f>IFERROR(-(K58/K$15),"")</f>
        <v>0.802175926565934</v>
      </c>
      <c r="L59" s="51">
        <f>IFERROR(-(L58/L$15),"")</f>
        <v>0.805920561951643</v>
      </c>
      <c r="M59" s="51">
        <f>IFERROR(-(M58/M$15),"")</f>
        <v>0.797956863249617</v>
      </c>
      <c r="N59" s="51">
        <f>IFERROR(-(N58/N$15),"")</f>
        <v>0.797564536051604</v>
      </c>
      <c r="O59" s="51">
        <f>IFERROR(-(O58/O$15),"")</f>
        <v>0.794228949858089</v>
      </c>
      <c r="P59" s="51">
        <f>IFERROR(-(P58/P$15),"")</f>
        <v>0.794842633569857</v>
      </c>
      <c r="Q59" s="51">
        <f>IFERROR(-(Q58/Q$15),"")</f>
        <v>0.804474132412094</v>
      </c>
      <c r="R59" s="51">
        <f>IFERROR(-(R58/R$15),"")</f>
        <v>0.797823310566939</v>
      </c>
      <c r="S59" s="51">
        <f>IFERROR(-(S58/S$15),"")</f>
        <v>0.79918634628145</v>
      </c>
      <c r="T59" s="51">
        <f>IFERROR(-(T58/T$15),"")</f>
        <v>0.79735853524644</v>
      </c>
      <c r="U59" s="51">
        <f>IFERROR(-(U58/U$15),"")</f>
        <v>0.79476185836013</v>
      </c>
      <c r="V59" s="51">
        <f>IFERROR(-(V58/V$15),"")</f>
        <v>0.800300761434759</v>
      </c>
      <c r="W59" s="51">
        <f>IFERROR(-(W58/W$15),"")</f>
        <v>0.797912933034105</v>
      </c>
      <c r="X59" s="51">
        <f>IFERROR(-(X58/X$15),"")</f>
        <v>0.799751493045814</v>
      </c>
      <c r="Y59" s="51">
        <f>IFERROR(-(Y58/Y$15),"")</f>
        <v>0.795306256638511</v>
      </c>
      <c r="Z59" s="51">
        <f>IFERROR(-(Z58/Z$15),"")</f>
        <v>0.785925411624678</v>
      </c>
      <c r="AA59" s="51">
        <f>IFERROR(-(AA58/AA$15),"")</f>
        <v>0.788923388256768</v>
      </c>
      <c r="AB59" s="51">
        <f>IFERROR(-(AB58/AB$15),"")</f>
        <v>0.792444251245384</v>
      </c>
      <c r="AC59" s="51">
        <f>IFERROR(-(AC58/AC$15),"")</f>
        <v>0.794022359114762</v>
      </c>
      <c r="AD59" s="51">
        <f>IFERROR(-(AD58/AD$15),"")</f>
        <v>0.827506809059633</v>
      </c>
      <c r="AE59" s="51">
        <f>IFERROR(-(AE58/AE$15),"")</f>
        <v>0.841111336944707</v>
      </c>
      <c r="AF59" s="41">
        <f>IFERROR(-(AF58/AF$15),"")</f>
        <v>0.874778077109924</v>
      </c>
      <c r="AG59" s="51">
        <f>IFERROR(-(AG58/AG$15),"")</f>
        <v>0.83470631212757</v>
      </c>
      <c r="AH59" s="52">
        <f>IFERROR(-(AH58/AH$15),"")</f>
        <v>0.795544257570197</v>
      </c>
      <c r="AI59" s="52">
        <f>IFERROR(-(AI58/AI$15),"")</f>
        <v>0.800003570408455</v>
      </c>
      <c r="AJ59" s="52">
        <f>Control!$B$20</f>
        <v>0.822161068367946</v>
      </c>
      <c r="AK59" s="52">
        <f>Control!$B$20</f>
        <v>0.822161068367946</v>
      </c>
      <c r="AL59" s="51">
        <f>IFERROR(-(AL58/AL$15),"")</f>
        <v>0.810523782682693</v>
      </c>
      <c r="AM59" s="52">
        <f>Control!$C$20</f>
        <v>0.822161068367946</v>
      </c>
      <c r="AN59" s="52">
        <f>Control!$C$20</f>
        <v>0.822161068367946</v>
      </c>
      <c r="AO59" s="52">
        <f>Control!$C$20</f>
        <v>0.822161068367946</v>
      </c>
      <c r="AP59" s="52">
        <f>Control!$C$20</f>
        <v>0.822161068367946</v>
      </c>
      <c r="AQ59" s="51">
        <f>IFERROR(-(AQ58/AQ$15),"")</f>
        <v>0.822161068367946</v>
      </c>
      <c r="AR59" s="52">
        <f>Control!$D$20</f>
        <v>0.822161068367946</v>
      </c>
      <c r="AS59" s="52">
        <f>Control!$D$20</f>
        <v>0.822161068367946</v>
      </c>
      <c r="AT59" s="52">
        <f>Control!$D$20</f>
        <v>0.822161068367946</v>
      </c>
      <c r="AU59" s="52">
        <f>Control!$D$20</f>
        <v>0.822161068367946</v>
      </c>
      <c r="AV59" s="51">
        <f>IFERROR(-(AV58/AV$15),"")</f>
        <v>0.822161068367946</v>
      </c>
      <c r="AW59" s="52">
        <f>Control!$E$20</f>
        <v>0.822161068367946</v>
      </c>
      <c r="AX59" s="52">
        <f>Control!$E$20</f>
        <v>0.822161068367946</v>
      </c>
      <c r="AY59" s="52">
        <f>Control!$E$20</f>
        <v>0.822161068367946</v>
      </c>
      <c r="AZ59" s="52">
        <f>Control!$E$20</f>
        <v>0.822161068367946</v>
      </c>
      <c r="BA59" s="51">
        <f>IFERROR(-(BA58/BA$15),"")</f>
        <v>0.822161068367946</v>
      </c>
      <c r="BB59" s="52">
        <f>Control!$F$20</f>
        <v>0.822161068367946</v>
      </c>
      <c r="BC59" s="52">
        <f>Control!$F$20</f>
        <v>0.822161068367946</v>
      </c>
      <c r="BD59" s="52">
        <f>Control!$F$20</f>
        <v>0.822161068367946</v>
      </c>
      <c r="BE59" s="52">
        <f>Control!$F$20</f>
        <v>0.822161068367946</v>
      </c>
      <c r="BF59" s="51">
        <f>IFERROR(-(BF58/BF$15),"")</f>
        <v>0.822161068367946</v>
      </c>
      <c r="BG59" s="52" t="n"/>
      <c r="BH59" s="52" t="n"/>
      <c r="BI59" s="52" t="n"/>
      <c r="BJ59" s="52" t="n"/>
      <c r="BK59" s="51" t="n"/>
      <c r="BL59" s="52" t="n"/>
      <c r="BM59" s="52" t="n"/>
      <c r="BN59" s="52" t="n"/>
      <c r="BO59" s="52" t="n"/>
      <c r="BP59" s="51" t="n"/>
      <c r="BQ59" s="52" t="n"/>
      <c r="BR59" s="52" t="n"/>
      <c r="BS59" s="52" t="n"/>
      <c r="BT59" s="52" t="n"/>
      <c r="BU59" s="51" t="n"/>
      <c r="BV59" s="52" t="n"/>
      <c r="BW59" s="52" t="n"/>
      <c r="BX59" s="52" t="n"/>
      <c r="BY59" s="52" t="n"/>
      <c r="BZ59" s="51" t="n"/>
      <c r="CA59" s="52" t="n"/>
      <c r="CB59" s="52" t="n"/>
      <c r="CC59" s="52" t="n"/>
      <c r="CD59" s="52" t="n"/>
      <c r="CE59" s="51" t="n"/>
      <c r="CF59" s="52" t="n"/>
      <c r="CG59" s="52" t="n"/>
      <c r="CH59" s="52" t="n"/>
      <c r="CI59" s="52" t="n"/>
      <c r="CJ59" s="51" t="n"/>
      <c r="CK59" s="52" t="n"/>
      <c r="CL59" s="52" t="n"/>
      <c r="CM59" s="52" t="n"/>
      <c r="CN59" s="52" t="n"/>
      <c r="CO59" s="51" t="n"/>
      <c r="CP59" s="52" t="n"/>
      <c r="CQ59" s="52" t="n"/>
      <c r="CR59" s="52" t="n"/>
      <c r="CS59" s="52" t="n"/>
      <c r="CT59" s="51" t="n"/>
      <c r="CU59" s="52" t="n"/>
      <c r="CV59" s="52" t="n"/>
      <c r="CW59" s="52" t="n"/>
      <c r="CX59" s="52" t="n"/>
      <c r="CY59" s="51" t="n"/>
    </row>
    <row r="60" hidden="1" outlineLevel="1"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  <c r="AJ60" s="50" t="n"/>
      <c r="AK60" s="50" t="n"/>
      <c r="AL60" s="50" t="n"/>
      <c r="AM60" s="50" t="n"/>
      <c r="AN60" s="50" t="n"/>
      <c r="AO60" s="50" t="n"/>
      <c r="AP60" s="50" t="n"/>
      <c r="AQ60" s="50" t="n"/>
      <c r="AR60" s="50" t="n"/>
      <c r="AS60" s="50" t="n"/>
      <c r="AT60" s="50" t="n"/>
      <c r="AU60" s="50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50" t="n"/>
      <c r="BE60" s="50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  <c r="BW60" s="50" t="n"/>
      <c r="BX60" s="50" t="n"/>
      <c r="BY60" s="50" t="n"/>
      <c r="BZ60" s="50" t="n"/>
      <c r="CA60" s="50" t="n"/>
      <c r="CB60" s="50" t="n"/>
      <c r="CC60" s="50" t="n"/>
      <c r="CD60" s="50" t="n"/>
      <c r="CE60" s="50" t="n"/>
      <c r="CF60" s="50" t="n"/>
      <c r="CG60" s="50" t="n"/>
      <c r="CH60" s="50" t="n"/>
      <c r="CI60" s="50" t="n"/>
      <c r="CJ60" s="50" t="n"/>
      <c r="CK60" s="50" t="n"/>
      <c r="CL60" s="50" t="n"/>
      <c r="CM60" s="50" t="n"/>
      <c r="CN60" s="50" t="n"/>
      <c r="CO60" s="50" t="n"/>
      <c r="CP60" s="50" t="n"/>
      <c r="CQ60" s="50" t="n"/>
      <c r="CR60" s="50" t="n"/>
      <c r="CS60" s="50" t="n"/>
      <c r="CT60" s="50" t="n"/>
      <c r="CU60" s="50" t="n"/>
      <c r="CV60" s="50" t="n"/>
      <c r="CW60" s="50" t="n"/>
      <c r="CX60" s="50" t="n"/>
      <c r="CY60" s="50" t="n"/>
    </row>
    <row r="61" hidden="1" outlineLevel="1">
      <c r="C61" s="50" t="inlineStr">
        <is>
          <t>Com Vendas</t>
        </is>
      </c>
      <c r="D61" s="11" t="n"/>
      <c r="E61" s="11" t="n"/>
      <c r="F61" s="11" t="n"/>
      <c r="G61" s="11" t="n"/>
      <c r="H61" s="50" t="n"/>
      <c r="I61" s="11" t="n"/>
      <c r="J61" s="11" t="n"/>
      <c r="K61" s="11" t="n"/>
      <c r="L61" s="11" t="n"/>
      <c r="M61" s="50" t="n"/>
      <c r="N61" s="11" t="n"/>
      <c r="O61" s="11" t="n"/>
      <c r="P61" s="11" t="n"/>
      <c r="Q61" s="11" t="n"/>
      <c r="R61" s="50" t="n"/>
      <c r="S61" s="11" t="n"/>
      <c r="T61" s="11" t="n"/>
      <c r="U61" s="11" t="n"/>
      <c r="V61" s="11" t="n"/>
      <c r="W61" s="50" t="n"/>
      <c r="X61" s="11" t="n"/>
      <c r="Y61" s="11" t="n"/>
      <c r="Z61" s="11" t="n"/>
      <c r="AA61" s="11" t="n"/>
      <c r="AB61" s="50" t="n"/>
      <c r="AC61" s="11" t="n"/>
      <c r="AD61" s="11" t="n"/>
      <c r="AE61" s="11" t="n"/>
      <c r="AF61" s="11" t="n"/>
      <c r="AG61" s="50" t="n"/>
      <c r="AH61" s="50" t="n"/>
      <c r="AI61" s="50" t="n"/>
      <c r="AJ61" s="50" t="n"/>
      <c r="AK61" s="50" t="n"/>
      <c r="AL61" s="50" t="n"/>
      <c r="AM61" s="50" t="n"/>
      <c r="AN61" s="50" t="n"/>
      <c r="AO61" s="50" t="n"/>
      <c r="AP61" s="50" t="n"/>
      <c r="AQ61" s="50" t="n"/>
      <c r="AR61" s="50" t="n"/>
      <c r="AS61" s="50" t="n"/>
      <c r="AT61" s="50" t="n"/>
      <c r="AU61" s="50" t="n"/>
      <c r="AV61" s="50" t="n"/>
      <c r="AW61" s="50" t="n"/>
      <c r="AX61" s="50" t="n"/>
      <c r="AY61" s="50" t="n"/>
      <c r="AZ61" s="50" t="n"/>
      <c r="BA61" s="50" t="n"/>
      <c r="BB61" s="50" t="n"/>
      <c r="BC61" s="50" t="n"/>
      <c r="BD61" s="50" t="n"/>
      <c r="BE61" s="50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50" t="n"/>
      <c r="BP61" s="50" t="n"/>
      <c r="BQ61" s="50" t="n"/>
      <c r="BR61" s="50" t="n"/>
      <c r="BS61" s="50" t="n"/>
      <c r="BT61" s="50" t="n"/>
      <c r="BU61" s="50" t="n"/>
      <c r="BV61" s="50" t="n"/>
      <c r="BW61" s="50" t="n"/>
      <c r="BX61" s="50" t="n"/>
      <c r="BY61" s="50" t="n"/>
      <c r="BZ61" s="50" t="n"/>
      <c r="CA61" s="50" t="n"/>
      <c r="CB61" s="50" t="n"/>
      <c r="CC61" s="50" t="n"/>
      <c r="CD61" s="50" t="n"/>
      <c r="CE61" s="50" t="n"/>
      <c r="CF61" s="50" t="n"/>
      <c r="CG61" s="50" t="n"/>
      <c r="CH61" s="50" t="n"/>
      <c r="CI61" s="50" t="n"/>
      <c r="CJ61" s="50" t="n"/>
      <c r="CK61" s="50" t="n"/>
      <c r="CL61" s="50" t="n"/>
      <c r="CM61" s="50" t="n"/>
      <c r="CN61" s="50" t="n"/>
      <c r="CO61" s="50" t="n"/>
      <c r="CP61" s="50" t="n"/>
      <c r="CQ61" s="50" t="n"/>
      <c r="CR61" s="50" t="n"/>
      <c r="CS61" s="50" t="n"/>
      <c r="CT61" s="50" t="n"/>
      <c r="CU61" s="50" t="n"/>
      <c r="CV61" s="50" t="n"/>
      <c r="CW61" s="50" t="n"/>
      <c r="CX61" s="50" t="n"/>
      <c r="CY61" s="50" t="n"/>
    </row>
    <row r="62" hidden="1" outlineLevel="1">
      <c r="C62" s="50" t="inlineStr">
        <is>
          <t>Gerais &amp; Administrativas</t>
        </is>
      </c>
      <c r="D62" s="11" t="n"/>
      <c r="E62" s="11" t="n"/>
      <c r="F62" s="11" t="n"/>
      <c r="G62" s="11" t="n"/>
      <c r="H62" s="50" t="n"/>
      <c r="I62" s="11" t="n"/>
      <c r="J62" s="11" t="n"/>
      <c r="K62" s="11" t="n"/>
      <c r="L62" s="11" t="n"/>
      <c r="M62" s="50" t="n"/>
      <c r="N62" s="11" t="n"/>
      <c r="O62" s="11" t="n"/>
      <c r="P62" s="11" t="n"/>
      <c r="Q62" s="11" t="n"/>
      <c r="R62" s="50" t="n"/>
      <c r="S62" s="11" t="n"/>
      <c r="T62" s="11" t="n"/>
      <c r="U62" s="11" t="n"/>
      <c r="V62" s="11" t="n"/>
      <c r="W62" s="50" t="n"/>
      <c r="X62" s="11" t="n"/>
      <c r="Y62" s="11" t="n"/>
      <c r="Z62" s="11" t="n"/>
      <c r="AA62" s="11" t="n"/>
      <c r="AB62" s="50" t="n"/>
      <c r="AC62" s="11" t="n"/>
      <c r="AD62" s="11" t="n"/>
      <c r="AE62" s="11" t="n"/>
      <c r="AF62" s="11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</row>
    <row r="63" hidden="1" outlineLevel="1">
      <c r="C63" s="50" t="inlineStr">
        <is>
          <t>Outras Receitas (Despesas) Operacionais, Líquidas</t>
        </is>
      </c>
      <c r="D63" s="11" t="n"/>
      <c r="E63" s="11" t="n"/>
      <c r="F63" s="11" t="n"/>
      <c r="G63" s="11" t="n"/>
      <c r="H63" s="50" t="n"/>
      <c r="I63" s="11" t="n"/>
      <c r="J63" s="11" t="n"/>
      <c r="K63" s="11" t="n"/>
      <c r="L63" s="11" t="n"/>
      <c r="M63" s="50" t="n"/>
      <c r="N63" s="11" t="n"/>
      <c r="O63" s="11" t="n"/>
      <c r="P63" s="11" t="n"/>
      <c r="Q63" s="11" t="n"/>
      <c r="R63" s="50" t="n"/>
      <c r="S63" s="11" t="n"/>
      <c r="T63" s="11" t="n"/>
      <c r="U63" s="11" t="n"/>
      <c r="V63" s="11" t="n"/>
      <c r="W63" s="50" t="n"/>
      <c r="X63" s="11" t="n"/>
      <c r="Y63" s="11" t="n"/>
      <c r="Z63" s="11" t="n"/>
      <c r="AA63" s="11" t="n"/>
      <c r="AB63" s="50" t="n"/>
      <c r="AC63" s="11" t="n"/>
      <c r="AD63" s="11" t="n"/>
      <c r="AE63" s="11" t="n"/>
      <c r="AF63" s="11" t="n"/>
      <c r="AG63" s="50" t="n"/>
      <c r="AH63" s="50" t="n"/>
      <c r="AI63" s="50" t="n"/>
      <c r="AJ63" s="50" t="n"/>
      <c r="AK63" s="50" t="n"/>
      <c r="AL63" s="50" t="n"/>
      <c r="AM63" s="50" t="n"/>
      <c r="AN63" s="50" t="n"/>
      <c r="AO63" s="50" t="n"/>
      <c r="AP63" s="50" t="n"/>
      <c r="AQ63" s="50" t="n"/>
      <c r="AR63" s="50" t="n"/>
      <c r="AS63" s="50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0" t="n"/>
      <c r="BK63" s="50" t="n"/>
      <c r="BL63" s="50" t="n"/>
      <c r="BM63" s="50" t="n"/>
      <c r="BN63" s="50" t="n"/>
      <c r="BO63" s="50" t="n"/>
      <c r="BP63" s="50" t="n"/>
      <c r="BQ63" s="50" t="n"/>
      <c r="BR63" s="50" t="n"/>
      <c r="BS63" s="50" t="n"/>
      <c r="BT63" s="50" t="n"/>
      <c r="BU63" s="50" t="n"/>
      <c r="BV63" s="50" t="n"/>
      <c r="BW63" s="50" t="n"/>
      <c r="BX63" s="50" t="n"/>
      <c r="BY63" s="50" t="n"/>
      <c r="BZ63" s="50" t="n"/>
      <c r="CA63" s="50" t="n"/>
      <c r="CB63" s="50" t="n"/>
      <c r="CC63" s="50" t="n"/>
      <c r="CD63" s="50" t="n"/>
      <c r="CE63" s="50" t="n"/>
      <c r="CF63" s="50" t="n"/>
      <c r="CG63" s="50" t="n"/>
      <c r="CH63" s="50" t="n"/>
      <c r="CI63" s="50" t="n"/>
      <c r="CJ63" s="50" t="n"/>
      <c r="CK63" s="50" t="n"/>
      <c r="CL63" s="50" t="n"/>
      <c r="CM63" s="50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</row>
    <row r="64" hidden="1" outlineLevel="1"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  <c r="AJ64" s="50" t="n"/>
      <c r="AK64" s="50" t="n"/>
      <c r="AL64" s="50" t="n"/>
      <c r="AM64" s="50" t="n"/>
      <c r="AN64" s="50" t="n"/>
      <c r="AO64" s="50" t="n"/>
      <c r="AP64" s="50" t="n"/>
      <c r="AQ64" s="50" t="n"/>
      <c r="AR64" s="50" t="n"/>
      <c r="AS64" s="50" t="n"/>
      <c r="AT64" s="50" t="n"/>
      <c r="AU64" s="50" t="n"/>
      <c r="AV64" s="50" t="n"/>
      <c r="AW64" s="50" t="n"/>
      <c r="AX64" s="50" t="n"/>
      <c r="AY64" s="50" t="n"/>
      <c r="AZ64" s="50" t="n"/>
      <c r="BA64" s="50" t="n"/>
      <c r="BB64" s="50" t="n"/>
      <c r="BC64" s="50" t="n"/>
      <c r="BD64" s="50" t="n"/>
      <c r="BE64" s="50" t="n"/>
      <c r="BF64" s="50" t="n"/>
      <c r="BG64" s="50" t="n"/>
      <c r="BH64" s="50" t="n"/>
      <c r="BI64" s="50" t="n"/>
      <c r="BJ64" s="50" t="n"/>
      <c r="BK64" s="50" t="n"/>
      <c r="BL64" s="50" t="n"/>
      <c r="BM64" s="50" t="n"/>
      <c r="BN64" s="50" t="n"/>
      <c r="BO64" s="50" t="n"/>
      <c r="BP64" s="50" t="n"/>
      <c r="BQ64" s="50" t="n"/>
      <c r="BR64" s="50" t="n"/>
      <c r="BS64" s="50" t="n"/>
      <c r="BT64" s="50" t="n"/>
      <c r="BU64" s="50" t="n"/>
      <c r="BV64" s="50" t="n"/>
      <c r="BW64" s="50" t="n"/>
      <c r="BX64" s="50" t="n"/>
      <c r="BY64" s="50" t="n"/>
      <c r="BZ64" s="50" t="n"/>
      <c r="CA64" s="50" t="n"/>
      <c r="CB64" s="50" t="n"/>
      <c r="CC64" s="50" t="n"/>
      <c r="CD64" s="50" t="n"/>
      <c r="CE64" s="50" t="n"/>
      <c r="CF64" s="50" t="n"/>
      <c r="CG64" s="50" t="n"/>
      <c r="CH64" s="50" t="n"/>
      <c r="CI64" s="50" t="n"/>
      <c r="CJ64" s="50" t="n"/>
      <c r="CK64" s="50" t="n"/>
      <c r="CL64" s="50" t="n"/>
      <c r="CM64" s="50" t="n"/>
      <c r="CN64" s="50" t="n"/>
      <c r="CO64" s="50" t="n"/>
      <c r="CP64" s="50" t="n"/>
      <c r="CQ64" s="50" t="n"/>
      <c r="CR64" s="50" t="n"/>
      <c r="CS64" s="50" t="n"/>
      <c r="CT64" s="50" t="n"/>
      <c r="CU64" s="50" t="n"/>
      <c r="CV64" s="50" t="n"/>
      <c r="CW64" s="50" t="n"/>
      <c r="CX64" s="50" t="n"/>
      <c r="CY64" s="50" t="n"/>
    </row>
    <row r="65" hidden="1" outlineLevel="1">
      <c r="C65" s="50" t="inlineStr">
        <is>
          <t>Com Vendas (%)</t>
        </is>
      </c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  <c r="AJ65" s="50" t="n"/>
      <c r="AK65" s="50" t="n"/>
      <c r="AL65" s="50" t="n"/>
      <c r="AM65" s="50" t="n"/>
      <c r="AN65" s="50" t="n"/>
      <c r="AO65" s="50" t="n"/>
      <c r="AP65" s="50" t="n"/>
      <c r="AQ65" s="50" t="n"/>
      <c r="AR65" s="50" t="n"/>
      <c r="AS65" s="50" t="n"/>
      <c r="AT65" s="50" t="n"/>
      <c r="AU65" s="50" t="n"/>
      <c r="AV65" s="50" t="n"/>
      <c r="AW65" s="50" t="n"/>
      <c r="AX65" s="50" t="n"/>
      <c r="AY65" s="50" t="n"/>
      <c r="AZ65" s="50" t="n"/>
      <c r="BA65" s="50" t="n"/>
      <c r="BB65" s="50" t="n"/>
      <c r="BC65" s="50" t="n"/>
      <c r="BD65" s="50" t="n"/>
      <c r="BE65" s="50" t="n"/>
      <c r="BF65" s="50" t="n"/>
      <c r="BG65" s="50" t="n"/>
      <c r="BH65" s="50" t="n"/>
      <c r="BI65" s="50" t="n"/>
      <c r="BJ65" s="50" t="n"/>
      <c r="BK65" s="50" t="n"/>
      <c r="BL65" s="50" t="n"/>
      <c r="BM65" s="50" t="n"/>
      <c r="BN65" s="50" t="n"/>
      <c r="BO65" s="50" t="n"/>
      <c r="BP65" s="50" t="n"/>
      <c r="BQ65" s="50" t="n"/>
      <c r="BR65" s="50" t="n"/>
      <c r="BS65" s="50" t="n"/>
      <c r="BT65" s="50" t="n"/>
      <c r="BU65" s="50" t="n"/>
      <c r="BV65" s="50" t="n"/>
      <c r="BW65" s="50" t="n"/>
      <c r="BX65" s="50" t="n"/>
      <c r="BY65" s="50" t="n"/>
      <c r="BZ65" s="50" t="n"/>
      <c r="CA65" s="50" t="n"/>
      <c r="CB65" s="50" t="n"/>
      <c r="CC65" s="50" t="n"/>
      <c r="CD65" s="50" t="n"/>
      <c r="CE65" s="50" t="n"/>
      <c r="CF65" s="50" t="n"/>
      <c r="CG65" s="50" t="n"/>
      <c r="CH65" s="50" t="n"/>
      <c r="CI65" s="50" t="n"/>
      <c r="CJ65" s="50" t="n"/>
      <c r="CK65" s="50" t="n"/>
      <c r="CL65" s="50" t="n"/>
      <c r="CM65" s="50" t="n"/>
      <c r="CN65" s="50" t="n"/>
      <c r="CO65" s="50" t="n"/>
      <c r="CP65" s="50" t="n"/>
      <c r="CQ65" s="50" t="n"/>
      <c r="CR65" s="50" t="n"/>
      <c r="CS65" s="50" t="n"/>
      <c r="CT65" s="50" t="n"/>
      <c r="CU65" s="50" t="n"/>
      <c r="CV65" s="50" t="n"/>
      <c r="CW65" s="50" t="n"/>
      <c r="CX65" s="50" t="n"/>
      <c r="CY65" s="50" t="n"/>
    </row>
    <row r="66" hidden="1" outlineLevel="1">
      <c r="C66" s="50" t="inlineStr">
        <is>
          <t>Gerais &amp; Administrativas (%)</t>
        </is>
      </c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  <c r="BW66" s="50" t="n"/>
      <c r="BX66" s="50" t="n"/>
      <c r="BY66" s="50" t="n"/>
      <c r="BZ66" s="50" t="n"/>
      <c r="CA66" s="50" t="n"/>
      <c r="CB66" s="50" t="n"/>
      <c r="CC66" s="50" t="n"/>
      <c r="CD66" s="50" t="n"/>
      <c r="CE66" s="50" t="n"/>
      <c r="CF66" s="50" t="n"/>
      <c r="CG66" s="50" t="n"/>
      <c r="CH66" s="50" t="n"/>
      <c r="CI66" s="50" t="n"/>
      <c r="CJ66" s="50" t="n"/>
      <c r="CK66" s="50" t="n"/>
      <c r="CL66" s="50" t="n"/>
      <c r="CM66" s="50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</row>
    <row r="67" hidden="1" outlineLevel="1">
      <c r="C67" s="50" t="inlineStr">
        <is>
          <t>Outras Receitas (Despesas) Operacionais, Líquidas (%)</t>
        </is>
      </c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  <c r="AJ67" s="50" t="n"/>
      <c r="AK67" s="50" t="n"/>
      <c r="AL67" s="50" t="n"/>
      <c r="AM67" s="50" t="n"/>
      <c r="AN67" s="50" t="n"/>
      <c r="AO67" s="50" t="n"/>
      <c r="AP67" s="50" t="n"/>
      <c r="AQ67" s="50" t="n"/>
      <c r="AR67" s="50" t="n"/>
      <c r="AS67" s="50" t="n"/>
      <c r="AT67" s="50" t="n"/>
      <c r="AU67" s="50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50" t="n"/>
      <c r="BE67" s="50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50" t="n"/>
      <c r="BP67" s="50" t="n"/>
      <c r="BQ67" s="50" t="n"/>
      <c r="BR67" s="50" t="n"/>
      <c r="BS67" s="50" t="n"/>
      <c r="BT67" s="50" t="n"/>
      <c r="BU67" s="50" t="n"/>
      <c r="BV67" s="50" t="n"/>
      <c r="BW67" s="50" t="n"/>
      <c r="BX67" s="50" t="n"/>
      <c r="BY67" s="50" t="n"/>
      <c r="BZ67" s="50" t="n"/>
      <c r="CA67" s="50" t="n"/>
      <c r="CB67" s="50" t="n"/>
      <c r="CC67" s="50" t="n"/>
      <c r="CD67" s="50" t="n"/>
      <c r="CE67" s="50" t="n"/>
      <c r="CF67" s="50" t="n"/>
      <c r="CG67" s="50" t="n"/>
      <c r="CH67" s="50" t="n"/>
      <c r="CI67" s="50" t="n"/>
      <c r="CJ67" s="50" t="n"/>
      <c r="CK67" s="50" t="n"/>
      <c r="CL67" s="50" t="n"/>
      <c r="CM67" s="50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</row>
    <row r="68" hidden="1" outlineLevel="1"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  <c r="BW68" s="50" t="n"/>
      <c r="BX68" s="50" t="n"/>
      <c r="BY68" s="50" t="n"/>
      <c r="BZ68" s="50" t="n"/>
      <c r="CA68" s="50" t="n"/>
      <c r="CB68" s="50" t="n"/>
      <c r="CC68" s="50" t="n"/>
      <c r="CD68" s="50" t="n"/>
      <c r="CE68" s="50" t="n"/>
      <c r="CF68" s="50" t="n"/>
      <c r="CG68" s="50" t="n"/>
      <c r="CH68" s="50" t="n"/>
      <c r="CI68" s="50" t="n"/>
      <c r="CJ68" s="50" t="n"/>
      <c r="CK68" s="50" t="n"/>
      <c r="CL68" s="50" t="n"/>
      <c r="CM68" s="50" t="n"/>
      <c r="CN68" s="50" t="n"/>
      <c r="CO68" s="50" t="n"/>
      <c r="CP68" s="50" t="n"/>
      <c r="CQ68" s="50" t="n"/>
      <c r="CR68" s="50" t="n"/>
      <c r="CS68" s="50" t="n"/>
      <c r="CT68" s="50" t="n"/>
      <c r="CU68" s="50" t="n"/>
      <c r="CV68" s="50" t="n"/>
      <c r="CW68" s="50" t="n"/>
      <c r="CX68" s="50" t="n"/>
      <c r="CY68" s="50" t="n"/>
    </row>
    <row r="69" collapsed="1" customFormat="1" s="32">
      <c r="A69" s="30" t="n"/>
      <c r="B69" s="3" t="n"/>
      <c r="C69" s="33" t="inlineStr">
        <is>
          <t>EBITDA</t>
        </is>
      </c>
      <c r="D69" s="35" t="n"/>
      <c r="E69" s="35" t="n"/>
      <c r="F69" s="35" t="n"/>
      <c r="G69" s="35" t="n"/>
      <c r="H69" s="35" t="n"/>
      <c r="I69" s="35">
        <f>SUM(I15,I54,I58)</f>
        <v>7497</v>
      </c>
      <c r="J69" s="35">
        <f>SUM(J15,J54,J58)</f>
        <v>6756</v>
      </c>
      <c r="K69" s="35">
        <f>SUM(K15,K54,K58)</f>
        <v>6508</v>
      </c>
      <c r="L69" s="35">
        <f>SUM(L15,L54,L58)</f>
        <v>6312</v>
      </c>
      <c r="M69" s="35">
        <f>SUM(I69:L69)</f>
        <v>27073</v>
      </c>
      <c r="N69" s="35">
        <f>SUM(N15,N54,N58)</f>
        <v>7738</v>
      </c>
      <c r="O69" s="35">
        <f>SUM(O15,O54,O58)</f>
        <v>7934</v>
      </c>
      <c r="P69" s="35">
        <f>SUM(P15,P54,P58)</f>
        <v>8290</v>
      </c>
      <c r="Q69" s="35">
        <f>SUM(Q15,Q54,Q58)</f>
        <v>7873</v>
      </c>
      <c r="R69" s="35">
        <f>SUM(N69:Q69)</f>
        <v>31835</v>
      </c>
      <c r="S69" s="35">
        <f>SUM(S15,S54,S58)</f>
        <v>9056</v>
      </c>
      <c r="T69" s="35">
        <f>SUM(T15,T54,T58)</f>
        <v>9078</v>
      </c>
      <c r="U69" s="35">
        <f>SUM(U15,U54,U58)</f>
        <v>9533</v>
      </c>
      <c r="V69" s="35">
        <f>SUM(V15,V54,V58)</f>
        <v>8663</v>
      </c>
      <c r="W69" s="35">
        <f>SUM(S69:V69)</f>
        <v>36330</v>
      </c>
      <c r="X69" s="35">
        <f>SUM(X15,X54,X58)</f>
        <v>8928</v>
      </c>
      <c r="Y69" s="35">
        <f>SUM(Y15,Y54,Y58)</f>
        <v>8895</v>
      </c>
      <c r="Z69" s="35">
        <f>SUM(Z15,Z54,Z58)</f>
        <v>9749</v>
      </c>
      <c r="AA69" s="35">
        <f>SUM(AA15,AA54,AA58)</f>
        <v>8814</v>
      </c>
      <c r="AB69" s="35">
        <f>SUM(X69:AA69)</f>
        <v>36386</v>
      </c>
      <c r="AC69" s="35">
        <f>SUM(AC15,AC54,AC58)</f>
        <v>10180</v>
      </c>
      <c r="AD69" s="35">
        <f>SUM(AD15,AD54,AD58)</f>
        <v>6234</v>
      </c>
      <c r="AE69" s="35">
        <f>SUM(AE15,AE54,AE58)</f>
        <v>5414</v>
      </c>
      <c r="AF69" s="35">
        <f>SUM(AF15,AF54,AF58)</f>
        <v>1497</v>
      </c>
      <c r="AG69" s="35">
        <f>SUM(AC69:AF69)</f>
        <v>23325</v>
      </c>
      <c r="AH69" s="35">
        <f>SUM(AH15,AH54,AH58)</f>
        <v>10019</v>
      </c>
      <c r="AI69" s="35">
        <f>SUM(AI15,AI54,AI58)</f>
        <v>9031</v>
      </c>
      <c r="AJ69" s="35">
        <f>SUM(AJ15,AJ54,AJ58)</f>
        <v>7761.47556301187</v>
      </c>
      <c r="AK69" s="35">
        <f>SUM(AK15,AK54,AK58)</f>
        <v>7765.17930971263</v>
      </c>
      <c r="AL69" s="35">
        <f>SUM(AH69:AK69)</f>
        <v>34576.6548727245</v>
      </c>
      <c r="AM69" s="35">
        <f>SUM(AM15,AM54,AM58)</f>
        <v>7662.70898432542</v>
      </c>
      <c r="AN69" s="35">
        <f>SUM(AN15,AN54,AN58)</f>
        <v>7684.03982180562</v>
      </c>
      <c r="AO69" s="35">
        <f>SUM(AO15,AO54,AO58)</f>
        <v>8402.93919135647</v>
      </c>
      <c r="AP69" s="35">
        <f>SUM(AP15,AP54,AP58)</f>
        <v>8406.9490420677</v>
      </c>
      <c r="AQ69" s="35">
        <f>SUM(AM69:AP69)</f>
        <v>32156.6370395552</v>
      </c>
      <c r="AR69" s="35">
        <f>SUM(AR15,AR54,AR58)</f>
        <v>8257.69629413543</v>
      </c>
      <c r="AS69" s="35">
        <f>SUM(AS15,AS54,AS58)</f>
        <v>8280.68340978491</v>
      </c>
      <c r="AT69" s="35">
        <f>SUM(AT15,AT54,AT58)</f>
        <v>9055.40324736973</v>
      </c>
      <c r="AU69" s="35">
        <f>SUM(AU15,AU54,AU58)</f>
        <v>9059.7244514538</v>
      </c>
      <c r="AV69" s="35">
        <f>SUM(AR69:AU69)</f>
        <v>34653.5074027439</v>
      </c>
      <c r="AW69" s="35">
        <f>SUM(AW15,AW54,AW58)</f>
        <v>8857.59417551972</v>
      </c>
      <c r="AX69" s="35">
        <f>SUM(AX15,AX54,AX58)</f>
        <v>8882.25123899558</v>
      </c>
      <c r="AY69" s="35">
        <f>SUM(AY15,AY54,AY58)</f>
        <v>9713.25224419413</v>
      </c>
      <c r="AZ69" s="35">
        <f>SUM(AZ15,AZ54,AZ58)</f>
        <v>9717.88737132437</v>
      </c>
      <c r="BA69" s="35">
        <f>SUM(AW69:AZ69)</f>
        <v>37170.9850300338</v>
      </c>
      <c r="BB69" s="35">
        <f>SUM(BB15,BB54,BB58)</f>
        <v>9456.78494142127</v>
      </c>
      <c r="BC69" s="35">
        <f>SUM(BC15,BC54,BC58)</f>
        <v>9483.10998431188</v>
      </c>
      <c r="BD69" s="35">
        <f>SUM(BD15,BD54,BD58)</f>
        <v>10370.3258170249</v>
      </c>
      <c r="BE69" s="35">
        <f>SUM(BE15,BE54,BE58)</f>
        <v>10375.2744971719</v>
      </c>
      <c r="BF69" s="35">
        <f>SUM(BB69:BE69)</f>
        <v>39685.49523993</v>
      </c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5" t="n"/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  <c r="CO69" s="35" t="n"/>
      <c r="CP69" s="35" t="n"/>
      <c r="CQ69" s="35" t="n"/>
      <c r="CR69" s="35" t="n"/>
      <c r="CS69" s="35" t="n"/>
      <c r="CT69" s="35" t="n"/>
      <c r="CU69" s="35" t="n"/>
      <c r="CV69" s="35" t="n"/>
      <c r="CW69" s="35" t="n"/>
      <c r="CX69" s="35" t="n"/>
      <c r="CY69" s="35" t="n"/>
    </row>
    <row r="70" ht="13.5" customHeight="1">
      <c r="C70" s="13" t="inlineStr">
        <is>
          <t>D&amp;A</t>
        </is>
      </c>
      <c r="D70" s="46" t="n"/>
      <c r="E70" s="46" t="n"/>
      <c r="F70" s="46" t="n"/>
      <c r="G70" s="46" t="n"/>
      <c r="H70" s="12" t="n"/>
      <c r="I70" s="46">
        <f>'Inputs (2)'!D7</f>
        <v>-758</v>
      </c>
      <c r="J70" s="46">
        <f>'Inputs (2)'!E7</f>
        <v>-778</v>
      </c>
      <c r="K70" s="46">
        <f>'Inputs (2)'!F7</f>
        <v>-796</v>
      </c>
      <c r="L70" s="46">
        <f>'Inputs (2)'!G7</f>
        <v>-771</v>
      </c>
      <c r="M70" s="12">
        <f>'Inputs (2)'!H7</f>
        <v>-3103</v>
      </c>
      <c r="N70" s="46">
        <f>'Inputs (2)'!I7</f>
        <v>-788</v>
      </c>
      <c r="O70" s="46">
        <f>'Inputs (2)'!J7</f>
        <v>-802</v>
      </c>
      <c r="P70" s="46">
        <f>'Inputs (2)'!K7</f>
        <v>-828</v>
      </c>
      <c r="Q70" s="46">
        <f>'Inputs (2)'!L7</f>
        <v>-982</v>
      </c>
      <c r="R70" s="12">
        <f>'Inputs (2)'!M7</f>
        <v>-3400</v>
      </c>
      <c r="S70" s="46">
        <f>'Inputs (2)'!N7</f>
        <v>-970</v>
      </c>
      <c r="T70" s="46">
        <f>'Inputs (2)'!O7</f>
        <v>-1021</v>
      </c>
      <c r="U70" s="46">
        <f>'Inputs (2)'!P7</f>
        <v>-1007</v>
      </c>
      <c r="V70" s="46">
        <f>'Inputs (2)'!Q7</f>
        <v>-974</v>
      </c>
      <c r="W70" s="12">
        <f>'Inputs (2)'!R7</f>
        <v>-3972</v>
      </c>
      <c r="X70" s="46">
        <f>'Inputs (2)'!S7</f>
        <v>-997</v>
      </c>
      <c r="Y70" s="46">
        <f>'Inputs (2)'!T7</f>
        <v>-1020</v>
      </c>
      <c r="Z70" s="46">
        <f>'Inputs (2)'!U7</f>
        <v>-1041</v>
      </c>
      <c r="AA70" s="46">
        <f>'Inputs (2)'!V7</f>
        <v>-1041</v>
      </c>
      <c r="AB70" s="12">
        <f>'Inputs (2)'!W7</f>
        <v>-4099</v>
      </c>
      <c r="AC70" s="46">
        <f>'Inputs (2)'!X7</f>
        <v>-1061</v>
      </c>
      <c r="AD70" s="46">
        <f>'Inputs (2)'!Y7</f>
        <v>-1084</v>
      </c>
      <c r="AE70" s="46">
        <f>'Inputs (2)'!Z7</f>
        <v>-1099</v>
      </c>
      <c r="AF70" s="46">
        <f>'Inputs (2)'!AA7</f>
        <v>-1117</v>
      </c>
      <c r="AG70" s="12">
        <f>'Inputs (2)'!AB7</f>
        <v>-4361</v>
      </c>
      <c r="AH70" s="12">
        <f>'Inputs (2)'!AC7</f>
        <v>-1029</v>
      </c>
      <c r="AI70" s="12">
        <f>'Inputs (2)'!AD7</f>
        <v>-1040</v>
      </c>
      <c r="AJ70" s="12">
        <f>-AJ71*AJ15</f>
        <v>-1173.39793192138</v>
      </c>
      <c r="AK70" s="12">
        <f>-AK71*AK15</f>
        <v>-1173.957872964</v>
      </c>
      <c r="AL70" s="12">
        <f>SUM(AH70:AK70)</f>
        <v>-4416.35580488539</v>
      </c>
      <c r="AM70" s="12">
        <f>-AM71*AM15</f>
        <v>-1158.46617078489</v>
      </c>
      <c r="AN70" s="12">
        <f>-AN71*AN15</f>
        <v>-1161.69101641923</v>
      </c>
      <c r="AO70" s="12">
        <f>-AO71*AO15</f>
        <v>-1270.37589555621</v>
      </c>
      <c r="AP70" s="12">
        <f>-AP71*AP15</f>
        <v>-1270.98211411525</v>
      </c>
      <c r="AQ70" s="12">
        <f>SUM(AM70:AP70)</f>
        <v>-4861.51519687557</v>
      </c>
      <c r="AR70" s="12">
        <f>-AR71*AR15</f>
        <v>-1248.41773646109</v>
      </c>
      <c r="AS70" s="12">
        <f>-AS71*AS15</f>
        <v>-1251.89298208223</v>
      </c>
      <c r="AT70" s="12">
        <f>-AT71*AT15</f>
        <v>-1369.01692943739</v>
      </c>
      <c r="AU70" s="12">
        <f>-AU71*AU15</f>
        <v>-1369.67021912367</v>
      </c>
      <c r="AV70" s="12">
        <f>SUM(AR70:AU70)</f>
        <v>-5238.99786710438</v>
      </c>
      <c r="AW70" s="12">
        <f>-AW71*AW15</f>
        <v>-1339.11169377186</v>
      </c>
      <c r="AX70" s="12">
        <f>-AX71*AX15</f>
        <v>-1342.83940599036</v>
      </c>
      <c r="AY70" s="12">
        <f>-AY71*AY15</f>
        <v>-1468.47207119792</v>
      </c>
      <c r="AZ70" s="12">
        <f>-AZ71*AZ15</f>
        <v>-1469.17282050064</v>
      </c>
      <c r="BA70" s="12">
        <f>SUM(AW70:AZ70)</f>
        <v>-5619.59599146078</v>
      </c>
      <c r="BB70" s="12">
        <f>-BB71*BB15</f>
        <v>-1429.69874771891</v>
      </c>
      <c r="BC70" s="12">
        <f>-BC71*BC15</f>
        <v>-1433.67862894572</v>
      </c>
      <c r="BD70" s="12">
        <f>-BD71*BD15</f>
        <v>-1567.80998255515</v>
      </c>
      <c r="BE70" s="12">
        <f>-BE71*BE15</f>
        <v>-1568.5581355324</v>
      </c>
      <c r="BF70" s="12">
        <f>SUM(BB70:BE70)</f>
        <v>-5999.74549475218</v>
      </c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 customFormat="1" s="56">
      <c r="A71" s="53" t="n"/>
      <c r="B71" s="53" t="n"/>
      <c r="C71" s="54" t="inlineStr">
        <is>
          <t>% of Revenue</t>
        </is>
      </c>
      <c r="D71" s="53" t="n"/>
      <c r="E71" s="53" t="n"/>
      <c r="F71" s="53" t="n"/>
      <c r="G71" s="53" t="n"/>
      <c r="H71" s="53" t="n"/>
      <c r="I71" s="53">
        <f>IFERROR(-I70/I15,"")</f>
        <v>0.0107983360875264</v>
      </c>
      <c r="J71" s="53">
        <f>IFERROR(-J70/J15,"")</f>
        <v>0.0109084280927076</v>
      </c>
      <c r="K71" s="53">
        <f>IFERROR(-K70/K15,"")</f>
        <v>0.0110040504859201</v>
      </c>
      <c r="L71" s="53">
        <f>IFERROR(-L70/L15,"")</f>
        <v>0.0104552296489158</v>
      </c>
      <c r="M71" s="53" t="n"/>
      <c r="N71" s="53">
        <f>IFERROR(-N70/N15,"")</f>
        <v>0.00983168848020562</v>
      </c>
      <c r="O71" s="53">
        <f>IFERROR(-O70/O15,"")</f>
        <v>0.00998356819200319</v>
      </c>
      <c r="P71" s="53">
        <f>IFERROR(-P70/P15,"")</f>
        <v>0.0102356169802458</v>
      </c>
      <c r="Q71" s="53">
        <f>IFERROR(-Q70/Q15,"")</f>
        <v>0.0118617657361663</v>
      </c>
      <c r="R71" s="53" t="n"/>
      <c r="S71" s="53">
        <f>IFERROR(-S70/S15,"")</f>
        <v>0.0105513918047231</v>
      </c>
      <c r="T71" s="53">
        <f>IFERROR(-T70/T15,"")</f>
        <v>0.0109899572672572</v>
      </c>
      <c r="U71" s="53">
        <f>IFERROR(-U70/U15,"")</f>
        <v>0.010902870259092</v>
      </c>
      <c r="V71" s="53">
        <f>IFERROR(-V70/V15,"")</f>
        <v>0.0103148463892743</v>
      </c>
      <c r="W71" s="53" t="n"/>
      <c r="X71" s="53">
        <f>IFERROR(-X70/X15,"")</f>
        <v>0.00999038037596697</v>
      </c>
      <c r="Y71" s="53">
        <f>IFERROR(-Y70/Y15,"")</f>
        <v>0.0103181427343078</v>
      </c>
      <c r="Z71" s="53">
        <f>IFERROR(-Z70/Z15,"")</f>
        <v>0.0103253322753422</v>
      </c>
      <c r="AA71" s="53">
        <f>IFERROR(-AA70/AA15,"")</f>
        <v>0.0103266638229488</v>
      </c>
      <c r="AB71" s="53" t="n"/>
      <c r="AC71" s="53">
        <f>IFERROR(-AC70/AC15,"")</f>
        <v>0.0096828656171572</v>
      </c>
      <c r="AD71" s="53">
        <f>IFERROR(-AD70/AD15,"")</f>
        <v>0.00971186926605505</v>
      </c>
      <c r="AE71" s="53">
        <f>IFERROR(-AE70/AE15,"")</f>
        <v>0.00971182651266779</v>
      </c>
      <c r="AF71" s="55">
        <f>IFERROR(-AF70/AF15,"")</f>
        <v>0.00986618380956587</v>
      </c>
      <c r="AG71" s="53" t="n"/>
      <c r="AH71" s="55">
        <f>IFERROR(-AH70/AH15,"")</f>
        <v>0.00921044387357793</v>
      </c>
      <c r="AI71" s="55">
        <f>IFERROR(-AI70/AI15,"")</f>
        <v>0.00928306198229077</v>
      </c>
      <c r="AJ71" s="55">
        <f>Control!$B$21</f>
        <v>0.0095777085102191</v>
      </c>
      <c r="AK71" s="55">
        <f>Control!$B$21</f>
        <v>0.0095777085102191</v>
      </c>
      <c r="AL71" s="53" t="n"/>
      <c r="AM71" s="55">
        <f>Control!$C$21</f>
        <v>0.0095777085102191</v>
      </c>
      <c r="AN71" s="55">
        <f>Control!$C$21</f>
        <v>0.0095777085102191</v>
      </c>
      <c r="AO71" s="55">
        <f>Control!$C$21</f>
        <v>0.0095777085102191</v>
      </c>
      <c r="AP71" s="55">
        <f>Control!$C$21</f>
        <v>0.0095777085102191</v>
      </c>
      <c r="AQ71" s="53" t="n"/>
      <c r="AR71" s="55">
        <f>Control!$D$21</f>
        <v>0.0095777085102191</v>
      </c>
      <c r="AS71" s="55">
        <f>Control!$D$21</f>
        <v>0.0095777085102191</v>
      </c>
      <c r="AT71" s="55">
        <f>Control!$D$21</f>
        <v>0.0095777085102191</v>
      </c>
      <c r="AU71" s="55">
        <f>Control!$D$21</f>
        <v>0.0095777085102191</v>
      </c>
      <c r="AV71" s="53" t="n"/>
      <c r="AW71" s="55">
        <f>Control!$E$21</f>
        <v>0.0095777085102191</v>
      </c>
      <c r="AX71" s="55">
        <f>Control!$E$21</f>
        <v>0.0095777085102191</v>
      </c>
      <c r="AY71" s="55">
        <f>Control!$E$21</f>
        <v>0.0095777085102191</v>
      </c>
      <c r="AZ71" s="55">
        <f>Control!$E$21</f>
        <v>0.0095777085102191</v>
      </c>
      <c r="BA71" s="53" t="n"/>
      <c r="BB71" s="55">
        <f>Control!$F$21</f>
        <v>0.0095777085102191</v>
      </c>
      <c r="BC71" s="55">
        <f>Control!$F$21</f>
        <v>0.0095777085102191</v>
      </c>
      <c r="BD71" s="55">
        <f>Control!$F$21</f>
        <v>0.0095777085102191</v>
      </c>
      <c r="BE71" s="55">
        <f>Control!$F$21</f>
        <v>0.0095777085102191</v>
      </c>
      <c r="BF71" s="53" t="n"/>
      <c r="BG71" s="55" t="n"/>
      <c r="BH71" s="55" t="n"/>
      <c r="BI71" s="55" t="n"/>
      <c r="BJ71" s="55" t="n"/>
      <c r="BK71" s="53" t="n"/>
      <c r="BL71" s="55" t="n"/>
      <c r="BM71" s="55" t="n"/>
      <c r="BN71" s="55" t="n"/>
      <c r="BO71" s="55" t="n"/>
      <c r="BP71" s="53" t="n"/>
      <c r="BQ71" s="55" t="n"/>
      <c r="BR71" s="55" t="n"/>
      <c r="BS71" s="55" t="n"/>
      <c r="BT71" s="55" t="n"/>
      <c r="BU71" s="53" t="n"/>
      <c r="BV71" s="55" t="n"/>
      <c r="BW71" s="55" t="n"/>
      <c r="BX71" s="55" t="n"/>
      <c r="BY71" s="55" t="n"/>
      <c r="BZ71" s="53" t="n"/>
      <c r="CA71" s="55" t="n"/>
      <c r="CB71" s="55" t="n"/>
      <c r="CC71" s="55" t="n"/>
      <c r="CD71" s="55" t="n"/>
      <c r="CE71" s="53" t="n"/>
      <c r="CF71" s="55" t="n"/>
      <c r="CG71" s="55" t="n"/>
      <c r="CH71" s="55" t="n"/>
      <c r="CI71" s="55" t="n"/>
      <c r="CJ71" s="53" t="n"/>
      <c r="CK71" s="55" t="n"/>
      <c r="CL71" s="55" t="n"/>
      <c r="CM71" s="55" t="n"/>
      <c r="CN71" s="55" t="n"/>
      <c r="CO71" s="53" t="n"/>
      <c r="CP71" s="55" t="n"/>
      <c r="CQ71" s="55" t="n"/>
      <c r="CR71" s="55" t="n"/>
      <c r="CS71" s="55" t="n"/>
      <c r="CT71" s="53" t="n"/>
      <c r="CU71" s="55" t="n"/>
      <c r="CV71" s="55" t="n"/>
      <c r="CW71" s="55" t="n"/>
      <c r="CX71" s="55" t="n"/>
      <c r="CY71" s="53" t="n"/>
    </row>
    <row r="72" hidden="1" outlineLevel="1">
      <c r="C72" s="50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collapsed="1" customFormat="1" s="32">
      <c r="A73" s="30" t="n"/>
      <c r="B73" s="3" t="n"/>
      <c r="C73" s="33" t="inlineStr">
        <is>
          <t>Operating Profit - EBIT</t>
        </is>
      </c>
      <c r="D73" s="35" t="n"/>
      <c r="E73" s="35" t="n"/>
      <c r="F73" s="35" t="n"/>
      <c r="G73" s="35" t="n"/>
      <c r="H73" s="35" t="n"/>
      <c r="I73" s="35">
        <f>SUM(I69,I70)</f>
        <v>6739</v>
      </c>
      <c r="J73" s="35">
        <f>SUM(J69,J70)</f>
        <v>5978</v>
      </c>
      <c r="K73" s="35">
        <f>SUM(K69,K70)</f>
        <v>5712</v>
      </c>
      <c r="L73" s="35">
        <f>SUM(L69,L70)</f>
        <v>5541</v>
      </c>
      <c r="M73" s="35">
        <f>SUM(I73:L73)</f>
        <v>23970</v>
      </c>
      <c r="N73" s="35">
        <f>SUM(N69,N70)</f>
        <v>6950</v>
      </c>
      <c r="O73" s="35">
        <f>SUM(O69,O70)</f>
        <v>7132</v>
      </c>
      <c r="P73" s="35">
        <f>SUM(P69,P70)</f>
        <v>7462</v>
      </c>
      <c r="Q73" s="35">
        <f>SUM(Q69,Q70)</f>
        <v>6891</v>
      </c>
      <c r="R73" s="35">
        <f>SUM(N73:Q73)</f>
        <v>28435</v>
      </c>
      <c r="S73" s="35">
        <f>SUM(S69,S70)</f>
        <v>8086</v>
      </c>
      <c r="T73" s="35">
        <f>SUM(T69,T70)</f>
        <v>8057</v>
      </c>
      <c r="U73" s="35">
        <f>SUM(U69,U70)</f>
        <v>8526</v>
      </c>
      <c r="V73" s="35">
        <f>SUM(V69,V70)</f>
        <v>7689</v>
      </c>
      <c r="W73" s="35">
        <f>SUM(S73:V73)</f>
        <v>32358</v>
      </c>
      <c r="X73" s="35">
        <f>SUM(X69,X70)</f>
        <v>7931</v>
      </c>
      <c r="Y73" s="35">
        <f>SUM(Y69,Y70)</f>
        <v>7875</v>
      </c>
      <c r="Z73" s="35">
        <f>SUM(Z69,Z70)</f>
        <v>8708</v>
      </c>
      <c r="AA73" s="35">
        <f>SUM(AA69,AA70)</f>
        <v>7773</v>
      </c>
      <c r="AB73" s="35">
        <f>SUM(X73:AA73)</f>
        <v>32287</v>
      </c>
      <c r="AC73" s="35">
        <f>SUM(AC69,AC70)</f>
        <v>9119</v>
      </c>
      <c r="AD73" s="35">
        <f>SUM(AD69,AD70)</f>
        <v>5150</v>
      </c>
      <c r="AE73" s="35">
        <f>SUM(AE69,AE70)</f>
        <v>4315</v>
      </c>
      <c r="AF73" s="35">
        <f>SUM(AF69,AF70)</f>
        <v>380</v>
      </c>
      <c r="AG73" s="35">
        <f>SUM(AC73:AF73)</f>
        <v>18964</v>
      </c>
      <c r="AH73" s="35">
        <f>SUM(AH69,AH70)</f>
        <v>8990</v>
      </c>
      <c r="AI73" s="35">
        <f>SUM(AI69,AI70)</f>
        <v>7991</v>
      </c>
      <c r="AJ73" s="35">
        <f>SUM(AJ69,AJ70)</f>
        <v>6588.07763109049</v>
      </c>
      <c r="AK73" s="35">
        <f>SUM(AK69,AK70)</f>
        <v>6591.22143674862</v>
      </c>
      <c r="AL73" s="35">
        <f>SUM(AL69,AL70)</f>
        <v>30160.2990678391</v>
      </c>
      <c r="AM73" s="35">
        <f>SUM(AM69,AM70)</f>
        <v>6504.24281354053</v>
      </c>
      <c r="AN73" s="35">
        <f>SUM(AN69,AN70)</f>
        <v>6522.34880538639</v>
      </c>
      <c r="AO73" s="35">
        <f>SUM(AO69,AO70)</f>
        <v>7132.56329580026</v>
      </c>
      <c r="AP73" s="35">
        <f>SUM(AP69,AP70)</f>
        <v>7135.96692795245</v>
      </c>
      <c r="AQ73" s="35">
        <f>SUM(AQ69,AQ70)</f>
        <v>27295.1218426796</v>
      </c>
      <c r="AR73" s="35">
        <f>SUM(AR69,AR70)</f>
        <v>7009.27855767434</v>
      </c>
      <c r="AS73" s="35">
        <f>SUM(AS69,AS70)</f>
        <v>7028.79042770268</v>
      </c>
      <c r="AT73" s="35">
        <f>SUM(AT69,AT70)</f>
        <v>7686.38631793234</v>
      </c>
      <c r="AU73" s="35">
        <f>SUM(AU69,AU70)</f>
        <v>7690.05423233013</v>
      </c>
      <c r="AV73" s="35">
        <f>SUM(AV69,AV70)</f>
        <v>29414.5095356395</v>
      </c>
      <c r="AW73" s="35">
        <f>SUM(AW69,AW70)</f>
        <v>7518.48248174786</v>
      </c>
      <c r="AX73" s="35">
        <f>SUM(AX69,AX70)</f>
        <v>7539.41183300522</v>
      </c>
      <c r="AY73" s="35">
        <f>SUM(AY69,AY70)</f>
        <v>8244.7801729962</v>
      </c>
      <c r="AZ73" s="35">
        <f>SUM(AZ69,AZ70)</f>
        <v>8248.71455082373</v>
      </c>
      <c r="BA73" s="35">
        <f>SUM(BA69,BA70)</f>
        <v>31551.389038573</v>
      </c>
      <c r="BB73" s="35">
        <f>SUM(BB69,BB70)</f>
        <v>8027.08619370236</v>
      </c>
      <c r="BC73" s="35">
        <f>SUM(BC69,BC70)</f>
        <v>8049.43135536616</v>
      </c>
      <c r="BD73" s="35">
        <f>SUM(BD69,BD70)</f>
        <v>8802.51583446972</v>
      </c>
      <c r="BE73" s="35">
        <f>SUM(BE69,BE70)</f>
        <v>8806.71636163953</v>
      </c>
      <c r="BF73" s="35">
        <f>SUM(BF69,BF70)</f>
        <v>33685.7497451778</v>
      </c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  <c r="CO73" s="35" t="n"/>
      <c r="CP73" s="35" t="n"/>
      <c r="CQ73" s="35" t="n"/>
      <c r="CR73" s="35" t="n"/>
      <c r="CS73" s="35" t="n"/>
      <c r="CT73" s="35" t="n"/>
      <c r="CU73" s="35" t="n"/>
      <c r="CV73" s="35" t="n"/>
      <c r="CW73" s="35" t="n"/>
      <c r="CX73" s="35" t="n"/>
      <c r="CY73" s="35" t="n"/>
    </row>
    <row r="74">
      <c r="C74" s="14" t="inlineStr">
        <is>
          <t>Interest Expense</t>
        </is>
      </c>
      <c r="D74" s="46" t="n"/>
      <c r="E74" s="46" t="n"/>
      <c r="F74" s="46" t="n"/>
      <c r="G74" s="46" t="n"/>
      <c r="H74" s="12" t="n"/>
      <c r="I74" s="46">
        <f>'Inputs (2)'!D8</f>
        <v>-397</v>
      </c>
      <c r="J74" s="46">
        <f>'Inputs (2)'!E8</f>
        <v>-410</v>
      </c>
      <c r="K74" s="46">
        <f>'Inputs (2)'!F8</f>
        <v>-422</v>
      </c>
      <c r="L74" s="46">
        <f>'Inputs (2)'!G8</f>
        <v>-431</v>
      </c>
      <c r="M74" s="12">
        <f>'Inputs (2)'!H8</f>
        <v>-1660</v>
      </c>
      <c r="N74" s="46">
        <f>'Inputs (2)'!I8</f>
        <v>-433</v>
      </c>
      <c r="O74" s="46">
        <f>'Inputs (2)'!J8</f>
        <v>-467</v>
      </c>
      <c r="P74" s="46">
        <f>'Inputs (2)'!K8</f>
        <v>-516</v>
      </c>
      <c r="Q74" s="46">
        <f>'Inputs (2)'!L8</f>
        <v>-676</v>
      </c>
      <c r="R74" s="12">
        <f>'Inputs (2)'!M8</f>
        <v>-2092</v>
      </c>
      <c r="S74" s="46">
        <f>'Inputs (2)'!N8</f>
        <v>-754</v>
      </c>
      <c r="T74" s="46">
        <f>'Inputs (2)'!O8</f>
        <v>-828</v>
      </c>
      <c r="U74" s="46">
        <f>'Inputs (2)'!P8</f>
        <v>-834</v>
      </c>
      <c r="V74" s="46">
        <f>'Inputs (2)'!Q8</f>
        <v>-830</v>
      </c>
      <c r="W74" s="12">
        <f>'Inputs (2)'!R8</f>
        <v>-3246</v>
      </c>
      <c r="X74" s="46">
        <f>'Inputs (2)'!S8</f>
        <v>-844</v>
      </c>
      <c r="Y74" s="46">
        <f>'Inputs (2)'!T8</f>
        <v>-985</v>
      </c>
      <c r="Z74" s="46">
        <f>'Inputs (2)'!U8</f>
        <v>-1074</v>
      </c>
      <c r="AA74" s="46">
        <f>'Inputs (2)'!V8</f>
        <v>-1003</v>
      </c>
      <c r="AB74" s="12">
        <f>'Inputs (2)'!W8</f>
        <v>-3906</v>
      </c>
      <c r="AC74" s="46">
        <f>'Inputs (2)'!X8</f>
        <v>-998</v>
      </c>
      <c r="AD74" s="46">
        <f>'Inputs (2)'!Y8</f>
        <v>-1027</v>
      </c>
      <c r="AE74" s="46">
        <f>'Inputs (2)'!Z8</f>
        <v>-1003</v>
      </c>
      <c r="AF74" s="46">
        <f>'Inputs (2)'!AA8</f>
        <v>-974</v>
      </c>
      <c r="AG74" s="12">
        <f>'Inputs (2)'!AB8</f>
        <v>-4002</v>
      </c>
      <c r="AH74" s="12">
        <f>'Inputs (2)'!AC8</f>
        <v>-955</v>
      </c>
      <c r="AI74" s="12">
        <f>'Inputs (2)'!AD8</f>
        <v>-962</v>
      </c>
      <c r="AJ74" s="12" t="str">
        <f>IF(Control!$E$9="","",-AI92*Control!$E$9/4)</f>
        <v/>
      </c>
      <c r="AK74" s="12" t="str">
        <f>IF(Control!$E$9="","",-AJ92*Control!$E$9/4)</f>
        <v/>
      </c>
      <c r="AL74" s="12">
        <f>SUM(AH74:AK74)</f>
        <v>-1917</v>
      </c>
      <c r="AM74" s="12" t="str">
        <f>IF(Control!$E$9="","",-AL92*Control!$E$9/4)</f>
        <v/>
      </c>
      <c r="AN74" s="12" t="str">
        <f>IF(Control!$E$9="","",-AM92*Control!$E$9/4)</f>
        <v/>
      </c>
      <c r="AO74" s="12" t="str">
        <f>IF(Control!$E$9="","",-AN92*Control!$E$9/4)</f>
        <v/>
      </c>
      <c r="AP74" s="12" t="str">
        <f>IF(Control!$E$9="","",-AO92*Control!$E$9/4)</f>
        <v/>
      </c>
      <c r="AQ74" s="12">
        <f>SUM(AM74:AP74)</f>
        <v>0</v>
      </c>
      <c r="AR74" s="12" t="str">
        <f>IF(Control!$E$9="","",-AQ92*Control!$E$9/4)</f>
        <v/>
      </c>
      <c r="AS74" s="12" t="str">
        <f>IF(Control!$E$9="","",-AR92*Control!$E$9/4)</f>
        <v/>
      </c>
      <c r="AT74" s="12" t="str">
        <f>IF(Control!$E$9="","",-AS92*Control!$E$9/4)</f>
        <v/>
      </c>
      <c r="AU74" s="12" t="str">
        <f>IF(Control!$E$9="","",-AT92*Control!$E$9/4)</f>
        <v/>
      </c>
      <c r="AV74" s="12">
        <f>SUM(AR74:AU74)</f>
        <v>0</v>
      </c>
      <c r="AW74" s="12" t="str">
        <f>IF(Control!$E$9="","",-AV92*Control!$E$9/4)</f>
        <v/>
      </c>
      <c r="AX74" s="12" t="str">
        <f>IF(Control!$E$9="","",-AW92*Control!$E$9/4)</f>
        <v/>
      </c>
      <c r="AY74" s="12" t="str">
        <f>IF(Control!$E$9="","",-AX92*Control!$E$9/4)</f>
        <v/>
      </c>
      <c r="AZ74" s="12" t="str">
        <f>IF(Control!$E$9="","",-AY92*Control!$E$9/4)</f>
        <v/>
      </c>
      <c r="BA74" s="12">
        <f>SUM(AW74:AZ74)</f>
        <v>0</v>
      </c>
      <c r="BB74" s="12" t="str">
        <f>IF(Control!$E$9="","",-BA92*Control!$E$9/4)</f>
        <v/>
      </c>
      <c r="BC74" s="12" t="str">
        <f>IF(Control!$E$9="","",-BB92*Control!$E$9/4)</f>
        <v/>
      </c>
      <c r="BD74" s="12" t="str">
        <f>IF(Control!$E$9="","",-BC92*Control!$E$9/4)</f>
        <v/>
      </c>
      <c r="BE74" s="12" t="str">
        <f>IF(Control!$E$9="","",-BD92*Control!$E$9/4)</f>
        <v/>
      </c>
      <c r="BF74" s="12">
        <f>SUM(BB74:BE74)</f>
        <v>0</v>
      </c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0" t="inlineStr">
        <is>
          <t>% of Debt</t>
        </is>
      </c>
      <c r="D75" s="53" t="n"/>
      <c r="E75" s="53" t="n"/>
      <c r="F75" s="53" t="n"/>
      <c r="G75" s="53" t="n"/>
      <c r="H75" s="12" t="n"/>
      <c r="I75" s="53">
        <f>IFERROR(-I74/SUM(I212+I217),"")</f>
        <v>0.00858229927796273</v>
      </c>
      <c r="J75" s="53">
        <f>IFERROR(-J74/SUM(J212+J217),"")</f>
        <v>0.00850340136054422</v>
      </c>
      <c r="K75" s="53">
        <f>IFERROR(-K74/SUM(K212+K217),"")</f>
        <v>0.00898541467049931</v>
      </c>
      <c r="L75" s="53">
        <f>IFERROR(-L74/SUM(L212+L217),"")</f>
        <v>0.00936895419863922</v>
      </c>
      <c r="M75" s="12" t="n"/>
      <c r="N75" s="53">
        <f>IFERROR(-N74/SUM(N212+N217),"")</f>
        <v>0.00911713305118649</v>
      </c>
      <c r="O75" s="53">
        <f>IFERROR(-O74/SUM(O212+O217),"")</f>
        <v>0.00908719425580355</v>
      </c>
      <c r="P75" s="53">
        <f>IFERROR(-P74/SUM(P212+P217),"")</f>
        <v>0.0106026671050198</v>
      </c>
      <c r="Q75" s="53">
        <f>IFERROR(-Q74/SUM(Q212+Q217),"")</f>
        <v>0.0117314266872603</v>
      </c>
      <c r="R75" s="12" t="n"/>
      <c r="S75" s="53">
        <f>IFERROR(-S74/SUM(S212+S217),"")</f>
        <v>0.0106817022723409</v>
      </c>
      <c r="T75" s="53">
        <f>IFERROR(-T74/SUM(T212+T217),"")</f>
        <v>0.012624068060193</v>
      </c>
      <c r="U75" s="53">
        <f>IFERROR(-U74/SUM(U212+U217),"")</f>
        <v>0.0131610093263268</v>
      </c>
      <c r="V75" s="53">
        <f>IFERROR(-V74/SUM(V212+V217),"")</f>
        <v>0.0132721428914083</v>
      </c>
      <c r="W75" s="12" t="n"/>
      <c r="X75" s="53">
        <f>IFERROR(-X74/SUM(X212+X217),"")</f>
        <v>0.0114616293439439</v>
      </c>
      <c r="Y75" s="53">
        <f>IFERROR(-Y74/SUM(Y212+Y217),"")</f>
        <v>0.013116194838744</v>
      </c>
      <c r="Z75" s="53">
        <f>IFERROR(-Z74/SUM(Z212+Z217),"")</f>
        <v>0.0137674657095244</v>
      </c>
      <c r="AA75" s="53">
        <f>IFERROR(-AA74/SUM(AA212+AA217),"")</f>
        <v>0.0130422344741496</v>
      </c>
      <c r="AB75" s="12" t="n"/>
      <c r="AC75" s="53">
        <f>IFERROR(-AC74/SUM(AC212+AC217),"")</f>
        <v>0.0122799030404449</v>
      </c>
      <c r="AD75" s="53">
        <f>IFERROR(-AD74/SUM(AD212+AD217),"")</f>
        <v>0.0129683179068857</v>
      </c>
      <c r="AE75" s="53">
        <f>IFERROR(-AE74/SUM(AE212+AE217),"")</f>
        <v>0.0125162224218828</v>
      </c>
      <c r="AF75" s="55">
        <f>IFERROR(-AF74/SUM(AF212+AF217),"")</f>
        <v>0.0124252127211726</v>
      </c>
      <c r="AG75" s="12" t="n"/>
      <c r="AH75" s="11">
        <f>IFERROR(-AH74/SUM(AH212+AH217),"")</f>
        <v>0.0122566320571891</v>
      </c>
      <c r="AI75" s="11">
        <f>IFERROR(-AI74/SUM(AI212+AI217),"")</f>
        <v>0.0131191359371591</v>
      </c>
      <c r="AJ75" s="11" t="str">
        <f>IFERROR(Control!$E$9,0)</f>
        <v/>
      </c>
      <c r="AK75" s="11" t="str">
        <f>IFERROR(Control!$E$9,0)</f>
        <v/>
      </c>
      <c r="AL75" s="12" t="n"/>
      <c r="AM75" s="11" t="str">
        <f>IFERROR(Control!$E$9,0)</f>
        <v/>
      </c>
      <c r="AN75" s="11" t="str">
        <f>IFERROR(Control!$E$9,0)</f>
        <v/>
      </c>
      <c r="AO75" s="11" t="str">
        <f>IFERROR(Control!$E$9,0)</f>
        <v/>
      </c>
      <c r="AP75" s="11" t="str">
        <f>IFERROR(Control!$E$9,0)</f>
        <v/>
      </c>
      <c r="AQ75" s="12" t="n"/>
      <c r="AR75" s="11" t="str">
        <f>IFERROR(Control!$E$9,0)</f>
        <v/>
      </c>
      <c r="AS75" s="11" t="str">
        <f>IFERROR(Control!$E$9,0)</f>
        <v/>
      </c>
      <c r="AT75" s="11" t="str">
        <f>IFERROR(Control!$E$9,0)</f>
        <v/>
      </c>
      <c r="AU75" s="11" t="str">
        <f>IFERROR(Control!$E$9,0)</f>
        <v/>
      </c>
      <c r="AV75" s="12" t="n"/>
      <c r="AW75" s="11" t="str">
        <f>IFERROR(Control!$E$9,0)</f>
        <v/>
      </c>
      <c r="AX75" s="11" t="str">
        <f>IFERROR(Control!$E$9,0)</f>
        <v/>
      </c>
      <c r="AY75" s="11" t="str">
        <f>IFERROR(Control!$E$9,0)</f>
        <v/>
      </c>
      <c r="AZ75" s="11" t="str">
        <f>IFERROR(Control!$E$9,0)</f>
        <v/>
      </c>
      <c r="BA75" s="12" t="n"/>
      <c r="BB75" s="11" t="str">
        <f>IFERROR(Control!$E$9,0)</f>
        <v/>
      </c>
      <c r="BC75" s="11" t="str">
        <f>IFERROR(Control!$E$9,0)</f>
        <v/>
      </c>
      <c r="BD75" s="11" t="str">
        <f>IFERROR(Control!$E$9,0)</f>
        <v/>
      </c>
      <c r="BE75" s="11" t="str">
        <f>IFERROR(Control!$E$9,0)</f>
        <v/>
      </c>
      <c r="BF75" s="12" t="n"/>
      <c r="BG75" s="11" t="n"/>
      <c r="BH75" s="11" t="n"/>
      <c r="BI75" s="11" t="n"/>
      <c r="BJ75" s="11" t="n"/>
      <c r="BK75" s="12" t="n"/>
      <c r="BL75" s="11" t="n"/>
      <c r="BM75" s="11" t="n"/>
      <c r="BN75" s="11" t="n"/>
      <c r="BO75" s="11" t="n"/>
      <c r="BP75" s="12" t="n"/>
      <c r="BQ75" s="11" t="n"/>
      <c r="BR75" s="11" t="n"/>
      <c r="BS75" s="11" t="n"/>
      <c r="BT75" s="11" t="n"/>
      <c r="BU75" s="12" t="n"/>
      <c r="BV75" s="11" t="n"/>
      <c r="BW75" s="11" t="n"/>
      <c r="BX75" s="11" t="n"/>
      <c r="BY75" s="11" t="n"/>
      <c r="BZ75" s="12" t="n"/>
      <c r="CA75" s="11" t="n"/>
      <c r="CB75" s="11" t="n"/>
      <c r="CC75" s="11" t="n"/>
      <c r="CD75" s="11" t="n"/>
      <c r="CE75" s="12" t="n"/>
      <c r="CF75" s="11" t="n"/>
      <c r="CG75" s="11" t="n"/>
      <c r="CH75" s="11" t="n"/>
      <c r="CI75" s="11" t="n"/>
      <c r="CJ75" s="12" t="n"/>
      <c r="CK75" s="11" t="n"/>
      <c r="CL75" s="11" t="n"/>
      <c r="CM75" s="11" t="n"/>
      <c r="CN75" s="11" t="n"/>
      <c r="CO75" s="12" t="n"/>
      <c r="CP75" s="11" t="n"/>
      <c r="CQ75" s="11" t="n"/>
      <c r="CR75" s="11" t="n"/>
      <c r="CS75" s="11" t="n"/>
      <c r="CT75" s="12" t="n"/>
      <c r="CU75" s="11" t="n"/>
      <c r="CV75" s="11" t="n"/>
      <c r="CW75" s="11" t="n"/>
      <c r="CX75" s="11" t="n"/>
      <c r="CY75" s="12" t="n"/>
    </row>
    <row r="76" hidden="1" outlineLevel="1">
      <c r="C76" s="50" t="inlineStr">
        <is>
          <t>%CDI</t>
        </is>
      </c>
      <c r="D76" s="11" t="n"/>
      <c r="E76" s="11" t="n"/>
      <c r="F76" s="11" t="n"/>
      <c r="G76" s="11" t="n"/>
      <c r="H76" s="12" t="n"/>
      <c r="I76" s="11" t="n"/>
      <c r="J76" s="11" t="n"/>
      <c r="K76" s="11" t="n"/>
      <c r="L76" s="11" t="n"/>
      <c r="M76" s="12" t="n"/>
      <c r="N76" s="11" t="n"/>
      <c r="O76" s="11" t="n"/>
      <c r="P76" s="11" t="n"/>
      <c r="Q76" s="11" t="n"/>
      <c r="R76" s="12" t="n"/>
      <c r="S76" s="11" t="n"/>
      <c r="T76" s="11" t="n"/>
      <c r="U76" s="11" t="n"/>
      <c r="V76" s="11" t="n"/>
      <c r="W76" s="12" t="n"/>
      <c r="X76" s="11" t="n"/>
      <c r="Y76" s="11" t="n"/>
      <c r="Z76" s="11" t="n"/>
      <c r="AA76" s="11" t="n"/>
      <c r="AB76" s="12" t="n"/>
      <c r="AC76" s="11" t="n"/>
      <c r="AD76" s="11" t="n"/>
      <c r="AE76" s="11" t="n"/>
      <c r="AF76" s="11" t="n"/>
      <c r="AG76" s="12" t="n"/>
      <c r="AH76" s="11" t="n"/>
      <c r="AI76" s="11" t="n"/>
      <c r="AJ76" s="11" t="n"/>
      <c r="AK76" s="11" t="n"/>
      <c r="AL76" s="12" t="n"/>
      <c r="AM76" s="11" t="n"/>
      <c r="AN76" s="11" t="n"/>
      <c r="AO76" s="11" t="n"/>
      <c r="AP76" s="11" t="n"/>
      <c r="AQ76" s="12" t="n"/>
      <c r="AR76" s="11" t="n"/>
      <c r="AS76" s="11" t="n"/>
      <c r="AT76" s="11" t="n"/>
      <c r="AU76" s="11" t="n"/>
      <c r="AV76" s="12" t="n"/>
      <c r="AW76" s="11" t="n"/>
      <c r="AX76" s="11" t="n"/>
      <c r="AY76" s="11" t="n"/>
      <c r="AZ76" s="11" t="n"/>
      <c r="BA76" s="12" t="n"/>
      <c r="BB76" s="11" t="n"/>
      <c r="BC76" s="11" t="n"/>
      <c r="BD76" s="11" t="n"/>
      <c r="BE76" s="11" t="n"/>
      <c r="BF76" s="12" t="n"/>
      <c r="BG76" s="11" t="n"/>
      <c r="BH76" s="11" t="n"/>
      <c r="BI76" s="11" t="n"/>
      <c r="BJ76" s="11" t="n"/>
      <c r="BK76" s="12" t="n"/>
      <c r="BL76" s="11" t="n"/>
      <c r="BM76" s="11" t="n"/>
      <c r="BN76" s="11" t="n"/>
      <c r="BO76" s="11" t="n"/>
      <c r="BP76" s="12" t="n"/>
      <c r="BQ76" s="11" t="n"/>
      <c r="BR76" s="11" t="n"/>
      <c r="BS76" s="11" t="n"/>
      <c r="BT76" s="11" t="n"/>
      <c r="BU76" s="12" t="n"/>
      <c r="BV76" s="11" t="n"/>
      <c r="BW76" s="11" t="n"/>
      <c r="BX76" s="11" t="n"/>
      <c r="BY76" s="11" t="n"/>
      <c r="BZ76" s="12" t="n"/>
      <c r="CA76" s="11" t="n"/>
      <c r="CB76" s="11" t="n"/>
      <c r="CC76" s="11" t="n"/>
      <c r="CD76" s="11" t="n"/>
      <c r="CE76" s="12" t="n"/>
      <c r="CF76" s="11" t="n"/>
      <c r="CG76" s="11" t="n"/>
      <c r="CH76" s="11" t="n"/>
      <c r="CI76" s="11" t="n"/>
      <c r="CJ76" s="12" t="n"/>
      <c r="CK76" s="11" t="n"/>
      <c r="CL76" s="11" t="n"/>
      <c r="CM76" s="11" t="n"/>
      <c r="CN76" s="11" t="n"/>
      <c r="CO76" s="12" t="n"/>
      <c r="CP76" s="11" t="n"/>
      <c r="CQ76" s="11" t="n"/>
      <c r="CR76" s="11" t="n"/>
      <c r="CS76" s="11" t="n"/>
      <c r="CT76" s="12" t="n"/>
      <c r="CU76" s="11" t="n"/>
      <c r="CV76" s="11" t="n"/>
      <c r="CW76" s="11" t="n"/>
      <c r="CX76" s="11" t="n"/>
      <c r="CY76" s="12" t="n"/>
    </row>
    <row r="77" hidden="1" outlineLevel="1">
      <c r="C77" s="57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RECEITA FINANCEIRA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DESPESA FINANCEIRA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OUTROS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Cash and equivalents (inc. investment securities)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Interest on cash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Average interest rate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% CDI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Current portion of long-term debt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Short term debt (Revolving credit facility)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Long term debt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Convertible debt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Total debt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Interest expense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Average interest rate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Stake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PRE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CDI+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Spread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PRE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CDI+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RECEITAS FINANCEIRAS - Rendimentos de aplicações financeiras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RECEITAS FINANCEIRAS - Variação cambial ativa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RECEITAS FINANCEIRAS - Atualização de contas a pagar por aquisição de empresas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RECEITAS FINANCEIRAS - Resultado positivo com instrumentos derivativos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RECEITAS FINANCEIRAS - Descontos obtidos de fornecedores por antecipação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RECEITAS FINANCEIRAS - Atualização monetária sobre Exclusão ICMS da base de PIS/COFINS (nota explicativa nº 7)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inlineStr">
        <is>
          <t>RECEITAS FINANCEIRAS - Outras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DESPESAS FINANCEIRAS - Encargos sobre empréstimos, financiamentos e debêntures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DESPESAS FINANCEIRAS - Variação cambial passiva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inlineStr">
        <is>
          <t>DESPESAS FINANCEIRAS - Resultado negativo com instrumentos derivativos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DESPESAS FINANCEIRAS - Juros sobre arrendamento - IFRS16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inlineStr">
        <is>
          <t>DESPESAS FINANCEIRAS - Despesas bancárias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inlineStr">
        <is>
          <t>DESPESAS FINANCEIRAS - Despesas com obtenção de empréstimos e financiamentos</t>
        </is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DESPESAS FINANCEIRAS - Atualização de contas a pagar por aquisição de empresas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inlineStr">
        <is>
          <t>DESPESAS FINANCEIRAS - Outras</t>
        </is>
      </c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7" t="inlineStr">
        <is>
          <t>CHECK [EX IFRS-16]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Nonoperating Income / (Loss)</t>
        </is>
      </c>
      <c r="D123" s="46" t="n"/>
      <c r="E123" s="46" t="n"/>
      <c r="F123" s="46" t="n"/>
      <c r="G123" s="46" t="n"/>
      <c r="H123" s="12" t="n"/>
      <c r="I123" s="46">
        <f>'Inputs (2)'!D9</f>
        <v>0</v>
      </c>
      <c r="J123" s="46">
        <f>'Inputs (2)'!E9</f>
        <v>0</v>
      </c>
      <c r="K123" s="46">
        <f>'Inputs (2)'!F9</f>
        <v>0</v>
      </c>
      <c r="L123" s="46">
        <f>'Inputs (2)'!G9</f>
        <v>0</v>
      </c>
      <c r="M123" s="12">
        <f>'Inputs (2)'!H9</f>
        <v>0</v>
      </c>
      <c r="N123" s="46">
        <f>'Inputs (2)'!I9</f>
        <v>0</v>
      </c>
      <c r="O123" s="46">
        <f>'Inputs (2)'!J9</f>
        <v>0</v>
      </c>
      <c r="P123" s="46">
        <f>'Inputs (2)'!K9</f>
        <v>0</v>
      </c>
      <c r="Q123" s="46">
        <f>'Inputs (2)'!L9</f>
        <v>0</v>
      </c>
      <c r="R123" s="12">
        <f>'Inputs (2)'!M9</f>
        <v>0</v>
      </c>
      <c r="S123" s="46">
        <f>'Inputs (2)'!N9</f>
        <v>0</v>
      </c>
      <c r="T123" s="46">
        <f>'Inputs (2)'!O9</f>
        <v>0</v>
      </c>
      <c r="U123" s="46">
        <f>'Inputs (2)'!P9</f>
        <v>0</v>
      </c>
      <c r="V123" s="46">
        <f>'Inputs (2)'!Q9</f>
        <v>0</v>
      </c>
      <c r="W123" s="12">
        <f>'Inputs (2)'!R9</f>
        <v>0</v>
      </c>
      <c r="X123" s="46">
        <f>'Inputs (2)'!S9</f>
        <v>-7086</v>
      </c>
      <c r="Y123" s="46">
        <f>'Inputs (2)'!T9</f>
        <v>-1225</v>
      </c>
      <c r="Z123" s="46">
        <f>'Inputs (2)'!U9</f>
        <v>-20</v>
      </c>
      <c r="AA123" s="46">
        <f>'Inputs (2)'!V9</f>
        <v>21</v>
      </c>
      <c r="AB123" s="12">
        <f>'Inputs (2)'!W9</f>
        <v>-8310</v>
      </c>
      <c r="AC123" s="46">
        <f>'Inputs (2)'!X9</f>
        <v>-15</v>
      </c>
      <c r="AD123" s="46">
        <f>'Inputs (2)'!Y9</f>
        <v>-41</v>
      </c>
      <c r="AE123" s="46">
        <f>'Inputs (2)'!Z9</f>
        <v>-83</v>
      </c>
      <c r="AF123" s="46">
        <f>'Inputs (2)'!AA9</f>
        <v>-126</v>
      </c>
      <c r="AG123" s="12">
        <f>'Inputs (2)'!AB9</f>
        <v>-265</v>
      </c>
      <c r="AH123" s="12">
        <f>'Inputs (2)'!AC9</f>
        <v>-72</v>
      </c>
      <c r="AI123" s="12">
        <f>'Inputs (2)'!AD9</f>
        <v>-61</v>
      </c>
      <c r="AJ123" s="12">
        <f>AJ15*Control!$B$23</f>
        <v>-72.6335362994596</v>
      </c>
      <c r="AK123" s="12">
        <f>AK15*Control!$B$23</f>
        <v>-72.6681967474953</v>
      </c>
      <c r="AL123" s="12">
        <f>SUM(AH123:AK123)</f>
        <v>-278.301733046955</v>
      </c>
      <c r="AM123" s="12">
        <f>AM15*Control!$C$23</f>
        <v>-71.7092576851735</v>
      </c>
      <c r="AN123" s="12">
        <f>AN15*Control!$C$23</f>
        <v>-71.9088761914534</v>
      </c>
      <c r="AO123" s="12">
        <f>AO15*Control!$C$23</f>
        <v>-78.6364891343803</v>
      </c>
      <c r="AP123" s="12">
        <f>AP15*Control!$C$23</f>
        <v>-78.6740141687407</v>
      </c>
      <c r="AQ123" s="12">
        <f>SUM(AM123:AP123)</f>
        <v>-300.928637179748</v>
      </c>
      <c r="AR123" s="12">
        <f>AR15*Control!$D$23</f>
        <v>-77.2772752630106</v>
      </c>
      <c r="AS123" s="12">
        <f>AS15*Control!$D$23</f>
        <v>-77.4923935720733</v>
      </c>
      <c r="AT123" s="12">
        <f>AT15*Control!$D$23</f>
        <v>-84.7423863071263</v>
      </c>
      <c r="AU123" s="12">
        <f>AU15*Control!$D$23</f>
        <v>-84.782825052459</v>
      </c>
      <c r="AV123" s="12">
        <f>SUM(AR123:AU123)</f>
        <v>-324.294880194669</v>
      </c>
      <c r="AW123" s="12">
        <f>AW15*Control!$E$23</f>
        <v>-82.891247012293</v>
      </c>
      <c r="AX123" s="12">
        <f>AX15*Control!$E$23</f>
        <v>-83.1219930476921</v>
      </c>
      <c r="AY123" s="12">
        <f>AY15*Control!$E$23</f>
        <v>-90.8986768993582</v>
      </c>
      <c r="AZ123" s="12">
        <f>AZ15*Control!$E$23</f>
        <v>-90.9420534032117</v>
      </c>
      <c r="BA123" s="12">
        <f>SUM(AW123:AZ123)</f>
        <v>-347.853970362555</v>
      </c>
      <c r="BB123" s="12">
        <f>BB15*Control!$F$23</f>
        <v>-88.4986014247473</v>
      </c>
      <c r="BC123" s="12">
        <f>BC15*Control!$F$23</f>
        <v>-88.7449567656688</v>
      </c>
      <c r="BD123" s="12">
        <f>BD15*Control!$F$23</f>
        <v>-97.0477109092131</v>
      </c>
      <c r="BE123" s="12">
        <f>BE15*Control!$F$23</f>
        <v>-97.0940217087739</v>
      </c>
      <c r="BF123" s="12">
        <f>SUM(BB123:BE123)</f>
        <v>-371.385290808403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0" t="inlineStr">
        <is>
          <t>Resultado Não Recorrente</t>
        </is>
      </c>
      <c r="D125" s="11" t="n"/>
      <c r="E125" s="11" t="n"/>
      <c r="F125" s="11" t="n"/>
      <c r="G125" s="11" t="n"/>
      <c r="H125" s="12" t="n"/>
      <c r="I125" s="11" t="n"/>
      <c r="J125" s="11" t="n"/>
      <c r="K125" s="11" t="n"/>
      <c r="L125" s="11" t="n"/>
      <c r="M125" s="12" t="n"/>
      <c r="N125" s="11" t="n"/>
      <c r="O125" s="11" t="n"/>
      <c r="P125" s="11" t="n"/>
      <c r="Q125" s="11" t="n"/>
      <c r="R125" s="12" t="n"/>
      <c r="S125" s="11" t="n"/>
      <c r="T125" s="11" t="n"/>
      <c r="U125" s="11" t="n"/>
      <c r="V125" s="11" t="n"/>
      <c r="W125" s="12" t="n"/>
      <c r="X125" s="11" t="n"/>
      <c r="Y125" s="11" t="n"/>
      <c r="Z125" s="11" t="n"/>
      <c r="AA125" s="11" t="n"/>
      <c r="AB125" s="12" t="n"/>
      <c r="AC125" s="11" t="n"/>
      <c r="AD125" s="11" t="n"/>
      <c r="AE125" s="11" t="n"/>
      <c r="AF125" s="11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0" t="inlineStr">
        <is>
          <t>Plano de Opção de Compra de Ações</t>
        </is>
      </c>
      <c r="D126" s="11" t="n"/>
      <c r="E126" s="11" t="n"/>
      <c r="F126" s="11" t="n"/>
      <c r="G126" s="11" t="n"/>
      <c r="H126" s="12" t="n"/>
      <c r="I126" s="11" t="n"/>
      <c r="J126" s="11" t="n"/>
      <c r="K126" s="11" t="n"/>
      <c r="L126" s="11" t="n"/>
      <c r="M126" s="12" t="n"/>
      <c r="N126" s="11" t="n"/>
      <c r="O126" s="11" t="n"/>
      <c r="P126" s="11" t="n"/>
      <c r="Q126" s="11" t="n"/>
      <c r="R126" s="12" t="n"/>
      <c r="S126" s="11" t="n"/>
      <c r="T126" s="11" t="n"/>
      <c r="U126" s="11" t="n"/>
      <c r="V126" s="11" t="n"/>
      <c r="W126" s="12" t="n"/>
      <c r="X126" s="11" t="n"/>
      <c r="Y126" s="11" t="n"/>
      <c r="Z126" s="11" t="n"/>
      <c r="AA126" s="11" t="n"/>
      <c r="AB126" s="12" t="n"/>
      <c r="AC126" s="11" t="n"/>
      <c r="AD126" s="11" t="n"/>
      <c r="AE126" s="11" t="n"/>
      <c r="AF126" s="11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0" t="inlineStr">
        <is>
          <t>Baixa Imobilizado</t>
        </is>
      </c>
      <c r="D127" s="11" t="n"/>
      <c r="E127" s="11" t="n"/>
      <c r="F127" s="11" t="n"/>
      <c r="G127" s="11" t="n"/>
      <c r="H127" s="12" t="n"/>
      <c r="I127" s="11" t="n"/>
      <c r="J127" s="11" t="n"/>
      <c r="K127" s="11" t="n"/>
      <c r="L127" s="11" t="n"/>
      <c r="M127" s="12" t="n"/>
      <c r="N127" s="11" t="n"/>
      <c r="O127" s="11" t="n"/>
      <c r="P127" s="11" t="n"/>
      <c r="Q127" s="11" t="n"/>
      <c r="R127" s="12" t="n"/>
      <c r="S127" s="11" t="n"/>
      <c r="T127" s="11" t="n"/>
      <c r="U127" s="11" t="n"/>
      <c r="V127" s="11" t="n"/>
      <c r="W127" s="12" t="n"/>
      <c r="X127" s="11" t="n"/>
      <c r="Y127" s="11" t="n"/>
      <c r="Z127" s="11" t="n"/>
      <c r="AA127" s="11" t="n"/>
      <c r="AB127" s="12" t="n"/>
      <c r="AC127" s="11" t="n"/>
      <c r="AD127" s="11" t="n"/>
      <c r="AE127" s="11" t="n"/>
      <c r="AF127" s="11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hidden="1" outlineLevel="1">
      <c r="C129" s="57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collapsed="1" customFormat="1" s="32">
      <c r="A130" s="30" t="n"/>
      <c r="B130" s="3" t="n"/>
      <c r="C130" s="33" t="inlineStr">
        <is>
          <t>Pretax Income - EBT</t>
        </is>
      </c>
      <c r="D130" s="35" t="n"/>
      <c r="E130" s="35" t="n"/>
      <c r="F130" s="35" t="n"/>
      <c r="G130" s="35" t="n"/>
      <c r="H130" s="35" t="n"/>
      <c r="I130" s="35">
        <f>SUM(I73,I74,I123)</f>
        <v>6342</v>
      </c>
      <c r="J130" s="35">
        <f>SUM(J73,J74,J123)</f>
        <v>5568</v>
      </c>
      <c r="K130" s="35">
        <f>SUM(K73,K74,K123)</f>
        <v>5290</v>
      </c>
      <c r="L130" s="35">
        <f>SUM(L73,L74,L123)</f>
        <v>5110</v>
      </c>
      <c r="M130" s="35">
        <f>SUM(I130:L130)</f>
        <v>22310</v>
      </c>
      <c r="N130" s="35">
        <f>SUM(N73,N74,N123)</f>
        <v>6517</v>
      </c>
      <c r="O130" s="35">
        <f>SUM(O73,O74,O123)</f>
        <v>6665</v>
      </c>
      <c r="P130" s="35">
        <f>SUM(P73,P74,P123)</f>
        <v>6946</v>
      </c>
      <c r="Q130" s="35">
        <f>SUM(Q73,Q74,Q123)</f>
        <v>6215</v>
      </c>
      <c r="R130" s="35">
        <f>SUM(N130:Q130)</f>
        <v>26343</v>
      </c>
      <c r="S130" s="35">
        <f>SUM(S73,S74,S123)</f>
        <v>7332</v>
      </c>
      <c r="T130" s="35">
        <f>SUM(T73,T74,T123)</f>
        <v>7229</v>
      </c>
      <c r="U130" s="35">
        <f>SUM(U73,U74,U123)</f>
        <v>7692</v>
      </c>
      <c r="V130" s="35">
        <f>SUM(V73,V74,V123)</f>
        <v>6859</v>
      </c>
      <c r="W130" s="35">
        <f>SUM(S130:V130)</f>
        <v>29112</v>
      </c>
      <c r="X130" s="35">
        <f>SUM(X73,X74,X123)</f>
        <v>1</v>
      </c>
      <c r="Y130" s="35">
        <f>SUM(Y73,Y74,Y123)</f>
        <v>5665</v>
      </c>
      <c r="Z130" s="35">
        <f>SUM(Z73,Z74,Z123)</f>
        <v>7614</v>
      </c>
      <c r="AA130" s="35">
        <f>SUM(AA73,AA74,AA123)</f>
        <v>6791</v>
      </c>
      <c r="AB130" s="35">
        <f>SUM(X130:AA130)</f>
        <v>20071</v>
      </c>
      <c r="AC130" s="35">
        <f>SUM(AC73,AC74,AC123)</f>
        <v>8106</v>
      </c>
      <c r="AD130" s="35">
        <f>SUM(AD73,AD74,AD123)</f>
        <v>4082</v>
      </c>
      <c r="AE130" s="35">
        <f>SUM(AE73,AE74,AE123)</f>
        <v>3229</v>
      </c>
      <c r="AF130" s="35">
        <f>SUM(AF73,AF74,AF123)</f>
        <v>-720</v>
      </c>
      <c r="AG130" s="35">
        <f>SUM(AC130:AF130)</f>
        <v>14697</v>
      </c>
      <c r="AH130" s="35">
        <f>SUM(AH73,AH74,AH123)</f>
        <v>7963</v>
      </c>
      <c r="AI130" s="35">
        <f>SUM(AI73,AI74,AI123)</f>
        <v>6968</v>
      </c>
      <c r="AJ130" s="35">
        <f>SUM(AJ73,AJ74,AJ123:AJ128)</f>
        <v>6515.44409479103</v>
      </c>
      <c r="AK130" s="35">
        <f>SUM(AK73,AK74,AK123:AK128)</f>
        <v>6518.55324000113</v>
      </c>
      <c r="AL130" s="35">
        <f>SUM(AH130:AK130)</f>
        <v>27964.9973347922</v>
      </c>
      <c r="AM130" s="35">
        <f>SUM(AM73,AM74,AM123:AM128)</f>
        <v>6432.53355585536</v>
      </c>
      <c r="AN130" s="35">
        <f>SUM(AN73,AN74,AN123:AN128)</f>
        <v>6450.43992919494</v>
      </c>
      <c r="AO130" s="35">
        <f>SUM(AO73,AO74,AO123:AO128)</f>
        <v>7053.92680666588</v>
      </c>
      <c r="AP130" s="35">
        <f>SUM(AP73,AP74,AP123:AP128)</f>
        <v>7057.29291378371</v>
      </c>
      <c r="AQ130" s="35">
        <f>SUM(AM130:AP130)</f>
        <v>26994.1932054999</v>
      </c>
      <c r="AR130" s="35">
        <f>SUM(AR73,AR74,AR123:AR128)</f>
        <v>6932.00128241133</v>
      </c>
      <c r="AS130" s="35">
        <f>SUM(AS73,AS74,AS123:AS128)</f>
        <v>6951.2980341306</v>
      </c>
      <c r="AT130" s="35">
        <f>SUM(AT73,AT74,AT123:AT128)</f>
        <v>7601.64393162522</v>
      </c>
      <c r="AU130" s="35">
        <f>SUM(AU73,AU74,AU123:AU128)</f>
        <v>7605.27140727767</v>
      </c>
      <c r="AV130" s="35">
        <f>SUM(AR130:AU130)</f>
        <v>29090.2146554448</v>
      </c>
      <c r="AW130" s="35">
        <f>SUM(AW73,AW74,AW123:AW128)</f>
        <v>7435.59123473557</v>
      </c>
      <c r="AX130" s="35">
        <f>SUM(AX73,AX74,AX123:AX128)</f>
        <v>7456.28983995752</v>
      </c>
      <c r="AY130" s="35">
        <f>SUM(AY73,AY74,AY123:AY128)</f>
        <v>8153.88149609685</v>
      </c>
      <c r="AZ130" s="35">
        <f>SUM(AZ73,AZ74,AZ123:AZ128)</f>
        <v>8157.77249742052</v>
      </c>
      <c r="BA130" s="35">
        <f>SUM(AW130:AZ130)</f>
        <v>31203.5350682105</v>
      </c>
      <c r="BB130" s="35">
        <f>SUM(BB73,BB74,BB123:BB128)</f>
        <v>7938.58759227761</v>
      </c>
      <c r="BC130" s="35">
        <f>SUM(BC73,BC74,BC123:BC128)</f>
        <v>7960.6863986005</v>
      </c>
      <c r="BD130" s="35">
        <f>SUM(BD73,BD74,BD123:BD128)</f>
        <v>8705.46812356051</v>
      </c>
      <c r="BE130" s="35">
        <f>SUM(BE73,BE74,BE123:BE128)</f>
        <v>8709.62233993075</v>
      </c>
      <c r="BF130" s="35">
        <f>SUM(BB130:BE130)</f>
        <v>33314.3644543694</v>
      </c>
      <c r="BG130" s="35" t="n"/>
      <c r="BH130" s="35" t="n"/>
      <c r="BI130" s="35" t="n"/>
      <c r="BJ130" s="35" t="n"/>
      <c r="BK130" s="35" t="n"/>
      <c r="BL130" s="35" t="n"/>
      <c r="BM130" s="35" t="n"/>
      <c r="BN130" s="35" t="n"/>
      <c r="BO130" s="35" t="n"/>
      <c r="BP130" s="35" t="n"/>
      <c r="BQ130" s="35" t="n"/>
      <c r="BR130" s="35" t="n"/>
      <c r="BS130" s="35" t="n"/>
      <c r="BT130" s="35" t="n"/>
      <c r="BU130" s="35" t="n"/>
      <c r="BV130" s="35" t="n"/>
      <c r="BW130" s="35" t="n"/>
      <c r="BX130" s="35" t="n"/>
      <c r="BY130" s="35" t="n"/>
      <c r="BZ130" s="35" t="n"/>
      <c r="CA130" s="35" t="n"/>
      <c r="CB130" s="35" t="n"/>
      <c r="CC130" s="35" t="n"/>
      <c r="CD130" s="35" t="n"/>
      <c r="CE130" s="35" t="n"/>
      <c r="CF130" s="35" t="n"/>
      <c r="CG130" s="35" t="n"/>
      <c r="CH130" s="35" t="n"/>
      <c r="CI130" s="35" t="n"/>
      <c r="CJ130" s="35" t="n"/>
      <c r="CK130" s="35" t="n"/>
      <c r="CL130" s="35" t="n"/>
      <c r="CM130" s="35" t="n"/>
      <c r="CN130" s="35" t="n"/>
      <c r="CO130" s="35" t="n"/>
      <c r="CP130" s="35" t="n"/>
      <c r="CQ130" s="35" t="n"/>
      <c r="CR130" s="35" t="n"/>
      <c r="CS130" s="35" t="n"/>
      <c r="CT130" s="35" t="n"/>
      <c r="CU130" s="35" t="n"/>
      <c r="CV130" s="35" t="n"/>
      <c r="CW130" s="35" t="n"/>
      <c r="CX130" s="35" t="n"/>
      <c r="CY130" s="35" t="n"/>
    </row>
    <row r="131">
      <c r="C131" s="14" t="inlineStr">
        <is>
          <t>Taxes</t>
        </is>
      </c>
      <c r="D131" s="46" t="n"/>
      <c r="E131" s="46" t="n"/>
      <c r="F131" s="46" t="n"/>
      <c r="G131" s="46" t="n"/>
      <c r="H131" s="12" t="n"/>
      <c r="I131" s="46">
        <f>'Inputs (2)'!D10</f>
        <v>-1364</v>
      </c>
      <c r="J131" s="46">
        <f>'Inputs (2)'!E10</f>
        <v>-1196</v>
      </c>
      <c r="K131" s="46">
        <f>'Inputs (2)'!F10</f>
        <v>-1099</v>
      </c>
      <c r="L131" s="46">
        <f>'Inputs (2)'!G10</f>
        <v>-919</v>
      </c>
      <c r="M131" s="12">
        <f>'Inputs (2)'!H10</f>
        <v>-4578</v>
      </c>
      <c r="N131" s="46">
        <f>'Inputs (2)'!I10</f>
        <v>-1369</v>
      </c>
      <c r="O131" s="46">
        <f>'Inputs (2)'!J10</f>
        <v>-1466</v>
      </c>
      <c r="P131" s="46">
        <f>'Inputs (2)'!K10</f>
        <v>-1562</v>
      </c>
      <c r="Q131" s="46">
        <f>'Inputs (2)'!L10</f>
        <v>-1307</v>
      </c>
      <c r="R131" s="12">
        <f>'Inputs (2)'!M10</f>
        <v>-5704</v>
      </c>
      <c r="S131" s="46">
        <f>'Inputs (2)'!N10</f>
        <v>-1558</v>
      </c>
      <c r="T131" s="46">
        <f>'Inputs (2)'!O10</f>
        <v>-1572</v>
      </c>
      <c r="U131" s="46">
        <f>'Inputs (2)'!P10</f>
        <v>-1654</v>
      </c>
      <c r="V131" s="46">
        <f>'Inputs (2)'!Q10</f>
        <v>-1184</v>
      </c>
      <c r="W131" s="12">
        <f>'Inputs (2)'!R10</f>
        <v>-5968</v>
      </c>
      <c r="X131" s="46">
        <f>'Inputs (2)'!S10</f>
        <v>-1222</v>
      </c>
      <c r="Y131" s="46">
        <f>'Inputs (2)'!T10</f>
        <v>-1244</v>
      </c>
      <c r="Z131" s="46">
        <f>'Inputs (2)'!U10</f>
        <v>-1356</v>
      </c>
      <c r="AA131" s="46">
        <f>'Inputs (2)'!V10</f>
        <v>-1007</v>
      </c>
      <c r="AB131" s="12">
        <f>'Inputs (2)'!W10</f>
        <v>-4829</v>
      </c>
      <c r="AC131" s="46">
        <f>'Inputs (2)'!X10</f>
        <v>-1632</v>
      </c>
      <c r="AD131" s="46">
        <f>'Inputs (2)'!Y10</f>
        <v>-510</v>
      </c>
      <c r="AE131" s="46">
        <f>'Inputs (2)'!Z10</f>
        <v>-686</v>
      </c>
      <c r="AF131" s="46">
        <f>'Inputs (2)'!AA10</f>
        <v>938</v>
      </c>
      <c r="AG131" s="12">
        <f>'Inputs (2)'!AB10</f>
        <v>-1890</v>
      </c>
      <c r="AH131" s="12">
        <f>'Inputs (2)'!AC10</f>
        <v>-1482</v>
      </c>
      <c r="AI131" s="12">
        <f>'Inputs (2)'!AD10</f>
        <v>-1298</v>
      </c>
      <c r="AJ131" s="12">
        <f>-AJ130*AJ132</f>
        <v>-2404.07882888301</v>
      </c>
      <c r="AK131" s="12">
        <f>-AK130*AK132</f>
        <v>-2405.22604618191</v>
      </c>
      <c r="AL131" s="12">
        <f>SUM(AH131:AK131)</f>
        <v>-7589.30487506492</v>
      </c>
      <c r="AM131" s="12">
        <f>-AM130*AM132</f>
        <v>-2373.48636757928</v>
      </c>
      <c r="AN131" s="12">
        <f>-AN130*AN132</f>
        <v>-2380.09348943029</v>
      </c>
      <c r="AO131" s="12">
        <f>-AO130*AO132</f>
        <v>-2602.76902843101</v>
      </c>
      <c r="AP131" s="12">
        <f>-AP130*AP132</f>
        <v>-2604.01105993953</v>
      </c>
      <c r="AQ131" s="12">
        <f>SUM(AM131:AP131)</f>
        <v>-9960.35994538011</v>
      </c>
      <c r="AR131" s="12">
        <f>-AR130*AR132</f>
        <v>-2557.780756366</v>
      </c>
      <c r="AS131" s="12">
        <f>-AS130*AS132</f>
        <v>-2564.90090222246</v>
      </c>
      <c r="AT131" s="12">
        <f>-AT130*AT132</f>
        <v>-2804.86655627015</v>
      </c>
      <c r="AU131" s="12">
        <f>-AU130*AU132</f>
        <v>-2806.20502795243</v>
      </c>
      <c r="AV131" s="12">
        <f>SUM(AR131:AU131)</f>
        <v>-10733.753242811</v>
      </c>
      <c r="AW131" s="12">
        <f>-AW130*AW132</f>
        <v>-2743.59617051233</v>
      </c>
      <c r="AX131" s="12">
        <f>-AX130*AX132</f>
        <v>-2751.2335744832</v>
      </c>
      <c r="AY131" s="12">
        <f>-AY130*AY132</f>
        <v>-3008.63204300368</v>
      </c>
      <c r="AZ131" s="12">
        <f>-AZ130*AZ132</f>
        <v>-3010.06775080337</v>
      </c>
      <c r="BA131" s="12">
        <f>SUM(AW131:AZ131)</f>
        <v>-11513.5295388026</v>
      </c>
      <c r="BB131" s="12">
        <f>-BB130*BB132</f>
        <v>-2929.19255912058</v>
      </c>
      <c r="BC131" s="12">
        <f>-BC130*BC132</f>
        <v>-2937.34661150004</v>
      </c>
      <c r="BD131" s="12">
        <f>-BD130*BD132</f>
        <v>-3212.15734597428</v>
      </c>
      <c r="BE131" s="12">
        <f>-BE130*BE132</f>
        <v>-3213.69017527663</v>
      </c>
      <c r="BF131" s="12">
        <f>SUM(BB131:BE131)</f>
        <v>-12292.3866918715</v>
      </c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57" t="inlineStr">
        <is>
          <t>% ETR</t>
        </is>
      </c>
      <c r="D132" s="53" t="n"/>
      <c r="E132" s="53" t="n"/>
      <c r="F132" s="53" t="n"/>
      <c r="G132" s="53" t="n"/>
      <c r="H132" s="53" t="n"/>
      <c r="I132" s="53">
        <f>IFERROR(-I131/I130,"")</f>
        <v>0.215074109113844</v>
      </c>
      <c r="J132" s="53">
        <f>IFERROR(-J131/J130,"")</f>
        <v>0.214798850574713</v>
      </c>
      <c r="K132" s="53">
        <f>IFERROR(-K131/K130,"")</f>
        <v>0.207750472589792</v>
      </c>
      <c r="L132" s="53">
        <f>IFERROR(-L131/L130,"")</f>
        <v>0.179843444227006</v>
      </c>
      <c r="M132" s="53">
        <f>IFERROR(-M131/M130,"")</f>
        <v>0.205199462124608</v>
      </c>
      <c r="N132" s="53">
        <f>IFERROR(-N131/N130,"")</f>
        <v>0.21006598127973</v>
      </c>
      <c r="O132" s="53">
        <f>IFERROR(-O131/O130,"")</f>
        <v>0.219954988747187</v>
      </c>
      <c r="P132" s="53">
        <f>IFERROR(-P131/P130,"")</f>
        <v>0.22487762741146</v>
      </c>
      <c r="Q132" s="53">
        <f>IFERROR(-Q131/Q130,"")</f>
        <v>0.210297666934835</v>
      </c>
      <c r="R132" s="53">
        <f>IFERROR(-R131/R130,"")</f>
        <v>0.216528109934328</v>
      </c>
      <c r="S132" s="53">
        <f>IFERROR(-S131/S130,"")</f>
        <v>0.212493180578287</v>
      </c>
      <c r="T132" s="53">
        <f>IFERROR(-T131/T130,"")</f>
        <v>0.217457462996265</v>
      </c>
      <c r="U132" s="53">
        <f>IFERROR(-U131/U130,"")</f>
        <v>0.215028601144046</v>
      </c>
      <c r="V132" s="53">
        <f>IFERROR(-V131/V130,"")</f>
        <v>0.172619915439568</v>
      </c>
      <c r="W132" s="53">
        <f>IFERROR(-W131/W130,"")</f>
        <v>0.205001374003847</v>
      </c>
      <c r="X132" s="53">
        <f>IFERROR(-X131/X130,"")</f>
        <v>1222</v>
      </c>
      <c r="Y132" s="53">
        <f>IFERROR(-Y131/Y130,"")</f>
        <v>0.219593998234775</v>
      </c>
      <c r="Z132" s="53">
        <f>IFERROR(-Z131/Z130,"")</f>
        <v>0.178092986603625</v>
      </c>
      <c r="AA132" s="53">
        <f>IFERROR(-AA131/AA130,"")</f>
        <v>0.148284494183478</v>
      </c>
      <c r="AB132" s="53">
        <f>IFERROR(-AB131/AB130,"")</f>
        <v>0.240595884609636</v>
      </c>
      <c r="AC132" s="53">
        <f>IFERROR(-AC131/AC130,"")</f>
        <v>0.201332346410067</v>
      </c>
      <c r="AD132" s="53">
        <f>IFERROR(-AD131/AD130,"")</f>
        <v>0.124938755512004</v>
      </c>
      <c r="AE132" s="53">
        <f>IFERROR(-AE131/AE130,"")</f>
        <v>0.212449674821926</v>
      </c>
      <c r="AF132" s="41">
        <f>IFERROR(-AF131/AF130,"")</f>
        <v>1.30277777777778</v>
      </c>
      <c r="AG132" s="53">
        <f>IFERROR(-AG131/AG130,"")</f>
        <v>0.128597672994489</v>
      </c>
      <c r="AH132" s="41">
        <f>IFERROR(-AH131/AH130,"")</f>
        <v>0.186110762275524</v>
      </c>
      <c r="AI132" s="41">
        <f>IFERROR(-AI131/AI130,"")</f>
        <v>0.186280137772675</v>
      </c>
      <c r="AJ132" s="41">
        <f>Control!$B$22</f>
        <v>0.368981575761662</v>
      </c>
      <c r="AK132" s="41">
        <f>Control!$B$22</f>
        <v>0.368981575761662</v>
      </c>
      <c r="AL132" s="53">
        <f>IFERROR(-AL131/AL130,"")</f>
        <v>0.271385860839072</v>
      </c>
      <c r="AM132" s="41">
        <f>Control!$C$22</f>
        <v>0.368981575761662</v>
      </c>
      <c r="AN132" s="41">
        <f>Control!$C$22</f>
        <v>0.368981575761662</v>
      </c>
      <c r="AO132" s="41">
        <f>Control!$C$22</f>
        <v>0.368981575761662</v>
      </c>
      <c r="AP132" s="41">
        <f>Control!$C$22</f>
        <v>0.368981575761662</v>
      </c>
      <c r="AQ132" s="53">
        <f>IFERROR(-AQ131/AQ130,"")</f>
        <v>0.368981575761662</v>
      </c>
      <c r="AR132" s="41">
        <f>Control!$D$22</f>
        <v>0.368981575761662</v>
      </c>
      <c r="AS132" s="41">
        <f>Control!$D$22</f>
        <v>0.368981575761662</v>
      </c>
      <c r="AT132" s="41">
        <f>Control!$D$22</f>
        <v>0.368981575761662</v>
      </c>
      <c r="AU132" s="41">
        <f>Control!$D$22</f>
        <v>0.368981575761662</v>
      </c>
      <c r="AV132" s="53">
        <f>IFERROR(-AV131/AV130,"")</f>
        <v>0.368981575761662</v>
      </c>
      <c r="AW132" s="41">
        <f>Control!$E$22</f>
        <v>0.368981575761662</v>
      </c>
      <c r="AX132" s="41">
        <f>Control!$E$22</f>
        <v>0.368981575761662</v>
      </c>
      <c r="AY132" s="41">
        <f>Control!$E$22</f>
        <v>0.368981575761662</v>
      </c>
      <c r="AZ132" s="41">
        <f>Control!$E$22</f>
        <v>0.368981575761662</v>
      </c>
      <c r="BA132" s="53">
        <f>IFERROR(-BA131/BA130,"")</f>
        <v>0.368981575761662</v>
      </c>
      <c r="BB132" s="41">
        <f>Control!$F$22</f>
        <v>0.368981575761662</v>
      </c>
      <c r="BC132" s="41">
        <f>Control!$F$22</f>
        <v>0.368981575761662</v>
      </c>
      <c r="BD132" s="41">
        <f>Control!$F$22</f>
        <v>0.368981575761662</v>
      </c>
      <c r="BE132" s="41">
        <f>Control!$F$22</f>
        <v>0.368981575761662</v>
      </c>
      <c r="BF132" s="53">
        <f>IFERROR(-BF131/BF130,"")</f>
        <v>0.368981575761662</v>
      </c>
      <c r="BG132" s="41" t="n"/>
      <c r="BH132" s="41" t="n"/>
      <c r="BI132" s="41" t="n"/>
      <c r="BJ132" s="41" t="n"/>
      <c r="BK132" s="53" t="n"/>
      <c r="BL132" s="41" t="n"/>
      <c r="BM132" s="41" t="n"/>
      <c r="BN132" s="41" t="n"/>
      <c r="BO132" s="41" t="n"/>
      <c r="BP132" s="53" t="n"/>
      <c r="BQ132" s="41" t="n"/>
      <c r="BR132" s="41" t="n"/>
      <c r="BS132" s="41" t="n"/>
      <c r="BT132" s="41" t="n"/>
      <c r="BU132" s="53" t="n"/>
      <c r="BV132" s="41" t="n"/>
      <c r="BW132" s="41" t="n"/>
      <c r="BX132" s="41" t="n"/>
      <c r="BY132" s="41" t="n"/>
      <c r="BZ132" s="53" t="n"/>
      <c r="CA132" s="41" t="n"/>
      <c r="CB132" s="41" t="n"/>
      <c r="CC132" s="41" t="n"/>
      <c r="CD132" s="41" t="n"/>
      <c r="CE132" s="53" t="n"/>
      <c r="CF132" s="41" t="n"/>
      <c r="CG132" s="41" t="n"/>
      <c r="CH132" s="41" t="n"/>
      <c r="CI132" s="41" t="n"/>
      <c r="CJ132" s="53" t="n"/>
      <c r="CK132" s="41" t="n"/>
      <c r="CL132" s="41" t="n"/>
      <c r="CM132" s="41" t="n"/>
      <c r="CN132" s="41" t="n"/>
      <c r="CO132" s="53" t="n"/>
      <c r="CP132" s="41" t="n"/>
      <c r="CQ132" s="41" t="n"/>
      <c r="CR132" s="41" t="n"/>
      <c r="CS132" s="41" t="n"/>
      <c r="CT132" s="53" t="n"/>
      <c r="CU132" s="41" t="n"/>
      <c r="CV132" s="41" t="n"/>
      <c r="CW132" s="41" t="n"/>
      <c r="CX132" s="41" t="n"/>
      <c r="CY132" s="53" t="n"/>
    </row>
    <row r="133" hidden="1" outlineLevel="1">
      <c r="C133" s="57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collapsed="1">
      <c r="C135" s="14" t="inlineStr">
        <is>
          <t>Equity in Income of Affiliates, after tax (enter as +)</t>
        </is>
      </c>
      <c r="D135" s="46" t="n"/>
      <c r="E135" s="46" t="n"/>
      <c r="F135" s="46" t="n"/>
      <c r="G135" s="46" t="n"/>
      <c r="H135" s="12" t="n"/>
      <c r="I135" s="46">
        <f>'Inputs (2)'!D11</f>
        <v>0</v>
      </c>
      <c r="J135" s="46">
        <f>'Inputs (2)'!E11</f>
        <v>0</v>
      </c>
      <c r="K135" s="46">
        <f>'Inputs (2)'!F11</f>
        <v>0</v>
      </c>
      <c r="L135" s="46">
        <f>'Inputs (2)'!G11</f>
        <v>0</v>
      </c>
      <c r="M135" s="12">
        <f>'Inputs (2)'!H11</f>
        <v>0</v>
      </c>
      <c r="N135" s="46">
        <f>'Inputs (2)'!I11</f>
        <v>0</v>
      </c>
      <c r="O135" s="46">
        <f>'Inputs (2)'!J11</f>
        <v>0</v>
      </c>
      <c r="P135" s="46">
        <f>'Inputs (2)'!K11</f>
        <v>0</v>
      </c>
      <c r="Q135" s="46">
        <f>'Inputs (2)'!L11</f>
        <v>0</v>
      </c>
      <c r="R135" s="12">
        <f>'Inputs (2)'!M11</f>
        <v>0</v>
      </c>
      <c r="S135" s="46">
        <f>'Inputs (2)'!N11</f>
        <v>0</v>
      </c>
      <c r="T135" s="46">
        <f>'Inputs (2)'!O11</f>
        <v>0</v>
      </c>
      <c r="U135" s="46">
        <f>'Inputs (2)'!P11</f>
        <v>0</v>
      </c>
      <c r="V135" s="46">
        <f>'Inputs (2)'!Q11</f>
        <v>0</v>
      </c>
      <c r="W135" s="12">
        <f>'Inputs (2)'!R11</f>
        <v>0</v>
      </c>
      <c r="X135" s="46">
        <f>'Inputs (2)'!S11</f>
        <v>0</v>
      </c>
      <c r="Y135" s="46">
        <f>'Inputs (2)'!T11</f>
        <v>0</v>
      </c>
      <c r="Z135" s="46">
        <f>'Inputs (2)'!U11</f>
        <v>0</v>
      </c>
      <c r="AA135" s="46">
        <f>'Inputs (2)'!V11</f>
        <v>0</v>
      </c>
      <c r="AB135" s="12">
        <f>'Inputs (2)'!W11</f>
        <v>0</v>
      </c>
      <c r="AC135" s="46">
        <f>'Inputs (2)'!X11</f>
        <v>0</v>
      </c>
      <c r="AD135" s="46">
        <f>'Inputs (2)'!Y11</f>
        <v>0</v>
      </c>
      <c r="AE135" s="46">
        <f>'Inputs (2)'!Z11</f>
        <v>0</v>
      </c>
      <c r="AF135" s="46">
        <f>'Inputs (2)'!AA11</f>
        <v>0</v>
      </c>
      <c r="AG135" s="12">
        <f>'Inputs (2)'!AB11</f>
        <v>0</v>
      </c>
      <c r="AH135" s="12">
        <f>'Inputs (2)'!AC11</f>
        <v>0</v>
      </c>
      <c r="AI135" s="12">
        <f>'Inputs (2)'!AD11</f>
        <v>0</v>
      </c>
      <c r="AJ135" s="12">
        <f>0</f>
        <v>0</v>
      </c>
      <c r="AK135" s="12">
        <f>0</f>
        <v>0</v>
      </c>
      <c r="AL135" s="12">
        <f>SUM(AH135:AK135)</f>
        <v>0</v>
      </c>
      <c r="AM135" s="12">
        <f>0</f>
        <v>0</v>
      </c>
      <c r="AN135" s="12">
        <f>0</f>
        <v>0</v>
      </c>
      <c r="AO135" s="12">
        <f>0</f>
        <v>0</v>
      </c>
      <c r="AP135" s="12">
        <f>0</f>
        <v>0</v>
      </c>
      <c r="AQ135" s="12">
        <f>SUM(AM135:AP135)</f>
        <v>0</v>
      </c>
      <c r="AR135" s="12">
        <f>0</f>
        <v>0</v>
      </c>
      <c r="AS135" s="12">
        <f>0</f>
        <v>0</v>
      </c>
      <c r="AT135" s="12">
        <f>0</f>
        <v>0</v>
      </c>
      <c r="AU135" s="12">
        <f>0</f>
        <v>0</v>
      </c>
      <c r="AV135" s="12">
        <f>SUM(AR135:AU135)</f>
        <v>0</v>
      </c>
      <c r="AW135" s="12">
        <f>0</f>
        <v>0</v>
      </c>
      <c r="AX135" s="12">
        <f>0</f>
        <v>0</v>
      </c>
      <c r="AY135" s="12">
        <f>0</f>
        <v>0</v>
      </c>
      <c r="AZ135" s="12">
        <f>0</f>
        <v>0</v>
      </c>
      <c r="BA135" s="12">
        <f>SUM(AW135:AZ135)</f>
        <v>0</v>
      </c>
      <c r="BB135" s="12">
        <f>0</f>
        <v>0</v>
      </c>
      <c r="BC135" s="12">
        <f>0</f>
        <v>0</v>
      </c>
      <c r="BD135" s="12">
        <f>0</f>
        <v>0</v>
      </c>
      <c r="BE135" s="12">
        <f>0</f>
        <v>0</v>
      </c>
      <c r="BF135" s="12">
        <f>SUM(BB135:BE135)</f>
        <v>0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>
      <c r="C136" s="14" t="inlineStr">
        <is>
          <t>Minority Interest Expense, after tax (enter as - )</t>
        </is>
      </c>
      <c r="D136" s="46" t="n"/>
      <c r="E136" s="46" t="n"/>
      <c r="F136" s="46" t="n"/>
      <c r="G136" s="46" t="n"/>
      <c r="H136" s="12" t="n"/>
      <c r="I136" s="46">
        <f>'Inputs (2)'!D12</f>
        <v>-116</v>
      </c>
      <c r="J136" s="46">
        <f>'Inputs (2)'!E12</f>
        <v>-106</v>
      </c>
      <c r="K136" s="46">
        <f>'Inputs (2)'!F12</f>
        <v>-105</v>
      </c>
      <c r="L136" s="46">
        <f>'Inputs (2)'!G12</f>
        <v>-120</v>
      </c>
      <c r="M136" s="12">
        <f>'Inputs (2)'!H12</f>
        <v>-447</v>
      </c>
      <c r="N136" s="46">
        <f>'Inputs (2)'!I12</f>
        <v>-121</v>
      </c>
      <c r="O136" s="46">
        <f>'Inputs (2)'!J12</f>
        <v>-129</v>
      </c>
      <c r="P136" s="46">
        <f>'Inputs (2)'!K12</f>
        <v>-122</v>
      </c>
      <c r="Q136" s="46">
        <f>'Inputs (2)'!L12</f>
        <v>-147</v>
      </c>
      <c r="R136" s="12">
        <f>'Inputs (2)'!M12</f>
        <v>-519</v>
      </c>
      <c r="S136" s="46">
        <f>'Inputs (2)'!N12</f>
        <v>-163</v>
      </c>
      <c r="T136" s="46">
        <f>'Inputs (2)'!O12</f>
        <v>-183</v>
      </c>
      <c r="U136" s="46">
        <f>'Inputs (2)'!P12</f>
        <v>-197</v>
      </c>
      <c r="V136" s="46">
        <f>'Inputs (2)'!Q12</f>
        <v>-220</v>
      </c>
      <c r="W136" s="12">
        <f>'Inputs (2)'!R12</f>
        <v>-763</v>
      </c>
      <c r="X136" s="46">
        <f>'Inputs (2)'!S12</f>
        <v>-188</v>
      </c>
      <c r="Y136" s="46">
        <f>'Inputs (2)'!T12</f>
        <v>-205</v>
      </c>
      <c r="Z136" s="46">
        <f>'Inputs (2)'!U12</f>
        <v>-203</v>
      </c>
      <c r="AA136" s="46">
        <f>'Inputs (2)'!V12</f>
        <v>-241</v>
      </c>
      <c r="AB136" s="12">
        <f>'Inputs (2)'!W12</f>
        <v>-837</v>
      </c>
      <c r="AC136" s="46">
        <f>'Inputs (2)'!X12</f>
        <v>-182</v>
      </c>
      <c r="AD136" s="46">
        <f>'Inputs (2)'!Y12</f>
        <v>-166</v>
      </c>
      <c r="AE136" s="46">
        <f>'Inputs (2)'!Z12</f>
        <v>-195</v>
      </c>
      <c r="AF136" s="46">
        <f>'Inputs (2)'!AA12</f>
        <v>-208</v>
      </c>
      <c r="AG136" s="12">
        <f>'Inputs (2)'!AB12</f>
        <v>-751</v>
      </c>
      <c r="AH136" s="12">
        <f>'Inputs (2)'!AC12</f>
        <v>-201</v>
      </c>
      <c r="AI136" s="12">
        <f>'Inputs (2)'!AD12</f>
        <v>-186</v>
      </c>
      <c r="AJ136" s="12">
        <f>0</f>
        <v>0</v>
      </c>
      <c r="AK136" s="12">
        <f>0</f>
        <v>0</v>
      </c>
      <c r="AL136" s="12">
        <f>SUM(AH136:AK136)</f>
        <v>-387</v>
      </c>
      <c r="AM136" s="12">
        <f>0</f>
        <v>0</v>
      </c>
      <c r="AN136" s="12">
        <f>0</f>
        <v>0</v>
      </c>
      <c r="AO136" s="12">
        <f>0</f>
        <v>0</v>
      </c>
      <c r="AP136" s="12">
        <f>0</f>
        <v>0</v>
      </c>
      <c r="AQ136" s="12">
        <f>SUM(AM136:AP136)</f>
        <v>0</v>
      </c>
      <c r="AR136" s="12">
        <f>0</f>
        <v>0</v>
      </c>
      <c r="AS136" s="12">
        <f>0</f>
        <v>0</v>
      </c>
      <c r="AT136" s="12">
        <f>0</f>
        <v>0</v>
      </c>
      <c r="AU136" s="12">
        <f>0</f>
        <v>0</v>
      </c>
      <c r="AV136" s="12">
        <f>SUM(AR136:AU136)</f>
        <v>0</v>
      </c>
      <c r="AW136" s="12">
        <f>0</f>
        <v>0</v>
      </c>
      <c r="AX136" s="12">
        <f>0</f>
        <v>0</v>
      </c>
      <c r="AY136" s="12">
        <f>0</f>
        <v>0</v>
      </c>
      <c r="AZ136" s="12">
        <f>0</f>
        <v>0</v>
      </c>
      <c r="BA136" s="12">
        <f>SUM(AW136:AZ136)</f>
        <v>0</v>
      </c>
      <c r="BB136" s="12">
        <f>0</f>
        <v>0</v>
      </c>
      <c r="BC136" s="12">
        <f>0</f>
        <v>0</v>
      </c>
      <c r="BD136" s="12">
        <f>0</f>
        <v>0</v>
      </c>
      <c r="BE136" s="12">
        <f>0</f>
        <v>0</v>
      </c>
      <c r="BF136" s="12">
        <f>SUM(BB136:BE136)</f>
        <v>0</v>
      </c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customFormat="1" s="32">
      <c r="A137" s="30" t="n"/>
      <c r="B137" s="3" t="n"/>
      <c r="C137" s="33" t="inlineStr">
        <is>
          <t>Net Income</t>
        </is>
      </c>
      <c r="D137" s="35" t="n"/>
      <c r="E137" s="35" t="n"/>
      <c r="F137" s="35" t="n"/>
      <c r="G137" s="35" t="n"/>
      <c r="H137" s="35" t="n"/>
      <c r="I137" s="35">
        <f>SUM(I130,I131,I135,I136)</f>
        <v>4862</v>
      </c>
      <c r="J137" s="35">
        <f>SUM(J130,J131,J135,J136)</f>
        <v>4266</v>
      </c>
      <c r="K137" s="35">
        <f>SUM(K130,K131,K135,K136)</f>
        <v>4086</v>
      </c>
      <c r="L137" s="35">
        <f>SUM(L130,L131,L135,L136)</f>
        <v>4071</v>
      </c>
      <c r="M137" s="35">
        <f>SUM(I137:L137)</f>
        <v>17285</v>
      </c>
      <c r="N137" s="35">
        <f>SUM(N130,N131,N135,N136)</f>
        <v>5027</v>
      </c>
      <c r="O137" s="35">
        <f>SUM(O130,O131,O135,O136)</f>
        <v>5070</v>
      </c>
      <c r="P137" s="35">
        <f>SUM(P130,P131,P135,P136)</f>
        <v>5262</v>
      </c>
      <c r="Q137" s="35">
        <f>SUM(Q130,Q131,Q135,Q136)</f>
        <v>4761</v>
      </c>
      <c r="R137" s="35">
        <f>SUM(N137:Q137)</f>
        <v>20120</v>
      </c>
      <c r="S137" s="35">
        <f>SUM(S130,S131,S135,S136)</f>
        <v>5611</v>
      </c>
      <c r="T137" s="35">
        <f>SUM(T130,T131,T135,T136)</f>
        <v>5474</v>
      </c>
      <c r="U137" s="35">
        <f>SUM(U130,U131,U135,U136)</f>
        <v>5841</v>
      </c>
      <c r="V137" s="35">
        <f>SUM(V130,V131,V135,V136)</f>
        <v>5455</v>
      </c>
      <c r="W137" s="35">
        <f>SUM(S137:V137)</f>
        <v>22381</v>
      </c>
      <c r="X137" s="35">
        <f>SUM(X130,X131,X135,X136)</f>
        <v>-1409</v>
      </c>
      <c r="Y137" s="35">
        <f>SUM(Y130,Y131,Y135,Y136)</f>
        <v>4216</v>
      </c>
      <c r="Z137" s="35">
        <f>SUM(Z130,Z131,Z135,Z136)</f>
        <v>6055</v>
      </c>
      <c r="AA137" s="35">
        <f>SUM(AA130,AA131,AA135,AA136)</f>
        <v>5543</v>
      </c>
      <c r="AB137" s="35">
        <f>SUM(X137:AA137)</f>
        <v>14405</v>
      </c>
      <c r="AC137" s="35">
        <f>SUM(AC130,AC131,AC135,AC136)</f>
        <v>6292</v>
      </c>
      <c r="AD137" s="35">
        <f>SUM(AD130,AD131,AD135,AD136)</f>
        <v>3406</v>
      </c>
      <c r="AE137" s="35">
        <f>SUM(AE130,AE131,AE135,AE136)</f>
        <v>2348</v>
      </c>
      <c r="AF137" s="35">
        <f>SUM(AF130,AF131,AF135,AF136)</f>
        <v>10</v>
      </c>
      <c r="AG137" s="35">
        <f>SUM(AC137:AF137)</f>
        <v>12056</v>
      </c>
      <c r="AH137" s="35">
        <f>SUM(AH130,AH131,AH135,AH136)</f>
        <v>6280</v>
      </c>
      <c r="AI137" s="35">
        <f>SUM(AI130,AI131,AI135,AI136)</f>
        <v>5484</v>
      </c>
      <c r="AJ137" s="35">
        <f>SUM(AJ130,AJ131,AJ135,AJ136)</f>
        <v>4111.36526590802</v>
      </c>
      <c r="AK137" s="35">
        <f>SUM(AK130,AK131,AK135,AK136)</f>
        <v>4113.32719381922</v>
      </c>
      <c r="AL137" s="35">
        <f>SUM(AH137:AK137)</f>
        <v>19988.6924597272</v>
      </c>
      <c r="AM137" s="35">
        <f>SUM(AM130,AM131,AM135,AM136)</f>
        <v>4059.04718827608</v>
      </c>
      <c r="AN137" s="35">
        <f>SUM(AN130,AN131,AN135,AN136)</f>
        <v>4070.34643976465</v>
      </c>
      <c r="AO137" s="35">
        <f>SUM(AO130,AO131,AO135,AO136)</f>
        <v>4451.15777823487</v>
      </c>
      <c r="AP137" s="35">
        <f>SUM(AP130,AP131,AP135,AP136)</f>
        <v>4453.28185384418</v>
      </c>
      <c r="AQ137" s="35">
        <f>SUM(AM137:AP137)</f>
        <v>17033.8332601198</v>
      </c>
      <c r="AR137" s="35">
        <f>SUM(AR130,AR131,AR135,AR136)</f>
        <v>4374.22052604533</v>
      </c>
      <c r="AS137" s="35">
        <f>SUM(AS130,AS131,AS135,AS136)</f>
        <v>4386.39713190815</v>
      </c>
      <c r="AT137" s="35">
        <f>SUM(AT130,AT131,AT135,AT136)</f>
        <v>4796.77737535507</v>
      </c>
      <c r="AU137" s="35">
        <f>SUM(AU130,AU131,AU135,AU136)</f>
        <v>4799.06637932524</v>
      </c>
      <c r="AV137" s="35">
        <f>SUM(AR137:AU137)</f>
        <v>18356.4614126338</v>
      </c>
      <c r="AW137" s="35">
        <f>SUM(AW130,AW131,AW135,AW136)</f>
        <v>4691.99506422323</v>
      </c>
      <c r="AX137" s="35">
        <f>SUM(AX130,AX131,AX135,AX136)</f>
        <v>4705.05626547432</v>
      </c>
      <c r="AY137" s="35">
        <f>SUM(AY130,AY131,AY135,AY136)</f>
        <v>5145.24945309317</v>
      </c>
      <c r="AZ137" s="35">
        <f>SUM(AZ130,AZ131,AZ135,AZ136)</f>
        <v>5147.70474661714</v>
      </c>
      <c r="BA137" s="35">
        <f>SUM(AW137:AZ137)</f>
        <v>19690.0055294079</v>
      </c>
      <c r="BB137" s="35">
        <f>SUM(BB130,BB131,BB135,BB136)</f>
        <v>5009.39503315704</v>
      </c>
      <c r="BC137" s="35">
        <f>SUM(BC130,BC131,BC135,BC136)</f>
        <v>5023.33978710045</v>
      </c>
      <c r="BD137" s="35">
        <f>SUM(BD130,BD131,BD135,BD136)</f>
        <v>5493.31077758623</v>
      </c>
      <c r="BE137" s="35">
        <f>SUM(BE130,BE131,BE135,BE136)</f>
        <v>5495.93216465413</v>
      </c>
      <c r="BF137" s="35">
        <f>SUM(BB137:BE137)</f>
        <v>21021.9777624978</v>
      </c>
      <c r="BG137" s="35" t="n"/>
      <c r="BH137" s="35" t="n"/>
      <c r="BI137" s="35" t="n"/>
      <c r="BJ137" s="35" t="n"/>
      <c r="BK137" s="35" t="n"/>
      <c r="BL137" s="35" t="n"/>
      <c r="BM137" s="35" t="n"/>
      <c r="BN137" s="35" t="n"/>
      <c r="BO137" s="35" t="n"/>
      <c r="BP137" s="35" t="n"/>
      <c r="BQ137" s="35" t="n"/>
      <c r="BR137" s="35" t="n"/>
      <c r="BS137" s="35" t="n"/>
      <c r="BT137" s="35" t="n"/>
      <c r="BU137" s="35" t="n"/>
      <c r="BV137" s="35" t="n"/>
      <c r="BW137" s="35" t="n"/>
      <c r="BX137" s="35" t="n"/>
      <c r="BY137" s="35" t="n"/>
      <c r="BZ137" s="35" t="n"/>
      <c r="CA137" s="35" t="n"/>
      <c r="CB137" s="35" t="n"/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35" t="n"/>
      <c r="CL137" s="35" t="n"/>
      <c r="CM137" s="35" t="n"/>
      <c r="CN137" s="35" t="n"/>
      <c r="CO137" s="35" t="n"/>
      <c r="CP137" s="35" t="n"/>
      <c r="CQ137" s="35" t="n"/>
      <c r="CR137" s="35" t="n"/>
      <c r="CS137" s="35" t="n"/>
      <c r="CT137" s="35" t="n"/>
      <c r="CU137" s="35" t="n"/>
      <c r="CV137" s="35" t="n"/>
      <c r="CW137" s="35" t="n"/>
      <c r="CX137" s="35" t="n"/>
      <c r="CY137" s="35" t="n"/>
    </row>
    <row r="138">
      <c r="C138" s="13" t="inlineStr">
        <is>
          <t>Common Dividends</t>
        </is>
      </c>
      <c r="D138" s="46" t="n"/>
      <c r="E138" s="46" t="n"/>
      <c r="F138" s="46" t="n"/>
      <c r="G138" s="46" t="n"/>
      <c r="H138" s="12" t="n"/>
      <c r="I138" s="46">
        <f>'Inputs (2)'!D13</f>
        <v>-1181</v>
      </c>
      <c r="J138" s="46">
        <f>'Inputs (2)'!E13</f>
        <v>-1367</v>
      </c>
      <c r="K138" s="46">
        <f>'Inputs (2)'!F13</f>
        <v>-1367</v>
      </c>
      <c r="L138" s="46">
        <f>'Inputs (2)'!G13</f>
        <v>-1365</v>
      </c>
      <c r="M138" s="12">
        <f>'Inputs (2)'!H13</f>
        <v>-5280</v>
      </c>
      <c r="N138" s="46">
        <f>'Inputs (2)'!I13</f>
        <v>-1363</v>
      </c>
      <c r="O138" s="46">
        <f>'Inputs (2)'!J13</f>
        <v>-1545</v>
      </c>
      <c r="P138" s="46">
        <f>'Inputs (2)'!K13</f>
        <v>-1542</v>
      </c>
      <c r="Q138" s="46">
        <f>'Inputs (2)'!L13</f>
        <v>-1541</v>
      </c>
      <c r="R138" s="12">
        <f>'Inputs (2)'!M13</f>
        <v>-5991</v>
      </c>
      <c r="S138" s="46">
        <f>'Inputs (2)'!N13</f>
        <v>-1537</v>
      </c>
      <c r="T138" s="46">
        <f>'Inputs (2)'!O13</f>
        <v>-1747</v>
      </c>
      <c r="U138" s="46">
        <f>'Inputs (2)'!P13</f>
        <v>-1739</v>
      </c>
      <c r="V138" s="46">
        <f>'Inputs (2)'!Q13</f>
        <v>-1738</v>
      </c>
      <c r="W138" s="12">
        <f>'Inputs (2)'!R13</f>
        <v>-6761</v>
      </c>
      <c r="X138" s="46">
        <f>'Inputs (2)'!S13</f>
        <v>-1729</v>
      </c>
      <c r="Y138" s="46">
        <f>'Inputs (2)'!T13</f>
        <v>-1935</v>
      </c>
      <c r="Z138" s="46">
        <f>'Inputs (2)'!U13</f>
        <v>-1937</v>
      </c>
      <c r="AA138" s="46">
        <f>'Inputs (2)'!V13</f>
        <v>-1932</v>
      </c>
      <c r="AB138" s="12">
        <f>'Inputs (2)'!W13</f>
        <v>-7533</v>
      </c>
      <c r="AC138" s="46">
        <f>'Inputs (2)'!X13</f>
        <v>-1912</v>
      </c>
      <c r="AD138" s="46">
        <f>'Inputs (2)'!Y13</f>
        <v>-2000</v>
      </c>
      <c r="AE138" s="46">
        <f>'Inputs (2)'!Z13</f>
        <v>-2002</v>
      </c>
      <c r="AF138" s="46">
        <f>'Inputs (2)'!AA13</f>
        <v>-2002</v>
      </c>
      <c r="AG138" s="12">
        <f>'Inputs (2)'!AB13</f>
        <v>-7916</v>
      </c>
      <c r="AH138" s="12">
        <f>'Inputs (2)'!AC13</f>
        <v>-2005</v>
      </c>
      <c r="AI138" s="12">
        <f>'Inputs (2)'!AD13</f>
        <v>-2087</v>
      </c>
      <c r="AJ138" s="12">
        <f>-MAX(0,AJ137)*Control!$E$15</f>
        <v>0</v>
      </c>
      <c r="AK138" s="12">
        <f>-MAX(0,AK137)*Control!$E$15</f>
        <v>0</v>
      </c>
      <c r="AL138" s="12">
        <f>SUM(AH138:AK138)</f>
        <v>-4092</v>
      </c>
      <c r="AM138" s="12">
        <f>-MAX(0,AM137)*Control!$E$15</f>
        <v>0</v>
      </c>
      <c r="AN138" s="12">
        <f>-MAX(0,AN137)*Control!$E$15</f>
        <v>0</v>
      </c>
      <c r="AO138" s="12">
        <f>-MAX(0,AO137)*Control!$E$15</f>
        <v>0</v>
      </c>
      <c r="AP138" s="12">
        <f>-MAX(0,AP137)*Control!$E$15</f>
        <v>0</v>
      </c>
      <c r="AQ138" s="12">
        <f>SUM(AM138:AP138)</f>
        <v>0</v>
      </c>
      <c r="AR138" s="12">
        <f>-MAX(0,AR137)*Control!$E$15</f>
        <v>0</v>
      </c>
      <c r="AS138" s="12">
        <f>-MAX(0,AS137)*Control!$E$15</f>
        <v>0</v>
      </c>
      <c r="AT138" s="12">
        <f>-MAX(0,AT137)*Control!$E$15</f>
        <v>0</v>
      </c>
      <c r="AU138" s="12">
        <f>-MAX(0,AU137)*Control!$E$15</f>
        <v>0</v>
      </c>
      <c r="AV138" s="12">
        <f>SUM(AR138:AU138)</f>
        <v>0</v>
      </c>
      <c r="AW138" s="12">
        <f>-MAX(0,AW137)*Control!$E$15</f>
        <v>0</v>
      </c>
      <c r="AX138" s="12">
        <f>-MAX(0,AX137)*Control!$E$15</f>
        <v>0</v>
      </c>
      <c r="AY138" s="12">
        <f>-MAX(0,AY137)*Control!$E$15</f>
        <v>0</v>
      </c>
      <c r="AZ138" s="12">
        <f>-MAX(0,AZ137)*Control!$E$15</f>
        <v>0</v>
      </c>
      <c r="BA138" s="12">
        <f>SUM(AW138:AZ138)</f>
        <v>0</v>
      </c>
      <c r="BB138" s="12">
        <f>-MAX(0,BB137)*Control!$E$15</f>
        <v>0</v>
      </c>
      <c r="BC138" s="12">
        <f>-MAX(0,BC137)*Control!$E$15</f>
        <v>0</v>
      </c>
      <c r="BD138" s="12">
        <f>-MAX(0,BD137)*Control!$E$15</f>
        <v>0</v>
      </c>
      <c r="BE138" s="12">
        <f>-MAX(0,BE137)*Control!$E$15</f>
        <v>0</v>
      </c>
      <c r="BF138" s="12">
        <f>SUM(BB138:BE138)</f>
        <v>0</v>
      </c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 hidden="1" outlineLevel="1">
      <c r="C139" s="50" t="inlineStr">
        <is>
          <t>% DVD Payout</t>
        </is>
      </c>
      <c r="D139" s="58" t="n"/>
      <c r="E139" s="58" t="n"/>
      <c r="F139" s="58" t="n"/>
      <c r="G139" s="58" t="n"/>
      <c r="H139" s="58" t="n"/>
      <c r="I139" s="58">
        <f>IF(I137=0,"",-I138/I137)</f>
        <v>0.242904154668861</v>
      </c>
      <c r="J139" s="58">
        <f>IF(J137=0,"",-J138/J137)</f>
        <v>0.320440693858415</v>
      </c>
      <c r="K139" s="58">
        <f>IF(K137=0,"",-K138/K137)</f>
        <v>0.334557023984337</v>
      </c>
      <c r="L139" s="58">
        <f>IF(L137=0,"",-L138/L137)</f>
        <v>0.335298452468681</v>
      </c>
      <c r="M139" s="58">
        <f>IF(M137=0,"",-M138/M137)</f>
        <v>0.305467168064796</v>
      </c>
      <c r="N139" s="58">
        <f>IF(N137=0,"",-N138/N137)</f>
        <v>0.271135866321862</v>
      </c>
      <c r="O139" s="58">
        <f>IF(O137=0,"",-O138/O137)</f>
        <v>0.304733727810651</v>
      </c>
      <c r="P139" s="58">
        <f>IF(P137=0,"",-P138/P137)</f>
        <v>0.293044469783352</v>
      </c>
      <c r="Q139" s="58">
        <f>IF(Q137=0,"",-Q138/Q137)</f>
        <v>0.323671497584541</v>
      </c>
      <c r="R139" s="58">
        <f>IF(R137=0,"",-R138/R137)</f>
        <v>0.297763419483101</v>
      </c>
      <c r="S139" s="58">
        <f>IF(S137=0,"",-S138/S137)</f>
        <v>0.27392621636072</v>
      </c>
      <c r="T139" s="58">
        <f>IF(T137=0,"",-T138/T137)</f>
        <v>0.319145049324077</v>
      </c>
      <c r="U139" s="58">
        <f>IF(U137=0,"",-U138/U137)</f>
        <v>0.297722992638247</v>
      </c>
      <c r="V139" s="58">
        <f>IF(V137=0,"",-V138/V137)</f>
        <v>0.318606782768103</v>
      </c>
      <c r="W139" s="58">
        <f>IF(W137=0,"",-W138/W137)</f>
        <v>0.302086591305125</v>
      </c>
      <c r="X139" s="58">
        <f>IF(X137=0,"",-X138/X137)</f>
        <v>-1.22711142654365</v>
      </c>
      <c r="Y139" s="58">
        <f>IF(Y137=0,"",-Y138/Y137)</f>
        <v>0.458965844402277</v>
      </c>
      <c r="Z139" s="58">
        <f>IF(Z137=0,"",-Z138/Z137)</f>
        <v>0.319900908340215</v>
      </c>
      <c r="AA139" s="58">
        <f>IF(AA137=0,"",-AA138/AA137)</f>
        <v>0.348547717842324</v>
      </c>
      <c r="AB139" s="58">
        <f>IF(AB137=0,"",-AB138/AB137)</f>
        <v>0.52294342242277</v>
      </c>
      <c r="AC139" s="58">
        <f>IF(AC137=0,"",-AC138/AC137)</f>
        <v>0.303877940241577</v>
      </c>
      <c r="AD139" s="58">
        <f>IF(AD137=0,"",-AD138/AD137)</f>
        <v>0.587199060481503</v>
      </c>
      <c r="AE139" s="58">
        <f>IF(AE137=0,"",-AE138/AE137)</f>
        <v>0.852640545144804</v>
      </c>
      <c r="AF139" s="41">
        <f>IF(AF137=0,"",-AF138/AF137)</f>
        <v>200.2</v>
      </c>
      <c r="AG139" s="12">
        <f>IF(AG137=0,"",-AG138/AG137)</f>
        <v>0.656602521566025</v>
      </c>
      <c r="AH139" s="41">
        <f>IF(AH137=0,"",-AH138/AH137)</f>
        <v>0.319267515923567</v>
      </c>
      <c r="AI139" s="41">
        <f>IF(AI137=0,"",-AI138/AI137)</f>
        <v>0.38056163384391</v>
      </c>
      <c r="AJ139" s="41">
        <f>IF(AJ137=0,"",-AJ138/AJ137)</f>
        <v>0</v>
      </c>
      <c r="AK139" s="41">
        <f>IF(AK137=0,"",-AK138/AK137)</f>
        <v>0</v>
      </c>
      <c r="AL139" s="12">
        <f>IF(AL137=0,"",-AL138/AL137)</f>
        <v>0.204715741574616</v>
      </c>
      <c r="AM139" s="41">
        <f>IF(AM137=0,"",-AM138/AM137)</f>
        <v>0</v>
      </c>
      <c r="AN139" s="41">
        <f>IF(AN137=0,"",-AN138/AN137)</f>
        <v>0</v>
      </c>
      <c r="AO139" s="41">
        <f>IF(AO137=0,"",-AO138/AO137)</f>
        <v>0</v>
      </c>
      <c r="AP139" s="41">
        <f>IF(AP137=0,"",-AP138/AP137)</f>
        <v>0</v>
      </c>
      <c r="AQ139" s="12">
        <f>IF(AQ137=0,"",-AQ138/AQ137)</f>
        <v>0</v>
      </c>
      <c r="AR139" s="41">
        <f>IF(AR137=0,"",-AR138/AR137)</f>
        <v>0</v>
      </c>
      <c r="AS139" s="41">
        <f>IF(AS137=0,"",-AS138/AS137)</f>
        <v>0</v>
      </c>
      <c r="AT139" s="41">
        <f>IF(AT137=0,"",-AT138/AT137)</f>
        <v>0</v>
      </c>
      <c r="AU139" s="41">
        <f>IF(AU137=0,"",-AU138/AU137)</f>
        <v>0</v>
      </c>
      <c r="AV139" s="12">
        <f>IF(AV137=0,"",-AV138/AV137)</f>
        <v>0</v>
      </c>
      <c r="AW139" s="41">
        <f>IF(AW137=0,"",-AW138/AW137)</f>
        <v>0</v>
      </c>
      <c r="AX139" s="41">
        <f>IF(AX137=0,"",-AX138/AX137)</f>
        <v>0</v>
      </c>
      <c r="AY139" s="41">
        <f>IF(AY137=0,"",-AY138/AY137)</f>
        <v>0</v>
      </c>
      <c r="AZ139" s="41">
        <f>IF(AZ137=0,"",-AZ138/AZ137)</f>
        <v>0</v>
      </c>
      <c r="BA139" s="12">
        <f>IF(BA137=0,"",-BA138/BA137)</f>
        <v>0</v>
      </c>
      <c r="BB139" s="41">
        <f>IF(BB137=0,"",-BB138/BB137)</f>
        <v>0</v>
      </c>
      <c r="BC139" s="41">
        <f>IF(BC137=0,"",-BC138/BC137)</f>
        <v>0</v>
      </c>
      <c r="BD139" s="41">
        <f>IF(BD137=0,"",-BD138/BD137)</f>
        <v>0</v>
      </c>
      <c r="BE139" s="41">
        <f>IF(BE137=0,"",-BE138/BE137)</f>
        <v>0</v>
      </c>
      <c r="BF139" s="12">
        <f>IF(BF137=0,"",-BF138/BF137)</f>
        <v>0</v>
      </c>
      <c r="BG139" s="41" t="n"/>
      <c r="BH139" s="41" t="n"/>
      <c r="BI139" s="41" t="n"/>
      <c r="BJ139" s="41" t="n"/>
      <c r="BK139" s="12" t="n"/>
      <c r="BL139" s="41" t="n"/>
      <c r="BM139" s="41" t="n"/>
      <c r="BN139" s="41" t="n"/>
      <c r="BO139" s="41" t="n"/>
      <c r="BP139" s="12" t="n"/>
      <c r="BQ139" s="41" t="n"/>
      <c r="BR139" s="41" t="n"/>
      <c r="BS139" s="41" t="n"/>
      <c r="BT139" s="41" t="n"/>
      <c r="BU139" s="12" t="n"/>
      <c r="BV139" s="41" t="n"/>
      <c r="BW139" s="41" t="n"/>
      <c r="BX139" s="41" t="n"/>
      <c r="BY139" s="41" t="n"/>
      <c r="BZ139" s="12" t="n"/>
      <c r="CA139" s="41" t="n"/>
      <c r="CB139" s="41" t="n"/>
      <c r="CC139" s="41" t="n"/>
      <c r="CD139" s="41" t="n"/>
      <c r="CE139" s="12" t="n"/>
      <c r="CF139" s="41" t="n"/>
      <c r="CG139" s="41" t="n"/>
      <c r="CH139" s="41" t="n"/>
      <c r="CI139" s="41" t="n"/>
      <c r="CJ139" s="12" t="n"/>
      <c r="CK139" s="41" t="n"/>
      <c r="CL139" s="41" t="n"/>
      <c r="CM139" s="41" t="n"/>
      <c r="CN139" s="41" t="n"/>
      <c r="CO139" s="12" t="n"/>
      <c r="CP139" s="41" t="n"/>
      <c r="CQ139" s="41" t="n"/>
      <c r="CR139" s="41" t="n"/>
      <c r="CS139" s="41" t="n"/>
      <c r="CT139" s="12" t="n"/>
      <c r="CU139" s="41" t="n"/>
      <c r="CV139" s="41" t="n"/>
      <c r="CW139" s="41" t="n"/>
      <c r="CX139" s="41" t="n"/>
      <c r="CY139" s="12" t="n"/>
    </row>
    <row r="140" hidden="1" outlineLevel="1">
      <c r="C140" s="18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18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collapsed="1" ht="11.25" customHeight="1">
      <c r="C142" s="31" t="inlineStr">
        <is>
          <t>Balance Sheet</t>
        </is>
      </c>
      <c r="D142" s="31" t="n"/>
      <c r="E142" s="31" t="n"/>
      <c r="F142" s="31" t="n"/>
      <c r="G142" s="31" t="n"/>
      <c r="H142" s="31" t="n"/>
      <c r="I142" s="31" t="str">
        <f>I13</f>
        <v>1Q21</v>
      </c>
      <c r="J142" s="31" t="str">
        <f>J13</f>
        <v>2Q21</v>
      </c>
      <c r="K142" s="31" t="str">
        <f>K13</f>
        <v>3Q21</v>
      </c>
      <c r="L142" s="31" t="str">
        <f>L13</f>
        <v>4Q21</v>
      </c>
      <c r="M142" s="31">
        <f>M13</f>
        <v>2021</v>
      </c>
      <c r="N142" s="31" t="str">
        <f>N13</f>
        <v>1Q22</v>
      </c>
      <c r="O142" s="31" t="str">
        <f>O13</f>
        <v>2Q22</v>
      </c>
      <c r="P142" s="31" t="str">
        <f>P13</f>
        <v>3Q22</v>
      </c>
      <c r="Q142" s="31" t="str">
        <f>Q13</f>
        <v>4Q22</v>
      </c>
      <c r="R142" s="31">
        <f>R13</f>
        <v>2022</v>
      </c>
      <c r="S142" s="31" t="str">
        <f>S13</f>
        <v>1Q23</v>
      </c>
      <c r="T142" s="31" t="str">
        <f>T13</f>
        <v>2Q23</v>
      </c>
      <c r="U142" s="31" t="str">
        <f>U13</f>
        <v>3Q23</v>
      </c>
      <c r="V142" s="31" t="str">
        <f>V13</f>
        <v>4Q23</v>
      </c>
      <c r="W142" s="31">
        <f>W13</f>
        <v>2023</v>
      </c>
      <c r="X142" s="31" t="str">
        <f>X13</f>
        <v>1Q24</v>
      </c>
      <c r="Y142" s="31" t="str">
        <f>Y13</f>
        <v>2Q24</v>
      </c>
      <c r="Z142" s="31" t="str">
        <f>Z13</f>
        <v>3Q24</v>
      </c>
      <c r="AA142" s="31" t="str">
        <f>AA13</f>
        <v>4Q24</v>
      </c>
      <c r="AB142" s="31">
        <f>AB13</f>
        <v>2024</v>
      </c>
      <c r="AC142" s="31" t="str">
        <f>AC13</f>
        <v>1Q25</v>
      </c>
      <c r="AD142" s="31" t="str">
        <f>AD13</f>
        <v>2Q25</v>
      </c>
      <c r="AE142" s="31" t="str">
        <f>AE13</f>
        <v>3Q25</v>
      </c>
      <c r="AF142" s="31" t="str">
        <f>AF13</f>
        <v>4Q25</v>
      </c>
      <c r="AG142" s="31">
        <f>AG13</f>
        <v>2025</v>
      </c>
      <c r="AH142" s="31" t="str">
        <f>AH13</f>
        <v>1Q26</v>
      </c>
      <c r="AI142" s="31" t="str">
        <f>AI13</f>
        <v>2Q26</v>
      </c>
      <c r="AJ142" s="31" t="str">
        <f>AJ13</f>
        <v>3Q26</v>
      </c>
      <c r="AK142" s="31" t="str">
        <f>AK13</f>
        <v>4Q26</v>
      </c>
      <c r="AL142" s="31">
        <f>AL13</f>
        <v>2026</v>
      </c>
      <c r="AM142" s="31" t="str">
        <f>AM13</f>
        <v>1Q27</v>
      </c>
      <c r="AN142" s="31" t="str">
        <f>AN13</f>
        <v>2Q27</v>
      </c>
      <c r="AO142" s="31" t="str">
        <f>AO13</f>
        <v>3Q27</v>
      </c>
      <c r="AP142" s="31" t="str">
        <f>AP13</f>
        <v>4Q27</v>
      </c>
      <c r="AQ142" s="31">
        <f>AQ13</f>
        <v>2027</v>
      </c>
      <c r="AR142" s="31" t="str">
        <f>AR13</f>
        <v>1Q28</v>
      </c>
      <c r="AS142" s="31" t="str">
        <f>AS13</f>
        <v>2Q28</v>
      </c>
      <c r="AT142" s="31" t="str">
        <f>AT13</f>
        <v>3Q28</v>
      </c>
      <c r="AU142" s="31" t="str">
        <f>AU13</f>
        <v>4Q28</v>
      </c>
      <c r="AV142" s="31">
        <f>AV13</f>
        <v>2028</v>
      </c>
      <c r="AW142" s="31" t="str">
        <f>AW13</f>
        <v>1Q29</v>
      </c>
      <c r="AX142" s="31" t="str">
        <f>AX13</f>
        <v>2Q29</v>
      </c>
      <c r="AY142" s="31" t="str">
        <f>AY13</f>
        <v>3Q29</v>
      </c>
      <c r="AZ142" s="31" t="str">
        <f>AZ13</f>
        <v>4Q29</v>
      </c>
      <c r="BA142" s="31">
        <f>BA13</f>
        <v>2029</v>
      </c>
      <c r="BB142" s="31" t="str">
        <f>BB13</f>
        <v>1Q30</v>
      </c>
      <c r="BC142" s="31" t="str">
        <f>BC13</f>
        <v>2Q30</v>
      </c>
      <c r="BD142" s="31" t="str">
        <f>BD13</f>
        <v>3Q30</v>
      </c>
      <c r="BE142" s="31" t="str">
        <f>BE13</f>
        <v>4Q30</v>
      </c>
      <c r="BF142" s="31">
        <f>BF13</f>
        <v>2030</v>
      </c>
      <c r="BG142" s="31" t="n"/>
      <c r="BH142" s="31" t="n"/>
      <c r="BI142" s="31" t="n"/>
      <c r="BJ142" s="31" t="n"/>
      <c r="BK142" s="31" t="n"/>
      <c r="BL142" s="31" t="n"/>
      <c r="BM142" s="31" t="n"/>
      <c r="BN142" s="31" t="n"/>
      <c r="BO142" s="31" t="n"/>
      <c r="BP142" s="31" t="n"/>
      <c r="BQ142" s="31" t="n"/>
      <c r="BR142" s="31" t="n"/>
      <c r="BS142" s="31" t="n"/>
      <c r="BT142" s="31" t="n"/>
      <c r="BU142" s="31" t="n"/>
      <c r="BV142" s="31" t="n"/>
      <c r="BW142" s="31" t="n"/>
      <c r="BX142" s="31" t="n"/>
      <c r="BY142" s="31" t="n"/>
      <c r="BZ142" s="31" t="n"/>
      <c r="CA142" s="31" t="n"/>
      <c r="CB142" s="31" t="n"/>
      <c r="CC142" s="31" t="n"/>
      <c r="CD142" s="31" t="n"/>
      <c r="CE142" s="31" t="n"/>
      <c r="CF142" s="31" t="n"/>
      <c r="CG142" s="31" t="n"/>
      <c r="CH142" s="31" t="n"/>
      <c r="CI142" s="31" t="n"/>
      <c r="CJ142" s="31" t="n"/>
      <c r="CK142" s="31" t="n"/>
      <c r="CL142" s="31" t="n"/>
      <c r="CM142" s="31" t="n"/>
      <c r="CN142" s="31" t="n"/>
      <c r="CO142" s="31" t="n"/>
      <c r="CP142" s="31" t="n"/>
      <c r="CQ142" s="31" t="n"/>
      <c r="CR142" s="31" t="n"/>
      <c r="CS142" s="31" t="n"/>
      <c r="CT142" s="31" t="n"/>
      <c r="CU142" s="31" t="n"/>
      <c r="CV142" s="31" t="n"/>
      <c r="CW142" s="31" t="n"/>
      <c r="CX142" s="31" t="n"/>
      <c r="CY142" s="31" t="n"/>
    </row>
    <row r="143">
      <c r="C143" s="18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>
      <c r="C144" s="13" t="inlineStr">
        <is>
          <t>Cash and equivalents (inc. investment securities)</t>
        </is>
      </c>
      <c r="D144" s="46" t="n"/>
      <c r="E144" s="46" t="n"/>
      <c r="F144" s="46" t="n"/>
      <c r="G144" s="46" t="n"/>
      <c r="H144" s="12" t="n"/>
      <c r="I144" s="46">
        <f>'Inputs (2)'!D15</f>
        <v>22917</v>
      </c>
      <c r="J144" s="46">
        <f>'Inputs (2)'!E15</f>
        <v>22561</v>
      </c>
      <c r="K144" s="46">
        <f>'Inputs (2)'!F15</f>
        <v>23871</v>
      </c>
      <c r="L144" s="46">
        <f>'Inputs (2)'!G15</f>
        <v>23907</v>
      </c>
      <c r="M144" s="12">
        <f>'Inputs (2)'!H15</f>
        <v>23907</v>
      </c>
      <c r="N144" s="46">
        <f>'Inputs (2)'!I15</f>
        <v>28396</v>
      </c>
      <c r="O144" s="46">
        <f>'Inputs (2)'!J15</f>
        <v>27964</v>
      </c>
      <c r="P144" s="46">
        <f>'Inputs (2)'!K15</f>
        <v>42527</v>
      </c>
      <c r="Q144" s="46">
        <f>'Inputs (2)'!L15</f>
        <v>27911</v>
      </c>
      <c r="R144" s="12">
        <f>'Inputs (2)'!M15</f>
        <v>27911</v>
      </c>
      <c r="S144" s="46">
        <f>'Inputs (2)'!N15</f>
        <v>46497</v>
      </c>
      <c r="T144" s="46">
        <f>'Inputs (2)'!O15</f>
        <v>46279</v>
      </c>
      <c r="U144" s="46">
        <f>'Inputs (2)'!P15</f>
        <v>44097</v>
      </c>
      <c r="V144" s="46">
        <f>'Inputs (2)'!Q15</f>
        <v>29628</v>
      </c>
      <c r="W144" s="12">
        <f>'Inputs (2)'!R15</f>
        <v>29628</v>
      </c>
      <c r="X144" s="46">
        <f>'Inputs (2)'!S15</f>
        <v>32710</v>
      </c>
      <c r="Y144" s="46">
        <f>'Inputs (2)'!T15</f>
        <v>31323</v>
      </c>
      <c r="Z144" s="46">
        <f>'Inputs (2)'!U15</f>
        <v>37134</v>
      </c>
      <c r="AA144" s="46">
        <f>'Inputs (2)'!V15</f>
        <v>29113</v>
      </c>
      <c r="AB144" s="12">
        <f>'Inputs (2)'!W15</f>
        <v>29113</v>
      </c>
      <c r="AC144" s="46">
        <f>'Inputs (2)'!X15</f>
        <v>34291</v>
      </c>
      <c r="AD144" s="46">
        <f>'Inputs (2)'!Y15</f>
        <v>32020</v>
      </c>
      <c r="AE144" s="46">
        <f>'Inputs (2)'!Z15</f>
        <v>30614</v>
      </c>
      <c r="AF144" s="46">
        <f>'Inputs (2)'!AA15</f>
        <v>28121</v>
      </c>
      <c r="AG144" s="12">
        <f>'Inputs (2)'!AB15</f>
        <v>28121</v>
      </c>
      <c r="AH144" s="12">
        <f>'Inputs (2)'!AC15</f>
        <v>31229</v>
      </c>
      <c r="AI144" s="12">
        <f>'Inputs (2)'!AD15</f>
        <v>31468</v>
      </c>
      <c r="AJ144" s="12">
        <f>AJ273-SUM(AJ145,AJ149,AJ153,AJ154,AJ155,AJ161,AJ166,AJ176,AJ179,AJ180,AJ189)</f>
        <v>30976.9356935193</v>
      </c>
      <c r="AK144" s="12">
        <f>AK273-SUM(AK145,AK149,AK153,AK154,AK155,AK161,AK166,AK176,AK179,AK180,AK189)</f>
        <v>35058.5411738651</v>
      </c>
      <c r="AL144" s="12">
        <f>AK144</f>
        <v>35058.5411738651</v>
      </c>
      <c r="AM144" s="12">
        <f>AM273-SUM(AM145,AM149,AM153,AM154,AM155,AM161,AM166,AM176,AM179,AM180,AM189)</f>
        <v>39198.7355000561</v>
      </c>
      <c r="AN144" s="12">
        <f>AN273-SUM(AN145,AN149,AN153,AN154,AN155,AN161,AN166,AN176,AN179,AN180,AN189)</f>
        <v>43118.1965109948</v>
      </c>
      <c r="AO144" s="12">
        <f>AO273-SUM(AO145,AO149,AO153,AO154,AO155,AO161,AO166,AO176,AO179,AO180,AO189)</f>
        <v>48640.0379435021</v>
      </c>
      <c r="AP144" s="12">
        <f>AP273-SUM(AP145,AP149,AP153,AP154,AP155,AP161,AP166,AP176,AP179,AP180,AP189)</f>
        <v>53058.976375506</v>
      </c>
      <c r="AQ144" s="12">
        <f>AP144</f>
        <v>53058.976375506</v>
      </c>
      <c r="AR144" s="12">
        <f>AR273-SUM(AR145,AR149,AR153,AR154,AR155,AR161,AR166,AR176,AR179,AR180,AR189)</f>
        <v>57290.0096427366</v>
      </c>
      <c r="AS144" s="12">
        <f>AS273-SUM(AS145,AS149,AS153,AS154,AS155,AS161,AS166,AS176,AS179,AS180,AS189)</f>
        <v>61676.389478645</v>
      </c>
      <c r="AT144" s="12">
        <f>AT273-SUM(AT145,AT149,AT153,AT154,AT155,AT161,AT166,AT176,AT179,AT180,AT189)</f>
        <v>67626.9860140598</v>
      </c>
      <c r="AU144" s="12">
        <f>AU273-SUM(AU145,AU149,AU153,AU154,AU155,AU161,AU166,AU176,AU179,AU180,AU189)</f>
        <v>72389.0423036325</v>
      </c>
      <c r="AV144" s="12">
        <f>AU144</f>
        <v>72389.0423036325</v>
      </c>
      <c r="AW144" s="12">
        <f>AW273-SUM(AW145,AW149,AW153,AW154,AW155,AW161,AW166,AW176,AW179,AW180,AW189)</f>
        <v>77028.1676460862</v>
      </c>
      <c r="AX144" s="12">
        <f>AX273-SUM(AX145,AX149,AX153,AX154,AX155,AX161,AX166,AX176,AX179,AX180,AX189)</f>
        <v>81558.8101502819</v>
      </c>
      <c r="AY144" s="12">
        <f>AY273-SUM(AY145,AY149,AY153,AY154,AY155,AY161,AY166,AY176,AY179,AY180,AY189)</f>
        <v>87941.7004062957</v>
      </c>
      <c r="AZ144" s="12">
        <f>AZ273-SUM(AZ145,AZ149,AZ153,AZ154,AZ155,AZ161,AZ166,AZ176,AZ179,AZ180,AZ189)</f>
        <v>93049.7063866043</v>
      </c>
      <c r="BA144" s="12">
        <f>AZ144</f>
        <v>93049.7063866043</v>
      </c>
      <c r="BB144" s="12">
        <f>BB273-SUM(BB145,BB149,BB153,BB154,BB155,BB161,BB166,BB176,BB179,BB180,BB189)</f>
        <v>97923.2589912168</v>
      </c>
      <c r="BC144" s="12">
        <f>BC273-SUM(BC145,BC149,BC153,BC154,BC155,BC161,BC166,BC176,BC179,BC180,BC189)</f>
        <v>102760.386427813</v>
      </c>
      <c r="BD144" s="12">
        <f>BD273-SUM(BD145,BD149,BD153,BD154,BD155,BD161,BD166,BD176,BD179,BD180,BD189)</f>
        <v>109575.060848396</v>
      </c>
      <c r="BE144" s="12">
        <f>BE273-SUM(BE145,BE149,BE153,BE154,BE155,BE161,BE166,BE176,BE179,BE180,BE189)</f>
        <v>115028.608739399</v>
      </c>
      <c r="BF144" s="12">
        <f>BE144</f>
        <v>115028.608739399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>
      <c r="C145" s="14" t="inlineStr">
        <is>
          <t>Accounts receivable</t>
        </is>
      </c>
      <c r="D145" s="46" t="n"/>
      <c r="E145" s="46" t="n"/>
      <c r="F145" s="46" t="n"/>
      <c r="G145" s="46" t="n"/>
      <c r="H145" s="12" t="n"/>
      <c r="I145" s="46">
        <f>'Inputs (2)'!D16</f>
        <v>15980</v>
      </c>
      <c r="J145" s="46">
        <f>'Inputs (2)'!E16</f>
        <v>14587</v>
      </c>
      <c r="K145" s="46">
        <f>'Inputs (2)'!F16</f>
        <v>14152</v>
      </c>
      <c r="L145" s="46">
        <f>'Inputs (2)'!G16</f>
        <v>14216</v>
      </c>
      <c r="M145" s="12">
        <f>'Inputs (2)'!H16</f>
        <v>14216</v>
      </c>
      <c r="N145" s="46">
        <f>'Inputs (2)'!I16</f>
        <v>18871</v>
      </c>
      <c r="O145" s="46">
        <f>'Inputs (2)'!J16</f>
        <v>18718</v>
      </c>
      <c r="P145" s="46">
        <f>'Inputs (2)'!K16</f>
        <v>17047</v>
      </c>
      <c r="Q145" s="46">
        <f>'Inputs (2)'!L16</f>
        <v>17681</v>
      </c>
      <c r="R145" s="12">
        <f>'Inputs (2)'!M16</f>
        <v>17681</v>
      </c>
      <c r="S145" s="46">
        <f>'Inputs (2)'!N16</f>
        <v>22414</v>
      </c>
      <c r="T145" s="46">
        <f>'Inputs (2)'!O16</f>
        <v>17952</v>
      </c>
      <c r="U145" s="46">
        <f>'Inputs (2)'!P16</f>
        <v>20673</v>
      </c>
      <c r="V145" s="46">
        <f>'Inputs (2)'!Q16</f>
        <v>21276</v>
      </c>
      <c r="W145" s="12">
        <f>'Inputs (2)'!R16</f>
        <v>21276</v>
      </c>
      <c r="X145" s="46">
        <f>'Inputs (2)'!S16</f>
        <v>27197</v>
      </c>
      <c r="Y145" s="46">
        <f>'Inputs (2)'!T16</f>
        <v>23115</v>
      </c>
      <c r="Z145" s="46">
        <f>'Inputs (2)'!U16</f>
        <v>20024</v>
      </c>
      <c r="AA145" s="46">
        <f>'Inputs (2)'!V16</f>
        <v>22365</v>
      </c>
      <c r="AB145" s="12">
        <f>'Inputs (2)'!W16</f>
        <v>22365</v>
      </c>
      <c r="AC145" s="46">
        <f>'Inputs (2)'!X16</f>
        <v>26936</v>
      </c>
      <c r="AD145" s="46">
        <f>'Inputs (2)'!Y16</f>
        <v>24142</v>
      </c>
      <c r="AE145" s="46">
        <f>'Inputs (2)'!Z16</f>
        <v>22672</v>
      </c>
      <c r="AF145" s="46">
        <f>'Inputs (2)'!AA16</f>
        <v>23018</v>
      </c>
      <c r="AG145" s="12">
        <f>'Inputs (2)'!AB16</f>
        <v>23018</v>
      </c>
      <c r="AH145" s="12">
        <f>'Inputs (2)'!AC16</f>
        <v>26587</v>
      </c>
      <c r="AI145" s="12">
        <f>'Inputs (2)'!AD16</f>
        <v>21573</v>
      </c>
      <c r="AJ145" s="12">
        <f>(AJ146/(AJ$5-AI$5))*AJ$15</f>
        <v>26163.9270976818</v>
      </c>
      <c r="AK145" s="12">
        <f>(AK146/(AK$5-AJ$5))*AK$15</f>
        <v>26176.4124244576</v>
      </c>
      <c r="AL145" s="12">
        <f>AK145</f>
        <v>26176.4124244576</v>
      </c>
      <c r="AM145" s="12">
        <f>(AM146/(AM$5-AL$5))*AM$15</f>
        <v>26405.0069403348</v>
      </c>
      <c r="AN145" s="12">
        <f>(AN146/(AN$5-AM$5))*AN$15</f>
        <v>26187.5384411347</v>
      </c>
      <c r="AO145" s="12">
        <f>(AO146/(AO$5-AN$5))*AO$15</f>
        <v>28326.3004082163</v>
      </c>
      <c r="AP145" s="12">
        <f>(AP146/(AP$5-AO$5))*AP$15</f>
        <v>28339.8176113344</v>
      </c>
      <c r="AQ145" s="12">
        <f>AP145</f>
        <v>28339.8176113344</v>
      </c>
      <c r="AR145" s="12">
        <f>(AR146/(AR$5-AQ$5))*AR$15</f>
        <v>28142.5843895577</v>
      </c>
      <c r="AS145" s="12">
        <f>(AS146/(AS$5-AR$5))*AS$15</f>
        <v>28220.9254690786</v>
      </c>
      <c r="AT145" s="12">
        <f>(AT146/(AT$5-AS$5))*AT$15</f>
        <v>30525.7561504649</v>
      </c>
      <c r="AU145" s="12">
        <f>(AU146/(AU$5-AT$5))*AU$15</f>
        <v>30540.322925521</v>
      </c>
      <c r="AV145" s="12">
        <f>AU145</f>
        <v>30540.322925521</v>
      </c>
      <c r="AW145" s="12">
        <f>(AW146/(AW$5-AV$5))*AW$15</f>
        <v>30522.4739915993</v>
      </c>
      <c r="AX145" s="12">
        <f>(AX146/(AX$5-AW$5))*AX$15</f>
        <v>30271.0945230831</v>
      </c>
      <c r="AY145" s="12">
        <f>(AY146/(AY$5-AX$5))*AY$15</f>
        <v>32743.3645233137</v>
      </c>
      <c r="AZ145" s="12">
        <f>(AZ146/(AZ$5-AY$5))*AZ$15</f>
        <v>32758.9895326744</v>
      </c>
      <c r="BA145" s="12">
        <f>AZ145</f>
        <v>32758.9895326744</v>
      </c>
      <c r="BB145" s="12">
        <f>(BB146/(BB$5-BA$5))*BB$15</f>
        <v>32587.2315550901</v>
      </c>
      <c r="BC145" s="12">
        <f>(BC146/(BC$5-BB$5))*BC$15</f>
        <v>32318.846988656</v>
      </c>
      <c r="BD145" s="12">
        <f>(BD146/(BD$5-BC$5))*BD$15</f>
        <v>34958.3589425818</v>
      </c>
      <c r="BE145" s="12">
        <f>(BE146/(BE$5-BD$5))*BE$15</f>
        <v>34975.0409388782</v>
      </c>
      <c r="BF145" s="12">
        <f>BE145</f>
        <v>34975.0409388782</v>
      </c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inlineStr">
        <is>
          <t>DSO</t>
        </is>
      </c>
      <c r="D146" s="12" t="n"/>
      <c r="E146" s="12" t="n"/>
      <c r="F146" s="12" t="n"/>
      <c r="G146" s="12" t="n"/>
      <c r="H146" s="12" t="n"/>
      <c r="I146" s="12">
        <f>IFERROR((I145/I$15)*(I$5-H$5),"")</f>
        <v>20.4883469143541</v>
      </c>
      <c r="J146" s="12">
        <f>IFERROR((J145/J$15)*(J$5-I$5),"")</f>
        <v>18.6118674724135</v>
      </c>
      <c r="K146" s="12">
        <f>IFERROR((K145/K$15)*(K$5-J$5),"")</f>
        <v>17.9988664169097</v>
      </c>
      <c r="L146" s="12">
        <f>IFERROR((L145/L$15)*(L$5-K$5),"")</f>
        <v>17.7355410005017</v>
      </c>
      <c r="M146" s="12" t="n"/>
      <c r="N146" s="12">
        <f>IFERROR((N145/N$15)*(N$5-M$5),"")</f>
        <v>21.1904078653508</v>
      </c>
      <c r="O146" s="12">
        <f>IFERROR((O145/O$15)*(O$5-N$5),"")</f>
        <v>21.2037295224817</v>
      </c>
      <c r="P146" s="12">
        <f>IFERROR((P145/P$15)*(P$5-O$5),"")</f>
        <v>19.387395851361</v>
      </c>
      <c r="Q146" s="12">
        <f>IFERROR((Q145/Q$15)*(Q$5-P$5),"")</f>
        <v>19.648640487033</v>
      </c>
      <c r="R146" s="12" t="n"/>
      <c r="S146" s="12">
        <f>IFERROR((S145/S$15)*(S$5-R$5),"")</f>
        <v>21.9431965278307</v>
      </c>
      <c r="T146" s="12">
        <f>IFERROR((T145/T$15)*(T$5-S$5),"")</f>
        <v>17.5842760728932</v>
      </c>
      <c r="U146" s="12">
        <f>IFERROR((U145/U$15)*(U$5-T$5),"")</f>
        <v>20.5921980056517</v>
      </c>
      <c r="V146" s="12">
        <f>IFERROR((V145/V$15)*(V$5-U$5),"")</f>
        <v>20.7291558558463</v>
      </c>
      <c r="W146" s="12" t="n"/>
      <c r="X146" s="12">
        <f>IFERROR((X145/X$15)*(X$5-W$5),"")</f>
        <v>24.7998617179045</v>
      </c>
      <c r="Y146" s="12">
        <f>IFERROR((Y145/Y$15)*(Y$5-X$5),"")</f>
        <v>21.27828637904</v>
      </c>
      <c r="Z146" s="12">
        <f>IFERROR((Z145/Z$15)*(Z$5-Y$5),"")</f>
        <v>18.2722475699266</v>
      </c>
      <c r="AA146" s="12">
        <f>IFERROR((AA145/AA$15)*(AA$5-Z$5),"")</f>
        <v>20.4110825637109</v>
      </c>
      <c r="AB146" s="12" t="n"/>
      <c r="AC146" s="12">
        <f>IFERROR((AC145/AC$15)*(AC$5-AB$5),"")</f>
        <v>22.1240246406571</v>
      </c>
      <c r="AD146" s="12">
        <f>IFERROR((AD145/AD$15)*(AD$5-AC$5),"")</f>
        <v>19.6828590883028</v>
      </c>
      <c r="AE146" s="12">
        <f>IFERROR((AE145/AE$15)*(AE$5-AD$5),"")</f>
        <v>18.4323574376331</v>
      </c>
      <c r="AF146" s="11">
        <f>IFERROR((AF145/AF$15)*(AF$5-AE$5),"")</f>
        <v>18.7047299386124</v>
      </c>
      <c r="AG146" s="12" t="n"/>
      <c r="AH146" s="11">
        <f>IFERROR((AH145/AH$15)*(AH$5-AG$5),"")</f>
        <v>21.4179071078848</v>
      </c>
      <c r="AI146" s="11">
        <f>IFERROR((AI145/AI$15)*(AI$5-AH$5),"")</f>
        <v>17.5230559125964</v>
      </c>
      <c r="AJ146" s="11">
        <f>Control!$B$25</f>
        <v>19.6474890209478</v>
      </c>
      <c r="AK146" s="11">
        <f>Control!$B$25</f>
        <v>19.6474890209478</v>
      </c>
      <c r="AL146" s="12" t="n"/>
      <c r="AM146" s="11">
        <f>Control!$C$25</f>
        <v>19.6474890209478</v>
      </c>
      <c r="AN146" s="11">
        <f>Control!$C$25</f>
        <v>19.6474890209478</v>
      </c>
      <c r="AO146" s="11">
        <f>Control!$C$25</f>
        <v>19.6474890209478</v>
      </c>
      <c r="AP146" s="11">
        <f>Control!$C$25</f>
        <v>19.6474890209478</v>
      </c>
      <c r="AQ146" s="12" t="n"/>
      <c r="AR146" s="11">
        <f>Control!$D$25</f>
        <v>19.6474890209478</v>
      </c>
      <c r="AS146" s="11">
        <f>Control!$D$25</f>
        <v>19.6474890209478</v>
      </c>
      <c r="AT146" s="11">
        <f>Control!$D$25</f>
        <v>19.6474890209478</v>
      </c>
      <c r="AU146" s="11">
        <f>Control!$D$25</f>
        <v>19.6474890209478</v>
      </c>
      <c r="AV146" s="12" t="n"/>
      <c r="AW146" s="11">
        <f>Control!$E$25</f>
        <v>19.6474890209478</v>
      </c>
      <c r="AX146" s="11">
        <f>Control!$E$25</f>
        <v>19.6474890209478</v>
      </c>
      <c r="AY146" s="11">
        <f>Control!$E$25</f>
        <v>19.6474890209478</v>
      </c>
      <c r="AZ146" s="11">
        <f>Control!$E$25</f>
        <v>19.6474890209478</v>
      </c>
      <c r="BA146" s="12" t="n"/>
      <c r="BB146" s="11">
        <f>Control!$F$25</f>
        <v>19.6474890209478</v>
      </c>
      <c r="BC146" s="11">
        <f>Control!$F$25</f>
        <v>19.6474890209478</v>
      </c>
      <c r="BD146" s="11">
        <f>Control!$F$25</f>
        <v>19.6474890209478</v>
      </c>
      <c r="BE146" s="11">
        <f>Control!$F$25</f>
        <v>19.6474890209478</v>
      </c>
      <c r="BF146" s="12" t="n"/>
      <c r="BG146" s="11" t="n"/>
      <c r="BH146" s="11" t="n"/>
      <c r="BI146" s="11" t="n"/>
      <c r="BJ146" s="11" t="n"/>
      <c r="BK146" s="12" t="n"/>
      <c r="BL146" s="11" t="n"/>
      <c r="BM146" s="11" t="n"/>
      <c r="BN146" s="11" t="n"/>
      <c r="BO146" s="11" t="n"/>
      <c r="BP146" s="12" t="n"/>
      <c r="BQ146" s="11" t="n"/>
      <c r="BR146" s="11" t="n"/>
      <c r="BS146" s="11" t="n"/>
      <c r="BT146" s="11" t="n"/>
      <c r="BU146" s="12" t="n"/>
      <c r="BV146" s="11" t="n"/>
      <c r="BW146" s="11" t="n"/>
      <c r="BX146" s="11" t="n"/>
      <c r="BY146" s="11" t="n"/>
      <c r="BZ146" s="12" t="n"/>
      <c r="CA146" s="11" t="n"/>
      <c r="CB146" s="11" t="n"/>
      <c r="CC146" s="11" t="n"/>
      <c r="CD146" s="11" t="n"/>
      <c r="CE146" s="12" t="n"/>
      <c r="CF146" s="11" t="n"/>
      <c r="CG146" s="11" t="n"/>
      <c r="CH146" s="11" t="n"/>
      <c r="CI146" s="11" t="n"/>
      <c r="CJ146" s="12" t="n"/>
      <c r="CK146" s="11" t="n"/>
      <c r="CL146" s="11" t="n"/>
      <c r="CM146" s="11" t="n"/>
      <c r="CN146" s="11" t="n"/>
      <c r="CO146" s="12" t="n"/>
      <c r="CP146" s="11" t="n"/>
      <c r="CQ146" s="11" t="n"/>
      <c r="CR146" s="11" t="n"/>
      <c r="CS146" s="11" t="n"/>
      <c r="CT146" s="12" t="n"/>
      <c r="CU146" s="11" t="n"/>
      <c r="CV146" s="11" t="n"/>
      <c r="CW146" s="11" t="n"/>
      <c r="CX146" s="11" t="n"/>
      <c r="CY146" s="12" t="n"/>
    </row>
    <row r="147" hidden="1" outlineLevel="1">
      <c r="C147" s="57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ollapsed="1">
      <c r="C149" s="14" t="inlineStr">
        <is>
          <t>Inventories</t>
        </is>
      </c>
      <c r="D149" s="46" t="n"/>
      <c r="E149" s="46" t="n"/>
      <c r="F149" s="46" t="n"/>
      <c r="G149" s="46" t="n"/>
      <c r="H149" s="12" t="n"/>
      <c r="I149" s="46">
        <f>'Inputs (2)'!D17</f>
        <v>0</v>
      </c>
      <c r="J149" s="46">
        <f>'Inputs (2)'!E17</f>
        <v>0</v>
      </c>
      <c r="K149" s="46">
        <f>'Inputs (2)'!F17</f>
        <v>0</v>
      </c>
      <c r="L149" s="46">
        <f>'Inputs (2)'!G17</f>
        <v>0</v>
      </c>
      <c r="M149" s="12">
        <f>'Inputs (2)'!H17</f>
        <v>0</v>
      </c>
      <c r="N149" s="46">
        <f>'Inputs (2)'!I17</f>
        <v>0</v>
      </c>
      <c r="O149" s="46">
        <f>'Inputs (2)'!J17</f>
        <v>0</v>
      </c>
      <c r="P149" s="46">
        <f>'Inputs (2)'!K17</f>
        <v>0</v>
      </c>
      <c r="Q149" s="46">
        <f>'Inputs (2)'!L17</f>
        <v>0</v>
      </c>
      <c r="R149" s="12">
        <f>'Inputs (2)'!M17</f>
        <v>0</v>
      </c>
      <c r="S149" s="46">
        <f>'Inputs (2)'!N17</f>
        <v>0</v>
      </c>
      <c r="T149" s="46">
        <f>'Inputs (2)'!O17</f>
        <v>0</v>
      </c>
      <c r="U149" s="46">
        <f>'Inputs (2)'!P17</f>
        <v>0</v>
      </c>
      <c r="V149" s="46">
        <f>'Inputs (2)'!Q17</f>
        <v>0</v>
      </c>
      <c r="W149" s="12">
        <f>'Inputs (2)'!R17</f>
        <v>0</v>
      </c>
      <c r="X149" s="46">
        <f>'Inputs (2)'!S17</f>
        <v>0</v>
      </c>
      <c r="Y149" s="46">
        <f>'Inputs (2)'!T17</f>
        <v>0</v>
      </c>
      <c r="Z149" s="46">
        <f>'Inputs (2)'!U17</f>
        <v>0</v>
      </c>
      <c r="AA149" s="46">
        <f>'Inputs (2)'!V17</f>
        <v>0</v>
      </c>
      <c r="AB149" s="12">
        <f>'Inputs (2)'!W17</f>
        <v>0</v>
      </c>
      <c r="AC149" s="46">
        <f>'Inputs (2)'!X17</f>
        <v>0</v>
      </c>
      <c r="AD149" s="46">
        <f>'Inputs (2)'!Y17</f>
        <v>0</v>
      </c>
      <c r="AE149" s="46">
        <f>'Inputs (2)'!Z17</f>
        <v>0</v>
      </c>
      <c r="AF149" s="46">
        <f>'Inputs (2)'!AA17</f>
        <v>0</v>
      </c>
      <c r="AG149" s="12">
        <f>'Inputs (2)'!AB17</f>
        <v>0</v>
      </c>
      <c r="AH149" s="12">
        <f>'Inputs (2)'!AC17</f>
        <v>0</v>
      </c>
      <c r="AI149" s="12">
        <f>'Inputs (2)'!AD17</f>
        <v>0</v>
      </c>
      <c r="AJ149" s="12">
        <f>(AJ150/(AJ$5-AI$5))*-AJ$54</f>
        <v>0</v>
      </c>
      <c r="AK149" s="12">
        <f>(AK150/(AK$5-AJ$5))*-AK$54</f>
        <v>0</v>
      </c>
      <c r="AL149" s="12">
        <f>AK149</f>
        <v>0</v>
      </c>
      <c r="AM149" s="12">
        <f>(AM150/(AM$5-AL$5))*-AM$54</f>
        <v>0</v>
      </c>
      <c r="AN149" s="12">
        <f>(AN150/(AN$5-AM$5))*-AN$54</f>
        <v>0</v>
      </c>
      <c r="AO149" s="12">
        <f>(AO150/(AO$5-AN$5))*-AO$54</f>
        <v>0</v>
      </c>
      <c r="AP149" s="12">
        <f>(AP150/(AP$5-AO$5))*-AP$54</f>
        <v>0</v>
      </c>
      <c r="AQ149" s="12">
        <f>AP149</f>
        <v>0</v>
      </c>
      <c r="AR149" s="12">
        <f>(AR150/(AR$5-AQ$5))*-AR$54</f>
        <v>0</v>
      </c>
      <c r="AS149" s="12">
        <f>(AS150/(AS$5-AR$5))*-AS$54</f>
        <v>0</v>
      </c>
      <c r="AT149" s="12">
        <f>(AT150/(AT$5-AS$5))*-AT$54</f>
        <v>0</v>
      </c>
      <c r="AU149" s="12">
        <f>(AU150/(AU$5-AT$5))*-AU$54</f>
        <v>0</v>
      </c>
      <c r="AV149" s="12">
        <f>AU149</f>
        <v>0</v>
      </c>
      <c r="AW149" s="12">
        <f>(AW150/(AW$5-AV$5))*-AW$54</f>
        <v>0</v>
      </c>
      <c r="AX149" s="12">
        <f>(AX150/(AX$5-AW$5))*-AX$54</f>
        <v>0</v>
      </c>
      <c r="AY149" s="12">
        <f>(AY150/(AY$5-AX$5))*-AY$54</f>
        <v>0</v>
      </c>
      <c r="AZ149" s="12">
        <f>(AZ150/(AZ$5-AY$5))*-AZ$54</f>
        <v>0</v>
      </c>
      <c r="BA149" s="12">
        <f>AZ149</f>
        <v>0</v>
      </c>
      <c r="BB149" s="12">
        <f>(BB150/(BB$5-BA$5))*-BB$54</f>
        <v>0</v>
      </c>
      <c r="BC149" s="12">
        <f>(BC150/(BC$5-BB$5))*-BC$54</f>
        <v>0</v>
      </c>
      <c r="BD149" s="12">
        <f>(BD150/(BD$5-BC$5))*-BD$54</f>
        <v>0</v>
      </c>
      <c r="BE149" s="12">
        <f>(BE150/(BE$5-BD$5))*-BE$54</f>
        <v>0</v>
      </c>
      <c r="BF149" s="12">
        <f>BE149</f>
        <v>0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7" t="inlineStr">
        <is>
          <t>DIO</t>
        </is>
      </c>
      <c r="D150" s="12" t="n"/>
      <c r="E150" s="12" t="n"/>
      <c r="F150" s="12" t="n"/>
      <c r="G150" s="12" t="n"/>
      <c r="H150" s="12" t="n"/>
      <c r="I150" s="12">
        <f>IFERROR(((I149/I$54)*(I$5-H$5))*-1,"")</f>
        <v>0</v>
      </c>
      <c r="J150" s="12">
        <f>IFERROR(((J149/J$54)*(J$5-I$5))*-1,"")</f>
        <v>0</v>
      </c>
      <c r="K150" s="12">
        <f>IFERROR(((K149/K$54)*(K$5-J$5))*-1,"")</f>
        <v>0</v>
      </c>
      <c r="L150" s="12">
        <f>IFERROR(((L149/L$54)*(L$5-K$5))*-1,"")</f>
        <v>0</v>
      </c>
      <c r="M150" s="12" t="n"/>
      <c r="N150" s="12">
        <f>IFERROR(((N149/N$54)*(N$5-M$5))*-1,"")</f>
        <v>0</v>
      </c>
      <c r="O150" s="12">
        <f>IFERROR(((O149/O$54)*(O$5-N$5))*-1,"")</f>
        <v>0</v>
      </c>
      <c r="P150" s="12">
        <f>IFERROR(((P149/P$54)*(P$5-O$5))*-1,"")</f>
        <v>0</v>
      </c>
      <c r="Q150" s="12">
        <f>IFERROR(((Q149/Q$54)*(Q$5-P$5))*-1,"")</f>
        <v>0</v>
      </c>
      <c r="R150" s="12" t="n"/>
      <c r="S150" s="12">
        <f>IFERROR(((S149/S$54)*(S$5-R$5))*-1,"")</f>
        <v>0</v>
      </c>
      <c r="T150" s="12">
        <f>IFERROR(((T149/T$54)*(T$5-S$5))*-1,"")</f>
        <v>0</v>
      </c>
      <c r="U150" s="12">
        <f>IFERROR(((U149/U$54)*(U$5-T$5))*-1,"")</f>
        <v>0</v>
      </c>
      <c r="V150" s="12">
        <f>IFERROR(((V149/V$54)*(V$5-U$5))*-1,"")</f>
        <v>0</v>
      </c>
      <c r="W150" s="12" t="n"/>
      <c r="X150" s="12">
        <f>IFERROR(((X149/X$54)*(X$5-W$5))*-1,"")</f>
        <v>0</v>
      </c>
      <c r="Y150" s="12">
        <f>IFERROR(((Y149/Y$54)*(Y$5-X$5))*-1,"")</f>
        <v>0</v>
      </c>
      <c r="Z150" s="12">
        <f>IFERROR(((Z149/Z$54)*(Z$5-Y$5))*-1,"")</f>
        <v>0</v>
      </c>
      <c r="AA150" s="12">
        <f>IFERROR(((AA149/AA$54)*(AA$5-Z$5))*-1,"")</f>
        <v>0</v>
      </c>
      <c r="AB150" s="12" t="n"/>
      <c r="AC150" s="12">
        <f>IFERROR(((AC149/AC$54)*(AC$5-AB$5))*-1,"")</f>
        <v>0</v>
      </c>
      <c r="AD150" s="12">
        <f>IFERROR(((AD149/AD$54)*(AD$5-AC$5))*-1,"")</f>
        <v>0</v>
      </c>
      <c r="AE150" s="12">
        <f>IFERROR(((AE149/AE$54)*(AE$5-AD$5))*-1,"")</f>
        <v>0</v>
      </c>
      <c r="AF150" s="11">
        <f>IFERROR(((AF149/AF$54)*(AF$5-AE$5))*-1,"")</f>
        <v>0</v>
      </c>
      <c r="AG150" s="12" t="n"/>
      <c r="AH150" s="11">
        <f>IFERROR(((AH149/AH$54)*(AH$5-AG$5))*-1,"")</f>
        <v>0</v>
      </c>
      <c r="AI150" s="11">
        <f>IFERROR(((AI149/AI$54)*(AI$5-AH$5))*-1,"")</f>
        <v>0</v>
      </c>
      <c r="AJ150" s="11">
        <f>Control!$B$26</f>
        <v>0</v>
      </c>
      <c r="AK150" s="11">
        <f>Control!$B$26</f>
        <v>0</v>
      </c>
      <c r="AL150" s="12" t="n"/>
      <c r="AM150" s="11">
        <f>Control!$C$26</f>
        <v>0</v>
      </c>
      <c r="AN150" s="11">
        <f>Control!$C$26</f>
        <v>0</v>
      </c>
      <c r="AO150" s="11">
        <f>Control!$C$26</f>
        <v>0</v>
      </c>
      <c r="AP150" s="11">
        <f>Control!$C$26</f>
        <v>0</v>
      </c>
      <c r="AQ150" s="12" t="n"/>
      <c r="AR150" s="11">
        <f>Control!$D$26</f>
        <v>0</v>
      </c>
      <c r="AS150" s="11">
        <f>Control!$D$26</f>
        <v>0</v>
      </c>
      <c r="AT150" s="11">
        <f>Control!$D$26</f>
        <v>0</v>
      </c>
      <c r="AU150" s="11">
        <f>Control!$D$26</f>
        <v>0</v>
      </c>
      <c r="AV150" s="12" t="n"/>
      <c r="AW150" s="11">
        <f>Control!$E$26</f>
        <v>0</v>
      </c>
      <c r="AX150" s="11">
        <f>Control!$E$26</f>
        <v>0</v>
      </c>
      <c r="AY150" s="11">
        <f>Control!$E$26</f>
        <v>0</v>
      </c>
      <c r="AZ150" s="11">
        <f>Control!$E$26</f>
        <v>0</v>
      </c>
      <c r="BA150" s="12" t="n"/>
      <c r="BB150" s="11">
        <f>Control!$F$26</f>
        <v>0</v>
      </c>
      <c r="BC150" s="11">
        <f>Control!$F$26</f>
        <v>0</v>
      </c>
      <c r="BD150" s="11">
        <f>Control!$F$26</f>
        <v>0</v>
      </c>
      <c r="BE150" s="11">
        <f>Control!$F$26</f>
        <v>0</v>
      </c>
      <c r="BF150" s="12" t="n"/>
      <c r="BG150" s="11" t="n"/>
      <c r="BH150" s="11" t="n"/>
      <c r="BI150" s="11" t="n"/>
      <c r="BJ150" s="11" t="n"/>
      <c r="BK150" s="12" t="n"/>
      <c r="BL150" s="11" t="n"/>
      <c r="BM150" s="11" t="n"/>
      <c r="BN150" s="11" t="n"/>
      <c r="BO150" s="11" t="n"/>
      <c r="BP150" s="12" t="n"/>
      <c r="BQ150" s="11" t="n"/>
      <c r="BR150" s="11" t="n"/>
      <c r="BS150" s="11" t="n"/>
      <c r="BT150" s="11" t="n"/>
      <c r="BU150" s="12" t="n"/>
      <c r="BV150" s="11" t="n"/>
      <c r="BW150" s="11" t="n"/>
      <c r="BX150" s="11" t="n"/>
      <c r="BY150" s="11" t="n"/>
      <c r="BZ150" s="12" t="n"/>
      <c r="CA150" s="11" t="n"/>
      <c r="CB150" s="11" t="n"/>
      <c r="CC150" s="11" t="n"/>
      <c r="CD150" s="11" t="n"/>
      <c r="CE150" s="12" t="n"/>
      <c r="CF150" s="11" t="n"/>
      <c r="CG150" s="11" t="n"/>
      <c r="CH150" s="11" t="n"/>
      <c r="CI150" s="11" t="n"/>
      <c r="CJ150" s="12" t="n"/>
      <c r="CK150" s="11" t="n"/>
      <c r="CL150" s="11" t="n"/>
      <c r="CM150" s="11" t="n"/>
      <c r="CN150" s="11" t="n"/>
      <c r="CO150" s="12" t="n"/>
      <c r="CP150" s="11" t="n"/>
      <c r="CQ150" s="11" t="n"/>
      <c r="CR150" s="11" t="n"/>
      <c r="CS150" s="11" t="n"/>
      <c r="CT150" s="12" t="n"/>
      <c r="CU150" s="11" t="n"/>
      <c r="CV150" s="11" t="n"/>
      <c r="CW150" s="11" t="n"/>
      <c r="CX150" s="11" t="n"/>
      <c r="CY150" s="12" t="n"/>
    </row>
    <row r="151" hidden="1" outlineLevel="1">
      <c r="C151" s="57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hidden="1" outlineLevel="1">
      <c r="C152" s="57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collapsed="1">
      <c r="C153" s="14" t="inlineStr">
        <is>
          <t>Deferred income taxes</t>
        </is>
      </c>
      <c r="D153" s="46" t="n"/>
      <c r="E153" s="46" t="n"/>
      <c r="F153" s="46" t="n"/>
      <c r="G153" s="46" t="n"/>
      <c r="H153" s="12" t="n"/>
      <c r="I153" s="46">
        <f>'Inputs (2)'!D18</f>
        <v>0</v>
      </c>
      <c r="J153" s="46">
        <f>'Inputs (2)'!E18</f>
        <v>0</v>
      </c>
      <c r="K153" s="46">
        <f>'Inputs (2)'!F18</f>
        <v>0</v>
      </c>
      <c r="L153" s="46">
        <f>'Inputs (2)'!G18</f>
        <v>0</v>
      </c>
      <c r="M153" s="12">
        <f>'Inputs (2)'!H18</f>
        <v>0</v>
      </c>
      <c r="N153" s="46">
        <f>'Inputs (2)'!I18</f>
        <v>0</v>
      </c>
      <c r="O153" s="46">
        <f>'Inputs (2)'!J18</f>
        <v>0</v>
      </c>
      <c r="P153" s="46">
        <f>'Inputs (2)'!K18</f>
        <v>0</v>
      </c>
      <c r="Q153" s="46">
        <f>'Inputs (2)'!L18</f>
        <v>0</v>
      </c>
      <c r="R153" s="12">
        <f>'Inputs (2)'!M18</f>
        <v>0</v>
      </c>
      <c r="S153" s="46">
        <f>'Inputs (2)'!N18</f>
        <v>0</v>
      </c>
      <c r="T153" s="46">
        <f>'Inputs (2)'!O18</f>
        <v>0</v>
      </c>
      <c r="U153" s="46">
        <f>'Inputs (2)'!P18</f>
        <v>0</v>
      </c>
      <c r="V153" s="46">
        <f>'Inputs (2)'!Q18</f>
        <v>0</v>
      </c>
      <c r="W153" s="12">
        <f>'Inputs (2)'!R18</f>
        <v>0</v>
      </c>
      <c r="X153" s="46">
        <f>'Inputs (2)'!S18</f>
        <v>0</v>
      </c>
      <c r="Y153" s="46">
        <f>'Inputs (2)'!T18</f>
        <v>0</v>
      </c>
      <c r="Z153" s="46">
        <f>'Inputs (2)'!U18</f>
        <v>0</v>
      </c>
      <c r="AA153" s="46">
        <f>'Inputs (2)'!V18</f>
        <v>0</v>
      </c>
      <c r="AB153" s="12">
        <f>'Inputs (2)'!W18</f>
        <v>0</v>
      </c>
      <c r="AC153" s="46">
        <f>'Inputs (2)'!X18</f>
        <v>0</v>
      </c>
      <c r="AD153" s="46">
        <f>'Inputs (2)'!Y18</f>
        <v>0</v>
      </c>
      <c r="AE153" s="46">
        <f>'Inputs (2)'!Z18</f>
        <v>0</v>
      </c>
      <c r="AF153" s="46">
        <f>'Inputs (2)'!AA18</f>
        <v>0</v>
      </c>
      <c r="AG153" s="12">
        <f>'Inputs (2)'!AB18</f>
        <v>0</v>
      </c>
      <c r="AH153" s="12">
        <f>'Inputs (2)'!AC18</f>
        <v>0</v>
      </c>
      <c r="AI153" s="12">
        <f>'Inputs (2)'!AD18</f>
        <v>0</v>
      </c>
      <c r="AJ153" s="12">
        <f>AI153</f>
        <v>0</v>
      </c>
      <c r="AK153" s="12">
        <f>AJ153</f>
        <v>0</v>
      </c>
      <c r="AL153" s="12">
        <f>AK153</f>
        <v>0</v>
      </c>
      <c r="AM153" s="12">
        <f>AL153</f>
        <v>0</v>
      </c>
      <c r="AN153" s="12">
        <f>AM153</f>
        <v>0</v>
      </c>
      <c r="AO153" s="12">
        <f>AN153</f>
        <v>0</v>
      </c>
      <c r="AP153" s="12">
        <f>AO153</f>
        <v>0</v>
      </c>
      <c r="AQ153" s="12">
        <f>AP153</f>
        <v>0</v>
      </c>
      <c r="AR153" s="12">
        <f>AQ153</f>
        <v>0</v>
      </c>
      <c r="AS153" s="12">
        <f>AR153</f>
        <v>0</v>
      </c>
      <c r="AT153" s="12">
        <f>AS153</f>
        <v>0</v>
      </c>
      <c r="AU153" s="12">
        <f>AT153</f>
        <v>0</v>
      </c>
      <c r="AV153" s="12">
        <f>AU153</f>
        <v>0</v>
      </c>
      <c r="AW153" s="12">
        <f>AV153</f>
        <v>0</v>
      </c>
      <c r="AX153" s="12">
        <f>AW153</f>
        <v>0</v>
      </c>
      <c r="AY153" s="12">
        <f>AX153</f>
        <v>0</v>
      </c>
      <c r="AZ153" s="12">
        <f>AY153</f>
        <v>0</v>
      </c>
      <c r="BA153" s="12">
        <f>AZ153</f>
        <v>0</v>
      </c>
      <c r="BB153" s="12">
        <f>BA153</f>
        <v>0</v>
      </c>
      <c r="BC153" s="12">
        <f>BB153</f>
        <v>0</v>
      </c>
      <c r="BD153" s="12">
        <f>BC153</f>
        <v>0</v>
      </c>
      <c r="BE153" s="12">
        <f>BD153</f>
        <v>0</v>
      </c>
      <c r="BF153" s="12">
        <f>BE153</f>
        <v>0</v>
      </c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>
      <c r="C154" s="14" t="inlineStr">
        <is>
          <t>Prepaid expenses</t>
        </is>
      </c>
      <c r="D154" s="46" t="n"/>
      <c r="E154" s="46" t="n"/>
      <c r="F154" s="46" t="n"/>
      <c r="G154" s="46" t="n"/>
      <c r="H154" s="12" t="n"/>
      <c r="I154" s="46">
        <f>'Inputs (2)'!D19</f>
        <v>0</v>
      </c>
      <c r="J154" s="46">
        <f>'Inputs (2)'!E19</f>
        <v>0</v>
      </c>
      <c r="K154" s="46">
        <f>'Inputs (2)'!F19</f>
        <v>0</v>
      </c>
      <c r="L154" s="46">
        <f>'Inputs (2)'!G19</f>
        <v>0</v>
      </c>
      <c r="M154" s="12">
        <f>'Inputs (2)'!H19</f>
        <v>0</v>
      </c>
      <c r="N154" s="46">
        <f>'Inputs (2)'!I19</f>
        <v>0</v>
      </c>
      <c r="O154" s="46">
        <f>'Inputs (2)'!J19</f>
        <v>0</v>
      </c>
      <c r="P154" s="46">
        <f>'Inputs (2)'!K19</f>
        <v>0</v>
      </c>
      <c r="Q154" s="46">
        <f>'Inputs (2)'!L19</f>
        <v>0</v>
      </c>
      <c r="R154" s="12">
        <f>'Inputs (2)'!M19</f>
        <v>0</v>
      </c>
      <c r="S154" s="46">
        <f>'Inputs (2)'!N19</f>
        <v>0</v>
      </c>
      <c r="T154" s="46">
        <f>'Inputs (2)'!O19</f>
        <v>0</v>
      </c>
      <c r="U154" s="46">
        <f>'Inputs (2)'!P19</f>
        <v>0</v>
      </c>
      <c r="V154" s="46">
        <f>'Inputs (2)'!Q19</f>
        <v>0</v>
      </c>
      <c r="W154" s="12">
        <f>'Inputs (2)'!R19</f>
        <v>0</v>
      </c>
      <c r="X154" s="46">
        <f>'Inputs (2)'!S19</f>
        <v>0</v>
      </c>
      <c r="Y154" s="46">
        <f>'Inputs (2)'!T19</f>
        <v>0</v>
      </c>
      <c r="Z154" s="46">
        <f>'Inputs (2)'!U19</f>
        <v>0</v>
      </c>
      <c r="AA154" s="46">
        <f>'Inputs (2)'!V19</f>
        <v>0</v>
      </c>
      <c r="AB154" s="12">
        <f>'Inputs (2)'!W19</f>
        <v>0</v>
      </c>
      <c r="AC154" s="46">
        <f>'Inputs (2)'!X19</f>
        <v>0</v>
      </c>
      <c r="AD154" s="46">
        <f>'Inputs (2)'!Y19</f>
        <v>0</v>
      </c>
      <c r="AE154" s="46">
        <f>'Inputs (2)'!Z19</f>
        <v>0</v>
      </c>
      <c r="AF154" s="46">
        <f>'Inputs (2)'!AA19</f>
        <v>0</v>
      </c>
      <c r="AG154" s="12">
        <f>'Inputs (2)'!AB19</f>
        <v>0</v>
      </c>
      <c r="AH154" s="12">
        <f>'Inputs (2)'!AC19</f>
        <v>0</v>
      </c>
      <c r="AI154" s="12">
        <f>'Inputs (2)'!AD19</f>
        <v>0</v>
      </c>
      <c r="AJ154" s="12">
        <f>AI154</f>
        <v>0</v>
      </c>
      <c r="AK154" s="12">
        <f>AJ154</f>
        <v>0</v>
      </c>
      <c r="AL154" s="12">
        <f>AK154</f>
        <v>0</v>
      </c>
      <c r="AM154" s="12">
        <f>AL154</f>
        <v>0</v>
      </c>
      <c r="AN154" s="12">
        <f>AM154</f>
        <v>0</v>
      </c>
      <c r="AO154" s="12">
        <f>AN154</f>
        <v>0</v>
      </c>
      <c r="AP154" s="12">
        <f>AO154</f>
        <v>0</v>
      </c>
      <c r="AQ154" s="12">
        <f>AP154</f>
        <v>0</v>
      </c>
      <c r="AR154" s="12">
        <f>AQ154</f>
        <v>0</v>
      </c>
      <c r="AS154" s="12">
        <f>AR154</f>
        <v>0</v>
      </c>
      <c r="AT154" s="12">
        <f>AS154</f>
        <v>0</v>
      </c>
      <c r="AU154" s="12">
        <f>AT154</f>
        <v>0</v>
      </c>
      <c r="AV154" s="12">
        <f>AU154</f>
        <v>0</v>
      </c>
      <c r="AW154" s="12">
        <f>AV154</f>
        <v>0</v>
      </c>
      <c r="AX154" s="12">
        <f>AW154</f>
        <v>0</v>
      </c>
      <c r="AY154" s="12">
        <f>AX154</f>
        <v>0</v>
      </c>
      <c r="AZ154" s="12">
        <f>AY154</f>
        <v>0</v>
      </c>
      <c r="BA154" s="12">
        <f>AZ154</f>
        <v>0</v>
      </c>
      <c r="BB154" s="12">
        <f>BA154</f>
        <v>0</v>
      </c>
      <c r="BC154" s="12">
        <f>BB154</f>
        <v>0</v>
      </c>
      <c r="BD154" s="12">
        <f>BC154</f>
        <v>0</v>
      </c>
      <c r="BE154" s="12">
        <f>BD154</f>
        <v>0</v>
      </c>
      <c r="BF154" s="12">
        <f>BE154</f>
        <v>0</v>
      </c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>
      <c r="C155" s="14" t="inlineStr">
        <is>
          <t>Other current assets</t>
        </is>
      </c>
      <c r="D155" s="46" t="n"/>
      <c r="E155" s="46" t="n"/>
      <c r="F155" s="46" t="n"/>
      <c r="G155" s="46" t="n"/>
      <c r="H155" s="12" t="n"/>
      <c r="I155" s="46">
        <f>'Inputs (2)'!D20</f>
        <v>20611</v>
      </c>
      <c r="J155" s="46">
        <f>'Inputs (2)'!E20</f>
        <v>21768</v>
      </c>
      <c r="K155" s="46">
        <f>'Inputs (2)'!F20</f>
        <v>23587</v>
      </c>
      <c r="L155" s="46">
        <f>'Inputs (2)'!G20</f>
        <v>23635</v>
      </c>
      <c r="M155" s="12">
        <f>'Inputs (2)'!H20</f>
        <v>23635</v>
      </c>
      <c r="N155" s="46">
        <f>'Inputs (2)'!I20</f>
        <v>21762</v>
      </c>
      <c r="O155" s="46">
        <f>'Inputs (2)'!J20</f>
        <v>21674</v>
      </c>
      <c r="P155" s="46">
        <f>'Inputs (2)'!K20</f>
        <v>23363</v>
      </c>
      <c r="Q155" s="46">
        <f>'Inputs (2)'!L20</f>
        <v>23477</v>
      </c>
      <c r="R155" s="12">
        <f>'Inputs (2)'!M20</f>
        <v>23477</v>
      </c>
      <c r="S155" s="46">
        <f>'Inputs (2)'!N20</f>
        <v>24984</v>
      </c>
      <c r="T155" s="46">
        <f>'Inputs (2)'!O20</f>
        <v>25638</v>
      </c>
      <c r="U155" s="46">
        <f>'Inputs (2)'!P20</f>
        <v>27135</v>
      </c>
      <c r="V155" s="46">
        <f>'Inputs (2)'!Q20</f>
        <v>27533</v>
      </c>
      <c r="W155" s="12">
        <f>'Inputs (2)'!R20</f>
        <v>27533</v>
      </c>
      <c r="X155" s="46">
        <f>'Inputs (2)'!S20</f>
        <v>29035</v>
      </c>
      <c r="Y155" s="46">
        <f>'Inputs (2)'!T20</f>
        <v>37600</v>
      </c>
      <c r="Z155" s="46">
        <f>'Inputs (2)'!U20</f>
        <v>35100</v>
      </c>
      <c r="AA155" s="46">
        <f>'Inputs (2)'!V20</f>
        <v>34301</v>
      </c>
      <c r="AB155" s="12">
        <f>'Inputs (2)'!W20</f>
        <v>34301</v>
      </c>
      <c r="AC155" s="46">
        <f>'Inputs (2)'!X20</f>
        <v>35058</v>
      </c>
      <c r="AD155" s="46">
        <f>'Inputs (2)'!Y20</f>
        <v>37537</v>
      </c>
      <c r="AE155" s="46">
        <f>'Inputs (2)'!Z20</f>
        <v>41781</v>
      </c>
      <c r="AF155" s="46">
        <f>'Inputs (2)'!AA20</f>
        <v>39443</v>
      </c>
      <c r="AG155" s="12">
        <f>'Inputs (2)'!AB20</f>
        <v>39443</v>
      </c>
      <c r="AH155" s="12">
        <f>'Inputs (2)'!AC20</f>
        <v>33311</v>
      </c>
      <c r="AI155" s="12">
        <f>'Inputs (2)'!AD20</f>
        <v>33819</v>
      </c>
      <c r="AJ155" s="12">
        <f>AI155</f>
        <v>33819</v>
      </c>
      <c r="AK155" s="12">
        <f>AJ155</f>
        <v>33819</v>
      </c>
      <c r="AL155" s="12">
        <f>AK155</f>
        <v>33819</v>
      </c>
      <c r="AM155" s="12">
        <f>AL155</f>
        <v>33819</v>
      </c>
      <c r="AN155" s="12">
        <f>AM155</f>
        <v>33819</v>
      </c>
      <c r="AO155" s="12">
        <f>AN155</f>
        <v>33819</v>
      </c>
      <c r="AP155" s="12">
        <f>AO155</f>
        <v>33819</v>
      </c>
      <c r="AQ155" s="12">
        <f>AP155</f>
        <v>33819</v>
      </c>
      <c r="AR155" s="12">
        <f>AQ155</f>
        <v>33819</v>
      </c>
      <c r="AS155" s="12">
        <f>AR155</f>
        <v>33819</v>
      </c>
      <c r="AT155" s="12">
        <f>AS155</f>
        <v>33819</v>
      </c>
      <c r="AU155" s="12">
        <f>AT155</f>
        <v>33819</v>
      </c>
      <c r="AV155" s="12">
        <f>AU155</f>
        <v>33819</v>
      </c>
      <c r="AW155" s="12">
        <f>AV155</f>
        <v>33819</v>
      </c>
      <c r="AX155" s="12">
        <f>AW155</f>
        <v>33819</v>
      </c>
      <c r="AY155" s="12">
        <f>AX155</f>
        <v>33819</v>
      </c>
      <c r="AZ155" s="12">
        <f>AY155</f>
        <v>33819</v>
      </c>
      <c r="BA155" s="12">
        <f>AZ155</f>
        <v>33819</v>
      </c>
      <c r="BB155" s="12">
        <f>BA155</f>
        <v>33819</v>
      </c>
      <c r="BC155" s="12">
        <f>BB155</f>
        <v>33819</v>
      </c>
      <c r="BD155" s="12">
        <f>BC155</f>
        <v>33819</v>
      </c>
      <c r="BE155" s="12">
        <f>BD155</f>
        <v>33819</v>
      </c>
      <c r="BF155" s="12">
        <f>BE155</f>
        <v>33819</v>
      </c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9" t="inlineStr">
        <is>
          <t>%(Var.)</t>
        </is>
      </c>
      <c r="D156" s="12" t="n"/>
      <c r="E156" s="40" t="n"/>
      <c r="F156" s="40" t="n"/>
      <c r="G156" s="40" t="n"/>
      <c r="H156" s="12" t="n"/>
      <c r="I156" s="40" t="str">
        <f>""</f>
        <v/>
      </c>
      <c r="J156" s="40">
        <f>IFERROR(IF(I155=0,"",J155/I155-1),"")</f>
        <v>0.0561350735044395</v>
      </c>
      <c r="K156" s="40">
        <f>IFERROR(IF(J155=0,"",K155/J155-1),"")</f>
        <v>0.0835630282984197</v>
      </c>
      <c r="L156" s="40">
        <f>IFERROR(IF(K155=0,"",L155/K155-1),"")</f>
        <v>0.00203501929028693</v>
      </c>
      <c r="M156" s="12">
        <f>IFERROR(IF(L155=0,"",M155/L155-1),"")</f>
        <v>0</v>
      </c>
      <c r="N156" s="40">
        <f>IFERROR(IF(M155=0,"",N155/M155-1),"")</f>
        <v>-0.0792468796276709</v>
      </c>
      <c r="O156" s="40">
        <f>IFERROR(IF(N155=0,"",O155/N155-1),"")</f>
        <v>-0.00404374597922985</v>
      </c>
      <c r="P156" s="40">
        <f>IFERROR(IF(O155=0,"",P155/O155-1),"")</f>
        <v>0.0779274707022239</v>
      </c>
      <c r="Q156" s="40">
        <f>IFERROR(IF(P155=0,"",Q155/P155-1),"")</f>
        <v>0.00487951033685752</v>
      </c>
      <c r="R156" s="12">
        <f>IFERROR(IF(Q155=0,"",R155/Q155-1),"")</f>
        <v>0</v>
      </c>
      <c r="S156" s="40">
        <f>IFERROR(IF(R155=0,"",S155/R155-1),"")</f>
        <v>0.0641904843037866</v>
      </c>
      <c r="T156" s="40">
        <f>IFERROR(IF(S155=0,"",T155/S155-1),"")</f>
        <v>0.0261767531219981</v>
      </c>
      <c r="U156" s="40">
        <f>IFERROR(IF(T155=0,"",U155/T155-1),"")</f>
        <v>0.0583898900070208</v>
      </c>
      <c r="V156" s="40">
        <f>IFERROR(IF(U155=0,"",V155/U155-1),"")</f>
        <v>0.0146674037221302</v>
      </c>
      <c r="W156" s="12">
        <f>IFERROR(IF(V155=0,"",W155/V155-1),"")</f>
        <v>0</v>
      </c>
      <c r="X156" s="40">
        <f>IFERROR(IF(W155=0,"",X155/W155-1),"")</f>
        <v>0.0545527185559147</v>
      </c>
      <c r="Y156" s="40">
        <f>IFERROR(IF(X155=0,"",Y155/X155-1),"")</f>
        <v>0.294988806612709</v>
      </c>
      <c r="Z156" s="40">
        <f>IFERROR(IF(Y155=0,"",Z155/Y155-1),"")</f>
        <v>-0.0664893617021277</v>
      </c>
      <c r="AA156" s="40">
        <f>IFERROR(IF(Z155=0,"",AA155/Z155-1),"")</f>
        <v>-0.0227635327635327</v>
      </c>
      <c r="AB156" s="12">
        <f>IFERROR(IF(AA155=0,"",AB155/AA155-1),"")</f>
        <v>0</v>
      </c>
      <c r="AC156" s="40">
        <f>IFERROR(IF(AB155=0,"",AC155/AB155-1),"")</f>
        <v>0.0220693274248565</v>
      </c>
      <c r="AD156" s="40">
        <f>IFERROR(IF(AC155=0,"",AD155/AC155-1),"")</f>
        <v>0.0707113925494893</v>
      </c>
      <c r="AE156" s="40">
        <f>IFERROR(IF(AD155=0,"",AE155/AD155-1),"")</f>
        <v>0.113061779044676</v>
      </c>
      <c r="AF156" s="55">
        <f>IFERROR(IF(AE155=0,"",AF155/AE155-1),"")</f>
        <v>-0.0559584500131639</v>
      </c>
      <c r="AG156" s="12">
        <f>IFERROR(IF(AF155=0,"",AG155/AF155-1),"")</f>
        <v>0</v>
      </c>
      <c r="AH156" s="12">
        <f>IFERROR(IF(AG155=0,"",AH155/AG155-1),"")</f>
        <v>-0.155464848008519</v>
      </c>
      <c r="AI156" s="12">
        <f>IFERROR(IF(AH155=0,"",AI155/AH155-1),"")</f>
        <v>0.0152502176458227</v>
      </c>
      <c r="AJ156" s="12">
        <f>IFERROR(IF(AI155=0,"",AJ155/AI155-1),"")</f>
        <v>0</v>
      </c>
      <c r="AK156" s="12">
        <f>IFERROR(IF(AJ155=0,"",AK155/AJ155-1),"")</f>
        <v>0</v>
      </c>
      <c r="AL156" s="12">
        <f>IFERROR(IF(AK155=0,"",AL155/AK155-1),"")</f>
        <v>0</v>
      </c>
      <c r="AM156" s="12">
        <f>IFERROR(IF(AL155=0,"",AM155/AL155-1),"")</f>
        <v>0</v>
      </c>
      <c r="AN156" s="12">
        <f>IFERROR(IF(AM155=0,"",AN155/AM155-1),"")</f>
        <v>0</v>
      </c>
      <c r="AO156" s="12">
        <f>IFERROR(IF(AN155=0,"",AO155/AN155-1),"")</f>
        <v>0</v>
      </c>
      <c r="AP156" s="12">
        <f>IFERROR(IF(AO155=0,"",AP155/AO155-1),"")</f>
        <v>0</v>
      </c>
      <c r="AQ156" s="12">
        <f>IFERROR(IF(AP155=0,"",AQ155/AP155-1),"")</f>
        <v>0</v>
      </c>
      <c r="AR156" s="12">
        <f>IFERROR(IF(AQ155=0,"",AR155/AQ155-1),"")</f>
        <v>0</v>
      </c>
      <c r="AS156" s="12">
        <f>IFERROR(IF(AR155=0,"",AS155/AR155-1),"")</f>
        <v>0</v>
      </c>
      <c r="AT156" s="12">
        <f>IFERROR(IF(AS155=0,"",AT155/AS155-1),"")</f>
        <v>0</v>
      </c>
      <c r="AU156" s="12">
        <f>IFERROR(IF(AT155=0,"",AU155/AT155-1),"")</f>
        <v>0</v>
      </c>
      <c r="AV156" s="12">
        <f>IFERROR(IF(AU155=0,"",AV155/AU155-1),"")</f>
        <v>0</v>
      </c>
      <c r="AW156" s="12">
        <f>IFERROR(IF(AV155=0,"",AW155/AV155-1),"")</f>
        <v>0</v>
      </c>
      <c r="AX156" s="12">
        <f>IFERROR(IF(AW155=0,"",AX155/AW155-1),"")</f>
        <v>0</v>
      </c>
      <c r="AY156" s="12">
        <f>IFERROR(IF(AX155=0,"",AY155/AX155-1),"")</f>
        <v>0</v>
      </c>
      <c r="AZ156" s="12">
        <f>IFERROR(IF(AY155=0,"",AZ155/AY155-1),"")</f>
        <v>0</v>
      </c>
      <c r="BA156" s="12">
        <f>IFERROR(IF(AZ155=0,"",BA155/AZ155-1),"")</f>
        <v>0</v>
      </c>
      <c r="BB156" s="12">
        <f>IFERROR(IF(BA155=0,"",BB155/BA155-1),"")</f>
        <v>0</v>
      </c>
      <c r="BC156" s="12">
        <f>IFERROR(IF(BB155=0,"",BC155/BB155-1),"")</f>
        <v>0</v>
      </c>
      <c r="BD156" s="12">
        <f>IFERROR(IF(BC155=0,"",BD155/BC155-1),"")</f>
        <v>0</v>
      </c>
      <c r="BE156" s="12">
        <f>IFERROR(IF(BD155=0,"",BE155/BD155-1),"")</f>
        <v>0</v>
      </c>
      <c r="BF156" s="12">
        <f>IFERROR(IF(BE155=0,"",BF155/BE155-1),"")</f>
        <v>0</v>
      </c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 hidden="1" outlineLevel="1">
      <c r="C157" s="57" t="n"/>
      <c r="D157" s="12" t="n"/>
      <c r="E157" s="40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60" t="inlineStr">
        <is>
          <t xml:space="preserve">Impostos e Contribuições a Recuperar </t>
        </is>
      </c>
      <c r="D158" s="11" t="n"/>
      <c r="E158" s="11" t="n"/>
      <c r="F158" s="11" t="n"/>
      <c r="G158" s="11" t="n"/>
      <c r="H158" s="12" t="n"/>
      <c r="I158" s="11" t="n"/>
      <c r="J158" s="11" t="n"/>
      <c r="K158" s="11" t="n"/>
      <c r="L158" s="11" t="n"/>
      <c r="M158" s="12" t="n"/>
      <c r="N158" s="11" t="n"/>
      <c r="O158" s="11" t="n"/>
      <c r="P158" s="11" t="n"/>
      <c r="Q158" s="11" t="n"/>
      <c r="R158" s="12" t="n"/>
      <c r="S158" s="11" t="n"/>
      <c r="T158" s="11" t="n"/>
      <c r="U158" s="11" t="n"/>
      <c r="V158" s="11" t="n"/>
      <c r="W158" s="12" t="n"/>
      <c r="X158" s="11" t="n"/>
      <c r="Y158" s="11" t="n"/>
      <c r="Z158" s="11" t="n"/>
      <c r="AA158" s="11" t="n"/>
      <c r="AB158" s="12" t="n"/>
      <c r="AC158" s="11" t="n"/>
      <c r="AD158" s="11" t="n"/>
      <c r="AE158" s="11" t="n"/>
      <c r="AF158" s="11" t="n"/>
      <c r="AG158" s="12">
        <f>AF158</f>
        <v>0</v>
      </c>
      <c r="AH158" s="61">
        <f>IFERROR(AG158*AH15/AG15,"")</f>
        <v>0</v>
      </c>
      <c r="AI158" s="61">
        <f>IFERROR(AH158*AI15/AH15,"")</f>
        <v>0</v>
      </c>
      <c r="AJ158" s="61">
        <f>IFERROR(AI158*AJ15/AI15,"")</f>
        <v>0</v>
      </c>
      <c r="AK158" s="61">
        <f>IFERROR(AJ158*AK15/AJ15,"")</f>
        <v>0</v>
      </c>
      <c r="AL158" s="12">
        <f>IFERROR(AK158,"")</f>
        <v>0</v>
      </c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60" t="inlineStr">
        <is>
          <t>Outros Créditos</t>
        </is>
      </c>
      <c r="D159" s="11" t="n"/>
      <c r="E159" s="11" t="n"/>
      <c r="F159" s="11" t="n"/>
      <c r="G159" s="11" t="n"/>
      <c r="H159" s="12" t="n"/>
      <c r="I159" s="11" t="n"/>
      <c r="J159" s="11" t="n"/>
      <c r="K159" s="11" t="n"/>
      <c r="L159" s="11" t="n"/>
      <c r="M159" s="12" t="n"/>
      <c r="N159" s="11" t="n"/>
      <c r="O159" s="11" t="n"/>
      <c r="P159" s="11" t="n"/>
      <c r="Q159" s="11" t="n"/>
      <c r="R159" s="12" t="n"/>
      <c r="S159" s="11" t="n"/>
      <c r="T159" s="11" t="n"/>
      <c r="U159" s="11" t="n"/>
      <c r="V159" s="11" t="n"/>
      <c r="W159" s="12" t="n"/>
      <c r="X159" s="11" t="n"/>
      <c r="Y159" s="11" t="n"/>
      <c r="Z159" s="11" t="n"/>
      <c r="AA159" s="11" t="n"/>
      <c r="AB159" s="12" t="n"/>
      <c r="AC159" s="11" t="n"/>
      <c r="AD159" s="11" t="n"/>
      <c r="AE159" s="11" t="n"/>
      <c r="AF159" s="11" t="n"/>
      <c r="AG159" s="12">
        <f>AF159</f>
        <v>0</v>
      </c>
      <c r="AH159" s="12">
        <f>AG159</f>
        <v>0</v>
      </c>
      <c r="AI159" s="12">
        <f>AH159</f>
        <v>0</v>
      </c>
      <c r="AJ159" s="12">
        <f>AI159</f>
        <v>0</v>
      </c>
      <c r="AK159" s="12">
        <f>AJ159</f>
        <v>0</v>
      </c>
      <c r="AL159" s="12">
        <f>AK159</f>
        <v>0</v>
      </c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collapsed="1">
      <c r="C161" s="14" t="inlineStr">
        <is>
          <t>Equity in affiliates</t>
        </is>
      </c>
      <c r="D161" s="46" t="n"/>
      <c r="E161" s="46" t="n"/>
      <c r="F161" s="46" t="n"/>
      <c r="G161" s="46" t="n"/>
      <c r="H161" s="12" t="n"/>
      <c r="I161" s="46">
        <f>'Inputs (2)'!D21</f>
        <v>0</v>
      </c>
      <c r="J161" s="46">
        <f>'Inputs (2)'!E21</f>
        <v>0</v>
      </c>
      <c r="K161" s="46">
        <f>'Inputs (2)'!F21</f>
        <v>0</v>
      </c>
      <c r="L161" s="46">
        <f>'Inputs (2)'!G21</f>
        <v>0</v>
      </c>
      <c r="M161" s="12">
        <f>'Inputs (2)'!H21</f>
        <v>0</v>
      </c>
      <c r="N161" s="46">
        <f>'Inputs (2)'!I21</f>
        <v>0</v>
      </c>
      <c r="O161" s="46">
        <f>'Inputs (2)'!J21</f>
        <v>0</v>
      </c>
      <c r="P161" s="46">
        <f>'Inputs (2)'!K21</f>
        <v>0</v>
      </c>
      <c r="Q161" s="46">
        <f>'Inputs (2)'!L21</f>
        <v>0</v>
      </c>
      <c r="R161" s="12">
        <f>'Inputs (2)'!M21</f>
        <v>0</v>
      </c>
      <c r="S161" s="46">
        <f>'Inputs (2)'!N21</f>
        <v>0</v>
      </c>
      <c r="T161" s="46">
        <f>'Inputs (2)'!O21</f>
        <v>0</v>
      </c>
      <c r="U161" s="46">
        <f>'Inputs (2)'!P21</f>
        <v>0</v>
      </c>
      <c r="V161" s="46">
        <f>'Inputs (2)'!Q21</f>
        <v>0</v>
      </c>
      <c r="W161" s="12">
        <f>'Inputs (2)'!R21</f>
        <v>0</v>
      </c>
      <c r="X161" s="46">
        <f>'Inputs (2)'!S21</f>
        <v>0</v>
      </c>
      <c r="Y161" s="46">
        <f>'Inputs (2)'!T21</f>
        <v>0</v>
      </c>
      <c r="Z161" s="46">
        <f>'Inputs (2)'!U21</f>
        <v>0</v>
      </c>
      <c r="AA161" s="46">
        <f>'Inputs (2)'!V21</f>
        <v>0</v>
      </c>
      <c r="AB161" s="12">
        <f>'Inputs (2)'!W21</f>
        <v>0</v>
      </c>
      <c r="AC161" s="46">
        <f>'Inputs (2)'!X21</f>
        <v>0</v>
      </c>
      <c r="AD161" s="46">
        <f>'Inputs (2)'!Y21</f>
        <v>0</v>
      </c>
      <c r="AE161" s="46">
        <f>'Inputs (2)'!Z21</f>
        <v>0</v>
      </c>
      <c r="AF161" s="46">
        <f>'Inputs (2)'!AA21</f>
        <v>0</v>
      </c>
      <c r="AG161" s="12">
        <f>'Inputs (2)'!AB21</f>
        <v>0</v>
      </c>
      <c r="AH161" s="12">
        <f>'Inputs (2)'!AC21</f>
        <v>0</v>
      </c>
      <c r="AI161" s="12">
        <f>'Inputs (2)'!AD21</f>
        <v>0</v>
      </c>
      <c r="AJ161" s="12">
        <f>AI161+AJ135</f>
        <v>0</v>
      </c>
      <c r="AK161" s="12">
        <f>AJ161+AK135</f>
        <v>0</v>
      </c>
      <c r="AL161" s="12">
        <f>AK161</f>
        <v>0</v>
      </c>
      <c r="AM161" s="12">
        <f>AL161+AM135</f>
        <v>0</v>
      </c>
      <c r="AN161" s="12">
        <f>AM161+AN135</f>
        <v>0</v>
      </c>
      <c r="AO161" s="12">
        <f>AN161+AO135</f>
        <v>0</v>
      </c>
      <c r="AP161" s="12">
        <f>AO161+AP135</f>
        <v>0</v>
      </c>
      <c r="AQ161" s="12">
        <f>AP161</f>
        <v>0</v>
      </c>
      <c r="AR161" s="12">
        <f>AQ161+AR135</f>
        <v>0</v>
      </c>
      <c r="AS161" s="12">
        <f>AR161+AS135</f>
        <v>0</v>
      </c>
      <c r="AT161" s="12">
        <f>AS161+AT135</f>
        <v>0</v>
      </c>
      <c r="AU161" s="12">
        <f>AT161+AU135</f>
        <v>0</v>
      </c>
      <c r="AV161" s="12">
        <f>AU161</f>
        <v>0</v>
      </c>
      <c r="AW161" s="12">
        <f>AV161+AW135</f>
        <v>0</v>
      </c>
      <c r="AX161" s="12">
        <f>AW161+AX135</f>
        <v>0</v>
      </c>
      <c r="AY161" s="12">
        <f>AX161+AY135</f>
        <v>0</v>
      </c>
      <c r="AZ161" s="12">
        <f>AY161+AZ135</f>
        <v>0</v>
      </c>
      <c r="BA161" s="12">
        <f>AZ161</f>
        <v>0</v>
      </c>
      <c r="BB161" s="12">
        <f>BA161+BB135</f>
        <v>0</v>
      </c>
      <c r="BC161" s="12">
        <f>BB161+BC135</f>
        <v>0</v>
      </c>
      <c r="BD161" s="12">
        <f>BC161+BD135</f>
        <v>0</v>
      </c>
      <c r="BE161" s="12">
        <f>BD161+BE135</f>
        <v>0</v>
      </c>
      <c r="BF161" s="12">
        <f>BE161</f>
        <v>0</v>
      </c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inlineStr">
        <is>
          <t>Equity in Income - % YoY</t>
        </is>
      </c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>
        <f>IF(I135=0,0,N135/I135-1)</f>
        <v>0</v>
      </c>
      <c r="O163" s="12">
        <f>IF(J135=0,0,O135/J135-1)</f>
        <v>0</v>
      </c>
      <c r="P163" s="12">
        <f>IF(K135=0,0,P135/K135-1)</f>
        <v>0</v>
      </c>
      <c r="Q163" s="12">
        <f>IF(L135=0,0,Q135/L135-1)</f>
        <v>0</v>
      </c>
      <c r="R163" s="12" t="n"/>
      <c r="S163" s="12">
        <f>IF(N135=0,0,S135/N135-1)</f>
        <v>0</v>
      </c>
      <c r="T163" s="12">
        <f>IF(O135=0,0,T135/O135-1)</f>
        <v>0</v>
      </c>
      <c r="U163" s="12">
        <f>IF(P135=0,0,U135/P135-1)</f>
        <v>0</v>
      </c>
      <c r="V163" s="12">
        <f>IF(Q135=0,0,V135/Q135-1)</f>
        <v>0</v>
      </c>
      <c r="W163" s="12" t="n"/>
      <c r="X163" s="12">
        <f>IF(S135=0,0,X135/S135-1)</f>
        <v>0</v>
      </c>
      <c r="Y163" s="12">
        <f>IF(T135=0,0,Y135/T135-1)</f>
        <v>0</v>
      </c>
      <c r="Z163" s="12">
        <f>IF(U135=0,0,Z135/U135-1)</f>
        <v>0</v>
      </c>
      <c r="AA163" s="12">
        <f>IF(V135=0,0,AA135/V135-1)</f>
        <v>0</v>
      </c>
      <c r="AB163" s="12" t="n"/>
      <c r="AC163" s="12">
        <f>IF(X135=0,0,AC135/X135-1)</f>
        <v>0</v>
      </c>
      <c r="AD163" s="12">
        <f>IF(Y135=0,0,AD135/Y135-1)</f>
        <v>0</v>
      </c>
      <c r="AE163" s="12">
        <f>IF(Z135=0,0,AE135/Z135-1)</f>
        <v>0</v>
      </c>
      <c r="AF163" s="12">
        <f>IF(AA135=0,0,AF135/AA135-1)</f>
        <v>0</v>
      </c>
      <c r="AG163" s="12" t="n"/>
      <c r="AH163" s="11">
        <f>IF(AC135=0,0,AH135/AC135-1)</f>
        <v>0</v>
      </c>
      <c r="AI163" s="11">
        <f>IF(AD135=0,0,AI135/AD135-1)</f>
        <v>0</v>
      </c>
      <c r="AJ163" s="11" t="n"/>
      <c r="AK163" s="11" t="n"/>
      <c r="AL163" s="12" t="n"/>
      <c r="AM163" s="11" t="n"/>
      <c r="AN163" s="11" t="n"/>
      <c r="AO163" s="11" t="n"/>
      <c r="AP163" s="11" t="n"/>
      <c r="AQ163" s="12" t="n"/>
      <c r="AR163" s="11" t="n"/>
      <c r="AS163" s="11" t="n"/>
      <c r="AT163" s="11" t="n"/>
      <c r="AU163" s="11" t="n"/>
      <c r="AV163" s="12" t="n"/>
      <c r="AW163" s="11" t="n"/>
      <c r="AX163" s="11" t="n"/>
      <c r="AY163" s="11" t="n"/>
      <c r="AZ163" s="11" t="n"/>
      <c r="BA163" s="12" t="n"/>
      <c r="BB163" s="11" t="n"/>
      <c r="BC163" s="11" t="n"/>
      <c r="BD163" s="11" t="n"/>
      <c r="BE163" s="11" t="n"/>
      <c r="BF163" s="12" t="n"/>
      <c r="BG163" s="11" t="n"/>
      <c r="BH163" s="11" t="n"/>
      <c r="BI163" s="11" t="n"/>
      <c r="BJ163" s="11" t="n"/>
      <c r="BK163" s="12" t="n"/>
      <c r="BL163" s="11" t="n"/>
      <c r="BM163" s="11" t="n"/>
      <c r="BN163" s="11" t="n"/>
      <c r="BO163" s="11" t="n"/>
      <c r="BP163" s="12" t="n"/>
      <c r="BQ163" s="11" t="n"/>
      <c r="BR163" s="11" t="n"/>
      <c r="BS163" s="11" t="n"/>
      <c r="BT163" s="11" t="n"/>
      <c r="BU163" s="12" t="n"/>
      <c r="BV163" s="11" t="n"/>
      <c r="BW163" s="11" t="n"/>
      <c r="BX163" s="11" t="n"/>
      <c r="BY163" s="11" t="n"/>
      <c r="BZ163" s="12" t="n"/>
      <c r="CA163" s="11" t="n"/>
      <c r="CB163" s="11" t="n"/>
      <c r="CC163" s="11" t="n"/>
      <c r="CD163" s="11" t="n"/>
      <c r="CE163" s="12" t="n"/>
      <c r="CF163" s="11" t="n"/>
      <c r="CG163" s="11" t="n"/>
      <c r="CH163" s="11" t="n"/>
      <c r="CI163" s="11" t="n"/>
      <c r="CJ163" s="12" t="n"/>
      <c r="CK163" s="11" t="n"/>
      <c r="CL163" s="11" t="n"/>
      <c r="CM163" s="11" t="n"/>
      <c r="CN163" s="11" t="n"/>
      <c r="CO163" s="12" t="n"/>
      <c r="CP163" s="11" t="n"/>
      <c r="CQ163" s="11" t="n"/>
      <c r="CR163" s="11" t="n"/>
      <c r="CS163" s="11" t="n"/>
      <c r="CT163" s="12" t="n"/>
      <c r="CU163" s="11" t="n"/>
      <c r="CV163" s="11" t="n"/>
      <c r="CW163" s="11" t="n"/>
      <c r="CX163" s="11" t="n"/>
      <c r="CY163" s="12" t="n"/>
    </row>
    <row r="164" hidden="1" outlineLevel="1">
      <c r="C164" s="57" t="inlineStr">
        <is>
          <t>Dividends (enter as -)</t>
        </is>
      </c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1" t="n"/>
      <c r="AI164" s="11" t="n"/>
      <c r="AJ164" s="11" t="n"/>
      <c r="AK164" s="11" t="n"/>
      <c r="AL164" s="12" t="n"/>
      <c r="AM164" s="11" t="n"/>
      <c r="AN164" s="11" t="n"/>
      <c r="AO164" s="11" t="n"/>
      <c r="AP164" s="11" t="n"/>
      <c r="AQ164" s="12" t="n"/>
      <c r="AR164" s="11" t="n"/>
      <c r="AS164" s="11" t="n"/>
      <c r="AT164" s="11" t="n"/>
      <c r="AU164" s="11" t="n"/>
      <c r="AV164" s="12" t="n"/>
      <c r="AW164" s="11" t="n"/>
      <c r="AX164" s="11" t="n"/>
      <c r="AY164" s="11" t="n"/>
      <c r="AZ164" s="11" t="n"/>
      <c r="BA164" s="12" t="n"/>
      <c r="BB164" s="11" t="n"/>
      <c r="BC164" s="11" t="n"/>
      <c r="BD164" s="11" t="n"/>
      <c r="BE164" s="11" t="n"/>
      <c r="BF164" s="12" t="n"/>
      <c r="BG164" s="11" t="n"/>
      <c r="BH164" s="11" t="n"/>
      <c r="BI164" s="11" t="n"/>
      <c r="BJ164" s="11" t="n"/>
      <c r="BK164" s="12" t="n"/>
      <c r="BL164" s="11" t="n"/>
      <c r="BM164" s="11" t="n"/>
      <c r="BN164" s="11" t="n"/>
      <c r="BO164" s="11" t="n"/>
      <c r="BP164" s="12" t="n"/>
      <c r="BQ164" s="11" t="n"/>
      <c r="BR164" s="11" t="n"/>
      <c r="BS164" s="11" t="n"/>
      <c r="BT164" s="11" t="n"/>
      <c r="BU164" s="12" t="n"/>
      <c r="BV164" s="11" t="n"/>
      <c r="BW164" s="11" t="n"/>
      <c r="BX164" s="11" t="n"/>
      <c r="BY164" s="11" t="n"/>
      <c r="BZ164" s="12" t="n"/>
      <c r="CA164" s="11" t="n"/>
      <c r="CB164" s="11" t="n"/>
      <c r="CC164" s="11" t="n"/>
      <c r="CD164" s="11" t="n"/>
      <c r="CE164" s="12" t="n"/>
      <c r="CF164" s="11" t="n"/>
      <c r="CG164" s="11" t="n"/>
      <c r="CH164" s="11" t="n"/>
      <c r="CI164" s="11" t="n"/>
      <c r="CJ164" s="12" t="n"/>
      <c r="CK164" s="11" t="n"/>
      <c r="CL164" s="11" t="n"/>
      <c r="CM164" s="11" t="n"/>
      <c r="CN164" s="11" t="n"/>
      <c r="CO164" s="12" t="n"/>
      <c r="CP164" s="11" t="n"/>
      <c r="CQ164" s="11" t="n"/>
      <c r="CR164" s="11" t="n"/>
      <c r="CS164" s="11" t="n"/>
      <c r="CT164" s="12" t="n"/>
      <c r="CU164" s="11" t="n"/>
      <c r="CV164" s="11" t="n"/>
      <c r="CW164" s="11" t="n"/>
      <c r="CX164" s="11" t="n"/>
      <c r="CY164" s="12" t="n"/>
    </row>
    <row r="165" hidden="1" outlineLevel="1">
      <c r="C165" s="57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 collapsed="1">
      <c r="C166" s="14" t="inlineStr">
        <is>
          <t>PP&amp;E</t>
        </is>
      </c>
      <c r="D166" s="46" t="n"/>
      <c r="E166" s="46" t="n"/>
      <c r="F166" s="46" t="n"/>
      <c r="G166" s="46" t="n"/>
      <c r="H166" s="12" t="n"/>
      <c r="I166" s="46">
        <f>'Inputs (2)'!D22</f>
        <v>8496</v>
      </c>
      <c r="J166" s="46">
        <f>'Inputs (2)'!E22</f>
        <v>8735</v>
      </c>
      <c r="K166" s="46">
        <f>'Inputs (2)'!F22</f>
        <v>8730</v>
      </c>
      <c r="L166" s="46">
        <f>'Inputs (2)'!G22</f>
        <v>8969</v>
      </c>
      <c r="M166" s="12">
        <f>'Inputs (2)'!H22</f>
        <v>8969</v>
      </c>
      <c r="N166" s="46">
        <f>'Inputs (2)'!I22</f>
        <v>9183</v>
      </c>
      <c r="O166" s="46">
        <f>'Inputs (2)'!J22</f>
        <v>9421</v>
      </c>
      <c r="P166" s="46">
        <f>'Inputs (2)'!K22</f>
        <v>9469</v>
      </c>
      <c r="Q166" s="46">
        <f>'Inputs (2)'!L22</f>
        <v>10128</v>
      </c>
      <c r="R166" s="12">
        <f>'Inputs (2)'!M22</f>
        <v>10128</v>
      </c>
      <c r="S166" s="46">
        <f>'Inputs (2)'!N22</f>
        <v>10637</v>
      </c>
      <c r="T166" s="46">
        <f>'Inputs (2)'!O22</f>
        <v>10926</v>
      </c>
      <c r="U166" s="46">
        <f>'Inputs (2)'!P22</f>
        <v>11070</v>
      </c>
      <c r="V166" s="46">
        <f>'Inputs (2)'!Q22</f>
        <v>11450</v>
      </c>
      <c r="W166" s="12">
        <f>'Inputs (2)'!R22</f>
        <v>11450</v>
      </c>
      <c r="X166" s="46">
        <f>'Inputs (2)'!S22</f>
        <v>10429</v>
      </c>
      <c r="Y166" s="46">
        <f>'Inputs (2)'!T22</f>
        <v>9801</v>
      </c>
      <c r="Z166" s="46">
        <f>'Inputs (2)'!U22</f>
        <v>10139</v>
      </c>
      <c r="AA166" s="46">
        <f>'Inputs (2)'!V22</f>
        <v>10553</v>
      </c>
      <c r="AB166" s="12">
        <f>'Inputs (2)'!W22</f>
        <v>10553</v>
      </c>
      <c r="AC166" s="46">
        <f>'Inputs (2)'!X22</f>
        <v>10734</v>
      </c>
      <c r="AD166" s="46">
        <f>'Inputs (2)'!Y22</f>
        <v>10923</v>
      </c>
      <c r="AE166" s="46">
        <f>'Inputs (2)'!Z22</f>
        <v>11104</v>
      </c>
      <c r="AF166" s="46">
        <f>'Inputs (2)'!AA22</f>
        <v>10762</v>
      </c>
      <c r="AG166" s="12">
        <f>'Inputs (2)'!AB22</f>
        <v>10762</v>
      </c>
      <c r="AH166" s="12">
        <f>'Inputs (2)'!AC22</f>
        <v>10667</v>
      </c>
      <c r="AI166" s="12">
        <f>'Inputs (2)'!AD22</f>
        <v>10762</v>
      </c>
      <c r="AJ166" s="12">
        <f>AJ171</f>
        <v>10800.1951522297</v>
      </c>
      <c r="AK166" s="12">
        <f>AK171</f>
        <v>10838.4085310411</v>
      </c>
      <c r="AL166" s="12">
        <f>AK166</f>
        <v>10838.4085310411</v>
      </c>
      <c r="AM166" s="12">
        <f>AM171</f>
        <v>10876.11764109</v>
      </c>
      <c r="AN166" s="12">
        <f>AN171</f>
        <v>10913.9317227488</v>
      </c>
      <c r="AO166" s="12">
        <f>AO171</f>
        <v>10955.2835944367</v>
      </c>
      <c r="AP166" s="12">
        <f>AP171</f>
        <v>10996.655199081</v>
      </c>
      <c r="AQ166" s="12">
        <f>AP166</f>
        <v>10996.655199081</v>
      </c>
      <c r="AR166" s="12">
        <f>AR171</f>
        <v>11037.2923130498</v>
      </c>
      <c r="AS166" s="12">
        <f>AS171</f>
        <v>11078.0425493721</v>
      </c>
      <c r="AT166" s="12">
        <f>AT171</f>
        <v>11122.6052749423</v>
      </c>
      <c r="AU166" s="12">
        <f>AU171</f>
        <v>11167.1892656761</v>
      </c>
      <c r="AV166" s="12">
        <f>AU166</f>
        <v>11167.1892656761</v>
      </c>
      <c r="AW166" s="12">
        <f>AW171</f>
        <v>11210.7785490766</v>
      </c>
      <c r="AX166" s="12">
        <f>AX171</f>
        <v>11254.4891728441</v>
      </c>
      <c r="AY166" s="12">
        <f>AY171</f>
        <v>11302.2892522362</v>
      </c>
      <c r="AZ166" s="12">
        <f>AZ171</f>
        <v>11350.112141645</v>
      </c>
      <c r="BA166" s="12">
        <f>AZ166</f>
        <v>11350.112141645</v>
      </c>
      <c r="BB166" s="12">
        <f>BB171</f>
        <v>11396.6501146771</v>
      </c>
      <c r="BC166" s="12">
        <f>BC171</f>
        <v>11443.3176364029</v>
      </c>
      <c r="BD166" s="12">
        <f>BD171</f>
        <v>11494.3512536625</v>
      </c>
      <c r="BE166" s="12">
        <f>BE171</f>
        <v>11545.4092239706</v>
      </c>
      <c r="BF166" s="12">
        <f>BE166</f>
        <v>11545.4092239706</v>
      </c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57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7" t="inlineStr">
        <is>
          <t>Capital expenditures</t>
        </is>
      </c>
      <c r="D168" s="12" t="n"/>
      <c r="E168" s="12" t="n"/>
      <c r="F168" s="12" t="n"/>
      <c r="G168" s="12" t="n"/>
      <c r="H168" s="12" t="n"/>
      <c r="I168" s="12" t="n"/>
      <c r="J168" s="12">
        <f>J166-I166-J70</f>
        <v>1017</v>
      </c>
      <c r="K168" s="12">
        <f>K166-J166-K70</f>
        <v>791</v>
      </c>
      <c r="L168" s="12">
        <f>L166-K166-L70</f>
        <v>1010</v>
      </c>
      <c r="M168" s="12" t="n"/>
      <c r="N168" s="12">
        <f>N166-M166-N70</f>
        <v>1002</v>
      </c>
      <c r="O168" s="12">
        <f>O166-N166-O70</f>
        <v>1040</v>
      </c>
      <c r="P168" s="12">
        <f>P166-O166-P70</f>
        <v>876</v>
      </c>
      <c r="Q168" s="12">
        <f>Q166-P166-Q70</f>
        <v>1641</v>
      </c>
      <c r="R168" s="12" t="n"/>
      <c r="S168" s="12">
        <f>S166-R166-S70</f>
        <v>1479</v>
      </c>
      <c r="T168" s="12">
        <f>T166-S166-T70</f>
        <v>1310</v>
      </c>
      <c r="U168" s="12">
        <f>U166-T166-U70</f>
        <v>1151</v>
      </c>
      <c r="V168" s="12">
        <f>V166-U166-V70</f>
        <v>1354</v>
      </c>
      <c r="W168" s="12" t="n"/>
      <c r="X168" s="12">
        <f>X166-W166-X70</f>
        <v>-24</v>
      </c>
      <c r="Y168" s="12">
        <f>Y166-X166-Y70</f>
        <v>392</v>
      </c>
      <c r="Z168" s="12">
        <f>Z166-Y166-Z70</f>
        <v>1379</v>
      </c>
      <c r="AA168" s="12">
        <f>AA166-Z166-AA70</f>
        <v>1455</v>
      </c>
      <c r="AB168" s="12" t="n"/>
      <c r="AC168" s="12">
        <f>AC166-AB166-AC70</f>
        <v>1242</v>
      </c>
      <c r="AD168" s="12">
        <f>AD166-AC166-AD70</f>
        <v>1273</v>
      </c>
      <c r="AE168" s="12">
        <f>AE166-AD166-AE70</f>
        <v>1280</v>
      </c>
      <c r="AF168" s="11">
        <f>AF166-AE166-AF70</f>
        <v>775</v>
      </c>
      <c r="AG168" s="12">
        <f>SUM(AC168:AF168)</f>
        <v>4570</v>
      </c>
      <c r="AH168" s="11">
        <f>AH166-AG166-AH70</f>
        <v>934</v>
      </c>
      <c r="AI168" s="11">
        <f>AI166-AH166-AI70</f>
        <v>1135</v>
      </c>
      <c r="AJ168" s="11">
        <f>AJ15*Control!$B$24</f>
        <v>1211.59308415104</v>
      </c>
      <c r="AK168" s="11">
        <f>AK15*Control!$B$24</f>
        <v>1212.17125177543</v>
      </c>
      <c r="AL168" s="12" t="n"/>
      <c r="AM168" s="11">
        <f>AM15*Control!$C$24</f>
        <v>1196.17528083384</v>
      </c>
      <c r="AN168" s="11">
        <f>AN15*Control!$C$24</f>
        <v>1199.50509807804</v>
      </c>
      <c r="AO168" s="11">
        <f>AO15*Control!$C$24</f>
        <v>1311.7277672441</v>
      </c>
      <c r="AP168" s="11">
        <f>AP15*Control!$C$24</f>
        <v>1312.35371875947</v>
      </c>
      <c r="AQ168" s="12" t="n"/>
      <c r="AR168" s="11">
        <f>AR15*Control!$D$24</f>
        <v>1289.05485042997</v>
      </c>
      <c r="AS168" s="11">
        <f>AS15*Control!$D$24</f>
        <v>1292.64321840451</v>
      </c>
      <c r="AT168" s="11">
        <f>AT15*Control!$D$24</f>
        <v>1413.57965500757</v>
      </c>
      <c r="AU168" s="11">
        <f>AU15*Control!$D$24</f>
        <v>1414.25420985748</v>
      </c>
      <c r="AV168" s="12" t="n"/>
      <c r="AW168" s="11">
        <f>AW15*Control!$E$24</f>
        <v>1382.70097717239</v>
      </c>
      <c r="AX168" s="11">
        <f>AX15*Control!$E$24</f>
        <v>1386.55002975786</v>
      </c>
      <c r="AY168" s="11">
        <f>AY15*Control!$E$24</f>
        <v>1516.27215059005</v>
      </c>
      <c r="AZ168" s="11">
        <f>AZ15*Control!$E$24</f>
        <v>1516.99570990935</v>
      </c>
      <c r="BA168" s="12" t="n"/>
      <c r="BB168" s="11">
        <f>BB15*Control!$F$24</f>
        <v>1476.236720751</v>
      </c>
      <c r="BC168" s="11">
        <f>BC15*Control!$F$24</f>
        <v>1480.34615067155</v>
      </c>
      <c r="BD168" s="11">
        <f>BD15*Control!$F$24</f>
        <v>1618.84359981474</v>
      </c>
      <c r="BE168" s="11">
        <f>BE15*Control!$F$24</f>
        <v>1619.61610584058</v>
      </c>
      <c r="BF168" s="12" t="n"/>
      <c r="BG168" s="11" t="n"/>
      <c r="BH168" s="11" t="n"/>
      <c r="BI168" s="11" t="n"/>
      <c r="BJ168" s="11" t="n"/>
      <c r="BK168" s="12" t="n"/>
      <c r="BL168" s="11" t="n"/>
      <c r="BM168" s="11" t="n"/>
      <c r="BN168" s="11" t="n"/>
      <c r="BO168" s="11" t="n"/>
      <c r="BP168" s="12" t="n"/>
      <c r="BQ168" s="11" t="n"/>
      <c r="BR168" s="11" t="n"/>
      <c r="BS168" s="11" t="n"/>
      <c r="BT168" s="11" t="n"/>
      <c r="BU168" s="12" t="n"/>
      <c r="BV168" s="11" t="n"/>
      <c r="BW168" s="11" t="n"/>
      <c r="BX168" s="11" t="n"/>
      <c r="BY168" s="11" t="n"/>
      <c r="BZ168" s="12" t="n"/>
      <c r="CA168" s="11" t="n"/>
      <c r="CB168" s="11" t="n"/>
      <c r="CC168" s="11" t="n"/>
      <c r="CD168" s="11" t="n"/>
      <c r="CE168" s="12" t="n"/>
      <c r="CF168" s="11" t="n"/>
      <c r="CG168" s="11" t="n"/>
      <c r="CH168" s="11" t="n"/>
      <c r="CI168" s="11" t="n"/>
      <c r="CJ168" s="12" t="n"/>
      <c r="CK168" s="11" t="n"/>
      <c r="CL168" s="11" t="n"/>
      <c r="CM168" s="11" t="n"/>
      <c r="CN168" s="11" t="n"/>
      <c r="CO168" s="12" t="n"/>
      <c r="CP168" s="11" t="n"/>
      <c r="CQ168" s="11" t="n"/>
      <c r="CR168" s="11" t="n"/>
      <c r="CS168" s="11" t="n"/>
      <c r="CT168" s="12" t="n"/>
      <c r="CU168" s="11" t="n"/>
      <c r="CV168" s="11" t="n"/>
      <c r="CW168" s="11" t="n"/>
      <c r="CX168" s="11" t="n"/>
      <c r="CY168" s="12" t="n"/>
    </row>
    <row r="169" hidden="1" outlineLevel="1">
      <c r="C169" s="57" t="inlineStr">
        <is>
          <t>Recurring asset sales (enter as -)</t>
        </is>
      </c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>
        <f>SUM(I169:L169)</f>
        <v>0</v>
      </c>
      <c r="N169" s="12" t="n"/>
      <c r="O169" s="12" t="n"/>
      <c r="P169" s="12" t="n"/>
      <c r="Q169" s="12" t="n"/>
      <c r="R169" s="12">
        <f>SUM(N169:Q169)</f>
        <v>0</v>
      </c>
      <c r="S169" s="12" t="n"/>
      <c r="T169" s="12" t="n"/>
      <c r="U169" s="12" t="n"/>
      <c r="V169" s="12" t="n"/>
      <c r="W169" s="12">
        <f>SUM(S169:V169)</f>
        <v>0</v>
      </c>
      <c r="X169" s="12" t="n"/>
      <c r="Y169" s="12" t="n"/>
      <c r="Z169" s="12" t="n"/>
      <c r="AA169" s="12" t="n"/>
      <c r="AB169" s="12">
        <f>SUM(X169:AA169)</f>
        <v>0</v>
      </c>
      <c r="AC169" s="12" t="n"/>
      <c r="AD169" s="12" t="n"/>
      <c r="AE169" s="12" t="n"/>
      <c r="AF169" s="11" t="n"/>
      <c r="AG169" s="12">
        <f>SUM(AC169:AF169)</f>
        <v>0</v>
      </c>
      <c r="AH169" s="11" t="n"/>
      <c r="AI169" s="11" t="n"/>
      <c r="AJ169" s="11">
        <f>0</f>
        <v>0</v>
      </c>
      <c r="AK169" s="11">
        <f>0</f>
        <v>0</v>
      </c>
      <c r="AL169" s="12" t="n"/>
      <c r="AM169" s="11">
        <f>0</f>
        <v>0</v>
      </c>
      <c r="AN169" s="11">
        <f>0</f>
        <v>0</v>
      </c>
      <c r="AO169" s="11">
        <f>0</f>
        <v>0</v>
      </c>
      <c r="AP169" s="11">
        <f>0</f>
        <v>0</v>
      </c>
      <c r="AQ169" s="12" t="n"/>
      <c r="AR169" s="11">
        <f>0</f>
        <v>0</v>
      </c>
      <c r="AS169" s="11">
        <f>0</f>
        <v>0</v>
      </c>
      <c r="AT169" s="11">
        <f>0</f>
        <v>0</v>
      </c>
      <c r="AU169" s="11">
        <f>0</f>
        <v>0</v>
      </c>
      <c r="AV169" s="12" t="n"/>
      <c r="AW169" s="11">
        <f>0</f>
        <v>0</v>
      </c>
      <c r="AX169" s="11">
        <f>0</f>
        <v>0</v>
      </c>
      <c r="AY169" s="11">
        <f>0</f>
        <v>0</v>
      </c>
      <c r="AZ169" s="11">
        <f>0</f>
        <v>0</v>
      </c>
      <c r="BA169" s="12" t="n"/>
      <c r="BB169" s="11">
        <f>0</f>
        <v>0</v>
      </c>
      <c r="BC169" s="11">
        <f>0</f>
        <v>0</v>
      </c>
      <c r="BD169" s="11">
        <f>0</f>
        <v>0</v>
      </c>
      <c r="BE169" s="11">
        <f>0</f>
        <v>0</v>
      </c>
      <c r="BF169" s="12" t="n"/>
      <c r="BG169" s="11" t="n"/>
      <c r="BH169" s="11" t="n"/>
      <c r="BI169" s="11" t="n"/>
      <c r="BJ169" s="11" t="n"/>
      <c r="BK169" s="12" t="n"/>
      <c r="BL169" s="11" t="n"/>
      <c r="BM169" s="11" t="n"/>
      <c r="BN169" s="11" t="n"/>
      <c r="BO169" s="11" t="n"/>
      <c r="BP169" s="12" t="n"/>
      <c r="BQ169" s="11" t="n"/>
      <c r="BR169" s="11" t="n"/>
      <c r="BS169" s="11" t="n"/>
      <c r="BT169" s="11" t="n"/>
      <c r="BU169" s="12" t="n"/>
      <c r="BV169" s="11" t="n"/>
      <c r="BW169" s="11" t="n"/>
      <c r="BX169" s="11" t="n"/>
      <c r="BY169" s="11" t="n"/>
      <c r="BZ169" s="12" t="n"/>
      <c r="CA169" s="11" t="n"/>
      <c r="CB169" s="11" t="n"/>
      <c r="CC169" s="11" t="n"/>
      <c r="CD169" s="11" t="n"/>
      <c r="CE169" s="12" t="n"/>
      <c r="CF169" s="11" t="n"/>
      <c r="CG169" s="11" t="n"/>
      <c r="CH169" s="11" t="n"/>
      <c r="CI169" s="11" t="n"/>
      <c r="CJ169" s="12" t="n"/>
      <c r="CK169" s="11" t="n"/>
      <c r="CL169" s="11" t="n"/>
      <c r="CM169" s="11" t="n"/>
      <c r="CN169" s="11" t="n"/>
      <c r="CO169" s="12" t="n"/>
      <c r="CP169" s="11" t="n"/>
      <c r="CQ169" s="11" t="n"/>
      <c r="CR169" s="11" t="n"/>
      <c r="CS169" s="11" t="n"/>
      <c r="CT169" s="12" t="n"/>
      <c r="CU169" s="11" t="n"/>
      <c r="CV169" s="11" t="n"/>
      <c r="CW169" s="11" t="n"/>
      <c r="CX169" s="11" t="n"/>
      <c r="CY169" s="12" t="n"/>
    </row>
    <row r="170" hidden="1" outlineLevel="1">
      <c r="C170" s="57" t="inlineStr">
        <is>
          <t>Depreciation</t>
        </is>
      </c>
      <c r="D170" s="12" t="n"/>
      <c r="E170" s="12" t="n"/>
      <c r="F170" s="12" t="n"/>
      <c r="G170" s="12" t="n"/>
      <c r="H170" s="12" t="n"/>
      <c r="I170" s="12">
        <f>I70</f>
        <v>-758</v>
      </c>
      <c r="J170" s="12">
        <f>J70</f>
        <v>-778</v>
      </c>
      <c r="K170" s="12">
        <f>K70</f>
        <v>-796</v>
      </c>
      <c r="L170" s="12">
        <f>L70</f>
        <v>-771</v>
      </c>
      <c r="M170" s="12" t="n"/>
      <c r="N170" s="12">
        <f>N70</f>
        <v>-788</v>
      </c>
      <c r="O170" s="12">
        <f>O70</f>
        <v>-802</v>
      </c>
      <c r="P170" s="12">
        <f>P70</f>
        <v>-828</v>
      </c>
      <c r="Q170" s="12">
        <f>Q70</f>
        <v>-982</v>
      </c>
      <c r="R170" s="12" t="n"/>
      <c r="S170" s="12">
        <f>S70</f>
        <v>-970</v>
      </c>
      <c r="T170" s="12">
        <f>T70</f>
        <v>-1021</v>
      </c>
      <c r="U170" s="12">
        <f>U70</f>
        <v>-1007</v>
      </c>
      <c r="V170" s="12">
        <f>V70</f>
        <v>-974</v>
      </c>
      <c r="W170" s="12" t="n"/>
      <c r="X170" s="12">
        <f>X70</f>
        <v>-997</v>
      </c>
      <c r="Y170" s="12">
        <f>Y70</f>
        <v>-1020</v>
      </c>
      <c r="Z170" s="12">
        <f>Z70</f>
        <v>-1041</v>
      </c>
      <c r="AA170" s="12">
        <f>AA70</f>
        <v>-1041</v>
      </c>
      <c r="AB170" s="12" t="n"/>
      <c r="AC170" s="12">
        <f>AC70</f>
        <v>-1061</v>
      </c>
      <c r="AD170" s="12">
        <f>AD70</f>
        <v>-1084</v>
      </c>
      <c r="AE170" s="12">
        <f>AE70</f>
        <v>-1099</v>
      </c>
      <c r="AF170" s="12">
        <f>AF70</f>
        <v>-1117</v>
      </c>
      <c r="AG170" s="12" t="n"/>
      <c r="AH170" s="12">
        <f>AH70</f>
        <v>-1029</v>
      </c>
      <c r="AI170" s="12">
        <f>AI70</f>
        <v>-1040</v>
      </c>
      <c r="AJ170" s="12">
        <f>AJ70</f>
        <v>-1173.39793192138</v>
      </c>
      <c r="AK170" s="12">
        <f>AK70</f>
        <v>-1173.957872964</v>
      </c>
      <c r="AL170" s="12" t="n"/>
      <c r="AM170" s="12">
        <f>AM70</f>
        <v>-1158.46617078489</v>
      </c>
      <c r="AN170" s="12">
        <f>AN70</f>
        <v>-1161.69101641923</v>
      </c>
      <c r="AO170" s="12">
        <f>AO70</f>
        <v>-1270.37589555621</v>
      </c>
      <c r="AP170" s="12">
        <f>AP70</f>
        <v>-1270.98211411525</v>
      </c>
      <c r="AQ170" s="12" t="n"/>
      <c r="AR170" s="12">
        <f>AR70</f>
        <v>-1248.41773646109</v>
      </c>
      <c r="AS170" s="12">
        <f>AS70</f>
        <v>-1251.89298208223</v>
      </c>
      <c r="AT170" s="12">
        <f>AT70</f>
        <v>-1369.01692943739</v>
      </c>
      <c r="AU170" s="12">
        <f>AU70</f>
        <v>-1369.67021912367</v>
      </c>
      <c r="AV170" s="12" t="n"/>
      <c r="AW170" s="12">
        <f>AW70</f>
        <v>-1339.11169377186</v>
      </c>
      <c r="AX170" s="12">
        <f>AX70</f>
        <v>-1342.83940599036</v>
      </c>
      <c r="AY170" s="12">
        <f>AY70</f>
        <v>-1468.47207119792</v>
      </c>
      <c r="AZ170" s="12">
        <f>AZ70</f>
        <v>-1469.17282050064</v>
      </c>
      <c r="BA170" s="12" t="n"/>
      <c r="BB170" s="12">
        <f>BB70</f>
        <v>-1429.69874771891</v>
      </c>
      <c r="BC170" s="12">
        <f>BC70</f>
        <v>-1433.67862894572</v>
      </c>
      <c r="BD170" s="12">
        <f>BD70</f>
        <v>-1567.80998255515</v>
      </c>
      <c r="BE170" s="12">
        <f>BE70</f>
        <v>-1568.5581355324</v>
      </c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7" t="inlineStr">
        <is>
          <t>PP&amp;E</t>
        </is>
      </c>
      <c r="D171" s="12" t="n"/>
      <c r="E171" s="12" t="n"/>
      <c r="F171" s="12" t="n"/>
      <c r="G171" s="12" t="n"/>
      <c r="H171" s="12" t="n"/>
      <c r="I171" s="12">
        <f>I166</f>
        <v>8496</v>
      </c>
      <c r="J171" s="12">
        <f>J166</f>
        <v>8735</v>
      </c>
      <c r="K171" s="12">
        <f>K166</f>
        <v>8730</v>
      </c>
      <c r="L171" s="12">
        <f>L166</f>
        <v>8969</v>
      </c>
      <c r="M171" s="12" t="n"/>
      <c r="N171" s="12">
        <f>N166</f>
        <v>9183</v>
      </c>
      <c r="O171" s="12">
        <f>O166</f>
        <v>9421</v>
      </c>
      <c r="P171" s="12">
        <f>P166</f>
        <v>9469</v>
      </c>
      <c r="Q171" s="12">
        <f>Q166</f>
        <v>10128</v>
      </c>
      <c r="R171" s="12" t="n"/>
      <c r="S171" s="12">
        <f>S166</f>
        <v>10637</v>
      </c>
      <c r="T171" s="12">
        <f>T166</f>
        <v>10926</v>
      </c>
      <c r="U171" s="12">
        <f>U166</f>
        <v>11070</v>
      </c>
      <c r="V171" s="12">
        <f>V166</f>
        <v>11450</v>
      </c>
      <c r="W171" s="12" t="n"/>
      <c r="X171" s="12">
        <f>X166</f>
        <v>10429</v>
      </c>
      <c r="Y171" s="12">
        <f>Y166</f>
        <v>9801</v>
      </c>
      <c r="Z171" s="12">
        <f>Z166</f>
        <v>10139</v>
      </c>
      <c r="AA171" s="12">
        <f>Y171+SUM(AA168:AA170)</f>
        <v>10215</v>
      </c>
      <c r="AB171" s="12" t="n"/>
      <c r="AC171" s="12">
        <f>AC166</f>
        <v>10734</v>
      </c>
      <c r="AD171" s="12">
        <f>AD166</f>
        <v>10923</v>
      </c>
      <c r="AE171" s="12">
        <f>AE166</f>
        <v>11104</v>
      </c>
      <c r="AF171" s="12">
        <f>AF166</f>
        <v>10762</v>
      </c>
      <c r="AG171" s="12" t="n"/>
      <c r="AH171" s="12">
        <f>AH166</f>
        <v>10667</v>
      </c>
      <c r="AI171" s="12">
        <f>AI166</f>
        <v>10762</v>
      </c>
      <c r="AJ171" s="12">
        <f>AI171+SUM(AJ168:AJ170)</f>
        <v>10800.1951522297</v>
      </c>
      <c r="AK171" s="12">
        <f>AJ171+SUM(AK168:AK170)</f>
        <v>10838.4085310411</v>
      </c>
      <c r="AL171" s="12" t="n"/>
      <c r="AM171" s="12">
        <f>AK171+SUM(AM168:AM170)</f>
        <v>10876.11764109</v>
      </c>
      <c r="AN171" s="12">
        <f>AM171+SUM(AN168:AN170)</f>
        <v>10913.9317227488</v>
      </c>
      <c r="AO171" s="12">
        <f>AN171+SUM(AO168:AO170)</f>
        <v>10955.2835944367</v>
      </c>
      <c r="AP171" s="12">
        <f>AO171+SUM(AP168:AP170)</f>
        <v>10996.655199081</v>
      </c>
      <c r="AQ171" s="12" t="n"/>
      <c r="AR171" s="12">
        <f>AP171+SUM(AR168:AR170)</f>
        <v>11037.2923130498</v>
      </c>
      <c r="AS171" s="12">
        <f>AR171+SUM(AS168:AS170)</f>
        <v>11078.0425493721</v>
      </c>
      <c r="AT171" s="12">
        <f>AS171+SUM(AT168:AT170)</f>
        <v>11122.6052749423</v>
      </c>
      <c r="AU171" s="12">
        <f>AT171+SUM(AU168:AU170)</f>
        <v>11167.1892656761</v>
      </c>
      <c r="AV171" s="12" t="n"/>
      <c r="AW171" s="12">
        <f>AU171+SUM(AW168:AW170)</f>
        <v>11210.7785490766</v>
      </c>
      <c r="AX171" s="12">
        <f>AW171+SUM(AX168:AX170)</f>
        <v>11254.4891728441</v>
      </c>
      <c r="AY171" s="12">
        <f>AX171+SUM(AY168:AY170)</f>
        <v>11302.2892522362</v>
      </c>
      <c r="AZ171" s="12">
        <f>AY171+SUM(AZ168:AZ170)</f>
        <v>11350.112141645</v>
      </c>
      <c r="BA171" s="12" t="n"/>
      <c r="BB171" s="12">
        <f>AZ171+SUM(BB168:BB170)</f>
        <v>11396.6501146771</v>
      </c>
      <c r="BC171" s="12">
        <f>BB171+SUM(BC168:BC170)</f>
        <v>11443.3176364029</v>
      </c>
      <c r="BD171" s="12">
        <f>BC171+SUM(BD168:BD170)</f>
        <v>11494.3512536625</v>
      </c>
      <c r="BE171" s="12">
        <f>BD171+SUM(BE168:BE170)</f>
        <v>11545.4092239706</v>
      </c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hidden="1" outlineLevel="1">
      <c r="C172" s="57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>
        <f>IF(AJ15=0,"",AJ168/AJ15)</f>
        <v>0.00988947148900673</v>
      </c>
      <c r="AK172" s="12">
        <f>IF(AK15=0,"",AK168/AK15)</f>
        <v>0.00988947148900673</v>
      </c>
      <c r="AL172" s="12" t="n"/>
      <c r="AM172" s="12">
        <f>IF(AM15=0,"",AM168/AM15)</f>
        <v>0.00988947148900673</v>
      </c>
      <c r="AN172" s="12">
        <f>IF(AN15=0,"",AN168/AN15)</f>
        <v>0.00988947148900673</v>
      </c>
      <c r="AO172" s="12">
        <f>IF(AO15=0,"",AO168/AO15)</f>
        <v>0.00988947148900673</v>
      </c>
      <c r="AP172" s="12">
        <f>IF(AP15=0,"",AP168/AP15)</f>
        <v>0.00988947148900673</v>
      </c>
      <c r="AQ172" s="12" t="n"/>
      <c r="AR172" s="12">
        <f>IF(AR15=0,"",AR168/AR15)</f>
        <v>0.00988947148900673</v>
      </c>
      <c r="AS172" s="12">
        <f>IF(AS15=0,"",AS168/AS15)</f>
        <v>0.00988947148900673</v>
      </c>
      <c r="AT172" s="12">
        <f>IF(AT15=0,"",AT168/AT15)</f>
        <v>0.00988947148900673</v>
      </c>
      <c r="AU172" s="12">
        <f>IF(AU15=0,"",AU168/AU15)</f>
        <v>0.00988947148900673</v>
      </c>
      <c r="AV172" s="12" t="n"/>
      <c r="AW172" s="12">
        <f>IF(AW15=0,"",AW168/AW15)</f>
        <v>0.00988947148900673</v>
      </c>
      <c r="AX172" s="12">
        <f>IF(AX15=0,"",AX168/AX15)</f>
        <v>0.00988947148900673</v>
      </c>
      <c r="AY172" s="12">
        <f>IF(AY15=0,"",AY168/AY15)</f>
        <v>0.00988947148900673</v>
      </c>
      <c r="AZ172" s="12">
        <f>IF(AZ15=0,"",AZ168/AZ15)</f>
        <v>0.00988947148900673</v>
      </c>
      <c r="BA172" s="12" t="n"/>
      <c r="BB172" s="12">
        <f>IF(BB15=0,"",BB168/BB15)</f>
        <v>0.00988947148900673</v>
      </c>
      <c r="BC172" s="12">
        <f>IF(BC15=0,"",BC168/BC15)</f>
        <v>0.00988947148900673</v>
      </c>
      <c r="BD172" s="12">
        <f>IF(BD15=0,"",BD168/BD15)</f>
        <v>0.00988947148900673</v>
      </c>
      <c r="BE172" s="12">
        <f>IF(BE15=0,"",BE168/BE15)</f>
        <v>0.00988947148900673</v>
      </c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inlineStr">
        <is>
          <t>Capital expenditures (% Net Revenues)</t>
        </is>
      </c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58">
        <f>IFERROR(AF168/AF15,"")</f>
        <v>0.00684538267897363</v>
      </c>
      <c r="AG173" s="58">
        <f>IFERROR(AG168/AG15,"")</f>
        <v>0.0102107617407003</v>
      </c>
      <c r="AH173" s="58">
        <f>IFERROR(AH168/AH15,"")</f>
        <v>0.0083601113488064</v>
      </c>
      <c r="AI173" s="58">
        <f>IFERROR(AI168/AI15,"")</f>
        <v>0.0101310339902885</v>
      </c>
      <c r="AJ173" s="58">
        <f>IFERROR(AJ168/AJ15,"")</f>
        <v>0.00988947148900673</v>
      </c>
      <c r="AK173" s="58">
        <f>IFERROR(AK168/AK15,"")</f>
        <v>0.00988947148900673</v>
      </c>
      <c r="AL173" s="58">
        <f>IFERROR(AL168/AL15,"")</f>
        <v>0</v>
      </c>
      <c r="AM173" s="58">
        <f>IFERROR(AM168/AM15,"")</f>
        <v>0.00988947148900673</v>
      </c>
      <c r="AN173" s="58">
        <f>IFERROR(AN168/AN15,"")</f>
        <v>0.00988947148900673</v>
      </c>
      <c r="AO173" s="58">
        <f>IFERROR(AO168/AO15,"")</f>
        <v>0.00988947148900673</v>
      </c>
      <c r="AP173" s="58">
        <f>IFERROR(AP168/AP15,"")</f>
        <v>0.00988947148900673</v>
      </c>
      <c r="AQ173" s="58">
        <f>IFERROR(AQ168/AQ15,"")</f>
        <v>0</v>
      </c>
      <c r="AR173" s="58">
        <f>IFERROR(AR168/AR15,"")</f>
        <v>0.00988947148900673</v>
      </c>
      <c r="AS173" s="58">
        <f>IFERROR(AS168/AS15,"")</f>
        <v>0.00988947148900673</v>
      </c>
      <c r="AT173" s="58">
        <f>IFERROR(AT168/AT15,"")</f>
        <v>0.00988947148900673</v>
      </c>
      <c r="AU173" s="58">
        <f>IFERROR(AU168/AU15,"")</f>
        <v>0.00988947148900673</v>
      </c>
      <c r="AV173" s="58">
        <f>IFERROR(AV168/AV15,"")</f>
        <v>0</v>
      </c>
      <c r="AW173" s="58">
        <f>IFERROR(AW168/AW15,"")</f>
        <v>0.00988947148900673</v>
      </c>
      <c r="AX173" s="58">
        <f>IFERROR(AX168/AX15,"")</f>
        <v>0.00988947148900673</v>
      </c>
      <c r="AY173" s="58">
        <f>IFERROR(AY168/AY15,"")</f>
        <v>0.00988947148900673</v>
      </c>
      <c r="AZ173" s="58">
        <f>IFERROR(AZ168/AZ15,"")</f>
        <v>0.00988947148900673</v>
      </c>
      <c r="BA173" s="58">
        <f>IFERROR(BA168/BA15,"")</f>
        <v>0</v>
      </c>
      <c r="BB173" s="58">
        <f>IFERROR(BB168/BB15,"")</f>
        <v>0.00988947148900673</v>
      </c>
      <c r="BC173" s="58">
        <f>IFERROR(BC168/BC15,"")</f>
        <v>0.00988947148900673</v>
      </c>
      <c r="BD173" s="58">
        <f>IFERROR(BD168/BD15,"")</f>
        <v>0.00988947148900673</v>
      </c>
      <c r="BE173" s="58">
        <f>IFERROR(BE168/BE15,"")</f>
        <v>0.00988947148900673</v>
      </c>
      <c r="BF173" s="58">
        <f>IFERROR(BF168/BF15,"")</f>
        <v>0</v>
      </c>
      <c r="BG173" s="58" t="n"/>
      <c r="BH173" s="58" t="n"/>
      <c r="BI173" s="58" t="n"/>
      <c r="BJ173" s="58" t="n"/>
      <c r="BK173" s="58" t="n"/>
      <c r="BL173" s="58" t="n"/>
      <c r="BM173" s="58" t="n"/>
      <c r="BN173" s="58" t="n"/>
      <c r="BO173" s="58" t="n"/>
      <c r="BP173" s="58" t="n"/>
      <c r="BQ173" s="58" t="n"/>
      <c r="BR173" s="58" t="n"/>
      <c r="BS173" s="58" t="n"/>
      <c r="BT173" s="58" t="n"/>
      <c r="BU173" s="58" t="n"/>
      <c r="BV173" s="58" t="n"/>
      <c r="BW173" s="58" t="n"/>
      <c r="BX173" s="58" t="n"/>
      <c r="BY173" s="58" t="n"/>
      <c r="BZ173" s="58" t="n"/>
      <c r="CA173" s="58" t="n"/>
      <c r="CB173" s="58" t="n"/>
      <c r="CC173" s="58" t="n"/>
      <c r="CD173" s="58" t="n"/>
      <c r="CE173" s="58" t="n"/>
      <c r="CF173" s="58" t="n"/>
      <c r="CG173" s="58" t="n"/>
      <c r="CH173" s="58" t="n"/>
      <c r="CI173" s="58" t="n"/>
      <c r="CJ173" s="58" t="n"/>
      <c r="CK173" s="58" t="n"/>
      <c r="CL173" s="58" t="n"/>
      <c r="CM173" s="58" t="n"/>
      <c r="CN173" s="58" t="n"/>
      <c r="CO173" s="58" t="n"/>
      <c r="CP173" s="58" t="n"/>
      <c r="CQ173" s="58" t="n"/>
      <c r="CR173" s="58" t="n"/>
      <c r="CS173" s="58" t="n"/>
      <c r="CT173" s="58" t="n"/>
      <c r="CU173" s="58" t="n"/>
      <c r="CV173" s="58" t="n"/>
      <c r="CW173" s="58" t="n"/>
      <c r="CX173" s="58" t="n"/>
      <c r="CY173" s="58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collapsed="1">
      <c r="C176" s="14" t="inlineStr">
        <is>
          <t>Right-of-use-assets</t>
        </is>
      </c>
      <c r="D176" s="46" t="n"/>
      <c r="E176" s="46" t="n"/>
      <c r="F176" s="46" t="n"/>
      <c r="G176" s="46" t="n"/>
      <c r="H176" s="12" t="n"/>
      <c r="I176" s="46">
        <f>'Inputs (2)'!D23</f>
        <v>0</v>
      </c>
      <c r="J176" s="46">
        <f>'Inputs (2)'!E23</f>
        <v>0</v>
      </c>
      <c r="K176" s="46">
        <f>'Inputs (2)'!F23</f>
        <v>0</v>
      </c>
      <c r="L176" s="46">
        <f>'Inputs (2)'!G23</f>
        <v>0</v>
      </c>
      <c r="M176" s="12">
        <f>'Inputs (2)'!H23</f>
        <v>0</v>
      </c>
      <c r="N176" s="46">
        <f>'Inputs (2)'!I23</f>
        <v>0</v>
      </c>
      <c r="O176" s="46">
        <f>'Inputs (2)'!J23</f>
        <v>0</v>
      </c>
      <c r="P176" s="46">
        <f>'Inputs (2)'!K23</f>
        <v>0</v>
      </c>
      <c r="Q176" s="46">
        <f>'Inputs (2)'!L23</f>
        <v>0</v>
      </c>
      <c r="R176" s="12">
        <f>'Inputs (2)'!M23</f>
        <v>0</v>
      </c>
      <c r="S176" s="46">
        <f>'Inputs (2)'!N23</f>
        <v>0</v>
      </c>
      <c r="T176" s="46">
        <f>'Inputs (2)'!O23</f>
        <v>0</v>
      </c>
      <c r="U176" s="46">
        <f>'Inputs (2)'!P23</f>
        <v>0</v>
      </c>
      <c r="V176" s="46">
        <f>'Inputs (2)'!Q23</f>
        <v>0</v>
      </c>
      <c r="W176" s="12">
        <f>'Inputs (2)'!R23</f>
        <v>0</v>
      </c>
      <c r="X176" s="46">
        <f>'Inputs (2)'!S23</f>
        <v>0</v>
      </c>
      <c r="Y176" s="46">
        <f>'Inputs (2)'!T23</f>
        <v>0</v>
      </c>
      <c r="Z176" s="46">
        <f>'Inputs (2)'!U23</f>
        <v>0</v>
      </c>
      <c r="AA176" s="46">
        <f>'Inputs (2)'!V23</f>
        <v>0</v>
      </c>
      <c r="AB176" s="12">
        <f>'Inputs (2)'!W23</f>
        <v>0</v>
      </c>
      <c r="AC176" s="46">
        <f>'Inputs (2)'!X23</f>
        <v>0</v>
      </c>
      <c r="AD176" s="46">
        <f>'Inputs (2)'!Y23</f>
        <v>0</v>
      </c>
      <c r="AE176" s="46">
        <f>'Inputs (2)'!Z23</f>
        <v>0</v>
      </c>
      <c r="AF176" s="46">
        <f>'Inputs (2)'!AA23</f>
        <v>0</v>
      </c>
      <c r="AG176" s="12">
        <f>'Inputs (2)'!AB23</f>
        <v>0</v>
      </c>
      <c r="AH176" s="12">
        <f>'Inputs (2)'!AC23</f>
        <v>0</v>
      </c>
      <c r="AI176" s="12">
        <f>'Inputs (2)'!AD23</f>
        <v>0</v>
      </c>
      <c r="AJ176" s="12">
        <f>AI176</f>
        <v>0</v>
      </c>
      <c r="AK176" s="12">
        <f>AJ176</f>
        <v>0</v>
      </c>
      <c r="AL176" s="12">
        <f>AK176</f>
        <v>0</v>
      </c>
      <c r="AM176" s="12">
        <f>AL176</f>
        <v>0</v>
      </c>
      <c r="AN176" s="12">
        <f>AM176</f>
        <v>0</v>
      </c>
      <c r="AO176" s="12">
        <f>AN176</f>
        <v>0</v>
      </c>
      <c r="AP176" s="12">
        <f>AO176</f>
        <v>0</v>
      </c>
      <c r="AQ176" s="12">
        <f>AP176</f>
        <v>0</v>
      </c>
      <c r="AR176" s="12">
        <f>AQ176</f>
        <v>0</v>
      </c>
      <c r="AS176" s="12">
        <f>AR176</f>
        <v>0</v>
      </c>
      <c r="AT176" s="12">
        <f>AS176</f>
        <v>0</v>
      </c>
      <c r="AU176" s="12">
        <f>AT176</f>
        <v>0</v>
      </c>
      <c r="AV176" s="12">
        <f>AU176</f>
        <v>0</v>
      </c>
      <c r="AW176" s="12">
        <f>AV176</f>
        <v>0</v>
      </c>
      <c r="AX176" s="12">
        <f>AW176</f>
        <v>0</v>
      </c>
      <c r="AY176" s="12">
        <f>AX176</f>
        <v>0</v>
      </c>
      <c r="AZ176" s="12">
        <f>AY176</f>
        <v>0</v>
      </c>
      <c r="BA176" s="12">
        <f>AZ176</f>
        <v>0</v>
      </c>
      <c r="BB176" s="12">
        <f>BA176</f>
        <v>0</v>
      </c>
      <c r="BC176" s="12">
        <f>BB176</f>
        <v>0</v>
      </c>
      <c r="BD176" s="12">
        <f>BC176</f>
        <v>0</v>
      </c>
      <c r="BE176" s="12">
        <f>BD176</f>
        <v>0</v>
      </c>
      <c r="BF176" s="12">
        <f>BE176</f>
        <v>0</v>
      </c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59" t="inlineStr">
        <is>
          <t>%(Var.)</t>
        </is>
      </c>
      <c r="D177" s="12" t="n"/>
      <c r="E177" s="40" t="n"/>
      <c r="F177" s="40" t="n"/>
      <c r="G177" s="40" t="n"/>
      <c r="H177" s="12" t="n"/>
      <c r="I177" s="40" t="str">
        <f>""</f>
        <v/>
      </c>
      <c r="J177" s="40" t="str">
        <f>IFERROR(IF(I176=0,"",J176/I176-1),"")</f>
        <v/>
      </c>
      <c r="K177" s="40" t="str">
        <f>IFERROR(IF(J176=0,"",K176/J176-1),"")</f>
        <v/>
      </c>
      <c r="L177" s="40" t="str">
        <f>IFERROR(IF(K176=0,"",L176/K176-1),"")</f>
        <v/>
      </c>
      <c r="M177" s="12" t="str">
        <f>IFERROR(IF(L176=0,"",M176/L176-1),"")</f>
        <v/>
      </c>
      <c r="N177" s="40" t="str">
        <f>IFERROR(IF(M176=0,"",N176/M176-1),"")</f>
        <v/>
      </c>
      <c r="O177" s="40" t="str">
        <f>IFERROR(IF(N176=0,"",O176/N176-1),"")</f>
        <v/>
      </c>
      <c r="P177" s="40" t="str">
        <f>IFERROR(IF(O176=0,"",P176/O176-1),"")</f>
        <v/>
      </c>
      <c r="Q177" s="40" t="str">
        <f>IFERROR(IF(P176=0,"",Q176/P176-1),"")</f>
        <v/>
      </c>
      <c r="R177" s="12" t="str">
        <f>IFERROR(IF(Q176=0,"",R176/Q176-1),"")</f>
        <v/>
      </c>
      <c r="S177" s="40" t="str">
        <f>IFERROR(IF(R176=0,"",S176/R176-1),"")</f>
        <v/>
      </c>
      <c r="T177" s="40" t="str">
        <f>IFERROR(IF(S176=0,"",T176/S176-1),"")</f>
        <v/>
      </c>
      <c r="U177" s="40" t="str">
        <f>IFERROR(IF(T176=0,"",U176/T176-1),"")</f>
        <v/>
      </c>
      <c r="V177" s="40" t="str">
        <f>IFERROR(IF(U176=0,"",V176/U176-1),"")</f>
        <v/>
      </c>
      <c r="W177" s="12" t="str">
        <f>IFERROR(IF(V176=0,"",W176/V176-1),"")</f>
        <v/>
      </c>
      <c r="X177" s="40" t="str">
        <f>IFERROR(IF(W176=0,"",X176/W176-1),"")</f>
        <v/>
      </c>
      <c r="Y177" s="40" t="str">
        <f>IFERROR(IF(X176=0,"",Y176/X176-1),"")</f>
        <v/>
      </c>
      <c r="Z177" s="40" t="str">
        <f>IFERROR(IF(Y176=0,"",Z176/Y176-1),"")</f>
        <v/>
      </c>
      <c r="AA177" s="40" t="str">
        <f>IFERROR(IF(Z176=0,"",AA176/Z176-1),"")</f>
        <v/>
      </c>
      <c r="AB177" s="12" t="str">
        <f>IFERROR(IF(AA176=0,"",AB176/AA176-1),"")</f>
        <v/>
      </c>
      <c r="AC177" s="40" t="str">
        <f>IFERROR(IF(AB176=0,"",AC176/AB176-1),"")</f>
        <v/>
      </c>
      <c r="AD177" s="40" t="str">
        <f>IFERROR(IF(AC176=0,"",AD176/AC176-1),"")</f>
        <v/>
      </c>
      <c r="AE177" s="40" t="str">
        <f>IFERROR(IF(AD176=0,"",AE176/AD176-1),"")</f>
        <v/>
      </c>
      <c r="AF177" s="55" t="str">
        <f>IFERROR(IF(AE176=0,"",AF176/AE176-1),"")</f>
        <v/>
      </c>
      <c r="AG177" s="12" t="str">
        <f>IFERROR(IF(AF176=0,"",AG176/AF176-1),"")</f>
        <v/>
      </c>
      <c r="AH177" s="55" t="str">
        <f>IFERROR(IF(AG176=0,"",AH176/AG176-1),"")</f>
        <v/>
      </c>
      <c r="AI177" s="55" t="str">
        <f>IFERROR(IF(AH176=0,"",AI176/AH176-1),"")</f>
        <v/>
      </c>
      <c r="AJ177" s="55" t="str">
        <f>IFERROR(IF(AI176=0,"",AJ176/AI176-1),"")</f>
        <v/>
      </c>
      <c r="AK177" s="55" t="str">
        <f>IFERROR(IF(AJ176=0,"",AK176/AJ176-1),"")</f>
        <v/>
      </c>
      <c r="AL177" s="12" t="str">
        <f>IFERROR(IF(AK176=0,"",AL176/AK176-1),"")</f>
        <v/>
      </c>
      <c r="AM177" s="55" t="str">
        <f>IFERROR(IF(AL176=0,"",AM176/AL176-1),"")</f>
        <v/>
      </c>
      <c r="AN177" s="55" t="str">
        <f>IFERROR(IF(AM176=0,"",AN176/AM176-1),"")</f>
        <v/>
      </c>
      <c r="AO177" s="55" t="str">
        <f>IFERROR(IF(AN176=0,"",AO176/AN176-1),"")</f>
        <v/>
      </c>
      <c r="AP177" s="55" t="str">
        <f>IFERROR(IF(AO176=0,"",AP176/AO176-1),"")</f>
        <v/>
      </c>
      <c r="AQ177" s="12" t="str">
        <f>IFERROR(IF(AP176=0,"",AQ176/AP176-1),"")</f>
        <v/>
      </c>
      <c r="AR177" s="55" t="str">
        <f>IFERROR(IF(AQ176=0,"",AR176/AQ176-1),"")</f>
        <v/>
      </c>
      <c r="AS177" s="55" t="str">
        <f>IFERROR(IF(AR176=0,"",AS176/AR176-1),"")</f>
        <v/>
      </c>
      <c r="AT177" s="55" t="str">
        <f>IFERROR(IF(AS176=0,"",AT176/AS176-1),"")</f>
        <v/>
      </c>
      <c r="AU177" s="55" t="str">
        <f>IFERROR(IF(AT176=0,"",AU176/AT176-1),"")</f>
        <v/>
      </c>
      <c r="AV177" s="12" t="str">
        <f>IFERROR(IF(AU176=0,"",AV176/AU176-1),"")</f>
        <v/>
      </c>
      <c r="AW177" s="55" t="str">
        <f>IFERROR(IF(AV176=0,"",AW176/AV176-1),"")</f>
        <v/>
      </c>
      <c r="AX177" s="55" t="str">
        <f>IFERROR(IF(AW176=0,"",AX176/AW176-1),"")</f>
        <v/>
      </c>
      <c r="AY177" s="55" t="str">
        <f>IFERROR(IF(AX176=0,"",AY176/AX176-1),"")</f>
        <v/>
      </c>
      <c r="AZ177" s="55" t="str">
        <f>IFERROR(IF(AY176=0,"",AZ176/AY176-1),"")</f>
        <v/>
      </c>
      <c r="BA177" s="12" t="str">
        <f>IFERROR(IF(AZ176=0,"",BA176/AZ176-1),"")</f>
        <v/>
      </c>
      <c r="BB177" s="55" t="str">
        <f>IFERROR(IF(BA176=0,"",BB176/BA176-1),"")</f>
        <v/>
      </c>
      <c r="BC177" s="55" t="str">
        <f>IFERROR(IF(BB176=0,"",BC176/BB176-1),"")</f>
        <v/>
      </c>
      <c r="BD177" s="55" t="str">
        <f>IFERROR(IF(BC176=0,"",BD176/BC176-1),"")</f>
        <v/>
      </c>
      <c r="BE177" s="55" t="str">
        <f>IFERROR(IF(BD176=0,"",BE176/BD176-1),"")</f>
        <v/>
      </c>
      <c r="BF177" s="12" t="str">
        <f>IFERROR(IF(BE176=0,"",BF176/BE176-1),"")</f>
        <v/>
      </c>
      <c r="BG177" s="55" t="n"/>
      <c r="BH177" s="55" t="n"/>
      <c r="BI177" s="55" t="n"/>
      <c r="BJ177" s="55" t="n"/>
      <c r="BK177" s="12" t="n"/>
      <c r="BL177" s="55" t="n"/>
      <c r="BM177" s="55" t="n"/>
      <c r="BN177" s="55" t="n"/>
      <c r="BO177" s="55" t="n"/>
      <c r="BP177" s="12" t="n"/>
      <c r="BQ177" s="55" t="n"/>
      <c r="BR177" s="55" t="n"/>
      <c r="BS177" s="55" t="n"/>
      <c r="BT177" s="55" t="n"/>
      <c r="BU177" s="12" t="n"/>
      <c r="BV177" s="55" t="n"/>
      <c r="BW177" s="55" t="n"/>
      <c r="BX177" s="55" t="n"/>
      <c r="BY177" s="55" t="n"/>
      <c r="BZ177" s="12" t="n"/>
      <c r="CA177" s="55" t="n"/>
      <c r="CB177" s="55" t="n"/>
      <c r="CC177" s="55" t="n"/>
      <c r="CD177" s="55" t="n"/>
      <c r="CE177" s="12" t="n"/>
      <c r="CF177" s="55" t="n"/>
      <c r="CG177" s="55" t="n"/>
      <c r="CH177" s="55" t="n"/>
      <c r="CI177" s="55" t="n"/>
      <c r="CJ177" s="12" t="n"/>
      <c r="CK177" s="55" t="n"/>
      <c r="CL177" s="55" t="n"/>
      <c r="CM177" s="55" t="n"/>
      <c r="CN177" s="55" t="n"/>
      <c r="CO177" s="12" t="n"/>
      <c r="CP177" s="55" t="n"/>
      <c r="CQ177" s="55" t="n"/>
      <c r="CR177" s="55" t="n"/>
      <c r="CS177" s="55" t="n"/>
      <c r="CT177" s="12" t="n"/>
      <c r="CU177" s="55" t="n"/>
      <c r="CV177" s="55" t="n"/>
      <c r="CW177" s="55" t="n"/>
      <c r="CX177" s="55" t="n"/>
      <c r="CY177" s="12" t="n"/>
    </row>
    <row r="178" hidden="1" outlineLevel="1">
      <c r="C178" s="57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collapsed="1">
      <c r="C179" s="14" t="inlineStr">
        <is>
          <t>Goodwill</t>
        </is>
      </c>
      <c r="D179" s="46" t="n"/>
      <c r="E179" s="46" t="n"/>
      <c r="F179" s="46" t="n"/>
      <c r="G179" s="46" t="n"/>
      <c r="H179" s="12" t="n"/>
      <c r="I179" s="46">
        <f>'Inputs (2)'!D24</f>
        <v>72162</v>
      </c>
      <c r="J179" s="46">
        <f>'Inputs (2)'!E24</f>
        <v>75827</v>
      </c>
      <c r="K179" s="46">
        <f>'Inputs (2)'!F24</f>
        <v>75435</v>
      </c>
      <c r="L179" s="46">
        <f>'Inputs (2)'!G24</f>
        <v>75795</v>
      </c>
      <c r="M179" s="12">
        <f>'Inputs (2)'!H24</f>
        <v>75795</v>
      </c>
      <c r="N179" s="46">
        <f>'Inputs (2)'!I24</f>
        <v>77548</v>
      </c>
      <c r="O179" s="46">
        <f>'Inputs (2)'!J24</f>
        <v>84159</v>
      </c>
      <c r="P179" s="46">
        <f>'Inputs (2)'!K24</f>
        <v>83904</v>
      </c>
      <c r="Q179" s="46">
        <f>'Inputs (2)'!L24</f>
        <v>93352</v>
      </c>
      <c r="R179" s="12">
        <f>'Inputs (2)'!M24</f>
        <v>93352</v>
      </c>
      <c r="S179" s="46">
        <f>'Inputs (2)'!N24</f>
        <v>100406</v>
      </c>
      <c r="T179" s="46">
        <f>'Inputs (2)'!O24</f>
        <v>101669</v>
      </c>
      <c r="U179" s="46">
        <f>'Inputs (2)'!P24</f>
        <v>101703</v>
      </c>
      <c r="V179" s="46">
        <f>'Inputs (2)'!Q24</f>
        <v>103732</v>
      </c>
      <c r="W179" s="12">
        <f>'Inputs (2)'!R24</f>
        <v>103732</v>
      </c>
      <c r="X179" s="46">
        <f>'Inputs (2)'!S24</f>
        <v>105664</v>
      </c>
      <c r="Y179" s="46">
        <f>'Inputs (2)'!T24</f>
        <v>105436</v>
      </c>
      <c r="Z179" s="46">
        <f>'Inputs (2)'!U24</f>
        <v>105978</v>
      </c>
      <c r="AA179" s="46">
        <f>'Inputs (2)'!V24</f>
        <v>106734</v>
      </c>
      <c r="AB179" s="12">
        <f>'Inputs (2)'!W24</f>
        <v>106734</v>
      </c>
      <c r="AC179" s="46">
        <f>'Inputs (2)'!X24</f>
        <v>107566</v>
      </c>
      <c r="AD179" s="46">
        <f>'Inputs (2)'!Y24</f>
        <v>107677</v>
      </c>
      <c r="AE179" s="46">
        <f>'Inputs (2)'!Z24</f>
        <v>110340</v>
      </c>
      <c r="AF179" s="46">
        <f>'Inputs (2)'!AA24</f>
        <v>110499</v>
      </c>
      <c r="AG179" s="12">
        <f>'Inputs (2)'!AB24</f>
        <v>110499</v>
      </c>
      <c r="AH179" s="12">
        <f>'Inputs (2)'!AC24</f>
        <v>110512</v>
      </c>
      <c r="AI179" s="12">
        <f>'Inputs (2)'!AD24</f>
        <v>110645</v>
      </c>
      <c r="AJ179" s="12">
        <f>AI179</f>
        <v>110645</v>
      </c>
      <c r="AK179" s="12">
        <f>AJ179</f>
        <v>110645</v>
      </c>
      <c r="AL179" s="12">
        <f>AK179</f>
        <v>110645</v>
      </c>
      <c r="AM179" s="12">
        <f>AL179</f>
        <v>110645</v>
      </c>
      <c r="AN179" s="12">
        <f>AM179</f>
        <v>110645</v>
      </c>
      <c r="AO179" s="12">
        <f>AN179</f>
        <v>110645</v>
      </c>
      <c r="AP179" s="12">
        <f>AO179</f>
        <v>110645</v>
      </c>
      <c r="AQ179" s="12">
        <f>AP179</f>
        <v>110645</v>
      </c>
      <c r="AR179" s="12">
        <f>AQ179</f>
        <v>110645</v>
      </c>
      <c r="AS179" s="12">
        <f>AR179</f>
        <v>110645</v>
      </c>
      <c r="AT179" s="12">
        <f>AS179</f>
        <v>110645</v>
      </c>
      <c r="AU179" s="12">
        <f>AT179</f>
        <v>110645</v>
      </c>
      <c r="AV179" s="12">
        <f>AU179</f>
        <v>110645</v>
      </c>
      <c r="AW179" s="12">
        <f>AV179</f>
        <v>110645</v>
      </c>
      <c r="AX179" s="12">
        <f>AW179</f>
        <v>110645</v>
      </c>
      <c r="AY179" s="12">
        <f>AX179</f>
        <v>110645</v>
      </c>
      <c r="AZ179" s="12">
        <f>AY179</f>
        <v>110645</v>
      </c>
      <c r="BA179" s="12">
        <f>AZ179</f>
        <v>110645</v>
      </c>
      <c r="BB179" s="12">
        <f>BA179</f>
        <v>110645</v>
      </c>
      <c r="BC179" s="12">
        <f>BB179</f>
        <v>110645</v>
      </c>
      <c r="BD179" s="12">
        <f>BC179</f>
        <v>110645</v>
      </c>
      <c r="BE179" s="12">
        <f>BD179</f>
        <v>110645</v>
      </c>
      <c r="BF179" s="12">
        <f>BE179</f>
        <v>110645</v>
      </c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>
      <c r="C180" s="14" t="inlineStr">
        <is>
          <t>Intangibles</t>
        </is>
      </c>
      <c r="D180" s="46" t="n"/>
      <c r="E180" s="46" t="n"/>
      <c r="F180" s="46" t="n"/>
      <c r="G180" s="46" t="n"/>
      <c r="H180" s="12" t="n"/>
      <c r="I180" s="46">
        <f>'Inputs (2)'!D25</f>
        <v>10842</v>
      </c>
      <c r="J180" s="46">
        <f>'Inputs (2)'!E25</f>
        <v>10806</v>
      </c>
      <c r="K180" s="46">
        <f>'Inputs (2)'!F25</f>
        <v>10436</v>
      </c>
      <c r="L180" s="46">
        <f>'Inputs (2)'!G25</f>
        <v>10044</v>
      </c>
      <c r="M180" s="12">
        <f>'Inputs (2)'!H25</f>
        <v>10044</v>
      </c>
      <c r="N180" s="46">
        <f>'Inputs (2)'!I25</f>
        <v>9918</v>
      </c>
      <c r="O180" s="46">
        <f>'Inputs (2)'!J25</f>
        <v>11285</v>
      </c>
      <c r="P180" s="46">
        <f>'Inputs (2)'!K25</f>
        <v>10785</v>
      </c>
      <c r="Q180" s="46">
        <f>'Inputs (2)'!L25</f>
        <v>14401</v>
      </c>
      <c r="R180" s="12">
        <f>'Inputs (2)'!M25</f>
        <v>14401</v>
      </c>
      <c r="S180" s="46">
        <f>'Inputs (2)'!N25</f>
        <v>16165</v>
      </c>
      <c r="T180" s="46">
        <f>'Inputs (2)'!O25</f>
        <v>15643</v>
      </c>
      <c r="U180" s="46">
        <f>'Inputs (2)'!P25</f>
        <v>15200</v>
      </c>
      <c r="V180" s="46">
        <f>'Inputs (2)'!Q25</f>
        <v>15194</v>
      </c>
      <c r="W180" s="12">
        <f>'Inputs (2)'!R25</f>
        <v>15194</v>
      </c>
      <c r="X180" s="46">
        <f>'Inputs (2)'!S25</f>
        <v>15543</v>
      </c>
      <c r="Y180" s="46">
        <f>'Inputs (2)'!T25</f>
        <v>14729</v>
      </c>
      <c r="Z180" s="46">
        <f>'Inputs (2)'!U25</f>
        <v>23594</v>
      </c>
      <c r="AA180" s="46">
        <f>'Inputs (2)'!V25</f>
        <v>23268</v>
      </c>
      <c r="AB180" s="12">
        <f>'Inputs (2)'!W25</f>
        <v>23268</v>
      </c>
      <c r="AC180" s="46">
        <f>'Inputs (2)'!X25</f>
        <v>22947</v>
      </c>
      <c r="AD180" s="46">
        <f>'Inputs (2)'!Y25</f>
        <v>22510</v>
      </c>
      <c r="AE180" s="46">
        <f>'Inputs (2)'!Z25</f>
        <v>22785</v>
      </c>
      <c r="AF180" s="46">
        <f>'Inputs (2)'!AA25</f>
        <v>20474</v>
      </c>
      <c r="AG180" s="12">
        <f>'Inputs (2)'!AB25</f>
        <v>20474</v>
      </c>
      <c r="AH180" s="12">
        <f>'Inputs (2)'!AC25</f>
        <v>20093</v>
      </c>
      <c r="AI180" s="12">
        <f>'Inputs (2)'!AD25</f>
        <v>19749</v>
      </c>
      <c r="AJ180" s="12">
        <f>AI180</f>
        <v>19749</v>
      </c>
      <c r="AK180" s="12">
        <f>AJ180</f>
        <v>19749</v>
      </c>
      <c r="AL180" s="12">
        <f>AK180</f>
        <v>19749</v>
      </c>
      <c r="AM180" s="16">
        <f>AL180</f>
        <v>19749</v>
      </c>
      <c r="AN180" s="12">
        <f>AM180</f>
        <v>19749</v>
      </c>
      <c r="AO180" s="12">
        <f>AN180</f>
        <v>19749</v>
      </c>
      <c r="AP180" s="12">
        <f>AO180</f>
        <v>19749</v>
      </c>
      <c r="AQ180" s="12">
        <f>AP180</f>
        <v>19749</v>
      </c>
      <c r="AR180" s="16">
        <f>AQ180</f>
        <v>19749</v>
      </c>
      <c r="AS180" s="12">
        <f>AR180</f>
        <v>19749</v>
      </c>
      <c r="AT180" s="12">
        <f>AS180</f>
        <v>19749</v>
      </c>
      <c r="AU180" s="12">
        <f>AT180</f>
        <v>19749</v>
      </c>
      <c r="AV180" s="12">
        <f>AU180</f>
        <v>19749</v>
      </c>
      <c r="AW180" s="16">
        <f>AV180</f>
        <v>19749</v>
      </c>
      <c r="AX180" s="12">
        <f>AW180</f>
        <v>19749</v>
      </c>
      <c r="AY180" s="12">
        <f>AX180</f>
        <v>19749</v>
      </c>
      <c r="AZ180" s="12">
        <f>AY180</f>
        <v>19749</v>
      </c>
      <c r="BA180" s="12">
        <f>AZ180</f>
        <v>19749</v>
      </c>
      <c r="BB180" s="16">
        <f>BA180</f>
        <v>19749</v>
      </c>
      <c r="BC180" s="12">
        <f>BB180</f>
        <v>19749</v>
      </c>
      <c r="BD180" s="12">
        <f>BC180</f>
        <v>19749</v>
      </c>
      <c r="BE180" s="12">
        <f>BD180</f>
        <v>19749</v>
      </c>
      <c r="BF180" s="12">
        <f>BE180</f>
        <v>19749</v>
      </c>
      <c r="BH180" s="12" t="n"/>
      <c r="BI180" s="12" t="n"/>
      <c r="BJ180" s="12" t="n"/>
      <c r="BK180" s="12" t="n"/>
      <c r="BM180" s="12" t="n"/>
      <c r="BN180" s="12" t="n"/>
      <c r="BO180" s="12" t="n"/>
      <c r="BP180" s="12" t="n"/>
      <c r="BR180" s="12" t="n"/>
      <c r="BS180" s="12" t="n"/>
      <c r="BT180" s="12" t="n"/>
      <c r="BU180" s="12" t="n"/>
      <c r="BW180" s="12" t="n"/>
      <c r="BX180" s="12" t="n"/>
      <c r="BY180" s="12" t="n"/>
      <c r="BZ180" s="12" t="n"/>
      <c r="CB180" s="12" t="n"/>
      <c r="CC180" s="12" t="n"/>
      <c r="CD180" s="12" t="n"/>
      <c r="CE180" s="12" t="n"/>
      <c r="CG180" s="12" t="n"/>
      <c r="CH180" s="12" t="n"/>
      <c r="CI180" s="12" t="n"/>
      <c r="CJ180" s="12" t="n"/>
      <c r="CL180" s="12" t="n"/>
      <c r="CM180" s="12" t="n"/>
      <c r="CN180" s="12" t="n"/>
      <c r="CO180" s="12" t="n"/>
      <c r="CQ180" s="12" t="n"/>
      <c r="CR180" s="12" t="n"/>
      <c r="CS180" s="12" t="n"/>
      <c r="CT180" s="12" t="n"/>
      <c r="CV180" s="12" t="n"/>
      <c r="CW180" s="12" t="n"/>
      <c r="CX180" s="12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inlineStr">
        <is>
          <t>Purchase of intangible assets</t>
        </is>
      </c>
      <c r="D182" s="12" t="n"/>
      <c r="E182" s="12" t="n"/>
      <c r="F182" s="12" t="n"/>
      <c r="G182" s="12" t="n"/>
      <c r="H182" s="12" t="n"/>
      <c r="I182" s="12" t="str">
        <f>IF(COUNT(H180)=0,"",I180-H180-I84)</f>
        <v/>
      </c>
      <c r="J182" s="12">
        <f>J180-I180-J84</f>
        <v>-36</v>
      </c>
      <c r="K182" s="12">
        <f>K180-J180-K84</f>
        <v>-370</v>
      </c>
      <c r="L182" s="12">
        <f>L180-K180-L84</f>
        <v>-392</v>
      </c>
      <c r="M182" s="12" t="n"/>
      <c r="N182" s="12">
        <f>N180-M180-N84</f>
        <v>-126</v>
      </c>
      <c r="O182" s="12">
        <f>O180-N180-O84</f>
        <v>1367</v>
      </c>
      <c r="P182" s="12">
        <f>P180-O180-P84</f>
        <v>-500</v>
      </c>
      <c r="Q182" s="12">
        <f>Q180-P180-Q84</f>
        <v>3616</v>
      </c>
      <c r="R182" s="12" t="n"/>
      <c r="S182" s="12">
        <f>S180-R180-S84</f>
        <v>1764</v>
      </c>
      <c r="T182" s="12">
        <f>T180-S180-T84</f>
        <v>-522</v>
      </c>
      <c r="U182" s="12">
        <f>U180-T180-U84</f>
        <v>-443</v>
      </c>
      <c r="V182" s="12">
        <f>V180-U180-V84</f>
        <v>-6</v>
      </c>
      <c r="W182" s="12" t="n"/>
      <c r="X182" s="12">
        <f>X180-W180-X84</f>
        <v>349</v>
      </c>
      <c r="Y182" s="12">
        <f>Y180-X180-Y84</f>
        <v>-814</v>
      </c>
      <c r="Z182" s="12">
        <f>Z180-Y180-Z84</f>
        <v>8865</v>
      </c>
      <c r="AA182" s="12">
        <f>AA180-Z180-AA84</f>
        <v>-326</v>
      </c>
      <c r="AB182" s="12" t="n"/>
      <c r="AC182" s="12">
        <f>AC180-AB180-AC84</f>
        <v>-321</v>
      </c>
      <c r="AD182" s="12">
        <f>AD180-AC180-AD84</f>
        <v>-437</v>
      </c>
      <c r="AE182" s="12">
        <f>AE180-AD180-AE84</f>
        <v>275</v>
      </c>
      <c r="AF182" s="12">
        <f>AF180-AE180-AF84</f>
        <v>-2311</v>
      </c>
      <c r="AG182" s="12" t="n"/>
      <c r="AH182" s="11">
        <f>AH180-AG180-AH84</f>
        <v>-381</v>
      </c>
      <c r="AI182" s="11">
        <f>AI180-AH180-AI84</f>
        <v>-344</v>
      </c>
      <c r="AJ182" s="11" t="n"/>
      <c r="AK182" s="11" t="n"/>
      <c r="AL182" s="12" t="n"/>
      <c r="AM182" s="11" t="n"/>
      <c r="AN182" s="11" t="n"/>
      <c r="AO182" s="11" t="n"/>
      <c r="AP182" s="11" t="n"/>
      <c r="AQ182" s="12" t="n"/>
      <c r="AR182" s="11" t="n"/>
      <c r="AS182" s="11" t="n"/>
      <c r="AT182" s="11" t="n"/>
      <c r="AU182" s="11" t="n"/>
      <c r="AV182" s="12" t="n"/>
      <c r="AW182" s="11" t="n"/>
      <c r="AX182" s="11" t="n"/>
      <c r="AY182" s="11" t="n"/>
      <c r="AZ182" s="11" t="n"/>
      <c r="BA182" s="12" t="n"/>
      <c r="BB182" s="11" t="n"/>
      <c r="BC182" s="11" t="n"/>
      <c r="BD182" s="11" t="n"/>
      <c r="BE182" s="11" t="n"/>
      <c r="BF182" s="12" t="n"/>
      <c r="BG182" s="11" t="n"/>
      <c r="BH182" s="11" t="n"/>
      <c r="BI182" s="11" t="n"/>
      <c r="BJ182" s="11" t="n"/>
      <c r="BK182" s="12" t="n"/>
      <c r="BL182" s="11" t="n"/>
      <c r="BM182" s="11" t="n"/>
      <c r="BN182" s="11" t="n"/>
      <c r="BO182" s="11" t="n"/>
      <c r="BP182" s="12" t="n"/>
      <c r="BQ182" s="11" t="n"/>
      <c r="BR182" s="11" t="n"/>
      <c r="BS182" s="11" t="n"/>
      <c r="BT182" s="11" t="n"/>
      <c r="BU182" s="12" t="n"/>
      <c r="BV182" s="11" t="n"/>
      <c r="BW182" s="11" t="n"/>
      <c r="BX182" s="11" t="n"/>
      <c r="BY182" s="11" t="n"/>
      <c r="BZ182" s="12" t="n"/>
      <c r="CA182" s="11" t="n"/>
      <c r="CB182" s="11" t="n"/>
      <c r="CC182" s="11" t="n"/>
      <c r="CD182" s="11" t="n"/>
      <c r="CE182" s="12" t="n"/>
      <c r="CF182" s="11" t="n"/>
      <c r="CG182" s="11" t="n"/>
      <c r="CH182" s="11" t="n"/>
      <c r="CI182" s="11" t="n"/>
      <c r="CJ182" s="12" t="n"/>
      <c r="CK182" s="11" t="n"/>
      <c r="CL182" s="11" t="n"/>
      <c r="CM182" s="11" t="n"/>
      <c r="CN182" s="11" t="n"/>
      <c r="CO182" s="12" t="n"/>
      <c r="CP182" s="11" t="n"/>
      <c r="CQ182" s="11" t="n"/>
      <c r="CR182" s="11" t="n"/>
      <c r="CS182" s="11" t="n"/>
      <c r="CT182" s="12" t="n"/>
      <c r="CU182" s="11" t="n"/>
      <c r="CV182" s="11" t="n"/>
      <c r="CW182" s="11" t="n"/>
      <c r="CX182" s="11" t="n"/>
      <c r="CY182" s="12" t="n"/>
    </row>
    <row r="183" hidden="1" outlineLevel="1">
      <c r="C183" s="57" t="inlineStr">
        <is>
          <t>Amortization (enter as -)</t>
        </is>
      </c>
      <c r="D183" s="12" t="n"/>
      <c r="E183" s="12" t="n"/>
      <c r="F183" s="12" t="n"/>
      <c r="G183" s="12" t="n"/>
      <c r="H183" s="12" t="n"/>
      <c r="I183" s="12">
        <f>I83</f>
        <v>0</v>
      </c>
      <c r="J183" s="12">
        <f>J83</f>
        <v>0</v>
      </c>
      <c r="K183" s="12">
        <f>K83</f>
        <v>0</v>
      </c>
      <c r="L183" s="12">
        <f>L83</f>
        <v>0</v>
      </c>
      <c r="M183" s="12" t="n"/>
      <c r="N183" s="12">
        <f>N83</f>
        <v>0</v>
      </c>
      <c r="O183" s="12">
        <f>O83</f>
        <v>0</v>
      </c>
      <c r="P183" s="12">
        <f>P83</f>
        <v>0</v>
      </c>
      <c r="Q183" s="12">
        <f>Q83</f>
        <v>0</v>
      </c>
      <c r="R183" s="12" t="n"/>
      <c r="S183" s="12">
        <f>S83</f>
        <v>0</v>
      </c>
      <c r="T183" s="12">
        <f>T83</f>
        <v>0</v>
      </c>
      <c r="U183" s="12">
        <f>U83</f>
        <v>0</v>
      </c>
      <c r="V183" s="12">
        <f>V83</f>
        <v>0</v>
      </c>
      <c r="W183" s="12" t="n"/>
      <c r="X183" s="12">
        <f>X83</f>
        <v>0</v>
      </c>
      <c r="Y183" s="12">
        <f>Y83</f>
        <v>0</v>
      </c>
      <c r="Z183" s="12">
        <f>Z83</f>
        <v>0</v>
      </c>
      <c r="AA183" s="12">
        <f>AA83</f>
        <v>0</v>
      </c>
      <c r="AB183" s="12" t="n"/>
      <c r="AC183" s="12">
        <f>AC83</f>
        <v>0</v>
      </c>
      <c r="AD183" s="12">
        <f>AD83</f>
        <v>0</v>
      </c>
      <c r="AE183" s="12">
        <f>AE83</f>
        <v>0</v>
      </c>
      <c r="AF183" s="12">
        <f>AF83</f>
        <v>0</v>
      </c>
      <c r="AG183" s="12" t="n"/>
      <c r="AH183" s="12">
        <f>AH83</f>
        <v>0</v>
      </c>
      <c r="AI183" s="11">
        <f>AI83</f>
        <v>0</v>
      </c>
      <c r="AJ183" s="11" t="n"/>
      <c r="AK183" s="11" t="n"/>
      <c r="AL183" s="12" t="n"/>
      <c r="AM183" s="11" t="n"/>
      <c r="AN183" s="11" t="n"/>
      <c r="AO183" s="11" t="n"/>
      <c r="AP183" s="11" t="n"/>
      <c r="AQ183" s="12" t="n"/>
      <c r="AR183" s="11" t="n"/>
      <c r="AS183" s="11" t="n"/>
      <c r="AT183" s="11" t="n"/>
      <c r="AU183" s="11" t="n"/>
      <c r="AV183" s="12" t="n"/>
      <c r="AW183" s="11" t="n"/>
      <c r="AX183" s="11" t="n"/>
      <c r="AY183" s="11" t="n"/>
      <c r="AZ183" s="11" t="n"/>
      <c r="BA183" s="12" t="n"/>
      <c r="BB183" s="11" t="n"/>
      <c r="BC183" s="11" t="n"/>
      <c r="BD183" s="11" t="n"/>
      <c r="BE183" s="11" t="n"/>
      <c r="BF183" s="12" t="n"/>
      <c r="BG183" s="11" t="n"/>
      <c r="BH183" s="11" t="n"/>
      <c r="BI183" s="11" t="n"/>
      <c r="BJ183" s="11" t="n"/>
      <c r="BK183" s="12" t="n"/>
      <c r="BL183" s="11" t="n"/>
      <c r="BM183" s="11" t="n"/>
      <c r="BN183" s="11" t="n"/>
      <c r="BO183" s="11" t="n"/>
      <c r="BP183" s="12" t="n"/>
      <c r="BQ183" s="11" t="n"/>
      <c r="BR183" s="11" t="n"/>
      <c r="BS183" s="11" t="n"/>
      <c r="BT183" s="11" t="n"/>
      <c r="BU183" s="12" t="n"/>
      <c r="BV183" s="11" t="n"/>
      <c r="BW183" s="11" t="n"/>
      <c r="BX183" s="11" t="n"/>
      <c r="BY183" s="11" t="n"/>
      <c r="BZ183" s="12" t="n"/>
      <c r="CA183" s="11" t="n"/>
      <c r="CB183" s="11" t="n"/>
      <c r="CC183" s="11" t="n"/>
      <c r="CD183" s="11" t="n"/>
      <c r="CE183" s="12" t="n"/>
      <c r="CF183" s="11" t="n"/>
      <c r="CG183" s="11" t="n"/>
      <c r="CH183" s="11" t="n"/>
      <c r="CI183" s="11" t="n"/>
      <c r="CJ183" s="12" t="n"/>
      <c r="CK183" s="11" t="n"/>
      <c r="CL183" s="11" t="n"/>
      <c r="CM183" s="11" t="n"/>
      <c r="CN183" s="11" t="n"/>
      <c r="CO183" s="12" t="n"/>
      <c r="CP183" s="11" t="n"/>
      <c r="CQ183" s="11" t="n"/>
      <c r="CR183" s="11" t="n"/>
      <c r="CS183" s="11" t="n"/>
      <c r="CT183" s="12" t="n"/>
      <c r="CU183" s="11" t="n"/>
      <c r="CV183" s="11" t="n"/>
      <c r="CW183" s="11" t="n"/>
      <c r="CX183" s="11" t="n"/>
      <c r="CY183" s="12" t="n"/>
    </row>
    <row r="184" hidden="1" outlineLevel="1">
      <c r="C184" s="57" t="inlineStr">
        <is>
          <t>Intangibles</t>
        </is>
      </c>
      <c r="D184" s="12" t="n"/>
      <c r="E184" s="12" t="n"/>
      <c r="F184" s="12" t="n"/>
      <c r="G184" s="12" t="n"/>
      <c r="H184" s="12" t="n"/>
      <c r="I184" s="12">
        <f>I180</f>
        <v>10842</v>
      </c>
      <c r="J184" s="12">
        <f>J180</f>
        <v>10806</v>
      </c>
      <c r="K184" s="12">
        <f>K180</f>
        <v>10436</v>
      </c>
      <c r="L184" s="12">
        <f>L180</f>
        <v>10044</v>
      </c>
      <c r="M184" s="12">
        <f>M180</f>
        <v>10044</v>
      </c>
      <c r="N184" s="12">
        <f>N180</f>
        <v>9918</v>
      </c>
      <c r="O184" s="12">
        <f>O180</f>
        <v>11285</v>
      </c>
      <c r="P184" s="12">
        <f>P180</f>
        <v>10785</v>
      </c>
      <c r="Q184" s="12">
        <f>Q180</f>
        <v>14401</v>
      </c>
      <c r="R184" s="12">
        <f>R180</f>
        <v>14401</v>
      </c>
      <c r="S184" s="12">
        <f>S180</f>
        <v>16165</v>
      </c>
      <c r="T184" s="12">
        <f>T180</f>
        <v>15643</v>
      </c>
      <c r="U184" s="12">
        <f>U180</f>
        <v>15200</v>
      </c>
      <c r="V184" s="12">
        <f>V180</f>
        <v>15194</v>
      </c>
      <c r="W184" s="12">
        <f>W180</f>
        <v>15194</v>
      </c>
      <c r="X184" s="12">
        <f>X180</f>
        <v>15543</v>
      </c>
      <c r="Y184" s="12">
        <f>Y180</f>
        <v>14729</v>
      </c>
      <c r="Z184" s="12">
        <f>Z180</f>
        <v>23594</v>
      </c>
      <c r="AA184" s="12">
        <f>AA180</f>
        <v>23268</v>
      </c>
      <c r="AB184" s="12">
        <f>AB180</f>
        <v>23268</v>
      </c>
      <c r="AC184" s="12">
        <f>AC180</f>
        <v>22947</v>
      </c>
      <c r="AD184" s="12">
        <f>AD180</f>
        <v>22510</v>
      </c>
      <c r="AE184" s="12">
        <f>AE180</f>
        <v>22785</v>
      </c>
      <c r="AF184" s="12">
        <f>AF180</f>
        <v>20474</v>
      </c>
      <c r="AG184" s="12">
        <f>AG180</f>
        <v>20474</v>
      </c>
      <c r="AH184" s="12">
        <f>AH180</f>
        <v>20093</v>
      </c>
      <c r="AI184" s="12">
        <f>AI180</f>
        <v>19749</v>
      </c>
      <c r="AJ184" s="12">
        <f>AJ180</f>
        <v>19749</v>
      </c>
      <c r="AK184" s="12">
        <f>AK180</f>
        <v>19749</v>
      </c>
      <c r="AL184" s="12" t="n"/>
      <c r="AM184" s="12">
        <f>AM180</f>
        <v>19749</v>
      </c>
      <c r="AN184" s="12">
        <f>AN180</f>
        <v>19749</v>
      </c>
      <c r="AO184" s="12">
        <f>AO180</f>
        <v>19749</v>
      </c>
      <c r="AP184" s="12">
        <f>AP180</f>
        <v>19749</v>
      </c>
      <c r="AQ184" s="12" t="n"/>
      <c r="AR184" s="12">
        <f>AR180</f>
        <v>19749</v>
      </c>
      <c r="AS184" s="12">
        <f>AS180</f>
        <v>19749</v>
      </c>
      <c r="AT184" s="12">
        <f>AT180</f>
        <v>19749</v>
      </c>
      <c r="AU184" s="12">
        <f>AU180</f>
        <v>19749</v>
      </c>
      <c r="AV184" s="12" t="n"/>
      <c r="AW184" s="12">
        <f>AW180</f>
        <v>19749</v>
      </c>
      <c r="AX184" s="12">
        <f>AX180</f>
        <v>19749</v>
      </c>
      <c r="AY184" s="12">
        <f>AY180</f>
        <v>19749</v>
      </c>
      <c r="AZ184" s="12">
        <f>AZ180</f>
        <v>19749</v>
      </c>
      <c r="BA184" s="12" t="n"/>
      <c r="BB184" s="12">
        <f>BB180</f>
        <v>19749</v>
      </c>
      <c r="BC184" s="12">
        <f>BC180</f>
        <v>19749</v>
      </c>
      <c r="BD184" s="12">
        <f>BD180</f>
        <v>19749</v>
      </c>
      <c r="BE184" s="12">
        <f>BE180</f>
        <v>19749</v>
      </c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hidden="1" outlineLevel="1">
      <c r="C185" s="57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hidden="1" outlineLevel="1">
      <c r="C186" s="57" t="inlineStr">
        <is>
          <t>Definir % do D&amp;A No PPE and Intagibles</t>
        </is>
      </c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hidden="1" outlineLevel="1">
      <c r="C188" s="57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collapsed="1">
      <c r="C189" s="14" t="inlineStr">
        <is>
          <t>Other non-current assets</t>
        </is>
      </c>
      <c r="D189" s="46" t="n"/>
      <c r="E189" s="46" t="n"/>
      <c r="F189" s="46" t="n"/>
      <c r="G189" s="46" t="n"/>
      <c r="H189" s="12" t="n"/>
      <c r="I189" s="46">
        <f>'Inputs (2)'!D26</f>
        <v>54163</v>
      </c>
      <c r="J189" s="46">
        <f>'Inputs (2)'!E26</f>
        <v>56008</v>
      </c>
      <c r="K189" s="46">
        <f>'Inputs (2)'!F26</f>
        <v>56834</v>
      </c>
      <c r="L189" s="46">
        <f>'Inputs (2)'!G26</f>
        <v>55640</v>
      </c>
      <c r="M189" s="12">
        <f>'Inputs (2)'!H26</f>
        <v>55640</v>
      </c>
      <c r="N189" s="46">
        <f>'Inputs (2)'!I26</f>
        <v>55560</v>
      </c>
      <c r="O189" s="46">
        <f>'Inputs (2)'!J26</f>
        <v>56951</v>
      </c>
      <c r="P189" s="46">
        <f>'Inputs (2)'!K26</f>
        <v>55969</v>
      </c>
      <c r="Q189" s="46">
        <f>'Inputs (2)'!L26</f>
        <v>58755</v>
      </c>
      <c r="R189" s="12">
        <f>'Inputs (2)'!M26</f>
        <v>58755</v>
      </c>
      <c r="S189" s="46">
        <f>'Inputs (2)'!N26</f>
        <v>62576</v>
      </c>
      <c r="T189" s="46">
        <f>'Inputs (2)'!O26</f>
        <v>62057</v>
      </c>
      <c r="U189" s="46">
        <f>'Inputs (2)'!P26</f>
        <v>62185</v>
      </c>
      <c r="V189" s="46">
        <f>'Inputs (2)'!Q26</f>
        <v>64907</v>
      </c>
      <c r="W189" s="12">
        <f>'Inputs (2)'!R26</f>
        <v>64907</v>
      </c>
      <c r="X189" s="46">
        <f>'Inputs (2)'!S26</f>
        <v>63632</v>
      </c>
      <c r="Y189" s="46">
        <f>'Inputs (2)'!T26</f>
        <v>64052</v>
      </c>
      <c r="Z189" s="46">
        <f>'Inputs (2)'!U26</f>
        <v>67340</v>
      </c>
      <c r="AA189" s="46">
        <f>'Inputs (2)'!V26</f>
        <v>71944</v>
      </c>
      <c r="AB189" s="12">
        <f>'Inputs (2)'!W26</f>
        <v>71944</v>
      </c>
      <c r="AC189" s="46">
        <f>'Inputs (2)'!X26</f>
        <v>72258</v>
      </c>
      <c r="AD189" s="46">
        <f>'Inputs (2)'!Y26</f>
        <v>73764</v>
      </c>
      <c r="AE189" s="46">
        <f>'Inputs (2)'!Z26</f>
        <v>75973</v>
      </c>
      <c r="AF189" s="46">
        <f>'Inputs (2)'!AA26</f>
        <v>77264</v>
      </c>
      <c r="AG189" s="12">
        <f>'Inputs (2)'!AB26</f>
        <v>77264</v>
      </c>
      <c r="AH189" s="12">
        <f>'Inputs (2)'!AC26</f>
        <v>80245</v>
      </c>
      <c r="AI189" s="12">
        <f>'Inputs (2)'!AD26</f>
        <v>81711</v>
      </c>
      <c r="AJ189" s="12">
        <f>AI189</f>
        <v>81711</v>
      </c>
      <c r="AK189" s="12">
        <f>AJ189</f>
        <v>81711</v>
      </c>
      <c r="AL189" s="12">
        <f>AK189</f>
        <v>81711</v>
      </c>
      <c r="AM189" s="12">
        <f>AL189</f>
        <v>81711</v>
      </c>
      <c r="AN189" s="12">
        <f>AM189</f>
        <v>81711</v>
      </c>
      <c r="AO189" s="12">
        <f>AN189</f>
        <v>81711</v>
      </c>
      <c r="AP189" s="12">
        <f>AO189</f>
        <v>81711</v>
      </c>
      <c r="AQ189" s="12">
        <f>AP189</f>
        <v>81711</v>
      </c>
      <c r="AR189" s="12">
        <f>AQ189</f>
        <v>81711</v>
      </c>
      <c r="AS189" s="12">
        <f>AR189</f>
        <v>81711</v>
      </c>
      <c r="AT189" s="12">
        <f>AS189</f>
        <v>81711</v>
      </c>
      <c r="AU189" s="12">
        <f>AT189</f>
        <v>81711</v>
      </c>
      <c r="AV189" s="12">
        <f>AU189</f>
        <v>81711</v>
      </c>
      <c r="AW189" s="12">
        <f>AV189</f>
        <v>81711</v>
      </c>
      <c r="AX189" s="12">
        <f>AW189</f>
        <v>81711</v>
      </c>
      <c r="AY189" s="12">
        <f>AX189</f>
        <v>81711</v>
      </c>
      <c r="AZ189" s="12">
        <f>AY189</f>
        <v>81711</v>
      </c>
      <c r="BA189" s="12">
        <f>AZ189</f>
        <v>81711</v>
      </c>
      <c r="BB189" s="12">
        <f>BA189</f>
        <v>81711</v>
      </c>
      <c r="BC189" s="12">
        <f>BB189</f>
        <v>81711</v>
      </c>
      <c r="BD189" s="12">
        <f>BC189</f>
        <v>81711</v>
      </c>
      <c r="BE189" s="12">
        <f>BD189</f>
        <v>81711</v>
      </c>
      <c r="BF189" s="12">
        <f>BE189</f>
        <v>81711</v>
      </c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 hidden="1" outlineLevel="1">
      <c r="C190" s="59" t="inlineStr">
        <is>
          <t>%(Var.)</t>
        </is>
      </c>
      <c r="D190" s="12" t="n"/>
      <c r="E190" s="40" t="n"/>
      <c r="F190" s="40" t="n"/>
      <c r="G190" s="40" t="n"/>
      <c r="H190" s="12" t="n"/>
      <c r="I190" s="40" t="str">
        <f>""</f>
        <v/>
      </c>
      <c r="J190" s="40">
        <f>IF(I189=0,"",J189/I189-1)</f>
        <v>0.0340638443217696</v>
      </c>
      <c r="K190" s="40">
        <f>IF(J189=0,"",K189/J189-1)</f>
        <v>0.0147478931581202</v>
      </c>
      <c r="L190" s="40">
        <f>IF(K189=0,"",L189/K189-1)</f>
        <v>-0.0210085512193405</v>
      </c>
      <c r="M190" s="12">
        <f>IF(L189=0,"",M189/L189-1)</f>
        <v>0</v>
      </c>
      <c r="N190" s="40">
        <f>IF(M189=0,"",N189/M189-1)</f>
        <v>-0.00143781452192671</v>
      </c>
      <c r="O190" s="40">
        <f>IF(N189=0,"",O189/N189-1)</f>
        <v>0.0250359971202303</v>
      </c>
      <c r="P190" s="40">
        <f>IF(O189=0,"",P189/O189-1)</f>
        <v>-0.0172428930132922</v>
      </c>
      <c r="Q190" s="40">
        <f>IF(P189=0,"",Q189/P189-1)</f>
        <v>0.0497775554324715</v>
      </c>
      <c r="R190" s="12">
        <f>IF(Q189=0,"",R189/Q189-1)</f>
        <v>0</v>
      </c>
      <c r="S190" s="40">
        <f>IF(R189=0,"",S189/R189-1)</f>
        <v>0.0650327631690919</v>
      </c>
      <c r="T190" s="40">
        <f>IF(S189=0,"",T189/S189-1)</f>
        <v>-0.00829391459984663</v>
      </c>
      <c r="U190" s="40">
        <f>IF(T189=0,"",U189/T189-1)</f>
        <v>0.0020626198494933</v>
      </c>
      <c r="V190" s="40">
        <f>IF(U189=0,"",V189/U189-1)</f>
        <v>0.0437726139744312</v>
      </c>
      <c r="W190" s="12">
        <f>IF(V189=0,"",W189/V189-1)</f>
        <v>0</v>
      </c>
      <c r="X190" s="40">
        <f>IF(W189=0,"",X189/W189-1)</f>
        <v>-0.0196434899163418</v>
      </c>
      <c r="Y190" s="40">
        <f>IF(X189=0,"",Y189/X189-1)</f>
        <v>0.00660045260246411</v>
      </c>
      <c r="Z190" s="40">
        <f>IF(Y189=0,"",Z189/Y189-1)</f>
        <v>0.0513332917004934</v>
      </c>
      <c r="AA190" s="40">
        <f>IF(Z189=0,"",AA189/Z189-1)</f>
        <v>0.0683694683694684</v>
      </c>
      <c r="AB190" s="12">
        <f>IF(AA189=0,"",AB189/AA189-1)</f>
        <v>0</v>
      </c>
      <c r="AC190" s="40">
        <f>IF(AB189=0,"",AC189/AB189-1)</f>
        <v>0.00436450572667635</v>
      </c>
      <c r="AD190" s="40">
        <f>IF(AC189=0,"",AD189/AC189-1)</f>
        <v>0.0208419828946276</v>
      </c>
      <c r="AE190" s="40">
        <f>IF(AD189=0,"",AE189/AD189-1)</f>
        <v>0.0299468575456863</v>
      </c>
      <c r="AF190" s="55">
        <f>IF(AE189=0,"",AF189/AE189-1)</f>
        <v>0.0169928790491358</v>
      </c>
      <c r="AG190" s="12">
        <f>IF(AF189=0,"",AG189/AF189-1)</f>
        <v>0</v>
      </c>
      <c r="AH190" s="55">
        <f>IF(AG189=0,"",AH189/AG189-1)</f>
        <v>0.0385820045558087</v>
      </c>
      <c r="AI190" s="55">
        <f>IF(AH189=0,"",AI189/AH189-1)</f>
        <v>0.0182690510312169</v>
      </c>
      <c r="AJ190" s="55">
        <f>IF(AI189=0,"",AJ189/AI189-1)</f>
        <v>0</v>
      </c>
      <c r="AK190" s="55">
        <f>IF(AJ189=0,"",AK189/AJ189-1)</f>
        <v>0</v>
      </c>
      <c r="AL190" s="12">
        <f>IF(AK189=0,"",AL189/AK189-1)</f>
        <v>0</v>
      </c>
      <c r="AM190" s="55">
        <f>IF(AL189=0,"",AM189/AL189-1)</f>
        <v>0</v>
      </c>
      <c r="AN190" s="55">
        <f>IF(AM189=0,"",AN189/AM189-1)</f>
        <v>0</v>
      </c>
      <c r="AO190" s="55">
        <f>IF(AN189=0,"",AO189/AN189-1)</f>
        <v>0</v>
      </c>
      <c r="AP190" s="55">
        <f>IF(AO189=0,"",AP189/AO189-1)</f>
        <v>0</v>
      </c>
      <c r="AQ190" s="12">
        <f>IF(AP189=0,"",AQ189/AP189-1)</f>
        <v>0</v>
      </c>
      <c r="AR190" s="55">
        <f>IF(AQ189=0,"",AR189/AQ189-1)</f>
        <v>0</v>
      </c>
      <c r="AS190" s="55">
        <f>IF(AR189=0,"",AS189/AR189-1)</f>
        <v>0</v>
      </c>
      <c r="AT190" s="55">
        <f>IF(AS189=0,"",AT189/AS189-1)</f>
        <v>0</v>
      </c>
      <c r="AU190" s="55">
        <f>IF(AT189=0,"",AU189/AT189-1)</f>
        <v>0</v>
      </c>
      <c r="AV190" s="12">
        <f>IF(AU189=0,"",AV189/AU189-1)</f>
        <v>0</v>
      </c>
      <c r="AW190" s="55">
        <f>IF(AV189=0,"",AW189/AV189-1)</f>
        <v>0</v>
      </c>
      <c r="AX190" s="55">
        <f>IF(AW189=0,"",AX189/AW189-1)</f>
        <v>0</v>
      </c>
      <c r="AY190" s="55">
        <f>IF(AX189=0,"",AY189/AX189-1)</f>
        <v>0</v>
      </c>
      <c r="AZ190" s="55">
        <f>IF(AY189=0,"",AZ189/AY189-1)</f>
        <v>0</v>
      </c>
      <c r="BA190" s="12">
        <f>IF(AZ189=0,"",BA189/AZ189-1)</f>
        <v>0</v>
      </c>
      <c r="BB190" s="55">
        <f>IF(BA189=0,"",BB189/BA189-1)</f>
        <v>0</v>
      </c>
      <c r="BC190" s="55">
        <f>IF(BB189=0,"",BC189/BB189-1)</f>
        <v>0</v>
      </c>
      <c r="BD190" s="55">
        <f>IF(BC189=0,"",BD189/BC189-1)</f>
        <v>0</v>
      </c>
      <c r="BE190" s="55">
        <f>IF(BD189=0,"",BE189/BD189-1)</f>
        <v>0</v>
      </c>
      <c r="BF190" s="12">
        <f>IF(BE189=0,"",BF189/BE189-1)</f>
        <v>0</v>
      </c>
      <c r="BG190" s="55" t="n"/>
      <c r="BH190" s="55" t="n"/>
      <c r="BI190" s="55" t="n"/>
      <c r="BJ190" s="55" t="n"/>
      <c r="BK190" s="12" t="n"/>
      <c r="BL190" s="55" t="n"/>
      <c r="BM190" s="55" t="n"/>
      <c r="BN190" s="55" t="n"/>
      <c r="BO190" s="55" t="n"/>
      <c r="BP190" s="12" t="n"/>
      <c r="BQ190" s="55" t="n"/>
      <c r="BR190" s="55" t="n"/>
      <c r="BS190" s="55" t="n"/>
      <c r="BT190" s="55" t="n"/>
      <c r="BU190" s="12" t="n"/>
      <c r="BV190" s="55" t="n"/>
      <c r="BW190" s="55" t="n"/>
      <c r="BX190" s="55" t="n"/>
      <c r="BY190" s="55" t="n"/>
      <c r="BZ190" s="12" t="n"/>
      <c r="CA190" s="55" t="n"/>
      <c r="CB190" s="55" t="n"/>
      <c r="CC190" s="55" t="n"/>
      <c r="CD190" s="55" t="n"/>
      <c r="CE190" s="12" t="n"/>
      <c r="CF190" s="55" t="n"/>
      <c r="CG190" s="55" t="n"/>
      <c r="CH190" s="55" t="n"/>
      <c r="CI190" s="55" t="n"/>
      <c r="CJ190" s="12" t="n"/>
      <c r="CK190" s="55" t="n"/>
      <c r="CL190" s="55" t="n"/>
      <c r="CM190" s="55" t="n"/>
      <c r="CN190" s="55" t="n"/>
      <c r="CO190" s="12" t="n"/>
      <c r="CP190" s="55" t="n"/>
      <c r="CQ190" s="55" t="n"/>
      <c r="CR190" s="55" t="n"/>
      <c r="CS190" s="55" t="n"/>
      <c r="CT190" s="12" t="n"/>
      <c r="CU190" s="55" t="n"/>
      <c r="CV190" s="55" t="n"/>
      <c r="CW190" s="55" t="n"/>
      <c r="CX190" s="55" t="n"/>
      <c r="CY190" s="12" t="n"/>
    </row>
    <row r="191" hidden="1" outlineLevel="1">
      <c r="C191" s="57" t="n"/>
      <c r="D191" s="12" t="n"/>
      <c r="E191" s="40" t="n"/>
      <c r="F191" s="40" t="n"/>
      <c r="G191" s="40" t="n"/>
      <c r="H191" s="12" t="n"/>
      <c r="I191" s="40" t="n"/>
      <c r="J191" s="40" t="n"/>
      <c r="K191" s="40" t="n"/>
      <c r="L191" s="40" t="n"/>
      <c r="M191" s="12" t="n"/>
      <c r="N191" s="40" t="n"/>
      <c r="O191" s="40" t="n"/>
      <c r="P191" s="40" t="n"/>
      <c r="Q191" s="40" t="n"/>
      <c r="R191" s="12" t="n"/>
      <c r="S191" s="40" t="n"/>
      <c r="T191" s="40" t="n"/>
      <c r="U191" s="40" t="n"/>
      <c r="V191" s="40" t="n"/>
      <c r="W191" s="12" t="n"/>
      <c r="X191" s="40" t="n"/>
      <c r="Y191" s="40" t="n"/>
      <c r="Z191" s="40" t="n"/>
      <c r="AA191" s="40" t="n"/>
      <c r="AB191" s="12" t="n"/>
      <c r="AC191" s="40" t="n"/>
      <c r="AD191" s="40" t="n"/>
      <c r="AE191" s="40" t="n"/>
      <c r="AF191" s="55" t="n"/>
      <c r="AG191" s="12" t="n"/>
      <c r="AH191" s="55" t="n"/>
      <c r="AI191" s="55" t="n"/>
      <c r="AJ191" s="55" t="n"/>
      <c r="AK191" s="55" t="n"/>
      <c r="AL191" s="12" t="n"/>
      <c r="AM191" s="55" t="n"/>
      <c r="AN191" s="55" t="n"/>
      <c r="AO191" s="55" t="n"/>
      <c r="AP191" s="55" t="n"/>
      <c r="AQ191" s="12" t="n"/>
      <c r="AR191" s="55" t="n"/>
      <c r="AS191" s="55" t="n"/>
      <c r="AT191" s="55" t="n"/>
      <c r="AU191" s="55" t="n"/>
      <c r="AV191" s="12" t="n"/>
      <c r="AW191" s="55" t="n"/>
      <c r="AX191" s="55" t="n"/>
      <c r="AY191" s="55" t="n"/>
      <c r="AZ191" s="55" t="n"/>
      <c r="BA191" s="12" t="n"/>
      <c r="BB191" s="55" t="n"/>
      <c r="BC191" s="55" t="n"/>
      <c r="BD191" s="55" t="n"/>
      <c r="BE191" s="55" t="n"/>
      <c r="BF191" s="12" t="n"/>
      <c r="BG191" s="55" t="n"/>
      <c r="BH191" s="55" t="n"/>
      <c r="BI191" s="55" t="n"/>
      <c r="BJ191" s="55" t="n"/>
      <c r="BK191" s="12" t="n"/>
      <c r="BL191" s="55" t="n"/>
      <c r="BM191" s="55" t="n"/>
      <c r="BN191" s="55" t="n"/>
      <c r="BO191" s="55" t="n"/>
      <c r="BP191" s="12" t="n"/>
      <c r="BQ191" s="55" t="n"/>
      <c r="BR191" s="55" t="n"/>
      <c r="BS191" s="55" t="n"/>
      <c r="BT191" s="55" t="n"/>
      <c r="BU191" s="12" t="n"/>
      <c r="BV191" s="55" t="n"/>
      <c r="BW191" s="55" t="n"/>
      <c r="BX191" s="55" t="n"/>
      <c r="BY191" s="55" t="n"/>
      <c r="BZ191" s="12" t="n"/>
      <c r="CA191" s="55" t="n"/>
      <c r="CB191" s="55" t="n"/>
      <c r="CC191" s="55" t="n"/>
      <c r="CD191" s="55" t="n"/>
      <c r="CE191" s="12" t="n"/>
      <c r="CF191" s="55" t="n"/>
      <c r="CG191" s="55" t="n"/>
      <c r="CH191" s="55" t="n"/>
      <c r="CI191" s="55" t="n"/>
      <c r="CJ191" s="12" t="n"/>
      <c r="CK191" s="55" t="n"/>
      <c r="CL191" s="55" t="n"/>
      <c r="CM191" s="55" t="n"/>
      <c r="CN191" s="55" t="n"/>
      <c r="CO191" s="12" t="n"/>
      <c r="CP191" s="55" t="n"/>
      <c r="CQ191" s="55" t="n"/>
      <c r="CR191" s="55" t="n"/>
      <c r="CS191" s="55" t="n"/>
      <c r="CT191" s="12" t="n"/>
      <c r="CU191" s="55" t="n"/>
      <c r="CV191" s="55" t="n"/>
      <c r="CW191" s="55" t="n"/>
      <c r="CX191" s="55" t="n"/>
      <c r="CY191" s="12" t="n"/>
    </row>
    <row r="192" hidden="1" outlineLevel="1">
      <c r="C192" s="60" t="inlineStr">
        <is>
          <t>Outros Créditos - LP</t>
        </is>
      </c>
      <c r="D192" s="11" t="n"/>
      <c r="E192" s="11" t="n"/>
      <c r="F192" s="11" t="n"/>
      <c r="G192" s="11" t="n"/>
      <c r="H192" s="12" t="n"/>
      <c r="I192" s="11" t="n"/>
      <c r="J192" s="11" t="n"/>
      <c r="K192" s="11" t="n"/>
      <c r="L192" s="11" t="n"/>
      <c r="M192" s="12" t="n"/>
      <c r="N192" s="11" t="n"/>
      <c r="O192" s="11" t="n"/>
      <c r="P192" s="11" t="n"/>
      <c r="Q192" s="11" t="n"/>
      <c r="R192" s="12" t="n"/>
      <c r="S192" s="11" t="n"/>
      <c r="T192" s="11" t="n"/>
      <c r="U192" s="11" t="n"/>
      <c r="V192" s="11" t="n"/>
      <c r="W192" s="12" t="n"/>
      <c r="X192" s="11" t="n"/>
      <c r="Y192" s="11" t="n"/>
      <c r="Z192" s="11" t="n"/>
      <c r="AA192" s="11" t="n"/>
      <c r="AB192" s="12" t="n"/>
      <c r="AC192" s="11" t="n"/>
      <c r="AD192" s="11" t="n"/>
      <c r="AE192" s="11" t="n"/>
      <c r="AF192" s="11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60" t="inlineStr">
        <is>
          <t xml:space="preserve">Impostos e Contribuições a Recuperar </t>
        </is>
      </c>
      <c r="D193" s="11" t="n"/>
      <c r="E193" s="11" t="n"/>
      <c r="F193" s="11" t="n"/>
      <c r="G193" s="11" t="n"/>
      <c r="H193" s="12" t="n"/>
      <c r="I193" s="11" t="n"/>
      <c r="J193" s="11" t="n"/>
      <c r="K193" s="11" t="n"/>
      <c r="L193" s="11" t="n"/>
      <c r="M193" s="12" t="n"/>
      <c r="N193" s="11" t="n"/>
      <c r="O193" s="11" t="n"/>
      <c r="P193" s="11" t="n"/>
      <c r="Q193" s="11" t="n"/>
      <c r="R193" s="12" t="n"/>
      <c r="S193" s="11" t="n"/>
      <c r="T193" s="11" t="n"/>
      <c r="U193" s="11" t="n"/>
      <c r="V193" s="11" t="n"/>
      <c r="W193" s="12" t="n"/>
      <c r="X193" s="11" t="n"/>
      <c r="Y193" s="11" t="n"/>
      <c r="Z193" s="11" t="n"/>
      <c r="AA193" s="11" t="n"/>
      <c r="AB193" s="12" t="n"/>
      <c r="AC193" s="11" t="n"/>
      <c r="AD193" s="11" t="n"/>
      <c r="AE193" s="11" t="n"/>
      <c r="AF193" s="11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60" t="inlineStr">
        <is>
          <t xml:space="preserve">Imposto de Renda e Contribuição Social Diferidos </t>
        </is>
      </c>
      <c r="D194" s="11" t="n"/>
      <c r="E194" s="11" t="n"/>
      <c r="F194" s="11" t="n"/>
      <c r="G194" s="11" t="n"/>
      <c r="H194" s="12" t="n"/>
      <c r="I194" s="11" t="n"/>
      <c r="J194" s="11" t="n"/>
      <c r="K194" s="11" t="n"/>
      <c r="L194" s="11" t="n"/>
      <c r="M194" s="12" t="n"/>
      <c r="N194" s="11" t="n"/>
      <c r="O194" s="11" t="n"/>
      <c r="P194" s="11" t="n"/>
      <c r="Q194" s="11" t="n"/>
      <c r="R194" s="12" t="n"/>
      <c r="S194" s="11" t="n"/>
      <c r="T194" s="11" t="n"/>
      <c r="U194" s="11" t="n"/>
      <c r="V194" s="11" t="n"/>
      <c r="W194" s="12" t="n"/>
      <c r="X194" s="11" t="n"/>
      <c r="Y194" s="11" t="n"/>
      <c r="Z194" s="11" t="n"/>
      <c r="AA194" s="11" t="n"/>
      <c r="AB194" s="12" t="n"/>
      <c r="AC194" s="11" t="n"/>
      <c r="AD194" s="11" t="n"/>
      <c r="AE194" s="11" t="n"/>
      <c r="AF194" s="11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hidden="1" outlineLevel="1">
      <c r="C195" s="60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</row>
    <row r="197" collapsed="1" customFormat="1" s="32">
      <c r="A197" s="30" t="n"/>
      <c r="B197" s="3" t="n"/>
      <c r="C197" s="33" t="inlineStr">
        <is>
          <t>Total Assets</t>
        </is>
      </c>
      <c r="D197" s="35" t="n"/>
      <c r="E197" s="35" t="n"/>
      <c r="F197" s="35" t="n"/>
      <c r="G197" s="35" t="n"/>
      <c r="H197" s="35" t="n"/>
      <c r="I197" s="35">
        <f>SUM(I144,I145,I149,I153,I154,I155,I161,I166,I176,I179,I180,I189)</f>
        <v>205171</v>
      </c>
      <c r="J197" s="35">
        <f>SUM(J144,J145,J149,J153,J154,J155,J161,J166,J176,J179,J180,J189)</f>
        <v>210292</v>
      </c>
      <c r="K197" s="35">
        <f>SUM(K144,K145,K149,K153,K154,K155,K161,K166,K176,K179,K180,K189)</f>
        <v>213045</v>
      </c>
      <c r="L197" s="35">
        <f>SUM(L144,L145,L149,L153,L154,L155,L161,L166,L176,L179,L180,L189)</f>
        <v>212206</v>
      </c>
      <c r="M197" s="35">
        <f>SUM(M144,M145,M149,M153,M154,M155,M161,M166,M176,M179,M180,M189)</f>
        <v>212206</v>
      </c>
      <c r="N197" s="35">
        <f>SUM(N144,N145,N149,N153,N154,N155,N161,N166,N176,N179,N180,N189)</f>
        <v>221238</v>
      </c>
      <c r="O197" s="35">
        <f>SUM(O144,O145,O149,O153,O154,O155,O161,O166,O176,O179,O180,O189)</f>
        <v>230172</v>
      </c>
      <c r="P197" s="35">
        <f>SUM(P144,P145,P149,P153,P154,P155,P161,P166,P176,P179,P180,P189)</f>
        <v>243064</v>
      </c>
      <c r="Q197" s="35">
        <f>SUM(Q144,Q145,Q149,Q153,Q154,Q155,Q161,Q166,Q176,Q179,Q180,Q189)</f>
        <v>245705</v>
      </c>
      <c r="R197" s="35">
        <f>SUM(R144,R145,R149,R153,R154,R155,R161,R166,R176,R179,R180,R189)</f>
        <v>245705</v>
      </c>
      <c r="S197" s="35">
        <f>SUM(S144,S145,S149,S153,S154,S155,S161,S166,S176,S179,S180,S189)</f>
        <v>283679</v>
      </c>
      <c r="T197" s="35">
        <f>SUM(T144,T145,T149,T153,T154,T155,T161,T166,T176,T179,T180,T189)</f>
        <v>280164</v>
      </c>
      <c r="U197" s="35">
        <f>SUM(U144,U145,U149,U153,U154,U155,U161,U166,U176,U179,U180,U189)</f>
        <v>282063</v>
      </c>
      <c r="V197" s="35">
        <f>SUM(V144,V145,V149,V153,V154,V155,V161,V166,V176,V179,V180,V189)</f>
        <v>273720</v>
      </c>
      <c r="W197" s="35">
        <f>SUM(W144,W145,W149,W153,W154,W155,W161,W166,W176,W179,W180,W189)</f>
        <v>273720</v>
      </c>
      <c r="X197" s="35">
        <f>SUM(X144,X145,X149,X153,X154,X155,X161,X166,X176,X179,X180,X189)</f>
        <v>284210</v>
      </c>
      <c r="Y197" s="35">
        <f>SUM(Y144,Y145,Y149,Y153,Y154,Y155,Y161,Y166,Y176,Y179,Y180,Y189)</f>
        <v>286056</v>
      </c>
      <c r="Z197" s="35">
        <f>SUM(Z144,Z145,Z149,Z153,Z154,Z155,Z161,Z166,Z176,Z179,Z180,Z189)</f>
        <v>299309</v>
      </c>
      <c r="AA197" s="35">
        <f>SUM(AA144,AA145,AA149,AA153,AA154,AA155,AA161,AA166,AA176,AA179,AA180,AA189)</f>
        <v>298278</v>
      </c>
      <c r="AB197" s="35">
        <f>SUM(AB144,AB145,AB149,AB153,AB154,AB155,AB161,AB166,AB176,AB179,AB180,AB189)</f>
        <v>298278</v>
      </c>
      <c r="AC197" s="35">
        <f>SUM(AC144,AC145,AC149,AC153,AC154,AC155,AC161,AC166,AC176,AC179,AC180,AC189)</f>
        <v>309790</v>
      </c>
      <c r="AD197" s="35">
        <f>SUM(AD144,AD145,AD149,AD153,AD154,AD155,AD161,AD166,AD176,AD179,AD180,AD189)</f>
        <v>308573</v>
      </c>
      <c r="AE197" s="35">
        <f>SUM(AE144,AE145,AE149,AE153,AE154,AE155,AE161,AE166,AE176,AE179,AE180,AE189)</f>
        <v>315269</v>
      </c>
      <c r="AF197" s="35">
        <f>SUM(AF144,AF145,AF149,AF153,AF154,AF155,AF161,AF166,AF176,AF179,AF180,AF189)</f>
        <v>309581</v>
      </c>
      <c r="AG197" s="35">
        <f>SUM(AG144,AG145,AG149,AG153,AG154,AG155,AG161,AG166,AG176,AG179,AG180,AG189)</f>
        <v>309581</v>
      </c>
      <c r="AH197" s="35">
        <f>SUM(AH144,AH145,AH149,AH153,AH154,AH155,AH161,AH166,AH176,AH179,AH180,AH189)</f>
        <v>312644</v>
      </c>
      <c r="AI197" s="35">
        <f>SUM(AI144,AI145,AI149,AI153,AI154,AI155,AI161,AI166,AI176,AI179,AI180,AI189)</f>
        <v>309727</v>
      </c>
      <c r="AJ197" s="35">
        <f>SUM(AJ144,AJ145,AJ149,AJ153,AJ154,AJ155,AJ161,AJ166,AJ176,AJ179,AJ180,AJ189)</f>
        <v>313865.057943431</v>
      </c>
      <c r="AK197" s="35">
        <f>SUM(AK144,AK145,AK149,AK153,AK154,AK155,AK161,AK166,AK176,AK179,AK180,AK189)</f>
        <v>317997.362129364</v>
      </c>
      <c r="AL197" s="35">
        <f>SUM(AL144,AL145,AL149,AL153,AL154,AL155,AL161,AL166,AL176,AL179,AL180,AL189)</f>
        <v>317997.362129364</v>
      </c>
      <c r="AM197" s="35">
        <f>SUM(AM144,AM145,AM149,AM153,AM154,AM155,AM161,AM166,AM176,AM179,AM180,AM189)</f>
        <v>322403.860081481</v>
      </c>
      <c r="AN197" s="35">
        <f>SUM(AN144,AN145,AN149,AN153,AN154,AN155,AN161,AN166,AN176,AN179,AN180,AN189)</f>
        <v>326143.666674878</v>
      </c>
      <c r="AO197" s="35">
        <f>SUM(AO144,AO145,AO149,AO153,AO154,AO155,AO161,AO166,AO176,AO179,AO180,AO189)</f>
        <v>333845.621946155</v>
      </c>
      <c r="AP197" s="35">
        <f>SUM(AP144,AP145,AP149,AP153,AP154,AP155,AP161,AP166,AP176,AP179,AP180,AP189)</f>
        <v>338319.449185921</v>
      </c>
      <c r="AQ197" s="35">
        <f>SUM(AQ144,AQ145,AQ149,AQ153,AQ154,AQ155,AQ161,AQ166,AQ176,AQ179,AQ180,AQ189)</f>
        <v>338319.449185921</v>
      </c>
      <c r="AR197" s="35">
        <f>SUM(AR144,AR145,AR149,AR153,AR154,AR155,AR161,AR166,AR176,AR179,AR180,AR189)</f>
        <v>342393.886345344</v>
      </c>
      <c r="AS197" s="35">
        <f>SUM(AS144,AS145,AS149,AS153,AS154,AS155,AS161,AS166,AS176,AS179,AS180,AS189)</f>
        <v>346899.357497096</v>
      </c>
      <c r="AT197" s="35">
        <f>SUM(AT144,AT145,AT149,AT153,AT154,AT155,AT161,AT166,AT176,AT179,AT180,AT189)</f>
        <v>355199.347439467</v>
      </c>
      <c r="AU197" s="35">
        <f>SUM(AU144,AU145,AU149,AU153,AU154,AU155,AU161,AU166,AU176,AU179,AU180,AU189)</f>
        <v>360020.55449483</v>
      </c>
      <c r="AV197" s="35">
        <f>SUM(AV144,AV145,AV149,AV153,AV154,AV155,AV161,AV166,AV176,AV179,AV180,AV189)</f>
        <v>360020.55449483</v>
      </c>
      <c r="AW197" s="35">
        <f>SUM(AW144,AW145,AW149,AW153,AW154,AW155,AW161,AW166,AW176,AW179,AW180,AW189)</f>
        <v>364685.420186762</v>
      </c>
      <c r="AX197" s="35">
        <f>SUM(AX144,AX145,AX149,AX153,AX154,AX155,AX161,AX166,AX176,AX179,AX180,AX189)</f>
        <v>369008.393846209</v>
      </c>
      <c r="AY197" s="35">
        <f>SUM(AY144,AY145,AY149,AY153,AY154,AY155,AY161,AY166,AY176,AY179,AY180,AY189)</f>
        <v>377911.354181846</v>
      </c>
      <c r="AZ197" s="35">
        <f>SUM(AZ144,AZ145,AZ149,AZ153,AZ154,AZ155,AZ161,AZ166,AZ176,AZ179,AZ180,AZ189)</f>
        <v>383082.808060924</v>
      </c>
      <c r="BA197" s="35">
        <f>SUM(BA144,BA145,BA149,BA153,BA154,BA155,BA161,BA166,BA176,BA179,BA180,BA189)</f>
        <v>383082.808060924</v>
      </c>
      <c r="BB197" s="35">
        <f>SUM(BB144,BB145,BB149,BB153,BB154,BB155,BB161,BB166,BB176,BB179,BB180,BB189)</f>
        <v>387831.140660984</v>
      </c>
      <c r="BC197" s="35">
        <f>SUM(BC144,BC145,BC149,BC153,BC154,BC155,BC161,BC166,BC176,BC179,BC180,BC189)</f>
        <v>392446.551052872</v>
      </c>
      <c r="BD197" s="35">
        <f>SUM(BD144,BD145,BD149,BD153,BD154,BD155,BD161,BD166,BD176,BD179,BD180,BD189)</f>
        <v>401951.77104464</v>
      </c>
      <c r="BE197" s="35">
        <f>SUM(BE144,BE145,BE149,BE153,BE154,BE155,BE161,BE166,BE176,BE179,BE180,BE189)</f>
        <v>407473.058902248</v>
      </c>
      <c r="BF197" s="35">
        <f>SUM(BF144,BF145,BF149,BF153,BF154,BF155,BF161,BF166,BF176,BF179,BF180,BF189)</f>
        <v>407473.058902248</v>
      </c>
      <c r="BG197" s="35" t="n"/>
      <c r="BH197" s="35" t="n"/>
      <c r="BI197" s="35" t="n"/>
      <c r="BJ197" s="35" t="n"/>
      <c r="BK197" s="35" t="n"/>
      <c r="BL197" s="35" t="n"/>
      <c r="BM197" s="35" t="n"/>
      <c r="BN197" s="35" t="n"/>
      <c r="BO197" s="35" t="n"/>
      <c r="BP197" s="35" t="n"/>
      <c r="BQ197" s="35" t="n"/>
      <c r="BR197" s="35" t="n"/>
      <c r="BS197" s="35" t="n"/>
      <c r="BT197" s="35" t="n"/>
      <c r="BU197" s="35" t="n"/>
      <c r="BV197" s="35" t="n"/>
      <c r="BW197" s="35" t="n"/>
      <c r="BX197" s="35" t="n"/>
      <c r="BY197" s="35" t="n"/>
      <c r="BZ197" s="35" t="n"/>
      <c r="CA197" s="35" t="n"/>
      <c r="CB197" s="35" t="n"/>
      <c r="CC197" s="35" t="n"/>
      <c r="CD197" s="35" t="n"/>
      <c r="CE197" s="35" t="n"/>
      <c r="CF197" s="35" t="n"/>
      <c r="CG197" s="35" t="n"/>
      <c r="CH197" s="35" t="n"/>
      <c r="CI197" s="35" t="n"/>
      <c r="CJ197" s="35" t="n"/>
      <c r="CK197" s="35" t="n"/>
      <c r="CL197" s="35" t="n"/>
      <c r="CM197" s="35" t="n"/>
      <c r="CN197" s="35" t="n"/>
      <c r="CO197" s="35" t="n"/>
      <c r="CP197" s="35" t="n"/>
      <c r="CQ197" s="35" t="n"/>
      <c r="CR197" s="35" t="n"/>
      <c r="CS197" s="35" t="n"/>
      <c r="CT197" s="35" t="n"/>
      <c r="CU197" s="35" t="n"/>
      <c r="CV197" s="35" t="n"/>
      <c r="CW197" s="35" t="n"/>
      <c r="CX197" s="35" t="n"/>
      <c r="CY197" s="35" t="n"/>
    </row>
    <row r="198">
      <c r="C198" s="14" t="inlineStr">
        <is>
          <t>Accounts payable</t>
        </is>
      </c>
      <c r="D198" s="46" t="n"/>
      <c r="E198" s="46" t="n"/>
      <c r="F198" s="46" t="n"/>
      <c r="G198" s="46" t="n"/>
      <c r="H198" s="12" t="n"/>
      <c r="I198" s="46">
        <f>'Inputs (2)'!D28</f>
        <v>22997</v>
      </c>
      <c r="J198" s="46">
        <f>'Inputs (2)'!E28</f>
        <v>23013</v>
      </c>
      <c r="K198" s="46">
        <f>'Inputs (2)'!F28</f>
        <v>24292</v>
      </c>
      <c r="L198" s="46">
        <f>'Inputs (2)'!G28</f>
        <v>24643</v>
      </c>
      <c r="M198" s="12">
        <f>'Inputs (2)'!H28</f>
        <v>24643</v>
      </c>
      <c r="N198" s="46">
        <f>'Inputs (2)'!I28</f>
        <v>25058</v>
      </c>
      <c r="O198" s="46">
        <f>'Inputs (2)'!J28</f>
        <v>25145</v>
      </c>
      <c r="P198" s="46">
        <f>'Inputs (2)'!K28</f>
        <v>27232</v>
      </c>
      <c r="Q198" s="46">
        <f>'Inputs (2)'!L28</f>
        <v>27715</v>
      </c>
      <c r="R198" s="12">
        <f>'Inputs (2)'!M28</f>
        <v>27715</v>
      </c>
      <c r="S198" s="46">
        <f>'Inputs (2)'!N28</f>
        <v>29856</v>
      </c>
      <c r="T198" s="46">
        <f>'Inputs (2)'!O28</f>
        <v>29516</v>
      </c>
      <c r="U198" s="46">
        <f>'Inputs (2)'!P28</f>
        <v>31164</v>
      </c>
      <c r="V198" s="46">
        <f>'Inputs (2)'!Q28</f>
        <v>31958</v>
      </c>
      <c r="W198" s="12">
        <f>'Inputs (2)'!R28</f>
        <v>31958</v>
      </c>
      <c r="X198" s="46">
        <f>'Inputs (2)'!S28</f>
        <v>30738</v>
      </c>
      <c r="Y198" s="46">
        <f>'Inputs (2)'!T28</f>
        <v>30886</v>
      </c>
      <c r="Z198" s="46">
        <f>'Inputs (2)'!U28</f>
        <v>33080</v>
      </c>
      <c r="AA198" s="46">
        <f>'Inputs (2)'!V28</f>
        <v>34337</v>
      </c>
      <c r="AB198" s="12">
        <f>'Inputs (2)'!W28</f>
        <v>34337</v>
      </c>
      <c r="AC198" s="46">
        <f>'Inputs (2)'!X28</f>
        <v>33566</v>
      </c>
      <c r="AD198" s="46">
        <f>'Inputs (2)'!Y28</f>
        <v>34330</v>
      </c>
      <c r="AE198" s="46">
        <f>'Inputs (2)'!Z28</f>
        <v>36033</v>
      </c>
      <c r="AF198" s="46">
        <f>'Inputs (2)'!AA28</f>
        <v>38032</v>
      </c>
      <c r="AG198" s="12">
        <f>'Inputs (2)'!AB28</f>
        <v>38032</v>
      </c>
      <c r="AH198" s="12">
        <f>'Inputs (2)'!AC28</f>
        <v>38631</v>
      </c>
      <c r="AI198" s="12">
        <f>'Inputs (2)'!AD28</f>
        <v>39741</v>
      </c>
      <c r="AJ198" s="12">
        <f>(AJ199/(AJ$5-AI$5))*-AJ$54</f>
        <v>39767.6926775228</v>
      </c>
      <c r="AK198" s="12">
        <f>(AK199/(AK$5-AJ$5))*-AK$54</f>
        <v>39786.6696696366</v>
      </c>
      <c r="AL198" s="12">
        <f>AK198</f>
        <v>39786.6696696366</v>
      </c>
      <c r="AM198" s="12">
        <f>(AM199/(AM$5-AL$5))*-AM$54</f>
        <v>40134.1204334776</v>
      </c>
      <c r="AN198" s="12">
        <f>(AN199/(AN$5-AM$5))*-AN$54</f>
        <v>39803.5805871103</v>
      </c>
      <c r="AO198" s="12">
        <f>(AO199/(AO$5-AN$5))*-AO$54</f>
        <v>43054.3780801523</v>
      </c>
      <c r="AP198" s="12">
        <f>(AP199/(AP$5-AO$5))*-AP$54</f>
        <v>43074.9234660743</v>
      </c>
      <c r="AQ198" s="12">
        <f>AP198</f>
        <v>43074.9234660743</v>
      </c>
      <c r="AR198" s="12">
        <f>(AR199/(AR$5-AQ$5))*-AR$54</f>
        <v>42775.1400994518</v>
      </c>
      <c r="AS198" s="12">
        <f>(AS199/(AS$5-AR$5))*-AS$54</f>
        <v>42894.2141192952</v>
      </c>
      <c r="AT198" s="12">
        <f>(AT199/(AT$5-AS$5))*-AT$54</f>
        <v>46397.4266863114</v>
      </c>
      <c r="AU198" s="12">
        <f>(AU199/(AU$5-AT$5))*-AU$54</f>
        <v>46419.5673623488</v>
      </c>
      <c r="AV198" s="12">
        <f>AU198</f>
        <v>46419.5673623488</v>
      </c>
      <c r="AW198" s="12">
        <f>(AW199/(AW$5-AV$5))*-AW$54</f>
        <v>46392.437990058</v>
      </c>
      <c r="AX198" s="12">
        <f>(AX199/(AX$5-AW$5))*-AX$54</f>
        <v>46010.3553840308</v>
      </c>
      <c r="AY198" s="12">
        <f>(AY199/(AY$5-AX$5))*-AY$54</f>
        <v>49768.0662665741</v>
      </c>
      <c r="AZ198" s="12">
        <f>(AZ199/(AZ$5-AY$5))*-AZ$54</f>
        <v>49791.8153990349</v>
      </c>
      <c r="BA198" s="12">
        <f>AZ198</f>
        <v>49791.8153990349</v>
      </c>
      <c r="BB198" s="12">
        <f>(BB199/(BB$5-BA$5))*-BB$54</f>
        <v>49530.7529659382</v>
      </c>
      <c r="BC198" s="12">
        <f>(BC199/(BC$5-BB$5))*-BC$54</f>
        <v>49122.8235707257</v>
      </c>
      <c r="BD198" s="12">
        <f>(BD199/(BD$5-BC$5))*-BD$54</f>
        <v>53134.7327849075</v>
      </c>
      <c r="BE198" s="12">
        <f>(BE199/(BE$5-BD$5))*-BE$54</f>
        <v>53160.0884778617</v>
      </c>
      <c r="BF198" s="12">
        <f>BE198</f>
        <v>53160.0884778617</v>
      </c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57" t="inlineStr">
        <is>
          <t>DPO</t>
        </is>
      </c>
      <c r="D199" s="12" t="n"/>
      <c r="E199" s="12" t="n"/>
      <c r="F199" s="12" t="n"/>
      <c r="G199" s="12" t="n"/>
      <c r="H199" s="12" t="n"/>
      <c r="I199" s="12">
        <f>IFERROR(-(I198/I$54)*(I$5-H$5),"")</f>
        <v>273.339936608558</v>
      </c>
      <c r="J199" s="12">
        <f>IFERROR(-(J198/J$54)*(J$5-I$5),"")</f>
        <v>273.392036553525</v>
      </c>
      <c r="K199" s="12">
        <f>IFERROR(-(K198/K$54)*(K$5-J$5),"")</f>
        <v>286.447577544219</v>
      </c>
      <c r="L199" s="12">
        <f>IFERROR(-(L198/L$54)*(L$5-K$5),"")</f>
        <v>283.3945</v>
      </c>
      <c r="M199" s="12" t="n"/>
      <c r="N199" s="12">
        <f>IFERROR(-(N198/N$54)*(N$5-M$5),"")</f>
        <v>265.726405090138</v>
      </c>
      <c r="O199" s="12">
        <f>IFERROR(-(O198/O$54)*(O$5-N$5),"")</f>
        <v>266.192996742671</v>
      </c>
      <c r="P199" s="12">
        <f>IFERROR(-(P198/P$54)*(P$5-O$5),"")</f>
        <v>301.630628461353</v>
      </c>
      <c r="Q199" s="12">
        <f>IFERROR(-(Q198/Q$54)*(Q$5-P$5),"")</f>
        <v>306.685109453933</v>
      </c>
      <c r="R199" s="12" t="n"/>
      <c r="S199" s="12">
        <f>IFERROR(-(S198/S$54)*(S$5-R$5),"")</f>
        <v>285.703349282297</v>
      </c>
      <c r="T199" s="12">
        <f>IFERROR(-(T198/T$54)*(T$5-S$5),"")</f>
        <v>275.539187525646</v>
      </c>
      <c r="U199" s="12">
        <f>IFERROR(-(U198/U$54)*(U$5-T$5),"")</f>
        <v>304.26488379497</v>
      </c>
      <c r="V199" s="12">
        <f>IFERROR(-(V198/V$54)*(V$5-U$5),"")</f>
        <v>288.418285265843</v>
      </c>
      <c r="W199" s="12" t="n"/>
      <c r="X199" s="12">
        <f>IFERROR(-(X198/X$54)*(X$5-W$5),"")</f>
        <v>252.999095513748</v>
      </c>
      <c r="Y199" s="12">
        <f>IFERROR(-(Y198/Y$54)*(Y$5-X$5),"")</f>
        <v>247.850617283951</v>
      </c>
      <c r="Z199" s="12">
        <f>IFERROR(-(Z198/Z$54)*(Z$5-Y$5),"")</f>
        <v>257.170863613318</v>
      </c>
      <c r="AA199" s="12">
        <f>IFERROR(-(AA198/AA$54)*(AA$5-Z$5),"")</f>
        <v>253.45025673941</v>
      </c>
      <c r="AB199" s="12" t="n"/>
      <c r="AC199" s="12">
        <f>IFERROR(-(AC198/AC$54)*(AC$5-AB$5),"")</f>
        <v>243.820823244552</v>
      </c>
      <c r="AD199" s="12">
        <f>IFERROR(-(AD198/AD$54)*(AD$5-AC$5),"")</f>
        <v>239.95929026807</v>
      </c>
      <c r="AE199" s="12">
        <f>IFERROR(-(AE198/AE$54)*(AE$5-AD$5),"")</f>
        <v>263.809963393283</v>
      </c>
      <c r="AF199" s="11">
        <f>IFERROR(-(AF198/AF$54)*(AF$5-AE$5),"")</f>
        <v>275.941955835962</v>
      </c>
      <c r="AG199" s="12" t="n"/>
      <c r="AH199" s="11">
        <f>IFERROR(-(AH198/AH$54)*(AH$5-AG$5),"")</f>
        <v>271.137019418233</v>
      </c>
      <c r="AI199" s="11">
        <f>IFERROR(-(AI198/AI$54)*(AI$5-AH$5),"")</f>
        <v>270.387364485981</v>
      </c>
      <c r="AJ199" s="11">
        <f>Control!$B$27</f>
        <v>260.84273610768</v>
      </c>
      <c r="AK199" s="11">
        <f>Control!$B$27</f>
        <v>260.84273610768</v>
      </c>
      <c r="AL199" s="12" t="n"/>
      <c r="AM199" s="11">
        <f>Control!$C$27</f>
        <v>260.84273610768</v>
      </c>
      <c r="AN199" s="11">
        <f>Control!$C$27</f>
        <v>260.84273610768</v>
      </c>
      <c r="AO199" s="11">
        <f>Control!$C$27</f>
        <v>260.84273610768</v>
      </c>
      <c r="AP199" s="11">
        <f>Control!$C$27</f>
        <v>260.84273610768</v>
      </c>
      <c r="AQ199" s="12" t="n"/>
      <c r="AR199" s="11">
        <f>Control!$D$27</f>
        <v>260.84273610768</v>
      </c>
      <c r="AS199" s="11">
        <f>Control!$D$27</f>
        <v>260.84273610768</v>
      </c>
      <c r="AT199" s="11">
        <f>Control!$D$27</f>
        <v>260.84273610768</v>
      </c>
      <c r="AU199" s="11">
        <f>Control!$D$27</f>
        <v>260.84273610768</v>
      </c>
      <c r="AV199" s="12" t="n"/>
      <c r="AW199" s="11">
        <f>Control!$E$27</f>
        <v>260.84273610768</v>
      </c>
      <c r="AX199" s="11">
        <f>Control!$E$27</f>
        <v>260.84273610768</v>
      </c>
      <c r="AY199" s="11">
        <f>Control!$E$27</f>
        <v>260.84273610768</v>
      </c>
      <c r="AZ199" s="11">
        <f>Control!$E$27</f>
        <v>260.84273610768</v>
      </c>
      <c r="BA199" s="12" t="n"/>
      <c r="BB199" s="11">
        <f>Control!$F$27</f>
        <v>260.84273610768</v>
      </c>
      <c r="BC199" s="11">
        <f>Control!$F$27</f>
        <v>260.84273610768</v>
      </c>
      <c r="BD199" s="11">
        <f>Control!$F$27</f>
        <v>260.84273610768</v>
      </c>
      <c r="BE199" s="11">
        <f>Control!$F$27</f>
        <v>260.84273610768</v>
      </c>
      <c r="BF199" s="12" t="n"/>
      <c r="BG199" s="11" t="n"/>
      <c r="BH199" s="11" t="n"/>
      <c r="BI199" s="11" t="n"/>
      <c r="BJ199" s="11" t="n"/>
      <c r="BK199" s="12" t="n"/>
      <c r="BL199" s="11" t="n"/>
      <c r="BM199" s="11" t="n"/>
      <c r="BN199" s="11" t="n"/>
      <c r="BO199" s="11" t="n"/>
      <c r="BP199" s="12" t="n"/>
      <c r="BQ199" s="11" t="n"/>
      <c r="BR199" s="11" t="n"/>
      <c r="BS199" s="11" t="n"/>
      <c r="BT199" s="11" t="n"/>
      <c r="BU199" s="12" t="n"/>
      <c r="BV199" s="11" t="n"/>
      <c r="BW199" s="11" t="n"/>
      <c r="BX199" s="11" t="n"/>
      <c r="BY199" s="11" t="n"/>
      <c r="BZ199" s="12" t="n"/>
      <c r="CA199" s="11" t="n"/>
      <c r="CB199" s="11" t="n"/>
      <c r="CC199" s="11" t="n"/>
      <c r="CD199" s="11" t="n"/>
      <c r="CE199" s="12" t="n"/>
      <c r="CF199" s="11" t="n"/>
      <c r="CG199" s="11" t="n"/>
      <c r="CH199" s="11" t="n"/>
      <c r="CI199" s="11" t="n"/>
      <c r="CJ199" s="12" t="n"/>
      <c r="CK199" s="11" t="n"/>
      <c r="CL199" s="11" t="n"/>
      <c r="CM199" s="11" t="n"/>
      <c r="CN199" s="11" t="n"/>
      <c r="CO199" s="12" t="n"/>
      <c r="CP199" s="11" t="n"/>
      <c r="CQ199" s="11" t="n"/>
      <c r="CR199" s="11" t="n"/>
      <c r="CS199" s="11" t="n"/>
      <c r="CT199" s="12" t="n"/>
      <c r="CU199" s="11" t="n"/>
      <c r="CV199" s="11" t="n"/>
      <c r="CW199" s="11" t="n"/>
      <c r="CX199" s="11" t="n"/>
      <c r="CY199" s="12" t="n"/>
    </row>
    <row r="200" hidden="1" outlineLevel="1">
      <c r="C200" s="57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collapsed="1">
      <c r="C202" s="14" t="inlineStr">
        <is>
          <t>Accrued expenses</t>
        </is>
      </c>
      <c r="D202" s="46" t="n"/>
      <c r="E202" s="46" t="n"/>
      <c r="F202" s="46" t="n"/>
      <c r="G202" s="46" t="n"/>
      <c r="H202" s="12" t="n"/>
      <c r="I202" s="46">
        <f>'Inputs (2)'!D29</f>
        <v>0</v>
      </c>
      <c r="J202" s="46">
        <f>'Inputs (2)'!E29</f>
        <v>0</v>
      </c>
      <c r="K202" s="46">
        <f>'Inputs (2)'!F29</f>
        <v>0</v>
      </c>
      <c r="L202" s="46">
        <f>'Inputs (2)'!G29</f>
        <v>0</v>
      </c>
      <c r="M202" s="12">
        <f>'Inputs (2)'!H29</f>
        <v>0</v>
      </c>
      <c r="N202" s="46">
        <f>'Inputs (2)'!I29</f>
        <v>0</v>
      </c>
      <c r="O202" s="46">
        <f>'Inputs (2)'!J29</f>
        <v>0</v>
      </c>
      <c r="P202" s="46">
        <f>'Inputs (2)'!K29</f>
        <v>0</v>
      </c>
      <c r="Q202" s="46">
        <f>'Inputs (2)'!L29</f>
        <v>0</v>
      </c>
      <c r="R202" s="12">
        <f>'Inputs (2)'!M29</f>
        <v>0</v>
      </c>
      <c r="S202" s="46">
        <f>'Inputs (2)'!N29</f>
        <v>0</v>
      </c>
      <c r="T202" s="46">
        <f>'Inputs (2)'!O29</f>
        <v>0</v>
      </c>
      <c r="U202" s="46">
        <f>'Inputs (2)'!P29</f>
        <v>0</v>
      </c>
      <c r="V202" s="46">
        <f>'Inputs (2)'!Q29</f>
        <v>0</v>
      </c>
      <c r="W202" s="12">
        <f>'Inputs (2)'!R29</f>
        <v>0</v>
      </c>
      <c r="X202" s="46">
        <f>'Inputs (2)'!S29</f>
        <v>0</v>
      </c>
      <c r="Y202" s="46">
        <f>'Inputs (2)'!T29</f>
        <v>0</v>
      </c>
      <c r="Z202" s="46">
        <f>'Inputs (2)'!U29</f>
        <v>0</v>
      </c>
      <c r="AA202" s="46">
        <f>'Inputs (2)'!V29</f>
        <v>0</v>
      </c>
      <c r="AB202" s="12">
        <f>'Inputs (2)'!W29</f>
        <v>0</v>
      </c>
      <c r="AC202" s="46">
        <f>'Inputs (2)'!X29</f>
        <v>0</v>
      </c>
      <c r="AD202" s="46">
        <f>'Inputs (2)'!Y29</f>
        <v>0</v>
      </c>
      <c r="AE202" s="46">
        <f>'Inputs (2)'!Z29</f>
        <v>0</v>
      </c>
      <c r="AF202" s="46">
        <f>'Inputs (2)'!AA29</f>
        <v>0</v>
      </c>
      <c r="AG202" s="12">
        <f>'Inputs (2)'!AB29</f>
        <v>0</v>
      </c>
      <c r="AH202" s="12">
        <f>'Inputs (2)'!AC29</f>
        <v>0</v>
      </c>
      <c r="AI202" s="12">
        <f>'Inputs (2)'!AD29</f>
        <v>0</v>
      </c>
      <c r="AJ202" s="12">
        <f>AI202*(1+AJ16)</f>
        <v>0</v>
      </c>
      <c r="AK202" s="12">
        <f>AJ202*(1+AK16)</f>
        <v>0</v>
      </c>
      <c r="AL202" s="12">
        <f>AK202</f>
        <v>0</v>
      </c>
      <c r="AM202" s="12">
        <f>AL202*(1+AM16)</f>
        <v>0</v>
      </c>
      <c r="AN202" s="12">
        <f>AM202*(1+AN16)</f>
        <v>0</v>
      </c>
      <c r="AO202" s="12">
        <f>AN202*(1+AO16)</f>
        <v>0</v>
      </c>
      <c r="AP202" s="12">
        <f>AO202*(1+AP16)</f>
        <v>0</v>
      </c>
      <c r="AQ202" s="12">
        <f>AP202</f>
        <v>0</v>
      </c>
      <c r="AR202" s="12">
        <f>AQ202*(1+AR16)</f>
        <v>0</v>
      </c>
      <c r="AS202" s="12">
        <f>AR202*(1+AS16)</f>
        <v>0</v>
      </c>
      <c r="AT202" s="12">
        <f>AS202*(1+AT16)</f>
        <v>0</v>
      </c>
      <c r="AU202" s="12">
        <f>AT202*(1+AU16)</f>
        <v>0</v>
      </c>
      <c r="AV202" s="12">
        <f>AU202</f>
        <v>0</v>
      </c>
      <c r="AW202" s="12">
        <f>AV202*(1+AW16)</f>
        <v>0</v>
      </c>
      <c r="AX202" s="12">
        <f>AW202*(1+AX16)</f>
        <v>0</v>
      </c>
      <c r="AY202" s="12">
        <f>AX202*(1+AY16)</f>
        <v>0</v>
      </c>
      <c r="AZ202" s="12">
        <f>AY202*(1+AZ16)</f>
        <v>0</v>
      </c>
      <c r="BA202" s="12">
        <f>AZ202</f>
        <v>0</v>
      </c>
      <c r="BB202" s="12">
        <f>BA202*(1+BB16)</f>
        <v>0</v>
      </c>
      <c r="BC202" s="12">
        <f>BB202*(1+BC16)</f>
        <v>0</v>
      </c>
      <c r="BD202" s="12">
        <f>BC202*(1+BD16)</f>
        <v>0</v>
      </c>
      <c r="BE202" s="12">
        <f>BD202*(1+BE16)</f>
        <v>0</v>
      </c>
      <c r="BF202" s="12">
        <f>BE202</f>
        <v>0</v>
      </c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9" t="inlineStr">
        <is>
          <t>%(Var.)</t>
        </is>
      </c>
      <c r="D203" s="12" t="n"/>
      <c r="E203" s="40" t="n"/>
      <c r="F203" s="40" t="n"/>
      <c r="G203" s="40" t="n"/>
      <c r="H203" s="12" t="n"/>
      <c r="I203" s="40" t="str">
        <f>""</f>
        <v/>
      </c>
      <c r="J203" s="40" t="str">
        <f>IFERROR(IF(I202=0,"",J202/I202-1),"")</f>
        <v/>
      </c>
      <c r="K203" s="40" t="str">
        <f>IFERROR(IF(J202=0,"",K202/J202-1),"")</f>
        <v/>
      </c>
      <c r="L203" s="40" t="str">
        <f>IFERROR(IF(K202=0,"",L202/K202-1),"")</f>
        <v/>
      </c>
      <c r="M203" s="12" t="str">
        <f>IF(L202=0,"",M202/L202-1)</f>
        <v/>
      </c>
      <c r="N203" s="40" t="str">
        <f>IFERROR(IF(M202=0,"",N202/M202-1),"")</f>
        <v/>
      </c>
      <c r="O203" s="40" t="str">
        <f>IFERROR(IF(N202=0,"",O202/N202-1),"")</f>
        <v/>
      </c>
      <c r="P203" s="40" t="str">
        <f>IFERROR(IF(O202=0,"",P202/O202-1),"")</f>
        <v/>
      </c>
      <c r="Q203" s="40" t="str">
        <f>IFERROR(IF(P202=0,"",Q202/P202-1),"")</f>
        <v/>
      </c>
      <c r="R203" s="12" t="str">
        <f>IF(Q202=0,"",R202/Q202-1)</f>
        <v/>
      </c>
      <c r="S203" s="40" t="str">
        <f>IFERROR(IF(R202=0,"",S202/R202-1),"")</f>
        <v/>
      </c>
      <c r="T203" s="40" t="str">
        <f>IFERROR(IF(S202=0,"",T202/S202-1),"")</f>
        <v/>
      </c>
      <c r="U203" s="40" t="str">
        <f>IFERROR(IF(T202=0,"",U202/T202-1),"")</f>
        <v/>
      </c>
      <c r="V203" s="40" t="str">
        <f>IFERROR(IF(U202=0,"",V202/U202-1),"")</f>
        <v/>
      </c>
      <c r="W203" s="12" t="str">
        <f>IF(V202=0,"",W202/V202-1)</f>
        <v/>
      </c>
      <c r="X203" s="40" t="str">
        <f>IFERROR(IF(W202=0,"",X202/W202-1),"")</f>
        <v/>
      </c>
      <c r="Y203" s="40" t="str">
        <f>IFERROR(IF(X202=0,"",Y202/X202-1),"")</f>
        <v/>
      </c>
      <c r="Z203" s="40" t="str">
        <f>IFERROR(IF(Y202=0,"",Z202/Y202-1),"")</f>
        <v/>
      </c>
      <c r="AA203" s="40" t="str">
        <f>IFERROR(IF(Z202=0,"",AA202/Z202-1),"")</f>
        <v/>
      </c>
      <c r="AB203" s="12" t="str">
        <f>IF(AA202=0,"",AB202/AA202-1)</f>
        <v/>
      </c>
      <c r="AC203" s="40" t="str">
        <f>IFERROR(IF(AB202=0,"",AC202/AB202-1),"")</f>
        <v/>
      </c>
      <c r="AD203" s="40" t="str">
        <f>IFERROR(IF(AC202=0,"",AD202/AC202-1),"")</f>
        <v/>
      </c>
      <c r="AE203" s="40" t="str">
        <f>IFERROR(IF(AD202=0,"",AE202/AD202-1),"")</f>
        <v/>
      </c>
      <c r="AF203" s="55" t="str">
        <f>IFERROR(IF(AE202=0,"",AF202/AE202-1),"")</f>
        <v/>
      </c>
      <c r="AG203" s="12" t="str">
        <f>IF(AF202=0,"",AG202/AF202-1)</f>
        <v/>
      </c>
      <c r="AH203" s="55" t="str">
        <f>IFERROR(IF(AG202=0,"",AH202/AG202-1),"")</f>
        <v/>
      </c>
      <c r="AI203" s="55" t="str">
        <f>IFERROR(IF(AH202=0,"",AI202/AH202-1),"")</f>
        <v/>
      </c>
      <c r="AJ203" s="55" t="str">
        <f>IFERROR(IF(AI202=0,"",AJ202/AI202-1),"")</f>
        <v/>
      </c>
      <c r="AK203" s="55" t="str">
        <f>IF(AJ202=0,"",AK202/AJ202-1)</f>
        <v/>
      </c>
      <c r="AL203" s="12" t="str">
        <f>IF(AK202=0,"",AL202/AK202-1)</f>
        <v/>
      </c>
      <c r="AM203" s="55" t="str">
        <f>IF(AL202=0,"",AM202/AL202-1)</f>
        <v/>
      </c>
      <c r="AN203" s="55" t="str">
        <f>IF(AM202=0,"",AN202/AM202-1)</f>
        <v/>
      </c>
      <c r="AO203" s="55" t="str">
        <f>IF(AN202=0,"",AO202/AN202-1)</f>
        <v/>
      </c>
      <c r="AP203" s="55" t="str">
        <f>IF(AO202=0,"",AP202/AO202-1)</f>
        <v/>
      </c>
      <c r="AQ203" s="12" t="str">
        <f>IF(AP202=0,"",AQ202/AP202-1)</f>
        <v/>
      </c>
      <c r="AR203" s="55" t="str">
        <f>IF(AQ202=0,"",AR202/AQ202-1)</f>
        <v/>
      </c>
      <c r="AS203" s="55" t="str">
        <f>IF(AR202=0,"",AS202/AR202-1)</f>
        <v/>
      </c>
      <c r="AT203" s="55" t="str">
        <f>IF(AS202=0,"",AT202/AS202-1)</f>
        <v/>
      </c>
      <c r="AU203" s="55" t="str">
        <f>IF(AT202=0,"",AU202/AT202-1)</f>
        <v/>
      </c>
      <c r="AV203" s="12" t="str">
        <f>IF(AU202=0,"",AV202/AU202-1)</f>
        <v/>
      </c>
      <c r="AW203" s="55" t="str">
        <f>IF(AV202=0,"",AW202/AV202-1)</f>
        <v/>
      </c>
      <c r="AX203" s="55" t="str">
        <f>IF(AW202=0,"",AX202/AW202-1)</f>
        <v/>
      </c>
      <c r="AY203" s="55" t="str">
        <f>IF(AX202=0,"",AY202/AX202-1)</f>
        <v/>
      </c>
      <c r="AZ203" s="55" t="str">
        <f>IF(AY202=0,"",AZ202/AY202-1)</f>
        <v/>
      </c>
      <c r="BA203" s="12" t="str">
        <f>IF(AZ202=0,"",BA202/AZ202-1)</f>
        <v/>
      </c>
      <c r="BB203" s="55" t="str">
        <f>IF(BA202=0,"",BB202/BA202-1)</f>
        <v/>
      </c>
      <c r="BC203" s="55" t="str">
        <f>IF(BB202=0,"",BC202/BB202-1)</f>
        <v/>
      </c>
      <c r="BD203" s="55" t="str">
        <f>IF(BC202=0,"",BD202/BC202-1)</f>
        <v/>
      </c>
      <c r="BE203" s="55" t="str">
        <f>IF(BD202=0,"",BE202/BD202-1)</f>
        <v/>
      </c>
      <c r="BF203" s="12" t="str">
        <f>IF(BE202=0,"",BF202/BE202-1)</f>
        <v/>
      </c>
      <c r="BG203" s="55" t="n"/>
      <c r="BH203" s="55" t="n"/>
      <c r="BI203" s="55" t="n"/>
      <c r="BJ203" s="55" t="n"/>
      <c r="BK203" s="12" t="n"/>
      <c r="BL203" s="55" t="n"/>
      <c r="BM203" s="55" t="n"/>
      <c r="BN203" s="55" t="n"/>
      <c r="BO203" s="55" t="n"/>
      <c r="BP203" s="12" t="n"/>
      <c r="BQ203" s="55" t="n"/>
      <c r="BR203" s="55" t="n"/>
      <c r="BS203" s="55" t="n"/>
      <c r="BT203" s="55" t="n"/>
      <c r="BU203" s="12" t="n"/>
      <c r="BV203" s="55" t="n"/>
      <c r="BW203" s="55" t="n"/>
      <c r="BX203" s="55" t="n"/>
      <c r="BY203" s="55" t="n"/>
      <c r="BZ203" s="12" t="n"/>
      <c r="CA203" s="55" t="n"/>
      <c r="CB203" s="55" t="n"/>
      <c r="CC203" s="55" t="n"/>
      <c r="CD203" s="55" t="n"/>
      <c r="CE203" s="12" t="n"/>
      <c r="CF203" s="55" t="n"/>
      <c r="CG203" s="55" t="n"/>
      <c r="CH203" s="55" t="n"/>
      <c r="CI203" s="55" t="n"/>
      <c r="CJ203" s="12" t="n"/>
      <c r="CK203" s="55" t="n"/>
      <c r="CL203" s="55" t="n"/>
      <c r="CM203" s="55" t="n"/>
      <c r="CN203" s="55" t="n"/>
      <c r="CO203" s="12" t="n"/>
      <c r="CP203" s="55" t="n"/>
      <c r="CQ203" s="55" t="n"/>
      <c r="CR203" s="55" t="n"/>
      <c r="CS203" s="55" t="n"/>
      <c r="CT203" s="12" t="n"/>
      <c r="CU203" s="55" t="n"/>
      <c r="CV203" s="55" t="n"/>
      <c r="CW203" s="55" t="n"/>
      <c r="CX203" s="55" t="n"/>
      <c r="CY203" s="12" t="n"/>
    </row>
    <row r="204" collapsed="1">
      <c r="C204" s="14" t="inlineStr">
        <is>
          <t>Taxes payable</t>
        </is>
      </c>
      <c r="D204" s="46" t="n"/>
      <c r="E204" s="46" t="n"/>
      <c r="F204" s="46" t="n"/>
      <c r="G204" s="46" t="n"/>
      <c r="H204" s="12" t="n"/>
      <c r="I204" s="46">
        <f>'Inputs (2)'!D30</f>
        <v>0</v>
      </c>
      <c r="J204" s="46">
        <f>'Inputs (2)'!E30</f>
        <v>0</v>
      </c>
      <c r="K204" s="46">
        <f>'Inputs (2)'!F30</f>
        <v>0</v>
      </c>
      <c r="L204" s="46">
        <f>'Inputs (2)'!G30</f>
        <v>0</v>
      </c>
      <c r="M204" s="12">
        <f>'Inputs (2)'!H30</f>
        <v>0</v>
      </c>
      <c r="N204" s="46">
        <f>'Inputs (2)'!I30</f>
        <v>0</v>
      </c>
      <c r="O204" s="46">
        <f>'Inputs (2)'!J30</f>
        <v>0</v>
      </c>
      <c r="P204" s="46">
        <f>'Inputs (2)'!K30</f>
        <v>0</v>
      </c>
      <c r="Q204" s="46">
        <f>'Inputs (2)'!L30</f>
        <v>0</v>
      </c>
      <c r="R204" s="12">
        <f>'Inputs (2)'!M30</f>
        <v>0</v>
      </c>
      <c r="S204" s="46">
        <f>'Inputs (2)'!N30</f>
        <v>0</v>
      </c>
      <c r="T204" s="46">
        <f>'Inputs (2)'!O30</f>
        <v>0</v>
      </c>
      <c r="U204" s="46">
        <f>'Inputs (2)'!P30</f>
        <v>0</v>
      </c>
      <c r="V204" s="46">
        <f>'Inputs (2)'!Q30</f>
        <v>0</v>
      </c>
      <c r="W204" s="12">
        <f>'Inputs (2)'!R30</f>
        <v>0</v>
      </c>
      <c r="X204" s="46">
        <f>'Inputs (2)'!S30</f>
        <v>0</v>
      </c>
      <c r="Y204" s="46">
        <f>'Inputs (2)'!T30</f>
        <v>0</v>
      </c>
      <c r="Z204" s="46">
        <f>'Inputs (2)'!U30</f>
        <v>0</v>
      </c>
      <c r="AA204" s="46">
        <f>'Inputs (2)'!V30</f>
        <v>0</v>
      </c>
      <c r="AB204" s="12">
        <f>'Inputs (2)'!W30</f>
        <v>0</v>
      </c>
      <c r="AC204" s="46">
        <f>'Inputs (2)'!X30</f>
        <v>0</v>
      </c>
      <c r="AD204" s="46">
        <f>'Inputs (2)'!Y30</f>
        <v>0</v>
      </c>
      <c r="AE204" s="46">
        <f>'Inputs (2)'!Z30</f>
        <v>0</v>
      </c>
      <c r="AF204" s="46">
        <f>'Inputs (2)'!AA30</f>
        <v>0</v>
      </c>
      <c r="AG204" s="12">
        <f>'Inputs (2)'!AB30</f>
        <v>0</v>
      </c>
      <c r="AH204" s="12">
        <f>'Inputs (2)'!AC30</f>
        <v>0</v>
      </c>
      <c r="AI204" s="12">
        <f>'Inputs (2)'!AD30</f>
        <v>0</v>
      </c>
      <c r="AJ204" s="12">
        <f>AI204*(1+AJ16)</f>
        <v>0</v>
      </c>
      <c r="AK204" s="12">
        <f>AJ204*(1+AK16)</f>
        <v>0</v>
      </c>
      <c r="AL204" s="12">
        <f>AK204</f>
        <v>0</v>
      </c>
      <c r="AM204" s="12">
        <f>AL204*(1+AM16)</f>
        <v>0</v>
      </c>
      <c r="AN204" s="12">
        <f>AM204*(1+AN16)</f>
        <v>0</v>
      </c>
      <c r="AO204" s="12">
        <f>AN204*(1+AO16)</f>
        <v>0</v>
      </c>
      <c r="AP204" s="12">
        <f>AO204*(1+AP16)</f>
        <v>0</v>
      </c>
      <c r="AQ204" s="12">
        <f>AP204</f>
        <v>0</v>
      </c>
      <c r="AR204" s="12">
        <f>AQ204*(1+AR16)</f>
        <v>0</v>
      </c>
      <c r="AS204" s="12">
        <f>AR204*(1+AS16)</f>
        <v>0</v>
      </c>
      <c r="AT204" s="12">
        <f>AS204*(1+AT16)</f>
        <v>0</v>
      </c>
      <c r="AU204" s="12">
        <f>AT204*(1+AU16)</f>
        <v>0</v>
      </c>
      <c r="AV204" s="12">
        <f>AU204</f>
        <v>0</v>
      </c>
      <c r="AW204" s="12">
        <f>AV204*(1+AW16)</f>
        <v>0</v>
      </c>
      <c r="AX204" s="12">
        <f>AW204*(1+AX16)</f>
        <v>0</v>
      </c>
      <c r="AY204" s="12">
        <f>AX204*(1+AY16)</f>
        <v>0</v>
      </c>
      <c r="AZ204" s="12">
        <f>AY204*(1+AZ16)</f>
        <v>0</v>
      </c>
      <c r="BA204" s="12">
        <f>AZ204</f>
        <v>0</v>
      </c>
      <c r="BB204" s="12">
        <f>BA204*(1+BB16)</f>
        <v>0</v>
      </c>
      <c r="BC204" s="12">
        <f>BB204*(1+BC16)</f>
        <v>0</v>
      </c>
      <c r="BD204" s="12">
        <f>BC204*(1+BD16)</f>
        <v>0</v>
      </c>
      <c r="BE204" s="12">
        <f>BD204*(1+BE16)</f>
        <v>0</v>
      </c>
      <c r="BF204" s="12">
        <f>BE204</f>
        <v>0</v>
      </c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>
      <c r="C205" s="14" t="inlineStr">
        <is>
          <t>Other current liabilities (non-debt)</t>
        </is>
      </c>
      <c r="D205" s="46" t="n"/>
      <c r="E205" s="46" t="n"/>
      <c r="F205" s="46" t="n"/>
      <c r="G205" s="46" t="n"/>
      <c r="H205" s="12" t="n"/>
      <c r="I205" s="46">
        <f>'Inputs (2)'!D31</f>
        <v>48806</v>
      </c>
      <c r="J205" s="46">
        <f>'Inputs (2)'!E31</f>
        <v>49676</v>
      </c>
      <c r="K205" s="46">
        <f>'Inputs (2)'!F31</f>
        <v>51663</v>
      </c>
      <c r="L205" s="46">
        <f>'Inputs (2)'!G31</f>
        <v>50029</v>
      </c>
      <c r="M205" s="12">
        <f>'Inputs (2)'!H31</f>
        <v>50029</v>
      </c>
      <c r="N205" s="46">
        <f>'Inputs (2)'!I31</f>
        <v>56415</v>
      </c>
      <c r="O205" s="46">
        <f>'Inputs (2)'!J31</f>
        <v>57961</v>
      </c>
      <c r="P205" s="46">
        <f>'Inputs (2)'!K31</f>
        <v>70474</v>
      </c>
      <c r="Q205" s="46">
        <f>'Inputs (2)'!L31</f>
        <v>58412</v>
      </c>
      <c r="R205" s="12">
        <f>'Inputs (2)'!M31</f>
        <v>58412</v>
      </c>
      <c r="S205" s="46">
        <f>'Inputs (2)'!N31</f>
        <v>76695</v>
      </c>
      <c r="T205" s="46">
        <f>'Inputs (2)'!O31</f>
        <v>77144</v>
      </c>
      <c r="U205" s="46">
        <f>'Inputs (2)'!P31</f>
        <v>77725</v>
      </c>
      <c r="V205" s="46">
        <f>'Inputs (2)'!Q31</f>
        <v>62822</v>
      </c>
      <c r="W205" s="12">
        <f>'Inputs (2)'!R31</f>
        <v>62822</v>
      </c>
      <c r="X205" s="46">
        <f>'Inputs (2)'!S31</f>
        <v>63906</v>
      </c>
      <c r="Y205" s="46">
        <f>'Inputs (2)'!T31</f>
        <v>62413</v>
      </c>
      <c r="Z205" s="46">
        <f>'Inputs (2)'!U31</f>
        <v>64576</v>
      </c>
      <c r="AA205" s="46">
        <f>'Inputs (2)'!V31</f>
        <v>64887</v>
      </c>
      <c r="AB205" s="12">
        <f>'Inputs (2)'!W31</f>
        <v>64887</v>
      </c>
      <c r="AC205" s="46">
        <f>'Inputs (2)'!X31</f>
        <v>69919</v>
      </c>
      <c r="AD205" s="46">
        <f>'Inputs (2)'!Y31</f>
        <v>70753</v>
      </c>
      <c r="AE205" s="46">
        <f>'Inputs (2)'!Z31</f>
        <v>71756</v>
      </c>
      <c r="AF205" s="46">
        <f>'Inputs (2)'!AA31</f>
        <v>70796</v>
      </c>
      <c r="AG205" s="12">
        <f>'Inputs (2)'!AB31</f>
        <v>70796</v>
      </c>
      <c r="AH205" s="12">
        <f>'Inputs (2)'!AC31</f>
        <v>69016</v>
      </c>
      <c r="AI205" s="12">
        <f>'Inputs (2)'!AD31</f>
        <v>68252</v>
      </c>
      <c r="AJ205" s="12">
        <f>AI205</f>
        <v>68252</v>
      </c>
      <c r="AK205" s="12">
        <f>AJ205</f>
        <v>68252</v>
      </c>
      <c r="AL205" s="12">
        <f>AK205</f>
        <v>68252</v>
      </c>
      <c r="AM205" s="12">
        <f>AL205</f>
        <v>68252</v>
      </c>
      <c r="AN205" s="12">
        <f>AM205</f>
        <v>68252</v>
      </c>
      <c r="AO205" s="12">
        <f>AN205</f>
        <v>68252</v>
      </c>
      <c r="AP205" s="12">
        <f>AO205</f>
        <v>68252</v>
      </c>
      <c r="AQ205" s="12">
        <f>AP205</f>
        <v>68252</v>
      </c>
      <c r="AR205" s="12">
        <f>AQ205</f>
        <v>68252</v>
      </c>
      <c r="AS205" s="12">
        <f>AR205</f>
        <v>68252</v>
      </c>
      <c r="AT205" s="12">
        <f>AS205</f>
        <v>68252</v>
      </c>
      <c r="AU205" s="12">
        <f>AT205</f>
        <v>68252</v>
      </c>
      <c r="AV205" s="12">
        <f>AU205</f>
        <v>68252</v>
      </c>
      <c r="AW205" s="12">
        <f>AV205</f>
        <v>68252</v>
      </c>
      <c r="AX205" s="12">
        <f>AW205</f>
        <v>68252</v>
      </c>
      <c r="AY205" s="12">
        <f>AX205</f>
        <v>68252</v>
      </c>
      <c r="AZ205" s="12">
        <f>AY205</f>
        <v>68252</v>
      </c>
      <c r="BA205" s="12">
        <f>AZ205</f>
        <v>68252</v>
      </c>
      <c r="BB205" s="12">
        <f>BA205</f>
        <v>68252</v>
      </c>
      <c r="BC205" s="12">
        <f>BB205</f>
        <v>68252</v>
      </c>
      <c r="BD205" s="12">
        <f>BC205</f>
        <v>68252</v>
      </c>
      <c r="BE205" s="12">
        <f>BD205</f>
        <v>68252</v>
      </c>
      <c r="BF205" s="12">
        <f>BE205</f>
        <v>68252</v>
      </c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9" t="inlineStr">
        <is>
          <t>%(Var.)</t>
        </is>
      </c>
      <c r="D206" s="12" t="n"/>
      <c r="E206" s="40" t="n"/>
      <c r="F206" s="40" t="n"/>
      <c r="G206" s="40" t="n"/>
      <c r="H206" s="12" t="n"/>
      <c r="I206" s="40" t="str">
        <f>""</f>
        <v/>
      </c>
      <c r="J206" s="40">
        <f>IFERROR(IF(I205=0,"",J205/I205-1),"")</f>
        <v>0.0178256771708396</v>
      </c>
      <c r="K206" s="40">
        <f>IFERROR(IF(J205=0,"",K205/J205-1),"")</f>
        <v>0.0399991947821885</v>
      </c>
      <c r="L206" s="40">
        <f>IFERROR(IF(K205=0,"",L205/K205-1),"")</f>
        <v>-0.0316280510229758</v>
      </c>
      <c r="M206" s="12">
        <f>IF(L205=0,"",M205/L205-1)</f>
        <v>0</v>
      </c>
      <c r="N206" s="40">
        <f>IFERROR(IF(M205=0,"",N205/M205-1),"")</f>
        <v>0.127645965340103</v>
      </c>
      <c r="O206" s="40">
        <f>IFERROR(IF(N205=0,"",O205/N205-1),"")</f>
        <v>0.0274040592041125</v>
      </c>
      <c r="P206" s="40">
        <f>IFERROR(IF(O205=0,"",P205/O205-1),"")</f>
        <v>0.215886544400545</v>
      </c>
      <c r="Q206" s="40">
        <f>IFERROR(IF(P205=0,"",Q205/P205-1),"")</f>
        <v>-0.171155319692369</v>
      </c>
      <c r="R206" s="12">
        <f>IF(Q205=0,"",R205/Q205-1)</f>
        <v>0</v>
      </c>
      <c r="S206" s="40">
        <f>IFERROR(IF(R205=0,"",S205/R205-1),"")</f>
        <v>0.313000753269876</v>
      </c>
      <c r="T206" s="40">
        <f>IFERROR(IF(S205=0,"",T205/S205-1),"")</f>
        <v>0.00585435817197988</v>
      </c>
      <c r="U206" s="40">
        <f>IFERROR(IF(T205=0,"",U205/T205-1),"")</f>
        <v>0.00753136990563097</v>
      </c>
      <c r="V206" s="40">
        <f>IFERROR(IF(U205=0,"",V205/U205-1),"")</f>
        <v>-0.191740109359923</v>
      </c>
      <c r="W206" s="12">
        <f>IF(V205=0,"",W205/V205-1)</f>
        <v>0</v>
      </c>
      <c r="X206" s="40">
        <f>IFERROR(IF(W205=0,"",X205/W205-1),"")</f>
        <v>0.0172551017159595</v>
      </c>
      <c r="Y206" s="40">
        <f>IFERROR(IF(X205=0,"",Y205/X205-1),"")</f>
        <v>-0.0233624385816669</v>
      </c>
      <c r="Z206" s="40">
        <f>IFERROR(IF(Y205=0,"",Z205/Y205-1),"")</f>
        <v>0.0346562414881515</v>
      </c>
      <c r="AA206" s="40">
        <f>IFERROR(IF(Z205=0,"",AA205/Z205-1),"")</f>
        <v>0.00481603072348857</v>
      </c>
      <c r="AB206" s="12">
        <f>IF(AA205=0,"",AB205/AA205-1)</f>
        <v>0</v>
      </c>
      <c r="AC206" s="40">
        <f>IFERROR(IF(AB205=0,"",AC205/AB205-1),"")</f>
        <v>0.077550202660009</v>
      </c>
      <c r="AD206" s="40">
        <f>IFERROR(IF(AC205=0,"",AD205/AC205-1),"")</f>
        <v>0.0119280882163646</v>
      </c>
      <c r="AE206" s="40">
        <f>IFERROR(IF(AD205=0,"",AE205/AD205-1),"")</f>
        <v>0.0141760773394768</v>
      </c>
      <c r="AF206" s="55">
        <f>IFERROR(IF(AE205=0,"",AF205/AE205-1),"")</f>
        <v>-0.0133786721667875</v>
      </c>
      <c r="AG206" s="12">
        <f>IF(AF205=0,"",AG205/AF205-1)</f>
        <v>0</v>
      </c>
      <c r="AH206" s="55">
        <f>IFERROR(IF(AG205=0,"",AH205/AG205-1),"")</f>
        <v>-0.0251426634273123</v>
      </c>
      <c r="AI206" s="55">
        <f>IFERROR(IF(AH205=0,"",AI205/AH205-1),"")</f>
        <v>-0.0110698968355164</v>
      </c>
      <c r="AJ206" s="55">
        <f>IFERROR(IF(AI205=0,"",AJ205/AI205-1),"")</f>
        <v>0</v>
      </c>
      <c r="AK206" s="55">
        <f>IFERROR(IF(AJ205=0,"",AK205/AJ205-1),"")</f>
        <v>0</v>
      </c>
      <c r="AL206" s="12">
        <f>IFERROR(IF(AK205=0,"",AL205/AK205-1),"")</f>
        <v>0</v>
      </c>
      <c r="AM206" s="55">
        <f>IFERROR(IF(AL205=0,"",AM205/AL205-1),"")</f>
        <v>0</v>
      </c>
      <c r="AN206" s="55">
        <f>IFERROR(IF(AM205=0,"",AN205/AM205-1),"")</f>
        <v>0</v>
      </c>
      <c r="AO206" s="55">
        <f>IFERROR(IF(AN205=0,"",AO205/AN205-1),"")</f>
        <v>0</v>
      </c>
      <c r="AP206" s="55">
        <f>IFERROR(IF(AO205=0,"",AP205/AO205-1),"")</f>
        <v>0</v>
      </c>
      <c r="AQ206" s="12">
        <f>IFERROR(IF(AP205=0,"",AQ205/AP205-1),"")</f>
        <v>0</v>
      </c>
      <c r="AR206" s="55">
        <f>IFERROR(IF(AQ205=0,"",AR205/AQ205-1),"")</f>
        <v>0</v>
      </c>
      <c r="AS206" s="55">
        <f>IFERROR(IF(AR205=0,"",AS205/AR205-1),"")</f>
        <v>0</v>
      </c>
      <c r="AT206" s="55">
        <f>IFERROR(IF(AS205=0,"",AT205/AS205-1),"")</f>
        <v>0</v>
      </c>
      <c r="AU206" s="55">
        <f>IFERROR(IF(AT205=0,"",AU205/AT205-1),"")</f>
        <v>0</v>
      </c>
      <c r="AV206" s="12">
        <f>IFERROR(IF(AU205=0,"",AV205/AU205-1),"")</f>
        <v>0</v>
      </c>
      <c r="AW206" s="55">
        <f>IFERROR(IF(AV205=0,"",AW205/AV205-1),"")</f>
        <v>0</v>
      </c>
      <c r="AX206" s="55">
        <f>IFERROR(IF(AW205=0,"",AX205/AW205-1),"")</f>
        <v>0</v>
      </c>
      <c r="AY206" s="55">
        <f>IFERROR(IF(AX205=0,"",AY205/AX205-1),"")</f>
        <v>0</v>
      </c>
      <c r="AZ206" s="55">
        <f>IFERROR(IF(AY205=0,"",AZ205/AY205-1),"")</f>
        <v>0</v>
      </c>
      <c r="BA206" s="12">
        <f>IFERROR(IF(AZ205=0,"",BA205/AZ205-1),"")</f>
        <v>0</v>
      </c>
      <c r="BB206" s="55">
        <f>IFERROR(IF(BA205=0,"",BB205/BA205-1),"")</f>
        <v>0</v>
      </c>
      <c r="BC206" s="55">
        <f>IFERROR(IF(BB205=0,"",BC205/BB205-1),"")</f>
        <v>0</v>
      </c>
      <c r="BD206" s="55">
        <f>IFERROR(IF(BC205=0,"",BD205/BC205-1),"")</f>
        <v>0</v>
      </c>
      <c r="BE206" s="55">
        <f>IFERROR(IF(BD205=0,"",BE205/BD205-1),"")</f>
        <v>0</v>
      </c>
      <c r="BF206" s="12">
        <f>IFERROR(IF(BE205=0,"",BF205/BE205-1),"")</f>
        <v>0</v>
      </c>
      <c r="BG206" s="55" t="n"/>
      <c r="BH206" s="55" t="n"/>
      <c r="BI206" s="55" t="n"/>
      <c r="BJ206" s="55" t="n"/>
      <c r="BK206" s="12" t="n"/>
      <c r="BL206" s="55" t="n"/>
      <c r="BM206" s="55" t="n"/>
      <c r="BN206" s="55" t="n"/>
      <c r="BO206" s="55" t="n"/>
      <c r="BP206" s="12" t="n"/>
      <c r="BQ206" s="55" t="n"/>
      <c r="BR206" s="55" t="n"/>
      <c r="BS206" s="55" t="n"/>
      <c r="BT206" s="55" t="n"/>
      <c r="BU206" s="12" t="n"/>
      <c r="BV206" s="55" t="n"/>
      <c r="BW206" s="55" t="n"/>
      <c r="BX206" s="55" t="n"/>
      <c r="BY206" s="55" t="n"/>
      <c r="BZ206" s="12" t="n"/>
      <c r="CA206" s="55" t="n"/>
      <c r="CB206" s="55" t="n"/>
      <c r="CC206" s="55" t="n"/>
      <c r="CD206" s="55" t="n"/>
      <c r="CE206" s="12" t="n"/>
      <c r="CF206" s="55" t="n"/>
      <c r="CG206" s="55" t="n"/>
      <c r="CH206" s="55" t="n"/>
      <c r="CI206" s="55" t="n"/>
      <c r="CJ206" s="12" t="n"/>
      <c r="CK206" s="55" t="n"/>
      <c r="CL206" s="55" t="n"/>
      <c r="CM206" s="55" t="n"/>
      <c r="CN206" s="55" t="n"/>
      <c r="CO206" s="12" t="n"/>
      <c r="CP206" s="55" t="n"/>
      <c r="CQ206" s="55" t="n"/>
      <c r="CR206" s="55" t="n"/>
      <c r="CS206" s="55" t="n"/>
      <c r="CT206" s="12" t="n"/>
      <c r="CU206" s="55" t="n"/>
      <c r="CV206" s="55" t="n"/>
      <c r="CW206" s="55" t="n"/>
      <c r="CX206" s="55" t="n"/>
      <c r="CY206" s="12" t="n"/>
    </row>
    <row r="207" hidden="1" outlineLevel="1">
      <c r="C207" s="57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inlineStr">
        <is>
          <t xml:space="preserve">Dividendos a Pagar </t>
        </is>
      </c>
      <c r="D208" s="11" t="n"/>
      <c r="E208" s="11" t="n"/>
      <c r="F208" s="11" t="n"/>
      <c r="G208" s="11" t="n"/>
      <c r="H208" s="12" t="n"/>
      <c r="I208" s="11" t="n"/>
      <c r="J208" s="11" t="n"/>
      <c r="K208" s="11" t="n"/>
      <c r="L208" s="11" t="n"/>
      <c r="M208" s="12" t="n"/>
      <c r="N208" s="11" t="n"/>
      <c r="O208" s="11" t="n"/>
      <c r="P208" s="11" t="n"/>
      <c r="Q208" s="11" t="n"/>
      <c r="R208" s="12" t="n"/>
      <c r="S208" s="11" t="n"/>
      <c r="T208" s="11" t="n"/>
      <c r="U208" s="11" t="n"/>
      <c r="V208" s="11" t="n"/>
      <c r="W208" s="12" t="n"/>
      <c r="X208" s="11" t="n"/>
      <c r="Y208" s="11" t="n"/>
      <c r="Z208" s="11" t="n"/>
      <c r="AA208" s="11" t="n"/>
      <c r="AB208" s="12" t="n"/>
      <c r="AC208" s="11" t="n"/>
      <c r="AD208" s="11" t="n"/>
      <c r="AE208" s="11" t="n"/>
      <c r="AF208" s="11" t="n"/>
      <c r="AG208" s="12" t="n"/>
      <c r="AH208" s="11" t="n"/>
      <c r="AI208" s="11" t="n"/>
      <c r="AJ208" s="11" t="n"/>
      <c r="AK208" s="11" t="n"/>
      <c r="AL208" s="12" t="n"/>
      <c r="AM208" s="11" t="n"/>
      <c r="AN208" s="11" t="n"/>
      <c r="AO208" s="11" t="n"/>
      <c r="AP208" s="11" t="n"/>
      <c r="AQ208" s="12" t="n"/>
      <c r="AR208" s="11" t="n"/>
      <c r="AS208" s="11" t="n"/>
      <c r="AT208" s="11" t="n"/>
      <c r="AU208" s="11" t="n"/>
      <c r="AV208" s="12" t="n"/>
      <c r="AW208" s="11" t="n"/>
      <c r="AX208" s="11" t="n"/>
      <c r="AY208" s="11" t="n"/>
      <c r="AZ208" s="11" t="n"/>
      <c r="BA208" s="12" t="n"/>
      <c r="BB208" s="11" t="n"/>
      <c r="BC208" s="11" t="n"/>
      <c r="BD208" s="11" t="n"/>
      <c r="BE208" s="11" t="n"/>
      <c r="BF208" s="12" t="n"/>
      <c r="BG208" s="11" t="n"/>
      <c r="BH208" s="11" t="n"/>
      <c r="BI208" s="11" t="n"/>
      <c r="BJ208" s="11" t="n"/>
      <c r="BK208" s="12" t="n"/>
      <c r="BL208" s="11" t="n"/>
      <c r="BM208" s="11" t="n"/>
      <c r="BN208" s="11" t="n"/>
      <c r="BO208" s="11" t="n"/>
      <c r="BP208" s="12" t="n"/>
      <c r="BQ208" s="11" t="n"/>
      <c r="BR208" s="11" t="n"/>
      <c r="BS208" s="11" t="n"/>
      <c r="BT208" s="11" t="n"/>
      <c r="BU208" s="12" t="n"/>
      <c r="BV208" s="11" t="n"/>
      <c r="BW208" s="11" t="n"/>
      <c r="BX208" s="11" t="n"/>
      <c r="BY208" s="11" t="n"/>
      <c r="BZ208" s="12" t="n"/>
      <c r="CA208" s="11" t="n"/>
      <c r="CB208" s="11" t="n"/>
      <c r="CC208" s="11" t="n"/>
      <c r="CD208" s="11" t="n"/>
      <c r="CE208" s="12" t="n"/>
      <c r="CF208" s="11" t="n"/>
      <c r="CG208" s="11" t="n"/>
      <c r="CH208" s="11" t="n"/>
      <c r="CI208" s="11" t="n"/>
      <c r="CJ208" s="12" t="n"/>
      <c r="CK208" s="11" t="n"/>
      <c r="CL208" s="11" t="n"/>
      <c r="CM208" s="11" t="n"/>
      <c r="CN208" s="11" t="n"/>
      <c r="CO208" s="12" t="n"/>
      <c r="CP208" s="11" t="n"/>
      <c r="CQ208" s="11" t="n"/>
      <c r="CR208" s="11" t="n"/>
      <c r="CS208" s="11" t="n"/>
      <c r="CT208" s="12" t="n"/>
      <c r="CU208" s="11" t="n"/>
      <c r="CV208" s="11" t="n"/>
      <c r="CW208" s="11" t="n"/>
      <c r="CX208" s="11" t="n"/>
      <c r="CY208" s="12" t="n"/>
    </row>
    <row r="209" hidden="1" outlineLevel="1">
      <c r="C209" s="57" t="inlineStr">
        <is>
          <t>Contas a pagar pela aquisição de controladas</t>
        </is>
      </c>
      <c r="D209" s="11" t="n"/>
      <c r="E209" s="11" t="n"/>
      <c r="F209" s="11" t="n"/>
      <c r="G209" s="11" t="n"/>
      <c r="H209" s="12" t="n"/>
      <c r="I209" s="11" t="n"/>
      <c r="J209" s="11" t="n"/>
      <c r="K209" s="11" t="n"/>
      <c r="L209" s="11" t="n"/>
      <c r="M209" s="12" t="n"/>
      <c r="N209" s="11" t="n"/>
      <c r="O209" s="11" t="n"/>
      <c r="P209" s="11" t="n"/>
      <c r="Q209" s="11" t="n"/>
      <c r="R209" s="12" t="n"/>
      <c r="S209" s="11" t="n"/>
      <c r="T209" s="11" t="n"/>
      <c r="U209" s="11" t="n"/>
      <c r="V209" s="11" t="n"/>
      <c r="W209" s="12" t="n"/>
      <c r="X209" s="11" t="n"/>
      <c r="Y209" s="11" t="n"/>
      <c r="Z209" s="11" t="n"/>
      <c r="AA209" s="11" t="n"/>
      <c r="AB209" s="12" t="n"/>
      <c r="AC209" s="11" t="n"/>
      <c r="AD209" s="11" t="n"/>
      <c r="AE209" s="11" t="n"/>
      <c r="AF209" s="11" t="n"/>
      <c r="AG209" s="12" t="n"/>
      <c r="AH209" s="11" t="n"/>
      <c r="AI209" s="11" t="n"/>
      <c r="AJ209" s="11" t="n"/>
      <c r="AK209" s="11" t="n"/>
      <c r="AL209" s="12" t="n"/>
      <c r="AM209" s="11" t="n"/>
      <c r="AN209" s="11" t="n"/>
      <c r="AO209" s="11" t="n"/>
      <c r="AP209" s="11" t="n"/>
      <c r="AQ209" s="12" t="n"/>
      <c r="AR209" s="11" t="n"/>
      <c r="AS209" s="11" t="n"/>
      <c r="AT209" s="11" t="n"/>
      <c r="AU209" s="11" t="n"/>
      <c r="AV209" s="12" t="n"/>
      <c r="AW209" s="11" t="n"/>
      <c r="AX209" s="11" t="n"/>
      <c r="AY209" s="11" t="n"/>
      <c r="AZ209" s="11" t="n"/>
      <c r="BA209" s="12" t="n"/>
      <c r="BB209" s="11" t="n"/>
      <c r="BC209" s="11" t="n"/>
      <c r="BD209" s="11" t="n"/>
      <c r="BE209" s="11" t="n"/>
      <c r="BF209" s="12" t="n"/>
      <c r="BG209" s="11" t="n"/>
      <c r="BH209" s="11" t="n"/>
      <c r="BI209" s="11" t="n"/>
      <c r="BJ209" s="11" t="n"/>
      <c r="BK209" s="12" t="n"/>
      <c r="BL209" s="11" t="n"/>
      <c r="BM209" s="11" t="n"/>
      <c r="BN209" s="11" t="n"/>
      <c r="BO209" s="11" t="n"/>
      <c r="BP209" s="12" t="n"/>
      <c r="BQ209" s="11" t="n"/>
      <c r="BR209" s="11" t="n"/>
      <c r="BS209" s="11" t="n"/>
      <c r="BT209" s="11" t="n"/>
      <c r="BU209" s="12" t="n"/>
      <c r="BV209" s="11" t="n"/>
      <c r="BW209" s="11" t="n"/>
      <c r="BX209" s="11" t="n"/>
      <c r="BY209" s="11" t="n"/>
      <c r="BZ209" s="12" t="n"/>
      <c r="CA209" s="11" t="n"/>
      <c r="CB209" s="11" t="n"/>
      <c r="CC209" s="11" t="n"/>
      <c r="CD209" s="11" t="n"/>
      <c r="CE209" s="12" t="n"/>
      <c r="CF209" s="11" t="n"/>
      <c r="CG209" s="11" t="n"/>
      <c r="CH209" s="11" t="n"/>
      <c r="CI209" s="11" t="n"/>
      <c r="CJ209" s="12" t="n"/>
      <c r="CK209" s="11" t="n"/>
      <c r="CL209" s="11" t="n"/>
      <c r="CM209" s="11" t="n"/>
      <c r="CN209" s="11" t="n"/>
      <c r="CO209" s="12" t="n"/>
      <c r="CP209" s="11" t="n"/>
      <c r="CQ209" s="11" t="n"/>
      <c r="CR209" s="11" t="n"/>
      <c r="CS209" s="11" t="n"/>
      <c r="CT209" s="12" t="n"/>
      <c r="CU209" s="11" t="n"/>
      <c r="CV209" s="11" t="n"/>
      <c r="CW209" s="11" t="n"/>
      <c r="CX209" s="11" t="n"/>
      <c r="CY209" s="12" t="n"/>
    </row>
    <row r="210" hidden="1" outlineLevel="1">
      <c r="C210" s="57" t="inlineStr">
        <is>
          <t>Outros</t>
        </is>
      </c>
      <c r="D210" s="11" t="n"/>
      <c r="E210" s="11" t="n"/>
      <c r="F210" s="11" t="n"/>
      <c r="G210" s="11" t="n"/>
      <c r="H210" s="12" t="n"/>
      <c r="I210" s="11" t="n"/>
      <c r="J210" s="11" t="n"/>
      <c r="K210" s="11" t="n"/>
      <c r="L210" s="11" t="n"/>
      <c r="M210" s="12" t="n"/>
      <c r="N210" s="11" t="n"/>
      <c r="O210" s="11" t="n"/>
      <c r="P210" s="11" t="n"/>
      <c r="Q210" s="11" t="n"/>
      <c r="R210" s="12" t="n"/>
      <c r="S210" s="11" t="n"/>
      <c r="T210" s="11" t="n"/>
      <c r="U210" s="11" t="n"/>
      <c r="V210" s="11" t="n"/>
      <c r="W210" s="12" t="n"/>
      <c r="X210" s="11" t="n"/>
      <c r="Y210" s="11" t="n"/>
      <c r="Z210" s="11" t="n"/>
      <c r="AA210" s="11" t="n"/>
      <c r="AB210" s="12" t="n"/>
      <c r="AC210" s="11" t="n"/>
      <c r="AD210" s="11" t="n"/>
      <c r="AE210" s="11" t="n"/>
      <c r="AF210" s="11" t="n"/>
      <c r="AG210" s="12" t="n"/>
      <c r="AH210" s="11" t="n"/>
      <c r="AI210" s="11" t="n"/>
      <c r="AJ210" s="11" t="n"/>
      <c r="AK210" s="11" t="n"/>
      <c r="AL210" s="12" t="n"/>
      <c r="AM210" s="11" t="n"/>
      <c r="AN210" s="11" t="n"/>
      <c r="AO210" s="11" t="n"/>
      <c r="AP210" s="11" t="n"/>
      <c r="AQ210" s="12" t="n"/>
      <c r="AR210" s="11" t="n"/>
      <c r="AS210" s="11" t="n"/>
      <c r="AT210" s="11" t="n"/>
      <c r="AU210" s="11" t="n"/>
      <c r="AV210" s="12" t="n"/>
      <c r="AW210" s="11" t="n"/>
      <c r="AX210" s="11" t="n"/>
      <c r="AY210" s="11" t="n"/>
      <c r="AZ210" s="11" t="n"/>
      <c r="BA210" s="12" t="n"/>
      <c r="BB210" s="11" t="n"/>
      <c r="BC210" s="11" t="n"/>
      <c r="BD210" s="11" t="n"/>
      <c r="BE210" s="11" t="n"/>
      <c r="BF210" s="12" t="n"/>
      <c r="BG210" s="11" t="n"/>
      <c r="BH210" s="11" t="n"/>
      <c r="BI210" s="11" t="n"/>
      <c r="BJ210" s="11" t="n"/>
      <c r="BK210" s="12" t="n"/>
      <c r="BL210" s="11" t="n"/>
      <c r="BM210" s="11" t="n"/>
      <c r="BN210" s="11" t="n"/>
      <c r="BO210" s="11" t="n"/>
      <c r="BP210" s="12" t="n"/>
      <c r="BQ210" s="11" t="n"/>
      <c r="BR210" s="11" t="n"/>
      <c r="BS210" s="11" t="n"/>
      <c r="BT210" s="11" t="n"/>
      <c r="BU210" s="12" t="n"/>
      <c r="BV210" s="11" t="n"/>
      <c r="BW210" s="11" t="n"/>
      <c r="BX210" s="11" t="n"/>
      <c r="BY210" s="11" t="n"/>
      <c r="BZ210" s="12" t="n"/>
      <c r="CA210" s="11" t="n"/>
      <c r="CB210" s="11" t="n"/>
      <c r="CC210" s="11" t="n"/>
      <c r="CD210" s="11" t="n"/>
      <c r="CE210" s="12" t="n"/>
      <c r="CF210" s="11" t="n"/>
      <c r="CG210" s="11" t="n"/>
      <c r="CH210" s="11" t="n"/>
      <c r="CI210" s="11" t="n"/>
      <c r="CJ210" s="12" t="n"/>
      <c r="CK210" s="11" t="n"/>
      <c r="CL210" s="11" t="n"/>
      <c r="CM210" s="11" t="n"/>
      <c r="CN210" s="11" t="n"/>
      <c r="CO210" s="12" t="n"/>
      <c r="CP210" s="11" t="n"/>
      <c r="CQ210" s="11" t="n"/>
      <c r="CR210" s="11" t="n"/>
      <c r="CS210" s="11" t="n"/>
      <c r="CT210" s="12" t="n"/>
      <c r="CU210" s="11" t="n"/>
      <c r="CV210" s="11" t="n"/>
      <c r="CW210" s="11" t="n"/>
      <c r="CX210" s="11" t="n"/>
      <c r="CY210" s="12" t="n"/>
    </row>
    <row r="211" hidden="1" outlineLevel="1">
      <c r="C211" s="57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collapsed="1">
      <c r="C212" s="14" t="inlineStr">
        <is>
          <t>Current portion of long-term debt</t>
        </is>
      </c>
      <c r="D212" s="46" t="n"/>
      <c r="E212" s="46" t="n"/>
      <c r="F212" s="46" t="n"/>
      <c r="G212" s="46" t="n"/>
      <c r="H212" s="12" t="n"/>
      <c r="I212" s="46">
        <f>'Inputs (2)'!D32</f>
        <v>8838</v>
      </c>
      <c r="J212" s="46">
        <f>'Inputs (2)'!E32</f>
        <v>3868</v>
      </c>
      <c r="K212" s="46">
        <f>'Inputs (2)'!F32</f>
        <v>3620</v>
      </c>
      <c r="L212" s="46">
        <f>'Inputs (2)'!G32</f>
        <v>3620</v>
      </c>
      <c r="M212" s="12">
        <f>'Inputs (2)'!H32</f>
        <v>3620</v>
      </c>
      <c r="N212" s="46">
        <f>'Inputs (2)'!I32</f>
        <v>6697</v>
      </c>
      <c r="O212" s="46">
        <f>'Inputs (2)'!J32</f>
        <v>5592</v>
      </c>
      <c r="P212" s="46">
        <f>'Inputs (2)'!K32</f>
        <v>3229</v>
      </c>
      <c r="Q212" s="46">
        <f>'Inputs (2)'!L32</f>
        <v>3110</v>
      </c>
      <c r="R212" s="12">
        <f>'Inputs (2)'!M32</f>
        <v>3110</v>
      </c>
      <c r="S212" s="46">
        <f>'Inputs (2)'!N32</f>
        <v>9931</v>
      </c>
      <c r="T212" s="46">
        <f>'Inputs (2)'!O32</f>
        <v>6321</v>
      </c>
      <c r="U212" s="46">
        <f>'Inputs (2)'!P32</f>
        <v>5290</v>
      </c>
      <c r="V212" s="46">
        <f>'Inputs (2)'!Q32</f>
        <v>4274</v>
      </c>
      <c r="W212" s="12">
        <f>'Inputs (2)'!R32</f>
        <v>4274</v>
      </c>
      <c r="X212" s="46">
        <f>'Inputs (2)'!S32</f>
        <v>9787</v>
      </c>
      <c r="Y212" s="46">
        <f>'Inputs (2)'!T32</f>
        <v>11371</v>
      </c>
      <c r="Z212" s="46">
        <f>'Inputs (2)'!U32</f>
        <v>3909</v>
      </c>
      <c r="AA212" s="46">
        <f>'Inputs (2)'!V32</f>
        <v>4545</v>
      </c>
      <c r="AB212" s="12">
        <f>'Inputs (2)'!W32</f>
        <v>4545</v>
      </c>
      <c r="AC212" s="46">
        <f>'Inputs (2)'!X32</f>
        <v>9986</v>
      </c>
      <c r="AD212" s="46">
        <f>'Inputs (2)'!Y32</f>
        <v>5698</v>
      </c>
      <c r="AE212" s="46">
        <f>'Inputs (2)'!Z32</f>
        <v>7737</v>
      </c>
      <c r="AF212" s="46">
        <f>'Inputs (2)'!AA32</f>
        <v>6069</v>
      </c>
      <c r="AG212" s="12">
        <f>'Inputs (2)'!AB32</f>
        <v>6069</v>
      </c>
      <c r="AH212" s="12">
        <f>'Inputs (2)'!AC32</f>
        <v>6477</v>
      </c>
      <c r="AI212" s="12">
        <f>'Inputs (2)'!AD32</f>
        <v>3827</v>
      </c>
      <c r="AJ212" s="12">
        <f>AI212</f>
        <v>3827</v>
      </c>
      <c r="AK212" s="12">
        <f>AJ212</f>
        <v>3827</v>
      </c>
      <c r="AL212" s="12">
        <f>AK212</f>
        <v>3827</v>
      </c>
      <c r="AM212" s="12">
        <f>AL212</f>
        <v>3827</v>
      </c>
      <c r="AN212" s="12">
        <f>AM212</f>
        <v>3827</v>
      </c>
      <c r="AO212" s="12">
        <f>AN212</f>
        <v>3827</v>
      </c>
      <c r="AP212" s="12">
        <f>AO212</f>
        <v>3827</v>
      </c>
      <c r="AQ212" s="12">
        <f>AP212</f>
        <v>3827</v>
      </c>
      <c r="AR212" s="12">
        <f>AQ212</f>
        <v>3827</v>
      </c>
      <c r="AS212" s="12">
        <f>AR212</f>
        <v>3827</v>
      </c>
      <c r="AT212" s="12">
        <f>AS212</f>
        <v>3827</v>
      </c>
      <c r="AU212" s="12">
        <f>AT212</f>
        <v>3827</v>
      </c>
      <c r="AV212" s="12">
        <f>AU212</f>
        <v>3827</v>
      </c>
      <c r="AW212" s="12">
        <f>AV212</f>
        <v>3827</v>
      </c>
      <c r="AX212" s="12">
        <f>AW212</f>
        <v>3827</v>
      </c>
      <c r="AY212" s="12">
        <f>AX212</f>
        <v>3827</v>
      </c>
      <c r="AZ212" s="12">
        <f>AY212</f>
        <v>3827</v>
      </c>
      <c r="BA212" s="12">
        <f>AZ212</f>
        <v>3827</v>
      </c>
      <c r="BB212" s="12">
        <f>BA212</f>
        <v>3827</v>
      </c>
      <c r="BC212" s="12">
        <f>BB212</f>
        <v>3827</v>
      </c>
      <c r="BD212" s="12">
        <f>BC212</f>
        <v>3827</v>
      </c>
      <c r="BE212" s="12">
        <f>BD212</f>
        <v>3827</v>
      </c>
      <c r="BF212" s="12">
        <f>BE212</f>
        <v>3827</v>
      </c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>
      <c r="C213" s="14" t="inlineStr">
        <is>
          <t>Short term debt (Revolving credit facility)</t>
        </is>
      </c>
      <c r="D213" s="46" t="n"/>
      <c r="E213" s="46" t="n"/>
      <c r="F213" s="46" t="n"/>
      <c r="G213" s="46" t="n"/>
      <c r="H213" s="12" t="n"/>
      <c r="I213" s="46">
        <f>'Inputs (2)'!D33</f>
        <v>0</v>
      </c>
      <c r="J213" s="46">
        <f>'Inputs (2)'!E33</f>
        <v>0</v>
      </c>
      <c r="K213" s="46">
        <f>'Inputs (2)'!F33</f>
        <v>0</v>
      </c>
      <c r="L213" s="46">
        <f>'Inputs (2)'!G33</f>
        <v>0</v>
      </c>
      <c r="M213" s="12">
        <f>'Inputs (2)'!H33</f>
        <v>0</v>
      </c>
      <c r="N213" s="46">
        <f>'Inputs (2)'!I33</f>
        <v>0</v>
      </c>
      <c r="O213" s="46">
        <f>'Inputs (2)'!J33</f>
        <v>0</v>
      </c>
      <c r="P213" s="46">
        <f>'Inputs (2)'!K33</f>
        <v>0</v>
      </c>
      <c r="Q213" s="46">
        <f>'Inputs (2)'!L33</f>
        <v>0</v>
      </c>
      <c r="R213" s="12">
        <f>'Inputs (2)'!M33</f>
        <v>0</v>
      </c>
      <c r="S213" s="46">
        <f>'Inputs (2)'!N33</f>
        <v>0</v>
      </c>
      <c r="T213" s="46">
        <f>'Inputs (2)'!O33</f>
        <v>0</v>
      </c>
      <c r="U213" s="46">
        <f>'Inputs (2)'!P33</f>
        <v>0</v>
      </c>
      <c r="V213" s="46">
        <f>'Inputs (2)'!Q33</f>
        <v>0</v>
      </c>
      <c r="W213" s="12">
        <f>'Inputs (2)'!R33</f>
        <v>0</v>
      </c>
      <c r="X213" s="46">
        <f>'Inputs (2)'!S33</f>
        <v>0</v>
      </c>
      <c r="Y213" s="46">
        <f>'Inputs (2)'!T33</f>
        <v>0</v>
      </c>
      <c r="Z213" s="46">
        <f>'Inputs (2)'!U33</f>
        <v>0</v>
      </c>
      <c r="AA213" s="46">
        <f>'Inputs (2)'!V33</f>
        <v>0</v>
      </c>
      <c r="AB213" s="12">
        <f>'Inputs (2)'!W33</f>
        <v>0</v>
      </c>
      <c r="AC213" s="46">
        <f>'Inputs (2)'!X33</f>
        <v>0</v>
      </c>
      <c r="AD213" s="46">
        <f>'Inputs (2)'!Y33</f>
        <v>0</v>
      </c>
      <c r="AE213" s="46">
        <f>'Inputs (2)'!Z33</f>
        <v>0</v>
      </c>
      <c r="AF213" s="46">
        <f>'Inputs (2)'!AA33</f>
        <v>0</v>
      </c>
      <c r="AG213" s="12">
        <f>'Inputs (2)'!AB33</f>
        <v>0</v>
      </c>
      <c r="AH213" s="12">
        <f>'Inputs (2)'!AC33</f>
        <v>0</v>
      </c>
      <c r="AI213" s="12">
        <f>'Inputs (2)'!AD33</f>
        <v>0</v>
      </c>
      <c r="AJ213" s="12">
        <f>AI213</f>
        <v>0</v>
      </c>
      <c r="AK213" s="12">
        <f>AJ213</f>
        <v>0</v>
      </c>
      <c r="AL213" s="12">
        <f>AK213</f>
        <v>0</v>
      </c>
      <c r="AM213" s="12">
        <f>AL213</f>
        <v>0</v>
      </c>
      <c r="AN213" s="12">
        <f>AM213</f>
        <v>0</v>
      </c>
      <c r="AO213" s="12">
        <f>AN213</f>
        <v>0</v>
      </c>
      <c r="AP213" s="12">
        <f>AO213</f>
        <v>0</v>
      </c>
      <c r="AQ213" s="12">
        <f>AP213</f>
        <v>0</v>
      </c>
      <c r="AR213" s="12">
        <f>AQ213</f>
        <v>0</v>
      </c>
      <c r="AS213" s="12">
        <f>AR213</f>
        <v>0</v>
      </c>
      <c r="AT213" s="12">
        <f>AS213</f>
        <v>0</v>
      </c>
      <c r="AU213" s="12">
        <f>AT213</f>
        <v>0</v>
      </c>
      <c r="AV213" s="12">
        <f>AU213</f>
        <v>0</v>
      </c>
      <c r="AW213" s="12">
        <f>AV213</f>
        <v>0</v>
      </c>
      <c r="AX213" s="12">
        <f>AW213</f>
        <v>0</v>
      </c>
      <c r="AY213" s="12">
        <f>AX213</f>
        <v>0</v>
      </c>
      <c r="AZ213" s="12">
        <f>AY213</f>
        <v>0</v>
      </c>
      <c r="BA213" s="12">
        <f>AZ213</f>
        <v>0</v>
      </c>
      <c r="BB213" s="12">
        <f>BA213</f>
        <v>0</v>
      </c>
      <c r="BC213" s="12">
        <f>BB213</f>
        <v>0</v>
      </c>
      <c r="BD213" s="12">
        <f>BC213</f>
        <v>0</v>
      </c>
      <c r="BE213" s="12">
        <f>BD213</f>
        <v>0</v>
      </c>
      <c r="BF213" s="12">
        <f>BE213</f>
        <v>0</v>
      </c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>
      <c r="C214" s="14" t="inlineStr">
        <is>
          <t>Short term operating leases</t>
        </is>
      </c>
      <c r="D214" s="46" t="n"/>
      <c r="E214" s="46" t="n"/>
      <c r="F214" s="46" t="n"/>
      <c r="G214" s="46" t="n"/>
      <c r="H214" s="12" t="n"/>
      <c r="I214" s="46">
        <f>'Inputs (2)'!D34</f>
        <v>0</v>
      </c>
      <c r="J214" s="46">
        <f>'Inputs (2)'!E34</f>
        <v>0</v>
      </c>
      <c r="K214" s="46">
        <f>'Inputs (2)'!F34</f>
        <v>0</v>
      </c>
      <c r="L214" s="46">
        <f>'Inputs (2)'!G34</f>
        <v>0</v>
      </c>
      <c r="M214" s="12">
        <f>'Inputs (2)'!H34</f>
        <v>0</v>
      </c>
      <c r="N214" s="46">
        <f>'Inputs (2)'!I34</f>
        <v>0</v>
      </c>
      <c r="O214" s="46">
        <f>'Inputs (2)'!J34</f>
        <v>0</v>
      </c>
      <c r="P214" s="46">
        <f>'Inputs (2)'!K34</f>
        <v>0</v>
      </c>
      <c r="Q214" s="46">
        <f>'Inputs (2)'!L34</f>
        <v>0</v>
      </c>
      <c r="R214" s="12">
        <f>'Inputs (2)'!M34</f>
        <v>0</v>
      </c>
      <c r="S214" s="46">
        <f>'Inputs (2)'!N34</f>
        <v>0</v>
      </c>
      <c r="T214" s="46">
        <f>'Inputs (2)'!O34</f>
        <v>0</v>
      </c>
      <c r="U214" s="46">
        <f>'Inputs (2)'!P34</f>
        <v>0</v>
      </c>
      <c r="V214" s="46">
        <f>'Inputs (2)'!Q34</f>
        <v>0</v>
      </c>
      <c r="W214" s="12">
        <f>'Inputs (2)'!R34</f>
        <v>0</v>
      </c>
      <c r="X214" s="46">
        <f>'Inputs (2)'!S34</f>
        <v>0</v>
      </c>
      <c r="Y214" s="46">
        <f>'Inputs (2)'!T34</f>
        <v>0</v>
      </c>
      <c r="Z214" s="46">
        <f>'Inputs (2)'!U34</f>
        <v>0</v>
      </c>
      <c r="AA214" s="46">
        <f>'Inputs (2)'!V34</f>
        <v>0</v>
      </c>
      <c r="AB214" s="12">
        <f>'Inputs (2)'!W34</f>
        <v>0</v>
      </c>
      <c r="AC214" s="46">
        <f>'Inputs (2)'!X34</f>
        <v>0</v>
      </c>
      <c r="AD214" s="46">
        <f>'Inputs (2)'!Y34</f>
        <v>0</v>
      </c>
      <c r="AE214" s="46">
        <f>'Inputs (2)'!Z34</f>
        <v>0</v>
      </c>
      <c r="AF214" s="46">
        <f>'Inputs (2)'!AA34</f>
        <v>0</v>
      </c>
      <c r="AG214" s="12">
        <f>'Inputs (2)'!AB34</f>
        <v>0</v>
      </c>
      <c r="AH214" s="12">
        <f>'Inputs (2)'!AC34</f>
        <v>0</v>
      </c>
      <c r="AI214" s="12">
        <f>'Inputs (2)'!AD34</f>
        <v>0</v>
      </c>
      <c r="AJ214" s="12">
        <f>AI214</f>
        <v>0</v>
      </c>
      <c r="AK214" s="12">
        <f>AJ214</f>
        <v>0</v>
      </c>
      <c r="AL214" s="12">
        <f>AK214</f>
        <v>0</v>
      </c>
      <c r="AM214" s="12">
        <f>AL214</f>
        <v>0</v>
      </c>
      <c r="AN214" s="12">
        <f>AM214</f>
        <v>0</v>
      </c>
      <c r="AO214" s="12">
        <f>AN214</f>
        <v>0</v>
      </c>
      <c r="AP214" s="12">
        <f>AO214</f>
        <v>0</v>
      </c>
      <c r="AQ214" s="12">
        <f>AP214</f>
        <v>0</v>
      </c>
      <c r="AR214" s="12">
        <f>AQ214</f>
        <v>0</v>
      </c>
      <c r="AS214" s="12">
        <f>AR214</f>
        <v>0</v>
      </c>
      <c r="AT214" s="12">
        <f>AS214</f>
        <v>0</v>
      </c>
      <c r="AU214" s="12">
        <f>AT214</f>
        <v>0</v>
      </c>
      <c r="AV214" s="12">
        <f>AU214</f>
        <v>0</v>
      </c>
      <c r="AW214" s="12">
        <f>AV214</f>
        <v>0</v>
      </c>
      <c r="AX214" s="12">
        <f>AW214</f>
        <v>0</v>
      </c>
      <c r="AY214" s="12">
        <f>AX214</f>
        <v>0</v>
      </c>
      <c r="AZ214" s="12">
        <f>AY214</f>
        <v>0</v>
      </c>
      <c r="BA214" s="12">
        <f>AZ214</f>
        <v>0</v>
      </c>
      <c r="BB214" s="12">
        <f>BA214</f>
        <v>0</v>
      </c>
      <c r="BC214" s="12">
        <f>BB214</f>
        <v>0</v>
      </c>
      <c r="BD214" s="12">
        <f>BC214</f>
        <v>0</v>
      </c>
      <c r="BE214" s="12">
        <f>BD214</f>
        <v>0</v>
      </c>
      <c r="BF214" s="12">
        <f>BE214</f>
        <v>0</v>
      </c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9" t="inlineStr">
        <is>
          <t>%(Var.)</t>
        </is>
      </c>
      <c r="D215" s="12" t="n"/>
      <c r="E215" s="40" t="n"/>
      <c r="F215" s="40" t="n"/>
      <c r="G215" s="40" t="n"/>
      <c r="H215" s="12" t="n"/>
      <c r="I215" s="40" t="str">
        <f>""</f>
        <v/>
      </c>
      <c r="J215" s="40" t="str">
        <f>IFERROR(IF(I214=0,"",J214/I214-1),"")</f>
        <v/>
      </c>
      <c r="K215" s="40" t="str">
        <f>IFERROR(IF(J214=0,"",K214/J214-1),"")</f>
        <v/>
      </c>
      <c r="L215" s="40" t="str">
        <f>IFERROR(IF(K214=0,"",L214/K214-1),"")</f>
        <v/>
      </c>
      <c r="M215" s="12" t="str">
        <f>IF(L214=0,"",M214/L214-1)</f>
        <v/>
      </c>
      <c r="N215" s="40" t="str">
        <f>IFERROR(IF(M214=0,"",N214/M214-1),"")</f>
        <v/>
      </c>
      <c r="O215" s="40" t="str">
        <f>IFERROR(IF(N214=0,"",O214/N214-1),"")</f>
        <v/>
      </c>
      <c r="P215" s="40" t="str">
        <f>IFERROR(IF(O214=0,"",P214/O214-1),"")</f>
        <v/>
      </c>
      <c r="Q215" s="40" t="str">
        <f>IFERROR(IF(P214=0,"",Q214/P214-1),"")</f>
        <v/>
      </c>
      <c r="R215" s="12" t="str">
        <f>IF(Q214=0,"",R214/Q214-1)</f>
        <v/>
      </c>
      <c r="S215" s="40" t="str">
        <f>IFERROR(IF(R214=0,"",S214/R214-1),"")</f>
        <v/>
      </c>
      <c r="T215" s="40" t="str">
        <f>IFERROR(IF(S214=0,"",T214/S214-1),"")</f>
        <v/>
      </c>
      <c r="U215" s="40" t="str">
        <f>IFERROR(IF(T214=0,"",U214/T214-1),"")</f>
        <v/>
      </c>
      <c r="V215" s="40" t="str">
        <f>IFERROR(IF(U214=0,"",V214/U214-1),"")</f>
        <v/>
      </c>
      <c r="W215" s="12" t="str">
        <f>IF(V214=0,"",W214/V214-1)</f>
        <v/>
      </c>
      <c r="X215" s="40" t="str">
        <f>IFERROR(IF(W214=0,"",X214/W214-1),"")</f>
        <v/>
      </c>
      <c r="Y215" s="40" t="str">
        <f>IFERROR(IF(X214=0,"",Y214/X214-1),"")</f>
        <v/>
      </c>
      <c r="Z215" s="40" t="str">
        <f>IFERROR(IF(Y214=0,"",Z214/Y214-1),"")</f>
        <v/>
      </c>
      <c r="AA215" s="40" t="str">
        <f>IFERROR(IF(Z214=0,"",AA214/Z214-1),"")</f>
        <v/>
      </c>
      <c r="AB215" s="12" t="str">
        <f>IF(AA214=0,"",AB214/AA214-1)</f>
        <v/>
      </c>
      <c r="AC215" s="40" t="str">
        <f>IFERROR(IF(AB214=0,"",AC214/AB214-1),"")</f>
        <v/>
      </c>
      <c r="AD215" s="40" t="str">
        <f>IFERROR(IF(AC214=0,"",AD214/AC214-1),"")</f>
        <v/>
      </c>
      <c r="AE215" s="40" t="str">
        <f>IFERROR(IF(AD214=0,"",AE214/AD214-1),"")</f>
        <v/>
      </c>
      <c r="AF215" s="11" t="str">
        <f>IFERROR(IF(AE214=0,"",AF214/AE214-1),"")</f>
        <v/>
      </c>
      <c r="AG215" s="12" t="str">
        <f>IF(AF214=0,"",AG214/AF214-1)</f>
        <v/>
      </c>
      <c r="AH215" s="11" t="str">
        <f>IFERROR(IF(AG214=0,"",AH214/AG214-1),"")</f>
        <v/>
      </c>
      <c r="AI215" s="11" t="str">
        <f>IFERROR(IF(AH214=0,"",AI214/AH214-1),"")</f>
        <v/>
      </c>
      <c r="AJ215" s="11" t="str">
        <f>IFERROR(IF(AI214=0,"",AJ214/AI214-1),"")</f>
        <v/>
      </c>
      <c r="AK215" s="11" t="str">
        <f>IFERROR(IF(AJ214=0,"",AK214/AJ214-1),"")</f>
        <v/>
      </c>
      <c r="AL215" s="12" t="str">
        <f>IFERROR(IF(AK214=0,"",AL214/AK214-1),"")</f>
        <v/>
      </c>
      <c r="AM215" s="11" t="str">
        <f>IFERROR(IF(AL214=0,"",AM214/AL214-1),"")</f>
        <v/>
      </c>
      <c r="AN215" s="11" t="str">
        <f>IFERROR(IF(AM214=0,"",AN214/AM214-1),"")</f>
        <v/>
      </c>
      <c r="AO215" s="11" t="str">
        <f>IFERROR(IF(AN214=0,"",AO214/AN214-1),"")</f>
        <v/>
      </c>
      <c r="AP215" s="11" t="str">
        <f>IFERROR(IF(AO214=0,"",AP214/AO214-1),"")</f>
        <v/>
      </c>
      <c r="AQ215" s="12" t="str">
        <f>IFERROR(IF(AP214=0,"",AQ214/AP214-1),"")</f>
        <v/>
      </c>
      <c r="AR215" s="11" t="str">
        <f>IFERROR(IF(AQ214=0,"",AR214/AQ214-1),"")</f>
        <v/>
      </c>
      <c r="AS215" s="11" t="str">
        <f>IFERROR(IF(AR214=0,"",AS214/AR214-1),"")</f>
        <v/>
      </c>
      <c r="AT215" s="11" t="str">
        <f>IFERROR(IF(AS214=0,"",AT214/AS214-1),"")</f>
        <v/>
      </c>
      <c r="AU215" s="11" t="str">
        <f>IFERROR(IF(AT214=0,"",AU214/AT214-1),"")</f>
        <v/>
      </c>
      <c r="AV215" s="12" t="str">
        <f>IFERROR(IF(AU214=0,"",AV214/AU214-1),"")</f>
        <v/>
      </c>
      <c r="AW215" s="11" t="str">
        <f>IFERROR(IF(AV214=0,"",AW214/AV214-1),"")</f>
        <v/>
      </c>
      <c r="AX215" s="11" t="str">
        <f>IFERROR(IF(AW214=0,"",AX214/AW214-1),"")</f>
        <v/>
      </c>
      <c r="AY215" s="11" t="str">
        <f>IFERROR(IF(AX214=0,"",AY214/AX214-1),"")</f>
        <v/>
      </c>
      <c r="AZ215" s="11" t="str">
        <f>IFERROR(IF(AY214=0,"",AZ214/AY214-1),"")</f>
        <v/>
      </c>
      <c r="BA215" s="12" t="str">
        <f>IFERROR(IF(AZ214=0,"",BA214/AZ214-1),"")</f>
        <v/>
      </c>
      <c r="BB215" s="11" t="str">
        <f>IFERROR(IF(BA214=0,"",BB214/BA214-1),"")</f>
        <v/>
      </c>
      <c r="BC215" s="11" t="str">
        <f>IFERROR(IF(BB214=0,"",BC214/BB214-1),"")</f>
        <v/>
      </c>
      <c r="BD215" s="11" t="str">
        <f>IFERROR(IF(BC214=0,"",BD214/BC214-1),"")</f>
        <v/>
      </c>
      <c r="BE215" s="11" t="str">
        <f>IFERROR(IF(BD214=0,"",BE214/BD214-1),"")</f>
        <v/>
      </c>
      <c r="BF215" s="12" t="str">
        <f>IFERROR(IF(BE214=0,"",BF214/BE214-1),"")</f>
        <v/>
      </c>
      <c r="BG215" s="11" t="n"/>
      <c r="BH215" s="11" t="n"/>
      <c r="BI215" s="11" t="n"/>
      <c r="BJ215" s="11" t="n"/>
      <c r="BK215" s="12" t="n"/>
      <c r="BL215" s="11" t="n"/>
      <c r="BM215" s="11" t="n"/>
      <c r="BN215" s="11" t="n"/>
      <c r="BO215" s="11" t="n"/>
      <c r="BP215" s="12" t="n"/>
      <c r="BQ215" s="11" t="n"/>
      <c r="BR215" s="11" t="n"/>
      <c r="BS215" s="11" t="n"/>
      <c r="BT215" s="11" t="n"/>
      <c r="BU215" s="12" t="n"/>
      <c r="BV215" s="11" t="n"/>
      <c r="BW215" s="11" t="n"/>
      <c r="BX215" s="11" t="n"/>
      <c r="BY215" s="11" t="n"/>
      <c r="BZ215" s="12" t="n"/>
      <c r="CA215" s="11" t="n"/>
      <c r="CB215" s="11" t="n"/>
      <c r="CC215" s="11" t="n"/>
      <c r="CD215" s="11" t="n"/>
      <c r="CE215" s="12" t="n"/>
      <c r="CF215" s="11" t="n"/>
      <c r="CG215" s="11" t="n"/>
      <c r="CH215" s="11" t="n"/>
      <c r="CI215" s="11" t="n"/>
      <c r="CJ215" s="12" t="n"/>
      <c r="CK215" s="11" t="n"/>
      <c r="CL215" s="11" t="n"/>
      <c r="CM215" s="11" t="n"/>
      <c r="CN215" s="11" t="n"/>
      <c r="CO215" s="12" t="n"/>
      <c r="CP215" s="11" t="n"/>
      <c r="CQ215" s="11" t="n"/>
      <c r="CR215" s="11" t="n"/>
      <c r="CS215" s="11" t="n"/>
      <c r="CT215" s="12" t="n"/>
      <c r="CU215" s="11" t="n"/>
      <c r="CV215" s="11" t="n"/>
      <c r="CW215" s="11" t="n"/>
      <c r="CX215" s="11" t="n"/>
      <c r="CY215" s="12" t="n"/>
    </row>
    <row r="216" hidden="1" outlineLevel="1">
      <c r="C216" s="57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collapsed="1">
      <c r="C217" s="14" t="inlineStr">
        <is>
          <t>Long term debt</t>
        </is>
      </c>
      <c r="D217" s="46" t="n"/>
      <c r="E217" s="46" t="n"/>
      <c r="F217" s="46" t="n"/>
      <c r="G217" s="46" t="n"/>
      <c r="H217" s="12" t="n"/>
      <c r="I217" s="46">
        <f>'Inputs (2)'!D35</f>
        <v>37420</v>
      </c>
      <c r="J217" s="46">
        <f>'Inputs (2)'!E35</f>
        <v>44348</v>
      </c>
      <c r="K217" s="46">
        <f>'Inputs (2)'!F35</f>
        <v>43345</v>
      </c>
      <c r="L217" s="46">
        <f>'Inputs (2)'!G35</f>
        <v>42383</v>
      </c>
      <c r="M217" s="12">
        <f>'Inputs (2)'!H35</f>
        <v>42383</v>
      </c>
      <c r="N217" s="46">
        <f>'Inputs (2)'!I35</f>
        <v>40796</v>
      </c>
      <c r="O217" s="46">
        <f>'Inputs (2)'!J35</f>
        <v>45799</v>
      </c>
      <c r="P217" s="46">
        <f>'Inputs (2)'!K35</f>
        <v>45438</v>
      </c>
      <c r="Q217" s="46">
        <f>'Inputs (2)'!L35</f>
        <v>54513</v>
      </c>
      <c r="R217" s="12">
        <f>'Inputs (2)'!M35</f>
        <v>54513</v>
      </c>
      <c r="S217" s="46">
        <f>'Inputs (2)'!N35</f>
        <v>60657</v>
      </c>
      <c r="T217" s="46">
        <f>'Inputs (2)'!O35</f>
        <v>59268</v>
      </c>
      <c r="U217" s="46">
        <f>'Inputs (2)'!P35</f>
        <v>58079</v>
      </c>
      <c r="V217" s="46">
        <f>'Inputs (2)'!Q35</f>
        <v>58263</v>
      </c>
      <c r="W217" s="12">
        <f>'Inputs (2)'!R35</f>
        <v>58263</v>
      </c>
      <c r="X217" s="46">
        <f>'Inputs (2)'!S35</f>
        <v>63850</v>
      </c>
      <c r="Y217" s="46">
        <f>'Inputs (2)'!T35</f>
        <v>63727</v>
      </c>
      <c r="Z217" s="46">
        <f>'Inputs (2)'!U35</f>
        <v>74101</v>
      </c>
      <c r="AA217" s="46">
        <f>'Inputs (2)'!V35</f>
        <v>72359</v>
      </c>
      <c r="AB217" s="12">
        <f>'Inputs (2)'!W35</f>
        <v>72359</v>
      </c>
      <c r="AC217" s="46">
        <f>'Inputs (2)'!X35</f>
        <v>71285</v>
      </c>
      <c r="AD217" s="46">
        <f>'Inputs (2)'!Y35</f>
        <v>73495</v>
      </c>
      <c r="AE217" s="46">
        <f>'Inputs (2)'!Z35</f>
        <v>72399</v>
      </c>
      <c r="AF217" s="46">
        <f>'Inputs (2)'!AA35</f>
        <v>72320</v>
      </c>
      <c r="AG217" s="12">
        <f>'Inputs (2)'!AB35</f>
        <v>72320</v>
      </c>
      <c r="AH217" s="12">
        <f>'Inputs (2)'!AC35</f>
        <v>71440</v>
      </c>
      <c r="AI217" s="12">
        <f>'Inputs (2)'!AD35</f>
        <v>69501</v>
      </c>
      <c r="AJ217" s="12">
        <f>AJ223</f>
        <v>69501</v>
      </c>
      <c r="AK217" s="12">
        <f>AK223</f>
        <v>69501</v>
      </c>
      <c r="AL217" s="12">
        <f>AK217</f>
        <v>69501</v>
      </c>
      <c r="AM217" s="12">
        <f>AM223</f>
        <v>69501</v>
      </c>
      <c r="AN217" s="12">
        <f>AN223</f>
        <v>69501</v>
      </c>
      <c r="AO217" s="12">
        <f>AO223</f>
        <v>69501</v>
      </c>
      <c r="AP217" s="12">
        <f>AP223</f>
        <v>69501</v>
      </c>
      <c r="AQ217" s="12">
        <f>AP217</f>
        <v>69501</v>
      </c>
      <c r="AR217" s="12">
        <f>AR223</f>
        <v>69501</v>
      </c>
      <c r="AS217" s="12">
        <f>AS223</f>
        <v>69501</v>
      </c>
      <c r="AT217" s="12">
        <f>AT223</f>
        <v>69501</v>
      </c>
      <c r="AU217" s="12">
        <f>AU223</f>
        <v>69501</v>
      </c>
      <c r="AV217" s="12">
        <f>AU217</f>
        <v>69501</v>
      </c>
      <c r="AW217" s="12">
        <f>AW223</f>
        <v>69501</v>
      </c>
      <c r="AX217" s="12">
        <f>AX223</f>
        <v>69501</v>
      </c>
      <c r="AY217" s="12">
        <f>AY223</f>
        <v>69501</v>
      </c>
      <c r="AZ217" s="12">
        <f>AZ223</f>
        <v>69501</v>
      </c>
      <c r="BA217" s="12">
        <f>AZ217</f>
        <v>69501</v>
      </c>
      <c r="BB217" s="12">
        <f>BB223</f>
        <v>69501</v>
      </c>
      <c r="BC217" s="12">
        <f>BC223</f>
        <v>69501</v>
      </c>
      <c r="BD217" s="12">
        <f>BD223</f>
        <v>69501</v>
      </c>
      <c r="BE217" s="12">
        <f>BE223</f>
        <v>69501</v>
      </c>
      <c r="BF217" s="12">
        <f>BE217</f>
        <v>69501</v>
      </c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7" t="inlineStr">
        <is>
          <t>Current portion of LTD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>
        <f>AF212</f>
        <v>6069</v>
      </c>
      <c r="AI219" s="62" t="n"/>
      <c r="AJ219" s="62" t="n"/>
      <c r="AK219" s="62" t="n"/>
      <c r="AL219" s="12" t="n"/>
      <c r="AM219" s="12">
        <f>AK212</f>
        <v>3827</v>
      </c>
      <c r="AN219" s="62" t="n"/>
      <c r="AO219" s="62" t="n"/>
      <c r="AP219" s="62" t="n"/>
      <c r="AQ219" s="12" t="n"/>
      <c r="AR219" s="12">
        <f>AP212</f>
        <v>3827</v>
      </c>
      <c r="AS219" s="62" t="n"/>
      <c r="AT219" s="62" t="n"/>
      <c r="AU219" s="62" t="n"/>
      <c r="AV219" s="12" t="n"/>
      <c r="AW219" s="12">
        <f>AU212</f>
        <v>3827</v>
      </c>
      <c r="AX219" s="62" t="n"/>
      <c r="AY219" s="62" t="n"/>
      <c r="AZ219" s="62" t="n"/>
      <c r="BA219" s="12" t="n"/>
      <c r="BB219" s="12">
        <f>AZ212</f>
        <v>3827</v>
      </c>
      <c r="BC219" s="62" t="n"/>
      <c r="BD219" s="62" t="n"/>
      <c r="BE219" s="62" t="n"/>
      <c r="BF219" s="12" t="n"/>
      <c r="BG219" s="12" t="n"/>
      <c r="BH219" s="62" t="n"/>
      <c r="BI219" s="62" t="n"/>
      <c r="BJ219" s="62" t="n"/>
      <c r="BK219" s="12" t="n"/>
      <c r="BL219" s="12" t="n"/>
      <c r="BM219" s="62" t="n"/>
      <c r="BN219" s="62" t="n"/>
      <c r="BO219" s="62" t="n"/>
      <c r="BP219" s="12" t="n"/>
      <c r="BQ219" s="12" t="n"/>
      <c r="BR219" s="62" t="n"/>
      <c r="BS219" s="62" t="n"/>
      <c r="BT219" s="62" t="n"/>
      <c r="BU219" s="12" t="n"/>
      <c r="BV219" s="12" t="n"/>
      <c r="BW219" s="62" t="n"/>
      <c r="BX219" s="62" t="n"/>
      <c r="BY219" s="62" t="n"/>
      <c r="BZ219" s="12" t="n"/>
      <c r="CA219" s="12" t="n"/>
      <c r="CB219" s="62" t="n"/>
      <c r="CC219" s="62" t="n"/>
      <c r="CD219" s="62" t="n"/>
      <c r="CE219" s="12" t="n"/>
      <c r="CF219" s="12" t="n"/>
      <c r="CG219" s="62" t="n"/>
      <c r="CH219" s="62" t="n"/>
      <c r="CI219" s="62" t="n"/>
      <c r="CJ219" s="12" t="n"/>
      <c r="CK219" s="12" t="n"/>
      <c r="CL219" s="62" t="n"/>
      <c r="CM219" s="62" t="n"/>
      <c r="CN219" s="62" t="n"/>
      <c r="CO219" s="12" t="n"/>
      <c r="CP219" s="12" t="n"/>
      <c r="CQ219" s="62" t="n"/>
      <c r="CR219" s="62" t="n"/>
      <c r="CS219" s="62" t="n"/>
      <c r="CT219" s="12" t="n"/>
      <c r="CU219" s="12" t="n"/>
      <c r="CV219" s="62" t="n"/>
      <c r="CW219" s="62" t="n"/>
      <c r="CX219" s="62" t="n"/>
      <c r="CY219" s="12" t="n"/>
    </row>
    <row r="220" hidden="1" outlineLevel="1">
      <c r="C220" s="57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7" t="inlineStr">
        <is>
          <t>Reclassification of LTD to CP of LTD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>
        <f>-AI219</f>
        <v>0</v>
      </c>
      <c r="AJ221" s="12">
        <f>-AJ219</f>
        <v>0</v>
      </c>
      <c r="AK221" s="12">
        <f>-AK219</f>
        <v>0</v>
      </c>
      <c r="AL221" s="12" t="n"/>
      <c r="AM221" s="12" t="n"/>
      <c r="AN221" s="12">
        <f>-AN219</f>
        <v>0</v>
      </c>
      <c r="AO221" s="12">
        <f>-AO219</f>
        <v>0</v>
      </c>
      <c r="AP221" s="12">
        <f>-AP219</f>
        <v>0</v>
      </c>
      <c r="AQ221" s="12" t="n"/>
      <c r="AR221" s="12" t="n"/>
      <c r="AS221" s="12">
        <f>-AS219</f>
        <v>0</v>
      </c>
      <c r="AT221" s="12">
        <f>-AT219</f>
        <v>0</v>
      </c>
      <c r="AU221" s="12">
        <f>-AU219</f>
        <v>0</v>
      </c>
      <c r="AV221" s="12" t="n"/>
      <c r="AW221" s="12" t="n"/>
      <c r="AX221" s="12">
        <f>-AX219</f>
        <v>0</v>
      </c>
      <c r="AY221" s="12">
        <f>-AY219</f>
        <v>0</v>
      </c>
      <c r="AZ221" s="12">
        <f>-AZ219</f>
        <v>0</v>
      </c>
      <c r="BA221" s="12" t="n"/>
      <c r="BB221" s="12" t="n"/>
      <c r="BC221" s="12">
        <f>-BC219</f>
        <v>0</v>
      </c>
      <c r="BD221" s="12">
        <f>-BD219</f>
        <v>0</v>
      </c>
      <c r="BE221" s="12">
        <f>-BE219</f>
        <v>0</v>
      </c>
      <c r="BF221" s="12" t="n"/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 hidden="1" outlineLevel="1">
      <c r="C222" s="57" t="inlineStr">
        <is>
          <t>Discretionary (paydown)/borrowing of long term debt</t>
        </is>
      </c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62" t="n"/>
      <c r="AI222" s="62" t="n"/>
      <c r="AJ222" s="62" t="n"/>
      <c r="AK222" s="62" t="n"/>
      <c r="AL222" s="12" t="n"/>
      <c r="AM222" s="62" t="n"/>
      <c r="AN222" s="62" t="n"/>
      <c r="AO222" s="62" t="n"/>
      <c r="AP222" s="62" t="n"/>
      <c r="AQ222" s="12" t="n"/>
      <c r="AR222" s="62" t="n"/>
      <c r="AS222" s="62" t="n"/>
      <c r="AT222" s="62" t="n"/>
      <c r="AU222" s="62" t="n"/>
      <c r="AV222" s="12" t="n"/>
      <c r="AW222" s="62" t="n"/>
      <c r="AX222" s="62" t="n"/>
      <c r="AY222" s="62" t="n"/>
      <c r="AZ222" s="62" t="n"/>
      <c r="BA222" s="12" t="n"/>
      <c r="BB222" s="62" t="n"/>
      <c r="BC222" s="62" t="n"/>
      <c r="BD222" s="62" t="n"/>
      <c r="BE222" s="62" t="n"/>
      <c r="BF222" s="12" t="n"/>
      <c r="BG222" s="62" t="n"/>
      <c r="BH222" s="62" t="n"/>
      <c r="BI222" s="62" t="n"/>
      <c r="BJ222" s="62" t="n"/>
      <c r="BK222" s="12" t="n"/>
      <c r="BL222" s="62" t="n"/>
      <c r="BM222" s="62" t="n"/>
      <c r="BN222" s="62" t="n"/>
      <c r="BO222" s="62" t="n"/>
      <c r="BP222" s="12" t="n"/>
      <c r="BQ222" s="62" t="n"/>
      <c r="BR222" s="62" t="n"/>
      <c r="BS222" s="62" t="n"/>
      <c r="BT222" s="62" t="n"/>
      <c r="BU222" s="12" t="n"/>
      <c r="BV222" s="62" t="n"/>
      <c r="BW222" s="62" t="n"/>
      <c r="BX222" s="62" t="n"/>
      <c r="BY222" s="62" t="n"/>
      <c r="BZ222" s="12" t="n"/>
      <c r="CA222" s="62" t="n"/>
      <c r="CB222" s="62" t="n"/>
      <c r="CC222" s="62" t="n"/>
      <c r="CD222" s="62" t="n"/>
      <c r="CE222" s="12" t="n"/>
      <c r="CF222" s="62" t="n"/>
      <c r="CG222" s="62" t="n"/>
      <c r="CH222" s="62" t="n"/>
      <c r="CI222" s="62" t="n"/>
      <c r="CJ222" s="12" t="n"/>
      <c r="CK222" s="62" t="n"/>
      <c r="CL222" s="62" t="n"/>
      <c r="CM222" s="62" t="n"/>
      <c r="CN222" s="62" t="n"/>
      <c r="CO222" s="12" t="n"/>
      <c r="CP222" s="62" t="n"/>
      <c r="CQ222" s="62" t="n"/>
      <c r="CR222" s="62" t="n"/>
      <c r="CS222" s="62" t="n"/>
      <c r="CT222" s="12" t="n"/>
      <c r="CU222" s="62" t="n"/>
      <c r="CV222" s="62" t="n"/>
      <c r="CW222" s="62" t="n"/>
      <c r="CX222" s="62" t="n"/>
      <c r="CY222" s="12" t="n"/>
    </row>
    <row r="223" hidden="1" outlineLevel="1">
      <c r="C223" s="57" t="inlineStr">
        <is>
          <t>Long term debt</t>
        </is>
      </c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>
        <f>AH217</f>
        <v>71440</v>
      </c>
      <c r="AI223" s="12">
        <f>AI217</f>
        <v>69501</v>
      </c>
      <c r="AJ223" s="12">
        <f>AI223+SUM(AJ221:AJ222)</f>
        <v>69501</v>
      </c>
      <c r="AK223" s="12">
        <f>AJ223+SUM(AK221:AK222)</f>
        <v>69501</v>
      </c>
      <c r="AL223" s="12" t="n"/>
      <c r="AM223" s="12">
        <f>AK223+SUM(AM221:AM222)</f>
        <v>69501</v>
      </c>
      <c r="AN223" s="12">
        <f>AM223+SUM(AN221:AN222)</f>
        <v>69501</v>
      </c>
      <c r="AO223" s="12">
        <f>AN223+SUM(AO221:AO222)</f>
        <v>69501</v>
      </c>
      <c r="AP223" s="12">
        <f>AO223+SUM(AP221:AP222)</f>
        <v>69501</v>
      </c>
      <c r="AQ223" s="12" t="n"/>
      <c r="AR223" s="12">
        <f>AP223+SUM(AR221:AR222)</f>
        <v>69501</v>
      </c>
      <c r="AS223" s="12">
        <f>AR223+SUM(AS221:AS222)</f>
        <v>69501</v>
      </c>
      <c r="AT223" s="12">
        <f>AS223+SUM(AT221:AT222)</f>
        <v>69501</v>
      </c>
      <c r="AU223" s="12">
        <f>AT223+SUM(AU221:AU222)</f>
        <v>69501</v>
      </c>
      <c r="AV223" s="12" t="n"/>
      <c r="AW223" s="12">
        <f>AU223+SUM(AW221:AW222)</f>
        <v>69501</v>
      </c>
      <c r="AX223" s="12">
        <f>AW223+SUM(AX221:AX222)</f>
        <v>69501</v>
      </c>
      <c r="AY223" s="12">
        <f>AX223+SUM(AY221:AY222)</f>
        <v>69501</v>
      </c>
      <c r="AZ223" s="12">
        <f>AY223+SUM(AZ221:AZ222)</f>
        <v>69501</v>
      </c>
      <c r="BA223" s="12" t="n"/>
      <c r="BB223" s="12">
        <f>AZ223+SUM(BB221:BB222)</f>
        <v>69501</v>
      </c>
      <c r="BC223" s="12">
        <f>BB223+SUM(BC221:BC222)</f>
        <v>69501</v>
      </c>
      <c r="BD223" s="12">
        <f>BC223+SUM(BD221:BD222)</f>
        <v>69501</v>
      </c>
      <c r="BE223" s="12">
        <f>BD223+SUM(BE221:BE222)</f>
        <v>69501</v>
      </c>
      <c r="BF223" s="12" t="n"/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7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 hidden="1" outlineLevel="1">
      <c r="C225" s="57" t="inlineStr">
        <is>
          <t>Discretionary (paydown)/borrowing of convertible debt</t>
        </is>
      </c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62" t="n"/>
      <c r="AI225" s="62" t="n"/>
      <c r="AJ225" s="62" t="n"/>
      <c r="AK225" s="62" t="n"/>
      <c r="AL225" s="12" t="n"/>
      <c r="AM225" s="62" t="n"/>
      <c r="AN225" s="62" t="n"/>
      <c r="AO225" s="62" t="n"/>
      <c r="AP225" s="62" t="n"/>
      <c r="AQ225" s="12" t="n"/>
      <c r="AR225" s="62" t="n"/>
      <c r="AS225" s="62" t="n"/>
      <c r="AT225" s="62" t="n"/>
      <c r="AU225" s="62" t="n"/>
      <c r="AV225" s="12" t="n"/>
      <c r="AW225" s="62" t="n"/>
      <c r="AX225" s="62" t="n"/>
      <c r="AY225" s="62" t="n"/>
      <c r="AZ225" s="62" t="n"/>
      <c r="BA225" s="12" t="n"/>
      <c r="BB225" s="62" t="n"/>
      <c r="BC225" s="62" t="n"/>
      <c r="BD225" s="62" t="n"/>
      <c r="BE225" s="62" t="n"/>
      <c r="BF225" s="12" t="n"/>
      <c r="BG225" s="62" t="n"/>
      <c r="BH225" s="62" t="n"/>
      <c r="BI225" s="62" t="n"/>
      <c r="BJ225" s="62" t="n"/>
      <c r="BK225" s="12" t="n"/>
      <c r="BL225" s="62" t="n"/>
      <c r="BM225" s="62" t="n"/>
      <c r="BN225" s="62" t="n"/>
      <c r="BO225" s="62" t="n"/>
      <c r="BP225" s="12" t="n"/>
      <c r="BQ225" s="62" t="n"/>
      <c r="BR225" s="62" t="n"/>
      <c r="BS225" s="62" t="n"/>
      <c r="BT225" s="62" t="n"/>
      <c r="BU225" s="12" t="n"/>
      <c r="BV225" s="62" t="n"/>
      <c r="BW225" s="62" t="n"/>
      <c r="BX225" s="62" t="n"/>
      <c r="BY225" s="62" t="n"/>
      <c r="BZ225" s="12" t="n"/>
      <c r="CA225" s="62" t="n"/>
      <c r="CB225" s="62" t="n"/>
      <c r="CC225" s="62" t="n"/>
      <c r="CD225" s="62" t="n"/>
      <c r="CE225" s="12" t="n"/>
      <c r="CF225" s="62" t="n"/>
      <c r="CG225" s="62" t="n"/>
      <c r="CH225" s="62" t="n"/>
      <c r="CI225" s="62" t="n"/>
      <c r="CJ225" s="12" t="n"/>
      <c r="CK225" s="62" t="n"/>
      <c r="CL225" s="62" t="n"/>
      <c r="CM225" s="62" t="n"/>
      <c r="CN225" s="62" t="n"/>
      <c r="CO225" s="12" t="n"/>
      <c r="CP225" s="62" t="n"/>
      <c r="CQ225" s="62" t="n"/>
      <c r="CR225" s="62" t="n"/>
      <c r="CS225" s="62" t="n"/>
      <c r="CT225" s="12" t="n"/>
      <c r="CU225" s="62" t="n"/>
      <c r="CV225" s="62" t="n"/>
      <c r="CW225" s="62" t="n"/>
      <c r="CX225" s="62" t="n"/>
      <c r="CY225" s="12" t="n"/>
    </row>
    <row r="226" hidden="1" outlineLevel="1">
      <c r="C226" s="57" t="inlineStr">
        <is>
          <t>Convertible debt</t>
        </is>
      </c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>
        <f>AH238</f>
        <v>0</v>
      </c>
      <c r="AI226" s="12">
        <f>AH226+SUM(AI225)</f>
        <v>0</v>
      </c>
      <c r="AJ226" s="12">
        <f>AI226+SUM(AJ225)</f>
        <v>0</v>
      </c>
      <c r="AK226" s="12">
        <f>AJ226+SUM(AK225)</f>
        <v>0</v>
      </c>
      <c r="AL226" s="12" t="n"/>
      <c r="AM226" s="12">
        <f>AM238</f>
        <v>0</v>
      </c>
      <c r="AN226" s="12">
        <f>AM226+SUM(AN225)</f>
        <v>0</v>
      </c>
      <c r="AO226" s="12">
        <f>AN226+SUM(AO225)</f>
        <v>0</v>
      </c>
      <c r="AP226" s="12">
        <f>AO226+SUM(AP225)</f>
        <v>0</v>
      </c>
      <c r="AQ226" s="12" t="n"/>
      <c r="AR226" s="12">
        <f>AR238</f>
        <v>0</v>
      </c>
      <c r="AS226" s="12">
        <f>AR226+SUM(AS225)</f>
        <v>0</v>
      </c>
      <c r="AT226" s="12">
        <f>AS226+SUM(AT225)</f>
        <v>0</v>
      </c>
      <c r="AU226" s="12">
        <f>AT226+SUM(AU225)</f>
        <v>0</v>
      </c>
      <c r="AV226" s="12" t="n"/>
      <c r="AW226" s="12">
        <f>AW238</f>
        <v>0</v>
      </c>
      <c r="AX226" s="12">
        <f>AW226+SUM(AX225)</f>
        <v>0</v>
      </c>
      <c r="AY226" s="12">
        <f>AX226+SUM(AY225)</f>
        <v>0</v>
      </c>
      <c r="AZ226" s="12">
        <f>AY226+SUM(AZ225)</f>
        <v>0</v>
      </c>
      <c r="BA226" s="12" t="n"/>
      <c r="BB226" s="12">
        <f>BB238</f>
        <v>0</v>
      </c>
      <c r="BC226" s="12">
        <f>BB226+SUM(BC225)</f>
        <v>0</v>
      </c>
      <c r="BD226" s="12">
        <f>BC226+SUM(BD225)</f>
        <v>0</v>
      </c>
      <c r="BE226" s="12">
        <f>BD226+SUM(BE225)</f>
        <v>0</v>
      </c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>
      <c r="C227" s="57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I227" s="12" t="n"/>
      <c r="AJ227" s="12" t="n"/>
      <c r="AK227" s="12" t="n"/>
      <c r="AL227" s="12" t="n"/>
      <c r="AN227" s="12" t="n"/>
      <c r="AO227" s="12" t="n"/>
      <c r="AP227" s="12" t="n"/>
      <c r="AQ227" s="12" t="n"/>
      <c r="AS227" s="12" t="n"/>
      <c r="AT227" s="12" t="n"/>
      <c r="AU227" s="12" t="n"/>
      <c r="AV227" s="12" t="n"/>
      <c r="AX227" s="12" t="n"/>
      <c r="AY227" s="12" t="n"/>
      <c r="AZ227" s="12" t="n"/>
      <c r="BA227" s="12" t="n"/>
      <c r="BC227" s="12" t="n"/>
      <c r="BD227" s="12" t="n"/>
      <c r="BE227" s="12" t="n"/>
      <c r="BF227" s="12" t="n"/>
      <c r="BH227" s="12" t="n"/>
      <c r="BI227" s="12" t="n"/>
      <c r="BJ227" s="12" t="n"/>
      <c r="BK227" s="12" t="n"/>
      <c r="BM227" s="12" t="n"/>
      <c r="BN227" s="12" t="n"/>
      <c r="BO227" s="12" t="n"/>
      <c r="BP227" s="12" t="n"/>
      <c r="BR227" s="12" t="n"/>
      <c r="BS227" s="12" t="n"/>
      <c r="BT227" s="12" t="n"/>
      <c r="BU227" s="12" t="n"/>
      <c r="BW227" s="12" t="n"/>
      <c r="BX227" s="12" t="n"/>
      <c r="BY227" s="12" t="n"/>
      <c r="BZ227" s="12" t="n"/>
      <c r="CB227" s="12" t="n"/>
      <c r="CC227" s="12" t="n"/>
      <c r="CD227" s="12" t="n"/>
      <c r="CE227" s="12" t="n"/>
      <c r="CG227" s="12" t="n"/>
      <c r="CH227" s="12" t="n"/>
      <c r="CI227" s="12" t="n"/>
      <c r="CJ227" s="12" t="n"/>
      <c r="CL227" s="12" t="n"/>
      <c r="CM227" s="12" t="n"/>
      <c r="CN227" s="12" t="n"/>
      <c r="CO227" s="12" t="n"/>
      <c r="CQ227" s="12" t="n"/>
      <c r="CR227" s="12" t="n"/>
      <c r="CS227" s="12" t="n"/>
      <c r="CT227" s="12" t="n"/>
      <c r="CV227" s="12" t="n"/>
      <c r="CW227" s="12" t="n"/>
      <c r="CX227" s="12" t="n"/>
      <c r="CY227" s="12" t="n"/>
    </row>
    <row r="228" hidden="1" outlineLevel="1">
      <c r="C228" s="57" t="inlineStr">
        <is>
          <t>Calculation of short term debt</t>
        </is>
      </c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>
      <c r="C229" s="57" t="inlineStr">
        <is>
          <t>Cash @ beginning of the period (end of last period)</t>
        </is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63">
        <f>AG144</f>
        <v>28121</v>
      </c>
      <c r="AI229" s="12" t="n"/>
      <c r="AJ229" s="12" t="n"/>
      <c r="AK229" s="12" t="n"/>
      <c r="AL229" s="12" t="n"/>
      <c r="AM229" s="63">
        <f>AL144</f>
        <v>35058.5411738651</v>
      </c>
      <c r="AN229" s="12" t="n"/>
      <c r="AO229" s="12" t="n"/>
      <c r="AP229" s="12" t="n"/>
      <c r="AQ229" s="12" t="n"/>
      <c r="AR229" s="63">
        <f>AQ144</f>
        <v>53058.976375506</v>
      </c>
      <c r="AS229" s="12" t="n"/>
      <c r="AT229" s="12" t="n"/>
      <c r="AU229" s="12" t="n"/>
      <c r="AV229" s="12" t="n"/>
      <c r="AW229" s="63">
        <f>AV144</f>
        <v>72389.0423036325</v>
      </c>
      <c r="AX229" s="12" t="n"/>
      <c r="AY229" s="12" t="n"/>
      <c r="AZ229" s="12" t="n"/>
      <c r="BA229" s="12" t="n"/>
      <c r="BB229" s="63">
        <f>BA144</f>
        <v>93049.7063866043</v>
      </c>
      <c r="BC229" s="12" t="n"/>
      <c r="BD229" s="12" t="n"/>
      <c r="BE229" s="12" t="n"/>
      <c r="BF229" s="12" t="n"/>
      <c r="BG229" s="63" t="n"/>
      <c r="BH229" s="12" t="n"/>
      <c r="BI229" s="12" t="n"/>
      <c r="BJ229" s="12" t="n"/>
      <c r="BK229" s="12" t="n"/>
      <c r="BL229" s="63" t="n"/>
      <c r="BM229" s="12" t="n"/>
      <c r="BN229" s="12" t="n"/>
      <c r="BO229" s="12" t="n"/>
      <c r="BP229" s="12" t="n"/>
      <c r="BQ229" s="63" t="n"/>
      <c r="BR229" s="12" t="n"/>
      <c r="BS229" s="12" t="n"/>
      <c r="BT229" s="12" t="n"/>
      <c r="BU229" s="12" t="n"/>
      <c r="BV229" s="63" t="n"/>
      <c r="BW229" s="12" t="n"/>
      <c r="BX229" s="12" t="n"/>
      <c r="BY229" s="12" t="n"/>
      <c r="BZ229" s="12" t="n"/>
      <c r="CA229" s="63" t="n"/>
      <c r="CB229" s="12" t="n"/>
      <c r="CC229" s="12" t="n"/>
      <c r="CD229" s="12" t="n"/>
      <c r="CE229" s="12" t="n"/>
      <c r="CF229" s="63" t="n"/>
      <c r="CG229" s="12" t="n"/>
      <c r="CH229" s="12" t="n"/>
      <c r="CI229" s="12" t="n"/>
      <c r="CJ229" s="12" t="n"/>
      <c r="CK229" s="63" t="n"/>
      <c r="CL229" s="12" t="n"/>
      <c r="CM229" s="12" t="n"/>
      <c r="CN229" s="12" t="n"/>
      <c r="CO229" s="12" t="n"/>
      <c r="CP229" s="63" t="n"/>
      <c r="CQ229" s="12" t="n"/>
      <c r="CR229" s="12" t="n"/>
      <c r="CS229" s="12" t="n"/>
      <c r="CT229" s="12" t="n"/>
      <c r="CU229" s="63" t="n"/>
      <c r="CV229" s="12" t="n"/>
      <c r="CW229" s="12" t="n"/>
      <c r="CX229" s="12" t="n"/>
      <c r="CY229" s="12" t="n"/>
    </row>
    <row r="230" hidden="1" outlineLevel="1">
      <c r="C230" s="57" t="inlineStr">
        <is>
          <t>Plus: Free cash flows prior to debt during period</t>
        </is>
      </c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inlineStr">
        <is>
          <t>% of sales</t>
        </is>
      </c>
      <c r="AH230" s="64">
        <f>(AH292+AH299)+SUM(AH302:AH308)</f>
        <v>-4988</v>
      </c>
      <c r="AI230" s="64">
        <f>(AI292+AI299)+SUM(AI302:AI308)</f>
        <v>-5482</v>
      </c>
      <c r="AJ230" s="64">
        <f>(AJ292+AJ299)+SUM(AJ302:AJ308)</f>
        <v>0</v>
      </c>
      <c r="AK230" s="64">
        <f>(AK292+AK299)+SUM(AK302:AK308)</f>
        <v>0</v>
      </c>
      <c r="AL230" s="12" t="n"/>
      <c r="AM230" s="64">
        <f>(AM292+AM299)+SUM(AM302:AM308)</f>
        <v>0</v>
      </c>
      <c r="AN230" s="64">
        <f>(AN292+AN299)+SUM(AN302:AN308)</f>
        <v>0</v>
      </c>
      <c r="AO230" s="64">
        <f>(AO292+AO299)+SUM(AO302:AO308)</f>
        <v>0</v>
      </c>
      <c r="AP230" s="64">
        <f>(AP292+AP299)+SUM(AP302:AP308)</f>
        <v>0</v>
      </c>
      <c r="AQ230" s="12" t="n"/>
      <c r="AR230" s="64">
        <f>(AR292+AR299)+SUM(AR302:AR308)</f>
        <v>0</v>
      </c>
      <c r="AS230" s="64">
        <f>(AS292+AS299)+SUM(AS302:AS308)</f>
        <v>0</v>
      </c>
      <c r="AT230" s="64">
        <f>(AT292+AT299)+SUM(AT302:AT308)</f>
        <v>0</v>
      </c>
      <c r="AU230" s="64">
        <f>(AU292+AU299)+SUM(AU302:AU308)</f>
        <v>0</v>
      </c>
      <c r="AV230" s="12" t="n"/>
      <c r="AW230" s="64">
        <f>(AW292+AW299)+SUM(AW302:AW308)</f>
        <v>0</v>
      </c>
      <c r="AX230" s="64">
        <f>(AX292+AX299)+SUM(AX302:AX308)</f>
        <v>0</v>
      </c>
      <c r="AY230" s="64">
        <f>(AY292+AY299)+SUM(AY302:AY308)</f>
        <v>0</v>
      </c>
      <c r="AZ230" s="64">
        <f>(AZ292+AZ299)+SUM(AZ302:AZ308)</f>
        <v>0</v>
      </c>
      <c r="BA230" s="12" t="n"/>
      <c r="BB230" s="64">
        <f>(BB292+BB299)+SUM(BB302:BB308)</f>
        <v>0</v>
      </c>
      <c r="BC230" s="64">
        <f>(BC292+BC299)+SUM(BC302:BC308)</f>
        <v>0</v>
      </c>
      <c r="BD230" s="64">
        <f>(BD292+BD299)+SUM(BD302:BD308)</f>
        <v>0</v>
      </c>
      <c r="BE230" s="64">
        <f>(BE292+BE299)+SUM(BE302:BE308)</f>
        <v>0</v>
      </c>
      <c r="BF230" s="12" t="n"/>
      <c r="BG230" s="64" t="n"/>
      <c r="BH230" s="64" t="n"/>
      <c r="BI230" s="64" t="n"/>
      <c r="BJ230" s="64" t="n"/>
      <c r="BK230" s="12" t="n"/>
      <c r="BL230" s="64" t="n"/>
      <c r="BM230" s="64" t="n"/>
      <c r="BN230" s="64" t="n"/>
      <c r="BO230" s="64" t="n"/>
      <c r="BP230" s="12" t="n"/>
      <c r="BQ230" s="64" t="n"/>
      <c r="BR230" s="64" t="n"/>
      <c r="BS230" s="64" t="n"/>
      <c r="BT230" s="64" t="n"/>
      <c r="BU230" s="12" t="n"/>
      <c r="BV230" s="64" t="n"/>
      <c r="BW230" s="64" t="n"/>
      <c r="BX230" s="64" t="n"/>
      <c r="BY230" s="64" t="n"/>
      <c r="BZ230" s="12" t="n"/>
      <c r="CA230" s="64" t="n"/>
      <c r="CB230" s="64" t="n"/>
      <c r="CC230" s="64" t="n"/>
      <c r="CD230" s="64" t="n"/>
      <c r="CE230" s="12" t="n"/>
      <c r="CF230" s="64" t="n"/>
      <c r="CG230" s="64" t="n"/>
      <c r="CH230" s="64" t="n"/>
      <c r="CI230" s="64" t="n"/>
      <c r="CJ230" s="12" t="n"/>
      <c r="CK230" s="64" t="n"/>
      <c r="CL230" s="64" t="n"/>
      <c r="CM230" s="64" t="n"/>
      <c r="CN230" s="64" t="n"/>
      <c r="CO230" s="12" t="n"/>
      <c r="CP230" s="64" t="n"/>
      <c r="CQ230" s="64" t="n"/>
      <c r="CR230" s="64" t="n"/>
      <c r="CS230" s="64" t="n"/>
      <c r="CT230" s="12" t="n"/>
      <c r="CU230" s="64" t="n"/>
      <c r="CV230" s="64" t="n"/>
      <c r="CW230" s="64" t="n"/>
      <c r="CX230" s="64" t="n"/>
      <c r="CY230" s="12" t="n"/>
    </row>
    <row r="231" hidden="1" outlineLevel="1">
      <c r="C231" s="57" t="inlineStr">
        <is>
          <t>Less: Minimum cash balance</t>
        </is>
      </c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52" t="n"/>
      <c r="AH231" s="12">
        <f>($AG$231*AH15)</f>
        <v>0</v>
      </c>
      <c r="AI231" s="12">
        <f>($AG$231*AI15)</f>
        <v>0</v>
      </c>
      <c r="AJ231" s="12">
        <f>($AG$231*AJ15)</f>
        <v>0</v>
      </c>
      <c r="AK231" s="12">
        <f>($AG$231*AK15)</f>
        <v>0</v>
      </c>
      <c r="AL231" s="12" t="n"/>
      <c r="AM231" s="12">
        <f>($AG$231*AM15)</f>
        <v>0</v>
      </c>
      <c r="AN231" s="12">
        <f>($AG$231*AN15)</f>
        <v>0</v>
      </c>
      <c r="AO231" s="12">
        <f>($AG$231*AO15)</f>
        <v>0</v>
      </c>
      <c r="AP231" s="12">
        <f>($AG$231*AP15)</f>
        <v>0</v>
      </c>
      <c r="AQ231" s="12" t="n"/>
      <c r="AR231" s="12">
        <f>($AG$231*AR15)</f>
        <v>0</v>
      </c>
      <c r="AS231" s="12">
        <f>($AG$231*AS15)</f>
        <v>0</v>
      </c>
      <c r="AT231" s="12">
        <f>($AG$231*AT15)</f>
        <v>0</v>
      </c>
      <c r="AU231" s="12">
        <f>($AG$231*AU15)</f>
        <v>0</v>
      </c>
      <c r="AV231" s="12" t="n"/>
      <c r="AW231" s="12">
        <f>($AG$231*AW15)</f>
        <v>0</v>
      </c>
      <c r="AX231" s="12">
        <f>($AG$231*AX15)</f>
        <v>0</v>
      </c>
      <c r="AY231" s="12">
        <f>($AG$231*AY15)</f>
        <v>0</v>
      </c>
      <c r="AZ231" s="12">
        <f>($AG$231*AZ15)</f>
        <v>0</v>
      </c>
      <c r="BA231" s="12" t="n"/>
      <c r="BB231" s="12">
        <f>($AG$231*BB15)</f>
        <v>0</v>
      </c>
      <c r="BC231" s="12">
        <f>($AG$231*BC15)</f>
        <v>0</v>
      </c>
      <c r="BD231" s="12">
        <f>($AG$231*BD15)</f>
        <v>0</v>
      </c>
      <c r="BE231" s="12">
        <f>($AG$231*BE15)</f>
        <v>0</v>
      </c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>
      <c r="C232" s="57" t="inlineStr">
        <is>
          <t>Total cash available / (debt required) for short term debt paydown</t>
        </is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3">
        <f>AH229+AH230-AH231-AF219+AH221+AH225</f>
        <v>23133</v>
      </c>
      <c r="AI232" s="3">
        <f>AI229+AI230-AI231-AG219+AI221+AI225</f>
        <v>-5482</v>
      </c>
      <c r="AJ232" s="3">
        <f>AJ229+AJ230-AJ231-AH219+AJ221+AJ225</f>
        <v>-6069</v>
      </c>
      <c r="AK232" s="3">
        <f>AK229+AK230-AK231-AI219+AK221+AK225</f>
        <v>0</v>
      </c>
      <c r="AL232" s="12" t="n"/>
      <c r="AM232" s="3">
        <f>AM229+AM230-AM231-AK219+AM221+AM225</f>
        <v>35058.5411738651</v>
      </c>
      <c r="AN232" s="3">
        <f>AN229+AN230-AN231-AL219+AN221+AN225</f>
        <v>0</v>
      </c>
      <c r="AO232" s="3">
        <f>AO229+AO230-AO231-AM219+AO221+AO225</f>
        <v>-3827</v>
      </c>
      <c r="AP232" s="3">
        <f>AP229+AP230-AP231-AN219+AP221+AP225</f>
        <v>0</v>
      </c>
      <c r="AQ232" s="12" t="n"/>
      <c r="AR232" s="3">
        <f>AR229+AR230-AR231-AP219+AR221+AR225</f>
        <v>53058.976375506</v>
      </c>
      <c r="AS232" s="3">
        <f>AS229+AS230-AS231-AQ219+AS221+AS225</f>
        <v>0</v>
      </c>
      <c r="AT232" s="3">
        <f>AT229+AT230-AT231-AR219+AT221+AT225</f>
        <v>-3827</v>
      </c>
      <c r="AU232" s="3">
        <f>AU229+AU230-AU231-AS219+AU221+AU225</f>
        <v>0</v>
      </c>
      <c r="AV232" s="12" t="n"/>
      <c r="AW232" s="3">
        <f>AW229+AW230-AW231-AU219+AW221+AW225</f>
        <v>72389.0423036325</v>
      </c>
      <c r="AX232" s="3">
        <f>AX229+AX230-AX231-AV219+AX221+AX225</f>
        <v>0</v>
      </c>
      <c r="AY232" s="3">
        <f>AY229+AY230-AY231-AW219+AY221+AY225</f>
        <v>-3827</v>
      </c>
      <c r="AZ232" s="3">
        <f>AZ229+AZ230-AZ231-AX219+AZ221+AZ225</f>
        <v>0</v>
      </c>
      <c r="BA232" s="12" t="n"/>
      <c r="BB232" s="3">
        <f>BB229+BB230-BB231-AZ219+BB221+BB225</f>
        <v>93049.7063866043</v>
      </c>
      <c r="BC232" s="3">
        <f>BC229+BC230-BC231-BA219+BC221+BC225</f>
        <v>0</v>
      </c>
      <c r="BD232" s="3">
        <f>BD229+BD230-BD231-BB219+BD221+BD225</f>
        <v>-3827</v>
      </c>
      <c r="BE232" s="3">
        <f>BE229+BE230-BE231-BC219+BE221+BE225</f>
        <v>0</v>
      </c>
      <c r="BF232" s="12" t="n"/>
      <c r="BG232" s="3" t="n"/>
      <c r="BH232" s="3" t="n"/>
      <c r="BI232" s="3" t="n"/>
      <c r="BJ232" s="3" t="n"/>
      <c r="BK232" s="12" t="n"/>
      <c r="BL232" s="3" t="n"/>
      <c r="BM232" s="3" t="n"/>
      <c r="BN232" s="3" t="n"/>
      <c r="BO232" s="3" t="n"/>
      <c r="BP232" s="12" t="n"/>
      <c r="BQ232" s="3" t="n"/>
      <c r="BR232" s="3" t="n"/>
      <c r="BS232" s="3" t="n"/>
      <c r="BT232" s="3" t="n"/>
      <c r="BU232" s="12" t="n"/>
      <c r="BV232" s="3" t="n"/>
      <c r="BW232" s="3" t="n"/>
      <c r="BX232" s="3" t="n"/>
      <c r="BY232" s="3" t="n"/>
      <c r="BZ232" s="12" t="n"/>
      <c r="CA232" s="3" t="n"/>
      <c r="CB232" s="3" t="n"/>
      <c r="CC232" s="3" t="n"/>
      <c r="CD232" s="3" t="n"/>
      <c r="CE232" s="12" t="n"/>
      <c r="CF232" s="3" t="n"/>
      <c r="CG232" s="3" t="n"/>
      <c r="CH232" s="3" t="n"/>
      <c r="CI232" s="3" t="n"/>
      <c r="CJ232" s="12" t="n"/>
      <c r="CK232" s="3" t="n"/>
      <c r="CL232" s="3" t="n"/>
      <c r="CM232" s="3" t="n"/>
      <c r="CN232" s="3" t="n"/>
      <c r="CO232" s="12" t="n"/>
      <c r="CP232" s="3" t="n"/>
      <c r="CQ232" s="3" t="n"/>
      <c r="CR232" s="3" t="n"/>
      <c r="CS232" s="3" t="n"/>
      <c r="CT232" s="12" t="n"/>
      <c r="CU232" s="3" t="n"/>
      <c r="CV232" s="3" t="n"/>
      <c r="CW232" s="3" t="n"/>
      <c r="CX232" s="3" t="n"/>
      <c r="CY232" s="12" t="n"/>
    </row>
    <row r="233" hidden="1" outlineLevel="1">
      <c r="C233" s="57" t="inlineStr">
        <is>
          <t>Short term debt</t>
        </is>
      </c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>
        <f>AH213</f>
        <v>0</v>
      </c>
      <c r="AI233" s="12">
        <f>MAX(0,AH233-AI232)</f>
        <v>5482</v>
      </c>
      <c r="AJ233" s="12">
        <f>MAX(0,AI233-AJ232)</f>
        <v>11551</v>
      </c>
      <c r="AK233" s="12">
        <f>MAX(0,AJ233-AK232)</f>
        <v>11551</v>
      </c>
      <c r="AL233" s="12" t="n"/>
      <c r="AM233" s="12">
        <f>AM213</f>
        <v>0</v>
      </c>
      <c r="AN233" s="12">
        <f>MAX(0,AM233-AN232)</f>
        <v>0</v>
      </c>
      <c r="AO233" s="12">
        <f>MAX(0,AN233-AO232)</f>
        <v>3827</v>
      </c>
      <c r="AP233" s="12">
        <f>MAX(0,AO233-AP232)</f>
        <v>3827</v>
      </c>
      <c r="AQ233" s="12" t="n"/>
      <c r="AR233" s="12">
        <f>AR213</f>
        <v>0</v>
      </c>
      <c r="AS233" s="12">
        <f>MAX(0,AR233-AS232)</f>
        <v>0</v>
      </c>
      <c r="AT233" s="12">
        <f>MAX(0,AS233-AT232)</f>
        <v>3827</v>
      </c>
      <c r="AU233" s="12">
        <f>MAX(0,AT233-AU232)</f>
        <v>3827</v>
      </c>
      <c r="AV233" s="12" t="n"/>
      <c r="AW233" s="12">
        <f>AW213</f>
        <v>0</v>
      </c>
      <c r="AX233" s="12">
        <f>MAX(0,AW233-AX232)</f>
        <v>0</v>
      </c>
      <c r="AY233" s="12">
        <f>MAX(0,AX233-AY232)</f>
        <v>3827</v>
      </c>
      <c r="AZ233" s="12">
        <f>MAX(0,AY233-AZ232)</f>
        <v>3827</v>
      </c>
      <c r="BA233" s="12" t="n"/>
      <c r="BB233" s="12">
        <f>BB213</f>
        <v>0</v>
      </c>
      <c r="BC233" s="12">
        <f>MAX(0,BB233-BC232)</f>
        <v>0</v>
      </c>
      <c r="BD233" s="12">
        <f>MAX(0,BC233-BD232)</f>
        <v>3827</v>
      </c>
      <c r="BE233" s="12">
        <f>MAX(0,BD233-BE232)</f>
        <v>3827</v>
      </c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>
      <c r="C234" s="57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collapsed="1">
      <c r="C235" s="14" t="inlineStr">
        <is>
          <t>Long term operating leases</t>
        </is>
      </c>
      <c r="D235" s="46" t="n"/>
      <c r="E235" s="46" t="n"/>
      <c r="F235" s="46" t="n"/>
      <c r="G235" s="46" t="n"/>
      <c r="H235" s="12" t="n"/>
      <c r="I235" s="46">
        <f>'Inputs (2)'!D36</f>
        <v>0</v>
      </c>
      <c r="J235" s="46">
        <f>'Inputs (2)'!E36</f>
        <v>0</v>
      </c>
      <c r="K235" s="46">
        <f>'Inputs (2)'!F36</f>
        <v>0</v>
      </c>
      <c r="L235" s="46">
        <f>'Inputs (2)'!G36</f>
        <v>0</v>
      </c>
      <c r="M235" s="12">
        <f>'Inputs (2)'!H36</f>
        <v>0</v>
      </c>
      <c r="N235" s="46">
        <f>'Inputs (2)'!I36</f>
        <v>0</v>
      </c>
      <c r="O235" s="46">
        <f>'Inputs (2)'!J36</f>
        <v>0</v>
      </c>
      <c r="P235" s="46">
        <f>'Inputs (2)'!K36</f>
        <v>0</v>
      </c>
      <c r="Q235" s="46">
        <f>'Inputs (2)'!L36</f>
        <v>0</v>
      </c>
      <c r="R235" s="12">
        <f>'Inputs (2)'!M36</f>
        <v>0</v>
      </c>
      <c r="S235" s="46">
        <f>'Inputs (2)'!N36</f>
        <v>0</v>
      </c>
      <c r="T235" s="46">
        <f>'Inputs (2)'!O36</f>
        <v>0</v>
      </c>
      <c r="U235" s="46">
        <f>'Inputs (2)'!P36</f>
        <v>0</v>
      </c>
      <c r="V235" s="46">
        <f>'Inputs (2)'!Q36</f>
        <v>0</v>
      </c>
      <c r="W235" s="12">
        <f>'Inputs (2)'!R36</f>
        <v>0</v>
      </c>
      <c r="X235" s="46">
        <f>'Inputs (2)'!S36</f>
        <v>0</v>
      </c>
      <c r="Y235" s="46">
        <f>'Inputs (2)'!T36</f>
        <v>0</v>
      </c>
      <c r="Z235" s="46">
        <f>'Inputs (2)'!U36</f>
        <v>0</v>
      </c>
      <c r="AA235" s="46">
        <f>'Inputs (2)'!V36</f>
        <v>0</v>
      </c>
      <c r="AB235" s="12">
        <f>'Inputs (2)'!W36</f>
        <v>0</v>
      </c>
      <c r="AC235" s="46">
        <f>'Inputs (2)'!X36</f>
        <v>0</v>
      </c>
      <c r="AD235" s="46">
        <f>'Inputs (2)'!Y36</f>
        <v>0</v>
      </c>
      <c r="AE235" s="46">
        <f>'Inputs (2)'!Z36</f>
        <v>0</v>
      </c>
      <c r="AF235" s="46">
        <f>'Inputs (2)'!AA36</f>
        <v>0</v>
      </c>
      <c r="AG235" s="12">
        <f>'Inputs (2)'!AB36</f>
        <v>0</v>
      </c>
      <c r="AH235" s="12">
        <f>'Inputs (2)'!AC36</f>
        <v>0</v>
      </c>
      <c r="AI235" s="12">
        <f>'Inputs (2)'!AD36</f>
        <v>0</v>
      </c>
      <c r="AJ235" s="12">
        <f>AI235</f>
        <v>0</v>
      </c>
      <c r="AK235" s="12">
        <f>AJ235</f>
        <v>0</v>
      </c>
      <c r="AL235" s="12">
        <f>AK235</f>
        <v>0</v>
      </c>
      <c r="AM235" s="12">
        <f>AL235</f>
        <v>0</v>
      </c>
      <c r="AN235" s="12">
        <f>AM235</f>
        <v>0</v>
      </c>
      <c r="AO235" s="12">
        <f>AN235</f>
        <v>0</v>
      </c>
      <c r="AP235" s="12">
        <f>AO235</f>
        <v>0</v>
      </c>
      <c r="AQ235" s="12">
        <f>AP235</f>
        <v>0</v>
      </c>
      <c r="AR235" s="12">
        <f>AQ235</f>
        <v>0</v>
      </c>
      <c r="AS235" s="12">
        <f>AR235</f>
        <v>0</v>
      </c>
      <c r="AT235" s="12">
        <f>AS235</f>
        <v>0</v>
      </c>
      <c r="AU235" s="12">
        <f>AT235</f>
        <v>0</v>
      </c>
      <c r="AV235" s="12">
        <f>AU235</f>
        <v>0</v>
      </c>
      <c r="AW235" s="12">
        <f>AV235</f>
        <v>0</v>
      </c>
      <c r="AX235" s="12">
        <f>AW235</f>
        <v>0</v>
      </c>
      <c r="AY235" s="12">
        <f>AX235</f>
        <v>0</v>
      </c>
      <c r="AZ235" s="12">
        <f>AY235</f>
        <v>0</v>
      </c>
      <c r="BA235" s="12">
        <f>AZ235</f>
        <v>0</v>
      </c>
      <c r="BB235" s="12">
        <f>BA235</f>
        <v>0</v>
      </c>
      <c r="BC235" s="12">
        <f>BB235</f>
        <v>0</v>
      </c>
      <c r="BD235" s="12">
        <f>BC235</f>
        <v>0</v>
      </c>
      <c r="BE235" s="12">
        <f>BD235</f>
        <v>0</v>
      </c>
      <c r="BF235" s="12">
        <f>BE235</f>
        <v>0</v>
      </c>
      <c r="BG235" s="12" t="n"/>
      <c r="BH235" s="12" t="n"/>
      <c r="BI235" s="12" t="n"/>
      <c r="BJ235" s="12" t="n"/>
      <c r="BK235" s="12" t="n"/>
      <c r="BL235" s="12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  <c r="CA235" s="12" t="n"/>
      <c r="CB235" s="12" t="n"/>
      <c r="CC235" s="12" t="n"/>
      <c r="CD235" s="12" t="n"/>
      <c r="CE235" s="12" t="n"/>
      <c r="CF235" s="12" t="n"/>
      <c r="CG235" s="12" t="n"/>
      <c r="CH235" s="12" t="n"/>
      <c r="CI235" s="12" t="n"/>
      <c r="CJ235" s="12" t="n"/>
      <c r="CK235" s="12" t="n"/>
      <c r="CL235" s="12" t="n"/>
      <c r="CM235" s="12" t="n"/>
      <c r="CN235" s="12" t="n"/>
      <c r="CO235" s="12" t="n"/>
      <c r="CP235" s="12" t="n"/>
      <c r="CQ235" s="12" t="n"/>
      <c r="CR235" s="12" t="n"/>
      <c r="CS235" s="12" t="n"/>
      <c r="CT235" s="12" t="n"/>
      <c r="CU235" s="12" t="n"/>
      <c r="CV235" s="12" t="n"/>
      <c r="CW235" s="12" t="n"/>
      <c r="CX235" s="12" t="n"/>
      <c r="CY235" s="12" t="n"/>
    </row>
    <row r="236" hidden="1" outlineLevel="1">
      <c r="C236" s="59" t="inlineStr">
        <is>
          <t>%(Var.)</t>
        </is>
      </c>
      <c r="D236" s="12" t="n"/>
      <c r="E236" s="40" t="n"/>
      <c r="F236" s="40" t="n"/>
      <c r="G236" s="40" t="n"/>
      <c r="H236" s="12" t="n"/>
      <c r="I236" s="40" t="str">
        <f>""</f>
        <v/>
      </c>
      <c r="J236" s="40" t="str">
        <f>IFERROR(IF(I235=0,"",J235/I235-1),"")</f>
        <v/>
      </c>
      <c r="K236" s="40" t="str">
        <f>IFERROR(IF(J235=0,"",K235/J235-1),"")</f>
        <v/>
      </c>
      <c r="L236" s="40" t="str">
        <f>IFERROR(IF(K235=0,"",L235/K235-1),"")</f>
        <v/>
      </c>
      <c r="M236" s="12" t="str">
        <f>IF(L235=0,"",M235/L235-1)</f>
        <v/>
      </c>
      <c r="N236" s="40" t="str">
        <f>IFERROR(IF(M235=0,"",N235/M235-1),"")</f>
        <v/>
      </c>
      <c r="O236" s="40" t="str">
        <f>IFERROR(IF(N235=0,"",O235/N235-1),"")</f>
        <v/>
      </c>
      <c r="P236" s="40" t="str">
        <f>IFERROR(IF(O235=0,"",P235/O235-1),"")</f>
        <v/>
      </c>
      <c r="Q236" s="40" t="str">
        <f>IFERROR(IF(P235=0,"",Q235/P235-1),"")</f>
        <v/>
      </c>
      <c r="R236" s="12" t="str">
        <f>IF(Q235=0,"",R235/Q235-1)</f>
        <v/>
      </c>
      <c r="S236" s="40" t="str">
        <f>IFERROR(IF(R235=0,"",S235/R235-1),"")</f>
        <v/>
      </c>
      <c r="T236" s="40" t="str">
        <f>IFERROR(IF(S235=0,"",T235/S235-1),"")</f>
        <v/>
      </c>
      <c r="U236" s="40" t="str">
        <f>IFERROR(IF(T235=0,"",U235/T235-1),"")</f>
        <v/>
      </c>
      <c r="V236" s="40" t="str">
        <f>IFERROR(IF(U235=0,"",V235/U235-1),"")</f>
        <v/>
      </c>
      <c r="W236" s="12" t="str">
        <f>IF(V235=0,"",W235/V235-1)</f>
        <v/>
      </c>
      <c r="X236" s="40" t="str">
        <f>IFERROR(IF(W235=0,"",X235/W235-1),"")</f>
        <v/>
      </c>
      <c r="Y236" s="40" t="str">
        <f>IFERROR(IF(X235=0,"",Y235/X235-1),"")</f>
        <v/>
      </c>
      <c r="Z236" s="40" t="str">
        <f>IFERROR(IF(Y235=0,"",Z235/Y235-1),"")</f>
        <v/>
      </c>
      <c r="AA236" s="40" t="str">
        <f>IFERROR(IF(Z235=0,"",AA235/Z235-1),"")</f>
        <v/>
      </c>
      <c r="AB236" s="12" t="str">
        <f>IF(AA235=0,"",AB235/AA235-1)</f>
        <v/>
      </c>
      <c r="AC236" s="40" t="str">
        <f>IFERROR(IF(AB235=0,"",AC235/AB235-1),"")</f>
        <v/>
      </c>
      <c r="AD236" s="40" t="str">
        <f>IFERROR(IF(AC235=0,"",AD235/AC235-1),"")</f>
        <v/>
      </c>
      <c r="AE236" s="40" t="str">
        <f>IFERROR(IF(AD235=0,"",AE235/AD235-1),"")</f>
        <v/>
      </c>
      <c r="AF236" s="41" t="str">
        <f>IFERROR(IF(AE235=0,"",AF235/AE235-1),"")</f>
        <v/>
      </c>
      <c r="AG236" s="12" t="str">
        <f>IF(AF235=0,"",AG235/AF235-1)</f>
        <v/>
      </c>
      <c r="AH236" s="11" t="str">
        <f>IFERROR(IF(AG235=0,"",AH235/AG235-1),"")</f>
        <v/>
      </c>
      <c r="AI236" s="11" t="str">
        <f>IFERROR(IF(AH235=0,"",AI235/AH235-1),"")</f>
        <v/>
      </c>
      <c r="AJ236" s="11" t="str">
        <f>IFERROR(IF(AI235=0,"",AJ235/AI235-1),"")</f>
        <v/>
      </c>
      <c r="AK236" s="11" t="str">
        <f>IFERROR(IF(AJ235=0,"",AK235/AJ235-1),"")</f>
        <v/>
      </c>
      <c r="AL236" s="12" t="str">
        <f>IFERROR(IF(AK235=0,"",AL235/AK235-1),"")</f>
        <v/>
      </c>
      <c r="AM236" s="11" t="str">
        <f>IFERROR(IF(AL235=0,"",AM235/AL235-1),"")</f>
        <v/>
      </c>
      <c r="AN236" s="11" t="str">
        <f>IFERROR(IF(AM235=0,"",AN235/AM235-1),"")</f>
        <v/>
      </c>
      <c r="AO236" s="11" t="str">
        <f>IFERROR(IF(AN235=0,"",AO235/AN235-1),"")</f>
        <v/>
      </c>
      <c r="AP236" s="11" t="str">
        <f>IFERROR(IF(AO235=0,"",AP235/AO235-1),"")</f>
        <v/>
      </c>
      <c r="AQ236" s="12" t="str">
        <f>IFERROR(IF(AP235=0,"",AQ235/AP235-1),"")</f>
        <v/>
      </c>
      <c r="AR236" s="11" t="str">
        <f>IFERROR(IF(AQ235=0,"",AR235/AQ235-1),"")</f>
        <v/>
      </c>
      <c r="AS236" s="11" t="str">
        <f>IFERROR(IF(AR235=0,"",AS235/AR235-1),"")</f>
        <v/>
      </c>
      <c r="AT236" s="11" t="str">
        <f>IFERROR(IF(AS235=0,"",AT235/AS235-1),"")</f>
        <v/>
      </c>
      <c r="AU236" s="11" t="str">
        <f>IFERROR(IF(AT235=0,"",AU235/AT235-1),"")</f>
        <v/>
      </c>
      <c r="AV236" s="12" t="str">
        <f>IFERROR(IF(AU235=0,"",AV235/AU235-1),"")</f>
        <v/>
      </c>
      <c r="AW236" s="11" t="str">
        <f>IFERROR(IF(AV235=0,"",AW235/AV235-1),"")</f>
        <v/>
      </c>
      <c r="AX236" s="11" t="str">
        <f>IFERROR(IF(AW235=0,"",AX235/AW235-1),"")</f>
        <v/>
      </c>
      <c r="AY236" s="11" t="str">
        <f>IFERROR(IF(AX235=0,"",AY235/AX235-1),"")</f>
        <v/>
      </c>
      <c r="AZ236" s="11" t="str">
        <f>IFERROR(IF(AY235=0,"",AZ235/AY235-1),"")</f>
        <v/>
      </c>
      <c r="BA236" s="12" t="str">
        <f>IFERROR(IF(AZ235=0,"",BA235/AZ235-1),"")</f>
        <v/>
      </c>
      <c r="BB236" s="11" t="str">
        <f>IFERROR(IF(BA235=0,"",BB235/BA235-1),"")</f>
        <v/>
      </c>
      <c r="BC236" s="11" t="str">
        <f>IFERROR(IF(BB235=0,"",BC235/BB235-1),"")</f>
        <v/>
      </c>
      <c r="BD236" s="11" t="str">
        <f>IFERROR(IF(BC235=0,"",BD235/BC235-1),"")</f>
        <v/>
      </c>
      <c r="BE236" s="11" t="str">
        <f>IFERROR(IF(BD235=0,"",BE235/BD235-1),"")</f>
        <v/>
      </c>
      <c r="BF236" s="12" t="str">
        <f>IFERROR(IF(BE235=0,"",BF235/BE235-1),"")</f>
        <v/>
      </c>
      <c r="BG236" s="11" t="n"/>
      <c r="BH236" s="11" t="n"/>
      <c r="BI236" s="11" t="n"/>
      <c r="BJ236" s="11" t="n"/>
      <c r="BK236" s="12" t="n"/>
      <c r="BL236" s="11" t="n"/>
      <c r="BM236" s="11" t="n"/>
      <c r="BN236" s="11" t="n"/>
      <c r="BO236" s="11" t="n"/>
      <c r="BP236" s="12" t="n"/>
      <c r="BQ236" s="11" t="n"/>
      <c r="BR236" s="11" t="n"/>
      <c r="BS236" s="11" t="n"/>
      <c r="BT236" s="11" t="n"/>
      <c r="BU236" s="12" t="n"/>
      <c r="BV236" s="11" t="n"/>
      <c r="BW236" s="11" t="n"/>
      <c r="BX236" s="11" t="n"/>
      <c r="BY236" s="11" t="n"/>
      <c r="BZ236" s="12" t="n"/>
      <c r="CA236" s="11" t="n"/>
      <c r="CB236" s="11" t="n"/>
      <c r="CC236" s="11" t="n"/>
      <c r="CD236" s="11" t="n"/>
      <c r="CE236" s="12" t="n"/>
      <c r="CF236" s="11" t="n"/>
      <c r="CG236" s="11" t="n"/>
      <c r="CH236" s="11" t="n"/>
      <c r="CI236" s="11" t="n"/>
      <c r="CJ236" s="12" t="n"/>
      <c r="CK236" s="11" t="n"/>
      <c r="CL236" s="11" t="n"/>
      <c r="CM236" s="11" t="n"/>
      <c r="CN236" s="11" t="n"/>
      <c r="CO236" s="12" t="n"/>
      <c r="CP236" s="11" t="n"/>
      <c r="CQ236" s="11" t="n"/>
      <c r="CR236" s="11" t="n"/>
      <c r="CS236" s="11" t="n"/>
      <c r="CT236" s="12" t="n"/>
      <c r="CU236" s="11" t="n"/>
      <c r="CV236" s="11" t="n"/>
      <c r="CW236" s="11" t="n"/>
      <c r="CX236" s="11" t="n"/>
      <c r="CY236" s="12" t="n"/>
    </row>
    <row r="237" hidden="1" outlineLevel="1">
      <c r="C237" s="57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 collapsed="1">
      <c r="C238" s="14" t="inlineStr">
        <is>
          <t>Convertible debt</t>
        </is>
      </c>
      <c r="D238" s="46" t="n"/>
      <c r="E238" s="46" t="n"/>
      <c r="F238" s="46" t="n"/>
      <c r="G238" s="46" t="n"/>
      <c r="H238" s="12" t="n"/>
      <c r="I238" s="46">
        <f>'Inputs (2)'!D37</f>
        <v>0</v>
      </c>
      <c r="J238" s="46">
        <f>'Inputs (2)'!E37</f>
        <v>0</v>
      </c>
      <c r="K238" s="46">
        <f>'Inputs (2)'!F37</f>
        <v>0</v>
      </c>
      <c r="L238" s="46">
        <f>'Inputs (2)'!G37</f>
        <v>0</v>
      </c>
      <c r="M238" s="12">
        <f>'Inputs (2)'!H37</f>
        <v>0</v>
      </c>
      <c r="N238" s="46">
        <f>'Inputs (2)'!I37</f>
        <v>0</v>
      </c>
      <c r="O238" s="46">
        <f>'Inputs (2)'!J37</f>
        <v>0</v>
      </c>
      <c r="P238" s="46">
        <f>'Inputs (2)'!K37</f>
        <v>0</v>
      </c>
      <c r="Q238" s="46">
        <f>'Inputs (2)'!L37</f>
        <v>0</v>
      </c>
      <c r="R238" s="12">
        <f>'Inputs (2)'!M37</f>
        <v>0</v>
      </c>
      <c r="S238" s="46">
        <f>'Inputs (2)'!N37</f>
        <v>0</v>
      </c>
      <c r="T238" s="46">
        <f>'Inputs (2)'!O37</f>
        <v>0</v>
      </c>
      <c r="U238" s="46">
        <f>'Inputs (2)'!P37</f>
        <v>0</v>
      </c>
      <c r="V238" s="46">
        <f>'Inputs (2)'!Q37</f>
        <v>0</v>
      </c>
      <c r="W238" s="12">
        <f>'Inputs (2)'!R37</f>
        <v>0</v>
      </c>
      <c r="X238" s="46">
        <f>'Inputs (2)'!S37</f>
        <v>0</v>
      </c>
      <c r="Y238" s="46">
        <f>'Inputs (2)'!T37</f>
        <v>0</v>
      </c>
      <c r="Z238" s="46">
        <f>'Inputs (2)'!U37</f>
        <v>0</v>
      </c>
      <c r="AA238" s="46">
        <f>'Inputs (2)'!V37</f>
        <v>0</v>
      </c>
      <c r="AB238" s="12">
        <f>'Inputs (2)'!W37</f>
        <v>0</v>
      </c>
      <c r="AC238" s="46">
        <f>'Inputs (2)'!X37</f>
        <v>0</v>
      </c>
      <c r="AD238" s="46">
        <f>'Inputs (2)'!Y37</f>
        <v>0</v>
      </c>
      <c r="AE238" s="46">
        <f>'Inputs (2)'!Z37</f>
        <v>0</v>
      </c>
      <c r="AF238" s="46">
        <f>'Inputs (2)'!AA37</f>
        <v>0</v>
      </c>
      <c r="AG238" s="12">
        <f>'Inputs (2)'!AB37</f>
        <v>0</v>
      </c>
      <c r="AH238" s="12">
        <f>'Inputs (2)'!AC37</f>
        <v>0</v>
      </c>
      <c r="AI238" s="12">
        <f>'Inputs (2)'!AD37</f>
        <v>0</v>
      </c>
      <c r="AJ238" s="12">
        <f>AI238</f>
        <v>0</v>
      </c>
      <c r="AK238" s="12">
        <f>AJ238</f>
        <v>0</v>
      </c>
      <c r="AL238" s="12">
        <f>AK238</f>
        <v>0</v>
      </c>
      <c r="AM238" s="12">
        <f>AL238</f>
        <v>0</v>
      </c>
      <c r="AN238" s="12">
        <f>AM238</f>
        <v>0</v>
      </c>
      <c r="AO238" s="12">
        <f>AN238</f>
        <v>0</v>
      </c>
      <c r="AP238" s="12">
        <f>AO238</f>
        <v>0</v>
      </c>
      <c r="AQ238" s="12">
        <f>AP238</f>
        <v>0</v>
      </c>
      <c r="AR238" s="12">
        <f>AQ238</f>
        <v>0</v>
      </c>
      <c r="AS238" s="12">
        <f>AR238</f>
        <v>0</v>
      </c>
      <c r="AT238" s="12">
        <f>AS238</f>
        <v>0</v>
      </c>
      <c r="AU238" s="12">
        <f>AT238</f>
        <v>0</v>
      </c>
      <c r="AV238" s="12">
        <f>AU238</f>
        <v>0</v>
      </c>
      <c r="AW238" s="12">
        <f>AV238</f>
        <v>0</v>
      </c>
      <c r="AX238" s="12">
        <f>AW238</f>
        <v>0</v>
      </c>
      <c r="AY238" s="12">
        <f>AX238</f>
        <v>0</v>
      </c>
      <c r="AZ238" s="12">
        <f>AY238</f>
        <v>0</v>
      </c>
      <c r="BA238" s="12">
        <f>AZ238</f>
        <v>0</v>
      </c>
      <c r="BB238" s="12">
        <f>BA238</f>
        <v>0</v>
      </c>
      <c r="BC238" s="12">
        <f>BB238</f>
        <v>0</v>
      </c>
      <c r="BD238" s="12">
        <f>BC238</f>
        <v>0</v>
      </c>
      <c r="BE238" s="12">
        <f>BD238</f>
        <v>0</v>
      </c>
      <c r="BF238" s="12">
        <f>BE238</f>
        <v>0</v>
      </c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  <c r="CU238" s="12" t="n"/>
      <c r="CV238" s="12" t="n"/>
      <c r="CW238" s="12" t="n"/>
      <c r="CX238" s="12" t="n"/>
      <c r="CY238" s="12" t="n"/>
    </row>
    <row r="239">
      <c r="C239" s="14" t="inlineStr">
        <is>
          <t>Deferred income taxes</t>
        </is>
      </c>
      <c r="D239" s="46" t="n"/>
      <c r="E239" s="46" t="n"/>
      <c r="F239" s="46" t="n"/>
      <c r="G239" s="46" t="n"/>
      <c r="H239" s="12" t="n"/>
      <c r="I239" s="46">
        <f>'Inputs (2)'!D38</f>
        <v>3602</v>
      </c>
      <c r="J239" s="46">
        <f>'Inputs (2)'!E38</f>
        <v>3641</v>
      </c>
      <c r="K239" s="46">
        <f>'Inputs (2)'!F38</f>
        <v>3649</v>
      </c>
      <c r="L239" s="46">
        <f>'Inputs (2)'!G38</f>
        <v>3265</v>
      </c>
      <c r="M239" s="12">
        <f>'Inputs (2)'!H38</f>
        <v>3265</v>
      </c>
      <c r="N239" s="46">
        <f>'Inputs (2)'!I38</f>
        <v>2954</v>
      </c>
      <c r="O239" s="46">
        <f>'Inputs (2)'!J38</f>
        <v>2581</v>
      </c>
      <c r="P239" s="46">
        <f>'Inputs (2)'!K38</f>
        <v>1659</v>
      </c>
      <c r="Q239" s="46">
        <f>'Inputs (2)'!L38</f>
        <v>2769</v>
      </c>
      <c r="R239" s="12">
        <f>'Inputs (2)'!M38</f>
        <v>2769</v>
      </c>
      <c r="S239" s="46">
        <f>'Inputs (2)'!N38</f>
        <v>2834</v>
      </c>
      <c r="T239" s="46">
        <f>'Inputs (2)'!O38</f>
        <v>2498</v>
      </c>
      <c r="U239" s="46">
        <f>'Inputs (2)'!P38</f>
        <v>2210</v>
      </c>
      <c r="V239" s="46">
        <f>'Inputs (2)'!Q38</f>
        <v>3021</v>
      </c>
      <c r="W239" s="12">
        <f>'Inputs (2)'!R38</f>
        <v>3021</v>
      </c>
      <c r="X239" s="46">
        <f>'Inputs (2)'!S38</f>
        <v>4167</v>
      </c>
      <c r="Y239" s="46">
        <f>'Inputs (2)'!T38</f>
        <v>3631</v>
      </c>
      <c r="Z239" s="46">
        <f>'Inputs (2)'!U38</f>
        <v>4014</v>
      </c>
      <c r="AA239" s="46">
        <f>'Inputs (2)'!V38</f>
        <v>3620</v>
      </c>
      <c r="AB239" s="12">
        <f>'Inputs (2)'!W38</f>
        <v>3620</v>
      </c>
      <c r="AC239" s="46">
        <f>'Inputs (2)'!X38</f>
        <v>3902</v>
      </c>
      <c r="AD239" s="46">
        <f>'Inputs (2)'!Y38</f>
        <v>3804</v>
      </c>
      <c r="AE239" s="46">
        <f>'Inputs (2)'!Z38</f>
        <v>3162</v>
      </c>
      <c r="AF239" s="46">
        <f>'Inputs (2)'!AA38</f>
        <v>2421</v>
      </c>
      <c r="AG239" s="12">
        <f>'Inputs (2)'!AB38</f>
        <v>2421</v>
      </c>
      <c r="AH239" s="12">
        <f>'Inputs (2)'!AC38</f>
        <v>2864</v>
      </c>
      <c r="AI239" s="12">
        <f>'Inputs (2)'!AD38</f>
        <v>2722</v>
      </c>
      <c r="AJ239" s="12">
        <f>AI239</f>
        <v>2722</v>
      </c>
      <c r="AK239" s="12">
        <f>AJ239</f>
        <v>2722</v>
      </c>
      <c r="AL239" s="12">
        <f>AK239</f>
        <v>2722</v>
      </c>
      <c r="AM239" s="12">
        <f>AL239</f>
        <v>2722</v>
      </c>
      <c r="AN239" s="12">
        <f>AM239</f>
        <v>2722</v>
      </c>
      <c r="AO239" s="12">
        <f>AN239</f>
        <v>2722</v>
      </c>
      <c r="AP239" s="12">
        <f>AO239</f>
        <v>2722</v>
      </c>
      <c r="AQ239" s="12">
        <f>AP239</f>
        <v>2722</v>
      </c>
      <c r="AR239" s="12">
        <f>AQ239</f>
        <v>2722</v>
      </c>
      <c r="AS239" s="12">
        <f>AR239</f>
        <v>2722</v>
      </c>
      <c r="AT239" s="12">
        <f>AS239</f>
        <v>2722</v>
      </c>
      <c r="AU239" s="12">
        <f>AT239</f>
        <v>2722</v>
      </c>
      <c r="AV239" s="12">
        <f>AU239</f>
        <v>2722</v>
      </c>
      <c r="AW239" s="12">
        <f>AV239</f>
        <v>2722</v>
      </c>
      <c r="AX239" s="12">
        <f>AW239</f>
        <v>2722</v>
      </c>
      <c r="AY239" s="12">
        <f>AX239</f>
        <v>2722</v>
      </c>
      <c r="AZ239" s="12">
        <f>AY239</f>
        <v>2722</v>
      </c>
      <c r="BA239" s="12">
        <f>AZ239</f>
        <v>2722</v>
      </c>
      <c r="BB239" s="12">
        <f>BA239</f>
        <v>2722</v>
      </c>
      <c r="BC239" s="12">
        <f>BB239</f>
        <v>2722</v>
      </c>
      <c r="BD239" s="12">
        <f>BC239</f>
        <v>2722</v>
      </c>
      <c r="BE239" s="12">
        <f>BD239</f>
        <v>2722</v>
      </c>
      <c r="BF239" s="12">
        <f>BE239</f>
        <v>2722</v>
      </c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>
      <c r="C240" s="14" t="inlineStr">
        <is>
          <t>Other non-current liabilities</t>
        </is>
      </c>
      <c r="D240" s="46" t="n"/>
      <c r="E240" s="46" t="n"/>
      <c r="F240" s="46" t="n"/>
      <c r="G240" s="46" t="n"/>
      <c r="H240" s="12" t="n"/>
      <c r="I240" s="46">
        <f>'Inputs (2)'!D39</f>
        <v>12926</v>
      </c>
      <c r="J240" s="46">
        <f>'Inputs (2)'!E39</f>
        <v>12425</v>
      </c>
      <c r="K240" s="46">
        <f>'Inputs (2)'!F39</f>
        <v>11844</v>
      </c>
      <c r="L240" s="46">
        <f>'Inputs (2)'!G39</f>
        <v>11787</v>
      </c>
      <c r="M240" s="12">
        <f>'Inputs (2)'!H39</f>
        <v>11787</v>
      </c>
      <c r="N240" s="46">
        <f>'Inputs (2)'!I39</f>
        <v>11671</v>
      </c>
      <c r="O240" s="46">
        <f>'Inputs (2)'!J39</f>
        <v>11967</v>
      </c>
      <c r="P240" s="46">
        <f>'Inputs (2)'!K39</f>
        <v>12111</v>
      </c>
      <c r="Q240" s="46">
        <f>'Inputs (2)'!L39</f>
        <v>12839</v>
      </c>
      <c r="R240" s="12">
        <f>'Inputs (2)'!M39</f>
        <v>12839</v>
      </c>
      <c r="S240" s="46">
        <f>'Inputs (2)'!N39</f>
        <v>13084</v>
      </c>
      <c r="T240" s="46">
        <f>'Inputs (2)'!O39</f>
        <v>13261</v>
      </c>
      <c r="U240" s="46">
        <f>'Inputs (2)'!P39</f>
        <v>13615</v>
      </c>
      <c r="V240" s="46">
        <f>'Inputs (2)'!Q39</f>
        <v>14463</v>
      </c>
      <c r="W240" s="12">
        <f>'Inputs (2)'!R39</f>
        <v>14463</v>
      </c>
      <c r="X240" s="46">
        <f>'Inputs (2)'!S39</f>
        <v>14844</v>
      </c>
      <c r="Y240" s="46">
        <f>'Inputs (2)'!T39</f>
        <v>14794</v>
      </c>
      <c r="Z240" s="46">
        <f>'Inputs (2)'!U39</f>
        <v>15174</v>
      </c>
      <c r="AA240" s="46">
        <f>'Inputs (2)'!V39</f>
        <v>15939</v>
      </c>
      <c r="AB240" s="12">
        <f>'Inputs (2)'!W39</f>
        <v>15939</v>
      </c>
      <c r="AC240" s="46">
        <f>'Inputs (2)'!X39</f>
        <v>15963</v>
      </c>
      <c r="AD240" s="46">
        <f>'Inputs (2)'!Y39</f>
        <v>15709</v>
      </c>
      <c r="AE240" s="46">
        <f>'Inputs (2)'!Z39</f>
        <v>18369</v>
      </c>
      <c r="AF240" s="46">
        <f>'Inputs (2)'!AA39</f>
        <v>18245</v>
      </c>
      <c r="AG240" s="12">
        <f>'Inputs (2)'!AB39</f>
        <v>18245</v>
      </c>
      <c r="AH240" s="12">
        <f>'Inputs (2)'!AC39</f>
        <v>18897</v>
      </c>
      <c r="AI240" s="12">
        <f>'Inputs (2)'!AD39</f>
        <v>19735</v>
      </c>
      <c r="AJ240" s="12">
        <f>AI240</f>
        <v>19735</v>
      </c>
      <c r="AK240" s="12">
        <f>AJ240</f>
        <v>19735</v>
      </c>
      <c r="AL240" s="12">
        <f>AK240</f>
        <v>19735</v>
      </c>
      <c r="AM240" s="12">
        <f>AL240</f>
        <v>19735</v>
      </c>
      <c r="AN240" s="12">
        <f>AM240</f>
        <v>19735</v>
      </c>
      <c r="AO240" s="12">
        <f>AN240</f>
        <v>19735</v>
      </c>
      <c r="AP240" s="12">
        <f>AO240</f>
        <v>19735</v>
      </c>
      <c r="AQ240" s="12">
        <f>AP240</f>
        <v>19735</v>
      </c>
      <c r="AR240" s="12">
        <f>AQ240</f>
        <v>19735</v>
      </c>
      <c r="AS240" s="12">
        <f>AR240</f>
        <v>19735</v>
      </c>
      <c r="AT240" s="12">
        <f>AS240</f>
        <v>19735</v>
      </c>
      <c r="AU240" s="12">
        <f>AT240</f>
        <v>19735</v>
      </c>
      <c r="AV240" s="12">
        <f>AU240</f>
        <v>19735</v>
      </c>
      <c r="AW240" s="12">
        <f>AV240</f>
        <v>19735</v>
      </c>
      <c r="AX240" s="12">
        <f>AW240</f>
        <v>19735</v>
      </c>
      <c r="AY240" s="12">
        <f>AX240</f>
        <v>19735</v>
      </c>
      <c r="AZ240" s="12">
        <f>AY240</f>
        <v>19735</v>
      </c>
      <c r="BA240" s="12">
        <f>AZ240</f>
        <v>19735</v>
      </c>
      <c r="BB240" s="12">
        <f>BA240</f>
        <v>19735</v>
      </c>
      <c r="BC240" s="12">
        <f>BB240</f>
        <v>19735</v>
      </c>
      <c r="BD240" s="12">
        <f>BC240</f>
        <v>19735</v>
      </c>
      <c r="BE240" s="12">
        <f>BD240</f>
        <v>19735</v>
      </c>
      <c r="BF240" s="12">
        <f>BE240</f>
        <v>19735</v>
      </c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hidden="1" outlineLevel="1" ht="12" customHeight="1">
      <c r="C241" s="59" t="inlineStr">
        <is>
          <t>%(Var.)</t>
        </is>
      </c>
      <c r="D241" s="12" t="n"/>
      <c r="E241" s="40" t="n"/>
      <c r="F241" s="40" t="n"/>
      <c r="G241" s="40" t="n"/>
      <c r="H241" s="12" t="n"/>
      <c r="I241" s="40" t="str">
        <f>""</f>
        <v/>
      </c>
      <c r="J241" s="40">
        <f>IF(I240=0,"",J240/I240-1)</f>
        <v>-0.0387590902057868</v>
      </c>
      <c r="K241" s="40">
        <f>IF(J240=0,"",K240/J240-1)</f>
        <v>-0.0467605633802817</v>
      </c>
      <c r="L241" s="40">
        <f>IF(K240=0,"",L240/K240-1)</f>
        <v>-0.00481256332320157</v>
      </c>
      <c r="M241" s="12">
        <f>IF(L240=0,"",M240/L240-1)</f>
        <v>0</v>
      </c>
      <c r="N241" s="40">
        <f>IF(M240=0,"",N240/M240-1)</f>
        <v>-0.00984135064053615</v>
      </c>
      <c r="O241" s="40">
        <f>IF(N240=0,"",O240/N240-1)</f>
        <v>0.0253620083968811</v>
      </c>
      <c r="P241" s="40">
        <f>IF(O240=0,"",P240/O240-1)</f>
        <v>0.0120330910002506</v>
      </c>
      <c r="Q241" s="40">
        <f>IF(P240=0,"",Q240/P240-1)</f>
        <v>0.0601106432169103</v>
      </c>
      <c r="R241" s="12">
        <f>IF(Q240=0,"",R240/Q240-1)</f>
        <v>0</v>
      </c>
      <c r="S241" s="40">
        <f>IF(R240=0,"",S240/R240-1)</f>
        <v>0.0190824830594283</v>
      </c>
      <c r="T241" s="40">
        <f>IF(S240=0,"",T240/S240-1)</f>
        <v>0.0135279730969122</v>
      </c>
      <c r="U241" s="40">
        <f>IF(T240=0,"",U240/T240-1)</f>
        <v>0.026694819395219</v>
      </c>
      <c r="V241" s="40">
        <f>IF(U240=0,"",V240/U240-1)</f>
        <v>0.0622842453176644</v>
      </c>
      <c r="W241" s="12">
        <f>IF(V240=0,"",W240/V240-1)</f>
        <v>0</v>
      </c>
      <c r="X241" s="40">
        <f>IF(W240=0,"",X240/W240-1)</f>
        <v>0.0263430823480606</v>
      </c>
      <c r="Y241" s="40">
        <f>IF(X240=0,"",Y240/X240-1)</f>
        <v>-0.00336836432228504</v>
      </c>
      <c r="Z241" s="40">
        <f>IF(Y240=0,"",Z240/Y240-1)</f>
        <v>0.0256860889549817</v>
      </c>
      <c r="AA241" s="40">
        <f>IF(Z240=0,"",AA240/Z240-1)</f>
        <v>0.0504151838671412</v>
      </c>
      <c r="AB241" s="12">
        <f>IF(AA240=0,"",AB240/AA240-1)</f>
        <v>0</v>
      </c>
      <c r="AC241" s="40">
        <f>IF(AB240=0,"",AC240/AB240-1)</f>
        <v>0.00150574063617537</v>
      </c>
      <c r="AD241" s="40">
        <f>IF(AC240=0,"",AD240/AC240-1)</f>
        <v>-0.0159117960283155</v>
      </c>
      <c r="AE241" s="40">
        <f>IF(AD240=0,"",AE240/AD240-1)</f>
        <v>0.169329683620854</v>
      </c>
      <c r="AF241" s="41">
        <f>IF(AE240=0,"",AF240/AE240-1)</f>
        <v>-0.00675050356579021</v>
      </c>
      <c r="AG241" s="12">
        <f>IF(AF240=0,"",AG240/AF240-1)</f>
        <v>0</v>
      </c>
      <c r="AH241" s="41">
        <f>IF(AG240=0,"",AH240/AG240-1)</f>
        <v>0.0357358180323377</v>
      </c>
      <c r="AI241" s="41">
        <f>IF(AH240=0,"",AI240/AH240-1)</f>
        <v>0.0443456633328041</v>
      </c>
      <c r="AJ241" s="41">
        <f>IF(AI240=0,"",AJ240/AI240-1)</f>
        <v>0</v>
      </c>
      <c r="AK241" s="41">
        <f>IF(AJ240=0,"",AK240/AJ240-1)</f>
        <v>0</v>
      </c>
      <c r="AL241" s="12">
        <f>IF(AK240=0,"",AL240/AK240-1)</f>
        <v>0</v>
      </c>
      <c r="AM241" s="41">
        <f>IF(AL240=0,"",AM240/AL240-1)</f>
        <v>0</v>
      </c>
      <c r="AN241" s="41">
        <f>IF(AM240=0,"",AN240/AM240-1)</f>
        <v>0</v>
      </c>
      <c r="AO241" s="41">
        <f>IF(AN240=0,"",AO240/AN240-1)</f>
        <v>0</v>
      </c>
      <c r="AP241" s="41">
        <f>IF(AO240=0,"",AP240/AO240-1)</f>
        <v>0</v>
      </c>
      <c r="AQ241" s="12">
        <f>IF(AP240=0,"",AQ240/AP240-1)</f>
        <v>0</v>
      </c>
      <c r="AR241" s="41">
        <f>IF(AQ240=0,"",AR240/AQ240-1)</f>
        <v>0</v>
      </c>
      <c r="AS241" s="41">
        <f>IF(AR240=0,"",AS240/AR240-1)</f>
        <v>0</v>
      </c>
      <c r="AT241" s="41">
        <f>IF(AS240=0,"",AT240/AS240-1)</f>
        <v>0</v>
      </c>
      <c r="AU241" s="41">
        <f>IF(AT240=0,"",AU240/AT240-1)</f>
        <v>0</v>
      </c>
      <c r="AV241" s="12">
        <f>IF(AU240=0,"",AV240/AU240-1)</f>
        <v>0</v>
      </c>
      <c r="AW241" s="41">
        <f>IF(AV240=0,"",AW240/AV240-1)</f>
        <v>0</v>
      </c>
      <c r="AX241" s="41">
        <f>IF(AW240=0,"",AX240/AW240-1)</f>
        <v>0</v>
      </c>
      <c r="AY241" s="41">
        <f>IF(AX240=0,"",AY240/AX240-1)</f>
        <v>0</v>
      </c>
      <c r="AZ241" s="41">
        <f>IF(AY240=0,"",AZ240/AY240-1)</f>
        <v>0</v>
      </c>
      <c r="BA241" s="12">
        <f>IF(AZ240=0,"",BA240/AZ240-1)</f>
        <v>0</v>
      </c>
      <c r="BB241" s="41">
        <f>IF(BA240=0,"",BB240/BA240-1)</f>
        <v>0</v>
      </c>
      <c r="BC241" s="41">
        <f>IF(BB240=0,"",BC240/BB240-1)</f>
        <v>0</v>
      </c>
      <c r="BD241" s="41">
        <f>IF(BC240=0,"",BD240/BC240-1)</f>
        <v>0</v>
      </c>
      <c r="BE241" s="41">
        <f>IF(BD240=0,"",BE240/BD240-1)</f>
        <v>0</v>
      </c>
      <c r="BF241" s="12">
        <f>IF(BE240=0,"",BF240/BE240-1)</f>
        <v>0</v>
      </c>
      <c r="BG241" s="41" t="n"/>
      <c r="BH241" s="41" t="n"/>
      <c r="BI241" s="41" t="n"/>
      <c r="BJ241" s="41" t="n"/>
      <c r="BK241" s="12" t="n"/>
      <c r="BL241" s="41" t="n"/>
      <c r="BM241" s="41" t="n"/>
      <c r="BN241" s="41" t="n"/>
      <c r="BO241" s="41" t="n"/>
      <c r="BP241" s="12" t="n"/>
      <c r="BQ241" s="41" t="n"/>
      <c r="BR241" s="41" t="n"/>
      <c r="BS241" s="41" t="n"/>
      <c r="BT241" s="41" t="n"/>
      <c r="BU241" s="12" t="n"/>
      <c r="BV241" s="41" t="n"/>
      <c r="BW241" s="41" t="n"/>
      <c r="BX241" s="41" t="n"/>
      <c r="BY241" s="41" t="n"/>
      <c r="BZ241" s="12" t="n"/>
      <c r="CA241" s="41" t="n"/>
      <c r="CB241" s="41" t="n"/>
      <c r="CC241" s="41" t="n"/>
      <c r="CD241" s="41" t="n"/>
      <c r="CE241" s="12" t="n"/>
      <c r="CF241" s="41" t="n"/>
      <c r="CG241" s="41" t="n"/>
      <c r="CH241" s="41" t="n"/>
      <c r="CI241" s="41" t="n"/>
      <c r="CJ241" s="12" t="n"/>
      <c r="CK241" s="41" t="n"/>
      <c r="CL241" s="41" t="n"/>
      <c r="CM241" s="41" t="n"/>
      <c r="CN241" s="41" t="n"/>
      <c r="CO241" s="12" t="n"/>
      <c r="CP241" s="41" t="n"/>
      <c r="CQ241" s="41" t="n"/>
      <c r="CR241" s="41" t="n"/>
      <c r="CS241" s="41" t="n"/>
      <c r="CT241" s="12" t="n"/>
      <c r="CU241" s="41" t="n"/>
      <c r="CV241" s="41" t="n"/>
      <c r="CW241" s="41" t="n"/>
      <c r="CX241" s="41" t="n"/>
      <c r="CY241" s="12" t="n"/>
    </row>
    <row r="242" hidden="1" outlineLevel="1" ht="12" customHeight="1">
      <c r="C242" s="59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>
      <c r="C243" s="57" t="inlineStr">
        <is>
          <t>Contas a pagar pela aquisição de controladas</t>
        </is>
      </c>
      <c r="D243" s="11" t="n"/>
      <c r="E243" s="11" t="n"/>
      <c r="F243" s="11" t="n"/>
      <c r="G243" s="11" t="n"/>
      <c r="H243" s="12" t="n"/>
      <c r="I243" s="11" t="n"/>
      <c r="J243" s="11" t="n"/>
      <c r="K243" s="11" t="n"/>
      <c r="L243" s="11" t="n"/>
      <c r="M243" s="12" t="n"/>
      <c r="N243" s="11" t="n"/>
      <c r="O243" s="11" t="n"/>
      <c r="P243" s="11" t="n"/>
      <c r="Q243" s="11" t="n"/>
      <c r="R243" s="12" t="n"/>
      <c r="S243" s="11" t="n"/>
      <c r="T243" s="11" t="n"/>
      <c r="U243" s="11" t="n"/>
      <c r="V243" s="11" t="n"/>
      <c r="W243" s="12" t="n"/>
      <c r="X243" s="11" t="n"/>
      <c r="Y243" s="11" t="n"/>
      <c r="Z243" s="11" t="n"/>
      <c r="AA243" s="11" t="n"/>
      <c r="AB243" s="12" t="n"/>
      <c r="AC243" s="11" t="n"/>
      <c r="AD243" s="11" t="n"/>
      <c r="AE243" s="11" t="n"/>
      <c r="AF243" s="11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 hidden="1" outlineLevel="1">
      <c r="C244" s="57" t="inlineStr">
        <is>
          <t xml:space="preserve">Outras Obrigações </t>
        </is>
      </c>
      <c r="D244" s="11" t="n"/>
      <c r="E244" s="11" t="n"/>
      <c r="F244" s="11" t="n"/>
      <c r="G244" s="11" t="n"/>
      <c r="H244" s="12" t="n"/>
      <c r="I244" s="11" t="n"/>
      <c r="J244" s="11" t="n"/>
      <c r="K244" s="11" t="n"/>
      <c r="L244" s="11" t="n"/>
      <c r="M244" s="12" t="n"/>
      <c r="N244" s="11" t="n"/>
      <c r="O244" s="11" t="n"/>
      <c r="P244" s="11" t="n"/>
      <c r="Q244" s="11" t="n"/>
      <c r="R244" s="12" t="n"/>
      <c r="S244" s="11" t="n"/>
      <c r="T244" s="11" t="n"/>
      <c r="U244" s="11" t="n"/>
      <c r="V244" s="11" t="n"/>
      <c r="W244" s="12" t="n"/>
      <c r="X244" s="11" t="n"/>
      <c r="Y244" s="11" t="n"/>
      <c r="Z244" s="11" t="n"/>
      <c r="AA244" s="11" t="n"/>
      <c r="AB244" s="12" t="n"/>
      <c r="AC244" s="11" t="n"/>
      <c r="AD244" s="11" t="n"/>
      <c r="AE244" s="11" t="n"/>
      <c r="AF244" s="11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 hidden="1" outlineLevel="1">
      <c r="C245" s="57" t="inlineStr">
        <is>
          <t xml:space="preserve">Provisão de Risco Cíveis, Trabalhistas e Tributários </t>
        </is>
      </c>
      <c r="D245" s="11" t="n"/>
      <c r="E245" s="11" t="n"/>
      <c r="F245" s="11" t="n"/>
      <c r="G245" s="11" t="n"/>
      <c r="H245" s="12" t="n"/>
      <c r="I245" s="11" t="n"/>
      <c r="J245" s="11" t="n"/>
      <c r="K245" s="11" t="n"/>
      <c r="L245" s="11" t="n"/>
      <c r="M245" s="12" t="n"/>
      <c r="N245" s="11" t="n"/>
      <c r="O245" s="11" t="n"/>
      <c r="P245" s="11" t="n"/>
      <c r="Q245" s="11" t="n"/>
      <c r="R245" s="12" t="n"/>
      <c r="S245" s="11" t="n"/>
      <c r="T245" s="11" t="n"/>
      <c r="U245" s="11" t="n"/>
      <c r="V245" s="11" t="n"/>
      <c r="W245" s="12" t="n"/>
      <c r="X245" s="11" t="n"/>
      <c r="Y245" s="11" t="n"/>
      <c r="Z245" s="11" t="n"/>
      <c r="AA245" s="11" t="n"/>
      <c r="AB245" s="12" t="n"/>
      <c r="AC245" s="11" t="n"/>
      <c r="AD245" s="11" t="n"/>
      <c r="AE245" s="11" t="n"/>
      <c r="AF245" s="11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  <c r="CN245" s="12" t="n"/>
      <c r="CO245" s="12" t="n"/>
      <c r="CP245" s="12" t="n"/>
      <c r="CQ245" s="12" t="n"/>
      <c r="CR245" s="12" t="n"/>
      <c r="CS245" s="12" t="n"/>
      <c r="CT245" s="12" t="n"/>
      <c r="CU245" s="12" t="n"/>
      <c r="CV245" s="12" t="n"/>
      <c r="CW245" s="12" t="n"/>
      <c r="CX245" s="12" t="n"/>
      <c r="CY245" s="12" t="n"/>
    </row>
    <row r="246" hidden="1" outlineLevel="1">
      <c r="C246" s="57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collapsed="1" customFormat="1" s="32">
      <c r="A247" s="30" t="n"/>
      <c r="B247" s="30" t="n"/>
      <c r="C247" s="65" t="inlineStr">
        <is>
          <t>Total Liabilities</t>
        </is>
      </c>
      <c r="D247" s="35" t="n"/>
      <c r="E247" s="35" t="n"/>
      <c r="F247" s="35" t="n"/>
      <c r="G247" s="35" t="n"/>
      <c r="H247" s="35" t="n"/>
      <c r="I247" s="35">
        <f>SUM(I198+I202+I204+I205+I212+I213+I214+I217+I235+I238+I239+I240)</f>
        <v>134589</v>
      </c>
      <c r="J247" s="35">
        <f>SUM(J198+J202+J204+J205+J212+J213+J214+J217+J235+J238+J239+J240)</f>
        <v>136971</v>
      </c>
      <c r="K247" s="35">
        <f>SUM(K198+K202+K204+K205+K212+K213+K214+K217+K235+K238+K239+K240)</f>
        <v>138413</v>
      </c>
      <c r="L247" s="35">
        <f>SUM(L198+L202+L204+L205+L212+L213+L214+L217+L235+L238+L239+L240)</f>
        <v>135727</v>
      </c>
      <c r="M247" s="35">
        <f>SUM(M198,M202,M204,M205,M212,M213,M217,M214,M235,M238,M239,M240)</f>
        <v>135727</v>
      </c>
      <c r="N247" s="35">
        <f>SUM(N198+N202+N204+N205+N212+N213+N214+N217+N235+N238+N239+N240)</f>
        <v>143591</v>
      </c>
      <c r="O247" s="35">
        <f>SUM(O198+O202+O204+O205+O212+O213+O214+O217+O235+O238+O239+O240)</f>
        <v>149045</v>
      </c>
      <c r="P247" s="35">
        <f>SUM(P198+P202+P204+P205+P212+P213+P214+P217+P235+P238+P239+P240)</f>
        <v>160143</v>
      </c>
      <c r="Q247" s="35">
        <f>SUM(Q198+Q202+Q204+Q205+Q212+Q213+Q214+Q217+Q235+Q238+Q239+Q240)</f>
        <v>159358</v>
      </c>
      <c r="R247" s="35">
        <f>SUM(R198,R202,R204,R205,R212,R213,R217,R214,R235,R238,R239,R240)</f>
        <v>159358</v>
      </c>
      <c r="S247" s="35">
        <f>SUM(S198+S202+S204+S205+S212+S213+S214+S217+S235+S238+S239+S240)</f>
        <v>193057</v>
      </c>
      <c r="T247" s="35">
        <f>SUM(T198+T202+T204+T205+T212+T213+T214+T217+T235+T238+T239+T240)</f>
        <v>188008</v>
      </c>
      <c r="U247" s="35">
        <f>SUM(U198+U202+U204+U205+U212+U213+U214+U217+U235+U238+U239+U240)</f>
        <v>188083</v>
      </c>
      <c r="V247" s="35">
        <f>SUM(V198+V202+V204+V205+V212+V213+V214+V217+V235+V238+V239+V240)</f>
        <v>174801</v>
      </c>
      <c r="W247" s="35">
        <f>SUM(W198,W202,W204,W205,W212,W213,W217,W214,W235,W238,W239,W240)</f>
        <v>174801</v>
      </c>
      <c r="X247" s="35">
        <f>SUM(X198+X202+X204+X205+X212+X213+X214+X217+X235+X238+X239+X240)</f>
        <v>187292</v>
      </c>
      <c r="Y247" s="35">
        <f>SUM(Y198+Y202+Y204+Y205+Y212+Y213+Y214+Y217+Y235+Y238+Y239+Y240)</f>
        <v>186822</v>
      </c>
      <c r="Z247" s="35">
        <f>SUM(Z198+Z202+Z204+Z205+Z212+Z213+Z214+Z217+Z235+Z238+Z239+Z240)</f>
        <v>194854</v>
      </c>
      <c r="AA247" s="35">
        <f>SUM(AA198+AA202+AA204+AA205+AA212+AA213+AA214+AA217+AA235+AA238+AA239+AA240)</f>
        <v>195687</v>
      </c>
      <c r="AB247" s="35">
        <f>SUM(AB198,AB202,AB204,AB205,AB212,AB213,AB217,AB214,AB235,AB238,AB239,AB240)</f>
        <v>195687</v>
      </c>
      <c r="AC247" s="35">
        <f>SUM(AC198+AC202+AC204+AC205+AC212+AC213+AC214+AC217+AC235+AC238+AC239+AC240)</f>
        <v>204621</v>
      </c>
      <c r="AD247" s="35">
        <f>SUM(AD198+AD202+AD204+AD205+AD212+AD213+AD214+AD217+AD235+AD238+AD239+AD240)</f>
        <v>203789</v>
      </c>
      <c r="AE247" s="35">
        <f>SUM(AE198+AE202+AE204+AE205+AE212+AE213+AE214+AE217+AE235+AE238+AE239+AE240)</f>
        <v>209456</v>
      </c>
      <c r="AF247" s="35">
        <f>SUM(AF198+AF202+AF204+AF205+AF212+AF213+AF214+AF217+AF235+AF238+AF239+AF240)</f>
        <v>207883</v>
      </c>
      <c r="AG247" s="35">
        <f>SUM(AG198,AG202,AG204,AG205,AG212,AG213,AG217,AG214,AG235,AG238,AG239,AG240)</f>
        <v>207883</v>
      </c>
      <c r="AH247" s="35">
        <f>SUM(AH198+AH202+AH204+AH205+AH212+AH213+AH214+AH217+AH235+AH238+AH239+AH240)</f>
        <v>207325</v>
      </c>
      <c r="AI247" s="35">
        <f>SUM(AI198+AI202+AI204+AI205+AI212+AI213+AI214+AI217+AI235+AI238+AI239+AI240)</f>
        <v>203778</v>
      </c>
      <c r="AJ247" s="35">
        <f>SUM(AJ198+AJ202+AJ204+AJ205+AJ212+AJ213+AJ214+AJ217+AJ235+AJ238+AJ239+AJ240)</f>
        <v>203804.692677523</v>
      </c>
      <c r="AK247" s="35">
        <f>SUM(AK198+AK202+AK204+AK205+AK212+AK213+AK214+AK217+AK235+AK238+AK239+AK240)</f>
        <v>203823.669669637</v>
      </c>
      <c r="AL247" s="35">
        <f>SUM(AL198,AL202,AL204,AL205,AL212,AL213,AL217,AL214,AL235,AL238,AL239,AL240)</f>
        <v>203823.669669637</v>
      </c>
      <c r="AM247" s="35">
        <f>SUM(AM198+AM202+AM204+AM205+AM212+AM213+AM214+AM217+AM235+AM238+AM239+AM240)</f>
        <v>204171.120433478</v>
      </c>
      <c r="AN247" s="35">
        <f>SUM(AN198+AN202+AN204+AN205+AN212+AN213+AN214+AN217+AN235+AN238+AN239+AN240)</f>
        <v>203840.58058711</v>
      </c>
      <c r="AO247" s="35">
        <f>SUM(AO198+AO202+AO204+AO205+AO212+AO213+AO214+AO217+AO235+AO238+AO239+AO240)</f>
        <v>207091.378080152</v>
      </c>
      <c r="AP247" s="35">
        <f>SUM(AP198+AP202+AP204+AP205+AP212+AP213+AP214+AP217+AP235+AP238+AP239+AP240)</f>
        <v>207111.923466074</v>
      </c>
      <c r="AQ247" s="35">
        <f>SUM(AQ198,AQ202,AQ204,AQ205,AQ212,AQ213,AQ217,AQ214,AQ235,AQ238,AQ239,AQ240)</f>
        <v>207111.923466074</v>
      </c>
      <c r="AR247" s="35">
        <f>SUM(AR198+AR202+AR204+AR205+AR212+AR213+AR214+AR217+AR235+AR238+AR239+AR240)</f>
        <v>206812.140099452</v>
      </c>
      <c r="AS247" s="35">
        <f>SUM(AS198+AS202+AS204+AS205+AS212+AS213+AS214+AS217+AS235+AS238+AS239+AS240)</f>
        <v>206931.214119295</v>
      </c>
      <c r="AT247" s="35">
        <f>SUM(AT198+AT202+AT204+AT205+AT212+AT213+AT214+AT217+AT235+AT238+AT239+AT240)</f>
        <v>210434.426686311</v>
      </c>
      <c r="AU247" s="35">
        <f>SUM(AU198+AU202+AU204+AU205+AU212+AU213+AU214+AU217+AU235+AU238+AU239+AU240)</f>
        <v>210456.567362349</v>
      </c>
      <c r="AV247" s="35">
        <f>SUM(AV198,AV202,AV204,AV205,AV212,AV213,AV217,AV214,AV235,AV238,AV239,AV240)</f>
        <v>210456.567362349</v>
      </c>
      <c r="AW247" s="35">
        <f>SUM(AW198+AW202+AW204+AW205+AW212+AW213+AW214+AW217+AW235+AW238+AW239+AW240)</f>
        <v>210429.437990058</v>
      </c>
      <c r="AX247" s="35">
        <f>SUM(AX198+AX202+AX204+AX205+AX212+AX213+AX214+AX217+AX235+AX238+AX239+AX240)</f>
        <v>210047.355384031</v>
      </c>
      <c r="AY247" s="35">
        <f>SUM(AY198+AY202+AY204+AY205+AY212+AY213+AY214+AY217+AY235+AY238+AY239+AY240)</f>
        <v>213805.066266574</v>
      </c>
      <c r="AZ247" s="35">
        <f>SUM(AZ198+AZ202+AZ204+AZ205+AZ212+AZ213+AZ214+AZ217+AZ235+AZ238+AZ239+AZ240)</f>
        <v>213828.815399035</v>
      </c>
      <c r="BA247" s="35">
        <f>SUM(BA198,BA202,BA204,BA205,BA212,BA213,BA217,BA214,BA235,BA238,BA239,BA240)</f>
        <v>213828.815399035</v>
      </c>
      <c r="BB247" s="35">
        <f>SUM(BB198+BB202+BB204+BB205+BB212+BB213+BB214+BB217+BB235+BB238+BB239+BB240)</f>
        <v>213567.752965938</v>
      </c>
      <c r="BC247" s="35">
        <f>SUM(BC198+BC202+BC204+BC205+BC212+BC213+BC214+BC217+BC235+BC238+BC239+BC240)</f>
        <v>213159.823570726</v>
      </c>
      <c r="BD247" s="35">
        <f>SUM(BD198+BD202+BD204+BD205+BD212+BD213+BD214+BD217+BD235+BD238+BD239+BD240)</f>
        <v>217171.732784908</v>
      </c>
      <c r="BE247" s="35">
        <f>SUM(BE198+BE202+BE204+BE205+BE212+BE213+BE214+BE217+BE235+BE238+BE239+BE240)</f>
        <v>217197.088477862</v>
      </c>
      <c r="BF247" s="35">
        <f>SUM(BF198,BF202,BF204,BF205,BF212,BF213,BF217,BF214,BF235,BF238,BF239,BF240)</f>
        <v>217197.088477862</v>
      </c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  <c r="CX247" s="35" t="n"/>
      <c r="CY247" s="35" t="n"/>
    </row>
    <row r="248">
      <c r="C248" s="14" t="inlineStr">
        <is>
          <t>Minority interest</t>
        </is>
      </c>
      <c r="D248" s="46" t="n"/>
      <c r="E248" s="46" t="n"/>
      <c r="F248" s="46" t="n"/>
      <c r="G248" s="46" t="n"/>
      <c r="H248" s="12" t="n"/>
      <c r="I248" s="46">
        <f>'Inputs (2)'!D41</f>
        <v>4178</v>
      </c>
      <c r="J248" s="46">
        <f>'Inputs (2)'!E41</f>
        <v>4307</v>
      </c>
      <c r="K248" s="46">
        <f>'Inputs (2)'!F41</f>
        <v>4354</v>
      </c>
      <c r="L248" s="46">
        <f>'Inputs (2)'!G41</f>
        <v>4719</v>
      </c>
      <c r="M248" s="12">
        <f>'Inputs (2)'!H41</f>
        <v>4719</v>
      </c>
      <c r="N248" s="46">
        <f>'Inputs (2)'!I41</f>
        <v>4881</v>
      </c>
      <c r="O248" s="46">
        <f>'Inputs (2)'!J41</f>
        <v>8307</v>
      </c>
      <c r="P248" s="46">
        <f>'Inputs (2)'!K41</f>
        <v>8275</v>
      </c>
      <c r="Q248" s="46">
        <f>'Inputs (2)'!L41</f>
        <v>8575</v>
      </c>
      <c r="R248" s="12">
        <f>'Inputs (2)'!M41</f>
        <v>8575</v>
      </c>
      <c r="S248" s="46">
        <f>'Inputs (2)'!N41</f>
        <v>9310</v>
      </c>
      <c r="T248" s="46">
        <f>'Inputs (2)'!O41</f>
        <v>9803</v>
      </c>
      <c r="U248" s="46">
        <f>'Inputs (2)'!P41</f>
        <v>9486</v>
      </c>
      <c r="V248" s="46">
        <f>'Inputs (2)'!Q41</f>
        <v>10163</v>
      </c>
      <c r="W248" s="12">
        <f>'Inputs (2)'!R41</f>
        <v>10163</v>
      </c>
      <c r="X248" s="46">
        <f>'Inputs (2)'!S41</f>
        <v>10230</v>
      </c>
      <c r="Y248" s="46">
        <f>'Inputs (2)'!T41</f>
        <v>9875</v>
      </c>
      <c r="Z248" s="46">
        <f>'Inputs (2)'!U41</f>
        <v>9920</v>
      </c>
      <c r="AA248" s="46">
        <f>'Inputs (2)'!V41</f>
        <v>9933</v>
      </c>
      <c r="AB248" s="12">
        <f>'Inputs (2)'!W41</f>
        <v>9933</v>
      </c>
      <c r="AC248" s="46">
        <f>'Inputs (2)'!X41</f>
        <v>10131</v>
      </c>
      <c r="AD248" s="46">
        <f>'Inputs (2)'!Y41</f>
        <v>10060</v>
      </c>
      <c r="AE248" s="46">
        <f>'Inputs (2)'!Z41</f>
        <v>10026</v>
      </c>
      <c r="AF248" s="46">
        <f>'Inputs (2)'!AA41</f>
        <v>7588</v>
      </c>
      <c r="AG248" s="12">
        <f>'Inputs (2)'!AB41</f>
        <v>7588</v>
      </c>
      <c r="AH248" s="12">
        <f>'Inputs (2)'!AC41</f>
        <v>7438</v>
      </c>
      <c r="AI248" s="12">
        <f>'Inputs (2)'!AD41</f>
        <v>7502</v>
      </c>
      <c r="AJ248" s="12">
        <f>AI248</f>
        <v>7502</v>
      </c>
      <c r="AK248" s="12">
        <f>AJ248</f>
        <v>7502</v>
      </c>
      <c r="AL248" s="12">
        <f>AK248</f>
        <v>7502</v>
      </c>
      <c r="AM248" s="12">
        <f>AL248</f>
        <v>7502</v>
      </c>
      <c r="AN248" s="12">
        <f>AM248</f>
        <v>7502</v>
      </c>
      <c r="AO248" s="12">
        <f>AN248</f>
        <v>7502</v>
      </c>
      <c r="AP248" s="12">
        <f>AO248</f>
        <v>7502</v>
      </c>
      <c r="AQ248" s="12">
        <f>AP248</f>
        <v>7502</v>
      </c>
      <c r="AR248" s="12">
        <f>AQ248</f>
        <v>7502</v>
      </c>
      <c r="AS248" s="12">
        <f>AR248</f>
        <v>7502</v>
      </c>
      <c r="AT248" s="12">
        <f>AS248</f>
        <v>7502</v>
      </c>
      <c r="AU248" s="12">
        <f>AT248</f>
        <v>7502</v>
      </c>
      <c r="AV248" s="12">
        <f>AU248</f>
        <v>7502</v>
      </c>
      <c r="AW248" s="12">
        <f>AV248</f>
        <v>7502</v>
      </c>
      <c r="AX248" s="12">
        <f>AW248</f>
        <v>7502</v>
      </c>
      <c r="AY248" s="12">
        <f>AX248</f>
        <v>7502</v>
      </c>
      <c r="AZ248" s="12">
        <f>AY248</f>
        <v>7502</v>
      </c>
      <c r="BA248" s="12">
        <f>AZ248</f>
        <v>7502</v>
      </c>
      <c r="BB248" s="12">
        <f>BA248</f>
        <v>7502</v>
      </c>
      <c r="BC248" s="12">
        <f>BB248</f>
        <v>7502</v>
      </c>
      <c r="BD248" s="12">
        <f>BC248</f>
        <v>7502</v>
      </c>
      <c r="BE248" s="12">
        <f>BD248</f>
        <v>7502</v>
      </c>
      <c r="BF248" s="12">
        <f>BE248</f>
        <v>7502</v>
      </c>
      <c r="BG248" s="12" t="n"/>
      <c r="BH248" s="12" t="n"/>
      <c r="BI248" s="12" t="n"/>
      <c r="BJ248" s="12" t="n"/>
      <c r="BK248" s="12" t="n"/>
      <c r="BL248" s="12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  <c r="CN248" s="12" t="n"/>
      <c r="CO248" s="12" t="n"/>
      <c r="CP248" s="12" t="n"/>
      <c r="CQ248" s="12" t="n"/>
      <c r="CR248" s="12" t="n"/>
      <c r="CS248" s="12" t="n"/>
      <c r="CT248" s="12" t="n"/>
      <c r="CU248" s="12" t="n"/>
      <c r="CV248" s="12" t="n"/>
      <c r="CW248" s="12" t="n"/>
      <c r="CX248" s="12" t="n"/>
      <c r="CY248" s="12" t="n"/>
    </row>
    <row r="249" hidden="1" outlineLevel="1" customFormat="1" s="66">
      <c r="A249" s="37" t="n"/>
      <c r="B249" s="37" t="n"/>
      <c r="C249" s="59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  <c r="CY249" s="42" t="n"/>
    </row>
    <row r="250" hidden="1" outlineLevel="1" customFormat="1" s="66">
      <c r="A250" s="37" t="n"/>
      <c r="B250" s="37" t="n"/>
      <c r="C250" s="57" t="inlineStr">
        <is>
          <t>Minority Interest Expense - % YoY</t>
        </is>
      </c>
      <c r="D250" s="42" t="n"/>
      <c r="E250" s="58" t="n"/>
      <c r="F250" s="42" t="n"/>
      <c r="G250" s="42" t="n"/>
      <c r="H250" s="58" t="n"/>
      <c r="I250" s="42" t="n"/>
      <c r="J250" s="58">
        <f>IF(I135=0,0,J135/I135-1)</f>
        <v>0</v>
      </c>
      <c r="K250" s="42" t="n"/>
      <c r="L250" s="42" t="n"/>
      <c r="M250" s="58" t="n"/>
      <c r="N250" s="58">
        <f>IF(I135=0,0,N135/I135-1)</f>
        <v>0</v>
      </c>
      <c r="O250" s="58">
        <f>IF(J135=0,0,O135/J135-1)</f>
        <v>0</v>
      </c>
      <c r="P250" s="58">
        <f>IF(K135=0,0,P135/K135-1)</f>
        <v>0</v>
      </c>
      <c r="Q250" s="58">
        <f>IF(L135=0,0,Q135/L135-1)</f>
        <v>0</v>
      </c>
      <c r="R250" s="58" t="n"/>
      <c r="S250" s="58">
        <f>IF(N135=0,0,S135/N135-1)</f>
        <v>0</v>
      </c>
      <c r="T250" s="58">
        <f>IF(O135=0,0,T135/O135-1)</f>
        <v>0</v>
      </c>
      <c r="U250" s="58">
        <f>IF(P135=0,0,U135/P135-1)</f>
        <v>0</v>
      </c>
      <c r="V250" s="58">
        <f>IF(Q135=0,0,V135/Q135-1)</f>
        <v>0</v>
      </c>
      <c r="W250" s="58">
        <f>IF(R136=0,0,W136/R136-1)</f>
        <v>0.470134874759152</v>
      </c>
      <c r="X250" s="58">
        <f>IF(S135=0,0,X135/S135-1)</f>
        <v>0</v>
      </c>
      <c r="Y250" s="58">
        <f>IF(T135=0,0,Y135/T135-1)</f>
        <v>0</v>
      </c>
      <c r="Z250" s="58">
        <f>IF(U135=0,0,Z135/U135-1)</f>
        <v>0</v>
      </c>
      <c r="AA250" s="58">
        <f>IF(V135=0,0,AA135/V135-1)</f>
        <v>0</v>
      </c>
      <c r="AB250" s="58">
        <f>IF(W136=0,0,AB136/W136-1)</f>
        <v>0.0969855832241153</v>
      </c>
      <c r="AC250" s="58">
        <f>IF(X135=0,0,AC135/X135-1)</f>
        <v>0</v>
      </c>
      <c r="AD250" s="58">
        <f>IF(Y135=0,0,AD135/Y135-1)</f>
        <v>0</v>
      </c>
      <c r="AE250" s="58">
        <f>IF(Z135=0,0,AE135/Z135-1)</f>
        <v>0</v>
      </c>
      <c r="AF250" s="58">
        <f>IF(AA135=0,0,AF135/AA135-1)</f>
        <v>0</v>
      </c>
      <c r="AG250" s="58">
        <f>IF(AB136=0,0,AG136/AB136-1)</f>
        <v>-0.102747909199522</v>
      </c>
      <c r="AH250" s="62">
        <f>IF(AC135=0,0,AH135/AC135-1)</f>
        <v>0</v>
      </c>
      <c r="AI250" s="62">
        <f>IF(AD135=0,0,AI135/AD135-1)</f>
        <v>0</v>
      </c>
      <c r="AJ250" s="62" t="n"/>
      <c r="AK250" s="62" t="n"/>
      <c r="AL250" s="58">
        <f>IF(AG136=0,0,AL136/AG136-1)</f>
        <v>-0.484687083888149</v>
      </c>
      <c r="AM250" s="62" t="n"/>
      <c r="AN250" s="62" t="n"/>
      <c r="AO250" s="62" t="n"/>
      <c r="AP250" s="62" t="n"/>
      <c r="AQ250" s="58">
        <f>IF(AL136=0,0,AQ136/AL136-1)</f>
        <v>-1</v>
      </c>
      <c r="AR250" s="62" t="n"/>
      <c r="AS250" s="62" t="n"/>
      <c r="AT250" s="62" t="n"/>
      <c r="AU250" s="62" t="n"/>
      <c r="AV250" s="58">
        <f>IF(AQ136=0,0,AV136/AQ136-1)</f>
        <v>0</v>
      </c>
      <c r="AW250" s="62" t="n"/>
      <c r="AX250" s="62" t="n"/>
      <c r="AY250" s="62" t="n"/>
      <c r="AZ250" s="62" t="n"/>
      <c r="BA250" s="58">
        <f>IF(AV136=0,0,BA136/AV136-1)</f>
        <v>0</v>
      </c>
      <c r="BB250" s="62" t="n"/>
      <c r="BC250" s="62" t="n"/>
      <c r="BD250" s="62" t="n"/>
      <c r="BE250" s="62" t="n"/>
      <c r="BF250" s="58">
        <f>IF(BA136=0,0,BF136/BA136-1)</f>
        <v>0</v>
      </c>
      <c r="BG250" s="62" t="n"/>
      <c r="BH250" s="62" t="n"/>
      <c r="BI250" s="62" t="n"/>
      <c r="BJ250" s="62" t="n"/>
      <c r="BK250" s="58" t="n"/>
      <c r="BL250" s="62" t="n"/>
      <c r="BM250" s="62" t="n"/>
      <c r="BN250" s="62" t="n"/>
      <c r="BO250" s="62" t="n"/>
      <c r="BP250" s="58" t="n"/>
      <c r="BQ250" s="62" t="n"/>
      <c r="BR250" s="62" t="n"/>
      <c r="BS250" s="62" t="n"/>
      <c r="BT250" s="62" t="n"/>
      <c r="BU250" s="58" t="n"/>
      <c r="BV250" s="62" t="n"/>
      <c r="BW250" s="62" t="n"/>
      <c r="BX250" s="62" t="n"/>
      <c r="BY250" s="62" t="n"/>
      <c r="BZ250" s="58" t="n"/>
      <c r="CA250" s="62" t="n"/>
      <c r="CB250" s="62" t="n"/>
      <c r="CC250" s="62" t="n"/>
      <c r="CD250" s="62" t="n"/>
      <c r="CE250" s="58" t="n"/>
      <c r="CF250" s="62" t="n"/>
      <c r="CG250" s="62" t="n"/>
      <c r="CH250" s="62" t="n"/>
      <c r="CI250" s="62" t="n"/>
      <c r="CJ250" s="58" t="n"/>
      <c r="CK250" s="62" t="n"/>
      <c r="CL250" s="62" t="n"/>
      <c r="CM250" s="62" t="n"/>
      <c r="CN250" s="62" t="n"/>
      <c r="CO250" s="58" t="n"/>
      <c r="CP250" s="62" t="n"/>
      <c r="CQ250" s="62" t="n"/>
      <c r="CR250" s="62" t="n"/>
      <c r="CS250" s="62" t="n"/>
      <c r="CT250" s="58" t="n"/>
      <c r="CU250" s="62" t="n"/>
      <c r="CV250" s="62" t="n"/>
      <c r="CW250" s="62" t="n"/>
      <c r="CX250" s="62" t="n"/>
      <c r="CY250" s="58" t="n"/>
    </row>
    <row r="251" hidden="1" outlineLevel="1" customFormat="1" s="66">
      <c r="A251" s="37" t="n"/>
      <c r="B251" s="37" t="n"/>
      <c r="C251" s="57" t="inlineStr">
        <is>
          <t>Dividends (enter as -)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62" t="n"/>
      <c r="AI251" s="62" t="n"/>
      <c r="AJ251" s="62" t="n"/>
      <c r="AK251" s="62" t="n"/>
      <c r="AL251" s="42" t="n"/>
      <c r="AM251" s="62" t="n"/>
      <c r="AN251" s="62" t="n"/>
      <c r="AO251" s="62" t="n"/>
      <c r="AP251" s="62" t="n"/>
      <c r="AQ251" s="42" t="n"/>
      <c r="AR251" s="62" t="n"/>
      <c r="AS251" s="62" t="n"/>
      <c r="AT251" s="62" t="n"/>
      <c r="AU251" s="62" t="n"/>
      <c r="AV251" s="42" t="n"/>
      <c r="AW251" s="62" t="n"/>
      <c r="AX251" s="62" t="n"/>
      <c r="AY251" s="62" t="n"/>
      <c r="AZ251" s="62" t="n"/>
      <c r="BA251" s="42" t="n"/>
      <c r="BB251" s="62" t="n"/>
      <c r="BC251" s="62" t="n"/>
      <c r="BD251" s="62" t="n"/>
      <c r="BE251" s="62" t="n"/>
      <c r="BF251" s="42" t="n"/>
      <c r="BG251" s="62" t="n"/>
      <c r="BH251" s="62" t="n"/>
      <c r="BI251" s="62" t="n"/>
      <c r="BJ251" s="62" t="n"/>
      <c r="BK251" s="42" t="n"/>
      <c r="BL251" s="62" t="n"/>
      <c r="BM251" s="62" t="n"/>
      <c r="BN251" s="62" t="n"/>
      <c r="BO251" s="62" t="n"/>
      <c r="BP251" s="42" t="n"/>
      <c r="BQ251" s="62" t="n"/>
      <c r="BR251" s="62" t="n"/>
      <c r="BS251" s="62" t="n"/>
      <c r="BT251" s="62" t="n"/>
      <c r="BU251" s="42" t="n"/>
      <c r="BV251" s="62" t="n"/>
      <c r="BW251" s="62" t="n"/>
      <c r="BX251" s="62" t="n"/>
      <c r="BY251" s="62" t="n"/>
      <c r="BZ251" s="42" t="n"/>
      <c r="CA251" s="62" t="n"/>
      <c r="CB251" s="62" t="n"/>
      <c r="CC251" s="62" t="n"/>
      <c r="CD251" s="62" t="n"/>
      <c r="CE251" s="42" t="n"/>
      <c r="CF251" s="62" t="n"/>
      <c r="CG251" s="62" t="n"/>
      <c r="CH251" s="62" t="n"/>
      <c r="CI251" s="62" t="n"/>
      <c r="CJ251" s="42" t="n"/>
      <c r="CK251" s="62" t="n"/>
      <c r="CL251" s="62" t="n"/>
      <c r="CM251" s="62" t="n"/>
      <c r="CN251" s="62" t="n"/>
      <c r="CO251" s="42" t="n"/>
      <c r="CP251" s="62" t="n"/>
      <c r="CQ251" s="62" t="n"/>
      <c r="CR251" s="62" t="n"/>
      <c r="CS251" s="62" t="n"/>
      <c r="CT251" s="42" t="n"/>
      <c r="CU251" s="62" t="n"/>
      <c r="CV251" s="62" t="n"/>
      <c r="CW251" s="62" t="n"/>
      <c r="CX251" s="62" t="n"/>
      <c r="CY251" s="42" t="n"/>
    </row>
    <row r="252" hidden="1" outlineLevel="1" customFormat="1" s="66">
      <c r="A252" s="37" t="n"/>
      <c r="B252" s="37" t="n"/>
      <c r="C252" s="59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  <c r="CY252" s="42" t="n"/>
    </row>
    <row r="253" collapsed="1">
      <c r="C253" s="14" t="inlineStr">
        <is>
          <t>Convertible Preferred Stock</t>
        </is>
      </c>
      <c r="D253" s="46" t="n"/>
      <c r="E253" s="46" t="n"/>
      <c r="F253" s="46" t="n"/>
      <c r="G253" s="46" t="n"/>
      <c r="H253" s="12" t="n"/>
      <c r="I253" s="46">
        <f>'Inputs (2)'!D42</f>
        <v>0</v>
      </c>
      <c r="J253" s="46">
        <f>'Inputs (2)'!E42</f>
        <v>0</v>
      </c>
      <c r="K253" s="46">
        <f>'Inputs (2)'!F42</f>
        <v>0</v>
      </c>
      <c r="L253" s="46">
        <f>'Inputs (2)'!G42</f>
        <v>0</v>
      </c>
      <c r="M253" s="12">
        <f>'Inputs (2)'!H42</f>
        <v>0</v>
      </c>
      <c r="N253" s="46">
        <f>'Inputs (2)'!I42</f>
        <v>0</v>
      </c>
      <c r="O253" s="46">
        <f>'Inputs (2)'!J42</f>
        <v>0</v>
      </c>
      <c r="P253" s="46">
        <f>'Inputs (2)'!K42</f>
        <v>0</v>
      </c>
      <c r="Q253" s="46">
        <f>'Inputs (2)'!L42</f>
        <v>0</v>
      </c>
      <c r="R253" s="12">
        <f>'Inputs (2)'!M42</f>
        <v>0</v>
      </c>
      <c r="S253" s="46">
        <f>'Inputs (2)'!N42</f>
        <v>0</v>
      </c>
      <c r="T253" s="46">
        <f>'Inputs (2)'!O42</f>
        <v>0</v>
      </c>
      <c r="U253" s="46">
        <f>'Inputs (2)'!P42</f>
        <v>0</v>
      </c>
      <c r="V253" s="46">
        <f>'Inputs (2)'!Q42</f>
        <v>0</v>
      </c>
      <c r="W253" s="12">
        <f>'Inputs (2)'!R42</f>
        <v>0</v>
      </c>
      <c r="X253" s="46">
        <f>'Inputs (2)'!S42</f>
        <v>0</v>
      </c>
      <c r="Y253" s="46">
        <f>'Inputs (2)'!T42</f>
        <v>0</v>
      </c>
      <c r="Z253" s="46">
        <f>'Inputs (2)'!U42</f>
        <v>0</v>
      </c>
      <c r="AA253" s="46">
        <f>'Inputs (2)'!V42</f>
        <v>0</v>
      </c>
      <c r="AB253" s="12">
        <f>'Inputs (2)'!W42</f>
        <v>0</v>
      </c>
      <c r="AC253" s="46">
        <f>'Inputs (2)'!X42</f>
        <v>0</v>
      </c>
      <c r="AD253" s="46">
        <f>'Inputs (2)'!Y42</f>
        <v>0</v>
      </c>
      <c r="AE253" s="46">
        <f>'Inputs (2)'!Z42</f>
        <v>0</v>
      </c>
      <c r="AF253" s="46">
        <f>'Inputs (2)'!AA42</f>
        <v>0</v>
      </c>
      <c r="AG253" s="12">
        <f>'Inputs (2)'!AB42</f>
        <v>0</v>
      </c>
      <c r="AH253" s="12">
        <f>'Inputs (2)'!AC42</f>
        <v>0</v>
      </c>
      <c r="AI253" s="12">
        <f>'Inputs (2)'!AD42</f>
        <v>0</v>
      </c>
      <c r="AJ253" s="12">
        <f>AI253</f>
        <v>0</v>
      </c>
      <c r="AK253" s="12">
        <f>AJ253</f>
        <v>0</v>
      </c>
      <c r="AL253" s="12">
        <f>AK253</f>
        <v>0</v>
      </c>
      <c r="AM253" s="12">
        <f>AL253</f>
        <v>0</v>
      </c>
      <c r="AN253" s="12">
        <f>AM253</f>
        <v>0</v>
      </c>
      <c r="AO253" s="12">
        <f>AN253</f>
        <v>0</v>
      </c>
      <c r="AP253" s="12">
        <f>AO253</f>
        <v>0</v>
      </c>
      <c r="AQ253" s="12">
        <f>AP253</f>
        <v>0</v>
      </c>
      <c r="AR253" s="12">
        <f>AQ253</f>
        <v>0</v>
      </c>
      <c r="AS253" s="12">
        <f>AR253</f>
        <v>0</v>
      </c>
      <c r="AT253" s="12">
        <f>AS253</f>
        <v>0</v>
      </c>
      <c r="AU253" s="12">
        <f>AT253</f>
        <v>0</v>
      </c>
      <c r="AV253" s="12">
        <f>AU253</f>
        <v>0</v>
      </c>
      <c r="AW253" s="12">
        <f>AV253</f>
        <v>0</v>
      </c>
      <c r="AX253" s="12">
        <f>AW253</f>
        <v>0</v>
      </c>
      <c r="AY253" s="12">
        <f>AX253</f>
        <v>0</v>
      </c>
      <c r="AZ253" s="12">
        <f>AY253</f>
        <v>0</v>
      </c>
      <c r="BA253" s="12">
        <f>AZ253</f>
        <v>0</v>
      </c>
      <c r="BB253" s="12">
        <f>BA253</f>
        <v>0</v>
      </c>
      <c r="BC253" s="12">
        <f>BB253</f>
        <v>0</v>
      </c>
      <c r="BD253" s="12">
        <f>BC253</f>
        <v>0</v>
      </c>
      <c r="BE253" s="12">
        <f>BD253</f>
        <v>0</v>
      </c>
      <c r="BF253" s="12">
        <f>BE253</f>
        <v>0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>
      <c r="C254" s="13" t="inlineStr">
        <is>
          <t>Common Stock and APIC</t>
        </is>
      </c>
      <c r="D254" s="46" t="n"/>
      <c r="E254" s="46" t="n"/>
      <c r="F254" s="46" t="n"/>
      <c r="G254" s="46" t="n"/>
      <c r="H254" s="12" t="n"/>
      <c r="I254" s="46">
        <f>'Inputs (2)'!D43</f>
        <v>10</v>
      </c>
      <c r="J254" s="46">
        <f>'Inputs (2)'!E43</f>
        <v>10</v>
      </c>
      <c r="K254" s="46">
        <f>'Inputs (2)'!F43</f>
        <v>10</v>
      </c>
      <c r="L254" s="46">
        <f>'Inputs (2)'!G43</f>
        <v>10</v>
      </c>
      <c r="M254" s="12">
        <f>'Inputs (2)'!H43</f>
        <v>10</v>
      </c>
      <c r="N254" s="46">
        <f>'Inputs (2)'!I43</f>
        <v>10</v>
      </c>
      <c r="O254" s="46">
        <f>'Inputs (2)'!J43</f>
        <v>10</v>
      </c>
      <c r="P254" s="46">
        <f>'Inputs (2)'!K43</f>
        <v>10</v>
      </c>
      <c r="Q254" s="46">
        <f>'Inputs (2)'!L43</f>
        <v>9</v>
      </c>
      <c r="R254" s="12">
        <f>'Inputs (2)'!M43</f>
        <v>9</v>
      </c>
      <c r="S254" s="46">
        <f>'Inputs (2)'!N43</f>
        <v>9</v>
      </c>
      <c r="T254" s="46">
        <f>'Inputs (2)'!O43</f>
        <v>9</v>
      </c>
      <c r="U254" s="46">
        <f>'Inputs (2)'!P43</f>
        <v>9</v>
      </c>
      <c r="V254" s="46">
        <f>'Inputs (2)'!Q43</f>
        <v>9</v>
      </c>
      <c r="W254" s="12">
        <f>'Inputs (2)'!R43</f>
        <v>9</v>
      </c>
      <c r="X254" s="46">
        <f>'Inputs (2)'!S43</f>
        <v>9</v>
      </c>
      <c r="Y254" s="46">
        <f>'Inputs (2)'!T43</f>
        <v>382</v>
      </c>
      <c r="Z254" s="46">
        <f>'Inputs (2)'!U43</f>
        <v>470</v>
      </c>
      <c r="AA254" s="46">
        <f>'Inputs (2)'!V43</f>
        <v>9</v>
      </c>
      <c r="AB254" s="12">
        <f>'Inputs (2)'!W43</f>
        <v>9</v>
      </c>
      <c r="AC254" s="46">
        <f>'Inputs (2)'!X43</f>
        <v>9</v>
      </c>
      <c r="AD254" s="46">
        <f>'Inputs (2)'!Y43</f>
        <v>9</v>
      </c>
      <c r="AE254" s="46">
        <f>'Inputs (2)'!Z43</f>
        <v>403</v>
      </c>
      <c r="AF254" s="46">
        <f>'Inputs (2)'!AA43</f>
        <v>568</v>
      </c>
      <c r="AG254" s="12">
        <f>'Inputs (2)'!AB43</f>
        <v>568</v>
      </c>
      <c r="AH254" s="12">
        <f>'Inputs (2)'!AC43</f>
        <v>565</v>
      </c>
      <c r="AI254" s="12">
        <f>'Inputs (2)'!AD43</f>
        <v>9</v>
      </c>
      <c r="AJ254" s="12">
        <f>AI254+AJ258</f>
        <v>9</v>
      </c>
      <c r="AK254" s="12">
        <f>AJ254+AK258</f>
        <v>9</v>
      </c>
      <c r="AL254" s="12">
        <f>AK254</f>
        <v>9</v>
      </c>
      <c r="AM254" s="12">
        <f>AL254+AM258</f>
        <v>9</v>
      </c>
      <c r="AN254" s="12">
        <f>AM254+AN258</f>
        <v>9</v>
      </c>
      <c r="AO254" s="12">
        <f>AN254+AO258</f>
        <v>9</v>
      </c>
      <c r="AP254" s="12">
        <f>AO254+AP258</f>
        <v>9</v>
      </c>
      <c r="AQ254" s="12">
        <f>AP254</f>
        <v>9</v>
      </c>
      <c r="AR254" s="12">
        <f>AQ254+AR258</f>
        <v>9</v>
      </c>
      <c r="AS254" s="12">
        <f>AR254+AS258</f>
        <v>9</v>
      </c>
      <c r="AT254" s="12">
        <f>AS254+AT258</f>
        <v>9</v>
      </c>
      <c r="AU254" s="12">
        <f>AT254+AU258</f>
        <v>9</v>
      </c>
      <c r="AV254" s="12">
        <f>AU254</f>
        <v>9</v>
      </c>
      <c r="AW254" s="12">
        <f>AV254+AW258</f>
        <v>9</v>
      </c>
      <c r="AX254" s="12">
        <f>AW254+AX258</f>
        <v>9</v>
      </c>
      <c r="AY254" s="12">
        <f>AX254+AY258</f>
        <v>9</v>
      </c>
      <c r="AZ254" s="12">
        <f>AY254+AZ258</f>
        <v>9</v>
      </c>
      <c r="BA254" s="12">
        <f>AZ254</f>
        <v>9</v>
      </c>
      <c r="BB254" s="12">
        <f>BA254+BB258</f>
        <v>9</v>
      </c>
      <c r="BC254" s="12">
        <f>BB254+BC258</f>
        <v>9</v>
      </c>
      <c r="BD254" s="12">
        <f>BC254+BD258</f>
        <v>9</v>
      </c>
      <c r="BE254" s="12">
        <f>BD254+BE258</f>
        <v>9</v>
      </c>
      <c r="BF254" s="12">
        <f>BE254</f>
        <v>9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 customFormat="1" s="66">
      <c r="A255" s="37" t="n"/>
      <c r="B255" s="37" t="n"/>
      <c r="C255" s="67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  <c r="CY255" s="42" t="n"/>
    </row>
    <row r="256" hidden="1" outlineLevel="1" customFormat="1" s="66">
      <c r="A256" s="37" t="n"/>
      <c r="B256" s="37" t="n"/>
      <c r="C256" s="67" t="inlineStr">
        <is>
          <t>Diluted Shares outstanding</t>
        </is>
      </c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  <c r="CY256" s="42" t="n"/>
    </row>
    <row r="257" hidden="1" outlineLevel="1" customFormat="1" s="66">
      <c r="A257" s="37" t="n"/>
      <c r="B257" s="37" t="n"/>
      <c r="C257" s="67" t="inlineStr">
        <is>
          <t>Treasury share $ repurchases</t>
        </is>
      </c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11" t="n"/>
      <c r="AI257" s="11" t="n"/>
      <c r="AJ257" s="11" t="n"/>
      <c r="AK257" s="11" t="n"/>
      <c r="AL257" s="42" t="n"/>
      <c r="AM257" s="11" t="n"/>
      <c r="AN257" s="11" t="n"/>
      <c r="AO257" s="11" t="n"/>
      <c r="AP257" s="11" t="n"/>
      <c r="AQ257" s="42" t="n"/>
      <c r="AR257" s="11" t="n"/>
      <c r="AS257" s="11" t="n"/>
      <c r="AT257" s="11" t="n"/>
      <c r="AU257" s="11" t="n"/>
      <c r="AV257" s="42" t="n"/>
      <c r="AW257" s="11" t="n"/>
      <c r="AX257" s="11" t="n"/>
      <c r="AY257" s="11" t="n"/>
      <c r="AZ257" s="11" t="n"/>
      <c r="BA257" s="42" t="n"/>
      <c r="BB257" s="11" t="n"/>
      <c r="BC257" s="11" t="n"/>
      <c r="BD257" s="11" t="n"/>
      <c r="BE257" s="11" t="n"/>
      <c r="BF257" s="42" t="n"/>
      <c r="BG257" s="11" t="n"/>
      <c r="BH257" s="11" t="n"/>
      <c r="BI257" s="11" t="n"/>
      <c r="BJ257" s="11" t="n"/>
      <c r="BK257" s="42" t="n"/>
      <c r="BL257" s="11" t="n"/>
      <c r="BM257" s="11" t="n"/>
      <c r="BN257" s="11" t="n"/>
      <c r="BO257" s="11" t="n"/>
      <c r="BP257" s="42" t="n"/>
      <c r="BQ257" s="11" t="n"/>
      <c r="BR257" s="11" t="n"/>
      <c r="BS257" s="11" t="n"/>
      <c r="BT257" s="11" t="n"/>
      <c r="BU257" s="42" t="n"/>
      <c r="BV257" s="11" t="n"/>
      <c r="BW257" s="11" t="n"/>
      <c r="BX257" s="11" t="n"/>
      <c r="BY257" s="11" t="n"/>
      <c r="BZ257" s="42" t="n"/>
      <c r="CA257" s="11" t="n"/>
      <c r="CB257" s="11" t="n"/>
      <c r="CC257" s="11" t="n"/>
      <c r="CD257" s="11" t="n"/>
      <c r="CE257" s="42" t="n"/>
      <c r="CF257" s="11" t="n"/>
      <c r="CG257" s="11" t="n"/>
      <c r="CH257" s="11" t="n"/>
      <c r="CI257" s="11" t="n"/>
      <c r="CJ257" s="42" t="n"/>
      <c r="CK257" s="11" t="n"/>
      <c r="CL257" s="11" t="n"/>
      <c r="CM257" s="11" t="n"/>
      <c r="CN257" s="11" t="n"/>
      <c r="CO257" s="42" t="n"/>
      <c r="CP257" s="11" t="n"/>
      <c r="CQ257" s="11" t="n"/>
      <c r="CR257" s="11" t="n"/>
      <c r="CS257" s="11" t="n"/>
      <c r="CT257" s="42" t="n"/>
      <c r="CU257" s="11" t="n"/>
      <c r="CV257" s="11" t="n"/>
      <c r="CW257" s="11" t="n"/>
      <c r="CX257" s="11" t="n"/>
      <c r="CY257" s="42" t="n"/>
    </row>
    <row r="258" hidden="1" outlineLevel="1" customFormat="1" s="66">
      <c r="A258" s="37" t="n"/>
      <c r="B258" s="37" t="n"/>
      <c r="C258" s="67" t="inlineStr">
        <is>
          <t>Value of shares issued</t>
        </is>
      </c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11" t="n"/>
      <c r="AI258" s="11" t="n"/>
      <c r="AJ258" s="11" t="n"/>
      <c r="AK258" s="11" t="n"/>
      <c r="AL258" s="42" t="n"/>
      <c r="AM258" s="11" t="n"/>
      <c r="AN258" s="11" t="n"/>
      <c r="AO258" s="11" t="n"/>
      <c r="AP258" s="11" t="n"/>
      <c r="AQ258" s="42" t="n"/>
      <c r="AR258" s="11" t="n"/>
      <c r="AS258" s="11" t="n"/>
      <c r="AT258" s="11" t="n"/>
      <c r="AU258" s="11" t="n"/>
      <c r="AV258" s="42" t="n"/>
      <c r="AW258" s="11" t="n"/>
      <c r="AX258" s="11" t="n"/>
      <c r="AY258" s="11" t="n"/>
      <c r="AZ258" s="11" t="n"/>
      <c r="BA258" s="42" t="n"/>
      <c r="BB258" s="11" t="n"/>
      <c r="BC258" s="11" t="n"/>
      <c r="BD258" s="11" t="n"/>
      <c r="BE258" s="11" t="n"/>
      <c r="BF258" s="42" t="n"/>
      <c r="BG258" s="11" t="n"/>
      <c r="BH258" s="11" t="n"/>
      <c r="BI258" s="11" t="n"/>
      <c r="BJ258" s="11" t="n"/>
      <c r="BK258" s="42" t="n"/>
      <c r="BL258" s="11" t="n"/>
      <c r="BM258" s="11" t="n"/>
      <c r="BN258" s="11" t="n"/>
      <c r="BO258" s="11" t="n"/>
      <c r="BP258" s="42" t="n"/>
      <c r="BQ258" s="11" t="n"/>
      <c r="BR258" s="11" t="n"/>
      <c r="BS258" s="11" t="n"/>
      <c r="BT258" s="11" t="n"/>
      <c r="BU258" s="42" t="n"/>
      <c r="BV258" s="11" t="n"/>
      <c r="BW258" s="11" t="n"/>
      <c r="BX258" s="11" t="n"/>
      <c r="BY258" s="11" t="n"/>
      <c r="BZ258" s="42" t="n"/>
      <c r="CA258" s="11" t="n"/>
      <c r="CB258" s="11" t="n"/>
      <c r="CC258" s="11" t="n"/>
      <c r="CD258" s="11" t="n"/>
      <c r="CE258" s="42" t="n"/>
      <c r="CF258" s="11" t="n"/>
      <c r="CG258" s="11" t="n"/>
      <c r="CH258" s="11" t="n"/>
      <c r="CI258" s="11" t="n"/>
      <c r="CJ258" s="42" t="n"/>
      <c r="CK258" s="11" t="n"/>
      <c r="CL258" s="11" t="n"/>
      <c r="CM258" s="11" t="n"/>
      <c r="CN258" s="11" t="n"/>
      <c r="CO258" s="42" t="n"/>
      <c r="CP258" s="11" t="n"/>
      <c r="CQ258" s="11" t="n"/>
      <c r="CR258" s="11" t="n"/>
      <c r="CS258" s="11" t="n"/>
      <c r="CT258" s="42" t="n"/>
      <c r="CU258" s="11" t="n"/>
      <c r="CV258" s="11" t="n"/>
      <c r="CW258" s="11" t="n"/>
      <c r="CX258" s="11" t="n"/>
      <c r="CY258" s="42" t="n"/>
    </row>
    <row r="259" hidden="1" outlineLevel="1" customFormat="1" s="66">
      <c r="A259" s="37" t="n"/>
      <c r="B259" s="37" t="n"/>
      <c r="C259" s="67" t="inlineStr">
        <is>
          <t>Expected average share price</t>
        </is>
      </c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68">
        <f>AF259*(1+AH260)</f>
        <v>0</v>
      </c>
      <c r="AI259" s="68">
        <f>AH259*(1+AI260)</f>
        <v>0</v>
      </c>
      <c r="AJ259" s="68">
        <f>AH259*(1+AJ260)</f>
        <v>0</v>
      </c>
      <c r="AK259" s="68">
        <f>AJ259*(1+AK260)</f>
        <v>0</v>
      </c>
      <c r="AL259" s="42" t="n"/>
      <c r="AM259" s="68">
        <f>AK259*(1+AM260)</f>
        <v>0</v>
      </c>
      <c r="AN259" s="68">
        <f>AM259*(1+AN260)</f>
        <v>0</v>
      </c>
      <c r="AO259" s="68">
        <f>AM259*(1+AO260)</f>
        <v>0</v>
      </c>
      <c r="AP259" s="68">
        <f>AO259*(1+AP260)</f>
        <v>0</v>
      </c>
      <c r="AQ259" s="42" t="n"/>
      <c r="AR259" s="68">
        <f>AP259*(1+AR260)</f>
        <v>0</v>
      </c>
      <c r="AS259" s="68">
        <f>AR259*(1+AS260)</f>
        <v>0</v>
      </c>
      <c r="AT259" s="68">
        <f>AR259*(1+AT260)</f>
        <v>0</v>
      </c>
      <c r="AU259" s="68">
        <f>AT259*(1+AU260)</f>
        <v>0</v>
      </c>
      <c r="AV259" s="42" t="n"/>
      <c r="AW259" s="68">
        <f>AU259*(1+AW260)</f>
        <v>0</v>
      </c>
      <c r="AX259" s="68">
        <f>AW259*(1+AX260)</f>
        <v>0</v>
      </c>
      <c r="AY259" s="68">
        <f>AW259*(1+AY260)</f>
        <v>0</v>
      </c>
      <c r="AZ259" s="68">
        <f>AY259*(1+AZ260)</f>
        <v>0</v>
      </c>
      <c r="BA259" s="42" t="n"/>
      <c r="BB259" s="68">
        <f>AZ259*(1+BB260)</f>
        <v>0</v>
      </c>
      <c r="BC259" s="68">
        <f>BB259*(1+BC260)</f>
        <v>0</v>
      </c>
      <c r="BD259" s="68">
        <f>BB259*(1+BD260)</f>
        <v>0</v>
      </c>
      <c r="BE259" s="68">
        <f>BD259*(1+BE260)</f>
        <v>0</v>
      </c>
      <c r="BF259" s="42" t="n"/>
      <c r="BG259" s="68" t="n"/>
      <c r="BH259" s="68" t="n"/>
      <c r="BI259" s="68" t="n"/>
      <c r="BJ259" s="68" t="n"/>
      <c r="BK259" s="42" t="n"/>
      <c r="BL259" s="68" t="n"/>
      <c r="BM259" s="68" t="n"/>
      <c r="BN259" s="68" t="n"/>
      <c r="BO259" s="68" t="n"/>
      <c r="BP259" s="42" t="n"/>
      <c r="BQ259" s="68" t="n"/>
      <c r="BR259" s="68" t="n"/>
      <c r="BS259" s="68" t="n"/>
      <c r="BT259" s="68" t="n"/>
      <c r="BU259" s="42" t="n"/>
      <c r="BV259" s="68" t="n"/>
      <c r="BW259" s="68" t="n"/>
      <c r="BX259" s="68" t="n"/>
      <c r="BY259" s="68" t="n"/>
      <c r="BZ259" s="42" t="n"/>
      <c r="CA259" s="68" t="n"/>
      <c r="CB259" s="68" t="n"/>
      <c r="CC259" s="68" t="n"/>
      <c r="CD259" s="68" t="n"/>
      <c r="CE259" s="42" t="n"/>
      <c r="CF259" s="68" t="n"/>
      <c r="CG259" s="68" t="n"/>
      <c r="CH259" s="68" t="n"/>
      <c r="CI259" s="68" t="n"/>
      <c r="CJ259" s="42" t="n"/>
      <c r="CK259" s="68" t="n"/>
      <c r="CL259" s="68" t="n"/>
      <c r="CM259" s="68" t="n"/>
      <c r="CN259" s="68" t="n"/>
      <c r="CO259" s="42" t="n"/>
      <c r="CP259" s="68" t="n"/>
      <c r="CQ259" s="68" t="n"/>
      <c r="CR259" s="68" t="n"/>
      <c r="CS259" s="68" t="n"/>
      <c r="CT259" s="42" t="n"/>
      <c r="CU259" s="68" t="n"/>
      <c r="CV259" s="68" t="n"/>
      <c r="CW259" s="68" t="n"/>
      <c r="CX259" s="68" t="n"/>
      <c r="CY259" s="42" t="n"/>
    </row>
    <row r="260" hidden="1" outlineLevel="1" customFormat="1" s="66">
      <c r="A260" s="37" t="n"/>
      <c r="B260" s="37" t="n"/>
      <c r="C260" s="67" t="inlineStr">
        <is>
          <t>Consensus EPS growth</t>
        </is>
      </c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58">
        <f>$AL$265</f>
        <v>0</v>
      </c>
      <c r="AI260" s="58">
        <f>$AL$265</f>
        <v>0</v>
      </c>
      <c r="AJ260" s="58">
        <f>$AL$265</f>
        <v>0</v>
      </c>
      <c r="AK260" s="58">
        <f>$AL$265</f>
        <v>0</v>
      </c>
      <c r="AL260" s="42" t="n"/>
      <c r="AM260" s="58">
        <f>$AL$265</f>
        <v>0</v>
      </c>
      <c r="AN260" s="58">
        <f>$AL$265</f>
        <v>0</v>
      </c>
      <c r="AO260" s="58">
        <f>$AL$265</f>
        <v>0</v>
      </c>
      <c r="AP260" s="58">
        <f>$AL$265</f>
        <v>0</v>
      </c>
      <c r="AQ260" s="42" t="n"/>
      <c r="AR260" s="58">
        <f>$AL$265</f>
        <v>0</v>
      </c>
      <c r="AS260" s="58">
        <f>$AL$265</f>
        <v>0</v>
      </c>
      <c r="AT260" s="58">
        <f>$AL$265</f>
        <v>0</v>
      </c>
      <c r="AU260" s="58">
        <f>$AL$265</f>
        <v>0</v>
      </c>
      <c r="AV260" s="42" t="n"/>
      <c r="AW260" s="58">
        <f>$AL$265</f>
        <v>0</v>
      </c>
      <c r="AX260" s="58">
        <f>$AL$265</f>
        <v>0</v>
      </c>
      <c r="AY260" s="58">
        <f>$AL$265</f>
        <v>0</v>
      </c>
      <c r="AZ260" s="58">
        <f>$AL$265</f>
        <v>0</v>
      </c>
      <c r="BA260" s="42" t="n"/>
      <c r="BB260" s="58">
        <f>$AL$265</f>
        <v>0</v>
      </c>
      <c r="BC260" s="58">
        <f>$AL$265</f>
        <v>0</v>
      </c>
      <c r="BD260" s="58">
        <f>$AL$265</f>
        <v>0</v>
      </c>
      <c r="BE260" s="58">
        <f>$AL$265</f>
        <v>0</v>
      </c>
      <c r="BF260" s="42" t="n"/>
      <c r="BG260" s="58" t="n"/>
      <c r="BH260" s="58" t="n"/>
      <c r="BI260" s="58" t="n"/>
      <c r="BJ260" s="58" t="n"/>
      <c r="BK260" s="42" t="n"/>
      <c r="BL260" s="58" t="n"/>
      <c r="BM260" s="58" t="n"/>
      <c r="BN260" s="58" t="n"/>
      <c r="BO260" s="58" t="n"/>
      <c r="BP260" s="42" t="n"/>
      <c r="BQ260" s="58" t="n"/>
      <c r="BR260" s="58" t="n"/>
      <c r="BS260" s="58" t="n"/>
      <c r="BT260" s="58" t="n"/>
      <c r="BU260" s="42" t="n"/>
      <c r="BV260" s="58" t="n"/>
      <c r="BW260" s="58" t="n"/>
      <c r="BX260" s="58" t="n"/>
      <c r="BY260" s="58" t="n"/>
      <c r="BZ260" s="42" t="n"/>
      <c r="CA260" s="58" t="n"/>
      <c r="CB260" s="58" t="n"/>
      <c r="CC260" s="58" t="n"/>
      <c r="CD260" s="58" t="n"/>
      <c r="CE260" s="42" t="n"/>
      <c r="CF260" s="58" t="n"/>
      <c r="CG260" s="58" t="n"/>
      <c r="CH260" s="58" t="n"/>
      <c r="CI260" s="58" t="n"/>
      <c r="CJ260" s="42" t="n"/>
      <c r="CK260" s="58" t="n"/>
      <c r="CL260" s="58" t="n"/>
      <c r="CM260" s="58" t="n"/>
      <c r="CN260" s="58" t="n"/>
      <c r="CO260" s="42" t="n"/>
      <c r="CP260" s="58" t="n"/>
      <c r="CQ260" s="58" t="n"/>
      <c r="CR260" s="58" t="n"/>
      <c r="CS260" s="58" t="n"/>
      <c r="CT260" s="42" t="n"/>
      <c r="CU260" s="58" t="n"/>
      <c r="CV260" s="58" t="n"/>
      <c r="CW260" s="58" t="n"/>
      <c r="CX260" s="58" t="n"/>
      <c r="CY260" s="42" t="n"/>
    </row>
    <row r="261" hidden="1" outlineLevel="1" customFormat="1" s="66">
      <c r="A261" s="37" t="n"/>
      <c r="B261" s="37" t="n"/>
      <c r="C261" s="67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12" t="n"/>
      <c r="AI261" s="12" t="n"/>
      <c r="AJ261" s="12" t="n"/>
      <c r="AK261" s="12" t="n"/>
      <c r="AL261" s="42" t="n"/>
      <c r="AM261" s="12" t="n"/>
      <c r="AN261" s="12" t="n"/>
      <c r="AO261" s="12" t="n"/>
      <c r="AP261" s="12" t="n"/>
      <c r="AQ261" s="42" t="n"/>
      <c r="AR261" s="12" t="n"/>
      <c r="AS261" s="12" t="n"/>
      <c r="AT261" s="12" t="n"/>
      <c r="AU261" s="12" t="n"/>
      <c r="AV261" s="42" t="n"/>
      <c r="AW261" s="12" t="n"/>
      <c r="AX261" s="12" t="n"/>
      <c r="AY261" s="12" t="n"/>
      <c r="AZ261" s="12" t="n"/>
      <c r="BA261" s="42" t="n"/>
      <c r="BB261" s="12" t="n"/>
      <c r="BC261" s="12" t="n"/>
      <c r="BD261" s="12" t="n"/>
      <c r="BE261" s="12" t="n"/>
      <c r="BF261" s="42" t="n"/>
      <c r="BG261" s="12" t="n"/>
      <c r="BH261" s="12" t="n"/>
      <c r="BI261" s="12" t="n"/>
      <c r="BJ261" s="12" t="n"/>
      <c r="BK261" s="42" t="n"/>
      <c r="BL261" s="12" t="n"/>
      <c r="BM261" s="12" t="n"/>
      <c r="BN261" s="12" t="n"/>
      <c r="BO261" s="12" t="n"/>
      <c r="BP261" s="42" t="n"/>
      <c r="BQ261" s="12" t="n"/>
      <c r="BR261" s="12" t="n"/>
      <c r="BS261" s="12" t="n"/>
      <c r="BT261" s="12" t="n"/>
      <c r="BU261" s="42" t="n"/>
      <c r="BV261" s="12" t="n"/>
      <c r="BW261" s="12" t="n"/>
      <c r="BX261" s="12" t="n"/>
      <c r="BY261" s="12" t="n"/>
      <c r="BZ261" s="42" t="n"/>
      <c r="CA261" s="12" t="n"/>
      <c r="CB261" s="12" t="n"/>
      <c r="CC261" s="12" t="n"/>
      <c r="CD261" s="12" t="n"/>
      <c r="CE261" s="42" t="n"/>
      <c r="CF261" s="12" t="n"/>
      <c r="CG261" s="12" t="n"/>
      <c r="CH261" s="12" t="n"/>
      <c r="CI261" s="12" t="n"/>
      <c r="CJ261" s="42" t="n"/>
      <c r="CK261" s="12" t="n"/>
      <c r="CL261" s="12" t="n"/>
      <c r="CM261" s="12" t="n"/>
      <c r="CN261" s="12" t="n"/>
      <c r="CO261" s="42" t="n"/>
      <c r="CP261" s="12" t="n"/>
      <c r="CQ261" s="12" t="n"/>
      <c r="CR261" s="12" t="n"/>
      <c r="CS261" s="12" t="n"/>
      <c r="CT261" s="42" t="n"/>
      <c r="CU261" s="12" t="n"/>
      <c r="CV261" s="12" t="n"/>
      <c r="CW261" s="12" t="n"/>
      <c r="CX261" s="12" t="n"/>
      <c r="CY261" s="42" t="n"/>
    </row>
    <row r="262" hidden="1" outlineLevel="1" customFormat="1" s="66">
      <c r="A262" s="37" t="n"/>
      <c r="B262" s="37" t="n"/>
      <c r="C262" s="67" t="inlineStr">
        <is>
          <t>Shares repurchased</t>
        </is>
      </c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69" t="str">
        <f>IFERROR(-AH257/AH259,"")</f>
        <v/>
      </c>
      <c r="AI262" s="69" t="str">
        <f>IFERROR(-AI257/AI259,"")</f>
        <v/>
      </c>
      <c r="AJ262" s="69" t="str">
        <f>IFERROR(-AJ257/AJ259,"")</f>
        <v/>
      </c>
      <c r="AK262" s="69" t="str">
        <f>IFERROR(-AK257/AK259,"")</f>
        <v/>
      </c>
      <c r="AL262" s="42" t="n"/>
      <c r="AM262" s="69" t="str">
        <f>IFERROR(-AM257/AM259,"")</f>
        <v/>
      </c>
      <c r="AN262" s="69" t="str">
        <f>IFERROR(-AN257/AN259,"")</f>
        <v/>
      </c>
      <c r="AO262" s="69" t="str">
        <f>IFERROR(-AO257/AO259,"")</f>
        <v/>
      </c>
      <c r="AP262" s="69" t="str">
        <f>IFERROR(-AP257/AP259,"")</f>
        <v/>
      </c>
      <c r="AQ262" s="42" t="n"/>
      <c r="AR262" s="69" t="str">
        <f>IFERROR(-AR257/AR259,"")</f>
        <v/>
      </c>
      <c r="AS262" s="69" t="str">
        <f>IFERROR(-AS257/AS259,"")</f>
        <v/>
      </c>
      <c r="AT262" s="69" t="str">
        <f>IFERROR(-AT257/AT259,"")</f>
        <v/>
      </c>
      <c r="AU262" s="69" t="str">
        <f>IFERROR(-AU257/AU259,"")</f>
        <v/>
      </c>
      <c r="AV262" s="42" t="n"/>
      <c r="AW262" s="69" t="str">
        <f>IFERROR(-AW257/AW259,"")</f>
        <v/>
      </c>
      <c r="AX262" s="69" t="str">
        <f>IFERROR(-AX257/AX259,"")</f>
        <v/>
      </c>
      <c r="AY262" s="69" t="str">
        <f>IFERROR(-AY257/AY259,"")</f>
        <v/>
      </c>
      <c r="AZ262" s="69" t="str">
        <f>IFERROR(-AZ257/AZ259,"")</f>
        <v/>
      </c>
      <c r="BA262" s="42" t="n"/>
      <c r="BB262" s="69" t="str">
        <f>IFERROR(-BB257/BB259,"")</f>
        <v/>
      </c>
      <c r="BC262" s="69" t="str">
        <f>IFERROR(-BC257/BC259,"")</f>
        <v/>
      </c>
      <c r="BD262" s="69" t="str">
        <f>IFERROR(-BD257/BD259,"")</f>
        <v/>
      </c>
      <c r="BE262" s="69" t="str">
        <f>IFERROR(-BE257/BE259,"")</f>
        <v/>
      </c>
      <c r="BF262" s="42" t="n"/>
      <c r="BG262" s="69" t="n"/>
      <c r="BH262" s="69" t="n"/>
      <c r="BI262" s="69" t="n"/>
      <c r="BJ262" s="69" t="n"/>
      <c r="BK262" s="42" t="n"/>
      <c r="BL262" s="69" t="n"/>
      <c r="BM262" s="69" t="n"/>
      <c r="BN262" s="69" t="n"/>
      <c r="BO262" s="69" t="n"/>
      <c r="BP262" s="42" t="n"/>
      <c r="BQ262" s="69" t="n"/>
      <c r="BR262" s="69" t="n"/>
      <c r="BS262" s="69" t="n"/>
      <c r="BT262" s="69" t="n"/>
      <c r="BU262" s="42" t="n"/>
      <c r="BV262" s="69" t="n"/>
      <c r="BW262" s="69" t="n"/>
      <c r="BX262" s="69" t="n"/>
      <c r="BY262" s="69" t="n"/>
      <c r="BZ262" s="42" t="n"/>
      <c r="CA262" s="69" t="n"/>
      <c r="CB262" s="69" t="n"/>
      <c r="CC262" s="69" t="n"/>
      <c r="CD262" s="69" t="n"/>
      <c r="CE262" s="42" t="n"/>
      <c r="CF262" s="69" t="n"/>
      <c r="CG262" s="69" t="n"/>
      <c r="CH262" s="69" t="n"/>
      <c r="CI262" s="69" t="n"/>
      <c r="CJ262" s="42" t="n"/>
      <c r="CK262" s="69" t="n"/>
      <c r="CL262" s="69" t="n"/>
      <c r="CM262" s="69" t="n"/>
      <c r="CN262" s="69" t="n"/>
      <c r="CO262" s="42" t="n"/>
      <c r="CP262" s="69" t="n"/>
      <c r="CQ262" s="69" t="n"/>
      <c r="CR262" s="69" t="n"/>
      <c r="CS262" s="69" t="n"/>
      <c r="CT262" s="42" t="n"/>
      <c r="CU262" s="69" t="n"/>
      <c r="CV262" s="69" t="n"/>
      <c r="CW262" s="69" t="n"/>
      <c r="CX262" s="69" t="n"/>
      <c r="CY262" s="42" t="n"/>
    </row>
    <row r="263" hidden="1" outlineLevel="1" customFormat="1" s="66">
      <c r="A263" s="37" t="n"/>
      <c r="B263" s="37" t="n"/>
      <c r="C263" s="67" t="inlineStr">
        <is>
          <t>Shares issued</t>
        </is>
      </c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9" t="n"/>
      <c r="AG263" s="42" t="n"/>
      <c r="AH263" s="69" t="str">
        <f>IFERROR(AH258/AH259,"")</f>
        <v/>
      </c>
      <c r="AI263" s="69" t="str">
        <f>IFERROR(AI258/AI259,"")</f>
        <v/>
      </c>
      <c r="AJ263" s="69" t="str">
        <f>IFERROR(AJ258/AJ259,"")</f>
        <v/>
      </c>
      <c r="AK263" s="69" t="str">
        <f>IFERROR(AK258/AK259,"")</f>
        <v/>
      </c>
      <c r="AL263" s="42" t="n"/>
      <c r="AM263" s="69" t="str">
        <f>IFERROR(AM258/AM259,"")</f>
        <v/>
      </c>
      <c r="AN263" s="69" t="str">
        <f>IFERROR(AN258/AN259,"")</f>
        <v/>
      </c>
      <c r="AO263" s="69" t="str">
        <f>IFERROR(AO258/AO259,"")</f>
        <v/>
      </c>
      <c r="AP263" s="69" t="str">
        <f>IFERROR(AP258/AP259,"")</f>
        <v/>
      </c>
      <c r="AQ263" s="42" t="n"/>
      <c r="AR263" s="69" t="str">
        <f>IFERROR(AR258/AR259,"")</f>
        <v/>
      </c>
      <c r="AS263" s="69" t="str">
        <f>IFERROR(AS258/AS259,"")</f>
        <v/>
      </c>
      <c r="AT263" s="69" t="str">
        <f>IFERROR(AT258/AT259,"")</f>
        <v/>
      </c>
      <c r="AU263" s="69" t="str">
        <f>IFERROR(AU258/AU259,"")</f>
        <v/>
      </c>
      <c r="AV263" s="42" t="n"/>
      <c r="AW263" s="69" t="str">
        <f>IFERROR(AW258/AW259,"")</f>
        <v/>
      </c>
      <c r="AX263" s="69" t="str">
        <f>IFERROR(AX258/AX259,"")</f>
        <v/>
      </c>
      <c r="AY263" s="69" t="str">
        <f>IFERROR(AY258/AY259,"")</f>
        <v/>
      </c>
      <c r="AZ263" s="69" t="str">
        <f>IFERROR(AZ258/AZ259,"")</f>
        <v/>
      </c>
      <c r="BA263" s="42" t="n"/>
      <c r="BB263" s="69" t="str">
        <f>IFERROR(BB258/BB259,"")</f>
        <v/>
      </c>
      <c r="BC263" s="69" t="str">
        <f>IFERROR(BC258/BC259,"")</f>
        <v/>
      </c>
      <c r="BD263" s="69" t="str">
        <f>IFERROR(BD258/BD259,"")</f>
        <v/>
      </c>
      <c r="BE263" s="69" t="str">
        <f>IFERROR(BE258/BE259,"")</f>
        <v/>
      </c>
      <c r="BF263" s="42" t="n"/>
      <c r="BG263" s="69" t="n"/>
      <c r="BH263" s="69" t="n"/>
      <c r="BI263" s="69" t="n"/>
      <c r="BJ263" s="69" t="n"/>
      <c r="BK263" s="42" t="n"/>
      <c r="BL263" s="69" t="n"/>
      <c r="BM263" s="69" t="n"/>
      <c r="BN263" s="69" t="n"/>
      <c r="BO263" s="69" t="n"/>
      <c r="BP263" s="42" t="n"/>
      <c r="BQ263" s="69" t="n"/>
      <c r="BR263" s="69" t="n"/>
      <c r="BS263" s="69" t="n"/>
      <c r="BT263" s="69" t="n"/>
      <c r="BU263" s="42" t="n"/>
      <c r="BV263" s="69" t="n"/>
      <c r="BW263" s="69" t="n"/>
      <c r="BX263" s="69" t="n"/>
      <c r="BY263" s="69" t="n"/>
      <c r="BZ263" s="42" t="n"/>
      <c r="CA263" s="69" t="n"/>
      <c r="CB263" s="69" t="n"/>
      <c r="CC263" s="69" t="n"/>
      <c r="CD263" s="69" t="n"/>
      <c r="CE263" s="42" t="n"/>
      <c r="CF263" s="69" t="n"/>
      <c r="CG263" s="69" t="n"/>
      <c r="CH263" s="69" t="n"/>
      <c r="CI263" s="69" t="n"/>
      <c r="CJ263" s="42" t="n"/>
      <c r="CK263" s="69" t="n"/>
      <c r="CL263" s="69" t="n"/>
      <c r="CM263" s="69" t="n"/>
      <c r="CN263" s="69" t="n"/>
      <c r="CO263" s="42" t="n"/>
      <c r="CP263" s="69" t="n"/>
      <c r="CQ263" s="69" t="n"/>
      <c r="CR263" s="69" t="n"/>
      <c r="CS263" s="69" t="n"/>
      <c r="CT263" s="42" t="n"/>
      <c r="CU263" s="69" t="n"/>
      <c r="CV263" s="69" t="n"/>
      <c r="CW263" s="69" t="n"/>
      <c r="CX263" s="69" t="n"/>
      <c r="CY263" s="42" t="n"/>
    </row>
    <row r="264" hidden="1" outlineLevel="1" customFormat="1" s="66">
      <c r="A264" s="37" t="n"/>
      <c r="B264" s="37" t="n"/>
      <c r="C264" s="67" t="inlineStr">
        <is>
          <t>End of period basic shares outstanding</t>
        </is>
      </c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3" t="str">
        <f>IFERROR(AG264+AH263-AH262,"")</f>
        <v/>
      </c>
      <c r="AI264" s="3" t="str">
        <f>IFERROR(AH264+AI263-AI262,"")</f>
        <v/>
      </c>
      <c r="AJ264" s="69" t="str">
        <f>IFERROR(AH264+AJ263-AJ262,"")</f>
        <v/>
      </c>
      <c r="AK264" s="69" t="str">
        <f>IFERROR(AJ264+AK263-AK262,"")</f>
        <v/>
      </c>
      <c r="AL264" s="42" t="n"/>
      <c r="AM264" s="3" t="str">
        <f>IFERROR(AK264+AM263-AM262,"")</f>
        <v/>
      </c>
      <c r="AN264" s="3" t="str">
        <f>IFERROR(AM264+AN263-AN262,"")</f>
        <v/>
      </c>
      <c r="AO264" s="69" t="str">
        <f>IFERROR(AM264+AO263-AO262,"")</f>
        <v/>
      </c>
      <c r="AP264" s="69" t="str">
        <f>IFERROR(AO264+AP263-AP262,"")</f>
        <v/>
      </c>
      <c r="AQ264" s="42" t="n"/>
      <c r="AR264" s="3" t="str">
        <f>IFERROR(AP264+AR263-AR262,"")</f>
        <v/>
      </c>
      <c r="AS264" s="3" t="str">
        <f>IFERROR(AR264+AS263-AS262,"")</f>
        <v/>
      </c>
      <c r="AT264" s="69" t="str">
        <f>IFERROR(AR264+AT263-AT262,"")</f>
        <v/>
      </c>
      <c r="AU264" s="69" t="str">
        <f>IFERROR(AT264+AU263-AU262,"")</f>
        <v/>
      </c>
      <c r="AV264" s="42" t="n"/>
      <c r="AW264" s="3" t="str">
        <f>IFERROR(AU264+AW263-AW262,"")</f>
        <v/>
      </c>
      <c r="AX264" s="3" t="str">
        <f>IFERROR(AW264+AX263-AX262,"")</f>
        <v/>
      </c>
      <c r="AY264" s="69" t="str">
        <f>IFERROR(AW264+AY263-AY262,"")</f>
        <v/>
      </c>
      <c r="AZ264" s="69" t="str">
        <f>IFERROR(AY264+AZ263-AZ262,"")</f>
        <v/>
      </c>
      <c r="BA264" s="42" t="n"/>
      <c r="BB264" s="3" t="str">
        <f>IFERROR(AZ264+BB263-BB262,"")</f>
        <v/>
      </c>
      <c r="BC264" s="3" t="str">
        <f>IFERROR(BB264+BC263-BC262,"")</f>
        <v/>
      </c>
      <c r="BD264" s="69" t="str">
        <f>IFERROR(BB264+BD263-BD262,"")</f>
        <v/>
      </c>
      <c r="BE264" s="69" t="str">
        <f>IFERROR(BD264+BE263-BE262,"")</f>
        <v/>
      </c>
      <c r="BF264" s="42" t="n"/>
      <c r="BG264" s="3" t="n"/>
      <c r="BH264" s="3" t="n"/>
      <c r="BI264" s="69" t="n"/>
      <c r="BJ264" s="69" t="n"/>
      <c r="BK264" s="42" t="n"/>
      <c r="BL264" s="3" t="n"/>
      <c r="BM264" s="3" t="n"/>
      <c r="BN264" s="69" t="n"/>
      <c r="BO264" s="69" t="n"/>
      <c r="BP264" s="42" t="n"/>
      <c r="BQ264" s="3" t="n"/>
      <c r="BR264" s="3" t="n"/>
      <c r="BS264" s="69" t="n"/>
      <c r="BT264" s="69" t="n"/>
      <c r="BU264" s="42" t="n"/>
      <c r="BV264" s="3" t="n"/>
      <c r="BW264" s="3" t="n"/>
      <c r="BX264" s="69" t="n"/>
      <c r="BY264" s="69" t="n"/>
      <c r="BZ264" s="42" t="n"/>
      <c r="CA264" s="3" t="n"/>
      <c r="CB264" s="3" t="n"/>
      <c r="CC264" s="69" t="n"/>
      <c r="CD264" s="69" t="n"/>
      <c r="CE264" s="42" t="n"/>
      <c r="CF264" s="3" t="n"/>
      <c r="CG264" s="3" t="n"/>
      <c r="CH264" s="69" t="n"/>
      <c r="CI264" s="69" t="n"/>
      <c r="CJ264" s="42" t="n"/>
      <c r="CK264" s="3" t="n"/>
      <c r="CL264" s="3" t="n"/>
      <c r="CM264" s="69" t="n"/>
      <c r="CN264" s="69" t="n"/>
      <c r="CO264" s="42" t="n"/>
      <c r="CP264" s="3" t="n"/>
      <c r="CQ264" s="3" t="n"/>
      <c r="CR264" s="69" t="n"/>
      <c r="CS264" s="69" t="n"/>
      <c r="CT264" s="42" t="n"/>
      <c r="CU264" s="3" t="n"/>
      <c r="CV264" s="3" t="n"/>
      <c r="CW264" s="69" t="n"/>
      <c r="CX264" s="69" t="n"/>
      <c r="CY264" s="42" t="n"/>
    </row>
    <row r="265" hidden="1" outlineLevel="1" customFormat="1" s="66">
      <c r="A265" s="37" t="n"/>
      <c r="B265" s="37" t="n"/>
      <c r="C265" s="67" t="inlineStr">
        <is>
          <t>Weighted average basic shares outstanding</t>
        </is>
      </c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69" t="str">
        <f>IFERROR(AVERAGE(AG264,AH264),"")</f>
        <v/>
      </c>
      <c r="AI265" s="69" t="str">
        <f>IFERROR(AVERAGE(AH264,AI264),"")</f>
        <v/>
      </c>
      <c r="AJ265" s="69" t="str">
        <f>IFERROR(AVERAGE(AH264,AJ264),"")</f>
        <v/>
      </c>
      <c r="AK265" s="69" t="str">
        <f>IFERROR(AVERAGE(AJ264,AK264),"")</f>
        <v/>
      </c>
      <c r="AL265" s="42" t="n"/>
      <c r="AM265" s="69" t="str">
        <f>IFERROR(AVERAGE(AL264,AM264),"")</f>
        <v/>
      </c>
      <c r="AN265" s="69" t="str">
        <f>IFERROR(AVERAGE(AM264,AN264),"")</f>
        <v/>
      </c>
      <c r="AO265" s="69" t="str">
        <f>IFERROR(AVERAGE(AM264,AO264),"")</f>
        <v/>
      </c>
      <c r="AP265" s="69" t="str">
        <f>IFERROR(AVERAGE(AO264,AP264),"")</f>
        <v/>
      </c>
      <c r="AQ265" s="42" t="n"/>
      <c r="AR265" s="69" t="str">
        <f>IFERROR(AVERAGE(AQ264,AR264),"")</f>
        <v/>
      </c>
      <c r="AS265" s="69" t="str">
        <f>IFERROR(AVERAGE(AR264,AS264),"")</f>
        <v/>
      </c>
      <c r="AT265" s="69" t="str">
        <f>IFERROR(AVERAGE(AR264,AT264),"")</f>
        <v/>
      </c>
      <c r="AU265" s="69" t="str">
        <f>IFERROR(AVERAGE(AT264,AU264),"")</f>
        <v/>
      </c>
      <c r="AV265" s="42" t="n"/>
      <c r="AW265" s="69" t="str">
        <f>IFERROR(AVERAGE(AV264,AW264),"")</f>
        <v/>
      </c>
      <c r="AX265" s="69" t="str">
        <f>IFERROR(AVERAGE(AW264,AX264),"")</f>
        <v/>
      </c>
      <c r="AY265" s="69" t="str">
        <f>IFERROR(AVERAGE(AW264,AY264),"")</f>
        <v/>
      </c>
      <c r="AZ265" s="69" t="str">
        <f>IFERROR(AVERAGE(AY264,AZ264),"")</f>
        <v/>
      </c>
      <c r="BA265" s="42" t="n"/>
      <c r="BB265" s="69" t="str">
        <f>IFERROR(AVERAGE(BA264,BB264),"")</f>
        <v/>
      </c>
      <c r="BC265" s="69" t="str">
        <f>IFERROR(AVERAGE(BB264,BC264),"")</f>
        <v/>
      </c>
      <c r="BD265" s="69" t="str">
        <f>IFERROR(AVERAGE(BB264,BD264),"")</f>
        <v/>
      </c>
      <c r="BE265" s="69" t="str">
        <f>IFERROR(AVERAGE(BD264,BE264),"")</f>
        <v/>
      </c>
      <c r="BF265" s="42" t="n"/>
      <c r="BG265" s="69" t="n"/>
      <c r="BH265" s="69" t="n"/>
      <c r="BI265" s="69" t="n"/>
      <c r="BJ265" s="69" t="n"/>
      <c r="BK265" s="42" t="n"/>
      <c r="BL265" s="69" t="n"/>
      <c r="BM265" s="69" t="n"/>
      <c r="BN265" s="69" t="n"/>
      <c r="BO265" s="69" t="n"/>
      <c r="BP265" s="42" t="n"/>
      <c r="BQ265" s="69" t="n"/>
      <c r="BR265" s="69" t="n"/>
      <c r="BS265" s="69" t="n"/>
      <c r="BT265" s="69" t="n"/>
      <c r="BU265" s="42" t="n"/>
      <c r="BV265" s="69" t="n"/>
      <c r="BW265" s="69" t="n"/>
      <c r="BX265" s="69" t="n"/>
      <c r="BY265" s="69" t="n"/>
      <c r="BZ265" s="42" t="n"/>
      <c r="CA265" s="69" t="n"/>
      <c r="CB265" s="69" t="n"/>
      <c r="CC265" s="69" t="n"/>
      <c r="CD265" s="69" t="n"/>
      <c r="CE265" s="42" t="n"/>
      <c r="CF265" s="69" t="n"/>
      <c r="CG265" s="69" t="n"/>
      <c r="CH265" s="69" t="n"/>
      <c r="CI265" s="69" t="n"/>
      <c r="CJ265" s="42" t="n"/>
      <c r="CK265" s="69" t="n"/>
      <c r="CL265" s="69" t="n"/>
      <c r="CM265" s="69" t="n"/>
      <c r="CN265" s="69" t="n"/>
      <c r="CO265" s="42" t="n"/>
      <c r="CP265" s="69" t="n"/>
      <c r="CQ265" s="69" t="n"/>
      <c r="CR265" s="69" t="n"/>
      <c r="CS265" s="69" t="n"/>
      <c r="CT265" s="42" t="n"/>
      <c r="CU265" s="69" t="n"/>
      <c r="CV265" s="69" t="n"/>
      <c r="CW265" s="69" t="n"/>
      <c r="CX265" s="69" t="n"/>
      <c r="CY265" s="42" t="n"/>
    </row>
    <row r="266" hidden="1" outlineLevel="1" customFormat="1" s="66">
      <c r="A266" s="37" t="n"/>
      <c r="B266" s="37" t="n"/>
      <c r="C266" s="67" t="n"/>
      <c r="D266" s="42" t="n"/>
      <c r="E266" s="42" t="n"/>
      <c r="F266" s="42" t="n"/>
      <c r="G266" s="42" t="n"/>
      <c r="H266" s="12" t="n"/>
      <c r="I266" s="42" t="n"/>
      <c r="J266" s="42" t="n"/>
      <c r="K266" s="42" t="n"/>
      <c r="L266" s="42" t="n"/>
      <c r="M266" s="12" t="n"/>
      <c r="N266" s="42" t="n"/>
      <c r="O266" s="42" t="n"/>
      <c r="P266" s="42" t="n"/>
      <c r="Q266" s="42" t="n"/>
      <c r="R266" s="12" t="n"/>
      <c r="S266" s="42" t="n"/>
      <c r="T266" s="42" t="n"/>
      <c r="U266" s="42" t="n"/>
      <c r="V266" s="42" t="n"/>
      <c r="W266" s="12" t="n"/>
      <c r="X266" s="42" t="n"/>
      <c r="Y266" s="42" t="n"/>
      <c r="Z266" s="42" t="n"/>
      <c r="AA266" s="42" t="n"/>
      <c r="AB266" s="12" t="n"/>
      <c r="AC266" s="42" t="n"/>
      <c r="AD266" s="42" t="n"/>
      <c r="AE266" s="42" t="n"/>
      <c r="AF266" s="42" t="n"/>
      <c r="AG266" s="12" t="n"/>
      <c r="AH266" s="42" t="n"/>
      <c r="AI266" s="42" t="n"/>
      <c r="AJ266" s="42" t="n"/>
      <c r="AK266" s="42" t="n"/>
      <c r="AL266" s="12" t="n"/>
      <c r="AM266" s="42" t="n"/>
      <c r="AN266" s="42" t="n"/>
      <c r="AO266" s="42" t="n"/>
      <c r="AP266" s="42" t="n"/>
      <c r="AQ266" s="12" t="n"/>
      <c r="AR266" s="42" t="n"/>
      <c r="AS266" s="42" t="n"/>
      <c r="AT266" s="42" t="n"/>
      <c r="AU266" s="42" t="n"/>
      <c r="AV266" s="12" t="n"/>
      <c r="AW266" s="42" t="n"/>
      <c r="AX266" s="42" t="n"/>
      <c r="AY266" s="42" t="n"/>
      <c r="AZ266" s="42" t="n"/>
      <c r="BA266" s="12" t="n"/>
      <c r="BB266" s="42" t="n"/>
      <c r="BC266" s="42" t="n"/>
      <c r="BD266" s="42" t="n"/>
      <c r="BE266" s="42" t="n"/>
      <c r="BF266" s="12" t="n"/>
      <c r="BG266" s="42" t="n"/>
      <c r="BH266" s="42" t="n"/>
      <c r="BI266" s="42" t="n"/>
      <c r="BJ266" s="42" t="n"/>
      <c r="BK266" s="12" t="n"/>
      <c r="BL266" s="42" t="n"/>
      <c r="BM266" s="42" t="n"/>
      <c r="BN266" s="42" t="n"/>
      <c r="BO266" s="42" t="n"/>
      <c r="BP266" s="12" t="n"/>
      <c r="BQ266" s="42" t="n"/>
      <c r="BR266" s="42" t="n"/>
      <c r="BS266" s="42" t="n"/>
      <c r="BT266" s="42" t="n"/>
      <c r="BU266" s="12" t="n"/>
      <c r="BV266" s="42" t="n"/>
      <c r="BW266" s="42" t="n"/>
      <c r="BX266" s="42" t="n"/>
      <c r="BY266" s="42" t="n"/>
      <c r="BZ266" s="12" t="n"/>
      <c r="CA266" s="42" t="n"/>
      <c r="CB266" s="42" t="n"/>
      <c r="CC266" s="42" t="n"/>
      <c r="CD266" s="42" t="n"/>
      <c r="CE266" s="12" t="n"/>
      <c r="CF266" s="42" t="n"/>
      <c r="CG266" s="42" t="n"/>
      <c r="CH266" s="42" t="n"/>
      <c r="CI266" s="42" t="n"/>
      <c r="CJ266" s="12" t="n"/>
      <c r="CK266" s="42" t="n"/>
      <c r="CL266" s="42" t="n"/>
      <c r="CM266" s="42" t="n"/>
      <c r="CN266" s="42" t="n"/>
      <c r="CO266" s="12" t="n"/>
      <c r="CP266" s="42" t="n"/>
      <c r="CQ266" s="42" t="n"/>
      <c r="CR266" s="42" t="n"/>
      <c r="CS266" s="42" t="n"/>
      <c r="CT266" s="12" t="n"/>
      <c r="CU266" s="42" t="n"/>
      <c r="CV266" s="42" t="n"/>
      <c r="CW266" s="42" t="n"/>
      <c r="CX266" s="42" t="n"/>
      <c r="CY266" s="12" t="n"/>
    </row>
    <row r="267" collapsed="1">
      <c r="C267" s="14" t="inlineStr">
        <is>
          <t>Treasury stock (contra account)</t>
        </is>
      </c>
      <c r="D267" s="46" t="n"/>
      <c r="E267" s="46" t="n"/>
      <c r="F267" s="46" t="n"/>
      <c r="G267" s="46" t="n"/>
      <c r="H267" s="12" t="n"/>
      <c r="I267" s="46">
        <f>'Inputs (2)'!D44</f>
        <v>0</v>
      </c>
      <c r="J267" s="46">
        <f>'Inputs (2)'!E44</f>
        <v>0</v>
      </c>
      <c r="K267" s="46">
        <f>'Inputs (2)'!F44</f>
        <v>0</v>
      </c>
      <c r="L267" s="46">
        <f>'Inputs (2)'!G44</f>
        <v>0</v>
      </c>
      <c r="M267" s="12">
        <f>'Inputs (2)'!H44</f>
        <v>0</v>
      </c>
      <c r="N267" s="46">
        <f>'Inputs (2)'!I44</f>
        <v>0</v>
      </c>
      <c r="O267" s="46">
        <f>'Inputs (2)'!J44</f>
        <v>0</v>
      </c>
      <c r="P267" s="46">
        <f>'Inputs (2)'!K44</f>
        <v>0</v>
      </c>
      <c r="Q267" s="46">
        <f>'Inputs (2)'!L44</f>
        <v>0</v>
      </c>
      <c r="R267" s="12">
        <f>'Inputs (2)'!M44</f>
        <v>0</v>
      </c>
      <c r="S267" s="46">
        <f>'Inputs (2)'!N44</f>
        <v>0</v>
      </c>
      <c r="T267" s="46">
        <f>'Inputs (2)'!O44</f>
        <v>0</v>
      </c>
      <c r="U267" s="46">
        <f>'Inputs (2)'!P44</f>
        <v>0</v>
      </c>
      <c r="V267" s="46">
        <f>'Inputs (2)'!Q44</f>
        <v>0</v>
      </c>
      <c r="W267" s="12">
        <f>'Inputs (2)'!R44</f>
        <v>0</v>
      </c>
      <c r="X267" s="46">
        <f>'Inputs (2)'!S44</f>
        <v>0</v>
      </c>
      <c r="Y267" s="46">
        <f>'Inputs (2)'!T44</f>
        <v>0</v>
      </c>
      <c r="Z267" s="46">
        <f>'Inputs (2)'!U44</f>
        <v>0</v>
      </c>
      <c r="AA267" s="46">
        <f>'Inputs (2)'!V44</f>
        <v>0</v>
      </c>
      <c r="AB267" s="12">
        <f>'Inputs (2)'!W44</f>
        <v>0</v>
      </c>
      <c r="AC267" s="46">
        <f>'Inputs (2)'!X44</f>
        <v>0</v>
      </c>
      <c r="AD267" s="46">
        <f>'Inputs (2)'!Y44</f>
        <v>0</v>
      </c>
      <c r="AE267" s="46">
        <f>'Inputs (2)'!Z44</f>
        <v>0</v>
      </c>
      <c r="AF267" s="46">
        <f>'Inputs (2)'!AA44</f>
        <v>0</v>
      </c>
      <c r="AG267" s="12">
        <f>'Inputs (2)'!AB44</f>
        <v>0</v>
      </c>
      <c r="AH267" s="12">
        <f>'Inputs (2)'!AC44</f>
        <v>0</v>
      </c>
      <c r="AI267" s="12">
        <f>'Inputs (2)'!AD44</f>
        <v>0</v>
      </c>
      <c r="AJ267" s="12">
        <f>AI267</f>
        <v>0</v>
      </c>
      <c r="AK267" s="12">
        <f>AJ267</f>
        <v>0</v>
      </c>
      <c r="AL267" s="12">
        <f>AK267</f>
        <v>0</v>
      </c>
      <c r="AM267" s="12">
        <f>AL267</f>
        <v>0</v>
      </c>
      <c r="AN267" s="12">
        <f>AM267</f>
        <v>0</v>
      </c>
      <c r="AO267" s="12">
        <f>AN267</f>
        <v>0</v>
      </c>
      <c r="AP267" s="12">
        <f>AO267</f>
        <v>0</v>
      </c>
      <c r="AQ267" s="12">
        <f>AP267</f>
        <v>0</v>
      </c>
      <c r="AR267" s="12">
        <f>AQ267</f>
        <v>0</v>
      </c>
      <c r="AS267" s="12">
        <f>AR267</f>
        <v>0</v>
      </c>
      <c r="AT267" s="12">
        <f>AS267</f>
        <v>0</v>
      </c>
      <c r="AU267" s="12">
        <f>AT267</f>
        <v>0</v>
      </c>
      <c r="AV267" s="12">
        <f>AU267</f>
        <v>0</v>
      </c>
      <c r="AW267" s="12">
        <f>AV267</f>
        <v>0</v>
      </c>
      <c r="AX267" s="12">
        <f>AW267</f>
        <v>0</v>
      </c>
      <c r="AY267" s="12">
        <f>AX267</f>
        <v>0</v>
      </c>
      <c r="AZ267" s="12">
        <f>AY267</f>
        <v>0</v>
      </c>
      <c r="BA267" s="12">
        <f>AZ267</f>
        <v>0</v>
      </c>
      <c r="BB267" s="12">
        <f>BA267</f>
        <v>0</v>
      </c>
      <c r="BC267" s="12">
        <f>BB267</f>
        <v>0</v>
      </c>
      <c r="BD267" s="12">
        <f>BC267</f>
        <v>0</v>
      </c>
      <c r="BE267" s="12">
        <f>BD267</f>
        <v>0</v>
      </c>
      <c r="BF267" s="12">
        <f>BE267</f>
        <v>0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>
      <c r="C268" s="14" t="inlineStr">
        <is>
          <t>Comprehensive (accumulated) loss</t>
        </is>
      </c>
      <c r="D268" s="46" t="n"/>
      <c r="E268" s="46" t="n"/>
      <c r="F268" s="46" t="n"/>
      <c r="G268" s="46" t="n"/>
      <c r="H268" s="12" t="n"/>
      <c r="I268" s="46">
        <f>'Inputs (2)'!D45</f>
        <v>-4826</v>
      </c>
      <c r="J268" s="46">
        <f>'Inputs (2)'!E45</f>
        <v>-4086</v>
      </c>
      <c r="K268" s="46">
        <f>'Inputs (2)'!F45</f>
        <v>-4856</v>
      </c>
      <c r="L268" s="46">
        <f>'Inputs (2)'!G45</f>
        <v>-5384</v>
      </c>
      <c r="M268" s="12">
        <f>'Inputs (2)'!H45</f>
        <v>-5384</v>
      </c>
      <c r="N268" s="46">
        <f>'Inputs (2)'!I45</f>
        <v>-6026</v>
      </c>
      <c r="O268" s="46">
        <f>'Inputs (2)'!J45</f>
        <v>-7730</v>
      </c>
      <c r="P268" s="46">
        <f>'Inputs (2)'!K45</f>
        <v>-9086</v>
      </c>
      <c r="Q268" s="46">
        <f>'Inputs (2)'!L45</f>
        <v>-8393</v>
      </c>
      <c r="R268" s="12">
        <f>'Inputs (2)'!M45</f>
        <v>-8393</v>
      </c>
      <c r="S268" s="46">
        <f>'Inputs (2)'!N45</f>
        <v>-7549</v>
      </c>
      <c r="T268" s="46">
        <f>'Inputs (2)'!O45</f>
        <v>-7650</v>
      </c>
      <c r="U268" s="46">
        <f>'Inputs (2)'!P45</f>
        <v>-8688</v>
      </c>
      <c r="V268" s="46">
        <f>'Inputs (2)'!Q45</f>
        <v>-7027</v>
      </c>
      <c r="W268" s="12">
        <f>'Inputs (2)'!R45</f>
        <v>-7027</v>
      </c>
      <c r="X268" s="46">
        <f>'Inputs (2)'!S45</f>
        <v>-3439</v>
      </c>
      <c r="Y268" s="46">
        <f>'Inputs (2)'!T45</f>
        <v>-3423</v>
      </c>
      <c r="Z268" s="46">
        <f>'Inputs (2)'!U45</f>
        <v>-2453</v>
      </c>
      <c r="AA268" s="46">
        <f>'Inputs (2)'!V45</f>
        <v>-3387</v>
      </c>
      <c r="AB268" s="12">
        <f>'Inputs (2)'!W45</f>
        <v>-3387</v>
      </c>
      <c r="AC268" s="46">
        <f>'Inputs (2)'!X45</f>
        <v>-2905</v>
      </c>
      <c r="AD268" s="46">
        <f>'Inputs (2)'!Y45</f>
        <v>-2535</v>
      </c>
      <c r="AE268" s="46">
        <f>'Inputs (2)'!Z45</f>
        <v>-2211</v>
      </c>
      <c r="AF268" s="46">
        <f>'Inputs (2)'!AA45</f>
        <v>-2061</v>
      </c>
      <c r="AG268" s="12">
        <f>'Inputs (2)'!AB45</f>
        <v>-2061</v>
      </c>
      <c r="AH268" s="12">
        <f>'Inputs (2)'!AC45</f>
        <v>-2562</v>
      </c>
      <c r="AI268" s="12">
        <f>'Inputs (2)'!AD45</f>
        <v>-2519</v>
      </c>
      <c r="AJ268" s="12">
        <f>AI268</f>
        <v>-2519</v>
      </c>
      <c r="AK268" s="12">
        <f>AJ268</f>
        <v>-2519</v>
      </c>
      <c r="AL268" s="12">
        <f>AK268</f>
        <v>-2519</v>
      </c>
      <c r="AM268" s="12">
        <f>AL268</f>
        <v>-2519</v>
      </c>
      <c r="AN268" s="12">
        <f>AM268</f>
        <v>-2519</v>
      </c>
      <c r="AO268" s="12">
        <f>AN268</f>
        <v>-2519</v>
      </c>
      <c r="AP268" s="12">
        <f>AO268</f>
        <v>-2519</v>
      </c>
      <c r="AQ268" s="12">
        <f>AP268</f>
        <v>-2519</v>
      </c>
      <c r="AR268" s="12">
        <f>AQ268</f>
        <v>-2519</v>
      </c>
      <c r="AS268" s="12">
        <f>AR268</f>
        <v>-2519</v>
      </c>
      <c r="AT268" s="12">
        <f>AS268</f>
        <v>-2519</v>
      </c>
      <c r="AU268" s="12">
        <f>AT268</f>
        <v>-2519</v>
      </c>
      <c r="AV268" s="12">
        <f>AU268</f>
        <v>-2519</v>
      </c>
      <c r="AW268" s="12">
        <f>AV268</f>
        <v>-2519</v>
      </c>
      <c r="AX268" s="12">
        <f>AW268</f>
        <v>-2519</v>
      </c>
      <c r="AY268" s="12">
        <f>AX268</f>
        <v>-2519</v>
      </c>
      <c r="AZ268" s="12">
        <f>AY268</f>
        <v>-2519</v>
      </c>
      <c r="BA268" s="12">
        <f>AZ268</f>
        <v>-2519</v>
      </c>
      <c r="BB268" s="12">
        <f>BA268</f>
        <v>-2519</v>
      </c>
      <c r="BC268" s="12">
        <f>BB268</f>
        <v>-2519</v>
      </c>
      <c r="BD268" s="12">
        <f>BC268</f>
        <v>-2519</v>
      </c>
      <c r="BE268" s="12">
        <f>BD268</f>
        <v>-2519</v>
      </c>
      <c r="BF268" s="12">
        <f>BE268</f>
        <v>-2519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>
      <c r="C269" s="14" t="inlineStr">
        <is>
          <t>Other equity account</t>
        </is>
      </c>
      <c r="D269" s="46" t="n"/>
      <c r="E269" s="46" t="n"/>
      <c r="F269" s="46" t="n"/>
      <c r="G269" s="46" t="n"/>
      <c r="H269" s="12" t="n"/>
      <c r="I269" s="46">
        <f>'Inputs (2)'!D46</f>
        <v>0</v>
      </c>
      <c r="J269" s="46">
        <f>'Inputs (2)'!E46</f>
        <v>0</v>
      </c>
      <c r="K269" s="46">
        <f>'Inputs (2)'!F46</f>
        <v>0</v>
      </c>
      <c r="L269" s="46">
        <f>'Inputs (2)'!G46</f>
        <v>0</v>
      </c>
      <c r="M269" s="12">
        <f>'Inputs (2)'!H46</f>
        <v>0</v>
      </c>
      <c r="N269" s="46">
        <f>'Inputs (2)'!I46</f>
        <v>0</v>
      </c>
      <c r="O269" s="46">
        <f>'Inputs (2)'!J46</f>
        <v>0</v>
      </c>
      <c r="P269" s="46">
        <f>'Inputs (2)'!K46</f>
        <v>0</v>
      </c>
      <c r="Q269" s="46">
        <f>'Inputs (2)'!L46</f>
        <v>0</v>
      </c>
      <c r="R269" s="12">
        <f>'Inputs (2)'!M46</f>
        <v>0</v>
      </c>
      <c r="S269" s="46">
        <f>'Inputs (2)'!N46</f>
        <v>0</v>
      </c>
      <c r="T269" s="46">
        <f>'Inputs (2)'!O46</f>
        <v>0</v>
      </c>
      <c r="U269" s="46">
        <f>'Inputs (2)'!P46</f>
        <v>0</v>
      </c>
      <c r="V269" s="46">
        <f>'Inputs (2)'!Q46</f>
        <v>0</v>
      </c>
      <c r="W269" s="12">
        <f>'Inputs (2)'!R46</f>
        <v>0</v>
      </c>
      <c r="X269" s="46">
        <f>'Inputs (2)'!S46</f>
        <v>0</v>
      </c>
      <c r="Y269" s="46">
        <f>'Inputs (2)'!T46</f>
        <v>0</v>
      </c>
      <c r="Z269" s="46">
        <f>'Inputs (2)'!U46</f>
        <v>0</v>
      </c>
      <c r="AA269" s="46">
        <f>'Inputs (2)'!V46</f>
        <v>0</v>
      </c>
      <c r="AB269" s="12">
        <f>'Inputs (2)'!W46</f>
        <v>0</v>
      </c>
      <c r="AC269" s="46">
        <f>'Inputs (2)'!X46</f>
        <v>0</v>
      </c>
      <c r="AD269" s="46">
        <f>'Inputs (2)'!Y46</f>
        <v>0</v>
      </c>
      <c r="AE269" s="46">
        <f>'Inputs (2)'!Z46</f>
        <v>0</v>
      </c>
      <c r="AF269" s="46">
        <f>'Inputs (2)'!AA46</f>
        <v>0</v>
      </c>
      <c r="AG269" s="12">
        <f>'Inputs (2)'!AB46</f>
        <v>0</v>
      </c>
      <c r="AH269" s="12">
        <f>'Inputs (2)'!AC46</f>
        <v>0</v>
      </c>
      <c r="AI269" s="12">
        <f>'Inputs (2)'!AD46</f>
        <v>0</v>
      </c>
      <c r="AJ269" s="12">
        <f>AI269</f>
        <v>0</v>
      </c>
      <c r="AK269" s="12">
        <f>AJ269</f>
        <v>0</v>
      </c>
      <c r="AL269" s="12">
        <f>AK269</f>
        <v>0</v>
      </c>
      <c r="AM269" s="12">
        <f>AL269</f>
        <v>0</v>
      </c>
      <c r="AN269" s="12">
        <f>AM269</f>
        <v>0</v>
      </c>
      <c r="AO269" s="12">
        <f>AN269</f>
        <v>0</v>
      </c>
      <c r="AP269" s="12">
        <f>AO269</f>
        <v>0</v>
      </c>
      <c r="AQ269" s="12">
        <f>AP269</f>
        <v>0</v>
      </c>
      <c r="AR269" s="12">
        <f>AQ269</f>
        <v>0</v>
      </c>
      <c r="AS269" s="12">
        <f>AR269</f>
        <v>0</v>
      </c>
      <c r="AT269" s="12">
        <f>AS269</f>
        <v>0</v>
      </c>
      <c r="AU269" s="12">
        <f>AT269</f>
        <v>0</v>
      </c>
      <c r="AV269" s="12">
        <f>AU269</f>
        <v>0</v>
      </c>
      <c r="AW269" s="12">
        <f>AV269</f>
        <v>0</v>
      </c>
      <c r="AX269" s="12">
        <f>AW269</f>
        <v>0</v>
      </c>
      <c r="AY269" s="12">
        <f>AX269</f>
        <v>0</v>
      </c>
      <c r="AZ269" s="12">
        <f>AY269</f>
        <v>0</v>
      </c>
      <c r="BA269" s="12">
        <f>AZ269</f>
        <v>0</v>
      </c>
      <c r="BB269" s="12">
        <f>BA269</f>
        <v>0</v>
      </c>
      <c r="BC269" s="12">
        <f>BB269</f>
        <v>0</v>
      </c>
      <c r="BD269" s="12">
        <f>BC269</f>
        <v>0</v>
      </c>
      <c r="BE269" s="12">
        <f>BD269</f>
        <v>0</v>
      </c>
      <c r="BF269" s="12">
        <f>BE269</f>
        <v>0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>
      <c r="C270" s="15" t="inlineStr">
        <is>
          <t>Retained earnings</t>
        </is>
      </c>
      <c r="D270" s="46" t="n"/>
      <c r="E270" s="46" t="n"/>
      <c r="F270" s="46" t="n"/>
      <c r="G270" s="46" t="n"/>
      <c r="H270" s="12" t="n"/>
      <c r="I270" s="46">
        <f>'Inputs (2)'!D47</f>
        <v>71220</v>
      </c>
      <c r="J270" s="46">
        <f>'Inputs (2)'!E47</f>
        <v>73090</v>
      </c>
      <c r="K270" s="46">
        <f>'Inputs (2)'!F47</f>
        <v>75124</v>
      </c>
      <c r="L270" s="46">
        <f>'Inputs (2)'!G47</f>
        <v>77134</v>
      </c>
      <c r="M270" s="12">
        <f>'Inputs (2)'!H47</f>
        <v>77134</v>
      </c>
      <c r="N270" s="46">
        <f>'Inputs (2)'!I47</f>
        <v>78782</v>
      </c>
      <c r="O270" s="46">
        <f>'Inputs (2)'!J47</f>
        <v>80540</v>
      </c>
      <c r="P270" s="46">
        <f>'Inputs (2)'!K47</f>
        <v>83722</v>
      </c>
      <c r="Q270" s="46">
        <f>'Inputs (2)'!L47</f>
        <v>86156</v>
      </c>
      <c r="R270" s="12">
        <f>'Inputs (2)'!M47</f>
        <v>86156</v>
      </c>
      <c r="S270" s="46">
        <f>'Inputs (2)'!N47</f>
        <v>88852</v>
      </c>
      <c r="T270" s="46">
        <f>'Inputs (2)'!O47</f>
        <v>89994</v>
      </c>
      <c r="U270" s="46">
        <f>'Inputs (2)'!P47</f>
        <v>93173</v>
      </c>
      <c r="V270" s="46">
        <f>'Inputs (2)'!Q47</f>
        <v>95774</v>
      </c>
      <c r="W270" s="12">
        <f>'Inputs (2)'!R47</f>
        <v>95774</v>
      </c>
      <c r="X270" s="46">
        <f>'Inputs (2)'!S47</f>
        <v>90118</v>
      </c>
      <c r="Y270" s="46">
        <f>'Inputs (2)'!T47</f>
        <v>92400</v>
      </c>
      <c r="Z270" s="46">
        <f>'Inputs (2)'!U47</f>
        <v>96518</v>
      </c>
      <c r="AA270" s="46">
        <f>'Inputs (2)'!V47</f>
        <v>96036</v>
      </c>
      <c r="AB270" s="12">
        <f>'Inputs (2)'!W47</f>
        <v>96036</v>
      </c>
      <c r="AC270" s="46">
        <f>'Inputs (2)'!X47</f>
        <v>97934</v>
      </c>
      <c r="AD270" s="46">
        <f>'Inputs (2)'!Y47</f>
        <v>97250</v>
      </c>
      <c r="AE270" s="46">
        <f>'Inputs (2)'!Z47</f>
        <v>97595</v>
      </c>
      <c r="AF270" s="46">
        <f>'Inputs (2)'!AA47</f>
        <v>95603</v>
      </c>
      <c r="AG270" s="12">
        <f>'Inputs (2)'!AB47</f>
        <v>95603</v>
      </c>
      <c r="AH270" s="12">
        <f>'Inputs (2)'!AC47</f>
        <v>99878</v>
      </c>
      <c r="AI270" s="12">
        <f>'Inputs (2)'!AD47</f>
        <v>100957</v>
      </c>
      <c r="AJ270" s="12">
        <f>AI270+AJ137+AJ138</f>
        <v>105068.365265908</v>
      </c>
      <c r="AK270" s="12">
        <f>AJ270+AK137+AK138</f>
        <v>109181.692459727</v>
      </c>
      <c r="AL270" s="12">
        <f>AK270</f>
        <v>109181.692459727</v>
      </c>
      <c r="AM270" s="12">
        <f>AL270+AM137+AM138</f>
        <v>113240.739648003</v>
      </c>
      <c r="AN270" s="12">
        <f>AM270+AN137+AN138</f>
        <v>117311.086087768</v>
      </c>
      <c r="AO270" s="12">
        <f>AN270+AO137+AO138</f>
        <v>121762.243866003</v>
      </c>
      <c r="AP270" s="12">
        <f>AO270+AP137+AP138</f>
        <v>126215.525719847</v>
      </c>
      <c r="AQ270" s="12">
        <f>AP270</f>
        <v>126215.525719847</v>
      </c>
      <c r="AR270" s="12">
        <f>AQ270+AR137+AR138</f>
        <v>130589.746245892</v>
      </c>
      <c r="AS270" s="12">
        <f>AR270+AS137+AS138</f>
        <v>134976.143377801</v>
      </c>
      <c r="AT270" s="12">
        <f>AS270+AT137+AT138</f>
        <v>139772.920753156</v>
      </c>
      <c r="AU270" s="12">
        <f>AT270+AU137+AU138</f>
        <v>144571.987132481</v>
      </c>
      <c r="AV270" s="12">
        <f>AU270</f>
        <v>144571.987132481</v>
      </c>
      <c r="AW270" s="12">
        <f>AV270+AW137+AW138</f>
        <v>149263.982196704</v>
      </c>
      <c r="AX270" s="12">
        <f>AW270+AX137+AX138</f>
        <v>153969.038462178</v>
      </c>
      <c r="AY270" s="12">
        <f>AX270+AY137+AY138</f>
        <v>159114.287915272</v>
      </c>
      <c r="AZ270" s="12">
        <f>AY270+AZ137+AZ138</f>
        <v>164261.992661889</v>
      </c>
      <c r="BA270" s="12">
        <f>AZ270</f>
        <v>164261.992661889</v>
      </c>
      <c r="BB270" s="12">
        <f>BA270+BB137+BB138</f>
        <v>169271.387695046</v>
      </c>
      <c r="BC270" s="12">
        <f>BB270+BC137+BC138</f>
        <v>174294.727482146</v>
      </c>
      <c r="BD270" s="12">
        <f>BC270+BD137+BD138</f>
        <v>179788.038259732</v>
      </c>
      <c r="BE270" s="12">
        <f>BD270+BE137+BE138</f>
        <v>185283.970424387</v>
      </c>
      <c r="BF270" s="12">
        <f>BE270</f>
        <v>185283.970424387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customFormat="1" s="32">
      <c r="A271" s="30" t="inlineStr">
        <is>
          <t xml:space="preserve"> </t>
        </is>
      </c>
      <c r="B271" s="30" t="n"/>
      <c r="C271" s="65" t="inlineStr">
        <is>
          <t>Total Shareholders' Equity</t>
        </is>
      </c>
      <c r="D271" s="35" t="n"/>
      <c r="E271" s="35" t="n"/>
      <c r="F271" s="35" t="n"/>
      <c r="G271" s="35" t="n"/>
      <c r="H271" s="35" t="n"/>
      <c r="I271" s="35">
        <f>SUM(I248+I253+I254+I267+I268+I269+I270)</f>
        <v>70582</v>
      </c>
      <c r="J271" s="35">
        <f>SUM(J248+J253+J254+J267+J268+J269+J270)</f>
        <v>73321</v>
      </c>
      <c r="K271" s="35">
        <f>SUM(K248+K253+K254+K267+K268+K269+K270)</f>
        <v>74632</v>
      </c>
      <c r="L271" s="35">
        <f>SUM(L248+L253+L254+L267+L268+L269+L270)</f>
        <v>76479</v>
      </c>
      <c r="M271" s="35">
        <f>SUM(M248,M253,M254,M267,M268,M269,M270)</f>
        <v>76479</v>
      </c>
      <c r="N271" s="35">
        <f>SUM(N248+N253+N254+N267+N268+N269+N270)</f>
        <v>77647</v>
      </c>
      <c r="O271" s="35">
        <f>SUM(O248+O253+O254+O267+O268+O269+O270)</f>
        <v>81127</v>
      </c>
      <c r="P271" s="35">
        <f>SUM(P248+P253+P254+P267+P268+P269+P270)</f>
        <v>82921</v>
      </c>
      <c r="Q271" s="35">
        <f>SUM(Q248+Q253+Q254+Q267+Q268+Q269+Q270)</f>
        <v>86347</v>
      </c>
      <c r="R271" s="35">
        <f>SUM(R248,R253,R254,R267,R268,R269,R270)</f>
        <v>86347</v>
      </c>
      <c r="S271" s="35">
        <f>SUM(S248+S253+S254+S267+S268+S269+S270)</f>
        <v>90622</v>
      </c>
      <c r="T271" s="35">
        <f>SUM(T248+T253+T254+T267+T268+T269+T270)</f>
        <v>92156</v>
      </c>
      <c r="U271" s="35">
        <f>SUM(U248+U253+U254+U267+U268+U269+U270)</f>
        <v>93980</v>
      </c>
      <c r="V271" s="35">
        <f>SUM(V248+V253+V254+V267+V268+V269+V270)</f>
        <v>98919</v>
      </c>
      <c r="W271" s="35">
        <f>SUM(W248,W253,W254,W267,W268,W269,W270)</f>
        <v>98919</v>
      </c>
      <c r="X271" s="35">
        <f>SUM(X248+X253+X254+X267+X268+X269+X270)</f>
        <v>96918</v>
      </c>
      <c r="Y271" s="35">
        <f>SUM(Y248+Y253+Y254+Y267+Y268+Y269+Y270)</f>
        <v>99234</v>
      </c>
      <c r="Z271" s="35">
        <f>SUM(Z248+Z253+Z254+Z267+Z268+Z269+Z270)</f>
        <v>104455</v>
      </c>
      <c r="AA271" s="35">
        <f>SUM(AA248+AA253+AA254+AA267+AA268+AA269+AA270)</f>
        <v>102591</v>
      </c>
      <c r="AB271" s="35">
        <f>SUM(AB248,AB253,AB254,AB267,AB268,AB269,AB270)</f>
        <v>102591</v>
      </c>
      <c r="AC271" s="35">
        <f>SUM(AC248+AC253+AC254+AC267+AC268+AC269+AC270)</f>
        <v>105169</v>
      </c>
      <c r="AD271" s="35">
        <f>SUM(AD248+AD253+AD254+AD267+AD268+AD269+AD270)</f>
        <v>104784</v>
      </c>
      <c r="AE271" s="35">
        <f>SUM(AE248+AE253+AE254+AE267+AE268+AE269+AE270)</f>
        <v>105813</v>
      </c>
      <c r="AF271" s="35">
        <f>SUM(AF248+AF253+AF254+AF267+AF268+AF269+AF270)</f>
        <v>101698</v>
      </c>
      <c r="AG271" s="35">
        <f>SUM(AG248,AG253,AG254,AG267,AG268,AG269,AG270)</f>
        <v>101698</v>
      </c>
      <c r="AH271" s="35">
        <f>SUM(AH248+AH253+AH254+AH267+AH268+AH269+AH270)</f>
        <v>105319</v>
      </c>
      <c r="AI271" s="35">
        <f>SUM(AI248+AI253+AI254+AI267+AI268+AI269+AI270)</f>
        <v>105949</v>
      </c>
      <c r="AJ271" s="35">
        <f>SUM(AJ248+AJ253+AJ254+AJ267+AJ268+AJ269+AJ270)</f>
        <v>110060.365265908</v>
      </c>
      <c r="AK271" s="35">
        <f>SUM(AK248+AK253+AK254+AK267+AK268+AK269+AK270)</f>
        <v>114173.692459727</v>
      </c>
      <c r="AL271" s="35">
        <f>SUM(AL248,AL253,AL254,AL267,AL268,AL269,AL270)</f>
        <v>114173.692459727</v>
      </c>
      <c r="AM271" s="35">
        <f>SUM(AM248+AM253+AM254+AM267+AM268+AM269+AM270)</f>
        <v>118232.739648003</v>
      </c>
      <c r="AN271" s="35">
        <f>SUM(AN248+AN253+AN254+AN267+AN268+AN269+AN270)</f>
        <v>122303.086087768</v>
      </c>
      <c r="AO271" s="35">
        <f>SUM(AO248+AO253+AO254+AO267+AO268+AO269+AO270)</f>
        <v>126754.243866003</v>
      </c>
      <c r="AP271" s="35">
        <f>SUM(AP248+AP253+AP254+AP267+AP268+AP269+AP270)</f>
        <v>131207.525719847</v>
      </c>
      <c r="AQ271" s="35">
        <f>SUM(AQ248,AQ253,AQ254,AQ267,AQ268,AQ269,AQ270)</f>
        <v>131207.525719847</v>
      </c>
      <c r="AR271" s="35">
        <f>SUM(AR248+AR253+AR254+AR267+AR268+AR269+AR270)</f>
        <v>135581.746245892</v>
      </c>
      <c r="AS271" s="35">
        <f>SUM(AS248+AS253+AS254+AS267+AS268+AS269+AS270)</f>
        <v>139968.143377801</v>
      </c>
      <c r="AT271" s="35">
        <f>SUM(AT248+AT253+AT254+AT267+AT268+AT269+AT270)</f>
        <v>144764.920753156</v>
      </c>
      <c r="AU271" s="35">
        <f>SUM(AU248+AU253+AU254+AU267+AU268+AU269+AU270)</f>
        <v>149563.987132481</v>
      </c>
      <c r="AV271" s="35">
        <f>SUM(AV248,AV253,AV254,AV267,AV268,AV269,AV270)</f>
        <v>149563.987132481</v>
      </c>
      <c r="AW271" s="35">
        <f>SUM(AW248+AW253+AW254+AW267+AW268+AW269+AW270)</f>
        <v>154255.982196704</v>
      </c>
      <c r="AX271" s="35">
        <f>SUM(AX248+AX253+AX254+AX267+AX268+AX269+AX270)</f>
        <v>158961.038462178</v>
      </c>
      <c r="AY271" s="35">
        <f>SUM(AY248+AY253+AY254+AY267+AY268+AY269+AY270)</f>
        <v>164106.287915272</v>
      </c>
      <c r="AZ271" s="35">
        <f>SUM(AZ248+AZ253+AZ254+AZ267+AZ268+AZ269+AZ270)</f>
        <v>169253.992661889</v>
      </c>
      <c r="BA271" s="35">
        <f>SUM(BA248,BA253,BA254,BA267,BA268,BA269,BA270)</f>
        <v>169253.992661889</v>
      </c>
      <c r="BB271" s="35">
        <f>SUM(BB248+BB253+BB254+BB267+BB268+BB269+BB270)</f>
        <v>174263.387695046</v>
      </c>
      <c r="BC271" s="35">
        <f>SUM(BC248+BC253+BC254+BC267+BC268+BC269+BC270)</f>
        <v>179286.727482146</v>
      </c>
      <c r="BD271" s="35">
        <f>SUM(BD248+BD253+BD254+BD267+BD268+BD269+BD270)</f>
        <v>184780.038259732</v>
      </c>
      <c r="BE271" s="35">
        <f>SUM(BE248+BE253+BE254+BE267+BE268+BE269+BE270)</f>
        <v>190275.970424387</v>
      </c>
      <c r="BF271" s="35">
        <f>SUM(BF248,BF253,BF254,BF267,BF268,BF269,BF270)</f>
        <v>190275.970424387</v>
      </c>
      <c r="BG271" s="35" t="n"/>
      <c r="BH271" s="35" t="n"/>
      <c r="BI271" s="35" t="n"/>
      <c r="BJ271" s="35" t="n"/>
      <c r="BK271" s="35" t="n"/>
      <c r="BL271" s="35" t="n"/>
      <c r="BM271" s="35" t="n"/>
      <c r="BN271" s="35" t="n"/>
      <c r="BO271" s="35" t="n"/>
      <c r="BP271" s="35" t="n"/>
      <c r="BQ271" s="35" t="n"/>
      <c r="BR271" s="35" t="n"/>
      <c r="BS271" s="35" t="n"/>
      <c r="BT271" s="35" t="n"/>
      <c r="BU271" s="35" t="n"/>
      <c r="BV271" s="35" t="n"/>
      <c r="BW271" s="35" t="n"/>
      <c r="BX271" s="35" t="n"/>
      <c r="BY271" s="35" t="n"/>
      <c r="BZ271" s="35" t="n"/>
      <c r="CA271" s="35" t="n"/>
      <c r="CB271" s="35" t="n"/>
      <c r="CC271" s="35" t="n"/>
      <c r="CD271" s="35" t="n"/>
      <c r="CE271" s="35" t="n"/>
      <c r="CF271" s="35" t="n"/>
      <c r="CG271" s="35" t="n"/>
      <c r="CH271" s="35" t="n"/>
      <c r="CI271" s="35" t="n"/>
      <c r="CJ271" s="35" t="n"/>
      <c r="CK271" s="35" t="n"/>
      <c r="CL271" s="35" t="n"/>
      <c r="CM271" s="35" t="n"/>
      <c r="CN271" s="35" t="n"/>
      <c r="CO271" s="35" t="n"/>
      <c r="CP271" s="35" t="n"/>
      <c r="CQ271" s="35" t="n"/>
      <c r="CR271" s="35" t="n"/>
      <c r="CS271" s="35" t="n"/>
      <c r="CT271" s="35" t="n"/>
      <c r="CU271" s="35" t="n"/>
      <c r="CV271" s="35" t="n"/>
      <c r="CW271" s="35" t="n"/>
      <c r="CX271" s="35" t="n"/>
      <c r="CY271" s="35" t="n"/>
    </row>
    <row r="272">
      <c r="C272" s="10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customFormat="1" s="32">
      <c r="A273" s="30" t="n"/>
      <c r="B273" s="3" t="n"/>
      <c r="C273" s="33" t="inlineStr">
        <is>
          <t>Total Liabilities + Shareholders' Equity</t>
        </is>
      </c>
      <c r="D273" s="35" t="n"/>
      <c r="E273" s="35" t="n"/>
      <c r="F273" s="35" t="n"/>
      <c r="G273" s="35" t="n"/>
      <c r="H273" s="35" t="n"/>
      <c r="I273" s="35">
        <f>I271+I247</f>
        <v>205171</v>
      </c>
      <c r="J273" s="35">
        <f>J271+J247</f>
        <v>210292</v>
      </c>
      <c r="K273" s="35">
        <f>K271+K247</f>
        <v>213045</v>
      </c>
      <c r="L273" s="35">
        <f>L271+L247</f>
        <v>212206</v>
      </c>
      <c r="M273" s="35">
        <f>M271+M247</f>
        <v>212206</v>
      </c>
      <c r="N273" s="35">
        <f>N271+N247</f>
        <v>221238</v>
      </c>
      <c r="O273" s="35">
        <f>O271+O247</f>
        <v>230172</v>
      </c>
      <c r="P273" s="35">
        <f>P271+P247</f>
        <v>243064</v>
      </c>
      <c r="Q273" s="35">
        <f>Q271+Q247</f>
        <v>245705</v>
      </c>
      <c r="R273" s="35">
        <f>R271+R247</f>
        <v>245705</v>
      </c>
      <c r="S273" s="35">
        <f>S271+S247</f>
        <v>283679</v>
      </c>
      <c r="T273" s="35">
        <f>T271+T247</f>
        <v>280164</v>
      </c>
      <c r="U273" s="35">
        <f>U271+U247</f>
        <v>282063</v>
      </c>
      <c r="V273" s="35">
        <f>V271+V247</f>
        <v>273720</v>
      </c>
      <c r="W273" s="35">
        <f>W271+W247</f>
        <v>273720</v>
      </c>
      <c r="X273" s="35">
        <f>X271+X247</f>
        <v>284210</v>
      </c>
      <c r="Y273" s="35">
        <f>Y271+Y247</f>
        <v>286056</v>
      </c>
      <c r="Z273" s="35">
        <f>Z271+Z247</f>
        <v>299309</v>
      </c>
      <c r="AA273" s="35">
        <f>AA271+AA247</f>
        <v>298278</v>
      </c>
      <c r="AB273" s="35">
        <f>AB271+AB247</f>
        <v>298278</v>
      </c>
      <c r="AC273" s="35">
        <f>AC271+AC247</f>
        <v>309790</v>
      </c>
      <c r="AD273" s="35">
        <f>AD271+AD247</f>
        <v>308573</v>
      </c>
      <c r="AE273" s="35">
        <f>AE271+AE247</f>
        <v>315269</v>
      </c>
      <c r="AF273" s="35">
        <f>AF271+AF247</f>
        <v>309581</v>
      </c>
      <c r="AG273" s="35">
        <f>AG271+AG247</f>
        <v>309581</v>
      </c>
      <c r="AH273" s="35">
        <f>AH271+AH247</f>
        <v>312644</v>
      </c>
      <c r="AI273" s="35">
        <f>AI271+AI247</f>
        <v>309727</v>
      </c>
      <c r="AJ273" s="35">
        <f>AJ271+AJ247</f>
        <v>313865.057943431</v>
      </c>
      <c r="AK273" s="35">
        <f>AK271+AK247</f>
        <v>317997.362129364</v>
      </c>
      <c r="AL273" s="35">
        <f>AL271+AL247</f>
        <v>317997.362129364</v>
      </c>
      <c r="AM273" s="35">
        <f>AM271+AM247</f>
        <v>322403.860081481</v>
      </c>
      <c r="AN273" s="35">
        <f>AN271+AN247</f>
        <v>326143.666674878</v>
      </c>
      <c r="AO273" s="35">
        <f>AO271+AO247</f>
        <v>333845.621946155</v>
      </c>
      <c r="AP273" s="35">
        <f>AP271+AP247</f>
        <v>338319.449185921</v>
      </c>
      <c r="AQ273" s="35">
        <f>AQ271+AQ247</f>
        <v>338319.449185921</v>
      </c>
      <c r="AR273" s="35">
        <f>AR271+AR247</f>
        <v>342393.886345344</v>
      </c>
      <c r="AS273" s="35">
        <f>AS271+AS247</f>
        <v>346899.357497096</v>
      </c>
      <c r="AT273" s="35">
        <f>AT271+AT247</f>
        <v>355199.347439467</v>
      </c>
      <c r="AU273" s="35">
        <f>AU271+AU247</f>
        <v>360020.55449483</v>
      </c>
      <c r="AV273" s="35">
        <f>AV271+AV247</f>
        <v>360020.55449483</v>
      </c>
      <c r="AW273" s="35">
        <f>AW271+AW247</f>
        <v>364685.420186762</v>
      </c>
      <c r="AX273" s="35">
        <f>AX271+AX247</f>
        <v>369008.393846209</v>
      </c>
      <c r="AY273" s="35">
        <f>AY271+AY247</f>
        <v>377911.354181846</v>
      </c>
      <c r="AZ273" s="35">
        <f>AZ271+AZ247</f>
        <v>383082.808060924</v>
      </c>
      <c r="BA273" s="35">
        <f>BA271+BA247</f>
        <v>383082.808060924</v>
      </c>
      <c r="BB273" s="35">
        <f>BB271+BB247</f>
        <v>387831.140660984</v>
      </c>
      <c r="BC273" s="35">
        <f>BC271+BC247</f>
        <v>392446.551052872</v>
      </c>
      <c r="BD273" s="35">
        <f>BD271+BD247</f>
        <v>401951.77104464</v>
      </c>
      <c r="BE273" s="35">
        <f>BE271+BE247</f>
        <v>407473.058902248</v>
      </c>
      <c r="BF273" s="35">
        <f>BF271+BF247</f>
        <v>407473.058902248</v>
      </c>
      <c r="BG273" s="35" t="n"/>
      <c r="BH273" s="35" t="n"/>
      <c r="BI273" s="35" t="n"/>
      <c r="BJ273" s="35" t="n"/>
      <c r="BK273" s="35" t="n"/>
      <c r="BL273" s="35" t="n"/>
      <c r="BM273" s="35" t="n"/>
      <c r="BN273" s="35" t="n"/>
      <c r="BO273" s="35" t="n"/>
      <c r="BP273" s="35" t="n"/>
      <c r="BQ273" s="35" t="n"/>
      <c r="BR273" s="35" t="n"/>
      <c r="BS273" s="35" t="n"/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5" t="n"/>
      <c r="CH273" s="35" t="n"/>
      <c r="CI273" s="35" t="n"/>
      <c r="CJ273" s="35" t="n"/>
      <c r="CK273" s="35" t="n"/>
      <c r="CL273" s="35" t="n"/>
      <c r="CM273" s="35" t="n"/>
      <c r="CN273" s="35" t="n"/>
      <c r="CO273" s="35" t="n"/>
      <c r="CP273" s="35" t="n"/>
      <c r="CQ273" s="35" t="n"/>
      <c r="CR273" s="35" t="n"/>
      <c r="CS273" s="35" t="n"/>
      <c r="CT273" s="35" t="n"/>
      <c r="CU273" s="35" t="n"/>
      <c r="CV273" s="35" t="n"/>
      <c r="CW273" s="35" t="n"/>
      <c r="CX273" s="35" t="n"/>
      <c r="CY273" s="35" t="n"/>
    </row>
    <row r="274">
      <c r="C274" s="18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  <c r="CU274" s="3" t="n"/>
      <c r="CV274" s="3" t="n"/>
      <c r="CW274" s="3" t="n"/>
      <c r="CX274" s="3" t="n"/>
      <c r="CY274" s="3" t="n"/>
    </row>
    <row r="275" customFormat="1" s="32">
      <c r="A275" s="30" t="n"/>
      <c r="B275" s="30" t="n"/>
      <c r="C275" s="31" t="inlineStr">
        <is>
          <t>Cash Flow Statement</t>
        </is>
      </c>
      <c r="D275" s="70" t="n"/>
      <c r="E275" s="70" t="n"/>
      <c r="F275" s="70" t="n"/>
      <c r="G275" s="70" t="n"/>
      <c r="H275" s="70" t="n"/>
      <c r="I275" s="70" t="str">
        <f>I142</f>
        <v>1Q21</v>
      </c>
      <c r="J275" s="70" t="str">
        <f>J142</f>
        <v>2Q21</v>
      </c>
      <c r="K275" s="70" t="str">
        <f>K142</f>
        <v>3Q21</v>
      </c>
      <c r="L275" s="70" t="str">
        <f>L142</f>
        <v>4Q21</v>
      </c>
      <c r="M275" s="70">
        <f>M142</f>
        <v>2021</v>
      </c>
      <c r="N275" s="70" t="str">
        <f>N142</f>
        <v>1Q22</v>
      </c>
      <c r="O275" s="70" t="str">
        <f>O142</f>
        <v>2Q22</v>
      </c>
      <c r="P275" s="70" t="str">
        <f>P142</f>
        <v>3Q22</v>
      </c>
      <c r="Q275" s="70" t="str">
        <f>Q142</f>
        <v>4Q22</v>
      </c>
      <c r="R275" s="70">
        <f>R142</f>
        <v>2022</v>
      </c>
      <c r="S275" s="70" t="str">
        <f>S142</f>
        <v>1Q23</v>
      </c>
      <c r="T275" s="70" t="str">
        <f>T142</f>
        <v>2Q23</v>
      </c>
      <c r="U275" s="70" t="str">
        <f>U142</f>
        <v>3Q23</v>
      </c>
      <c r="V275" s="70" t="str">
        <f>V142</f>
        <v>4Q23</v>
      </c>
      <c r="W275" s="70">
        <f>W142</f>
        <v>2023</v>
      </c>
      <c r="X275" s="70" t="str">
        <f>X142</f>
        <v>1Q24</v>
      </c>
      <c r="Y275" s="70" t="str">
        <f>Y142</f>
        <v>2Q24</v>
      </c>
      <c r="Z275" s="70" t="str">
        <f>Z142</f>
        <v>3Q24</v>
      </c>
      <c r="AA275" s="70" t="str">
        <f>AA142</f>
        <v>4Q24</v>
      </c>
      <c r="AB275" s="70">
        <f>AB142</f>
        <v>2024</v>
      </c>
      <c r="AC275" s="70" t="str">
        <f>AC142</f>
        <v>1Q25</v>
      </c>
      <c r="AD275" s="70" t="str">
        <f>AD142</f>
        <v>2Q25</v>
      </c>
      <c r="AE275" s="70" t="str">
        <f>AE142</f>
        <v>3Q25</v>
      </c>
      <c r="AF275" s="70" t="str">
        <f>AF142</f>
        <v>4Q25</v>
      </c>
      <c r="AG275" s="70">
        <f>AG142</f>
        <v>2025</v>
      </c>
      <c r="AH275" s="70" t="str">
        <f>AH142</f>
        <v>1Q26</v>
      </c>
      <c r="AI275" s="70" t="str">
        <f>AI142</f>
        <v>2Q26</v>
      </c>
      <c r="AJ275" s="70" t="str">
        <f>AJ142</f>
        <v>3Q26</v>
      </c>
      <c r="AK275" s="70" t="str">
        <f>AK142</f>
        <v>4Q26</v>
      </c>
      <c r="AL275" s="70">
        <f>AL142</f>
        <v>2026</v>
      </c>
      <c r="AM275" s="70" t="str">
        <f>AM142</f>
        <v>1Q27</v>
      </c>
      <c r="AN275" s="70" t="str">
        <f>AN142</f>
        <v>2Q27</v>
      </c>
      <c r="AO275" s="70" t="str">
        <f>AO142</f>
        <v>3Q27</v>
      </c>
      <c r="AP275" s="70" t="str">
        <f>AP142</f>
        <v>4Q27</v>
      </c>
      <c r="AQ275" s="70">
        <f>AQ142</f>
        <v>2027</v>
      </c>
      <c r="AR275" s="70" t="str">
        <f>AR142</f>
        <v>1Q28</v>
      </c>
      <c r="AS275" s="70" t="str">
        <f>AS142</f>
        <v>2Q28</v>
      </c>
      <c r="AT275" s="70" t="str">
        <f>AT142</f>
        <v>3Q28</v>
      </c>
      <c r="AU275" s="70" t="str">
        <f>AU142</f>
        <v>4Q28</v>
      </c>
      <c r="AV275" s="70">
        <f>AV142</f>
        <v>2028</v>
      </c>
      <c r="AW275" s="70" t="str">
        <f>AW142</f>
        <v>1Q29</v>
      </c>
      <c r="AX275" s="70" t="str">
        <f>AX142</f>
        <v>2Q29</v>
      </c>
      <c r="AY275" s="70" t="str">
        <f>AY142</f>
        <v>3Q29</v>
      </c>
      <c r="AZ275" s="70" t="str">
        <f>AZ142</f>
        <v>4Q29</v>
      </c>
      <c r="BA275" s="70">
        <f>BA142</f>
        <v>2029</v>
      </c>
      <c r="BB275" s="70" t="str">
        <f>BB142</f>
        <v>1Q30</v>
      </c>
      <c r="BC275" s="70" t="str">
        <f>BC142</f>
        <v>2Q30</v>
      </c>
      <c r="BD275" s="70" t="str">
        <f>BD142</f>
        <v>3Q30</v>
      </c>
      <c r="BE275" s="70" t="str">
        <f>BE142</f>
        <v>4Q30</v>
      </c>
      <c r="BF275" s="70">
        <f>BF142</f>
        <v>2030</v>
      </c>
      <c r="BG275" s="70" t="n"/>
      <c r="BH275" s="70" t="n"/>
      <c r="BI275" s="70" t="n"/>
      <c r="BJ275" s="70" t="n"/>
      <c r="BK275" s="70" t="n"/>
      <c r="BL275" s="70" t="n"/>
      <c r="BM275" s="70" t="n"/>
      <c r="BN275" s="70" t="n"/>
      <c r="BO275" s="70" t="n"/>
      <c r="BP275" s="70" t="n"/>
      <c r="BQ275" s="70" t="n"/>
      <c r="BR275" s="70" t="n"/>
      <c r="BS275" s="70" t="n"/>
      <c r="BT275" s="70" t="n"/>
      <c r="BU275" s="70" t="n"/>
      <c r="BV275" s="70" t="n"/>
      <c r="BW275" s="70" t="n"/>
      <c r="BX275" s="70" t="n"/>
      <c r="BY275" s="70" t="n"/>
      <c r="BZ275" s="70" t="n"/>
      <c r="CA275" s="70" t="n"/>
      <c r="CB275" s="70" t="n"/>
      <c r="CC275" s="70" t="n"/>
      <c r="CD275" s="70" t="n"/>
      <c r="CE275" s="70" t="n"/>
      <c r="CF275" s="70" t="n"/>
      <c r="CG275" s="70" t="n"/>
      <c r="CH275" s="70" t="n"/>
      <c r="CI275" s="70" t="n"/>
      <c r="CJ275" s="70" t="n"/>
      <c r="CK275" s="70" t="n"/>
      <c r="CL275" s="70" t="n"/>
      <c r="CM275" s="70" t="n"/>
      <c r="CN275" s="70" t="n"/>
      <c r="CO275" s="70" t="n"/>
      <c r="CP275" s="70" t="n"/>
      <c r="CQ275" s="70" t="n"/>
      <c r="CR275" s="70" t="n"/>
      <c r="CS275" s="70" t="n"/>
      <c r="CT275" s="70" t="n"/>
      <c r="CU275" s="70" t="n"/>
      <c r="CV275" s="70" t="n"/>
      <c r="CW275" s="70" t="n"/>
      <c r="CX275" s="70" t="n"/>
      <c r="CY275" s="70" t="n"/>
    </row>
    <row r="276">
      <c r="C276" s="18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  <c r="CU276" s="3" t="n"/>
      <c r="CV276" s="3" t="n"/>
      <c r="CW276" s="3" t="n"/>
      <c r="CX276" s="3" t="n"/>
      <c r="CY276" s="3" t="n"/>
    </row>
    <row r="277">
      <c r="C277" s="10" t="inlineStr">
        <is>
          <t>Net Income</t>
        </is>
      </c>
      <c r="D277" s="12" t="n"/>
      <c r="E277" s="12" t="n"/>
      <c r="F277" s="12" t="n"/>
      <c r="G277" s="12" t="n"/>
      <c r="H277" s="12" t="n"/>
      <c r="I277" s="12" t="n"/>
      <c r="J277" s="12">
        <f>J137</f>
        <v>4266</v>
      </c>
      <c r="K277" s="12">
        <f>K137</f>
        <v>4086</v>
      </c>
      <c r="L277" s="12">
        <f>L137</f>
        <v>4071</v>
      </c>
      <c r="M277" s="12" t="n"/>
      <c r="N277" s="12">
        <f>N137</f>
        <v>5027</v>
      </c>
      <c r="O277" s="12">
        <f>O137</f>
        <v>5070</v>
      </c>
      <c r="P277" s="12">
        <f>P137</f>
        <v>5262</v>
      </c>
      <c r="Q277" s="12">
        <f>Q137</f>
        <v>4761</v>
      </c>
      <c r="R277" s="12">
        <f>SUM(N277:Q277)</f>
        <v>20120</v>
      </c>
      <c r="S277" s="12">
        <f>S137</f>
        <v>5611</v>
      </c>
      <c r="T277" s="12">
        <f>T137</f>
        <v>5474</v>
      </c>
      <c r="U277" s="12">
        <f>U137</f>
        <v>5841</v>
      </c>
      <c r="V277" s="12">
        <f>V137</f>
        <v>5455</v>
      </c>
      <c r="W277" s="12">
        <f>SUM(S277:V277)</f>
        <v>22381</v>
      </c>
      <c r="X277" s="12">
        <f>X137</f>
        <v>-1409</v>
      </c>
      <c r="Y277" s="12">
        <f>Y137</f>
        <v>4216</v>
      </c>
      <c r="Z277" s="12">
        <f>Z137</f>
        <v>6055</v>
      </c>
      <c r="AA277" s="12">
        <f>AA137</f>
        <v>5543</v>
      </c>
      <c r="AB277" s="12">
        <f>SUM(X277:AA277)</f>
        <v>14405</v>
      </c>
      <c r="AC277" s="12">
        <f>AC137</f>
        <v>6292</v>
      </c>
      <c r="AD277" s="12">
        <f>AD137</f>
        <v>3406</v>
      </c>
      <c r="AE277" s="12">
        <f>AE137</f>
        <v>2348</v>
      </c>
      <c r="AF277" s="12">
        <f>AF137</f>
        <v>10</v>
      </c>
      <c r="AG277" s="12">
        <f>SUM(AC277:AF277)</f>
        <v>12056</v>
      </c>
      <c r="AH277" s="12">
        <f>AH137</f>
        <v>6280</v>
      </c>
      <c r="AI277" s="12">
        <f>AI137</f>
        <v>5484</v>
      </c>
      <c r="AJ277" s="12">
        <f>AJ137</f>
        <v>4111.36526590802</v>
      </c>
      <c r="AK277" s="12">
        <f>AK137</f>
        <v>4113.32719381922</v>
      </c>
      <c r="AL277" s="12">
        <f>SUM(AH277:AK277)</f>
        <v>19988.6924597272</v>
      </c>
      <c r="AM277" s="12">
        <f>AM137</f>
        <v>4059.04718827608</v>
      </c>
      <c r="AN277" s="12">
        <f>AN137</f>
        <v>4070.34643976465</v>
      </c>
      <c r="AO277" s="12">
        <f>AO137</f>
        <v>4451.15777823487</v>
      </c>
      <c r="AP277" s="12">
        <f>AP137</f>
        <v>4453.28185384418</v>
      </c>
      <c r="AQ277" s="12">
        <f>SUM(AM277:AP277)</f>
        <v>17033.8332601198</v>
      </c>
      <c r="AR277" s="12">
        <f>AR137</f>
        <v>4374.22052604533</v>
      </c>
      <c r="AS277" s="12">
        <f>AS137</f>
        <v>4386.39713190815</v>
      </c>
      <c r="AT277" s="12">
        <f>AT137</f>
        <v>4796.77737535507</v>
      </c>
      <c r="AU277" s="12">
        <f>AU137</f>
        <v>4799.06637932524</v>
      </c>
      <c r="AV277" s="12">
        <f>SUM(AR277:AU277)</f>
        <v>18356.4614126338</v>
      </c>
      <c r="AW277" s="12">
        <f>AW137</f>
        <v>4691.99506422323</v>
      </c>
      <c r="AX277" s="12">
        <f>AX137</f>
        <v>4705.05626547432</v>
      </c>
      <c r="AY277" s="12">
        <f>AY137</f>
        <v>5145.24945309317</v>
      </c>
      <c r="AZ277" s="12">
        <f>AZ137</f>
        <v>5147.70474661714</v>
      </c>
      <c r="BA277" s="12">
        <f>SUM(AW277:AZ277)</f>
        <v>19690.0055294079</v>
      </c>
      <c r="BB277" s="12">
        <f>BB137</f>
        <v>5009.39503315704</v>
      </c>
      <c r="BC277" s="12">
        <f>BC137</f>
        <v>5023.33978710045</v>
      </c>
      <c r="BD277" s="12">
        <f>BD137</f>
        <v>5493.31077758623</v>
      </c>
      <c r="BE277" s="12">
        <f>BE137</f>
        <v>5495.93216465413</v>
      </c>
      <c r="BF277" s="12">
        <f>SUM(BB277:BE277)</f>
        <v>21021.9777624978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0" t="inlineStr">
        <is>
          <t>Depreciation &amp; amortization</t>
        </is>
      </c>
      <c r="D278" s="12" t="n"/>
      <c r="E278" s="12" t="n"/>
      <c r="F278" s="12" t="n"/>
      <c r="G278" s="12" t="n"/>
      <c r="H278" s="12" t="n"/>
      <c r="I278" s="12" t="n"/>
      <c r="J278" s="12">
        <f>-J70</f>
        <v>778</v>
      </c>
      <c r="K278" s="12">
        <f>-K70</f>
        <v>796</v>
      </c>
      <c r="L278" s="12">
        <f>-L70</f>
        <v>771</v>
      </c>
      <c r="M278" s="12" t="n"/>
      <c r="N278" s="12">
        <f>-N70</f>
        <v>788</v>
      </c>
      <c r="O278" s="12">
        <f>-O70</f>
        <v>802</v>
      </c>
      <c r="P278" s="12">
        <f>-P70</f>
        <v>828</v>
      </c>
      <c r="Q278" s="12">
        <f>-Q70</f>
        <v>982</v>
      </c>
      <c r="R278" s="12">
        <f>SUM(N278:Q278)</f>
        <v>3400</v>
      </c>
      <c r="S278" s="12">
        <f>-S70</f>
        <v>970</v>
      </c>
      <c r="T278" s="12">
        <f>-T70</f>
        <v>1021</v>
      </c>
      <c r="U278" s="12">
        <f>-U70</f>
        <v>1007</v>
      </c>
      <c r="V278" s="12">
        <f>-V70</f>
        <v>974</v>
      </c>
      <c r="W278" s="12">
        <f>SUM(S278:V278)</f>
        <v>3972</v>
      </c>
      <c r="X278" s="12">
        <f>-X70</f>
        <v>997</v>
      </c>
      <c r="Y278" s="12">
        <f>-Y70</f>
        <v>1020</v>
      </c>
      <c r="Z278" s="12">
        <f>-Z70</f>
        <v>1041</v>
      </c>
      <c r="AA278" s="12">
        <f>-AA70</f>
        <v>1041</v>
      </c>
      <c r="AB278" s="12">
        <f>SUM(X278:AA278)</f>
        <v>4099</v>
      </c>
      <c r="AC278" s="12">
        <f>-AC70</f>
        <v>1061</v>
      </c>
      <c r="AD278" s="12">
        <f>-AD70</f>
        <v>1084</v>
      </c>
      <c r="AE278" s="12">
        <f>-AE70</f>
        <v>1099</v>
      </c>
      <c r="AF278" s="12">
        <f>-AF70</f>
        <v>1117</v>
      </c>
      <c r="AG278" s="12">
        <f>SUM(AC278:AF278)</f>
        <v>4361</v>
      </c>
      <c r="AH278" s="12">
        <f>-AH70</f>
        <v>1029</v>
      </c>
      <c r="AI278" s="12">
        <f>-AI70</f>
        <v>1040</v>
      </c>
      <c r="AJ278" s="12">
        <f>-AJ70</f>
        <v>1173.39793192138</v>
      </c>
      <c r="AK278" s="12">
        <f>-AK70</f>
        <v>1173.957872964</v>
      </c>
      <c r="AL278" s="12">
        <f>SUM(AH278:AK278)</f>
        <v>4416.35580488539</v>
      </c>
      <c r="AM278" s="12">
        <f>-AM70</f>
        <v>1158.46617078489</v>
      </c>
      <c r="AN278" s="12">
        <f>-AN70</f>
        <v>1161.69101641923</v>
      </c>
      <c r="AO278" s="12">
        <f>-AO70</f>
        <v>1270.37589555621</v>
      </c>
      <c r="AP278" s="12">
        <f>-AP70</f>
        <v>1270.98211411525</v>
      </c>
      <c r="AQ278" s="12">
        <f>SUM(AM278:AP278)</f>
        <v>4861.51519687557</v>
      </c>
      <c r="AR278" s="12">
        <f>-AR70</f>
        <v>1248.41773646109</v>
      </c>
      <c r="AS278" s="12">
        <f>-AS70</f>
        <v>1251.89298208223</v>
      </c>
      <c r="AT278" s="12">
        <f>-AT70</f>
        <v>1369.01692943739</v>
      </c>
      <c r="AU278" s="12">
        <f>-AU70</f>
        <v>1369.67021912367</v>
      </c>
      <c r="AV278" s="12">
        <f>SUM(AR278:AU278)</f>
        <v>5238.99786710438</v>
      </c>
      <c r="AW278" s="12">
        <f>-AW70</f>
        <v>1339.11169377186</v>
      </c>
      <c r="AX278" s="12">
        <f>-AX70</f>
        <v>1342.83940599036</v>
      </c>
      <c r="AY278" s="12">
        <f>-AY70</f>
        <v>1468.47207119792</v>
      </c>
      <c r="AZ278" s="12">
        <f>-AZ70</f>
        <v>1469.17282050064</v>
      </c>
      <c r="BA278" s="12">
        <f>SUM(AW278:AZ278)</f>
        <v>5619.59599146078</v>
      </c>
      <c r="BB278" s="12">
        <f>-BB70</f>
        <v>1429.69874771891</v>
      </c>
      <c r="BC278" s="12">
        <f>-BC70</f>
        <v>1433.67862894572</v>
      </c>
      <c r="BD278" s="12">
        <f>-BD70</f>
        <v>1567.80998255515</v>
      </c>
      <c r="BE278" s="12">
        <f>-BE70</f>
        <v>1568.5581355324</v>
      </c>
      <c r="BF278" s="12">
        <f>SUM(BB278:BE278)</f>
        <v>5999.74549475218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0" t="inlineStr">
        <is>
          <t xml:space="preserve">Changes in working capital </t>
        </is>
      </c>
      <c r="D279" s="12" t="n"/>
      <c r="E279" s="12" t="n"/>
      <c r="F279" s="12" t="n"/>
      <c r="G279" s="12" t="n"/>
      <c r="H279" s="12" t="n"/>
      <c r="I279" s="12" t="n"/>
      <c r="J279" s="12">
        <f>SUM(J280:J289)</f>
        <v>1161</v>
      </c>
      <c r="K279" s="12">
        <f>SUM(K280:K289)</f>
        <v>1890</v>
      </c>
      <c r="L279" s="12">
        <f>SUM(L280:L289)</f>
        <v>-1779</v>
      </c>
      <c r="M279" s="12" t="n"/>
      <c r="N279" s="12">
        <f>SUM(N280:N289)</f>
        <v>3708</v>
      </c>
      <c r="O279" s="12">
        <f>SUM(O280:O289)</f>
        <v>1501</v>
      </c>
      <c r="P279" s="12">
        <f>SUM(P280:P289)</f>
        <v>13660</v>
      </c>
      <c r="Q279" s="12">
        <f>SUM(Q280:Q289)</f>
        <v>-11217</v>
      </c>
      <c r="R279" s="12">
        <f>SUM(N279:Q279)</f>
        <v>7652</v>
      </c>
      <c r="S279" s="12">
        <f>SUM(S280:S289)</f>
        <v>14249</v>
      </c>
      <c r="T279" s="12">
        <f>SUM(T280:T289)</f>
        <v>3581</v>
      </c>
      <c r="U279" s="12">
        <f>SUM(U280:U289)</f>
        <v>-2277</v>
      </c>
      <c r="V279" s="12">
        <f>SUM(V280:V289)</f>
        <v>-14299</v>
      </c>
      <c r="W279" s="12">
        <f>SUM(S279:V279)</f>
        <v>1254</v>
      </c>
      <c r="X279" s="12">
        <f>SUM(X280:X289)</f>
        <v>-6413</v>
      </c>
      <c r="Y279" s="12">
        <f>SUM(Y280:Y289)</f>
        <v>-6364</v>
      </c>
      <c r="Z279" s="12">
        <f>SUM(Z280:Z289)</f>
        <v>10331</v>
      </c>
      <c r="AA279" s="12">
        <f>SUM(AA280:AA289)</f>
        <v>-368</v>
      </c>
      <c r="AB279" s="12">
        <f>SUM(X279:AA279)</f>
        <v>-2814</v>
      </c>
      <c r="AC279" s="12">
        <f>SUM(AC280:AC289)</f>
        <v>-785</v>
      </c>
      <c r="AD279" s="12">
        <f>SUM(AD280:AD289)</f>
        <v>1815</v>
      </c>
      <c r="AE279" s="12">
        <f>SUM(AE280:AE289)</f>
        <v>-710</v>
      </c>
      <c r="AF279" s="12">
        <f>SUM(AF280:AF289)</f>
        <v>2290</v>
      </c>
      <c r="AG279" s="12">
        <f>SUM(AC279:AF279)</f>
        <v>2610</v>
      </c>
      <c r="AH279" s="12">
        <f>SUM(AH280:AH289)</f>
        <v>1825</v>
      </c>
      <c r="AI279" s="12">
        <f>SUM(AI280:AI289)</f>
        <v>4710</v>
      </c>
      <c r="AJ279" s="12">
        <f>SUM(AJ280:AJ289)</f>
        <v>-4564.23442015902</v>
      </c>
      <c r="AK279" s="12">
        <f>SUM(AK280:AK289)</f>
        <v>6.49166533798052</v>
      </c>
      <c r="AL279" s="12">
        <f>SUM(AH279:AK279)</f>
        <v>1977.25724517896</v>
      </c>
      <c r="AM279" s="12">
        <f>SUM(AM280:AM289)</f>
        <v>118.856247963857</v>
      </c>
      <c r="AN279" s="12">
        <f>SUM(AN280:AN289)</f>
        <v>-113.071347167152</v>
      </c>
      <c r="AO279" s="12">
        <f>SUM(AO280:AO289)</f>
        <v>1112.03552596031</v>
      </c>
      <c r="AP279" s="12">
        <f>SUM(AP280:AP289)</f>
        <v>7.02818280401334</v>
      </c>
      <c r="AQ279" s="12">
        <f>SUM(AM279:AP279)</f>
        <v>1124.84860956102</v>
      </c>
      <c r="AR279" s="12">
        <f>SUM(AR280:AR289)</f>
        <v>-102.550144845936</v>
      </c>
      <c r="AS279" s="12">
        <f>SUM(AS280:AS289)</f>
        <v>40.7329403225594</v>
      </c>
      <c r="AT279" s="12">
        <f>SUM(AT280:AT289)</f>
        <v>1198.38188562994</v>
      </c>
      <c r="AU279" s="12">
        <f>SUM(AU280:AU289)</f>
        <v>7.5739009812205</v>
      </c>
      <c r="AV279" s="12">
        <f>SUM(AR279:AU279)</f>
        <v>1144.13858208778</v>
      </c>
      <c r="AW279" s="12">
        <f>SUM(AW280:AW289)</f>
        <v>-9.28043836901634</v>
      </c>
      <c r="AX279" s="12">
        <f>SUM(AX280:AX289)</f>
        <v>-130.703137511104</v>
      </c>
      <c r="AY279" s="12">
        <f>SUM(AY280:AY289)</f>
        <v>1285.44088231273</v>
      </c>
      <c r="AZ279" s="12">
        <f>SUM(AZ280:AZ289)</f>
        <v>8.12412310016225</v>
      </c>
      <c r="BA279" s="12">
        <f>SUM(AW279:AZ279)</f>
        <v>1153.58142953277</v>
      </c>
      <c r="BB279" s="12">
        <f>SUM(BB280:BB289)</f>
        <v>-89.3044555123815</v>
      </c>
      <c r="BC279" s="12">
        <f>SUM(BC280:BC289)</f>
        <v>-139.544828778413</v>
      </c>
      <c r="BD279" s="12">
        <f>SUM(BD280:BD289)</f>
        <v>1372.39726025596</v>
      </c>
      <c r="BE279" s="12">
        <f>SUM(BE280:BE289)</f>
        <v>8.67369665773003</v>
      </c>
      <c r="BF279" s="12">
        <f>SUM(BB279:BE279)</f>
        <v>1152.22167262289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 hidden="1" outlineLevel="1">
      <c r="C280" s="10" t="inlineStr">
        <is>
          <t>Accounts receivable</t>
        </is>
      </c>
      <c r="D280" s="12" t="n"/>
      <c r="E280" s="12" t="n"/>
      <c r="F280" s="12" t="n"/>
      <c r="G280" s="12" t="n"/>
      <c r="H280" s="12" t="n"/>
      <c r="I280" s="12" t="n"/>
      <c r="J280" s="12">
        <f>(J145-I145)*-1</f>
        <v>1393</v>
      </c>
      <c r="K280" s="12">
        <f>(K145-J145)*-1</f>
        <v>435</v>
      </c>
      <c r="L280" s="12">
        <f>(L145-K145)*-1</f>
        <v>-64</v>
      </c>
      <c r="M280" s="12" t="n"/>
      <c r="N280" s="12">
        <f>(N145-M145)*-1</f>
        <v>-4655</v>
      </c>
      <c r="O280" s="12">
        <f>(O145-N145)*-1</f>
        <v>153</v>
      </c>
      <c r="P280" s="12">
        <f>(P145-O145)*-1</f>
        <v>1671</v>
      </c>
      <c r="Q280" s="12">
        <f>(Q145-P145)*-1</f>
        <v>-634</v>
      </c>
      <c r="R280" s="12">
        <f>SUM(N280:Q280)</f>
        <v>-3465</v>
      </c>
      <c r="S280" s="12">
        <f>(S145-R145)*-1</f>
        <v>-4733</v>
      </c>
      <c r="T280" s="12">
        <f>(T145-S145)*-1</f>
        <v>4462</v>
      </c>
      <c r="U280" s="12">
        <f>(U145-T145)*-1</f>
        <v>-2721</v>
      </c>
      <c r="V280" s="12">
        <f>(V145-U145)*-1</f>
        <v>-603</v>
      </c>
      <c r="W280" s="12">
        <f>SUM(S280:V280)</f>
        <v>-3595</v>
      </c>
      <c r="X280" s="12">
        <f>(X145-W145)*-1</f>
        <v>-5921</v>
      </c>
      <c r="Y280" s="12">
        <f>(Y145-X145)*-1</f>
        <v>4082</v>
      </c>
      <c r="Z280" s="12">
        <f>(Z145-Y145)*-1</f>
        <v>3091</v>
      </c>
      <c r="AA280" s="12">
        <f>(AA145-Z145)*-1</f>
        <v>-2341</v>
      </c>
      <c r="AB280" s="12">
        <f>SUM(X280:AA280)</f>
        <v>-1089</v>
      </c>
      <c r="AC280" s="12">
        <f>(AC145-AB145)*-1</f>
        <v>-4571</v>
      </c>
      <c r="AD280" s="12">
        <f>(AD145-AC145)*-1</f>
        <v>2794</v>
      </c>
      <c r="AE280" s="12">
        <f>(AE145-AD145)*-1</f>
        <v>1470</v>
      </c>
      <c r="AF280" s="12">
        <f>(AF145-AE145)*-1</f>
        <v>-346</v>
      </c>
      <c r="AG280" s="12">
        <f>SUM(AC280:AF280)</f>
        <v>-653</v>
      </c>
      <c r="AH280" s="12">
        <f>(AH145-AG145)*-1</f>
        <v>-3569</v>
      </c>
      <c r="AI280" s="12">
        <f>(AI145-AH145)*-1</f>
        <v>5014</v>
      </c>
      <c r="AJ280" s="12">
        <f>(AJ145-AI145)*-1</f>
        <v>-4590.92709768181</v>
      </c>
      <c r="AK280" s="12">
        <f>(AK145-AJ145)*-1</f>
        <v>-12.4853267757899</v>
      </c>
      <c r="AL280" s="12">
        <f>SUM(AH280:AK280)</f>
        <v>-3158.4124244576</v>
      </c>
      <c r="AM280" s="12">
        <f>(AM145-AL145)*-1</f>
        <v>-228.594515877172</v>
      </c>
      <c r="AN280" s="12">
        <f>(AN145-AM145)*-1</f>
        <v>217.468499200095</v>
      </c>
      <c r="AO280" s="12">
        <f>(AO145-AN145)*-1</f>
        <v>-2138.7619670816</v>
      </c>
      <c r="AP280" s="12">
        <f>(AP145-AO145)*-1</f>
        <v>-13.5172031180737</v>
      </c>
      <c r="AQ280" s="12">
        <f>SUM(AM280:AP280)</f>
        <v>-2163.40518687675</v>
      </c>
      <c r="AR280" s="12">
        <f>(AR145-AQ145)*-1</f>
        <v>197.23322177662</v>
      </c>
      <c r="AS280" s="12">
        <f>(AS145-AR145)*-1</f>
        <v>-78.3410795208838</v>
      </c>
      <c r="AT280" s="12">
        <f>(AT145-AS145)*-1</f>
        <v>-2304.83068138628</v>
      </c>
      <c r="AU280" s="12">
        <f>(AU145-AT145)*-1</f>
        <v>-14.5667750561224</v>
      </c>
      <c r="AV280" s="12">
        <f>SUM(AR280:AU280)</f>
        <v>-2200.50531418667</v>
      </c>
      <c r="AW280" s="12">
        <f>(AW145-AV145)*-1</f>
        <v>17.8489339217413</v>
      </c>
      <c r="AX280" s="12">
        <f>(AX145-AW145)*-1</f>
        <v>251.379468516163</v>
      </c>
      <c r="AY280" s="12">
        <f>(AY145-AX145)*-1</f>
        <v>-2472.27000023058</v>
      </c>
      <c r="AZ280" s="12">
        <f>(AZ145-AY145)*-1</f>
        <v>-15.6250093606504</v>
      </c>
      <c r="BA280" s="12">
        <f>SUM(AW280:AZ280)</f>
        <v>-2218.66660715333</v>
      </c>
      <c r="BB280" s="12">
        <f>(BB145-BA145)*-1</f>
        <v>171.757977584271</v>
      </c>
      <c r="BC280" s="12">
        <f>(BC145-BB145)*-1</f>
        <v>268.384566434102</v>
      </c>
      <c r="BD280" s="12">
        <f>(BD145-BC145)*-1</f>
        <v>-2639.51195392582</v>
      </c>
      <c r="BE280" s="12">
        <f>(BE145-BD145)*-1</f>
        <v>-16.6819962964364</v>
      </c>
      <c r="BF280" s="12">
        <f>SUM(BB280:BE280)</f>
        <v>-2216.05140620389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 hidden="1" outlineLevel="1">
      <c r="C281" s="10" t="inlineStr">
        <is>
          <t>Inventories</t>
        </is>
      </c>
      <c r="D281" s="12" t="n"/>
      <c r="E281" s="12" t="n"/>
      <c r="F281" s="12" t="n"/>
      <c r="G281" s="12" t="n"/>
      <c r="H281" s="12" t="n"/>
      <c r="I281" s="12" t="n"/>
      <c r="J281" s="12">
        <f>(J149-I149)*-1</f>
        <v>0</v>
      </c>
      <c r="K281" s="12">
        <f>(K149-J149)*-1</f>
        <v>0</v>
      </c>
      <c r="L281" s="12">
        <f>(L149-K149)*-1</f>
        <v>0</v>
      </c>
      <c r="M281" s="12" t="n"/>
      <c r="N281" s="12">
        <f>(N149-M149)*-1</f>
        <v>0</v>
      </c>
      <c r="O281" s="12">
        <f>(O149-N149)*-1</f>
        <v>0</v>
      </c>
      <c r="P281" s="12">
        <f>(P149-O149)*-1</f>
        <v>0</v>
      </c>
      <c r="Q281" s="12">
        <f>(Q149-P149)*-1</f>
        <v>0</v>
      </c>
      <c r="R281" s="12">
        <f>SUM(N281:Q281)</f>
        <v>0</v>
      </c>
      <c r="S281" s="12">
        <f>(S149-R149)*-1</f>
        <v>0</v>
      </c>
      <c r="T281" s="12">
        <f>(T149-S149)*-1</f>
        <v>0</v>
      </c>
      <c r="U281" s="12">
        <f>(U149-T149)*-1</f>
        <v>0</v>
      </c>
      <c r="V281" s="12">
        <f>(V149-U149)*-1</f>
        <v>0</v>
      </c>
      <c r="W281" s="12">
        <f>SUM(S281:V281)</f>
        <v>0</v>
      </c>
      <c r="X281" s="12">
        <f>(X149-W149)*-1</f>
        <v>0</v>
      </c>
      <c r="Y281" s="12">
        <f>(Y149-X149)*-1</f>
        <v>0</v>
      </c>
      <c r="Z281" s="12">
        <f>(Z149-Y149)*-1</f>
        <v>0</v>
      </c>
      <c r="AA281" s="12">
        <f>(AA149-Z149)*-1</f>
        <v>0</v>
      </c>
      <c r="AB281" s="12">
        <f>SUM(X281:AA281)</f>
        <v>0</v>
      </c>
      <c r="AC281" s="12">
        <f>(AC149-AB149)*-1</f>
        <v>0</v>
      </c>
      <c r="AD281" s="12">
        <f>(AD149-AC149)*-1</f>
        <v>0</v>
      </c>
      <c r="AE281" s="12">
        <f>(AE149-AD149)*-1</f>
        <v>0</v>
      </c>
      <c r="AF281" s="12">
        <f>(AF149-AE149)*-1</f>
        <v>0</v>
      </c>
      <c r="AG281" s="12">
        <f>SUM(AC281:AF281)</f>
        <v>0</v>
      </c>
      <c r="AH281" s="12">
        <f>(AH149-AG149)*-1</f>
        <v>0</v>
      </c>
      <c r="AI281" s="12">
        <f>(AI149-AH149)*-1</f>
        <v>0</v>
      </c>
      <c r="AJ281" s="12">
        <f>(AJ149-AI149)*-1</f>
        <v>0</v>
      </c>
      <c r="AK281" s="12">
        <f>(AK149-AJ149)*-1</f>
        <v>0</v>
      </c>
      <c r="AL281" s="12">
        <f>SUM(AH281:AK281)</f>
        <v>0</v>
      </c>
      <c r="AM281" s="12">
        <f>(AM149-AL149)*-1</f>
        <v>0</v>
      </c>
      <c r="AN281" s="12">
        <f>(AN149-AM149)*-1</f>
        <v>0</v>
      </c>
      <c r="AO281" s="12">
        <f>(AO149-AN149)*-1</f>
        <v>0</v>
      </c>
      <c r="AP281" s="12">
        <f>(AP149-AO149)*-1</f>
        <v>0</v>
      </c>
      <c r="AQ281" s="12">
        <f>SUM(AM281:AP281)</f>
        <v>0</v>
      </c>
      <c r="AR281" s="12">
        <f>(AR149-AQ149)*-1</f>
        <v>0</v>
      </c>
      <c r="AS281" s="12">
        <f>(AS149-AR149)*-1</f>
        <v>0</v>
      </c>
      <c r="AT281" s="12">
        <f>(AT149-AS149)*-1</f>
        <v>0</v>
      </c>
      <c r="AU281" s="12">
        <f>(AU149-AT149)*-1</f>
        <v>0</v>
      </c>
      <c r="AV281" s="12">
        <f>SUM(AR281:AU281)</f>
        <v>0</v>
      </c>
      <c r="AW281" s="12">
        <f>(AW149-AV149)*-1</f>
        <v>0</v>
      </c>
      <c r="AX281" s="12">
        <f>(AX149-AW149)*-1</f>
        <v>0</v>
      </c>
      <c r="AY281" s="12">
        <f>(AY149-AX149)*-1</f>
        <v>0</v>
      </c>
      <c r="AZ281" s="12">
        <f>(AZ149-AY149)*-1</f>
        <v>0</v>
      </c>
      <c r="BA281" s="12">
        <f>SUM(AW281:AZ281)</f>
        <v>0</v>
      </c>
      <c r="BB281" s="12">
        <f>(BB149-BA149)*-1</f>
        <v>0</v>
      </c>
      <c r="BC281" s="12">
        <f>(BC149-BB149)*-1</f>
        <v>0</v>
      </c>
      <c r="BD281" s="12">
        <f>(BD149-BC149)*-1</f>
        <v>0</v>
      </c>
      <c r="BE281" s="12">
        <f>(BE149-BD149)*-1</f>
        <v>0</v>
      </c>
      <c r="BF281" s="12">
        <f>SUM(BB281:BE281)</f>
        <v>0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 hidden="1" outlineLevel="1">
      <c r="C282" s="10" t="inlineStr">
        <is>
          <t>Deferred income taxes</t>
        </is>
      </c>
      <c r="D282" s="12" t="n"/>
      <c r="E282" s="12" t="n"/>
      <c r="F282" s="12" t="n"/>
      <c r="G282" s="12" t="n"/>
      <c r="H282" s="12" t="n"/>
      <c r="I282" s="12" t="n"/>
      <c r="J282" s="12">
        <f>(J153-I153)*-1</f>
        <v>0</v>
      </c>
      <c r="K282" s="12">
        <f>(K153-J153)*-1</f>
        <v>0</v>
      </c>
      <c r="L282" s="12">
        <f>(L153-K153)*-1</f>
        <v>0</v>
      </c>
      <c r="M282" s="12" t="n"/>
      <c r="N282" s="12">
        <f>(N153-M153)*-1</f>
        <v>0</v>
      </c>
      <c r="O282" s="12">
        <f>(O153-N153)*-1</f>
        <v>0</v>
      </c>
      <c r="P282" s="12">
        <f>(P153-O153)*-1</f>
        <v>0</v>
      </c>
      <c r="Q282" s="12">
        <f>(Q153-P153)*-1</f>
        <v>0</v>
      </c>
      <c r="R282" s="12">
        <f>SUM(N282:Q282)</f>
        <v>0</v>
      </c>
      <c r="S282" s="12">
        <f>(S153-R153)*-1</f>
        <v>0</v>
      </c>
      <c r="T282" s="12">
        <f>(T153-S153)*-1</f>
        <v>0</v>
      </c>
      <c r="U282" s="12">
        <f>(U153-T153)*-1</f>
        <v>0</v>
      </c>
      <c r="V282" s="12">
        <f>(V153-U153)*-1</f>
        <v>0</v>
      </c>
      <c r="W282" s="12">
        <f>SUM(S282:V282)</f>
        <v>0</v>
      </c>
      <c r="X282" s="12">
        <f>(X153-W153)*-1</f>
        <v>0</v>
      </c>
      <c r="Y282" s="12">
        <f>(Y153-X153)*-1</f>
        <v>0</v>
      </c>
      <c r="Z282" s="12">
        <f>(Z153-Y153)*-1</f>
        <v>0</v>
      </c>
      <c r="AA282" s="12">
        <f>(AA153-Z153)*-1</f>
        <v>0</v>
      </c>
      <c r="AB282" s="12">
        <f>SUM(X282:AA282)</f>
        <v>0</v>
      </c>
      <c r="AC282" s="12">
        <f>(AC153-AB153)*-1</f>
        <v>0</v>
      </c>
      <c r="AD282" s="12">
        <f>(AD153-AC153)*-1</f>
        <v>0</v>
      </c>
      <c r="AE282" s="12">
        <f>(AE153-AD153)*-1</f>
        <v>0</v>
      </c>
      <c r="AF282" s="12">
        <f>(AF153-AE153)*-1</f>
        <v>0</v>
      </c>
      <c r="AG282" s="12">
        <f>SUM(AC282:AF282)</f>
        <v>0</v>
      </c>
      <c r="AH282" s="12">
        <f>(AH153-AG153)*-1</f>
        <v>0</v>
      </c>
      <c r="AI282" s="12">
        <f>(AI153-AH153)*-1</f>
        <v>0</v>
      </c>
      <c r="AJ282" s="12">
        <f>(AJ153-AI153)*-1</f>
        <v>0</v>
      </c>
      <c r="AK282" s="12">
        <f>(AK153-AJ153)*-1</f>
        <v>0</v>
      </c>
      <c r="AL282" s="12">
        <f>SUM(AH282:AK282)</f>
        <v>0</v>
      </c>
      <c r="AM282" s="12">
        <f>(AM153-AL153)*-1</f>
        <v>0</v>
      </c>
      <c r="AN282" s="12">
        <f>(AN153-AM153)*-1</f>
        <v>0</v>
      </c>
      <c r="AO282" s="12">
        <f>(AO153-AN153)*-1</f>
        <v>0</v>
      </c>
      <c r="AP282" s="12">
        <f>(AP153-AO153)*-1</f>
        <v>0</v>
      </c>
      <c r="AQ282" s="12">
        <f>SUM(AM282:AP282)</f>
        <v>0</v>
      </c>
      <c r="AR282" s="12">
        <f>(AR153-AQ153)*-1</f>
        <v>0</v>
      </c>
      <c r="AS282" s="12">
        <f>(AS153-AR153)*-1</f>
        <v>0</v>
      </c>
      <c r="AT282" s="12">
        <f>(AT153-AS153)*-1</f>
        <v>0</v>
      </c>
      <c r="AU282" s="12">
        <f>(AU153-AT153)*-1</f>
        <v>0</v>
      </c>
      <c r="AV282" s="12">
        <f>SUM(AR282:AU282)</f>
        <v>0</v>
      </c>
      <c r="AW282" s="12">
        <f>(AW153-AV153)*-1</f>
        <v>0</v>
      </c>
      <c r="AX282" s="12">
        <f>(AX153-AW153)*-1</f>
        <v>0</v>
      </c>
      <c r="AY282" s="12">
        <f>(AY153-AX153)*-1</f>
        <v>0</v>
      </c>
      <c r="AZ282" s="12">
        <f>(AZ153-AY153)*-1</f>
        <v>0</v>
      </c>
      <c r="BA282" s="12">
        <f>SUM(AW282:AZ282)</f>
        <v>0</v>
      </c>
      <c r="BB282" s="12">
        <f>(BB153-BA153)*-1</f>
        <v>0</v>
      </c>
      <c r="BC282" s="12">
        <f>(BC153-BB153)*-1</f>
        <v>0</v>
      </c>
      <c r="BD282" s="12">
        <f>(BD153-BC153)*-1</f>
        <v>0</v>
      </c>
      <c r="BE282" s="12">
        <f>(BE153-BD153)*-1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 hidden="1" outlineLevel="1">
      <c r="C283" s="10" t="inlineStr">
        <is>
          <t>Prepaid expenses</t>
        </is>
      </c>
      <c r="D283" s="12" t="n"/>
      <c r="E283" s="12" t="n"/>
      <c r="F283" s="12" t="n"/>
      <c r="G283" s="12" t="n"/>
      <c r="H283" s="12" t="n"/>
      <c r="I283" s="12" t="n"/>
      <c r="J283" s="12">
        <f>(J154-I154)*-1</f>
        <v>0</v>
      </c>
      <c r="K283" s="12">
        <f>(K154-J154)*-1</f>
        <v>0</v>
      </c>
      <c r="L283" s="12">
        <f>(L154-K154)*-1</f>
        <v>0</v>
      </c>
      <c r="M283" s="12" t="n"/>
      <c r="N283" s="12">
        <f>(N154-M154)*-1</f>
        <v>0</v>
      </c>
      <c r="O283" s="12">
        <f>(O154-N154)*-1</f>
        <v>0</v>
      </c>
      <c r="P283" s="12">
        <f>(P154-O154)*-1</f>
        <v>0</v>
      </c>
      <c r="Q283" s="12">
        <f>(Q154-P154)*-1</f>
        <v>0</v>
      </c>
      <c r="R283" s="12">
        <f>SUM(N283:Q283)</f>
        <v>0</v>
      </c>
      <c r="S283" s="12">
        <f>(S154-R154)*-1</f>
        <v>0</v>
      </c>
      <c r="T283" s="12">
        <f>(T154-S154)*-1</f>
        <v>0</v>
      </c>
      <c r="U283" s="12">
        <f>(U154-T154)*-1</f>
        <v>0</v>
      </c>
      <c r="V283" s="12">
        <f>(V154-U154)*-1</f>
        <v>0</v>
      </c>
      <c r="W283" s="12">
        <f>SUM(S283:V283)</f>
        <v>0</v>
      </c>
      <c r="X283" s="12">
        <f>(X154-W154)*-1</f>
        <v>0</v>
      </c>
      <c r="Y283" s="12">
        <f>(Y154-X154)*-1</f>
        <v>0</v>
      </c>
      <c r="Z283" s="12">
        <f>(Z154-Y154)*-1</f>
        <v>0</v>
      </c>
      <c r="AA283" s="12">
        <f>(AA154-Z154)*-1</f>
        <v>0</v>
      </c>
      <c r="AB283" s="12">
        <f>SUM(X283:AA283)</f>
        <v>0</v>
      </c>
      <c r="AC283" s="12">
        <f>(AC154-AB154)*-1</f>
        <v>0</v>
      </c>
      <c r="AD283" s="12">
        <f>(AD154-AC154)*-1</f>
        <v>0</v>
      </c>
      <c r="AE283" s="12">
        <f>(AE154-AD154)*-1</f>
        <v>0</v>
      </c>
      <c r="AF283" s="12">
        <f>(AF154-AE154)*-1</f>
        <v>0</v>
      </c>
      <c r="AG283" s="12">
        <f>SUM(AC283:AF283)</f>
        <v>0</v>
      </c>
      <c r="AH283" s="12">
        <f>(AH154-AG154)*-1</f>
        <v>0</v>
      </c>
      <c r="AI283" s="12">
        <f>(AI154-AH154)*-1</f>
        <v>0</v>
      </c>
      <c r="AJ283" s="12">
        <f>(AJ154-AI154)*-1</f>
        <v>0</v>
      </c>
      <c r="AK283" s="12">
        <f>(AK154-AJ154)*-1</f>
        <v>0</v>
      </c>
      <c r="AL283" s="12">
        <f>SUM(AH283:AK283)</f>
        <v>0</v>
      </c>
      <c r="AM283" s="12">
        <f>(AM154-AL154)*-1</f>
        <v>0</v>
      </c>
      <c r="AN283" s="12">
        <f>(AN154-AM154)*-1</f>
        <v>0</v>
      </c>
      <c r="AO283" s="12">
        <f>(AO154-AN154)*-1</f>
        <v>0</v>
      </c>
      <c r="AP283" s="12">
        <f>(AP154-AO154)*-1</f>
        <v>0</v>
      </c>
      <c r="AQ283" s="12">
        <f>SUM(AM283:AP283)</f>
        <v>0</v>
      </c>
      <c r="AR283" s="12">
        <f>(AR154-AQ154)*-1</f>
        <v>0</v>
      </c>
      <c r="AS283" s="12">
        <f>(AS154-AR154)*-1</f>
        <v>0</v>
      </c>
      <c r="AT283" s="12">
        <f>(AT154-AS154)*-1</f>
        <v>0</v>
      </c>
      <c r="AU283" s="12">
        <f>(AU154-AT154)*-1</f>
        <v>0</v>
      </c>
      <c r="AV283" s="12">
        <f>SUM(AR283:AU283)</f>
        <v>0</v>
      </c>
      <c r="AW283" s="12">
        <f>(AW154-AV154)*-1</f>
        <v>0</v>
      </c>
      <c r="AX283" s="12">
        <f>(AX154-AW154)*-1</f>
        <v>0</v>
      </c>
      <c r="AY283" s="12">
        <f>(AY154-AX154)*-1</f>
        <v>0</v>
      </c>
      <c r="AZ283" s="12">
        <f>(AZ154-AY154)*-1</f>
        <v>0</v>
      </c>
      <c r="BA283" s="12">
        <f>SUM(AW283:AZ283)</f>
        <v>0</v>
      </c>
      <c r="BB283" s="12">
        <f>(BB154-BA154)*-1</f>
        <v>0</v>
      </c>
      <c r="BC283" s="12">
        <f>(BC154-BB154)*-1</f>
        <v>0</v>
      </c>
      <c r="BD283" s="12">
        <f>(BD154-BC154)*-1</f>
        <v>0</v>
      </c>
      <c r="BE283" s="12">
        <f>(BE154-BD154)*-1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 hidden="1" outlineLevel="1">
      <c r="C284" s="10" t="inlineStr">
        <is>
          <t>Other current assets</t>
        </is>
      </c>
      <c r="D284" s="12" t="n"/>
      <c r="E284" s="12" t="n"/>
      <c r="F284" s="12" t="n"/>
      <c r="G284" s="12" t="n"/>
      <c r="H284" s="12" t="n"/>
      <c r="I284" s="12" t="n"/>
      <c r="J284" s="12">
        <f>(J155-I155)*-1</f>
        <v>-1157</v>
      </c>
      <c r="K284" s="12">
        <f>(K155-J155)*-1</f>
        <v>-1819</v>
      </c>
      <c r="L284" s="12">
        <f>(L155-K155)*-1</f>
        <v>-48</v>
      </c>
      <c r="M284" s="12" t="n"/>
      <c r="N284" s="12">
        <f>(N155-M155)*-1</f>
        <v>1873</v>
      </c>
      <c r="O284" s="12">
        <f>(O155-N155)*-1</f>
        <v>88</v>
      </c>
      <c r="P284" s="12">
        <f>(P155-O155)*-1</f>
        <v>-1689</v>
      </c>
      <c r="Q284" s="12">
        <f>(Q155-P155)*-1</f>
        <v>-114</v>
      </c>
      <c r="R284" s="12">
        <f>SUM(N284:Q284)</f>
        <v>158</v>
      </c>
      <c r="S284" s="12">
        <f>(S155-R155)*-1</f>
        <v>-1507</v>
      </c>
      <c r="T284" s="12">
        <f>(T155-S155)*-1</f>
        <v>-654</v>
      </c>
      <c r="U284" s="12">
        <f>(U155-T155)*-1</f>
        <v>-1497</v>
      </c>
      <c r="V284" s="12">
        <f>(V155-U155)*-1</f>
        <v>-398</v>
      </c>
      <c r="W284" s="12">
        <f>SUM(S284:V284)</f>
        <v>-4056</v>
      </c>
      <c r="X284" s="12">
        <f>(X155-W155)*-1</f>
        <v>-1502</v>
      </c>
      <c r="Y284" s="12">
        <f>(Y155-X155)*-1</f>
        <v>-8565</v>
      </c>
      <c r="Z284" s="12">
        <f>(Z155-Y155)*-1</f>
        <v>2500</v>
      </c>
      <c r="AA284" s="12">
        <f>(AA155-Z155)*-1</f>
        <v>799</v>
      </c>
      <c r="AB284" s="12">
        <f>SUM(X284:AA284)</f>
        <v>-6768</v>
      </c>
      <c r="AC284" s="12">
        <f>(AC155-AB155)*-1</f>
        <v>-757</v>
      </c>
      <c r="AD284" s="12">
        <f>(AD155-AC155)*-1</f>
        <v>-2479</v>
      </c>
      <c r="AE284" s="12">
        <f>(AE155-AD155)*-1</f>
        <v>-4244</v>
      </c>
      <c r="AF284" s="12">
        <f>(AF155-AE155)*-1</f>
        <v>2338</v>
      </c>
      <c r="AG284" s="12">
        <f>SUM(AC284:AF284)</f>
        <v>-5142</v>
      </c>
      <c r="AH284" s="12">
        <f>(AH155-AG155)*-1</f>
        <v>6132</v>
      </c>
      <c r="AI284" s="12">
        <f>(AI155-AH155)*-1</f>
        <v>-508</v>
      </c>
      <c r="AJ284" s="12">
        <f>(AJ155-AI155)*-1</f>
        <v>0</v>
      </c>
      <c r="AK284" s="12">
        <f>(AK155-AJ155)*-1</f>
        <v>0</v>
      </c>
      <c r="AL284" s="12">
        <f>SUM(AH284:AK284)</f>
        <v>5624</v>
      </c>
      <c r="AM284" s="12">
        <f>(AM155-AL155)*-1</f>
        <v>0</v>
      </c>
      <c r="AN284" s="12">
        <f>(AN155-AM155)*-1</f>
        <v>0</v>
      </c>
      <c r="AO284" s="12">
        <f>(AO155-AN155)*-1</f>
        <v>0</v>
      </c>
      <c r="AP284" s="12">
        <f>(AP155-AO155)*-1</f>
        <v>0</v>
      </c>
      <c r="AQ284" s="12">
        <f>SUM(AM284:AP284)</f>
        <v>0</v>
      </c>
      <c r="AR284" s="12">
        <f>(AR155-AQ155)*-1</f>
        <v>0</v>
      </c>
      <c r="AS284" s="12">
        <f>(AS155-AR155)*-1</f>
        <v>0</v>
      </c>
      <c r="AT284" s="12">
        <f>(AT155-AS155)*-1</f>
        <v>0</v>
      </c>
      <c r="AU284" s="12">
        <f>(AU155-AT155)*-1</f>
        <v>0</v>
      </c>
      <c r="AV284" s="12">
        <f>SUM(AR284:AU284)</f>
        <v>0</v>
      </c>
      <c r="AW284" s="12">
        <f>(AW155-AV155)*-1</f>
        <v>0</v>
      </c>
      <c r="AX284" s="12">
        <f>(AX155-AW155)*-1</f>
        <v>0</v>
      </c>
      <c r="AY284" s="12">
        <f>(AY155-AX155)*-1</f>
        <v>0</v>
      </c>
      <c r="AZ284" s="12">
        <f>(AZ155-AY155)*-1</f>
        <v>0</v>
      </c>
      <c r="BA284" s="12">
        <f>SUM(AW284:AZ284)</f>
        <v>0</v>
      </c>
      <c r="BB284" s="12">
        <f>(BB155-BA155)*-1</f>
        <v>0</v>
      </c>
      <c r="BC284" s="12">
        <f>(BC155-BB155)*-1</f>
        <v>0</v>
      </c>
      <c r="BD284" s="12">
        <f>(BD155-BC155)*-1</f>
        <v>0</v>
      </c>
      <c r="BE284" s="12">
        <f>(BE155-BD155)*-1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 hidden="1" outlineLevel="1">
      <c r="C285" s="10" t="inlineStr">
        <is>
          <t>Accounts payable</t>
        </is>
      </c>
      <c r="D285" s="12" t="n"/>
      <c r="E285" s="12" t="n"/>
      <c r="F285" s="12" t="n"/>
      <c r="G285" s="12" t="n"/>
      <c r="H285" s="12" t="n"/>
      <c r="I285" s="12" t="n"/>
      <c r="J285" s="12">
        <f>J198-I198</f>
        <v>16</v>
      </c>
      <c r="K285" s="12">
        <f>K198-J198</f>
        <v>1279</v>
      </c>
      <c r="L285" s="12">
        <f>L198-K198</f>
        <v>351</v>
      </c>
      <c r="M285" s="12" t="n"/>
      <c r="N285" s="12">
        <f>N198-M198</f>
        <v>415</v>
      </c>
      <c r="O285" s="12">
        <f>O198-N198</f>
        <v>87</v>
      </c>
      <c r="P285" s="12">
        <f>P198-O198</f>
        <v>2087</v>
      </c>
      <c r="Q285" s="12">
        <f>Q198-P198</f>
        <v>483</v>
      </c>
      <c r="R285" s="12">
        <f>SUM(N285:Q285)</f>
        <v>3072</v>
      </c>
      <c r="S285" s="12">
        <f>S198-R198</f>
        <v>2141</v>
      </c>
      <c r="T285" s="12">
        <f>T198-S198</f>
        <v>-340</v>
      </c>
      <c r="U285" s="12">
        <f>U198-T198</f>
        <v>1648</v>
      </c>
      <c r="V285" s="12">
        <f>V198-U198</f>
        <v>794</v>
      </c>
      <c r="W285" s="12">
        <f>SUM(S285:V285)</f>
        <v>4243</v>
      </c>
      <c r="X285" s="12">
        <f>X198-W198</f>
        <v>-1220</v>
      </c>
      <c r="Y285" s="12">
        <f>Y198-X198</f>
        <v>148</v>
      </c>
      <c r="Z285" s="12">
        <f>Z198-Y198</f>
        <v>2194</v>
      </c>
      <c r="AA285" s="12">
        <f>AA198-Z198</f>
        <v>1257</v>
      </c>
      <c r="AB285" s="12">
        <f>SUM(X285:AA285)</f>
        <v>2379</v>
      </c>
      <c r="AC285" s="12">
        <f>AC198-AB198</f>
        <v>-771</v>
      </c>
      <c r="AD285" s="12">
        <f>AD198-AC198</f>
        <v>764</v>
      </c>
      <c r="AE285" s="12">
        <f>AE198-AD198</f>
        <v>1703</v>
      </c>
      <c r="AF285" s="12">
        <f>AF198-AE198</f>
        <v>1999</v>
      </c>
      <c r="AG285" s="12">
        <f>SUM(AC285:AF285)</f>
        <v>3695</v>
      </c>
      <c r="AH285" s="12">
        <f>AH198-AG198</f>
        <v>599</v>
      </c>
      <c r="AI285" s="12">
        <f>AI198-AH198</f>
        <v>1110</v>
      </c>
      <c r="AJ285" s="12">
        <f>AJ198-AI198</f>
        <v>26.6926775227912</v>
      </c>
      <c r="AK285" s="12">
        <f>AK198-AJ198</f>
        <v>18.9769921137704</v>
      </c>
      <c r="AL285" s="12">
        <f>SUM(AH285:AK285)</f>
        <v>1754.66966963656</v>
      </c>
      <c r="AM285" s="12">
        <f>AM198-AL198</f>
        <v>347.450763841029</v>
      </c>
      <c r="AN285" s="12">
        <f>AN198-AM198</f>
        <v>-330.539846367246</v>
      </c>
      <c r="AO285" s="12">
        <f>AO198-AN198</f>
        <v>3250.79749304191</v>
      </c>
      <c r="AP285" s="12">
        <f>AP198-AO198</f>
        <v>20.545385922087</v>
      </c>
      <c r="AQ285" s="12">
        <f>SUM(AM285:AP285)</f>
        <v>3288.25379643778</v>
      </c>
      <c r="AR285" s="12">
        <f>AR198-AQ198</f>
        <v>-299.783366622556</v>
      </c>
      <c r="AS285" s="12">
        <f>AS198-AR198</f>
        <v>119.074019843443</v>
      </c>
      <c r="AT285" s="12">
        <f>AT198-AS198</f>
        <v>3503.21256701622</v>
      </c>
      <c r="AU285" s="12">
        <f>AU198-AT198</f>
        <v>22.1406760373429</v>
      </c>
      <c r="AV285" s="12">
        <f>SUM(AR285:AU285)</f>
        <v>3344.64389627445</v>
      </c>
      <c r="AW285" s="12">
        <f>AW198-AV198</f>
        <v>-27.1293722907576</v>
      </c>
      <c r="AX285" s="12">
        <f>AX198-AW198</f>
        <v>-382.082606027267</v>
      </c>
      <c r="AY285" s="12">
        <f>AY198-AX198</f>
        <v>3757.71088254331</v>
      </c>
      <c r="AZ285" s="12">
        <f>AZ198-AY198</f>
        <v>23.7491324608127</v>
      </c>
      <c r="BA285" s="12">
        <f>SUM(AW285:AZ285)</f>
        <v>3372.2480366861</v>
      </c>
      <c r="BB285" s="12">
        <f>BB198-BA198</f>
        <v>-261.062433096653</v>
      </c>
      <c r="BC285" s="12">
        <f>BC198-BB198</f>
        <v>-407.929395212515</v>
      </c>
      <c r="BD285" s="12">
        <f>BD198-BC198</f>
        <v>4011.90921418178</v>
      </c>
      <c r="BE285" s="12">
        <f>BE198-BD198</f>
        <v>25.3556929541664</v>
      </c>
      <c r="BF285" s="12">
        <f>SUM(BB285:BE285)</f>
        <v>3368.27307882678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 hidden="1" outlineLevel="1">
      <c r="C286" s="10" t="inlineStr">
        <is>
          <t>Accrued expenses</t>
        </is>
      </c>
      <c r="D286" s="12" t="n"/>
      <c r="E286" s="12" t="n"/>
      <c r="F286" s="12" t="n"/>
      <c r="G286" s="12" t="n"/>
      <c r="H286" s="12" t="n"/>
      <c r="I286" s="12" t="n"/>
      <c r="J286" s="12">
        <f>J202-I202</f>
        <v>0</v>
      </c>
      <c r="K286" s="12">
        <f>K202-J202</f>
        <v>0</v>
      </c>
      <c r="L286" s="12">
        <f>L202-K202</f>
        <v>0</v>
      </c>
      <c r="M286" s="12" t="n"/>
      <c r="N286" s="12">
        <f>N202-M202</f>
        <v>0</v>
      </c>
      <c r="O286" s="12">
        <f>O202-N202</f>
        <v>0</v>
      </c>
      <c r="P286" s="12">
        <f>P202-O202</f>
        <v>0</v>
      </c>
      <c r="Q286" s="12">
        <f>Q202-P202</f>
        <v>0</v>
      </c>
      <c r="R286" s="12">
        <f>SUM(N286:Q286)</f>
        <v>0</v>
      </c>
      <c r="S286" s="12">
        <f>S202-R202</f>
        <v>0</v>
      </c>
      <c r="T286" s="12">
        <f>T202-S202</f>
        <v>0</v>
      </c>
      <c r="U286" s="12">
        <f>U202-T202</f>
        <v>0</v>
      </c>
      <c r="V286" s="12">
        <f>V202-U202</f>
        <v>0</v>
      </c>
      <c r="W286" s="12">
        <f>SUM(S286:V286)</f>
        <v>0</v>
      </c>
      <c r="X286" s="12">
        <f>X202-W202</f>
        <v>0</v>
      </c>
      <c r="Y286" s="12">
        <f>Y202-X202</f>
        <v>0</v>
      </c>
      <c r="Z286" s="12">
        <f>Z202-Y202</f>
        <v>0</v>
      </c>
      <c r="AA286" s="12">
        <f>AA202-Z202</f>
        <v>0</v>
      </c>
      <c r="AB286" s="12">
        <f>SUM(X286:AA286)</f>
        <v>0</v>
      </c>
      <c r="AC286" s="12">
        <f>AC202-AB202</f>
        <v>0</v>
      </c>
      <c r="AD286" s="12">
        <f>AD202-AC202</f>
        <v>0</v>
      </c>
      <c r="AE286" s="12">
        <f>AE202-AD202</f>
        <v>0</v>
      </c>
      <c r="AF286" s="12">
        <f>AF202-AE202</f>
        <v>0</v>
      </c>
      <c r="AG286" s="12">
        <f>SUM(AC286:AF286)</f>
        <v>0</v>
      </c>
      <c r="AH286" s="12">
        <f>AH202-AG202</f>
        <v>0</v>
      </c>
      <c r="AI286" s="12">
        <f>AI202-AH202</f>
        <v>0</v>
      </c>
      <c r="AJ286" s="12">
        <f>AJ202-AI202</f>
        <v>0</v>
      </c>
      <c r="AK286" s="12">
        <f>AK202-AJ202</f>
        <v>0</v>
      </c>
      <c r="AL286" s="12">
        <f>SUM(AH286:AK286)</f>
        <v>0</v>
      </c>
      <c r="AM286" s="12">
        <f>AM202-AL202</f>
        <v>0</v>
      </c>
      <c r="AN286" s="12">
        <f>AN202-AM202</f>
        <v>0</v>
      </c>
      <c r="AO286" s="12">
        <f>AO202-AN202</f>
        <v>0</v>
      </c>
      <c r="AP286" s="12">
        <f>AP202-AO202</f>
        <v>0</v>
      </c>
      <c r="AQ286" s="12">
        <f>SUM(AM286:AP286)</f>
        <v>0</v>
      </c>
      <c r="AR286" s="12">
        <f>AR202-AQ202</f>
        <v>0</v>
      </c>
      <c r="AS286" s="12">
        <f>AS202-AR202</f>
        <v>0</v>
      </c>
      <c r="AT286" s="12">
        <f>AT202-AS202</f>
        <v>0</v>
      </c>
      <c r="AU286" s="12">
        <f>AU202-AT202</f>
        <v>0</v>
      </c>
      <c r="AV286" s="12">
        <f>SUM(AR286:AU286)</f>
        <v>0</v>
      </c>
      <c r="AW286" s="12">
        <f>AW202-AV202</f>
        <v>0</v>
      </c>
      <c r="AX286" s="12">
        <f>AX202-AW202</f>
        <v>0</v>
      </c>
      <c r="AY286" s="12">
        <f>AY202-AX202</f>
        <v>0</v>
      </c>
      <c r="AZ286" s="12">
        <f>AZ202-AY202</f>
        <v>0</v>
      </c>
      <c r="BA286" s="12">
        <f>SUM(AW286:AZ286)</f>
        <v>0</v>
      </c>
      <c r="BB286" s="12">
        <f>BB202-BA202</f>
        <v>0</v>
      </c>
      <c r="BC286" s="12">
        <f>BC202-BB202</f>
        <v>0</v>
      </c>
      <c r="BD286" s="12">
        <f>BD202-BC202</f>
        <v>0</v>
      </c>
      <c r="BE286" s="12">
        <f>BE202-BD202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 hidden="1" outlineLevel="1">
      <c r="C287" s="10" t="inlineStr">
        <is>
          <t>Taxes payable</t>
        </is>
      </c>
      <c r="D287" s="12" t="n"/>
      <c r="E287" s="12" t="n"/>
      <c r="F287" s="12" t="n"/>
      <c r="G287" s="12" t="n"/>
      <c r="H287" s="12" t="n"/>
      <c r="I287" s="12" t="n"/>
      <c r="J287" s="12">
        <f>J204-I204</f>
        <v>0</v>
      </c>
      <c r="K287" s="12">
        <f>K204-J204</f>
        <v>0</v>
      </c>
      <c r="L287" s="12">
        <f>L204-K204</f>
        <v>0</v>
      </c>
      <c r="M287" s="12" t="n"/>
      <c r="N287" s="12">
        <f>N204-M204</f>
        <v>0</v>
      </c>
      <c r="O287" s="12">
        <f>O204-N204</f>
        <v>0</v>
      </c>
      <c r="P287" s="12">
        <f>P204-O204</f>
        <v>0</v>
      </c>
      <c r="Q287" s="12">
        <f>Q204-P204</f>
        <v>0</v>
      </c>
      <c r="R287" s="12">
        <f>SUM(N287:Q287)</f>
        <v>0</v>
      </c>
      <c r="S287" s="12">
        <f>S204-R204</f>
        <v>0</v>
      </c>
      <c r="T287" s="12">
        <f>T204-S204</f>
        <v>0</v>
      </c>
      <c r="U287" s="12">
        <f>U204-T204</f>
        <v>0</v>
      </c>
      <c r="V287" s="12">
        <f>V204-U204</f>
        <v>0</v>
      </c>
      <c r="W287" s="12">
        <f>SUM(S287:V287)</f>
        <v>0</v>
      </c>
      <c r="X287" s="12">
        <f>X204-W204</f>
        <v>0</v>
      </c>
      <c r="Y287" s="12">
        <f>Y204-X204</f>
        <v>0</v>
      </c>
      <c r="Z287" s="12">
        <f>Z204-Y204</f>
        <v>0</v>
      </c>
      <c r="AA287" s="12">
        <f>AA204-Z204</f>
        <v>0</v>
      </c>
      <c r="AB287" s="12">
        <f>SUM(X287:AA287)</f>
        <v>0</v>
      </c>
      <c r="AC287" s="12">
        <f>AC204-AB204</f>
        <v>0</v>
      </c>
      <c r="AD287" s="12">
        <f>AD204-AC204</f>
        <v>0</v>
      </c>
      <c r="AE287" s="12">
        <f>AE204-AD204</f>
        <v>0</v>
      </c>
      <c r="AF287" s="12">
        <f>AF204-AE204</f>
        <v>0</v>
      </c>
      <c r="AG287" s="12">
        <f>SUM(AC287:AF287)</f>
        <v>0</v>
      </c>
      <c r="AH287" s="12">
        <f>AH204-AG204</f>
        <v>0</v>
      </c>
      <c r="AI287" s="12">
        <f>AI204-AH204</f>
        <v>0</v>
      </c>
      <c r="AJ287" s="12">
        <f>AJ204-AI204</f>
        <v>0</v>
      </c>
      <c r="AK287" s="12">
        <f>AK204-AJ204</f>
        <v>0</v>
      </c>
      <c r="AL287" s="12">
        <f>SUM(AH287:AK287)</f>
        <v>0</v>
      </c>
      <c r="AM287" s="12">
        <f>AM204-AL204</f>
        <v>0</v>
      </c>
      <c r="AN287" s="12">
        <f>AN204-AM204</f>
        <v>0</v>
      </c>
      <c r="AO287" s="12">
        <f>AO204-AN204</f>
        <v>0</v>
      </c>
      <c r="AP287" s="12">
        <f>AP204-AO204</f>
        <v>0</v>
      </c>
      <c r="AQ287" s="12">
        <f>SUM(AM287:AP287)</f>
        <v>0</v>
      </c>
      <c r="AR287" s="12">
        <f>AR204-AQ204</f>
        <v>0</v>
      </c>
      <c r="AS287" s="12">
        <f>AS204-AR204</f>
        <v>0</v>
      </c>
      <c r="AT287" s="12">
        <f>AT204-AS204</f>
        <v>0</v>
      </c>
      <c r="AU287" s="12">
        <f>AU204-AT204</f>
        <v>0</v>
      </c>
      <c r="AV287" s="12">
        <f>SUM(AR287:AU287)</f>
        <v>0</v>
      </c>
      <c r="AW287" s="12">
        <f>AW204-AV204</f>
        <v>0</v>
      </c>
      <c r="AX287" s="12">
        <f>AX204-AW204</f>
        <v>0</v>
      </c>
      <c r="AY287" s="12">
        <f>AY204-AX204</f>
        <v>0</v>
      </c>
      <c r="AZ287" s="12">
        <f>AZ204-AY204</f>
        <v>0</v>
      </c>
      <c r="BA287" s="12">
        <f>SUM(AW287:AZ287)</f>
        <v>0</v>
      </c>
      <c r="BB287" s="12">
        <f>BB204-BA204</f>
        <v>0</v>
      </c>
      <c r="BC287" s="12">
        <f>BC204-BB204</f>
        <v>0</v>
      </c>
      <c r="BD287" s="12">
        <f>BD204-BC204</f>
        <v>0</v>
      </c>
      <c r="BE287" s="12">
        <f>BE204-BD204</f>
        <v>0</v>
      </c>
      <c r="BF287" s="12">
        <f>SUM(BB287:BE287)</f>
        <v>0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 hidden="1" outlineLevel="1">
      <c r="C288" s="10" t="inlineStr">
        <is>
          <t>Other current liabilities (non-debt)</t>
        </is>
      </c>
      <c r="D288" s="12" t="n"/>
      <c r="E288" s="12" t="n"/>
      <c r="F288" s="12" t="n"/>
      <c r="G288" s="12" t="n"/>
      <c r="H288" s="12" t="n"/>
      <c r="I288" s="12" t="n"/>
      <c r="J288" s="12">
        <f>J205-I205</f>
        <v>870</v>
      </c>
      <c r="K288" s="12">
        <f>K205-J205</f>
        <v>1987</v>
      </c>
      <c r="L288" s="12">
        <f>L205-K205</f>
        <v>-1634</v>
      </c>
      <c r="M288" s="12" t="n"/>
      <c r="N288" s="12">
        <f>N205-M205</f>
        <v>6386</v>
      </c>
      <c r="O288" s="12">
        <f>O205-N205</f>
        <v>1546</v>
      </c>
      <c r="P288" s="12">
        <f>P205-O205</f>
        <v>12513</v>
      </c>
      <c r="Q288" s="12">
        <f>Q205-P205</f>
        <v>-12062</v>
      </c>
      <c r="R288" s="12">
        <f>SUM(N288:Q288)</f>
        <v>8383</v>
      </c>
      <c r="S288" s="12">
        <f>S205-R205</f>
        <v>18283</v>
      </c>
      <c r="T288" s="12">
        <f>T205-S205</f>
        <v>449</v>
      </c>
      <c r="U288" s="12">
        <f>U205-T205</f>
        <v>581</v>
      </c>
      <c r="V288" s="12">
        <f>V205-U205</f>
        <v>-14903</v>
      </c>
      <c r="W288" s="12">
        <f>SUM(S288:V288)</f>
        <v>4410</v>
      </c>
      <c r="X288" s="12">
        <f>X205-W205</f>
        <v>1084</v>
      </c>
      <c r="Y288" s="12">
        <f>Y205-X205</f>
        <v>-1493</v>
      </c>
      <c r="Z288" s="12">
        <f>Z205-Y205</f>
        <v>2163</v>
      </c>
      <c r="AA288" s="12">
        <f>AA205-Z205</f>
        <v>311</v>
      </c>
      <c r="AB288" s="12">
        <f>SUM(X288:AA288)</f>
        <v>2065</v>
      </c>
      <c r="AC288" s="12">
        <f>AC205-AB205</f>
        <v>5032</v>
      </c>
      <c r="AD288" s="12">
        <f>AD205-AC205</f>
        <v>834</v>
      </c>
      <c r="AE288" s="12">
        <f>AE205-AD205</f>
        <v>1003</v>
      </c>
      <c r="AF288" s="12">
        <f>AF205-AE205</f>
        <v>-960</v>
      </c>
      <c r="AG288" s="12">
        <f>SUM(AC288:AF288)</f>
        <v>5909</v>
      </c>
      <c r="AH288" s="12">
        <f>AH205-AG205</f>
        <v>-1780</v>
      </c>
      <c r="AI288" s="12">
        <f>AI205-AH205</f>
        <v>-764</v>
      </c>
      <c r="AJ288" s="12">
        <f>AJ205-AI205</f>
        <v>0</v>
      </c>
      <c r="AK288" s="12">
        <f>AK205-AJ205</f>
        <v>0</v>
      </c>
      <c r="AL288" s="12">
        <f>SUM(AH288:AK288)</f>
        <v>-2544</v>
      </c>
      <c r="AM288" s="12">
        <f>AM205-AL205</f>
        <v>0</v>
      </c>
      <c r="AN288" s="12">
        <f>AN205-AM205</f>
        <v>0</v>
      </c>
      <c r="AO288" s="12">
        <f>AO205-AN205</f>
        <v>0</v>
      </c>
      <c r="AP288" s="12">
        <f>AP205-AO205</f>
        <v>0</v>
      </c>
      <c r="AQ288" s="12">
        <f>SUM(AM288:AP288)</f>
        <v>0</v>
      </c>
      <c r="AR288" s="12">
        <f>AR205-AQ205</f>
        <v>0</v>
      </c>
      <c r="AS288" s="12">
        <f>AS205-AR205</f>
        <v>0</v>
      </c>
      <c r="AT288" s="12">
        <f>AT205-AS205</f>
        <v>0</v>
      </c>
      <c r="AU288" s="12">
        <f>AU205-AT205</f>
        <v>0</v>
      </c>
      <c r="AV288" s="12">
        <f>SUM(AR288:AU288)</f>
        <v>0</v>
      </c>
      <c r="AW288" s="12">
        <f>AW205-AV205</f>
        <v>0</v>
      </c>
      <c r="AX288" s="12">
        <f>AX205-AW205</f>
        <v>0</v>
      </c>
      <c r="AY288" s="12">
        <f>AY205-AX205</f>
        <v>0</v>
      </c>
      <c r="AZ288" s="12">
        <f>AZ205-AY205</f>
        <v>0</v>
      </c>
      <c r="BA288" s="12">
        <f>SUM(AW288:AZ288)</f>
        <v>0</v>
      </c>
      <c r="BB288" s="12">
        <f>BB205-BA205</f>
        <v>0</v>
      </c>
      <c r="BC288" s="12">
        <f>BC205-BB205</f>
        <v>0</v>
      </c>
      <c r="BD288" s="12">
        <f>BD205-BC205</f>
        <v>0</v>
      </c>
      <c r="BE288" s="12">
        <f>BE205-BD205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 hidden="1" outlineLevel="1">
      <c r="C289" s="10" t="inlineStr">
        <is>
          <t>Deferred income taxes</t>
        </is>
      </c>
      <c r="D289" s="12" t="n"/>
      <c r="E289" s="12" t="n"/>
      <c r="F289" s="12" t="n"/>
      <c r="G289" s="12" t="n"/>
      <c r="H289" s="12" t="n"/>
      <c r="I289" s="12" t="n"/>
      <c r="J289" s="12">
        <f>J239-I239</f>
        <v>39</v>
      </c>
      <c r="K289" s="12">
        <f>K239-J239</f>
        <v>8</v>
      </c>
      <c r="L289" s="12">
        <f>L239-K239</f>
        <v>-384</v>
      </c>
      <c r="M289" s="12" t="n"/>
      <c r="N289" s="12">
        <f>N239-M239</f>
        <v>-311</v>
      </c>
      <c r="O289" s="12">
        <f>O239-N239</f>
        <v>-373</v>
      </c>
      <c r="P289" s="12">
        <f>P239-O239</f>
        <v>-922</v>
      </c>
      <c r="Q289" s="12">
        <f>Q239-P239</f>
        <v>1110</v>
      </c>
      <c r="R289" s="12">
        <f>SUM(N289:Q289)</f>
        <v>-496</v>
      </c>
      <c r="S289" s="12">
        <f>S239-R239</f>
        <v>65</v>
      </c>
      <c r="T289" s="12">
        <f>T239-S239</f>
        <v>-336</v>
      </c>
      <c r="U289" s="12">
        <f>U239-T239</f>
        <v>-288</v>
      </c>
      <c r="V289" s="12">
        <f>V239-U239</f>
        <v>811</v>
      </c>
      <c r="W289" s="12">
        <f>SUM(S289:V289)</f>
        <v>252</v>
      </c>
      <c r="X289" s="12">
        <f>X239-W239</f>
        <v>1146</v>
      </c>
      <c r="Y289" s="12">
        <f>Y239-X239</f>
        <v>-536</v>
      </c>
      <c r="Z289" s="12">
        <f>Z239-Y239</f>
        <v>383</v>
      </c>
      <c r="AA289" s="12">
        <f>AA239-Z239</f>
        <v>-394</v>
      </c>
      <c r="AB289" s="12">
        <f>SUM(X289:AA289)</f>
        <v>599</v>
      </c>
      <c r="AC289" s="12">
        <f>AC239-AB239</f>
        <v>282</v>
      </c>
      <c r="AD289" s="12">
        <f>AD239-AC239</f>
        <v>-98</v>
      </c>
      <c r="AE289" s="12">
        <f>AE239-AD239</f>
        <v>-642</v>
      </c>
      <c r="AF289" s="12">
        <f>AF239-AE239</f>
        <v>-741</v>
      </c>
      <c r="AG289" s="12">
        <f>SUM(AC289:AF289)</f>
        <v>-1199</v>
      </c>
      <c r="AH289" s="12">
        <f>AH239-AG239</f>
        <v>443</v>
      </c>
      <c r="AI289" s="12">
        <f>AI239-AH239</f>
        <v>-142</v>
      </c>
      <c r="AJ289" s="12">
        <f>AJ239-AI239</f>
        <v>0</v>
      </c>
      <c r="AK289" s="12">
        <f>AK239-AJ239</f>
        <v>0</v>
      </c>
      <c r="AL289" s="12">
        <f>SUM(AH289:AK289)</f>
        <v>301</v>
      </c>
      <c r="AM289" s="12">
        <f>AM239-AL239</f>
        <v>0</v>
      </c>
      <c r="AN289" s="12">
        <f>AN239-AM239</f>
        <v>0</v>
      </c>
      <c r="AO289" s="12">
        <f>AO239-AN239</f>
        <v>0</v>
      </c>
      <c r="AP289" s="12">
        <f>AP239-AO239</f>
        <v>0</v>
      </c>
      <c r="AQ289" s="12">
        <f>SUM(AM289:AP289)</f>
        <v>0</v>
      </c>
      <c r="AR289" s="12">
        <f>AR239-AQ239</f>
        <v>0</v>
      </c>
      <c r="AS289" s="12">
        <f>AS239-AR239</f>
        <v>0</v>
      </c>
      <c r="AT289" s="12">
        <f>AT239-AS239</f>
        <v>0</v>
      </c>
      <c r="AU289" s="12">
        <f>AU239-AT239</f>
        <v>0</v>
      </c>
      <c r="AV289" s="12">
        <f>SUM(AR289:AU289)</f>
        <v>0</v>
      </c>
      <c r="AW289" s="12">
        <f>AW239-AV239</f>
        <v>0</v>
      </c>
      <c r="AX289" s="12">
        <f>AX239-AW239</f>
        <v>0</v>
      </c>
      <c r="AY289" s="12">
        <f>AY239-AX239</f>
        <v>0</v>
      </c>
      <c r="AZ289" s="12">
        <f>AZ239-AY239</f>
        <v>0</v>
      </c>
      <c r="BA289" s="12">
        <f>SUM(AW289:AZ289)</f>
        <v>0</v>
      </c>
      <c r="BB289" s="12">
        <f>BB239-BA239</f>
        <v>0</v>
      </c>
      <c r="BC289" s="12">
        <f>BC239-BB239</f>
        <v>0</v>
      </c>
      <c r="BD289" s="12">
        <f>BD239-BC239</f>
        <v>0</v>
      </c>
      <c r="BE289" s="12">
        <f>BE239-BD239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 collapsed="1">
      <c r="C290" s="10" t="inlineStr">
        <is>
          <t>Equity income in affiliates</t>
        </is>
      </c>
      <c r="D290" s="12" t="n"/>
      <c r="E290" s="12" t="n"/>
      <c r="F290" s="12" t="n"/>
      <c r="G290" s="12" t="n"/>
      <c r="H290" s="12" t="n"/>
      <c r="I290" s="12" t="n"/>
      <c r="J290" s="12">
        <f>(J161-I161)*-1</f>
        <v>0</v>
      </c>
      <c r="K290" s="12">
        <f>(K161-J161)*-1</f>
        <v>0</v>
      </c>
      <c r="L290" s="12">
        <f>(L161-K161)*-1</f>
        <v>0</v>
      </c>
      <c r="M290" s="12" t="n"/>
      <c r="N290" s="12">
        <f>(N161-M161)*-1</f>
        <v>0</v>
      </c>
      <c r="O290" s="12">
        <f>(O161-N161)*-1</f>
        <v>0</v>
      </c>
      <c r="P290" s="12">
        <f>(P161-O161)*-1</f>
        <v>0</v>
      </c>
      <c r="Q290" s="12">
        <f>(Q161-P161)*-1</f>
        <v>0</v>
      </c>
      <c r="R290" s="12">
        <f>SUM(N290:Q290)</f>
        <v>0</v>
      </c>
      <c r="S290" s="12">
        <f>(S161-R161)*-1</f>
        <v>0</v>
      </c>
      <c r="T290" s="12">
        <f>(T161-S161)*-1</f>
        <v>0</v>
      </c>
      <c r="U290" s="12">
        <f>(U161-T161)*-1</f>
        <v>0</v>
      </c>
      <c r="V290" s="12">
        <f>(V161-U161)*-1</f>
        <v>0</v>
      </c>
      <c r="W290" s="12">
        <f>SUM(S290:V290)</f>
        <v>0</v>
      </c>
      <c r="X290" s="12">
        <f>(X161-W161)*-1</f>
        <v>0</v>
      </c>
      <c r="Y290" s="12">
        <f>(Y161-X161)*-1</f>
        <v>0</v>
      </c>
      <c r="Z290" s="12">
        <f>(Z161-Y161)*-1</f>
        <v>0</v>
      </c>
      <c r="AA290" s="12">
        <f>(AA161-Z161)*-1</f>
        <v>0</v>
      </c>
      <c r="AB290" s="12">
        <f>SUM(X290:AA290)</f>
        <v>0</v>
      </c>
      <c r="AC290" s="12">
        <f>(AC161-AB161)*-1</f>
        <v>0</v>
      </c>
      <c r="AD290" s="12">
        <f>(AD161-AC161)*-1</f>
        <v>0</v>
      </c>
      <c r="AE290" s="12">
        <f>(AE161-AD161)*-1</f>
        <v>0</v>
      </c>
      <c r="AF290" s="12">
        <f>(AF161-AE161)*-1</f>
        <v>0</v>
      </c>
      <c r="AG290" s="12">
        <f>SUM(AC290:AF290)</f>
        <v>0</v>
      </c>
      <c r="AH290" s="12">
        <f>(AH161-AG161)*-1</f>
        <v>0</v>
      </c>
      <c r="AI290" s="12">
        <f>(AI161-AH161)*-1</f>
        <v>0</v>
      </c>
      <c r="AJ290" s="12">
        <f>(AJ161-AI161)*-1</f>
        <v>0</v>
      </c>
      <c r="AK290" s="12">
        <f>(AK161-AJ161)*-1</f>
        <v>0</v>
      </c>
      <c r="AL290" s="12">
        <f>SUM(AH290:AK290)</f>
        <v>0</v>
      </c>
      <c r="AM290" s="12">
        <f>(AM161-AL161)*-1</f>
        <v>0</v>
      </c>
      <c r="AN290" s="12">
        <f>(AN161-AM161)*-1</f>
        <v>0</v>
      </c>
      <c r="AO290" s="12">
        <f>(AO161-AN161)*-1</f>
        <v>0</v>
      </c>
      <c r="AP290" s="12">
        <f>(AP161-AO161)*-1</f>
        <v>0</v>
      </c>
      <c r="AQ290" s="12">
        <f>SUM(AM290:AP290)</f>
        <v>0</v>
      </c>
      <c r="AR290" s="12">
        <f>(AR161-AQ161)*-1</f>
        <v>0</v>
      </c>
      <c r="AS290" s="12">
        <f>(AS161-AR161)*-1</f>
        <v>0</v>
      </c>
      <c r="AT290" s="12">
        <f>(AT161-AS161)*-1</f>
        <v>0</v>
      </c>
      <c r="AU290" s="12">
        <f>(AU161-AT161)*-1</f>
        <v>0</v>
      </c>
      <c r="AV290" s="12">
        <f>SUM(AR290:AU290)</f>
        <v>0</v>
      </c>
      <c r="AW290" s="12">
        <f>(AW161-AV161)*-1</f>
        <v>0</v>
      </c>
      <c r="AX290" s="12">
        <f>(AX161-AW161)*-1</f>
        <v>0</v>
      </c>
      <c r="AY290" s="12">
        <f>(AY161-AX161)*-1</f>
        <v>0</v>
      </c>
      <c r="AZ290" s="12">
        <f>(AZ161-AY161)*-1</f>
        <v>0</v>
      </c>
      <c r="BA290" s="12">
        <f>SUM(AW290:AZ290)</f>
        <v>0</v>
      </c>
      <c r="BB290" s="12">
        <f>(BB161-BA161)*-1</f>
        <v>0</v>
      </c>
      <c r="BC290" s="12">
        <f>(BC161-BB161)*-1</f>
        <v>0</v>
      </c>
      <c r="BD290" s="12">
        <f>(BD161-BC161)*-1</f>
        <v>0</v>
      </c>
      <c r="BE290" s="12">
        <f>(BE161-BD161)*-1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0" t="inlineStr">
        <is>
          <t>Dividends received from affiliates</t>
        </is>
      </c>
      <c r="D291" s="12" t="n"/>
      <c r="E291" s="12" t="n"/>
      <c r="F291" s="12" t="n"/>
      <c r="G291" s="12" t="n"/>
      <c r="H291" s="12" t="n"/>
      <c r="I291" s="12" t="n"/>
      <c r="J291" s="12">
        <f>-J164</f>
        <v>0</v>
      </c>
      <c r="K291" s="12">
        <f>-K164</f>
        <v>0</v>
      </c>
      <c r="L291" s="12">
        <f>-L164</f>
        <v>0</v>
      </c>
      <c r="M291" s="12" t="n"/>
      <c r="N291" s="12">
        <f>-N164</f>
        <v>0</v>
      </c>
      <c r="O291" s="12">
        <f>-O164</f>
        <v>0</v>
      </c>
      <c r="P291" s="12">
        <f>-P164</f>
        <v>0</v>
      </c>
      <c r="Q291" s="12">
        <f>-Q164</f>
        <v>0</v>
      </c>
      <c r="R291" s="12">
        <f>SUM(N291:Q291)</f>
        <v>0</v>
      </c>
      <c r="S291" s="12">
        <f>-S164</f>
        <v>0</v>
      </c>
      <c r="T291" s="12">
        <f>-T164</f>
        <v>0</v>
      </c>
      <c r="U291" s="12">
        <f>-U164</f>
        <v>0</v>
      </c>
      <c r="V291" s="12">
        <f>-V164</f>
        <v>0</v>
      </c>
      <c r="W291" s="12">
        <f>SUM(S291:V291)</f>
        <v>0</v>
      </c>
      <c r="X291" s="12">
        <f>-X164</f>
        <v>0</v>
      </c>
      <c r="Y291" s="12">
        <f>-Y164</f>
        <v>0</v>
      </c>
      <c r="Z291" s="12">
        <f>-Z164</f>
        <v>0</v>
      </c>
      <c r="AA291" s="12">
        <f>-AA164</f>
        <v>0</v>
      </c>
      <c r="AB291" s="12">
        <f>SUM(X291:AA291)</f>
        <v>0</v>
      </c>
      <c r="AC291" s="12">
        <f>-AC164</f>
        <v>0</v>
      </c>
      <c r="AD291" s="12">
        <f>-AD164</f>
        <v>0</v>
      </c>
      <c r="AE291" s="12">
        <f>-AE164</f>
        <v>0</v>
      </c>
      <c r="AF291" s="12">
        <f>-AF164</f>
        <v>0</v>
      </c>
      <c r="AG291" s="12">
        <f>SUM(AC291:AF291)</f>
        <v>0</v>
      </c>
      <c r="AH291" s="12">
        <f>-AH164</f>
        <v>0</v>
      </c>
      <c r="AI291" s="12">
        <f>-AI164</f>
        <v>0</v>
      </c>
      <c r="AJ291" s="12">
        <f>-AJ164</f>
        <v>0</v>
      </c>
      <c r="AK291" s="12">
        <f>-AK164</f>
        <v>0</v>
      </c>
      <c r="AL291" s="12">
        <f>SUM(AH291:AK291)</f>
        <v>0</v>
      </c>
      <c r="AM291" s="12">
        <f>-AM164</f>
        <v>0</v>
      </c>
      <c r="AN291" s="12">
        <f>-AN164</f>
        <v>0</v>
      </c>
      <c r="AO291" s="12">
        <f>-AO164</f>
        <v>0</v>
      </c>
      <c r="AP291" s="12">
        <f>-AP164</f>
        <v>0</v>
      </c>
      <c r="AQ291" s="12">
        <f>SUM(AM291:AP291)</f>
        <v>0</v>
      </c>
      <c r="AR291" s="12">
        <f>-AR164</f>
        <v>0</v>
      </c>
      <c r="AS291" s="12">
        <f>-AS164</f>
        <v>0</v>
      </c>
      <c r="AT291" s="12">
        <f>-AT164</f>
        <v>0</v>
      </c>
      <c r="AU291" s="12">
        <f>-AU164</f>
        <v>0</v>
      </c>
      <c r="AV291" s="12">
        <f>SUM(AR291:AU291)</f>
        <v>0</v>
      </c>
      <c r="AW291" s="12">
        <f>-AW164</f>
        <v>0</v>
      </c>
      <c r="AX291" s="12">
        <f>-AX164</f>
        <v>0</v>
      </c>
      <c r="AY291" s="12">
        <f>-AY164</f>
        <v>0</v>
      </c>
      <c r="AZ291" s="12">
        <f>-AZ164</f>
        <v>0</v>
      </c>
      <c r="BA291" s="12">
        <f>SUM(AW291:AZ291)</f>
        <v>0</v>
      </c>
      <c r="BB291" s="12">
        <f>-BB164</f>
        <v>0</v>
      </c>
      <c r="BC291" s="12">
        <f>-BC164</f>
        <v>0</v>
      </c>
      <c r="BD291" s="12">
        <f>-BD164</f>
        <v>0</v>
      </c>
      <c r="BE291" s="12">
        <f>-BE164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71" t="inlineStr">
        <is>
          <t>Minority interest expense</t>
        </is>
      </c>
      <c r="D292" s="12" t="n"/>
      <c r="E292" s="12" t="n"/>
      <c r="F292" s="12" t="n"/>
      <c r="G292" s="12" t="n"/>
      <c r="H292" s="12" t="n"/>
      <c r="I292" s="12" t="n"/>
      <c r="J292" s="12">
        <f>-J136</f>
        <v>106</v>
      </c>
      <c r="K292" s="12">
        <f>-K136</f>
        <v>105</v>
      </c>
      <c r="L292" s="12">
        <f>-L136</f>
        <v>120</v>
      </c>
      <c r="M292" s="12" t="n"/>
      <c r="N292" s="12">
        <f>-N136</f>
        <v>121</v>
      </c>
      <c r="O292" s="12">
        <f>-O136</f>
        <v>129</v>
      </c>
      <c r="P292" s="12">
        <f>-P136</f>
        <v>122</v>
      </c>
      <c r="Q292" s="12">
        <f>-Q136</f>
        <v>147</v>
      </c>
      <c r="R292" s="12">
        <f>SUM(N292:Q292)</f>
        <v>519</v>
      </c>
      <c r="S292" s="12">
        <f>-S136</f>
        <v>163</v>
      </c>
      <c r="T292" s="12">
        <f>-T136</f>
        <v>183</v>
      </c>
      <c r="U292" s="12">
        <f>-U136</f>
        <v>197</v>
      </c>
      <c r="V292" s="12">
        <f>-V136</f>
        <v>220</v>
      </c>
      <c r="W292" s="12">
        <f>SUM(S292:V292)</f>
        <v>763</v>
      </c>
      <c r="X292" s="12">
        <f>-X136</f>
        <v>188</v>
      </c>
      <c r="Y292" s="12">
        <f>-Y136</f>
        <v>205</v>
      </c>
      <c r="Z292" s="12">
        <f>-Z136</f>
        <v>203</v>
      </c>
      <c r="AA292" s="12">
        <f>-AA136</f>
        <v>241</v>
      </c>
      <c r="AB292" s="12">
        <f>SUM(X292:AA292)</f>
        <v>837</v>
      </c>
      <c r="AC292" s="12">
        <f>-AC136</f>
        <v>182</v>
      </c>
      <c r="AD292" s="12">
        <f>-AD136</f>
        <v>166</v>
      </c>
      <c r="AE292" s="12">
        <f>-AE136</f>
        <v>195</v>
      </c>
      <c r="AF292" s="12">
        <f>-AF136</f>
        <v>208</v>
      </c>
      <c r="AG292" s="12">
        <f>SUM(AC292:AF292)</f>
        <v>751</v>
      </c>
      <c r="AH292" s="12">
        <f>-AH136</f>
        <v>201</v>
      </c>
      <c r="AI292" s="12">
        <f>-AI136</f>
        <v>186</v>
      </c>
      <c r="AJ292" s="12">
        <f>-AJ136</f>
        <v>0</v>
      </c>
      <c r="AK292" s="12">
        <f>-AK136</f>
        <v>0</v>
      </c>
      <c r="AL292" s="12">
        <f>SUM(AH292:AK292)</f>
        <v>387</v>
      </c>
      <c r="AM292" s="12">
        <f>-AM136</f>
        <v>0</v>
      </c>
      <c r="AN292" s="12">
        <f>-AN136</f>
        <v>0</v>
      </c>
      <c r="AO292" s="12">
        <f>-AO136</f>
        <v>0</v>
      </c>
      <c r="AP292" s="12">
        <f>-AP136</f>
        <v>0</v>
      </c>
      <c r="AQ292" s="12">
        <f>SUM(AM292:AP292)</f>
        <v>0</v>
      </c>
      <c r="AR292" s="12">
        <f>-AR136</f>
        <v>0</v>
      </c>
      <c r="AS292" s="12">
        <f>-AS136</f>
        <v>0</v>
      </c>
      <c r="AT292" s="12">
        <f>-AT136</f>
        <v>0</v>
      </c>
      <c r="AU292" s="12">
        <f>-AU136</f>
        <v>0</v>
      </c>
      <c r="AV292" s="12">
        <f>SUM(AR292:AU292)</f>
        <v>0</v>
      </c>
      <c r="AW292" s="12">
        <f>-AW136</f>
        <v>0</v>
      </c>
      <c r="AX292" s="12">
        <f>-AX136</f>
        <v>0</v>
      </c>
      <c r="AY292" s="12">
        <f>-AY136</f>
        <v>0</v>
      </c>
      <c r="AZ292" s="12">
        <f>-AZ136</f>
        <v>0</v>
      </c>
      <c r="BA292" s="12">
        <f>SUM(AW292:AZ292)</f>
        <v>0</v>
      </c>
      <c r="BB292" s="12">
        <f>-BB136</f>
        <v>0</v>
      </c>
      <c r="BC292" s="12">
        <f>-BC136</f>
        <v>0</v>
      </c>
      <c r="BD292" s="12">
        <f>-BD136</f>
        <v>0</v>
      </c>
      <c r="BE292" s="12">
        <f>-BE136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inlineStr">
        <is>
          <t>Cash from operations</t>
        </is>
      </c>
      <c r="D293" s="12" t="n"/>
      <c r="E293" s="12" t="n"/>
      <c r="F293" s="12" t="n"/>
      <c r="G293" s="12" t="n"/>
      <c r="H293" s="12" t="n"/>
      <c r="I293" s="12" t="n"/>
      <c r="J293" s="12">
        <f>SUM(J277,J278,J279,J290,J291,J292)</f>
        <v>6311</v>
      </c>
      <c r="K293" s="12">
        <f>SUM(K277,K278,K279,K290,K291,K292)</f>
        <v>6877</v>
      </c>
      <c r="L293" s="12">
        <f>SUM(L277,L278,L279,L290,L291,L292)</f>
        <v>3183</v>
      </c>
      <c r="M293" s="12" t="n"/>
      <c r="N293" s="12">
        <f>SUM(N277,N278,N279,N290,N291,N292)</f>
        <v>9644</v>
      </c>
      <c r="O293" s="12">
        <f>SUM(O277,O278,O279,O290,O291,O292)</f>
        <v>7502</v>
      </c>
      <c r="P293" s="12">
        <f>SUM(P277,P278,P279,P290,P291,P292)</f>
        <v>19872</v>
      </c>
      <c r="Q293" s="12">
        <f>SUM(Q277,Q278,Q279,Q290,Q291,Q292)</f>
        <v>-5327</v>
      </c>
      <c r="R293" s="12">
        <f>SUM(R277,R278,R279,R290,R291,R292)</f>
        <v>31691</v>
      </c>
      <c r="S293" s="12">
        <f>SUM(S277,S278,S279,S290,S291,S292)</f>
        <v>20993</v>
      </c>
      <c r="T293" s="12">
        <f>SUM(T277,T278,T279,T290,T291,T292)</f>
        <v>10259</v>
      </c>
      <c r="U293" s="12">
        <f>SUM(U277,U278,U279,U290,U291,U292)</f>
        <v>4768</v>
      </c>
      <c r="V293" s="12">
        <f>SUM(V277,V278,V279,V290,V291,V292)</f>
        <v>-7650</v>
      </c>
      <c r="W293" s="12">
        <f>SUM(W277,W278,W279,W290,W291,W292)</f>
        <v>28370</v>
      </c>
      <c r="X293" s="12">
        <f>SUM(X277,X278,X279,X290,X291,X292)</f>
        <v>-6637</v>
      </c>
      <c r="Y293" s="12">
        <f>SUM(Y277,Y278,Y279,Y290,Y291,Y292)</f>
        <v>-923</v>
      </c>
      <c r="Z293" s="12">
        <f>SUM(Z277,Z278,Z279,Z290,Z291,Z292)</f>
        <v>17630</v>
      </c>
      <c r="AA293" s="12">
        <f>SUM(AA277,AA278,AA279,AA290,AA291,AA292)</f>
        <v>6457</v>
      </c>
      <c r="AB293" s="12">
        <f>SUM(AB277,AB278,AB279,AB290,AB291,AB292)</f>
        <v>16527</v>
      </c>
      <c r="AC293" s="12">
        <f>SUM(AC277,AC278,AC279,AC290,AC291,AC292)</f>
        <v>6750</v>
      </c>
      <c r="AD293" s="12">
        <f>SUM(AD277,AD278,AD279,AD290,AD291,AD292)</f>
        <v>6471</v>
      </c>
      <c r="AE293" s="12">
        <f>SUM(AE277,AE278,AE279,AE290,AE291,AE292)</f>
        <v>2932</v>
      </c>
      <c r="AF293" s="12">
        <f>SUM(AF277,AF278,AF279,AF290,AF291,AF292)</f>
        <v>3625</v>
      </c>
      <c r="AG293" s="12">
        <f>SUM(AG277,AG278,AG279,AG290,AG291,AG292)</f>
        <v>19778</v>
      </c>
      <c r="AH293" s="12">
        <f>SUM(AH277,AH278,AH279,AH290,AH291,AH292)</f>
        <v>9335</v>
      </c>
      <c r="AI293" s="12">
        <f>SUM(AI277,AI278,AI279,AI290,AI291,AI292)</f>
        <v>11420</v>
      </c>
      <c r="AJ293" s="12">
        <f>SUM(AJ277,AJ278,AJ279,AJ290,AJ291,AJ292)</f>
        <v>720.528777670382</v>
      </c>
      <c r="AK293" s="12">
        <f>SUM(AK277,AK278,AK279,AK290,AK291,AK292)</f>
        <v>5293.7767321212</v>
      </c>
      <c r="AL293" s="12">
        <f>SUM(AL277,AL278,AL279,AL290,AL291,AL292)</f>
        <v>26769.3055097916</v>
      </c>
      <c r="AM293" s="12">
        <f>SUM(AM277,AM278,AM279,AM290,AM291,AM292)</f>
        <v>5336.36960702483</v>
      </c>
      <c r="AN293" s="12">
        <f>SUM(AN277,AN278,AN279,AN290,AN291,AN292)</f>
        <v>5118.96610901672</v>
      </c>
      <c r="AO293" s="12">
        <f>SUM(AO277,AO278,AO279,AO290,AO291,AO292)</f>
        <v>6833.56919975139</v>
      </c>
      <c r="AP293" s="12">
        <f>SUM(AP277,AP278,AP279,AP290,AP291,AP292)</f>
        <v>5731.29215076345</v>
      </c>
      <c r="AQ293" s="12">
        <f>SUM(AQ277,AQ278,AQ279,AQ290,AQ291,AQ292)</f>
        <v>23020.1970665564</v>
      </c>
      <c r="AR293" s="12">
        <f>SUM(AR277,AR278,AR279,AR290,AR291,AR292)</f>
        <v>5520.08811766049</v>
      </c>
      <c r="AS293" s="12">
        <f>SUM(AS277,AS278,AS279,AS290,AS291,AS292)</f>
        <v>5679.02305431294</v>
      </c>
      <c r="AT293" s="12">
        <f>SUM(AT277,AT278,AT279,AT290,AT291,AT292)</f>
        <v>7364.17619042239</v>
      </c>
      <c r="AU293" s="12">
        <f>SUM(AU277,AU278,AU279,AU290,AU291,AU292)</f>
        <v>6176.31049943013</v>
      </c>
      <c r="AV293" s="12">
        <f>SUM(AV277,AV278,AV279,AV290,AV291,AV292)</f>
        <v>24739.5978618259</v>
      </c>
      <c r="AW293" s="12">
        <f>SUM(AW277,AW278,AW279,AW290,AW291,AW292)</f>
        <v>6021.82631962608</v>
      </c>
      <c r="AX293" s="12">
        <f>SUM(AX277,AX278,AX279,AX290,AX291,AX292)</f>
        <v>5917.19253395358</v>
      </c>
      <c r="AY293" s="12">
        <f>SUM(AY277,AY278,AY279,AY290,AY291,AY292)</f>
        <v>7899.16240660382</v>
      </c>
      <c r="AZ293" s="12">
        <f>SUM(AZ277,AZ278,AZ279,AZ290,AZ291,AZ292)</f>
        <v>6625.00169021795</v>
      </c>
      <c r="BA293" s="12">
        <f>SUM(BA277,BA278,BA279,BA290,BA291,BA292)</f>
        <v>26463.1829504014</v>
      </c>
      <c r="BB293" s="12">
        <f>SUM(BB277,BB278,BB279,BB290,BB291,BB292)</f>
        <v>6349.78932536357</v>
      </c>
      <c r="BC293" s="12">
        <f>SUM(BC277,BC278,BC279,BC290,BC291,BC292)</f>
        <v>6317.47358726776</v>
      </c>
      <c r="BD293" s="12">
        <f>SUM(BD277,BD278,BD279,BD290,BD291,BD292)</f>
        <v>8433.51802039735</v>
      </c>
      <c r="BE293" s="12">
        <f>SUM(BE277,BE278,BE279,BE290,BE291,BE292)</f>
        <v>7073.16399684426</v>
      </c>
      <c r="BF293" s="12">
        <f>SUM(BF277,BF278,BF279,BF290,BF291,BF292)</f>
        <v>28173.9449298729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0" t="inlineStr">
        <is>
          <t>Purchase of fixed assets (capital expenditures)</t>
        </is>
      </c>
      <c r="D295" s="12" t="n"/>
      <c r="E295" s="12" t="n"/>
      <c r="F295" s="12" t="n"/>
      <c r="G295" s="12" t="n"/>
      <c r="H295" s="12" t="n"/>
      <c r="I295" s="12" t="n"/>
      <c r="J295" s="12">
        <f>-J168</f>
        <v>-1017</v>
      </c>
      <c r="K295" s="12">
        <f>-K168</f>
        <v>-791</v>
      </c>
      <c r="L295" s="12">
        <f>-L168</f>
        <v>-1010</v>
      </c>
      <c r="M295" s="12" t="n"/>
      <c r="N295" s="12">
        <f>-N168</f>
        <v>-1002</v>
      </c>
      <c r="O295" s="12">
        <f>-O168</f>
        <v>-1040</v>
      </c>
      <c r="P295" s="12">
        <f>-P168</f>
        <v>-876</v>
      </c>
      <c r="Q295" s="12">
        <f>-Q168</f>
        <v>-1641</v>
      </c>
      <c r="R295" s="12">
        <f>SUM(N295:Q295)</f>
        <v>-4559</v>
      </c>
      <c r="S295" s="12">
        <f>-S168</f>
        <v>-1479</v>
      </c>
      <c r="T295" s="12">
        <f>-T168</f>
        <v>-1310</v>
      </c>
      <c r="U295" s="12">
        <f>-U168</f>
        <v>-1151</v>
      </c>
      <c r="V295" s="12">
        <f>-V168</f>
        <v>-1354</v>
      </c>
      <c r="W295" s="12">
        <f>SUM(S295:V295)</f>
        <v>-5294</v>
      </c>
      <c r="X295" s="12">
        <f>-X168</f>
        <v>24</v>
      </c>
      <c r="Y295" s="12">
        <f>-Y168</f>
        <v>-392</v>
      </c>
      <c r="Z295" s="12">
        <f>-Z168</f>
        <v>-1379</v>
      </c>
      <c r="AA295" s="12">
        <f>-AA168</f>
        <v>-1455</v>
      </c>
      <c r="AB295" s="12">
        <f>SUM(X295:AA295)</f>
        <v>-3202</v>
      </c>
      <c r="AC295" s="12">
        <f>-AC168</f>
        <v>-1242</v>
      </c>
      <c r="AD295" s="12">
        <f>-AD168</f>
        <v>-1273</v>
      </c>
      <c r="AE295" s="12">
        <f>-AE168</f>
        <v>-1280</v>
      </c>
      <c r="AF295" s="12">
        <f>-AF168</f>
        <v>-775</v>
      </c>
      <c r="AG295" s="12">
        <f>SUM(AC295:AF295)</f>
        <v>-4570</v>
      </c>
      <c r="AH295" s="12">
        <f>-AH168</f>
        <v>-934</v>
      </c>
      <c r="AI295" s="12">
        <f>-AI168</f>
        <v>-1135</v>
      </c>
      <c r="AJ295" s="12">
        <f>-AJ168</f>
        <v>-1211.59308415104</v>
      </c>
      <c r="AK295" s="12">
        <f>-AK168</f>
        <v>-1212.17125177543</v>
      </c>
      <c r="AL295" s="12">
        <f>SUM(AH295:AK295)</f>
        <v>-4492.76433592647</v>
      </c>
      <c r="AM295" s="12">
        <f>-AM168</f>
        <v>-1196.17528083384</v>
      </c>
      <c r="AN295" s="12">
        <f>-AN168</f>
        <v>-1199.50509807804</v>
      </c>
      <c r="AO295" s="12">
        <f>-AO168</f>
        <v>-1311.7277672441</v>
      </c>
      <c r="AP295" s="12">
        <f>-AP168</f>
        <v>-1312.35371875947</v>
      </c>
      <c r="AQ295" s="12">
        <f>SUM(AM295:AP295)</f>
        <v>-5019.76186491544</v>
      </c>
      <c r="AR295" s="12">
        <f>-AR168</f>
        <v>-1289.05485042997</v>
      </c>
      <c r="AS295" s="12">
        <f>-AS168</f>
        <v>-1292.64321840451</v>
      </c>
      <c r="AT295" s="12">
        <f>-AT168</f>
        <v>-1413.57965500757</v>
      </c>
      <c r="AU295" s="12">
        <f>-AU168</f>
        <v>-1414.25420985748</v>
      </c>
      <c r="AV295" s="12">
        <f>SUM(AR295:AU295)</f>
        <v>-5409.53193369952</v>
      </c>
      <c r="AW295" s="12">
        <f>-AW168</f>
        <v>-1382.70097717239</v>
      </c>
      <c r="AX295" s="12">
        <f>-AX168</f>
        <v>-1386.55002975786</v>
      </c>
      <c r="AY295" s="12">
        <f>-AY168</f>
        <v>-1516.27215059005</v>
      </c>
      <c r="AZ295" s="12">
        <f>-AZ168</f>
        <v>-1516.99570990935</v>
      </c>
      <c r="BA295" s="12">
        <f>SUM(AW295:AZ295)</f>
        <v>-5802.51886742966</v>
      </c>
      <c r="BB295" s="12">
        <f>-BB168</f>
        <v>-1476.236720751</v>
      </c>
      <c r="BC295" s="12">
        <f>-BC168</f>
        <v>-1480.34615067155</v>
      </c>
      <c r="BD295" s="12">
        <f>-BD168</f>
        <v>-1618.84359981474</v>
      </c>
      <c r="BE295" s="12">
        <f>-BE168</f>
        <v>-1619.61610584058</v>
      </c>
      <c r="BF295" s="12">
        <f>SUM(BB295:BE295)</f>
        <v>-6195.04257707786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0" t="inlineStr">
        <is>
          <t>Proceeds from sale of fixed assets</t>
        </is>
      </c>
      <c r="D296" s="12" t="n"/>
      <c r="E296" s="12" t="n"/>
      <c r="F296" s="12" t="n"/>
      <c r="G296" s="12" t="n"/>
      <c r="H296" s="12" t="n"/>
      <c r="I296" s="12" t="n"/>
      <c r="J296" s="12">
        <f>-J169</f>
        <v>0</v>
      </c>
      <c r="K296" s="12">
        <f>-K169</f>
        <v>0</v>
      </c>
      <c r="L296" s="12">
        <f>-L169</f>
        <v>0</v>
      </c>
      <c r="M296" s="12" t="n"/>
      <c r="N296" s="12">
        <f>-N169</f>
        <v>0</v>
      </c>
      <c r="O296" s="12">
        <f>-O169</f>
        <v>0</v>
      </c>
      <c r="P296" s="12">
        <f>-P169</f>
        <v>0</v>
      </c>
      <c r="Q296" s="12">
        <f>-Q169</f>
        <v>0</v>
      </c>
      <c r="R296" s="12">
        <f>SUM(N296:Q296)</f>
        <v>0</v>
      </c>
      <c r="S296" s="12">
        <f>-S169</f>
        <v>0</v>
      </c>
      <c r="T296" s="12">
        <f>-T169</f>
        <v>0</v>
      </c>
      <c r="U296" s="12">
        <f>-U169</f>
        <v>0</v>
      </c>
      <c r="V296" s="12">
        <f>-V169</f>
        <v>0</v>
      </c>
      <c r="W296" s="12">
        <f>SUM(S296:V296)</f>
        <v>0</v>
      </c>
      <c r="X296" s="12">
        <f>-X169</f>
        <v>0</v>
      </c>
      <c r="Y296" s="12">
        <f>-Y169</f>
        <v>0</v>
      </c>
      <c r="Z296" s="12">
        <f>-Z169</f>
        <v>0</v>
      </c>
      <c r="AA296" s="12">
        <f>-AA169</f>
        <v>0</v>
      </c>
      <c r="AB296" s="12">
        <f>SUM(X296:AA296)</f>
        <v>0</v>
      </c>
      <c r="AC296" s="12">
        <f>-AC169</f>
        <v>0</v>
      </c>
      <c r="AD296" s="12">
        <f>-AD169</f>
        <v>0</v>
      </c>
      <c r="AE296" s="12">
        <f>-AE169</f>
        <v>0</v>
      </c>
      <c r="AF296" s="12">
        <f>-AF169</f>
        <v>0</v>
      </c>
      <c r="AG296" s="12">
        <f>SUM(AC296:AF296)</f>
        <v>0</v>
      </c>
      <c r="AH296" s="12">
        <f>-AH169</f>
        <v>0</v>
      </c>
      <c r="AI296" s="12">
        <f>-AI169</f>
        <v>0</v>
      </c>
      <c r="AJ296" s="12">
        <f>-AJ169</f>
        <v>0</v>
      </c>
      <c r="AK296" s="12">
        <f>-AK169</f>
        <v>0</v>
      </c>
      <c r="AL296" s="12">
        <f>SUM(AH296:AK296)</f>
        <v>0</v>
      </c>
      <c r="AM296" s="12">
        <f>-AM169</f>
        <v>0</v>
      </c>
      <c r="AN296" s="12">
        <f>-AN169</f>
        <v>0</v>
      </c>
      <c r="AO296" s="12">
        <f>-AO169</f>
        <v>0</v>
      </c>
      <c r="AP296" s="12">
        <f>-AP169</f>
        <v>0</v>
      </c>
      <c r="AQ296" s="12">
        <f>SUM(AM296:AP296)</f>
        <v>0</v>
      </c>
      <c r="AR296" s="12">
        <f>-AR169</f>
        <v>0</v>
      </c>
      <c r="AS296" s="12">
        <f>-AS169</f>
        <v>0</v>
      </c>
      <c r="AT296" s="12">
        <f>-AT169</f>
        <v>0</v>
      </c>
      <c r="AU296" s="12">
        <f>-AU169</f>
        <v>0</v>
      </c>
      <c r="AV296" s="12">
        <f>SUM(AR296:AU296)</f>
        <v>0</v>
      </c>
      <c r="AW296" s="12">
        <f>-AW169</f>
        <v>0</v>
      </c>
      <c r="AX296" s="12">
        <f>-AX169</f>
        <v>0</v>
      </c>
      <c r="AY296" s="12">
        <f>-AY169</f>
        <v>0</v>
      </c>
      <c r="AZ296" s="12">
        <f>-AZ169</f>
        <v>0</v>
      </c>
      <c r="BA296" s="12">
        <f>SUM(AW296:AZ296)</f>
        <v>0</v>
      </c>
      <c r="BB296" s="12">
        <f>-BB169</f>
        <v>0</v>
      </c>
      <c r="BC296" s="12">
        <f>-BC169</f>
        <v>0</v>
      </c>
      <c r="BD296" s="12">
        <f>-BD169</f>
        <v>0</v>
      </c>
      <c r="BE296" s="12">
        <f>-BE169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0" t="inlineStr">
        <is>
          <t>Var.Right-of-use-assets</t>
        </is>
      </c>
      <c r="D297" s="12" t="n"/>
      <c r="E297" s="12" t="n"/>
      <c r="F297" s="12" t="n"/>
      <c r="G297" s="12" t="n"/>
      <c r="H297" s="12" t="n"/>
      <c r="I297" s="12" t="n"/>
      <c r="J297" s="12">
        <f>(J176-I176)*-1</f>
        <v>0</v>
      </c>
      <c r="K297" s="12">
        <f>(K176-J176)*-1</f>
        <v>0</v>
      </c>
      <c r="L297" s="12">
        <f>(L176-K176)*-1</f>
        <v>0</v>
      </c>
      <c r="M297" s="12" t="n"/>
      <c r="N297" s="12">
        <f>(N176-M176)*-1</f>
        <v>0</v>
      </c>
      <c r="O297" s="12">
        <f>(O176-N176)*-1</f>
        <v>0</v>
      </c>
      <c r="P297" s="12">
        <f>(P176-O176)*-1</f>
        <v>0</v>
      </c>
      <c r="Q297" s="12">
        <f>(Q176-P176)*-1</f>
        <v>0</v>
      </c>
      <c r="R297" s="12">
        <f>SUM(N297:Q297)</f>
        <v>0</v>
      </c>
      <c r="S297" s="12">
        <f>(S176-R176)*-1</f>
        <v>0</v>
      </c>
      <c r="T297" s="12">
        <f>(T176-S176)*-1</f>
        <v>0</v>
      </c>
      <c r="U297" s="12">
        <f>(U176-T176)*-1</f>
        <v>0</v>
      </c>
      <c r="V297" s="12">
        <f>(V176-U176)*-1</f>
        <v>0</v>
      </c>
      <c r="W297" s="12">
        <f>SUM(S297:V297)</f>
        <v>0</v>
      </c>
      <c r="X297" s="12">
        <f>(X176-W176)*-1</f>
        <v>0</v>
      </c>
      <c r="Y297" s="12">
        <f>(Y176-X176)*-1</f>
        <v>0</v>
      </c>
      <c r="Z297" s="12">
        <f>(Z176-Y176)*-1</f>
        <v>0</v>
      </c>
      <c r="AA297" s="12">
        <f>(AA176-Z176)*-1</f>
        <v>0</v>
      </c>
      <c r="AB297" s="12">
        <f>SUM(X297:AA297)</f>
        <v>0</v>
      </c>
      <c r="AC297" s="12">
        <f>(AC176-AB176)*-1</f>
        <v>0</v>
      </c>
      <c r="AD297" s="12">
        <f>(AD176-AC176)*-1</f>
        <v>0</v>
      </c>
      <c r="AE297" s="12">
        <f>(AE176-AD176)*-1</f>
        <v>0</v>
      </c>
      <c r="AF297" s="12">
        <f>(AF176-AE176)*-1</f>
        <v>0</v>
      </c>
      <c r="AG297" s="12">
        <f>SUM(AC297:AF297)</f>
        <v>0</v>
      </c>
      <c r="AH297" s="12">
        <f>(AH176-AG176)*-1</f>
        <v>0</v>
      </c>
      <c r="AI297" s="12">
        <f>(AI176-AH176)*-1</f>
        <v>0</v>
      </c>
      <c r="AJ297" s="12">
        <f>(AJ176-AI176)*-1</f>
        <v>0</v>
      </c>
      <c r="AK297" s="12">
        <f>(AK176-AJ176)*-1</f>
        <v>0</v>
      </c>
      <c r="AL297" s="12">
        <f>SUM(AH297:AK297)</f>
        <v>0</v>
      </c>
      <c r="AM297" s="12">
        <f>(AM176-AL176)*-1</f>
        <v>0</v>
      </c>
      <c r="AN297" s="12">
        <f>(AN176-AM176)*-1</f>
        <v>0</v>
      </c>
      <c r="AO297" s="12">
        <f>(AO176-AN176)*-1</f>
        <v>0</v>
      </c>
      <c r="AP297" s="12">
        <f>(AP176-AO176)*-1</f>
        <v>0</v>
      </c>
      <c r="AQ297" s="12">
        <f>SUM(AM297:AP297)</f>
        <v>0</v>
      </c>
      <c r="AR297" s="12">
        <f>(AR176-AQ176)*-1</f>
        <v>0</v>
      </c>
      <c r="AS297" s="12">
        <f>(AS176-AR176)*-1</f>
        <v>0</v>
      </c>
      <c r="AT297" s="12">
        <f>(AT176-AS176)*-1</f>
        <v>0</v>
      </c>
      <c r="AU297" s="12">
        <f>(AU176-AT176)*-1</f>
        <v>0</v>
      </c>
      <c r="AV297" s="12">
        <f>SUM(AR297:AU297)</f>
        <v>0</v>
      </c>
      <c r="AW297" s="12">
        <f>(AW176-AV176)*-1</f>
        <v>0</v>
      </c>
      <c r="AX297" s="12">
        <f>(AX176-AW176)*-1</f>
        <v>0</v>
      </c>
      <c r="AY297" s="12">
        <f>(AY176-AX176)*-1</f>
        <v>0</v>
      </c>
      <c r="AZ297" s="12">
        <f>(AZ176-AY176)*-1</f>
        <v>0</v>
      </c>
      <c r="BA297" s="12">
        <f>SUM(AW297:AZ297)</f>
        <v>0</v>
      </c>
      <c r="BB297" s="12">
        <f>(BB176-BA176)*-1</f>
        <v>0</v>
      </c>
      <c r="BC297" s="12">
        <f>(BC176-BB176)*-1</f>
        <v>0</v>
      </c>
      <c r="BD297" s="12">
        <f>(BD176-BC176)*-1</f>
        <v>0</v>
      </c>
      <c r="BE297" s="12">
        <f>(BE176-BD176)*-1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  <c r="CZ297" s="12" t="n"/>
      <c r="DA297" s="12" t="n"/>
      <c r="DB297" s="12" t="n"/>
      <c r="DC297" s="12" t="n"/>
    </row>
    <row r="298">
      <c r="C298" s="10" t="inlineStr">
        <is>
          <t>Purchases of intangible assets</t>
        </is>
      </c>
      <c r="D298" s="12" t="n"/>
      <c r="E298" s="12" t="n"/>
      <c r="F298" s="12" t="n"/>
      <c r="G298" s="12" t="n"/>
      <c r="H298" s="12" t="n"/>
      <c r="I298" s="12" t="n"/>
      <c r="J298" s="12">
        <f>((J180-I180)*-1)+((J179-I179)*-1)</f>
        <v>-3629</v>
      </c>
      <c r="K298" s="12">
        <f>((K180-J180)*-1)+((K179-J179)*-1)</f>
        <v>762</v>
      </c>
      <c r="L298" s="12">
        <f>((L180-K180)*-1)+((L179-K179)*-1)</f>
        <v>32</v>
      </c>
      <c r="M298" s="12" t="n"/>
      <c r="N298" s="12">
        <f>((N180-M180)*-1)+((N179-M179)*-1)</f>
        <v>-1627</v>
      </c>
      <c r="O298" s="12">
        <f>((O180-N180)*-1)+((O179-N179)*-1)</f>
        <v>-7978</v>
      </c>
      <c r="P298" s="12">
        <f>((P180-O180)*-1)+((P179-O179)*-1)</f>
        <v>755</v>
      </c>
      <c r="Q298" s="12">
        <f>((Q180-P180)*-1)+((Q179-P179)*-1)</f>
        <v>-13064</v>
      </c>
      <c r="R298" s="12">
        <f>SUM(N298:Q298)</f>
        <v>-21914</v>
      </c>
      <c r="S298" s="12">
        <f>((S180-R180)*-1)+((S179-R179)*-1)</f>
        <v>-8818</v>
      </c>
      <c r="T298" s="12">
        <f>((T180-S180)*-1)+((T179-S179)*-1)</f>
        <v>-741</v>
      </c>
      <c r="U298" s="12">
        <f>((U180-T180)*-1)+((U179-T179)*-1)</f>
        <v>409</v>
      </c>
      <c r="V298" s="12">
        <f>((V180-U180)*-1)+((V179-U179)*-1)</f>
        <v>-2023</v>
      </c>
      <c r="W298" s="12">
        <f>SUM(S298:V298)</f>
        <v>-11173</v>
      </c>
      <c r="X298" s="12">
        <f>((X180-W180)*-1)+((X179-W179)*-1)</f>
        <v>-2281</v>
      </c>
      <c r="Y298" s="12">
        <f>((Y180-X180)*-1)+((Y179-X179)*-1)</f>
        <v>1042</v>
      </c>
      <c r="Z298" s="12">
        <f>((Z180-Y180)*-1)+((Z179-Y179)*-1)</f>
        <v>-9407</v>
      </c>
      <c r="AA298" s="12">
        <f>((AA180-Z180)*-1)+((AA179-Z179)*-1)</f>
        <v>-430</v>
      </c>
      <c r="AB298" s="12">
        <f>SUM(X298:AA298)</f>
        <v>-11076</v>
      </c>
      <c r="AC298" s="12">
        <f>((AC180-AB180)*-1)+((AC179-AB179)*-1)</f>
        <v>-511</v>
      </c>
      <c r="AD298" s="12">
        <f>((AD180-AC180)*-1)+((AD179-AC179)*-1)</f>
        <v>326</v>
      </c>
      <c r="AE298" s="12">
        <f>((AE180-AD180)*-1)+((AE179-AD179)*-1)</f>
        <v>-2938</v>
      </c>
      <c r="AF298" s="12">
        <f>((AF180-AE180)*-1)+((AF179-AE179)*-1)</f>
        <v>2152</v>
      </c>
      <c r="AG298" s="12">
        <f>SUM(AC298:AF298)</f>
        <v>-971</v>
      </c>
      <c r="AH298" s="12">
        <f>((AH180-AG180)*-1)+((AH179-AG179)*-1)</f>
        <v>368</v>
      </c>
      <c r="AI298" s="12">
        <f>((AI180-AH180)*-1)+((AI179-AH179)*-1)</f>
        <v>211</v>
      </c>
      <c r="AJ298" s="12">
        <f>((AJ180-AI180)*-1)+((AJ179-AI179)*-1)</f>
        <v>0</v>
      </c>
      <c r="AK298" s="12">
        <f>((AK180-AJ180)*-1)+((AK179-AJ179)*-1)</f>
        <v>0</v>
      </c>
      <c r="AL298" s="12">
        <f>SUM(AH298:AK298)</f>
        <v>579</v>
      </c>
      <c r="AM298" s="12">
        <f>((AM180-AL180)*-1)+((AM179-AL179)*-1)</f>
        <v>0</v>
      </c>
      <c r="AN298" s="12">
        <f>((AN180-AM180)*-1)+((AN179-AM179)*-1)</f>
        <v>0</v>
      </c>
      <c r="AO298" s="12">
        <f>((AO180-AN180)*-1)+((AO179-AN179)*-1)</f>
        <v>0</v>
      </c>
      <c r="AP298" s="12">
        <f>((AP180-AO180)*-1)+((AP179-AO179)*-1)</f>
        <v>0</v>
      </c>
      <c r="AQ298" s="12">
        <f>SUM(AM298:AP298)</f>
        <v>0</v>
      </c>
      <c r="AR298" s="12">
        <f>((AR180-AQ180)*-1)+((AR179-AQ179)*-1)</f>
        <v>0</v>
      </c>
      <c r="AS298" s="12">
        <f>((AS180-AR180)*-1)+((AS179-AR179)*-1)</f>
        <v>0</v>
      </c>
      <c r="AT298" s="12">
        <f>((AT180-AS180)*-1)+((AT179-AS179)*-1)</f>
        <v>0</v>
      </c>
      <c r="AU298" s="12">
        <f>((AU180-AT180)*-1)+((AU179-AT179)*-1)</f>
        <v>0</v>
      </c>
      <c r="AV298" s="12">
        <f>SUM(AR298:AU298)</f>
        <v>0</v>
      </c>
      <c r="AW298" s="12">
        <f>((AW180-AV180)*-1)+((AW179-AV179)*-1)</f>
        <v>0</v>
      </c>
      <c r="AX298" s="12">
        <f>((AX180-AW180)*-1)+((AX179-AW179)*-1)</f>
        <v>0</v>
      </c>
      <c r="AY298" s="12">
        <f>((AY180-AX180)*-1)+((AY179-AX179)*-1)</f>
        <v>0</v>
      </c>
      <c r="AZ298" s="12">
        <f>((AZ180-AY180)*-1)+((AZ179-AY179)*-1)</f>
        <v>0</v>
      </c>
      <c r="BA298" s="12">
        <f>SUM(AW298:AZ298)</f>
        <v>0</v>
      </c>
      <c r="BB298" s="12">
        <f>((BB180-BA180)*-1)+((BB179-BA179)*-1)</f>
        <v>0</v>
      </c>
      <c r="BC298" s="12">
        <f>((BC180-BB180)*-1)+((BC179-BB179)*-1)</f>
        <v>0</v>
      </c>
      <c r="BD298" s="12">
        <f>((BD180-BC180)*-1)+((BD179-BC179)*-1)</f>
        <v>0</v>
      </c>
      <c r="BE298" s="12">
        <f>((BE180-BD180)*-1)+((BE179-BD179)*-1)</f>
        <v>0</v>
      </c>
      <c r="BF298" s="12">
        <f>SUM(BB298:BE298)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  <c r="CZ298" s="12" t="n"/>
      <c r="DA298" s="12" t="n"/>
      <c r="DB298" s="12" t="n"/>
      <c r="DC298" s="12" t="n"/>
    </row>
    <row r="299">
      <c r="C299" s="71" t="inlineStr">
        <is>
          <t>Purchases/Proceeds from other long-term assets</t>
        </is>
      </c>
      <c r="D299" s="12" t="n"/>
      <c r="E299" s="12" t="n"/>
      <c r="F299" s="12" t="n"/>
      <c r="G299" s="12" t="n"/>
      <c r="H299" s="12" t="n"/>
      <c r="I299" s="12" t="n"/>
      <c r="J299" s="12">
        <f>((J189-I189)*-1)+(J240-I240)</f>
        <v>-2346</v>
      </c>
      <c r="K299" s="12">
        <f>((K189-J189)*-1)+(K240-J240)</f>
        <v>-1407</v>
      </c>
      <c r="L299" s="12">
        <f>((L189-K189)*-1)+(L240-K240)</f>
        <v>1137</v>
      </c>
      <c r="M299" s="12" t="n"/>
      <c r="N299" s="12">
        <f>((N189-M189)*-1)+(N240-M240)</f>
        <v>-36</v>
      </c>
      <c r="O299" s="12">
        <f>((O189-N189)*-1)+(O240-N240)</f>
        <v>-1095</v>
      </c>
      <c r="P299" s="12">
        <f>((P189-O189)*-1)+(P240-O240)</f>
        <v>1126</v>
      </c>
      <c r="Q299" s="12">
        <f>((Q189-P189)*-1)+(Q240-P240)</f>
        <v>-2058</v>
      </c>
      <c r="R299" s="12">
        <f>SUM(N299:Q299)</f>
        <v>-2063</v>
      </c>
      <c r="S299" s="12">
        <f>((S189-R189)*-1)+(S240-R240)</f>
        <v>-3576</v>
      </c>
      <c r="T299" s="12">
        <f>((T189-S189)*-1)+(T240-S240)</f>
        <v>696</v>
      </c>
      <c r="U299" s="12">
        <f>((U189-T189)*-1)+(U240-T240)</f>
        <v>226</v>
      </c>
      <c r="V299" s="12">
        <f>((V189-U189)*-1)+(V240-U240)</f>
        <v>-1874</v>
      </c>
      <c r="W299" s="12">
        <f>SUM(S299:V299)</f>
        <v>-4528</v>
      </c>
      <c r="X299" s="12">
        <f>((X189-W189)*-1)+(X240-W240)</f>
        <v>1656</v>
      </c>
      <c r="Y299" s="12">
        <f>((Y189-X189)*-1)+(Y240-X240)</f>
        <v>-470</v>
      </c>
      <c r="Z299" s="12">
        <f>((Z189-Y189)*-1)+(Z240-Y240)</f>
        <v>-2908</v>
      </c>
      <c r="AA299" s="12">
        <f>((AA189-Z189)*-1)+(AA240-Z240)</f>
        <v>-3839</v>
      </c>
      <c r="AB299" s="12">
        <f>SUM(X299:AA299)</f>
        <v>-5561</v>
      </c>
      <c r="AC299" s="12">
        <f>((AC189-AB189)*-1)+(AC240-AB240)</f>
        <v>-290</v>
      </c>
      <c r="AD299" s="12">
        <f>((AD189-AC189)*-1)+(AD240-AC240)</f>
        <v>-1760</v>
      </c>
      <c r="AE299" s="12">
        <f>((AE189-AD189)*-1)+(AE240-AD240)</f>
        <v>451</v>
      </c>
      <c r="AF299" s="12">
        <f>((AF189-AE189)*-1)+(AF240-AE240)</f>
        <v>-1415</v>
      </c>
      <c r="AG299" s="12">
        <f>SUM(AC299:AF299)</f>
        <v>-3014</v>
      </c>
      <c r="AH299" s="12">
        <f>((AH189-AG189)*-1)+(AH240-AG240)</f>
        <v>-2329</v>
      </c>
      <c r="AI299" s="12">
        <f>((AI189-AH189)*-1)+(AI240-AH240)</f>
        <v>-628</v>
      </c>
      <c r="AJ299" s="12">
        <f>((AJ189-AI189)*-1)+(AJ240-AI240)</f>
        <v>0</v>
      </c>
      <c r="AK299" s="12">
        <f>((AK189-AJ189)*-1)+(AK240-AJ240)</f>
        <v>0</v>
      </c>
      <c r="AL299" s="12">
        <f>SUM(AH299:AK299)</f>
        <v>-2957</v>
      </c>
      <c r="AM299" s="12">
        <f>((AM189-AL189)*-1)+(AM240-AL240)</f>
        <v>0</v>
      </c>
      <c r="AN299" s="12">
        <f>((AN189-AM189)*-1)+(AN240-AM240)</f>
        <v>0</v>
      </c>
      <c r="AO299" s="12">
        <f>((AO189-AN189)*-1)+(AO240-AN240)</f>
        <v>0</v>
      </c>
      <c r="AP299" s="12">
        <f>((AP189-AO189)*-1)+(AP240-AO240)</f>
        <v>0</v>
      </c>
      <c r="AQ299" s="12">
        <f>SUM(AM299:AP299)</f>
        <v>0</v>
      </c>
      <c r="AR299" s="12">
        <f>((AR189-AQ189)*-1)+(AR240-AQ240)</f>
        <v>0</v>
      </c>
      <c r="AS299" s="12">
        <f>((AS189-AR189)*-1)+(AS240-AR240)</f>
        <v>0</v>
      </c>
      <c r="AT299" s="12">
        <f>((AT189-AS189)*-1)+(AT240-AS240)</f>
        <v>0</v>
      </c>
      <c r="AU299" s="12">
        <f>((AU189-AT189)*-1)+(AU240-AT240)</f>
        <v>0</v>
      </c>
      <c r="AV299" s="12">
        <f>SUM(AR299:AU299)</f>
        <v>0</v>
      </c>
      <c r="AW299" s="12">
        <f>((AW189-AV189)*-1)+(AW240-AV240)</f>
        <v>0</v>
      </c>
      <c r="AX299" s="12">
        <f>((AX189-AW189)*-1)+(AX240-AW240)</f>
        <v>0</v>
      </c>
      <c r="AY299" s="12">
        <f>((AY189-AX189)*-1)+(AY240-AX240)</f>
        <v>0</v>
      </c>
      <c r="AZ299" s="12">
        <f>((AZ189-AY189)*-1)+(AZ240-AY240)</f>
        <v>0</v>
      </c>
      <c r="BA299" s="12">
        <f>SUM(AW299:AZ299)</f>
        <v>0</v>
      </c>
      <c r="BB299" s="12">
        <f>((BB189-BA189)*-1)+(BB240-BA240)</f>
        <v>0</v>
      </c>
      <c r="BC299" s="12">
        <f>((BC189-BB189)*-1)+(BC240-BB240)</f>
        <v>0</v>
      </c>
      <c r="BD299" s="12">
        <f>((BD189-BC189)*-1)+(BD240-BC240)</f>
        <v>0</v>
      </c>
      <c r="BE299" s="12">
        <f>((BE189-BD189)*-1)+(BE240-BD240)</f>
        <v>0</v>
      </c>
      <c r="BF299" s="12">
        <f>SUM(BB299:BE299)</f>
        <v>0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Cash from investing</t>
        </is>
      </c>
      <c r="D300" s="12" t="n"/>
      <c r="E300" s="12" t="n"/>
      <c r="F300" s="12" t="n"/>
      <c r="G300" s="12" t="n"/>
      <c r="H300" s="12" t="n"/>
      <c r="I300" s="12" t="n"/>
      <c r="J300" s="12">
        <f>SUM(J295,J296,J298,J299,J297)</f>
        <v>-6992</v>
      </c>
      <c r="K300" s="12">
        <f>SUM(K295,K296,K298,K299,K297)</f>
        <v>-1436</v>
      </c>
      <c r="L300" s="12">
        <f>SUM(L295,L296,L298,L299,L297)</f>
        <v>159</v>
      </c>
      <c r="M300" s="12" t="n"/>
      <c r="N300" s="12">
        <f>SUM(N295,N296,N298,N299,N297)</f>
        <v>-2665</v>
      </c>
      <c r="O300" s="12">
        <f>SUM(O295,O296,O298,O299,O297)</f>
        <v>-10113</v>
      </c>
      <c r="P300" s="12">
        <f>SUM(P295,P296,P298,P299,P297)</f>
        <v>1005</v>
      </c>
      <c r="Q300" s="12">
        <f>SUM(Q295,Q296,Q298,Q299,Q297)</f>
        <v>-16763</v>
      </c>
      <c r="R300" s="12">
        <f>SUM(R295,R296,R298,R299)</f>
        <v>-28536</v>
      </c>
      <c r="S300" s="12">
        <f>SUM(S295,S296,S298,S299,S297)</f>
        <v>-13873</v>
      </c>
      <c r="T300" s="12">
        <f>SUM(T295,T296,T298,T299,T297)</f>
        <v>-1355</v>
      </c>
      <c r="U300" s="12">
        <f>SUM(U295,U296,U298,U299,U297)</f>
        <v>-516</v>
      </c>
      <c r="V300" s="12">
        <f>SUM(V295,V296,V298,V299,V297)</f>
        <v>-5251</v>
      </c>
      <c r="W300" s="12">
        <f>SUM(W295,W296,W298,W299)</f>
        <v>-20995</v>
      </c>
      <c r="X300" s="12">
        <f>SUM(X295,X296,X298,X299,X297)</f>
        <v>-601</v>
      </c>
      <c r="Y300" s="12">
        <f>SUM(Y295,Y296,Y298,Y299,Y297)</f>
        <v>180</v>
      </c>
      <c r="Z300" s="12">
        <f>SUM(Z295,Z296,Z298,Z299,Z297)</f>
        <v>-13694</v>
      </c>
      <c r="AA300" s="12">
        <f>SUM(AA295,AA296,AA298,AA299,AA297)</f>
        <v>-5724</v>
      </c>
      <c r="AB300" s="12">
        <f>SUM(AB295,AB296,AB298,AB299)</f>
        <v>-19839</v>
      </c>
      <c r="AC300" s="12">
        <f>SUM(AC295,AC296,AC298,AC299,AC297)</f>
        <v>-2043</v>
      </c>
      <c r="AD300" s="12">
        <f>SUM(AD295,AD296,AD298,AD299,AD297)</f>
        <v>-2707</v>
      </c>
      <c r="AE300" s="12">
        <f>SUM(AE295,AE296,AE298,AE299,AE297)</f>
        <v>-3767</v>
      </c>
      <c r="AF300" s="12">
        <f>SUM(AF295,AF296,AF298,AF299,AF297)</f>
        <v>-38</v>
      </c>
      <c r="AG300" s="12">
        <f>SUM(AG295,AG296,AG298,AG299)</f>
        <v>-8555</v>
      </c>
      <c r="AH300" s="12">
        <f>SUM(AH295,AH296,AH298,AH299,AH297)</f>
        <v>-2895</v>
      </c>
      <c r="AI300" s="12">
        <f>SUM(AI295,AI296,AI298,AI299,AI297)</f>
        <v>-1552</v>
      </c>
      <c r="AJ300" s="12">
        <f>SUM(AJ295,AJ296,AJ298,AJ299,AJ297)</f>
        <v>-1211.59308415104</v>
      </c>
      <c r="AK300" s="12">
        <f>SUM(AK295,AK296,AK298,AK299,AK297)</f>
        <v>-1212.17125177543</v>
      </c>
      <c r="AL300" s="12">
        <f>SUM(AL295,AL296,AL298,AL299)</f>
        <v>-6870.76433592647</v>
      </c>
      <c r="AM300" s="12">
        <f>SUM(AM295,AM296,AM298,AM299,AM297)</f>
        <v>-1196.17528083384</v>
      </c>
      <c r="AN300" s="12">
        <f>SUM(AN295,AN296,AN298,AN299,AN297)</f>
        <v>-1199.50509807804</v>
      </c>
      <c r="AO300" s="12">
        <f>SUM(AO295,AO296,AO298,AO299,AO297)</f>
        <v>-1311.7277672441</v>
      </c>
      <c r="AP300" s="12">
        <f>SUM(AP295,AP296,AP298,AP299,AP297)</f>
        <v>-1312.35371875947</v>
      </c>
      <c r="AQ300" s="12">
        <f>SUM(AQ295,AQ296,AQ298,AQ299)</f>
        <v>-5019.76186491544</v>
      </c>
      <c r="AR300" s="12">
        <f>SUM(AR295,AR296,AR298,AR299,AR297)</f>
        <v>-1289.05485042997</v>
      </c>
      <c r="AS300" s="12">
        <f>SUM(AS295,AS296,AS298,AS299,AS297)</f>
        <v>-1292.64321840451</v>
      </c>
      <c r="AT300" s="12">
        <f>SUM(AT295,AT296,AT298,AT299,AT297)</f>
        <v>-1413.57965500757</v>
      </c>
      <c r="AU300" s="12">
        <f>SUM(AU295,AU296,AU298,AU299,AU297)</f>
        <v>-1414.25420985748</v>
      </c>
      <c r="AV300" s="12">
        <f>SUM(AV295,AV296,AV298,AV299)</f>
        <v>-5409.53193369952</v>
      </c>
      <c r="AW300" s="12">
        <f>SUM(AW295,AW296,AW298,AW299,AW297)</f>
        <v>-1382.70097717239</v>
      </c>
      <c r="AX300" s="12">
        <f>SUM(AX295,AX296,AX298,AX299,AX297)</f>
        <v>-1386.55002975786</v>
      </c>
      <c r="AY300" s="12">
        <f>SUM(AY295,AY296,AY298,AY299,AY297)</f>
        <v>-1516.27215059005</v>
      </c>
      <c r="AZ300" s="12">
        <f>SUM(AZ295,AZ296,AZ298,AZ299,AZ297)</f>
        <v>-1516.99570990935</v>
      </c>
      <c r="BA300" s="12">
        <f>SUM(BA295,BA296,BA298,BA299)</f>
        <v>-5802.51886742966</v>
      </c>
      <c r="BB300" s="12">
        <f>SUM(BB295,BB296,BB298,BB299,BB297)</f>
        <v>-1476.236720751</v>
      </c>
      <c r="BC300" s="12">
        <f>SUM(BC295,BC296,BC298,BC299,BC297)</f>
        <v>-1480.34615067155</v>
      </c>
      <c r="BD300" s="12">
        <f>SUM(BD295,BD296,BD298,BD299,BD297)</f>
        <v>-1618.84359981474</v>
      </c>
      <c r="BE300" s="12">
        <f>SUM(BE295,BE296,BE298,BE299,BE297)</f>
        <v>-1619.61610584058</v>
      </c>
      <c r="BF300" s="12">
        <f>SUM(BF295,BF296,BF298,BF299)</f>
        <v>-6195.04257707786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4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Convertible preferred stock</t>
        </is>
      </c>
      <c r="D302" s="12" t="n"/>
      <c r="E302" s="12" t="n"/>
      <c r="F302" s="12" t="n"/>
      <c r="G302" s="12" t="n"/>
      <c r="H302" s="12" t="n"/>
      <c r="I302" s="12" t="n"/>
      <c r="J302" s="12">
        <f>J253-I253</f>
        <v>0</v>
      </c>
      <c r="K302" s="12">
        <f>K253-J253</f>
        <v>0</v>
      </c>
      <c r="L302" s="12">
        <f>L253-K253</f>
        <v>0</v>
      </c>
      <c r="M302" s="12" t="n"/>
      <c r="N302" s="12">
        <f>N253-M253</f>
        <v>0</v>
      </c>
      <c r="O302" s="12">
        <f>O253-N253</f>
        <v>0</v>
      </c>
      <c r="P302" s="12">
        <f>P253-O253</f>
        <v>0</v>
      </c>
      <c r="Q302" s="12">
        <f>Q253-P253</f>
        <v>0</v>
      </c>
      <c r="R302" s="12">
        <f>SUM(N302:Q302)</f>
        <v>0</v>
      </c>
      <c r="S302" s="12">
        <f>S253-R253</f>
        <v>0</v>
      </c>
      <c r="T302" s="12">
        <f>T253-S253</f>
        <v>0</v>
      </c>
      <c r="U302" s="12">
        <f>U253-T253</f>
        <v>0</v>
      </c>
      <c r="V302" s="12">
        <f>V253-U253</f>
        <v>0</v>
      </c>
      <c r="W302" s="12">
        <f>SUM(S302:V302)</f>
        <v>0</v>
      </c>
      <c r="X302" s="12">
        <f>X253-W253</f>
        <v>0</v>
      </c>
      <c r="Y302" s="12">
        <f>Y253-X253</f>
        <v>0</v>
      </c>
      <c r="Z302" s="12">
        <f>Z253-Y253</f>
        <v>0</v>
      </c>
      <c r="AA302" s="12">
        <f>AA253-Z253</f>
        <v>0</v>
      </c>
      <c r="AB302" s="12">
        <f>SUM(X302:AA302)</f>
        <v>0</v>
      </c>
      <c r="AC302" s="12">
        <f>AC253-AB253</f>
        <v>0</v>
      </c>
      <c r="AD302" s="12">
        <f>AD253-AC253</f>
        <v>0</v>
      </c>
      <c r="AE302" s="12">
        <f>AE253-AD253</f>
        <v>0</v>
      </c>
      <c r="AF302" s="12">
        <f>AF253-AE253</f>
        <v>0</v>
      </c>
      <c r="AG302" s="12">
        <f>SUM(AC302:AF302)</f>
        <v>0</v>
      </c>
      <c r="AH302" s="12">
        <f>AH253-AG253</f>
        <v>0</v>
      </c>
      <c r="AI302" s="12">
        <f>AI253-AH253</f>
        <v>0</v>
      </c>
      <c r="AJ302" s="12">
        <f>AJ253-AI253</f>
        <v>0</v>
      </c>
      <c r="AK302" s="12">
        <f>AK253-AJ253</f>
        <v>0</v>
      </c>
      <c r="AL302" s="12">
        <f>SUM(AH302:AK302)</f>
        <v>0</v>
      </c>
      <c r="AM302" s="12">
        <f>AM253-AL253</f>
        <v>0</v>
      </c>
      <c r="AN302" s="12">
        <f>AN253-AM253</f>
        <v>0</v>
      </c>
      <c r="AO302" s="12">
        <f>AO253-AN253</f>
        <v>0</v>
      </c>
      <c r="AP302" s="12">
        <f>AP253-AO253</f>
        <v>0</v>
      </c>
      <c r="AQ302" s="12">
        <f>SUM(AM302:AP302)</f>
        <v>0</v>
      </c>
      <c r="AR302" s="12">
        <f>AR253-AQ253</f>
        <v>0</v>
      </c>
      <c r="AS302" s="12">
        <f>AS253-AR253</f>
        <v>0</v>
      </c>
      <c r="AT302" s="12">
        <f>AT253-AS253</f>
        <v>0</v>
      </c>
      <c r="AU302" s="12">
        <f>AU253-AT253</f>
        <v>0</v>
      </c>
      <c r="AV302" s="12">
        <f>SUM(AR302:AU302)</f>
        <v>0</v>
      </c>
      <c r="AW302" s="12">
        <f>AW253-AV253</f>
        <v>0</v>
      </c>
      <c r="AX302" s="12">
        <f>AX253-AW253</f>
        <v>0</v>
      </c>
      <c r="AY302" s="12">
        <f>AY253-AX253</f>
        <v>0</v>
      </c>
      <c r="AZ302" s="12">
        <f>AZ253-AY253</f>
        <v>0</v>
      </c>
      <c r="BA302" s="12">
        <f>SUM(AW302:AZ302)</f>
        <v>0</v>
      </c>
      <c r="BB302" s="12">
        <f>BB253-BA253</f>
        <v>0</v>
      </c>
      <c r="BC302" s="12">
        <f>BC253-BB253</f>
        <v>0</v>
      </c>
      <c r="BD302" s="12">
        <f>BD253-BC253</f>
        <v>0</v>
      </c>
      <c r="BE302" s="12">
        <f>BE253-BD253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4" t="inlineStr">
        <is>
          <t>Common stock and APIC</t>
        </is>
      </c>
      <c r="D303" s="12" t="n"/>
      <c r="E303" s="12" t="n"/>
      <c r="F303" s="12" t="n"/>
      <c r="G303" s="12" t="n"/>
      <c r="H303" s="12" t="n"/>
      <c r="I303" s="12" t="n"/>
      <c r="J303" s="12">
        <f>J254-I254</f>
        <v>0</v>
      </c>
      <c r="K303" s="12">
        <f>K254-J254</f>
        <v>0</v>
      </c>
      <c r="L303" s="12">
        <f>L254-K254</f>
        <v>0</v>
      </c>
      <c r="M303" s="12" t="n"/>
      <c r="N303" s="12">
        <f>N254-M254</f>
        <v>0</v>
      </c>
      <c r="O303" s="12">
        <f>O254-N254</f>
        <v>0</v>
      </c>
      <c r="P303" s="12">
        <f>P254-O254</f>
        <v>0</v>
      </c>
      <c r="Q303" s="12">
        <f>Q254-P254</f>
        <v>-1</v>
      </c>
      <c r="R303" s="12">
        <f>SUM(N303:Q303)</f>
        <v>-1</v>
      </c>
      <c r="S303" s="12">
        <f>S254-R254</f>
        <v>0</v>
      </c>
      <c r="T303" s="12">
        <f>T254-S254</f>
        <v>0</v>
      </c>
      <c r="U303" s="12">
        <f>U254-T254</f>
        <v>0</v>
      </c>
      <c r="V303" s="12">
        <f>V254-U254</f>
        <v>0</v>
      </c>
      <c r="W303" s="12">
        <f>SUM(S303:V303)</f>
        <v>0</v>
      </c>
      <c r="X303" s="12">
        <f>X254-W254</f>
        <v>0</v>
      </c>
      <c r="Y303" s="12">
        <f>Y254-X254</f>
        <v>373</v>
      </c>
      <c r="Z303" s="12">
        <f>Z254-Y254</f>
        <v>88</v>
      </c>
      <c r="AA303" s="12">
        <f>AA254-Z254</f>
        <v>-461</v>
      </c>
      <c r="AB303" s="12">
        <f>SUM(X303:AA303)</f>
        <v>0</v>
      </c>
      <c r="AC303" s="12">
        <f>AC254-AB254</f>
        <v>0</v>
      </c>
      <c r="AD303" s="12">
        <f>AD254-AC254</f>
        <v>0</v>
      </c>
      <c r="AE303" s="12">
        <f>AE254-AD254</f>
        <v>394</v>
      </c>
      <c r="AF303" s="12">
        <f>AF254-AE254</f>
        <v>165</v>
      </c>
      <c r="AG303" s="12">
        <f>SUM(AC303:AF303)</f>
        <v>559</v>
      </c>
      <c r="AH303" s="12">
        <f>AH254-AG254</f>
        <v>-3</v>
      </c>
      <c r="AI303" s="12">
        <f>AI254-AH254</f>
        <v>-556</v>
      </c>
      <c r="AJ303" s="12">
        <f>AJ254-AI254</f>
        <v>0</v>
      </c>
      <c r="AK303" s="12">
        <f>AK254-AJ254</f>
        <v>0</v>
      </c>
      <c r="AL303" s="12">
        <f>SUM(AH303:AK303)</f>
        <v>-559</v>
      </c>
      <c r="AM303" s="12">
        <f>AM254-AL254</f>
        <v>0</v>
      </c>
      <c r="AN303" s="12">
        <f>AN254-AM254</f>
        <v>0</v>
      </c>
      <c r="AO303" s="12">
        <f>AO254-AN254</f>
        <v>0</v>
      </c>
      <c r="AP303" s="12">
        <f>AP254-AO254</f>
        <v>0</v>
      </c>
      <c r="AQ303" s="12">
        <f>SUM(AM303:AP303)</f>
        <v>0</v>
      </c>
      <c r="AR303" s="12">
        <f>AR254-AQ254</f>
        <v>0</v>
      </c>
      <c r="AS303" s="12">
        <f>AS254-AR254</f>
        <v>0</v>
      </c>
      <c r="AT303" s="12">
        <f>AT254-AS254</f>
        <v>0</v>
      </c>
      <c r="AU303" s="12">
        <f>AU254-AT254</f>
        <v>0</v>
      </c>
      <c r="AV303" s="12">
        <f>SUM(AR303:AU303)</f>
        <v>0</v>
      </c>
      <c r="AW303" s="12">
        <f>AW254-AV254</f>
        <v>0</v>
      </c>
      <c r="AX303" s="12">
        <f>AX254-AW254</f>
        <v>0</v>
      </c>
      <c r="AY303" s="12">
        <f>AY254-AX254</f>
        <v>0</v>
      </c>
      <c r="AZ303" s="12">
        <f>AZ254-AY254</f>
        <v>0</v>
      </c>
      <c r="BA303" s="12">
        <f>SUM(AW303:AZ303)</f>
        <v>0</v>
      </c>
      <c r="BB303" s="12">
        <f>BB254-BA254</f>
        <v>0</v>
      </c>
      <c r="BC303" s="12">
        <f>BC254-BB254</f>
        <v>0</v>
      </c>
      <c r="BD303" s="12">
        <f>BD254-BC254</f>
        <v>0</v>
      </c>
      <c r="BE303" s="12">
        <f>BE254-BD254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</row>
    <row r="304">
      <c r="C304" s="14" t="inlineStr">
        <is>
          <t>Treasury stock repurchases</t>
        </is>
      </c>
      <c r="D304" s="12" t="n"/>
      <c r="E304" s="12" t="n"/>
      <c r="F304" s="12" t="n"/>
      <c r="G304" s="12" t="n"/>
      <c r="H304" s="12" t="n"/>
      <c r="I304" s="12" t="n"/>
      <c r="J304" s="12">
        <f>J267-I267</f>
        <v>0</v>
      </c>
      <c r="K304" s="12">
        <f>K267-J267</f>
        <v>0</v>
      </c>
      <c r="L304" s="12">
        <f>L267-K267</f>
        <v>0</v>
      </c>
      <c r="M304" s="12" t="n"/>
      <c r="N304" s="12">
        <f>N267-M267</f>
        <v>0</v>
      </c>
      <c r="O304" s="12">
        <f>O267-N267</f>
        <v>0</v>
      </c>
      <c r="P304" s="12">
        <f>P267-O267</f>
        <v>0</v>
      </c>
      <c r="Q304" s="12">
        <f>Q267-P267</f>
        <v>0</v>
      </c>
      <c r="R304" s="12">
        <f>SUM(N304:Q304)</f>
        <v>0</v>
      </c>
      <c r="S304" s="12">
        <f>S267-R267</f>
        <v>0</v>
      </c>
      <c r="T304" s="12">
        <f>T267-S267</f>
        <v>0</v>
      </c>
      <c r="U304" s="12">
        <f>U267-T267</f>
        <v>0</v>
      </c>
      <c r="V304" s="12">
        <f>V267-U267</f>
        <v>0</v>
      </c>
      <c r="W304" s="12">
        <f>SUM(S304:V304)</f>
        <v>0</v>
      </c>
      <c r="X304" s="12">
        <f>X267-W267</f>
        <v>0</v>
      </c>
      <c r="Y304" s="12">
        <f>Y267-X267</f>
        <v>0</v>
      </c>
      <c r="Z304" s="12">
        <f>Z267-Y267</f>
        <v>0</v>
      </c>
      <c r="AA304" s="12">
        <f>AA267-Z267</f>
        <v>0</v>
      </c>
      <c r="AB304" s="12">
        <f>SUM(X304:AA304)</f>
        <v>0</v>
      </c>
      <c r="AC304" s="12">
        <f>AC267-AB267</f>
        <v>0</v>
      </c>
      <c r="AD304" s="12">
        <f>AD267-AC267</f>
        <v>0</v>
      </c>
      <c r="AE304" s="12">
        <f>AE267-AD267</f>
        <v>0</v>
      </c>
      <c r="AF304" s="12">
        <f>AF267-AE267</f>
        <v>0</v>
      </c>
      <c r="AG304" s="12">
        <f>SUM(AC304:AF304)</f>
        <v>0</v>
      </c>
      <c r="AH304" s="12">
        <f>AH267-AG267</f>
        <v>0</v>
      </c>
      <c r="AI304" s="12">
        <f>AI267-AH267</f>
        <v>0</v>
      </c>
      <c r="AJ304" s="12">
        <f>AJ267-AI267</f>
        <v>0</v>
      </c>
      <c r="AK304" s="12">
        <f>AK267-AJ267</f>
        <v>0</v>
      </c>
      <c r="AL304" s="12">
        <f>SUM(AH304:AK304)</f>
        <v>0</v>
      </c>
      <c r="AM304" s="12">
        <f>AM267-AL267</f>
        <v>0</v>
      </c>
      <c r="AN304" s="12">
        <f>AN267-AM267</f>
        <v>0</v>
      </c>
      <c r="AO304" s="12">
        <f>AO267-AN267</f>
        <v>0</v>
      </c>
      <c r="AP304" s="12">
        <f>AP267-AO267</f>
        <v>0</v>
      </c>
      <c r="AQ304" s="12">
        <f>SUM(AM304:AP304)</f>
        <v>0</v>
      </c>
      <c r="AR304" s="12">
        <f>AR267-AQ267</f>
        <v>0</v>
      </c>
      <c r="AS304" s="12">
        <f>AS267-AR267</f>
        <v>0</v>
      </c>
      <c r="AT304" s="12">
        <f>AT267-AS267</f>
        <v>0</v>
      </c>
      <c r="AU304" s="12">
        <f>AU267-AT267</f>
        <v>0</v>
      </c>
      <c r="AV304" s="12">
        <f>SUM(AR304:AU304)</f>
        <v>0</v>
      </c>
      <c r="AW304" s="12">
        <f>AW267-AV267</f>
        <v>0</v>
      </c>
      <c r="AX304" s="12">
        <f>AX267-AW267</f>
        <v>0</v>
      </c>
      <c r="AY304" s="12">
        <f>AY267-AX267</f>
        <v>0</v>
      </c>
      <c r="AZ304" s="12">
        <f>AZ267-AY267</f>
        <v>0</v>
      </c>
      <c r="BA304" s="12">
        <f>SUM(AW304:AZ304)</f>
        <v>0</v>
      </c>
      <c r="BB304" s="12">
        <f>BB267-BA267</f>
        <v>0</v>
      </c>
      <c r="BC304" s="12">
        <f>BC267-BB267</f>
        <v>0</v>
      </c>
      <c r="BD304" s="12">
        <f>BD267-BC267</f>
        <v>0</v>
      </c>
      <c r="BE304" s="12">
        <f>BE267-BD267</f>
        <v>0</v>
      </c>
      <c r="BF304" s="12">
        <f>SUM(BB304:BE304)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</row>
    <row r="305">
      <c r="C305" s="14" t="inlineStr">
        <is>
          <t>Comprehensive accumulated loss</t>
        </is>
      </c>
      <c r="D305" s="12" t="n"/>
      <c r="E305" s="12" t="n"/>
      <c r="F305" s="12" t="n"/>
      <c r="G305" s="12" t="n"/>
      <c r="H305" s="12" t="n"/>
      <c r="I305" s="12" t="n"/>
      <c r="J305" s="12">
        <f>J268-I268</f>
        <v>740</v>
      </c>
      <c r="K305" s="12">
        <f>K268-J268</f>
        <v>-770</v>
      </c>
      <c r="L305" s="12">
        <f>L268-K268</f>
        <v>-528</v>
      </c>
      <c r="M305" s="12" t="n"/>
      <c r="N305" s="12">
        <f>N268-M268</f>
        <v>-642</v>
      </c>
      <c r="O305" s="12">
        <f>O268-N268</f>
        <v>-1704</v>
      </c>
      <c r="P305" s="12">
        <f>P268-O268</f>
        <v>-1356</v>
      </c>
      <c r="Q305" s="12">
        <f>Q268-P268</f>
        <v>693</v>
      </c>
      <c r="R305" s="12">
        <f>SUM(N305:Q305)</f>
        <v>-3009</v>
      </c>
      <c r="S305" s="12">
        <f>S268-R268</f>
        <v>844</v>
      </c>
      <c r="T305" s="12">
        <f>T268-S268</f>
        <v>-101</v>
      </c>
      <c r="U305" s="12">
        <f>U268-T268</f>
        <v>-1038</v>
      </c>
      <c r="V305" s="12">
        <f>V268-U268</f>
        <v>1661</v>
      </c>
      <c r="W305" s="12">
        <f>SUM(S305:V305)</f>
        <v>1366</v>
      </c>
      <c r="X305" s="12">
        <f>X268-W268</f>
        <v>3588</v>
      </c>
      <c r="Y305" s="12">
        <f>Y268-X268</f>
        <v>16</v>
      </c>
      <c r="Z305" s="12">
        <f>Z268-Y268</f>
        <v>970</v>
      </c>
      <c r="AA305" s="12">
        <f>AA268-Z268</f>
        <v>-934</v>
      </c>
      <c r="AB305" s="12">
        <f>SUM(X305:AA305)</f>
        <v>3640</v>
      </c>
      <c r="AC305" s="12">
        <f>AC268-AB268</f>
        <v>482</v>
      </c>
      <c r="AD305" s="12">
        <f>AD268-AC268</f>
        <v>370</v>
      </c>
      <c r="AE305" s="12">
        <f>AE268-AD268</f>
        <v>324</v>
      </c>
      <c r="AF305" s="12">
        <f>AF268-AE268</f>
        <v>150</v>
      </c>
      <c r="AG305" s="12">
        <f>SUM(AC305:AF305)</f>
        <v>1326</v>
      </c>
      <c r="AH305" s="12">
        <f>AH268-AG268</f>
        <v>-501</v>
      </c>
      <c r="AI305" s="12">
        <f>AI268-AH268</f>
        <v>43</v>
      </c>
      <c r="AJ305" s="12">
        <f>AJ268-AI268</f>
        <v>0</v>
      </c>
      <c r="AK305" s="12">
        <f>AK268-AJ268</f>
        <v>0</v>
      </c>
      <c r="AL305" s="12">
        <f>SUM(AH305:AK305)</f>
        <v>-458</v>
      </c>
      <c r="AM305" s="12">
        <f>AM268-AL268</f>
        <v>0</v>
      </c>
      <c r="AN305" s="12">
        <f>AN268-AM268</f>
        <v>0</v>
      </c>
      <c r="AO305" s="12">
        <f>AO268-AN268</f>
        <v>0</v>
      </c>
      <c r="AP305" s="12">
        <f>AP268-AO268</f>
        <v>0</v>
      </c>
      <c r="AQ305" s="12">
        <f>SUM(AM305:AP305)</f>
        <v>0</v>
      </c>
      <c r="AR305" s="12">
        <f>AR268-AQ268</f>
        <v>0</v>
      </c>
      <c r="AS305" s="12">
        <f>AS268-AR268</f>
        <v>0</v>
      </c>
      <c r="AT305" s="12">
        <f>AT268-AS268</f>
        <v>0</v>
      </c>
      <c r="AU305" s="12">
        <f>AU268-AT268</f>
        <v>0</v>
      </c>
      <c r="AV305" s="12">
        <f>SUM(AR305:AU305)</f>
        <v>0</v>
      </c>
      <c r="AW305" s="12">
        <f>AW268-AV268</f>
        <v>0</v>
      </c>
      <c r="AX305" s="12">
        <f>AX268-AW268</f>
        <v>0</v>
      </c>
      <c r="AY305" s="12">
        <f>AY268-AX268</f>
        <v>0</v>
      </c>
      <c r="AZ305" s="12">
        <f>AZ268-AY268</f>
        <v>0</v>
      </c>
      <c r="BA305" s="12">
        <f>SUM(AW305:AZ305)</f>
        <v>0</v>
      </c>
      <c r="BB305" s="12">
        <f>BB268-BA268</f>
        <v>0</v>
      </c>
      <c r="BC305" s="12">
        <f>BC268-BB268</f>
        <v>0</v>
      </c>
      <c r="BD305" s="12">
        <f>BD268-BC268</f>
        <v>0</v>
      </c>
      <c r="BE305" s="12">
        <f>BE268-BD268</f>
        <v>0</v>
      </c>
      <c r="BF305" s="12">
        <f>SUM(BB305:BE305)</f>
        <v>0</v>
      </c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4" t="inlineStr">
        <is>
          <t>Other equity account</t>
        </is>
      </c>
      <c r="D306" s="12" t="n"/>
      <c r="E306" s="12" t="n"/>
      <c r="F306" s="12" t="n"/>
      <c r="G306" s="12" t="n"/>
      <c r="H306" s="12" t="n"/>
      <c r="I306" s="12" t="n"/>
      <c r="J306" s="12">
        <f>J269-I269</f>
        <v>0</v>
      </c>
      <c r="K306" s="12">
        <f>K269-J269</f>
        <v>0</v>
      </c>
      <c r="L306" s="12">
        <f>L269-K269</f>
        <v>0</v>
      </c>
      <c r="M306" s="12" t="n"/>
      <c r="N306" s="12">
        <f>N269-M269</f>
        <v>0</v>
      </c>
      <c r="O306" s="12">
        <f>O269-N269</f>
        <v>0</v>
      </c>
      <c r="P306" s="12">
        <f>P269-O269</f>
        <v>0</v>
      </c>
      <c r="Q306" s="12">
        <f>Q269-P269</f>
        <v>0</v>
      </c>
      <c r="R306" s="12">
        <f>SUM(N306:Q306)</f>
        <v>0</v>
      </c>
      <c r="S306" s="12">
        <f>S269-R269</f>
        <v>0</v>
      </c>
      <c r="T306" s="12">
        <f>T269-S269</f>
        <v>0</v>
      </c>
      <c r="U306" s="12">
        <f>U269-T269</f>
        <v>0</v>
      </c>
      <c r="V306" s="12">
        <f>V269-U269</f>
        <v>0</v>
      </c>
      <c r="W306" s="12">
        <f>SUM(S306:V306)</f>
        <v>0</v>
      </c>
      <c r="X306" s="12">
        <f>X269-W269</f>
        <v>0</v>
      </c>
      <c r="Y306" s="12">
        <f>Y269-X269</f>
        <v>0</v>
      </c>
      <c r="Z306" s="12">
        <f>Z269-Y269</f>
        <v>0</v>
      </c>
      <c r="AA306" s="12">
        <f>AA269-Z269</f>
        <v>0</v>
      </c>
      <c r="AB306" s="12">
        <f>SUM(X306:AA306)</f>
        <v>0</v>
      </c>
      <c r="AC306" s="12">
        <f>AC269-AB269</f>
        <v>0</v>
      </c>
      <c r="AD306" s="12">
        <f>AD269-AC269</f>
        <v>0</v>
      </c>
      <c r="AE306" s="12">
        <f>AE269-AD269</f>
        <v>0</v>
      </c>
      <c r="AF306" s="12">
        <f>AF269-AE269</f>
        <v>0</v>
      </c>
      <c r="AG306" s="12">
        <f>SUM(AC306:AF306)</f>
        <v>0</v>
      </c>
      <c r="AH306" s="12">
        <f>AH269-AG269</f>
        <v>0</v>
      </c>
      <c r="AI306" s="12">
        <f>AI269-AH269</f>
        <v>0</v>
      </c>
      <c r="AJ306" s="12">
        <f>AJ269-AI269</f>
        <v>0</v>
      </c>
      <c r="AK306" s="12">
        <f>AK269-AJ269</f>
        <v>0</v>
      </c>
      <c r="AL306" s="12">
        <f>SUM(AH306:AK306)</f>
        <v>0</v>
      </c>
      <c r="AM306" s="12">
        <f>AM269-AL269</f>
        <v>0</v>
      </c>
      <c r="AN306" s="12">
        <f>AN269-AM269</f>
        <v>0</v>
      </c>
      <c r="AO306" s="12">
        <f>AO269-AN269</f>
        <v>0</v>
      </c>
      <c r="AP306" s="12">
        <f>AP269-AO269</f>
        <v>0</v>
      </c>
      <c r="AQ306" s="12">
        <f>SUM(AM306:AP306)</f>
        <v>0</v>
      </c>
      <c r="AR306" s="12">
        <f>AR269-AQ269</f>
        <v>0</v>
      </c>
      <c r="AS306" s="12">
        <f>AS269-AR269</f>
        <v>0</v>
      </c>
      <c r="AT306" s="12">
        <f>AT269-AS269</f>
        <v>0</v>
      </c>
      <c r="AU306" s="12">
        <f>AU269-AT269</f>
        <v>0</v>
      </c>
      <c r="AV306" s="12">
        <f>SUM(AR306:AU306)</f>
        <v>0</v>
      </c>
      <c r="AW306" s="12">
        <f>AW269-AV269</f>
        <v>0</v>
      </c>
      <c r="AX306" s="12">
        <f>AX269-AW269</f>
        <v>0</v>
      </c>
      <c r="AY306" s="12">
        <f>AY269-AX269</f>
        <v>0</v>
      </c>
      <c r="AZ306" s="12">
        <f>AZ269-AY269</f>
        <v>0</v>
      </c>
      <c r="BA306" s="12">
        <f>SUM(AW306:AZ306)</f>
        <v>0</v>
      </c>
      <c r="BB306" s="12">
        <f>BB269-BA269</f>
        <v>0</v>
      </c>
      <c r="BC306" s="12">
        <f>BC269-BB269</f>
        <v>0</v>
      </c>
      <c r="BD306" s="12">
        <f>BD269-BC269</f>
        <v>0</v>
      </c>
      <c r="BE306" s="12">
        <f>BE269-BD269</f>
        <v>0</v>
      </c>
      <c r="BF306" s="12">
        <f>SUM(BB306:BE306)</f>
        <v>0</v>
      </c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0" t="inlineStr">
        <is>
          <t>Common and preferred dividends</t>
        </is>
      </c>
      <c r="D307" s="12" t="n"/>
      <c r="E307" s="12" t="n"/>
      <c r="F307" s="12" t="n"/>
      <c r="G307" s="12" t="n"/>
      <c r="H307" s="12" t="n"/>
      <c r="I307" s="12" t="n"/>
      <c r="J307" s="12">
        <f>(J270-I270)-J277</f>
        <v>-2396</v>
      </c>
      <c r="K307" s="12">
        <f>(K270-J270)-K277</f>
        <v>-2052</v>
      </c>
      <c r="L307" s="12">
        <f>(L270-K270)-L277</f>
        <v>-2061</v>
      </c>
      <c r="M307" s="12" t="n"/>
      <c r="N307" s="12">
        <f>(N270-M270)-N277</f>
        <v>-3379</v>
      </c>
      <c r="O307" s="12">
        <f>(O270-N270)-O277</f>
        <v>-3312</v>
      </c>
      <c r="P307" s="12">
        <f>(P270-O270)-P277</f>
        <v>-2080</v>
      </c>
      <c r="Q307" s="12">
        <f>(Q270-P270)-Q277</f>
        <v>-2327</v>
      </c>
      <c r="R307" s="12">
        <f>SUM(N307:Q307)</f>
        <v>-11098</v>
      </c>
      <c r="S307" s="12">
        <f>(S270-R270)-S277</f>
        <v>-2915</v>
      </c>
      <c r="T307" s="12">
        <f>(T270-S270)-T277</f>
        <v>-4332</v>
      </c>
      <c r="U307" s="12">
        <f>(U270-T270)-U277</f>
        <v>-2662</v>
      </c>
      <c r="V307" s="12">
        <f>(V270-U270)-V277</f>
        <v>-2854</v>
      </c>
      <c r="W307" s="12">
        <f>SUM(S307:V307)</f>
        <v>-12763</v>
      </c>
      <c r="X307" s="12">
        <f>(X270-W270)-X277</f>
        <v>-4247</v>
      </c>
      <c r="Y307" s="12">
        <f>(Y270-X270)-Y277</f>
        <v>-1934</v>
      </c>
      <c r="Z307" s="12">
        <f>(Z270-Y270)-Z277</f>
        <v>-1937</v>
      </c>
      <c r="AA307" s="12">
        <f>(AA270-Z270)-AA277</f>
        <v>-6025</v>
      </c>
      <c r="AB307" s="12">
        <f>SUM(X307:AA307)</f>
        <v>-14143</v>
      </c>
      <c r="AC307" s="12">
        <f>(AC270-AB270)-AC277</f>
        <v>-4394</v>
      </c>
      <c r="AD307" s="12">
        <f>(AD270-AC270)-AD277</f>
        <v>-4090</v>
      </c>
      <c r="AE307" s="12">
        <f>(AE270-AD270)-AE277</f>
        <v>-2003</v>
      </c>
      <c r="AF307" s="12">
        <f>(AF270-AE270)-AF277</f>
        <v>-2002</v>
      </c>
      <c r="AG307" s="12">
        <f>SUM(AC307:AF307)</f>
        <v>-12489</v>
      </c>
      <c r="AH307" s="12">
        <f>(AH270-AG270)-AH277</f>
        <v>-2005</v>
      </c>
      <c r="AI307" s="12">
        <f>(AI270-AH270)-AI277</f>
        <v>-4405</v>
      </c>
      <c r="AJ307" s="12">
        <f>(AJ270-AI270)-AJ277</f>
        <v>0</v>
      </c>
      <c r="AK307" s="12">
        <f>(AK270-AJ270)-AK277</f>
        <v>0</v>
      </c>
      <c r="AL307" s="12">
        <f>SUM(AH307:AK307)</f>
        <v>-6410</v>
      </c>
      <c r="AM307" s="12">
        <f>(AM270-AL270)-AM277</f>
        <v>0</v>
      </c>
      <c r="AN307" s="12">
        <f>(AN270-AM270)-AN277</f>
        <v>0</v>
      </c>
      <c r="AO307" s="12">
        <f>(AO270-AN270)-AO277</f>
        <v>0</v>
      </c>
      <c r="AP307" s="12">
        <f>(AP270-AO270)-AP277</f>
        <v>0</v>
      </c>
      <c r="AQ307" s="12">
        <f>SUM(AM307:AP307)</f>
        <v>0</v>
      </c>
      <c r="AR307" s="12">
        <f>(AR270-AQ270)-AR277</f>
        <v>0</v>
      </c>
      <c r="AS307" s="12">
        <f>(AS270-AR270)-AS277</f>
        <v>0</v>
      </c>
      <c r="AT307" s="12">
        <f>(AT270-AS270)-AT277</f>
        <v>0</v>
      </c>
      <c r="AU307" s="12">
        <f>(AU270-AT270)-AU277</f>
        <v>0</v>
      </c>
      <c r="AV307" s="12">
        <f>SUM(AR307:AU307)</f>
        <v>0</v>
      </c>
      <c r="AW307" s="12">
        <f>(AW270-AV270)-AW277</f>
        <v>0</v>
      </c>
      <c r="AX307" s="12">
        <f>(AX270-AW270)-AX277</f>
        <v>0</v>
      </c>
      <c r="AY307" s="12">
        <f>(AY270-AX270)-AY277</f>
        <v>0</v>
      </c>
      <c r="AZ307" s="12">
        <f>(AZ270-AY270)-AZ277</f>
        <v>0</v>
      </c>
      <c r="BA307" s="12">
        <f>SUM(AW307:AZ307)</f>
        <v>0</v>
      </c>
      <c r="BB307" s="12">
        <f>(BB270-BA270)-BB277</f>
        <v>0</v>
      </c>
      <c r="BC307" s="12">
        <f>(BC270-BB270)-BC277</f>
        <v>0</v>
      </c>
      <c r="BD307" s="12">
        <f>(BD270-BC270)-BD277</f>
        <v>0</v>
      </c>
      <c r="BE307" s="12">
        <f>(BE270-BD270)-BE277</f>
        <v>0</v>
      </c>
      <c r="BF307" s="12">
        <f>SUM(BB307:BE307)</f>
        <v>0</v>
      </c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4" t="inlineStr">
        <is>
          <t>Dividends to minority interests</t>
        </is>
      </c>
      <c r="D308" s="12" t="n"/>
      <c r="E308" s="12" t="n"/>
      <c r="F308" s="12" t="n"/>
      <c r="G308" s="12" t="n"/>
      <c r="H308" s="12" t="n"/>
      <c r="I308" s="12" t="n"/>
      <c r="J308" s="12">
        <f>(J248-I248)+J136</f>
        <v>23</v>
      </c>
      <c r="K308" s="12">
        <f>(K248-J248)+K136</f>
        <v>-58</v>
      </c>
      <c r="L308" s="12">
        <f>(L248-K248)+L136</f>
        <v>245</v>
      </c>
      <c r="M308" s="12" t="n"/>
      <c r="N308" s="12">
        <f>(N248-M248)+N136</f>
        <v>41</v>
      </c>
      <c r="O308" s="12">
        <f>(O248-N248)+O136</f>
        <v>3297</v>
      </c>
      <c r="P308" s="12">
        <f>(P248-O248)+P136</f>
        <v>-154</v>
      </c>
      <c r="Q308" s="12">
        <f>(Q248-P248)+Q136</f>
        <v>153</v>
      </c>
      <c r="R308" s="12">
        <f>SUM(N308:Q308)</f>
        <v>3337</v>
      </c>
      <c r="S308" s="12">
        <f>(S248-R248)+S136</f>
        <v>572</v>
      </c>
      <c r="T308" s="12">
        <f>(T248-S248)+T136</f>
        <v>310</v>
      </c>
      <c r="U308" s="12">
        <f>(U248-T248)+U136</f>
        <v>-514</v>
      </c>
      <c r="V308" s="12">
        <f>(V248-U248)+V136</f>
        <v>457</v>
      </c>
      <c r="W308" s="12">
        <f>SUM(S308:V308)</f>
        <v>825</v>
      </c>
      <c r="X308" s="12">
        <f>(X248-W248)+X136</f>
        <v>-121</v>
      </c>
      <c r="Y308" s="12">
        <f>(Y248-X248)+Y136</f>
        <v>-560</v>
      </c>
      <c r="Z308" s="12">
        <f>(Z248-Y248)+Z136</f>
        <v>-158</v>
      </c>
      <c r="AA308" s="12">
        <f>(AA248-Z248)+AA136</f>
        <v>-228</v>
      </c>
      <c r="AB308" s="12">
        <f>SUM(X308:AA308)</f>
        <v>-1067</v>
      </c>
      <c r="AC308" s="12">
        <f>(AC248-AB248)+AC136</f>
        <v>16</v>
      </c>
      <c r="AD308" s="12">
        <f>(AD248-AC248)+AD136</f>
        <v>-237</v>
      </c>
      <c r="AE308" s="12">
        <f>(AE248-AD248)+AE136</f>
        <v>-229</v>
      </c>
      <c r="AF308" s="12">
        <f>(AF248-AE248)+AF136</f>
        <v>-2646</v>
      </c>
      <c r="AG308" s="12">
        <f>SUM(AC308:AF308)</f>
        <v>-3096</v>
      </c>
      <c r="AH308" s="12">
        <f>(AH248-AG248)+AH136</f>
        <v>-351</v>
      </c>
      <c r="AI308" s="12">
        <f>(AI248-AH248)+AI136</f>
        <v>-122</v>
      </c>
      <c r="AJ308" s="12">
        <f>(AJ248-AI248)+AJ136</f>
        <v>0</v>
      </c>
      <c r="AK308" s="12">
        <f>(AK248-AJ248)+AK136</f>
        <v>0</v>
      </c>
      <c r="AL308" s="12">
        <f>SUM(AH308:AK308)</f>
        <v>-473</v>
      </c>
      <c r="AM308" s="12">
        <f>(AM248-AL248)+AM136</f>
        <v>0</v>
      </c>
      <c r="AN308" s="12">
        <f>(AN248-AM248)+AN136</f>
        <v>0</v>
      </c>
      <c r="AO308" s="12">
        <f>(AO248-AN248)+AO136</f>
        <v>0</v>
      </c>
      <c r="AP308" s="12">
        <f>(AP248-AO248)+AP136</f>
        <v>0</v>
      </c>
      <c r="AQ308" s="12">
        <f>SUM(AM308:AP308)</f>
        <v>0</v>
      </c>
      <c r="AR308" s="12">
        <f>(AR248-AQ248)+AR136</f>
        <v>0</v>
      </c>
      <c r="AS308" s="12">
        <f>(AS248-AR248)+AS136</f>
        <v>0</v>
      </c>
      <c r="AT308" s="12">
        <f>(AT248-AS248)+AT136</f>
        <v>0</v>
      </c>
      <c r="AU308" s="12">
        <f>(AU248-AT248)+AU136</f>
        <v>0</v>
      </c>
      <c r="AV308" s="12">
        <f>SUM(AR308:AU308)</f>
        <v>0</v>
      </c>
      <c r="AW308" s="12">
        <f>(AW248-AV248)+AW136</f>
        <v>0</v>
      </c>
      <c r="AX308" s="12">
        <f>(AX248-AW248)+AX136</f>
        <v>0</v>
      </c>
      <c r="AY308" s="12">
        <f>(AY248-AX248)+AY136</f>
        <v>0</v>
      </c>
      <c r="AZ308" s="12">
        <f>(AZ248-AY248)+AZ136</f>
        <v>0</v>
      </c>
      <c r="BA308" s="12">
        <f>SUM(AW308:AZ308)</f>
        <v>0</v>
      </c>
      <c r="BB308" s="12">
        <f>(BB248-BA248)+BB136</f>
        <v>0</v>
      </c>
      <c r="BC308" s="12">
        <f>(BC248-BB248)+BC136</f>
        <v>0</v>
      </c>
      <c r="BD308" s="12">
        <f>(BD248-BC248)+BD136</f>
        <v>0</v>
      </c>
      <c r="BE308" s="12">
        <f>(BE248-BD248)+BE136</f>
        <v>0</v>
      </c>
      <c r="BF308" s="12">
        <f>SUM(BB308:BE308)</f>
        <v>0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</row>
    <row r="309">
      <c r="C309" s="15" t="inlineStr">
        <is>
          <t>Increases / (decreases) in debt</t>
        </is>
      </c>
      <c r="D309" s="12" t="n"/>
      <c r="E309" s="12" t="n"/>
      <c r="F309" s="12" t="n"/>
      <c r="G309" s="12" t="n"/>
      <c r="H309" s="12" t="n"/>
      <c r="I309" s="12" t="n"/>
      <c r="J309" s="12">
        <f>SUM(J212:J214,J217,J238,J235)-SUM(I212:I214,I217,I238,I235)</f>
        <v>1958</v>
      </c>
      <c r="K309" s="12">
        <f>SUM(K212:K214,K217,K238,K235)-SUM(J212:J214,J217,J238,J235)</f>
        <v>-1251</v>
      </c>
      <c r="L309" s="12">
        <f>SUM(L212:L214,L217,L238,L235)-SUM(K212:K214,K217,K238,K235)</f>
        <v>-962</v>
      </c>
      <c r="M309" s="12" t="n"/>
      <c r="N309" s="12">
        <f>SUM(N212:N214,N217,N238,N235)-SUM(M212:M214,M217,M238,M235)</f>
        <v>1490</v>
      </c>
      <c r="O309" s="12">
        <f>SUM(O212:O214,O217,O238,O235)-SUM(N212:N214,N217,N238,N235)</f>
        <v>3898</v>
      </c>
      <c r="P309" s="12">
        <f>SUM(P212:P214,P217,P238,P235)-SUM(O212:O214,O217,O238,O235)</f>
        <v>-2724</v>
      </c>
      <c r="Q309" s="12">
        <f>SUM(Q212:Q214,Q217,Q238,Q235)-SUM(P212:P214,P217,P238,P235)</f>
        <v>8956</v>
      </c>
      <c r="R309" s="12">
        <f>SUM(N309:Q309)</f>
        <v>11620</v>
      </c>
      <c r="S309" s="12">
        <f>SUM(S212:S214,S217,S238,S235)-SUM(R212:R214,R217,R238,R235)</f>
        <v>12965</v>
      </c>
      <c r="T309" s="12">
        <f>SUM(T212:T214,T217,T238,T235)-SUM(S212:S214,S217,S238,S235)</f>
        <v>-4999</v>
      </c>
      <c r="U309" s="12">
        <f>SUM(U212:U214,U217,U238,U235)-SUM(T212:T214,T217,T238,T235)</f>
        <v>-2220</v>
      </c>
      <c r="V309" s="12">
        <f>SUM(V212:V214,V217,V238,V235)-SUM(U212:U214,U217,U238,U235)</f>
        <v>-832</v>
      </c>
      <c r="W309" s="12">
        <f>SUM(S309:V309)</f>
        <v>4914</v>
      </c>
      <c r="X309" s="12">
        <f>SUM(X212:X214,X217,X238,X235)-SUM(W212:W214,W217,W238,W235)</f>
        <v>11100</v>
      </c>
      <c r="Y309" s="12">
        <f>SUM(Y212:Y214,Y217,Y238,Y235)-SUM(X212:X214,X217,X238,X235)</f>
        <v>1461</v>
      </c>
      <c r="Z309" s="12">
        <f>SUM(Z212:Z214,Z217,Z238,Z235)-SUM(Y212:Y214,Y217,Y238,Y235)</f>
        <v>2912</v>
      </c>
      <c r="AA309" s="12">
        <f>SUM(AA212:AA214,AA217,AA238,AA235)-SUM(Z212:Z214,Z217,Z238,Z235)</f>
        <v>-1106</v>
      </c>
      <c r="AB309" s="12">
        <f>SUM(X309:AA309)</f>
        <v>14367</v>
      </c>
      <c r="AC309" s="12">
        <f>SUM(AC212:AC214,AC217,AC238,AC235)-SUM(AB212:AB214,AB217,AB238,AB235)</f>
        <v>4367</v>
      </c>
      <c r="AD309" s="12">
        <f>SUM(AD212:AD214,AD217,AD238,AD235)-SUM(AC212:AC214,AC217,AC238,AC235)</f>
        <v>-2078</v>
      </c>
      <c r="AE309" s="12">
        <f>SUM(AE212:AE214,AE217,AE238,AE235)-SUM(AD212:AD214,AD217,AD238,AD235)</f>
        <v>943</v>
      </c>
      <c r="AF309" s="12">
        <f>SUM(AF212:AF214,AF217,AF238,AF235)-SUM(AE212:AE214,AE217,AE238,AE235)</f>
        <v>-1747</v>
      </c>
      <c r="AG309" s="12">
        <f>SUM(AC309:AF309)</f>
        <v>1485</v>
      </c>
      <c r="AH309" s="12">
        <f>SUM(AH212:AH214,AH217,AH238,AH235)-SUM(AG212:AG214,AG217,AG238,AG235)</f>
        <v>-472</v>
      </c>
      <c r="AI309" s="12">
        <f>SUM(AI212:AI214,AI217,AI238,AI235)-SUM(AH212:AH214,AH217,AH238,AH235)</f>
        <v>-4589</v>
      </c>
      <c r="AJ309" s="12">
        <f>SUM(AJ212:AJ214,AJ217,AJ238,AJ235)-SUM(AI212:AI214,AI217,AI238,AI235)</f>
        <v>0</v>
      </c>
      <c r="AK309" s="12">
        <f>SUM(AK212:AK214,AK217,AK238,AK235)-SUM(AJ212:AJ214,AJ217,AJ238,AJ235)</f>
        <v>0</v>
      </c>
      <c r="AL309" s="12">
        <f>SUM(AH309:AK309)</f>
        <v>-5061</v>
      </c>
      <c r="AM309" s="12">
        <f>SUM(AM212:AM214,AM217,AM238,AM235)-SUM(AL212:AL214,AL217,AL238,AL235)</f>
        <v>0</v>
      </c>
      <c r="AN309" s="12">
        <f>SUM(AN212:AN214,AN217,AN238,AN235)-SUM(AM212:AM214,AM217,AM238,AM235)</f>
        <v>0</v>
      </c>
      <c r="AO309" s="12">
        <f>SUM(AO212:AO214,AO217,AO238,AO235)-SUM(AN212:AN214,AN217,AN238,AN235)</f>
        <v>0</v>
      </c>
      <c r="AP309" s="12">
        <f>SUM(AP212:AP214,AP217,AP238,AP235)-SUM(AO212:AO214,AO217,AO238,AO235)</f>
        <v>0</v>
      </c>
      <c r="AQ309" s="12">
        <f>SUM(AM309:AP309)</f>
        <v>0</v>
      </c>
      <c r="AR309" s="12">
        <f>SUM(AR212:AR214,AR217,AR238,AR235)-SUM(AQ212:AQ214,AQ217,AQ238,AQ235)</f>
        <v>0</v>
      </c>
      <c r="AS309" s="12">
        <f>SUM(AS212:AS214,AS217,AS238,AS235)-SUM(AR212:AR214,AR217,AR238,AR235)</f>
        <v>0</v>
      </c>
      <c r="AT309" s="12">
        <f>SUM(AT212:AT214,AT217,AT238,AT235)-SUM(AS212:AS214,AS217,AS238,AS235)</f>
        <v>0</v>
      </c>
      <c r="AU309" s="12">
        <f>SUM(AU212:AU214,AU217,AU238,AU235)-SUM(AT212:AT214,AT217,AT238,AT235)</f>
        <v>0</v>
      </c>
      <c r="AV309" s="12">
        <f>SUM(AR309:AU309)</f>
        <v>0</v>
      </c>
      <c r="AW309" s="12">
        <f>SUM(AW212:AW214,AW217,AW238,AW235)-SUM(AV212:AV214,AV217,AV238,AV235)</f>
        <v>0</v>
      </c>
      <c r="AX309" s="12">
        <f>SUM(AX212:AX214,AX217,AX238,AX235)-SUM(AW212:AW214,AW217,AW238,AW235)</f>
        <v>0</v>
      </c>
      <c r="AY309" s="12">
        <f>SUM(AY212:AY214,AY217,AY238,AY235)-SUM(AX212:AX214,AX217,AX238,AX235)</f>
        <v>0</v>
      </c>
      <c r="AZ309" s="12">
        <f>SUM(AZ212:AZ214,AZ217,AZ238,AZ235)-SUM(AY212:AY214,AY217,AY238,AY235)</f>
        <v>0</v>
      </c>
      <c r="BA309" s="12">
        <f>SUM(AW309:AZ309)</f>
        <v>0</v>
      </c>
      <c r="BB309" s="12">
        <f>SUM(BB212:BB214,BB217,BB238,BB235)-SUM(BA212:BA214,BA217,BA238,BA235)</f>
        <v>0</v>
      </c>
      <c r="BC309" s="12">
        <f>SUM(BC212:BC214,BC217,BC238,BC235)-SUM(BB212:BB214,BB217,BB238,BB235)</f>
        <v>0</v>
      </c>
      <c r="BD309" s="12">
        <f>SUM(BD212:BD214,BD217,BD238,BD235)-SUM(BC212:BC214,BC217,BC238,BC235)</f>
        <v>0</v>
      </c>
      <c r="BE309" s="12">
        <f>SUM(BE212:BE214,BE217,BE238,BE235)-SUM(BD212:BD214,BD217,BD238,BD235)</f>
        <v>0</v>
      </c>
      <c r="BF309" s="12">
        <f>SUM(BB309:BE309)</f>
        <v>0</v>
      </c>
      <c r="BG309" s="12" t="n"/>
      <c r="BH309" s="12" t="n"/>
      <c r="BI309" s="12" t="n"/>
      <c r="BJ309" s="12" t="n"/>
      <c r="BK309" s="12" t="n"/>
      <c r="BL309" s="12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  <c r="CA309" s="12" t="n"/>
      <c r="CB309" s="12" t="n"/>
      <c r="CC309" s="12" t="n"/>
      <c r="CD309" s="12" t="n"/>
      <c r="CE309" s="12" t="n"/>
      <c r="CF309" s="12" t="n"/>
      <c r="CG309" s="12" t="n"/>
      <c r="CH309" s="12" t="n"/>
      <c r="CI309" s="12" t="n"/>
      <c r="CJ309" s="12" t="n"/>
      <c r="CK309" s="12" t="n"/>
      <c r="CL309" s="12" t="n"/>
      <c r="CM309" s="12" t="n"/>
      <c r="CN309" s="12" t="n"/>
      <c r="CO309" s="12" t="n"/>
      <c r="CP309" s="12" t="n"/>
      <c r="CQ309" s="12" t="n"/>
      <c r="CR309" s="12" t="n"/>
      <c r="CS309" s="12" t="n"/>
      <c r="CT309" s="12" t="n"/>
      <c r="CU309" s="12" t="n"/>
      <c r="CV309" s="12" t="n"/>
      <c r="CW309" s="12" t="n"/>
      <c r="CX309" s="12" t="n"/>
      <c r="CY309" s="12" t="n"/>
      <c r="CZ309" s="12" t="n"/>
      <c r="DA309" s="12" t="n"/>
      <c r="DB309" s="12" t="n"/>
      <c r="DC309" s="12" t="n"/>
    </row>
    <row r="310">
      <c r="C310" s="14" t="inlineStr">
        <is>
          <t>Cash from financing</t>
        </is>
      </c>
      <c r="D310" s="12" t="n"/>
      <c r="E310" s="12" t="n"/>
      <c r="F310" s="12" t="n"/>
      <c r="G310" s="12" t="n"/>
      <c r="H310" s="12" t="n"/>
      <c r="I310" s="12" t="n"/>
      <c r="J310" s="12">
        <f>SUM(J302,J303,J304,J305,J306,J307,J308,J309)</f>
        <v>325</v>
      </c>
      <c r="K310" s="12">
        <f>SUM(K302,K303,K304,K305,K306,K307,K308,K309)</f>
        <v>-4131</v>
      </c>
      <c r="L310" s="12">
        <f>SUM(L302,L303,L304,L305,L306,L307,L308,L309)</f>
        <v>-3306</v>
      </c>
      <c r="M310" s="12" t="n"/>
      <c r="N310" s="12">
        <f>SUM(N302,N303,N304,N305,N306,N307,N308,N309)</f>
        <v>-2490</v>
      </c>
      <c r="O310" s="12">
        <f>SUM(O302,O303,O304,O305,O306,O307,O308,O309)</f>
        <v>2179</v>
      </c>
      <c r="P310" s="12">
        <f>SUM(P302,P303,P304,P305,P306,P307,P308,P309)</f>
        <v>-6314</v>
      </c>
      <c r="Q310" s="12">
        <f>SUM(Q302,Q303,Q304,Q305,Q306,Q307,Q308,Q309)</f>
        <v>7474</v>
      </c>
      <c r="R310" s="12">
        <f>SUM(R302,R303,R304,R305,R306,R307,R308,R309)</f>
        <v>849</v>
      </c>
      <c r="S310" s="12">
        <f>SUM(S302,S303,S304,S305,S306,S307,S308,S309)</f>
        <v>11466</v>
      </c>
      <c r="T310" s="12">
        <f>SUM(T302,T303,T304,T305,T306,T307,T308,T309)</f>
        <v>-9122</v>
      </c>
      <c r="U310" s="12">
        <f>SUM(U302,U303,U304,U305,U306,U307,U308,U309)</f>
        <v>-6434</v>
      </c>
      <c r="V310" s="12">
        <f>SUM(V302,V303,V304,V305,V306,V307,V308,V309)</f>
        <v>-1568</v>
      </c>
      <c r="W310" s="12">
        <f>SUM(W302,W303,W304,W305,W306,W307,W308,W309)</f>
        <v>-5658</v>
      </c>
      <c r="X310" s="12">
        <f>SUM(X302,X303,X304,X305,X306,X307,X308,X309)</f>
        <v>10320</v>
      </c>
      <c r="Y310" s="12">
        <f>SUM(Y302,Y303,Y304,Y305,Y306,Y307,Y308,Y309)</f>
        <v>-644</v>
      </c>
      <c r="Z310" s="12">
        <f>SUM(Z302,Z303,Z304,Z305,Z306,Z307,Z308,Z309)</f>
        <v>1875</v>
      </c>
      <c r="AA310" s="12">
        <f>SUM(AA302,AA303,AA304,AA305,AA306,AA307,AA308,AA309)</f>
        <v>-8754</v>
      </c>
      <c r="AB310" s="12">
        <f>SUM(AB302,AB303,AB304,AB305,AB306,AB307,AB308,AB309)</f>
        <v>2797</v>
      </c>
      <c r="AC310" s="12">
        <f>SUM(AC302,AC303,AC304,AC305,AC306,AC307,AC308,AC309)</f>
        <v>471</v>
      </c>
      <c r="AD310" s="12">
        <f>SUM(AD302,AD303,AD304,AD305,AD306,AD307,AD308,AD309)</f>
        <v>-6035</v>
      </c>
      <c r="AE310" s="12">
        <f>SUM(AE302,AE303,AE304,AE305,AE306,AE307,AE308,AE309)</f>
        <v>-571</v>
      </c>
      <c r="AF310" s="12">
        <f>SUM(AF302,AF303,AF304,AF305,AF306,AF307,AF308,AF309)</f>
        <v>-6080</v>
      </c>
      <c r="AG310" s="12">
        <f>SUM(AG302,AG303,AG304,AG305,AG306,AG307,AG308,AG309)</f>
        <v>-12215</v>
      </c>
      <c r="AH310" s="12">
        <f>SUM(AH302,AH303,AH304,AH305,AH306,AH307,AH308,AH309)</f>
        <v>-3332</v>
      </c>
      <c r="AI310" s="12">
        <f>SUM(AI302,AI303,AI304,AI305,AI306,AI307,AI308,AI309)</f>
        <v>-9629</v>
      </c>
      <c r="AJ310" s="12">
        <f>SUM(AJ302,AJ303,AJ304,AJ305,AJ306,AJ307,AJ308,AJ309)</f>
        <v>0</v>
      </c>
      <c r="AK310" s="12">
        <f>SUM(AK302,AK303,AK304,AK305,AK306,AK307,AK308,AK309)</f>
        <v>0</v>
      </c>
      <c r="AL310" s="12">
        <f>SUM(AL302,AL303,AL304,AL305,AL306,AL307,AL308,AL309)</f>
        <v>-12961</v>
      </c>
      <c r="AM310" s="12">
        <f>SUM(AM302,AM303,AM304,AM305,AM306,AM307,AM308,AM309)</f>
        <v>0</v>
      </c>
      <c r="AN310" s="12">
        <f>SUM(AN302,AN303,AN304,AN305,AN306,AN307,AN308,AN309)</f>
        <v>0</v>
      </c>
      <c r="AO310" s="12">
        <f>SUM(AO302,AO303,AO304,AO305,AO306,AO307,AO308,AO309)</f>
        <v>0</v>
      </c>
      <c r="AP310" s="12">
        <f>SUM(AP302,AP303,AP304,AP305,AP306,AP307,AP308,AP309)</f>
        <v>0</v>
      </c>
      <c r="AQ310" s="12">
        <f>SUM(AQ302,AQ303,AQ304,AQ305,AQ306,AQ307,AQ308,AQ309)</f>
        <v>0</v>
      </c>
      <c r="AR310" s="12">
        <f>SUM(AR302,AR303,AR304,AR305,AR306,AR307,AR308,AR309)</f>
        <v>0</v>
      </c>
      <c r="AS310" s="12">
        <f>SUM(AS302,AS303,AS304,AS305,AS306,AS307,AS308,AS309)</f>
        <v>0</v>
      </c>
      <c r="AT310" s="12">
        <f>SUM(AT302,AT303,AT304,AT305,AT306,AT307,AT308,AT309)</f>
        <v>0</v>
      </c>
      <c r="AU310" s="12">
        <f>SUM(AU302,AU303,AU304,AU305,AU306,AU307,AU308,AU309)</f>
        <v>0</v>
      </c>
      <c r="AV310" s="12">
        <f>SUM(AV302,AV303,AV304,AV305,AV306,AV307,AV308,AV309)</f>
        <v>0</v>
      </c>
      <c r="AW310" s="12">
        <f>SUM(AW302,AW303,AW304,AW305,AW306,AW307,AW308,AW309)</f>
        <v>0</v>
      </c>
      <c r="AX310" s="12">
        <f>SUM(AX302,AX303,AX304,AX305,AX306,AX307,AX308,AX309)</f>
        <v>0</v>
      </c>
      <c r="AY310" s="12">
        <f>SUM(AY302,AY303,AY304,AY305,AY306,AY307,AY308,AY309)</f>
        <v>0</v>
      </c>
      <c r="AZ310" s="12">
        <f>SUM(AZ302,AZ303,AZ304,AZ305,AZ306,AZ307,AZ308,AZ309)</f>
        <v>0</v>
      </c>
      <c r="BA310" s="12">
        <f>SUM(BA302,BA303,BA304,BA305,BA306,BA307,BA308,BA309)</f>
        <v>0</v>
      </c>
      <c r="BB310" s="12">
        <f>SUM(BB302,BB303,BB304,BB305,BB306,BB307,BB308,BB309)</f>
        <v>0</v>
      </c>
      <c r="BC310" s="12">
        <f>SUM(BC302,BC303,BC304,BC305,BC306,BC307,BC308,BC309)</f>
        <v>0</v>
      </c>
      <c r="BD310" s="12">
        <f>SUM(BD302,BD303,BD304,BD305,BD306,BD307,BD308,BD309)</f>
        <v>0</v>
      </c>
      <c r="BE310" s="12">
        <f>SUM(BE302,BE303,BE304,BE305,BE306,BE307,BE308,BE309)</f>
        <v>0</v>
      </c>
      <c r="BF310" s="12">
        <f>SUM(BF302,BF303,BF304,BF305,BF306,BF307,BF308,BF309)</f>
        <v>0</v>
      </c>
      <c r="BG310" s="12" t="n"/>
      <c r="BH310" s="12" t="n"/>
      <c r="BI310" s="12" t="n"/>
      <c r="BJ310" s="12" t="n"/>
      <c r="BK310" s="12" t="n"/>
      <c r="BL310" s="12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  <c r="CU310" s="12" t="n"/>
      <c r="CV310" s="12" t="n"/>
      <c r="CW310" s="12" t="n"/>
      <c r="CX310" s="12" t="n"/>
      <c r="CY310" s="12" t="n"/>
    </row>
    <row r="311">
      <c r="C311" s="14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  <c r="BJ311" s="12" t="n"/>
      <c r="BK311" s="12" t="n"/>
      <c r="BL311" s="12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  <c r="CA311" s="12" t="n"/>
      <c r="CB311" s="12" t="n"/>
      <c r="CC311" s="12" t="n"/>
      <c r="CD311" s="12" t="n"/>
      <c r="CE311" s="12" t="n"/>
      <c r="CF311" s="12" t="n"/>
      <c r="CG311" s="12" t="n"/>
      <c r="CH311" s="12" t="n"/>
      <c r="CI311" s="12" t="n"/>
      <c r="CJ311" s="12" t="n"/>
      <c r="CK311" s="12" t="n"/>
      <c r="CL311" s="12" t="n"/>
      <c r="CM311" s="12" t="n"/>
      <c r="CN311" s="12" t="n"/>
      <c r="CO311" s="12" t="n"/>
      <c r="CP311" s="12" t="n"/>
      <c r="CQ311" s="12" t="n"/>
      <c r="CR311" s="12" t="n"/>
      <c r="CS311" s="12" t="n"/>
      <c r="CT311" s="12" t="n"/>
      <c r="CU311" s="12" t="n"/>
      <c r="CV311" s="12" t="n"/>
      <c r="CW311" s="12" t="n"/>
      <c r="CX311" s="12" t="n"/>
      <c r="CY311" s="12" t="n"/>
    </row>
    <row r="312">
      <c r="C312" s="14" t="inlineStr">
        <is>
          <t>Others / cash reconciliation plug</t>
        </is>
      </c>
      <c r="D312" s="12" t="n"/>
      <c r="E312" s="12" t="n"/>
      <c r="F312" s="12" t="n"/>
      <c r="G312" s="12" t="n"/>
      <c r="H312" s="12" t="n"/>
      <c r="I312" s="12" t="n"/>
      <c r="J312" s="12">
        <f>J144-I144-SUM(J293,J300,J310)</f>
        <v>0</v>
      </c>
      <c r="K312" s="12">
        <f>K144-J144-SUM(K293,K300,K310)</f>
        <v>0</v>
      </c>
      <c r="L312" s="12">
        <f>L144-K144-SUM(L293,L300,L310)</f>
        <v>0</v>
      </c>
      <c r="M312" s="12" t="n"/>
      <c r="N312" s="12">
        <f>N144-M144-SUM(N293,N300,N310)</f>
        <v>0</v>
      </c>
      <c r="O312" s="12">
        <f>O144-N144-SUM(O293,O300,O310)</f>
        <v>0</v>
      </c>
      <c r="P312" s="12">
        <f>P144-O144-SUM(P293,P300,P310)</f>
        <v>0</v>
      </c>
      <c r="Q312" s="12">
        <f>Q144-P144-SUM(Q293,Q300,Q310)</f>
        <v>0</v>
      </c>
      <c r="R312" s="12">
        <f>SUM(N312:Q312)</f>
        <v>0</v>
      </c>
      <c r="S312" s="12">
        <f>S144-R144-SUM(S293,S300,S310)</f>
        <v>0</v>
      </c>
      <c r="T312" s="12">
        <f>T144-S144-SUM(T293,T300,T310)</f>
        <v>0</v>
      </c>
      <c r="U312" s="12">
        <f>U144-T144-SUM(U293,U300,U310)</f>
        <v>0</v>
      </c>
      <c r="V312" s="12">
        <f>V144-U144-SUM(V293,V300,V310)</f>
        <v>0</v>
      </c>
      <c r="W312" s="12">
        <f>SUM(S312:V312)</f>
        <v>0</v>
      </c>
      <c r="X312" s="12">
        <f>X144-W144-SUM(X293,X300,X310)</f>
        <v>0</v>
      </c>
      <c r="Y312" s="12">
        <f>Y144-X144-SUM(Y293,Y300,Y310)</f>
        <v>0</v>
      </c>
      <c r="Z312" s="12">
        <f>Z144-Y144-SUM(Z293,Z300,Z310)</f>
        <v>0</v>
      </c>
      <c r="AA312" s="12">
        <f>AA144-Z144-SUM(AA293,AA300,AA310)</f>
        <v>0</v>
      </c>
      <c r="AB312" s="12">
        <f>SUM(X312:AA312)</f>
        <v>0</v>
      </c>
      <c r="AC312" s="12">
        <f>AC144-AB144-SUM(AC293,AC300,AC310)</f>
        <v>0</v>
      </c>
      <c r="AD312" s="12">
        <f>AD144-AC144-SUM(AD293,AD300,AD310)</f>
        <v>0</v>
      </c>
      <c r="AE312" s="12">
        <f>AE144-AD144-SUM(AE293,AE300,AE310)</f>
        <v>0</v>
      </c>
      <c r="AF312" s="12">
        <f>AF144-AE144-SUM(AF293,AF300,AF310)</f>
        <v>0</v>
      </c>
      <c r="AG312" s="12">
        <f>SUM(AC312:AF312)</f>
        <v>0</v>
      </c>
      <c r="AH312" s="12">
        <f>AH144-AG144-SUM(AH293,AH300,AH310)</f>
        <v>0</v>
      </c>
      <c r="AI312" s="12">
        <f>AI144-AH144-SUM(AI293,AI300,AI310)</f>
        <v>0</v>
      </c>
      <c r="AJ312" s="12">
        <f>AJ144-AI144-SUM(AJ293,AJ300,AJ310)</f>
        <v>-3.97903932025656e-11</v>
      </c>
      <c r="AK312" s="12">
        <f>AK144-AJ144-SUM(AK293,AK300,AK310)</f>
        <v>6.54836185276508e-11</v>
      </c>
      <c r="AL312" s="12">
        <f>SUM(AH312:AK312)</f>
        <v>2.56932253250852e-11</v>
      </c>
      <c r="AM312" s="12">
        <f>AM144-AL144-SUM(AM293,AM300,AM310)</f>
        <v>0</v>
      </c>
      <c r="AN312" s="12">
        <f>AN144-AM144-SUM(AN293,AN300,AN310)</f>
        <v>0</v>
      </c>
      <c r="AO312" s="12">
        <f>AO144-AN144-SUM(AO293,AO300,AO310)</f>
        <v>-2.27373675443232e-11</v>
      </c>
      <c r="AP312" s="12">
        <f>AP144-AO144-SUM(AP293,AP300,AP310)</f>
        <v>-2.00088834390044e-11</v>
      </c>
      <c r="AQ312" s="12">
        <f>SUM(AM312:AP312)</f>
        <v>-4.27462509833276e-11</v>
      </c>
      <c r="AR312" s="12">
        <f>AR144-AQ144-SUM(AR293,AR300,AR310)</f>
        <v>3.18323145620525e-11</v>
      </c>
      <c r="AS312" s="12">
        <f>AS144-AR144-SUM(AS293,AS300,AS310)</f>
        <v>0</v>
      </c>
      <c r="AT312" s="12">
        <f>AT144-AS144-SUM(AT293,AT300,AT310)</f>
        <v>0</v>
      </c>
      <c r="AU312" s="12">
        <f>AU144-AT144-SUM(AU293,AU300,AU310)</f>
        <v>2.00088834390044e-11</v>
      </c>
      <c r="AV312" s="12">
        <f>SUM(AR312:AU312)</f>
        <v>5.18411980010569e-11</v>
      </c>
      <c r="AW312" s="12">
        <f>AW144-AV144-SUM(AW293,AW300,AW310)</f>
        <v>3.27418092638254e-11</v>
      </c>
      <c r="AX312" s="12">
        <f>AX144-AW144-SUM(AX293,AX300,AX310)</f>
        <v>2.00088834390044e-11</v>
      </c>
      <c r="AY312" s="12">
        <f>AY144-AX144-SUM(AY293,AY300,AY310)</f>
        <v>-5.45696821063757e-11</v>
      </c>
      <c r="AZ312" s="12">
        <f>AZ144-AY144-SUM(AZ293,AZ300,AZ310)</f>
        <v>4.00177668780088e-11</v>
      </c>
      <c r="BA312" s="12">
        <f>SUM(AW312:AZ312)</f>
        <v>3.8198777474463e-11</v>
      </c>
      <c r="BB312" s="12">
        <f>BB144-BA144-SUM(BB293,BB300,BB310)</f>
        <v>-2.18278728425503e-11</v>
      </c>
      <c r="BC312" s="12">
        <f>BC144-BB144-SUM(BC293,BC300,BC310)</f>
        <v>-6.73026079311967e-11</v>
      </c>
      <c r="BD312" s="12">
        <f>BD144-BC144-SUM(BD293,BD300,BD310)</f>
        <v>1.06410880107433e-10</v>
      </c>
      <c r="BE312" s="12">
        <f>BE144-BD144-SUM(BE293,BE300,BE310)</f>
        <v>0</v>
      </c>
      <c r="BF312" s="12">
        <f>SUM(BB312:BE312)</f>
        <v>1.72803993336856e-11</v>
      </c>
      <c r="BG312" s="12" t="n"/>
      <c r="BH312" s="12" t="n"/>
      <c r="BI312" s="12" t="n"/>
      <c r="BJ312" s="12" t="n"/>
      <c r="BK312" s="12" t="n"/>
      <c r="BL312" s="12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  <c r="CU312" s="12" t="n"/>
      <c r="CV312" s="12" t="n"/>
      <c r="CW312" s="12" t="n"/>
      <c r="CX312" s="12" t="n"/>
      <c r="CY312" s="12" t="n"/>
    </row>
    <row r="313">
      <c r="C313" s="14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  <c r="BJ313" s="12" t="n"/>
      <c r="BK313" s="12" t="n"/>
      <c r="BL313" s="12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  <c r="CA313" s="12" t="n"/>
      <c r="CB313" s="12" t="n"/>
      <c r="CC313" s="12" t="n"/>
      <c r="CD313" s="12" t="n"/>
      <c r="CE313" s="12" t="n"/>
      <c r="CF313" s="12" t="n"/>
      <c r="CG313" s="12" t="n"/>
      <c r="CH313" s="12" t="n"/>
      <c r="CI313" s="12" t="n"/>
      <c r="CJ313" s="12" t="n"/>
      <c r="CK313" s="12" t="n"/>
      <c r="CL313" s="12" t="n"/>
      <c r="CM313" s="12" t="n"/>
      <c r="CN313" s="12" t="n"/>
      <c r="CO313" s="12" t="n"/>
      <c r="CP313" s="12" t="n"/>
      <c r="CQ313" s="12" t="n"/>
      <c r="CR313" s="12" t="n"/>
      <c r="CS313" s="12" t="n"/>
      <c r="CT313" s="12" t="n"/>
      <c r="CU313" s="12" t="n"/>
      <c r="CV313" s="12" t="n"/>
      <c r="CW313" s="12" t="n"/>
      <c r="CX313" s="12" t="n"/>
      <c r="CY313" s="12" t="n"/>
    </row>
    <row r="314">
      <c r="C314" s="14" t="inlineStr">
        <is>
          <t>Total increase/decrease of cash</t>
        </is>
      </c>
      <c r="D314" s="12" t="n"/>
      <c r="E314" s="12" t="n"/>
      <c r="F314" s="12" t="n"/>
      <c r="G314" s="12" t="n"/>
      <c r="H314" s="12" t="n"/>
      <c r="I314" s="12" t="n"/>
      <c r="J314" s="12">
        <f>SUM(J293,J300,J310,J312)</f>
        <v>-356</v>
      </c>
      <c r="K314" s="12">
        <f>SUM(K293,K300,K310,K312)</f>
        <v>1310</v>
      </c>
      <c r="L314" s="12">
        <f>SUM(L293,L300,L310,L312)</f>
        <v>36</v>
      </c>
      <c r="M314" s="12" t="n"/>
      <c r="N314" s="12">
        <f>SUM(N293,N300,N310,N312)</f>
        <v>4489</v>
      </c>
      <c r="O314" s="12">
        <f>SUM(O293,O300,O310,O312)</f>
        <v>-432</v>
      </c>
      <c r="P314" s="12">
        <f>SUM(P293,P300,P310,P312)</f>
        <v>14563</v>
      </c>
      <c r="Q314" s="12">
        <f>SUM(Q293,Q300,Q310,Q312)</f>
        <v>-14616</v>
      </c>
      <c r="R314" s="12">
        <f>SUM(N314:Q314)</f>
        <v>4004</v>
      </c>
      <c r="S314" s="12">
        <f>SUM(S293,S300,S310,S312)</f>
        <v>18586</v>
      </c>
      <c r="T314" s="12">
        <f>SUM(T293,T300,T310,T312)</f>
        <v>-218</v>
      </c>
      <c r="U314" s="12">
        <f>SUM(U293,U300,U310,U312)</f>
        <v>-2182</v>
      </c>
      <c r="V314" s="12">
        <f>SUM(V293,V300,V310,V312)</f>
        <v>-14469</v>
      </c>
      <c r="W314" s="12">
        <f>SUM(S314:V314)</f>
        <v>1717</v>
      </c>
      <c r="X314" s="12">
        <f>SUM(X293,X300,X310,X312)</f>
        <v>3082</v>
      </c>
      <c r="Y314" s="12">
        <f>SUM(Y293,Y300,Y310,Y312)</f>
        <v>-1387</v>
      </c>
      <c r="Z314" s="12">
        <f>SUM(Z293,Z300,Z310,Z312)</f>
        <v>5811</v>
      </c>
      <c r="AA314" s="12">
        <f>SUM(AA293,AA300,AA310,AA312)</f>
        <v>-8021</v>
      </c>
      <c r="AB314" s="12">
        <f>SUM(X314:AA314)</f>
        <v>-515</v>
      </c>
      <c r="AC314" s="12">
        <f>SUM(AC293,AC300,AC310,AC312)</f>
        <v>5178</v>
      </c>
      <c r="AD314" s="12">
        <f>SUM(AD293,AD300,AD310,AD312)</f>
        <v>-2271</v>
      </c>
      <c r="AE314" s="12">
        <f>SUM(AE293,AE300,AE310,AE312)</f>
        <v>-1406</v>
      </c>
      <c r="AF314" s="12">
        <f>SUM(AF293,AF300,AF310,AF312)</f>
        <v>-2493</v>
      </c>
      <c r="AG314" s="12">
        <f>SUM(AC314:AF314)</f>
        <v>-992</v>
      </c>
      <c r="AH314" s="12">
        <f>SUM(AH293,AH300,AH310,AH312)</f>
        <v>3108</v>
      </c>
      <c r="AI314" s="12">
        <f>SUM(AI293,AI300,AI310,AI312)</f>
        <v>239</v>
      </c>
      <c r="AJ314" s="12">
        <f>SUM(AJ293,AJ300,AJ310,AJ312)</f>
        <v>-491.064306480694</v>
      </c>
      <c r="AK314" s="12">
        <f>SUM(AK293,AK300,AK310,AK312)</f>
        <v>4081.60548034584</v>
      </c>
      <c r="AL314" s="12">
        <f>SUM(AH314:AK314)</f>
        <v>6937.54117386515</v>
      </c>
      <c r="AM314" s="12">
        <f>SUM(AM293,AM300,AM310,AM312)</f>
        <v>4140.19432619099</v>
      </c>
      <c r="AN314" s="12">
        <f>SUM(AN293,AN300,AN310,AN312)</f>
        <v>3919.46101093869</v>
      </c>
      <c r="AO314" s="12">
        <f>SUM(AO293,AO300,AO310,AO312)</f>
        <v>5521.84143250727</v>
      </c>
      <c r="AP314" s="12">
        <f>SUM(AP293,AP300,AP310,AP312)</f>
        <v>4418.93843200395</v>
      </c>
      <c r="AQ314" s="12">
        <f>SUM(AM314:AP314)</f>
        <v>18000.4352016409</v>
      </c>
      <c r="AR314" s="12">
        <f>SUM(AR293,AR300,AR310,AR312)</f>
        <v>4231.03326723055</v>
      </c>
      <c r="AS314" s="12">
        <f>SUM(AS293,AS300,AS310,AS312)</f>
        <v>4386.37983590843</v>
      </c>
      <c r="AT314" s="12">
        <f>SUM(AT293,AT300,AT310,AT312)</f>
        <v>5950.59653541482</v>
      </c>
      <c r="AU314" s="12">
        <f>SUM(AU293,AU300,AU310,AU312)</f>
        <v>4762.05628957268</v>
      </c>
      <c r="AV314" s="12">
        <f>SUM(AR314:AU314)</f>
        <v>19330.0659281265</v>
      </c>
      <c r="AW314" s="12">
        <f>SUM(AW293,AW300,AW310,AW312)</f>
        <v>4639.12534245371</v>
      </c>
      <c r="AX314" s="12">
        <f>SUM(AX293,AX300,AX310,AX312)</f>
        <v>4530.64250419574</v>
      </c>
      <c r="AY314" s="12">
        <f>SUM(AY293,AY300,AY310,AY312)</f>
        <v>6382.89025601372</v>
      </c>
      <c r="AZ314" s="12">
        <f>SUM(AZ293,AZ300,AZ310,AZ312)</f>
        <v>5108.00598030863</v>
      </c>
      <c r="BA314" s="12">
        <f>SUM(AW314:AZ314)</f>
        <v>20660.6640829718</v>
      </c>
      <c r="BB314" s="12">
        <f>SUM(BB293,BB300,BB310,BB312)</f>
        <v>4873.55260461255</v>
      </c>
      <c r="BC314" s="12">
        <f>SUM(BC293,BC300,BC310,BC312)</f>
        <v>4837.12743659614</v>
      </c>
      <c r="BD314" s="12">
        <f>SUM(BD293,BD300,BD310,BD312)</f>
        <v>6814.67442058271</v>
      </c>
      <c r="BE314" s="12">
        <f>SUM(BE293,BE300,BE310,BE312)</f>
        <v>5453.54789100368</v>
      </c>
      <c r="BF314" s="12">
        <f>SUM(BB314:BE314)</f>
        <v>21978.9023527951</v>
      </c>
      <c r="BG314" s="12" t="n"/>
      <c r="BH314" s="12" t="n"/>
      <c r="BI314" s="12" t="n"/>
      <c r="BJ314" s="12" t="n"/>
      <c r="BK314" s="12" t="n"/>
      <c r="BL314" s="12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  <c r="CA314" s="12" t="n"/>
      <c r="CB314" s="12" t="n"/>
      <c r="CC314" s="12" t="n"/>
      <c r="CD314" s="12" t="n"/>
      <c r="CE314" s="12" t="n"/>
      <c r="CF314" s="12" t="n"/>
      <c r="CG314" s="12" t="n"/>
      <c r="CH314" s="12" t="n"/>
      <c r="CI314" s="12" t="n"/>
      <c r="CJ314" s="12" t="n"/>
      <c r="CK314" s="12" t="n"/>
      <c r="CL314" s="12" t="n"/>
      <c r="CM314" s="12" t="n"/>
      <c r="CN314" s="12" t="n"/>
      <c r="CO314" s="12" t="n"/>
      <c r="CP314" s="12" t="n"/>
      <c r="CQ314" s="12" t="n"/>
      <c r="CR314" s="12" t="n"/>
      <c r="CS314" s="12" t="n"/>
      <c r="CT314" s="12" t="n"/>
      <c r="CU314" s="12" t="n"/>
      <c r="CV314" s="12" t="n"/>
      <c r="CW314" s="12" t="n"/>
      <c r="CX314" s="12" t="n"/>
      <c r="CY314" s="12" t="n"/>
    </row>
    <row r="315">
      <c r="C315" s="4" t="inlineStr">
        <is>
          <t>Check</t>
        </is>
      </c>
      <c r="E315" s="72" t="n"/>
      <c r="F315" s="72" t="n"/>
      <c r="G315" s="72" t="n"/>
      <c r="I315" s="72" t="str">
        <f>""</f>
        <v/>
      </c>
      <c r="J315" s="72">
        <f>J144-I144-J314</f>
        <v>0</v>
      </c>
      <c r="K315" s="72">
        <f>K144-J144-K314</f>
        <v>0</v>
      </c>
      <c r="L315" s="72">
        <f>L144-K144-L314</f>
        <v>0</v>
      </c>
      <c r="M315" s="4" t="str">
        <f>""</f>
        <v/>
      </c>
      <c r="N315" s="72">
        <f>N144-M144-N314</f>
        <v>0</v>
      </c>
      <c r="O315" s="72">
        <f>O144-N144-O314</f>
        <v>0</v>
      </c>
      <c r="P315" s="72">
        <f>P144-O144-P314</f>
        <v>0</v>
      </c>
      <c r="Q315" s="72">
        <f>Q144-P144-Q314</f>
        <v>0</v>
      </c>
      <c r="R315" s="4">
        <f>R144-M144-R314</f>
        <v>0</v>
      </c>
      <c r="S315" s="72">
        <f>S144-R144-S314</f>
        <v>0</v>
      </c>
      <c r="T315" s="72">
        <f>T144-S144-T314</f>
        <v>0</v>
      </c>
      <c r="U315" s="72">
        <f>U144-T144-U314</f>
        <v>0</v>
      </c>
      <c r="V315" s="72">
        <f>V144-U144-V314</f>
        <v>0</v>
      </c>
      <c r="W315" s="4">
        <f>W144-R144-W314</f>
        <v>0</v>
      </c>
      <c r="X315" s="72">
        <f>X144-W144-X314</f>
        <v>0</v>
      </c>
      <c r="Y315" s="72">
        <f>Y144-X144-Y314</f>
        <v>0</v>
      </c>
      <c r="Z315" s="72">
        <f>Z144-Y144-Z314</f>
        <v>0</v>
      </c>
      <c r="AA315" s="72">
        <f>AA144-Z144-AA314</f>
        <v>0</v>
      </c>
      <c r="AB315" s="4">
        <f>AB144-W144-AB314</f>
        <v>0</v>
      </c>
      <c r="AC315" s="72">
        <f>AC144-AB144-AC314</f>
        <v>0</v>
      </c>
      <c r="AD315" s="72">
        <f>AD144-AC144-AD314</f>
        <v>0</v>
      </c>
      <c r="AE315" s="72">
        <f>AE144-AD144-AE314</f>
        <v>0</v>
      </c>
      <c r="AF315" s="72">
        <f>AF144-AE144-AF314</f>
        <v>0</v>
      </c>
      <c r="AG315" s="4">
        <f>AG144-AB144-AG314</f>
        <v>0</v>
      </c>
      <c r="AH315" s="72">
        <f>AH144-AG144-AH314</f>
        <v>0</v>
      </c>
      <c r="AI315" s="72">
        <f>AI144-AH144-AI314</f>
        <v>0</v>
      </c>
      <c r="AJ315" s="72">
        <f>AJ144-AI144-AJ314</f>
        <v>0</v>
      </c>
      <c r="AK315" s="72">
        <f>AK144-AJ144-AK314</f>
        <v>0</v>
      </c>
      <c r="AL315" s="4">
        <f>AL144-AG144-AL314</f>
        <v>0</v>
      </c>
      <c r="AM315" s="72">
        <f>AM144-AL144-AM314</f>
        <v>0</v>
      </c>
      <c r="AN315" s="72">
        <f>AN144-AM144-AN314</f>
        <v>0</v>
      </c>
      <c r="AO315" s="72">
        <f>AO144-AN144-AO314</f>
        <v>0</v>
      </c>
      <c r="AP315" s="72">
        <f>AP144-AO144-AP314</f>
        <v>0</v>
      </c>
      <c r="AQ315" s="4">
        <f>AQ144-AL144-AQ314</f>
        <v>0</v>
      </c>
      <c r="AR315" s="72">
        <f>AR144-AQ144-AR314</f>
        <v>0</v>
      </c>
      <c r="AS315" s="72">
        <f>AS144-AR144-AS314</f>
        <v>0</v>
      </c>
      <c r="AT315" s="72">
        <f>AT144-AS144-AT314</f>
        <v>0</v>
      </c>
      <c r="AU315" s="72">
        <f>AU144-AT144-AU314</f>
        <v>0</v>
      </c>
      <c r="AV315" s="4">
        <f>AV144-AQ144-AV314</f>
        <v>0</v>
      </c>
      <c r="AW315" s="72">
        <f>AW144-AV144-AW314</f>
        <v>0</v>
      </c>
      <c r="AX315" s="72">
        <f>AX144-AW144-AX314</f>
        <v>0</v>
      </c>
      <c r="AY315" s="72">
        <f>AY144-AX144-AY314</f>
        <v>0</v>
      </c>
      <c r="AZ315" s="72">
        <f>AZ144-AY144-AZ314</f>
        <v>0</v>
      </c>
      <c r="BA315" s="4">
        <f>BA144-AV144-BA314</f>
        <v>0</v>
      </c>
      <c r="BB315" s="72">
        <f>BB144-BA144-BB314</f>
        <v>0</v>
      </c>
      <c r="BC315" s="72">
        <f>BC144-BB144-BC314</f>
        <v>0</v>
      </c>
      <c r="BD315" s="72">
        <f>BD144-BC144-BD314</f>
        <v>0</v>
      </c>
      <c r="BE315" s="72">
        <f>BE144-BD144-BE314</f>
        <v>0</v>
      </c>
      <c r="BF315" s="4">
        <f>BF144-BA144-BF314</f>
        <v>0</v>
      </c>
      <c r="BG315" s="72" t="n"/>
      <c r="BH315" s="72" t="n"/>
      <c r="BI315" s="72" t="n"/>
      <c r="BJ315" s="72" t="n"/>
      <c r="BL315" s="72" t="n"/>
      <c r="BM315" s="72" t="n"/>
      <c r="BN315" s="72" t="n"/>
      <c r="BO315" s="72" t="n"/>
      <c r="BQ315" s="72" t="n"/>
      <c r="BR315" s="72" t="n"/>
      <c r="BS315" s="72" t="n"/>
      <c r="BT315" s="72" t="n"/>
      <c r="BV315" s="72" t="n"/>
      <c r="BW315" s="72" t="n"/>
      <c r="BX315" s="72" t="n"/>
      <c r="BY315" s="72" t="n"/>
      <c r="CA315" s="72" t="n"/>
      <c r="CB315" s="72" t="n"/>
      <c r="CC315" s="72" t="n"/>
      <c r="CD315" s="72" t="n"/>
      <c r="CF315" s="72" t="n"/>
      <c r="CG315" s="72" t="n"/>
      <c r="CH315" s="72" t="n"/>
      <c r="CI315" s="72" t="n"/>
      <c r="CK315" s="72" t="n"/>
      <c r="CL315" s="72" t="n"/>
      <c r="CM315" s="72" t="n"/>
      <c r="CN315" s="72" t="n"/>
      <c r="CP315" s="72" t="n"/>
      <c r="CQ315" s="72" t="n"/>
      <c r="CR315" s="72" t="n"/>
      <c r="CS315" s="72" t="n"/>
      <c r="CU315" s="72" t="n"/>
      <c r="CV315" s="72" t="n"/>
      <c r="CW315" s="72" t="n"/>
      <c r="CX315" s="72" t="n"/>
    </row>
    <row r="316"/>
    <row r="317">
      <c r="C317" s="73" t="inlineStr">
        <is>
          <t>Ratio Analysis</t>
        </is>
      </c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  <c r="AM317" s="73" t="n"/>
      <c r="AN317" s="73" t="n"/>
      <c r="AO317" s="73" t="n"/>
      <c r="AP317" s="73" t="n"/>
      <c r="AQ317" s="73" t="n"/>
      <c r="AR317" s="73" t="n"/>
      <c r="AS317" s="73" t="n"/>
      <c r="AT317" s="73" t="n"/>
      <c r="AU317" s="73" t="n"/>
      <c r="AV317" s="73" t="n"/>
      <c r="AW317" s="73" t="n"/>
      <c r="AX317" s="73" t="n"/>
      <c r="AY317" s="73" t="n"/>
      <c r="AZ317" s="73" t="n"/>
      <c r="BA317" s="73" t="n"/>
      <c r="BB317" s="73" t="n"/>
      <c r="BC317" s="73" t="n"/>
      <c r="BD317" s="73" t="n"/>
      <c r="BE317" s="73" t="n"/>
      <c r="BF317" s="73" t="n"/>
      <c r="BG317" s="73" t="n"/>
      <c r="BH317" s="73" t="n"/>
      <c r="BI317" s="73" t="n"/>
      <c r="BJ317" s="73" t="n"/>
      <c r="BK317" s="73" t="n"/>
      <c r="BL317" s="73" t="n"/>
      <c r="BM317" s="73" t="n"/>
      <c r="BN317" s="73" t="n"/>
      <c r="BO317" s="73" t="n"/>
      <c r="BP317" s="73" t="n"/>
      <c r="BQ317" s="73" t="n"/>
      <c r="BR317" s="73" t="n"/>
      <c r="BS317" s="73" t="n"/>
      <c r="BT317" s="73" t="n"/>
      <c r="BU317" s="73" t="n"/>
      <c r="BV317" s="73" t="n"/>
      <c r="BW317" s="73" t="n"/>
      <c r="BX317" s="73" t="n"/>
      <c r="BY317" s="73" t="n"/>
      <c r="BZ317" s="73" t="n"/>
      <c r="CA317" s="73" t="n"/>
      <c r="CB317" s="73" t="n"/>
      <c r="CC317" s="73" t="n"/>
      <c r="CD317" s="73" t="n"/>
      <c r="CE317" s="73" t="n"/>
      <c r="CF317" s="73" t="n"/>
      <c r="CG317" s="73" t="n"/>
      <c r="CH317" s="73" t="n"/>
      <c r="CI317" s="73" t="n"/>
      <c r="CJ317" s="73" t="n"/>
      <c r="CK317" s="73" t="n"/>
      <c r="CL317" s="73" t="n"/>
      <c r="CM317" s="73" t="n"/>
      <c r="CN317" s="73" t="n"/>
      <c r="CO317" s="73" t="n"/>
      <c r="CP317" s="73" t="n"/>
      <c r="CQ317" s="73" t="n"/>
      <c r="CR317" s="73" t="n"/>
      <c r="CS317" s="73" t="n"/>
      <c r="CT317" s="73" t="n"/>
      <c r="CU317" s="73" t="n"/>
      <c r="CV317" s="73" t="n"/>
      <c r="CW317" s="73" t="n"/>
      <c r="CX317" s="73" t="n"/>
      <c r="CY317" s="73" t="n"/>
    </row>
    <row r="318"/>
    <row r="319" customFormat="1" s="74">
      <c r="C319" s="74" t="inlineStr">
        <is>
          <t>YEAR</t>
        </is>
      </c>
      <c r="D319">
        <f>IFERROR(D275,"")</f>
        <v>0</v>
      </c>
      <c r="E319" s="75">
        <f>IFERROR(E275,"")</f>
        <v>0</v>
      </c>
      <c r="F319" s="75">
        <f>IFERROR(F275,"")</f>
        <v>0</v>
      </c>
      <c r="G319" s="75">
        <f>IFERROR(G275,"")</f>
        <v>0</v>
      </c>
      <c r="H319" s="75">
        <f>IFERROR(H275,"")</f>
        <v>0</v>
      </c>
      <c r="I319" s="75" t="str">
        <f>IFERROR(I275,"")</f>
        <v>1Q21</v>
      </c>
      <c r="J319" s="75" t="str">
        <f>IFERROR(J275,"")</f>
        <v>2Q21</v>
      </c>
      <c r="K319" s="75" t="str">
        <f>IFERROR(K275,"")</f>
        <v>3Q21</v>
      </c>
      <c r="L319" s="75" t="str">
        <f>IFERROR(L275,"")</f>
        <v>4Q21</v>
      </c>
      <c r="M319" s="75">
        <f>IFERROR(M275,"")</f>
        <v>2021</v>
      </c>
      <c r="N319" s="75" t="str">
        <f>IFERROR(N275,"")</f>
        <v>1Q22</v>
      </c>
      <c r="O319" s="75" t="str">
        <f>IFERROR(O275,"")</f>
        <v>2Q22</v>
      </c>
      <c r="P319" s="75" t="str">
        <f>IFERROR(P275,"")</f>
        <v>3Q22</v>
      </c>
      <c r="Q319" s="75" t="str">
        <f>IFERROR(Q275,"")</f>
        <v>4Q22</v>
      </c>
      <c r="R319" s="75">
        <f>IFERROR(R275,"")</f>
        <v>2022</v>
      </c>
      <c r="S319" s="75" t="str">
        <f>IFERROR(S275,"")</f>
        <v>1Q23</v>
      </c>
      <c r="T319" s="75" t="str">
        <f>IFERROR(T275,"")</f>
        <v>2Q23</v>
      </c>
      <c r="U319" s="75" t="str">
        <f>IFERROR(U275,"")</f>
        <v>3Q23</v>
      </c>
      <c r="V319" s="75" t="str">
        <f>IFERROR(V275,"")</f>
        <v>4Q23</v>
      </c>
      <c r="W319" s="75">
        <f>IFERROR(W275,"")</f>
        <v>2023</v>
      </c>
      <c r="X319" s="75" t="str">
        <f>IFERROR(X275,"")</f>
        <v>1Q24</v>
      </c>
      <c r="Y319" s="75" t="str">
        <f>IFERROR(Y275,"")</f>
        <v>2Q24</v>
      </c>
      <c r="Z319" s="75" t="str">
        <f>IFERROR(Z275,"")</f>
        <v>3Q24</v>
      </c>
      <c r="AA319" s="75" t="str">
        <f>IFERROR(AA275,"")</f>
        <v>4Q24</v>
      </c>
      <c r="AB319" s="75">
        <f>IFERROR(AB275,"")</f>
        <v>2024</v>
      </c>
      <c r="AC319" s="75" t="str">
        <f>IFERROR(AC275,"")</f>
        <v>1Q25</v>
      </c>
      <c r="AD319" s="75" t="str">
        <f>IFERROR(AD275,"")</f>
        <v>2Q25</v>
      </c>
      <c r="AE319" s="75" t="str">
        <f>IFERROR(AE275,"")</f>
        <v>3Q25</v>
      </c>
      <c r="AF319" s="75" t="str">
        <f>IFERROR(AF275,"")</f>
        <v>4Q25</v>
      </c>
      <c r="AG319" s="75">
        <f>IFERROR(AG275,"")</f>
        <v>2025</v>
      </c>
      <c r="AH319" s="75" t="str">
        <f>IFERROR(AH275,"")</f>
        <v>1Q26</v>
      </c>
      <c r="AI319" s="75" t="str">
        <f>IFERROR(AI275,"")</f>
        <v>2Q26</v>
      </c>
      <c r="AJ319" s="75" t="str">
        <f>IFERROR(AJ275,"")</f>
        <v>3Q26</v>
      </c>
      <c r="AK319" s="75" t="str">
        <f>IFERROR(AK275,"")</f>
        <v>4Q26</v>
      </c>
      <c r="AL319" s="75">
        <f>IFERROR(AL275,"")</f>
        <v>2026</v>
      </c>
      <c r="AM319" s="75" t="str">
        <f>IFERROR(AM275,"")</f>
        <v>1Q27</v>
      </c>
      <c r="AN319" s="75" t="str">
        <f>IFERROR(AN275,"")</f>
        <v>2Q27</v>
      </c>
      <c r="AO319" s="75" t="str">
        <f>IFERROR(AO275,"")</f>
        <v>3Q27</v>
      </c>
      <c r="AP319" s="75" t="str">
        <f>IFERROR(AP275,"")</f>
        <v>4Q27</v>
      </c>
      <c r="AQ319" s="75">
        <f>IFERROR(AQ275,"")</f>
        <v>2027</v>
      </c>
      <c r="AR319" s="75" t="str">
        <f>IFERROR(AR275,"")</f>
        <v>1Q28</v>
      </c>
      <c r="AS319" s="75" t="str">
        <f>IFERROR(AS275,"")</f>
        <v>2Q28</v>
      </c>
      <c r="AT319" s="75" t="str">
        <f>IFERROR(AT275,"")</f>
        <v>3Q28</v>
      </c>
      <c r="AU319" s="75" t="str">
        <f>IFERROR(AU275,"")</f>
        <v>4Q28</v>
      </c>
      <c r="AV319" s="75">
        <f>IFERROR(AV275,"")</f>
        <v>2028</v>
      </c>
      <c r="AW319" s="75" t="str">
        <f>IFERROR(AW275,"")</f>
        <v>1Q29</v>
      </c>
      <c r="AX319" s="75" t="str">
        <f>IFERROR(AX275,"")</f>
        <v>2Q29</v>
      </c>
      <c r="AY319" s="75" t="str">
        <f>IFERROR(AY275,"")</f>
        <v>3Q29</v>
      </c>
      <c r="AZ319" s="75" t="str">
        <f>IFERROR(AZ275,"")</f>
        <v>4Q29</v>
      </c>
      <c r="BA319" s="75">
        <f>IFERROR(BA275,"")</f>
        <v>2029</v>
      </c>
      <c r="BB319" s="75" t="str">
        <f>IFERROR(BB275,"")</f>
        <v>1Q30</v>
      </c>
      <c r="BC319" s="75" t="str">
        <f>IFERROR(BC275,"")</f>
        <v>2Q30</v>
      </c>
      <c r="BD319" s="75" t="str">
        <f>IFERROR(BD275,"")</f>
        <v>3Q30</v>
      </c>
      <c r="BE319" s="75" t="str">
        <f>IFERROR(BE275,"")</f>
        <v>4Q30</v>
      </c>
      <c r="BF319" s="75">
        <f>IFERROR(BF275,"")</f>
        <v>2030</v>
      </c>
      <c r="BG319" s="75" t="n"/>
      <c r="BH319" s="75" t="n"/>
      <c r="BI319" s="75" t="n"/>
      <c r="BJ319" s="75" t="n"/>
      <c r="BK319" s="75" t="n"/>
      <c r="BL319" s="75" t="n"/>
      <c r="BM319" s="75" t="n"/>
      <c r="BN319" s="75" t="n"/>
      <c r="BO319" s="75" t="n"/>
      <c r="BP319" s="75" t="n"/>
      <c r="BQ319" s="75" t="n"/>
      <c r="BR319" s="75" t="n"/>
      <c r="BS319" s="75" t="n"/>
      <c r="BT319" s="75" t="n"/>
      <c r="BU319" s="75" t="n"/>
      <c r="BV319" s="75" t="n"/>
      <c r="BW319" s="75" t="n"/>
      <c r="BX319" s="75" t="n"/>
      <c r="BY319" s="75" t="n"/>
      <c r="BZ319" s="75" t="n"/>
      <c r="CA319" s="75" t="n"/>
      <c r="CB319" s="75" t="n"/>
      <c r="CC319" s="75" t="n"/>
      <c r="CD319" s="75" t="n"/>
      <c r="CE319" s="75" t="n"/>
      <c r="CF319" s="75" t="n"/>
      <c r="CG319" s="75" t="n"/>
      <c r="CH319" s="75" t="n"/>
      <c r="CI319" s="75" t="n"/>
      <c r="CJ319" s="75" t="n"/>
      <c r="CK319" s="75" t="n"/>
      <c r="CL319" s="75" t="n"/>
      <c r="CM319" s="75" t="n"/>
      <c r="CN319" s="75" t="n"/>
      <c r="CO319" s="75" t="n"/>
      <c r="CP319" s="75" t="n"/>
      <c r="CQ319" s="75" t="n"/>
      <c r="CR319" s="75" t="n"/>
      <c r="CS319" s="75" t="n"/>
      <c r="CT319" s="75" t="n"/>
      <c r="CU319" s="75" t="n"/>
      <c r="CV319" s="75" t="n"/>
      <c r="CW319" s="75" t="n"/>
      <c r="CX319" s="75" t="n"/>
      <c r="CY319" s="75" t="n"/>
    </row>
    <row r="320" customFormat="1" s="77">
      <c r="A320" s="76" t="n"/>
      <c r="B320" s="76" t="n"/>
      <c r="C320" s="74" t="inlineStr">
        <is>
          <t>GROWTH &amp; MARGINS</t>
        </is>
      </c>
    </row>
    <row r="321" customFormat="1" s="77">
      <c r="A321" s="76" t="n"/>
      <c r="B321" s="76" t="n"/>
      <c r="C321" s="77" t="inlineStr">
        <is>
          <t>NET REVENUE GROWTH (YoY)</t>
        </is>
      </c>
      <c r="E321" s="78" t="str">
        <f>IFERROR(E15/D15-1,"")</f>
        <v/>
      </c>
      <c r="F321" s="78" t="str">
        <f>IFERROR(F15/E15-1,"")</f>
        <v/>
      </c>
      <c r="G321" s="78" t="str">
        <f>IFERROR(G15/F15-1,"")</f>
        <v/>
      </c>
      <c r="H321" s="257" t="str">
        <f>""</f>
        <v/>
      </c>
      <c r="I321" s="257" t="str">
        <f>""</f>
        <v/>
      </c>
      <c r="J321" s="257" t="str">
        <f>""</f>
        <v/>
      </c>
      <c r="K321" s="257" t="str">
        <f>""</f>
        <v/>
      </c>
      <c r="L321" s="257" t="str">
        <f>""</f>
        <v/>
      </c>
      <c r="M321" s="257" t="str">
        <f>IFERROR(IF(AND(ISNUMBER(M15),ISNUMBER(H15),H15&lt;&gt;0),M15/H15-1,""),"")</f>
        <v/>
      </c>
      <c r="N321" s="257">
        <f>IFERROR(IF(AND(ISNUMBER(N15),ISNUMBER(I15),I15&lt;&gt;0),N15/I15-1,""),"")</f>
        <v>0.141788705909169</v>
      </c>
      <c r="O321" s="257">
        <f>IFERROR(IF(AND(ISNUMBER(O15),ISNUMBER(J15),J15&lt;&gt;0),O15/J15-1,""),"")</f>
        <v>0.126344274477363</v>
      </c>
      <c r="P321" s="257">
        <f>IFERROR(IF(AND(ISNUMBER(P15),ISNUMBER(K15),K15&lt;&gt;0),P15/K15-1,""),"")</f>
        <v>0.118293542723641</v>
      </c>
      <c r="Q321" s="257">
        <f>IFERROR(IF(AND(ISNUMBER(Q15),ISNUMBER(L15),L15&lt;&gt;0),Q15/L15-1,""),"")</f>
        <v>0.122642149085337</v>
      </c>
      <c r="R321" s="257">
        <f>IFERROR(IF(AND(ISNUMBER(R15),ISNUMBER(M15),M15&lt;&gt;0),R15/M15-1,""),"")</f>
        <v>0.127139712862095</v>
      </c>
      <c r="S321" s="257">
        <f>IFERROR(IF(AND(ISNUMBER(S15),ISNUMBER(N15),N15&lt;&gt;0),S15/N15-1,""),"")</f>
        <v>0.147001210245917</v>
      </c>
      <c r="T321" s="257">
        <f>IFERROR(IF(AND(ISNUMBER(T15),ISNUMBER(O15),O15&lt;&gt;0),T15/O15-1,""),"")</f>
        <v>0.156488074490863</v>
      </c>
      <c r="U321" s="257">
        <f>IFERROR(IF(AND(ISNUMBER(U15),ISNUMBER(P15),P15&lt;&gt;0),U15/P15-1,""),"")</f>
        <v>0.141753405691399</v>
      </c>
      <c r="V321" s="257">
        <f>IFERROR(IF(AND(ISNUMBER(V15),ISNUMBER(Q15),Q15&lt;&gt;0),V15/Q15-1,""),"")</f>
        <v>0.140601785304456</v>
      </c>
      <c r="W321" s="257">
        <f>IFERROR(IF(AND(ISNUMBER(W15),ISNUMBER(R15),R15&lt;&gt;0),W15/R15-1,""),"")</f>
        <v>0.14640827734281</v>
      </c>
      <c r="X321" s="257">
        <f>IFERROR(IF(AND(ISNUMBER(X15),ISNUMBER(S15),S15&lt;&gt;0),X15/S15-1,""),"")</f>
        <v>0.0855532954063374</v>
      </c>
      <c r="Y321" s="257">
        <f>IFERROR(IF(AND(ISNUMBER(Y15),ISNUMBER(T15),T15&lt;&gt;0),Y15/T15-1,""),"")</f>
        <v>0.0640668223846377</v>
      </c>
      <c r="Z321" s="257">
        <f>IFERROR(IF(AND(ISNUMBER(Z15),ISNUMBER(U15),U15&lt;&gt;0),Z15/U15-1,""),"")</f>
        <v>0.0915862755925121</v>
      </c>
      <c r="AA321" s="257">
        <f>IFERROR(IF(AND(ISNUMBER(AA15),ISNUMBER(V15),V15&lt;&gt;0),AA15/V15-1,""),"")</f>
        <v>0.0675654209071559</v>
      </c>
      <c r="AB321" s="257">
        <f>IFERROR(IF(AND(ISNUMBER(AB15),ISNUMBER(W15),W15&lt;&gt;0),AB15/W15-1,""),"")</f>
        <v>0.0771106123964673</v>
      </c>
      <c r="AC321" s="257">
        <f>IFERROR(IF(AND(ISNUMBER(AC15),ISNUMBER(X15),X15&lt;&gt;0),AC15/X15-1,""),"")</f>
        <v>0.0979898993947652</v>
      </c>
      <c r="AD321" s="257">
        <f>IFERROR(IF(AND(ISNUMBER(AD15),ISNUMBER(Y15),Y15&lt;&gt;0),AD15/Y15-1,""),"")</f>
        <v>0.129088058267159</v>
      </c>
      <c r="AE321" s="257">
        <f>IFERROR(IF(AND(ISNUMBER(AE15),ISNUMBER(Z15),Z15&lt;&gt;0),AE15/Z15-1,""),"")</f>
        <v>0.1224062685975</v>
      </c>
      <c r="AF321" s="257">
        <f>IFERROR(IF(AND(ISNUMBER(AF15),ISNUMBER(AA15),AA15&lt;&gt;0),AF15/AA15-1,""),"")</f>
        <v>0.123086690408404</v>
      </c>
      <c r="AG321" s="257">
        <f>IFERROR(IF(AND(ISNUMBER(AG15),ISNUMBER(AB15),AB15&lt;&gt;0),AG15/AB15-1,""),"")</f>
        <v>0.118140392427263</v>
      </c>
      <c r="AH321" s="257">
        <f>IFERROR(IF(AND(ISNUMBER(AH15),ISNUMBER(AC15),AC15&lt;&gt;0),AH15/AC15-1,""),"")</f>
        <v>0.0195847592972849</v>
      </c>
      <c r="AI321" s="257">
        <f>IFERROR(IF(AND(ISNUMBER(AI15),ISNUMBER(AD15),AD15&lt;&gt;0),AI15/AD15-1,""),"")</f>
        <v>0.00372706422018343</v>
      </c>
      <c r="AJ321" s="257">
        <f>IFERROR(IF(AND(ISNUMBER(AJ15),ISNUMBER(AE15),AE15&lt;&gt;0),AJ15/AE15-1,""),"")</f>
        <v>0.0826471233642163</v>
      </c>
      <c r="AK321" s="257">
        <f>IFERROR(IF(AND(ISNUMBER(AK15),ISNUMBER(AF15),AF15&lt;&gt;0),AK15/AF15-1,""),"")</f>
        <v>0.0826471233642163</v>
      </c>
      <c r="AL321" s="257">
        <f>IFERROR(IF(AND(ISNUMBER(AL15),ISNUMBER(AG15),AG15&lt;&gt;0),AL15/AG15-1,""),"")</f>
        <v>0.0475265718846514</v>
      </c>
      <c r="AM321" s="257">
        <f>IFERROR(IF(AND(ISNUMBER(AM15),ISNUMBER(AH15),AH15&lt;&gt;0),AM15/AH15-1,""),"")</f>
        <v>0.0826471233642163</v>
      </c>
      <c r="AN321" s="257">
        <f>IFERROR(IF(AND(ISNUMBER(AN15),ISNUMBER(AI15),AI15&lt;&gt;0),AN15/AI15-1,""),"")</f>
        <v>0.0826471233642163</v>
      </c>
      <c r="AO321" s="257">
        <f>IFERROR(IF(AND(ISNUMBER(AO15),ISNUMBER(AJ15),AJ15&lt;&gt;0),AO15/AJ15-1,""),"")</f>
        <v>0.0826471233642163</v>
      </c>
      <c r="AP321" s="257">
        <f>IFERROR(IF(AND(ISNUMBER(AP15),ISNUMBER(AK15),AK15&lt;&gt;0),AP15/AK15-1,""),"")</f>
        <v>0.0826471233642163</v>
      </c>
      <c r="AQ321" s="257">
        <f>IFERROR(IF(AND(ISNUMBER(AQ15),ISNUMBER(AL15),AL15&lt;&gt;0),AQ15/AL15-1,""),"")</f>
        <v>0.0826471233642165</v>
      </c>
      <c r="AR321" s="257">
        <f>IFERROR(IF(AND(ISNUMBER(AR15),ISNUMBER(AM15),AM15&lt;&gt;0),AR15/AM15-1,""),"")</f>
        <v>0.0776471233642162</v>
      </c>
      <c r="AS321" s="257">
        <f>IFERROR(IF(AND(ISNUMBER(AS15),ISNUMBER(AN15),AN15&lt;&gt;0),AS15/AN15-1,""),"")</f>
        <v>0.0776471233642162</v>
      </c>
      <c r="AT321" s="257">
        <f>IFERROR(IF(AND(ISNUMBER(AT15),ISNUMBER(AO15),AO15&lt;&gt;0),AT15/AO15-1,""),"")</f>
        <v>0.0776471233642162</v>
      </c>
      <c r="AU321" s="257">
        <f>IFERROR(IF(AND(ISNUMBER(AU15),ISNUMBER(AP15),AP15&lt;&gt;0),AU15/AP15-1,""),"")</f>
        <v>0.0776471233642162</v>
      </c>
      <c r="AV321" s="257">
        <f>IFERROR(IF(AND(ISNUMBER(AV15),ISNUMBER(AQ15),AQ15&lt;&gt;0),AV15/AQ15-1,""),"")</f>
        <v>0.0776471233642162</v>
      </c>
      <c r="AW321" s="257">
        <f>IFERROR(IF(AND(ISNUMBER(AW15),ISNUMBER(AR15),AR15&lt;&gt;0),AW15/AR15-1,""),"")</f>
        <v>0.0726471233642161</v>
      </c>
      <c r="AX321" s="257">
        <f>IFERROR(IF(AND(ISNUMBER(AX15),ISNUMBER(AS15),AS15&lt;&gt;0),AX15/AS15-1,""),"")</f>
        <v>0.0726471233642161</v>
      </c>
      <c r="AY321" s="257">
        <f>IFERROR(IF(AND(ISNUMBER(AY15),ISNUMBER(AT15),AT15&lt;&gt;0),AY15/AT15-1,""),"")</f>
        <v>0.0726471233642161</v>
      </c>
      <c r="AZ321" s="257">
        <f>IFERROR(IF(AND(ISNUMBER(AZ15),ISNUMBER(AU15),AU15&lt;&gt;0),AZ15/AU15-1,""),"")</f>
        <v>0.0726471233642161</v>
      </c>
      <c r="BA321" s="257">
        <f>IFERROR(IF(AND(ISNUMBER(BA15),ISNUMBER(AV15),AV15&lt;&gt;0),BA15/AV15-1,""),"")</f>
        <v>0.0726471233642161</v>
      </c>
      <c r="BB321" s="257">
        <f>IFERROR(IF(AND(ISNUMBER(BB15),ISNUMBER(AW15),AW15&lt;&gt;0),BB15/AW15-1,""),"")</f>
        <v>0.0676471233642162</v>
      </c>
      <c r="BC321" s="257">
        <f>IFERROR(IF(AND(ISNUMBER(BC15),ISNUMBER(AX15),AX15&lt;&gt;0),BC15/AX15-1,""),"")</f>
        <v>0.0676471233642162</v>
      </c>
      <c r="BD321" s="257">
        <f>IFERROR(IF(AND(ISNUMBER(BD15),ISNUMBER(AY15),AY15&lt;&gt;0),BD15/AY15-1,""),"")</f>
        <v>0.0676471233642162</v>
      </c>
      <c r="BE321" s="257">
        <f>IFERROR(IF(AND(ISNUMBER(BE15),ISNUMBER(AZ15),AZ15&lt;&gt;0),BE15/AZ15-1,""),"")</f>
        <v>0.0676471233642162</v>
      </c>
      <c r="BF321" s="257">
        <f>IFERROR(IF(AND(ISNUMBER(BF15),ISNUMBER(BA15),BA15&lt;&gt;0),BF15/BA15-1,""),"")</f>
        <v>0.0676471233642162</v>
      </c>
      <c r="BG321" s="79" t="n"/>
      <c r="BH321" s="79" t="n"/>
      <c r="BI321" s="79" t="n"/>
      <c r="BJ321" s="79" t="n"/>
      <c r="BK321" s="78" t="n"/>
      <c r="BL321" s="79" t="n"/>
      <c r="BM321" s="79" t="n"/>
      <c r="BN321" s="79" t="n"/>
      <c r="BO321" s="79" t="n"/>
      <c r="BP321" s="78" t="n"/>
      <c r="BQ321" s="79" t="n"/>
      <c r="BR321" s="79" t="n"/>
      <c r="BS321" s="79" t="n"/>
      <c r="BT321" s="79" t="n"/>
      <c r="BU321" s="78" t="n"/>
      <c r="BV321" s="79" t="n"/>
      <c r="BW321" s="79" t="n"/>
      <c r="BX321" s="79" t="n"/>
      <c r="BY321" s="79" t="n"/>
      <c r="BZ321" s="78" t="n"/>
      <c r="CA321" s="79" t="n"/>
      <c r="CB321" s="79" t="n"/>
      <c r="CC321" s="79" t="n"/>
      <c r="CD321" s="79" t="n"/>
      <c r="CE321" s="78" t="n"/>
      <c r="CF321" s="79" t="n"/>
      <c r="CG321" s="79" t="n"/>
      <c r="CH321" s="79" t="n"/>
      <c r="CI321" s="79" t="n"/>
      <c r="CJ321" s="78" t="n"/>
      <c r="CK321" s="79" t="n"/>
      <c r="CL321" s="79" t="n"/>
      <c r="CM321" s="79" t="n"/>
      <c r="CN321" s="79" t="n"/>
      <c r="CO321" s="78" t="n"/>
      <c r="CP321" s="79" t="n"/>
      <c r="CQ321" s="79" t="n"/>
      <c r="CR321" s="79" t="n"/>
      <c r="CS321" s="79" t="n"/>
      <c r="CT321" s="78" t="n"/>
      <c r="CU321" s="79" t="n"/>
      <c r="CV321" s="79" t="n"/>
      <c r="CW321" s="79" t="n"/>
      <c r="CX321" s="79" t="n"/>
      <c r="CY321" s="78" t="n"/>
    </row>
    <row r="322" customFormat="1" s="77">
      <c r="A322" s="76" t="n"/>
      <c r="B322" s="76" t="n"/>
      <c r="C322" s="77" t="inlineStr">
        <is>
          <t>GROSS MARGIN</t>
        </is>
      </c>
      <c r="D322" s="79" t="str">
        <f>IFERROR(SUM(D15,D54)/D15,"")</f>
        <v/>
      </c>
      <c r="E322" s="79" t="str">
        <f>IFERROR(SUM(E15,E54)/E15,"")</f>
        <v/>
      </c>
      <c r="F322" s="79" t="str">
        <f>IFERROR(SUM(F15,F54)/F15,"")</f>
        <v/>
      </c>
      <c r="G322" s="79" t="str">
        <f>IFERROR(SUM(G15,G54)/G15,"")</f>
        <v/>
      </c>
      <c r="H322" s="258" t="str">
        <f>IFERROR(IF(N(H15)&lt;&gt;0,(H15+H54)/H15,""),"")</f>
        <v/>
      </c>
      <c r="I322" s="258">
        <f>IFERROR(IF(N(I15)&lt;&gt;0,(I15+I54)/I15,""),"")</f>
        <v>0.89213060573252</v>
      </c>
      <c r="J322" s="258">
        <f>IFERROR(IF(N(J15)&lt;&gt;0,(J15+J54)/J15,""),"")</f>
        <v>0.892598252968971</v>
      </c>
      <c r="K322" s="258">
        <f>IFERROR(IF(N(K15)&lt;&gt;0,(K15+K54)/K15,""),"")</f>
        <v>0.89214371621715</v>
      </c>
      <c r="L322" s="258">
        <f>IFERROR(IF(N(L15)&lt;&gt;0,(L15+L54)/L15,""),"")</f>
        <v>0.891515126859499</v>
      </c>
      <c r="M322" s="258">
        <f>IFERROR(IF(N(M15)&lt;&gt;0,(M15+M54)/M15,""),"")</f>
        <v>0.89209205937475</v>
      </c>
      <c r="N322" s="258">
        <f>IFERROR(IF(N(N15)&lt;&gt;0,(N15+N54)/N15,""),"")</f>
        <v>0.894109720645298</v>
      </c>
      <c r="O322" s="258">
        <f>IFERROR(IF(N(O15)&lt;&gt;0,(O15+O54)/O15,""),"")</f>
        <v>0.89299407459045</v>
      </c>
      <c r="P322" s="258">
        <f>IFERROR(IF(N(P15)&lt;&gt;0,(P15+P54)/P15,""),"")</f>
        <v>0.897322421934878</v>
      </c>
      <c r="Q322" s="258">
        <f>IFERROR(IF(N(Q15)&lt;&gt;0,(Q15+Q54)/Q15,""),"")</f>
        <v>0.899573604551439</v>
      </c>
      <c r="R322" s="258">
        <f>IFERROR(IF(N(R15)&lt;&gt;0,(R15+R54)/R15,""),"")</f>
        <v>0.896030379871793</v>
      </c>
      <c r="S322" s="258">
        <f>IFERROR(IF(N(S15)&lt;&gt;0,(S15+S54)/S15,""),"")</f>
        <v>0.897695010388226</v>
      </c>
      <c r="T322" s="258">
        <f>IFERROR(IF(N(T15)&lt;&gt;0,(T15+T54)/T15,""),"")</f>
        <v>0.895073356081074</v>
      </c>
      <c r="U322" s="258">
        <f>IFERROR(IF(N(U15)&lt;&gt;0,(U15+U54)/U15,""),"")</f>
        <v>0.897976418618248</v>
      </c>
      <c r="V322" s="258">
        <f>IFERROR(IF(N(V15)&lt;&gt;0,(V15+V54)/V15,""),"")</f>
        <v>0.892043589227657</v>
      </c>
      <c r="W322" s="258">
        <f>IFERROR(IF(N(W15)&lt;&gt;0,(W15+W54)/W15,""),"")</f>
        <v>0.895673560768738</v>
      </c>
      <c r="X322" s="258">
        <f>IFERROR(IF(N(X15)&lt;&gt;0,(X15+X54)/X15,""),"")</f>
        <v>0.889213996552968</v>
      </c>
      <c r="Y322" s="258">
        <f>IFERROR(IF(N(Y15)&lt;&gt;0,(Y15+Y54)/Y15,""),"")</f>
        <v>0.885286530777401</v>
      </c>
      <c r="Z322" s="258">
        <f>IFERROR(IF(N(Z15)&lt;&gt;0,(Z15+Z54)/Z15,""),"")</f>
        <v>0.8826224955366</v>
      </c>
      <c r="AA322" s="258">
        <f>IFERROR(IF(N(AA15)&lt;&gt;0,(AA15+AA54)/AA15,""),"")</f>
        <v>0.876357792613608</v>
      </c>
      <c r="AB322" s="258">
        <f>IFERROR(IF(N(AB15)&lt;&gt;0,(AB15+AB54)/AB15,""),"")</f>
        <v>0.883346074478238</v>
      </c>
      <c r="AC322" s="258">
        <f>IFERROR(IF(N(AC15)&lt;&gt;0,(AC15+AC54)/AC15,""),"")</f>
        <v>0.886926762491444</v>
      </c>
      <c r="AD322" s="258">
        <f>IFERROR(IF(N(AD15)&lt;&gt;0,(AD15+AD54)/AD15,""),"")</f>
        <v>0.88335901662844</v>
      </c>
      <c r="AE322" s="258">
        <f>IFERROR(IF(N(AE15)&lt;&gt;0,(AE15+AE54)/AE15,""),"")</f>
        <v>0.888954675197285</v>
      </c>
      <c r="AF322" s="258">
        <f>IFERROR(IF(N(AF15)&lt;&gt;0,(AF15+AF54)/AF15,""),"")</f>
        <v>0.888000706620148</v>
      </c>
      <c r="AG322" s="258">
        <f>IFERROR(IF(N(AG15)&lt;&gt;0,(AG15+AG54)/AG15,""),"")</f>
        <v>0.886821414447446</v>
      </c>
      <c r="AH322" s="258">
        <f>IFERROR(IF(N(AH15)&lt;&gt;0,(AH15+AH54)/AH15,""),"")</f>
        <v>0.885223010893207</v>
      </c>
      <c r="AI322" s="258">
        <f>IFERROR(IF(N(AI15)&lt;&gt;0,(AI15+AI54)/AI15,""),"")</f>
        <v>0.880614467295059</v>
      </c>
      <c r="AJ322" s="258">
        <f>IFERROR(IF(N(AJ15)&lt;&gt;0,(AJ15+AJ54)/AJ15,""),"")</f>
        <v>0.885513106520931</v>
      </c>
      <c r="AK322" s="258">
        <f>IFERROR(IF(N(AK15)&lt;&gt;0,(AK15+AK54)/AK15,""),"")</f>
        <v>0.885513106520931</v>
      </c>
      <c r="AL322" s="258">
        <f>IFERROR(IF(N(AL15)&lt;&gt;0,(AL15+AL54)/AL15,""),"")</f>
        <v>0.884273416648881</v>
      </c>
      <c r="AM322" s="258">
        <f>IFERROR(IF(N(AM15)&lt;&gt;0,(AM15+AM54)/AM15,""),"")</f>
        <v>0.885513106520931</v>
      </c>
      <c r="AN322" s="258">
        <f>IFERROR(IF(N(AN15)&lt;&gt;0,(AN15+AN54)/AN15,""),"")</f>
        <v>0.885513106520931</v>
      </c>
      <c r="AO322" s="258">
        <f>IFERROR(IF(N(AO15)&lt;&gt;0,(AO15+AO54)/AO15,""),"")</f>
        <v>0.885513106520931</v>
      </c>
      <c r="AP322" s="258">
        <f>IFERROR(IF(N(AP15)&lt;&gt;0,(AP15+AP54)/AP15,""),"")</f>
        <v>0.885513106520931</v>
      </c>
      <c r="AQ322" s="258">
        <f>IFERROR(IF(N(AQ15)&lt;&gt;0,(AQ15+AQ54)/AQ15,""),"")</f>
        <v>0.885513106520931</v>
      </c>
      <c r="AR322" s="258">
        <f>IFERROR(IF(N(AR15)&lt;&gt;0,(AR15+AR54)/AR15,""),"")</f>
        <v>0.885513106520931</v>
      </c>
      <c r="AS322" s="258">
        <f>IFERROR(IF(N(AS15)&lt;&gt;0,(AS15+AS54)/AS15,""),"")</f>
        <v>0.885513106520931</v>
      </c>
      <c r="AT322" s="258">
        <f>IFERROR(IF(N(AT15)&lt;&gt;0,(AT15+AT54)/AT15,""),"")</f>
        <v>0.885513106520931</v>
      </c>
      <c r="AU322" s="258">
        <f>IFERROR(IF(N(AU15)&lt;&gt;0,(AU15+AU54)/AU15,""),"")</f>
        <v>0.885513106520931</v>
      </c>
      <c r="AV322" s="258">
        <f>IFERROR(IF(N(AV15)&lt;&gt;0,(AV15+AV54)/AV15,""),"")</f>
        <v>0.885513106520931</v>
      </c>
      <c r="AW322" s="258">
        <f>IFERROR(IF(N(AW15)&lt;&gt;0,(AW15+AW54)/AW15,""),"")</f>
        <v>0.885513106520931</v>
      </c>
      <c r="AX322" s="258">
        <f>IFERROR(IF(N(AX15)&lt;&gt;0,(AX15+AX54)/AX15,""),"")</f>
        <v>0.885513106520931</v>
      </c>
      <c r="AY322" s="258">
        <f>IFERROR(IF(N(AY15)&lt;&gt;0,(AY15+AY54)/AY15,""),"")</f>
        <v>0.885513106520931</v>
      </c>
      <c r="AZ322" s="258">
        <f>IFERROR(IF(N(AZ15)&lt;&gt;0,(AZ15+AZ54)/AZ15,""),"")</f>
        <v>0.885513106520931</v>
      </c>
      <c r="BA322" s="258">
        <f>IFERROR(IF(N(BA15)&lt;&gt;0,(BA15+BA54)/BA15,""),"")</f>
        <v>0.885513106520931</v>
      </c>
      <c r="BB322" s="258">
        <f>IFERROR(IF(N(BB15)&lt;&gt;0,(BB15+BB54)/BB15,""),"")</f>
        <v>0.885513106520931</v>
      </c>
      <c r="BC322" s="258">
        <f>IFERROR(IF(N(BC15)&lt;&gt;0,(BC15+BC54)/BC15,""),"")</f>
        <v>0.885513106520931</v>
      </c>
      <c r="BD322" s="258">
        <f>IFERROR(IF(N(BD15)&lt;&gt;0,(BD15+BD54)/BD15,""),"")</f>
        <v>0.885513106520931</v>
      </c>
      <c r="BE322" s="258">
        <f>IFERROR(IF(N(BE15)&lt;&gt;0,(BE15+BE54)/BE15,""),"")</f>
        <v>0.885513106520931</v>
      </c>
      <c r="BF322" s="258">
        <f>IFERROR(IF(N(BF15)&lt;&gt;0,(BF15+BF54)/BF15,""),"")</f>
        <v>0.885513106520931</v>
      </c>
      <c r="BG322" s="80" t="n"/>
      <c r="BH322" s="80" t="n"/>
      <c r="BI322" s="80" t="n"/>
      <c r="BJ322" s="80" t="n"/>
      <c r="BL322" s="80" t="n"/>
      <c r="BM322" s="80" t="n"/>
      <c r="BN322" s="80" t="n"/>
      <c r="BO322" s="80" t="n"/>
      <c r="BQ322" s="80" t="n"/>
      <c r="BR322" s="80" t="n"/>
      <c r="BS322" s="80" t="n"/>
      <c r="BT322" s="80" t="n"/>
      <c r="BV322" s="80" t="n"/>
      <c r="BW322" s="80" t="n"/>
      <c r="BX322" s="80" t="n"/>
      <c r="BY322" s="80" t="n"/>
      <c r="CA322" s="80" t="n"/>
      <c r="CB322" s="80" t="n"/>
      <c r="CC322" s="80" t="n"/>
      <c r="CD322" s="80" t="n"/>
      <c r="CF322" s="80" t="n"/>
      <c r="CG322" s="80" t="n"/>
      <c r="CH322" s="80" t="n"/>
      <c r="CI322" s="80" t="n"/>
      <c r="CK322" s="80" t="n"/>
      <c r="CL322" s="80" t="n"/>
      <c r="CM322" s="80" t="n"/>
      <c r="CN322" s="80" t="n"/>
      <c r="CP322" s="80" t="n"/>
      <c r="CQ322" s="80" t="n"/>
      <c r="CR322" s="80" t="n"/>
      <c r="CS322" s="80" t="n"/>
      <c r="CU322" s="80" t="n"/>
      <c r="CV322" s="80" t="n"/>
      <c r="CW322" s="80" t="n"/>
      <c r="CX322" s="80" t="n"/>
    </row>
    <row r="323" customFormat="1" s="77">
      <c r="A323" s="76" t="n"/>
      <c r="B323" s="76" t="n"/>
      <c r="C323" s="77" t="inlineStr">
        <is>
          <t>EBIT MARGIN</t>
        </is>
      </c>
      <c r="D323" s="78" t="str">
        <f>IFERROR((D73/D15),"")</f>
        <v/>
      </c>
      <c r="E323" s="78" t="str">
        <f>IFERROR((E73/E15),"")</f>
        <v/>
      </c>
      <c r="F323" s="78" t="str">
        <f>IFERROR((F73/F15),"")</f>
        <v/>
      </c>
      <c r="G323" s="78" t="str">
        <f>IFERROR((G73/G15),"")</f>
        <v/>
      </c>
      <c r="H323" s="258" t="str">
        <f>IFERROR(IF(N(H15)&lt;&gt;0,H73/H15,""),"")</f>
        <v/>
      </c>
      <c r="I323" s="257">
        <f>IFERROR(IF(N(I15)&lt;&gt;0,I73/I15,""),"")</f>
        <v>0.096002621231979</v>
      </c>
      <c r="J323" s="257">
        <f>IFERROR(IF(N(J15)&lt;&gt;0,J73/J15,""),"")</f>
        <v>0.0838182302547637</v>
      </c>
      <c r="K323" s="257">
        <f>IFERROR(IF(N(K15)&lt;&gt;0,K73/K15,""),"")</f>
        <v>0.0789637391652958</v>
      </c>
      <c r="L323" s="257">
        <f>IFERROR(IF(N(L15)&lt;&gt;0,L73/L15,""),"")</f>
        <v>0.0751393352589398</v>
      </c>
      <c r="M323" s="258">
        <f>IFERROR(IF(N(M15)&lt;&gt;0,M73/M15,""),"")</f>
        <v>0.0833457928977006</v>
      </c>
      <c r="N323" s="257">
        <f>IFERROR(IF(N(N15)&lt;&gt;0,N73/N15,""),"")</f>
        <v>0.0867134961134886</v>
      </c>
      <c r="O323" s="257">
        <f>IFERROR(IF(N(O15)&lt;&gt;0,O73/O15,""),"")</f>
        <v>0.0887815565403575</v>
      </c>
      <c r="P323" s="257">
        <f>IFERROR(IF(N(P15)&lt;&gt;0,P73/P15,""),"")</f>
        <v>0.0922441713847751</v>
      </c>
      <c r="Q323" s="257">
        <f>IFERROR(IF(N(Q15)&lt;&gt;0,Q73/Q15,""),"")</f>
        <v>0.0832377064031793</v>
      </c>
      <c r="R323" s="258">
        <f>IFERROR(IF(N(R15)&lt;&gt;0,R73/R15,""),"")</f>
        <v>0.0877184864357945</v>
      </c>
      <c r="S323" s="257">
        <f>IFERROR(IF(N(S15)&lt;&gt;0,S73/S15,""),"")</f>
        <v>0.0879572723020526</v>
      </c>
      <c r="T323" s="257">
        <f>IFERROR(IF(N(T15)&lt;&gt;0,T73/T15,""),"")</f>
        <v>0.0867248635673767</v>
      </c>
      <c r="U323" s="257">
        <f>IFERROR(IF(N(U15)&lt;&gt;0,U73/U15,""),"")</f>
        <v>0.0923116899990256</v>
      </c>
      <c r="V323" s="257">
        <f>IFERROR(IF(N(V15)&lt;&gt;0,V73/V15,""),"")</f>
        <v>0.081427981403624</v>
      </c>
      <c r="W323" s="258">
        <f>IFERROR(IF(N(W15)&lt;&gt;0,W73/W15,""),"")</f>
        <v>0.0870723477081551</v>
      </c>
      <c r="X323" s="257">
        <f>IFERROR(IF(N(X15)&lt;&gt;0,X73/X15,""),"")</f>
        <v>0.0794721231311876</v>
      </c>
      <c r="Y323" s="257">
        <f>IFERROR(IF(N(Y15)&lt;&gt;0,Y73/Y15,""),"")</f>
        <v>0.0796621314045825</v>
      </c>
      <c r="Z323" s="257">
        <f>IFERROR(IF(N(Z15)&lt;&gt;0,Z73/Z15,""),"")</f>
        <v>0.0863717516365801</v>
      </c>
      <c r="AA323" s="257">
        <f>IFERROR(IF(N(AA15)&lt;&gt;0,AA73/AA15,""),"")</f>
        <v>0.0771077405338915</v>
      </c>
      <c r="AB323" s="258">
        <f>IFERROR(IF(N(AB15)&lt;&gt;0,AB73/AB15,""),"")</f>
        <v>0.0806614402989922</v>
      </c>
      <c r="AC323" s="257">
        <f>IFERROR(IF(N(AC15)&lt;&gt;0,AC73/AC15,""),"")</f>
        <v>0.0832215377595254</v>
      </c>
      <c r="AD323" s="257">
        <f>IFERROR(IF(N(AD15)&lt;&gt;0,AD73/AD15,""),"")</f>
        <v>0.0461403383027523</v>
      </c>
      <c r="AE323" s="257">
        <f>IFERROR(IF(N(AE15)&lt;&gt;0,AE73/AE15,""),"")</f>
        <v>0.0381315117399104</v>
      </c>
      <c r="AF323" s="257">
        <f>IFERROR(IF(N(AF15)&lt;&gt;0,AF73/AF15,""),"")</f>
        <v>0.00335644570065804</v>
      </c>
      <c r="AG323" s="258">
        <f>IFERROR(IF(N(AG15)&lt;&gt;0,AG73/AG15,""),"")</f>
        <v>0.0423713097703808</v>
      </c>
      <c r="AH323" s="257">
        <f>IFERROR(IF(N(AH15)&lt;&gt;0,AH73/AH15,""),"")</f>
        <v>0.0804683094494321</v>
      </c>
      <c r="AI323" s="257">
        <f>IFERROR(IF(N(AI15)&lt;&gt;0,AI73/AI15,""),"")</f>
        <v>0.0713278349043131</v>
      </c>
      <c r="AJ323" s="257">
        <f>IFERROR(IF(N(AJ15)&lt;&gt;0,AJ73/AJ15,""),"")</f>
        <v>0.0537743296427653</v>
      </c>
      <c r="AK323" s="257">
        <f>IFERROR(IF(N(AK15)&lt;&gt;0,AK73/AK15,""),"")</f>
        <v>0.0537743296427654</v>
      </c>
      <c r="AL323" s="258">
        <f>IFERROR(IF(N(AL15)&lt;&gt;0,AL73/AL15,""),"")</f>
        <v>0.0643298498582788</v>
      </c>
      <c r="AM323" s="257">
        <f>IFERROR(IF(N(AM15)&lt;&gt;0,AM73/AM15,""),"")</f>
        <v>0.0537743296427653</v>
      </c>
      <c r="AN323" s="257">
        <f>IFERROR(IF(N(AN15)&lt;&gt;0,AN73/AN15,""),"")</f>
        <v>0.0537743296427653</v>
      </c>
      <c r="AO323" s="257">
        <f>IFERROR(IF(N(AO15)&lt;&gt;0,AO73/AO15,""),"")</f>
        <v>0.0537743296427653</v>
      </c>
      <c r="AP323" s="257">
        <f>IFERROR(IF(N(AP15)&lt;&gt;0,AP73/AP15,""),"")</f>
        <v>0.0537743296427653</v>
      </c>
      <c r="AQ323" s="258">
        <f>IFERROR(IF(N(AQ15)&lt;&gt;0,AQ73/AQ15,""),"")</f>
        <v>0.0537743296427653</v>
      </c>
      <c r="AR323" s="257">
        <f>IFERROR(IF(N(AR15)&lt;&gt;0,AR73/AR15,""),"")</f>
        <v>0.0537743296427653</v>
      </c>
      <c r="AS323" s="257">
        <f>IFERROR(IF(N(AS15)&lt;&gt;0,AS73/AS15,""),"")</f>
        <v>0.0537743296427653</v>
      </c>
      <c r="AT323" s="257">
        <f>IFERROR(IF(N(AT15)&lt;&gt;0,AT73/AT15,""),"")</f>
        <v>0.0537743296427653</v>
      </c>
      <c r="AU323" s="257">
        <f>IFERROR(IF(N(AU15)&lt;&gt;0,AU73/AU15,""),"")</f>
        <v>0.0537743296427653</v>
      </c>
      <c r="AV323" s="258">
        <f>IFERROR(IF(N(AV15)&lt;&gt;0,AV73/AV15,""),"")</f>
        <v>0.0537743296427653</v>
      </c>
      <c r="AW323" s="257">
        <f>IFERROR(IF(N(AW15)&lt;&gt;0,AW73/AW15,""),"")</f>
        <v>0.0537743296427653</v>
      </c>
      <c r="AX323" s="257">
        <f>IFERROR(IF(N(AX15)&lt;&gt;0,AX73/AX15,""),"")</f>
        <v>0.0537743296427653</v>
      </c>
      <c r="AY323" s="257">
        <f>IFERROR(IF(N(AY15)&lt;&gt;0,AY73/AY15,""),"")</f>
        <v>0.0537743296427653</v>
      </c>
      <c r="AZ323" s="257">
        <f>IFERROR(IF(N(AZ15)&lt;&gt;0,AZ73/AZ15,""),"")</f>
        <v>0.0537743296427652</v>
      </c>
      <c r="BA323" s="258">
        <f>IFERROR(IF(N(BA15)&lt;&gt;0,BA73/BA15,""),"")</f>
        <v>0.0537743296427653</v>
      </c>
      <c r="BB323" s="257">
        <f>IFERROR(IF(N(BB15)&lt;&gt;0,BB73/BB15,""),"")</f>
        <v>0.0537743296427653</v>
      </c>
      <c r="BC323" s="257">
        <f>IFERROR(IF(N(BC15)&lt;&gt;0,BC73/BC15,""),"")</f>
        <v>0.0537743296427653</v>
      </c>
      <c r="BD323" s="257">
        <f>IFERROR(IF(N(BD15)&lt;&gt;0,BD73/BD15,""),"")</f>
        <v>0.0537743296427653</v>
      </c>
      <c r="BE323" s="257">
        <f>IFERROR(IF(N(BE15)&lt;&gt;0,BE73/BE15,""),"")</f>
        <v>0.0537743296427654</v>
      </c>
      <c r="BF323" s="258">
        <f>IFERROR(IF(N(BF15)&lt;&gt;0,BF73/BF15,""),"")</f>
        <v>0.0537743296427653</v>
      </c>
      <c r="BG323" s="81" t="n"/>
      <c r="BH323" s="81" t="n"/>
      <c r="BI323" s="81" t="n"/>
      <c r="BJ323" s="81" t="n"/>
      <c r="BL323" s="81" t="n"/>
      <c r="BM323" s="81" t="n"/>
      <c r="BN323" s="81" t="n"/>
      <c r="BO323" s="81" t="n"/>
      <c r="BQ323" s="81" t="n"/>
      <c r="BR323" s="81" t="n"/>
      <c r="BS323" s="81" t="n"/>
      <c r="BT323" s="81" t="n"/>
      <c r="BV323" s="81" t="n"/>
      <c r="BW323" s="81" t="n"/>
      <c r="BX323" s="81" t="n"/>
      <c r="BY323" s="81" t="n"/>
      <c r="CA323" s="81" t="n"/>
      <c r="CB323" s="81" t="n"/>
      <c r="CC323" s="81" t="n"/>
      <c r="CD323" s="81" t="n"/>
      <c r="CF323" s="81" t="n"/>
      <c r="CG323" s="81" t="n"/>
      <c r="CH323" s="81" t="n"/>
      <c r="CI323" s="81" t="n"/>
      <c r="CK323" s="81" t="n"/>
      <c r="CL323" s="81" t="n"/>
      <c r="CM323" s="81" t="n"/>
      <c r="CN323" s="81" t="n"/>
      <c r="CP323" s="81" t="n"/>
      <c r="CQ323" s="81" t="n"/>
      <c r="CR323" s="81" t="n"/>
      <c r="CS323" s="81" t="n"/>
      <c r="CU323" s="81" t="n"/>
      <c r="CV323" s="81" t="n"/>
      <c r="CW323" s="81" t="n"/>
      <c r="CX323" s="81" t="n"/>
    </row>
    <row r="324" customFormat="1" s="77">
      <c r="A324" s="76" t="n"/>
      <c r="B324" s="76" t="n"/>
      <c r="C324" s="77" t="inlineStr">
        <is>
          <t>EBITDA MARGIN</t>
        </is>
      </c>
      <c r="D324" s="78" t="str">
        <f>IFERROR(D69/D15,"")</f>
        <v/>
      </c>
      <c r="E324" s="78" t="str">
        <f>IFERROR(E69/E15,"")</f>
        <v/>
      </c>
      <c r="F324" s="78" t="str">
        <f>IFERROR(F69/F15,"")</f>
        <v/>
      </c>
      <c r="G324" s="78" t="str">
        <f>IFERROR(G69/G15,"")</f>
        <v/>
      </c>
      <c r="H324" s="258" t="str">
        <f>IFERROR(IF(N(H15)&lt;&gt;0,H69/H15,""),"")</f>
        <v/>
      </c>
      <c r="I324" s="257">
        <f>IFERROR(IF(N(I15)&lt;&gt;0,I69/I15,""),"")</f>
        <v>0.106800957319505</v>
      </c>
      <c r="J324" s="257">
        <f>IFERROR(IF(N(J15)&lt;&gt;0,J69/J15,""),"")</f>
        <v>0.0947266583474713</v>
      </c>
      <c r="K324" s="257">
        <f>IFERROR(IF(N(K15)&lt;&gt;0,K69/K15,""),"")</f>
        <v>0.0899677896512158</v>
      </c>
      <c r="L324" s="257">
        <f>IFERROR(IF(N(L15)&lt;&gt;0,L69/L15,""),"")</f>
        <v>0.0855945649078557</v>
      </c>
      <c r="M324" s="258">
        <f>IFERROR(IF(N(M15)&lt;&gt;0,M69/M15,""),"")</f>
        <v>0.0941351961251334</v>
      </c>
      <c r="N324" s="257">
        <f>IFERROR(IF(N(N15)&lt;&gt;0,N69/N15,""),"")</f>
        <v>0.0965451845936942</v>
      </c>
      <c r="O324" s="257">
        <f>IFERROR(IF(N(O15)&lt;&gt;0,O69/O15,""),"")</f>
        <v>0.0987651247323607</v>
      </c>
      <c r="P324" s="257">
        <f>IFERROR(IF(N(P15)&lt;&gt;0,P69/P15,""),"")</f>
        <v>0.102479788365021</v>
      </c>
      <c r="Q324" s="257">
        <f>IFERROR(IF(N(Q15)&lt;&gt;0,Q69/Q15,""),"")</f>
        <v>0.0950994721393456</v>
      </c>
      <c r="R324" s="258">
        <f>IFERROR(IF(N(R15)&lt;&gt;0,R69/R15,""),"")</f>
        <v>0.0982070693048538</v>
      </c>
      <c r="S324" s="257">
        <f>IFERROR(IF(N(S15)&lt;&gt;0,S69/S15,""),"")</f>
        <v>0.0985086641067757</v>
      </c>
      <c r="T324" s="257">
        <f>IFERROR(IF(N(T15)&lt;&gt;0,T69/T15,""),"")</f>
        <v>0.097714820834634</v>
      </c>
      <c r="U324" s="257">
        <f>IFERROR(IF(N(U15)&lt;&gt;0,U69/U15,""),"")</f>
        <v>0.103214560258118</v>
      </c>
      <c r="V324" s="257">
        <f>IFERROR(IF(N(V15)&lt;&gt;0,V69/V15,""),"")</f>
        <v>0.0917428277928982</v>
      </c>
      <c r="W324" s="258">
        <f>IFERROR(IF(N(W15)&lt;&gt;0,W69/W15,""),"")</f>
        <v>0.0977606277346336</v>
      </c>
      <c r="X324" s="257">
        <f>IFERROR(IF(N(X15)&lt;&gt;0,X69/X15,""),"")</f>
        <v>0.0894625035071546</v>
      </c>
      <c r="Y324" s="257">
        <f>IFERROR(IF(N(Y15)&lt;&gt;0,Y69/Y15,""),"")</f>
        <v>0.0899802741388903</v>
      </c>
      <c r="Z324" s="257">
        <f>IFERROR(IF(N(Z15)&lt;&gt;0,Z69/Z15,""),"")</f>
        <v>0.0966970839119222</v>
      </c>
      <c r="AA324" s="257">
        <f>IFERROR(IF(N(AA15)&lt;&gt;0,AA69/AA15,""),"")</f>
        <v>0.0874344043568403</v>
      </c>
      <c r="AB324" s="258">
        <f>IFERROR(IF(N(AB15)&lt;&gt;0,AB69/AB15,""),"")</f>
        <v>0.0909018232328532</v>
      </c>
      <c r="AC324" s="257">
        <f>IFERROR(IF(N(AC15)&lt;&gt;0,AC69/AC15,""),"")</f>
        <v>0.0929044033766826</v>
      </c>
      <c r="AD324" s="257">
        <f>IFERROR(IF(N(AD15)&lt;&gt;0,AD69/AD15,""),"")</f>
        <v>0.0558522075688073</v>
      </c>
      <c r="AE324" s="257">
        <f>IFERROR(IF(N(AE15)&lt;&gt;0,AE69/AE15,""),"")</f>
        <v>0.0478433382525782</v>
      </c>
      <c r="AF324" s="257">
        <f>IFERROR(IF(N(AF15)&lt;&gt;0,AF69/AF15,""),"")</f>
        <v>0.0132226295102239</v>
      </c>
      <c r="AG324" s="258">
        <f>IFERROR(IF(N(AG15)&lt;&gt;0,AG69/AG15,""),"")</f>
        <v>0.0521151023198761</v>
      </c>
      <c r="AH324" s="257">
        <f>IFERROR(IF(N(AH15)&lt;&gt;0,AH69/AH15,""),"")</f>
        <v>0.08967875332301</v>
      </c>
      <c r="AI324" s="257">
        <f>IFERROR(IF(N(AI15)&lt;&gt;0,AI69/AI15,""),"")</f>
        <v>0.0806108968866038</v>
      </c>
      <c r="AJ324" s="257">
        <f>IFERROR(IF(N(AJ15)&lt;&gt;0,AJ69/AJ15,""),"")</f>
        <v>0.0633520381529844</v>
      </c>
      <c r="AK324" s="257">
        <f>IFERROR(IF(N(AK15)&lt;&gt;0,AK69/AK15,""),"")</f>
        <v>0.0633520381529845</v>
      </c>
      <c r="AL324" s="258">
        <f>IFERROR(IF(N(AL15)&lt;&gt;0,AL69/AL15,""),"")</f>
        <v>0.0737496339661878</v>
      </c>
      <c r="AM324" s="257">
        <f>IFERROR(IF(N(AM15)&lt;&gt;0,AM69/AM15,""),"")</f>
        <v>0.0633520381529844</v>
      </c>
      <c r="AN324" s="257">
        <f>IFERROR(IF(N(AN15)&lt;&gt;0,AN69/AN15,""),"")</f>
        <v>0.0633520381529844</v>
      </c>
      <c r="AO324" s="257">
        <f>IFERROR(IF(N(AO15)&lt;&gt;0,AO69/AO15,""),"")</f>
        <v>0.0633520381529844</v>
      </c>
      <c r="AP324" s="257">
        <f>IFERROR(IF(N(AP15)&lt;&gt;0,AP69/AP15,""),"")</f>
        <v>0.0633520381529844</v>
      </c>
      <c r="AQ324" s="258">
        <f>IFERROR(IF(N(AQ15)&lt;&gt;0,AQ69/AQ15,""),"")</f>
        <v>0.0633520381529844</v>
      </c>
      <c r="AR324" s="257">
        <f>IFERROR(IF(N(AR15)&lt;&gt;0,AR69/AR15,""),"")</f>
        <v>0.0633520381529844</v>
      </c>
      <c r="AS324" s="257">
        <f>IFERROR(IF(N(AS15)&lt;&gt;0,AS69/AS15,""),"")</f>
        <v>0.0633520381529844</v>
      </c>
      <c r="AT324" s="257">
        <f>IFERROR(IF(N(AT15)&lt;&gt;0,AT69/AT15,""),"")</f>
        <v>0.0633520381529844</v>
      </c>
      <c r="AU324" s="257">
        <f>IFERROR(IF(N(AU15)&lt;&gt;0,AU69/AU15,""),"")</f>
        <v>0.0633520381529844</v>
      </c>
      <c r="AV324" s="258">
        <f>IFERROR(IF(N(AV15)&lt;&gt;0,AV69/AV15,""),"")</f>
        <v>0.0633520381529844</v>
      </c>
      <c r="AW324" s="257">
        <f>IFERROR(IF(N(AW15)&lt;&gt;0,AW69/AW15,""),"")</f>
        <v>0.0633520381529844</v>
      </c>
      <c r="AX324" s="257">
        <f>IFERROR(IF(N(AX15)&lt;&gt;0,AX69/AX15,""),"")</f>
        <v>0.0633520381529844</v>
      </c>
      <c r="AY324" s="257">
        <f>IFERROR(IF(N(AY15)&lt;&gt;0,AY69/AY15,""),"")</f>
        <v>0.0633520381529844</v>
      </c>
      <c r="AZ324" s="257">
        <f>IFERROR(IF(N(AZ15)&lt;&gt;0,AZ69/AZ15,""),"")</f>
        <v>0.0633520381529844</v>
      </c>
      <c r="BA324" s="258">
        <f>IFERROR(IF(N(BA15)&lt;&gt;0,BA69/BA15,""),"")</f>
        <v>0.0633520381529844</v>
      </c>
      <c r="BB324" s="257">
        <f>IFERROR(IF(N(BB15)&lt;&gt;0,BB69/BB15,""),"")</f>
        <v>0.0633520381529844</v>
      </c>
      <c r="BC324" s="257">
        <f>IFERROR(IF(N(BC15)&lt;&gt;0,BC69/BC15,""),"")</f>
        <v>0.0633520381529844</v>
      </c>
      <c r="BD324" s="257">
        <f>IFERROR(IF(N(BD15)&lt;&gt;0,BD69/BD15,""),"")</f>
        <v>0.0633520381529844</v>
      </c>
      <c r="BE324" s="257">
        <f>IFERROR(IF(N(BE15)&lt;&gt;0,BE69/BE15,""),"")</f>
        <v>0.0633520381529845</v>
      </c>
      <c r="BF324" s="258">
        <f>IFERROR(IF(N(BF15)&lt;&gt;0,BF69/BF15,""),"")</f>
        <v>0.0633520381529844</v>
      </c>
      <c r="BG324" s="81" t="n"/>
      <c r="BH324" s="81" t="n"/>
      <c r="BI324" s="81" t="n"/>
      <c r="BJ324" s="81" t="n"/>
      <c r="BL324" s="81" t="n"/>
      <c r="BM324" s="81" t="n"/>
      <c r="BN324" s="81" t="n"/>
      <c r="BO324" s="81" t="n"/>
      <c r="BQ324" s="81" t="n"/>
      <c r="BR324" s="81" t="n"/>
      <c r="BS324" s="81" t="n"/>
      <c r="BT324" s="81" t="n"/>
      <c r="BV324" s="81" t="n"/>
      <c r="BW324" s="81" t="n"/>
      <c r="BX324" s="81" t="n"/>
      <c r="BY324" s="81" t="n"/>
      <c r="CA324" s="81" t="n"/>
      <c r="CB324" s="81" t="n"/>
      <c r="CC324" s="81" t="n"/>
      <c r="CD324" s="81" t="n"/>
      <c r="CF324" s="81" t="n"/>
      <c r="CG324" s="81" t="n"/>
      <c r="CH324" s="81" t="n"/>
      <c r="CI324" s="81" t="n"/>
      <c r="CK324" s="81" t="n"/>
      <c r="CL324" s="81" t="n"/>
      <c r="CM324" s="81" t="n"/>
      <c r="CN324" s="81" t="n"/>
      <c r="CP324" s="81" t="n"/>
      <c r="CQ324" s="81" t="n"/>
      <c r="CR324" s="81" t="n"/>
      <c r="CS324" s="81" t="n"/>
      <c r="CU324" s="81" t="n"/>
      <c r="CV324" s="81" t="n"/>
      <c r="CW324" s="81" t="n"/>
      <c r="CX324" s="81" t="n"/>
    </row>
    <row r="325" customFormat="1" s="77">
      <c r="A325" s="76" t="n"/>
      <c r="B325" s="76" t="n"/>
      <c r="C325" s="77" t="inlineStr">
        <is>
          <t>ETR</t>
        </is>
      </c>
      <c r="D325" s="78" t="str">
        <f>IFERROR(-D131/D130,"")</f>
        <v/>
      </c>
      <c r="E325" s="78" t="str">
        <f>IFERROR(-E131/E130,"")</f>
        <v/>
      </c>
      <c r="F325" s="78" t="str">
        <f>IFERROR(-F131/F130,"")</f>
        <v/>
      </c>
      <c r="G325" s="78" t="str">
        <f>IFERROR(-G131/G130,"")</f>
        <v/>
      </c>
      <c r="H325" s="258" t="str">
        <f>IFERROR(IF(N(H130)&lt;&gt;0,-H131/H130,""),"")</f>
        <v/>
      </c>
      <c r="I325" s="257">
        <f>IFERROR(IF(N(I130)&lt;&gt;0,-I131/I130,""),"")</f>
        <v>0.215074109113844</v>
      </c>
      <c r="J325" s="257">
        <f>IFERROR(IF(N(J130)&lt;&gt;0,-J131/J130,""),"")</f>
        <v>0.214798850574713</v>
      </c>
      <c r="K325" s="257">
        <f>IFERROR(IF(N(K130)&lt;&gt;0,-K131/K130,""),"")</f>
        <v>0.207750472589792</v>
      </c>
      <c r="L325" s="257">
        <f>IFERROR(IF(N(L130)&lt;&gt;0,-L131/L130,""),"")</f>
        <v>0.179843444227006</v>
      </c>
      <c r="M325" s="258">
        <f>IFERROR(IF(N(M130)&lt;&gt;0,-M131/M130,""),"")</f>
        <v>0.205199462124608</v>
      </c>
      <c r="N325" s="257">
        <f>IFERROR(IF(N(N130)&lt;&gt;0,-N131/N130,""),"")</f>
        <v>0.21006598127973</v>
      </c>
      <c r="O325" s="257">
        <f>IFERROR(IF(N(O130)&lt;&gt;0,-O131/O130,""),"")</f>
        <v>0.219954988747187</v>
      </c>
      <c r="P325" s="257">
        <f>IFERROR(IF(N(P130)&lt;&gt;0,-P131/P130,""),"")</f>
        <v>0.22487762741146</v>
      </c>
      <c r="Q325" s="257">
        <f>IFERROR(IF(N(Q130)&lt;&gt;0,-Q131/Q130,""),"")</f>
        <v>0.210297666934835</v>
      </c>
      <c r="R325" s="258">
        <f>IFERROR(IF(N(R130)&lt;&gt;0,-R131/R130,""),"")</f>
        <v>0.216528109934328</v>
      </c>
      <c r="S325" s="257">
        <f>IFERROR(IF(N(S130)&lt;&gt;0,-S131/S130,""),"")</f>
        <v>0.212493180578287</v>
      </c>
      <c r="T325" s="257">
        <f>IFERROR(IF(N(T130)&lt;&gt;0,-T131/T130,""),"")</f>
        <v>0.217457462996265</v>
      </c>
      <c r="U325" s="257">
        <f>IFERROR(IF(N(U130)&lt;&gt;0,-U131/U130,""),"")</f>
        <v>0.215028601144046</v>
      </c>
      <c r="V325" s="257">
        <f>IFERROR(IF(N(V130)&lt;&gt;0,-V131/V130,""),"")</f>
        <v>0.172619915439568</v>
      </c>
      <c r="W325" s="258">
        <f>IFERROR(IF(N(W130)&lt;&gt;0,-W131/W130,""),"")</f>
        <v>0.205001374003847</v>
      </c>
      <c r="X325" s="257">
        <f>IFERROR(IF(N(X130)&lt;&gt;0,-X131/X130,""),"")</f>
        <v>1222</v>
      </c>
      <c r="Y325" s="257">
        <f>IFERROR(IF(N(Y130)&lt;&gt;0,-Y131/Y130,""),"")</f>
        <v>0.219593998234775</v>
      </c>
      <c r="Z325" s="257">
        <f>IFERROR(IF(N(Z130)&lt;&gt;0,-Z131/Z130,""),"")</f>
        <v>0.178092986603625</v>
      </c>
      <c r="AA325" s="257">
        <f>IFERROR(IF(N(AA130)&lt;&gt;0,-AA131/AA130,""),"")</f>
        <v>0.148284494183478</v>
      </c>
      <c r="AB325" s="258">
        <f>IFERROR(IF(N(AB130)&lt;&gt;0,-AB131/AB130,""),"")</f>
        <v>0.240595884609636</v>
      </c>
      <c r="AC325" s="257">
        <f>IFERROR(IF(N(AC130)&lt;&gt;0,-AC131/AC130,""),"")</f>
        <v>0.201332346410067</v>
      </c>
      <c r="AD325" s="257">
        <f>IFERROR(IF(N(AD130)&lt;&gt;0,-AD131/AD130,""),"")</f>
        <v>0.124938755512004</v>
      </c>
      <c r="AE325" s="257">
        <f>IFERROR(IF(N(AE130)&lt;&gt;0,-AE131/AE130,""),"")</f>
        <v>0.212449674821926</v>
      </c>
      <c r="AF325" s="257">
        <f>IFERROR(IF(N(AF130)&lt;&gt;0,-AF131/AF130,""),"")</f>
        <v>1.30277777777778</v>
      </c>
      <c r="AG325" s="258">
        <f>IFERROR(IF(N(AG130)&lt;&gt;0,-AG131/AG130,""),"")</f>
        <v>0.128597672994489</v>
      </c>
      <c r="AH325" s="257">
        <f>IFERROR(IF(N(AH130)&lt;&gt;0,-AH131/AH130,""),"")</f>
        <v>0.186110762275524</v>
      </c>
      <c r="AI325" s="257">
        <f>IFERROR(IF(N(AI130)&lt;&gt;0,-AI131/AI130,""),"")</f>
        <v>0.186280137772675</v>
      </c>
      <c r="AJ325" s="257">
        <f>IFERROR(IF(N(AJ130)&lt;&gt;0,-AJ131/AJ130,""),"")</f>
        <v>0.368981575761662</v>
      </c>
      <c r="AK325" s="257">
        <f>IFERROR(IF(N(AK130)&lt;&gt;0,-AK131/AK130,""),"")</f>
        <v>0.368981575761662</v>
      </c>
      <c r="AL325" s="258">
        <f>IFERROR(IF(N(AL130)&lt;&gt;0,-AL131/AL130,""),"")</f>
        <v>0.271385860839072</v>
      </c>
      <c r="AM325" s="257">
        <f>IFERROR(IF(N(AM130)&lt;&gt;0,-AM131/AM130,""),"")</f>
        <v>0.368981575761662</v>
      </c>
      <c r="AN325" s="257">
        <f>IFERROR(IF(N(AN130)&lt;&gt;0,-AN131/AN130,""),"")</f>
        <v>0.368981575761662</v>
      </c>
      <c r="AO325" s="257">
        <f>IFERROR(IF(N(AO130)&lt;&gt;0,-AO131/AO130,""),"")</f>
        <v>0.368981575761662</v>
      </c>
      <c r="AP325" s="257">
        <f>IFERROR(IF(N(AP130)&lt;&gt;0,-AP131/AP130,""),"")</f>
        <v>0.368981575761662</v>
      </c>
      <c r="AQ325" s="258">
        <f>IFERROR(IF(N(AQ130)&lt;&gt;0,-AQ131/AQ130,""),"")</f>
        <v>0.368981575761662</v>
      </c>
      <c r="AR325" s="257">
        <f>IFERROR(IF(N(AR130)&lt;&gt;0,-AR131/AR130,""),"")</f>
        <v>0.368981575761662</v>
      </c>
      <c r="AS325" s="257">
        <f>IFERROR(IF(N(AS130)&lt;&gt;0,-AS131/AS130,""),"")</f>
        <v>0.368981575761662</v>
      </c>
      <c r="AT325" s="257">
        <f>IFERROR(IF(N(AT130)&lt;&gt;0,-AT131/AT130,""),"")</f>
        <v>0.368981575761662</v>
      </c>
      <c r="AU325" s="257">
        <f>IFERROR(IF(N(AU130)&lt;&gt;0,-AU131/AU130,""),"")</f>
        <v>0.368981575761662</v>
      </c>
      <c r="AV325" s="258">
        <f>IFERROR(IF(N(AV130)&lt;&gt;0,-AV131/AV130,""),"")</f>
        <v>0.368981575761662</v>
      </c>
      <c r="AW325" s="257">
        <f>IFERROR(IF(N(AW130)&lt;&gt;0,-AW131/AW130,""),"")</f>
        <v>0.368981575761662</v>
      </c>
      <c r="AX325" s="257">
        <f>IFERROR(IF(N(AX130)&lt;&gt;0,-AX131/AX130,""),"")</f>
        <v>0.368981575761662</v>
      </c>
      <c r="AY325" s="257">
        <f>IFERROR(IF(N(AY130)&lt;&gt;0,-AY131/AY130,""),"")</f>
        <v>0.368981575761662</v>
      </c>
      <c r="AZ325" s="257">
        <f>IFERROR(IF(N(AZ130)&lt;&gt;0,-AZ131/AZ130,""),"")</f>
        <v>0.368981575761662</v>
      </c>
      <c r="BA325" s="258">
        <f>IFERROR(IF(N(BA130)&lt;&gt;0,-BA131/BA130,""),"")</f>
        <v>0.368981575761662</v>
      </c>
      <c r="BB325" s="257">
        <f>IFERROR(IF(N(BB130)&lt;&gt;0,-BB131/BB130,""),"")</f>
        <v>0.368981575761662</v>
      </c>
      <c r="BC325" s="257">
        <f>IFERROR(IF(N(BC130)&lt;&gt;0,-BC131/BC130,""),"")</f>
        <v>0.368981575761662</v>
      </c>
      <c r="BD325" s="257">
        <f>IFERROR(IF(N(BD130)&lt;&gt;0,-BD131/BD130,""),"")</f>
        <v>0.368981575761662</v>
      </c>
      <c r="BE325" s="257">
        <f>IFERROR(IF(N(BE130)&lt;&gt;0,-BE131/BE130,""),"")</f>
        <v>0.368981575761662</v>
      </c>
      <c r="BF325" s="258">
        <f>IFERROR(IF(N(BF130)&lt;&gt;0,-BF131/BF130,""),"")</f>
        <v>0.368981575761662</v>
      </c>
      <c r="BG325" s="81" t="n"/>
      <c r="BH325" s="81" t="n"/>
      <c r="BI325" s="81" t="n"/>
      <c r="BJ325" s="81" t="n"/>
      <c r="BL325" s="81" t="n"/>
      <c r="BM325" s="81" t="n"/>
      <c r="BN325" s="81" t="n"/>
      <c r="BO325" s="81" t="n"/>
      <c r="BQ325" s="81" t="n"/>
      <c r="BR325" s="81" t="n"/>
      <c r="BS325" s="81" t="n"/>
      <c r="BT325" s="81" t="n"/>
      <c r="BV325" s="81" t="n"/>
      <c r="BW325" s="81" t="n"/>
      <c r="BX325" s="81" t="n"/>
      <c r="BY325" s="81" t="n"/>
      <c r="CA325" s="81" t="n"/>
      <c r="CB325" s="81" t="n"/>
      <c r="CC325" s="81" t="n"/>
      <c r="CD325" s="81" t="n"/>
      <c r="CF325" s="81" t="n"/>
      <c r="CG325" s="81" t="n"/>
      <c r="CH325" s="81" t="n"/>
      <c r="CI325" s="81" t="n"/>
      <c r="CK325" s="81" t="n"/>
      <c r="CL325" s="81" t="n"/>
      <c r="CM325" s="81" t="n"/>
      <c r="CN325" s="81" t="n"/>
      <c r="CP325" s="81" t="n"/>
      <c r="CQ325" s="81" t="n"/>
      <c r="CR325" s="81" t="n"/>
      <c r="CS325" s="81" t="n"/>
      <c r="CU325" s="81" t="n"/>
      <c r="CV325" s="81" t="n"/>
      <c r="CW325" s="81" t="n"/>
      <c r="CX325" s="81" t="n"/>
    </row>
    <row r="326" customFormat="1" s="77">
      <c r="A326" s="76" t="n"/>
      <c r="B326" s="76" t="n"/>
    </row>
    <row r="327" customFormat="1" s="77">
      <c r="A327" s="76" t="n"/>
      <c r="B327" s="76" t="n"/>
      <c r="C327" s="74" t="inlineStr">
        <is>
          <t>CAPITAL STRUCTURE</t>
        </is>
      </c>
    </row>
    <row r="328" customFormat="1" s="77">
      <c r="A328" s="76" t="n"/>
      <c r="B328" s="76" t="n"/>
      <c r="C328" s="77" t="inlineStr">
        <is>
          <t>TOTAL DEBT / EQUITY (BOOK VALUE)</t>
        </is>
      </c>
      <c r="H328" s="262" t="str">
        <f>IFERROR(IF(N(H271)&lt;&gt;0,(N(H212)+N(H213)+N(H214)+N(H217)+N(H235)+N(H238))/H271,""),"")</f>
        <v/>
      </c>
      <c r="I328" s="262">
        <f>IFERROR(IF(N(I271)&lt;&gt;0,(N(I212)+N(I213)+N(I214)+N(I217)+N(I235)+N(I238))/I271,""),"")</f>
        <v>0.65537955852767</v>
      </c>
      <c r="J328" s="262">
        <f>IFERROR(IF(N(J271)&lt;&gt;0,(N(J212)+N(J213)+N(J214)+N(J217)+N(J235)+N(J238))/J271,""),"")</f>
        <v>0.657601505707778</v>
      </c>
      <c r="K328" s="262">
        <f>IFERROR(IF(N(K271)&lt;&gt;0,(N(K212)+N(K213)+N(K214)+N(K217)+N(K235)+N(K238))/K271,""),"")</f>
        <v>0.629287705005896</v>
      </c>
      <c r="L328" s="262">
        <f>IFERROR(IF(N(L271)&lt;&gt;0,(N(L212)+N(L213)+N(L214)+N(L217)+N(L235)+N(L238))/L271,""),"")</f>
        <v>0.601511526039828</v>
      </c>
      <c r="M328" s="262">
        <f>IFERROR(IF(N(M271)&lt;&gt;0,(N(M212)+N(M213)+N(M214)+N(M217)+N(M235)+N(M238))/M271,""),"")</f>
        <v>0.601511526039828</v>
      </c>
      <c r="N328" s="262">
        <f>IFERROR(IF(N(N271)&lt;&gt;0,(N(N212)+N(N213)+N(N214)+N(N217)+N(N235)+N(N238))/N271,""),"")</f>
        <v>0.611652736100558</v>
      </c>
      <c r="O328" s="262">
        <f>IFERROR(IF(N(O271)&lt;&gt;0,(N(O212)+N(O213)+N(O214)+N(O217)+N(O235)+N(O238))/O271,""),"")</f>
        <v>0.633463581791512</v>
      </c>
      <c r="P328" s="262">
        <f>IFERROR(IF(N(P271)&lt;&gt;0,(N(P212)+N(P213)+N(P214)+N(P217)+N(P235)+N(P238))/P271,""),"")</f>
        <v>0.586908020887351</v>
      </c>
      <c r="Q328" s="262">
        <f>IFERROR(IF(N(Q271)&lt;&gt;0,(N(Q212)+N(Q213)+N(Q214)+N(Q217)+N(Q235)+N(Q238))/Q271,""),"")</f>
        <v>0.66734223539903</v>
      </c>
      <c r="R328" s="262">
        <f>IFERROR(IF(N(R271)&lt;&gt;0,(N(R212)+N(R213)+N(R214)+N(R217)+N(R235)+N(R238))/R271,""),"")</f>
        <v>0.66734223539903</v>
      </c>
      <c r="S328" s="262">
        <f>IFERROR(IF(N(S271)&lt;&gt;0,(N(S212)+N(S213)+N(S214)+N(S217)+N(S235)+N(S238))/S271,""),"")</f>
        <v>0.778927854163448</v>
      </c>
      <c r="T328" s="262">
        <f>IFERROR(IF(N(T271)&lt;&gt;0,(N(T212)+N(T213)+N(T214)+N(T217)+N(T235)+N(T238))/T271,""),"")</f>
        <v>0.711717088415296</v>
      </c>
      <c r="U328" s="262">
        <f>IFERROR(IF(N(U271)&lt;&gt;0,(N(U212)+N(U213)+N(U214)+N(U217)+N(U235)+N(U238))/U271,""),"")</f>
        <v>0.674281762077038</v>
      </c>
      <c r="V328" s="262">
        <f>IFERROR(IF(N(V271)&lt;&gt;0,(N(V212)+N(V213)+N(V214)+N(V217)+N(V235)+N(V238))/V271,""),"")</f>
        <v>0.632204126608639</v>
      </c>
      <c r="W328" s="262">
        <f>IFERROR(IF(N(W271)&lt;&gt;0,(N(W212)+N(W213)+N(W214)+N(W217)+N(W235)+N(W238))/W271,""),"")</f>
        <v>0.632204126608639</v>
      </c>
      <c r="X328" s="262">
        <f>IFERROR(IF(N(X271)&lt;&gt;0,(N(X212)+N(X213)+N(X214)+N(X217)+N(X235)+N(X238))/X271,""),"")</f>
        <v>0.759786623743783</v>
      </c>
      <c r="Y328" s="262">
        <f>IFERROR(IF(N(Y271)&lt;&gt;0,(N(Y212)+N(Y213)+N(Y214)+N(Y217)+N(Y235)+N(Y238))/Y271,""),"")</f>
        <v>0.756776911139327</v>
      </c>
      <c r="Z328" s="262">
        <f>IFERROR(IF(N(Z271)&lt;&gt;0,(N(Z212)+N(Z213)+N(Z214)+N(Z217)+N(Z235)+N(Z238))/Z271,""),"")</f>
        <v>0.746828777942655</v>
      </c>
      <c r="AA328" s="262">
        <f>IFERROR(IF(N(AA271)&lt;&gt;0,(N(AA212)+N(AA213)+N(AA214)+N(AA217)+N(AA235)+N(AA238))/AA271,""),"")</f>
        <v>0.749617412833484</v>
      </c>
      <c r="AB328" s="262">
        <f>IFERROR(IF(N(AB271)&lt;&gt;0,(N(AB212)+N(AB213)+N(AB214)+N(AB217)+N(AB235)+N(AB238))/AB271,""),"")</f>
        <v>0.749617412833484</v>
      </c>
      <c r="AC328" s="262">
        <f>IFERROR(IF(N(AC271)&lt;&gt;0,(N(AC212)+N(AC213)+N(AC214)+N(AC217)+N(AC235)+N(AC238))/AC271,""),"")</f>
        <v>0.772765738953494</v>
      </c>
      <c r="AD328" s="262">
        <f>IFERROR(IF(N(AD271)&lt;&gt;0,(N(AD212)+N(AD213)+N(AD214)+N(AD217)+N(AD235)+N(AD238))/AD271,""),"")</f>
        <v>0.755773782256833</v>
      </c>
      <c r="AE328" s="262">
        <f>IFERROR(IF(N(AE271)&lt;&gt;0,(N(AE212)+N(AE213)+N(AE214)+N(AE217)+N(AE235)+N(AE238))/AE271,""),"")</f>
        <v>0.757336055116101</v>
      </c>
      <c r="AF328" s="262">
        <f>IFERROR(IF(N(AF271)&lt;&gt;0,(N(AF212)+N(AF213)+N(AF214)+N(AF217)+N(AF235)+N(AF238))/AF271,""),"")</f>
        <v>0.770801785679168</v>
      </c>
      <c r="AG328" s="262">
        <f>IFERROR(IF(N(AG271)&lt;&gt;0,(N(AG212)+N(AG213)+N(AG214)+N(AG217)+N(AG235)+N(AG238))/AG271,""),"")</f>
        <v>0.770801785679168</v>
      </c>
      <c r="AH328" s="262">
        <f>IFERROR(IF(N(AH271)&lt;&gt;0,(N(AH212)+N(AH213)+N(AH214)+N(AH217)+N(AH235)+N(AH238))/AH271,""),"")</f>
        <v>0.739819026006704</v>
      </c>
      <c r="AI328" s="262">
        <f>IFERROR(IF(N(AI271)&lt;&gt;0,(N(AI212)+N(AI213)+N(AI214)+N(AI217)+N(AI235)+N(AI238))/AI271,""),"")</f>
        <v>0.692106579580742</v>
      </c>
      <c r="AJ328" s="262">
        <f>IFERROR(IF(N(AJ271)&lt;&gt;0,(N(AJ212)+N(AJ213)+N(AJ214)+N(AJ217)+N(AJ235)+N(AJ238))/AJ271,""),"")</f>
        <v>0.666252558973779</v>
      </c>
      <c r="AK328" s="262">
        <f>IFERROR(IF(N(AK271)&lt;&gt;0,(N(AK212)+N(AK213)+N(AK214)+N(AK217)+N(AK235)+N(AK238))/AK271,""),"")</f>
        <v>0.642249527191784</v>
      </c>
      <c r="AL328" s="262">
        <f>IFERROR(IF(N(AL271)&lt;&gt;0,(N(AL212)+N(AL213)+N(AL214)+N(AL217)+N(AL235)+N(AL238))/AL271,""),"")</f>
        <v>0.642249527191784</v>
      </c>
      <c r="AM328" s="262">
        <f>IFERROR(IF(N(AM271)&lt;&gt;0,(N(AM212)+N(AM213)+N(AM214)+N(AM217)+N(AM235)+N(AM238))/AM271,""),"")</f>
        <v>0.620200464087261</v>
      </c>
      <c r="AN328" s="262">
        <f>IFERROR(IF(N(AN271)&lt;&gt;0,(N(AN212)+N(AN213)+N(AN214)+N(AN217)+N(AN235)+N(AN238))/AN271,""),"")</f>
        <v>0.599559686886215</v>
      </c>
      <c r="AO328" s="262">
        <f>IFERROR(IF(N(AO271)&lt;&gt;0,(N(AO212)+N(AO213)+N(AO214)+N(AO217)+N(AO235)+N(AO238))/AO271,""),"")</f>
        <v>0.578505285215681</v>
      </c>
      <c r="AP328" s="262">
        <f>IFERROR(IF(N(AP271)&lt;&gt;0,(N(AP212)+N(AP213)+N(AP214)+N(AP217)+N(AP235)+N(AP238))/AP271,""),"")</f>
        <v>0.558870381845087</v>
      </c>
      <c r="AQ328" s="262">
        <f>IFERROR(IF(N(AQ271)&lt;&gt;0,(N(AQ212)+N(AQ213)+N(AQ214)+N(AQ217)+N(AQ235)+N(AQ238))/AQ271,""),"")</f>
        <v>0.558870381845087</v>
      </c>
      <c r="AR328" s="262">
        <f>IFERROR(IF(N(AR271)&lt;&gt;0,(N(AR212)+N(AR213)+N(AR214)+N(AR217)+N(AR235)+N(AR238))/AR271,""),"")</f>
        <v>0.540839766637993</v>
      </c>
      <c r="AS328" s="262">
        <f>IFERROR(IF(N(AS271)&lt;&gt;0,(N(AS212)+N(AS213)+N(AS214)+N(AS217)+N(AS235)+N(AS238))/AS271,""),"")</f>
        <v>0.523890638472455</v>
      </c>
      <c r="AT328" s="262">
        <f>IFERROR(IF(N(AT271)&lt;&gt;0,(N(AT212)+N(AT213)+N(AT214)+N(AT217)+N(AT235)+N(AT238))/AT271,""),"")</f>
        <v>0.506531552108777</v>
      </c>
      <c r="AU328" s="262">
        <f>IFERROR(IF(N(AU271)&lt;&gt;0,(N(AU212)+N(AU213)+N(AU214)+N(AU217)+N(AU235)+N(AU238))/AU271,""),"")</f>
        <v>0.490278451423253</v>
      </c>
      <c r="AV328" s="262">
        <f>IFERROR(IF(N(AV271)&lt;&gt;0,(N(AV212)+N(AV213)+N(AV214)+N(AV217)+N(AV235)+N(AV238))/AV271,""),"")</f>
        <v>0.490278451423253</v>
      </c>
      <c r="AW328" s="262">
        <f>IFERROR(IF(N(AW271)&lt;&gt;0,(N(AW212)+N(AW213)+N(AW214)+N(AW217)+N(AW235)+N(AW238))/AW271,""),"")</f>
        <v>0.475365680836246</v>
      </c>
      <c r="AX328" s="262">
        <f>IFERROR(IF(N(AX271)&lt;&gt;0,(N(AX212)+N(AX213)+N(AX214)+N(AX217)+N(AX235)+N(AX238))/AX271,""),"")</f>
        <v>0.461295426284265</v>
      </c>
      <c r="AY328" s="262">
        <f>IFERROR(IF(N(AY271)&lt;&gt;0,(N(AY212)+N(AY213)+N(AY214)+N(AY217)+N(AY235)+N(AY238))/AY271,""),"")</f>
        <v>0.446832360487365</v>
      </c>
      <c r="AZ328" s="262">
        <f>IFERROR(IF(N(AZ271)&lt;&gt;0,(N(AZ212)+N(AZ213)+N(AZ214)+N(AZ217)+N(AZ235)+N(AZ238))/AZ271,""),"")</f>
        <v>0.433242364606926</v>
      </c>
      <c r="BA328" s="262">
        <f>IFERROR(IF(N(BA271)&lt;&gt;0,(N(BA212)+N(BA213)+N(BA214)+N(BA217)+N(BA235)+N(BA238))/BA271,""),"")</f>
        <v>0.433242364606926</v>
      </c>
      <c r="BB328" s="262">
        <f>IFERROR(IF(N(BB271)&lt;&gt;0,(N(BB212)+N(BB213)+N(BB214)+N(BB217)+N(BB235)+N(BB238))/BB271,""),"")</f>
        <v>0.420788330640749</v>
      </c>
      <c r="BC328" s="262">
        <f>IFERROR(IF(N(BC271)&lt;&gt;0,(N(BC212)+N(BC213)+N(BC214)+N(BC217)+N(BC235)+N(BC238))/BC271,""),"")</f>
        <v>0.408998485441719</v>
      </c>
      <c r="BD328" s="262">
        <f>IFERROR(IF(N(BD271)&lt;&gt;0,(N(BD212)+N(BD213)+N(BD214)+N(BD217)+N(BD235)+N(BD238))/BD271,""),"")</f>
        <v>0.396839402624909</v>
      </c>
      <c r="BE328" s="262">
        <f>IFERROR(IF(N(BE271)&lt;&gt;0,(N(BE212)+N(BE213)+N(BE214)+N(BE217)+N(BE235)+N(BE238))/BE271,""),"")</f>
        <v>0.385377091161071</v>
      </c>
      <c r="BF328" s="262">
        <f>IFERROR(IF(N(BF271)&lt;&gt;0,(N(BF212)+N(BF213)+N(BF214)+N(BF217)+N(BF235)+N(BF238))/BF271,""),"")</f>
        <v>0.385377091161071</v>
      </c>
    </row>
    <row r="329" customFormat="1" s="77">
      <c r="A329" s="76" t="n"/>
      <c r="B329" s="76" t="n"/>
      <c r="C329" s="77" t="inlineStr">
        <is>
          <t>NET DEBT / (NET DEBT + EQUITY) (BOOK VALUE)</t>
        </is>
      </c>
      <c r="H329" s="258" t="str">
        <f>IFERROR(IF(((N(H212)+N(H213)+N(H214)+N(H217)+N(H235)+N(H238))-N(H144)+N(H271))&lt;&gt;0,((N(H212)+N(H213)+N(H214)+N(H217)+N(H235)+N(H238))-N(H144))/((N(H212)+N(H213)+N(H214)+N(H217)+N(H235)+N(H238))-N(H144)+H271),""),"")</f>
        <v/>
      </c>
      <c r="I329" s="258">
        <f>IFERROR(IF(((N(I212)+N(I213)+N(I214)+N(I217)+N(I235)+N(I238))-N(I144)+N(I271))&lt;&gt;0,((N(I212)+N(I213)+N(I214)+N(I217)+N(I235)+N(I238))-N(I144))/((N(I212)+N(I213)+N(I214)+N(I217)+N(I235)+N(I238))-N(I144)+I271),""),"")</f>
        <v>0.248512079043472</v>
      </c>
      <c r="J329" s="258">
        <f>IFERROR(IF(((N(J212)+N(J213)+N(J214)+N(J217)+N(J235)+N(J238))-N(J144)+N(J271))&lt;&gt;0,((N(J212)+N(J213)+N(J214)+N(J217)+N(J235)+N(J238))-N(J144))/((N(J212)+N(J213)+N(J214)+N(J217)+N(J235)+N(J238))-N(J144)+J271),""),"")</f>
        <v>0.259204251535726</v>
      </c>
      <c r="K329" s="258">
        <f>IFERROR(IF(((N(K212)+N(K213)+N(K214)+N(K217)+N(K235)+N(K238))-N(K144)+N(K271))&lt;&gt;0,((N(K212)+N(K213)+N(K214)+N(K217)+N(K235)+N(K238))-N(K144))/((N(K212)+N(K213)+N(K214)+N(K217)+N(K235)+N(K238))-N(K144)+K271),""),"")</f>
        <v>0.236313775249166</v>
      </c>
      <c r="L329" s="258">
        <f>IFERROR(IF(((N(L212)+N(L213)+N(L214)+N(L217)+N(L235)+N(L238))-N(L144)+N(L271))&lt;&gt;0,((N(L212)+N(L213)+N(L214)+N(L217)+N(L235)+N(L238))-N(L144))/((N(L212)+N(L213)+N(L214)+N(L217)+N(L235)+N(L238))-N(L144)+L271),""),"")</f>
        <v>0.224154197311692</v>
      </c>
      <c r="M329" s="258">
        <f>IFERROR(IF(((N(M212)+N(M213)+N(M214)+N(M217)+N(M235)+N(M238))-N(M144)+N(M271))&lt;&gt;0,((N(M212)+N(M213)+N(M214)+N(M217)+N(M235)+N(M238))-N(M144))/((N(M212)+N(M213)+N(M214)+N(M217)+N(M235)+N(M238))-N(M144)+M271),""),"")</f>
        <v>0.224154197311692</v>
      </c>
      <c r="N329" s="258">
        <f>IFERROR(IF(((N(N212)+N(N213)+N(N214)+N(N217)+N(N235)+N(N238))-N(N144)+N(N271))&lt;&gt;0,((N(N212)+N(N213)+N(N214)+N(N217)+N(N235)+N(N238))-N(N144))/((N(N212)+N(N213)+N(N214)+N(N217)+N(N235)+N(N238))-N(N144)+N271),""),"")</f>
        <v>0.197397254610105</v>
      </c>
      <c r="O329" s="258">
        <f>IFERROR(IF(((N(O212)+N(O213)+N(O214)+N(O217)+N(O235)+N(O238))-N(O144)+N(O271))&lt;&gt;0,((N(O212)+N(O213)+N(O214)+N(O217)+N(O235)+N(O238))-N(O144))/((N(O212)+N(O213)+N(O214)+N(O217)+N(O235)+N(O238))-N(O144)+O271),""),"")</f>
        <v>0.224066032863401</v>
      </c>
      <c r="P329" s="258">
        <f>IFERROR(IF(((N(P212)+N(P213)+N(P214)+N(P217)+N(P235)+N(P238))-N(P144)+N(P271))&lt;&gt;0,((N(P212)+N(P213)+N(P214)+N(P217)+N(P235)+N(P238))-N(P144))/((N(P212)+N(P213)+N(P214)+N(P217)+N(P235)+N(P238))-N(P144)+P271),""),"")</f>
        <v>0.068941511997395</v>
      </c>
      <c r="Q329" s="258">
        <f>IFERROR(IF(((N(Q212)+N(Q213)+N(Q214)+N(Q217)+N(Q235)+N(Q238))-N(Q144)+N(Q271))&lt;&gt;0,((N(Q212)+N(Q213)+N(Q214)+N(Q217)+N(Q235)+N(Q238))-N(Q144))/((N(Q212)+N(Q213)+N(Q214)+N(Q217)+N(Q235)+N(Q238))-N(Q144)+Q271),""),"")</f>
        <v>0.256007720211272</v>
      </c>
      <c r="R329" s="258">
        <f>IFERROR(IF(((N(R212)+N(R213)+N(R214)+N(R217)+N(R235)+N(R238))-N(R144)+N(R271))&lt;&gt;0,((N(R212)+N(R213)+N(R214)+N(R217)+N(R235)+N(R238))-N(R144))/((N(R212)+N(R213)+N(R214)+N(R217)+N(R235)+N(R238))-N(R144)+R271),""),"")</f>
        <v>0.256007720211272</v>
      </c>
      <c r="S329" s="258">
        <f>IFERROR(IF(((N(S212)+N(S213)+N(S214)+N(S217)+N(S235)+N(S238))-N(S144)+N(S271))&lt;&gt;0,((N(S212)+N(S213)+N(S214)+N(S217)+N(S235)+N(S238))-N(S144))/((N(S212)+N(S213)+N(S214)+N(S217)+N(S235)+N(S238))-N(S144)+S271),""),"")</f>
        <v>0.210011071107895</v>
      </c>
      <c r="T329" s="258">
        <f>IFERROR(IF(((N(T212)+N(T213)+N(T214)+N(T217)+N(T235)+N(T238))-N(T144)+N(T271))&lt;&gt;0,((N(T212)+N(T213)+N(T214)+N(T217)+N(T235)+N(T238))-N(T144))/((N(T212)+N(T213)+N(T214)+N(T217)+N(T235)+N(T238))-N(T144)+T271),""),"")</f>
        <v>0.173236682037572</v>
      </c>
      <c r="U329" s="258">
        <f>IFERROR(IF(((N(U212)+N(U213)+N(U214)+N(U217)+N(U235)+N(U238))-N(U144)+N(U271))&lt;&gt;0,((N(U212)+N(U213)+N(U214)+N(U217)+N(U235)+N(U238))-N(U144))/((N(U212)+N(U213)+N(U214)+N(U217)+N(U235)+N(U238))-N(U144)+U271),""),"")</f>
        <v>0.170169180235228</v>
      </c>
      <c r="V329" s="258">
        <f>IFERROR(IF(((N(V212)+N(V213)+N(V214)+N(V217)+N(V235)+N(V238))-N(V144)+N(V271))&lt;&gt;0,((N(V212)+N(V213)+N(V214)+N(V217)+N(V235)+N(V238))-N(V144))/((N(V212)+N(V213)+N(V214)+N(V217)+N(V235)+N(V238))-N(V144)+V271),""),"")</f>
        <v>0.249635889188943</v>
      </c>
      <c r="W329" s="258">
        <f>IFERROR(IF(((N(W212)+N(W213)+N(W214)+N(W217)+N(W235)+N(W238))-N(W144)+N(W271))&lt;&gt;0,((N(W212)+N(W213)+N(W214)+N(W217)+N(W235)+N(W238))-N(W144))/((N(W212)+N(W213)+N(W214)+N(W217)+N(W235)+N(W238))-N(W144)+W271),""),"")</f>
        <v>0.249635889188943</v>
      </c>
      <c r="X329" s="258">
        <f>IFERROR(IF(((N(X212)+N(X213)+N(X214)+N(X217)+N(X235)+N(X238))-N(X144)+N(X271))&lt;&gt;0,((N(X212)+N(X213)+N(X214)+N(X217)+N(X235)+N(X238))-N(X144))/((N(X212)+N(X213)+N(X214)+N(X217)+N(X235)+N(X238))-N(X144)+X271),""),"")</f>
        <v>0.296905945083246</v>
      </c>
      <c r="Y329" s="258">
        <f>IFERROR(IF(((N(Y212)+N(Y213)+N(Y214)+N(Y217)+N(Y235)+N(Y238))-N(Y144)+N(Y271))&lt;&gt;0,((N(Y212)+N(Y213)+N(Y214)+N(Y217)+N(Y235)+N(Y238))-N(Y144))/((N(Y212)+N(Y213)+N(Y214)+N(Y217)+N(Y235)+N(Y238))-N(Y144)+Y271),""),"")</f>
        <v>0.306099616108077</v>
      </c>
      <c r="Z329" s="258">
        <f>IFERROR(IF(((N(Z212)+N(Z213)+N(Z214)+N(Z217)+N(Z235)+N(Z238))-N(Z144)+N(Z271))&lt;&gt;0,((N(Z212)+N(Z213)+N(Z214)+N(Z217)+N(Z235)+N(Z238))-N(Z144))/((N(Z212)+N(Z213)+N(Z214)+N(Z217)+N(Z235)+N(Z238))-N(Z144)+Z271),""),"")</f>
        <v>0.281261396398566</v>
      </c>
      <c r="AA329" s="258">
        <f>IFERROR(IF(((N(AA212)+N(AA213)+N(AA214)+N(AA217)+N(AA235)+N(AA238))-N(AA144)+N(AA271))&lt;&gt;0,((N(AA212)+N(AA213)+N(AA214)+N(AA217)+N(AA235)+N(AA238))-N(AA144))/((N(AA212)+N(AA213)+N(AA214)+N(AA217)+N(AA235)+N(AA238))-N(AA144)+AA271),""),"")</f>
        <v>0.317797342767087</v>
      </c>
      <c r="AB329" s="258">
        <f>IFERROR(IF(((N(AB212)+N(AB213)+N(AB214)+N(AB217)+N(AB235)+N(AB238))-N(AB144)+N(AB271))&lt;&gt;0,((N(AB212)+N(AB213)+N(AB214)+N(AB217)+N(AB235)+N(AB238))-N(AB144))/((N(AB212)+N(AB213)+N(AB214)+N(AB217)+N(AB235)+N(AB238))-N(AB144)+AB271),""),"")</f>
        <v>0.317797342767087</v>
      </c>
      <c r="AC329" s="258">
        <f>IFERROR(IF(((N(AC212)+N(AC213)+N(AC214)+N(AC217)+N(AC235)+N(AC238))-N(AC144)+N(AC271))&lt;&gt;0,((N(AC212)+N(AC213)+N(AC214)+N(AC217)+N(AC235)+N(AC238))-N(AC144))/((N(AC212)+N(AC213)+N(AC214)+N(AC217)+N(AC235)+N(AC238))-N(AC144)+AC271),""),"")</f>
        <v>0.308776265371445</v>
      </c>
      <c r="AD329" s="258">
        <f>IFERROR(IF(((N(AD212)+N(AD213)+N(AD214)+N(AD217)+N(AD235)+N(AD238))-N(AD144)+N(AD271))&lt;&gt;0,((N(AD212)+N(AD213)+N(AD214)+N(AD217)+N(AD235)+N(AD238))-N(AD144))/((N(AD212)+N(AD213)+N(AD214)+N(AD217)+N(AD235)+N(AD238))-N(AD144)+AD271),""),"")</f>
        <v>0.310436505063933</v>
      </c>
      <c r="AE329" s="258">
        <f>IFERROR(IF(((N(AE212)+N(AE213)+N(AE214)+N(AE217)+N(AE235)+N(AE238))-N(AE144)+N(AE271))&lt;&gt;0,((N(AE212)+N(AE213)+N(AE214)+N(AE217)+N(AE235)+N(AE238))-N(AE144))/((N(AE212)+N(AE213)+N(AE214)+N(AE217)+N(AE235)+N(AE238))-N(AE144)+AE271),""),"")</f>
        <v>0.318807738114398</v>
      </c>
      <c r="AF329" s="258">
        <f>IFERROR(IF(((N(AF212)+N(AF213)+N(AF214)+N(AF217)+N(AF235)+N(AF238))-N(AF144)+N(AF271))&lt;&gt;0,((N(AF212)+N(AF213)+N(AF214)+N(AF217)+N(AF235)+N(AF238))-N(AF144))/((N(AF212)+N(AF213)+N(AF214)+N(AF217)+N(AF235)+N(AF238))-N(AF144)+AF271),""),"")</f>
        <v>0.330784517589461</v>
      </c>
      <c r="AG329" s="258">
        <f>IFERROR(IF(((N(AG212)+N(AG213)+N(AG214)+N(AG217)+N(AG235)+N(AG238))-N(AG144)+N(AG271))&lt;&gt;0,((N(AG212)+N(AG213)+N(AG214)+N(AG217)+N(AG235)+N(AG238))-N(AG144))/((N(AG212)+N(AG213)+N(AG214)+N(AG217)+N(AG235)+N(AG238))-N(AG144)+AG271),""),"")</f>
        <v>0.330784517589461</v>
      </c>
      <c r="AH329" s="258">
        <f>IFERROR(IF(((N(AH212)+N(AH213)+N(AH214)+N(AH217)+N(AH235)+N(AH238))-N(AH144)+N(AH271))&lt;&gt;0,((N(AH212)+N(AH213)+N(AH214)+N(AH217)+N(AH235)+N(AH238))-N(AH144))/((N(AH212)+N(AH213)+N(AH214)+N(AH217)+N(AH235)+N(AH238))-N(AH144)+AH271),""),"")</f>
        <v>0.307143749958884</v>
      </c>
      <c r="AI329" s="258">
        <f>IFERROR(IF(((N(AI212)+N(AI213)+N(AI214)+N(AI217)+N(AI235)+N(AI238))-N(AI144)+N(AI271))&lt;&gt;0,((N(AI212)+N(AI213)+N(AI214)+N(AI217)+N(AI235)+N(AI238))-N(AI144))/((N(AI212)+N(AI213)+N(AI214)+N(AI217)+N(AI235)+N(AI238))-N(AI144)+AI271),""),"")</f>
        <v>0.283203323207653</v>
      </c>
      <c r="AJ329" s="258">
        <f>IFERROR(IF(((N(AJ212)+N(AJ213)+N(AJ214)+N(AJ217)+N(AJ235)+N(AJ238))-N(AJ144)+N(AJ271))&lt;&gt;0,((N(AJ212)+N(AJ213)+N(AJ214)+N(AJ217)+N(AJ235)+N(AJ238))-N(AJ144))/((N(AJ212)+N(AJ213)+N(AJ214)+N(AJ217)+N(AJ235)+N(AJ238))-N(AJ144)+AJ271),""),"")</f>
        <v>0.277873283029379</v>
      </c>
      <c r="AK329" s="258">
        <f>IFERROR(IF(((N(AK212)+N(AK213)+N(AK214)+N(AK217)+N(AK235)+N(AK238))-N(AK144)+N(AK271))&lt;&gt;0,((N(AK212)+N(AK213)+N(AK214)+N(AK217)+N(AK235)+N(AK238))-N(AK144))/((N(AK212)+N(AK213)+N(AK214)+N(AK217)+N(AK235)+N(AK238))-N(AK144)+AK271),""),"")</f>
        <v>0.251040853612189</v>
      </c>
      <c r="AL329" s="258">
        <f>IFERROR(IF(((N(AL212)+N(AL213)+N(AL214)+N(AL217)+N(AL235)+N(AL238))-N(AL144)+N(AL271))&lt;&gt;0,((N(AL212)+N(AL213)+N(AL214)+N(AL217)+N(AL235)+N(AL238))-N(AL144))/((N(AL212)+N(AL213)+N(AL214)+N(AL217)+N(AL235)+N(AL238))-N(AL144)+AL271),""),"")</f>
        <v>0.251040853612189</v>
      </c>
      <c r="AM329" s="258">
        <f>IFERROR(IF(((N(AM212)+N(AM213)+N(AM214)+N(AM217)+N(AM235)+N(AM238))-N(AM144)+N(AM271))&lt;&gt;0,((N(AM212)+N(AM213)+N(AM214)+N(AM217)+N(AM235)+N(AM238))-N(AM144))/((N(AM212)+N(AM213)+N(AM214)+N(AM217)+N(AM235)+N(AM238))-N(AM144)+AM271),""),"")</f>
        <v>0.224001152326689</v>
      </c>
      <c r="AN329" s="258">
        <f>IFERROR(IF(((N(AN212)+N(AN213)+N(AN214)+N(AN217)+N(AN235)+N(AN238))-N(AN144)+N(AN271))&lt;&gt;0,((N(AN212)+N(AN213)+N(AN214)+N(AN217)+N(AN235)+N(AN238))-N(AN144))/((N(AN212)+N(AN213)+N(AN214)+N(AN217)+N(AN235)+N(AN238))-N(AN144)+AN271),""),"")</f>
        <v>0.198080329950066</v>
      </c>
      <c r="AO329" s="258">
        <f>IFERROR(IF(((N(AO212)+N(AO213)+N(AO214)+N(AO217)+N(AO235)+N(AO238))-N(AO144)+N(AO271))&lt;&gt;0,((N(AO212)+N(AO213)+N(AO214)+N(AO217)+N(AO235)+N(AO238))-N(AO144))/((N(AO212)+N(AO213)+N(AO214)+N(AO217)+N(AO235)+N(AO238))-N(AO144)+AO271),""),"")</f>
        <v>0.163019033605016</v>
      </c>
      <c r="AP329" s="258">
        <f>IFERROR(IF(((N(AP212)+N(AP213)+N(AP214)+N(AP217)+N(AP235)+N(AP238))-N(AP144)+N(AP271))&lt;&gt;0,((N(AP212)+N(AP213)+N(AP214)+N(AP217)+N(AP235)+N(AP238))-N(AP144))/((N(AP212)+N(AP213)+N(AP214)+N(AP217)+N(AP235)+N(AP238))-N(AP144)+AP271),""),"")</f>
        <v>0.133809647184515</v>
      </c>
      <c r="AQ329" s="258">
        <f>IFERROR(IF(((N(AQ212)+N(AQ213)+N(AQ214)+N(AQ217)+N(AQ235)+N(AQ238))-N(AQ144)+N(AQ271))&lt;&gt;0,((N(AQ212)+N(AQ213)+N(AQ214)+N(AQ217)+N(AQ235)+N(AQ238))-N(AQ144))/((N(AQ212)+N(AQ213)+N(AQ214)+N(AQ217)+N(AQ235)+N(AQ238))-N(AQ144)+AQ271),""),"")</f>
        <v>0.133809647184515</v>
      </c>
      <c r="AR329" s="258">
        <f>IFERROR(IF(((N(AR212)+N(AR213)+N(AR214)+N(AR217)+N(AR235)+N(AR238))-N(AR144)+N(AR271))&lt;&gt;0,((N(AR212)+N(AR213)+N(AR214)+N(AR217)+N(AR235)+N(AR238))-N(AR144))/((N(AR212)+N(AR213)+N(AR214)+N(AR217)+N(AR235)+N(AR238))-N(AR144)+AR271),""),"")</f>
        <v>0.105777722060293</v>
      </c>
      <c r="AS329" s="258">
        <f>IFERROR(IF(((N(AS212)+N(AS213)+N(AS214)+N(AS217)+N(AS235)+N(AS238))-N(AS144)+N(AS271))&lt;&gt;0,((N(AS212)+N(AS213)+N(AS214)+N(AS217)+N(AS235)+N(AS238))-N(AS144))/((N(AS212)+N(AS213)+N(AS214)+N(AS217)+N(AS235)+N(AS238))-N(AS144)+AS271),""),"")</f>
        <v>0.0768475757394031</v>
      </c>
      <c r="AT329" s="258">
        <f>IFERROR(IF(((N(AT212)+N(AT213)+N(AT214)+N(AT217)+N(AT235)+N(AT238))-N(AT144)+N(AT271))&lt;&gt;0,((N(AT212)+N(AT213)+N(AT214)+N(AT217)+N(AT235)+N(AT238))-N(AT144))/((N(AT212)+N(AT213)+N(AT214)+N(AT217)+N(AT235)+N(AT238))-N(AT144)+AT271),""),"")</f>
        <v>0.037889067687152</v>
      </c>
      <c r="AU329" s="258">
        <f>IFERROR(IF(((N(AU212)+N(AU213)+N(AU214)+N(AU217)+N(AU235)+N(AU238))-N(AU144)+N(AU271))&lt;&gt;0,((N(AU212)+N(AU213)+N(AU214)+N(AU217)+N(AU235)+N(AU238))-N(AU144))/((N(AU212)+N(AU213)+N(AU214)+N(AU217)+N(AU235)+N(AU238))-N(AU144)+AU271),""),"")</f>
        <v>0.0062387994961514</v>
      </c>
      <c r="AV329" s="258">
        <f>IFERROR(IF(((N(AV212)+N(AV213)+N(AV214)+N(AV217)+N(AV235)+N(AV238))-N(AV144)+N(AV271))&lt;&gt;0,((N(AV212)+N(AV213)+N(AV214)+N(AV217)+N(AV235)+N(AV238))-N(AV144))/((N(AV212)+N(AV213)+N(AV214)+N(AV217)+N(AV235)+N(AV238))-N(AV144)+AV271),""),"")</f>
        <v>0.0062387994961514</v>
      </c>
      <c r="AW329" s="258">
        <f>IFERROR(IF(((N(AW212)+N(AW213)+N(AW214)+N(AW217)+N(AW235)+N(AW238))-N(AW144)+N(AW271))&lt;&gt;0,((N(AW212)+N(AW213)+N(AW214)+N(AW217)+N(AW235)+N(AW238))-N(AW144))/((N(AW212)+N(AW213)+N(AW214)+N(AW217)+N(AW235)+N(AW238))-N(AW144)+AW271),""),"")</f>
        <v>-0.0245767169944949</v>
      </c>
      <c r="AX329" s="258">
        <f>IFERROR(IF(((N(AX212)+N(AX213)+N(AX214)+N(AX217)+N(AX235)+N(AX238))-N(AX144)+N(AX271))&lt;&gt;0,((N(AX212)+N(AX213)+N(AX214)+N(AX217)+N(AX235)+N(AX238))-N(AX144))/((N(AX212)+N(AX213)+N(AX214)+N(AX217)+N(AX235)+N(AX238))-N(AX144)+AX271),""),"")</f>
        <v>-0.054606234213687</v>
      </c>
      <c r="AY329" s="258">
        <f>IFERROR(IF(((N(AY212)+N(AY213)+N(AY214)+N(AY217)+N(AY235)+N(AY238))-N(AY144)+N(AY271))&lt;&gt;0,((N(AY212)+N(AY213)+N(AY214)+N(AY217)+N(AY235)+N(AY238))-N(AY144))/((N(AY212)+N(AY213)+N(AY214)+N(AY217)+N(AY235)+N(AY238))-N(AY144)+AY271),""),"")</f>
        <v>-0.0977553512840108</v>
      </c>
      <c r="AZ329" s="258">
        <f>IFERROR(IF(((N(AZ212)+N(AZ213)+N(AZ214)+N(AZ217)+N(AZ235)+N(AZ238))-N(AZ144)+N(AZ271))&lt;&gt;0,((N(AZ212)+N(AZ213)+N(AZ214)+N(AZ217)+N(AZ235)+N(AZ238))-N(AZ144))/((N(AZ212)+N(AZ213)+N(AZ214)+N(AZ217)+N(AZ235)+N(AZ238))-N(AZ144)+AZ271),""),"")</f>
        <v>-0.131889285436974</v>
      </c>
      <c r="BA329" s="258">
        <f>IFERROR(IF(((N(BA212)+N(BA213)+N(BA214)+N(BA217)+N(BA235)+N(BA238))-N(BA144)+N(BA271))&lt;&gt;0,((N(BA212)+N(BA213)+N(BA214)+N(BA217)+N(BA235)+N(BA238))-N(BA144))/((N(BA212)+N(BA213)+N(BA214)+N(BA217)+N(BA235)+N(BA238))-N(BA144)+BA271),""),"")</f>
        <v>-0.131889285436974</v>
      </c>
      <c r="BB329" s="258">
        <f>IFERROR(IF(((N(BB212)+N(BB213)+N(BB214)+N(BB217)+N(BB235)+N(BB238))-N(BB144)+N(BB271))&lt;&gt;0,((N(BB212)+N(BB213)+N(BB214)+N(BB217)+N(BB235)+N(BB238))-N(BB144))/((N(BB212)+N(BB213)+N(BB214)+N(BB217)+N(BB235)+N(BB238))-N(BB144)+BB271),""),"")</f>
        <v>-0.164331973708893</v>
      </c>
      <c r="BC329" s="258">
        <f>IFERROR(IF(((N(BC212)+N(BC213)+N(BC214)+N(BC217)+N(BC235)+N(BC238))-N(BC144)+N(BC271))&lt;&gt;0,((N(BC212)+N(BC213)+N(BC214)+N(BC217)+N(BC235)+N(BC238))-N(BC144))/((N(BC212)+N(BC213)+N(BC214)+N(BC217)+N(BC235)+N(BC238))-N(BC144)+BC271),""),"")</f>
        <v>-0.19640663207175</v>
      </c>
      <c r="BD329" s="258">
        <f>IFERROR(IF(((N(BD212)+N(BD213)+N(BD214)+N(BD217)+N(BD235)+N(BD238))-N(BD144)+N(BD271))&lt;&gt;0,((N(BD212)+N(BD213)+N(BD214)+N(BD217)+N(BD235)+N(BD238))-N(BD144))/((N(BD212)+N(BD213)+N(BD214)+N(BD217)+N(BD235)+N(BD238))-N(BD144)+BD271),""),"")</f>
        <v>-0.244033759237288</v>
      </c>
      <c r="BE329" s="258">
        <f>IFERROR(IF(((N(BE212)+N(BE213)+N(BE214)+N(BE217)+N(BE235)+N(BE238))-N(BE144)+N(BE271))&lt;&gt;0,((N(BE212)+N(BE213)+N(BE214)+N(BE217)+N(BE235)+N(BE238))-N(BE144))/((N(BE212)+N(BE213)+N(BE214)+N(BE217)+N(BE235)+N(BE238))-N(BE144)+BE271),""),"")</f>
        <v>-0.280669744071119</v>
      </c>
      <c r="BF329" s="258">
        <f>IFERROR(IF(((N(BF212)+N(BF213)+N(BF214)+N(BF217)+N(BF235)+N(BF238))-N(BF144)+N(BF271))&lt;&gt;0,((N(BF212)+N(BF213)+N(BF214)+N(BF217)+N(BF235)+N(BF238))-N(BF144))/((N(BF212)+N(BF213)+N(BF214)+N(BF217)+N(BF235)+N(BF238))-N(BF144)+BF271),""),"")</f>
        <v>-0.280669744071119</v>
      </c>
    </row>
    <row r="330" customFormat="1" s="77">
      <c r="A330" s="76" t="n"/>
      <c r="B330" s="76" t="n"/>
    </row>
    <row r="331" customFormat="1" s="77">
      <c r="A331" s="76" t="n"/>
      <c r="B331" s="76" t="n"/>
      <c r="C331" s="74" t="inlineStr">
        <is>
          <t>FINANCIAL RISK RATIOS</t>
        </is>
      </c>
    </row>
    <row r="332" customFormat="1" s="77">
      <c r="A332" s="76" t="n"/>
      <c r="B332" s="76" t="n"/>
      <c r="C332" s="77" t="inlineStr">
        <is>
          <t>EBITDA / TOTAL INTEREST (LTM)</t>
        </is>
      </c>
      <c r="D332" s="82" t="str">
        <f>IFERROR(D69/-D74,"")</f>
        <v/>
      </c>
      <c r="E332" s="82" t="str">
        <f>IFERROR(E69/-E74,"")</f>
        <v/>
      </c>
      <c r="F332" s="82" t="str">
        <f>IFERROR(F69/-F74,"")</f>
        <v/>
      </c>
      <c r="G332" s="82" t="str">
        <f>IFERROR(G69/-G74,"")</f>
        <v/>
      </c>
      <c r="H332" s="262" t="str">
        <f>IFERROR(IF(AND(COUNT(H69)=1,(H74)&lt;&gt;0),(H69)/-(H74),""),"")</f>
        <v/>
      </c>
      <c r="I332" s="262" t="str">
        <f>""</f>
        <v/>
      </c>
      <c r="J332" s="262" t="str">
        <f>""</f>
        <v/>
      </c>
      <c r="K332" s="262" t="str">
        <f>""</f>
        <v/>
      </c>
      <c r="L332" s="262">
        <f>IFERROR(IF(AND(COUNT(I69,J69,K69,L69)=4,(I74+J74+K74+L74)&lt;&gt;0),(I69+J69+K69+L69)/-(I74+J74+K74+L74),""),"")</f>
        <v>16.3090361445783</v>
      </c>
      <c r="M332" s="262">
        <f>IFERROR(IF(AND(COUNT(I69,J69,K69,L69)=4,(I74+J74+K74+L74)&lt;&gt;0),(I69+J69+K69+L69)/-(I74+J74+K74+L74),""),"")</f>
        <v>16.3090361445783</v>
      </c>
      <c r="N332" s="262">
        <f>IFERROR(IF(AND(COUNT(J69,K69,L69,N69)=4,(J74+K74+L74+N74)&lt;&gt;0),(J69+K69+L69+N69)/-(J74+K74+L74+N74),""),"")</f>
        <v>16.1049528301887</v>
      </c>
      <c r="O332" s="262">
        <f>IFERROR(IF(AND(COUNT(K69,L69,N69,O69)=4,(K74+L74+N74+O74)&lt;&gt;0),(K69+L69+N69+O69)/-(K74+L74+N74+O74),""),"")</f>
        <v>16.2532800912721</v>
      </c>
      <c r="P332" s="262">
        <f>IFERROR(IF(AND(COUNT(L69,N69,O69,P69)=4,(L74+N74+O74+P74)&lt;&gt;0),(L69+N69+O69+P69)/-(L74+N74+O74+P74),""),"")</f>
        <v>16.3909041689226</v>
      </c>
      <c r="Q332" s="262">
        <f>IFERROR(IF(AND(COUNT(N69,O69,P69,Q69)=4,(N74+O74+P74+Q74)&lt;&gt;0),(N69+O69+P69+Q69)/-(N74+O74+P74+Q74),""),"")</f>
        <v>15.2174952198853</v>
      </c>
      <c r="R332" s="262">
        <f>IFERROR(IF(AND(COUNT(N69,O69,P69,Q69)=4,(N74+O74+P74+Q74)&lt;&gt;0),(N69+O69+P69+Q69)/-(N74+O74+P74+Q74),""),"")</f>
        <v>15.2174952198853</v>
      </c>
      <c r="S332" s="262">
        <f>IFERROR(IF(AND(COUNT(O69,P69,Q69,S69)=4,(O74+P74+Q74+S74)&lt;&gt;0),(O69+P69+Q69+S69)/-(O74+P74+Q74+S74),""),"")</f>
        <v>13.739328636552</v>
      </c>
      <c r="T332" s="262">
        <f>IFERROR(IF(AND(COUNT(P69,Q69,S69,T69)=4,(P74+Q74+S74+T74)&lt;&gt;0),(P69+Q69+S69+T69)/-(P74+Q74+S74+T74),""),"")</f>
        <v>12.3637346791637</v>
      </c>
      <c r="U332" s="262">
        <f>IFERROR(IF(AND(COUNT(Q69,S69,T69,U69)=4,(Q74+S74+T74+U74)&lt;&gt;0),(Q69+S69+T69+U69)/-(Q74+S74+T74+U74),""),"")</f>
        <v>11.4941785252264</v>
      </c>
      <c r="V332" s="262">
        <f>IFERROR(IF(AND(COUNT(S69,T69,U69,V69)=4,(S74+T74+U74+V74)&lt;&gt;0),(S69+T69+U69+V69)/-(S74+T74+U74+V74),""),"")</f>
        <v>11.1922365988909</v>
      </c>
      <c r="W332" s="262">
        <f>IFERROR(IF(AND(COUNT(S69,T69,U69,V69)=4,(S74+T74+U74+V74)&lt;&gt;0),(S69+T69+U69+V69)/-(S74+T74+U74+V74),""),"")</f>
        <v>11.1922365988909</v>
      </c>
      <c r="X332" s="262">
        <f>IFERROR(IF(AND(COUNT(T69,U69,V69,X69)=4,(T74+U74+V74+X74)&lt;&gt;0),(T69+U69+V69+X69)/-(T74+U74+V74+X74),""),"")</f>
        <v>10.8519184652278</v>
      </c>
      <c r="Y332" s="262">
        <f>IFERROR(IF(AND(COUNT(U69,V69,X69,Y69)=4,(U74+V74+X74+Y74)&lt;&gt;0),(U69+V69+X69+Y69)/-(U74+V74+X74+Y74),""),"")</f>
        <v>10.3117663899227</v>
      </c>
      <c r="Z332" s="262">
        <f>IFERROR(IF(AND(COUNT(V69,X69,Y69,Z69)=4,(V74+X74+Y74+Z74)&lt;&gt;0),(V69+X69+Y69+Z69)/-(V74+X74+Y74+Z74),""),"")</f>
        <v>9.70667023841414</v>
      </c>
      <c r="AA332" s="262">
        <f>IFERROR(IF(AND(COUNT(X69,Y69,Z69,AA69)=4,(X74+Y74+Z74+AA74)&lt;&gt;0),(X69+Y69+Z69+AA69)/-(X74+Y74+Z74+AA74),""),"")</f>
        <v>9.31541218637993</v>
      </c>
      <c r="AB332" s="262">
        <f>IFERROR(IF(AND(COUNT(X69,Y69,Z69,AA69)=4,(X74+Y74+Z74+AA74)&lt;&gt;0),(X69+Y69+Z69+AA69)/-(X74+Y74+Z74+AA74),""),"")</f>
        <v>9.31541218637993</v>
      </c>
      <c r="AC332" s="262">
        <f>IFERROR(IF(AND(COUNT(Y69,Z69,AA69,AC69)=4,(Y74+Z74+AA74+AC74)&lt;&gt;0),(Y69+Z69+AA69+AC69)/-(Y74+Z74+AA74+AC74),""),"")</f>
        <v>9.2704433497537</v>
      </c>
      <c r="AD332" s="262">
        <f>IFERROR(IF(AND(COUNT(Z69,AA69,AC69,AD69)=4,(Z74+AA74+AC74+AD74)&lt;&gt;0),(Z69+AA69+AC69+AD69)/-(Z74+AA74+AC74+AD74),""),"")</f>
        <v>8.52681618722574</v>
      </c>
      <c r="AE332" s="262">
        <f>IFERROR(IF(AND(COUNT(AA69,AC69,AD69,AE69)=4,(AA74+AC74+AD74+AE74)&lt;&gt;0),(AA69+AC69+AD69+AE69)/-(AA74+AC74+AD74+AE74),""),"")</f>
        <v>7.60158769536095</v>
      </c>
      <c r="AF332" s="262">
        <f>IFERROR(IF(AND(COUNT(AB69,AD69,AE69,AF69)=4,(AB74+AD74+AE74+AF74)&lt;&gt;0),(AB69+AD69+AE69+AF69)/-(AB74+AD74+AE74+AF74),""),"")</f>
        <v>7.16801736613604</v>
      </c>
      <c r="AG332" s="262">
        <f>IFERROR(IF(AND(COUNT(AC69,AD69,AE69,AF69)=4,(AC74+AD74+AE74+AF74)&lt;&gt;0),(AC69+AD69+AE69+AF69)/-(AC74+AD74+AE74+AF74),""),"")</f>
        <v>5.82833583208396</v>
      </c>
      <c r="AH332" s="262">
        <f>IFERROR(IF(AND(COUNT(AD69,AF69,AG69,AH69)=4,(AD74+AF74+AG74+AH74)&lt;&gt;0),(AD69+AF69+AG69+AH69)/-(AD74+AF74+AG74+AH74),""),"")</f>
        <v>5.90327680367922</v>
      </c>
      <c r="AI332" s="262">
        <f>IFERROR(IF(AND(COUNT(AE69,AG69,AH69,AI69)=4,(AE74+AG74+AH74+AI74)&lt;&gt;0),(AE69+AG69+AH69+AI69)/-(AE74+AG74+AH74+AI74),""),"")</f>
        <v>6.90392950014447</v>
      </c>
      <c r="AJ332" s="262" t="str">
        <f>IFERROR(IF(AND(COUNT(AF69,AH69,AI69,AJ69)=4,(AF74+AH74+AI74+AJ74)&lt;&gt;0),(AF69+AH69+AI69+AJ69)/-(AF74+AH74+AI74+AJ74),""),"")</f>
        <v/>
      </c>
      <c r="AK332" s="262" t="str">
        <f>IFERROR(IF(AND(COUNT(AH69,AI69,AJ69,AK69)=4,(AH74+AI74+AJ74+AK74)&lt;&gt;0),(AH69+AI69+AJ69+AK69)/-(AH74+AI74+AJ74+AK74),""),"")</f>
        <v/>
      </c>
      <c r="AL332" s="262" t="str">
        <f>IFERROR(IF(AND(COUNT(AH69,AI69,AJ69,AK69)=4,(AH74+AI74+AJ74+AK74)&lt;&gt;0),(AH69+AI69+AJ69+AK69)/-(AH74+AI74+AJ74+AK74),""),"")</f>
        <v/>
      </c>
      <c r="AM332" s="262" t="str">
        <f>IFERROR(IF(AND(COUNT(AI69,AJ69,AK69,AM69)=4,(AI74+AJ74+AK74+AM74)&lt;&gt;0),(AI69+AJ69+AK69+AM69)/-(AI74+AJ74+AK74+AM74),""),"")</f>
        <v/>
      </c>
      <c r="AN332" s="262" t="str">
        <f>IFERROR(IF(AND(COUNT(AJ69,AK69,AM69,AN69)=4,(AJ74+AK74+AM74+AN74)&lt;&gt;0),(AJ69+AK69+AM69+AN69)/-(AJ74+AK74+AM74+AN74),""),"")</f>
        <v/>
      </c>
      <c r="AO332" s="262" t="str">
        <f>IFERROR(IF(AND(COUNT(AK69,AM69,AN69,AO69)=4,(AK74+AM74+AN74+AO74)&lt;&gt;0),(AK69+AM69+AN69+AO69)/-(AK74+AM74+AN74+AO74),""),"")</f>
        <v/>
      </c>
      <c r="AP332" s="262" t="str">
        <f>IFERROR(IF(AND(COUNT(AM69,AN69,AO69,AP69)=4,(AM74+AN74+AO74+AP74)&lt;&gt;0),(AM69+AN69+AO69+AP69)/-(AM74+AN74+AO74+AP74),""),"")</f>
        <v/>
      </c>
      <c r="AQ332" s="262" t="str">
        <f>IFERROR(IF(AND(COUNT(AM69,AN69,AO69,AP69)=4,(AM74+AN74+AO74+AP74)&lt;&gt;0),(AM69+AN69+AO69+AP69)/-(AM74+AN74+AO74+AP74),""),"")</f>
        <v/>
      </c>
      <c r="AR332" s="262" t="str">
        <f>IFERROR(IF(AND(COUNT(AN69,AO69,AP69,AR69)=4,(AN74+AO74+AP74+AR74)&lt;&gt;0),(AN69+AO69+AP69+AR69)/-(AN74+AO74+AP74+AR74),""),"")</f>
        <v/>
      </c>
      <c r="AS332" s="262" t="str">
        <f>IFERROR(IF(AND(COUNT(AO69,AP69,AR69,AS69)=4,(AO74+AP74+AR74+AS74)&lt;&gt;0),(AO69+AP69+AR69+AS69)/-(AO74+AP74+AR74+AS74),""),"")</f>
        <v/>
      </c>
      <c r="AT332" s="262" t="str">
        <f>IFERROR(IF(AND(COUNT(AP69,AR69,AS69,AT69)=4,(AP74+AR74+AS74+AT74)&lt;&gt;0),(AP69+AR69+AS69+AT69)/-(AP74+AR74+AS74+AT74),""),"")</f>
        <v/>
      </c>
      <c r="AU332" s="262" t="str">
        <f>IFERROR(IF(AND(COUNT(AR69,AS69,AT69,AU69)=4,(AR74+AS74+AT74+AU74)&lt;&gt;0),(AR69+AS69+AT69+AU69)/-(AR74+AS74+AT74+AU74),""),"")</f>
        <v/>
      </c>
      <c r="AV332" s="262" t="str">
        <f>IFERROR(IF(AND(COUNT(AR69,AS69,AT69,AU69)=4,(AR74+AS74+AT74+AU74)&lt;&gt;0),(AR69+AS69+AT69+AU69)/-(AR74+AS74+AT74+AU74),""),"")</f>
        <v/>
      </c>
      <c r="AW332" s="262" t="str">
        <f>IFERROR(IF(AND(COUNT(AS69,AT69,AU69,AW69)=4,(AS74+AT74+AU74+AW74)&lt;&gt;0),(AS69+AT69+AU69+AW69)/-(AS74+AT74+AU74+AW74),""),"")</f>
        <v/>
      </c>
      <c r="AX332" s="262" t="str">
        <f>IFERROR(IF(AND(COUNT(AT69,AU69,AW69,AX69)=4,(AT74+AU74+AW74+AX74)&lt;&gt;0),(AT69+AU69+AW69+AX69)/-(AT74+AU74+AW74+AX74),""),"")</f>
        <v/>
      </c>
      <c r="AY332" s="262" t="str">
        <f>IFERROR(IF(AND(COUNT(AU69,AW69,AX69,AY69)=4,(AU74+AW74+AX74+AY74)&lt;&gt;0),(AU69+AW69+AX69+AY69)/-(AU74+AW74+AX74+AY74),""),"")</f>
        <v/>
      </c>
      <c r="AZ332" s="262" t="str">
        <f>IFERROR(IF(AND(COUNT(AW69,AX69,AY69,AZ69)=4,(AW74+AX74+AY74+AZ74)&lt;&gt;0),(AW69+AX69+AY69+AZ69)/-(AW74+AX74+AY74+AZ74),""),"")</f>
        <v/>
      </c>
      <c r="BA332" s="262" t="str">
        <f>IFERROR(IF(AND(COUNT(AW69,AX69,AY69,AZ69)=4,(AW74+AX74+AY74+AZ74)&lt;&gt;0),(AW69+AX69+AY69+AZ69)/-(AW74+AX74+AY74+AZ74),""),"")</f>
        <v/>
      </c>
      <c r="BB332" s="262" t="str">
        <f>IFERROR(IF(AND(COUNT(AX69,AY69,AZ69,BB69)=4,(AX74+AY74+AZ74+BB74)&lt;&gt;0),(AX69+AY69+AZ69+BB69)/-(AX74+AY74+AZ74+BB74),""),"")</f>
        <v/>
      </c>
      <c r="BC332" s="262" t="str">
        <f>IFERROR(IF(AND(COUNT(AY69,AZ69,BB69,BC69)=4,(AY74+AZ74+BB74+BC74)&lt;&gt;0),(AY69+AZ69+BB69+BC69)/-(AY74+AZ74+BB74+BC74),""),"")</f>
        <v/>
      </c>
      <c r="BD332" s="262" t="str">
        <f>IFERROR(IF(AND(COUNT(AZ69,BB69,BC69,BD69)=4,(AZ74+BB74+BC74+BD74)&lt;&gt;0),(AZ69+BB69+BC69+BD69)/-(AZ74+BB74+BC74+BD74),""),"")</f>
        <v/>
      </c>
      <c r="BE332" s="262" t="str">
        <f>IFERROR(IF(AND(COUNT(BB69,BC69,BD69,BE69)=4,(BB74+BC74+BD74+BE74)&lt;&gt;0),(BB69+BC69+BD69+BE69)/-(BB74+BC74+BD74+BE74),""),"")</f>
        <v/>
      </c>
      <c r="BF332" s="262" t="str">
        <f>IFERROR(IF(AND(COUNT(BB69,BC69,BD69,BE69)=4,(BB74+BC74+BD74+BE74)&lt;&gt;0),(BB69+BC69+BD69+BE69)/-(BB74+BC74+BD74+BE74),""),"")</f>
        <v/>
      </c>
      <c r="BG332" s="82" t="n"/>
      <c r="BH332" s="82" t="n"/>
      <c r="BI332" s="82" t="n"/>
      <c r="BJ332" s="82" t="n"/>
      <c r="BL332" s="82" t="n"/>
      <c r="BM332" s="82" t="n"/>
      <c r="BN332" s="82" t="n"/>
      <c r="BO332" s="82" t="n"/>
      <c r="BQ332" s="82" t="n"/>
      <c r="BR332" s="82" t="n"/>
      <c r="BS332" s="82" t="n"/>
      <c r="BT332" s="82" t="n"/>
      <c r="BV332" s="82" t="n"/>
      <c r="BW332" s="82" t="n"/>
      <c r="BX332" s="82" t="n"/>
      <c r="BY332" s="82" t="n"/>
      <c r="CA332" s="82" t="n"/>
      <c r="CB332" s="82" t="n"/>
      <c r="CC332" s="82" t="n"/>
      <c r="CD332" s="82" t="n"/>
      <c r="CF332" s="82" t="n"/>
      <c r="CG332" s="82" t="n"/>
      <c r="CH332" s="82" t="n"/>
      <c r="CI332" s="82" t="n"/>
      <c r="CK332" s="82" t="n"/>
      <c r="CL332" s="82" t="n"/>
      <c r="CM332" s="82" t="n"/>
      <c r="CN332" s="82" t="n"/>
      <c r="CP332" s="82" t="n"/>
      <c r="CQ332" s="82" t="n"/>
      <c r="CR332" s="82" t="n"/>
      <c r="CS332" s="82" t="n"/>
      <c r="CU332" s="82" t="n"/>
      <c r="CV332" s="82" t="n"/>
      <c r="CW332" s="82" t="n"/>
      <c r="CX332" s="82" t="n"/>
    </row>
    <row r="333" customFormat="1" s="77">
      <c r="A333" s="76" t="n"/>
      <c r="B333" s="76" t="n"/>
      <c r="C333" s="77" t="inlineStr">
        <is>
          <t>(EBITDA - CAPEX) / TOTAL INTEREST (LTM)</t>
        </is>
      </c>
      <c r="D333" s="82" t="str">
        <f>IFERROR((D69-D168)/-D74,"")</f>
        <v/>
      </c>
      <c r="E333" s="82" t="str">
        <f>IFERROR((E69-E168)/-E74,"")</f>
        <v/>
      </c>
      <c r="F333" s="82" t="str">
        <f>IFERROR((F69-F168)/-F74,"")</f>
        <v/>
      </c>
      <c r="G333" s="82" t="str">
        <f>IFERROR((G69-G168)/-G74,"")</f>
        <v/>
      </c>
      <c r="H333" s="262" t="str">
        <f>IFERROR(IF(AND(COUNT(H69)=1,(H74)&lt;&gt;0),((H69)-(H168))/-(H74),""),"")</f>
        <v/>
      </c>
      <c r="I333" s="262" t="str">
        <f>""</f>
        <v/>
      </c>
      <c r="J333" s="262" t="str">
        <f>""</f>
        <v/>
      </c>
      <c r="K333" s="262" t="str">
        <f>""</f>
        <v/>
      </c>
      <c r="L333" s="262">
        <f>IFERROR(IF(AND(COUNT(I69,J69,K69,L69)=4,(I74+J74+K74+L74)&lt;&gt;0),((I69+J69+K69+L69)-(I168+J168+K168+L168))/-(I74+J74+K74+L74),""),"")</f>
        <v>14.6114457831325</v>
      </c>
      <c r="M333" s="262">
        <f>IFERROR(IF(AND(COUNT(I69,J69,K69,L69)=4,(I74+J74+K74+L74)&lt;&gt;0),((I69+J69+K69+L69)-(I168+J168+K168+L168))/-(I74+J74+K74+L74),""),"")</f>
        <v>14.6114457831325</v>
      </c>
      <c r="N333" s="262">
        <f>IFERROR(IF(AND(COUNT(J69,K69,L69,N69)=4,(J74+K74+L74+N74)&lt;&gt;0),((J69+K69+L69+N69)-(J168+K168+L168+N168))/-(J74+K74+L74+N74),""),"")</f>
        <v>13.8525943396226</v>
      </c>
      <c r="O333" s="262">
        <f>IFERROR(IF(AND(COUNT(K69,L69,N69,O69)=4,(K74+L74+N74+O74)&lt;&gt;0),((K69+L69+N69+O69)-(K168+L168+N168+O168))/-(K74+L74+N74+O74),""),"")</f>
        <v>14.061038220194</v>
      </c>
      <c r="P333" s="262">
        <f>IFERROR(IF(AND(COUNT(L69,N69,O69,P69)=4,(L74+N74+O74+P74)&lt;&gt;0),((L69+N69+O69+P69)-(L168+N168+O168+P168))/-(L74+N74+O74+P74),""),"")</f>
        <v>14.2642122360585</v>
      </c>
      <c r="Q333" s="262">
        <f>IFERROR(IF(AND(COUNT(N69,O69,P69,Q69)=4,(N74+O74+P74+Q74)&lt;&gt;0),((N69+O69+P69+Q69)-(N168+O168+P168+Q168))/-(N74+O74+P74+Q74),""),"")</f>
        <v>13.038240917782</v>
      </c>
      <c r="R333" s="262">
        <f>IFERROR(IF(AND(COUNT(N69,O69,P69,Q69)=4,(N74+O74+P74+Q74)&lt;&gt;0),((N69+O69+P69+Q69)-(N168+O168+P168+Q168))/-(N74+O74+P74+Q74),""),"")</f>
        <v>13.038240917782</v>
      </c>
      <c r="S333" s="262">
        <f>IFERROR(IF(AND(COUNT(O69,P69,Q69,S69)=4,(O74+P74+Q74+S74)&lt;&gt;0),((O69+P69+Q69+S69)-(O168+P168+Q168+S168))/-(O74+P74+Q74+S74),""),"")</f>
        <v>11.6523000414422</v>
      </c>
      <c r="T333" s="262">
        <f>IFERROR(IF(AND(COUNT(P69,Q69,S69,T69)=4,(P74+Q74+S74+T74)&lt;&gt;0),((P69+Q69+S69+T69)-(P168+Q168+S168+T168))/-(P74+Q74+S74+T74),""),"")</f>
        <v>10.4509733237203</v>
      </c>
      <c r="U333" s="262">
        <f>IFERROR(IF(AND(COUNT(Q69,S69,T69,U69)=4,(Q74+S74+T74+U74)&lt;&gt;0),((Q69+S69+T69+U69)-(Q168+S168+T168+U168))/-(Q74+S74+T74+U74),""),"")</f>
        <v>9.6891979301423</v>
      </c>
      <c r="V333" s="262">
        <f>IFERROR(IF(AND(COUNT(S69,T69,U69,V69)=4,(S74+T74+U74+V74)&lt;&gt;0),((S69+T69+U69+V69)-(S168+T168+U168+V168))/-(S74+T74+U74+V74),""),"")</f>
        <v>9.56130622304375</v>
      </c>
      <c r="W333" s="262">
        <f>IFERROR(IF(AND(COUNT(S69,T69,U69,V69)=4,(S74+T74+U74+V74)&lt;&gt;0),((S69+T69+U69+V69)-(S168+T168+U168+V168))/-(S74+T74+U74+V74),""),"")</f>
        <v>9.56130622304375</v>
      </c>
      <c r="X333" s="262">
        <f>IFERROR(IF(AND(COUNT(T69,U69,V69,X69)=4,(T74+U74+V74+X74)&lt;&gt;0),((T69+U69+V69+X69)-(T168+U168+V168+X168))/-(T74+U74+V74+X74),""),"")</f>
        <v>9.71552757793765</v>
      </c>
      <c r="Y333" s="262">
        <f>IFERROR(IF(AND(COUNT(U69,V69,X69,Y69)=4,(U74+V74+X74+Y74)&lt;&gt;0),((U69+V69+X69+Y69)-(U168+V168+X168+Y168))/-(U74+V74+X74+Y74),""),"")</f>
        <v>9.48926424277126</v>
      </c>
      <c r="Z333" s="262">
        <f>IFERROR(IF(AND(COUNT(V69,X69,Y69,Z69)=4,(V74+X74+Y74+Z74)&lt;&gt;0),((V69+X69+Y69+Z69)-(V168+X168+Y168+Z168))/-(V74+X74+Y74+Z74),""),"")</f>
        <v>8.87597106884543</v>
      </c>
      <c r="AA333" s="262">
        <f>IFERROR(IF(AND(COUNT(X69,Y69,Z69,AA69)=4,(X74+Y74+Z74+AA74)&lt;&gt;0),((X69+Y69+Z69+AA69)-(X168+Y168+Z168+AA168))/-(X74+Y74+Z74+AA74),""),"")</f>
        <v>8.49564772145417</v>
      </c>
      <c r="AB333" s="262">
        <f>IFERROR(IF(AND(COUNT(X69,Y69,Z69,AA69)=4,(X74+Y74+Z74+AA74)&lt;&gt;0),((X69+Y69+Z69+AA69)-(X168+Y168+Z168+AA168))/-(X74+Y74+Z74+AA74),""),"")</f>
        <v>8.49564772145417</v>
      </c>
      <c r="AC333" s="262">
        <f>IFERROR(IF(AND(COUNT(Y69,Z69,AA69,AC69)=4,(Y74+Z74+AA74+AC74)&lt;&gt;0),((Y69+Z69+AA69+AC69)-(Y168+Z168+AA168+AC168))/-(Y74+Z74+AA74+AC74),""),"")</f>
        <v>8.16995073891626</v>
      </c>
      <c r="AD333" s="262">
        <f>IFERROR(IF(AND(COUNT(Z69,AA69,AC69,AD69)=4,(Z74+AA74+AC74+AD74)&lt;&gt;0),((Z69+AA69+AC69+AD69)-(Z168+AA168+AC168+AD168))/-(Z74+AA74+AC74+AD74),""),"")</f>
        <v>7.22281813749391</v>
      </c>
      <c r="AE333" s="262">
        <f>IFERROR(IF(AND(COUNT(AA69,AC69,AD69,AE69)=4,(AA74+AC74+AD74+AE74)&lt;&gt;0),((AA69+AC69+AD69+AE69)-(AA168+AC168+AD168+AE168))/-(AA74+AC74+AD74+AE74),""),"")</f>
        <v>6.29918134457951</v>
      </c>
      <c r="AF333" s="262">
        <f>IFERROR(IF(AND(COUNT(AB69,AD69,AE69,AF69)=4,(AB74+AD74+AE74+AF74)&lt;&gt;0),((AB69+AD69+AE69+AF69)-(AB168+AD168+AE168+AF168))/-(AB74+AD74+AE74+AF74),""),"")</f>
        <v>6.68639652677279</v>
      </c>
      <c r="AG333" s="262">
        <f>IFERROR(IF(AND(COUNT(AC69,AD69,AE69,AF69)=4,(AC74+AD74+AE74+AF74)&lt;&gt;0),((AC69+AD69+AE69+AF69)-(AC168+AD168+AE168+AF168))/-(AC74+AD74+AE74+AF74),""),"")</f>
        <v>4.6864067966017</v>
      </c>
      <c r="AH333" s="262">
        <f>IFERROR(IF(AND(COUNT(AD69,AF69,AG69,AH69)=4,(AD74+AF74+AG74+AH74)&lt;&gt;0),((AD69+AF69+AG69+AH69)-(AD168+AF168+AG168+AH168))/-(AD74+AF74+AG74+AH74),""),"")</f>
        <v>4.81790744466801</v>
      </c>
      <c r="AI333" s="262">
        <f>IFERROR(IF(AND(COUNT(AE69,AG69,AH69,AI69)=4,(AE74+AG74+AH74+AI74)&lt;&gt;0),((AE69+AG69+AH69+AI69)-(AE168+AG168+AH168+AI168))/-(AE74+AG74+AH74+AI74),""),"")</f>
        <v>5.75989598381971</v>
      </c>
      <c r="AJ333" s="262" t="str">
        <f>IFERROR(IF(AND(COUNT(AF69,AH69,AI69,AJ69)=4,(AF74+AH74+AI74+AJ74)&lt;&gt;0),((AF69+AH69+AI69+AJ69)-(AF168+AH168+AI168+AJ168))/-(AF74+AH74+AI74+AJ74),""),"")</f>
        <v/>
      </c>
      <c r="AK333" s="262" t="str">
        <f>IFERROR(IF(AND(COUNT(AH69,AI69,AJ69,AK69)=4,(AH74+AI74+AJ74+AK74)&lt;&gt;0),((AH69+AI69+AJ69+AK69)-(AH168+AI168+AJ168+AK168))/-(AH74+AI74+AJ74+AK74),""),"")</f>
        <v/>
      </c>
      <c r="AL333" s="262" t="str">
        <f>IFERROR(IF(AND(COUNT(AH69,AI69,AJ69,AK69)=4,(AH74+AI74+AJ74+AK74)&lt;&gt;0),((AH69+AI69+AJ69+AK69)-(AH168+AI168+AJ168+AK168))/-(AH74+AI74+AJ74+AK74),""),"")</f>
        <v/>
      </c>
      <c r="AM333" s="262" t="str">
        <f>IFERROR(IF(AND(COUNT(AI69,AJ69,AK69,AM69)=4,(AI74+AJ74+AK74+AM74)&lt;&gt;0),((AI69+AJ69+AK69+AM69)-(AI168+AJ168+AK168+AM168))/-(AI74+AJ74+AK74+AM74),""),"")</f>
        <v/>
      </c>
      <c r="AN333" s="262" t="str">
        <f>IFERROR(IF(AND(COUNT(AJ69,AK69,AM69,AN69)=4,(AJ74+AK74+AM74+AN74)&lt;&gt;0),((AJ69+AK69+AM69+AN69)-(AJ168+AK168+AM168+AN168))/-(AJ74+AK74+AM74+AN74),""),"")</f>
        <v/>
      </c>
      <c r="AO333" s="262" t="str">
        <f>IFERROR(IF(AND(COUNT(AK69,AM69,AN69,AO69)=4,(AK74+AM74+AN74+AO74)&lt;&gt;0),((AK69+AM69+AN69+AO69)-(AK168+AM168+AN168+AO168))/-(AK74+AM74+AN74+AO74),""),"")</f>
        <v/>
      </c>
      <c r="AP333" s="262" t="str">
        <f>IFERROR(IF(AND(COUNT(AM69,AN69,AO69,AP69)=4,(AM74+AN74+AO74+AP74)&lt;&gt;0),((AM69+AN69+AO69+AP69)-(AM168+AN168+AO168+AP168))/-(AM74+AN74+AO74+AP74),""),"")</f>
        <v/>
      </c>
      <c r="AQ333" s="262" t="str">
        <f>IFERROR(IF(AND(COUNT(AM69,AN69,AO69,AP69)=4,(AM74+AN74+AO74+AP74)&lt;&gt;0),((AM69+AN69+AO69+AP69)-(AM168+AN168+AO168+AP168))/-(AM74+AN74+AO74+AP74),""),"")</f>
        <v/>
      </c>
      <c r="AR333" s="262" t="str">
        <f>IFERROR(IF(AND(COUNT(AN69,AO69,AP69,AR69)=4,(AN74+AO74+AP74+AR74)&lt;&gt;0),((AN69+AO69+AP69+AR69)-(AN168+AO168+AP168+AR168))/-(AN74+AO74+AP74+AR74),""),"")</f>
        <v/>
      </c>
      <c r="AS333" s="262" t="str">
        <f>IFERROR(IF(AND(COUNT(AO69,AP69,AR69,AS69)=4,(AO74+AP74+AR74+AS74)&lt;&gt;0),((AO69+AP69+AR69+AS69)-(AO168+AP168+AR168+AS168))/-(AO74+AP74+AR74+AS74),""),"")</f>
        <v/>
      </c>
      <c r="AT333" s="262" t="str">
        <f>IFERROR(IF(AND(COUNT(AP69,AR69,AS69,AT69)=4,(AP74+AR74+AS74+AT74)&lt;&gt;0),((AP69+AR69+AS69+AT69)-(AP168+AR168+AS168+AT168))/-(AP74+AR74+AS74+AT74),""),"")</f>
        <v/>
      </c>
      <c r="AU333" s="262" t="str">
        <f>IFERROR(IF(AND(COUNT(AR69,AS69,AT69,AU69)=4,(AR74+AS74+AT74+AU74)&lt;&gt;0),((AR69+AS69+AT69+AU69)-(AR168+AS168+AT168+AU168))/-(AR74+AS74+AT74+AU74),""),"")</f>
        <v/>
      </c>
      <c r="AV333" s="262" t="str">
        <f>IFERROR(IF(AND(COUNT(AR69,AS69,AT69,AU69)=4,(AR74+AS74+AT74+AU74)&lt;&gt;0),((AR69+AS69+AT69+AU69)-(AR168+AS168+AT168+AU168))/-(AR74+AS74+AT74+AU74),""),"")</f>
        <v/>
      </c>
      <c r="AW333" s="262" t="str">
        <f>IFERROR(IF(AND(COUNT(AS69,AT69,AU69,AW69)=4,(AS74+AT74+AU74+AW74)&lt;&gt;0),((AS69+AT69+AU69+AW69)-(AS168+AT168+AU168+AW168))/-(AS74+AT74+AU74+AW74),""),"")</f>
        <v/>
      </c>
      <c r="AX333" s="262" t="str">
        <f>IFERROR(IF(AND(COUNT(AT69,AU69,AW69,AX69)=4,(AT74+AU74+AW74+AX74)&lt;&gt;0),((AT69+AU69+AW69+AX69)-(AT168+AU168+AW168+AX168))/-(AT74+AU74+AW74+AX74),""),"")</f>
        <v/>
      </c>
      <c r="AY333" s="262" t="str">
        <f>IFERROR(IF(AND(COUNT(AU69,AW69,AX69,AY69)=4,(AU74+AW74+AX74+AY74)&lt;&gt;0),((AU69+AW69+AX69+AY69)-(AU168+AW168+AX168+AY168))/-(AU74+AW74+AX74+AY74),""),"")</f>
        <v/>
      </c>
      <c r="AZ333" s="262" t="str">
        <f>IFERROR(IF(AND(COUNT(AW69,AX69,AY69,AZ69)=4,(AW74+AX74+AY74+AZ74)&lt;&gt;0),((AW69+AX69+AY69+AZ69)-(AW168+AX168+AY168+AZ168))/-(AW74+AX74+AY74+AZ74),""),"")</f>
        <v/>
      </c>
      <c r="BA333" s="262" t="str">
        <f>IFERROR(IF(AND(COUNT(AW69,AX69,AY69,AZ69)=4,(AW74+AX74+AY74+AZ74)&lt;&gt;0),((AW69+AX69+AY69+AZ69)-(AW168+AX168+AY168+AZ168))/-(AW74+AX74+AY74+AZ74),""),"")</f>
        <v/>
      </c>
      <c r="BB333" s="262" t="str">
        <f>IFERROR(IF(AND(COUNT(AX69,AY69,AZ69,BB69)=4,(AX74+AY74+AZ74+BB74)&lt;&gt;0),((AX69+AY69+AZ69+BB69)-(AX168+AY168+AZ168+BB168))/-(AX74+AY74+AZ74+BB74),""),"")</f>
        <v/>
      </c>
      <c r="BC333" s="262" t="str">
        <f>IFERROR(IF(AND(COUNT(AY69,AZ69,BB69,BC69)=4,(AY74+AZ74+BB74+BC74)&lt;&gt;0),((AY69+AZ69+BB69+BC69)-(AY168+AZ168+BB168+BC168))/-(AY74+AZ74+BB74+BC74),""),"")</f>
        <v/>
      </c>
      <c r="BD333" s="262" t="str">
        <f>IFERROR(IF(AND(COUNT(AZ69,BB69,BC69,BD69)=4,(AZ74+BB74+BC74+BD74)&lt;&gt;0),((AZ69+BB69+BC69+BD69)-(AZ168+BB168+BC168+BD168))/-(AZ74+BB74+BC74+BD74),""),"")</f>
        <v/>
      </c>
      <c r="BE333" s="262" t="str">
        <f>IFERROR(IF(AND(COUNT(BB69,BC69,BD69,BE69)=4,(BB74+BC74+BD74+BE74)&lt;&gt;0),((BB69+BC69+BD69+BE69)-(BB168+BC168+BD168+BE168))/-(BB74+BC74+BD74+BE74),""),"")</f>
        <v/>
      </c>
      <c r="BF333" s="262" t="str">
        <f>IFERROR(IF(AND(COUNT(BB69,BC69,BD69,BE69)=4,(BB74+BC74+BD74+BE74)&lt;&gt;0),((BB69+BC69+BD69+BE69)-(BB168+BC168+BD168+BE168))/-(BB74+BC74+BD74+BE74),""),"")</f>
        <v/>
      </c>
      <c r="BG333" s="82" t="n"/>
      <c r="BH333" s="82" t="n"/>
      <c r="BI333" s="82" t="n"/>
      <c r="BJ333" s="82" t="n"/>
      <c r="BL333" s="82" t="n"/>
      <c r="BM333" s="82" t="n"/>
      <c r="BN333" s="82" t="n"/>
      <c r="BO333" s="82" t="n"/>
      <c r="BQ333" s="82" t="n"/>
      <c r="BR333" s="82" t="n"/>
      <c r="BS333" s="82" t="n"/>
      <c r="BT333" s="82" t="n"/>
      <c r="BV333" s="82" t="n"/>
      <c r="BW333" s="82" t="n"/>
      <c r="BX333" s="82" t="n"/>
      <c r="BY333" s="82" t="n"/>
      <c r="CA333" s="82" t="n"/>
      <c r="CB333" s="82" t="n"/>
      <c r="CC333" s="82" t="n"/>
      <c r="CD333" s="82" t="n"/>
      <c r="CF333" s="82" t="n"/>
      <c r="CG333" s="82" t="n"/>
      <c r="CH333" s="82" t="n"/>
      <c r="CI333" s="82" t="n"/>
      <c r="CK333" s="82" t="n"/>
      <c r="CL333" s="82" t="n"/>
      <c r="CM333" s="82" t="n"/>
      <c r="CN333" s="82" t="n"/>
      <c r="CP333" s="82" t="n"/>
      <c r="CQ333" s="82" t="n"/>
      <c r="CR333" s="82" t="n"/>
      <c r="CS333" s="82" t="n"/>
      <c r="CU333" s="82" t="n"/>
      <c r="CV333" s="82" t="n"/>
      <c r="CW333" s="82" t="n"/>
      <c r="CX333" s="82" t="n"/>
    </row>
    <row r="334" customFormat="1" s="77">
      <c r="A334" s="76" t="n"/>
      <c r="B334" s="76" t="n"/>
      <c r="C334" s="77" t="inlineStr">
        <is>
          <t>TOTAL DEBT / EBITDA (LTM)</t>
        </is>
      </c>
      <c r="D334" s="82" t="str">
        <f>IFERROR(SUM(D212,D213,D214,D217,D235,D238)/D69,"")</f>
        <v/>
      </c>
      <c r="E334" s="82" t="str">
        <f>IFERROR(SUM(E212,E213,E214,E217,E235,E238)/E69,"")</f>
        <v/>
      </c>
      <c r="F334" s="82" t="str">
        <f>IFERROR(SUM(F212,F213,F214,F217,F235,F238)/F69,"")</f>
        <v/>
      </c>
      <c r="G334" s="82" t="str">
        <f>IFERROR(SUM(G212,G213,G214,G217,G235,G238)/G69,"")</f>
        <v/>
      </c>
      <c r="H334" s="262" t="str">
        <f>IFERROR(IF(AND(COUNT(H69)=1,(H69)&lt;&gt;0),(N(H212)+N(H213)+N(H214)+N(H217)+N(H235)+N(H238))/(H69),""),"")</f>
        <v/>
      </c>
      <c r="I334" s="262" t="str">
        <f>""</f>
        <v/>
      </c>
      <c r="J334" s="262" t="str">
        <f>""</f>
        <v/>
      </c>
      <c r="K334" s="262" t="str">
        <f>""</f>
        <v/>
      </c>
      <c r="L334" s="262">
        <f>IFERROR(IF(AND(COUNT(I69,J69,K69,L69)=4,(I69+J69+K69+L69)&lt;&gt;0),(N(L212)+N(L213)+N(L214)+N(L217)+N(L235)+N(L238))/(I69+J69+K69+L69),""),"")</f>
        <v>1.69922062571566</v>
      </c>
      <c r="M334" s="262">
        <f>IFERROR(IF(AND(COUNT(I69,J69,K69,L69)=4,(I69+J69+K69+L69)&lt;&gt;0),(N(M212)+N(M213)+N(M214)+N(M217)+N(M235)+N(M238))/(I69+J69+K69+L69),""),"")</f>
        <v>1.69922062571566</v>
      </c>
      <c r="N334" s="262">
        <f>IFERROR(IF(AND(COUNT(J69,K69,L69,N69)=4,(J69+K69+L69+N69)&lt;&gt;0),(N(N212)+N(N213)+N(N214)+N(N217)+N(N235)+N(N238))/(J69+K69+L69+N69),""),"")</f>
        <v>1.73877864831222</v>
      </c>
      <c r="O334" s="262">
        <f>IFERROR(IF(AND(COUNT(K69,L69,N69,O69)=4,(K69+L69+N69+O69)&lt;&gt;0),(N(O212)+N(O213)+N(O214)+N(O217)+N(O235)+N(O238))/(K69+L69+N69+O69),""),"")</f>
        <v>1.80369928400955</v>
      </c>
      <c r="P334" s="262">
        <f>IFERROR(IF(AND(COUNT(L69,N69,O69,P69)=4,(L69+N69+O69+P69)&lt;&gt;0),(N(P212)+N(P213)+N(P214)+N(P217)+N(P235)+N(P238))/(L69+N69+O69+P69),""),"")</f>
        <v>1.60755103389047</v>
      </c>
      <c r="Q334" s="262">
        <f>IFERROR(IF(AND(COUNT(N69,O69,P69,Q69)=4,(N69+O69+P69+Q69)&lt;&gt;0),(N(Q212)+N(Q213)+N(Q214)+N(Q217)+N(Q235)+N(Q238))/(N69+O69+P69+Q69),""),"")</f>
        <v>1.81005182974713</v>
      </c>
      <c r="R334" s="262">
        <f>IFERROR(IF(AND(COUNT(N69,O69,P69,Q69)=4,(N69+O69+P69+Q69)&lt;&gt;0),(N(R212)+N(R213)+N(R214)+N(R217)+N(R235)+N(R238))/(N69+O69+P69+Q69),""),"")</f>
        <v>1.81005182974713</v>
      </c>
      <c r="S334" s="262">
        <f>IFERROR(IF(AND(COUNT(O69,P69,Q69,S69)=4,(O69+P69+Q69+S69)&lt;&gt;0),(N(S212)+N(S213)+N(S214)+N(S217)+N(S235)+N(S238))/(O69+P69+Q69+S69),""),"")</f>
        <v>2.12915874883118</v>
      </c>
      <c r="T334" s="262">
        <f>IFERROR(IF(AND(COUNT(P69,Q69,S69,T69)=4,(P69+Q69+S69+T69)&lt;&gt;0),(N(T212)+N(T213)+N(T214)+N(T217)+N(T235)+N(T238))/(P69+Q69+S69+T69),""),"")</f>
        <v>1.91238300726011</v>
      </c>
      <c r="U334" s="262">
        <f>IFERROR(IF(AND(COUNT(Q69,S69,T69,U69)=4,(Q69+S69+T69+U69)&lt;&gt;0),(N(U212)+N(U213)+N(U214)+N(U217)+N(U235)+N(U238))/(Q69+S69+T69+U69),""),"")</f>
        <v>1.78303320202589</v>
      </c>
      <c r="V334" s="262">
        <f>IFERROR(IF(AND(COUNT(S69,T69,U69,V69)=4,(S69+T69+U69+V69)&lt;&gt;0),(N(V212)+N(V213)+N(V214)+N(V217)+N(V235)+N(V238))/(S69+T69+U69+V69),""),"")</f>
        <v>1.72135975777594</v>
      </c>
      <c r="W334" s="262">
        <f>IFERROR(IF(AND(COUNT(S69,T69,U69,V69)=4,(S69+T69+U69+V69)&lt;&gt;0),(N(W212)+N(W213)+N(W214)+N(W217)+N(W235)+N(W238))/(S69+T69+U69+V69),""),"")</f>
        <v>1.72135975777594</v>
      </c>
      <c r="X334" s="262">
        <f>IFERROR(IF(AND(COUNT(T69,U69,V69,X69)=4,(T69+U69+V69+X69)&lt;&gt;0),(N(X212)+N(X213)+N(X214)+N(X217)+N(X235)+N(X238))/(T69+U69+V69+X69),""),"")</f>
        <v>2.03405889177394</v>
      </c>
      <c r="Y334" s="262">
        <f>IFERROR(IF(AND(COUNT(U69,V69,X69,Y69)=4,(U69+V69+X69+Y69)&lt;&gt;0),(N(Y212)+N(Y213)+N(Y214)+N(Y217)+N(Y235)+N(Y238))/(U69+V69+X69+Y69),""),"")</f>
        <v>2.0849551625531</v>
      </c>
      <c r="Z334" s="262">
        <f>IFERROR(IF(AND(COUNT(V69,X69,Y69,Z69)=4,(V69+X69+Y69+Z69)&lt;&gt;0),(N(Z212)+N(Z213)+N(Z214)+N(Z217)+N(Z235)+N(Z238))/(V69+X69+Y69+Z69),""),"")</f>
        <v>2.15289085138678</v>
      </c>
      <c r="AA334" s="262">
        <f>IFERROR(IF(AND(COUNT(X69,Y69,Z69,AA69)=4,(X69+Y69+Z69+AA69)&lt;&gt;0),(N(AA212)+N(AA213)+N(AA214)+N(AA217)+N(AA235)+N(AA238))/(X69+Y69+Z69+AA69),""),"")</f>
        <v>2.11356016050129</v>
      </c>
      <c r="AB334" s="262">
        <f>IFERROR(IF(AND(COUNT(X69,Y69,Z69,AA69)=4,(X69+Y69+Z69+AA69)&lt;&gt;0),(N(AB212)+N(AB213)+N(AB214)+N(AB217)+N(AB235)+N(AB238))/(X69+Y69+Z69+AA69),""),"")</f>
        <v>2.11356016050129</v>
      </c>
      <c r="AC334" s="262">
        <f>IFERROR(IF(AND(COUNT(Y69,Z69,AA69,AC69)=4,(Y69+Z69+AA69+AC69)&lt;&gt;0),(N(AC212)+N(AC213)+N(AC214)+N(AC217)+N(AC235)+N(AC238))/(Y69+Z69+AA69+AC69),""),"")</f>
        <v>2.15928051437377</v>
      </c>
      <c r="AD334" s="262">
        <f>IFERROR(IF(AND(COUNT(Z69,AA69,AC69,AD69)=4,(Z69+AA69+AC69+AD69)&lt;&gt;0),(N(AD212)+N(AD213)+N(AD214)+N(AD217)+N(AD235)+N(AD238))/(Z69+AA69+AC69+AD69),""),"")</f>
        <v>2.26414500957772</v>
      </c>
      <c r="AE334" s="262">
        <f>IFERROR(IF(AND(COUNT(AA69,AC69,AD69,AE69)=4,(AA69+AC69+AD69+AE69)&lt;&gt;0),(N(AE212)+N(AE213)+N(AE214)+N(AE217)+N(AE235)+N(AE238))/(AA69+AC69+AD69+AE69),""),"")</f>
        <v>2.61523399255923</v>
      </c>
      <c r="AF334" s="262">
        <f>IFERROR(IF(AND(COUNT(AB69,AD69,AE69,AF69)=4,(AB69+AD69+AE69+AF69)&lt;&gt;0),(N(AF212)+N(AF213)+N(AF214)+N(AF217)+N(AF235)+N(AF238))/(AB69+AD69+AE69+AF69),""),"")</f>
        <v>1.58262502271305</v>
      </c>
      <c r="AG334" s="262">
        <f>IFERROR(IF(AND(COUNT(AC69,AD69,AE69,AF69)=4,(AC69+AD69+AE69+AF69)&lt;&gt;0),(N(AG212)+N(AG213)+N(AG214)+N(AG217)+N(AG235)+N(AG238))/(AC69+AD69+AE69+AF69),""),"")</f>
        <v>3.36072883172562</v>
      </c>
      <c r="AH334" s="262">
        <f>IFERROR(IF(AND(COUNT(AD69,AF69,AG69,AH69)=4,(AD69+AF69+AG69+AH69)&lt;&gt;0),(N(AH212)+N(AH213)+N(AH214)+N(AH217)+N(AH235)+N(AH238))/(AD69+AF69+AG69+AH69),""),"")</f>
        <v>1.89694461351187</v>
      </c>
      <c r="AI334" s="262">
        <f>IFERROR(IF(AND(COUNT(AE69,AG69,AH69,AI69)=4,(AE69+AG69+AH69+AI69)&lt;&gt;0),(N(AI212)+N(AI213)+N(AI214)+N(AI217)+N(AI235)+N(AI238))/(AE69+AG69+AH69+AI69),""),"")</f>
        <v>1.53441168469732</v>
      </c>
      <c r="AJ334" s="262">
        <f>IFERROR(IF(AND(COUNT(AF69,AH69,AI69,AJ69)=4,(AF69+AH69+AI69+AJ69)&lt;&gt;0),(N(AJ212)+N(AJ213)+N(AJ214)+N(AJ217)+N(AJ235)+N(AJ238))/(AF69+AH69+AI69+AJ69),""),"")</f>
        <v>2.5903196318989</v>
      </c>
      <c r="AK334" s="262">
        <f>IFERROR(IF(AND(COUNT(AH69,AI69,AJ69,AK69)=4,(AH69+AI69+AJ69+AK69)&lt;&gt;0),(N(AK212)+N(AK213)+N(AK214)+N(AK217)+N(AK235)+N(AK238))/(AH69+AI69+AJ69+AK69),""),"")</f>
        <v>2.12073725089711</v>
      </c>
      <c r="AL334" s="262">
        <f>IFERROR(IF(AND(COUNT(AH69,AI69,AJ69,AK69)=4,(AH69+AI69+AJ69+AK69)&lt;&gt;0),(N(AL212)+N(AL213)+N(AL214)+N(AL217)+N(AL235)+N(AL238))/(AH69+AI69+AJ69+AK69),""),"")</f>
        <v>2.12073725089711</v>
      </c>
      <c r="AM334" s="262">
        <f>IFERROR(IF(AND(COUNT(AI69,AJ69,AK69,AM69)=4,(AI69+AJ69+AK69+AM69)&lt;&gt;0),(N(AM212)+N(AM213)+N(AM214)+N(AM217)+N(AM235)+N(AM238))/(AI69+AJ69+AK69+AM69),""),"")</f>
        <v>2.27582780645587</v>
      </c>
      <c r="AN334" s="262">
        <f>IFERROR(IF(AND(COUNT(AJ69,AK69,AM69,AN69)=4,(AJ69+AK69+AM69+AN69)&lt;&gt;0),(N(AN212)+N(AN213)+N(AN214)+N(AN217)+N(AN235)+N(AN238))/(AJ69+AK69+AM69+AN69),""),"")</f>
        <v>2.37511875149097</v>
      </c>
      <c r="AO334" s="262">
        <f>IFERROR(IF(AND(COUNT(AK69,AM69,AN69,AO69)=4,(AK69+AM69+AN69+AO69)&lt;&gt;0),(N(AO212)+N(AO213)+N(AO214)+N(AO217)+N(AO235)+N(AO238))/(AK69+AM69+AN69+AO69),""),"")</f>
        <v>2.32677482932784</v>
      </c>
      <c r="AP334" s="262">
        <f>IFERROR(IF(AND(COUNT(AM69,AN69,AO69,AP69)=4,(AM69+AN69+AO69+AP69)&lt;&gt;0),(N(AP212)+N(AP213)+N(AP214)+N(AP217)+N(AP235)+N(AP238))/(AM69+AN69+AO69+AP69),""),"")</f>
        <v>2.28033795666508</v>
      </c>
      <c r="AQ334" s="262">
        <f>IFERROR(IF(AND(COUNT(AM69,AN69,AO69,AP69)=4,(AM69+AN69+AO69+AP69)&lt;&gt;0),(N(AQ212)+N(AQ213)+N(AQ214)+N(AQ217)+N(AQ235)+N(AQ238))/(AM69+AN69+AO69+AP69),""),"")</f>
        <v>2.28033795666508</v>
      </c>
      <c r="AR334" s="262">
        <f>IFERROR(IF(AND(COUNT(AN69,AO69,AP69,AR69)=4,(AN69+AO69+AP69+AR69)&lt;&gt;0),(N(AR212)+N(AR213)+N(AR214)+N(AR217)+N(AR235)+N(AR238))/(AN69+AO69+AP69+AR69),""),"")</f>
        <v>2.23891185419697</v>
      </c>
      <c r="AS334" s="262">
        <f>IFERROR(IF(AND(COUNT(AO69,AP69,AR69,AS69)=4,(AO69+AP69+AR69+AS69)&lt;&gt;0),(N(AS212)+N(AS213)+N(AS214)+N(AS217)+N(AS235)+N(AS238))/(AO69+AP69+AR69+AS69),""),"")</f>
        <v>2.19885482921543</v>
      </c>
      <c r="AT334" s="262">
        <f>IFERROR(IF(AND(COUNT(AP69,AR69,AS69,AT69)=4,(AP69+AR69+AS69+AT69)&lt;&gt;0),(N(AT212)+N(AT213)+N(AT214)+N(AT217)+N(AT235)+N(AT238))/(AP69+AR69+AS69+AT69),""),"")</f>
        <v>2.15665945116491</v>
      </c>
      <c r="AU334" s="262">
        <f>IFERROR(IF(AND(COUNT(AR69,AS69,AT69,AU69)=4,(AR69+AS69+AT69+AU69)&lt;&gt;0),(N(AU212)+N(AU213)+N(AU214)+N(AU217)+N(AU235)+N(AU238))/(AR69+AS69+AT69+AU69),""),"")</f>
        <v>2.11603400336307</v>
      </c>
      <c r="AV334" s="262">
        <f>IFERROR(IF(AND(COUNT(AR69,AS69,AT69,AU69)=4,(AR69+AS69+AT69+AU69)&lt;&gt;0),(N(AV212)+N(AV213)+N(AV214)+N(AV217)+N(AV235)+N(AV238))/(AR69+AS69+AT69+AU69),""),"")</f>
        <v>2.11603400336307</v>
      </c>
      <c r="AW334" s="262">
        <f>IFERROR(IF(AND(COUNT(AS69,AT69,AU69,AW69)=4,(AS69+AT69+AU69+AW69)&lt;&gt;0),(N(AW212)+N(AW213)+N(AW214)+N(AW217)+N(AW235)+N(AW238))/(AS69+AT69+AU69+AW69),""),"")</f>
        <v>2.08002601192725</v>
      </c>
      <c r="AX334" s="262">
        <f>IFERROR(IF(AND(COUNT(AT69,AU69,AW69,AX69)=4,(AT69+AU69+AW69+AX69)&lt;&gt;0),(N(AX212)+N(AX213)+N(AX214)+N(AX217)+N(AX235)+N(AX238))/(AT69+AU69+AW69+AX69),""),"")</f>
        <v>2.04512773634518</v>
      </c>
      <c r="AY334" s="262">
        <f>IFERROR(IF(AND(COUNT(AU69,AW69,AX69,AY69)=4,(AU69+AW69+AX69+AY69)&lt;&gt;0),(N(AY212)+N(AY213)+N(AY214)+N(AY217)+N(AY235)+N(AY238))/(AU69+AW69+AX69+AY69),""),"")</f>
        <v>2.00828081101924</v>
      </c>
      <c r="AZ334" s="262">
        <f>IFERROR(IF(AND(COUNT(AW69,AX69,AY69,AZ69)=4,(AW69+AX69+AY69+AZ69)&lt;&gt;0),(N(AZ212)+N(AZ213)+N(AZ214)+N(AZ217)+N(AZ235)+N(AZ238))/(AW69+AX69+AY69+AZ69),""),"")</f>
        <v>1.97272146381786</v>
      </c>
      <c r="BA334" s="262">
        <f>IFERROR(IF(AND(COUNT(AW69,AX69,AY69,AZ69)=4,(AW69+AX69+AY69+AZ69)&lt;&gt;0),(N(BA212)+N(BA213)+N(BA214)+N(BA217)+N(BA235)+N(BA238))/(AW69+AX69+AY69+AZ69),""),"")</f>
        <v>1.97272146381786</v>
      </c>
      <c r="BB334" s="262">
        <f>IFERROR(IF(AND(COUNT(AX69,AY69,AZ69,BB69)=4,(AX69+AY69+AZ69+BB69)&lt;&gt;0),(N(BB212)+N(BB213)+N(BB214)+N(BB217)+N(BB235)+N(BB238))/(AX69+AY69+AZ69+BB69),""),"")</f>
        <v>1.94142596518948</v>
      </c>
      <c r="BC334" s="262">
        <f>IFERROR(IF(AND(COUNT(AY69,AZ69,BB69,BC69)=4,(AY69+AZ69+BB69+BC69)&lt;&gt;0),(N(BC212)+N(BC213)+N(BC214)+N(BC217)+N(BC235)+N(BC238))/(AY69+AZ69+BB69+BC69),""),"")</f>
        <v>1.91102483622554</v>
      </c>
      <c r="BD334" s="262">
        <f>IFERROR(IF(AND(COUNT(AZ69,BB69,BC69,BD69)=4,(AZ69+BB69+BC69+BD69)&lt;&gt;0),(N(BD212)+N(BD213)+N(BD214)+N(BD217)+N(BD235)+N(BD238))/(AZ69+BB69+BC69+BD69),""),"")</f>
        <v>1.8788510010697</v>
      </c>
      <c r="BE334" s="262">
        <f>IFERROR(IF(AND(COUNT(BB69,BC69,BD69,BE69)=4,(BB69+BC69+BD69+BE69)&lt;&gt;0),(N(BE212)+N(BE213)+N(BE214)+N(BE217)+N(BE235)+N(BE238))/(BB69+BC69+BD69+BE69),""),"")</f>
        <v>1.84772798113454</v>
      </c>
      <c r="BF334" s="262">
        <f>IFERROR(IF(AND(COUNT(BB69,BC69,BD69,BE69)=4,(BB69+BC69+BD69+BE69)&lt;&gt;0),(N(BF212)+N(BF213)+N(BF214)+N(BF217)+N(BF235)+N(BF238))/(BB69+BC69+BD69+BE69),""),"")</f>
        <v>1.84772798113454</v>
      </c>
      <c r="BG334" s="82" t="n"/>
      <c r="BH334" s="82" t="n"/>
      <c r="BI334" s="82" t="n"/>
      <c r="BJ334" s="82" t="n"/>
      <c r="BL334" s="82" t="n"/>
      <c r="BM334" s="82" t="n"/>
      <c r="BN334" s="82" t="n"/>
      <c r="BO334" s="82" t="n"/>
      <c r="BQ334" s="82" t="n"/>
      <c r="BR334" s="82" t="n"/>
      <c r="BS334" s="82" t="n"/>
      <c r="BT334" s="82" t="n"/>
      <c r="BV334" s="82" t="n"/>
      <c r="BW334" s="82" t="n"/>
      <c r="BX334" s="82" t="n"/>
      <c r="BY334" s="82" t="n"/>
      <c r="CA334" s="82" t="n"/>
      <c r="CB334" s="82" t="n"/>
      <c r="CC334" s="82" t="n"/>
      <c r="CD334" s="82" t="n"/>
      <c r="CF334" s="82" t="n"/>
      <c r="CG334" s="82" t="n"/>
      <c r="CH334" s="82" t="n"/>
      <c r="CI334" s="82" t="n"/>
      <c r="CK334" s="82" t="n"/>
      <c r="CL334" s="82" t="n"/>
      <c r="CM334" s="82" t="n"/>
      <c r="CN334" s="82" t="n"/>
      <c r="CP334" s="82" t="n"/>
      <c r="CQ334" s="82" t="n"/>
      <c r="CR334" s="82" t="n"/>
      <c r="CS334" s="82" t="n"/>
      <c r="CU334" s="82" t="n"/>
      <c r="CV334" s="82" t="n"/>
      <c r="CW334" s="82" t="n"/>
      <c r="CX334" s="82" t="n"/>
    </row>
    <row r="335" customFormat="1" s="77">
      <c r="A335" s="76" t="n"/>
      <c r="B335" s="76" t="n"/>
      <c r="C335" s="77" t="inlineStr">
        <is>
          <t>TOTAL DEBT / TOTAL CAPITALIZATION</t>
        </is>
      </c>
      <c r="D335" s="80" t="str">
        <f>IFERROR(SUM(D212+D213+D214+D217+D235+D238)/(SUM(D212+D213+D214+D217+D235+D238)+D271),"")</f>
        <v/>
      </c>
      <c r="E335" s="80" t="str">
        <f>IFERROR(SUM(E212+E213+E214+E217+E235+E238)/(SUM(E212+E213+E214+E217+E235+E238)+E271),"")</f>
        <v/>
      </c>
      <c r="F335" s="80" t="str">
        <f>IFERROR(SUM(F212+F213+F214+F217+F235+F238)/(SUM(F212+F213+F214+F217+F235+F238)+F271),"")</f>
        <v/>
      </c>
      <c r="G335" s="80" t="str">
        <f>IFERROR(SUM(G212+G213+G214+G217+G235+G238)/(SUM(G212+G213+G214+G217+G235+G238)+G271),"")</f>
        <v/>
      </c>
      <c r="H335" s="258" t="str">
        <f>IFERROR(IF(((N(H212)+N(H213)+N(H214)+N(H217)+N(H235)+N(H238))+N(H271))&lt;&gt;0,(N(H212)+N(H213)+N(H214)+N(H217)+N(H235)+N(H238))/((N(H212)+N(H213)+N(H214)+N(H217)+N(H235)+N(H238))+H271),""),"")</f>
        <v/>
      </c>
      <c r="I335" s="258">
        <f>IFERROR(IF(((N(I212)+N(I213)+N(I214)+N(I217)+N(I235)+N(I238))+N(I271))&lt;&gt;0,(N(I212)+N(I213)+N(I214)+N(I217)+N(I235)+N(I238))/((N(I212)+N(I213)+N(I214)+N(I217)+N(I235)+N(I238))+I271),""),"")</f>
        <v>0.395908935296131</v>
      </c>
      <c r="J335" s="258">
        <f>IFERROR(IF(((N(J212)+N(J213)+N(J214)+N(J217)+N(J235)+N(J238))+N(J271))&lt;&gt;0,(N(J212)+N(J213)+N(J214)+N(J217)+N(J235)+N(J238))/((N(J212)+N(J213)+N(J214)+N(J217)+N(J235)+N(J238))+J271),""),"")</f>
        <v>0.396718694718481</v>
      </c>
      <c r="K335" s="258">
        <f>IFERROR(IF(((N(K212)+N(K213)+N(K214)+N(K217)+N(K235)+N(K238))+N(K271))&lt;&gt;0,(N(K212)+N(K213)+N(K214)+N(K217)+N(K235)+N(K238))/((N(K212)+N(K213)+N(K214)+N(K217)+N(K235)+N(K238))+K271),""),"")</f>
        <v>0.386234857767873</v>
      </c>
      <c r="L335" s="258">
        <f>IFERROR(IF(((N(L212)+N(L213)+N(L214)+N(L217)+N(L235)+N(L238))+N(L271))&lt;&gt;0,(N(L212)+N(L213)+N(L214)+N(L217)+N(L235)+N(L238))/((N(L212)+N(L213)+N(L214)+N(L217)+N(L235)+N(L238))+L271),""),"")</f>
        <v>0.375589882594994</v>
      </c>
      <c r="M335" s="258">
        <f>IFERROR(IF(((N(M212)+N(M213)+N(M214)+N(M217)+N(M235)+N(M238))+N(M271))&lt;&gt;0,(N(M212)+N(M213)+N(M214)+N(M217)+N(M235)+N(M238))/((N(M212)+N(M213)+N(M214)+N(M217)+N(M235)+N(M238))+M271),""),"")</f>
        <v>0.375589882594994</v>
      </c>
      <c r="N335" s="258">
        <f>IFERROR(IF(((N(N212)+N(N213)+N(N214)+N(N217)+N(N235)+N(N238))+N(N271))&lt;&gt;0,(N(N212)+N(N213)+N(N214)+N(N217)+N(N235)+N(N238))/((N(N212)+N(N213)+N(N214)+N(N217)+N(N235)+N(N238))+N271),""),"")</f>
        <v>0.379518938788557</v>
      </c>
      <c r="O335" s="258">
        <f>IFERROR(IF(((N(O212)+N(O213)+N(O214)+N(O217)+N(O235)+N(O238))+N(O271))&lt;&gt;0,(N(O212)+N(O213)+N(O214)+N(O217)+N(O235)+N(O238))/((N(O212)+N(O213)+N(O214)+N(O217)+N(O235)+N(O238))+O271),""),"")</f>
        <v>0.387803920976773</v>
      </c>
      <c r="P335" s="258">
        <f>IFERROR(IF(((N(P212)+N(P213)+N(P214)+N(P217)+N(P235)+N(P238))+N(P271))&lt;&gt;0,(N(P212)+N(P213)+N(P214)+N(P217)+N(P235)+N(P238))/((N(P212)+N(P213)+N(P214)+N(P217)+N(P235)+N(P238))+P271),""),"")</f>
        <v>0.369843754749673</v>
      </c>
      <c r="Q335" s="258">
        <f>IFERROR(IF(((N(Q212)+N(Q213)+N(Q214)+N(Q217)+N(Q235)+N(Q238))+N(Q271))&lt;&gt;0,(N(Q212)+N(Q213)+N(Q214)+N(Q217)+N(Q235)+N(Q238))/((N(Q212)+N(Q213)+N(Q214)+N(Q217)+N(Q235)+N(Q238))+Q271),""),"")</f>
        <v>0.400243106202681</v>
      </c>
      <c r="R335" s="258">
        <f>IFERROR(IF(((N(R212)+N(R213)+N(R214)+N(R217)+N(R235)+N(R238))+N(R271))&lt;&gt;0,(N(R212)+N(R213)+N(R214)+N(R217)+N(R235)+N(R238))/((N(R212)+N(R213)+N(R214)+N(R217)+N(R235)+N(R238))+R271),""),"")</f>
        <v>0.400243106202681</v>
      </c>
      <c r="S335" s="258">
        <f>IFERROR(IF(((N(S212)+N(S213)+N(S214)+N(S217)+N(S235)+N(S238))+N(S271))&lt;&gt;0,(N(S212)+N(S213)+N(S214)+N(S217)+N(S235)+N(S238))/((N(S212)+N(S213)+N(S214)+N(S217)+N(S235)+N(S238))+S271),""),"")</f>
        <v>0.437863656100738</v>
      </c>
      <c r="T335" s="258">
        <f>IFERROR(IF(((N(T212)+N(T213)+N(T214)+N(T217)+N(T235)+N(T238))+N(T271))&lt;&gt;0,(N(T212)+N(T213)+N(T214)+N(T217)+N(T235)+N(T238))/((N(T212)+N(T213)+N(T214)+N(T217)+N(T235)+N(T238))+T271),""),"")</f>
        <v>0.415791308757805</v>
      </c>
      <c r="U335" s="258">
        <f>IFERROR(IF(((N(U212)+N(U213)+N(U214)+N(U217)+N(U235)+N(U238))+N(U271))&lt;&gt;0,(N(U212)+N(U213)+N(U214)+N(U217)+N(U235)+N(U238))/((N(U212)+N(U213)+N(U214)+N(U217)+N(U235)+N(U238))+U271),""),"")</f>
        <v>0.402728965547922</v>
      </c>
      <c r="V335" s="258">
        <f>IFERROR(IF(((N(V212)+N(V213)+N(V214)+N(V217)+N(V235)+N(V238))+N(V271))&lt;&gt;0,(N(V212)+N(V213)+N(V214)+N(V217)+N(V235)+N(V238))/((N(V212)+N(V213)+N(V214)+N(V217)+N(V235)+N(V238))+V271),""),"")</f>
        <v>0.387331533049252</v>
      </c>
      <c r="W335" s="258">
        <f>IFERROR(IF(((N(W212)+N(W213)+N(W214)+N(W217)+N(W235)+N(W238))+N(W271))&lt;&gt;0,(N(W212)+N(W213)+N(W214)+N(W217)+N(W235)+N(W238))/((N(W212)+N(W213)+N(W214)+N(W217)+N(W235)+N(W238))+W271),""),"")</f>
        <v>0.387331533049252</v>
      </c>
      <c r="X335" s="258">
        <f>IFERROR(IF(((N(X212)+N(X213)+N(X214)+N(X217)+N(X235)+N(X238))+N(X271))&lt;&gt;0,(N(X212)+N(X213)+N(X214)+N(X217)+N(X235)+N(X238))/((N(X212)+N(X213)+N(X214)+N(X217)+N(X235)+N(X238))+X271),""),"")</f>
        <v>0.431749289085632</v>
      </c>
      <c r="Y335" s="258">
        <f>IFERROR(IF(((N(Y212)+N(Y213)+N(Y214)+N(Y217)+N(Y235)+N(Y238))+N(Y271))&lt;&gt;0,(N(Y212)+N(Y213)+N(Y214)+N(Y217)+N(Y235)+N(Y238))/((N(Y212)+N(Y213)+N(Y214)+N(Y217)+N(Y235)+N(Y238))+Y271),""),"")</f>
        <v>0.43077576119129</v>
      </c>
      <c r="Z335" s="258">
        <f>IFERROR(IF(((N(Z212)+N(Z213)+N(Z214)+N(Z217)+N(Z235)+N(Z238))+N(Z271))&lt;&gt;0,(N(Z212)+N(Z213)+N(Z214)+N(Z217)+N(Z235)+N(Z238))/((N(Z212)+N(Z213)+N(Z214)+N(Z217)+N(Z235)+N(Z238))+Z271),""),"")</f>
        <v>0.427534047625572</v>
      </c>
      <c r="AA335" s="258">
        <f>IFERROR(IF(((N(AA212)+N(AA213)+N(AA214)+N(AA217)+N(AA235)+N(AA238))+N(AA271))&lt;&gt;0,(N(AA212)+N(AA213)+N(AA214)+N(AA217)+N(AA235)+N(AA238))/((N(AA212)+N(AA213)+N(AA214)+N(AA217)+N(AA235)+N(AA238))+AA271),""),"")</f>
        <v>0.428446474832168</v>
      </c>
      <c r="AB335" s="258">
        <f>IFERROR(IF(((N(AB212)+N(AB213)+N(AB214)+N(AB217)+N(AB235)+N(AB238))+N(AB271))&lt;&gt;0,(N(AB212)+N(AB213)+N(AB214)+N(AB217)+N(AB235)+N(AB238))/((N(AB212)+N(AB213)+N(AB214)+N(AB217)+N(AB235)+N(AB238))+AB271),""),"")</f>
        <v>0.428446474832168</v>
      </c>
      <c r="AC335" s="258">
        <f>IFERROR(IF(((N(AC212)+N(AC213)+N(AC214)+N(AC217)+N(AC235)+N(AC238))+N(AC271))&lt;&gt;0,(N(AC212)+N(AC213)+N(AC214)+N(AC217)+N(AC235)+N(AC238))/((N(AC212)+N(AC213)+N(AC214)+N(AC217)+N(AC235)+N(AC238))+AC271),""),"")</f>
        <v>0.435909676035186</v>
      </c>
      <c r="AD335" s="258">
        <f>IFERROR(IF(((N(AD212)+N(AD213)+N(AD214)+N(AD217)+N(AD235)+N(AD238))+N(AD271))&lt;&gt;0,(N(AD212)+N(AD213)+N(AD214)+N(AD217)+N(AD235)+N(AD238))/((N(AD212)+N(AD213)+N(AD214)+N(AD217)+N(AD235)+N(AD238))+AD271),""),"")</f>
        <v>0.430450545448616</v>
      </c>
      <c r="AE335" s="258">
        <f>IFERROR(IF(((N(AE212)+N(AE213)+N(AE214)+N(AE217)+N(AE235)+N(AE238))+N(AE271))&lt;&gt;0,(N(AE212)+N(AE213)+N(AE214)+N(AE217)+N(AE235)+N(AE238))/((N(AE212)+N(AE213)+N(AE214)+N(AE217)+N(AE235)+N(AE238))+AE271),""),"")</f>
        <v>0.430956875272252</v>
      </c>
      <c r="AF335" s="258">
        <f>IFERROR(IF(((N(AF212)+N(AF213)+N(AF214)+N(AF217)+N(AF235)+N(AF238))+N(AF271))&lt;&gt;0,(N(AF212)+N(AF213)+N(AF214)+N(AF217)+N(AF235)+N(AF238))/((N(AF212)+N(AF213)+N(AF214)+N(AF217)+N(AF235)+N(AF238))+AF271),""),"")</f>
        <v>0.435284057150155</v>
      </c>
      <c r="AG335" s="258">
        <f>IFERROR(IF(((N(AG212)+N(AG213)+N(AG214)+N(AG217)+N(AG235)+N(AG238))+N(AG271))&lt;&gt;0,(N(AG212)+N(AG213)+N(AG214)+N(AG217)+N(AG235)+N(AG238))/((N(AG212)+N(AG213)+N(AG214)+N(AG217)+N(AG235)+N(AG238))+AG271),""),"")</f>
        <v>0.435284057150155</v>
      </c>
      <c r="AH335" s="258">
        <f>IFERROR(IF(((N(AH212)+N(AH213)+N(AH214)+N(AH217)+N(AH235)+N(AH238))+N(AH271))&lt;&gt;0,(N(AH212)+N(AH213)+N(AH214)+N(AH217)+N(AH235)+N(AH238))/((N(AH212)+N(AH213)+N(AH214)+N(AH217)+N(AH235)+N(AH238))+AH271),""),"")</f>
        <v>0.425227575367286</v>
      </c>
      <c r="AI335" s="258">
        <f>IFERROR(IF(((N(AI212)+N(AI213)+N(AI214)+N(AI217)+N(AI235)+N(AI238))+N(AI271))&lt;&gt;0,(N(AI212)+N(AI213)+N(AI214)+N(AI217)+N(AI235)+N(AI238))/((N(AI212)+N(AI213)+N(AI214)+N(AI217)+N(AI235)+N(AI238))+AI271),""),"")</f>
        <v>0.409020677499066</v>
      </c>
      <c r="AJ335" s="258">
        <f>IFERROR(IF(((N(AJ212)+N(AJ213)+N(AJ214)+N(AJ217)+N(AJ235)+N(AJ238))+N(AJ271))&lt;&gt;0,(N(AJ212)+N(AJ213)+N(AJ214)+N(AJ217)+N(AJ235)+N(AJ238))/((N(AJ212)+N(AJ213)+N(AJ214)+N(AJ217)+N(AJ235)+N(AJ238))+AJ271),""),"")</f>
        <v>0.399850884180556</v>
      </c>
      <c r="AK335" s="258">
        <f>IFERROR(IF(((N(AK212)+N(AK213)+N(AK214)+N(AK217)+N(AK235)+N(AK238))+N(AK271))&lt;&gt;0,(N(AK212)+N(AK213)+N(AK214)+N(AK217)+N(AK235)+N(AK238))/((N(AK212)+N(AK213)+N(AK214)+N(AK217)+N(AK235)+N(AK238))+AK271),""),"")</f>
        <v>0.391079136609659</v>
      </c>
      <c r="AL335" s="258">
        <f>IFERROR(IF(((N(AL212)+N(AL213)+N(AL214)+N(AL217)+N(AL235)+N(AL238))+N(AL271))&lt;&gt;0,(N(AL212)+N(AL213)+N(AL214)+N(AL217)+N(AL235)+N(AL238))/((N(AL212)+N(AL213)+N(AL214)+N(AL217)+N(AL235)+N(AL238))+AL271),""),"")</f>
        <v>0.391079136609659</v>
      </c>
      <c r="AM335" s="258">
        <f>IFERROR(IF(((N(AM212)+N(AM213)+N(AM214)+N(AM217)+N(AM235)+N(AM238))+N(AM271))&lt;&gt;0,(N(AM212)+N(AM213)+N(AM214)+N(AM217)+N(AM235)+N(AM238))/((N(AM212)+N(AM213)+N(AM214)+N(AM217)+N(AM235)+N(AM238))+AM271),""),"")</f>
        <v>0.382792424662494</v>
      </c>
      <c r="AN335" s="258">
        <f>IFERROR(IF(((N(AN212)+N(AN213)+N(AN214)+N(AN217)+N(AN235)+N(AN238))+N(AN271))&lt;&gt;0,(N(AN212)+N(AN213)+N(AN214)+N(AN217)+N(AN235)+N(AN238))/((N(AN212)+N(AN213)+N(AN214)+N(AN217)+N(AN235)+N(AN238))+AN271),""),"")</f>
        <v>0.374827955343979</v>
      </c>
      <c r="AO335" s="258">
        <f>IFERROR(IF(((N(AO212)+N(AO213)+N(AO214)+N(AO217)+N(AO235)+N(AO238))+N(AO271))&lt;&gt;0,(N(AO212)+N(AO213)+N(AO214)+N(AO217)+N(AO235)+N(AO238))/((N(AO212)+N(AO213)+N(AO214)+N(AO217)+N(AO235)+N(AO238))+AO271),""),"")</f>
        <v>0.366489292518673</v>
      </c>
      <c r="AP335" s="258">
        <f>IFERROR(IF(((N(AP212)+N(AP213)+N(AP214)+N(AP217)+N(AP235)+N(AP238))+N(AP271))&lt;&gt;0,(N(AP212)+N(AP213)+N(AP214)+N(AP217)+N(AP235)+N(AP238))/((N(AP212)+N(AP213)+N(AP214)+N(AP217)+N(AP235)+N(AP238))+AP271),""),"")</f>
        <v>0.358509846844101</v>
      </c>
      <c r="AQ335" s="258">
        <f>IFERROR(IF(((N(AQ212)+N(AQ213)+N(AQ214)+N(AQ217)+N(AQ235)+N(AQ238))+N(AQ271))&lt;&gt;0,(N(AQ212)+N(AQ213)+N(AQ214)+N(AQ217)+N(AQ235)+N(AQ238))/((N(AQ212)+N(AQ213)+N(AQ214)+N(AQ217)+N(AQ235)+N(AQ238))+AQ271),""),"")</f>
        <v>0.358509846844101</v>
      </c>
      <c r="AR335" s="258">
        <f>IFERROR(IF(((N(AR212)+N(AR213)+N(AR214)+N(AR217)+N(AR235)+N(AR238))+N(AR271))&lt;&gt;0,(N(AR212)+N(AR213)+N(AR214)+N(AR217)+N(AR235)+N(AR238))/((N(AR212)+N(AR213)+N(AR214)+N(AR217)+N(AR235)+N(AR238))+AR271),""),"")</f>
        <v>0.351003250531409</v>
      </c>
      <c r="AS335" s="258">
        <f>IFERROR(IF(((N(AS212)+N(AS213)+N(AS214)+N(AS217)+N(AS235)+N(AS238))+N(AS271))&lt;&gt;0,(N(AS212)+N(AS213)+N(AS214)+N(AS217)+N(AS235)+N(AS238))/((N(AS212)+N(AS213)+N(AS214)+N(AS217)+N(AS235)+N(AS238))+AS271),""),"")</f>
        <v>0.34378493131082</v>
      </c>
      <c r="AT335" s="258">
        <f>IFERROR(IF(((N(AT212)+N(AT213)+N(AT214)+N(AT217)+N(AT235)+N(AT238))+N(AT271))&lt;&gt;0,(N(AT212)+N(AT213)+N(AT214)+N(AT217)+N(AT235)+N(AT238))/((N(AT212)+N(AT213)+N(AT214)+N(AT217)+N(AT235)+N(AT238))+AT271),""),"")</f>
        <v>0.336223659836235</v>
      </c>
      <c r="AU335" s="258">
        <f>IFERROR(IF(((N(AU212)+N(AU213)+N(AU214)+N(AU217)+N(AU235)+N(AU238))+N(AU271))&lt;&gt;0,(N(AU212)+N(AU213)+N(AU214)+N(AU217)+N(AU235)+N(AU238))/((N(AU212)+N(AU213)+N(AU214)+N(AU217)+N(AU235)+N(AU238))+AU271),""),"")</f>
        <v>0.328984459887362</v>
      </c>
      <c r="AV335" s="258">
        <f>IFERROR(IF(((N(AV212)+N(AV213)+N(AV214)+N(AV217)+N(AV235)+N(AV238))+N(AV271))&lt;&gt;0,(N(AV212)+N(AV213)+N(AV214)+N(AV217)+N(AV235)+N(AV238))/((N(AV212)+N(AV213)+N(AV214)+N(AV217)+N(AV235)+N(AV238))+AV271),""),"")</f>
        <v>0.328984459887362</v>
      </c>
      <c r="AW335" s="258">
        <f>IFERROR(IF(((N(AW212)+N(AW213)+N(AW214)+N(AW217)+N(AW235)+N(AW238))+N(AW271))&lt;&gt;0,(N(AW212)+N(AW213)+N(AW214)+N(AW217)+N(AW235)+N(AW238))/((N(AW212)+N(AW213)+N(AW214)+N(AW217)+N(AW235)+N(AW238))+AW271),""),"")</f>
        <v>0.322201937465975</v>
      </c>
      <c r="AX335" s="258">
        <f>IFERROR(IF(((N(AX212)+N(AX213)+N(AX214)+N(AX217)+N(AX235)+N(AX238))+N(AX271))&lt;&gt;0,(N(AX212)+N(AX213)+N(AX214)+N(AX217)+N(AX235)+N(AX238))/((N(AX212)+N(AX213)+N(AX214)+N(AX217)+N(AX235)+N(AX238))+AX271),""),"")</f>
        <v>0.315675679254832</v>
      </c>
      <c r="AY335" s="258">
        <f>IFERROR(IF(((N(AY212)+N(AY213)+N(AY214)+N(AY217)+N(AY235)+N(AY238))+N(AY271))&lt;&gt;0,(N(AY212)+N(AY213)+N(AY214)+N(AY217)+N(AY235)+N(AY238))/((N(AY212)+N(AY213)+N(AY214)+N(AY217)+N(AY235)+N(AY238))+AY271),""),"")</f>
        <v>0.308834922891032</v>
      </c>
      <c r="AZ335" s="258">
        <f>IFERROR(IF(((N(AZ212)+N(AZ213)+N(AZ214)+N(AZ217)+N(AZ235)+N(AZ238))+N(AZ271))&lt;&gt;0,(N(AZ212)+N(AZ213)+N(AZ214)+N(AZ217)+N(AZ235)+N(AZ238))/((N(AZ212)+N(AZ213)+N(AZ214)+N(AZ217)+N(AZ235)+N(AZ238))+AZ271),""),"")</f>
        <v>0.302281299594256</v>
      </c>
      <c r="BA335" s="258">
        <f>IFERROR(IF(((N(BA212)+N(BA213)+N(BA214)+N(BA217)+N(BA235)+N(BA238))+N(BA271))&lt;&gt;0,(N(BA212)+N(BA213)+N(BA214)+N(BA217)+N(BA235)+N(BA238))/((N(BA212)+N(BA213)+N(BA214)+N(BA217)+N(BA235)+N(BA238))+BA271),""),"")</f>
        <v>0.302281299594256</v>
      </c>
      <c r="BB335" s="258">
        <f>IFERROR(IF(((N(BB212)+N(BB213)+N(BB214)+N(BB217)+N(BB235)+N(BB238))+N(BB271))&lt;&gt;0,(N(BB212)+N(BB213)+N(BB214)+N(BB217)+N(BB235)+N(BB238))/((N(BB212)+N(BB213)+N(BB214)+N(BB217)+N(BB235)+N(BB238))+BB271),""),"")</f>
        <v>0.296165390414617</v>
      </c>
      <c r="BC335" s="258">
        <f>IFERROR(IF(((N(BC212)+N(BC213)+N(BC214)+N(BC217)+N(BC235)+N(BC238))+N(BC271))&lt;&gt;0,(N(BC212)+N(BC213)+N(BC214)+N(BC217)+N(BC235)+N(BC238))/((N(BC212)+N(BC213)+N(BC214)+N(BC217)+N(BC235)+N(BC238))+BC271),""),"")</f>
        <v>0.290276029156624</v>
      </c>
      <c r="BD335" s="258">
        <f>IFERROR(IF(((N(BD212)+N(BD213)+N(BD214)+N(BD217)+N(BD235)+N(BD238))+N(BD271))&lt;&gt;0,(N(BD212)+N(BD213)+N(BD214)+N(BD217)+N(BD235)+N(BD238))/((N(BD212)+N(BD213)+N(BD214)+N(BD217)+N(BD235)+N(BD238))+BD271),""),"")</f>
        <v>0.284098087352903</v>
      </c>
      <c r="BE335" s="258">
        <f>IFERROR(IF(((N(BE212)+N(BE213)+N(BE214)+N(BE217)+N(BE235)+N(BE238))+N(BE271))&lt;&gt;0,(N(BE212)+N(BE213)+N(BE214)+N(BE217)+N(BE235)+N(BE238))/((N(BE212)+N(BE213)+N(BE214)+N(BE217)+N(BE235)+N(BE238))+BE271),""),"")</f>
        <v>0.278174869225021</v>
      </c>
      <c r="BF335" s="258">
        <f>IFERROR(IF(((N(BF212)+N(BF213)+N(BF214)+N(BF217)+N(BF235)+N(BF238))+N(BF271))&lt;&gt;0,(N(BF212)+N(BF213)+N(BF214)+N(BF217)+N(BF235)+N(BF238))/((N(BF212)+N(BF213)+N(BF214)+N(BF217)+N(BF235)+N(BF238))+BF271),""),"")</f>
        <v>0.278174869225021</v>
      </c>
      <c r="BG335" s="80" t="n"/>
      <c r="BH335" s="80" t="n"/>
      <c r="BI335" s="80" t="n"/>
      <c r="BJ335" s="80" t="n"/>
      <c r="BL335" s="80" t="n"/>
      <c r="BM335" s="80" t="n"/>
      <c r="BN335" s="80" t="n"/>
      <c r="BO335" s="80" t="n"/>
      <c r="BQ335" s="80" t="n"/>
      <c r="BR335" s="80" t="n"/>
      <c r="BS335" s="80" t="n"/>
      <c r="BT335" s="80" t="n"/>
      <c r="BV335" s="80" t="n"/>
      <c r="BW335" s="80" t="n"/>
      <c r="BX335" s="80" t="n"/>
      <c r="BY335" s="80" t="n"/>
      <c r="CA335" s="80" t="n"/>
      <c r="CB335" s="80" t="n"/>
      <c r="CC335" s="80" t="n"/>
      <c r="CD335" s="80" t="n"/>
      <c r="CF335" s="80" t="n"/>
      <c r="CG335" s="80" t="n"/>
      <c r="CH335" s="80" t="n"/>
      <c r="CI335" s="80" t="n"/>
      <c r="CK335" s="80" t="n"/>
      <c r="CL335" s="80" t="n"/>
      <c r="CM335" s="80" t="n"/>
      <c r="CN335" s="80" t="n"/>
      <c r="CP335" s="80" t="n"/>
      <c r="CQ335" s="80" t="n"/>
      <c r="CR335" s="80" t="n"/>
      <c r="CS335" s="80" t="n"/>
      <c r="CU335" s="80" t="n"/>
      <c r="CV335" s="80" t="n"/>
      <c r="CW335" s="80" t="n"/>
      <c r="CX335" s="80" t="n"/>
    </row>
    <row r="336" customFormat="1" s="77">
      <c r="A336" s="76" t="n"/>
      <c r="B336" s="76" t="n"/>
      <c r="C336" s="77" t="inlineStr">
        <is>
          <t>NET DEBT / EBITDA (LTM)</t>
        </is>
      </c>
      <c r="D336" s="82" t="str">
        <f>IFERROR(SUM((D212+D213+D214+D217+D235)-D144)/(D69*4),"")</f>
        <v/>
      </c>
      <c r="E336" s="82" t="str">
        <f>IFERROR(SUM((E212+E213+E214+E217+E235)-E144)/(E69*4),"")</f>
        <v/>
      </c>
      <c r="F336" s="82" t="str">
        <f>IFERROR(SUM((F212+F213+F214+F217+F235)-F144)/(F69*4),"")</f>
        <v/>
      </c>
      <c r="G336" s="82" t="str">
        <f>IFERROR(SUM((G212+G213+G214+G217+G235)-G144)/(G69*4),"")</f>
        <v/>
      </c>
      <c r="H336" s="262" t="str">
        <f>IFERROR(IF(AND(COUNT(H69)=1,(H69)&lt;&gt;0),((N(H212)+N(H213)+N(H214)+N(H217)+N(H235)+N(H238))-N(H144))/(H69),""),"")</f>
        <v/>
      </c>
      <c r="I336" s="262" t="str">
        <f>""</f>
        <v/>
      </c>
      <c r="J336" s="262" t="str">
        <f>""</f>
        <v/>
      </c>
      <c r="K336" s="262" t="str">
        <f>""</f>
        <v/>
      </c>
      <c r="L336" s="262">
        <f>IFERROR(IF(AND(COUNT(I69,J69,K69,L69)=4,(I69+J69+K69+L69)&lt;&gt;0),((N(L212)+N(L213)+N(L214)+N(L217)+N(L235)+N(L238))-N(L144))/(I69+J69+K69+L69),""),"")</f>
        <v>0.816163705536882</v>
      </c>
      <c r="M336" s="262">
        <f>IFERROR(IF(AND(COUNT(I69,J69,K69,L69)=4,(I69+J69+K69+L69)&lt;&gt;0),((N(M212)+N(M213)+N(M214)+N(M217)+N(M235)+N(M238))-N(M144))/(I69+J69+K69+L69),""),"")</f>
        <v>0.816163705536882</v>
      </c>
      <c r="N336" s="262">
        <f>IFERROR(IF(AND(COUNT(J69,K69,L69,N69)=4,(J69+K69+L69+N69)&lt;&gt;0),((N(N212)+N(N213)+N(N214)+N(N217)+N(N235)+N(N238))-N(N144))/(J69+K69+L69+N69),""),"")</f>
        <v>0.699165263234971</v>
      </c>
      <c r="O336" s="262">
        <f>IFERROR(IF(AND(COUNT(K69,L69,N69,O69)=4,(K69+L69+N69+O69)&lt;&gt;0),((N(O212)+N(O213)+N(O214)+N(O217)+N(O235)+N(O238))-N(O144))/(K69+L69+N69+O69),""),"")</f>
        <v>0.822230801628527</v>
      </c>
      <c r="P336" s="262">
        <f>IFERROR(IF(AND(COUNT(L69,N69,O69,P69)=4,(L69+N69+O69+P69)&lt;&gt;0),((N(P212)+N(P213)+N(P214)+N(P217)+N(P235)+N(P238))-N(P144))/(L69+N69+O69+P69),""),"")</f>
        <v>0.20281429609566</v>
      </c>
      <c r="Q336" s="262">
        <f>IFERROR(IF(AND(COUNT(N69,O69,P69,Q69)=4,(N69+O69+P69+Q69)&lt;&gt;0),((N(Q212)+N(Q213)+N(Q214)+N(Q217)+N(Q235)+N(Q238))-N(Q144))/(N69+O69+P69+Q69),""),"")</f>
        <v>0.93331239202136</v>
      </c>
      <c r="R336" s="262">
        <f>IFERROR(IF(AND(COUNT(N69,O69,P69,Q69)=4,(N69+O69+P69+Q69)&lt;&gt;0),((N(R212)+N(R213)+N(R214)+N(R217)+N(R235)+N(R238))-N(R144))/(N69+O69+P69+Q69),""),"")</f>
        <v>0.93331239202136</v>
      </c>
      <c r="S336" s="262">
        <f>IFERROR(IF(AND(COUNT(O69,P69,Q69,S69)=4,(O69+P69+Q69+S69)&lt;&gt;0),((N(S212)+N(S213)+N(S214)+N(S217)+N(S235)+N(S238))-N(S144))/(O69+P69+Q69+S69),""),"")</f>
        <v>0.726661237293759</v>
      </c>
      <c r="T336" s="262">
        <f>IFERROR(IF(AND(COUNT(P69,Q69,S69,T69)=4,(P69+Q69+S69+T69)&lt;&gt;0),((N(T212)+N(T213)+N(T214)+N(T217)+N(T235)+N(T238))-N(T144))/(P69+Q69+S69+T69),""),"")</f>
        <v>0.563023004927545</v>
      </c>
      <c r="U336" s="262">
        <f>IFERROR(IF(AND(COUNT(Q69,S69,T69,U69)=4,(Q69+S69+T69+U69)&lt;&gt;0),((N(U212)+N(U213)+N(U214)+N(U217)+N(U235)+N(U238))-N(U144))/(Q69+S69+T69+U69),""),"")</f>
        <v>0.542262239729882</v>
      </c>
      <c r="V336" s="262">
        <f>IFERROR(IF(AND(COUNT(S69,T69,U69,V69)=4,(S69+T69+U69+V69)&lt;&gt;0),((N(V212)+N(V213)+N(V214)+N(V217)+N(V235)+N(V238))-N(V144))/(S69+T69+U69+V69),""),"")</f>
        <v>0.905835397742912</v>
      </c>
      <c r="W336" s="262">
        <f>IFERROR(IF(AND(COUNT(S69,T69,U69,V69)=4,(S69+T69+U69+V69)&lt;&gt;0),((N(W212)+N(W213)+N(W214)+N(W217)+N(W235)+N(W238))-N(W144))/(S69+T69+U69+V69),""),"")</f>
        <v>0.905835397742912</v>
      </c>
      <c r="X336" s="262">
        <f>IFERROR(IF(AND(COUNT(T69,U69,V69,X69)=4,(T69+U69+V69+X69)&lt;&gt;0),((N(X212)+N(X213)+N(X214)+N(X217)+N(X235)+N(X238))-N(X144))/(T69+U69+V69+X69),""),"")</f>
        <v>1.13051765095851</v>
      </c>
      <c r="Y336" s="262">
        <f>IFERROR(IF(AND(COUNT(U69,V69,X69,Y69)=4,(U69+V69+X69+Y69)&lt;&gt;0),((N(Y212)+N(Y213)+N(Y214)+N(Y217)+N(Y235)+N(Y238))-N(Y144))/(U69+V69+X69+Y69),""),"")</f>
        <v>1.21533079763458</v>
      </c>
      <c r="Z336" s="262">
        <f>IFERROR(IF(AND(COUNT(V69,X69,Y69,Z69)=4,(V69+X69+Y69+Z69)&lt;&gt;0),((N(Z212)+N(Z213)+N(Z214)+N(Z217)+N(Z235)+N(Z238))-N(Z144))/(V69+X69+Y69+Z69),""),"")</f>
        <v>1.12808058506968</v>
      </c>
      <c r="AA336" s="262">
        <f>IFERROR(IF(AND(COUNT(X69,Y69,Z69,AA69)=4,(X69+Y69+Z69+AA69)&lt;&gt;0),((N(AA212)+N(AA213)+N(AA214)+N(AA217)+N(AA235)+N(AA238))-N(AA144))/(X69+Y69+Z69+AA69),""),"")</f>
        <v>1.31344473149013</v>
      </c>
      <c r="AB336" s="262">
        <f>IFERROR(IF(AND(COUNT(X69,Y69,Z69,AA69)=4,(X69+Y69+Z69+AA69)&lt;&gt;0),((N(AB212)+N(AB213)+N(AB214)+N(AB217)+N(AB235)+N(AB238))-N(AB144))/(X69+Y69+Z69+AA69),""),"")</f>
        <v>1.31344473149013</v>
      </c>
      <c r="AC336" s="262">
        <f>IFERROR(IF(AND(COUNT(Y69,Z69,AA69,AC69)=4,(Y69+Z69+AA69+AC69)&lt;&gt;0),((N(AC212)+N(AC213)+N(AC214)+N(AC217)+N(AC235)+N(AC238))-N(AC144))/(Y69+Z69+AA69+AC69),""),"")</f>
        <v>1.24820659971306</v>
      </c>
      <c r="AD336" s="262">
        <f>IFERROR(IF(AND(COUNT(Z69,AA69,AC69,AD69)=4,(Z69+AA69+AC69+AD69)&lt;&gt;0),((N(AD212)+N(AD213)+N(AD214)+N(AD217)+N(AD235)+N(AD238))-N(AD144))/(Z69+AA69+AC69+AD69),""),"")</f>
        <v>1.34868627955514</v>
      </c>
      <c r="AE336" s="262">
        <f>IFERROR(IF(AND(COUNT(AA69,AC69,AD69,AE69)=4,(AA69+AC69+AD69+AE69)&lt;&gt;0),((N(AE212)+N(AE213)+N(AE214)+N(AE217)+N(AE235)+N(AE238))-N(AE144))/(AA69+AC69+AD69+AE69),""),"")</f>
        <v>1.61614777103322</v>
      </c>
      <c r="AF336" s="262">
        <f>IFERROR(IF(AND(COUNT(AB69,AD69,AE69,AF69)=4,(AB69+AD69+AE69+AF69)&lt;&gt;0),((N(AF212)+N(AF213)+N(AF214)+N(AF217)+N(AF235)+N(AF238))-N(AF144))/(AB69+AD69+AE69+AF69),""),"")</f>
        <v>1.01487957037007</v>
      </c>
      <c r="AG336" s="262">
        <f>IFERROR(IF(AND(COUNT(AC69,AD69,AE69,AF69)=4,(AC69+AD69+AE69+AF69)&lt;&gt;0),((N(AG212)+N(AG213)+N(AG214)+N(AG217)+N(AG235)+N(AG238))-N(AG144))/(AC69+AD69+AE69+AF69),""),"")</f>
        <v>2.15511254019293</v>
      </c>
      <c r="AH336" s="262">
        <f>IFERROR(IF(AND(COUNT(AD69,AF69,AG69,AH69)=4,(AD69+AF69+AG69+AH69)&lt;&gt;0),((N(AH212)+N(AH213)+N(AH214)+N(AH217)+N(AH235)+N(AH238))-N(AH144))/(AD69+AF69+AG69+AH69),""),"")</f>
        <v>1.13665246500304</v>
      </c>
      <c r="AI336" s="262">
        <f>IFERROR(IF(AND(COUNT(AE69,AG69,AH69,AI69)=4,(AE69+AG69+AH69+AI69)&lt;&gt;0),((N(AI212)+N(AI213)+N(AI214)+N(AI217)+N(AI235)+N(AI238))-N(AI144))/(AE69+AG69+AH69+AI69),""),"")</f>
        <v>0.875933792295298</v>
      </c>
      <c r="AJ336" s="262">
        <f>IFERROR(IF(AND(COUNT(AF69,AH69,AI69,AJ69)=4,(AF69+AH69+AI69+AJ69)&lt;&gt;0),((N(AJ212)+N(AJ213)+N(AJ214)+N(AJ217)+N(AJ235)+N(AJ238))-N(AJ144))/(AF69+AH69+AI69+AJ69),""),"")</f>
        <v>1.49605598550199</v>
      </c>
      <c r="AK336" s="262">
        <f>IFERROR(IF(AND(COUNT(AH69,AI69,AJ69,AK69)=4,(AH69+AI69+AJ69+AK69)&lt;&gt;0),((N(AK212)+N(AK213)+N(AK214)+N(AK217)+N(AK235)+N(AK238))-N(AK144))/(AH69+AI69+AJ69+AK69),""),"")</f>
        <v>1.10680049782153</v>
      </c>
      <c r="AL336" s="262">
        <f>IFERROR(IF(AND(COUNT(AH69,AI69,AJ69,AK69)=4,(AH69+AI69+AJ69+AK69)&lt;&gt;0),((N(AL212)+N(AL213)+N(AL214)+N(AL217)+N(AL235)+N(AL238))-N(AL144))/(AH69+AI69+AJ69+AK69),""),"")</f>
        <v>1.10680049782153</v>
      </c>
      <c r="AM336" s="262">
        <f>IFERROR(IF(AND(COUNT(AI69,AJ69,AK69,AM69)=4,(AI69+AJ69+AK69+AM69)&lt;&gt;0),((N(AM212)+N(AM213)+N(AM214)+N(AM217)+N(AM235)+N(AM238))-N(AM144))/(AI69+AJ69+AK69+AM69),""),"")</f>
        <v>1.05924516095979</v>
      </c>
      <c r="AN336" s="262">
        <f>IFERROR(IF(AND(COUNT(AJ69,AK69,AM69,AN69)=4,(AJ69+AK69+AM69+AN69)&lt;&gt;0),((N(AN212)+N(AN213)+N(AN214)+N(AN217)+N(AN235)+N(AN238))-N(AN144))/(AJ69+AK69+AM69+AN69),""),"")</f>
        <v>0.97850576513192</v>
      </c>
      <c r="AO336" s="262">
        <f>IFERROR(IF(AND(COUNT(AK69,AM69,AN69,AO69)=4,(AK69+AM69+AN69+AO69)&lt;&gt;0),((N(AO212)+N(AO213)+N(AO214)+N(AO217)+N(AO235)+N(AO238))-N(AO144))/(AK69+AM69+AN69+AO69),""),"")</f>
        <v>0.783375091376555</v>
      </c>
      <c r="AP336" s="262">
        <f>IFERROR(IF(AND(COUNT(AM69,AN69,AO69,AP69)=4,(AM69+AN69+AO69+AP69)&lt;&gt;0),((N(AP212)+N(AP213)+N(AP214)+N(AP217)+N(AP235)+N(AP238))-N(AP144))/(AM69+AN69+AO69+AP69),""),"")</f>
        <v>0.630321622238093</v>
      </c>
      <c r="AQ336" s="262">
        <f>IFERROR(IF(AND(COUNT(AM69,AN69,AO69,AP69)=4,(AM69+AN69+AO69+AP69)&lt;&gt;0),((N(AQ212)+N(AQ213)+N(AQ214)+N(AQ217)+N(AQ235)+N(AQ238))-N(AQ144))/(AM69+AN69+AO69+AP69),""),"")</f>
        <v>0.630321622238093</v>
      </c>
      <c r="AR336" s="262">
        <f>IFERROR(IF(AND(COUNT(AN69,AO69,AP69,AR69)=4,(AN69+AO69+AP69+AR69)&lt;&gt;0),((N(AR212)+N(AR213)+N(AR214)+N(AR217)+N(AR235)+N(AR238))-N(AR144))/(AN69+AO69+AP69+AR69),""),"")</f>
        <v>0.489685341593577</v>
      </c>
      <c r="AS336" s="262">
        <f>IFERROR(IF(AND(COUNT(AO69,AP69,AR69,AS69)=4,(AO69+AP69+AR69+AS69)&lt;&gt;0),((N(AS212)+N(AS213)+N(AS214)+N(AS217)+N(AS235)+N(AS238))-N(AS144))/(AO69+AP69+AR69+AS69),""),"")</f>
        <v>0.349391774806605</v>
      </c>
      <c r="AT336" s="262">
        <f>IFERROR(IF(AND(COUNT(AP69,AR69,AS69,AT69)=4,(AP69+AR69+AS69+AT69)&lt;&gt;0),((N(AT212)+N(AT213)+N(AT214)+N(AT217)+N(AT235)+N(AT238))-N(AT144))/(AP69+AR69+AS69+AT69),""),"")</f>
        <v>0.167673272065258</v>
      </c>
      <c r="AU336" s="262">
        <f>IFERROR(IF(AND(COUNT(AR69,AS69,AT69,AU69)=4,(AR69+AS69+AT69+AU69)&lt;&gt;0),((N(AU212)+N(AU213)+N(AU214)+N(AU217)+N(AU235)+N(AU238))-N(AU144))/(AR69+AS69+AT69+AU69),""),"")</f>
        <v>0.0270956034970698</v>
      </c>
      <c r="AV336" s="262">
        <f>IFERROR(IF(AND(COUNT(AR69,AS69,AT69,AU69)=4,(AR69+AS69+AT69+AU69)&lt;&gt;0),((N(AV212)+N(AV213)+N(AV214)+N(AV217)+N(AV235)+N(AV238))-N(AV144))/(AR69+AS69+AT69+AU69),""),"")</f>
        <v>0.0270956034970698</v>
      </c>
      <c r="AW336" s="262">
        <f>IFERROR(IF(AND(COUNT(AS69,AT69,AU69,AW69)=4,(AS69+AT69+AU69+AW69)&lt;&gt;0),((N(AW212)+N(AW213)+N(AW214)+N(AW217)+N(AW235)+N(AW238))-N(AW144))/(AS69+AT69+AU69+AW69),""),"")</f>
        <v>-0.104959155470637</v>
      </c>
      <c r="AX336" s="262">
        <f>IFERROR(IF(AND(COUNT(AT69,AU69,AW69,AX69)=4,(AT69+AU69+AW69+AX69)&lt;&gt;0),((N(AX212)+N(AX213)+N(AX214)+N(AX217)+N(AX235)+N(AX238))-N(AX144))/(AT69+AU69+AW69+AX69),""),"")</f>
        <v>-0.229558396941592</v>
      </c>
      <c r="AY336" s="262">
        <f>IFERROR(IF(AND(COUNT(AU69,AW69,AX69,AY69)=4,(AU69+AW69+AX69+AY69)&lt;&gt;0),((N(AY212)+N(AY213)+N(AY214)+N(AY217)+N(AY235)+N(AY238))-N(AY144))/(AU69+AW69+AX69+AY69),""),"")</f>
        <v>-0.400234754854185</v>
      </c>
      <c r="AZ336" s="262">
        <f>IFERROR(IF(AND(COUNT(AW69,AX69,AY69,AZ69)=4,(AW69+AX69+AY69+AZ69)&lt;&gt;0),((N(AZ212)+N(AZ213)+N(AZ214)+N(AZ217)+N(AZ235)+N(AZ238))-N(AZ144))/(AW69+AX69+AY69+AZ69),""),"")</f>
        <v>-0.530567225234127</v>
      </c>
      <c r="BA336" s="262">
        <f>IFERROR(IF(AND(COUNT(AW69,AX69,AY69,AZ69)=4,(AW69+AX69+AY69+AZ69)&lt;&gt;0),((N(BA212)+N(BA213)+N(BA214)+N(BA217)+N(BA235)+N(BA238))-N(BA144))/(AW69+AX69+AY69+AZ69),""),"")</f>
        <v>-0.530567225234127</v>
      </c>
      <c r="BB336" s="262">
        <f>IFERROR(IF(AND(COUNT(AX69,AY69,AZ69,BB69)=4,(AX69+AY69+AZ69+BB69)&lt;&gt;0),((N(BB212)+N(BB213)+N(BB214)+N(BB217)+N(BB235)+N(BB238))-N(BB144))/(AX69+AY69+AZ69+BB69),""),"")</f>
        <v>-0.651182009956747</v>
      </c>
      <c r="BC336" s="262">
        <f>IFERROR(IF(AND(COUNT(AY69,AZ69,BB69,BC69)=4,(AY69+AZ69+BB69+BC69)&lt;&gt;0),((N(BC212)+N(BC213)+N(BC214)+N(BC217)+N(BC235)+N(BC238))-N(BC144))/(AY69+AZ69+BB69+BC69),""),"")</f>
        <v>-0.767046986866383</v>
      </c>
      <c r="BD336" s="262">
        <f>IFERROR(IF(AND(COUNT(AZ69,BB69,BC69,BD69)=4,(AZ69+BB69+BC69+BD69)&lt;&gt;0),((N(BD212)+N(BD213)+N(BD214)+N(BD217)+N(BD235)+N(BD238))-N(BD144))/(AZ69+BB69+BC69+BD69),""),"")</f>
        <v>-0.928742452553491</v>
      </c>
      <c r="BE336" s="262">
        <f>IFERROR(IF(AND(COUNT(BB69,BC69,BD69,BE69)=4,(BB69+BC69+BD69+BE69)&lt;&gt;0),((N(BE212)+N(BE213)+N(BE214)+N(BE217)+N(BE235)+N(BE238))-N(BE144))/(BB69+BC69+BD69+BE69),""),"")</f>
        <v>-1.05077707830749</v>
      </c>
      <c r="BF336" s="262">
        <f>IFERROR(IF(AND(COUNT(BB69,BC69,BD69,BE69)=4,(BB69+BC69+BD69+BE69)&lt;&gt;0),((N(BF212)+N(BF213)+N(BF214)+N(BF217)+N(BF235)+N(BF238))-N(BF144))/(BB69+BC69+BD69+BE69),""),"")</f>
        <v>-1.05077707830749</v>
      </c>
      <c r="BG336" s="82" t="n"/>
      <c r="BH336" s="82" t="n"/>
      <c r="BI336" s="82" t="n"/>
      <c r="BJ336" s="82" t="n"/>
      <c r="BL336" s="82" t="n"/>
      <c r="BM336" s="82" t="n"/>
      <c r="BN336" s="82" t="n"/>
      <c r="BO336" s="82" t="n"/>
      <c r="BQ336" s="82" t="n"/>
      <c r="BR336" s="82" t="n"/>
      <c r="BS336" s="82" t="n"/>
      <c r="BT336" s="82" t="n"/>
      <c r="BV336" s="82" t="n"/>
      <c r="BW336" s="82" t="n"/>
      <c r="BX336" s="82" t="n"/>
      <c r="BY336" s="82" t="n"/>
      <c r="CA336" s="82" t="n"/>
      <c r="CB336" s="82" t="n"/>
      <c r="CC336" s="82" t="n"/>
      <c r="CD336" s="82" t="n"/>
      <c r="CF336" s="82" t="n"/>
      <c r="CG336" s="82" t="n"/>
      <c r="CH336" s="82" t="n"/>
      <c r="CI336" s="82" t="n"/>
      <c r="CK336" s="82" t="n"/>
      <c r="CL336" s="82" t="n"/>
      <c r="CM336" s="82" t="n"/>
      <c r="CN336" s="82" t="n"/>
      <c r="CP336" s="82" t="n"/>
      <c r="CQ336" s="82" t="n"/>
      <c r="CR336" s="82" t="n"/>
      <c r="CS336" s="82" t="n"/>
      <c r="CU336" s="82" t="n"/>
      <c r="CV336" s="82" t="n"/>
      <c r="CW336" s="82" t="n"/>
      <c r="CX336" s="82" t="n"/>
    </row>
    <row r="337" customFormat="1" s="77">
      <c r="A337" s="76" t="n"/>
      <c r="B337" s="76" t="n"/>
      <c r="C337" s="83" t="inlineStr">
        <is>
          <t>NET DEBT (EX IFRS 16.) / EBITDA (LTM)</t>
        </is>
      </c>
      <c r="D337" s="82" t="str">
        <f>IFERROR(SUM((D212+D213+D217)-D144)/(D69*4),"")</f>
        <v/>
      </c>
      <c r="E337" s="82" t="str">
        <f>IFERROR(SUM((E212+E213+E217)-E144)/(E69*4),"")</f>
        <v/>
      </c>
      <c r="F337" s="82" t="str">
        <f>IFERROR(SUM((F212+F213+F217)-F144)/(F69*4),"")</f>
        <v/>
      </c>
      <c r="G337" s="82" t="str">
        <f>IFERROR(SUM((G212+G213+G217)-G144)/(G69*4),"")</f>
        <v/>
      </c>
      <c r="H337" s="262" t="str">
        <f>IFERROR(IF(AND(COUNT(H69)=1,(H69)&lt;&gt;0),((N(H212)+N(H213)+N(H217)+N(H238))-N(H144))/(H69),""),"")</f>
        <v/>
      </c>
      <c r="I337" s="262" t="str">
        <f>""</f>
        <v/>
      </c>
      <c r="J337" s="262" t="str">
        <f>""</f>
        <v/>
      </c>
      <c r="K337" s="262" t="str">
        <f>""</f>
        <v/>
      </c>
      <c r="L337" s="262">
        <f>IFERROR(IF(AND(COUNT(I69,J69,K69,L69)=4,(I69+J69+K69+L69)&lt;&gt;0),((N(L212)+N(L213)+N(L217)+N(L238))-N(L144))/(I69+J69+K69+L69),""),"")</f>
        <v>0.816163705536882</v>
      </c>
      <c r="M337" s="262">
        <f>IFERROR(IF(AND(COUNT(I69,J69,K69,L69)=4,(I69+J69+K69+L69)&lt;&gt;0),((N(M212)+N(M213)+N(M217)+N(M238))-N(M144))/(I69+J69+K69+L69),""),"")</f>
        <v>0.816163705536882</v>
      </c>
      <c r="N337" s="262">
        <f>IFERROR(IF(AND(COUNT(J69,K69,L69,N69)=4,(J69+K69+L69+N69)&lt;&gt;0),((N(N212)+N(N213)+N(N217)+N(N238))-N(N144))/(J69+K69+L69+N69),""),"")</f>
        <v>0.699165263234971</v>
      </c>
      <c r="O337" s="262">
        <f>IFERROR(IF(AND(COUNT(K69,L69,N69,O69)=4,(K69+L69+N69+O69)&lt;&gt;0),((N(O212)+N(O213)+N(O217)+N(O238))-N(O144))/(K69+L69+N69+O69),""),"")</f>
        <v>0.822230801628527</v>
      </c>
      <c r="P337" s="262">
        <f>IFERROR(IF(AND(COUNT(L69,N69,O69,P69)=4,(L69+N69+O69+P69)&lt;&gt;0),((N(P212)+N(P213)+N(P217)+N(P238))-N(P144))/(L69+N69+O69+P69),""),"")</f>
        <v>0.20281429609566</v>
      </c>
      <c r="Q337" s="262">
        <f>IFERROR(IF(AND(COUNT(N69,O69,P69,Q69)=4,(N69+O69+P69+Q69)&lt;&gt;0),((N(Q212)+N(Q213)+N(Q217)+N(Q238))-N(Q144))/(N69+O69+P69+Q69),""),"")</f>
        <v>0.93331239202136</v>
      </c>
      <c r="R337" s="262">
        <f>IFERROR(IF(AND(COUNT(N69,O69,P69,Q69)=4,(N69+O69+P69+Q69)&lt;&gt;0),((N(R212)+N(R213)+N(R217)+N(R238))-N(R144))/(N69+O69+P69+Q69),""),"")</f>
        <v>0.93331239202136</v>
      </c>
      <c r="S337" s="262">
        <f>IFERROR(IF(AND(COUNT(O69,P69,Q69,S69)=4,(O69+P69+Q69+S69)&lt;&gt;0),((N(S212)+N(S213)+N(S217)+N(S238))-N(S144))/(O69+P69+Q69+S69),""),"")</f>
        <v>0.726661237293759</v>
      </c>
      <c r="T337" s="262">
        <f>IFERROR(IF(AND(COUNT(P69,Q69,S69,T69)=4,(P69+Q69+S69+T69)&lt;&gt;0),((N(T212)+N(T213)+N(T217)+N(T238))-N(T144))/(P69+Q69+S69+T69),""),"")</f>
        <v>0.563023004927545</v>
      </c>
      <c r="U337" s="262">
        <f>IFERROR(IF(AND(COUNT(Q69,S69,T69,U69)=4,(Q69+S69+T69+U69)&lt;&gt;0),((N(U212)+N(U213)+N(U217)+N(U238))-N(U144))/(Q69+S69+T69+U69),""),"")</f>
        <v>0.542262239729882</v>
      </c>
      <c r="V337" s="262">
        <f>IFERROR(IF(AND(COUNT(S69,T69,U69,V69)=4,(S69+T69+U69+V69)&lt;&gt;0),((N(V212)+N(V213)+N(V217)+N(V238))-N(V144))/(S69+T69+U69+V69),""),"")</f>
        <v>0.905835397742912</v>
      </c>
      <c r="W337" s="262">
        <f>IFERROR(IF(AND(COUNT(S69,T69,U69,V69)=4,(S69+T69+U69+V69)&lt;&gt;0),((N(W212)+N(W213)+N(W217)+N(W238))-N(W144))/(S69+T69+U69+V69),""),"")</f>
        <v>0.905835397742912</v>
      </c>
      <c r="X337" s="262">
        <f>IFERROR(IF(AND(COUNT(T69,U69,V69,X69)=4,(T69+U69+V69+X69)&lt;&gt;0),((N(X212)+N(X213)+N(X217)+N(X238))-N(X144))/(T69+U69+V69+X69),""),"")</f>
        <v>1.13051765095851</v>
      </c>
      <c r="Y337" s="262">
        <f>IFERROR(IF(AND(COUNT(U69,V69,X69,Y69)=4,(U69+V69+X69+Y69)&lt;&gt;0),((N(Y212)+N(Y213)+N(Y217)+N(Y238))-N(Y144))/(U69+V69+X69+Y69),""),"")</f>
        <v>1.21533079763458</v>
      </c>
      <c r="Z337" s="262">
        <f>IFERROR(IF(AND(COUNT(V69,X69,Y69,Z69)=4,(V69+X69+Y69+Z69)&lt;&gt;0),((N(Z212)+N(Z213)+N(Z217)+N(Z238))-N(Z144))/(V69+X69+Y69+Z69),""),"")</f>
        <v>1.12808058506968</v>
      </c>
      <c r="AA337" s="262">
        <f>IFERROR(IF(AND(COUNT(X69,Y69,Z69,AA69)=4,(X69+Y69+Z69+AA69)&lt;&gt;0),((N(AA212)+N(AA213)+N(AA217)+N(AA238))-N(AA144))/(X69+Y69+Z69+AA69),""),"")</f>
        <v>1.31344473149013</v>
      </c>
      <c r="AB337" s="262">
        <f>IFERROR(IF(AND(COUNT(X69,Y69,Z69,AA69)=4,(X69+Y69+Z69+AA69)&lt;&gt;0),((N(AB212)+N(AB213)+N(AB217)+N(AB238))-N(AB144))/(X69+Y69+Z69+AA69),""),"")</f>
        <v>1.31344473149013</v>
      </c>
      <c r="AC337" s="262">
        <f>IFERROR(IF(AND(COUNT(Y69,Z69,AA69,AC69)=4,(Y69+Z69+AA69+AC69)&lt;&gt;0),((N(AC212)+N(AC213)+N(AC217)+N(AC238))-N(AC144))/(Y69+Z69+AA69+AC69),""),"")</f>
        <v>1.24820659971306</v>
      </c>
      <c r="AD337" s="262">
        <f>IFERROR(IF(AND(COUNT(Z69,AA69,AC69,AD69)=4,(Z69+AA69+AC69+AD69)&lt;&gt;0),((N(AD212)+N(AD213)+N(AD217)+N(AD238))-N(AD144))/(Z69+AA69+AC69+AD69),""),"")</f>
        <v>1.34868627955514</v>
      </c>
      <c r="AE337" s="262">
        <f>IFERROR(IF(AND(COUNT(AA69,AC69,AD69,AE69)=4,(AA69+AC69+AD69+AE69)&lt;&gt;0),((N(AE212)+N(AE213)+N(AE217)+N(AE238))-N(AE144))/(AA69+AC69+AD69+AE69),""),"")</f>
        <v>1.61614777103322</v>
      </c>
      <c r="AF337" s="262">
        <f>IFERROR(IF(AND(COUNT(AB69,AD69,AE69,AF69)=4,(AB69+AD69+AE69+AF69)&lt;&gt;0),((N(AF212)+N(AF213)+N(AF217)+N(AF238))-N(AF144))/(AB69+AD69+AE69+AF69),""),"")</f>
        <v>1.01487957037007</v>
      </c>
      <c r="AG337" s="262">
        <f>IFERROR(IF(AND(COUNT(AC69,AD69,AE69,AF69)=4,(AC69+AD69+AE69+AF69)&lt;&gt;0),((N(AG212)+N(AG213)+N(AG217)+N(AG238))-N(AG144))/(AC69+AD69+AE69+AF69),""),"")</f>
        <v>2.15511254019293</v>
      </c>
      <c r="AH337" s="262">
        <f>IFERROR(IF(AND(COUNT(AD69,AF69,AG69,AH69)=4,(AD69+AF69+AG69+AH69)&lt;&gt;0),((N(AH212)+N(AH213)+N(AH217)+N(AH238))-N(AH144))/(AD69+AF69+AG69+AH69),""),"")</f>
        <v>1.13665246500304</v>
      </c>
      <c r="AI337" s="262">
        <f>IFERROR(IF(AND(COUNT(AE69,AG69,AH69,AI69)=4,(AE69+AG69+AH69+AI69)&lt;&gt;0),((N(AI212)+N(AI213)+N(AI217)+N(AI238))-N(AI144))/(AE69+AG69+AH69+AI69),""),"")</f>
        <v>0.875933792295298</v>
      </c>
      <c r="AJ337" s="262">
        <f>IFERROR(IF(AND(COUNT(AF69,AH69,AI69,AJ69)=4,(AF69+AH69+AI69+AJ69)&lt;&gt;0),((N(AJ212)+N(AJ213)+N(AJ217)+N(AJ238))-N(AJ144))/(AF69+AH69+AI69+AJ69),""),"")</f>
        <v>1.49605598550199</v>
      </c>
      <c r="AK337" s="262">
        <f>IFERROR(IF(AND(COUNT(AH69,AI69,AJ69,AK69)=4,(AH69+AI69+AJ69+AK69)&lt;&gt;0),((N(AK212)+N(AK213)+N(AK217)+N(AK238))-N(AK144))/(AH69+AI69+AJ69+AK69),""),"")</f>
        <v>1.10680049782153</v>
      </c>
      <c r="AL337" s="262">
        <f>IFERROR(IF(AND(COUNT(AH69,AI69,AJ69,AK69)=4,(AH69+AI69+AJ69+AK69)&lt;&gt;0),((N(AL212)+N(AL213)+N(AL217)+N(AL238))-N(AL144))/(AH69+AI69+AJ69+AK69),""),"")</f>
        <v>1.10680049782153</v>
      </c>
      <c r="AM337" s="262">
        <f>IFERROR(IF(AND(COUNT(AI69,AJ69,AK69,AM69)=4,(AI69+AJ69+AK69+AM69)&lt;&gt;0),((N(AM212)+N(AM213)+N(AM217)+N(AM238))-N(AM144))/(AI69+AJ69+AK69+AM69),""),"")</f>
        <v>1.05924516095979</v>
      </c>
      <c r="AN337" s="262">
        <f>IFERROR(IF(AND(COUNT(AJ69,AK69,AM69,AN69)=4,(AJ69+AK69+AM69+AN69)&lt;&gt;0),((N(AN212)+N(AN213)+N(AN217)+N(AN238))-N(AN144))/(AJ69+AK69+AM69+AN69),""),"")</f>
        <v>0.97850576513192</v>
      </c>
      <c r="AO337" s="262">
        <f>IFERROR(IF(AND(COUNT(AK69,AM69,AN69,AO69)=4,(AK69+AM69+AN69+AO69)&lt;&gt;0),((N(AO212)+N(AO213)+N(AO217)+N(AO238))-N(AO144))/(AK69+AM69+AN69+AO69),""),"")</f>
        <v>0.783375091376555</v>
      </c>
      <c r="AP337" s="262">
        <f>IFERROR(IF(AND(COUNT(AM69,AN69,AO69,AP69)=4,(AM69+AN69+AO69+AP69)&lt;&gt;0),((N(AP212)+N(AP213)+N(AP217)+N(AP238))-N(AP144))/(AM69+AN69+AO69+AP69),""),"")</f>
        <v>0.630321622238093</v>
      </c>
      <c r="AQ337" s="262">
        <f>IFERROR(IF(AND(COUNT(AM69,AN69,AO69,AP69)=4,(AM69+AN69+AO69+AP69)&lt;&gt;0),((N(AQ212)+N(AQ213)+N(AQ217)+N(AQ238))-N(AQ144))/(AM69+AN69+AO69+AP69),""),"")</f>
        <v>0.630321622238093</v>
      </c>
      <c r="AR337" s="262">
        <f>IFERROR(IF(AND(COUNT(AN69,AO69,AP69,AR69)=4,(AN69+AO69+AP69+AR69)&lt;&gt;0),((N(AR212)+N(AR213)+N(AR217)+N(AR238))-N(AR144))/(AN69+AO69+AP69+AR69),""),"")</f>
        <v>0.489685341593577</v>
      </c>
      <c r="AS337" s="262">
        <f>IFERROR(IF(AND(COUNT(AO69,AP69,AR69,AS69)=4,(AO69+AP69+AR69+AS69)&lt;&gt;0),((N(AS212)+N(AS213)+N(AS217)+N(AS238))-N(AS144))/(AO69+AP69+AR69+AS69),""),"")</f>
        <v>0.349391774806605</v>
      </c>
      <c r="AT337" s="262">
        <f>IFERROR(IF(AND(COUNT(AP69,AR69,AS69,AT69)=4,(AP69+AR69+AS69+AT69)&lt;&gt;0),((N(AT212)+N(AT213)+N(AT217)+N(AT238))-N(AT144))/(AP69+AR69+AS69+AT69),""),"")</f>
        <v>0.167673272065258</v>
      </c>
      <c r="AU337" s="262">
        <f>IFERROR(IF(AND(COUNT(AR69,AS69,AT69,AU69)=4,(AR69+AS69+AT69+AU69)&lt;&gt;0),((N(AU212)+N(AU213)+N(AU217)+N(AU238))-N(AU144))/(AR69+AS69+AT69+AU69),""),"")</f>
        <v>0.0270956034970698</v>
      </c>
      <c r="AV337" s="262">
        <f>IFERROR(IF(AND(COUNT(AR69,AS69,AT69,AU69)=4,(AR69+AS69+AT69+AU69)&lt;&gt;0),((N(AV212)+N(AV213)+N(AV217)+N(AV238))-N(AV144))/(AR69+AS69+AT69+AU69),""),"")</f>
        <v>0.0270956034970698</v>
      </c>
      <c r="AW337" s="262">
        <f>IFERROR(IF(AND(COUNT(AS69,AT69,AU69,AW69)=4,(AS69+AT69+AU69+AW69)&lt;&gt;0),((N(AW212)+N(AW213)+N(AW217)+N(AW238))-N(AW144))/(AS69+AT69+AU69+AW69),""),"")</f>
        <v>-0.104959155470637</v>
      </c>
      <c r="AX337" s="262">
        <f>IFERROR(IF(AND(COUNT(AT69,AU69,AW69,AX69)=4,(AT69+AU69+AW69+AX69)&lt;&gt;0),((N(AX212)+N(AX213)+N(AX217)+N(AX238))-N(AX144))/(AT69+AU69+AW69+AX69),""),"")</f>
        <v>-0.229558396941592</v>
      </c>
      <c r="AY337" s="262">
        <f>IFERROR(IF(AND(COUNT(AU69,AW69,AX69,AY69)=4,(AU69+AW69+AX69+AY69)&lt;&gt;0),((N(AY212)+N(AY213)+N(AY217)+N(AY238))-N(AY144))/(AU69+AW69+AX69+AY69),""),"")</f>
        <v>-0.400234754854185</v>
      </c>
      <c r="AZ337" s="262">
        <f>IFERROR(IF(AND(COUNT(AW69,AX69,AY69,AZ69)=4,(AW69+AX69+AY69+AZ69)&lt;&gt;0),((N(AZ212)+N(AZ213)+N(AZ217)+N(AZ238))-N(AZ144))/(AW69+AX69+AY69+AZ69),""),"")</f>
        <v>-0.530567225234127</v>
      </c>
      <c r="BA337" s="262">
        <f>IFERROR(IF(AND(COUNT(AW69,AX69,AY69,AZ69)=4,(AW69+AX69+AY69+AZ69)&lt;&gt;0),((N(BA212)+N(BA213)+N(BA217)+N(BA238))-N(BA144))/(AW69+AX69+AY69+AZ69),""),"")</f>
        <v>-0.530567225234127</v>
      </c>
      <c r="BB337" s="262">
        <f>IFERROR(IF(AND(COUNT(AX69,AY69,AZ69,BB69)=4,(AX69+AY69+AZ69+BB69)&lt;&gt;0),((N(BB212)+N(BB213)+N(BB217)+N(BB238))-N(BB144))/(AX69+AY69+AZ69+BB69),""),"")</f>
        <v>-0.651182009956747</v>
      </c>
      <c r="BC337" s="262">
        <f>IFERROR(IF(AND(COUNT(AY69,AZ69,BB69,BC69)=4,(AY69+AZ69+BB69+BC69)&lt;&gt;0),((N(BC212)+N(BC213)+N(BC217)+N(BC238))-N(BC144))/(AY69+AZ69+BB69+BC69),""),"")</f>
        <v>-0.767046986866383</v>
      </c>
      <c r="BD337" s="262">
        <f>IFERROR(IF(AND(COUNT(AZ69,BB69,BC69,BD69)=4,(AZ69+BB69+BC69+BD69)&lt;&gt;0),((N(BD212)+N(BD213)+N(BD217)+N(BD238))-N(BD144))/(AZ69+BB69+BC69+BD69),""),"")</f>
        <v>-0.928742452553491</v>
      </c>
      <c r="BE337" s="262">
        <f>IFERROR(IF(AND(COUNT(BB69,BC69,BD69,BE69)=4,(BB69+BC69+BD69+BE69)&lt;&gt;0),((N(BE212)+N(BE213)+N(BE217)+N(BE238))-N(BE144))/(BB69+BC69+BD69+BE69),""),"")</f>
        <v>-1.05077707830749</v>
      </c>
      <c r="BF337" s="262">
        <f>IFERROR(IF(AND(COUNT(BB69,BC69,BD69,BE69)=4,(BB69+BC69+BD69+BE69)&lt;&gt;0),((N(BF212)+N(BF213)+N(BF217)+N(BF238))-N(BF144))/(BB69+BC69+BD69+BE69),""),"")</f>
        <v>-1.05077707830749</v>
      </c>
      <c r="BG337" s="82" t="n"/>
      <c r="BH337" s="82" t="n"/>
      <c r="BI337" s="82" t="n"/>
      <c r="BJ337" s="82" t="n"/>
      <c r="BL337" s="82" t="n"/>
      <c r="BM337" s="82" t="n"/>
      <c r="BN337" s="82" t="n"/>
      <c r="BO337" s="82" t="n"/>
      <c r="BQ337" s="82" t="n"/>
      <c r="BR337" s="82" t="n"/>
      <c r="BS337" s="82" t="n"/>
      <c r="BT337" s="82" t="n"/>
      <c r="BV337" s="82" t="n"/>
      <c r="BW337" s="82" t="n"/>
      <c r="BX337" s="82" t="n"/>
      <c r="BY337" s="82" t="n"/>
      <c r="CA337" s="82" t="n"/>
      <c r="CB337" s="82" t="n"/>
      <c r="CC337" s="82" t="n"/>
      <c r="CD337" s="82" t="n"/>
      <c r="CF337" s="82" t="n"/>
      <c r="CG337" s="82" t="n"/>
      <c r="CH337" s="82" t="n"/>
      <c r="CI337" s="82" t="n"/>
      <c r="CK337" s="82" t="n"/>
      <c r="CL337" s="82" t="n"/>
      <c r="CM337" s="82" t="n"/>
      <c r="CN337" s="82" t="n"/>
      <c r="CP337" s="82" t="n"/>
      <c r="CQ337" s="82" t="n"/>
      <c r="CR337" s="82" t="n"/>
      <c r="CS337" s="82" t="n"/>
      <c r="CU337" s="82" t="n"/>
      <c r="CV337" s="82" t="n"/>
      <c r="CW337" s="82" t="n"/>
      <c r="CX337" s="82" t="n"/>
    </row>
    <row r="338" customFormat="1" s="77">
      <c r="A338" s="76" t="n"/>
      <c r="B338" s="76" t="n"/>
      <c r="C338" s="77" t="inlineStr">
        <is>
          <t>INTEREST COVERAGE (EBIT / INTEREST, LTM)</t>
        </is>
      </c>
      <c r="D338" s="82" t="str">
        <f>IFERROR(D73/-D74,"")</f>
        <v/>
      </c>
      <c r="E338" s="82" t="str">
        <f>IFERROR(E73/-E74,"")</f>
        <v/>
      </c>
      <c r="F338" s="82" t="str">
        <f>IFERROR(F73/-F74,"")</f>
        <v/>
      </c>
      <c r="G338" s="82" t="str">
        <f>IFERROR(G73/-G74,"")</f>
        <v/>
      </c>
      <c r="H338" s="262" t="str">
        <f>IFERROR(IF(AND(COUNT(H73)=1,(H74)&lt;&gt;0),(H73)/-(H74),""),"")</f>
        <v/>
      </c>
      <c r="I338" s="262" t="str">
        <f>""</f>
        <v/>
      </c>
      <c r="J338" s="262" t="str">
        <f>""</f>
        <v/>
      </c>
      <c r="K338" s="262" t="str">
        <f>""</f>
        <v/>
      </c>
      <c r="L338" s="262">
        <f>IFERROR(IF(AND(COUNT(I73,J73,K73,L73)=4,(I74+J74+K74+L74)&lt;&gt;0),(I73+J73+K73+L73)/-(I74+J74+K74+L74),""),"")</f>
        <v>14.4397590361446</v>
      </c>
      <c r="M338" s="262">
        <f>IFERROR(IF(AND(COUNT(I73,J73,K73,L73)=4,(I74+J74+K74+L74)&lt;&gt;0),(I73+J73+K73+L73)/-(I74+J74+K74+L74),""),"")</f>
        <v>14.4397590361446</v>
      </c>
      <c r="N338" s="262">
        <f>IFERROR(IF(AND(COUNT(J73,K73,L73,N73)=4,(J74+K74+L74+N74)&lt;&gt;0),(J73+K73+L73+N73)/-(J74+K74+L74+N74),""),"")</f>
        <v>14.2576650943396</v>
      </c>
      <c r="O338" s="262">
        <f>IFERROR(IF(AND(COUNT(K73,L73,N73,O73)=4,(K74+L74+N74+O74)&lt;&gt;0),(K73+L73+N73+O73)/-(K74+L74+N74+O74),""),"")</f>
        <v>14.4523673702225</v>
      </c>
      <c r="P338" s="262">
        <f>IFERROR(IF(AND(COUNT(L73,N73,O73,P73)=4,(L74+N74+O74+P74)&lt;&gt;0),(L73+N73+O73+P73)/-(L74+N74+O74+P74),""),"")</f>
        <v>14.6643205197618</v>
      </c>
      <c r="Q338" s="262">
        <f>IFERROR(IF(AND(COUNT(N73,O73,P73,Q73)=4,(N74+O74+P74+Q74)&lt;&gt;0),(N73+O73+P73+Q73)/-(N74+O74+P74+Q74),""),"")</f>
        <v>13.5922562141491</v>
      </c>
      <c r="R338" s="262">
        <f>IFERROR(IF(AND(COUNT(N73,O73,P73,Q73)=4,(N74+O74+P74+Q74)&lt;&gt;0),(N73+O73+P73+Q73)/-(N74+O74+P74+Q74),""),"")</f>
        <v>13.5922562141491</v>
      </c>
      <c r="S338" s="262">
        <f>IFERROR(IF(AND(COUNT(O73,P73,Q73,S73)=4,(O74+P74+Q74+S74)&lt;&gt;0),(O73+P73+Q73+S73)/-(O74+P74+Q74+S74),""),"")</f>
        <v>12.2548694571073</v>
      </c>
      <c r="T338" s="262">
        <f>IFERROR(IF(AND(COUNT(P73,Q73,S73,T73)=4,(P74+Q74+S74+T74)&lt;&gt;0),(P73+Q73+S73+T73)/-(P74+Q74+S74+T74),""),"")</f>
        <v>10.9935111751983</v>
      </c>
      <c r="U338" s="262">
        <f>IFERROR(IF(AND(COUNT(Q73,S73,T73,U73)=4,(Q74+S74+T74+U74)&lt;&gt;0),(Q73+S73+T73+U73)/-(Q74+S74+T74+U74),""),"")</f>
        <v>10.2069857697283</v>
      </c>
      <c r="V338" s="262">
        <f>IFERROR(IF(AND(COUNT(S73,T73,U73,V73)=4,(S74+T74+U74+V74)&lt;&gt;0),(S73+T73+U73+V73)/-(S74+T74+U74+V74),""),"")</f>
        <v>9.96857670979667</v>
      </c>
      <c r="W338" s="262">
        <f>IFERROR(IF(AND(COUNT(S73,T73,U73,V73)=4,(S74+T74+U74+V74)&lt;&gt;0),(S73+T73+U73+V73)/-(S74+T74+U74+V74),""),"")</f>
        <v>9.96857670979667</v>
      </c>
      <c r="X338" s="262">
        <f>IFERROR(IF(AND(COUNT(T73,U73,V73,X73)=4,(T74+U74+V74+X74)&lt;&gt;0),(T73+U73+V73+X73)/-(T74+U74+V74+X74),""),"")</f>
        <v>9.65317745803357</v>
      </c>
      <c r="Y338" s="262">
        <f>IFERROR(IF(AND(COUNT(U73,V73,X73,Y73)=4,(U74+V74+X74+Y74)&lt;&gt;0),(U73+V73+X73+Y73)/-(U74+V74+X74+Y74),""),"")</f>
        <v>9.16719152590896</v>
      </c>
      <c r="Z338" s="262">
        <f>IFERROR(IF(AND(COUNT(V73,X73,Y73,Z73)=4,(V74+X74+Y74+Z74)&lt;&gt;0),(V73+X73+Y73+Z73)/-(V74+X74+Y74+Z74),""),"")</f>
        <v>8.62657380123225</v>
      </c>
      <c r="AA338" s="262">
        <f>IFERROR(IF(AND(COUNT(X73,Y73,Z73,AA73)=4,(X74+Y74+Z74+AA74)&lt;&gt;0),(X73+Y73+Z73+AA73)/-(X74+Y74+Z74+AA74),""),"")</f>
        <v>8.26600102406554</v>
      </c>
      <c r="AB338" s="262">
        <f>IFERROR(IF(AND(COUNT(X73,Y73,Z73,AA73)=4,(X74+Y74+Z74+AA74)&lt;&gt;0),(X73+Y73+Z73+AA73)/-(X74+Y74+Z74+AA74),""),"")</f>
        <v>8.26600102406554</v>
      </c>
      <c r="AC338" s="262">
        <f>IFERROR(IF(AND(COUNT(Y73,Z73,AA73,AC73)=4,(Y74+Z74+AA74+AC74)&lt;&gt;0),(Y73+Z73+AA73+AC73)/-(Y74+Z74+AA74+AC74),""),"")</f>
        <v>8.24507389162562</v>
      </c>
      <c r="AD338" s="262">
        <f>IFERROR(IF(AND(COUNT(Z73,AA73,AC73,AD73)=4,(Z74+AA74+AC74+AD74)&lt;&gt;0),(Z73+AA73+AC73+AD73)/-(Z74+AA74+AC74+AD74),""),"")</f>
        <v>7.49634324719649</v>
      </c>
      <c r="AE338" s="262">
        <f>IFERROR(IF(AND(COUNT(AA73,AC73,AD73,AE73)=4,(AA74+AC74+AD74+AE74)&lt;&gt;0),(AA73+AC73+AD73+AE73)/-(AA74+AC74+AD74+AE74),""),"")</f>
        <v>6.53857603572315</v>
      </c>
      <c r="AF338" s="262">
        <f>IFERROR(IF(AND(COUNT(AB73,AD73,AE73,AF73)=4,(AB74+AD74+AE74+AF74)&lt;&gt;0),(AB73+AD73+AE73+AF73)/-(AB74+AD74+AE74+AF74),""),"")</f>
        <v>6.0972503617945</v>
      </c>
      <c r="AG338" s="262">
        <f>IFERROR(IF(AND(COUNT(AC73,AD73,AE73,AF73)=4,(AC74+AD74+AE74+AF74)&lt;&gt;0),(AC73+AD73+AE73+AF73)/-(AC74+AD74+AE74+AF74),""),"")</f>
        <v>4.73863068465767</v>
      </c>
      <c r="AH338" s="262">
        <f>IFERROR(IF(AND(COUNT(AD73,AF73,AG73,AH73)=4,(AD74+AF74+AG74+AH74)&lt;&gt;0),(AD73+AF73+AG73+AH73)/-(AD74+AF74+AG74+AH74),""),"")</f>
        <v>4.81230238574303</v>
      </c>
      <c r="AI338" s="262">
        <f>IFERROR(IF(AND(COUNT(AE73,AG73,AH73,AI73)=4,(AE74+AG74+AH74+AI74)&lt;&gt;0),(AE73+AG73+AH73+AI73)/-(AE74+AG74+AH74+AI74),""),"")</f>
        <v>5.81623808147934</v>
      </c>
      <c r="AJ338" s="262" t="str">
        <f>IFERROR(IF(AND(COUNT(AF73,AH73,AI73,AJ73)=4,(AF74+AH74+AI74+AJ74)&lt;&gt;0),(AF73+AH73+AI73+AJ73)/-(AF74+AH74+AI74+AJ74),""),"")</f>
        <v/>
      </c>
      <c r="AK338" s="262" t="str">
        <f>IFERROR(IF(AND(COUNT(AH73,AI73,AJ73,AK73)=4,(AH74+AI74+AJ74+AK74)&lt;&gt;0),(AH73+AI73+AJ73+AK73)/-(AH74+AI74+AJ74+AK74),""),"")</f>
        <v/>
      </c>
      <c r="AL338" s="262" t="str">
        <f>IFERROR(IF(AND(COUNT(AH73,AI73,AJ73,AK73)=4,(AH74+AI74+AJ74+AK74)&lt;&gt;0),(AH73+AI73+AJ73+AK73)/-(AH74+AI74+AJ74+AK74),""),"")</f>
        <v/>
      </c>
      <c r="AM338" s="262" t="str">
        <f>IFERROR(IF(AND(COUNT(AI73,AJ73,AK73,AM73)=4,(AI74+AJ74+AK74+AM74)&lt;&gt;0),(AI73+AJ73+AK73+AM73)/-(AI74+AJ74+AK74+AM74),""),"")</f>
        <v/>
      </c>
      <c r="AN338" s="262" t="str">
        <f>IFERROR(IF(AND(COUNT(AJ73,AK73,AM73,AN73)=4,(AJ74+AK74+AM74+AN74)&lt;&gt;0),(AJ73+AK73+AM73+AN73)/-(AJ74+AK74+AM74+AN74),""),"")</f>
        <v/>
      </c>
      <c r="AO338" s="262" t="str">
        <f>IFERROR(IF(AND(COUNT(AK73,AM73,AN73,AO73)=4,(AK74+AM74+AN74+AO74)&lt;&gt;0),(AK73+AM73+AN73+AO73)/-(AK74+AM74+AN74+AO74),""),"")</f>
        <v/>
      </c>
      <c r="AP338" s="262" t="str">
        <f>IFERROR(IF(AND(COUNT(AM73,AN73,AO73,AP73)=4,(AM74+AN74+AO74+AP74)&lt;&gt;0),(AM73+AN73+AO73+AP73)/-(AM74+AN74+AO74+AP74),""),"")</f>
        <v/>
      </c>
      <c r="AQ338" s="262" t="str">
        <f>IFERROR(IF(AND(COUNT(AM73,AN73,AO73,AP73)=4,(AM74+AN74+AO74+AP74)&lt;&gt;0),(AM73+AN73+AO73+AP73)/-(AM74+AN74+AO74+AP74),""),"")</f>
        <v/>
      </c>
      <c r="AR338" s="262" t="str">
        <f>IFERROR(IF(AND(COUNT(AN73,AO73,AP73,AR73)=4,(AN74+AO74+AP74+AR74)&lt;&gt;0),(AN73+AO73+AP73+AR73)/-(AN74+AO74+AP74+AR74),""),"")</f>
        <v/>
      </c>
      <c r="AS338" s="262" t="str">
        <f>IFERROR(IF(AND(COUNT(AO73,AP73,AR73,AS73)=4,(AO74+AP74+AR74+AS74)&lt;&gt;0),(AO73+AP73+AR73+AS73)/-(AO74+AP74+AR74+AS74),""),"")</f>
        <v/>
      </c>
      <c r="AT338" s="262" t="str">
        <f>IFERROR(IF(AND(COUNT(AP73,AR73,AS73,AT73)=4,(AP74+AR74+AS74+AT74)&lt;&gt;0),(AP73+AR73+AS73+AT73)/-(AP74+AR74+AS74+AT74),""),"")</f>
        <v/>
      </c>
      <c r="AU338" s="262" t="str">
        <f>IFERROR(IF(AND(COUNT(AR73,AS73,AT73,AU73)=4,(AR74+AS74+AT74+AU74)&lt;&gt;0),(AR73+AS73+AT73+AU73)/-(AR74+AS74+AT74+AU74),""),"")</f>
        <v/>
      </c>
      <c r="AV338" s="262" t="str">
        <f>IFERROR(IF(AND(COUNT(AR73,AS73,AT73,AU73)=4,(AR74+AS74+AT74+AU74)&lt;&gt;0),(AR73+AS73+AT73+AU73)/-(AR74+AS74+AT74+AU74),""),"")</f>
        <v/>
      </c>
      <c r="AW338" s="262" t="str">
        <f>IFERROR(IF(AND(COUNT(AS73,AT73,AU73,AW73)=4,(AS74+AT74+AU74+AW74)&lt;&gt;0),(AS73+AT73+AU73+AW73)/-(AS74+AT74+AU74+AW74),""),"")</f>
        <v/>
      </c>
      <c r="AX338" s="262" t="str">
        <f>IFERROR(IF(AND(COUNT(AT73,AU73,AW73,AX73)=4,(AT74+AU74+AW74+AX74)&lt;&gt;0),(AT73+AU73+AW73+AX73)/-(AT74+AU74+AW74+AX74),""),"")</f>
        <v/>
      </c>
      <c r="AY338" s="262" t="str">
        <f>IFERROR(IF(AND(COUNT(AU73,AW73,AX73,AY73)=4,(AU74+AW74+AX74+AY74)&lt;&gt;0),(AU73+AW73+AX73+AY73)/-(AU74+AW74+AX74+AY74),""),"")</f>
        <v/>
      </c>
      <c r="AZ338" s="262" t="str">
        <f>IFERROR(IF(AND(COUNT(AW73,AX73,AY73,AZ73)=4,(AW74+AX74+AY74+AZ74)&lt;&gt;0),(AW73+AX73+AY73+AZ73)/-(AW74+AX74+AY74+AZ74),""),"")</f>
        <v/>
      </c>
      <c r="BA338" s="262" t="str">
        <f>IFERROR(IF(AND(COUNT(AW73,AX73,AY73,AZ73)=4,(AW74+AX74+AY74+AZ74)&lt;&gt;0),(AW73+AX73+AY73+AZ73)/-(AW74+AX74+AY74+AZ74),""),"")</f>
        <v/>
      </c>
      <c r="BB338" s="262" t="str">
        <f>IFERROR(IF(AND(COUNT(AX73,AY73,AZ73,BB73)=4,(AX74+AY74+AZ74+BB74)&lt;&gt;0),(AX73+AY73+AZ73+BB73)/-(AX74+AY74+AZ74+BB74),""),"")</f>
        <v/>
      </c>
      <c r="BC338" s="262" t="str">
        <f>IFERROR(IF(AND(COUNT(AY73,AZ73,BB73,BC73)=4,(AY74+AZ74+BB74+BC74)&lt;&gt;0),(AY73+AZ73+BB73+BC73)/-(AY74+AZ74+BB74+BC74),""),"")</f>
        <v/>
      </c>
      <c r="BD338" s="262" t="str">
        <f>IFERROR(IF(AND(COUNT(AZ73,BB73,BC73,BD73)=4,(AZ74+BB74+BC74+BD74)&lt;&gt;0),(AZ73+BB73+BC73+BD73)/-(AZ74+BB74+BC74+BD74),""),"")</f>
        <v/>
      </c>
      <c r="BE338" s="262" t="str">
        <f>IFERROR(IF(AND(COUNT(BB73,BC73,BD73,BE73)=4,(BB74+BC74+BD74+BE74)&lt;&gt;0),(BB73+BC73+BD73+BE73)/-(BB74+BC74+BD74+BE74),""),"")</f>
        <v/>
      </c>
      <c r="BF338" s="262" t="str">
        <f>IFERROR(IF(AND(COUNT(BB73,BC73,BD73,BE73)=4,(BB74+BC74+BD74+BE74)&lt;&gt;0),(BB73+BC73+BD73+BE73)/-(BB74+BC74+BD74+BE74),""),"")</f>
        <v/>
      </c>
      <c r="BG338" s="82" t="n"/>
      <c r="BH338" s="82" t="n"/>
      <c r="BI338" s="82" t="n"/>
      <c r="BJ338" s="82" t="n"/>
      <c r="BL338" s="82" t="n"/>
      <c r="BM338" s="82" t="n"/>
      <c r="BN338" s="82" t="n"/>
      <c r="BO338" s="82" t="n"/>
      <c r="BQ338" s="82" t="n"/>
      <c r="BR338" s="82" t="n"/>
      <c r="BS338" s="82" t="n"/>
      <c r="BT338" s="82" t="n"/>
      <c r="BV338" s="82" t="n"/>
      <c r="BW338" s="82" t="n"/>
      <c r="BX338" s="82" t="n"/>
      <c r="BY338" s="82" t="n"/>
      <c r="CA338" s="82" t="n"/>
      <c r="CB338" s="82" t="n"/>
      <c r="CC338" s="82" t="n"/>
      <c r="CD338" s="82" t="n"/>
      <c r="CF338" s="82" t="n"/>
      <c r="CG338" s="82" t="n"/>
      <c r="CH338" s="82" t="n"/>
      <c r="CI338" s="82" t="n"/>
      <c r="CK338" s="82" t="n"/>
      <c r="CL338" s="82" t="n"/>
      <c r="CM338" s="82" t="n"/>
      <c r="CN338" s="82" t="n"/>
      <c r="CP338" s="82" t="n"/>
      <c r="CQ338" s="82" t="n"/>
      <c r="CR338" s="82" t="n"/>
      <c r="CS338" s="82" t="n"/>
      <c r="CU338" s="82" t="n"/>
      <c r="CV338" s="82" t="n"/>
      <c r="CW338" s="82" t="n"/>
      <c r="CX338" s="82" t="n"/>
    </row>
    <row r="339" customFormat="1" s="77">
      <c r="A339" s="76" t="n"/>
      <c r="B339" s="76" t="n"/>
    </row>
    <row r="340" customFormat="1" s="77">
      <c r="A340" s="76" t="n"/>
      <c r="B340" s="76" t="n"/>
      <c r="C340" s="74" t="inlineStr">
        <is>
          <t>INTERNAL LIQUIDITY</t>
        </is>
      </c>
    </row>
    <row r="341" customFormat="1" s="77">
      <c r="A341" s="76" t="n"/>
      <c r="B341" s="76" t="n"/>
      <c r="C341" s="77" t="inlineStr">
        <is>
          <t>CURRENT RATIO</t>
        </is>
      </c>
      <c r="D341" s="82" t="str">
        <f>IFERROR(SUM(D144,D145,D149,D153,D154,D155)/SUM(D198,D202,D204,D205),"")</f>
        <v/>
      </c>
      <c r="E341" s="82" t="str">
        <f>IFERROR(SUM(E144,E145,E149,E153,E154,E155)/SUM(E198,E202,E204,E205),"")</f>
        <v/>
      </c>
      <c r="F341" s="82" t="str">
        <f>IFERROR(SUM(F144,F145,F149,F153,F154,F155)/SUM(F198,F202,F204,F205),"")</f>
        <v/>
      </c>
      <c r="G341" s="82" t="str">
        <f>IFERROR(SUM(G144,G145,G149,G153,G154,G155)/SUM(G198,G202,G204,G205),"")</f>
        <v/>
      </c>
      <c r="H341" s="262" t="str">
        <f>IFERROR(IF((N(H198)+N(H202)+N(H204)+N(H205)+N(H212)+N(H213)+N(H214))&lt;&gt;0,(N(H144)+(N(H145)+N(H149)+N(H153)+N(H154)+N(H155)))/(N(H198)+N(H202)+N(H204)+N(H205)+N(H212)+N(H213)+N(H214)),""),"")</f>
        <v/>
      </c>
      <c r="I341" s="262">
        <f>IFERROR(IF((N(I198)+N(I202)+N(I204)+N(I205)+N(I212)+N(I213)+N(I214))&lt;&gt;0,(N(I144)+(N(I145)+N(I149)+N(I153)+N(I154)+N(I155)))/(N(I198)+N(I202)+N(I204)+N(I205)+N(I212)+N(I213)+N(I214)),""),"")</f>
        <v>0.737937277563522</v>
      </c>
      <c r="J341" s="262">
        <f>IFERROR(IF((N(J198)+N(J202)+N(J204)+N(J205)+N(J212)+N(J213)+N(J214))&lt;&gt;0,(N(J144)+(N(J145)+N(J149)+N(J153)+N(J154)+N(J155)))/(N(J198)+N(J202)+N(J204)+N(J205)+N(J212)+N(J213)+N(J214)),""),"")</f>
        <v>0.769570385464425</v>
      </c>
      <c r="K341" s="262">
        <f>IFERROR(IF((N(K198)+N(K202)+N(K204)+N(K205)+N(K212)+N(K213)+N(K214))&lt;&gt;0,(N(K144)+(N(K145)+N(K149)+N(K153)+N(K154)+N(K155)))/(N(K198)+N(K202)+N(K204)+N(K205)+N(K212)+N(K213)+N(K214)),""),"")</f>
        <v>0.774238140119384</v>
      </c>
      <c r="L341" s="262">
        <f>IFERROR(IF((N(L198)+N(L202)+N(L204)+N(L205)+N(L212)+N(L213)+N(L214))&lt;&gt;0,(N(L144)+(N(L145)+N(L149)+N(L153)+N(L154)+N(L155)))/(N(L198)+N(L202)+N(L204)+N(L205)+N(L212)+N(L213)+N(L214)),""),"")</f>
        <v>0.788816226434374</v>
      </c>
      <c r="M341" s="262">
        <f>IFERROR(IF((N(M198)+N(M202)+N(M204)+N(M205)+N(M212)+N(M213)+N(M214))&lt;&gt;0,(N(M144)+(N(M145)+N(M149)+N(M153)+N(M154)+N(M155)))/(N(M198)+N(M202)+N(M204)+N(M205)+N(M212)+N(M213)+N(M214)),""),"")</f>
        <v>0.788816226434374</v>
      </c>
      <c r="N341" s="262">
        <f>IFERROR(IF((N(N198)+N(N202)+N(N204)+N(N205)+N(N212)+N(N213)+N(N214))&lt;&gt;0,(N(N144)+(N(N145)+N(N149)+N(N153)+N(N154)+N(N155)))/(N(N198)+N(N202)+N(N204)+N(N205)+N(N212)+N(N213)+N(N214)),""),"")</f>
        <v>0.782908018600431</v>
      </c>
      <c r="O341" s="262">
        <f>IFERROR(IF((N(O198)+N(O202)+N(O204)+N(O205)+N(O212)+N(O213)+N(O214))&lt;&gt;0,(N(O144)+(N(O145)+N(O149)+N(O153)+N(O154)+N(O155)))/(N(O198)+N(O202)+N(O204)+N(O205)+N(O212)+N(O213)+N(O214)),""),"")</f>
        <v>0.770659992333536</v>
      </c>
      <c r="P341" s="262">
        <f>IFERROR(IF((N(P198)+N(P202)+N(P204)+N(P205)+N(P212)+N(P213)+N(P214))&lt;&gt;0,(N(P144)+(N(P145)+N(P149)+N(P153)+N(P154)+N(P155)))/(N(P198)+N(P202)+N(P204)+N(P205)+N(P212)+N(P213)+N(P214)),""),"")</f>
        <v>0.82168722445138</v>
      </c>
      <c r="Q341" s="262">
        <f>IFERROR(IF((N(Q198)+N(Q202)+N(Q204)+N(Q205)+N(Q212)+N(Q213)+N(Q214))&lt;&gt;0,(N(Q144)+(N(Q145)+N(Q149)+N(Q153)+N(Q154)+N(Q155)))/(N(Q198)+N(Q202)+N(Q204)+N(Q205)+N(Q212)+N(Q213)+N(Q214)),""),"")</f>
        <v>0.773995091722044</v>
      </c>
      <c r="R341" s="262">
        <f>IFERROR(IF((N(R198)+N(R202)+N(R204)+N(R205)+N(R212)+N(R213)+N(R214))&lt;&gt;0,(N(R144)+(N(R145)+N(R149)+N(R153)+N(R154)+N(R155)))/(N(R198)+N(R202)+N(R204)+N(R205)+N(R212)+N(R213)+N(R214)),""),"")</f>
        <v>0.773995091722044</v>
      </c>
      <c r="S341" s="262">
        <f>IFERROR(IF((N(S198)+N(S202)+N(S204)+N(S205)+N(S212)+N(S213)+N(S214))&lt;&gt;0,(N(S144)+(N(S145)+N(S149)+N(S153)+N(S154)+N(S155)))/(N(S198)+N(S202)+N(S204)+N(S205)+N(S212)+N(S213)+N(S214)),""),"")</f>
        <v>0.806090211363129</v>
      </c>
      <c r="T341" s="262">
        <f>IFERROR(IF((N(T198)+N(T202)+N(T204)+N(T205)+N(T212)+N(T213)+N(T214))&lt;&gt;0,(N(T144)+(N(T145)+N(T149)+N(T153)+N(T154)+N(T155)))/(N(T198)+N(T202)+N(T204)+N(T205)+N(T212)+N(T213)+N(T214)),""),"")</f>
        <v>0.795434630601606</v>
      </c>
      <c r="U341" s="262">
        <f>IFERROR(IF((N(U198)+N(U202)+N(U204)+N(U205)+N(U212)+N(U213)+N(U214))&lt;&gt;0,(N(U144)+(N(U145)+N(U149)+N(U153)+N(U154)+N(U155)))/(N(U198)+N(U202)+N(U204)+N(U205)+N(U212)+N(U213)+N(U214)),""),"")</f>
        <v>0.804920344371557</v>
      </c>
      <c r="V341" s="262">
        <f>IFERROR(IF((N(V198)+N(V202)+N(V204)+N(V205)+N(V212)+N(V213)+N(V214))&lt;&gt;0,(N(V144)+(N(V145)+N(V149)+N(V153)+N(V154)+N(V155)))/(N(V198)+N(V202)+N(V204)+N(V205)+N(V212)+N(V213)+N(V214)),""),"")</f>
        <v>0.791861005108325</v>
      </c>
      <c r="W341" s="262">
        <f>IFERROR(IF((N(W198)+N(W202)+N(W204)+N(W205)+N(W212)+N(W213)+N(W214))&lt;&gt;0,(N(W144)+(N(W145)+N(W149)+N(W153)+N(W154)+N(W155)))/(N(W198)+N(W202)+N(W204)+N(W205)+N(W212)+N(W213)+N(W214)),""),"")</f>
        <v>0.791861005108325</v>
      </c>
      <c r="X341" s="262">
        <f>IFERROR(IF((N(X198)+N(X202)+N(X204)+N(X205)+N(X212)+N(X213)+N(X214))&lt;&gt;0,(N(X144)+(N(X145)+N(X149)+N(X153)+N(X154)+N(X155)))/(N(X198)+N(X202)+N(X204)+N(X205)+N(X212)+N(X213)+N(X214)),""),"")</f>
        <v>0.851681971828289</v>
      </c>
      <c r="Y341" s="262">
        <f>IFERROR(IF((N(Y198)+N(Y202)+N(Y204)+N(Y205)+N(Y212)+N(Y213)+N(Y214))&lt;&gt;0,(N(Y144)+(N(Y145)+N(Y149)+N(Y153)+N(Y154)+N(Y155)))/(N(Y198)+N(Y202)+N(Y204)+N(Y205)+N(Y212)+N(Y213)+N(Y214)),""),"")</f>
        <v>0.879315945352059</v>
      </c>
      <c r="Z341" s="262">
        <f>IFERROR(IF((N(Z198)+N(Z202)+N(Z204)+N(Z205)+N(Z212)+N(Z213)+N(Z214))&lt;&gt;0,(N(Z144)+(N(Z145)+N(Z149)+N(Z153)+N(Z154)+N(Z155)))/(N(Z198)+N(Z202)+N(Z204)+N(Z205)+N(Z212)+N(Z213)+N(Z214)),""),"")</f>
        <v>0.908364101806725</v>
      </c>
      <c r="AA341" s="262">
        <f>IFERROR(IF((N(AA198)+N(AA202)+N(AA204)+N(AA205)+N(AA212)+N(AA213)+N(AA214))&lt;&gt;0,(N(AA144)+(N(AA145)+N(AA149)+N(AA153)+N(AA154)+N(AA155)))/(N(AA198)+N(AA202)+N(AA204)+N(AA205)+N(AA212)+N(AA213)+N(AA214)),""),"")</f>
        <v>0.826634158563733</v>
      </c>
      <c r="AB341" s="262">
        <f>IFERROR(IF((N(AB198)+N(AB202)+N(AB204)+N(AB205)+N(AB212)+N(AB213)+N(AB214))&lt;&gt;0,(N(AB144)+(N(AB145)+N(AB149)+N(AB153)+N(AB154)+N(AB155)))/(N(AB198)+N(AB202)+N(AB204)+N(AB205)+N(AB212)+N(AB213)+N(AB214)),""),"")</f>
        <v>0.826634158563733</v>
      </c>
      <c r="AC341" s="262">
        <f>IFERROR(IF((N(AC198)+N(AC202)+N(AC204)+N(AC205)+N(AC212)+N(AC213)+N(AC214))&lt;&gt;0,(N(AC144)+(N(AC145)+N(AC149)+N(AC153)+N(AC154)+N(AC155)))/(N(AC198)+N(AC202)+N(AC204)+N(AC205)+N(AC212)+N(AC213)+N(AC214)),""),"")</f>
        <v>0.848542799481806</v>
      </c>
      <c r="AD341" s="262">
        <f>IFERROR(IF((N(AD198)+N(AD202)+N(AD204)+N(AD205)+N(AD212)+N(AD213)+N(AD214))&lt;&gt;0,(N(AD144)+(N(AD145)+N(AD149)+N(AD153)+N(AD154)+N(AD155)))/(N(AD198)+N(AD202)+N(AD204)+N(AD205)+N(AD212)+N(AD213)+N(AD214)),""),"")</f>
        <v>0.845803883337395</v>
      </c>
      <c r="AE341" s="262">
        <f>IFERROR(IF((N(AE198)+N(AE202)+N(AE204)+N(AE205)+N(AE212)+N(AE213)+N(AE214))&lt;&gt;0,(N(AE144)+(N(AE145)+N(AE149)+N(AE153)+N(AE154)+N(AE155)))/(N(AE198)+N(AE202)+N(AE204)+N(AE205)+N(AE212)+N(AE213)+N(AE214)),""),"")</f>
        <v>0.822905666256947</v>
      </c>
      <c r="AF341" s="262">
        <f>IFERROR(IF((N(AF198)+N(AF202)+N(AF204)+N(AF205)+N(AF212)+N(AF213)+N(AF214))&lt;&gt;0,(N(AF144)+(N(AF145)+N(AF149)+N(AF153)+N(AF154)+N(AF155)))/(N(AF198)+N(AF202)+N(AF204)+N(AF205)+N(AF212)+N(AF213)+N(AF214)),""),"")</f>
        <v>0.788375675605107</v>
      </c>
      <c r="AG341" s="262">
        <f>IFERROR(IF((N(AG198)+N(AG202)+N(AG204)+N(AG205)+N(AG212)+N(AG213)+N(AG214))&lt;&gt;0,(N(AG144)+(N(AG145)+N(AG149)+N(AG153)+N(AG154)+N(AG155)))/(N(AG198)+N(AG202)+N(AG204)+N(AG205)+N(AG212)+N(AG213)+N(AG214)),""),"")</f>
        <v>0.788375675605107</v>
      </c>
      <c r="AH341" s="262">
        <f>IFERROR(IF((N(AH198)+N(AH202)+N(AH204)+N(AH205)+N(AH212)+N(AH213)+N(AH214))&lt;&gt;0,(N(AH144)+(N(AH145)+N(AH149)+N(AH153)+N(AH154)+N(AH155)))/(N(AH198)+N(AH202)+N(AH204)+N(AH205)+N(AH212)+N(AH213)+N(AH214)),""),"")</f>
        <v>0.798491114927623</v>
      </c>
      <c r="AI341" s="262">
        <f>IFERROR(IF((N(AI198)+N(AI202)+N(AI204)+N(AI205)+N(AI212)+N(AI213)+N(AI214))&lt;&gt;0,(N(AI144)+(N(AI145)+N(AI149)+N(AI153)+N(AI154)+N(AI155)))/(N(AI198)+N(AI202)+N(AI204)+N(AI205)+N(AI212)+N(AI213)+N(AI214)),""),"")</f>
        <v>0.776784117331426</v>
      </c>
      <c r="AJ341" s="262">
        <f>IFERROR(IF((N(AJ198)+N(AJ202)+N(AJ204)+N(AJ205)+N(AJ212)+N(AJ213)+N(AJ214))&lt;&gt;0,(N(AJ144)+(N(AJ145)+N(AJ149)+N(AJ153)+N(AJ154)+N(AJ155)))/(N(AJ198)+N(AJ202)+N(AJ204)+N(AJ205)+N(AJ212)+N(AJ213)+N(AJ214)),""),"")</f>
        <v>0.813254827779819</v>
      </c>
      <c r="AK341" s="262">
        <f>IFERROR(IF((N(AK198)+N(AK202)+N(AK204)+N(AK205)+N(AK212)+N(AK213)+N(AK214))&lt;&gt;0,(N(AK144)+(N(AK145)+N(AK149)+N(AK153)+N(AK154)+N(AK155)))/(N(AK198)+N(AK202)+N(AK204)+N(AK205)+N(AK212)+N(AK213)+N(AK214)),""),"")</f>
        <v>0.84971514387781</v>
      </c>
      <c r="AL341" s="262">
        <f>IFERROR(IF((N(AL198)+N(AL202)+N(AL204)+N(AL205)+N(AL212)+N(AL213)+N(AL214))&lt;&gt;0,(N(AL144)+(N(AL145)+N(AL149)+N(AL153)+N(AL154)+N(AL155)))/(N(AL198)+N(AL202)+N(AL204)+N(AL205)+N(AL212)+N(AL213)+N(AL214)),""),"")</f>
        <v>0.84971514387781</v>
      </c>
      <c r="AM341" s="262">
        <f>IFERROR(IF((N(AM198)+N(AM202)+N(AM204)+N(AM205)+N(AM212)+N(AM213)+N(AM214))&lt;&gt;0,(N(AM144)+(N(AM145)+N(AM149)+N(AM153)+N(AM154)+N(AM155)))/(N(AM198)+N(AM202)+N(AM204)+N(AM205)+N(AM212)+N(AM213)+N(AM214)),""),"")</f>
        <v>0.886017090125667</v>
      </c>
      <c r="AN341" s="262">
        <f>IFERROR(IF((N(AN198)+N(AN202)+N(AN204)+N(AN205)+N(AN212)+N(AN213)+N(AN214))&lt;&gt;0,(N(AN144)+(N(AN145)+N(AN149)+N(AN153)+N(AN154)+N(AN155)))/(N(AN198)+N(AN202)+N(AN204)+N(AN205)+N(AN212)+N(AN213)+N(AN214)),""),"")</f>
        <v>0.921722884929687</v>
      </c>
      <c r="AO341" s="262">
        <f>IFERROR(IF((N(AO198)+N(AO202)+N(AO204)+N(AO205)+N(AO212)+N(AO213)+N(AO214))&lt;&gt;0,(N(AO144)+(N(AO145)+N(AO149)+N(AO153)+N(AO154)+N(AO155)))/(N(AO198)+N(AO202)+N(AO204)+N(AO205)+N(AO212)+N(AO213)+N(AO214)),""),"")</f>
        <v>0.962234759363988</v>
      </c>
      <c r="AP341" s="262">
        <f>IFERROR(IF((N(AP198)+N(AP202)+N(AP204)+N(AP205)+N(AP212)+N(AP213)+N(AP214))&lt;&gt;0,(N(AP144)+(N(AP145)+N(AP149)+N(AP153)+N(AP154)+N(AP155)))/(N(AP198)+N(AP202)+N(AP204)+N(AP205)+N(AP212)+N(AP213)+N(AP214)),""),"")</f>
        <v>1.00055465344856</v>
      </c>
      <c r="AQ341" s="262">
        <f>IFERROR(IF((N(AQ198)+N(AQ202)+N(AQ204)+N(AQ205)+N(AQ212)+N(AQ213)+N(AQ214))&lt;&gt;0,(N(AQ144)+(N(AQ145)+N(AQ149)+N(AQ153)+N(AQ154)+N(AQ155)))/(N(AQ198)+N(AQ202)+N(AQ204)+N(AQ205)+N(AQ212)+N(AQ213)+N(AQ214)),""),"")</f>
        <v>1.00055465344856</v>
      </c>
      <c r="AR341" s="262">
        <f>IFERROR(IF((N(AR198)+N(AR202)+N(AR204)+N(AR205)+N(AR212)+N(AR213)+N(AR214))&lt;&gt;0,(N(AR144)+(N(AR145)+N(AR149)+N(AR153)+N(AR154)+N(AR155)))/(N(AR198)+N(AR202)+N(AR204)+N(AR205)+N(AR212)+N(AR213)+N(AR214)),""),"")</f>
        <v>1.03828729142053</v>
      </c>
      <c r="AS341" s="262">
        <f>IFERROR(IF((N(AS198)+N(AS202)+N(AS204)+N(AS205)+N(AS212)+N(AS213)+N(AS214))&lt;&gt;0,(N(AS144)+(N(AS145)+N(AS149)+N(AS153)+N(AS154)+N(AS155)))/(N(AS198)+N(AS202)+N(AS204)+N(AS205)+N(AS212)+N(AS213)+N(AS214)),""),"")</f>
        <v>1.07604467610479</v>
      </c>
      <c r="AT341" s="262">
        <f>IFERROR(IF((N(AT198)+N(AT202)+N(AT204)+N(AT205)+N(AT212)+N(AT213)+N(AT214))&lt;&gt;0,(N(AT144)+(N(AT145)+N(AT149)+N(AT153)+N(AT154)+N(AT155)))/(N(AT198)+N(AT202)+N(AT204)+N(AT205)+N(AT212)+N(AT213)+N(AT214)),""),"")</f>
        <v>1.11390717846298</v>
      </c>
      <c r="AU341" s="262">
        <f>IFERROR(IF((N(AU198)+N(AU202)+N(AU204)+N(AU205)+N(AU212)+N(AU213)+N(AU214))&lt;&gt;0,(N(AU144)+(N(AU145)+N(AU149)+N(AU153)+N(AU154)+N(AU155)))/(N(AU198)+N(AU202)+N(AU204)+N(AU205)+N(AU212)+N(AU213)+N(AU214)),""),"")</f>
        <v>1.15400859498157</v>
      </c>
      <c r="AV341" s="262">
        <f>IFERROR(IF((N(AV198)+N(AV202)+N(AV204)+N(AV205)+N(AV212)+N(AV213)+N(AV214))&lt;&gt;0,(N(AV144)+(N(AV145)+N(AV149)+N(AV153)+N(AV154)+N(AV155)))/(N(AV198)+N(AV202)+N(AV204)+N(AV205)+N(AV212)+N(AV213)+N(AV214)),""),"")</f>
        <v>1.15400859498157</v>
      </c>
      <c r="AW341" s="262">
        <f>IFERROR(IF((N(AW198)+N(AW202)+N(AW204)+N(AW205)+N(AW212)+N(AW213)+N(AW214))&lt;&gt;0,(N(AW144)+(N(AW145)+N(AW149)+N(AW153)+N(AW154)+N(AW155)))/(N(AW198)+N(AW202)+N(AW204)+N(AW205)+N(AW212)+N(AW213)+N(AW214)),""),"")</f>
        <v>1.19328037235058</v>
      </c>
      <c r="AX341" s="262">
        <f>IFERROR(IF((N(AX198)+N(AX202)+N(AX204)+N(AX205)+N(AX212)+N(AX213)+N(AX214))&lt;&gt;0,(N(AX144)+(N(AX145)+N(AX149)+N(AX153)+N(AX154)+N(AX155)))/(N(AX198)+N(AX202)+N(AX204)+N(AX205)+N(AX212)+N(AX213)+N(AX214)),""),"")</f>
        <v>1.23337877660277</v>
      </c>
      <c r="AY341" s="262">
        <f>IFERROR(IF((N(AY198)+N(AY202)+N(AY204)+N(AY205)+N(AY212)+N(AY213)+N(AY214))&lt;&gt;0,(N(AY144)+(N(AY145)+N(AY149)+N(AY153)+N(AY154)+N(AY155)))/(N(AY198)+N(AY202)+N(AY204)+N(AY205)+N(AY212)+N(AY213)+N(AY214)),""),"")</f>
        <v>1.26801629012215</v>
      </c>
      <c r="AZ341" s="262">
        <f>IFERROR(IF((N(AZ198)+N(AZ202)+N(AZ204)+N(AZ205)+N(AZ212)+N(AZ213)+N(AZ214))&lt;&gt;0,(N(AZ144)+(N(AZ145)+N(AZ149)+N(AZ153)+N(AZ154)+N(AZ155)))/(N(AZ198)+N(AZ202)+N(AZ204)+N(AZ205)+N(AZ212)+N(AZ213)+N(AZ214)),""),"")</f>
        <v>1.30981068270216</v>
      </c>
      <c r="BA341" s="262">
        <f>IFERROR(IF((N(BA198)+N(BA202)+N(BA204)+N(BA205)+N(BA212)+N(BA213)+N(BA214))&lt;&gt;0,(N(BA144)+(N(BA145)+N(BA149)+N(BA153)+N(BA154)+N(BA155)))/(N(BA198)+N(BA202)+N(BA204)+N(BA205)+N(BA212)+N(BA213)+N(BA214)),""),"")</f>
        <v>1.30981068270216</v>
      </c>
      <c r="BB341" s="262">
        <f>IFERROR(IF((N(BB198)+N(BB202)+N(BB204)+N(BB205)+N(BB212)+N(BB213)+N(BB214))&lt;&gt;0,(N(BB144)+(N(BB145)+N(BB149)+N(BB153)+N(BB154)+N(BB155)))/(N(BB198)+N(BB202)+N(BB204)+N(BB205)+N(BB212)+N(BB213)+N(BB214)),""),"")</f>
        <v>1.35128545645787</v>
      </c>
      <c r="BC341" s="262">
        <f>IFERROR(IF((N(BC198)+N(BC202)+N(BC204)+N(BC205)+N(BC212)+N(BC213)+N(BC214))&lt;&gt;0,(N(BC144)+(N(BC145)+N(BC149)+N(BC153)+N(BC154)+N(BC155)))/(N(BC198)+N(BC202)+N(BC204)+N(BC205)+N(BC212)+N(BC213)+N(BC214)),""),"")</f>
        <v>1.39352881368085</v>
      </c>
      <c r="BD341" s="262">
        <f>IFERROR(IF((N(BD198)+N(BD202)+N(BD204)+N(BD205)+N(BD212)+N(BD213)+N(BD214))&lt;&gt;0,(N(BD144)+(N(BD145)+N(BD149)+N(BD153)+N(BD154)+N(BD155)))/(N(BD198)+N(BD202)+N(BD204)+N(BD205)+N(BD212)+N(BD213)+N(BD214)),""),"")</f>
        <v>1.42438385809767</v>
      </c>
      <c r="BE341" s="262">
        <f>IFERROR(IF((N(BE198)+N(BE202)+N(BE204)+N(BE205)+N(BE212)+N(BE213)+N(BE214))&lt;&gt;0,(N(BE144)+(N(BE145)+N(BE149)+N(BE153)+N(BE154)+N(BE155)))/(N(BE198)+N(BE202)+N(BE204)+N(BE205)+N(BE212)+N(BE213)+N(BE214)),""),"")</f>
        <v>1.46777377504446</v>
      </c>
      <c r="BF341" s="262">
        <f>IFERROR(IF((N(BF198)+N(BF202)+N(BF204)+N(BF205)+N(BF212)+N(BF213)+N(BF214))&lt;&gt;0,(N(BF144)+(N(BF145)+N(BF149)+N(BF153)+N(BF154)+N(BF155)))/(N(BF198)+N(BF202)+N(BF204)+N(BF205)+N(BF212)+N(BF213)+N(BF214)),""),"")</f>
        <v>1.46777377504446</v>
      </c>
      <c r="BG341" s="82" t="n"/>
      <c r="BH341" s="82" t="n"/>
      <c r="BI341" s="82" t="n"/>
      <c r="BJ341" s="82" t="n"/>
      <c r="BL341" s="82" t="n"/>
      <c r="BM341" s="82" t="n"/>
      <c r="BN341" s="82" t="n"/>
      <c r="BO341" s="82" t="n"/>
      <c r="BQ341" s="82" t="n"/>
      <c r="BR341" s="82" t="n"/>
      <c r="BS341" s="82" t="n"/>
      <c r="BT341" s="82" t="n"/>
      <c r="BV341" s="82" t="n"/>
      <c r="BW341" s="82" t="n"/>
      <c r="BX341" s="82" t="n"/>
      <c r="BY341" s="82" t="n"/>
      <c r="CA341" s="82" t="n"/>
      <c r="CB341" s="82" t="n"/>
      <c r="CC341" s="82" t="n"/>
      <c r="CD341" s="82" t="n"/>
      <c r="CF341" s="82" t="n"/>
      <c r="CG341" s="82" t="n"/>
      <c r="CH341" s="82" t="n"/>
      <c r="CI341" s="82" t="n"/>
      <c r="CK341" s="82" t="n"/>
      <c r="CL341" s="82" t="n"/>
      <c r="CM341" s="82" t="n"/>
      <c r="CN341" s="82" t="n"/>
      <c r="CP341" s="82" t="n"/>
      <c r="CQ341" s="82" t="n"/>
      <c r="CR341" s="82" t="n"/>
      <c r="CS341" s="82" t="n"/>
      <c r="CU341" s="82" t="n"/>
      <c r="CV341" s="82" t="n"/>
      <c r="CW341" s="82" t="n"/>
      <c r="CX341" s="82" t="n"/>
    </row>
    <row r="342" customFormat="1" s="77">
      <c r="A342" s="76" t="n"/>
      <c r="B342" s="76" t="n"/>
      <c r="C342" s="77" t="inlineStr">
        <is>
          <t>CASH RATIO</t>
        </is>
      </c>
      <c r="D342" s="82" t="str">
        <f>IFERROR(SUM(D144)/SUM(D198,D202,D204,D205),"")</f>
        <v/>
      </c>
      <c r="E342" s="82" t="str">
        <f>IFERROR(SUM(E144)/SUM(E198,E202,E204,E205),"")</f>
        <v/>
      </c>
      <c r="F342" s="82" t="str">
        <f>IFERROR(SUM(F144)/SUM(F198,F202,F204,F205),"")</f>
        <v/>
      </c>
      <c r="G342" s="82" t="str">
        <f>IFERROR(SUM(G144)/SUM(G198,G202,G204,G205),"")</f>
        <v/>
      </c>
      <c r="H342" s="262" t="str">
        <f>IFERROR(IF((N(H198)+N(H202)+N(H204)+N(H205)+N(H212)+N(H213)+N(H214))&lt;&gt;0,N(H144)/(N(H198)+N(H202)+N(H204)+N(H205)+N(H212)+N(H213)+N(H214)),""),"")</f>
        <v/>
      </c>
      <c r="I342" s="262">
        <f>IFERROR(IF((N(I198)+N(I202)+N(I204)+N(I205)+N(I212)+N(I213)+N(I214))&lt;&gt;0,N(I144)/(N(I198)+N(I202)+N(I204)+N(I205)+N(I212)+N(I213)+N(I214)),""),"")</f>
        <v>0.284185463969941</v>
      </c>
      <c r="J342" s="262">
        <f>IFERROR(IF((N(J198)+N(J202)+N(J204)+N(J205)+N(J212)+N(J213)+N(J214))&lt;&gt;0,N(J144)/(N(J198)+N(J202)+N(J204)+N(J205)+N(J212)+N(J213)+N(J214)),""),"")</f>
        <v>0.29469545567355</v>
      </c>
      <c r="K342" s="262">
        <f>IFERROR(IF((N(K198)+N(K202)+N(K204)+N(K205)+N(K212)+N(K213)+N(K214))&lt;&gt;0,N(K144)/(N(K198)+N(K202)+N(K204)+N(K205)+N(K212)+N(K213)+N(K214)),""),"")</f>
        <v>0.299981149858624</v>
      </c>
      <c r="L342" s="262">
        <f>IFERROR(IF((N(L198)+N(L202)+N(L204)+N(L205)+N(L212)+N(L213)+N(L214))&lt;&gt;0,N(L144)/(N(L198)+N(L202)+N(L204)+N(L205)+N(L212)+N(L213)+N(L214)),""),"")</f>
        <v>0.305356869156491</v>
      </c>
      <c r="M342" s="262">
        <f>IFERROR(IF((N(M198)+N(M202)+N(M204)+N(M205)+N(M212)+N(M213)+N(M214))&lt;&gt;0,N(M144)/(N(M198)+N(M202)+N(M204)+N(M205)+N(M212)+N(M213)+N(M214)),""),"")</f>
        <v>0.305356869156491</v>
      </c>
      <c r="N342" s="262">
        <f>IFERROR(IF((N(N198)+N(N202)+N(N204)+N(N205)+N(N212)+N(N213)+N(N214))&lt;&gt;0,N(N144)/(N(N198)+N(N202)+N(N204)+N(N205)+N(N212)+N(N213)+N(N214)),""),"")</f>
        <v>0.322059657479868</v>
      </c>
      <c r="O342" s="262">
        <f>IFERROR(IF((N(O198)+N(O202)+N(O204)+N(O205)+N(O212)+N(O213)+N(O214))&lt;&gt;0,N(O144)/(N(O198)+N(O202)+N(O204)+N(O205)+N(O212)+N(O213)+N(O214)),""),"")</f>
        <v>0.315272046720332</v>
      </c>
      <c r="P342" s="262">
        <f>IFERROR(IF((N(P198)+N(P202)+N(P204)+N(P205)+N(P212)+N(P213)+N(P214))&lt;&gt;0,N(P144)/(N(P198)+N(P202)+N(P204)+N(P205)+N(P212)+N(P213)+N(P214)),""),"")</f>
        <v>0.421330559270818</v>
      </c>
      <c r="Q342" s="262">
        <f>IFERROR(IF((N(Q198)+N(Q202)+N(Q204)+N(Q205)+N(Q212)+N(Q213)+N(Q214))&lt;&gt;0,N(Q144)/(N(Q198)+N(Q202)+N(Q204)+N(Q205)+N(Q212)+N(Q213)+N(Q214)),""),"")</f>
        <v>0.312773849412239</v>
      </c>
      <c r="R342" s="262">
        <f>IFERROR(IF((N(R198)+N(R202)+N(R204)+N(R205)+N(R212)+N(R213)+N(R214))&lt;&gt;0,N(R144)/(N(R198)+N(R202)+N(R204)+N(R205)+N(R212)+N(R213)+N(R214)),""),"")</f>
        <v>0.312773849412239</v>
      </c>
      <c r="S342" s="262">
        <f>IFERROR(IF((N(S198)+N(S202)+N(S204)+N(S205)+N(S212)+N(S213)+N(S214))&lt;&gt;0,N(S144)/(N(S198)+N(S202)+N(S204)+N(S205)+N(S212)+N(S213)+N(S214)),""),"")</f>
        <v>0.399177555330437</v>
      </c>
      <c r="T342" s="262">
        <f>IFERROR(IF((N(T198)+N(T202)+N(T204)+N(T205)+N(T212)+N(T213)+N(T214))&lt;&gt;0,N(T144)/(N(T198)+N(T202)+N(T204)+N(T205)+N(T212)+N(T213)+N(T214)),""),"")</f>
        <v>0.409617546313097</v>
      </c>
      <c r="U342" s="262">
        <f>IFERROR(IF((N(U198)+N(U202)+N(U204)+N(U205)+N(U212)+N(U213)+N(U214))&lt;&gt;0,N(U144)/(N(U198)+N(U202)+N(U204)+N(U205)+N(U212)+N(U213)+N(U214)),""),"")</f>
        <v>0.386209373002041</v>
      </c>
      <c r="V342" s="262">
        <f>IFERROR(IF((N(V198)+N(V202)+N(V204)+N(V205)+N(V212)+N(V213)+N(V214))&lt;&gt;0,N(V144)/(N(V198)+N(V202)+N(V204)+N(V205)+N(V212)+N(V213)+N(V214)),""),"")</f>
        <v>0.299109576594585</v>
      </c>
      <c r="W342" s="262">
        <f>IFERROR(IF((N(W198)+N(W202)+N(W204)+N(W205)+N(W212)+N(W213)+N(W214))&lt;&gt;0,N(W144)/(N(W198)+N(W202)+N(W204)+N(W205)+N(W212)+N(W213)+N(W214)),""),"")</f>
        <v>0.299109576594585</v>
      </c>
      <c r="X342" s="262">
        <f>IFERROR(IF((N(X198)+N(X202)+N(X204)+N(X205)+N(X212)+N(X213)+N(X214))&lt;&gt;0,N(X144)/(N(X198)+N(X202)+N(X204)+N(X205)+N(X212)+N(X213)+N(X214)),""),"")</f>
        <v>0.313221169959112</v>
      </c>
      <c r="Y342" s="262">
        <f>IFERROR(IF((N(Y198)+N(Y202)+N(Y204)+N(Y205)+N(Y212)+N(Y213)+N(Y214))&lt;&gt;0,N(Y144)/(N(Y198)+N(Y202)+N(Y204)+N(Y205)+N(Y212)+N(Y213)+N(Y214)),""),"")</f>
        <v>0.299254800802522</v>
      </c>
      <c r="Z342" s="262">
        <f>IFERROR(IF((N(Z198)+N(Z202)+N(Z204)+N(Z205)+N(Z212)+N(Z213)+N(Z214))&lt;&gt;0,N(Z144)/(N(Z198)+N(Z202)+N(Z204)+N(Z205)+N(Z212)+N(Z213)+N(Z214)),""),"")</f>
        <v>0.365618077093487</v>
      </c>
      <c r="AA342" s="262">
        <f>IFERROR(IF((N(AA198)+N(AA202)+N(AA204)+N(AA205)+N(AA212)+N(AA213)+N(AA214))&lt;&gt;0,N(AA144)/(N(AA198)+N(AA202)+N(AA204)+N(AA205)+N(AA212)+N(AA213)+N(AA214)),""),"")</f>
        <v>0.28055585001301</v>
      </c>
      <c r="AB342" s="262">
        <f>IFERROR(IF((N(AB198)+N(AB202)+N(AB204)+N(AB205)+N(AB212)+N(AB213)+N(AB214))&lt;&gt;0,N(AB144)/(N(AB198)+N(AB202)+N(AB204)+N(AB205)+N(AB212)+N(AB213)+N(AB214)),""),"")</f>
        <v>0.28055585001301</v>
      </c>
      <c r="AC342" s="262">
        <f>IFERROR(IF((N(AC198)+N(AC202)+N(AC204)+N(AC205)+N(AC212)+N(AC213)+N(AC214))&lt;&gt;0,N(AC144)/(N(AC198)+N(AC202)+N(AC204)+N(AC205)+N(AC212)+N(AC213)+N(AC214)),""),"")</f>
        <v>0.302200562258198</v>
      </c>
      <c r="AD342" s="262">
        <f>IFERROR(IF((N(AD198)+N(AD202)+N(AD204)+N(AD205)+N(AD212)+N(AD213)+N(AD214))&lt;&gt;0,N(AD144)/(N(AD198)+N(AD202)+N(AD204)+N(AD205)+N(AD212)+N(AD213)+N(AD214)),""),"")</f>
        <v>0.289038734078949</v>
      </c>
      <c r="AE342" s="262">
        <f>IFERROR(IF((N(AE198)+N(AE202)+N(AE204)+N(AE205)+N(AE212)+N(AE213)+N(AE214))&lt;&gt;0,N(AE144)/(N(AE198)+N(AE202)+N(AE204)+N(AE205)+N(AE212)+N(AE213)+N(AE214)),""),"")</f>
        <v>0.264996624136558</v>
      </c>
      <c r="AF342" s="262">
        <f>IFERROR(IF((N(AF198)+N(AF202)+N(AF204)+N(AF205)+N(AF212)+N(AF213)+N(AF214))&lt;&gt;0,N(AF144)/(N(AF198)+N(AF202)+N(AF204)+N(AF205)+N(AF212)+N(AF213)+N(AF214)),""),"")</f>
        <v>0.244749645334517</v>
      </c>
      <c r="AG342" s="262">
        <f>IFERROR(IF((N(AG198)+N(AG202)+N(AG204)+N(AG205)+N(AG212)+N(AG213)+N(AG214))&lt;&gt;0,N(AG144)/(N(AG198)+N(AG202)+N(AG204)+N(AG205)+N(AG212)+N(AG213)+N(AG214)),""),"")</f>
        <v>0.244749645334517</v>
      </c>
      <c r="AH342" s="262">
        <f>IFERROR(IF((N(AH198)+N(AH202)+N(AH204)+N(AH205)+N(AH212)+N(AH213)+N(AH214))&lt;&gt;0,N(AH144)/(N(AH198)+N(AH202)+N(AH204)+N(AH205)+N(AH212)+N(AH213)+N(AH214)),""),"")</f>
        <v>0.273640951947005</v>
      </c>
      <c r="AI342" s="262">
        <f>IFERROR(IF((N(AI198)+N(AI202)+N(AI204)+N(AI205)+N(AI212)+N(AI213)+N(AI214))&lt;&gt;0,N(AI144)/(N(AI198)+N(AI202)+N(AI204)+N(AI205)+N(AI212)+N(AI213)+N(AI214)),""),"")</f>
        <v>0.28141656233232</v>
      </c>
      <c r="AJ342" s="262">
        <f>IFERROR(IF((N(AJ198)+N(AJ202)+N(AJ204)+N(AJ205)+N(AJ212)+N(AJ213)+N(AJ214))&lt;&gt;0,N(AJ144)/(N(AJ198)+N(AJ202)+N(AJ204)+N(AJ205)+N(AJ212)+N(AJ213)+N(AJ214)),""),"")</f>
        <v>0.27695888856394</v>
      </c>
      <c r="AK342" s="262">
        <f>IFERROR(IF((N(AK198)+N(AK202)+N(AK204)+N(AK205)+N(AK212)+N(AK213)+N(AK214))&lt;&gt;0,N(AK144)/(N(AK198)+N(AK202)+N(AK204)+N(AK205)+N(AK212)+N(AK213)+N(AK214)),""),"")</f>
        <v>0.313398572389551</v>
      </c>
      <c r="AL342" s="262">
        <f>IFERROR(IF((N(AL198)+N(AL202)+N(AL204)+N(AL205)+N(AL212)+N(AL213)+N(AL214))&lt;&gt;0,N(AL144)/(N(AL198)+N(AL202)+N(AL204)+N(AL205)+N(AL212)+N(AL213)+N(AL214)),""),"")</f>
        <v>0.313398572389551</v>
      </c>
      <c r="AM342" s="262">
        <f>IFERROR(IF((N(AM198)+N(AM202)+N(AM204)+N(AM205)+N(AM212)+N(AM213)+N(AM214))&lt;&gt;0,N(AM144)/(N(AM198)+N(AM202)+N(AM204)+N(AM205)+N(AM212)+N(AM213)+N(AM214)),""),"")</f>
        <v>0.349323994811231</v>
      </c>
      <c r="AN342" s="262">
        <f>IFERROR(IF((N(AN198)+N(AN202)+N(AN204)+N(AN205)+N(AN212)+N(AN213)+N(AN214))&lt;&gt;0,N(AN144)/(N(AN198)+N(AN202)+N(AN204)+N(AN205)+N(AN212)+N(AN213)+N(AN214)),""),"")</f>
        <v>0.385387933355931</v>
      </c>
      <c r="AO342" s="262">
        <f>IFERROR(IF((N(AO198)+N(AO202)+N(AO204)+N(AO205)+N(AO212)+N(AO213)+N(AO214))&lt;&gt;0,N(AO144)/(N(AO198)+N(AO202)+N(AO204)+N(AO205)+N(AO212)+N(AO213)+N(AO214)),""),"")</f>
        <v>0.422466870637987</v>
      </c>
      <c r="AP342" s="262">
        <f>IFERROR(IF((N(AP198)+N(AP202)+N(AP204)+N(AP205)+N(AP212)+N(AP213)+N(AP214))&lt;&gt;0,N(AP144)/(N(AP198)+N(AP202)+N(AP204)+N(AP205)+N(AP212)+N(AP213)+N(AP214)),""),"")</f>
        <v>0.460765684559049</v>
      </c>
      <c r="AQ342" s="262">
        <f>IFERROR(IF((N(AQ198)+N(AQ202)+N(AQ204)+N(AQ205)+N(AQ212)+N(AQ213)+N(AQ214))&lt;&gt;0,N(AQ144)/(N(AQ198)+N(AQ202)+N(AQ204)+N(AQ205)+N(AQ212)+N(AQ213)+N(AQ214)),""),"")</f>
        <v>0.460765684559049</v>
      </c>
      <c r="AR342" s="262">
        <f>IFERROR(IF((N(AR198)+N(AR202)+N(AR204)+N(AR205)+N(AR212)+N(AR213)+N(AR214))&lt;&gt;0,N(AR144)/(N(AR198)+N(AR202)+N(AR204)+N(AR205)+N(AR212)+N(AR213)+N(AR214)),""),"")</f>
        <v>0.498806656800785</v>
      </c>
      <c r="AS342" s="262">
        <f>IFERROR(IF((N(AS198)+N(AS202)+N(AS204)+N(AS205)+N(AS212)+N(AS213)+N(AS214))&lt;&gt;0,N(AS144)/(N(AS198)+N(AS202)+N(AS204)+N(AS205)+N(AS212)+N(AS213)+N(AS214)),""),"")</f>
        <v>0.536441378551443</v>
      </c>
      <c r="AT342" s="262">
        <f>IFERROR(IF((N(AT198)+N(AT202)+N(AT204)+N(AT205)+N(AT212)+N(AT213)+N(AT214))&lt;&gt;0,N(AT144)/(N(AT198)+N(AT202)+N(AT204)+N(AT205)+N(AT212)+N(AT213)+N(AT214)),""),"")</f>
        <v>0.570805415942489</v>
      </c>
      <c r="AU342" s="262">
        <f>IFERROR(IF((N(AU198)+N(AU202)+N(AU204)+N(AU205)+N(AU212)+N(AU213)+N(AU214))&lt;&gt;0,N(AU144)/(N(AU198)+N(AU202)+N(AU204)+N(AU205)+N(AU212)+N(AU213)+N(AU214)),""),"")</f>
        <v>0.610885379586733</v>
      </c>
      <c r="AV342" s="262">
        <f>IFERROR(IF((N(AV198)+N(AV202)+N(AV204)+N(AV205)+N(AV212)+N(AV213)+N(AV214))&lt;&gt;0,N(AV144)/(N(AV198)+N(AV202)+N(AV204)+N(AV205)+N(AV212)+N(AV213)+N(AV214)),""),"")</f>
        <v>0.610885379586733</v>
      </c>
      <c r="AW342" s="262">
        <f>IFERROR(IF((N(AW198)+N(AW202)+N(AW204)+N(AW205)+N(AW212)+N(AW213)+N(AW214))&lt;&gt;0,N(AW144)/(N(AW198)+N(AW202)+N(AW204)+N(AW205)+N(AW212)+N(AW213)+N(AW214)),""),"")</f>
        <v>0.650183444659043</v>
      </c>
      <c r="AX342" s="262">
        <f>IFERROR(IF((N(AX198)+N(AX202)+N(AX204)+N(AX205)+N(AX212)+N(AX213)+N(AX214))&lt;&gt;0,N(AX144)/(N(AX198)+N(AX202)+N(AX204)+N(AX205)+N(AX212)+N(AX213)+N(AX214)),""),"")</f>
        <v>0.690653360627212</v>
      </c>
      <c r="AY342" s="262">
        <f>IFERROR(IF((N(AY198)+N(AY202)+N(AY204)+N(AY205)+N(AY212)+N(AY213)+N(AY214))&lt;&gt;0,N(AY144)/(N(AY198)+N(AY202)+N(AY204)+N(AY205)+N(AY212)+N(AY213)+N(AY214)),""),"")</f>
        <v>0.721738348742012</v>
      </c>
      <c r="AZ342" s="262">
        <f>IFERROR(IF((N(AZ198)+N(AZ202)+N(AZ204)+N(AZ205)+N(AZ212)+N(AZ213)+N(AZ214))&lt;&gt;0,N(AZ144)/(N(AZ198)+N(AZ202)+N(AZ204)+N(AZ205)+N(AZ212)+N(AZ213)+N(AZ214)),""),"")</f>
        <v>0.763510985644404</v>
      </c>
      <c r="BA342" s="262">
        <f>IFERROR(IF((N(BA198)+N(BA202)+N(BA204)+N(BA205)+N(BA212)+N(BA213)+N(BA214))&lt;&gt;0,N(BA144)/(N(BA198)+N(BA202)+N(BA204)+N(BA205)+N(BA212)+N(BA213)+N(BA214)),""),"")</f>
        <v>0.763510985644404</v>
      </c>
      <c r="BB342" s="262">
        <f>IFERROR(IF((N(BB198)+N(BB202)+N(BB204)+N(BB205)+N(BB212)+N(BB213)+N(BB214))&lt;&gt;0,N(BB144)/(N(BB198)+N(BB202)+N(BB204)+N(BB205)+N(BB212)+N(BB213)+N(BB214)),""),"")</f>
        <v>0.805225375456886</v>
      </c>
      <c r="BC342" s="262">
        <f>IFERROR(IF((N(BC198)+N(BC202)+N(BC204)+N(BC205)+N(BC212)+N(BC213)+N(BC214))&lt;&gt;0,N(BC144)/(N(BC198)+N(BC202)+N(BC204)+N(BC205)+N(BC212)+N(BC213)+N(BC214)),""),"")</f>
        <v>0.847845217179002</v>
      </c>
      <c r="BD342" s="262">
        <f>IFERROR(IF((N(BD198)+N(BD202)+N(BD204)+N(BD205)+N(BD212)+N(BD213)+N(BD214))&lt;&gt;0,N(BD144)/(N(BD198)+N(BD202)+N(BD204)+N(BD205)+N(BD212)+N(BD213)+N(BD214)),""),"")</f>
        <v>0.875104179160796</v>
      </c>
      <c r="BE342" s="262">
        <f>IFERROR(IF((N(BE198)+N(BE202)+N(BE204)+N(BE205)+N(BE212)+N(BE213)+N(BE214))&lt;&gt;0,N(BE144)/(N(BE198)+N(BE202)+N(BE204)+N(BE205)+N(BE212)+N(BE213)+N(BE214)),""),"")</f>
        <v>0.918472101142231</v>
      </c>
      <c r="BF342" s="262">
        <f>IFERROR(IF((N(BF198)+N(BF202)+N(BF204)+N(BF205)+N(BF212)+N(BF213)+N(BF214))&lt;&gt;0,N(BF144)/(N(BF198)+N(BF202)+N(BF204)+N(BF205)+N(BF212)+N(BF213)+N(BF214)),""),"")</f>
        <v>0.918472101142231</v>
      </c>
      <c r="BG342" s="82" t="n"/>
      <c r="BH342" s="82" t="n"/>
      <c r="BI342" s="82" t="n"/>
      <c r="BJ342" s="82" t="n"/>
      <c r="BL342" s="82" t="n"/>
      <c r="BM342" s="82" t="n"/>
      <c r="BN342" s="82" t="n"/>
      <c r="BO342" s="82" t="n"/>
      <c r="BQ342" s="82" t="n"/>
      <c r="BR342" s="82" t="n"/>
      <c r="BS342" s="82" t="n"/>
      <c r="BT342" s="82" t="n"/>
      <c r="BV342" s="82" t="n"/>
      <c r="BW342" s="82" t="n"/>
      <c r="BX342" s="82" t="n"/>
      <c r="BY342" s="82" t="n"/>
      <c r="CA342" s="82" t="n"/>
      <c r="CB342" s="82" t="n"/>
      <c r="CC342" s="82" t="n"/>
      <c r="CD342" s="82" t="n"/>
      <c r="CF342" s="82" t="n"/>
      <c r="CG342" s="82" t="n"/>
      <c r="CH342" s="82" t="n"/>
      <c r="CI342" s="82" t="n"/>
      <c r="CK342" s="82" t="n"/>
      <c r="CL342" s="82" t="n"/>
      <c r="CM342" s="82" t="n"/>
      <c r="CN342" s="82" t="n"/>
      <c r="CP342" s="82" t="n"/>
      <c r="CQ342" s="82" t="n"/>
      <c r="CR342" s="82" t="n"/>
      <c r="CS342" s="82" t="n"/>
      <c r="CU342" s="82" t="n"/>
      <c r="CV342" s="82" t="n"/>
      <c r="CW342" s="82" t="n"/>
      <c r="CX342" s="82" t="n"/>
    </row>
    <row r="343" customFormat="1" s="77">
      <c r="A343" s="76" t="n"/>
      <c r="B343" s="76" t="n"/>
    </row>
    <row r="344" customFormat="1" s="77">
      <c r="A344" s="76" t="n"/>
      <c r="B344" s="76" t="n"/>
      <c r="C344" s="74" t="inlineStr">
        <is>
          <t>OPERATING EFFICIENCY</t>
        </is>
      </c>
    </row>
    <row r="345" customFormat="1" s="84">
      <c r="A345" s="81" t="n"/>
      <c r="B345" s="81" t="n"/>
      <c r="C345" s="84" t="inlineStr">
        <is>
          <t>RETURN ON CAPITAL (ROIC) - LTM</t>
        </is>
      </c>
      <c r="D345" t="str">
        <f>IFERROR(D347/D350,"")</f>
        <v/>
      </c>
      <c r="E345" t="str">
        <f>IFERROR(E347/E350,"")</f>
        <v/>
      </c>
      <c r="F345" t="str">
        <f>IFERROR(F347/F350,"")</f>
        <v/>
      </c>
      <c r="G345" t="str">
        <f>IFERROR(G347/G350,"")</f>
        <v/>
      </c>
      <c r="H345" s="257" t="str">
        <f>IFERROR(IF(AND(COUNT(H347)=1,N(H350)&lt;&gt;0),(H347)/H350,""),"")</f>
        <v/>
      </c>
      <c r="I345" s="257" t="str">
        <f>""</f>
        <v/>
      </c>
      <c r="J345" s="257" t="str">
        <f>""</f>
        <v/>
      </c>
      <c r="K345" s="257" t="str">
        <f>""</f>
        <v/>
      </c>
      <c r="L345" s="257">
        <f>IFERROR(IF(AND(COUNT(I347,J347,K347,L347)=4,N(L350)&lt;&gt;0),(I347+J347+K347+L347)/L350,""),"")</f>
        <v>0.18709117071928</v>
      </c>
      <c r="M345" s="257">
        <f>IFERROR(IF(AND(COUNT(I347,J347,K347,L347)=4,N(M350)&lt;&gt;0),(I347+J347+K347+L347)/M350,""),"")</f>
        <v>0.18709117071928</v>
      </c>
      <c r="N345" s="257">
        <f>IFERROR(IF(AND(COUNT(J347,K347,L347,N347)=4,N(N350)&lt;&gt;0),(J347+K347+L347+N347)/N350,""),"")</f>
        <v>0.193121132595193</v>
      </c>
      <c r="O345" s="257">
        <f>IFERROR(IF(AND(COUNT(K347,L347,N347,O347)=4,N(O350)&lt;&gt;0),(K347+L347+N347+O347)/O350,""),"")</f>
        <v>0.18782974029464</v>
      </c>
      <c r="P345" s="257">
        <f>IFERROR(IF(AND(COUNT(L347,N347,O347,P347)=4,N(P350)&lt;&gt;0),(L347+N347+O347+P347)/P350,""),"")</f>
        <v>0.235689738427632</v>
      </c>
      <c r="Q345" s="257">
        <f>IFERROR(IF(AND(COUNT(N347,O347,P347,Q347)=4,N(Q350)&lt;&gt;0),(N347+O347+P347+Q347)/Q350,""),"")</f>
        <v>0.187490527247523</v>
      </c>
      <c r="R345" s="257">
        <f>IFERROR(IF(AND(COUNT(N347,O347,P347,Q347)=4,N(R350)&lt;&gt;0),(N347+O347+P347+Q347)/R350,""),"")</f>
        <v>0.187490527247523</v>
      </c>
      <c r="S345" s="257">
        <f>IFERROR(IF(AND(COUNT(O347,P347,Q347,S347)=4,N(S350)&lt;&gt;0),(O347+P347+Q347+S347)/S350,""),"")</f>
        <v>0.197000885462894</v>
      </c>
      <c r="T345" s="257">
        <f>IFERROR(IF(AND(COUNT(P347,Q347,S347,T347)=4,N(T350)&lt;&gt;0),(P347+Q347+S347+T347)/T350,""),"")</f>
        <v>0.209702426063413</v>
      </c>
      <c r="U345" s="257">
        <f>IFERROR(IF(AND(COUNT(Q347,S347,T347,U347)=4,N(U350)&lt;&gt;0),(Q347+S347+T347+U347)/U350,""),"")</f>
        <v>0.214851901805624</v>
      </c>
      <c r="V345" s="257">
        <f>IFERROR(IF(AND(COUNT(S347,T347,U347,V347)=4,N(V350)&lt;&gt;0),(S347+T347+U347+V347)/V350,""),"")</f>
        <v>0.1907846330289</v>
      </c>
      <c r="W345" s="257">
        <f>IFERROR(IF(AND(COUNT(S347,T347,U347,V347)=4,N(W350)&lt;&gt;0),(S347+T347+U347+V347)/W350,""),"")</f>
        <v>0.1907846330289</v>
      </c>
      <c r="X345" s="257">
        <f>IFERROR(IF(AND(COUNT(T347,U347,V347,X347)=4,N(X350)&lt;&gt;0),(T347+U347+V347+X347)/X350,""),"")</f>
        <v>0.136321837855041</v>
      </c>
      <c r="Y345" s="257">
        <f>IFERROR(IF(AND(COUNT(U347,V347,X347,Y347)=4,N(Y350)&lt;&gt;0),(U347+V347+X347+Y347)/Y350,""),"")</f>
        <v>0.130933503005539</v>
      </c>
      <c r="Z345" s="257">
        <f>IFERROR(IF(AND(COUNT(V347,X347,Y347,Z347)=4,N(Z350)&lt;&gt;0),(V347+X347+Y347+Z347)/Z350,""),"")</f>
        <v>0.131672228777274</v>
      </c>
      <c r="AA345" s="257">
        <f>IFERROR(IF(AND(COUNT(X347,Y347,Z347,AA347)=4,N(AA350)&lt;&gt;0),(X347+Y347+Z347+AA347)/AA350,""),"")</f>
        <v>0.129370061189261</v>
      </c>
      <c r="AB345" s="257">
        <f>IFERROR(IF(AND(COUNT(X347,Y347,Z347,AA347)=4,N(AB350)&lt;&gt;0),(X347+Y347+Z347+AA347)/AB350,""),"")</f>
        <v>0.129370061189261</v>
      </c>
      <c r="AC345" s="257">
        <f>IFERROR(IF(AND(COUNT(Y347,Z347,AA347,AC347)=4,N(AC350)&lt;&gt;0),(Y347+Z347+AA347+AC347)/AC350,""),"")</f>
        <v>0.174342352797196</v>
      </c>
      <c r="AD345" s="257">
        <f>IFERROR(IF(AND(COUNT(Z347,AA347,AC347,AD347)=4,N(AD350)&lt;&gt;0),(Z347+AA347+AC347+AD347)/AD350,""),"")</f>
        <v>0.164143570223402</v>
      </c>
      <c r="AE345" s="257">
        <f>IFERROR(IF(AND(COUNT(AA347,AC347,AD347,AE347)=4,N(AE350)&lt;&gt;0),(AA347+AC347+AD347+AE347)/AE350,""),"")</f>
        <v>0.137594276371509</v>
      </c>
      <c r="AF345" s="257">
        <f>IFERROR(IF(AND(COUNT(AB347,AD347,AE347,AF347)=4,N(AF350)&lt;&gt;0),(AB347+AD347+AE347+AF347)/AF350,""),"")</f>
        <v>0.210015906364301</v>
      </c>
      <c r="AG345" s="257">
        <f>IFERROR(IF(AND(COUNT(AC347,AD347,AE347,AF347)=4,N(AG350)&lt;&gt;0),(AC347+AD347+AE347+AF347)/AG350,""),"")</f>
        <v>0.098375481066043</v>
      </c>
      <c r="AH345" s="257">
        <f>IFERROR(IF(AND(COUNT(AD347,AF347,AG347,AH347)=4,N(AH350)&lt;&gt;0),(AD347+AF347+AG347+AH347)/AH350,""),"")</f>
        <v>0.183047203063122</v>
      </c>
      <c r="AI345" s="257">
        <f>IFERROR(IF(AND(COUNT(AE347,AG347,AH347,AI347)=4,N(AI350)&lt;&gt;0),(AE347+AG347+AH347+AI347)/AI350,""),"")</f>
        <v>0.224158831394713</v>
      </c>
      <c r="AJ345" s="257">
        <f>IFERROR(IF(AND(COUNT(AF347,AH347,AI347,AJ347)=4,N(AJ350)&lt;&gt;0),(AF347+AH347+AI347+AJ347)/AJ350,""),"")</f>
        <v>0.115877655005003</v>
      </c>
      <c r="AK345" s="257">
        <f>IFERROR(IF(AND(COUNT(AH347,AI347,AJ347,AK347)=4,N(AK350)&lt;&gt;0),(AH347+AI347+AJ347+AK347)/AK350,""),"")</f>
        <v>0.142658838103244</v>
      </c>
      <c r="AL345" s="257">
        <f>IFERROR(IF(AND(COUNT(AH347,AI347,AJ347,AK347)=4,N(AL350)&lt;&gt;0),(AH347+AI347+AJ347+AK347)/AL350,""),"")</f>
        <v>0.142658838103244</v>
      </c>
      <c r="AM345" s="257">
        <f>IFERROR(IF(AND(COUNT(AI347,AJ347,AK347,AM347)=4,N(AM350)&lt;&gt;0),(AI347+AJ347+AK347+AM347)/AM350,""),"")</f>
        <v>0.122018470598836</v>
      </c>
      <c r="AN345" s="257">
        <f>IFERROR(IF(AND(COUNT(AJ347,AK347,AM347,AN347)=4,N(AN350)&lt;&gt;0),(AJ347+AK347+AM347+AN347)/AN350,""),"")</f>
        <v>0.106525020837838</v>
      </c>
      <c r="AO345" s="257">
        <f>IFERROR(IF(AND(COUNT(AK347,AM347,AN347,AO347)=4,N(AO350)&lt;&gt;0),(AK347+AM347+AN347+AO347)/AO350,""),"")</f>
        <v>0.109493512012616</v>
      </c>
      <c r="AP345" s="257">
        <f>IFERROR(IF(AND(COUNT(AM347,AN347,AO347,AP347)=4,N(AP350)&lt;&gt;0),(AM347+AN347+AO347+AP347)/AP350,""),"")</f>
        <v>0.111698358044205</v>
      </c>
      <c r="AQ345" s="257">
        <f>IFERROR(IF(AND(COUNT(AM347,AN347,AO347,AP347)=4,N(AQ350)&lt;&gt;0),(AM347+AN347+AO347+AP347)/AQ350,""),"")</f>
        <v>0.111698358044205</v>
      </c>
      <c r="AR345" s="257">
        <f>IFERROR(IF(AND(COUNT(AN347,AO347,AP347,AR347)=4,N(AR350)&lt;&gt;0),(AN347+AO347+AP347+AR347)/AR350,""),"")</f>
        <v>0.113659545500085</v>
      </c>
      <c r="AS345" s="257">
        <f>IFERROR(IF(AND(COUNT(AO347,AP347,AR347,AS347)=4,N(AS350)&lt;&gt;0),(AO347+AP347+AR347+AS347)/AS350,""),"")</f>
        <v>0.11573009362173</v>
      </c>
      <c r="AT345" s="257">
        <f>IFERROR(IF(AND(COUNT(AP347,AR347,AS347,AT347)=4,N(AT350)&lt;&gt;0),(AP347+AR347+AS347+AT347)/AT350,""),"")</f>
        <v>0.118883110411019</v>
      </c>
      <c r="AU345" s="257">
        <f>IFERROR(IF(AND(COUNT(AR347,AS347,AT347,AU347)=4,N(AU350)&lt;&gt;0),(AR347+AS347+AT347+AU347)/AU350,""),"")</f>
        <v>0.121136264579214</v>
      </c>
      <c r="AV345" s="257">
        <f>IFERROR(IF(AND(COUNT(AR347,AS347,AT347,AU347)=4,N(AV350)&lt;&gt;0),(AR347+AS347+AT347+AU347)/AV350,""),"")</f>
        <v>0.121136264579214</v>
      </c>
      <c r="AW345" s="257">
        <f>IFERROR(IF(AND(COUNT(AS347,AT347,AU347,AW347)=4,N(AW350)&lt;&gt;0),(AS347+AT347+AU347+AW347)/AW350,""),"")</f>
        <v>0.123190786416595</v>
      </c>
      <c r="AX345" s="257">
        <f>IFERROR(IF(AND(COUNT(AT347,AU347,AW347,AX347)=4,N(AX350)&lt;&gt;0),(AT347+AU347+AW347+AX347)/AX350,""),"")</f>
        <v>0.125150519093343</v>
      </c>
      <c r="AY345" s="257">
        <f>IFERROR(IF(AND(COUNT(AU347,AW347,AX347,AY347)=4,N(AY350)&lt;&gt;0),(AU347+AW347+AX347+AY347)/AY350,""),"")</f>
        <v>0.128482973674501</v>
      </c>
      <c r="AZ345" s="257">
        <f>IFERROR(IF(AND(COUNT(AW347,AX347,AY347,AZ347)=4,N(AZ350)&lt;&gt;0),(AW347+AX347+AY347+AZ347)/AZ350,""),"")</f>
        <v>0.130764842689903</v>
      </c>
      <c r="BA345" s="257">
        <f>IFERROR(IF(AND(COUNT(AW347,AX347,AY347,AZ347)=4,N(BA350)&lt;&gt;0),(AW347+AX347+AY347+AZ347)/BA350,""),"")</f>
        <v>0.130764842689903</v>
      </c>
      <c r="BB345" s="257">
        <f>IFERROR(IF(AND(COUNT(AX347,AY347,AZ347,BB347)=4,N(BB350)&lt;&gt;0),(AX347+AY347+AZ347+BB347)/BB350,""),"")</f>
        <v>0.132754308160264</v>
      </c>
      <c r="BC345" s="257">
        <f>IFERROR(IF(AND(COUNT(AY347,AZ347,BB347,BC347)=4,N(BC350)&lt;&gt;0),(AY347+AZ347+BB347+BC347)/BC350,""),"")</f>
        <v>0.134701603668308</v>
      </c>
      <c r="BD345" s="257">
        <f>IFERROR(IF(AND(COUNT(AZ347,BB347,BC347,BD347)=4,N(BD350)&lt;&gt;0),(AZ347+BB347+BC347+BD347)/BD350,""),"")</f>
        <v>0.138205166255502</v>
      </c>
      <c r="BE345" s="257">
        <f>IFERROR(IF(AND(COUNT(BB347,BC347,BD347,BE347)=4,N(BE350)&lt;&gt;0),(BB347+BC347+BD347+BE347)/BE350,""),"")</f>
        <v>0.140493717053351</v>
      </c>
      <c r="BF345" s="257">
        <f>IFERROR(IF(AND(COUNT(BB347,BC347,BD347,BE347)=4,N(BF350)&lt;&gt;0),(BB347+BC347+BD347+BE347)/BF350,""),"")</f>
        <v>0.140493717053351</v>
      </c>
      <c r="BG345" s="81" t="n"/>
      <c r="BH345" s="81" t="n"/>
      <c r="BI345" s="81" t="n"/>
      <c r="BJ345" s="81" t="n"/>
      <c r="BL345" s="81" t="n"/>
      <c r="BM345" s="81" t="n"/>
      <c r="BN345" s="81" t="n"/>
      <c r="BO345" s="81" t="n"/>
      <c r="BQ345" s="81" t="n"/>
      <c r="BR345" s="81" t="n"/>
      <c r="BS345" s="81" t="n"/>
      <c r="BT345" s="81" t="n"/>
      <c r="BV345" s="81" t="n"/>
      <c r="BW345" s="81" t="n"/>
      <c r="BX345" s="81" t="n"/>
      <c r="BY345" s="81" t="n"/>
      <c r="CA345" s="81" t="n"/>
      <c r="CB345" s="81" t="n"/>
      <c r="CC345" s="81" t="n"/>
      <c r="CD345" s="81" t="n"/>
      <c r="CF345" s="81" t="n"/>
      <c r="CG345" s="81" t="n"/>
      <c r="CH345" s="81" t="n"/>
      <c r="CI345" s="81" t="n"/>
      <c r="CK345" s="81" t="n"/>
      <c r="CL345" s="81" t="n"/>
      <c r="CM345" s="81" t="n"/>
      <c r="CN345" s="81" t="n"/>
      <c r="CP345" s="81" t="n"/>
      <c r="CQ345" s="81" t="n"/>
      <c r="CR345" s="81" t="n"/>
      <c r="CS345" s="81" t="n"/>
      <c r="CU345" s="81" t="n"/>
      <c r="CV345" s="81" t="n"/>
      <c r="CW345" s="81" t="n"/>
      <c r="CX345" s="81" t="n"/>
    </row>
    <row r="346" customFormat="1" s="84">
      <c r="A346" s="81" t="n"/>
      <c r="B346" s="81" t="n"/>
      <c r="C346" s="84" t="inlineStr">
        <is>
          <t>RETURN ON CAPITAL (ROIC) - EX GOODWILL - LTM</t>
        </is>
      </c>
      <c r="D346" t="str">
        <f>IFERROR(D347/D351,"")</f>
        <v/>
      </c>
      <c r="E346" t="str">
        <f>IFERROR(E347/E351,"")</f>
        <v/>
      </c>
      <c r="F346" t="str">
        <f>IFERROR(F347/F351,"")</f>
        <v/>
      </c>
      <c r="G346" t="str">
        <f>IFERROR(G347/G351,"")</f>
        <v/>
      </c>
      <c r="H346" s="257" t="str">
        <f>IFERROR(IF(AND(COUNT(H347)=1,N(H351)&lt;&gt;0),(H347)/H351,""),"")</f>
        <v/>
      </c>
      <c r="I346" s="257" t="str">
        <f>""</f>
        <v/>
      </c>
      <c r="J346" s="257" t="str">
        <f>""</f>
        <v/>
      </c>
      <c r="K346" s="257" t="str">
        <f>""</f>
        <v/>
      </c>
      <c r="L346" s="257">
        <f>IFERROR(IF(AND(COUNT(I347,J347,K347,L347)=4,N(L351)&lt;&gt;0),(I347+J347+K347+L347)/L351,""),"")</f>
        <v>0.731555570207389</v>
      </c>
      <c r="M346" s="257">
        <f>IFERROR(IF(AND(COUNT(I347,J347,K347,L347)=4,N(M351)&lt;&gt;0),(I347+J347+K347+L347)/M351,""),"")</f>
        <v>0.731555570207389</v>
      </c>
      <c r="N346" s="257">
        <f>IFERROR(IF(AND(COUNT(J347,K347,L347,N347)=4,N(N351)&lt;&gt;0),(J347+K347+L347+N347)/N351,""),"")</f>
        <v>0.869245628779933</v>
      </c>
      <c r="O346" s="257">
        <f>IFERROR(IF(AND(COUNT(K347,L347,N347,O347)=4,N(O351)&lt;&gt;0),(K347+L347+N347+O347)/O351,""),"")</f>
        <v>0.875833009508453</v>
      </c>
      <c r="P346" s="257">
        <f>IFERROR(IF(AND(COUNT(L347,N347,O347,P347)=4,N(P351)&lt;&gt;0),(L347+N347+O347+P347)/P351,""),"")</f>
        <v>3.13699722273398</v>
      </c>
      <c r="Q346" s="257">
        <f>IFERROR(IF(AND(COUNT(N347,O347,P347,Q347)=4,N(Q351)&lt;&gt;0),(N347+O347+P347+Q347)/Q351,""),"")</f>
        <v>0.874514224044932</v>
      </c>
      <c r="R346" s="257">
        <f>IFERROR(IF(AND(COUNT(N347,O347,P347,Q347)=4,N(R351)&lt;&gt;0),(N347+O347+P347+Q347)/R351,""),"")</f>
        <v>0.874514224044932</v>
      </c>
      <c r="S346" s="257">
        <f>IFERROR(IF(AND(COUNT(O347,P347,Q347,S347)=4,N(S351)&lt;&gt;0),(O347+P347+Q347+S347)/S351,""),"")</f>
        <v>1.35096336756938</v>
      </c>
      <c r="T346" s="257">
        <f>IFERROR(IF(AND(COUNT(P347,Q347,S347,T347)=4,N(T351)&lt;&gt;0),(P347+Q347+S347+T347)/T351,""),"")</f>
        <v>1.94375984415541</v>
      </c>
      <c r="U346" s="257">
        <f>IFERROR(IF(AND(COUNT(Q347,S347,T347,U347)=4,N(U351)&lt;&gt;0),(Q347+S347+T347+U347)/U351,""),"")</f>
        <v>1.80298206892078</v>
      </c>
      <c r="V346" s="257">
        <f>IFERROR(IF(AND(COUNT(S347,T347,U347,V347)=4,N(V351)&lt;&gt;0),(S347+T347+U347+V347)/V351,""),"")</f>
        <v>0.826786546881579</v>
      </c>
      <c r="W346" s="257">
        <f>IFERROR(IF(AND(COUNT(S347,T347,U347,V347)=4,N(W351)&lt;&gt;0),(S347+T347+U347+V347)/W351,""),"")</f>
        <v>0.826786546881579</v>
      </c>
      <c r="X346" s="257">
        <f>IFERROR(IF(AND(COUNT(T347,U347,V347,X347)=4,N(X351)&lt;&gt;0),(T347+U347+V347+X347)/X351,""),"")</f>
        <v>0.532610785668266</v>
      </c>
      <c r="Y346" s="257">
        <f>IFERROR(IF(AND(COUNT(U347,V347,X347,Y347)=4,N(Y351)&lt;&gt;0),(U347+V347+X347+Y347)/Y351,""),"")</f>
        <v>0.465976334354242</v>
      </c>
      <c r="Z346" s="257">
        <f>IFERROR(IF(AND(COUNT(V347,X347,Y347,Z347)=4,N(Z351)&lt;&gt;0),(V347+X347+Y347+Z347)/Z351,""),"")</f>
        <v>0.453445915252195</v>
      </c>
      <c r="AA346" s="257">
        <f>IFERROR(IF(AND(COUNT(X347,Y347,Z347,AA347)=4,N(AA351)&lt;&gt;0),(X347+Y347+Z347+AA347)/AA351,""),"")</f>
        <v>0.42149547607829</v>
      </c>
      <c r="AB346" s="257">
        <f>IFERROR(IF(AND(COUNT(X347,Y347,Z347,AA347)=4,N(AB351)&lt;&gt;0),(X347+Y347+Z347+AA347)/AB351,""),"")</f>
        <v>0.42149547607829</v>
      </c>
      <c r="AC346" s="257">
        <f>IFERROR(IF(AND(COUNT(Y347,Z347,AA347,AC347)=4,N(AC351)&lt;&gt;0),(Y347+Z347+AA347+AC347)/AC351,""),"")</f>
        <v>0.561128152961848</v>
      </c>
      <c r="AD346" s="257">
        <f>IFERROR(IF(AND(COUNT(Z347,AA347,AC347,AD347)=4,N(AD351)&lt;&gt;0),(Z347+AA347+AC347+AD347)/AD351,""),"")</f>
        <v>0.53171879713766</v>
      </c>
      <c r="AE346" s="257">
        <f>IFERROR(IF(AND(COUNT(AA347,AC347,AD347,AE347)=4,N(AE351)&lt;&gt;0),(AA347+AC347+AD347+AE347)/AE351,""),"")</f>
        <v>0.452857944266773</v>
      </c>
      <c r="AF346" s="257">
        <f>IFERROR(IF(AND(COUNT(AB347,AD347,AE347,AF347)=4,N(AF351)&lt;&gt;0),(AB347+AD347+AE347+AF347)/AF351,""),"")</f>
        <v>0.738783397189785</v>
      </c>
      <c r="AG346" s="257">
        <f>IFERROR(IF(AND(COUNT(AC347,AD347,AE347,AF347)=4,N(AG351)&lt;&gt;0),(AC347+AD347+AE347+AF347)/AG351,""),"")</f>
        <v>0.346060321621928</v>
      </c>
      <c r="AH346" s="257">
        <f>IFERROR(IF(AND(COUNT(AD347,AF347,AG347,AH347)=4,N(AH351)&lt;&gt;0),(AD347+AF347+AG347+AH347)/AH351,""),"")</f>
        <v>0.639074446799719</v>
      </c>
      <c r="AI346" s="257">
        <f>IFERROR(IF(AND(COUNT(AE347,AG347,AH347,AI347)=4,N(AI351)&lt;&gt;0),(AE347+AG347+AH347+AI347)/AI351,""),"")</f>
        <v>0.845982375988505</v>
      </c>
      <c r="AJ346" s="257">
        <f>IFERROR(IF(AND(COUNT(AF347,AH347,AI347,AJ347)=4,N(AJ351)&lt;&gt;0),(AF347+AH347+AI347+AJ347)/AJ351,""),"")</f>
        <v>0.404071310327598</v>
      </c>
      <c r="AK346" s="257">
        <f>IFERROR(IF(AND(COUNT(AH347,AI347,AJ347,AK347)=4,N(AK351)&lt;&gt;0),(AH347+AI347+AJ347+AK347)/AK351,""),"")</f>
        <v>0.497205862002195</v>
      </c>
      <c r="AL346" s="257">
        <f>IFERROR(IF(AND(COUNT(AH347,AI347,AJ347,AK347)=4,N(AL351)&lt;&gt;0),(AH347+AI347+AJ347+AK347)/AL351,""),"")</f>
        <v>0.497205862002195</v>
      </c>
      <c r="AM346" s="257">
        <f>IFERROR(IF(AND(COUNT(AI347,AJ347,AK347,AM347)=4,N(AM351)&lt;&gt;0),(AI347+AJ347+AK347+AM347)/AM351,""),"")</f>
        <v>0.425822165984568</v>
      </c>
      <c r="AN346" s="257">
        <f>IFERROR(IF(AND(COUNT(AJ347,AK347,AM347,AN347)=4,N(AN351)&lt;&gt;0),(AJ347+AK347+AM347+AN347)/AN351,""),"")</f>
        <v>0.37085536662865</v>
      </c>
      <c r="AO346" s="257">
        <f>IFERROR(IF(AND(COUNT(AK347,AM347,AN347,AO347)=4,N(AO351)&lt;&gt;0),(AK347+AM347+AN347+AO347)/AO351,""),"")</f>
        <v>0.387874272410915</v>
      </c>
      <c r="AP346" s="257">
        <f>IFERROR(IF(AND(COUNT(AM347,AN347,AO347,AP347)=4,N(AP351)&lt;&gt;0),(AM347+AN347+AO347+AP347)/AP351,""),"")</f>
        <v>0.395460875952675</v>
      </c>
      <c r="AQ346" s="257">
        <f>IFERROR(IF(AND(COUNT(AM347,AN347,AO347,AP347)=4,N(AQ351)&lt;&gt;0),(AM347+AN347+AO347+AP347)/AQ351,""),"")</f>
        <v>0.395460875952675</v>
      </c>
      <c r="AR346" s="257">
        <f>IFERROR(IF(AND(COUNT(AN347,AO347,AP347,AR347)=4,N(AR351)&lt;&gt;0),(AN347+AO347+AP347+AR347)/AR351,""),"")</f>
        <v>0.401458163645602</v>
      </c>
      <c r="AS346" s="257">
        <f>IFERROR(IF(AND(COUNT(AO347,AP347,AR347,AS347)=4,N(AS351)&lt;&gt;0),(AO347+AP347+AR347+AS347)/AS351,""),"")</f>
        <v>0.408771454046989</v>
      </c>
      <c r="AT346" s="257">
        <f>IFERROR(IF(AND(COUNT(AP347,AR347,AS347,AT347)=4,N(AT351)&lt;&gt;0),(AP347+AR347+AS347+AT347)/AT351,""),"")</f>
        <v>0.428072446598004</v>
      </c>
      <c r="AU346" s="257">
        <f>IFERROR(IF(AND(COUNT(AR347,AS347,AT347,AU347)=4,N(AU351)&lt;&gt;0),(AR347+AS347+AT347+AU347)/AU351,""),"")</f>
        <v>0.435911731016323</v>
      </c>
      <c r="AV346" s="257">
        <f>IFERROR(IF(AND(COUNT(AR347,AS347,AT347,AU347)=4,N(AV351)&lt;&gt;0),(AR347+AS347+AT347+AU347)/AV351,""),"")</f>
        <v>0.435911731016323</v>
      </c>
      <c r="AW346" s="257">
        <f>IFERROR(IF(AND(COUNT(AS347,AT347,AU347,AW347)=4,N(AW351)&lt;&gt;0),(AS347+AT347+AU347+AW347)/AW351,""),"")</f>
        <v>0.442907997366408</v>
      </c>
      <c r="AX346" s="257">
        <f>IFERROR(IF(AND(COUNT(AT347,AU347,AW347,AX347)=4,N(AX351)&lt;&gt;0),(AT347+AU347+AW347+AX347)/AX351,""),"")</f>
        <v>0.44863044832844</v>
      </c>
      <c r="AY346" s="257">
        <f>IFERROR(IF(AND(COUNT(AU347,AW347,AX347,AY347)=4,N(AY351)&lt;&gt;0),(AU347+AW347+AX347+AY347)/AY351,""),"")</f>
        <v>0.470463721478303</v>
      </c>
      <c r="AZ346" s="257">
        <f>IFERROR(IF(AND(COUNT(AW347,AX347,AY347,AZ347)=4,N(AZ351)&lt;&gt;0),(AW347+AX347+AY347+AZ347)/AZ351,""),"")</f>
        <v>0.478487125732728</v>
      </c>
      <c r="BA346" s="257">
        <f>IFERROR(IF(AND(COUNT(AW347,AX347,AY347,AZ347)=4,N(BA351)&lt;&gt;0),(AW347+AX347+AY347+AZ347)/BA351,""),"")</f>
        <v>0.478487125732728</v>
      </c>
      <c r="BB346" s="257">
        <f>IFERROR(IF(AND(COUNT(AX347,AY347,AZ347,BB347)=4,N(BB351)&lt;&gt;0),(AX347+AY347+AZ347+BB347)/BB351,""),"")</f>
        <v>0.484618127543942</v>
      </c>
      <c r="BC346" s="257">
        <f>IFERROR(IF(AND(COUNT(AY347,AZ347,BB347,BC347)=4,N(BC351)&lt;&gt;0),(AY347+AZ347+BB347+BC347)/BC351,""),"")</f>
        <v>0.490141199997169</v>
      </c>
      <c r="BD346" s="257">
        <f>IFERROR(IF(AND(COUNT(AZ347,BB347,BC347,BD347)=4,N(BD351)&lt;&gt;0),(AZ347+BB347+BC347+BD347)/BD351,""),"")</f>
        <v>0.514755748036203</v>
      </c>
      <c r="BE346" s="257">
        <f>IFERROR(IF(AND(COUNT(BB347,BC347,BD347,BE347)=4,N(BE351)&lt;&gt;0),(BB347+BC347+BD347+BE347)/BE351,""),"")</f>
        <v>0.52288053737697</v>
      </c>
      <c r="BF346" s="257">
        <f>IFERROR(IF(AND(COUNT(BB347,BC347,BD347,BE347)=4,N(BF351)&lt;&gt;0),(BB347+BC347+BD347+BE347)/BF351,""),"")</f>
        <v>0.52288053737697</v>
      </c>
      <c r="BG346" s="81" t="n"/>
      <c r="BH346" s="81" t="n"/>
      <c r="BI346" s="81" t="n"/>
      <c r="BJ346" s="81" t="n"/>
      <c r="BL346" s="81" t="n"/>
      <c r="BM346" s="81" t="n"/>
      <c r="BN346" s="81" t="n"/>
      <c r="BO346" s="81" t="n"/>
      <c r="BQ346" s="81" t="n"/>
      <c r="BR346" s="81" t="n"/>
      <c r="BS346" s="81" t="n"/>
      <c r="BT346" s="81" t="n"/>
      <c r="BV346" s="81" t="n"/>
      <c r="BW346" s="81" t="n"/>
      <c r="BX346" s="81" t="n"/>
      <c r="BY346" s="81" t="n"/>
      <c r="CA346" s="81" t="n"/>
      <c r="CB346" s="81" t="n"/>
      <c r="CC346" s="81" t="n"/>
      <c r="CD346" s="81" t="n"/>
      <c r="CF346" s="81" t="n"/>
      <c r="CG346" s="81" t="n"/>
      <c r="CH346" s="81" t="n"/>
      <c r="CI346" s="81" t="n"/>
      <c r="CK346" s="81" t="n"/>
      <c r="CL346" s="81" t="n"/>
      <c r="CM346" s="81" t="n"/>
      <c r="CN346" s="81" t="n"/>
      <c r="CP346" s="81" t="n"/>
      <c r="CQ346" s="81" t="n"/>
      <c r="CR346" s="81" t="n"/>
      <c r="CS346" s="81" t="n"/>
      <c r="CU346" s="81" t="n"/>
      <c r="CV346" s="81" t="n"/>
      <c r="CW346" s="81" t="n"/>
      <c r="CX346" s="81" t="n"/>
    </row>
    <row r="347" customFormat="1" s="77">
      <c r="A347" s="76" t="n"/>
      <c r="B347" s="76" t="n"/>
      <c r="C347" s="77" t="inlineStr">
        <is>
          <t>NOPLAT</t>
        </is>
      </c>
      <c r="D347">
        <f>IFERROR(D348*(1-D349),"")</f>
        <v>0</v>
      </c>
      <c r="E347">
        <f>IFERROR(E348*(1-E349),"")</f>
        <v>0</v>
      </c>
      <c r="F347">
        <f>IFERROR(F348*(1-F349),"")</f>
        <v>0</v>
      </c>
      <c r="G347">
        <f>IFERROR(G348*(1-G349),"")</f>
        <v>0</v>
      </c>
      <c r="H347" s="263">
        <f>IFERROR(H348*(1-N(H349)),0)</f>
        <v>0</v>
      </c>
      <c r="I347" s="263">
        <f>IFERROR(I348*(1-N(I349)),0)</f>
        <v>5289.6155786818</v>
      </c>
      <c r="J347" s="263">
        <f>IFERROR(J348*(1-N(J349)),0)</f>
        <v>4693.93247126437</v>
      </c>
      <c r="K347" s="263">
        <f>IFERROR(K348*(1-N(K349)),0)</f>
        <v>4525.32930056711</v>
      </c>
      <c r="L347" s="263">
        <f>IFERROR(L348*(1-N(L349)),0)</f>
        <v>4544.48747553816</v>
      </c>
      <c r="M347" s="263">
        <f>IFERROR(M348*(1-N(M349)),0)</f>
        <v>19051.3688928732</v>
      </c>
      <c r="N347" s="263">
        <f>IFERROR(N348*(1-N(N349)),0)</f>
        <v>5490.04143010588</v>
      </c>
      <c r="O347" s="263">
        <f>IFERROR(O348*(1-N(O349)),0)</f>
        <v>5563.28102025506</v>
      </c>
      <c r="P347" s="263">
        <f>IFERROR(P348*(1-N(P349)),0)</f>
        <v>5783.96314425569</v>
      </c>
      <c r="Q347" s="263">
        <f>IFERROR(Q348*(1-N(Q349)),0)</f>
        <v>5441.83877715205</v>
      </c>
      <c r="R347" s="263">
        <f>IFERROR(R348*(1-N(R349)),0)</f>
        <v>22278.0231940174</v>
      </c>
      <c r="S347" s="263">
        <f>IFERROR(S348*(1-N(S349)),0)</f>
        <v>6367.78014184397</v>
      </c>
      <c r="T347" s="263">
        <f>IFERROR(T348*(1-N(T349)),0)</f>
        <v>6304.94522063909</v>
      </c>
      <c r="U347" s="263">
        <f>IFERROR(U348*(1-N(U349)),0)</f>
        <v>6692.66614664587</v>
      </c>
      <c r="V347" s="263">
        <f>IFERROR(V348*(1-N(V349)),0)</f>
        <v>6361.72547018516</v>
      </c>
      <c r="W347" s="263">
        <f>IFERROR(W348*(1-N(W349)),0)</f>
        <v>25724.5655399835</v>
      </c>
      <c r="X347" s="263">
        <f>IFERROR(X348*(1-N(X349)),0)</f>
        <v>0</v>
      </c>
      <c r="Y347" s="263">
        <f>IFERROR(Y348*(1-N(Y349)),0)</f>
        <v>6145.69726390115</v>
      </c>
      <c r="Z347" s="263">
        <f>IFERROR(Z348*(1-N(Z349)),0)</f>
        <v>7157.16627265563</v>
      </c>
      <c r="AA347" s="263">
        <f>IFERROR(AA348*(1-N(AA349)),0)</f>
        <v>6620.38462671182</v>
      </c>
      <c r="AB347" s="263">
        <f>IFERROR(AB348*(1-N(AB349)),0)</f>
        <v>24518.8806736087</v>
      </c>
      <c r="AC347" s="263">
        <f>IFERROR(AC348*(1-N(AC349)),0)</f>
        <v>7283.0503330866</v>
      </c>
      <c r="AD347" s="263">
        <f>IFERROR(AD348*(1-N(AD349)),0)</f>
        <v>4506.56540911318</v>
      </c>
      <c r="AE347" s="263">
        <f>IFERROR(AE348*(1-N(AE349)),0)</f>
        <v>3398.27965314339</v>
      </c>
      <c r="AF347" s="263">
        <f>IFERROR(AF348*(1-N(AF349)),0)</f>
        <v>0</v>
      </c>
      <c r="AG347" s="263">
        <f>IFERROR(AG348*(1-N(AG349)),0)</f>
        <v>16525.2737293325</v>
      </c>
      <c r="AH347" s="263">
        <f>IFERROR(AH348*(1-N(AH349)),0)</f>
        <v>7316.86424714304</v>
      </c>
      <c r="AI347" s="263">
        <f>IFERROR(AI348*(1-N(AI349)),0)</f>
        <v>6502.43541905855</v>
      </c>
      <c r="AJ347" s="263">
        <f>IFERROR(AJ348*(1-N(AJ349)),0)</f>
        <v>4157.19836553056</v>
      </c>
      <c r="AK347" s="263">
        <f>IFERROR(AK348*(1-N(AK349)),0)</f>
        <v>4159.18216482307</v>
      </c>
      <c r="AL347" s="263">
        <f>IFERROR(AL348*(1-N(AL349)),0)</f>
        <v>21975.2203421497</v>
      </c>
      <c r="AM347" s="263">
        <f>IFERROR(AM348*(1-N(AM349)),0)</f>
        <v>4104.29705106388</v>
      </c>
      <c r="AN347" s="263">
        <f>IFERROR(AN348*(1-N(AN349)),0)</f>
        <v>4115.72226550773</v>
      </c>
      <c r="AO347" s="263">
        <f>IFERROR(AO348*(1-N(AO349)),0)</f>
        <v>4500.77885169609</v>
      </c>
      <c r="AP347" s="263">
        <f>IFERROR(AP348*(1-N(AP349)),0)</f>
        <v>4502.92660629344</v>
      </c>
      <c r="AQ347" s="263">
        <f>IFERROR(AQ348*(1-N(AQ349)),0)</f>
        <v>17223.7247745611</v>
      </c>
      <c r="AR347" s="263">
        <f>IFERROR(AR348*(1-N(AR349)),0)</f>
        <v>4422.98391051123</v>
      </c>
      <c r="AS347" s="263">
        <f>IFERROR(AS348*(1-N(AS349)),0)</f>
        <v>4435.29625999046</v>
      </c>
      <c r="AT347" s="263">
        <f>IFERROR(AT348*(1-N(AT349)),0)</f>
        <v>4850.25138242878</v>
      </c>
      <c r="AU347" s="263">
        <f>IFERROR(AU348*(1-N(AU349)),0)</f>
        <v>4852.56590399232</v>
      </c>
      <c r="AV347" s="263">
        <f>IFERROR(AV348*(1-N(AV349)),0)</f>
        <v>18561.0974569228</v>
      </c>
      <c r="AW347" s="263">
        <f>IFERROR(AW348*(1-N(AW349)),0)</f>
        <v>4744.30096829608</v>
      </c>
      <c r="AX347" s="263">
        <f>IFERROR(AX348*(1-N(AX349)),0)</f>
        <v>4757.50777454683</v>
      </c>
      <c r="AY347" s="263">
        <f>IFERROR(AY348*(1-N(AY349)),0)</f>
        <v>5202.60819295555</v>
      </c>
      <c r="AZ347" s="263">
        <f>IFERROR(AZ348*(1-N(AZ349)),0)</f>
        <v>5205.09085785264</v>
      </c>
      <c r="BA347" s="263">
        <f>IFERROR(BA348*(1-N(BA349)),0)</f>
        <v>19909.5077936511</v>
      </c>
      <c r="BB347" s="263">
        <f>IFERROR(BB348*(1-N(BB349)),0)</f>
        <v>5065.23928117538</v>
      </c>
      <c r="BC347" s="263">
        <f>IFERROR(BC348*(1-N(BC349)),0)</f>
        <v>5079.33948987782</v>
      </c>
      <c r="BD347" s="263">
        <f>IFERROR(BD348*(1-N(BD349)),0)</f>
        <v>5554.5496712001</v>
      </c>
      <c r="BE347" s="263">
        <f>IFERROR(BE348*(1-N(BE349)),0)</f>
        <v>5557.20028123576</v>
      </c>
      <c r="BF347" s="263">
        <f>IFERROR(BF348*(1-N(BF349)),0)</f>
        <v>21256.3287234891</v>
      </c>
      <c r="BG347" s="85" t="n"/>
      <c r="BH347" s="76" t="n"/>
      <c r="BI347" s="76" t="n"/>
      <c r="BJ347" s="76" t="n"/>
      <c r="BL347" s="85" t="n"/>
      <c r="BM347" s="76" t="n"/>
      <c r="BN347" s="76" t="n"/>
      <c r="BO347" s="76" t="n"/>
      <c r="BQ347" s="85" t="n"/>
      <c r="BR347" s="76" t="n"/>
      <c r="BS347" s="76" t="n"/>
      <c r="BT347" s="76" t="n"/>
      <c r="BV347" s="85" t="n"/>
      <c r="BW347" s="76" t="n"/>
      <c r="BX347" s="76" t="n"/>
      <c r="BY347" s="76" t="n"/>
      <c r="CA347" s="85" t="n"/>
      <c r="CB347" s="76" t="n"/>
      <c r="CC347" s="76" t="n"/>
      <c r="CD347" s="76" t="n"/>
      <c r="CF347" s="85" t="n"/>
      <c r="CG347" s="76" t="n"/>
      <c r="CH347" s="76" t="n"/>
      <c r="CI347" s="76" t="n"/>
      <c r="CK347" s="85" t="n"/>
      <c r="CL347" s="76" t="n"/>
      <c r="CM347" s="76" t="n"/>
      <c r="CN347" s="76" t="n"/>
      <c r="CP347" s="85" t="n"/>
      <c r="CQ347" s="76" t="n"/>
      <c r="CR347" s="76" t="n"/>
      <c r="CS347" s="76" t="n"/>
      <c r="CU347" s="85" t="n"/>
      <c r="CV347" s="76" t="n"/>
      <c r="CW347" s="76" t="n"/>
      <c r="CX347" s="76" t="n"/>
    </row>
    <row r="348" customFormat="1" s="77">
      <c r="A348" s="76" t="n"/>
      <c r="B348" s="76" t="n"/>
      <c r="C348" s="77" t="inlineStr">
        <is>
          <t>EBIT</t>
        </is>
      </c>
      <c r="D348" s="86">
        <f>IFERROR(D130,"")</f>
        <v>0</v>
      </c>
      <c r="E348" s="86">
        <f>IFERROR(E130,"")</f>
        <v>0</v>
      </c>
      <c r="F348" s="86">
        <f>IFERROR(F130,"")</f>
        <v>0</v>
      </c>
      <c r="G348" s="86">
        <f>IFERROR(G130,"")</f>
        <v>0</v>
      </c>
      <c r="H348" s="263">
        <f>IFERROR(H73,0)</f>
        <v>0</v>
      </c>
      <c r="I348" s="263">
        <f>IFERROR(I73,0)</f>
        <v>6739</v>
      </c>
      <c r="J348" s="263">
        <f>IFERROR(J73,0)</f>
        <v>5978</v>
      </c>
      <c r="K348" s="263">
        <f>IFERROR(K73,0)</f>
        <v>5712</v>
      </c>
      <c r="L348" s="263">
        <f>IFERROR(L73,0)</f>
        <v>5541</v>
      </c>
      <c r="M348" s="263">
        <f>IFERROR(M73,0)</f>
        <v>23970</v>
      </c>
      <c r="N348" s="263">
        <f>IFERROR(N73,0)</f>
        <v>6950</v>
      </c>
      <c r="O348" s="263">
        <f>IFERROR(O73,0)</f>
        <v>7132</v>
      </c>
      <c r="P348" s="263">
        <f>IFERROR(P73,0)</f>
        <v>7462</v>
      </c>
      <c r="Q348" s="263">
        <f>IFERROR(Q73,0)</f>
        <v>6891</v>
      </c>
      <c r="R348" s="263">
        <f>IFERROR(R73,0)</f>
        <v>28435</v>
      </c>
      <c r="S348" s="263">
        <f>IFERROR(S73,0)</f>
        <v>8086</v>
      </c>
      <c r="T348" s="263">
        <f>IFERROR(T73,0)</f>
        <v>8057</v>
      </c>
      <c r="U348" s="263">
        <f>IFERROR(U73,0)</f>
        <v>8526</v>
      </c>
      <c r="V348" s="263">
        <f>IFERROR(V73,0)</f>
        <v>7689</v>
      </c>
      <c r="W348" s="263">
        <f>IFERROR(W73,0)</f>
        <v>32358</v>
      </c>
      <c r="X348" s="263">
        <f>IFERROR(X73,0)</f>
        <v>7931</v>
      </c>
      <c r="Y348" s="263">
        <f>IFERROR(Y73,0)</f>
        <v>7875</v>
      </c>
      <c r="Z348" s="263">
        <f>IFERROR(Z73,0)</f>
        <v>8708</v>
      </c>
      <c r="AA348" s="263">
        <f>IFERROR(AA73,0)</f>
        <v>7773</v>
      </c>
      <c r="AB348" s="263">
        <f>IFERROR(AB73,0)</f>
        <v>32287</v>
      </c>
      <c r="AC348" s="263">
        <f>IFERROR(AC73,0)</f>
        <v>9119</v>
      </c>
      <c r="AD348" s="263">
        <f>IFERROR(AD73,0)</f>
        <v>5150</v>
      </c>
      <c r="AE348" s="263">
        <f>IFERROR(AE73,0)</f>
        <v>4315</v>
      </c>
      <c r="AF348" s="263">
        <f>IFERROR(AF73,0)</f>
        <v>380</v>
      </c>
      <c r="AG348" s="263">
        <f>IFERROR(AG73,0)</f>
        <v>18964</v>
      </c>
      <c r="AH348" s="263">
        <f>IFERROR(AH73,0)</f>
        <v>8990</v>
      </c>
      <c r="AI348" s="263">
        <f>IFERROR(AI73,0)</f>
        <v>7991</v>
      </c>
      <c r="AJ348" s="263">
        <f>IFERROR(AJ73,0)</f>
        <v>6588.07763109049</v>
      </c>
      <c r="AK348" s="263">
        <f>IFERROR(AK73,0)</f>
        <v>6591.22143674862</v>
      </c>
      <c r="AL348" s="263">
        <f>IFERROR(AL73,0)</f>
        <v>30160.2990678391</v>
      </c>
      <c r="AM348" s="263">
        <f>IFERROR(AM73,0)</f>
        <v>6504.24281354053</v>
      </c>
      <c r="AN348" s="263">
        <f>IFERROR(AN73,0)</f>
        <v>6522.34880538639</v>
      </c>
      <c r="AO348" s="263">
        <f>IFERROR(AO73,0)</f>
        <v>7132.56329580026</v>
      </c>
      <c r="AP348" s="263">
        <f>IFERROR(AP73,0)</f>
        <v>7135.96692795245</v>
      </c>
      <c r="AQ348" s="263">
        <f>IFERROR(AQ73,0)</f>
        <v>27295.1218426796</v>
      </c>
      <c r="AR348" s="263">
        <f>IFERROR(AR73,0)</f>
        <v>7009.27855767434</v>
      </c>
      <c r="AS348" s="263">
        <f>IFERROR(AS73,0)</f>
        <v>7028.79042770268</v>
      </c>
      <c r="AT348" s="263">
        <f>IFERROR(AT73,0)</f>
        <v>7686.38631793234</v>
      </c>
      <c r="AU348" s="263">
        <f>IFERROR(AU73,0)</f>
        <v>7690.05423233013</v>
      </c>
      <c r="AV348" s="263">
        <f>IFERROR(AV73,0)</f>
        <v>29414.5095356395</v>
      </c>
      <c r="AW348" s="263">
        <f>IFERROR(AW73,0)</f>
        <v>7518.48248174786</v>
      </c>
      <c r="AX348" s="263">
        <f>IFERROR(AX73,0)</f>
        <v>7539.41183300522</v>
      </c>
      <c r="AY348" s="263">
        <f>IFERROR(AY73,0)</f>
        <v>8244.7801729962</v>
      </c>
      <c r="AZ348" s="263">
        <f>IFERROR(AZ73,0)</f>
        <v>8248.71455082373</v>
      </c>
      <c r="BA348" s="263">
        <f>IFERROR(BA73,0)</f>
        <v>31551.389038573</v>
      </c>
      <c r="BB348" s="263">
        <f>IFERROR(BB73,0)</f>
        <v>8027.08619370236</v>
      </c>
      <c r="BC348" s="263">
        <f>IFERROR(BC73,0)</f>
        <v>8049.43135536616</v>
      </c>
      <c r="BD348" s="263">
        <f>IFERROR(BD73,0)</f>
        <v>8802.51583446972</v>
      </c>
      <c r="BE348" s="263">
        <f>IFERROR(BE73,0)</f>
        <v>8806.71636163953</v>
      </c>
      <c r="BF348" s="263">
        <f>IFERROR(BF73,0)</f>
        <v>33685.7497451778</v>
      </c>
      <c r="BG348" s="63" t="n"/>
      <c r="BH348" s="63" t="n"/>
      <c r="BI348" s="63" t="n"/>
      <c r="BJ348" s="63" t="n"/>
      <c r="BL348" s="63" t="n"/>
      <c r="BM348" s="63" t="n"/>
      <c r="BN348" s="63" t="n"/>
      <c r="BO348" s="63" t="n"/>
      <c r="BQ348" s="63" t="n"/>
      <c r="BR348" s="63" t="n"/>
      <c r="BS348" s="63" t="n"/>
      <c r="BT348" s="63" t="n"/>
      <c r="BV348" s="63" t="n"/>
      <c r="BW348" s="63" t="n"/>
      <c r="BX348" s="63" t="n"/>
      <c r="BY348" s="63" t="n"/>
      <c r="CA348" s="63" t="n"/>
      <c r="CB348" s="63" t="n"/>
      <c r="CC348" s="63" t="n"/>
      <c r="CD348" s="63" t="n"/>
      <c r="CF348" s="63" t="n"/>
      <c r="CG348" s="63" t="n"/>
      <c r="CH348" s="63" t="n"/>
      <c r="CI348" s="63" t="n"/>
      <c r="CK348" s="63" t="n"/>
      <c r="CL348" s="63" t="n"/>
      <c r="CM348" s="63" t="n"/>
      <c r="CN348" s="63" t="n"/>
      <c r="CP348" s="63" t="n"/>
      <c r="CQ348" s="63" t="n"/>
      <c r="CR348" s="63" t="n"/>
      <c r="CS348" s="63" t="n"/>
      <c r="CU348" s="63" t="n"/>
      <c r="CV348" s="63" t="n"/>
      <c r="CW348" s="63" t="n"/>
      <c r="CX348" s="63" t="n"/>
    </row>
    <row r="349" customFormat="1" s="77">
      <c r="A349" s="76" t="n"/>
      <c r="B349" s="76" t="n"/>
      <c r="C349" s="77" t="inlineStr">
        <is>
          <t>ETR (LIMITED TO 0%-100%)</t>
        </is>
      </c>
      <c r="D349" s="87">
        <f>IFERROR(D132,"")</f>
        <v>0</v>
      </c>
      <c r="E349" s="87">
        <f>IFERROR(E132,"")</f>
        <v>0</v>
      </c>
      <c r="F349" s="87">
        <f>IFERROR(F132,"")</f>
        <v>0</v>
      </c>
      <c r="G349" s="87">
        <f>IFERROR(G132,"")</f>
        <v>0</v>
      </c>
      <c r="H349" s="258" t="str">
        <f>IFERROR(IF(N(H130)&lt;&gt;0,MAX(0,MIN(1,-H131/H130)),""),"")</f>
        <v/>
      </c>
      <c r="I349" s="258">
        <f>IFERROR(IF(N(I130)&lt;&gt;0,MAX(0,MIN(1,-I131/I130)),""),"")</f>
        <v>0.215074109113844</v>
      </c>
      <c r="J349" s="258">
        <f>IFERROR(IF(N(J130)&lt;&gt;0,MAX(0,MIN(1,-J131/J130)),""),"")</f>
        <v>0.214798850574713</v>
      </c>
      <c r="K349" s="258">
        <f>IFERROR(IF(N(K130)&lt;&gt;0,MAX(0,MIN(1,-K131/K130)),""),"")</f>
        <v>0.207750472589792</v>
      </c>
      <c r="L349" s="258">
        <f>IFERROR(IF(N(L130)&lt;&gt;0,MAX(0,MIN(1,-L131/L130)),""),"")</f>
        <v>0.179843444227006</v>
      </c>
      <c r="M349" s="258">
        <f>IFERROR(IF(N(M130)&lt;&gt;0,MAX(0,MIN(1,-M131/M130)),""),"")</f>
        <v>0.205199462124608</v>
      </c>
      <c r="N349" s="258">
        <f>IFERROR(IF(N(N130)&lt;&gt;0,MAX(0,MIN(1,-N131/N130)),""),"")</f>
        <v>0.21006598127973</v>
      </c>
      <c r="O349" s="258">
        <f>IFERROR(IF(N(O130)&lt;&gt;0,MAX(0,MIN(1,-O131/O130)),""),"")</f>
        <v>0.219954988747187</v>
      </c>
      <c r="P349" s="258">
        <f>IFERROR(IF(N(P130)&lt;&gt;0,MAX(0,MIN(1,-P131/P130)),""),"")</f>
        <v>0.22487762741146</v>
      </c>
      <c r="Q349" s="258">
        <f>IFERROR(IF(N(Q130)&lt;&gt;0,MAX(0,MIN(1,-Q131/Q130)),""),"")</f>
        <v>0.210297666934835</v>
      </c>
      <c r="R349" s="258">
        <f>IFERROR(IF(N(R130)&lt;&gt;0,MAX(0,MIN(1,-R131/R130)),""),"")</f>
        <v>0.216528109934328</v>
      </c>
      <c r="S349" s="258">
        <f>IFERROR(IF(N(S130)&lt;&gt;0,MAX(0,MIN(1,-S131/S130)),""),"")</f>
        <v>0.212493180578287</v>
      </c>
      <c r="T349" s="258">
        <f>IFERROR(IF(N(T130)&lt;&gt;0,MAX(0,MIN(1,-T131/T130)),""),"")</f>
        <v>0.217457462996265</v>
      </c>
      <c r="U349" s="258">
        <f>IFERROR(IF(N(U130)&lt;&gt;0,MAX(0,MIN(1,-U131/U130)),""),"")</f>
        <v>0.215028601144046</v>
      </c>
      <c r="V349" s="258">
        <f>IFERROR(IF(N(V130)&lt;&gt;0,MAX(0,MIN(1,-V131/V130)),""),"")</f>
        <v>0.172619915439568</v>
      </c>
      <c r="W349" s="258">
        <f>IFERROR(IF(N(W130)&lt;&gt;0,MAX(0,MIN(1,-W131/W130)),""),"")</f>
        <v>0.205001374003847</v>
      </c>
      <c r="X349" s="258">
        <f>IFERROR(IF(N(X130)&lt;&gt;0,MAX(0,MIN(1,-X131/X130)),""),"")</f>
        <v>1</v>
      </c>
      <c r="Y349" s="258">
        <f>IFERROR(IF(N(Y130)&lt;&gt;0,MAX(0,MIN(1,-Y131/Y130)),""),"")</f>
        <v>0.219593998234775</v>
      </c>
      <c r="Z349" s="258">
        <f>IFERROR(IF(N(Z130)&lt;&gt;0,MAX(0,MIN(1,-Z131/Z130)),""),"")</f>
        <v>0.178092986603625</v>
      </c>
      <c r="AA349" s="258">
        <f>IFERROR(IF(N(AA130)&lt;&gt;0,MAX(0,MIN(1,-AA131/AA130)),""),"")</f>
        <v>0.148284494183478</v>
      </c>
      <c r="AB349" s="258">
        <f>IFERROR(IF(N(AB130)&lt;&gt;0,MAX(0,MIN(1,-AB131/AB130)),""),"")</f>
        <v>0.240595884609636</v>
      </c>
      <c r="AC349" s="258">
        <f>IFERROR(IF(N(AC130)&lt;&gt;0,MAX(0,MIN(1,-AC131/AC130)),""),"")</f>
        <v>0.201332346410067</v>
      </c>
      <c r="AD349" s="258">
        <f>IFERROR(IF(N(AD130)&lt;&gt;0,MAX(0,MIN(1,-AD131/AD130)),""),"")</f>
        <v>0.124938755512004</v>
      </c>
      <c r="AE349" s="258">
        <f>IFERROR(IF(N(AE130)&lt;&gt;0,MAX(0,MIN(1,-AE131/AE130)),""),"")</f>
        <v>0.212449674821926</v>
      </c>
      <c r="AF349" s="258">
        <f>IFERROR(IF(N(AF130)&lt;&gt;0,MAX(0,MIN(1,-AF131/AF130)),""),"")</f>
        <v>1</v>
      </c>
      <c r="AG349" s="258">
        <f>IFERROR(IF(N(AG130)&lt;&gt;0,MAX(0,MIN(1,-AG131/AG130)),""),"")</f>
        <v>0.128597672994489</v>
      </c>
      <c r="AH349" s="258">
        <f>IFERROR(IF(N(AH130)&lt;&gt;0,MAX(0,MIN(1,-AH131/AH130)),""),"")</f>
        <v>0.186110762275524</v>
      </c>
      <c r="AI349" s="258">
        <f>IFERROR(IF(N(AI130)&lt;&gt;0,MAX(0,MIN(1,-AI131/AI130)),""),"")</f>
        <v>0.186280137772675</v>
      </c>
      <c r="AJ349" s="258">
        <f>IFERROR(IF(N(AJ130)&lt;&gt;0,MAX(0,MIN(1,-AJ131/AJ130)),""),"")</f>
        <v>0.368981575761662</v>
      </c>
      <c r="AK349" s="258">
        <f>IFERROR(IF(N(AK130)&lt;&gt;0,MAX(0,MIN(1,-AK131/AK130)),""),"")</f>
        <v>0.368981575761662</v>
      </c>
      <c r="AL349" s="258">
        <f>IFERROR(IF(N(AL130)&lt;&gt;0,MAX(0,MIN(1,-AL131/AL130)),""),"")</f>
        <v>0.271385860839072</v>
      </c>
      <c r="AM349" s="258">
        <f>IFERROR(IF(N(AM130)&lt;&gt;0,MAX(0,MIN(1,-AM131/AM130)),""),"")</f>
        <v>0.368981575761662</v>
      </c>
      <c r="AN349" s="258">
        <f>IFERROR(IF(N(AN130)&lt;&gt;0,MAX(0,MIN(1,-AN131/AN130)),""),"")</f>
        <v>0.368981575761662</v>
      </c>
      <c r="AO349" s="258">
        <f>IFERROR(IF(N(AO130)&lt;&gt;0,MAX(0,MIN(1,-AO131/AO130)),""),"")</f>
        <v>0.368981575761662</v>
      </c>
      <c r="AP349" s="258">
        <f>IFERROR(IF(N(AP130)&lt;&gt;0,MAX(0,MIN(1,-AP131/AP130)),""),"")</f>
        <v>0.368981575761662</v>
      </c>
      <c r="AQ349" s="258">
        <f>IFERROR(IF(N(AQ130)&lt;&gt;0,MAX(0,MIN(1,-AQ131/AQ130)),""),"")</f>
        <v>0.368981575761662</v>
      </c>
      <c r="AR349" s="258">
        <f>IFERROR(IF(N(AR130)&lt;&gt;0,MAX(0,MIN(1,-AR131/AR130)),""),"")</f>
        <v>0.368981575761662</v>
      </c>
      <c r="AS349" s="258">
        <f>IFERROR(IF(N(AS130)&lt;&gt;0,MAX(0,MIN(1,-AS131/AS130)),""),"")</f>
        <v>0.368981575761662</v>
      </c>
      <c r="AT349" s="258">
        <f>IFERROR(IF(N(AT130)&lt;&gt;0,MAX(0,MIN(1,-AT131/AT130)),""),"")</f>
        <v>0.368981575761662</v>
      </c>
      <c r="AU349" s="258">
        <f>IFERROR(IF(N(AU130)&lt;&gt;0,MAX(0,MIN(1,-AU131/AU130)),""),"")</f>
        <v>0.368981575761662</v>
      </c>
      <c r="AV349" s="258">
        <f>IFERROR(IF(N(AV130)&lt;&gt;0,MAX(0,MIN(1,-AV131/AV130)),""),"")</f>
        <v>0.368981575761662</v>
      </c>
      <c r="AW349" s="258">
        <f>IFERROR(IF(N(AW130)&lt;&gt;0,MAX(0,MIN(1,-AW131/AW130)),""),"")</f>
        <v>0.368981575761662</v>
      </c>
      <c r="AX349" s="258">
        <f>IFERROR(IF(N(AX130)&lt;&gt;0,MAX(0,MIN(1,-AX131/AX130)),""),"")</f>
        <v>0.368981575761662</v>
      </c>
      <c r="AY349" s="258">
        <f>IFERROR(IF(N(AY130)&lt;&gt;0,MAX(0,MIN(1,-AY131/AY130)),""),"")</f>
        <v>0.368981575761662</v>
      </c>
      <c r="AZ349" s="258">
        <f>IFERROR(IF(N(AZ130)&lt;&gt;0,MAX(0,MIN(1,-AZ131/AZ130)),""),"")</f>
        <v>0.368981575761662</v>
      </c>
      <c r="BA349" s="258">
        <f>IFERROR(IF(N(BA130)&lt;&gt;0,MAX(0,MIN(1,-BA131/BA130)),""),"")</f>
        <v>0.368981575761662</v>
      </c>
      <c r="BB349" s="258">
        <f>IFERROR(IF(N(BB130)&lt;&gt;0,MAX(0,MIN(1,-BB131/BB130)),""),"")</f>
        <v>0.368981575761662</v>
      </c>
      <c r="BC349" s="258">
        <f>IFERROR(IF(N(BC130)&lt;&gt;0,MAX(0,MIN(1,-BC131/BC130)),""),"")</f>
        <v>0.368981575761662</v>
      </c>
      <c r="BD349" s="258">
        <f>IFERROR(IF(N(BD130)&lt;&gt;0,MAX(0,MIN(1,-BD131/BD130)),""),"")</f>
        <v>0.368981575761662</v>
      </c>
      <c r="BE349" s="258">
        <f>IFERROR(IF(N(BE130)&lt;&gt;0,MAX(0,MIN(1,-BE131/BE130)),""),"")</f>
        <v>0.368981575761662</v>
      </c>
      <c r="BF349" s="258">
        <f>IFERROR(IF(N(BF130)&lt;&gt;0,MAX(0,MIN(1,-BF131/BF130)),""),"")</f>
        <v>0.368981575761662</v>
      </c>
      <c r="BG349" s="88" t="n"/>
      <c r="BH349" s="88" t="n"/>
      <c r="BI349" s="88" t="n"/>
      <c r="BJ349" s="88" t="n"/>
      <c r="BL349" s="88" t="n"/>
      <c r="BM349" s="88" t="n"/>
      <c r="BN349" s="88" t="n"/>
      <c r="BO349" s="88" t="n"/>
      <c r="BQ349" s="88" t="n"/>
      <c r="BR349" s="88" t="n"/>
      <c r="BS349" s="88" t="n"/>
      <c r="BT349" s="88" t="n"/>
      <c r="BV349" s="88" t="n"/>
      <c r="BW349" s="88" t="n"/>
      <c r="BX349" s="88" t="n"/>
      <c r="BY349" s="88" t="n"/>
      <c r="CA349" s="88" t="n"/>
      <c r="CB349" s="88" t="n"/>
      <c r="CC349" s="88" t="n"/>
      <c r="CD349" s="88" t="n"/>
      <c r="CF349" s="88" t="n"/>
      <c r="CG349" s="88" t="n"/>
      <c r="CH349" s="88" t="n"/>
      <c r="CI349" s="88" t="n"/>
      <c r="CK349" s="88" t="n"/>
      <c r="CL349" s="88" t="n"/>
      <c r="CM349" s="88" t="n"/>
      <c r="CN349" s="88" t="n"/>
      <c r="CP349" s="88" t="n"/>
      <c r="CQ349" s="88" t="n"/>
      <c r="CR349" s="88" t="n"/>
      <c r="CS349" s="88" t="n"/>
      <c r="CU349" s="88" t="n"/>
      <c r="CV349" s="88" t="n"/>
      <c r="CW349" s="88" t="n"/>
      <c r="CX349" s="88" t="n"/>
    </row>
    <row r="350" customFormat="1" s="77">
      <c r="A350" s="76" t="n"/>
      <c r="B350" s="76" t="n"/>
      <c r="C350" s="77" t="inlineStr">
        <is>
          <t>INVESTED CAPITAL</t>
        </is>
      </c>
      <c r="D350" s="86">
        <f>IFERROR(D353-D354+D355,"")</f>
        <v>0</v>
      </c>
      <c r="E350" s="86">
        <f>IFERROR(E353-E354+E355,"")</f>
        <v>0</v>
      </c>
      <c r="F350" s="86">
        <f>IFERROR(F353-F354+F355,"")</f>
        <v>0</v>
      </c>
      <c r="G350" s="86">
        <f>IFERROR(G353-G354+G355,"")</f>
        <v>0</v>
      </c>
      <c r="H350" s="263">
        <f>IFERROR(H352+H355,0)</f>
        <v>0</v>
      </c>
      <c r="I350" s="263">
        <f>IFERROR(I352+I355,0)</f>
        <v>97525</v>
      </c>
      <c r="J350" s="263">
        <f>IFERROR(J352+J355,0)</f>
        <v>102617</v>
      </c>
      <c r="K350" s="263">
        <f>IFERROR(K352+K355,0)</f>
        <v>101375</v>
      </c>
      <c r="L350" s="263">
        <f>IFERROR(L352+L355,0)</f>
        <v>101840</v>
      </c>
      <c r="M350" s="263">
        <f>IFERROR(M352+M355,0)</f>
        <v>101840</v>
      </c>
      <c r="N350" s="263">
        <f>IFERROR(N352+N355,0)</f>
        <v>99698</v>
      </c>
      <c r="O350" s="263">
        <f>IFERROR(O352+O355,0)</f>
        <v>107135</v>
      </c>
      <c r="P350" s="263">
        <f>IFERROR(P352+P355,0)</f>
        <v>90720</v>
      </c>
      <c r="Q350" s="263">
        <f>IFERROR(Q352+Q355,0)</f>
        <v>118828</v>
      </c>
      <c r="R350" s="263">
        <f>IFERROR(R352+R355,0)</f>
        <v>118828</v>
      </c>
      <c r="S350" s="263">
        <f>IFERROR(S352+S355,0)</f>
        <v>117547</v>
      </c>
      <c r="T350" s="263">
        <f>IFERROR(T352+T355,0)</f>
        <v>113964</v>
      </c>
      <c r="U350" s="263">
        <f>IFERROR(U352+U355,0)</f>
        <v>115462</v>
      </c>
      <c r="V350" s="263">
        <f>IFERROR(V352+V355,0)</f>
        <v>134849</v>
      </c>
      <c r="W350" s="263">
        <f>IFERROR(W352+W355,0)</f>
        <v>134849</v>
      </c>
      <c r="X350" s="263">
        <f>IFERROR(X352+X355,0)</f>
        <v>142012</v>
      </c>
      <c r="Y350" s="263">
        <f>IFERROR(Y352+Y355,0)</f>
        <v>146640</v>
      </c>
      <c r="Z350" s="263">
        <f>IFERROR(Z352+Z355,0)</f>
        <v>149345</v>
      </c>
      <c r="AA350" s="263">
        <f>IFERROR(AA352+AA355,0)</f>
        <v>154002</v>
      </c>
      <c r="AB350" s="263">
        <f>IFERROR(AB352+AB355,0)</f>
        <v>154002</v>
      </c>
      <c r="AC350" s="263">
        <f>IFERROR(AC352+AC355,0)</f>
        <v>156051</v>
      </c>
      <c r="AD350" s="263">
        <f>IFERROR(AD352+AD355,0)</f>
        <v>155761</v>
      </c>
      <c r="AE350" s="263">
        <f>IFERROR(AE352+AE355,0)</f>
        <v>158497</v>
      </c>
      <c r="AF350" s="263">
        <f>IFERROR(AF352+AF355,0)</f>
        <v>154387</v>
      </c>
      <c r="AG350" s="263">
        <f>IFERROR(AG352+AG355,0)</f>
        <v>154387</v>
      </c>
      <c r="AH350" s="263">
        <f>IFERROR(AH352+AH355,0)</f>
        <v>154871</v>
      </c>
      <c r="AI350" s="263">
        <f>IFERROR(AI352+AI355,0)</f>
        <v>150531</v>
      </c>
      <c r="AJ350" s="263">
        <f>IFERROR(AJ352+AJ355,0)</f>
        <v>155133.429572389</v>
      </c>
      <c r="AK350" s="263">
        <f>IFERROR(AK352+AK355,0)</f>
        <v>155165.151285862</v>
      </c>
      <c r="AL350" s="263">
        <f>IFERROR(AL352+AL355,0)</f>
        <v>155165.151285862</v>
      </c>
      <c r="AM350" s="263">
        <f>IFERROR(AM352+AM355,0)</f>
        <v>155084.004147947</v>
      </c>
      <c r="AN350" s="263">
        <f>IFERROR(AN352+AN355,0)</f>
        <v>155234.889576773</v>
      </c>
      <c r="AO350" s="263">
        <f>IFERROR(AO352+AO355,0)</f>
        <v>154164.205922501</v>
      </c>
      <c r="AP350" s="263">
        <f>IFERROR(AP352+AP355,0)</f>
        <v>154198.549344341</v>
      </c>
      <c r="AQ350" s="263">
        <f>IFERROR(AQ352+AQ355,0)</f>
        <v>154198.549344341</v>
      </c>
      <c r="AR350" s="263">
        <f>IFERROR(AR352+AR355,0)</f>
        <v>154341.736603156</v>
      </c>
      <c r="AS350" s="263">
        <f>IFERROR(AS352+AS355,0)</f>
        <v>154341.753899155</v>
      </c>
      <c r="AT350" s="263">
        <f>IFERROR(AT352+AT355,0)</f>
        <v>153187.934739096</v>
      </c>
      <c r="AU350" s="263">
        <f>IFERROR(AU352+AU355,0)</f>
        <v>153224.944828848</v>
      </c>
      <c r="AV350" s="263">
        <f>IFERROR(AV352+AV355,0)</f>
        <v>153224.944828848</v>
      </c>
      <c r="AW350" s="263">
        <f>IFERROR(AW352+AW355,0)</f>
        <v>153277.814550618</v>
      </c>
      <c r="AX350" s="263">
        <f>IFERROR(AX352+AX355,0)</f>
        <v>153452.228311897</v>
      </c>
      <c r="AY350" s="263">
        <f>IFERROR(AY352+AY355,0)</f>
        <v>152214.587508976</v>
      </c>
      <c r="AZ350" s="263">
        <f>IFERROR(AZ352+AZ355,0)</f>
        <v>152254.286275284</v>
      </c>
      <c r="BA350" s="263">
        <f>IFERROR(BA352+BA355,0)</f>
        <v>152254.286275284</v>
      </c>
      <c r="BB350" s="263">
        <f>IFERROR(BB352+BB355,0)</f>
        <v>152390.128703829</v>
      </c>
      <c r="BC350" s="263">
        <f>IFERROR(BC352+BC355,0)</f>
        <v>152576.341054333</v>
      </c>
      <c r="BD350" s="263">
        <f>IFERROR(BD352+BD355,0)</f>
        <v>151254.977411337</v>
      </c>
      <c r="BE350" s="263">
        <f>IFERROR(BE352+BE355,0)</f>
        <v>151297.361684987</v>
      </c>
      <c r="BF350" s="263">
        <f>IFERROR(BF352+BF355,0)</f>
        <v>151297.361684987</v>
      </c>
      <c r="BG350" s="63" t="n"/>
      <c r="BH350" s="63" t="n"/>
      <c r="BI350" s="63" t="n"/>
      <c r="BJ350" s="63" t="n"/>
      <c r="BL350" s="63" t="n"/>
      <c r="BM350" s="63" t="n"/>
      <c r="BN350" s="63" t="n"/>
      <c r="BO350" s="63" t="n"/>
      <c r="BQ350" s="63" t="n"/>
      <c r="BR350" s="63" t="n"/>
      <c r="BS350" s="63" t="n"/>
      <c r="BT350" s="63" t="n"/>
      <c r="BV350" s="63" t="n"/>
      <c r="BW350" s="63" t="n"/>
      <c r="BX350" s="63" t="n"/>
      <c r="BY350" s="63" t="n"/>
      <c r="CA350" s="63" t="n"/>
      <c r="CB350" s="63" t="n"/>
      <c r="CC350" s="63" t="n"/>
      <c r="CD350" s="63" t="n"/>
      <c r="CF350" s="63" t="n"/>
      <c r="CG350" s="63" t="n"/>
      <c r="CH350" s="63" t="n"/>
      <c r="CI350" s="63" t="n"/>
      <c r="CK350" s="63" t="n"/>
      <c r="CL350" s="63" t="n"/>
      <c r="CM350" s="63" t="n"/>
      <c r="CN350" s="63" t="n"/>
      <c r="CP350" s="63" t="n"/>
      <c r="CQ350" s="63" t="n"/>
      <c r="CR350" s="63" t="n"/>
      <c r="CS350" s="63" t="n"/>
      <c r="CU350" s="63" t="n"/>
      <c r="CV350" s="63" t="n"/>
      <c r="CW350" s="63" t="n"/>
      <c r="CX350" s="63" t="n"/>
    </row>
    <row r="351" customFormat="1" s="77">
      <c r="A351" s="76" t="n"/>
      <c r="B351" s="76" t="n"/>
      <c r="C351" s="77" t="inlineStr">
        <is>
          <t>INVESTED CAPITAL - EX GOODWILL</t>
        </is>
      </c>
      <c r="D351" s="89">
        <f>IFERROR(D350-D179,"")</f>
        <v>0</v>
      </c>
      <c r="E351" s="89">
        <f>IFERROR(E350-E179,"")</f>
        <v>0</v>
      </c>
      <c r="F351" s="89">
        <f>IFERROR(F350-F179,"")</f>
        <v>0</v>
      </c>
      <c r="G351" s="89">
        <f>IFERROR(G350-G179,"")</f>
        <v>0</v>
      </c>
      <c r="H351" s="263">
        <f>IFERROR(H350-N(H179),0)</f>
        <v>0</v>
      </c>
      <c r="I351" s="263">
        <f>IFERROR(I350-N(I179),0)</f>
        <v>25363</v>
      </c>
      <c r="J351" s="263">
        <f>IFERROR(J350-N(J179),0)</f>
        <v>26790</v>
      </c>
      <c r="K351" s="263">
        <f>IFERROR(K350-N(K179),0)</f>
        <v>25940</v>
      </c>
      <c r="L351" s="263">
        <f>IFERROR(L350-N(L179),0)</f>
        <v>26045</v>
      </c>
      <c r="M351" s="263">
        <f>IFERROR(M350-N(M179),0)</f>
        <v>26045</v>
      </c>
      <c r="N351" s="263">
        <f>IFERROR(N350-N(N179),0)</f>
        <v>22150</v>
      </c>
      <c r="O351" s="263">
        <f>IFERROR(O350-N(O179),0)</f>
        <v>22976</v>
      </c>
      <c r="P351" s="263">
        <f>IFERROR(P350-N(P179),0)</f>
        <v>6816</v>
      </c>
      <c r="Q351" s="263">
        <f>IFERROR(Q350-N(Q179),0)</f>
        <v>25476</v>
      </c>
      <c r="R351" s="263">
        <f>IFERROR(R350-N(R179),0)</f>
        <v>25476</v>
      </c>
      <c r="S351" s="263">
        <f>IFERROR(S350-N(S179),0)</f>
        <v>17141</v>
      </c>
      <c r="T351" s="263">
        <f>IFERROR(T350-N(T179),0)</f>
        <v>12295</v>
      </c>
      <c r="U351" s="263">
        <f>IFERROR(U350-N(U179),0)</f>
        <v>13759</v>
      </c>
      <c r="V351" s="263">
        <f>IFERROR(V350-N(V179),0)</f>
        <v>31117</v>
      </c>
      <c r="W351" s="263">
        <f>IFERROR(W350-N(W179),0)</f>
        <v>31117</v>
      </c>
      <c r="X351" s="263">
        <f>IFERROR(X350-N(X179),0)</f>
        <v>36348</v>
      </c>
      <c r="Y351" s="263">
        <f>IFERROR(Y350-N(Y179),0)</f>
        <v>41204</v>
      </c>
      <c r="Z351" s="263">
        <f>IFERROR(Z350-N(Z179),0)</f>
        <v>43367</v>
      </c>
      <c r="AA351" s="263">
        <f>IFERROR(AA350-N(AA179),0)</f>
        <v>47268</v>
      </c>
      <c r="AB351" s="263">
        <f>IFERROR(AB350-N(AB179),0)</f>
        <v>47268</v>
      </c>
      <c r="AC351" s="263">
        <f>IFERROR(AC350-N(AC179),0)</f>
        <v>48485</v>
      </c>
      <c r="AD351" s="263">
        <f>IFERROR(AD350-N(AD179),0)</f>
        <v>48084</v>
      </c>
      <c r="AE351" s="263">
        <f>IFERROR(AE350-N(AE179),0)</f>
        <v>48157</v>
      </c>
      <c r="AF351" s="263">
        <f>IFERROR(AF350-N(AF179),0)</f>
        <v>43888</v>
      </c>
      <c r="AG351" s="263">
        <f>IFERROR(AG350-N(AG179),0)</f>
        <v>43888</v>
      </c>
      <c r="AH351" s="263">
        <f>IFERROR(AH350-N(AH179),0)</f>
        <v>44359</v>
      </c>
      <c r="AI351" s="263">
        <f>IFERROR(AI350-N(AI179),0)</f>
        <v>39886</v>
      </c>
      <c r="AJ351" s="263">
        <f>IFERROR(AJ350-N(AJ179),0)</f>
        <v>44488.4295723887</v>
      </c>
      <c r="AK351" s="263">
        <f>IFERROR(AK350-N(AK179),0)</f>
        <v>44520.1512858621</v>
      </c>
      <c r="AL351" s="263">
        <f>IFERROR(AL350-N(AL179),0)</f>
        <v>44520.1512858621</v>
      </c>
      <c r="AM351" s="263">
        <f>IFERROR(AM350-N(AM179),0)</f>
        <v>44439.0041479472</v>
      </c>
      <c r="AN351" s="263">
        <f>IFERROR(AN350-N(AN179),0)</f>
        <v>44589.8895767732</v>
      </c>
      <c r="AO351" s="263">
        <f>IFERROR(AO350-N(AO179),0)</f>
        <v>43519.2059225008</v>
      </c>
      <c r="AP351" s="263">
        <f>IFERROR(AP350-N(AP179),0)</f>
        <v>43553.549344341</v>
      </c>
      <c r="AQ351" s="263">
        <f>IFERROR(AQ350-N(AQ179),0)</f>
        <v>43553.549344341</v>
      </c>
      <c r="AR351" s="263">
        <f>IFERROR(AR350-N(AR179),0)</f>
        <v>43696.7366031558</v>
      </c>
      <c r="AS351" s="263">
        <f>IFERROR(AS350-N(AS179),0)</f>
        <v>43696.7538991555</v>
      </c>
      <c r="AT351" s="263">
        <f>IFERROR(AT350-N(AT179),0)</f>
        <v>42542.9347390957</v>
      </c>
      <c r="AU351" s="263">
        <f>IFERROR(AU350-N(AU179),0)</f>
        <v>42579.9448288483</v>
      </c>
      <c r="AV351" s="263">
        <f>IFERROR(AV350-N(AV179),0)</f>
        <v>42579.9448288483</v>
      </c>
      <c r="AW351" s="263">
        <f>IFERROR(AW350-N(AW179),0)</f>
        <v>42632.8145506179</v>
      </c>
      <c r="AX351" s="263">
        <f>IFERROR(AX350-N(AX179),0)</f>
        <v>42807.2283118965</v>
      </c>
      <c r="AY351" s="263">
        <f>IFERROR(AY350-N(AY179),0)</f>
        <v>41569.5875089759</v>
      </c>
      <c r="AZ351" s="263">
        <f>IFERROR(AZ350-N(AZ179),0)</f>
        <v>41609.2862752844</v>
      </c>
      <c r="BA351" s="263">
        <f>IFERROR(BA350-N(BA179),0)</f>
        <v>41609.2862752844</v>
      </c>
      <c r="BB351" s="263">
        <f>IFERROR(BB350-N(BB179),0)</f>
        <v>41745.1287038289</v>
      </c>
      <c r="BC351" s="263">
        <f>IFERROR(BC350-N(BC179),0)</f>
        <v>41931.3410543331</v>
      </c>
      <c r="BD351" s="263">
        <f>IFERROR(BD350-N(BD179),0)</f>
        <v>40609.9774113368</v>
      </c>
      <c r="BE351" s="263">
        <f>IFERROR(BE350-N(BE179),0)</f>
        <v>40652.3616849872</v>
      </c>
      <c r="BF351" s="263">
        <f>IFERROR(BF350-N(BF179),0)</f>
        <v>40652.3616849872</v>
      </c>
      <c r="BG351" s="90" t="n"/>
      <c r="BH351" s="90" t="n"/>
      <c r="BI351" s="90" t="n"/>
      <c r="BJ351" s="90" t="n"/>
      <c r="BL351" s="90" t="n"/>
      <c r="BM351" s="90" t="n"/>
      <c r="BN351" s="90" t="n"/>
      <c r="BO351" s="90" t="n"/>
      <c r="BQ351" s="90" t="n"/>
      <c r="BR351" s="90" t="n"/>
      <c r="BS351" s="90" t="n"/>
      <c r="BT351" s="90" t="n"/>
      <c r="BV351" s="90" t="n"/>
      <c r="BW351" s="90" t="n"/>
      <c r="BX351" s="90" t="n"/>
      <c r="BY351" s="90" t="n"/>
      <c r="CA351" s="90" t="n"/>
      <c r="CB351" s="90" t="n"/>
      <c r="CC351" s="90" t="n"/>
      <c r="CD351" s="90" t="n"/>
      <c r="CF351" s="90" t="n"/>
      <c r="CG351" s="90" t="n"/>
      <c r="CH351" s="90" t="n"/>
      <c r="CI351" s="90" t="n"/>
      <c r="CK351" s="90" t="n"/>
      <c r="CL351" s="90" t="n"/>
      <c r="CM351" s="90" t="n"/>
      <c r="CN351" s="90" t="n"/>
      <c r="CP351" s="90" t="n"/>
      <c r="CQ351" s="90" t="n"/>
      <c r="CR351" s="90" t="n"/>
      <c r="CS351" s="90" t="n"/>
      <c r="CU351" s="90" t="n"/>
      <c r="CV351" s="90" t="n"/>
      <c r="CW351" s="90" t="n"/>
      <c r="CX351" s="90" t="n"/>
    </row>
    <row r="352" customFormat="1" s="77">
      <c r="A352" s="76" t="n"/>
      <c r="B352" s="76" t="n"/>
      <c r="C352" s="77" t="inlineStr">
        <is>
          <t>OPERATING WORKING CAPITAL</t>
        </is>
      </c>
      <c r="D352" s="91">
        <f>IFERROR(D353-D354,"")</f>
        <v>0</v>
      </c>
      <c r="E352" s="91">
        <f>IFERROR(E353-E354,"")</f>
        <v>0</v>
      </c>
      <c r="F352" s="91">
        <f>IFERROR(F353-F354,"")</f>
        <v>0</v>
      </c>
      <c r="G352" s="91">
        <f>IFERROR(G353-G354,"")</f>
        <v>0</v>
      </c>
      <c r="H352" s="263">
        <f>IFERROR(H353-H354,0)</f>
        <v>0</v>
      </c>
      <c r="I352" s="263">
        <f>IFERROR(I353-I354,0)</f>
        <v>-35212</v>
      </c>
      <c r="J352" s="263">
        <f>IFERROR(J353-J354,0)</f>
        <v>-36334</v>
      </c>
      <c r="K352" s="263">
        <f>IFERROR(K353-K354,0)</f>
        <v>-38216</v>
      </c>
      <c r="L352" s="263">
        <f>IFERROR(L353-L354,0)</f>
        <v>-36821</v>
      </c>
      <c r="M352" s="263">
        <f>IFERROR(M353-M354,0)</f>
        <v>-36821</v>
      </c>
      <c r="N352" s="263">
        <f>IFERROR(N353-N354,0)</f>
        <v>-40840</v>
      </c>
      <c r="O352" s="263">
        <f>IFERROR(O353-O354,0)</f>
        <v>-42714</v>
      </c>
      <c r="P352" s="263">
        <f>IFERROR(P353-P354,0)</f>
        <v>-57296</v>
      </c>
      <c r="Q352" s="263">
        <f>IFERROR(Q353-Q354,0)</f>
        <v>-44969</v>
      </c>
      <c r="R352" s="263">
        <f>IFERROR(R353-R354,0)</f>
        <v>-44969</v>
      </c>
      <c r="S352" s="263">
        <f>IFERROR(S353-S354,0)</f>
        <v>-59153</v>
      </c>
      <c r="T352" s="263">
        <f>IFERROR(T353-T354,0)</f>
        <v>-63070</v>
      </c>
      <c r="U352" s="263">
        <f>IFERROR(U353-U354,0)</f>
        <v>-61081</v>
      </c>
      <c r="V352" s="263">
        <f>IFERROR(V353-V354,0)</f>
        <v>-45971</v>
      </c>
      <c r="W352" s="263">
        <f>IFERROR(W353-W354,0)</f>
        <v>-45971</v>
      </c>
      <c r="X352" s="263">
        <f>IFERROR(X353-X354,0)</f>
        <v>-38412</v>
      </c>
      <c r="Y352" s="263">
        <f>IFERROR(Y353-Y354,0)</f>
        <v>-32584</v>
      </c>
      <c r="Z352" s="263">
        <f>IFERROR(Z353-Z354,0)</f>
        <v>-42532</v>
      </c>
      <c r="AA352" s="263">
        <f>IFERROR(AA353-AA354,0)</f>
        <v>-42558</v>
      </c>
      <c r="AB352" s="263">
        <f>IFERROR(AB353-AB354,0)</f>
        <v>-42558</v>
      </c>
      <c r="AC352" s="263">
        <f>IFERROR(AC353-AC354,0)</f>
        <v>-41491</v>
      </c>
      <c r="AD352" s="263">
        <f>IFERROR(AD353-AD354,0)</f>
        <v>-43404</v>
      </c>
      <c r="AE352" s="263">
        <f>IFERROR(AE353-AE354,0)</f>
        <v>-43336</v>
      </c>
      <c r="AF352" s="263">
        <f>IFERROR(AF353-AF354,0)</f>
        <v>-46367</v>
      </c>
      <c r="AG352" s="263">
        <f>IFERROR(AG353-AG354,0)</f>
        <v>-46367</v>
      </c>
      <c r="AH352" s="263">
        <f>IFERROR(AH353-AH354,0)</f>
        <v>-47749</v>
      </c>
      <c r="AI352" s="263">
        <f>IFERROR(AI353-AI354,0)</f>
        <v>-52601</v>
      </c>
      <c r="AJ352" s="263">
        <f>IFERROR(AJ353-AJ354,0)</f>
        <v>-48036.765579841</v>
      </c>
      <c r="AK352" s="263">
        <f>IFERROR(AK353-AK354,0)</f>
        <v>-48043.257245179</v>
      </c>
      <c r="AL352" s="263">
        <f>IFERROR(AL353-AL354,0)</f>
        <v>-48043.257245179</v>
      </c>
      <c r="AM352" s="263">
        <f>IFERROR(AM353-AM354,0)</f>
        <v>-48162.1134931428</v>
      </c>
      <c r="AN352" s="263">
        <f>IFERROR(AN353-AN354,0)</f>
        <v>-48049.0421459757</v>
      </c>
      <c r="AO352" s="263">
        <f>IFERROR(AO353-AO354,0)</f>
        <v>-49161.077671936</v>
      </c>
      <c r="AP352" s="263">
        <f>IFERROR(AP353-AP354,0)</f>
        <v>-49168.10585474</v>
      </c>
      <c r="AQ352" s="263">
        <f>IFERROR(AQ353-AQ354,0)</f>
        <v>-49168.10585474</v>
      </c>
      <c r="AR352" s="263">
        <f>IFERROR(AR353-AR354,0)</f>
        <v>-49065.5557098941</v>
      </c>
      <c r="AS352" s="263">
        <f>IFERROR(AS353-AS354,0)</f>
        <v>-49106.2886502166</v>
      </c>
      <c r="AT352" s="263">
        <f>IFERROR(AT353-AT354,0)</f>
        <v>-50304.6705358465</v>
      </c>
      <c r="AU352" s="263">
        <f>IFERROR(AU353-AU354,0)</f>
        <v>-50312.2444368278</v>
      </c>
      <c r="AV352" s="263">
        <f>IFERROR(AV353-AV354,0)</f>
        <v>-50312.2444368278</v>
      </c>
      <c r="AW352" s="263">
        <f>IFERROR(AW353-AW354,0)</f>
        <v>-50302.9639984588</v>
      </c>
      <c r="AX352" s="263">
        <f>IFERROR(AX353-AX354,0)</f>
        <v>-50172.2608609476</v>
      </c>
      <c r="AY352" s="263">
        <f>IFERROR(AY353-AY354,0)</f>
        <v>-51457.7017432604</v>
      </c>
      <c r="AZ352" s="263">
        <f>IFERROR(AZ353-AZ354,0)</f>
        <v>-51465.8258663605</v>
      </c>
      <c r="BA352" s="263">
        <f>IFERROR(BA353-BA354,0)</f>
        <v>-51465.8258663605</v>
      </c>
      <c r="BB352" s="263">
        <f>IFERROR(BB353-BB354,0)</f>
        <v>-51376.5214108482</v>
      </c>
      <c r="BC352" s="263">
        <f>IFERROR(BC353-BC354,0)</f>
        <v>-51236.9765820697</v>
      </c>
      <c r="BD352" s="263">
        <f>IFERROR(BD353-BD354,0)</f>
        <v>-52609.3738423257</v>
      </c>
      <c r="BE352" s="263">
        <f>IFERROR(BE353-BE354,0)</f>
        <v>-52618.0475389834</v>
      </c>
      <c r="BF352" s="263">
        <f>IFERROR(BF353-BF354,0)</f>
        <v>-52618.0475389834</v>
      </c>
      <c r="BG352" s="63" t="n"/>
      <c r="BH352" s="63" t="n"/>
      <c r="BI352" s="63" t="n"/>
      <c r="BJ352" s="63" t="n"/>
      <c r="BL352" s="63" t="n"/>
      <c r="BM352" s="63" t="n"/>
      <c r="BN352" s="63" t="n"/>
      <c r="BO352" s="63" t="n"/>
      <c r="BQ352" s="63" t="n"/>
      <c r="BR352" s="63" t="n"/>
      <c r="BS352" s="63" t="n"/>
      <c r="BT352" s="63" t="n"/>
      <c r="BV352" s="63" t="n"/>
      <c r="BW352" s="63" t="n"/>
      <c r="BX352" s="63" t="n"/>
      <c r="BY352" s="63" t="n"/>
      <c r="CA352" s="63" t="n"/>
      <c r="CB352" s="63" t="n"/>
      <c r="CC352" s="63" t="n"/>
      <c r="CD352" s="63" t="n"/>
      <c r="CF352" s="63" t="n"/>
      <c r="CG352" s="63" t="n"/>
      <c r="CH352" s="63" t="n"/>
      <c r="CI352" s="63" t="n"/>
      <c r="CK352" s="63" t="n"/>
      <c r="CL352" s="63" t="n"/>
      <c r="CM352" s="63" t="n"/>
      <c r="CN352" s="63" t="n"/>
      <c r="CP352" s="63" t="n"/>
      <c r="CQ352" s="63" t="n"/>
      <c r="CR352" s="63" t="n"/>
      <c r="CS352" s="63" t="n"/>
      <c r="CU352" s="63" t="n"/>
      <c r="CV352" s="63" t="n"/>
      <c r="CW352" s="63" t="n"/>
      <c r="CX352" s="63" t="n"/>
    </row>
    <row r="353" customFormat="1" s="77">
      <c r="A353" s="76" t="n"/>
      <c r="B353" s="76" t="n"/>
      <c r="C353" s="77" t="inlineStr">
        <is>
          <t>CURRENT ASSETS (OPERATING, EX CASH)</t>
        </is>
      </c>
      <c r="D353" s="89">
        <f>IFERROR(D145+D149+D153+D154+D155,"")</f>
        <v>0</v>
      </c>
      <c r="E353" s="89">
        <f>IFERROR(E145+E149+E153+E154+E155,"")</f>
        <v>0</v>
      </c>
      <c r="F353" s="89">
        <f>IFERROR(F145+F149+F153+F154+F155,"")</f>
        <v>0</v>
      </c>
      <c r="G353" s="89">
        <f>IFERROR(G145+G149+G153+G154+G155,"")</f>
        <v>0</v>
      </c>
      <c r="H353" s="263">
        <f>IFERROR((N(H145)+N(H149)+N(H153)+N(H154)+N(H155)),0)</f>
        <v>0</v>
      </c>
      <c r="I353" s="263">
        <f>IFERROR((N(I145)+N(I149)+N(I153)+N(I154)+N(I155)),0)</f>
        <v>36591</v>
      </c>
      <c r="J353" s="263">
        <f>IFERROR((N(J145)+N(J149)+N(J153)+N(J154)+N(J155)),0)</f>
        <v>36355</v>
      </c>
      <c r="K353" s="263">
        <f>IFERROR((N(K145)+N(K149)+N(K153)+N(K154)+N(K155)),0)</f>
        <v>37739</v>
      </c>
      <c r="L353" s="263">
        <f>IFERROR((N(L145)+N(L149)+N(L153)+N(L154)+N(L155)),0)</f>
        <v>37851</v>
      </c>
      <c r="M353" s="263">
        <f>IFERROR((N(M145)+N(M149)+N(M153)+N(M154)+N(M155)),0)</f>
        <v>37851</v>
      </c>
      <c r="N353" s="263">
        <f>IFERROR((N(N145)+N(N149)+N(N153)+N(N154)+N(N155)),0)</f>
        <v>40633</v>
      </c>
      <c r="O353" s="263">
        <f>IFERROR((N(O145)+N(O149)+N(O153)+N(O154)+N(O155)),0)</f>
        <v>40392</v>
      </c>
      <c r="P353" s="263">
        <f>IFERROR((N(P145)+N(P149)+N(P153)+N(P154)+N(P155)),0)</f>
        <v>40410</v>
      </c>
      <c r="Q353" s="263">
        <f>IFERROR((N(Q145)+N(Q149)+N(Q153)+N(Q154)+N(Q155)),0)</f>
        <v>41158</v>
      </c>
      <c r="R353" s="263">
        <f>IFERROR((N(R145)+N(R149)+N(R153)+N(R154)+N(R155)),0)</f>
        <v>41158</v>
      </c>
      <c r="S353" s="263">
        <f>IFERROR((N(S145)+N(S149)+N(S153)+N(S154)+N(S155)),0)</f>
        <v>47398</v>
      </c>
      <c r="T353" s="263">
        <f>IFERROR((N(T145)+N(T149)+N(T153)+N(T154)+N(T155)),0)</f>
        <v>43590</v>
      </c>
      <c r="U353" s="263">
        <f>IFERROR((N(U145)+N(U149)+N(U153)+N(U154)+N(U155)),0)</f>
        <v>47808</v>
      </c>
      <c r="V353" s="263">
        <f>IFERROR((N(V145)+N(V149)+N(V153)+N(V154)+N(V155)),0)</f>
        <v>48809</v>
      </c>
      <c r="W353" s="263">
        <f>IFERROR((N(W145)+N(W149)+N(W153)+N(W154)+N(W155)),0)</f>
        <v>48809</v>
      </c>
      <c r="X353" s="263">
        <f>IFERROR((N(X145)+N(X149)+N(X153)+N(X154)+N(X155)),0)</f>
        <v>56232</v>
      </c>
      <c r="Y353" s="263">
        <f>IFERROR((N(Y145)+N(Y149)+N(Y153)+N(Y154)+N(Y155)),0)</f>
        <v>60715</v>
      </c>
      <c r="Z353" s="263">
        <f>IFERROR((N(Z145)+N(Z149)+N(Z153)+N(Z154)+N(Z155)),0)</f>
        <v>55124</v>
      </c>
      <c r="AA353" s="263">
        <f>IFERROR((N(AA145)+N(AA149)+N(AA153)+N(AA154)+N(AA155)),0)</f>
        <v>56666</v>
      </c>
      <c r="AB353" s="263">
        <f>IFERROR((N(AB145)+N(AB149)+N(AB153)+N(AB154)+N(AB155)),0)</f>
        <v>56666</v>
      </c>
      <c r="AC353" s="263">
        <f>IFERROR((N(AC145)+N(AC149)+N(AC153)+N(AC154)+N(AC155)),0)</f>
        <v>61994</v>
      </c>
      <c r="AD353" s="263">
        <f>IFERROR((N(AD145)+N(AD149)+N(AD153)+N(AD154)+N(AD155)),0)</f>
        <v>61679</v>
      </c>
      <c r="AE353" s="263">
        <f>IFERROR((N(AE145)+N(AE149)+N(AE153)+N(AE154)+N(AE155)),0)</f>
        <v>64453</v>
      </c>
      <c r="AF353" s="263">
        <f>IFERROR((N(AF145)+N(AF149)+N(AF153)+N(AF154)+N(AF155)),0)</f>
        <v>62461</v>
      </c>
      <c r="AG353" s="263">
        <f>IFERROR((N(AG145)+N(AG149)+N(AG153)+N(AG154)+N(AG155)),0)</f>
        <v>62461</v>
      </c>
      <c r="AH353" s="263">
        <f>IFERROR((N(AH145)+N(AH149)+N(AH153)+N(AH154)+N(AH155)),0)</f>
        <v>59898</v>
      </c>
      <c r="AI353" s="263">
        <f>IFERROR((N(AI145)+N(AI149)+N(AI153)+N(AI154)+N(AI155)),0)</f>
        <v>55392</v>
      </c>
      <c r="AJ353" s="263">
        <f>IFERROR((N(AJ145)+N(AJ149)+N(AJ153)+N(AJ154)+N(AJ155)),0)</f>
        <v>59982.9270976818</v>
      </c>
      <c r="AK353" s="263">
        <f>IFERROR((N(AK145)+N(AK149)+N(AK153)+N(AK154)+N(AK155)),0)</f>
        <v>59995.4124244576</v>
      </c>
      <c r="AL353" s="263">
        <f>IFERROR((N(AL145)+N(AL149)+N(AL153)+N(AL154)+N(AL155)),0)</f>
        <v>59995.4124244576</v>
      </c>
      <c r="AM353" s="263">
        <f>IFERROR((N(AM145)+N(AM149)+N(AM153)+N(AM154)+N(AM155)),0)</f>
        <v>60224.0069403348</v>
      </c>
      <c r="AN353" s="263">
        <f>IFERROR((N(AN145)+N(AN149)+N(AN153)+N(AN154)+N(AN155)),0)</f>
        <v>60006.5384411347</v>
      </c>
      <c r="AO353" s="263">
        <f>IFERROR((N(AO145)+N(AO149)+N(AO153)+N(AO154)+N(AO155)),0)</f>
        <v>62145.3004082163</v>
      </c>
      <c r="AP353" s="263">
        <f>IFERROR((N(AP145)+N(AP149)+N(AP153)+N(AP154)+N(AP155)),0)</f>
        <v>62158.8176113344</v>
      </c>
      <c r="AQ353" s="263">
        <f>IFERROR((N(AQ145)+N(AQ149)+N(AQ153)+N(AQ154)+N(AQ155)),0)</f>
        <v>62158.8176113344</v>
      </c>
      <c r="AR353" s="263">
        <f>IFERROR((N(AR145)+N(AR149)+N(AR153)+N(AR154)+N(AR155)),0)</f>
        <v>61961.5843895577</v>
      </c>
      <c r="AS353" s="263">
        <f>IFERROR((N(AS145)+N(AS149)+N(AS153)+N(AS154)+N(AS155)),0)</f>
        <v>62039.9254690786</v>
      </c>
      <c r="AT353" s="263">
        <f>IFERROR((N(AT145)+N(AT149)+N(AT153)+N(AT154)+N(AT155)),0)</f>
        <v>64344.7561504649</v>
      </c>
      <c r="AU353" s="263">
        <f>IFERROR((N(AU145)+N(AU149)+N(AU153)+N(AU154)+N(AU155)),0)</f>
        <v>64359.322925521</v>
      </c>
      <c r="AV353" s="263">
        <f>IFERROR((N(AV145)+N(AV149)+N(AV153)+N(AV154)+N(AV155)),0)</f>
        <v>64359.322925521</v>
      </c>
      <c r="AW353" s="263">
        <f>IFERROR((N(AW145)+N(AW149)+N(AW153)+N(AW154)+N(AW155)),0)</f>
        <v>64341.4739915993</v>
      </c>
      <c r="AX353" s="263">
        <f>IFERROR((N(AX145)+N(AX149)+N(AX153)+N(AX154)+N(AX155)),0)</f>
        <v>64090.0945230831</v>
      </c>
      <c r="AY353" s="263">
        <f>IFERROR((N(AY145)+N(AY149)+N(AY153)+N(AY154)+N(AY155)),0)</f>
        <v>66562.3645233137</v>
      </c>
      <c r="AZ353" s="263">
        <f>IFERROR((N(AZ145)+N(AZ149)+N(AZ153)+N(AZ154)+N(AZ155)),0)</f>
        <v>66577.9895326743</v>
      </c>
      <c r="BA353" s="263">
        <f>IFERROR((N(BA145)+N(BA149)+N(BA153)+N(BA154)+N(BA155)),0)</f>
        <v>66577.9895326743</v>
      </c>
      <c r="BB353" s="263">
        <f>IFERROR((N(BB145)+N(BB149)+N(BB153)+N(BB154)+N(BB155)),0)</f>
        <v>66406.2315550901</v>
      </c>
      <c r="BC353" s="263">
        <f>IFERROR((N(BC145)+N(BC149)+N(BC153)+N(BC154)+N(BC155)),0)</f>
        <v>66137.846988656</v>
      </c>
      <c r="BD353" s="263">
        <f>IFERROR((N(BD145)+N(BD149)+N(BD153)+N(BD154)+N(BD155)),0)</f>
        <v>68777.3589425818</v>
      </c>
      <c r="BE353" s="263">
        <f>IFERROR((N(BE145)+N(BE149)+N(BE153)+N(BE154)+N(BE155)),0)</f>
        <v>68794.0409388782</v>
      </c>
      <c r="BF353" s="263">
        <f>IFERROR((N(BF145)+N(BF149)+N(BF153)+N(BF154)+N(BF155)),0)</f>
        <v>68794.0409388782</v>
      </c>
      <c r="BG353" s="90" t="n"/>
      <c r="BH353" s="90" t="n"/>
      <c r="BI353" s="90" t="n"/>
      <c r="BJ353" s="90" t="n"/>
      <c r="BL353" s="90" t="n"/>
      <c r="BM353" s="90" t="n"/>
      <c r="BN353" s="90" t="n"/>
      <c r="BO353" s="90" t="n"/>
      <c r="BQ353" s="90" t="n"/>
      <c r="BR353" s="90" t="n"/>
      <c r="BS353" s="90" t="n"/>
      <c r="BT353" s="90" t="n"/>
      <c r="BV353" s="90" t="n"/>
      <c r="BW353" s="90" t="n"/>
      <c r="BX353" s="90" t="n"/>
      <c r="BY353" s="90" t="n"/>
      <c r="CA353" s="90" t="n"/>
      <c r="CB353" s="90" t="n"/>
      <c r="CC353" s="90" t="n"/>
      <c r="CD353" s="90" t="n"/>
      <c r="CF353" s="90" t="n"/>
      <c r="CG353" s="90" t="n"/>
      <c r="CH353" s="90" t="n"/>
      <c r="CI353" s="90" t="n"/>
      <c r="CK353" s="90" t="n"/>
      <c r="CL353" s="90" t="n"/>
      <c r="CM353" s="90" t="n"/>
      <c r="CN353" s="90" t="n"/>
      <c r="CP353" s="90" t="n"/>
      <c r="CQ353" s="90" t="n"/>
      <c r="CR353" s="90" t="n"/>
      <c r="CS353" s="90" t="n"/>
      <c r="CU353" s="90" t="n"/>
      <c r="CV353" s="90" t="n"/>
      <c r="CW353" s="90" t="n"/>
      <c r="CX353" s="90" t="n"/>
    </row>
    <row r="354" customFormat="1" s="77">
      <c r="A354" s="76" t="n"/>
      <c r="B354" s="76" t="n"/>
      <c r="C354" s="77" t="inlineStr">
        <is>
          <t>CURRENT LIABILITIES (OPERATING, EX DEBT)</t>
        </is>
      </c>
      <c r="D354" s="89">
        <f>IFERROR(D198+D202+D204+D205,"")</f>
        <v>0</v>
      </c>
      <c r="E354" s="89">
        <f>IFERROR(E198+E202+E204+E205,"")</f>
        <v>0</v>
      </c>
      <c r="F354" s="89">
        <f>IFERROR(F198+F202+F204+F205,"")</f>
        <v>0</v>
      </c>
      <c r="G354" s="89">
        <f>IFERROR(G198+G202+G204+G205,"")</f>
        <v>0</v>
      </c>
      <c r="H354" s="263">
        <f>IFERROR((N(H198)+N(H202)+N(H204)+N(H205)),0)</f>
        <v>0</v>
      </c>
      <c r="I354" s="263">
        <f>IFERROR((N(I198)+N(I202)+N(I204)+N(I205)),0)</f>
        <v>71803</v>
      </c>
      <c r="J354" s="263">
        <f>IFERROR((N(J198)+N(J202)+N(J204)+N(J205)),0)</f>
        <v>72689</v>
      </c>
      <c r="K354" s="263">
        <f>IFERROR((N(K198)+N(K202)+N(K204)+N(K205)),0)</f>
        <v>75955</v>
      </c>
      <c r="L354" s="263">
        <f>IFERROR((N(L198)+N(L202)+N(L204)+N(L205)),0)</f>
        <v>74672</v>
      </c>
      <c r="M354" s="263">
        <f>IFERROR((N(M198)+N(M202)+N(M204)+N(M205)),0)</f>
        <v>74672</v>
      </c>
      <c r="N354" s="263">
        <f>IFERROR((N(N198)+N(N202)+N(N204)+N(N205)),0)</f>
        <v>81473</v>
      </c>
      <c r="O354" s="263">
        <f>IFERROR((N(O198)+N(O202)+N(O204)+N(O205)),0)</f>
        <v>83106</v>
      </c>
      <c r="P354" s="263">
        <f>IFERROR((N(P198)+N(P202)+N(P204)+N(P205)),0)</f>
        <v>97706</v>
      </c>
      <c r="Q354" s="263">
        <f>IFERROR((N(Q198)+N(Q202)+N(Q204)+N(Q205)),0)</f>
        <v>86127</v>
      </c>
      <c r="R354" s="263">
        <f>IFERROR((N(R198)+N(R202)+N(R204)+N(R205)),0)</f>
        <v>86127</v>
      </c>
      <c r="S354" s="263">
        <f>IFERROR((N(S198)+N(S202)+N(S204)+N(S205)),0)</f>
        <v>106551</v>
      </c>
      <c r="T354" s="263">
        <f>IFERROR((N(T198)+N(T202)+N(T204)+N(T205)),0)</f>
        <v>106660</v>
      </c>
      <c r="U354" s="263">
        <f>IFERROR((N(U198)+N(U202)+N(U204)+N(U205)),0)</f>
        <v>108889</v>
      </c>
      <c r="V354" s="263">
        <f>IFERROR((N(V198)+N(V202)+N(V204)+N(V205)),0)</f>
        <v>94780</v>
      </c>
      <c r="W354" s="263">
        <f>IFERROR((N(W198)+N(W202)+N(W204)+N(W205)),0)</f>
        <v>94780</v>
      </c>
      <c r="X354" s="263">
        <f>IFERROR((N(X198)+N(X202)+N(X204)+N(X205)),0)</f>
        <v>94644</v>
      </c>
      <c r="Y354" s="263">
        <f>IFERROR((N(Y198)+N(Y202)+N(Y204)+N(Y205)),0)</f>
        <v>93299</v>
      </c>
      <c r="Z354" s="263">
        <f>IFERROR((N(Z198)+N(Z202)+N(Z204)+N(Z205)),0)</f>
        <v>97656</v>
      </c>
      <c r="AA354" s="263">
        <f>IFERROR((N(AA198)+N(AA202)+N(AA204)+N(AA205)),0)</f>
        <v>99224</v>
      </c>
      <c r="AB354" s="263">
        <f>IFERROR((N(AB198)+N(AB202)+N(AB204)+N(AB205)),0)</f>
        <v>99224</v>
      </c>
      <c r="AC354" s="263">
        <f>IFERROR((N(AC198)+N(AC202)+N(AC204)+N(AC205)),0)</f>
        <v>103485</v>
      </c>
      <c r="AD354" s="263">
        <f>IFERROR((N(AD198)+N(AD202)+N(AD204)+N(AD205)),0)</f>
        <v>105083</v>
      </c>
      <c r="AE354" s="263">
        <f>IFERROR((N(AE198)+N(AE202)+N(AE204)+N(AE205)),0)</f>
        <v>107789</v>
      </c>
      <c r="AF354" s="263">
        <f>IFERROR((N(AF198)+N(AF202)+N(AF204)+N(AF205)),0)</f>
        <v>108828</v>
      </c>
      <c r="AG354" s="263">
        <f>IFERROR((N(AG198)+N(AG202)+N(AG204)+N(AG205)),0)</f>
        <v>108828</v>
      </c>
      <c r="AH354" s="263">
        <f>IFERROR((N(AH198)+N(AH202)+N(AH204)+N(AH205)),0)</f>
        <v>107647</v>
      </c>
      <c r="AI354" s="263">
        <f>IFERROR((N(AI198)+N(AI202)+N(AI204)+N(AI205)),0)</f>
        <v>107993</v>
      </c>
      <c r="AJ354" s="263">
        <f>IFERROR((N(AJ198)+N(AJ202)+N(AJ204)+N(AJ205)),0)</f>
        <v>108019.692677523</v>
      </c>
      <c r="AK354" s="263">
        <f>IFERROR((N(AK198)+N(AK202)+N(AK204)+N(AK205)),0)</f>
        <v>108038.669669637</v>
      </c>
      <c r="AL354" s="263">
        <f>IFERROR((N(AL198)+N(AL202)+N(AL204)+N(AL205)),0)</f>
        <v>108038.669669637</v>
      </c>
      <c r="AM354" s="263">
        <f>IFERROR((N(AM198)+N(AM202)+N(AM204)+N(AM205)),0)</f>
        <v>108386.120433478</v>
      </c>
      <c r="AN354" s="263">
        <f>IFERROR((N(AN198)+N(AN202)+N(AN204)+N(AN205)),0)</f>
        <v>108055.58058711</v>
      </c>
      <c r="AO354" s="263">
        <f>IFERROR((N(AO198)+N(AO202)+N(AO204)+N(AO205)),0)</f>
        <v>111306.378080152</v>
      </c>
      <c r="AP354" s="263">
        <f>IFERROR((N(AP198)+N(AP202)+N(AP204)+N(AP205)),0)</f>
        <v>111326.923466074</v>
      </c>
      <c r="AQ354" s="263">
        <f>IFERROR((N(AQ198)+N(AQ202)+N(AQ204)+N(AQ205)),0)</f>
        <v>111326.923466074</v>
      </c>
      <c r="AR354" s="263">
        <f>IFERROR((N(AR198)+N(AR202)+N(AR204)+N(AR205)),0)</f>
        <v>111027.140099452</v>
      </c>
      <c r="AS354" s="263">
        <f>IFERROR((N(AS198)+N(AS202)+N(AS204)+N(AS205)),0)</f>
        <v>111146.214119295</v>
      </c>
      <c r="AT354" s="263">
        <f>IFERROR((N(AT198)+N(AT202)+N(AT204)+N(AT205)),0)</f>
        <v>114649.426686311</v>
      </c>
      <c r="AU354" s="263">
        <f>IFERROR((N(AU198)+N(AU202)+N(AU204)+N(AU205)),0)</f>
        <v>114671.567362349</v>
      </c>
      <c r="AV354" s="263">
        <f>IFERROR((N(AV198)+N(AV202)+N(AV204)+N(AV205)),0)</f>
        <v>114671.567362349</v>
      </c>
      <c r="AW354" s="263">
        <f>IFERROR((N(AW198)+N(AW202)+N(AW204)+N(AW205)),0)</f>
        <v>114644.437990058</v>
      </c>
      <c r="AX354" s="263">
        <f>IFERROR((N(AX198)+N(AX202)+N(AX204)+N(AX205)),0)</f>
        <v>114262.355384031</v>
      </c>
      <c r="AY354" s="263">
        <f>IFERROR((N(AY198)+N(AY202)+N(AY204)+N(AY205)),0)</f>
        <v>118020.066266574</v>
      </c>
      <c r="AZ354" s="263">
        <f>IFERROR((N(AZ198)+N(AZ202)+N(AZ204)+N(AZ205)),0)</f>
        <v>118043.815399035</v>
      </c>
      <c r="BA354" s="263">
        <f>IFERROR((N(BA198)+N(BA202)+N(BA204)+N(BA205)),0)</f>
        <v>118043.815399035</v>
      </c>
      <c r="BB354" s="263">
        <f>IFERROR((N(BB198)+N(BB202)+N(BB204)+N(BB205)),0)</f>
        <v>117782.752965938</v>
      </c>
      <c r="BC354" s="263">
        <f>IFERROR((N(BC198)+N(BC202)+N(BC204)+N(BC205)),0)</f>
        <v>117374.823570726</v>
      </c>
      <c r="BD354" s="263">
        <f>IFERROR((N(BD198)+N(BD202)+N(BD204)+N(BD205)),0)</f>
        <v>121386.732784908</v>
      </c>
      <c r="BE354" s="263">
        <f>IFERROR((N(BE198)+N(BE202)+N(BE204)+N(BE205)),0)</f>
        <v>121412.088477862</v>
      </c>
      <c r="BF354" s="263">
        <f>IFERROR((N(BF198)+N(BF202)+N(BF204)+N(BF205)),0)</f>
        <v>121412.088477862</v>
      </c>
      <c r="BG354" s="90" t="n"/>
      <c r="BH354" s="90" t="n"/>
      <c r="BI354" s="90" t="n"/>
      <c r="BJ354" s="90" t="n"/>
      <c r="BL354" s="90" t="n"/>
      <c r="BM354" s="90" t="n"/>
      <c r="BN354" s="90" t="n"/>
      <c r="BO354" s="90" t="n"/>
      <c r="BQ354" s="90" t="n"/>
      <c r="BR354" s="90" t="n"/>
      <c r="BS354" s="90" t="n"/>
      <c r="BT354" s="90" t="n"/>
      <c r="BV354" s="90" t="n"/>
      <c r="BW354" s="90" t="n"/>
      <c r="BX354" s="90" t="n"/>
      <c r="BY354" s="90" t="n"/>
      <c r="CA354" s="90" t="n"/>
      <c r="CB354" s="90" t="n"/>
      <c r="CC354" s="90" t="n"/>
      <c r="CD354" s="90" t="n"/>
      <c r="CF354" s="90" t="n"/>
      <c r="CG354" s="90" t="n"/>
      <c r="CH354" s="90" t="n"/>
      <c r="CI354" s="90" t="n"/>
      <c r="CK354" s="90" t="n"/>
      <c r="CL354" s="90" t="n"/>
      <c r="CM354" s="90" t="n"/>
      <c r="CN354" s="90" t="n"/>
      <c r="CP354" s="90" t="n"/>
      <c r="CQ354" s="90" t="n"/>
      <c r="CR354" s="90" t="n"/>
      <c r="CS354" s="90" t="n"/>
      <c r="CU354" s="90" t="n"/>
      <c r="CV354" s="90" t="n"/>
      <c r="CW354" s="90" t="n"/>
      <c r="CX354" s="90" t="n"/>
    </row>
    <row r="355" customFormat="1" s="77">
      <c r="A355" s="76" t="n"/>
      <c r="B355" s="76" t="n"/>
      <c r="C355" s="77" t="inlineStr">
        <is>
          <t>FIXED ASSETS</t>
        </is>
      </c>
      <c r="D355" s="89">
        <f>IFERROR(D166+D176+D179+D180+D189-D240,"")</f>
        <v>0</v>
      </c>
      <c r="E355" s="89">
        <f>IFERROR(E166+E176+E179+E180+E189-E240,"")</f>
        <v>0</v>
      </c>
      <c r="F355" s="89">
        <f>IFERROR(F166+F176+F179+F180+F189-F240,"")</f>
        <v>0</v>
      </c>
      <c r="G355" s="89">
        <f>IFERROR(G166+G176+G179+G180+G189-G240,"")</f>
        <v>0</v>
      </c>
      <c r="H355" s="263">
        <f>IFERROR((N(H166)+N(H176)+N(H179)+N(H180)+N(H189))-N(H240),0)</f>
        <v>0</v>
      </c>
      <c r="I355" s="263">
        <f>IFERROR((N(I166)+N(I176)+N(I179)+N(I180)+N(I189))-N(I240),0)</f>
        <v>132737</v>
      </c>
      <c r="J355" s="263">
        <f>IFERROR((N(J166)+N(J176)+N(J179)+N(J180)+N(J189))-N(J240),0)</f>
        <v>138951</v>
      </c>
      <c r="K355" s="263">
        <f>IFERROR((N(K166)+N(K176)+N(K179)+N(K180)+N(K189))-N(K240),0)</f>
        <v>139591</v>
      </c>
      <c r="L355" s="263">
        <f>IFERROR((N(L166)+N(L176)+N(L179)+N(L180)+N(L189))-N(L240),0)</f>
        <v>138661</v>
      </c>
      <c r="M355" s="263">
        <f>IFERROR((N(M166)+N(M176)+N(M179)+N(M180)+N(M189))-N(M240),0)</f>
        <v>138661</v>
      </c>
      <c r="N355" s="263">
        <f>IFERROR((N(N166)+N(N176)+N(N179)+N(N180)+N(N189))-N(N240),0)</f>
        <v>140538</v>
      </c>
      <c r="O355" s="263">
        <f>IFERROR((N(O166)+N(O176)+N(O179)+N(O180)+N(O189))-N(O240),0)</f>
        <v>149849</v>
      </c>
      <c r="P355" s="263">
        <f>IFERROR((N(P166)+N(P176)+N(P179)+N(P180)+N(P189))-N(P240),0)</f>
        <v>148016</v>
      </c>
      <c r="Q355" s="263">
        <f>IFERROR((N(Q166)+N(Q176)+N(Q179)+N(Q180)+N(Q189))-N(Q240),0)</f>
        <v>163797</v>
      </c>
      <c r="R355" s="263">
        <f>IFERROR((N(R166)+N(R176)+N(R179)+N(R180)+N(R189))-N(R240),0)</f>
        <v>163797</v>
      </c>
      <c r="S355" s="263">
        <f>IFERROR((N(S166)+N(S176)+N(S179)+N(S180)+N(S189))-N(S240),0)</f>
        <v>176700</v>
      </c>
      <c r="T355" s="263">
        <f>IFERROR((N(T166)+N(T176)+N(T179)+N(T180)+N(T189))-N(T240),0)</f>
        <v>177034</v>
      </c>
      <c r="U355" s="263">
        <f>IFERROR((N(U166)+N(U176)+N(U179)+N(U180)+N(U189))-N(U240),0)</f>
        <v>176543</v>
      </c>
      <c r="V355" s="263">
        <f>IFERROR((N(V166)+N(V176)+N(V179)+N(V180)+N(V189))-N(V240),0)</f>
        <v>180820</v>
      </c>
      <c r="W355" s="263">
        <f>IFERROR((N(W166)+N(W176)+N(W179)+N(W180)+N(W189))-N(W240),0)</f>
        <v>180820</v>
      </c>
      <c r="X355" s="263">
        <f>IFERROR((N(X166)+N(X176)+N(X179)+N(X180)+N(X189))-N(X240),0)</f>
        <v>180424</v>
      </c>
      <c r="Y355" s="263">
        <f>IFERROR((N(Y166)+N(Y176)+N(Y179)+N(Y180)+N(Y189))-N(Y240),0)</f>
        <v>179224</v>
      </c>
      <c r="Z355" s="263">
        <f>IFERROR((N(Z166)+N(Z176)+N(Z179)+N(Z180)+N(Z189))-N(Z240),0)</f>
        <v>191877</v>
      </c>
      <c r="AA355" s="263">
        <f>IFERROR((N(AA166)+N(AA176)+N(AA179)+N(AA180)+N(AA189))-N(AA240),0)</f>
        <v>196560</v>
      </c>
      <c r="AB355" s="263">
        <f>IFERROR((N(AB166)+N(AB176)+N(AB179)+N(AB180)+N(AB189))-N(AB240),0)</f>
        <v>196560</v>
      </c>
      <c r="AC355" s="263">
        <f>IFERROR((N(AC166)+N(AC176)+N(AC179)+N(AC180)+N(AC189))-N(AC240),0)</f>
        <v>197542</v>
      </c>
      <c r="AD355" s="263">
        <f>IFERROR((N(AD166)+N(AD176)+N(AD179)+N(AD180)+N(AD189))-N(AD240),0)</f>
        <v>199165</v>
      </c>
      <c r="AE355" s="263">
        <f>IFERROR((N(AE166)+N(AE176)+N(AE179)+N(AE180)+N(AE189))-N(AE240),0)</f>
        <v>201833</v>
      </c>
      <c r="AF355" s="263">
        <f>IFERROR((N(AF166)+N(AF176)+N(AF179)+N(AF180)+N(AF189))-N(AF240),0)</f>
        <v>200754</v>
      </c>
      <c r="AG355" s="263">
        <f>IFERROR((N(AG166)+N(AG176)+N(AG179)+N(AG180)+N(AG189))-N(AG240),0)</f>
        <v>200754</v>
      </c>
      <c r="AH355" s="263">
        <f>IFERROR((N(AH166)+N(AH176)+N(AH179)+N(AH180)+N(AH189))-N(AH240),0)</f>
        <v>202620</v>
      </c>
      <c r="AI355" s="263">
        <f>IFERROR((N(AI166)+N(AI176)+N(AI179)+N(AI180)+N(AI189))-N(AI240),0)</f>
        <v>203132</v>
      </c>
      <c r="AJ355" s="263">
        <f>IFERROR((N(AJ166)+N(AJ176)+N(AJ179)+N(AJ180)+N(AJ189))-N(AJ240),0)</f>
        <v>203170.19515223</v>
      </c>
      <c r="AK355" s="263">
        <f>IFERROR((N(AK166)+N(AK176)+N(AK179)+N(AK180)+N(AK189))-N(AK240),0)</f>
        <v>203208.408531041</v>
      </c>
      <c r="AL355" s="263">
        <f>IFERROR((N(AL166)+N(AL176)+N(AL179)+N(AL180)+N(AL189))-N(AL240),0)</f>
        <v>203208.408531041</v>
      </c>
      <c r="AM355" s="263">
        <f>IFERROR((N(AM166)+N(AM176)+N(AM179)+N(AM180)+N(AM189))-N(AM240),0)</f>
        <v>203246.11764109</v>
      </c>
      <c r="AN355" s="263">
        <f>IFERROR((N(AN166)+N(AN176)+N(AN179)+N(AN180)+N(AN189))-N(AN240),0)</f>
        <v>203283.931722749</v>
      </c>
      <c r="AO355" s="263">
        <f>IFERROR((N(AO166)+N(AO176)+N(AO179)+N(AO180)+N(AO189))-N(AO240),0)</f>
        <v>203325.283594437</v>
      </c>
      <c r="AP355" s="263">
        <f>IFERROR((N(AP166)+N(AP176)+N(AP179)+N(AP180)+N(AP189))-N(AP240),0)</f>
        <v>203366.655199081</v>
      </c>
      <c r="AQ355" s="263">
        <f>IFERROR((N(AQ166)+N(AQ176)+N(AQ179)+N(AQ180)+N(AQ189))-N(AQ240),0)</f>
        <v>203366.655199081</v>
      </c>
      <c r="AR355" s="263">
        <f>IFERROR((N(AR166)+N(AR176)+N(AR179)+N(AR180)+N(AR189))-N(AR240),0)</f>
        <v>203407.29231305</v>
      </c>
      <c r="AS355" s="263">
        <f>IFERROR((N(AS166)+N(AS176)+N(AS179)+N(AS180)+N(AS189))-N(AS240),0)</f>
        <v>203448.042549372</v>
      </c>
      <c r="AT355" s="263">
        <f>IFERROR((N(AT166)+N(AT176)+N(AT179)+N(AT180)+N(AT189))-N(AT240),0)</f>
        <v>203492.605274942</v>
      </c>
      <c r="AU355" s="263">
        <f>IFERROR((N(AU166)+N(AU176)+N(AU179)+N(AU180)+N(AU189))-N(AU240),0)</f>
        <v>203537.189265676</v>
      </c>
      <c r="AV355" s="263">
        <f>IFERROR((N(AV166)+N(AV176)+N(AV179)+N(AV180)+N(AV189))-N(AV240),0)</f>
        <v>203537.189265676</v>
      </c>
      <c r="AW355" s="263">
        <f>IFERROR((N(AW166)+N(AW176)+N(AW179)+N(AW180)+N(AW189))-N(AW240),0)</f>
        <v>203580.778549077</v>
      </c>
      <c r="AX355" s="263">
        <f>IFERROR((N(AX166)+N(AX176)+N(AX179)+N(AX180)+N(AX189))-N(AX240),0)</f>
        <v>203624.489172844</v>
      </c>
      <c r="AY355" s="263">
        <f>IFERROR((N(AY166)+N(AY176)+N(AY179)+N(AY180)+N(AY189))-N(AY240),0)</f>
        <v>203672.289252236</v>
      </c>
      <c r="AZ355" s="263">
        <f>IFERROR((N(AZ166)+N(AZ176)+N(AZ179)+N(AZ180)+N(AZ189))-N(AZ240),0)</f>
        <v>203720.112141645</v>
      </c>
      <c r="BA355" s="263">
        <f>IFERROR((N(BA166)+N(BA176)+N(BA179)+N(BA180)+N(BA189))-N(BA240),0)</f>
        <v>203720.112141645</v>
      </c>
      <c r="BB355" s="263">
        <f>IFERROR((N(BB166)+N(BB176)+N(BB179)+N(BB180)+N(BB189))-N(BB240),0)</f>
        <v>203766.650114677</v>
      </c>
      <c r="BC355" s="263">
        <f>IFERROR((N(BC166)+N(BC176)+N(BC179)+N(BC180)+N(BC189))-N(BC240),0)</f>
        <v>203813.317636403</v>
      </c>
      <c r="BD355" s="263">
        <f>IFERROR((N(BD166)+N(BD176)+N(BD179)+N(BD180)+N(BD189))-N(BD240),0)</f>
        <v>203864.351253662</v>
      </c>
      <c r="BE355" s="263">
        <f>IFERROR((N(BE166)+N(BE176)+N(BE179)+N(BE180)+N(BE189))-N(BE240),0)</f>
        <v>203915.409223971</v>
      </c>
      <c r="BF355" s="263">
        <f>IFERROR((N(BF166)+N(BF176)+N(BF179)+N(BF180)+N(BF189))-N(BF240),0)</f>
        <v>203915.409223971</v>
      </c>
      <c r="BG355" s="90" t="n"/>
      <c r="BH355" s="90" t="n"/>
      <c r="BI355" s="90" t="n"/>
      <c r="BJ355" s="90" t="n"/>
      <c r="BL355" s="90" t="n"/>
      <c r="BM355" s="90" t="n"/>
      <c r="BN355" s="90" t="n"/>
      <c r="BO355" s="90" t="n"/>
      <c r="BQ355" s="90" t="n"/>
      <c r="BR355" s="90" t="n"/>
      <c r="BS355" s="90" t="n"/>
      <c r="BT355" s="90" t="n"/>
      <c r="BV355" s="90" t="n"/>
      <c r="BW355" s="90" t="n"/>
      <c r="BX355" s="90" t="n"/>
      <c r="BY355" s="90" t="n"/>
      <c r="CA355" s="90" t="n"/>
      <c r="CB355" s="90" t="n"/>
      <c r="CC355" s="90" t="n"/>
      <c r="CD355" s="90" t="n"/>
      <c r="CF355" s="90" t="n"/>
      <c r="CG355" s="90" t="n"/>
      <c r="CH355" s="90" t="n"/>
      <c r="CI355" s="90" t="n"/>
      <c r="CK355" s="90" t="n"/>
      <c r="CL355" s="90" t="n"/>
      <c r="CM355" s="90" t="n"/>
      <c r="CN355" s="90" t="n"/>
      <c r="CP355" s="90" t="n"/>
      <c r="CQ355" s="90" t="n"/>
      <c r="CR355" s="90" t="n"/>
      <c r="CS355" s="90" t="n"/>
      <c r="CU355" s="90" t="n"/>
      <c r="CV355" s="90" t="n"/>
      <c r="CW355" s="90" t="n"/>
      <c r="CX355" s="90" t="n"/>
    </row>
    <row r="356" customFormat="1" s="77">
      <c r="A356" s="76" t="n"/>
      <c r="B356" s="76" t="n"/>
    </row>
    <row r="357" customFormat="1" s="77">
      <c r="A357" s="76" t="n"/>
      <c r="B357" s="76" t="n"/>
    </row>
    <row r="358" customFormat="1" s="77">
      <c r="A358" s="76" t="n"/>
      <c r="B358" s="76" t="n"/>
    </row>
    <row r="359" customFormat="1" s="77">
      <c r="A359" s="76" t="n"/>
      <c r="B359" s="76" t="n"/>
    </row>
    <row r="360" customFormat="1" s="77">
      <c r="A360" s="76" t="n"/>
      <c r="B360" s="76" t="n"/>
    </row>
    <row r="361" customFormat="1" s="77">
      <c r="A361" s="76" t="n"/>
      <c r="B361" s="76" t="n"/>
    </row>
    <row r="362" customFormat="1" s="77">
      <c r="A362" s="76" t="n"/>
      <c r="B362" s="76" t="n"/>
    </row>
    <row r="363" customFormat="1" s="77">
      <c r="A363" s="76" t="n"/>
      <c r="B363" s="76" t="n"/>
      <c r="C363" s="74" t="inlineStr">
        <is>
          <t>DUPONT ANALYSIS</t>
        </is>
      </c>
    </row>
    <row r="364" customFormat="1" s="77">
      <c r="A364" s="76" t="n"/>
      <c r="B364" s="76" t="n"/>
      <c r="C364" s="77" t="inlineStr">
        <is>
          <t>NET PROFIT MARGIN (LTM)</t>
        </is>
      </c>
      <c r="D364" s="84" t="str">
        <f>IFERROR(D137/D15,"")</f>
        <v/>
      </c>
      <c r="E364" s="84" t="str">
        <f>IFERROR(E137/E15,"")</f>
        <v/>
      </c>
      <c r="F364" s="84" t="str">
        <f>IFERROR(F137/F15,"")</f>
        <v/>
      </c>
      <c r="G364" s="84" t="str">
        <f>IFERROR(G137/G15,"")</f>
        <v/>
      </c>
      <c r="H364" s="258" t="str">
        <f>IFERROR(IF(AND(COUNT(H137)=1,(H15)&lt;&gt;0),(H137)/(H15),""),"")</f>
        <v/>
      </c>
      <c r="I364" s="257" t="str">
        <f>""</f>
        <v/>
      </c>
      <c r="J364" s="257" t="str">
        <f>""</f>
        <v/>
      </c>
      <c r="K364" s="257" t="str">
        <f>""</f>
        <v/>
      </c>
      <c r="L364" s="257">
        <f>IFERROR(IF(AND(COUNT(I137,J137,K137,L137)=4,(I15+J15+K15+L15)&lt;&gt;0),(I137+J137+K137+L137)/(I15+J15+K15+L15),""),"")</f>
        <v>0.0601014614199731</v>
      </c>
      <c r="M364" s="258">
        <f>IFERROR(IF(AND(COUNT(I137,J137,K137,L137)=4,(I15+J15+K15+L15)&lt;&gt;0),(I137+J137+K137+L137)/(I15+J15+K15+L15),""),"")</f>
        <v>0.0601014614199731</v>
      </c>
      <c r="N364" s="257">
        <f>IFERROR(IF(AND(COUNT(J137,K137,L137,N137)=4,(J15+K15+L15+N15)&lt;&gt;0),(J137+K137+L137+N137)/(J15+K15+L15+N15),""),"")</f>
        <v>0.0586456057805411</v>
      </c>
      <c r="O364" s="257">
        <f>IFERROR(IF(AND(COUNT(K137,L137,N137,O137)=4,(K15+L15+N15+O15)&lt;&gt;0),(K137+L137+N137+O137)/(K15+L15+N15+O15),""),"")</f>
        <v>0.0595444299829398</v>
      </c>
      <c r="P364" s="257">
        <f>IFERROR(IF(AND(COUNT(L137,N137,O137,P137)=4,(L15+N15+O15+P15)&lt;&gt;0),(L137+N137+O137+P137)/(L15+N15+O15+P15),""),"")</f>
        <v>0.0616594418598747</v>
      </c>
      <c r="Q364" s="257">
        <f>IFERROR(IF(AND(COUNT(N137,O137,P137,Q137)=4,(N15+O15+P15+Q15)&lt;&gt;0),(N137+O137+P137+Q137)/(N15+O15+P15+Q15),""),"")</f>
        <v>0.0620677315663156</v>
      </c>
      <c r="R364" s="258">
        <f>IFERROR(IF(AND(COUNT(N137,O137,P137,Q137)=4,(N15+O15+P15+Q15)&lt;&gt;0),(N137+O137+P137+Q137)/(N15+O15+P15+Q15),""),"")</f>
        <v>0.0620677315663156</v>
      </c>
      <c r="S364" s="257">
        <f>IFERROR(IF(AND(COUNT(O137,P137,Q137,S137)=4,(O15+P15+Q15+S15)&lt;&gt;0),(O137+P137+Q137+S137)/(O15+P15+Q15+S15),""),"")</f>
        <v>0.061629319172243</v>
      </c>
      <c r="T364" s="257">
        <f>IFERROR(IF(AND(COUNT(P137,Q137,S137,T137)=4,(P15+Q15+S15+T15)&lt;&gt;0),(P137+Q137+S137+T137)/(P15+Q15+S15+T15),""),"")</f>
        <v>0.0605655423726382</v>
      </c>
      <c r="U364" s="257">
        <f>IFERROR(IF(AND(COUNT(Q137,S137,T137,U137)=4,(Q15+S15+T15+U15)&lt;&gt;0),(Q137+S137+T137+U137)/(Q15+S15+T15+U15),""),"")</f>
        <v>0.0602446789006117</v>
      </c>
      <c r="V364" s="257">
        <f>IFERROR(IF(AND(COUNT(S137,T137,U137,V137)=4,(S15+T15+U15+V15)&lt;&gt;0),(S137+T137+U137+V137)/(S15+T15+U15+V15),""),"")</f>
        <v>0.0602251750434581</v>
      </c>
      <c r="W364" s="258">
        <f>IFERROR(IF(AND(COUNT(S137,T137,U137,V137)=4,(S15+T15+U15+V15)&lt;&gt;0),(S137+T137+U137+V137)/(S15+T15+U15+V15),""),"")</f>
        <v>0.0602251750434581</v>
      </c>
      <c r="X364" s="257">
        <f>IFERROR(IF(AND(COUNT(T137,U137,V137,X137)=4,(T15+U15+V15+X15)&lt;&gt;0),(T137+U137+V137+X137)/(T15+U15+V15+X15),""),"")</f>
        <v>0.0404783299559669</v>
      </c>
      <c r="Y364" s="257">
        <f>IFERROR(IF(AND(COUNT(U137,V137,X137,Y137)=4,(U15+V15+X15+Y15)&lt;&gt;0),(U137+V137+X137+Y137)/(U15+V15+X15+Y15),""),"")</f>
        <v>0.0365894473574288</v>
      </c>
      <c r="Z364" s="257">
        <f>IFERROR(IF(AND(COUNT(V137,X137,Y137,Z137)=4,(V15+X15+Y15+Z15)&lt;&gt;0),(V137+X137+Y137+Z137)/(V15+X15+Y15+Z15),""),"")</f>
        <v>0.0363469730742477</v>
      </c>
      <c r="AA364" s="257">
        <f>IFERROR(IF(AND(COUNT(X137,Y137,Z137,AA137)=4,(X15+Y15+Z15+AA15)&lt;&gt;0),(X137+Y137+Z137+AA137)/(X15+Y15+Z15+AA15),""),"")</f>
        <v>0.0359874886953567</v>
      </c>
      <c r="AB364" s="258">
        <f>IFERROR(IF(AND(COUNT(X137,Y137,Z137,AA137)=4,(X15+Y15+Z15+AA15)&lt;&gt;0),(X137+Y137+Z137+AA137)/(X15+Y15+Z15+AA15),""),"")</f>
        <v>0.0359874886953567</v>
      </c>
      <c r="AC364" s="257">
        <f>IFERROR(IF(AND(COUNT(Y137,Z137,AA137,AC137)=4,(Y15+Z15+AA15+AC15)&lt;&gt;0),(Y137+Z137+AA137+AC137)/(Y15+Z15+AA15+AC15),""),"")</f>
        <v>0.0539095784244629</v>
      </c>
      <c r="AD364" s="257">
        <f>IFERROR(IF(AND(COUNT(Z137,AA137,AC137,AD137)=4,(Z15+AA15+AC15+AD15)&lt;&gt;0),(Z137+AA137+AC137+AD137)/(Z15+AA15+AC15+AD15),""),"")</f>
        <v>0.0503668244965919</v>
      </c>
      <c r="AE364" s="257">
        <f>IFERROR(IF(AND(COUNT(AA137,AC137,AD137,AE137)=4,(AA15+AC15+AD15+AE15)&lt;&gt;0),(AA137+AC137+AD137+AE137)/(AA15+AC15+AD15+AE15),""),"")</f>
        <v>0.0404197086582146</v>
      </c>
      <c r="AF364" s="257">
        <f>IFERROR(IF(AND(COUNT(AB137,AD137,AE137,AF137)=4,(AB15+AD15+AE15+AF15)&lt;&gt;0),(AB137+AD137+AE137+AF137)/(AB15+AD15+AE15+AF15),""),"")</f>
        <v>0.0273192734365476</v>
      </c>
      <c r="AG364" s="258">
        <f>IFERROR(IF(AND(COUNT(AC137,AD137,AE137,AF137)=4,(AC15+AD15+AE15+AF15)&lt;&gt;0),(AC137+AD137+AE137+AF137)/(AC15+AD15+AE15+AF15),""),"")</f>
        <v>0.0269367491347664</v>
      </c>
      <c r="AH364" s="257">
        <f>IFERROR(IF(AND(COUNT(AD137,AF137,AG137,AH137)=4,(AD15+AF15+AG15+AH15)&lt;&gt;0),(AD137+AF137+AG137+AH137)/(AD15+AF15+AG15+AH15),""),"")</f>
        <v>0.0277406873191442</v>
      </c>
      <c r="AI364" s="257">
        <f>IFERROR(IF(AND(COUNT(AE137,AG137,AH137,AI137)=4,(AE15+AG15+AH15+AI15)&lt;&gt;0),(AE137+AG137+AH137+AI137)/(AE15+AG15+AH15+AI15),""),"")</f>
        <v>0.0333570857675329</v>
      </c>
      <c r="AJ364" s="257">
        <f>IFERROR(IF(AND(COUNT(AF137,AH137,AI137,AJ137)=4,(AF15+AH15+AI15+AJ15)&lt;&gt;0),(AF137+AH137+AI137+AJ137)/(AF15+AH15+AI15+AJ15),""),"")</f>
        <v>0.0345723770097615</v>
      </c>
      <c r="AK364" s="257">
        <f>IFERROR(IF(AND(COUNT(AH137,AI137,AJ137,AK137)=4,(AH15+AI15+AJ15+AK15)&lt;&gt;0),(AH137+AI137+AJ137+AK137)/(AH15+AI15+AJ15+AK15),""),"")</f>
        <v>0.0426345104173296</v>
      </c>
      <c r="AL364" s="258">
        <f>IFERROR(IF(AND(COUNT(AH137,AI137,AJ137,AK137)=4,(AH15+AI15+AJ15+AK15)&lt;&gt;0),(AH137+AI137+AJ137+AK137)/(AH15+AI15+AJ15+AK15),""),"")</f>
        <v>0.0426345104173296</v>
      </c>
      <c r="AM364" s="257">
        <f>IFERROR(IF(AND(COUNT(AI137,AJ137,AK137,AM137)=4,(AI15+AJ15+AK15+AM15)&lt;&gt;0),(AI137+AJ137+AK137+AM137)/(AI15+AJ15+AK15+AM15),""),"")</f>
        <v>0.0371654251764506</v>
      </c>
      <c r="AN364" s="257">
        <f>IFERROR(IF(AND(COUNT(AJ137,AK137,AM137,AN137)=4,(AJ15+AK15+AM15+AN15)&lt;&gt;0),(AJ137+AK137+AM137+AN137)/(AJ15+AK15+AM15+AN15),""),"")</f>
        <v>0.0335584860213856</v>
      </c>
      <c r="AO364" s="257">
        <f>IFERROR(IF(AND(COUNT(AK137,AM137,AN137,AO137)=4,(AK15+AM15+AN15+AO15)&lt;&gt;0),(AK137+AM137+AN137+AO137)/(AK15+AM15+AN15+AO15),""),"")</f>
        <v>0.0335584860213856</v>
      </c>
      <c r="AP364" s="257">
        <f>IFERROR(IF(AND(COUNT(AM137,AN137,AO137,AP137)=4,(AM15+AN15+AO15+AP15)&lt;&gt;0),(AM137+AN137+AO137+AP137)/(AM15+AN15+AO15+AP15),""),"")</f>
        <v>0.0335584860213856</v>
      </c>
      <c r="AQ364" s="258">
        <f>IFERROR(IF(AND(COUNT(AM137,AN137,AO137,AP137)=4,(AM15+AN15+AO15+AP15)&lt;&gt;0),(AM137+AN137+AO137+AP137)/(AM15+AN15+AO15+AP15),""),"")</f>
        <v>0.0335584860213856</v>
      </c>
      <c r="AR364" s="257">
        <f>IFERROR(IF(AND(COUNT(AN137,AO137,AP137,AR137)=4,(AN15+AO15+AP15+AR15)&lt;&gt;0),(AN137+AO137+AP137+AR137)/(AN15+AO15+AP15+AR15),""),"")</f>
        <v>0.0335584860213856</v>
      </c>
      <c r="AS364" s="257">
        <f>IFERROR(IF(AND(COUNT(AO137,AP137,AR137,AS137)=4,(AO15+AP15+AR15+AS15)&lt;&gt;0),(AO137+AP137+AR137+AS137)/(AO15+AP15+AR15+AS15),""),"")</f>
        <v>0.0335584860213856</v>
      </c>
      <c r="AT364" s="257">
        <f>IFERROR(IF(AND(COUNT(AP137,AR137,AS137,AT137)=4,(AP15+AR15+AS15+AT15)&lt;&gt;0),(AP137+AR137+AS137+AT137)/(AP15+AR15+AS15+AT15),""),"")</f>
        <v>0.0335584860213856</v>
      </c>
      <c r="AU364" s="257">
        <f>IFERROR(IF(AND(COUNT(AR137,AS137,AT137,AU137)=4,(AR15+AS15+AT15+AU15)&lt;&gt;0),(AR137+AS137+AT137+AU137)/(AR15+AS15+AT15+AU15),""),"")</f>
        <v>0.0335584860213855</v>
      </c>
      <c r="AV364" s="258">
        <f>IFERROR(IF(AND(COUNT(AR137,AS137,AT137,AU137)=4,(AR15+AS15+AT15+AU15)&lt;&gt;0),(AR137+AS137+AT137+AU137)/(AR15+AS15+AT15+AU15),""),"")</f>
        <v>0.0335584860213855</v>
      </c>
      <c r="AW364" s="257">
        <f>IFERROR(IF(AND(COUNT(AS137,AT137,AU137,AW137)=4,(AS15+AT15+AU15+AW15)&lt;&gt;0),(AS137+AT137+AU137+AW137)/(AS15+AT15+AU15+AW15),""),"")</f>
        <v>0.0335584860213856</v>
      </c>
      <c r="AX364" s="257">
        <f>IFERROR(IF(AND(COUNT(AT137,AU137,AW137,AX137)=4,(AT15+AU15+AW15+AX15)&lt;&gt;0),(AT137+AU137+AW137+AX137)/(AT15+AU15+AW15+AX15),""),"")</f>
        <v>0.0335584860213856</v>
      </c>
      <c r="AY364" s="257">
        <f>IFERROR(IF(AND(COUNT(AU137,AW137,AX137,AY137)=4,(AU15+AW15+AX15+AY15)&lt;&gt;0),(AU137+AW137+AX137+AY137)/(AU15+AW15+AX15+AY15),""),"")</f>
        <v>0.0335584860213856</v>
      </c>
      <c r="AZ364" s="257">
        <f>IFERROR(IF(AND(COUNT(AW137,AX137,AY137,AZ137)=4,(AW15+AX15+AY15+AZ15)&lt;&gt;0),(AW137+AX137+AY137+AZ137)/(AW15+AX15+AY15+AZ15),""),"")</f>
        <v>0.0335584860213856</v>
      </c>
      <c r="BA364" s="258">
        <f>IFERROR(IF(AND(COUNT(AW137,AX137,AY137,AZ137)=4,(AW15+AX15+AY15+AZ15)&lt;&gt;0),(AW137+AX137+AY137+AZ137)/(AW15+AX15+AY15+AZ15),""),"")</f>
        <v>0.0335584860213856</v>
      </c>
      <c r="BB364" s="257">
        <f>IFERROR(IF(AND(COUNT(AX137,AY137,AZ137,BB137)=4,(AX15+AY15+AZ15+BB15)&lt;&gt;0),(AX137+AY137+AZ137+BB137)/(AX15+AY15+AZ15+BB15),""),"")</f>
        <v>0.0335584860213856</v>
      </c>
      <c r="BC364" s="257">
        <f>IFERROR(IF(AND(COUNT(AY137,AZ137,BB137,BC137)=4,(AY15+AZ15+BB15+BC15)&lt;&gt;0),(AY137+AZ137+BB137+BC137)/(AY15+AZ15+BB15+BC15),""),"")</f>
        <v>0.0335584860213856</v>
      </c>
      <c r="BD364" s="257">
        <f>IFERROR(IF(AND(COUNT(AZ137,BB137,BC137,BD137)=4,(AZ15+BB15+BC15+BD15)&lt;&gt;0),(AZ137+BB137+BC137+BD137)/(AZ15+BB15+BC15+BD15),""),"")</f>
        <v>0.0335584860213856</v>
      </c>
      <c r="BE364" s="257">
        <f>IFERROR(IF(AND(COUNT(BB137,BC137,BD137,BE137)=4,(BB15+BC15+BD15+BE15)&lt;&gt;0),(BB137+BC137+BD137+BE137)/(BB15+BC15+BD15+BE15),""),"")</f>
        <v>0.0335584860213856</v>
      </c>
      <c r="BF364" s="258">
        <f>IFERROR(IF(AND(COUNT(BB137,BC137,BD137,BE137)=4,(BB15+BC15+BD15+BE15)&lt;&gt;0),(BB137+BC137+BD137+BE137)/(BB15+BC15+BD15+BE15),""),"")</f>
        <v>0.0335584860213856</v>
      </c>
      <c r="BG364" s="81" t="n"/>
      <c r="BH364" s="81" t="n"/>
      <c r="BI364" s="81" t="n"/>
      <c r="BJ364" s="81" t="n"/>
      <c r="BL364" s="81" t="n"/>
      <c r="BM364" s="81" t="n"/>
      <c r="BN364" s="81" t="n"/>
      <c r="BO364" s="81" t="n"/>
      <c r="BQ364" s="81" t="n"/>
      <c r="BR364" s="81" t="n"/>
      <c r="BS364" s="81" t="n"/>
      <c r="BT364" s="81" t="n"/>
      <c r="BV364" s="81" t="n"/>
      <c r="BW364" s="81" t="n"/>
      <c r="BX364" s="81" t="n"/>
      <c r="BY364" s="81" t="n"/>
      <c r="CA364" s="81" t="n"/>
      <c r="CB364" s="81" t="n"/>
      <c r="CC364" s="81" t="n"/>
      <c r="CD364" s="81" t="n"/>
      <c r="CF364" s="81" t="n"/>
      <c r="CG364" s="81" t="n"/>
      <c r="CH364" s="81" t="n"/>
      <c r="CI364" s="81" t="n"/>
      <c r="CK364" s="81" t="n"/>
      <c r="CL364" s="81" t="n"/>
      <c r="CM364" s="81" t="n"/>
      <c r="CN364" s="81" t="n"/>
      <c r="CP364" s="81" t="n"/>
      <c r="CQ364" s="81" t="n"/>
      <c r="CR364" s="81" t="n"/>
      <c r="CS364" s="81" t="n"/>
      <c r="CU364" s="81" t="n"/>
      <c r="CV364" s="81" t="n"/>
      <c r="CW364" s="81" t="n"/>
      <c r="CX364" s="81" t="n"/>
    </row>
    <row r="365" customFormat="1" s="77">
      <c r="A365" s="76" t="n"/>
      <c r="B365" s="76" t="n"/>
      <c r="C365" s="77" t="inlineStr">
        <is>
          <t>ASSET TURNOVER (LTM REVENUE / ASSETS)</t>
        </is>
      </c>
      <c r="D365" s="84" t="str">
        <f>IFERROR(D15/D197,"")</f>
        <v/>
      </c>
      <c r="E365" s="84" t="str">
        <f>IFERROR(E15/E197,"")</f>
        <v/>
      </c>
      <c r="F365" s="84" t="str">
        <f>IFERROR(F15/F197,"")</f>
        <v/>
      </c>
      <c r="G365" s="84" t="str">
        <f>IFERROR(G15/G197,"")</f>
        <v/>
      </c>
      <c r="H365" s="262" t="str">
        <f>IFERROR(IF(AND(COUNT(H15)=1,N(H197)&lt;&gt;0),(H15)/H197,""),"")</f>
        <v/>
      </c>
      <c r="I365" s="264" t="str">
        <f>""</f>
        <v/>
      </c>
      <c r="J365" s="264" t="str">
        <f>""</f>
        <v/>
      </c>
      <c r="K365" s="264" t="str">
        <f>""</f>
        <v/>
      </c>
      <c r="L365" s="264">
        <f>IFERROR(IF(AND(COUNT(I15,J15,K15,L15)=4,N(L197)&lt;&gt;0),(I15+J15+K15+L15)/L197,""),"")</f>
        <v>1.35527270670952</v>
      </c>
      <c r="M365" s="262">
        <f>IFERROR(IF(AND(COUNT(I15,J15,K15,L15)=4,N(M197)&lt;&gt;0),(I15+J15+K15+L15)/M197,""),"")</f>
        <v>1.35527270670952</v>
      </c>
      <c r="N365" s="264">
        <f>IFERROR(IF(AND(COUNT(J15,K15,L15,N15)=4,N(N197)&lt;&gt;0),(J15+K15+L15+N15)/N197,""),"")</f>
        <v>1.34493170251042</v>
      </c>
      <c r="O365" s="264">
        <f>IFERROR(IF(AND(COUNT(K15,L15,N15,O15)=4,N(O197)&lt;&gt;0),(K15+L15+N15+O15)/O197,""),"")</f>
        <v>1.33187790000521</v>
      </c>
      <c r="P365" s="264">
        <f>IFERROR(IF(AND(COUNT(L15,N15,O15,P15)=4,N(P197)&lt;&gt;0),(L15+N15+O15+P15)/P197,""),"")</f>
        <v>1.29644044366916</v>
      </c>
      <c r="Q365" s="264">
        <f>IFERROR(IF(AND(COUNT(N15,O15,P15,Q15)=4,N(Q197)&lt;&gt;0),(N15+O15+P15+Q15)/Q197,""),"")</f>
        <v>1.31931381127775</v>
      </c>
      <c r="R365" s="262">
        <f>IFERROR(IF(AND(COUNT(N15,O15,P15,Q15)=4,N(R197)&lt;&gt;0),(N15+O15+P15+Q15)/R197,""),"")</f>
        <v>1.31931381127775</v>
      </c>
      <c r="S365" s="264">
        <f>IFERROR(IF(AND(COUNT(O15,P15,Q15,S15)=4,N(S197)&lt;&gt;0),(O15+P15+Q15+S15)/S197,""),"")</f>
        <v>1.18423993316389</v>
      </c>
      <c r="T365" s="264">
        <f>IFERROR(IF(AND(COUNT(P15,Q15,S15,T15)=4,N(T197)&lt;&gt;0),(P15+Q15+S15+T15)/T197,""),"")</f>
        <v>1.24396781884896</v>
      </c>
      <c r="U365" s="264">
        <f>IFERROR(IF(AND(COUNT(Q15,S15,T15,U15)=4,N(U197)&lt;&gt;0),(Q15+S15+T15+U15)/U197,""),"")</f>
        <v>1.27624679592857</v>
      </c>
      <c r="V365" s="264">
        <f>IFERROR(IF(AND(COUNT(S15,T15,U15,V15)=4,N(V197)&lt;&gt;0),(S15+T15+U15+V15)/V197,""),"")</f>
        <v>1.35767207365191</v>
      </c>
      <c r="W365" s="262">
        <f>IFERROR(IF(AND(COUNT(S15,T15,U15,V15)=4,N(W197)&lt;&gt;0),(S15+T15+U15+V15)/W197,""),"")</f>
        <v>1.35767207365191</v>
      </c>
      <c r="X365" s="264">
        <f>IFERROR(IF(AND(COUNT(T15,U15,V15,X15)=4,N(X197)&lt;&gt;0),(T15+U15+V15+X15)/X197,""),"")</f>
        <v>1.33523450969354</v>
      </c>
      <c r="Y365" s="264">
        <f>IFERROR(IF(AND(COUNT(U15,V15,X15,Y15)=4,N(Y197)&lt;&gt;0),(U15+V15+X15+Y15)/Y197,""),"")</f>
        <v>1.34742497972425</v>
      </c>
      <c r="Z365" s="264">
        <f>IFERROR(IF(AND(COUNT(V15,X15,Y15,Z15)=4,N(Z197)&lt;&gt;0),(V15+X15+Y15+Z15)/Z197,""),"")</f>
        <v>1.31602457660812</v>
      </c>
      <c r="AA365" s="264">
        <f>IFERROR(IF(AND(COUNT(X15,Y15,Z15,AA15)=4,N(AA197)&lt;&gt;0),(X15+Y15+Z15+AA15)/AA197,""),"")</f>
        <v>1.34196286685575</v>
      </c>
      <c r="AB365" s="262">
        <f>IFERROR(IF(AND(COUNT(X15,Y15,Z15,AA15)=4,N(AB197)&lt;&gt;0),(X15+Y15+Z15+AA15)/AB197,""),"")</f>
        <v>1.34196286685575</v>
      </c>
      <c r="AC365" s="264">
        <f>IFERROR(IF(AND(COUNT(Y15,Z15,AA15,AC15)=4,N(AC197)&lt;&gt;0),(Y15+Z15+AA15+AC15)/AC197,""),"")</f>
        <v>1.32366118983828</v>
      </c>
      <c r="AD365" s="264">
        <f>IFERROR(IF(AND(COUNT(Z15,AA15,AC15,AD15)=4,N(AD197)&lt;&gt;0),(Z15+AA15+AC15+AD15)/AD197,""),"")</f>
        <v>1.37023654046206</v>
      </c>
      <c r="AE365" s="264">
        <f>IFERROR(IF(AND(COUNT(AA15,AC15,AD15,AE15)=4,N(AE197)&lt;&gt;0),(AA15+AC15+AD15+AE15)/AE197,""),"")</f>
        <v>1.38027842889723</v>
      </c>
      <c r="AF365" s="264">
        <f>IFERROR(IF(AND(COUNT(AB15,AD15,AE15,AF15)=4,N(AF197)&lt;&gt;0),(AB15+AD15+AE15+AF15)/AF197,""),"")</f>
        <v>2.38473937354037</v>
      </c>
      <c r="AG365" s="262">
        <f>IFERROR(IF(AND(COUNT(AC15,AD15,AE15,AF15)=4,N(AG197)&lt;&gt;0),(AC15+AD15+AE15+AF15)/AG197,""),"")</f>
        <v>1.44571856799997</v>
      </c>
      <c r="AH365" s="264">
        <f>IFERROR(IF(AND(COUNT(AD15,AF15,AG15,AH15)=4,N(AH197)&lt;&gt;0),(AD15+AF15+AG15+AH15)/AH197,""),"")</f>
        <v>2.50802510203298</v>
      </c>
      <c r="AI365" s="264">
        <f>IFERROR(IF(AND(COUNT(AE15,AG15,AH15,AI15)=4,N(AI197)&lt;&gt;0),(AE15+AG15+AH15+AI15)/AI197,""),"")</f>
        <v>2.53281438169743</v>
      </c>
      <c r="AJ365" s="264">
        <f>IFERROR(IF(AND(COUNT(AF15,AH15,AI15,AJ15)=4,N(AJ197)&lt;&gt;0),(AF15+AH15+AI15+AJ15)/AJ197,""),"")</f>
        <v>1.46394579293956</v>
      </c>
      <c r="AK365" s="264">
        <f>IFERROR(IF(AND(COUNT(AH15,AI15,AJ15,AK15)=4,N(AK197)&lt;&gt;0),(AH15+AI15+AJ15+AK15)/AK197,""),"")</f>
        <v>1.47434658595681</v>
      </c>
      <c r="AL365" s="262">
        <f>IFERROR(IF(AND(COUNT(AH15,AI15,AJ15,AK15)=4,N(AL197)&lt;&gt;0),(AH15+AI15+AJ15+AK15)/AL197,""),"")</f>
        <v>1.47434658595681</v>
      </c>
      <c r="AM365" s="264">
        <f>IFERROR(IF(AND(COUNT(AI15,AJ15,AK15,AM15)=4,N(AM197)&lt;&gt;0),(AI15+AJ15+AK15+AM15)/AM197,""),"")</f>
        <v>1.48283505150109</v>
      </c>
      <c r="AN365" s="264">
        <f>IFERROR(IF(AND(COUNT(AJ15,AK15,AM15,AN15)=4,N(AN197)&lt;&gt;0),(AJ15+AK15+AM15+AN15)/AN197,""),"")</f>
        <v>1.494221463692</v>
      </c>
      <c r="AO365" s="264">
        <f>IFERROR(IF(AND(COUNT(AK15,AM15,AN15,AO15)=4,N(AO197)&lt;&gt;0),(AK15+AM15+AN15+AO15)/AO197,""),"")</f>
        <v>1.49007869789939</v>
      </c>
      <c r="AP365" s="264">
        <f>IFERROR(IF(AND(COUNT(AM15,AN15,AO15,AP15)=4,N(AP197)&lt;&gt;0),(AM15+AN15+AO15+AP15)/AP197,""),"")</f>
        <v>1.50031712726136</v>
      </c>
      <c r="AQ365" s="262">
        <f>IFERROR(IF(AND(COUNT(AM15,AN15,AO15,AP15)=4,N(AQ197)&lt;&gt;0),(AM15+AN15+AO15+AP15)/AQ197,""),"")</f>
        <v>1.50031712726136</v>
      </c>
      <c r="AR365" s="264">
        <f>IFERROR(IF(AND(COUNT(AN15,AO15,AP15,AR15)=4,N(AR197)&lt;&gt;0),(AN15+AO15+AP15+AR15)/AR197,""),"")</f>
        <v>1.509893276226</v>
      </c>
      <c r="AS365" s="264">
        <f>IFERROR(IF(AND(COUNT(AO15,AP15,AR15,AS15)=4,N(AS197)&lt;&gt;0),(AO15+AP15+AR15+AS15)/AS197,""),"")</f>
        <v>1.51743184929881</v>
      </c>
      <c r="AT365" s="264">
        <f>IFERROR(IF(AND(COUNT(AP15,AR15,AS15,AT15)=4,N(AT197)&lt;&gt;0),(AP15+AR15+AS15+AT15)/AT197,""),"")</f>
        <v>1.51096886796942</v>
      </c>
      <c r="AU365" s="264">
        <f>IFERROR(IF(AND(COUNT(AR15,AS15,AT15,AU15)=4,N(AU197)&lt;&gt;0),(AR15+AS15+AT15+AU15)/AU197,""),"")</f>
        <v>1.51935517588078</v>
      </c>
      <c r="AV365" s="262">
        <f>IFERROR(IF(AND(COUNT(AR15,AS15,AT15,AU15)=4,N(AV197)&lt;&gt;0),(AR15+AS15+AT15+AU15)/AV197,""),"")</f>
        <v>1.51935517588078</v>
      </c>
      <c r="AW365" s="264">
        <f>IFERROR(IF(AND(COUNT(AS15,AT15,AU15,AW15)=4,N(AW197)&lt;&gt;0),(AS15+AT15+AU15+AW15)/AW197,""),"")</f>
        <v>1.52588597529576</v>
      </c>
      <c r="AX365" s="264">
        <f>IFERROR(IF(AND(COUNT(AT15,AU15,AW15,AX15)=4,N(AX197)&lt;&gt;0),(AT15+AU15+AW15+AX15)/AX197,""),"")</f>
        <v>1.53374289710197</v>
      </c>
      <c r="AY365" s="264">
        <f>IFERROR(IF(AND(COUNT(AU15,AW15,AX15,AY15)=4,N(AY197)&lt;&gt;0),(AU15+AW15+AX15+AY15)/AY197,""),"")</f>
        <v>1.52508787912551</v>
      </c>
      <c r="AZ365" s="264">
        <f>IFERROR(IF(AND(COUNT(AW15,AX15,AY15,AZ15)=4,N(AZ197)&lt;&gt;0),(AW15+AX15+AY15+AZ15)/AZ197,""),"")</f>
        <v>1.5316192508006</v>
      </c>
      <c r="BA365" s="262">
        <f>IFERROR(IF(AND(COUNT(AW15,AX15,AY15,AZ15)=4,N(BA197)&lt;&gt;0),(AW15+AX15+AY15+AZ15)/BA197,""),"")</f>
        <v>1.5316192508006</v>
      </c>
      <c r="BB365" s="264">
        <f>IFERROR(IF(AND(COUNT(AX15,AY15,AZ15,BB15)=4,N(BB197)&lt;&gt;0),(AX15+AY15+AZ15+BB15)/BB197,""),"")</f>
        <v>1.53725437296905</v>
      </c>
      <c r="BC365" s="264">
        <f>IFERROR(IF(AND(COUNT(AY15,AZ15,BB15,BC15)=4,N(BC197)&lt;&gt;0),(AY15+AZ15+BB15+BC15)/BC197,""),"")</f>
        <v>1.54334280056406</v>
      </c>
      <c r="BD365" s="264">
        <f>IFERROR(IF(AND(COUNT(AZ15,BB15,BC15,BD15)=4,N(BD197)&lt;&gt;0),(AZ15+BB15+BC15+BD15)/BD197,""),"")</f>
        <v>1.53264990042159</v>
      </c>
      <c r="BE365" s="264">
        <f>IFERROR(IF(AND(COUNT(BB15,BC15,BD15,BE15)=4,N(BE197)&lt;&gt;0),(BB15+BC15+BD15+BE15)/BE197,""),"")</f>
        <v>1.53734844610595</v>
      </c>
      <c r="BF365" s="262">
        <f>IFERROR(IF(AND(COUNT(BB15,BC15,BD15,BE15)=4,N(BF197)&lt;&gt;0),(BB15+BC15+BD15+BE15)/BF197,""),"")</f>
        <v>1.53734844610595</v>
      </c>
      <c r="BG365" s="81" t="n"/>
      <c r="BH365" s="81" t="n"/>
      <c r="BI365" s="81" t="n"/>
      <c r="BJ365" s="81" t="n"/>
      <c r="BL365" s="81" t="n"/>
      <c r="BM365" s="81" t="n"/>
      <c r="BN365" s="81" t="n"/>
      <c r="BO365" s="81" t="n"/>
      <c r="BQ365" s="81" t="n"/>
      <c r="BR365" s="81" t="n"/>
      <c r="BS365" s="81" t="n"/>
      <c r="BT365" s="81" t="n"/>
      <c r="BV365" s="81" t="n"/>
      <c r="BW365" s="81" t="n"/>
      <c r="BX365" s="81" t="n"/>
      <c r="BY365" s="81" t="n"/>
      <c r="CA365" s="81" t="n"/>
      <c r="CB365" s="81" t="n"/>
      <c r="CC365" s="81" t="n"/>
      <c r="CD365" s="81" t="n"/>
      <c r="CF365" s="81" t="n"/>
      <c r="CG365" s="81" t="n"/>
      <c r="CH365" s="81" t="n"/>
      <c r="CI365" s="81" t="n"/>
      <c r="CK365" s="81" t="n"/>
      <c r="CL365" s="81" t="n"/>
      <c r="CM365" s="81" t="n"/>
      <c r="CN365" s="81" t="n"/>
      <c r="CP365" s="81" t="n"/>
      <c r="CQ365" s="81" t="n"/>
      <c r="CR365" s="81" t="n"/>
      <c r="CS365" s="81" t="n"/>
      <c r="CU365" s="81" t="n"/>
      <c r="CV365" s="81" t="n"/>
      <c r="CW365" s="81" t="n"/>
      <c r="CX365" s="81" t="n"/>
    </row>
    <row r="366" customFormat="1" s="77">
      <c r="A366" s="76" t="n"/>
      <c r="B366" s="76" t="n"/>
      <c r="C366" s="77" t="inlineStr">
        <is>
          <t>EQUITY MULTIPLIER (ASSETS / EQUITY)</t>
        </is>
      </c>
      <c r="D366" s="84" t="str">
        <f>IFERROR(D197/D271,"")</f>
        <v/>
      </c>
      <c r="E366" s="84" t="str">
        <f>IFERROR(E197/E271,"")</f>
        <v/>
      </c>
      <c r="F366" s="84" t="str">
        <f>IFERROR(F197/F271,"")</f>
        <v/>
      </c>
      <c r="G366" s="84" t="str">
        <f>IFERROR(G197/G271,"")</f>
        <v/>
      </c>
      <c r="H366" s="262" t="str">
        <f>IFERROR(IF(N(H271)&lt;&gt;0,H197/H271,""),"")</f>
        <v/>
      </c>
      <c r="I366" s="264">
        <f>IFERROR(IF(N(I271)&lt;&gt;0,I197/I271,""),"")</f>
        <v>2.90684593805786</v>
      </c>
      <c r="J366" s="264">
        <f>IFERROR(IF(N(J271)&lt;&gt;0,J197/J271,""),"")</f>
        <v>2.86810054418243</v>
      </c>
      <c r="K366" s="264">
        <f>IFERROR(IF(N(K271)&lt;&gt;0,K197/K271,""),"")</f>
        <v>2.85460660306571</v>
      </c>
      <c r="L366" s="264">
        <f>IFERROR(IF(N(L271)&lt;&gt;0,L197/L271,""),"")</f>
        <v>2.77469632186613</v>
      </c>
      <c r="M366" s="262">
        <f>IFERROR(IF(N(M271)&lt;&gt;0,M197/M271,""),"")</f>
        <v>2.77469632186613</v>
      </c>
      <c r="N366" s="264">
        <f>IFERROR(IF(N(N271)&lt;&gt;0,N197/N271,""),"")</f>
        <v>2.8492794312723</v>
      </c>
      <c r="O366" s="264">
        <f>IFERROR(IF(N(O271)&lt;&gt;0,O197/O271,""),"")</f>
        <v>2.83718120970824</v>
      </c>
      <c r="P366" s="264">
        <f>IFERROR(IF(N(P271)&lt;&gt;0,P197/P271,""),"")</f>
        <v>2.93127193352709</v>
      </c>
      <c r="Q366" s="264">
        <f>IFERROR(IF(N(Q271)&lt;&gt;0,Q197/Q271,""),"")</f>
        <v>2.84555340660359</v>
      </c>
      <c r="R366" s="262">
        <f>IFERROR(IF(N(R271)&lt;&gt;0,R197/R271,""),"")</f>
        <v>2.84555340660359</v>
      </c>
      <c r="S366" s="264">
        <f>IFERROR(IF(N(S271)&lt;&gt;0,S197/S271,""),"")</f>
        <v>3.13035466001633</v>
      </c>
      <c r="T366" s="264">
        <f>IFERROR(IF(N(T271)&lt;&gt;0,T197/T271,""),"")</f>
        <v>3.04010590737445</v>
      </c>
      <c r="U366" s="264">
        <f>IFERROR(IF(N(U271)&lt;&gt;0,U197/U271,""),"")</f>
        <v>3.00130878910406</v>
      </c>
      <c r="V366" s="264">
        <f>IFERROR(IF(N(V271)&lt;&gt;0,V197/V271,""),"")</f>
        <v>2.76711248597337</v>
      </c>
      <c r="W366" s="262">
        <f>IFERROR(IF(N(W271)&lt;&gt;0,W197/W271,""),"")</f>
        <v>2.76711248597337</v>
      </c>
      <c r="X366" s="264">
        <f>IFERROR(IF(N(X271)&lt;&gt;0,X197/X271,""),"")</f>
        <v>2.9324790028684</v>
      </c>
      <c r="Y366" s="264">
        <f>IFERROR(IF(N(Y271)&lt;&gt;0,Y197/Y271,""),"")</f>
        <v>2.88264103029204</v>
      </c>
      <c r="Z366" s="264">
        <f>IFERROR(IF(N(Z271)&lt;&gt;0,Z197/Z271,""),"")</f>
        <v>2.86543487626251</v>
      </c>
      <c r="AA366" s="264">
        <f>IFERROR(IF(N(AA271)&lt;&gt;0,AA197/AA271,""),"")</f>
        <v>2.90744802175629</v>
      </c>
      <c r="AB366" s="262">
        <f>IFERROR(IF(N(AB271)&lt;&gt;0,AB197/AB271,""),"")</f>
        <v>2.90744802175629</v>
      </c>
      <c r="AC366" s="264">
        <f>IFERROR(IF(N(AC271)&lt;&gt;0,AC197/AC271,""),"")</f>
        <v>2.94563987486807</v>
      </c>
      <c r="AD366" s="264">
        <f>IFERROR(IF(N(AD271)&lt;&gt;0,AD197/AD271,""),"")</f>
        <v>2.94484845014506</v>
      </c>
      <c r="AE366" s="264">
        <f>IFERROR(IF(N(AE271)&lt;&gt;0,AE197/AE271,""),"")</f>
        <v>2.97949212289605</v>
      </c>
      <c r="AF366" s="264">
        <f>IFERROR(IF(N(AF271)&lt;&gt;0,AF197/AF271,""),"")</f>
        <v>3.04412082833487</v>
      </c>
      <c r="AG366" s="262">
        <f>IFERROR(IF(N(AG271)&lt;&gt;0,AG197/AG271,""),"")</f>
        <v>3.04412082833487</v>
      </c>
      <c r="AH366" s="264">
        <f>IFERROR(IF(N(AH271)&lt;&gt;0,AH197/AH271,""),"")</f>
        <v>2.96854318783885</v>
      </c>
      <c r="AI366" s="264">
        <f>IFERROR(IF(N(AI271)&lt;&gt;0,AI197/AI271,""),"")</f>
        <v>2.92335935214112</v>
      </c>
      <c r="AJ366" s="264">
        <f>IFERROR(IF(N(AJ271)&lt;&gt;0,AJ197/AJ271,""),"")</f>
        <v>2.8517537370072</v>
      </c>
      <c r="AK366" s="264">
        <f>IFERROR(IF(N(AK271)&lt;&gt;0,AK197/AK271,""),"")</f>
        <v>2.78520695335777</v>
      </c>
      <c r="AL366" s="262">
        <f>IFERROR(IF(N(AL271)&lt;&gt;0,AL197/AL271,""),"")</f>
        <v>2.78520695335777</v>
      </c>
      <c r="AM366" s="264">
        <f>IFERROR(IF(N(AM271)&lt;&gt;0,AM197/AM271,""),"")</f>
        <v>2.72685773028119</v>
      </c>
      <c r="AN366" s="264">
        <f>IFERROR(IF(N(AN271)&lt;&gt;0,AN197/AN271,""),"")</f>
        <v>2.66668386798375</v>
      </c>
      <c r="AO366" s="264">
        <f>IFERROR(IF(N(AO271)&lt;&gt;0,AO197/AO271,""),"")</f>
        <v>2.63380232301395</v>
      </c>
      <c r="AP366" s="264">
        <f>IFERROR(IF(N(AP271)&lt;&gt;0,AP197/AP271,""),"")</f>
        <v>2.57850643345183</v>
      </c>
      <c r="AQ366" s="262">
        <f>IFERROR(IF(N(AQ271)&lt;&gt;0,AQ197/AQ271,""),"")</f>
        <v>2.57850643345183</v>
      </c>
      <c r="AR366" s="264">
        <f>IFERROR(IF(N(AR271)&lt;&gt;0,AR197/AR271,""),"")</f>
        <v>2.52536861211667</v>
      </c>
      <c r="AS366" s="264">
        <f>IFERROR(IF(N(AS271)&lt;&gt;0,AS197/AS271,""),"")</f>
        <v>2.47841651053946</v>
      </c>
      <c r="AT366" s="264">
        <f>IFERROR(IF(N(AT271)&lt;&gt;0,AT197/AT271,""),"")</f>
        <v>2.45362858344068</v>
      </c>
      <c r="AU366" s="264">
        <f>IFERROR(IF(N(AU271)&lt;&gt;0,AU197/AU271,""),"")</f>
        <v>2.40713397253799</v>
      </c>
      <c r="AV366" s="262">
        <f>IFERROR(IF(N(AV271)&lt;&gt;0,AV197/AV271,""),"")</f>
        <v>2.40713397253799</v>
      </c>
      <c r="AW366" s="264">
        <f>IFERROR(IF(N(AW271)&lt;&gt;0,AW197/AW271,""),"")</f>
        <v>2.36415738951195</v>
      </c>
      <c r="AX366" s="264">
        <f>IFERROR(IF(N(AX271)&lt;&gt;0,AX197/AX271,""),"")</f>
        <v>2.32137634112152</v>
      </c>
      <c r="AY366" s="264">
        <f>IFERROR(IF(N(AY271)&lt;&gt;0,AY197/AY271,""),"")</f>
        <v>2.30284505842313</v>
      </c>
      <c r="AZ366" s="264">
        <f>IFERROR(IF(N(AZ271)&lt;&gt;0,AZ197/AZ271,""),"")</f>
        <v>2.26336053901069</v>
      </c>
      <c r="BA366" s="262">
        <f>IFERROR(IF(N(BA271)&lt;&gt;0,BA197/BA271,""),"")</f>
        <v>2.26336053901069</v>
      </c>
      <c r="BB366" s="264">
        <f>IFERROR(IF(N(BB271)&lt;&gt;0,BB197/BB271,""),"")</f>
        <v>2.22554574308904</v>
      </c>
      <c r="BC366" s="264">
        <f>IFERROR(IF(N(BC271)&lt;&gt;0,BC197/BC271,""),"")</f>
        <v>2.18893253596785</v>
      </c>
      <c r="BD366" s="264">
        <f>IFERROR(IF(N(BD271)&lt;&gt;0,BD197/BD271,""),"")</f>
        <v>2.17529866770373</v>
      </c>
      <c r="BE366" s="264">
        <f>IFERROR(IF(N(BE271)&lt;&gt;0,BE197/BE271,""),"")</f>
        <v>2.14148459205559</v>
      </c>
      <c r="BF366" s="262">
        <f>IFERROR(IF(N(BF271)&lt;&gt;0,BF197/BF271,""),"")</f>
        <v>2.14148459205559</v>
      </c>
      <c r="BG366" s="81" t="n"/>
      <c r="BH366" s="81" t="n"/>
      <c r="BI366" s="81" t="n"/>
      <c r="BJ366" s="81" t="n"/>
      <c r="BL366" s="81" t="n"/>
      <c r="BM366" s="81" t="n"/>
      <c r="BN366" s="81" t="n"/>
      <c r="BO366" s="81" t="n"/>
      <c r="BQ366" s="81" t="n"/>
      <c r="BR366" s="81" t="n"/>
      <c r="BS366" s="81" t="n"/>
      <c r="BT366" s="81" t="n"/>
      <c r="BV366" s="81" t="n"/>
      <c r="BW366" s="81" t="n"/>
      <c r="BX366" s="81" t="n"/>
      <c r="BY366" s="81" t="n"/>
      <c r="CA366" s="81" t="n"/>
      <c r="CB366" s="81" t="n"/>
      <c r="CC366" s="81" t="n"/>
      <c r="CD366" s="81" t="n"/>
      <c r="CF366" s="81" t="n"/>
      <c r="CG366" s="81" t="n"/>
      <c r="CH366" s="81" t="n"/>
      <c r="CI366" s="81" t="n"/>
      <c r="CK366" s="81" t="n"/>
      <c r="CL366" s="81" t="n"/>
      <c r="CM366" s="81" t="n"/>
      <c r="CN366" s="81" t="n"/>
      <c r="CP366" s="81" t="n"/>
      <c r="CQ366" s="81" t="n"/>
      <c r="CR366" s="81" t="n"/>
      <c r="CS366" s="81" t="n"/>
      <c r="CU366" s="81" t="n"/>
      <c r="CV366" s="81" t="n"/>
      <c r="CW366" s="81" t="n"/>
      <c r="CX366" s="81" t="n"/>
    </row>
    <row r="367" customFormat="1" s="77">
      <c r="A367" s="76" t="n"/>
      <c r="B367" s="76" t="n"/>
      <c r="C367" s="77" t="inlineStr">
        <is>
          <t>ROE - DUPONT</t>
        </is>
      </c>
      <c r="D367" s="84">
        <f>IFERROR(PRODUCT(D364:D366),"")</f>
        <v>0</v>
      </c>
      <c r="E367" s="84">
        <f>IFERROR(PRODUCT(E364:E366),"")</f>
        <v>0</v>
      </c>
      <c r="F367" s="84">
        <f>IFERROR(PRODUCT(F364:F366),"")</f>
        <v>0</v>
      </c>
      <c r="G367" s="84">
        <f>IFERROR(PRODUCT(G364:G366),"")</f>
        <v>0</v>
      </c>
      <c r="H367" s="258" t="str">
        <f>IFERROR(IF(COUNT(H364,H365,H366)=3,H364*H365*H366,""),"")</f>
        <v/>
      </c>
      <c r="I367" s="257" t="str">
        <f>IFERROR(IF(COUNT(I364,I365,I366)=3,I364*I365*I366,""),"")</f>
        <v/>
      </c>
      <c r="J367" s="257" t="str">
        <f>IFERROR(IF(COUNT(J364,J365,J366)=3,J364*J365*J366,""),"")</f>
        <v/>
      </c>
      <c r="K367" s="257" t="str">
        <f>IFERROR(IF(COUNT(K364,K365,K366)=3,K364*K365*K366,""),"")</f>
        <v/>
      </c>
      <c r="L367" s="257">
        <f>IFERROR(IF(COUNT(L364,L365,L366)=3,L364*L365*L366,""),"")</f>
        <v>0.226009754311641</v>
      </c>
      <c r="M367" s="258">
        <f>IFERROR(IF(COUNT(M364,M365,M366)=3,M364*M365*M366,""),"")</f>
        <v>0.226009754311641</v>
      </c>
      <c r="N367" s="257">
        <f>IFERROR(IF(COUNT(N364,N365,N366)=3,N364*N365*N366,""),"")</f>
        <v>0.224735018738651</v>
      </c>
      <c r="O367" s="257">
        <f>IFERROR(IF(COUNT(O364,O365,O366)=3,O364*O365*O366,""),"")</f>
        <v>0.225005238699816</v>
      </c>
      <c r="P367" s="257">
        <f>IFERROR(IF(COUNT(P364,P365,P366)=3,P364*P365*P366,""),"")</f>
        <v>0.234319412452817</v>
      </c>
      <c r="Q367" s="257">
        <f>IFERROR(IF(COUNT(Q364,Q365,Q366)=3,Q364*Q365*Q366,""),"")</f>
        <v>0.233013306773831</v>
      </c>
      <c r="R367" s="258">
        <f>IFERROR(IF(COUNT(R364,R365,R366)=3,R364*R365*R366,""),"")</f>
        <v>0.233013306773831</v>
      </c>
      <c r="S367" s="257">
        <f>IFERROR(IF(COUNT(S364,S365,S366)=3,S364*S365*S366,""),"")</f>
        <v>0.228465494030147</v>
      </c>
      <c r="T367" s="257">
        <f>IFERROR(IF(COUNT(T364,T365,T366)=3,T364*T365*T366,""),"")</f>
        <v>0.229046399583315</v>
      </c>
      <c r="U367" s="257">
        <f>IFERROR(IF(COUNT(U364,U365,U366)=3,U364*U365*U366,""),"")</f>
        <v>0.230761864226431</v>
      </c>
      <c r="V367" s="257">
        <f>IFERROR(IF(COUNT(V364,V365,V366)=3,V364*V365*V366,""),"")</f>
        <v>0.226255825473367</v>
      </c>
      <c r="W367" s="258">
        <f>IFERROR(IF(COUNT(W364,W365,W366)=3,W364*W365*W366,""),"")</f>
        <v>0.226255825473367</v>
      </c>
      <c r="X367" s="257">
        <f>IFERROR(IF(COUNT(X364,X365,X366)=3,X364*X365*X366,""),"")</f>
        <v>0.158494810045606</v>
      </c>
      <c r="Y367" s="257">
        <f>IFERROR(IF(COUNT(Y364,Y365,Y366)=3,Y364*Y365*Y366,""),"")</f>
        <v>0.14211862869581</v>
      </c>
      <c r="Z367" s="257">
        <f>IFERROR(IF(COUNT(Z364,Z365,Z366)=3,Z364*Z365*Z366,""),"")</f>
        <v>0.137063807381169</v>
      </c>
      <c r="AA367" s="257">
        <f>IFERROR(IF(COUNT(AA364,AA365,AA366)=3,AA364*AA365*AA366,""),"")</f>
        <v>0.140411926972152</v>
      </c>
      <c r="AB367" s="258">
        <f>IFERROR(IF(COUNT(AB364,AB365,AB366)=3,AB364*AB365*AB366,""),"")</f>
        <v>0.140411926972152</v>
      </c>
      <c r="AC367" s="257">
        <f>IFERROR(IF(COUNT(AC364,AC365,AC366)=3,AC364*AC365*AC366,""),"")</f>
        <v>0.210195019444893</v>
      </c>
      <c r="AD367" s="257">
        <f>IFERROR(IF(COUNT(AD364,AD365,AD366)=3,AD364*AD365*AD366,""),"")</f>
        <v>0.203237135440525</v>
      </c>
      <c r="AE367" s="257">
        <f>IFERROR(IF(COUNT(AE364,AE365,AE366)=3,AE364*AE365*AE366,""),"")</f>
        <v>0.166227212157296</v>
      </c>
      <c r="AF367" s="257">
        <f>IFERROR(IF(COUNT(AF364,AF365,AF366)=3,AF364*AF365*AF366,""),"")</f>
        <v>0.198322484217979</v>
      </c>
      <c r="AG367" s="258">
        <f>IFERROR(IF(COUNT(AG364,AG365,AG366)=3,AG364*AG365*AG366,""),"")</f>
        <v>0.118547070738854</v>
      </c>
      <c r="AH367" s="257">
        <f>IFERROR(IF(COUNT(AH364,AH365,AH366)=3,AH364*AH365*AH366,""),"")</f>
        <v>0.206534433483037</v>
      </c>
      <c r="AI367" s="257">
        <f>IFERROR(IF(COUNT(AI364,AI365,AI366)=3,AI364*AI365*AI366,""),"")</f>
        <v>0.246986757779686</v>
      </c>
      <c r="AJ367" s="257">
        <f>IFERROR(IF(COUNT(AJ364,AJ365,AJ366)=3,AJ364*AJ365*AJ366,""),"")</f>
        <v>0.14433320503279</v>
      </c>
      <c r="AK367" s="257">
        <f>IFERROR(IF(COUNT(AK364,AK365,AK366)=3,AK364*AK365*AK366,""),"")</f>
        <v>0.175072663667928</v>
      </c>
      <c r="AL367" s="258">
        <f>IFERROR(IF(COUNT(AL364,AL365,AL366)=3,AL364*AL365*AL366,""),"")</f>
        <v>0.175072663667928</v>
      </c>
      <c r="AM367" s="257">
        <f>IFERROR(IF(COUNT(AM364,AM365,AM366)=3,AM364*AM365*AM366,""),"")</f>
        <v>0.150277661677303</v>
      </c>
      <c r="AN367" s="257">
        <f>IFERROR(IF(COUNT(AN364,AN365,AN366)=3,AN364*AN365*AN366,""),"")</f>
        <v>0.133717689478676</v>
      </c>
      <c r="AO367" s="257">
        <f>IFERROR(IF(COUNT(AO364,AO365,AO366)=3,AO364*AO365*AO366,""),"")</f>
        <v>0.131702719301001</v>
      </c>
      <c r="AP367" s="257">
        <f>IFERROR(IF(COUNT(AP364,AP365,AP366)=3,AP364*AP365*AP366,""),"")</f>
        <v>0.129823599421349</v>
      </c>
      <c r="AQ367" s="258">
        <f>IFERROR(IF(COUNT(AQ364,AQ365,AQ366)=3,AQ364*AQ365*AQ366,""),"")</f>
        <v>0.129823599421349</v>
      </c>
      <c r="AR367" s="257">
        <f>IFERROR(IF(COUNT(AR364,AR365,AR366)=3,AR364*AR365*AR366,""),"")</f>
        <v>0.127959751797448</v>
      </c>
      <c r="AS367" s="257">
        <f>IFERROR(IF(COUNT(AS364,AS365,AS366)=3,AS364*AS365*AS366,""),"")</f>
        <v>0.126207698864385</v>
      </c>
      <c r="AT367" s="257">
        <f>IFERROR(IF(COUNT(AT364,AT365,AT366)=3,AT364*AT365*AT366,""),"")</f>
        <v>0.124413268031027</v>
      </c>
      <c r="AU367" s="257">
        <f>IFERROR(IF(COUNT(AU364,AU365,AU366)=3,AU364*AU365*AU366,""),"")</f>
        <v>0.122733164343727</v>
      </c>
      <c r="AV367" s="258">
        <f>IFERROR(IF(COUNT(AV364,AV365,AV366)=3,AV364*AV365*AV366,""),"")</f>
        <v>0.122733164343727</v>
      </c>
      <c r="AW367" s="257">
        <f>IFERROR(IF(COUNT(AW364,AW365,AW366)=3,AW364*AW365*AW366,""),"")</f>
        <v>0.121060043733012</v>
      </c>
      <c r="AX367" s="257">
        <f>IFERROR(IF(COUNT(AX364,AX365,AX366)=3,AX364*AX365*AX366,""),"")</f>
        <v>0.119481448209694</v>
      </c>
      <c r="AY367" s="257">
        <f>IFERROR(IF(COUNT(AY364,AY365,AY366)=3,AY364*AY365*AY366,""),"")</f>
        <v>0.117858781694593</v>
      </c>
      <c r="AZ367" s="257">
        <f>IFERROR(IF(COUNT(AZ364,AZ365,AZ366)=3,AZ364*AZ365*AZ366,""),"")</f>
        <v>0.116334068223382</v>
      </c>
      <c r="BA367" s="258">
        <f>IFERROR(IF(COUNT(BA364,BA365,BA366)=3,BA364*BA365*BA366,""),"")</f>
        <v>0.116334068223382</v>
      </c>
      <c r="BB367" s="257">
        <f>IFERROR(IF(COUNT(BB364,BB365,BB366)=3,BB364*BB365*BB366,""),"")</f>
        <v>0.114811296641116</v>
      </c>
      <c r="BC367" s="257">
        <f>IFERROR(IF(COUNT(BC364,BC365,BC366)=3,BC364*BC365*BC366,""),"")</f>
        <v>0.113369736317999</v>
      </c>
      <c r="BD367" s="257">
        <f>IFERROR(IF(COUNT(BD364,BD365,BD366)=3,BD364*BD365*BD366,""),"")</f>
        <v>0.111883028811809</v>
      </c>
      <c r="BE367" s="257">
        <f>IFERROR(IF(COUNT(BE364,BE365,BE366)=3,BE364*BE365*BE366,""),"")</f>
        <v>0.110481516481619</v>
      </c>
      <c r="BF367" s="258">
        <f>IFERROR(IF(COUNT(BF364,BF365,BF366)=3,BF364*BF365*BF366,""),"")</f>
        <v>0.110481516481619</v>
      </c>
      <c r="BG367" s="81" t="n"/>
      <c r="BH367" s="81" t="n"/>
      <c r="BI367" s="81" t="n"/>
      <c r="BJ367" s="81" t="n"/>
      <c r="BL367" s="81" t="n"/>
      <c r="BM367" s="81" t="n"/>
      <c r="BN367" s="81" t="n"/>
      <c r="BO367" s="81" t="n"/>
      <c r="BQ367" s="81" t="n"/>
      <c r="BR367" s="81" t="n"/>
      <c r="BS367" s="81" t="n"/>
      <c r="BT367" s="81" t="n"/>
      <c r="BV367" s="81" t="n"/>
      <c r="BW367" s="81" t="n"/>
      <c r="BX367" s="81" t="n"/>
      <c r="BY367" s="81" t="n"/>
      <c r="CA367" s="81" t="n"/>
      <c r="CB367" s="81" t="n"/>
      <c r="CC367" s="81" t="n"/>
      <c r="CD367" s="81" t="n"/>
      <c r="CF367" s="81" t="n"/>
      <c r="CG367" s="81" t="n"/>
      <c r="CH367" s="81" t="n"/>
      <c r="CI367" s="81" t="n"/>
      <c r="CK367" s="81" t="n"/>
      <c r="CL367" s="81" t="n"/>
      <c r="CM367" s="81" t="n"/>
      <c r="CN367" s="81" t="n"/>
      <c r="CP367" s="81" t="n"/>
      <c r="CQ367" s="81" t="n"/>
      <c r="CR367" s="81" t="n"/>
      <c r="CS367" s="81" t="n"/>
      <c r="CU367" s="81" t="n"/>
      <c r="CV367" s="81" t="n"/>
      <c r="CW367" s="81" t="n"/>
      <c r="CX367" s="81" t="n"/>
    </row>
    <row r="368" customFormat="1" s="77">
      <c r="A368" s="76" t="n"/>
      <c r="B368" s="76" t="n"/>
      <c r="C368" s="77" t="inlineStr">
        <is>
          <t>ROE (LTM)</t>
        </is>
      </c>
      <c r="D368" s="84" t="str">
        <f>IFERROR(D137/D271,"")</f>
        <v/>
      </c>
      <c r="E368" s="84" t="str">
        <f>IFERROR(E137/E271,"")</f>
        <v/>
      </c>
      <c r="F368" s="84" t="str">
        <f>IFERROR(F137/F271,"")</f>
        <v/>
      </c>
      <c r="G368" s="84" t="str">
        <f>IFERROR(G137/G271,"")</f>
        <v/>
      </c>
      <c r="H368" s="258" t="str">
        <f>IFERROR(IF(AND(COUNT(H137)=1,N(H271)&lt;&gt;0),(H137)/H271,""),"")</f>
        <v/>
      </c>
      <c r="I368" s="257" t="str">
        <f>""</f>
        <v/>
      </c>
      <c r="J368" s="257" t="str">
        <f>""</f>
        <v/>
      </c>
      <c r="K368" s="257" t="str">
        <f>""</f>
        <v/>
      </c>
      <c r="L368" s="257">
        <f>IFERROR(IF(AND(COUNT(I137,J137,K137,L137)=4,N(L271)&lt;&gt;0),(I137+J137+K137+L137)/L271,""),"")</f>
        <v>0.226009754311641</v>
      </c>
      <c r="M368" s="258">
        <f>IFERROR(IF(AND(COUNT(I137,J137,K137,L137)=4,N(M271)&lt;&gt;0),(I137+J137+K137+L137)/M271,""),"")</f>
        <v>0.226009754311641</v>
      </c>
      <c r="N368" s="257">
        <f>IFERROR(IF(AND(COUNT(J137,K137,L137,N137)=4,N(N271)&lt;&gt;0),(J137+K137+L137+N137)/N271,""),"")</f>
        <v>0.224735018738651</v>
      </c>
      <c r="O368" s="257">
        <f>IFERROR(IF(AND(COUNT(K137,L137,N137,O137)=4,N(O271)&lt;&gt;0),(K137+L137+N137+O137)/O271,""),"")</f>
        <v>0.225005238699816</v>
      </c>
      <c r="P368" s="257">
        <f>IFERROR(IF(AND(COUNT(L137,N137,O137,P137)=4,N(P271)&lt;&gt;0),(L137+N137+O137+P137)/P271,""),"")</f>
        <v>0.234319412452817</v>
      </c>
      <c r="Q368" s="257">
        <f>IFERROR(IF(AND(COUNT(N137,O137,P137,Q137)=4,N(Q271)&lt;&gt;0),(N137+O137+P137+Q137)/Q271,""),"")</f>
        <v>0.233013306773831</v>
      </c>
      <c r="R368" s="258">
        <f>IFERROR(IF(AND(COUNT(N137,O137,P137,Q137)=4,N(R271)&lt;&gt;0),(N137+O137+P137+Q137)/R271,""),"")</f>
        <v>0.233013306773831</v>
      </c>
      <c r="S368" s="257">
        <f>IFERROR(IF(AND(COUNT(O137,P137,Q137,S137)=4,N(S271)&lt;&gt;0),(O137+P137+Q137+S137)/S271,""),"")</f>
        <v>0.228465494030147</v>
      </c>
      <c r="T368" s="257">
        <f>IFERROR(IF(AND(COUNT(P137,Q137,S137,T137)=4,N(T271)&lt;&gt;0),(P137+Q137+S137+T137)/T271,""),"")</f>
        <v>0.229046399583315</v>
      </c>
      <c r="U368" s="257">
        <f>IFERROR(IF(AND(COUNT(Q137,S137,T137,U137)=4,N(U271)&lt;&gt;0),(Q137+S137+T137+U137)/U271,""),"")</f>
        <v>0.230761864226431</v>
      </c>
      <c r="V368" s="257">
        <f>IFERROR(IF(AND(COUNT(S137,T137,U137,V137)=4,N(V271)&lt;&gt;0),(S137+T137+U137+V137)/V271,""),"")</f>
        <v>0.226255825473367</v>
      </c>
      <c r="W368" s="258">
        <f>IFERROR(IF(AND(COUNT(S137,T137,U137,V137)=4,N(W271)&lt;&gt;0),(S137+T137+U137+V137)/W271,""),"")</f>
        <v>0.226255825473367</v>
      </c>
      <c r="X368" s="257">
        <f>IFERROR(IF(AND(COUNT(T137,U137,V137,X137)=4,N(X271)&lt;&gt;0),(T137+U137+V137+X137)/X271,""),"")</f>
        <v>0.158494810045606</v>
      </c>
      <c r="Y368" s="257">
        <f>IFERROR(IF(AND(COUNT(U137,V137,X137,Y137)=4,N(Y271)&lt;&gt;0),(U137+V137+X137+Y137)/Y271,""),"")</f>
        <v>0.14211862869581</v>
      </c>
      <c r="Z368" s="257">
        <f>IFERROR(IF(AND(COUNT(V137,X137,Y137,Z137)=4,N(Z271)&lt;&gt;0),(V137+X137+Y137+Z137)/Z271,""),"")</f>
        <v>0.137063807381169</v>
      </c>
      <c r="AA368" s="257">
        <f>IFERROR(IF(AND(COUNT(X137,Y137,Z137,AA137)=4,N(AA271)&lt;&gt;0),(X137+Y137+Z137+AA137)/AA271,""),"")</f>
        <v>0.140411926972152</v>
      </c>
      <c r="AB368" s="258">
        <f>IFERROR(IF(AND(COUNT(X137,Y137,Z137,AA137)=4,N(AB271)&lt;&gt;0),(X137+Y137+Z137+AA137)/AB271,""),"")</f>
        <v>0.140411926972152</v>
      </c>
      <c r="AC368" s="257">
        <f>IFERROR(IF(AND(COUNT(Y137,Z137,AA137,AC137)=4,N(AC271)&lt;&gt;0),(Y137+Z137+AA137+AC137)/AC271,""),"")</f>
        <v>0.210195019444893</v>
      </c>
      <c r="AD368" s="257">
        <f>IFERROR(IF(AND(COUNT(Z137,AA137,AC137,AD137)=4,N(AD271)&lt;&gt;0),(Z137+AA137+AC137+AD137)/AD271,""),"")</f>
        <v>0.203237135440525</v>
      </c>
      <c r="AE368" s="257">
        <f>IFERROR(IF(AND(COUNT(AA137,AC137,AD137,AE137)=4,N(AE271)&lt;&gt;0),(AA137+AC137+AD137+AE137)/AE271,""),"")</f>
        <v>0.166227212157296</v>
      </c>
      <c r="AF368" s="257">
        <f>IFERROR(IF(AND(COUNT(AB137,AD137,AE137,AF137)=4,N(AF271)&lt;&gt;0),(AB137+AD137+AE137+AF137)/AF271,""),"")</f>
        <v>0.198322484217979</v>
      </c>
      <c r="AG368" s="258">
        <f>IFERROR(IF(AND(COUNT(AC137,AD137,AE137,AF137)=4,N(AG271)&lt;&gt;0),(AC137+AD137+AE137+AF137)/AG271,""),"")</f>
        <v>0.118547070738854</v>
      </c>
      <c r="AH368" s="257">
        <f>IFERROR(IF(AND(COUNT(AD137,AF137,AG137,AH137)=4,N(AH271)&lt;&gt;0),(AD137+AF137+AG137+AH137)/AH271,""),"")</f>
        <v>0.206534433483037</v>
      </c>
      <c r="AI368" s="257">
        <f>IFERROR(IF(AND(COUNT(AE137,AG137,AH137,AI137)=4,N(AI271)&lt;&gt;0),(AE137+AG137+AH137+AI137)/AI271,""),"")</f>
        <v>0.246986757779686</v>
      </c>
      <c r="AJ368" s="257">
        <f>IFERROR(IF(AND(COUNT(AF137,AH137,AI137,AJ137)=4,N(AJ271)&lt;&gt;0),(AF137+AH137+AI137+AJ137)/AJ271,""),"")</f>
        <v>0.14433320503279</v>
      </c>
      <c r="AK368" s="257">
        <f>IFERROR(IF(AND(COUNT(AH137,AI137,AJ137,AK137)=4,N(AK271)&lt;&gt;0),(AH137+AI137+AJ137+AK137)/AK271,""),"")</f>
        <v>0.175072663667928</v>
      </c>
      <c r="AL368" s="258">
        <f>IFERROR(IF(AND(COUNT(AH137,AI137,AJ137,AK137)=4,N(AL271)&lt;&gt;0),(AH137+AI137+AJ137+AK137)/AL271,""),"")</f>
        <v>0.175072663667928</v>
      </c>
      <c r="AM368" s="257">
        <f>IFERROR(IF(AND(COUNT(AI137,AJ137,AK137,AM137)=4,N(AM271)&lt;&gt;0),(AI137+AJ137+AK137+AM137)/AM271,""),"")</f>
        <v>0.150277661677303</v>
      </c>
      <c r="AN368" s="257">
        <f>IFERROR(IF(AND(COUNT(AJ137,AK137,AM137,AN137)=4,N(AN271)&lt;&gt;0),(AJ137+AK137+AM137+AN137)/AN271,""),"")</f>
        <v>0.133717689478676</v>
      </c>
      <c r="AO368" s="257">
        <f>IFERROR(IF(AND(COUNT(AK137,AM137,AN137,AO137)=4,N(AO271)&lt;&gt;0),(AK137+AM137+AN137+AO137)/AO271,""),"")</f>
        <v>0.131702719301001</v>
      </c>
      <c r="AP368" s="257">
        <f>IFERROR(IF(AND(COUNT(AM137,AN137,AO137,AP137)=4,N(AP271)&lt;&gt;0),(AM137+AN137+AO137+AP137)/AP271,""),"")</f>
        <v>0.129823599421349</v>
      </c>
      <c r="AQ368" s="258">
        <f>IFERROR(IF(AND(COUNT(AM137,AN137,AO137,AP137)=4,N(AQ271)&lt;&gt;0),(AM137+AN137+AO137+AP137)/AQ271,""),"")</f>
        <v>0.129823599421349</v>
      </c>
      <c r="AR368" s="257">
        <f>IFERROR(IF(AND(COUNT(AN137,AO137,AP137,AR137)=4,N(AR271)&lt;&gt;0),(AN137+AO137+AP137+AR137)/AR271,""),"")</f>
        <v>0.127959751797448</v>
      </c>
      <c r="AS368" s="257">
        <f>IFERROR(IF(AND(COUNT(AO137,AP137,AR137,AS137)=4,N(AS271)&lt;&gt;0),(AO137+AP137+AR137+AS137)/AS271,""),"")</f>
        <v>0.126207698864385</v>
      </c>
      <c r="AT368" s="257">
        <f>IFERROR(IF(AND(COUNT(AP137,AR137,AS137,AT137)=4,N(AT271)&lt;&gt;0),(AP137+AR137+AS137+AT137)/AT271,""),"")</f>
        <v>0.124413268031027</v>
      </c>
      <c r="AU368" s="257">
        <f>IFERROR(IF(AND(COUNT(AR137,AS137,AT137,AU137)=4,N(AU271)&lt;&gt;0),(AR137+AS137+AT137+AU137)/AU271,""),"")</f>
        <v>0.122733164343727</v>
      </c>
      <c r="AV368" s="258">
        <f>IFERROR(IF(AND(COUNT(AR137,AS137,AT137,AU137)=4,N(AV271)&lt;&gt;0),(AR137+AS137+AT137+AU137)/AV271,""),"")</f>
        <v>0.122733164343727</v>
      </c>
      <c r="AW368" s="257">
        <f>IFERROR(IF(AND(COUNT(AS137,AT137,AU137,AW137)=4,N(AW271)&lt;&gt;0),(AS137+AT137+AU137+AW137)/AW271,""),"")</f>
        <v>0.121060043733012</v>
      </c>
      <c r="AX368" s="257">
        <f>IFERROR(IF(AND(COUNT(AT137,AU137,AW137,AX137)=4,N(AX271)&lt;&gt;0),(AT137+AU137+AW137+AX137)/AX271,""),"")</f>
        <v>0.119481448209694</v>
      </c>
      <c r="AY368" s="257">
        <f>IFERROR(IF(AND(COUNT(AU137,AW137,AX137,AY137)=4,N(AY271)&lt;&gt;0),(AU137+AW137+AX137+AY137)/AY271,""),"")</f>
        <v>0.117858781694593</v>
      </c>
      <c r="AZ368" s="257">
        <f>IFERROR(IF(AND(COUNT(AW137,AX137,AY137,AZ137)=4,N(AZ271)&lt;&gt;0),(AW137+AX137+AY137+AZ137)/AZ271,""),"")</f>
        <v>0.116334068223382</v>
      </c>
      <c r="BA368" s="258">
        <f>IFERROR(IF(AND(COUNT(AW137,AX137,AY137,AZ137)=4,N(BA271)&lt;&gt;0),(AW137+AX137+AY137+AZ137)/BA271,""),"")</f>
        <v>0.116334068223382</v>
      </c>
      <c r="BB368" s="257">
        <f>IFERROR(IF(AND(COUNT(AX137,AY137,AZ137,BB137)=4,N(BB271)&lt;&gt;0),(AX137+AY137+AZ137+BB137)/BB271,""),"")</f>
        <v>0.114811296641116</v>
      </c>
      <c r="BC368" s="257">
        <f>IFERROR(IF(AND(COUNT(AY137,AZ137,BB137,BC137)=4,N(BC271)&lt;&gt;0),(AY137+AZ137+BB137+BC137)/BC271,""),"")</f>
        <v>0.113369736317999</v>
      </c>
      <c r="BD368" s="257">
        <f>IFERROR(IF(AND(COUNT(AZ137,BB137,BC137,BD137)=4,N(BD271)&lt;&gt;0),(AZ137+BB137+BC137+BD137)/BD271,""),"")</f>
        <v>0.111883028811809</v>
      </c>
      <c r="BE368" s="257">
        <f>IFERROR(IF(AND(COUNT(BB137,BC137,BD137,BE137)=4,N(BE271)&lt;&gt;0),(BB137+BC137+BD137+BE137)/BE271,""),"")</f>
        <v>0.110481516481619</v>
      </c>
      <c r="BF368" s="258">
        <f>IFERROR(IF(AND(COUNT(BB137,BC137,BD137,BE137)=4,N(BF271)&lt;&gt;0),(BB137+BC137+BD137+BE137)/BF271,""),"")</f>
        <v>0.110481516481619</v>
      </c>
      <c r="BG368" s="81" t="n"/>
      <c r="BH368" s="81" t="n"/>
      <c r="BI368" s="81" t="n"/>
      <c r="BJ368" s="81" t="n"/>
      <c r="BL368" s="81" t="n"/>
      <c r="BM368" s="81" t="n"/>
      <c r="BN368" s="81" t="n"/>
      <c r="BO368" s="81" t="n"/>
      <c r="BQ368" s="81" t="n"/>
      <c r="BR368" s="81" t="n"/>
      <c r="BS368" s="81" t="n"/>
      <c r="BT368" s="81" t="n"/>
      <c r="BV368" s="81" t="n"/>
      <c r="BW368" s="81" t="n"/>
      <c r="BX368" s="81" t="n"/>
      <c r="BY368" s="81" t="n"/>
      <c r="CA368" s="81" t="n"/>
      <c r="CB368" s="81" t="n"/>
      <c r="CC368" s="81" t="n"/>
      <c r="CD368" s="81" t="n"/>
      <c r="CF368" s="81" t="n"/>
      <c r="CG368" s="81" t="n"/>
      <c r="CH368" s="81" t="n"/>
      <c r="CI368" s="81" t="n"/>
      <c r="CK368" s="81" t="n"/>
      <c r="CL368" s="81" t="n"/>
      <c r="CM368" s="81" t="n"/>
      <c r="CN368" s="81" t="n"/>
      <c r="CP368" s="81" t="n"/>
      <c r="CQ368" s="81" t="n"/>
      <c r="CR368" s="81" t="n"/>
      <c r="CS368" s="81" t="n"/>
      <c r="CU368" s="81" t="n"/>
      <c r="CV368" s="81" t="n"/>
      <c r="CW368" s="81" t="n"/>
      <c r="CX368" s="81" t="n"/>
    </row>
    <row r="369"/>
    <row r="370">
      <c r="C370" s="73" t="inlineStr">
        <is>
          <t>Scenario Analysis</t>
        </is>
      </c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  <c r="AM370" s="73" t="n"/>
      <c r="AN370" s="73" t="n"/>
      <c r="AO370" s="73" t="n"/>
      <c r="AP370" s="73" t="n"/>
      <c r="AQ370" s="73" t="n"/>
      <c r="AR370" s="73" t="n"/>
      <c r="AS370" s="73" t="n"/>
      <c r="AT370" s="73" t="n"/>
      <c r="AU370" s="73" t="n"/>
      <c r="AV370" s="73" t="n"/>
      <c r="AW370" s="73" t="n"/>
      <c r="AX370" s="73" t="n"/>
      <c r="AY370" s="73" t="n"/>
      <c r="AZ370" s="73" t="n"/>
      <c r="BA370" s="73" t="n"/>
      <c r="BB370" s="73" t="n"/>
      <c r="BC370" s="73" t="n"/>
      <c r="BD370" s="73" t="n"/>
      <c r="BE370" s="73" t="n"/>
      <c r="BF370" s="73" t="n"/>
      <c r="BG370" s="73" t="n"/>
      <c r="BH370" s="73" t="n"/>
      <c r="BI370" s="73" t="n"/>
      <c r="BJ370" s="73" t="n"/>
      <c r="BK370" s="73" t="n"/>
      <c r="BL370" s="73" t="n"/>
      <c r="BM370" s="73" t="n"/>
      <c r="BN370" s="73" t="n"/>
      <c r="BO370" s="73" t="n"/>
      <c r="BP370" s="73" t="n"/>
      <c r="BQ370" s="73" t="n"/>
      <c r="BR370" s="73" t="n"/>
      <c r="BS370" s="73" t="n"/>
      <c r="BT370" s="73" t="n"/>
      <c r="BU370" s="73" t="n"/>
      <c r="BV370" s="73" t="n"/>
      <c r="BW370" s="73" t="n"/>
      <c r="BX370" s="73" t="n"/>
      <c r="BY370" s="73" t="n"/>
      <c r="BZ370" s="73" t="n"/>
      <c r="CA370" s="73" t="n"/>
      <c r="CB370" s="73" t="n"/>
      <c r="CC370" s="73" t="n"/>
      <c r="CD370" s="73" t="n"/>
      <c r="CE370" s="73" t="n"/>
      <c r="CF370" s="73" t="n"/>
      <c r="CG370" s="73" t="n"/>
      <c r="CH370" s="73" t="n"/>
      <c r="CI370" s="73" t="n"/>
      <c r="CJ370" s="73" t="n"/>
      <c r="CK370" s="73" t="n"/>
      <c r="CL370" s="73" t="n"/>
      <c r="CM370" s="73" t="n"/>
      <c r="CN370" s="73" t="n"/>
      <c r="CO370" s="73" t="n"/>
      <c r="CP370" s="73" t="n"/>
      <c r="CQ370" s="73" t="n"/>
      <c r="CR370" s="73" t="n"/>
      <c r="CS370" s="73" t="n"/>
      <c r="CT370" s="73" t="n"/>
      <c r="CU370" s="73" t="n"/>
      <c r="CV370" s="73" t="n"/>
      <c r="CW370" s="73" t="n"/>
      <c r="CX370" s="73" t="n"/>
      <c r="CY370" s="73" t="n"/>
    </row>
    <row r="371"/>
    <row r="372"/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  <row r="376"/>
    <row r="377"/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  <row r="381"/>
    <row r="382"/>
    <row r="383">
      <c r="C383" s="4" t="inlineStr">
        <is>
          <t>% Gross Margin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  <row r="387"/>
    <row r="388"/>
    <row r="389">
      <c r="C389" s="4" t="inlineStr">
        <is>
          <t>Capital expenditures</t>
        </is>
      </c>
    </row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15:G315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15:L315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15:Q315">
    <cfRule type="cellIs" priority="22" operator="notEqual" dxfId="0">
      <formula>0</formula>
    </cfRule>
  </conditionalFormatting>
  <conditionalFormatting sqref="S315:V315">
    <cfRule type="cellIs" priority="21" operator="notEqual" dxfId="0">
      <formula>0</formula>
    </cfRule>
  </conditionalFormatting>
  <conditionalFormatting sqref="X315:AA315">
    <cfRule type="cellIs" priority="20" operator="notEqual" dxfId="0">
      <formula>0</formula>
    </cfRule>
  </conditionalFormatting>
  <conditionalFormatting sqref="AC315:AF315">
    <cfRule type="cellIs" priority="19" operator="notEqual" dxfId="0">
      <formula>0</formula>
    </cfRule>
  </conditionalFormatting>
  <conditionalFormatting sqref="AH315:AK315">
    <cfRule type="cellIs" priority="15" operator="notEqual" dxfId="0">
      <formula>0</formula>
    </cfRule>
  </conditionalFormatting>
  <conditionalFormatting sqref="AM315:AP315">
    <cfRule type="cellIs" priority="14" operator="notEqual" dxfId="0">
      <formula>0</formula>
    </cfRule>
  </conditionalFormatting>
  <conditionalFormatting sqref="AR315:AU315">
    <cfRule type="cellIs" priority="13" operator="notEqual" dxfId="0">
      <formula>0</formula>
    </cfRule>
  </conditionalFormatting>
  <conditionalFormatting sqref="AW315:AZ315">
    <cfRule type="cellIs" priority="12" operator="notEqual" dxfId="0">
      <formula>0</formula>
    </cfRule>
  </conditionalFormatting>
  <conditionalFormatting sqref="BB315:BE315">
    <cfRule type="cellIs" priority="11" operator="notEqual" dxfId="0">
      <formula>0</formula>
    </cfRule>
  </conditionalFormatting>
  <conditionalFormatting sqref="BG315:BJ315">
    <cfRule type="cellIs" priority="10" operator="notEqual" dxfId="0">
      <formula>0</formula>
    </cfRule>
  </conditionalFormatting>
  <conditionalFormatting sqref="BL315:BO315">
    <cfRule type="cellIs" priority="9" operator="notEqual" dxfId="0">
      <formula>0</formula>
    </cfRule>
  </conditionalFormatting>
  <conditionalFormatting sqref="BQ315:BT315">
    <cfRule type="cellIs" priority="8" operator="notEqual" dxfId="0">
      <formula>0</formula>
    </cfRule>
  </conditionalFormatting>
  <conditionalFormatting sqref="BV315:BY315">
    <cfRule type="cellIs" priority="7" operator="notEqual" dxfId="0">
      <formula>0</formula>
    </cfRule>
  </conditionalFormatting>
  <conditionalFormatting sqref="CA315:CD315">
    <cfRule type="cellIs" priority="6" operator="notEqual" dxfId="0">
      <formula>0</formula>
    </cfRule>
  </conditionalFormatting>
  <conditionalFormatting sqref="CF315:CI315">
    <cfRule type="cellIs" priority="5" operator="notEqual" dxfId="0">
      <formula>0</formula>
    </cfRule>
  </conditionalFormatting>
  <conditionalFormatting sqref="CK315:CN315">
    <cfRule type="cellIs" priority="4" operator="notEqual" dxfId="0">
      <formula>0</formula>
    </cfRule>
  </conditionalFormatting>
  <conditionalFormatting sqref="CP315:CS315">
    <cfRule type="cellIs" priority="3" operator="notEqual" dxfId="0">
      <formula>0</formula>
    </cfRule>
  </conditionalFormatting>
  <conditionalFormatting sqref="CU315:CX315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UNH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371622</v>
      </c>
      <c r="E18" s="113">
        <f>IFERROR(Model!AB15,"")</f>
        <v>400278</v>
      </c>
      <c r="F18" s="113">
        <f>IFERROR(Model!AG15,"")</f>
        <v>447567</v>
      </c>
      <c r="G18" s="113">
        <f>IFERROR(Model!AL15,"")</f>
        <v>468838.325198698</v>
      </c>
      <c r="H18" s="113">
        <f>IFERROR(Model!AQ15,"")</f>
        <v>507586.464099267</v>
      </c>
      <c r="I18" s="113">
        <f>IFERROR(Model!AV15,"")</f>
        <v>546999.092895189</v>
      </c>
      <c r="J18" s="113">
        <f>IFERROR(Model!BA15,"")</f>
        <v>586737.00347686</v>
      </c>
      <c r="K18" s="113">
        <f>IFERROR(Model!BF15,"")</f>
        <v>626428.07393341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0.0771106123964673</v>
      </c>
      <c r="F19" s="117">
        <f>IFERROR(IF(E18=0,"",F18/E18-1),"")</f>
        <v>0.118140392427263</v>
      </c>
      <c r="G19" s="117">
        <f>IFERROR(IF(F18=0,"",G18/F18-1),"")</f>
        <v>0.0475265718846514</v>
      </c>
      <c r="H19" s="117">
        <f>IFERROR(IF(G18=0,"",H18/G18-1),"")</f>
        <v>0.0826471233642165</v>
      </c>
      <c r="I19" s="117">
        <f>IFERROR(IF(H18=0,"",I18/H18-1),"")</f>
        <v>0.0776471233642162</v>
      </c>
      <c r="J19" s="117">
        <f>IFERROR(IF(I18=0,"",J18/I18-1),"")</f>
        <v>0.0726471233642161</v>
      </c>
      <c r="K19" s="117">
        <f>IFERROR(IF(J18=0,"",K18/J18-1),"")</f>
        <v>0.0676471233642162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IFERROR(Model!W69,"")</f>
        <v>36330</v>
      </c>
      <c r="E20" s="113">
        <f>IFERROR(Model!AB69,"")</f>
        <v>36386</v>
      </c>
      <c r="F20" s="113">
        <f>IFERROR(Model!AG69,"")</f>
        <v>23325</v>
      </c>
      <c r="G20" s="113">
        <f>IFERROR(Model!AL69,"")</f>
        <v>34576.6548727245</v>
      </c>
      <c r="H20" s="113">
        <f>IFERROR(Model!AQ69,"")</f>
        <v>32156.6370395552</v>
      </c>
      <c r="I20" s="113">
        <f>IFERROR(Model!AV69,"")</f>
        <v>34653.5074027439</v>
      </c>
      <c r="J20" s="113">
        <f>IFERROR(Model!BA69,"")</f>
        <v>37170.9850300338</v>
      </c>
      <c r="K20" s="113">
        <f>IFERROR(Model!BF69,"")</f>
        <v>39685.49523993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0.0977606277346336</v>
      </c>
      <c r="E21" s="122">
        <f>IFERROR(IF(E18=0,"",E20/E18),"")</f>
        <v>0.0909018232328532</v>
      </c>
      <c r="F21" s="122">
        <f>IFERROR(IF(F18=0,"",F20/F18),"")</f>
        <v>0.0521151023198761</v>
      </c>
      <c r="G21" s="122">
        <f>IFERROR(IF(G18=0,"",G20/G18),"")</f>
        <v>0.0737496339661878</v>
      </c>
      <c r="H21" s="122">
        <f>IFERROR(IF(H18=0,"",H20/H18),"")</f>
        <v>0.0633520381529844</v>
      </c>
      <c r="I21" s="122">
        <f>IFERROR(IF(I18=0,"",I20/I18),"")</f>
        <v>0.0633520381529844</v>
      </c>
      <c r="J21" s="122">
        <f>IFERROR(IF(J18=0,"",J20/J18),"")</f>
        <v>0.0633520381529844</v>
      </c>
      <c r="K21" s="122">
        <f>IFERROR(IF(K18=0,"",K20/K18),"")</f>
        <v>0.0633520381529844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IFERROR(Model!W73,"")</f>
        <v>32358</v>
      </c>
      <c r="E22" s="113">
        <f>IFERROR(Model!AB73,"")</f>
        <v>32287</v>
      </c>
      <c r="F22" s="113">
        <f>IFERROR(Model!AG73,"")</f>
        <v>18964</v>
      </c>
      <c r="G22" s="113">
        <f>IFERROR(Model!AL73,"")</f>
        <v>30160.2990678391</v>
      </c>
      <c r="H22" s="113">
        <f>IFERROR(Model!AQ73,"")</f>
        <v>27295.1218426796</v>
      </c>
      <c r="I22" s="113">
        <f>IFERROR(Model!AV73,"")</f>
        <v>29414.5095356395</v>
      </c>
      <c r="J22" s="113">
        <f>IFERROR(Model!BA73,"")</f>
        <v>31551.389038573</v>
      </c>
      <c r="K22" s="113">
        <f>IFERROR(Model!BF73,"")</f>
        <v>33685.7497451778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0.0870723477081551</v>
      </c>
      <c r="E23" s="122">
        <f>IFERROR(IF(E18=0,"",E22/E18),"")</f>
        <v>0.0806614402989922</v>
      </c>
      <c r="F23" s="122">
        <f>IFERROR(IF(F18=0,"",F22/F18),"")</f>
        <v>0.0423713097703808</v>
      </c>
      <c r="G23" s="122">
        <f>IFERROR(IF(G18=0,"",G22/G18),"")</f>
        <v>0.0643298498582788</v>
      </c>
      <c r="H23" s="122">
        <f>IFERROR(IF(H18=0,"",H22/H18),"")</f>
        <v>0.0537743296427653</v>
      </c>
      <c r="I23" s="122">
        <f>IFERROR(IF(I18=0,"",I22/I18),"")</f>
        <v>0.0537743296427653</v>
      </c>
      <c r="J23" s="122">
        <f>IFERROR(IF(J18=0,"",J22/J18),"")</f>
        <v>0.0537743296427653</v>
      </c>
      <c r="K23" s="122">
        <f>IFERROR(IF(K18=0,"",K22/K18),"")</f>
        <v>0.0537743296427653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IFERROR(Model!W132,"")</f>
        <v>0.205001374003847</v>
      </c>
      <c r="E24" s="125">
        <f>IFERROR(Model!AB132,"")</f>
        <v>0.240595884609636</v>
      </c>
      <c r="F24" s="125">
        <f>IFERROR(Model!AG132,"")</f>
        <v>0.128597672994489</v>
      </c>
      <c r="G24" s="125">
        <f>IFERROR(Model!AL132,"")</f>
        <v>0.271385860839072</v>
      </c>
      <c r="H24" s="125">
        <f>IFERROR(Model!AQ132,"")</f>
        <v>0.368981575761662</v>
      </c>
      <c r="I24" s="125">
        <f>IFERROR(Model!AV132,"")</f>
        <v>0.368981575761662</v>
      </c>
      <c r="J24" s="125">
        <f>IFERROR(Model!BA132,"")</f>
        <v>0.368981575761662</v>
      </c>
      <c r="K24" s="125">
        <f>IFERROR(Model!BF132,"")</f>
        <v>0.368981575761662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25724.5655399835</v>
      </c>
      <c r="E25" s="127">
        <f>IFERROR(E22*(1-E24),"")</f>
        <v>24518.8806736087</v>
      </c>
      <c r="F25" s="127">
        <f>IFERROR(F22*(1-F24),"")</f>
        <v>16525.2737293325</v>
      </c>
      <c r="G25" s="127">
        <f>IFERROR(G22*(1-G24),"")</f>
        <v>21975.2203421497</v>
      </c>
      <c r="H25" s="127">
        <f>IFERROR(H22*(1-H24),"")</f>
        <v>17223.7247745611</v>
      </c>
      <c r="I25" s="127">
        <f>IFERROR(I22*(1-I24),"")</f>
        <v>18561.0974569228</v>
      </c>
      <c r="J25" s="127">
        <f>IFERROR(J22*(1-J24),"")</f>
        <v>19909.5077936511</v>
      </c>
      <c r="K25" s="127">
        <f>IFERROR(K22*(1-K24),"")</f>
        <v>21256.3287234891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IFERROR(-Model!W70,"")</f>
        <v>3972</v>
      </c>
      <c r="E26" s="130">
        <f>IFERROR(-Model!AB70,"")</f>
        <v>4099</v>
      </c>
      <c r="F26" s="130">
        <f>IFERROR(-Model!AG70,"")</f>
        <v>4361</v>
      </c>
      <c r="G26" s="130">
        <f>IFERROR(-Model!AL70,"")</f>
        <v>4416.35580488539</v>
      </c>
      <c r="H26" s="130">
        <f>IFERROR(-Model!AQ70,"")</f>
        <v>4861.51519687557</v>
      </c>
      <c r="I26" s="130">
        <f>IFERROR(-Model!AV70,"")</f>
        <v>5238.99786710438</v>
      </c>
      <c r="J26" s="130">
        <f>IFERROR(-Model!BA70,"")</f>
        <v>5619.59599146078</v>
      </c>
      <c r="K26" s="130">
        <f>IFERROR(-Model!BF70,"")</f>
        <v>5999.74549475218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IFERROR(Model!W279,"")</f>
        <v>1254</v>
      </c>
      <c r="E27" s="133">
        <f>IFERROR(Model!AB279,"")</f>
        <v>-2814</v>
      </c>
      <c r="F27" s="133">
        <f>IFERROR(Model!AG279,"")</f>
        <v>2610</v>
      </c>
      <c r="G27" s="133">
        <f>IFERROR(Model!AL279,"")</f>
        <v>1977.25724517896</v>
      </c>
      <c r="H27" s="133">
        <f>IFERROR(Model!AQ279,"")</f>
        <v>1124.84860956102</v>
      </c>
      <c r="I27" s="133">
        <f>IFERROR(Model!AV279,"")</f>
        <v>1144.13858208778</v>
      </c>
      <c r="J27" s="133">
        <f>IFERROR(Model!BA279,"")</f>
        <v>1153.58142953277</v>
      </c>
      <c r="K27" s="133">
        <f>IFERROR(Model!BF279,"")</f>
        <v>1152.22167262289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IFERROR(Model!W280,"")</f>
        <v>-3595</v>
      </c>
      <c r="E28" s="136">
        <f>IFERROR(Model!AB280,"")</f>
        <v>-1089</v>
      </c>
      <c r="F28" s="136">
        <f>IFERROR(Model!AG280,"")</f>
        <v>-653</v>
      </c>
      <c r="G28" s="136">
        <f>IFERROR(Model!AL280,"")</f>
        <v>-3158.4124244576</v>
      </c>
      <c r="H28" s="136">
        <f>IFERROR(Model!AQ280,"")</f>
        <v>-2163.40518687675</v>
      </c>
      <c r="I28" s="136">
        <f>IFERROR(Model!AV280,"")</f>
        <v>-2200.50531418667</v>
      </c>
      <c r="J28" s="136">
        <f>IFERROR(Model!BA280,"")</f>
        <v>-2218.66660715333</v>
      </c>
      <c r="K28" s="136">
        <f>IFERROR(Model!BF280,"")</f>
        <v>-2216.05140620389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IFERROR(Model!W281,"")</f>
        <v>0</v>
      </c>
      <c r="E29" s="136">
        <f>IFERROR(Model!AB281,"")</f>
        <v>0</v>
      </c>
      <c r="F29" s="136">
        <f>IFERROR(Model!AG281,"")</f>
        <v>0</v>
      </c>
      <c r="G29" s="136">
        <f>IFERROR(Model!AL281,"")</f>
        <v>0</v>
      </c>
      <c r="H29" s="136">
        <f>IFERROR(Model!AQ281,"")</f>
        <v>0</v>
      </c>
      <c r="I29" s="136">
        <f>IFERROR(Model!AV281,"")</f>
        <v>0</v>
      </c>
      <c r="J29" s="136">
        <f>IFERROR(Model!BA281,"")</f>
        <v>0</v>
      </c>
      <c r="K29" s="136">
        <f>IFERROR(Model!BF281,"")</f>
        <v>0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IFERROR(Model!W282,"")</f>
        <v>0</v>
      </c>
      <c r="E30" s="136">
        <f>IFERROR(Model!AB282,"")</f>
        <v>0</v>
      </c>
      <c r="F30" s="136">
        <f>IFERROR(Model!AG282,"")</f>
        <v>0</v>
      </c>
      <c r="G30" s="136">
        <f>IFERROR(Model!AL282,"")</f>
        <v>0</v>
      </c>
      <c r="H30" s="136">
        <f>IFERROR(Model!AQ282,"")</f>
        <v>0</v>
      </c>
      <c r="I30" s="136">
        <f>IFERROR(Model!AV282,"")</f>
        <v>0</v>
      </c>
      <c r="J30" s="136">
        <f>IFERROR(Model!BA282,"")</f>
        <v>0</v>
      </c>
      <c r="K30" s="136">
        <f>IFERROR(Model!BF282,"")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IFERROR(Model!W283,"")</f>
        <v>0</v>
      </c>
      <c r="E31" s="136">
        <f>IFERROR(Model!AB283,"")</f>
        <v>0</v>
      </c>
      <c r="F31" s="136">
        <f>IFERROR(Model!AG283,"")</f>
        <v>0</v>
      </c>
      <c r="G31" s="136">
        <f>IFERROR(Model!AL283,"")</f>
        <v>0</v>
      </c>
      <c r="H31" s="136">
        <f>IFERROR(Model!AQ283,"")</f>
        <v>0</v>
      </c>
      <c r="I31" s="136">
        <f>IFERROR(Model!AV283,"")</f>
        <v>0</v>
      </c>
      <c r="J31" s="136">
        <f>IFERROR(Model!BA283,"")</f>
        <v>0</v>
      </c>
      <c r="K31" s="136">
        <f>IFERROR(Model!BF283,"")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IFERROR(Model!W284,"")</f>
        <v>-4056</v>
      </c>
      <c r="E32" s="136">
        <f>IFERROR(Model!AB284,"")</f>
        <v>-6768</v>
      </c>
      <c r="F32" s="136">
        <f>IFERROR(Model!AG284,"")</f>
        <v>-5142</v>
      </c>
      <c r="G32" s="136">
        <f>IFERROR(Model!AL284,"")</f>
        <v>5624</v>
      </c>
      <c r="H32" s="136">
        <f>IFERROR(Model!AQ284,"")</f>
        <v>0</v>
      </c>
      <c r="I32" s="136">
        <f>IFERROR(Model!AV284,"")</f>
        <v>0</v>
      </c>
      <c r="J32" s="136">
        <f>IFERROR(Model!BA284,"")</f>
        <v>0</v>
      </c>
      <c r="K32" s="136">
        <f>IFERROR(Model!BF284,"")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IFERROR(Model!W285,"")</f>
        <v>4243</v>
      </c>
      <c r="E33" s="136">
        <f>IFERROR(Model!AB285,"")</f>
        <v>2379</v>
      </c>
      <c r="F33" s="136">
        <f>IFERROR(Model!AG285,"")</f>
        <v>3695</v>
      </c>
      <c r="G33" s="136">
        <f>IFERROR(Model!AL285,"")</f>
        <v>1754.66966963656</v>
      </c>
      <c r="H33" s="136">
        <f>IFERROR(Model!AQ285,"")</f>
        <v>3288.25379643778</v>
      </c>
      <c r="I33" s="136">
        <f>IFERROR(Model!AV285,"")</f>
        <v>3344.64389627445</v>
      </c>
      <c r="J33" s="136">
        <f>IFERROR(Model!BA285,"")</f>
        <v>3372.2480366861</v>
      </c>
      <c r="K33" s="136">
        <f>IFERROR(Model!BF285,"")</f>
        <v>3368.27307882678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IFERROR(Model!W286,"")</f>
        <v>0</v>
      </c>
      <c r="E34" s="136">
        <f>IFERROR(Model!AB286,"")</f>
        <v>0</v>
      </c>
      <c r="F34" s="136">
        <f>IFERROR(Model!AG286,"")</f>
        <v>0</v>
      </c>
      <c r="G34" s="136">
        <f>IFERROR(Model!AL286,"")</f>
        <v>0</v>
      </c>
      <c r="H34" s="136">
        <f>IFERROR(Model!AQ286,"")</f>
        <v>0</v>
      </c>
      <c r="I34" s="136">
        <f>IFERROR(Model!AV286,"")</f>
        <v>0</v>
      </c>
      <c r="J34" s="136">
        <f>IFERROR(Model!BA286,"")</f>
        <v>0</v>
      </c>
      <c r="K34" s="136">
        <f>IFERROR(Model!BF286,"")</f>
        <v>0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IFERROR(Model!W287,"")</f>
        <v>0</v>
      </c>
      <c r="E35" s="136">
        <f>IFERROR(Model!AB287,"")</f>
        <v>0</v>
      </c>
      <c r="F35" s="136">
        <f>IFERROR(Model!AG287,"")</f>
        <v>0</v>
      </c>
      <c r="G35" s="136">
        <f>IFERROR(Model!AL287,"")</f>
        <v>0</v>
      </c>
      <c r="H35" s="136">
        <f>IFERROR(Model!AQ287,"")</f>
        <v>0</v>
      </c>
      <c r="I35" s="136">
        <f>IFERROR(Model!AV287,"")</f>
        <v>0</v>
      </c>
      <c r="J35" s="136">
        <f>IFERROR(Model!BA287,"")</f>
        <v>0</v>
      </c>
      <c r="K35" s="136">
        <f>IFERROR(Model!BF287,"")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IFERROR(Model!W288,"")</f>
        <v>4410</v>
      </c>
      <c r="E36" s="136">
        <f>IFERROR(Model!AB288,"")</f>
        <v>2065</v>
      </c>
      <c r="F36" s="136">
        <f>IFERROR(Model!AG288,"")</f>
        <v>5909</v>
      </c>
      <c r="G36" s="136">
        <f>IFERROR(Model!AL288,"")</f>
        <v>-2544</v>
      </c>
      <c r="H36" s="136">
        <f>IFERROR(Model!AQ288,"")</f>
        <v>0</v>
      </c>
      <c r="I36" s="136">
        <f>IFERROR(Model!AV288,"")</f>
        <v>0</v>
      </c>
      <c r="J36" s="136">
        <f>IFERROR(Model!BA288,"")</f>
        <v>0</v>
      </c>
      <c r="K36" s="136">
        <f>IFERROR(Model!BF288,"")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IFERROR(Model!W289,"")</f>
        <v>252</v>
      </c>
      <c r="E37" s="136">
        <f>IFERROR(Model!AB289,"")</f>
        <v>599</v>
      </c>
      <c r="F37" s="136">
        <f>IFERROR(Model!AG289,"")</f>
        <v>-1199</v>
      </c>
      <c r="G37" s="136">
        <f>IFERROR(Model!AL289,"")</f>
        <v>301</v>
      </c>
      <c r="H37" s="136">
        <f>IFERROR(Model!AQ289,"")</f>
        <v>0</v>
      </c>
      <c r="I37" s="136">
        <f>IFERROR(Model!AV289,"")</f>
        <v>0</v>
      </c>
      <c r="J37" s="136">
        <f>IFERROR(Model!BA289,"")</f>
        <v>0</v>
      </c>
      <c r="K37" s="136">
        <f>IFERROR(Model!BF289,"")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IFERROR((Model!W189-Model!R189)*-1,"")</f>
        <v>-6152</v>
      </c>
      <c r="E38" s="136">
        <f>IFERROR((Model!AB189-Model!W189)*-1,"")</f>
        <v>-7037</v>
      </c>
      <c r="F38" s="136">
        <f>IFERROR((Model!AG189-Model!AB189)*-1,"")</f>
        <v>-5320</v>
      </c>
      <c r="G38" s="136">
        <f>IFERROR((Model!AL189-Model!AG189)*-1,"")</f>
        <v>-4447</v>
      </c>
      <c r="H38" s="136">
        <f>IFERROR((Model!AQ189-Model!AL189)*-1,"")</f>
        <v>0</v>
      </c>
      <c r="I38" s="136">
        <f>IFERROR((Model!AV189-Model!AQ189)*-1,"")</f>
        <v>0</v>
      </c>
      <c r="J38" s="136">
        <f>IFERROR((Model!BA189-Model!AV189)*-1,"")</f>
        <v>0</v>
      </c>
      <c r="K38" s="136">
        <f>IFERROR((Model!BF189-Model!BA189)*-1,"")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IFERROR(Model!W240-Model!R240,"")</f>
        <v>1624</v>
      </c>
      <c r="E39" s="136">
        <f>IFERROR(Model!AB240-Model!W240,"")</f>
        <v>1476</v>
      </c>
      <c r="F39" s="136">
        <f>IFERROR(Model!AG240-Model!AB240,"")</f>
        <v>2306</v>
      </c>
      <c r="G39" s="136">
        <f>IFERROR(Model!AL240-Model!AG240,"")</f>
        <v>1490</v>
      </c>
      <c r="H39" s="136">
        <f>IFERROR(Model!AQ240-Model!AL240,"")</f>
        <v>0</v>
      </c>
      <c r="I39" s="136">
        <f>IFERROR(Model!AV240-Model!AQ240,"")</f>
        <v>0</v>
      </c>
      <c r="J39" s="136">
        <f>IFERROR(Model!BA240-Model!AV240,"")</f>
        <v>0</v>
      </c>
      <c r="K39" s="136">
        <f>IFERROR(Model!BF240-Model!BA240,"")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IFERROR(Model!W295,"")</f>
        <v>-5294</v>
      </c>
      <c r="E40" s="136">
        <f>IFERROR(Model!AB295,"")</f>
        <v>-3202</v>
      </c>
      <c r="F40" s="136">
        <f>IFERROR(Model!AG295,"")</f>
        <v>-4570</v>
      </c>
      <c r="G40" s="136">
        <f>IFERROR(Model!AL295,"")</f>
        <v>-4492.76433592647</v>
      </c>
      <c r="H40" s="136">
        <f>IFERROR(Model!AQ295,"")</f>
        <v>-5019.76186491544</v>
      </c>
      <c r="I40" s="136">
        <f>IFERROR(Model!AV295,"")</f>
        <v>-5409.53193369952</v>
      </c>
      <c r="J40" s="136">
        <f>IFERROR(Model!BA295,"")</f>
        <v>-5802.51886742966</v>
      </c>
      <c r="K40" s="136">
        <f>IFERROR(Model!BF295,"")</f>
        <v>-6195.04257707786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-68</v>
      </c>
      <c r="E44" s="133">
        <f>IFERROR(SUM(E27,E40:E42,E26),"")</f>
        <v>-1917</v>
      </c>
      <c r="F44" s="133">
        <f>IFERROR(SUM(F27,F40:F42,F26),"")</f>
        <v>2401</v>
      </c>
      <c r="G44" s="133">
        <f>IFERROR(SUM(G27,G40:G42,G26),"")</f>
        <v>1900.84871413788</v>
      </c>
      <c r="H44" s="133">
        <f>IFERROR(SUM(H27,H40:H42,H26),"")</f>
        <v>966.601941521156</v>
      </c>
      <c r="I44" s="133">
        <f>IFERROR(SUM(I27,I40:I42,I26),"")</f>
        <v>973.604515492644</v>
      </c>
      <c r="J44" s="133">
        <f>IFERROR(SUM(J27,J40:J42,J26),"")</f>
        <v>970.658553563899</v>
      </c>
      <c r="K44" s="133">
        <f>IFERROR(SUM(K27,K40:K42,K26),"")</f>
        <v>956.924590297217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IFERROR(Model!W350,"")</f>
        <v>134849</v>
      </c>
      <c r="E46" s="136">
        <f>IFERROR(Model!AB350,"")</f>
        <v>154002</v>
      </c>
      <c r="F46" s="136">
        <f>IFERROR(Model!AG350,"")</f>
        <v>154387</v>
      </c>
      <c r="G46" s="136">
        <f>IFERROR(Model!AL350,"")</f>
        <v>155165.151285862</v>
      </c>
      <c r="H46" s="136">
        <f>IFERROR(Model!AQ350,"")</f>
        <v>154198.549344341</v>
      </c>
      <c r="I46" s="136">
        <f>IFERROR(Model!AV350,"")</f>
        <v>153224.944828848</v>
      </c>
      <c r="J46" s="136">
        <f>IFERROR(Model!BA350,"")</f>
        <v>152254.286275284</v>
      </c>
      <c r="K46" s="136">
        <f>IFERROR(Model!BF350,"")</f>
        <v>151297.361684987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IFERROR(Model!W351,"")</f>
        <v>31117</v>
      </c>
      <c r="E47" s="136">
        <f>IFERROR(Model!AB351,"")</f>
        <v>47268</v>
      </c>
      <c r="F47" s="136">
        <f>IFERROR(Model!AG351,"")</f>
        <v>43888</v>
      </c>
      <c r="G47" s="136">
        <f>IFERROR(Model!AL351,"")</f>
        <v>44520.1512858621</v>
      </c>
      <c r="H47" s="136">
        <f>IFERROR(Model!AQ351,"")</f>
        <v>43553.549344341</v>
      </c>
      <c r="I47" s="136">
        <f>IFERROR(Model!AV351,"")</f>
        <v>42579.9448288483</v>
      </c>
      <c r="J47" s="136">
        <f>IFERROR(Model!BA351,"")</f>
        <v>41609.2862752844</v>
      </c>
      <c r="K47" s="136">
        <f>IFERROR(Model!BF351,"")</f>
        <v>40652.3616849872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0.362866030536405</v>
      </c>
      <c r="E48" s="122">
        <f>IFERROR(IF(E18=0,"",E46/E18),"")</f>
        <v>0.384737607362883</v>
      </c>
      <c r="F48" s="122">
        <f>IFERROR(IF(F18=0,"",F46/F18),"")</f>
        <v>0.344947236949999</v>
      </c>
      <c r="G48" s="122">
        <f>IFERROR(IF(G18=0,"",G46/G18),"")</f>
        <v>0.330956628215285</v>
      </c>
      <c r="H48" s="122">
        <f>IFERROR(IF(H18=0,"",H46/H18),"")</f>
        <v>0.303787748985727</v>
      </c>
      <c r="I48" s="122">
        <f>IFERROR(IF(I18=0,"",I46/I18),"")</f>
        <v>0.280119193649573</v>
      </c>
      <c r="J48" s="122">
        <f>IFERROR(IF(J18=0,"",J46/J18),"")</f>
        <v>0.259493240366745</v>
      </c>
      <c r="K48" s="122">
        <f>IFERROR(IF(K18=0,"",K46/K18),"")</f>
        <v>0.241523916281361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0.190765712315134</v>
      </c>
      <c r="E50" s="150">
        <f>IFERROR(IF(E46=0,"",E25/E46),"")</f>
        <v>0.159211443186509</v>
      </c>
      <c r="F50" s="150">
        <f>IFERROR(IF(F46=0,"",F25/F46),"")</f>
        <v>0.107037987196671</v>
      </c>
      <c r="G50" s="150">
        <f>IFERROR(IF(G46=0,"",G25/G46),"")</f>
        <v>0.141624715086087</v>
      </c>
      <c r="H50" s="150">
        <f>IFERROR(IF(H46=0,"",H25/H46),"")</f>
        <v>0.111698358044205</v>
      </c>
      <c r="I50" s="150">
        <f>IFERROR(IF(I46=0,"",I25/I46),"")</f>
        <v>0.121136264579214</v>
      </c>
      <c r="J50" s="150">
        <f>IFERROR(IF(J46=0,"",J25/J46),"")</f>
        <v>0.130764842689903</v>
      </c>
      <c r="K50" s="150">
        <f>IFERROR(IF(K46=0,"",K25/K46),"")</f>
        <v>0.140493717053351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2.75583801140535</v>
      </c>
      <c r="E51" s="154">
        <f>IFERROR(IF(E46=0,"",E18/E46),"")</f>
        <v>2.59917403670082</v>
      </c>
      <c r="F51" s="154">
        <f>IFERROR(IF(F46=0,"",F18/F46),"")</f>
        <v>2.89899408628965</v>
      </c>
      <c r="G51" s="154">
        <f>IFERROR(IF(G46=0,"",G18/G46),"")</f>
        <v>3.02154395696075</v>
      </c>
      <c r="H51" s="154">
        <f>IFERROR(IF(H46=0,"",H18/H46),"")</f>
        <v>3.29177198007081</v>
      </c>
      <c r="I51" s="154">
        <f>IFERROR(IF(I46=0,"",I18/I46),"")</f>
        <v>3.56990889118078</v>
      </c>
      <c r="J51" s="154">
        <f>IFERROR(IF(J46=0,"",J18/J46),"")</f>
        <v>3.85366493010257</v>
      </c>
      <c r="K51" s="154">
        <f>IFERROR(IF(K46=0,"",K18/K46),"")</f>
        <v>4.14037671878034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25656.5655399835</v>
      </c>
      <c r="E53" s="155">
        <f>IFERROR(E25+E44,"")</f>
        <v>22601.8806736087</v>
      </c>
      <c r="F53" s="155">
        <f>IFERROR(F25+F44,"")</f>
        <v>18926.2737293325</v>
      </c>
      <c r="G53" s="156">
        <f>IFERROR(G25+G44,"")</f>
        <v>23876.0690562876</v>
      </c>
      <c r="H53" s="155">
        <f>IFERROR(H25+H44,"")</f>
        <v>18190.3267160823</v>
      </c>
      <c r="I53" s="155">
        <f>IFERROR(I25+I44,"")</f>
        <v>19534.7019724154</v>
      </c>
      <c r="J53" s="155">
        <f>IFERROR(J25+J44,"")</f>
        <v>20880.166347215</v>
      </c>
      <c r="K53" s="155">
        <f>IFERROR(K25+K44,"")</f>
        <v>22213.2533137863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0.140493717053351</v>
      </c>
      <c r="E64" s="157" t="inlineStr">
        <is>
          <t>Current portion of long-term debt</t>
        </is>
      </c>
      <c r="H64" s="137">
        <f>IFERROR(INDEX(Model!$I$212:$BF$212,1,MATCH(Control!$B$7,Model!$I$5:$BF$5,0)),"")</f>
        <v>3827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IFERROR(INDEX(Model!$I$213:$BF$213,1,MATCH(Control!$B$7,Model!$I$5:$BF$5,0)),"")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IFERROR(INDEX(Model!$I$217:$BF$217,1,MATCH(Control!$B$7,Model!$I$5:$BF$5,0)),"")</f>
        <v>69501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IFERROR(INDEX(Model!$I$238:$BF$238,1,MATCH(Control!$B$7,Model!$I$5:$BF$5,0)),"")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IFERROR(INDEX(Model!$I$248:$BF$248,1,MATCH(Control!$B$7,Model!$I$5:$BF$5,0)),"")</f>
        <v>7502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IFERROR(INDEX(Model!$I$253:$BF$253,1,MATCH(Control!$B$7,Model!$I$5:$BF$5,0)),"")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IFERROR(INDEX(Model!$I$214:$BF$214,1,MATCH(Control!$B$7,Model!$I$5:$BF$5,0)),"")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IFERROR(INDEX(Model!$I$235:$BF$235,1,MATCH(Control!$B$7,Model!$I$5:$BF$5,0)),"")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IFERROR(-INDEX(Model!$I$144:$BF$144,1,MATCH(Control!$B$7,Model!$I$5:$BF$5,0)),"")</f>
        <v>-31468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39685.49523993</v>
      </c>
      <c r="E73" s="157" t="inlineStr">
        <is>
          <t>Less: Equity investments</t>
        </is>
      </c>
      <c r="H73" s="137">
        <f>IFERROR(-INDEX(Model!$I$161:$BF$161,1,MATCH(Control!$B$7,Model!$I$5:$BF$5,0)),"")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49362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49362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49362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UNH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UnitedHealth Group Incorporated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UNH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IFERROR(-Model!AG74/AVERAGE(Model!AB92,Model!AG92),"")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0.0826471233642162</v>
      </c>
      <c r="C18" s="247">
        <f>IF(B18="","",B18)</f>
        <v>0.0826471233642162</v>
      </c>
      <c r="D18" s="247">
        <f>IF(C18="","",MAX(0,C18-0.5%))</f>
        <v>0.0776471233642162</v>
      </c>
      <c r="E18" s="247">
        <f>IF(D18="","",MAX(0,D18-0.5%))</f>
        <v>0.0726471233642162</v>
      </c>
      <c r="F18" s="247">
        <f>IF(E18="","",MAX(0,E18-0.5%))</f>
        <v>0.0676471233642162</v>
      </c>
    </row>
    <row r="19" ht="15" customHeight="1">
      <c r="A19" t="inlineStr">
        <is>
          <t>Gross margin</t>
        </is>
      </c>
      <c r="B19" s="247">
        <f>IFERROR(AVERAGE(Model!AC55:AF55,Model!AH55:AI55),"")</f>
        <v>0.885513106520931</v>
      </c>
      <c r="C19" s="247">
        <f>IF(B19="","",B19)</f>
        <v>0.885513106520931</v>
      </c>
      <c r="D19" s="247">
        <f>IF(C19="","",C19)</f>
        <v>0.885513106520931</v>
      </c>
      <c r="E19" s="247">
        <f>IF(D19="","",D19)</f>
        <v>0.885513106520931</v>
      </c>
      <c r="F19" s="247">
        <f>IF(E19="","",E19)</f>
        <v>0.885513106520931</v>
      </c>
    </row>
    <row r="20" ht="15" customHeight="1">
      <c r="A20" t="inlineStr">
        <is>
          <t>SG&amp;A / Revenue</t>
        </is>
      </c>
      <c r="B20" s="247">
        <f>IFERROR(AVERAGE(Model!AC59:AF59,Model!AH59:AI59),"")</f>
        <v>0.822161068367946</v>
      </c>
      <c r="C20" s="247">
        <f>IF(B20="","",B20)</f>
        <v>0.822161068367946</v>
      </c>
      <c r="D20" s="247">
        <f>IF(C20="","",C20)</f>
        <v>0.822161068367946</v>
      </c>
      <c r="E20" s="247">
        <f>IF(D20="","",D20)</f>
        <v>0.822161068367946</v>
      </c>
      <c r="F20" s="247">
        <f>IF(E20="","",E20)</f>
        <v>0.822161068367946</v>
      </c>
    </row>
    <row r="21" ht="15" customHeight="1">
      <c r="A21" t="inlineStr">
        <is>
          <t>D&amp;A / Revenue</t>
        </is>
      </c>
      <c r="B21" s="247">
        <f>IFERROR(AVERAGE(Model!AC71:AF71,Model!AH71:AI71),"")</f>
        <v>0.0095777085102191</v>
      </c>
      <c r="C21" s="247">
        <f>IF(B21="","",B21)</f>
        <v>0.0095777085102191</v>
      </c>
      <c r="D21" s="247">
        <f>IF(C21="","",C21)</f>
        <v>0.0095777085102191</v>
      </c>
      <c r="E21" s="247">
        <f>IF(D21="","",D21)</f>
        <v>0.0095777085102191</v>
      </c>
      <c r="F21" s="247">
        <f>IF(E21="","",E21)</f>
        <v>0.0095777085102191</v>
      </c>
    </row>
    <row r="22" ht="15" customHeight="1">
      <c r="A22" t="inlineStr">
        <is>
          <t>Effective tax rate</t>
        </is>
      </c>
      <c r="B22" s="247">
        <f>IFERROR(AVERAGE(Model!AC132:AF132,Model!AH132:AI132),"")</f>
        <v>0.368981575761662</v>
      </c>
      <c r="C22" s="247">
        <f>IF(B22="","",B22)</f>
        <v>0.368981575761662</v>
      </c>
      <c r="D22" s="247">
        <f>IF(C22="","",C22)</f>
        <v>0.368981575761662</v>
      </c>
      <c r="E22" s="247">
        <f>IF(D22="","",D22)</f>
        <v>0.368981575761662</v>
      </c>
      <c r="F22" s="247">
        <f>IF(E22="","",E22)</f>
        <v>0.368981575761662</v>
      </c>
    </row>
    <row r="23" ht="15" customHeight="1">
      <c r="A23" t="inlineStr">
        <is>
          <t>Financial income / Revenue</t>
        </is>
      </c>
      <c r="B23" s="247">
        <f>IFERROR(AVERAGE(Model!AC123:AF123,Model!AH123:AI123)/AVERAGE(Model!AC15:AF15,Model!AH15:AI15),"")</f>
        <v>-0.000592861824465233</v>
      </c>
      <c r="C23" s="247">
        <f>IF(B23="","",B23)</f>
        <v>-0.000592861824465233</v>
      </c>
      <c r="D23" s="247">
        <f>IF(C23="","",C23)</f>
        <v>-0.000592861824465233</v>
      </c>
      <c r="E23" s="247">
        <f>IF(D23="","",D23)</f>
        <v>-0.000592861824465233</v>
      </c>
      <c r="F23" s="247">
        <f>IF(E23="","",E23)</f>
        <v>-0.000592861824465233</v>
      </c>
    </row>
    <row r="24" ht="15" customHeight="1">
      <c r="A24" t="inlineStr">
        <is>
          <t>Capex / Revenue</t>
        </is>
      </c>
      <c r="B24" s="247">
        <f>IFERROR(-AVERAGE(Model!AC295:AF295,Model!AH295:AI295)/AVERAGE(Model!AC15:AF15,Model!AH15:AI15),"")</f>
        <v>0.00988947148900673</v>
      </c>
      <c r="C24" s="247">
        <f>IF(B24="","",B24)</f>
        <v>0.00988947148900673</v>
      </c>
      <c r="D24" s="247">
        <f>IF(C24="","",C24)</f>
        <v>0.00988947148900673</v>
      </c>
      <c r="E24" s="247">
        <f>IF(D24="","",D24)</f>
        <v>0.00988947148900673</v>
      </c>
      <c r="F24" s="247">
        <f>IF(E24="","",E24)</f>
        <v>0.00988947148900673</v>
      </c>
    </row>
    <row r="25" ht="15" customHeight="1">
      <c r="A25" t="inlineStr">
        <is>
          <t>DSO</t>
        </is>
      </c>
      <c r="B25" s="249">
        <f>IFERROR(AVERAGE(Model!AC146:AF146,Model!AH146:AI146),0)</f>
        <v>19.6474890209478</v>
      </c>
      <c r="C25" s="249">
        <f>IF(B25="","",B25)</f>
        <v>19.6474890209478</v>
      </c>
      <c r="D25" s="249">
        <f>IF(C25="","",C25)</f>
        <v>19.6474890209478</v>
      </c>
      <c r="E25" s="249">
        <f>IF(D25="","",D25)</f>
        <v>19.6474890209478</v>
      </c>
      <c r="F25" s="249">
        <f>IF(E25="","",E25)</f>
        <v>19.6474890209478</v>
      </c>
    </row>
    <row r="26" ht="15" customHeight="1">
      <c r="A26" t="inlineStr">
        <is>
          <t>DIO</t>
        </is>
      </c>
      <c r="B26" s="249">
        <f>IFERROR(AVERAGE(Model!AC150:AF150,Model!AH150:AI150),0)</f>
        <v>0</v>
      </c>
      <c r="C26" s="249">
        <f>IF(B26="","",B26)</f>
        <v>0</v>
      </c>
      <c r="D26" s="249">
        <f>IF(C26="","",C26)</f>
        <v>0</v>
      </c>
      <c r="E26" s="249">
        <f>IF(D26="","",D26)</f>
        <v>0</v>
      </c>
      <c r="F26" s="249">
        <f>IF(E26="","",E26)</f>
        <v>0</v>
      </c>
    </row>
    <row r="27" ht="15" customHeight="1">
      <c r="A27" t="inlineStr">
        <is>
          <t>DPO</t>
        </is>
      </c>
      <c r="B27" s="249">
        <f>IFERROR(AVERAGE(Model!AC199:AF199,Model!AH199:AI199),0)</f>
        <v>260.84273610768</v>
      </c>
      <c r="C27" s="249">
        <f>IF(B27="","",B27)</f>
        <v>260.84273610768</v>
      </c>
      <c r="D27" s="249">
        <f>IF(C27="","",C27)</f>
        <v>260.84273610768</v>
      </c>
      <c r="E27" s="249">
        <f>IF(D27="","",D27)</f>
        <v>260.84273610768</v>
      </c>
      <c r="F27" s="249">
        <f>IF(E27="","",E27)</f>
        <v>260.84273610768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UnitedHealth Group Incorporated (UNH, CIK 731766) - fonte: SEC EDGAR XBRL (instâncias dos 10-Q/10-K). Moeda: USD. Brutos em USD unidades (fator 0,000001 -&gt; milhões). Colunas = trimestres-CALENDÁRIO (cada fechamento vai para o fim de trimestre mais pr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2026-10-16T15:41:39Z</dcterms:modified>
  <cp:lastModifiedBy>Lucas Nascimento</cp:lastModifiedBy>
  <cp:revision>0</cp:revision>
</cp:coreProperties>
</file>